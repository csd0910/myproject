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rt-nas\01_全社共有\商品部\個人フォルダ\須永\価格改定\2026年7月1日改定\"/>
    </mc:Choice>
  </mc:AlternateContent>
  <xr:revisionPtr revIDLastSave="0" documentId="13_ncr:1_{817FB974-E33D-4AC3-9FFB-DC901C55ADE9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C20" i="1" l="1"/>
  <c r="AD20" i="1" s="1"/>
  <c r="BC28" i="1"/>
  <c r="AD28" i="1" s="1"/>
  <c r="BC36" i="1"/>
  <c r="AD36" i="1" s="1"/>
  <c r="BC44" i="1"/>
  <c r="AD44" i="1" s="1"/>
  <c r="BC52" i="1"/>
  <c r="AD52" i="1" s="1"/>
  <c r="BC68" i="1"/>
  <c r="AD68" i="1" s="1"/>
  <c r="BC74" i="1"/>
  <c r="AD74" i="1" s="1"/>
  <c r="BC77" i="1"/>
  <c r="AD77" i="1" s="1"/>
  <c r="BC80" i="1"/>
  <c r="AD80" i="1" s="1"/>
  <c r="BC82" i="1"/>
  <c r="AD82" i="1" s="1"/>
  <c r="BC83" i="1"/>
  <c r="AD83" i="1" s="1"/>
  <c r="BC85" i="1"/>
  <c r="AD85" i="1" s="1"/>
  <c r="BC86" i="1"/>
  <c r="AD86" i="1" s="1"/>
  <c r="BC93" i="1"/>
  <c r="AD93" i="1" s="1"/>
  <c r="AU93" i="1"/>
  <c r="AT93" i="1"/>
  <c r="AS93" i="1"/>
  <c r="AR93" i="1"/>
  <c r="AQ93" i="1"/>
  <c r="AP93" i="1"/>
  <c r="AN93" i="1"/>
  <c r="Y93" i="1"/>
  <c r="AI93" i="1" s="1"/>
  <c r="W93" i="1"/>
  <c r="AM93" i="1" s="1"/>
  <c r="O93" i="1"/>
  <c r="D93" i="1"/>
  <c r="BC92" i="1"/>
  <c r="AD92" i="1" s="1"/>
  <c r="AU92" i="1"/>
  <c r="AT92" i="1"/>
  <c r="AS92" i="1"/>
  <c r="AR92" i="1"/>
  <c r="AQ92" i="1"/>
  <c r="AP92" i="1"/>
  <c r="AN92" i="1"/>
  <c r="Y92" i="1"/>
  <c r="AI92" i="1" s="1"/>
  <c r="W92" i="1"/>
  <c r="AM92" i="1" s="1"/>
  <c r="O92" i="1"/>
  <c r="D92" i="1"/>
  <c r="BC91" i="1"/>
  <c r="AD91" i="1" s="1"/>
  <c r="AU91" i="1"/>
  <c r="AT91" i="1"/>
  <c r="AS91" i="1"/>
  <c r="AR91" i="1"/>
  <c r="AQ91" i="1"/>
  <c r="AP91" i="1"/>
  <c r="AN91" i="1"/>
  <c r="Y91" i="1"/>
  <c r="AO91" i="1" s="1"/>
  <c r="BJ91" i="1" s="1"/>
  <c r="W91" i="1"/>
  <c r="AM91" i="1" s="1"/>
  <c r="O91" i="1"/>
  <c r="D91" i="1"/>
  <c r="BC90" i="1"/>
  <c r="AD90" i="1" s="1"/>
  <c r="AU90" i="1"/>
  <c r="AT90" i="1"/>
  <c r="AS90" i="1"/>
  <c r="AR90" i="1"/>
  <c r="AQ90" i="1"/>
  <c r="AP90" i="1"/>
  <c r="AN90" i="1"/>
  <c r="Y90" i="1"/>
  <c r="AO90" i="1" s="1"/>
  <c r="W90" i="1"/>
  <c r="AM90" i="1" s="1"/>
  <c r="O90" i="1"/>
  <c r="D90" i="1"/>
  <c r="BC89" i="1"/>
  <c r="AD89" i="1" s="1"/>
  <c r="AU89" i="1"/>
  <c r="AT89" i="1"/>
  <c r="AS89" i="1"/>
  <c r="AR89" i="1"/>
  <c r="AQ89" i="1"/>
  <c r="AP89" i="1"/>
  <c r="AN89" i="1"/>
  <c r="Y89" i="1"/>
  <c r="AO89" i="1" s="1"/>
  <c r="W89" i="1"/>
  <c r="AM89" i="1" s="1"/>
  <c r="O89" i="1"/>
  <c r="D89" i="1"/>
  <c r="BC88" i="1"/>
  <c r="AU88" i="1"/>
  <c r="AT88" i="1"/>
  <c r="AS88" i="1"/>
  <c r="AR88" i="1"/>
  <c r="AQ88" i="1"/>
  <c r="AP88" i="1"/>
  <c r="AN88" i="1"/>
  <c r="AD88" i="1"/>
  <c r="Y88" i="1"/>
  <c r="AK88" i="1" s="1"/>
  <c r="W88" i="1"/>
  <c r="AM88" i="1" s="1"/>
  <c r="O88" i="1"/>
  <c r="D88" i="1"/>
  <c r="BA87" i="1"/>
  <c r="AS87" i="1"/>
  <c r="AT87" i="1"/>
  <c r="AU87" i="1"/>
  <c r="BC87" i="1"/>
  <c r="AD87" i="1" s="1"/>
  <c r="AR87" i="1"/>
  <c r="AQ87" i="1"/>
  <c r="AP87" i="1"/>
  <c r="AN87" i="1"/>
  <c r="Y87" i="1"/>
  <c r="AL87" i="1" s="1"/>
  <c r="W87" i="1"/>
  <c r="AM87" i="1" s="1"/>
  <c r="O87" i="1"/>
  <c r="D87" i="1"/>
  <c r="BC14" i="1"/>
  <c r="AD14" i="1" s="1"/>
  <c r="BC42" i="1"/>
  <c r="AD42" i="1" s="1"/>
  <c r="BC73" i="1"/>
  <c r="AD73" i="1" s="1"/>
  <c r="BC41" i="1"/>
  <c r="AD41" i="1" s="1"/>
  <c r="BC27" i="1"/>
  <c r="AD27" i="1" s="1"/>
  <c r="BC15" i="1"/>
  <c r="AD15" i="1" s="1"/>
  <c r="BC72" i="1"/>
  <c r="AD72" i="1" s="1"/>
  <c r="BC34" i="1"/>
  <c r="AD34" i="1" s="1"/>
  <c r="BC51" i="1"/>
  <c r="AD51" i="1" s="1"/>
  <c r="BC81" i="1"/>
  <c r="AD81" i="1" s="1"/>
  <c r="BC56" i="1"/>
  <c r="AD56" i="1" s="1"/>
  <c r="BC9" i="1"/>
  <c r="AD9" i="1" s="1"/>
  <c r="BC40" i="1"/>
  <c r="AD40" i="1" s="1"/>
  <c r="BC78" i="1"/>
  <c r="AD78" i="1" s="1"/>
  <c r="BC54" i="1"/>
  <c r="AD54" i="1" s="1"/>
  <c r="BC59" i="1"/>
  <c r="AD59" i="1" s="1"/>
  <c r="BC45" i="1"/>
  <c r="AD45" i="1" s="1"/>
  <c r="BC30" i="1"/>
  <c r="AD30" i="1" s="1"/>
  <c r="BC43" i="1"/>
  <c r="AD43" i="1" s="1"/>
  <c r="AP6" i="1"/>
  <c r="AQ6" i="1"/>
  <c r="AR6" i="1"/>
  <c r="AS6" i="1"/>
  <c r="AT6" i="1"/>
  <c r="AU6" i="1"/>
  <c r="AP60" i="1"/>
  <c r="AQ60" i="1"/>
  <c r="AR60" i="1"/>
  <c r="AS60" i="1"/>
  <c r="AT60" i="1"/>
  <c r="AU60" i="1"/>
  <c r="AP65" i="1"/>
  <c r="AQ65" i="1"/>
  <c r="AR65" i="1"/>
  <c r="AS65" i="1"/>
  <c r="AT65" i="1"/>
  <c r="AU65" i="1"/>
  <c r="AP16" i="1"/>
  <c r="AQ16" i="1"/>
  <c r="AR16" i="1"/>
  <c r="AS16" i="1"/>
  <c r="AT16" i="1"/>
  <c r="AU16" i="1"/>
  <c r="AP11" i="1"/>
  <c r="AQ11" i="1"/>
  <c r="AR11" i="1"/>
  <c r="AS11" i="1"/>
  <c r="AT11" i="1"/>
  <c r="AU11" i="1"/>
  <c r="AP10" i="1"/>
  <c r="AQ10" i="1"/>
  <c r="AR10" i="1"/>
  <c r="AS10" i="1"/>
  <c r="AT10" i="1"/>
  <c r="AU10" i="1"/>
  <c r="AP35" i="1"/>
  <c r="AQ35" i="1"/>
  <c r="AR35" i="1"/>
  <c r="AS35" i="1"/>
  <c r="AT35" i="1"/>
  <c r="AU35" i="1"/>
  <c r="AP4" i="1"/>
  <c r="AQ4" i="1"/>
  <c r="AR4" i="1"/>
  <c r="AS4" i="1"/>
  <c r="AT4" i="1"/>
  <c r="AU4" i="1"/>
  <c r="AP13" i="1"/>
  <c r="AQ13" i="1"/>
  <c r="AR13" i="1"/>
  <c r="AS13" i="1"/>
  <c r="AT13" i="1"/>
  <c r="AU13" i="1"/>
  <c r="AP32" i="1"/>
  <c r="AQ32" i="1"/>
  <c r="AR32" i="1"/>
  <c r="AS32" i="1"/>
  <c r="AT32" i="1"/>
  <c r="AU32" i="1"/>
  <c r="AP50" i="1"/>
  <c r="AQ50" i="1"/>
  <c r="AR50" i="1"/>
  <c r="AS50" i="1"/>
  <c r="AT50" i="1"/>
  <c r="AU50" i="1"/>
  <c r="AP66" i="1"/>
  <c r="AQ66" i="1"/>
  <c r="AR66" i="1"/>
  <c r="AS66" i="1"/>
  <c r="AT66" i="1"/>
  <c r="AU66" i="1"/>
  <c r="AP76" i="1"/>
  <c r="AQ76" i="1"/>
  <c r="AR76" i="1"/>
  <c r="AS76" i="1"/>
  <c r="AT76" i="1"/>
  <c r="AU76" i="1"/>
  <c r="AP84" i="1"/>
  <c r="AQ84" i="1"/>
  <c r="AR84" i="1"/>
  <c r="AS84" i="1"/>
  <c r="AT84" i="1"/>
  <c r="AU84" i="1"/>
  <c r="AP12" i="1"/>
  <c r="AQ12" i="1"/>
  <c r="AR12" i="1"/>
  <c r="AS12" i="1"/>
  <c r="AT12" i="1"/>
  <c r="AU12" i="1"/>
  <c r="AP37" i="1"/>
  <c r="AQ37" i="1"/>
  <c r="AR37" i="1"/>
  <c r="AS37" i="1"/>
  <c r="AT37" i="1"/>
  <c r="AU37" i="1"/>
  <c r="AP69" i="1"/>
  <c r="AQ69" i="1"/>
  <c r="AR69" i="1"/>
  <c r="AS69" i="1"/>
  <c r="AT69" i="1"/>
  <c r="AU69" i="1"/>
  <c r="AP17" i="1"/>
  <c r="AQ17" i="1"/>
  <c r="AR17" i="1"/>
  <c r="AS17" i="1"/>
  <c r="AT17" i="1"/>
  <c r="AU17" i="1"/>
  <c r="AP48" i="1"/>
  <c r="AQ48" i="1"/>
  <c r="AR48" i="1"/>
  <c r="AS48" i="1"/>
  <c r="AT48" i="1"/>
  <c r="AU48" i="1"/>
  <c r="AP64" i="1"/>
  <c r="AQ64" i="1"/>
  <c r="AR64" i="1"/>
  <c r="AS64" i="1"/>
  <c r="AT64" i="1"/>
  <c r="AU64" i="1"/>
  <c r="AP49" i="1"/>
  <c r="AQ49" i="1"/>
  <c r="AR49" i="1"/>
  <c r="AS49" i="1"/>
  <c r="AT49" i="1"/>
  <c r="AU49" i="1"/>
  <c r="AP74" i="1"/>
  <c r="AQ74" i="1"/>
  <c r="AR74" i="1"/>
  <c r="AS74" i="1"/>
  <c r="AT74" i="1"/>
  <c r="AU74" i="1"/>
  <c r="AP85" i="1"/>
  <c r="AQ85" i="1"/>
  <c r="AR85" i="1"/>
  <c r="AS85" i="1"/>
  <c r="AT85" i="1"/>
  <c r="AU85" i="1"/>
  <c r="AP86" i="1"/>
  <c r="AQ86" i="1"/>
  <c r="AR86" i="1"/>
  <c r="AS86" i="1"/>
  <c r="AT86" i="1"/>
  <c r="AU86" i="1"/>
  <c r="AP21" i="1"/>
  <c r="AQ21" i="1"/>
  <c r="AR21" i="1"/>
  <c r="AS21" i="1"/>
  <c r="AT21" i="1"/>
  <c r="AU21" i="1"/>
  <c r="AP36" i="1"/>
  <c r="AQ36" i="1"/>
  <c r="AR36" i="1"/>
  <c r="AS36" i="1"/>
  <c r="AT36" i="1"/>
  <c r="AU36" i="1"/>
  <c r="AP62" i="1"/>
  <c r="AQ62" i="1"/>
  <c r="AR62" i="1"/>
  <c r="AS62" i="1"/>
  <c r="AT62" i="1"/>
  <c r="AU62" i="1"/>
  <c r="AP70" i="1"/>
  <c r="AQ70" i="1"/>
  <c r="AR70" i="1"/>
  <c r="AS70" i="1"/>
  <c r="AT70" i="1"/>
  <c r="AU70" i="1"/>
  <c r="AP80" i="1"/>
  <c r="AQ80" i="1"/>
  <c r="AR80" i="1"/>
  <c r="AS80" i="1"/>
  <c r="AT80" i="1"/>
  <c r="AU80" i="1"/>
  <c r="AP25" i="1"/>
  <c r="AQ25" i="1"/>
  <c r="AR25" i="1"/>
  <c r="AS25" i="1"/>
  <c r="AT25" i="1"/>
  <c r="AU25" i="1"/>
  <c r="AP18" i="1"/>
  <c r="AQ18" i="1"/>
  <c r="AR18" i="1"/>
  <c r="AS18" i="1"/>
  <c r="AT18" i="1"/>
  <c r="AU18" i="1"/>
  <c r="AP24" i="1"/>
  <c r="AQ24" i="1"/>
  <c r="AR24" i="1"/>
  <c r="AS24" i="1"/>
  <c r="AT24" i="1"/>
  <c r="AU24" i="1"/>
  <c r="AP28" i="1"/>
  <c r="AQ28" i="1"/>
  <c r="AR28" i="1"/>
  <c r="AS28" i="1"/>
  <c r="AT28" i="1"/>
  <c r="AU28" i="1"/>
  <c r="AP38" i="1"/>
  <c r="AQ38" i="1"/>
  <c r="AR38" i="1"/>
  <c r="AS38" i="1"/>
  <c r="AT38" i="1"/>
  <c r="AU38" i="1"/>
  <c r="AP53" i="1"/>
  <c r="AQ53" i="1"/>
  <c r="AR53" i="1"/>
  <c r="AS53" i="1"/>
  <c r="AT53" i="1"/>
  <c r="AU53" i="1"/>
  <c r="AP75" i="1"/>
  <c r="AQ75" i="1"/>
  <c r="AR75" i="1"/>
  <c r="AS75" i="1"/>
  <c r="AT75" i="1"/>
  <c r="AU75" i="1"/>
  <c r="AP55" i="1"/>
  <c r="AQ55" i="1"/>
  <c r="AR55" i="1"/>
  <c r="AS55" i="1"/>
  <c r="AT55" i="1"/>
  <c r="AU55" i="1"/>
  <c r="AP52" i="1"/>
  <c r="AQ52" i="1"/>
  <c r="AR52" i="1"/>
  <c r="AS52" i="1"/>
  <c r="AT52" i="1"/>
  <c r="AU52" i="1"/>
  <c r="AP22" i="1"/>
  <c r="AQ22" i="1"/>
  <c r="AR22" i="1"/>
  <c r="AS22" i="1"/>
  <c r="AT22" i="1"/>
  <c r="AU22" i="1"/>
  <c r="AP5" i="1"/>
  <c r="AQ5" i="1"/>
  <c r="AR5" i="1"/>
  <c r="AS5" i="1"/>
  <c r="AT5" i="1"/>
  <c r="AU5" i="1"/>
  <c r="AP7" i="1"/>
  <c r="AQ7" i="1"/>
  <c r="AR7" i="1"/>
  <c r="AS7" i="1"/>
  <c r="AT7" i="1"/>
  <c r="AU7" i="1"/>
  <c r="AP14" i="1"/>
  <c r="AQ14" i="1"/>
  <c r="AR14" i="1"/>
  <c r="AS14" i="1"/>
  <c r="AT14" i="1"/>
  <c r="AU14" i="1"/>
  <c r="AP42" i="1"/>
  <c r="AQ42" i="1"/>
  <c r="AR42" i="1"/>
  <c r="AS42" i="1"/>
  <c r="AT42" i="1"/>
  <c r="AU42" i="1"/>
  <c r="AP63" i="1"/>
  <c r="AQ63" i="1"/>
  <c r="AR63" i="1"/>
  <c r="AS63" i="1"/>
  <c r="AT63" i="1"/>
  <c r="AU63" i="1"/>
  <c r="AP73" i="1"/>
  <c r="AQ73" i="1"/>
  <c r="AR73" i="1"/>
  <c r="AS73" i="1"/>
  <c r="AT73" i="1"/>
  <c r="AU73" i="1"/>
  <c r="AP83" i="1"/>
  <c r="AQ83" i="1"/>
  <c r="AR83" i="1"/>
  <c r="AS83" i="1"/>
  <c r="AT83" i="1"/>
  <c r="AU83" i="1"/>
  <c r="AP41" i="1"/>
  <c r="AQ41" i="1"/>
  <c r="AR41" i="1"/>
  <c r="AS41" i="1"/>
  <c r="AT41" i="1"/>
  <c r="AU41" i="1"/>
  <c r="AP27" i="1"/>
  <c r="AQ27" i="1"/>
  <c r="AR27" i="1"/>
  <c r="AS27" i="1"/>
  <c r="AT27" i="1"/>
  <c r="AU27" i="1"/>
  <c r="AP44" i="1"/>
  <c r="AQ44" i="1"/>
  <c r="AR44" i="1"/>
  <c r="AS44" i="1"/>
  <c r="AT44" i="1"/>
  <c r="AU44" i="1"/>
  <c r="AP15" i="1"/>
  <c r="AQ15" i="1"/>
  <c r="AR15" i="1"/>
  <c r="AS15" i="1"/>
  <c r="AT15" i="1"/>
  <c r="AU15" i="1"/>
  <c r="AP72" i="1"/>
  <c r="AQ72" i="1"/>
  <c r="AR72" i="1"/>
  <c r="AS72" i="1"/>
  <c r="AT72" i="1"/>
  <c r="AU72" i="1"/>
  <c r="AP34" i="1"/>
  <c r="AQ34" i="1"/>
  <c r="AR34" i="1"/>
  <c r="AS34" i="1"/>
  <c r="AT34" i="1"/>
  <c r="AU34" i="1"/>
  <c r="AP51" i="1"/>
  <c r="AQ51" i="1"/>
  <c r="AR51" i="1"/>
  <c r="AS51" i="1"/>
  <c r="AT51" i="1"/>
  <c r="AU51" i="1"/>
  <c r="AP81" i="1"/>
  <c r="AQ81" i="1"/>
  <c r="AR81" i="1"/>
  <c r="AS81" i="1"/>
  <c r="AT81" i="1"/>
  <c r="AU81" i="1"/>
  <c r="AP58" i="1"/>
  <c r="AQ58" i="1"/>
  <c r="AR58" i="1"/>
  <c r="AS58" i="1"/>
  <c r="AT58" i="1"/>
  <c r="AU58" i="1"/>
  <c r="AP8" i="1"/>
  <c r="AQ8" i="1"/>
  <c r="AR8" i="1"/>
  <c r="AS8" i="1"/>
  <c r="AT8" i="1"/>
  <c r="AU8" i="1"/>
  <c r="AP19" i="1"/>
  <c r="AQ19" i="1"/>
  <c r="AR19" i="1"/>
  <c r="AS19" i="1"/>
  <c r="AT19" i="1"/>
  <c r="AU19" i="1"/>
  <c r="AP39" i="1"/>
  <c r="AQ39" i="1"/>
  <c r="AR39" i="1"/>
  <c r="AS39" i="1"/>
  <c r="AT39" i="1"/>
  <c r="AU39" i="1"/>
  <c r="AP56" i="1"/>
  <c r="AQ56" i="1"/>
  <c r="AR56" i="1"/>
  <c r="AS56" i="1"/>
  <c r="AT56" i="1"/>
  <c r="AU56" i="1"/>
  <c r="AP67" i="1"/>
  <c r="AQ67" i="1"/>
  <c r="AR67" i="1"/>
  <c r="AS67" i="1"/>
  <c r="AT67" i="1"/>
  <c r="AU67" i="1"/>
  <c r="AP77" i="1"/>
  <c r="AQ77" i="1"/>
  <c r="AR77" i="1"/>
  <c r="AS77" i="1"/>
  <c r="AT77" i="1"/>
  <c r="AU77" i="1"/>
  <c r="AP9" i="1"/>
  <c r="AQ9" i="1"/>
  <c r="AR9" i="1"/>
  <c r="AS9" i="1"/>
  <c r="AT9" i="1"/>
  <c r="AU9" i="1"/>
  <c r="AP20" i="1"/>
  <c r="AQ20" i="1"/>
  <c r="AR20" i="1"/>
  <c r="AS20" i="1"/>
  <c r="AT20" i="1"/>
  <c r="AU20" i="1"/>
  <c r="AP40" i="1"/>
  <c r="AQ40" i="1"/>
  <c r="AR40" i="1"/>
  <c r="AS40" i="1"/>
  <c r="AT40" i="1"/>
  <c r="AU40" i="1"/>
  <c r="AP57" i="1"/>
  <c r="AQ57" i="1"/>
  <c r="AR57" i="1"/>
  <c r="AS57" i="1"/>
  <c r="AT57" i="1"/>
  <c r="AU57" i="1"/>
  <c r="AP68" i="1"/>
  <c r="AQ68" i="1"/>
  <c r="AR68" i="1"/>
  <c r="AS68" i="1"/>
  <c r="AT68" i="1"/>
  <c r="AU68" i="1"/>
  <c r="AP78" i="1"/>
  <c r="AQ78" i="1"/>
  <c r="AR78" i="1"/>
  <c r="AS78" i="1"/>
  <c r="AT78" i="1"/>
  <c r="AU78" i="1"/>
  <c r="AP29" i="1"/>
  <c r="AQ29" i="1"/>
  <c r="AR29" i="1"/>
  <c r="AS29" i="1"/>
  <c r="AT29" i="1"/>
  <c r="AU29" i="1"/>
  <c r="AP54" i="1"/>
  <c r="AQ54" i="1"/>
  <c r="AR54" i="1"/>
  <c r="AS54" i="1"/>
  <c r="AT54" i="1"/>
  <c r="AU54" i="1"/>
  <c r="AP59" i="1"/>
  <c r="AQ59" i="1"/>
  <c r="AR59" i="1"/>
  <c r="AS59" i="1"/>
  <c r="AT59" i="1"/>
  <c r="AU59" i="1"/>
  <c r="AP79" i="1"/>
  <c r="AQ79" i="1"/>
  <c r="AR79" i="1"/>
  <c r="AS79" i="1"/>
  <c r="AT79" i="1"/>
  <c r="AU79" i="1"/>
  <c r="AP45" i="1"/>
  <c r="AQ45" i="1"/>
  <c r="AR45" i="1"/>
  <c r="AS45" i="1"/>
  <c r="AT45" i="1"/>
  <c r="AU45" i="1"/>
  <c r="AP46" i="1"/>
  <c r="AQ46" i="1"/>
  <c r="AR46" i="1"/>
  <c r="AS46" i="1"/>
  <c r="AT46" i="1"/>
  <c r="AU46" i="1"/>
  <c r="AP47" i="1"/>
  <c r="AQ47" i="1"/>
  <c r="AR47" i="1"/>
  <c r="AS47" i="1"/>
  <c r="AT47" i="1"/>
  <c r="AU47" i="1"/>
  <c r="AP30" i="1"/>
  <c r="AQ30" i="1"/>
  <c r="AR30" i="1"/>
  <c r="AS30" i="1"/>
  <c r="AT30" i="1"/>
  <c r="AU30" i="1"/>
  <c r="AP33" i="1"/>
  <c r="AQ33" i="1"/>
  <c r="AR33" i="1"/>
  <c r="AS33" i="1"/>
  <c r="AT33" i="1"/>
  <c r="AU33" i="1"/>
  <c r="AP26" i="1"/>
  <c r="AQ26" i="1"/>
  <c r="AR26" i="1"/>
  <c r="AS26" i="1"/>
  <c r="AT26" i="1"/>
  <c r="AU26" i="1"/>
  <c r="AP43" i="1"/>
  <c r="AQ43" i="1"/>
  <c r="AR43" i="1"/>
  <c r="AS43" i="1"/>
  <c r="AT43" i="1"/>
  <c r="AU43" i="1"/>
  <c r="AP61" i="1"/>
  <c r="AQ61" i="1"/>
  <c r="AR61" i="1"/>
  <c r="AS61" i="1"/>
  <c r="AT61" i="1"/>
  <c r="AU61" i="1"/>
  <c r="AP71" i="1"/>
  <c r="AQ71" i="1"/>
  <c r="AR71" i="1"/>
  <c r="AS71" i="1"/>
  <c r="AT71" i="1"/>
  <c r="AU71" i="1"/>
  <c r="AP31" i="1"/>
  <c r="AQ31" i="1"/>
  <c r="AR31" i="1"/>
  <c r="AS31" i="1"/>
  <c r="AT31" i="1"/>
  <c r="AU31" i="1"/>
  <c r="AP82" i="1"/>
  <c r="AQ82" i="1"/>
  <c r="AR82" i="1"/>
  <c r="AS82" i="1"/>
  <c r="AT82" i="1"/>
  <c r="AU82" i="1"/>
  <c r="AU23" i="1"/>
  <c r="AT23" i="1"/>
  <c r="AS23" i="1"/>
  <c r="AN21" i="1"/>
  <c r="AN36" i="1"/>
  <c r="AN70" i="1"/>
  <c r="AN25" i="1"/>
  <c r="O18" i="1"/>
  <c r="AN38" i="1"/>
  <c r="AN75" i="1"/>
  <c r="O75" i="1"/>
  <c r="AN52" i="1"/>
  <c r="O22" i="1"/>
  <c r="AN14" i="1"/>
  <c r="AN63" i="1"/>
  <c r="O63" i="1"/>
  <c r="O73" i="1"/>
  <c r="O41" i="1"/>
  <c r="AN44" i="1"/>
  <c r="O44" i="1"/>
  <c r="AN15" i="1"/>
  <c r="AN34" i="1"/>
  <c r="O81" i="1"/>
  <c r="AN58" i="1"/>
  <c r="O58" i="1"/>
  <c r="O8" i="1"/>
  <c r="AN19" i="1"/>
  <c r="O19" i="1"/>
  <c r="AN39" i="1"/>
  <c r="O39" i="1"/>
  <c r="AN56" i="1"/>
  <c r="AN67" i="1"/>
  <c r="O67" i="1"/>
  <c r="AN77" i="1"/>
  <c r="O9" i="1"/>
  <c r="O20" i="1"/>
  <c r="O57" i="1"/>
  <c r="O68" i="1"/>
  <c r="O78" i="1"/>
  <c r="AN29" i="1"/>
  <c r="O29" i="1"/>
  <c r="O54" i="1"/>
  <c r="AN79" i="1"/>
  <c r="AN46" i="1"/>
  <c r="AN33" i="1"/>
  <c r="O33" i="1"/>
  <c r="O43" i="1"/>
  <c r="O61" i="1"/>
  <c r="AN31" i="1"/>
  <c r="O31" i="1"/>
  <c r="O82" i="1"/>
  <c r="AN82" i="1"/>
  <c r="Y82" i="1"/>
  <c r="AI82" i="1" s="1"/>
  <c r="W82" i="1"/>
  <c r="D82" i="1"/>
  <c r="BC31" i="1"/>
  <c r="AD31" i="1" s="1"/>
  <c r="Y31" i="1"/>
  <c r="AI31" i="1" s="1"/>
  <c r="W31" i="1"/>
  <c r="D31" i="1"/>
  <c r="BC71" i="1"/>
  <c r="AD71" i="1" s="1"/>
  <c r="AN71" i="1"/>
  <c r="Y71" i="1"/>
  <c r="AH71" i="1" s="1"/>
  <c r="W71" i="1"/>
  <c r="O71" i="1"/>
  <c r="D71" i="1"/>
  <c r="BC61" i="1"/>
  <c r="AD61" i="1" s="1"/>
  <c r="AN61" i="1"/>
  <c r="Y61" i="1"/>
  <c r="AI61" i="1" s="1"/>
  <c r="W61" i="1"/>
  <c r="D61" i="1"/>
  <c r="Y43" i="1"/>
  <c r="AI43" i="1" s="1"/>
  <c r="W43" i="1"/>
  <c r="D43" i="1"/>
  <c r="BC26" i="1"/>
  <c r="AD26" i="1" s="1"/>
  <c r="AN26" i="1"/>
  <c r="Y26" i="1"/>
  <c r="AI26" i="1" s="1"/>
  <c r="W26" i="1"/>
  <c r="AM26" i="1" s="1"/>
  <c r="O26" i="1"/>
  <c r="D26" i="1"/>
  <c r="BC33" i="1"/>
  <c r="AD33" i="1" s="1"/>
  <c r="Y33" i="1"/>
  <c r="AI33" i="1" s="1"/>
  <c r="W33" i="1"/>
  <c r="D33" i="1"/>
  <c r="AN30" i="1"/>
  <c r="Y30" i="1"/>
  <c r="AO30" i="1" s="1"/>
  <c r="AA30" i="1" s="1"/>
  <c r="W30" i="1"/>
  <c r="O30" i="1"/>
  <c r="D30" i="1"/>
  <c r="BC47" i="1"/>
  <c r="AD47" i="1" s="1"/>
  <c r="AN47" i="1"/>
  <c r="Y47" i="1"/>
  <c r="AI47" i="1" s="1"/>
  <c r="W47" i="1"/>
  <c r="AM47" i="1" s="1"/>
  <c r="O47" i="1"/>
  <c r="D47" i="1"/>
  <c r="BC46" i="1"/>
  <c r="AD46" i="1" s="1"/>
  <c r="Y46" i="1"/>
  <c r="AI46" i="1" s="1"/>
  <c r="W46" i="1"/>
  <c r="O46" i="1"/>
  <c r="D46" i="1"/>
  <c r="AN45" i="1"/>
  <c r="Y45" i="1"/>
  <c r="AO45" i="1" s="1"/>
  <c r="AA45" i="1" s="1"/>
  <c r="W45" i="1"/>
  <c r="AM45" i="1" s="1"/>
  <c r="O45" i="1"/>
  <c r="D45" i="1"/>
  <c r="BC79" i="1"/>
  <c r="AD79" i="1" s="1"/>
  <c r="Y79" i="1"/>
  <c r="AH79" i="1" s="1"/>
  <c r="W79" i="1"/>
  <c r="AM79" i="1" s="1"/>
  <c r="O79" i="1"/>
  <c r="D79" i="1"/>
  <c r="Y59" i="1"/>
  <c r="AO59" i="1" s="1"/>
  <c r="BJ59" i="1" s="1"/>
  <c r="W59" i="1"/>
  <c r="AM59" i="1" s="1"/>
  <c r="D59" i="1"/>
  <c r="AN54" i="1"/>
  <c r="Y54" i="1"/>
  <c r="AO54" i="1" s="1"/>
  <c r="AA54" i="1" s="1"/>
  <c r="W54" i="1"/>
  <c r="AM54" i="1" s="1"/>
  <c r="D54" i="1"/>
  <c r="BC29" i="1"/>
  <c r="AD29" i="1" s="1"/>
  <c r="Y29" i="1"/>
  <c r="AI29" i="1" s="1"/>
  <c r="W29" i="1"/>
  <c r="AM29" i="1" s="1"/>
  <c r="D29" i="1"/>
  <c r="AN78" i="1"/>
  <c r="Y78" i="1"/>
  <c r="AO78" i="1" s="1"/>
  <c r="AA78" i="1" s="1"/>
  <c r="W78" i="1"/>
  <c r="D78" i="1"/>
  <c r="AN68" i="1"/>
  <c r="Y68" i="1"/>
  <c r="AI68" i="1" s="1"/>
  <c r="W68" i="1"/>
  <c r="AM68" i="1" s="1"/>
  <c r="D68" i="1"/>
  <c r="BC57" i="1"/>
  <c r="AD57" i="1" s="1"/>
  <c r="AN57" i="1"/>
  <c r="Y57" i="1"/>
  <c r="AI57" i="1" s="1"/>
  <c r="W57" i="1"/>
  <c r="D57" i="1"/>
  <c r="AN40" i="1"/>
  <c r="Y40" i="1"/>
  <c r="AH40" i="1" s="1"/>
  <c r="W40" i="1"/>
  <c r="AM40" i="1" s="1"/>
  <c r="O40" i="1"/>
  <c r="D40" i="1"/>
  <c r="AN20" i="1"/>
  <c r="Y20" i="1"/>
  <c r="AH20" i="1" s="1"/>
  <c r="W20" i="1"/>
  <c r="AM20" i="1" s="1"/>
  <c r="D20" i="1"/>
  <c r="Y9" i="1"/>
  <c r="AO9" i="1" s="1"/>
  <c r="BJ9" i="1" s="1"/>
  <c r="W9" i="1"/>
  <c r="D9" i="1"/>
  <c r="Y77" i="1"/>
  <c r="AO77" i="1" s="1"/>
  <c r="AA77" i="1" s="1"/>
  <c r="W77" i="1"/>
  <c r="AM77" i="1" s="1"/>
  <c r="O77" i="1"/>
  <c r="D77" i="1"/>
  <c r="BC67" i="1"/>
  <c r="AD67" i="1" s="1"/>
  <c r="Y67" i="1"/>
  <c r="AI67" i="1" s="1"/>
  <c r="W67" i="1"/>
  <c r="AM67" i="1" s="1"/>
  <c r="D67" i="1"/>
  <c r="Y56" i="1"/>
  <c r="AO56" i="1" s="1"/>
  <c r="AA56" i="1" s="1"/>
  <c r="W56" i="1"/>
  <c r="O56" i="1"/>
  <c r="D56" i="1"/>
  <c r="BC39" i="1"/>
  <c r="AD39" i="1" s="1"/>
  <c r="Y39" i="1"/>
  <c r="AO39" i="1" s="1"/>
  <c r="AA39" i="1" s="1"/>
  <c r="W39" i="1"/>
  <c r="D39" i="1"/>
  <c r="BC19" i="1"/>
  <c r="AD19" i="1" s="1"/>
  <c r="Y19" i="1"/>
  <c r="AO19" i="1" s="1"/>
  <c r="AA19" i="1" s="1"/>
  <c r="W19" i="1"/>
  <c r="D19" i="1"/>
  <c r="BC8" i="1"/>
  <c r="AD8" i="1" s="1"/>
  <c r="AN8" i="1"/>
  <c r="Y8" i="1"/>
  <c r="AO8" i="1" s="1"/>
  <c r="AA8" i="1" s="1"/>
  <c r="W8" i="1"/>
  <c r="AM8" i="1" s="1"/>
  <c r="D8" i="1"/>
  <c r="BC58" i="1"/>
  <c r="AD58" i="1" s="1"/>
  <c r="Y58" i="1"/>
  <c r="AH58" i="1" s="1"/>
  <c r="W58" i="1"/>
  <c r="D58" i="1"/>
  <c r="Y81" i="1"/>
  <c r="AO81" i="1" s="1"/>
  <c r="W81" i="1"/>
  <c r="D81" i="1"/>
  <c r="AN51" i="1"/>
  <c r="Y51" i="1"/>
  <c r="AI51" i="1" s="1"/>
  <c r="W51" i="1"/>
  <c r="AM51" i="1" s="1"/>
  <c r="O51" i="1"/>
  <c r="D51" i="1"/>
  <c r="Y34" i="1"/>
  <c r="AI34" i="1" s="1"/>
  <c r="W34" i="1"/>
  <c r="D34" i="1"/>
  <c r="AN72" i="1"/>
  <c r="Y72" i="1"/>
  <c r="AO72" i="1" s="1"/>
  <c r="AA72" i="1" s="1"/>
  <c r="W72" i="1"/>
  <c r="O72" i="1"/>
  <c r="D72" i="1"/>
  <c r="Y15" i="1"/>
  <c r="AO15" i="1" s="1"/>
  <c r="AA15" i="1" s="1"/>
  <c r="W15" i="1"/>
  <c r="AM15" i="1" s="1"/>
  <c r="O15" i="1"/>
  <c r="D15" i="1"/>
  <c r="Y44" i="1"/>
  <c r="W44" i="1"/>
  <c r="D44" i="1"/>
  <c r="AN27" i="1"/>
  <c r="Y27" i="1"/>
  <c r="AI27" i="1" s="1"/>
  <c r="W27" i="1"/>
  <c r="AM27" i="1" s="1"/>
  <c r="O27" i="1"/>
  <c r="D27" i="1"/>
  <c r="AN41" i="1"/>
  <c r="Y41" i="1"/>
  <c r="AI41" i="1" s="1"/>
  <c r="W41" i="1"/>
  <c r="AM41" i="1" s="1"/>
  <c r="D41" i="1"/>
  <c r="Y83" i="1"/>
  <c r="AH83" i="1" s="1"/>
  <c r="W83" i="1"/>
  <c r="D83" i="1"/>
  <c r="AN73" i="1"/>
  <c r="Y73" i="1"/>
  <c r="W73" i="1"/>
  <c r="AM73" i="1" s="1"/>
  <c r="D73" i="1"/>
  <c r="BC63" i="1"/>
  <c r="AD63" i="1" s="1"/>
  <c r="Y63" i="1"/>
  <c r="AI63" i="1" s="1"/>
  <c r="W63" i="1"/>
  <c r="AM63" i="1" s="1"/>
  <c r="D63" i="1"/>
  <c r="AN42" i="1"/>
  <c r="Y42" i="1"/>
  <c r="AO42" i="1" s="1"/>
  <c r="AA42" i="1" s="1"/>
  <c r="W42" i="1"/>
  <c r="AM42" i="1" s="1"/>
  <c r="O42" i="1"/>
  <c r="D42" i="1"/>
  <c r="Y14" i="1"/>
  <c r="AO14" i="1" s="1"/>
  <c r="BJ14" i="1" s="1"/>
  <c r="W14" i="1"/>
  <c r="AM14" i="1" s="1"/>
  <c r="O14" i="1"/>
  <c r="D14" i="1"/>
  <c r="BC7" i="1"/>
  <c r="AD7" i="1" s="1"/>
  <c r="Y7" i="1"/>
  <c r="W7" i="1"/>
  <c r="AM7" i="1" s="1"/>
  <c r="D7" i="1"/>
  <c r="BC5" i="1"/>
  <c r="AD5" i="1" s="1"/>
  <c r="AN5" i="1"/>
  <c r="Y5" i="1"/>
  <c r="AO5" i="1" s="1"/>
  <c r="AA5" i="1" s="1"/>
  <c r="W5" i="1"/>
  <c r="AM5" i="1" s="1"/>
  <c r="O5" i="1"/>
  <c r="D5" i="1"/>
  <c r="BC22" i="1"/>
  <c r="AD22" i="1" s="1"/>
  <c r="AN22" i="1"/>
  <c r="Y22" i="1"/>
  <c r="W22" i="1"/>
  <c r="AM22" i="1" s="1"/>
  <c r="D22" i="1"/>
  <c r="Y52" i="1"/>
  <c r="AO52" i="1" s="1"/>
  <c r="BJ52" i="1" s="1"/>
  <c r="W52" i="1"/>
  <c r="AM52" i="1" s="1"/>
  <c r="O52" i="1"/>
  <c r="D52" i="1"/>
  <c r="BC55" i="1"/>
  <c r="AD55" i="1" s="1"/>
  <c r="AN55" i="1"/>
  <c r="Y55" i="1"/>
  <c r="W55" i="1"/>
  <c r="AM55" i="1" s="1"/>
  <c r="O55" i="1"/>
  <c r="D55" i="1"/>
  <c r="BC75" i="1"/>
  <c r="AD75" i="1" s="1"/>
  <c r="Y75" i="1"/>
  <c r="W75" i="1"/>
  <c r="AM75" i="1" s="1"/>
  <c r="D75" i="1"/>
  <c r="BC53" i="1"/>
  <c r="AD53" i="1" s="1"/>
  <c r="AN53" i="1"/>
  <c r="Y53" i="1"/>
  <c r="AO53" i="1" s="1"/>
  <c r="AA53" i="1" s="1"/>
  <c r="W53" i="1"/>
  <c r="AM53" i="1" s="1"/>
  <c r="O53" i="1"/>
  <c r="D53" i="1"/>
  <c r="BC38" i="1"/>
  <c r="AD38" i="1" s="1"/>
  <c r="Y38" i="1"/>
  <c r="AO38" i="1" s="1"/>
  <c r="BJ38" i="1" s="1"/>
  <c r="W38" i="1"/>
  <c r="AM38" i="1" s="1"/>
  <c r="O38" i="1"/>
  <c r="D38" i="1"/>
  <c r="Y28" i="1"/>
  <c r="W28" i="1"/>
  <c r="AM28" i="1" s="1"/>
  <c r="D28" i="1"/>
  <c r="BC24" i="1"/>
  <c r="AD24" i="1" s="1"/>
  <c r="AN24" i="1"/>
  <c r="Y24" i="1"/>
  <c r="AO24" i="1" s="1"/>
  <c r="AA24" i="1" s="1"/>
  <c r="W24" i="1"/>
  <c r="AM24" i="1" s="1"/>
  <c r="O24" i="1"/>
  <c r="D24" i="1"/>
  <c r="BC18" i="1"/>
  <c r="AD18" i="1" s="1"/>
  <c r="AN18" i="1"/>
  <c r="Y18" i="1"/>
  <c r="W18" i="1"/>
  <c r="AM18" i="1" s="1"/>
  <c r="D18" i="1"/>
  <c r="BC25" i="1"/>
  <c r="AD25" i="1" s="1"/>
  <c r="Y25" i="1"/>
  <c r="AO25" i="1" s="1"/>
  <c r="BJ25" i="1" s="1"/>
  <c r="W25" i="1"/>
  <c r="AM25" i="1" s="1"/>
  <c r="O25" i="1"/>
  <c r="D25" i="1"/>
  <c r="AN80" i="1"/>
  <c r="Y80" i="1"/>
  <c r="W80" i="1"/>
  <c r="AM80" i="1" s="1"/>
  <c r="O80" i="1"/>
  <c r="D80" i="1"/>
  <c r="BC70" i="1"/>
  <c r="AD70" i="1" s="1"/>
  <c r="Y70" i="1"/>
  <c r="W70" i="1"/>
  <c r="AM70" i="1" s="1"/>
  <c r="O70" i="1"/>
  <c r="D70" i="1"/>
  <c r="BC62" i="1"/>
  <c r="AD62" i="1" s="1"/>
  <c r="AN62" i="1"/>
  <c r="Y62" i="1"/>
  <c r="AO62" i="1" s="1"/>
  <c r="AA62" i="1" s="1"/>
  <c r="W62" i="1"/>
  <c r="AM62" i="1" s="1"/>
  <c r="O62" i="1"/>
  <c r="D62" i="1"/>
  <c r="Y36" i="1"/>
  <c r="AO36" i="1" s="1"/>
  <c r="BJ36" i="1" s="1"/>
  <c r="W36" i="1"/>
  <c r="AM36" i="1" s="1"/>
  <c r="O36" i="1"/>
  <c r="D36" i="1"/>
  <c r="BC21" i="1"/>
  <c r="AD21" i="1" s="1"/>
  <c r="Y21" i="1"/>
  <c r="W21" i="1"/>
  <c r="AM21" i="1" s="1"/>
  <c r="O21" i="1"/>
  <c r="D21" i="1"/>
  <c r="AN86" i="1"/>
  <c r="Y86" i="1"/>
  <c r="AO86" i="1" s="1"/>
  <c r="AA86" i="1" s="1"/>
  <c r="W86" i="1"/>
  <c r="AM86" i="1" s="1"/>
  <c r="O86" i="1"/>
  <c r="D86" i="1"/>
  <c r="AN85" i="1"/>
  <c r="Y85" i="1"/>
  <c r="AO85" i="1" s="1"/>
  <c r="AA85" i="1" s="1"/>
  <c r="W85" i="1"/>
  <c r="AM85" i="1" s="1"/>
  <c r="O85" i="1"/>
  <c r="D85" i="1"/>
  <c r="AN74" i="1"/>
  <c r="Y74" i="1"/>
  <c r="AO74" i="1" s="1"/>
  <c r="AA74" i="1" s="1"/>
  <c r="W74" i="1"/>
  <c r="AM74" i="1" s="1"/>
  <c r="O74" i="1"/>
  <c r="D74" i="1"/>
  <c r="BC49" i="1"/>
  <c r="AD49" i="1" s="1"/>
  <c r="AN49" i="1"/>
  <c r="Y49" i="1"/>
  <c r="AO49" i="1" s="1"/>
  <c r="AA49" i="1" s="1"/>
  <c r="W49" i="1"/>
  <c r="AM49" i="1" s="1"/>
  <c r="O49" i="1"/>
  <c r="D49" i="1"/>
  <c r="BC64" i="1"/>
  <c r="AD64" i="1" s="1"/>
  <c r="AN64" i="1"/>
  <c r="Y64" i="1"/>
  <c r="AO64" i="1" s="1"/>
  <c r="AA64" i="1" s="1"/>
  <c r="W64" i="1"/>
  <c r="AM64" i="1" s="1"/>
  <c r="O64" i="1"/>
  <c r="D64" i="1"/>
  <c r="BC48" i="1"/>
  <c r="AD48" i="1" s="1"/>
  <c r="AN48" i="1"/>
  <c r="Y48" i="1"/>
  <c r="AO48" i="1" s="1"/>
  <c r="AA48" i="1" s="1"/>
  <c r="W48" i="1"/>
  <c r="AM48" i="1" s="1"/>
  <c r="O48" i="1"/>
  <c r="D48" i="1"/>
  <c r="AH91" i="1" l="1"/>
  <c r="AI91" i="1"/>
  <c r="AO93" i="1"/>
  <c r="BJ93" i="1" s="1"/>
  <c r="AA91" i="1"/>
  <c r="AB91" i="1" s="1"/>
  <c r="AE90" i="1"/>
  <c r="AF90" i="1" s="1"/>
  <c r="BJ89" i="1"/>
  <c r="AA89" i="1"/>
  <c r="AB89" i="1" s="1"/>
  <c r="AE89" i="1"/>
  <c r="AF89" i="1" s="1"/>
  <c r="AH88" i="1"/>
  <c r="AI88" i="1"/>
  <c r="AH89" i="1"/>
  <c r="AI90" i="1"/>
  <c r="AE91" i="1"/>
  <c r="AF91" i="1" s="1"/>
  <c r="AL88" i="1"/>
  <c r="AI89" i="1"/>
  <c r="AE93" i="1"/>
  <c r="AF93" i="1" s="1"/>
  <c r="AH93" i="1"/>
  <c r="BJ19" i="1"/>
  <c r="BJ81" i="1"/>
  <c r="BJ90" i="1"/>
  <c r="AA90" i="1"/>
  <c r="AB90" i="1" s="1"/>
  <c r="AO88" i="1"/>
  <c r="AH90" i="1"/>
  <c r="AO92" i="1"/>
  <c r="AH92" i="1"/>
  <c r="BJ74" i="1"/>
  <c r="BJ42" i="1"/>
  <c r="BJ49" i="1"/>
  <c r="BJ72" i="1"/>
  <c r="BJ64" i="1"/>
  <c r="BJ56" i="1"/>
  <c r="BJ48" i="1"/>
  <c r="BJ24" i="1"/>
  <c r="BJ8" i="1"/>
  <c r="BJ39" i="1"/>
  <c r="BJ15" i="1"/>
  <c r="BJ86" i="1"/>
  <c r="BJ78" i="1"/>
  <c r="BJ62" i="1"/>
  <c r="BJ54" i="1"/>
  <c r="BJ30" i="1"/>
  <c r="BJ85" i="1"/>
  <c r="BJ77" i="1"/>
  <c r="BJ53" i="1"/>
  <c r="BJ45" i="1"/>
  <c r="BJ5" i="1"/>
  <c r="AI87" i="1"/>
  <c r="AO87" i="1"/>
  <c r="BJ87" i="1" s="1"/>
  <c r="AH87" i="1"/>
  <c r="AK87" i="1"/>
  <c r="AI20" i="1"/>
  <c r="AI58" i="1"/>
  <c r="AI79" i="1"/>
  <c r="AH81" i="1"/>
  <c r="AI15" i="1"/>
  <c r="AH82" i="1"/>
  <c r="AI54" i="1"/>
  <c r="AI9" i="1"/>
  <c r="AI56" i="1"/>
  <c r="AI39" i="1"/>
  <c r="AI40" i="1"/>
  <c r="AI30" i="1"/>
  <c r="AI72" i="1"/>
  <c r="AH39" i="1"/>
  <c r="AH56" i="1"/>
  <c r="AH9" i="1"/>
  <c r="AI59" i="1"/>
  <c r="AH43" i="1"/>
  <c r="AI81" i="1"/>
  <c r="AI71" i="1"/>
  <c r="AH19" i="1"/>
  <c r="AH29" i="1"/>
  <c r="AH63" i="1"/>
  <c r="AH41" i="1"/>
  <c r="AH27" i="1"/>
  <c r="AH8" i="1"/>
  <c r="AI19" i="1"/>
  <c r="AH57" i="1"/>
  <c r="AH68" i="1"/>
  <c r="AH78" i="1"/>
  <c r="AH31" i="1"/>
  <c r="AI8" i="1"/>
  <c r="AI78" i="1"/>
  <c r="AH61" i="1"/>
  <c r="AH51" i="1"/>
  <c r="AH77" i="1"/>
  <c r="AH26" i="1"/>
  <c r="AH34" i="1"/>
  <c r="AH67" i="1"/>
  <c r="AI77" i="1"/>
  <c r="AH45" i="1"/>
  <c r="AH46" i="1"/>
  <c r="AH47" i="1"/>
  <c r="AH33" i="1"/>
  <c r="AH15" i="1"/>
  <c r="AH72" i="1"/>
  <c r="AH54" i="1"/>
  <c r="AH59" i="1"/>
  <c r="AI45" i="1"/>
  <c r="AH30" i="1"/>
  <c r="AE45" i="1"/>
  <c r="AF45" i="1" s="1"/>
  <c r="AO29" i="1"/>
  <c r="BJ29" i="1" s="1"/>
  <c r="AN81" i="1"/>
  <c r="AM56" i="1"/>
  <c r="AE78" i="1"/>
  <c r="AF78" i="1" s="1"/>
  <c r="AE39" i="1"/>
  <c r="AF39" i="1" s="1"/>
  <c r="O83" i="1"/>
  <c r="AN83" i="1"/>
  <c r="AN7" i="1"/>
  <c r="O7" i="1"/>
  <c r="AN28" i="1"/>
  <c r="O28" i="1"/>
  <c r="O59" i="1"/>
  <c r="AN59" i="1"/>
  <c r="AN9" i="1"/>
  <c r="O34" i="1"/>
  <c r="AA59" i="1"/>
  <c r="AB59" i="1" s="1"/>
  <c r="AE59" i="1"/>
  <c r="AF59" i="1" s="1"/>
  <c r="AM9" i="1"/>
  <c r="AN43" i="1"/>
  <c r="AO21" i="1"/>
  <c r="BJ21" i="1" s="1"/>
  <c r="AO80" i="1"/>
  <c r="BJ80" i="1" s="1"/>
  <c r="AA38" i="1"/>
  <c r="AB38" i="1" s="1"/>
  <c r="AO75" i="1"/>
  <c r="BJ75" i="1" s="1"/>
  <c r="AA52" i="1"/>
  <c r="AB52" i="1" s="1"/>
  <c r="AO22" i="1"/>
  <c r="BJ22" i="1" s="1"/>
  <c r="AO7" i="1"/>
  <c r="BJ7" i="1" s="1"/>
  <c r="AE72" i="1"/>
  <c r="AF72" i="1" s="1"/>
  <c r="AO51" i="1"/>
  <c r="BJ51" i="1" s="1"/>
  <c r="AE54" i="1"/>
  <c r="AF54" i="1" s="1"/>
  <c r="AM43" i="1"/>
  <c r="AM61" i="1"/>
  <c r="AE81" i="1"/>
  <c r="AF81" i="1" s="1"/>
  <c r="AM58" i="1"/>
  <c r="AO40" i="1"/>
  <c r="BJ40" i="1" s="1"/>
  <c r="AO57" i="1"/>
  <c r="BJ57" i="1" s="1"/>
  <c r="AO68" i="1"/>
  <c r="BJ68" i="1" s="1"/>
  <c r="AE30" i="1"/>
  <c r="AF30" i="1" s="1"/>
  <c r="AO33" i="1"/>
  <c r="BJ33" i="1" s="1"/>
  <c r="AO26" i="1"/>
  <c r="BJ26" i="1" s="1"/>
  <c r="AO43" i="1"/>
  <c r="BJ43" i="1" s="1"/>
  <c r="AO61" i="1"/>
  <c r="BJ61" i="1" s="1"/>
  <c r="AM71" i="1"/>
  <c r="AM31" i="1"/>
  <c r="AM82" i="1"/>
  <c r="AM44" i="1"/>
  <c r="AE15" i="1"/>
  <c r="AF15" i="1" s="1"/>
  <c r="AM72" i="1"/>
  <c r="AE56" i="1"/>
  <c r="AF56" i="1" s="1"/>
  <c r="AO67" i="1"/>
  <c r="BJ67" i="1" s="1"/>
  <c r="AA9" i="1"/>
  <c r="AB9" i="1" s="1"/>
  <c r="AO79" i="1"/>
  <c r="BJ79" i="1" s="1"/>
  <c r="AM46" i="1"/>
  <c r="AM83" i="1"/>
  <c r="AM34" i="1"/>
  <c r="AM81" i="1"/>
  <c r="AE8" i="1"/>
  <c r="AF8" i="1" s="1"/>
  <c r="AE19" i="1"/>
  <c r="AF19" i="1" s="1"/>
  <c r="AE9" i="1"/>
  <c r="AF9" i="1" s="1"/>
  <c r="AO46" i="1"/>
  <c r="BJ46" i="1" s="1"/>
  <c r="AO47" i="1"/>
  <c r="BJ47" i="1" s="1"/>
  <c r="AM30" i="1"/>
  <c r="AA36" i="1"/>
  <c r="AB36" i="1" s="1"/>
  <c r="AO70" i="1"/>
  <c r="BJ70" i="1" s="1"/>
  <c r="AA25" i="1"/>
  <c r="AB25" i="1" s="1"/>
  <c r="AO18" i="1"/>
  <c r="BJ18" i="1" s="1"/>
  <c r="AO28" i="1"/>
  <c r="BJ28" i="1" s="1"/>
  <c r="AO55" i="1"/>
  <c r="BJ55" i="1" s="1"/>
  <c r="AA14" i="1"/>
  <c r="AB14" i="1" s="1"/>
  <c r="AO34" i="1"/>
  <c r="BJ34" i="1" s="1"/>
  <c r="AA81" i="1"/>
  <c r="AB81" i="1" s="1"/>
  <c r="AO20" i="1"/>
  <c r="BJ20" i="1" s="1"/>
  <c r="AM57" i="1"/>
  <c r="AE29" i="1"/>
  <c r="AF29" i="1" s="1"/>
  <c r="AM33" i="1"/>
  <c r="AE42" i="1"/>
  <c r="AF42" i="1" s="1"/>
  <c r="AO58" i="1"/>
  <c r="BJ58" i="1" s="1"/>
  <c r="AM19" i="1"/>
  <c r="AM39" i="1"/>
  <c r="AE77" i="1"/>
  <c r="AF77" i="1" s="1"/>
  <c r="AM78" i="1"/>
  <c r="AO71" i="1"/>
  <c r="BJ71" i="1" s="1"/>
  <c r="AO31" i="1"/>
  <c r="BJ31" i="1" s="1"/>
  <c r="AO82" i="1"/>
  <c r="BJ82" i="1" s="1"/>
  <c r="AE48" i="1"/>
  <c r="AF48" i="1" s="1"/>
  <c r="AE49" i="1"/>
  <c r="AF49" i="1" s="1"/>
  <c r="AE74" i="1"/>
  <c r="AF74" i="1" s="1"/>
  <c r="AE86" i="1"/>
  <c r="AF86" i="1" s="1"/>
  <c r="AE36" i="1"/>
  <c r="AF36" i="1" s="1"/>
  <c r="AE25" i="1"/>
  <c r="AF25" i="1" s="1"/>
  <c r="AE24" i="1"/>
  <c r="AF24" i="1" s="1"/>
  <c r="AE38" i="1"/>
  <c r="AF38" i="1" s="1"/>
  <c r="AE5" i="1"/>
  <c r="AF5" i="1" s="1"/>
  <c r="AE14" i="1"/>
  <c r="AF14" i="1" s="1"/>
  <c r="AE64" i="1"/>
  <c r="AF64" i="1" s="1"/>
  <c r="AE85" i="1"/>
  <c r="AF85" i="1" s="1"/>
  <c r="AE62" i="1"/>
  <c r="AF62" i="1" s="1"/>
  <c r="AE53" i="1"/>
  <c r="AF53" i="1" s="1"/>
  <c r="AE52" i="1"/>
  <c r="AF52" i="1" s="1"/>
  <c r="AO73" i="1"/>
  <c r="BJ73" i="1" s="1"/>
  <c r="AO44" i="1"/>
  <c r="BJ44" i="1" s="1"/>
  <c r="AH48" i="1"/>
  <c r="AH49" i="1"/>
  <c r="AH74" i="1"/>
  <c r="AH86" i="1"/>
  <c r="AH36" i="1"/>
  <c r="AH62" i="1"/>
  <c r="AH25" i="1"/>
  <c r="AH18" i="1"/>
  <c r="AH24" i="1"/>
  <c r="AH64" i="1"/>
  <c r="AH85" i="1"/>
  <c r="AH21" i="1"/>
  <c r="AH70" i="1"/>
  <c r="AH80" i="1"/>
  <c r="AH28" i="1"/>
  <c r="AH38" i="1"/>
  <c r="AH53" i="1"/>
  <c r="AH75" i="1"/>
  <c r="AH55" i="1"/>
  <c r="AH52" i="1"/>
  <c r="AH22" i="1"/>
  <c r="AH5" i="1"/>
  <c r="AH7" i="1"/>
  <c r="AH14" i="1"/>
  <c r="AH42" i="1"/>
  <c r="AI48" i="1"/>
  <c r="AI64" i="1"/>
  <c r="AI49" i="1"/>
  <c r="AI74" i="1"/>
  <c r="AI85" i="1"/>
  <c r="AI86" i="1"/>
  <c r="AI21" i="1"/>
  <c r="AI36" i="1"/>
  <c r="AI62" i="1"/>
  <c r="AI70" i="1"/>
  <c r="AI80" i="1"/>
  <c r="AI25" i="1"/>
  <c r="AI18" i="1"/>
  <c r="AI24" i="1"/>
  <c r="AI28" i="1"/>
  <c r="AI38" i="1"/>
  <c r="AI53" i="1"/>
  <c r="AI75" i="1"/>
  <c r="AI55" i="1"/>
  <c r="AI52" i="1"/>
  <c r="AI22" i="1"/>
  <c r="AI5" i="1"/>
  <c r="AI7" i="1"/>
  <c r="AI14" i="1"/>
  <c r="AI42" i="1"/>
  <c r="AO63" i="1"/>
  <c r="BJ63" i="1" s="1"/>
  <c r="AO27" i="1"/>
  <c r="BJ27" i="1" s="1"/>
  <c r="AI83" i="1"/>
  <c r="AO41" i="1"/>
  <c r="BJ41" i="1" s="1"/>
  <c r="AB48" i="1"/>
  <c r="AB64" i="1"/>
  <c r="AB49" i="1"/>
  <c r="AB74" i="1"/>
  <c r="AB85" i="1"/>
  <c r="AB86" i="1"/>
  <c r="AB62" i="1"/>
  <c r="AB24" i="1"/>
  <c r="AB53" i="1"/>
  <c r="AB5" i="1"/>
  <c r="AB42" i="1"/>
  <c r="AH73" i="1"/>
  <c r="AH44" i="1"/>
  <c r="AI73" i="1"/>
  <c r="AO83" i="1"/>
  <c r="BJ83" i="1" s="1"/>
  <c r="AI44" i="1"/>
  <c r="AB15" i="1"/>
  <c r="AB72" i="1"/>
  <c r="AB8" i="1"/>
  <c r="AB19" i="1"/>
  <c r="AB39" i="1"/>
  <c r="AB56" i="1"/>
  <c r="AB77" i="1"/>
  <c r="AB78" i="1"/>
  <c r="AB54" i="1"/>
  <c r="AB45" i="1"/>
  <c r="AB30" i="1"/>
  <c r="AP23" i="1"/>
  <c r="BC17" i="1"/>
  <c r="AD17" i="1" s="1"/>
  <c r="AN17" i="1"/>
  <c r="Y17" i="1"/>
  <c r="AO17" i="1" s="1"/>
  <c r="BJ17" i="1" s="1"/>
  <c r="W17" i="1"/>
  <c r="AM17" i="1" s="1"/>
  <c r="O17" i="1"/>
  <c r="D17" i="1"/>
  <c r="BC69" i="1"/>
  <c r="AD69" i="1" s="1"/>
  <c r="AN69" i="1"/>
  <c r="Y69" i="1"/>
  <c r="AI69" i="1" s="1"/>
  <c r="W69" i="1"/>
  <c r="AM69" i="1" s="1"/>
  <c r="O69" i="1"/>
  <c r="D69" i="1"/>
  <c r="BC37" i="1"/>
  <c r="AD37" i="1" s="1"/>
  <c r="AN37" i="1"/>
  <c r="Y37" i="1"/>
  <c r="W37" i="1"/>
  <c r="AM37" i="1" s="1"/>
  <c r="O37" i="1"/>
  <c r="D37" i="1"/>
  <c r="BC12" i="1"/>
  <c r="AD12" i="1" s="1"/>
  <c r="AN12" i="1"/>
  <c r="Y12" i="1"/>
  <c r="AI12" i="1" s="1"/>
  <c r="W12" i="1"/>
  <c r="AM12" i="1" s="1"/>
  <c r="O12" i="1"/>
  <c r="D12" i="1"/>
  <c r="BC84" i="1"/>
  <c r="AD84" i="1" s="1"/>
  <c r="AN84" i="1"/>
  <c r="Y84" i="1"/>
  <c r="AH84" i="1" s="1"/>
  <c r="W84" i="1"/>
  <c r="AM84" i="1" s="1"/>
  <c r="O84" i="1"/>
  <c r="D84" i="1"/>
  <c r="BC76" i="1"/>
  <c r="AD76" i="1" s="1"/>
  <c r="AN76" i="1"/>
  <c r="Y76" i="1"/>
  <c r="AH76" i="1" s="1"/>
  <c r="W76" i="1"/>
  <c r="AM76" i="1" s="1"/>
  <c r="O76" i="1"/>
  <c r="D76" i="1"/>
  <c r="BC66" i="1"/>
  <c r="AD66" i="1" s="1"/>
  <c r="AN66" i="1"/>
  <c r="Y66" i="1"/>
  <c r="AI66" i="1" s="1"/>
  <c r="W66" i="1"/>
  <c r="AM66" i="1" s="1"/>
  <c r="O66" i="1"/>
  <c r="D66" i="1"/>
  <c r="BC50" i="1"/>
  <c r="AD50" i="1" s="1"/>
  <c r="AN50" i="1"/>
  <c r="Y50" i="1"/>
  <c r="AI50" i="1" s="1"/>
  <c r="W50" i="1"/>
  <c r="AM50" i="1" s="1"/>
  <c r="O50" i="1"/>
  <c r="D50" i="1"/>
  <c r="BC32" i="1"/>
  <c r="AD32" i="1" s="1"/>
  <c r="AN32" i="1"/>
  <c r="Y32" i="1"/>
  <c r="AO32" i="1" s="1"/>
  <c r="BJ32" i="1" s="1"/>
  <c r="W32" i="1"/>
  <c r="AM32" i="1" s="1"/>
  <c r="O32" i="1"/>
  <c r="D32" i="1"/>
  <c r="AR23" i="1"/>
  <c r="AQ23" i="1"/>
  <c r="AA93" i="1" l="1"/>
  <c r="AB93" i="1" s="1"/>
  <c r="AA88" i="1"/>
  <c r="AB88" i="1" s="1"/>
  <c r="BJ88" i="1"/>
  <c r="AE88" i="1"/>
  <c r="AF88" i="1" s="1"/>
  <c r="BJ92" i="1"/>
  <c r="AA92" i="1"/>
  <c r="AB92" i="1" s="1"/>
  <c r="AE92" i="1"/>
  <c r="AF92" i="1" s="1"/>
  <c r="AA87" i="1"/>
  <c r="AB87" i="1" s="1"/>
  <c r="AE87" i="1"/>
  <c r="AF87" i="1" s="1"/>
  <c r="AA18" i="1"/>
  <c r="AB18" i="1" s="1"/>
  <c r="AA67" i="1"/>
  <c r="AB67" i="1" s="1"/>
  <c r="AA29" i="1"/>
  <c r="AB29" i="1" s="1"/>
  <c r="AA27" i="1"/>
  <c r="AB27" i="1" s="1"/>
  <c r="AA43" i="1"/>
  <c r="AB43" i="1" s="1"/>
  <c r="AA63" i="1"/>
  <c r="AB63" i="1" s="1"/>
  <c r="AA20" i="1"/>
  <c r="AB20" i="1" s="1"/>
  <c r="AA70" i="1"/>
  <c r="AB70" i="1" s="1"/>
  <c r="AA26" i="1"/>
  <c r="AB26" i="1" s="1"/>
  <c r="AA75" i="1"/>
  <c r="AB75" i="1" s="1"/>
  <c r="AA71" i="1"/>
  <c r="AB71" i="1" s="1"/>
  <c r="AA33" i="1"/>
  <c r="AB33" i="1" s="1"/>
  <c r="AA34" i="1"/>
  <c r="AB34" i="1" s="1"/>
  <c r="AA80" i="1"/>
  <c r="AB80" i="1" s="1"/>
  <c r="AA61" i="1"/>
  <c r="AB61" i="1" s="1"/>
  <c r="AA22" i="1"/>
  <c r="AB22" i="1" s="1"/>
  <c r="AA44" i="1"/>
  <c r="AB44" i="1" s="1"/>
  <c r="AA58" i="1"/>
  <c r="AB58" i="1" s="1"/>
  <c r="AA47" i="1"/>
  <c r="AB47" i="1" s="1"/>
  <c r="AA68" i="1"/>
  <c r="AB68" i="1" s="1"/>
  <c r="AA51" i="1"/>
  <c r="AB51" i="1" s="1"/>
  <c r="AA21" i="1"/>
  <c r="AB21" i="1" s="1"/>
  <c r="AA82" i="1"/>
  <c r="AB82" i="1" s="1"/>
  <c r="AA55" i="1"/>
  <c r="AB55" i="1" s="1"/>
  <c r="AA46" i="1"/>
  <c r="AB46" i="1" s="1"/>
  <c r="AA79" i="1"/>
  <c r="AB79" i="1" s="1"/>
  <c r="AA57" i="1"/>
  <c r="AB57" i="1" s="1"/>
  <c r="AA73" i="1"/>
  <c r="AB73" i="1" s="1"/>
  <c r="AA32" i="1"/>
  <c r="AB32" i="1" s="1"/>
  <c r="AA17" i="1"/>
  <c r="AB17" i="1" s="1"/>
  <c r="AA83" i="1"/>
  <c r="AB83" i="1" s="1"/>
  <c r="AA31" i="1"/>
  <c r="AB31" i="1" s="1"/>
  <c r="AA28" i="1"/>
  <c r="AB28" i="1" s="1"/>
  <c r="AA40" i="1"/>
  <c r="AB40" i="1" s="1"/>
  <c r="AA7" i="1"/>
  <c r="AB7" i="1" s="1"/>
  <c r="AE47" i="1"/>
  <c r="AF47" i="1" s="1"/>
  <c r="AE55" i="1"/>
  <c r="AF55" i="1" s="1"/>
  <c r="AE75" i="1"/>
  <c r="AF75" i="1" s="1"/>
  <c r="AE43" i="1"/>
  <c r="AF43" i="1" s="1"/>
  <c r="AE73" i="1"/>
  <c r="AF73" i="1" s="1"/>
  <c r="AE58" i="1"/>
  <c r="AF58" i="1" s="1"/>
  <c r="AE68" i="1"/>
  <c r="AF68" i="1" s="1"/>
  <c r="AE28" i="1"/>
  <c r="AF28" i="1" s="1"/>
  <c r="AE22" i="1"/>
  <c r="AF22" i="1" s="1"/>
  <c r="AE20" i="1"/>
  <c r="AF20" i="1" s="1"/>
  <c r="AE33" i="1"/>
  <c r="AF33" i="1" s="1"/>
  <c r="AE80" i="1"/>
  <c r="AF80" i="1" s="1"/>
  <c r="AE21" i="1"/>
  <c r="AF21" i="1" s="1"/>
  <c r="AE82" i="1"/>
  <c r="AF82" i="1" s="1"/>
  <c r="AE71" i="1"/>
  <c r="AF71" i="1" s="1"/>
  <c r="AE40" i="1"/>
  <c r="AF40" i="1" s="1"/>
  <c r="AE61" i="1"/>
  <c r="AF61" i="1" s="1"/>
  <c r="AE18" i="1"/>
  <c r="AF18" i="1" s="1"/>
  <c r="AE79" i="1"/>
  <c r="AF79" i="1" s="1"/>
  <c r="AE31" i="1"/>
  <c r="AF31" i="1" s="1"/>
  <c r="AE26" i="1"/>
  <c r="AF26" i="1" s="1"/>
  <c r="AE67" i="1"/>
  <c r="AF67" i="1" s="1"/>
  <c r="AE57" i="1"/>
  <c r="AF57" i="1" s="1"/>
  <c r="AE7" i="1"/>
  <c r="AF7" i="1" s="1"/>
  <c r="AE46" i="1"/>
  <c r="AF46" i="1" s="1"/>
  <c r="AE70" i="1"/>
  <c r="AF70" i="1" s="1"/>
  <c r="AE51" i="1"/>
  <c r="AF51" i="1" s="1"/>
  <c r="AE34" i="1"/>
  <c r="AF34" i="1" s="1"/>
  <c r="AE63" i="1"/>
  <c r="AF63" i="1" s="1"/>
  <c r="AA41" i="1"/>
  <c r="AB41" i="1" s="1"/>
  <c r="AE41" i="1"/>
  <c r="AF41" i="1" s="1"/>
  <c r="AE27" i="1"/>
  <c r="AF27" i="1" s="1"/>
  <c r="AE83" i="1"/>
  <c r="AF83" i="1" s="1"/>
  <c r="AE44" i="1"/>
  <c r="AF44" i="1" s="1"/>
  <c r="AE32" i="1"/>
  <c r="AF32" i="1" s="1"/>
  <c r="AO12" i="1"/>
  <c r="BJ12" i="1" s="1"/>
  <c r="AE17" i="1"/>
  <c r="AF17" i="1" s="1"/>
  <c r="AO69" i="1"/>
  <c r="BJ69" i="1" s="1"/>
  <c r="AH69" i="1"/>
  <c r="AH32" i="1"/>
  <c r="AH50" i="1"/>
  <c r="AI32" i="1"/>
  <c r="AH17" i="1"/>
  <c r="AI17" i="1"/>
  <c r="AI84" i="1"/>
  <c r="AH66" i="1"/>
  <c r="AI76" i="1"/>
  <c r="AO37" i="1"/>
  <c r="BJ37" i="1" s="1"/>
  <c r="AO84" i="1"/>
  <c r="BJ84" i="1" s="1"/>
  <c r="AO66" i="1"/>
  <c r="BJ66" i="1" s="1"/>
  <c r="AH37" i="1"/>
  <c r="AO76" i="1"/>
  <c r="BJ76" i="1" s="1"/>
  <c r="AO50" i="1"/>
  <c r="BJ50" i="1" s="1"/>
  <c r="AH12" i="1"/>
  <c r="AI37" i="1"/>
  <c r="AA84" i="1" l="1"/>
  <c r="AB84" i="1" s="1"/>
  <c r="AA37" i="1"/>
  <c r="AB37" i="1" s="1"/>
  <c r="AA69" i="1"/>
  <c r="AB69" i="1" s="1"/>
  <c r="AA50" i="1"/>
  <c r="AB50" i="1" s="1"/>
  <c r="AA66" i="1"/>
  <c r="AB66" i="1" s="1"/>
  <c r="AA76" i="1"/>
  <c r="AB76" i="1" s="1"/>
  <c r="AA12" i="1"/>
  <c r="AB12" i="1" s="1"/>
  <c r="AE84" i="1"/>
  <c r="AF84" i="1" s="1"/>
  <c r="AE12" i="1"/>
  <c r="AF12" i="1" s="1"/>
  <c r="AE76" i="1"/>
  <c r="AF76" i="1" s="1"/>
  <c r="AE69" i="1"/>
  <c r="AF69" i="1" s="1"/>
  <c r="AE37" i="1"/>
  <c r="AF37" i="1" s="1"/>
  <c r="AE50" i="1"/>
  <c r="AF50" i="1" s="1"/>
  <c r="AE66" i="1"/>
  <c r="AF66" i="1" s="1"/>
  <c r="BC6" i="1"/>
  <c r="AD6" i="1" s="1"/>
  <c r="BC60" i="1"/>
  <c r="AD60" i="1" s="1"/>
  <c r="BC65" i="1"/>
  <c r="AD65" i="1" s="1"/>
  <c r="BC11" i="1"/>
  <c r="AD11" i="1" s="1"/>
  <c r="BC10" i="1"/>
  <c r="AD10" i="1" s="1"/>
  <c r="BC35" i="1"/>
  <c r="AD35" i="1" s="1"/>
  <c r="BC4" i="1"/>
  <c r="AD4" i="1" s="1"/>
  <c r="BC13" i="1"/>
  <c r="AD13" i="1" s="1"/>
  <c r="BC23" i="1"/>
  <c r="AD23" i="1" s="1"/>
  <c r="Y6" i="1"/>
  <c r="Y60" i="1"/>
  <c r="Y65" i="1"/>
  <c r="Y16" i="1"/>
  <c r="Y11" i="1"/>
  <c r="Y10" i="1"/>
  <c r="Y35" i="1"/>
  <c r="Y4" i="1"/>
  <c r="Y13" i="1"/>
  <c r="W6" i="1"/>
  <c r="AM6" i="1" s="1"/>
  <c r="W60" i="1"/>
  <c r="AM60" i="1" s="1"/>
  <c r="W65" i="1"/>
  <c r="AM65" i="1" s="1"/>
  <c r="W16" i="1"/>
  <c r="AM16" i="1" s="1"/>
  <c r="W11" i="1"/>
  <c r="AM11" i="1" s="1"/>
  <c r="W10" i="1"/>
  <c r="AM10" i="1" s="1"/>
  <c r="W35" i="1"/>
  <c r="AM35" i="1" s="1"/>
  <c r="W4" i="1"/>
  <c r="AM4" i="1" s="1"/>
  <c r="W13" i="1"/>
  <c r="AM13" i="1" s="1"/>
  <c r="D6" i="1"/>
  <c r="D60" i="1"/>
  <c r="D65" i="1"/>
  <c r="D16" i="1"/>
  <c r="D11" i="1"/>
  <c r="D10" i="1"/>
  <c r="D35" i="1"/>
  <c r="D4" i="1"/>
  <c r="D13" i="1"/>
  <c r="D23" i="1"/>
  <c r="Y23" i="1"/>
  <c r="W23" i="1"/>
  <c r="AM23" i="1" s="1"/>
  <c r="AN13" i="1"/>
  <c r="O13" i="1"/>
  <c r="AN4" i="1"/>
  <c r="O4" i="1"/>
  <c r="AN35" i="1"/>
  <c r="O35" i="1"/>
  <c r="AN10" i="1"/>
  <c r="O10" i="1"/>
  <c r="AN23" i="1"/>
  <c r="AN11" i="1"/>
  <c r="O11" i="1"/>
  <c r="BC16" i="1"/>
  <c r="AD16" i="1" s="1"/>
  <c r="AN16" i="1"/>
  <c r="O16" i="1"/>
  <c r="AN65" i="1"/>
  <c r="O65" i="1"/>
  <c r="AN60" i="1"/>
  <c r="O60" i="1"/>
  <c r="AO6" i="1"/>
  <c r="BJ6" i="1" s="1"/>
  <c r="AN6" i="1"/>
  <c r="O6" i="1"/>
  <c r="O23" i="1"/>
  <c r="AA6" i="1" l="1"/>
  <c r="AB6" i="1" s="1"/>
  <c r="AH13" i="1"/>
  <c r="AH6" i="1"/>
  <c r="AH4" i="1"/>
  <c r="AI10" i="1"/>
  <c r="AH23" i="1"/>
  <c r="AH11" i="1"/>
  <c r="AI16" i="1"/>
  <c r="AI35" i="1"/>
  <c r="AI65" i="1"/>
  <c r="AO60" i="1"/>
  <c r="BJ60" i="1" s="1"/>
  <c r="AE6" i="1"/>
  <c r="AF6" i="1" s="1"/>
  <c r="AO10" i="1"/>
  <c r="BJ10" i="1" s="1"/>
  <c r="AO4" i="1"/>
  <c r="BJ4" i="1" s="1"/>
  <c r="AO16" i="1"/>
  <c r="BJ16" i="1" s="1"/>
  <c r="AI60" i="1"/>
  <c r="AO13" i="1"/>
  <c r="BJ13" i="1" s="1"/>
  <c r="AH35" i="1"/>
  <c r="AH10" i="1"/>
  <c r="AH16" i="1"/>
  <c r="AO35" i="1"/>
  <c r="BJ35" i="1" s="1"/>
  <c r="AI11" i="1"/>
  <c r="AO11" i="1"/>
  <c r="BJ11" i="1" s="1"/>
  <c r="AH65" i="1"/>
  <c r="AI13" i="1"/>
  <c r="AI6" i="1"/>
  <c r="AO65" i="1"/>
  <c r="BJ65" i="1" s="1"/>
  <c r="AH60" i="1"/>
  <c r="AI4" i="1"/>
  <c r="AK23" i="1"/>
  <c r="AL23" i="1"/>
  <c r="AI23" i="1"/>
  <c r="AO23" i="1"/>
  <c r="BJ23" i="1" s="1"/>
  <c r="AA16" i="1" l="1"/>
  <c r="AB16" i="1" s="1"/>
  <c r="AA11" i="1"/>
  <c r="AB11" i="1" s="1"/>
  <c r="AA35" i="1"/>
  <c r="AB35" i="1" s="1"/>
  <c r="AA10" i="1"/>
  <c r="AB10" i="1" s="1"/>
  <c r="AA4" i="1"/>
  <c r="AB4" i="1" s="1"/>
  <c r="AA65" i="1"/>
  <c r="AB65" i="1" s="1"/>
  <c r="AA60" i="1"/>
  <c r="AB60" i="1" s="1"/>
  <c r="AA23" i="1"/>
  <c r="AB23" i="1" s="1"/>
  <c r="AA13" i="1"/>
  <c r="AB13" i="1" s="1"/>
  <c r="AE65" i="1"/>
  <c r="AF65" i="1" s="1"/>
  <c r="AE11" i="1"/>
  <c r="AF11" i="1" s="1"/>
  <c r="AE4" i="1"/>
  <c r="AF4" i="1" s="1"/>
  <c r="AE60" i="1"/>
  <c r="AF60" i="1" s="1"/>
  <c r="AE13" i="1"/>
  <c r="AF13" i="1" s="1"/>
  <c r="AE23" i="1"/>
  <c r="AF23" i="1" s="1"/>
  <c r="AE10" i="1"/>
  <c r="AF10" i="1" s="1"/>
  <c r="AE35" i="1"/>
  <c r="AF35" i="1" s="1"/>
  <c r="AE16" i="1"/>
  <c r="AF16" i="1" s="1"/>
</calcChain>
</file>

<file path=xl/sharedStrings.xml><?xml version="1.0" encoding="utf-8"?>
<sst xmlns="http://schemas.openxmlformats.org/spreadsheetml/2006/main" count="1470" uniqueCount="322">
  <si>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</si>
  <si>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</si>
  <si>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</si>
  <si>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</si>
  <si>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</si>
  <si>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</si>
  <si>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</si>
  <si>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</si>
  <si>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</si>
  <si>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</si>
  <si>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</si>
  <si>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</si>
  <si>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</si>
  <si>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</si>
  <si>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</si>
  <si>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</si>
  <si>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</si>
  <si>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</si>
  <si>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</si>
  <si>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</si>
  <si>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</si>
  <si>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</si>
  <si>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</si>
  <si>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</si>
  <si>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</si>
  <si>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</si>
  <si>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</si>
  <si>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</si>
  <si>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</si>
  <si>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</si>
  <si>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</si>
  <si>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</si>
  <si>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</si>
  <si>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</si>
  <si>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</si>
  <si>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</si>
  <si>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</si>
  <si>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</si>
  <si>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</si>
  <si>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</si>
  <si>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</si>
  <si>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</si>
  <si>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</si>
  <si>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</si>
  <si>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</si>
  <si>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</si>
  <si>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</si>
  <si>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</si>
  <si>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</si>
  <si>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</si>
  <si>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</si>
  <si>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</si>
  <si>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アスクル商品名</t>
    <rPh sb="4" eb="7">
      <t>ショウヒンメイ</t>
    </rPh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</si>
  <si>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</si>
  <si>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</si>
  <si>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</si>
  <si>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</si>
  <si>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</si>
  <si>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</si>
  <si>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J92515</t>
  </si>
  <si>
    <t>J92479</t>
  </si>
  <si>
    <t>J92480</t>
  </si>
  <si>
    <t>JA4305</t>
  </si>
  <si>
    <t>J777MK</t>
  </si>
  <si>
    <t>J778MK</t>
  </si>
  <si>
    <t>JW0777</t>
  </si>
  <si>
    <t>J258RA</t>
  </si>
  <si>
    <t>J259RA</t>
  </si>
  <si>
    <t>J92421</t>
  </si>
  <si>
    <t>J92420</t>
  </si>
  <si>
    <t>J92418</t>
  </si>
  <si>
    <t>J92419</t>
  </si>
  <si>
    <t>J92553</t>
  </si>
  <si>
    <t>J92416</t>
  </si>
  <si>
    <t>J92417</t>
  </si>
  <si>
    <t>J92464</t>
  </si>
  <si>
    <t>J92465</t>
  </si>
  <si>
    <t>J92457</t>
  </si>
  <si>
    <t>J92458</t>
  </si>
  <si>
    <t>J92460</t>
  </si>
  <si>
    <t>J92462</t>
  </si>
  <si>
    <t>J92463</t>
  </si>
  <si>
    <t>J92555</t>
  </si>
  <si>
    <t>J92657</t>
  </si>
  <si>
    <t>J92652</t>
  </si>
  <si>
    <t>J92654</t>
  </si>
  <si>
    <t>J92655</t>
  </si>
  <si>
    <t>J92536</t>
  </si>
  <si>
    <t>J92535</t>
  </si>
  <si>
    <t>J92534</t>
  </si>
  <si>
    <t>J92583</t>
  </si>
  <si>
    <t>J92584</t>
  </si>
  <si>
    <t>J92585</t>
  </si>
  <si>
    <t>J92588</t>
  </si>
  <si>
    <t>J92658</t>
  </si>
  <si>
    <t>J92473</t>
  </si>
  <si>
    <t>J92472</t>
  </si>
  <si>
    <t>J92558</t>
  </si>
  <si>
    <t>J92557</t>
  </si>
  <si>
    <t>J92495</t>
  </si>
  <si>
    <t>J92492</t>
  </si>
  <si>
    <t>J92488</t>
  </si>
  <si>
    <t>J92490</t>
  </si>
  <si>
    <t>J92496</t>
  </si>
  <si>
    <t>J92669</t>
  </si>
  <si>
    <t>J92670</t>
  </si>
  <si>
    <t>J92403</t>
  </si>
  <si>
    <t>J92431</t>
  </si>
  <si>
    <t>JW6467</t>
  </si>
  <si>
    <t>JX1222</t>
  </si>
  <si>
    <t>JX1223</t>
  </si>
  <si>
    <t>JX1199</t>
  </si>
  <si>
    <t>JX1213</t>
  </si>
  <si>
    <t>5023AK</t>
  </si>
  <si>
    <t>5024AK</t>
  </si>
  <si>
    <t>5025AK</t>
  </si>
  <si>
    <t>5026AK</t>
  </si>
  <si>
    <t>5027AK</t>
  </si>
  <si>
    <t>5028AK</t>
  </si>
  <si>
    <t>5029AK</t>
  </si>
  <si>
    <t>5030AK</t>
  </si>
  <si>
    <t>5031AK</t>
  </si>
  <si>
    <t>5032AK</t>
  </si>
  <si>
    <t>5033AK</t>
  </si>
  <si>
    <t>5034AK</t>
  </si>
  <si>
    <t>5035AK</t>
  </si>
  <si>
    <t>5036AK</t>
  </si>
  <si>
    <t>5037AK</t>
  </si>
  <si>
    <t>5748AJ</t>
  </si>
  <si>
    <t>5749AJ</t>
  </si>
  <si>
    <t>5750AJ</t>
  </si>
  <si>
    <t>5751AJ</t>
  </si>
  <si>
    <t>5752AJ</t>
  </si>
  <si>
    <t>5753AJ</t>
  </si>
  <si>
    <t>5038AK</t>
  </si>
  <si>
    <t>5039AK</t>
  </si>
  <si>
    <t>5040AK</t>
  </si>
  <si>
    <t>5041AK</t>
  </si>
  <si>
    <t>JA4303</t>
  </si>
  <si>
    <t>J6692X</t>
  </si>
  <si>
    <t>ｵﾙﾃﾞｨ/ｸﾘﾝﾊﾟｯｸ 台所用ひも付き 大 透明 40枚/CPN10</t>
  </si>
  <si>
    <t>ｵﾙﾃﾞｨ/ﾊﾞﾗﾝｽﾊﾟｯｸ 半透明 9号 200枚/BPN9</t>
  </si>
  <si>
    <t>ｵﾙﾃﾞｨ/ﾊﾞﾗﾝｽﾊﾟｯｸ ひも付 半透明 14号 200枚/BPN14H</t>
  </si>
  <si>
    <t>ｵﾙﾃﾞｨ/ﾊﾞﾗﾝｽﾊﾟｯｸ ひも付 半透明 15号 200枚/BPN15H</t>
  </si>
  <si>
    <t>岩谷ﾏﾃﾘｱﾙ/ｱｲﾗｯﾌﾟUFHD 60枚入 縦35×横25cm/UFHD</t>
  </si>
  <si>
    <t>岩谷ﾏﾃﾘｱﾙ/ｱｲﾗｯﾌﾟ ﾐﾆ 30枚/I-WRAP-MIN</t>
  </si>
  <si>
    <t>ｴﾑｴｰﾊﾟｯｹｰｼﾞﾝｸﾞ/ﾐｽﾀｰﾊﾟｯｸﾎﾟﾘ袋 50枚入</t>
  </si>
  <si>
    <t>ｴﾑｴｰﾊﾟｯｹｰｼﾞﾝｸﾞ/ﾐｽﾀｰﾊﾟｯｸﾎﾟﾘ袋 100枚入</t>
  </si>
  <si>
    <t>ﾈｸｽﾀ/手提げﾎﾟﾘ袋 15L用 ﾄﾗﾍﾞﾙ柄 10枚</t>
  </si>
  <si>
    <t>ﾈｸｽﾀ/箱入ﾏﾁ付ﾎﾟﾘ袋 半透明 100枚入</t>
  </si>
  <si>
    <t>ﾈｸｽﾀ/箱入ﾏﾁ付ﾎﾟﾘ袋 半透明 200枚入</t>
  </si>
  <si>
    <t>ｵﾙﾃﾞｨ/ｴﾌﾟﾛﾝﾌﾞﾛｯｸ 手提げ袋 半透明 M 35号 100枚</t>
  </si>
  <si>
    <t>ｵﾙﾃﾞｨ/ｴﾌﾟﾛﾝﾌﾞﾛｯｸ 手提げ袋 半透明 L 40号 100枚</t>
  </si>
  <si>
    <t>ｵﾙﾃﾞｨ/ｴﾌﾟﾛﾝﾌﾞﾛｯｸ 手提げ袋 半透明 2L 45号 100枚</t>
  </si>
  <si>
    <t>ｵﾙﾃﾞｨ/ｴﾌﾟﾛﾝﾌﾞﾛｯｸ 手提げ袋 半透明 3L 50号 100枚</t>
  </si>
  <si>
    <t>ｵﾙﾃﾞｨ/ﾌﾟﾗｽﾌﾟﾗｽ とってﾎﾟﾘﾏﾁ付 半透明 15L 20枚</t>
  </si>
  <si>
    <t>ｵﾙﾃﾞｨ/ｴﾌﾟﾛﾝﾌﾞﾛｯｸ 手提げ袋 乳白 弁当用 小 100枚</t>
  </si>
  <si>
    <t>ｵﾙﾃﾞｨ/ｴﾌﾟﾛﾝﾌﾞﾛｯｸ 手提げ袋 乳白 弁当用 特大 100枚</t>
  </si>
  <si>
    <t>ｵﾙﾃﾞｨ/ﾁｬｯｸ付ﾎﾟﾘ袋 透明 0.04×50×70mm 300枚/A-4</t>
  </si>
  <si>
    <t>ｵﾙﾃﾞｨ/ﾁｬｯｸ付ﾎﾟﾘ袋 透明 0.04×60×85mm 300枚/B-4</t>
  </si>
  <si>
    <t>ｵﾙﾃﾞｨ/ﾁｬｯｸ付ﾎﾟﾘ袋 透明 0.04×100×140mm 200枚/E-4</t>
  </si>
  <si>
    <t>ｵﾙﾃﾞｨ/ﾁｬｯｸ付ﾎﾟﾘ袋 透明 0.04×120×170mm 100枚/F-4</t>
  </si>
  <si>
    <t>ｵﾙﾃﾞｨ/ﾁｬｯｸ付ﾎﾟﾘ袋 透明 0.04×170×240mm 100枚/H-4</t>
  </si>
  <si>
    <t>ｵﾙﾃﾞｨ/ﾁｬｯｸ付ﾎﾟﾘ袋 透明 0.04×240×340mm 100枚/J-4</t>
  </si>
  <si>
    <t>ｵﾙﾃﾞｨ/ﾁｬｯｸ付ﾎﾟﾘ袋 透明 0.04×340×480mm 100枚/L-4</t>
  </si>
  <si>
    <t>ｵﾙﾃﾞｨ/ﾌﾟﾗｽﾌﾟﾗｽ とって付 半透明 30L 20枚/PT-N30-20</t>
  </si>
  <si>
    <t>ｵﾙﾃﾞｨ/ﾎﾟﾘﾊﾞｯｸﾞ規格袋紐付 透明 10号 100枚/LR03-10</t>
  </si>
  <si>
    <t>ｵﾙﾃﾞｨ/ﾎﾟﾘﾊﾞｯｸﾞ規格袋 透明 紐付 12号 100枚/LR03-12</t>
  </si>
  <si>
    <t>ｵﾙﾃﾞｨ/ﾎﾟﾘﾊﾞｯｸﾞ規格袋 透明 紐付 14号 100枚/LR03-14</t>
  </si>
  <si>
    <t>ｵﾙﾃﾞｨ/ﾎﾟﾘﾊﾞｯｸﾞ規格袋透明紐付 15号 厚さ0.03mm 100枚</t>
  </si>
  <si>
    <t>ｵﾙﾃﾞｨ/ﾌﾟﾗｽﾌﾟﾗｽ BOXｷｯﾁﾝﾎﾟﾘ袋 半透明 S 140枚</t>
  </si>
  <si>
    <t>ｵﾙﾃﾞｨ/ﾌﾟﾗｽﾌﾟﾗｽ BOXｷｯﾁﾝﾎﾟﾘ袋 半透明 M 100枚</t>
  </si>
  <si>
    <t>ｵﾙﾃﾞｨ/ﾌﾟﾗｽﾌﾟﾗｽ BOXｷｯﾁﾝﾎﾟﾘ袋 半透明 L 80枚</t>
  </si>
  <si>
    <t>ｵﾙﾃﾞｨ/ﾎﾟﾘﾊﾞｯｸﾞ 規格袋 透明 10号 100枚/L025-10</t>
  </si>
  <si>
    <t>ｵﾙﾃﾞｨ/ﾎﾟﾘﾊﾞｯｸﾞ 規格袋 透明 11号 100枚/LO25-11</t>
  </si>
  <si>
    <t>ｵﾙﾃﾞｨ/ﾎﾟﾘﾊﾞｯｸﾞ 規格袋 透明 12号 100枚/LO25-12</t>
  </si>
  <si>
    <t>ｵﾙﾃﾞｨ/ﾎﾟﾘﾊﾞｯｸﾞ 規格袋 透明 15号 100枚/LO25-15</t>
  </si>
  <si>
    <t>ｵﾙﾃﾞｨ/ﾎﾟﾘﾊﾞｯｸﾞ規格袋紐付 透明 12号 100枚/LR025-12</t>
  </si>
  <si>
    <t>ｵﾙﾃﾞｨ/ﾈｵﾊﾟｯｸ7 規格袋 半透明 15号 200枚/H007-15</t>
  </si>
  <si>
    <t>ｵﾙﾃﾞｨ/ﾈｵﾊﾟｯｸ7 ひも付規格袋 半透明 11号 200枚</t>
  </si>
  <si>
    <t>ｵﾙﾃﾞｨ/ﾌﾟﾗｽﾌﾟﾗｽ ﾈｵ 手提げ 乳白 S 30号 40枚</t>
  </si>
  <si>
    <t>ｵﾙﾃﾞｨ/ﾌﾟﾗｽﾌﾟﾗｽ ﾈｵ 手提げ 乳白 M 35号 40枚</t>
  </si>
  <si>
    <t>ｵﾙﾃﾞｨ/ﾊﾞﾗﾝｽﾊﾟｯｸ 手提げ 乳白 SS 25号 0.012mm厚100枚</t>
  </si>
  <si>
    <t>ｵﾙﾃﾞｨ/ﾊﾞﾗﾝｽﾊﾟｯｸ 手提げ 乳白 M 35号 0.013mm厚 100枚</t>
  </si>
  <si>
    <t>ｵﾙﾃﾞｨ/ﾊﾞﾗﾝｽﾊﾟｯｸ 手提げ 乳白 L 40号 0.015mm厚 100枚</t>
  </si>
  <si>
    <t>ｵﾙﾃﾞｨ/ﾊﾞﾗﾝｽﾊﾟｯｸ 手提げ 乳白 LL 45号 0.016mm厚100枚</t>
  </si>
  <si>
    <t>ｵﾙﾃﾞｨ/ﾊﾞﾗﾝｽﾊﾟｯｸ 手提げ 乳白 XL 50号 0.019mm厚100枚</t>
  </si>
  <si>
    <t>ｵﾙﾃﾞｨ/厚手国産ﾎﾟﾘ袋 食品用 中 透明 40枚/KP-LD40</t>
  </si>
  <si>
    <t>ｵﾙﾃﾞｨ/厚手国産ﾎﾟﾘ袋 食品用 中 半透明 40枚/KP-HD40</t>
  </si>
  <si>
    <t>ｵﾙﾃﾞｨ/HD室内用ﾎﾟﾘ袋 半透明 100枚/GR-N100</t>
  </si>
  <si>
    <t>ｵﾙﾃﾞｨ/ｷｯﾁﾝﾊﾟｯｸ ﾏﾁ付 半透明 L 50枚/PP-KP-L</t>
  </si>
  <si>
    <t>ｵﾙﾃﾞｨ/ﾌﾟﾗｽﾌﾟﾗｽ ｶﾗｰ手提げ袋 ﾏﾁ付 M 5色ｾｯﾄ 20枚×5袋</t>
  </si>
  <si>
    <t>ｵﾙﾃﾞｨ/ﾌﾟﾗｽﾌﾟﾗｽｷｯﾁﾝﾊﾟｯｸ 11号 半透明 200枚</t>
  </si>
  <si>
    <t>ｵﾙﾃﾞｨ/ﾌﾟﾗｽﾌﾟﾗｽｷｯﾁﾝﾊﾟｯｸ 11号 半透明 300枚</t>
  </si>
  <si>
    <t>ｵﾙﾃﾞｨ/KESMELL消臭袋 M ｸﾞﾚｰ 半透明 100枚</t>
  </si>
  <si>
    <t>ｵﾙﾃﾞｨ/ｶﾗｰ手提げ袋 MS ﾃﾞｻﾞｲﾝ柄付 4色ｾｯﾄ 80枚</t>
  </si>
  <si>
    <t>ｵﾙﾃﾞｨ/破れにくい手提げ袋 SS 25号 半透明 100枚</t>
  </si>
  <si>
    <t>ｵﾙﾃﾞｨ/破れにくい手提げ袋 S 30号 半透明 100枚</t>
  </si>
  <si>
    <t>ｵﾙﾃﾞｨ/破れにくい手提げ袋 M 35号 半透明 100枚</t>
  </si>
  <si>
    <t>ｵﾙﾃﾞｨ/破れにくい手提げ袋 L 40号 半透明 100枚</t>
  </si>
  <si>
    <t>ｵﾙﾃﾞｨ/破れにくい手提げ袋 2L 45号 半透明 100枚</t>
  </si>
  <si>
    <t>ｵﾙﾃﾞｨ/破れにくい手提げ袋 3L 50号 半透明 100枚</t>
  </si>
  <si>
    <t>ｵﾙﾃﾞｨ/破れにくい手提げ袋 SS 25号 乳白 100枚</t>
  </si>
  <si>
    <t>ｵﾙﾃﾞｨ/破れにくい手提げ袋 S 30号 乳白 100枚</t>
  </si>
  <si>
    <t>ｵﾙﾃﾞｨ/破れにくい手提げ袋 M 35号 乳白 100枚</t>
  </si>
  <si>
    <t>ｵﾙﾃﾞｨ/破れにくい手提げ袋 L 40号 乳白 100枚</t>
  </si>
  <si>
    <t>ｵﾙﾃﾞｨ/破れにくい手提げ袋 2L 45号 乳白 100枚</t>
  </si>
  <si>
    <t>ｵﾙﾃﾞｨ/破れにくい手提げ袋 3L 50号 乳白 100枚</t>
  </si>
  <si>
    <t>ｵﾙﾃﾞｨ/破れにくい手提げ袋 弁当用 小 乳白 100枚</t>
  </si>
  <si>
    <t>ｵﾙﾃﾞｨ/破れにくい手提げ袋 弁当用 大 乳白 100枚</t>
  </si>
  <si>
    <t>ｵﾙﾃﾞｨ/破れにくい手提げ袋 弁当用 特大 乳白 100枚</t>
  </si>
  <si>
    <t>ｵﾙﾃﾞｨ/KESMELL 防臭袋 M 白 50枚入/KS-BWM-50</t>
  </si>
  <si>
    <t>ｵﾙﾃﾞｨ/ﾌﾟﾗｽﾌﾟﾗｽｶﾗｰﾃﾞｻﾞｲﾝｼﾞｯﾊﾟｰﾊﾞｯｸﾞ S ｲｴﾛｰ 40枚入</t>
  </si>
  <si>
    <t>ｵﾙﾃﾞｨ/ﾌﾟﾗｽﾌﾟﾗｽｶﾗｰﾃﾞｻﾞｲﾝｼﾞｯﾊﾟｰﾊﾞｯｸﾞ M ﾋﾟﾝｸ 30枚入</t>
  </si>
  <si>
    <t>ｵﾙﾃﾞｨ/ﾌﾟﾗｽﾌﾟﾗｽｶﾗｰﾃﾞｻﾞｲﾝｼﾞｯﾊﾟｰﾊﾞｯｸﾞ ML ｸﾞﾘｰﾝ 20枚入</t>
  </si>
  <si>
    <t>ｵﾙﾃﾞｨ/ﾌﾟﾗｽﾌﾟﾗｽﾈｵ手提げBOX M/35号 乳白 60枚入</t>
  </si>
  <si>
    <t>ｵﾙﾃﾞｨ/ﾌﾟﾗｽﾌﾟﾗｽﾈｵ手提げBOX L/40号 乳白 40枚入</t>
  </si>
  <si>
    <t>ｵﾙﾃﾞｨ/ﾌﾟﾗｽﾌﾟﾗｽﾈｵ 手提げ ひも付 S 30号 乳白 100枚</t>
  </si>
  <si>
    <t>ｵﾙﾃﾞｨ/ﾌﾟﾗｽﾌﾟﾗｽﾈｵ 手提げ ひも付 M 35号 乳白 100枚</t>
  </si>
  <si>
    <t>ｵﾙﾃﾞｨ/ﾌﾟﾗｽﾌﾟﾗｽﾈｵ 手提げ ひも付 L 40号 乳白 100枚</t>
  </si>
  <si>
    <t>ｵﾙﾃﾞｨ/ﾌﾟﾗｽﾌﾟﾗｽﾈｵ 手提げ ひも付 LL 45号 乳白 100枚</t>
  </si>
  <si>
    <t>岩谷ﾏﾃﾘｱﾙ/ｱｲﾗｯﾌﾟ ｴﾝﾎﾞｽ加工 100枚/I-WRAP-100E</t>
  </si>
  <si>
    <t>岩谷ﾏﾃﾘｱﾙ/ｱｲﾗｯﾌﾟﾎﾙﾀﾞｰ ﾎﾜｲﾄ/IWHOD W</t>
  </si>
  <si>
    <t>-</t>
  </si>
  <si>
    <t>34/570</t>
  </si>
  <si>
    <t>オルディ ポリ袋 クリンパック 台所用 ひも付き 大 40枚入 透明 185581 1個（直送品）</t>
  </si>
  <si>
    <t>アイラップ マチ付きポリ袋/規格袋 HDPE 0.009mm厚 1個（60枚入）</t>
  </si>
  <si>
    <t>【ポリ袋】岩谷マテリアル アイラップミニ マチ付きポリ袋/規格袋 HDPE 0.009mm厚 1個（30枚入） I-WRAP-MIN</t>
  </si>
  <si>
    <t>ポリ袋 食材・雑貨 保存袋 35x25cm マチ7cm エムエーパッケージング 50枚入り 半透明 ミスターパック 145559 1個</t>
  </si>
  <si>
    <t>ネクスタ 手提げポリ袋 15L用 トラベル柄 4903652002322 1個(10枚)</t>
  </si>
  <si>
    <t>オルディ ゴミ袋 プラスプラス 取っ手付き 30L 20P 半透明 185572 1個</t>
  </si>
  <si>
    <t>オルディ プラスプラス BOXキッチンポリ袋 M 半透明 100P PP-RPK-HDM 1冊（直送品）</t>
  </si>
  <si>
    <t>オルディ プラスネオ手提ポリバックS 乳白 40P PP-NTPS-40 1セット(15P)（直送品）</t>
  </si>
  <si>
    <t>オルディ プラスネオ手提ポリバックM 乳白 40P PP-NTPM-40 1セット(10P)（直送品）</t>
  </si>
  <si>
    <t>オルディ HD室内用ポリ袋 M 0.01mm半透明 100P GR-HNM-100 1冊（直送品）</t>
  </si>
  <si>
    <t>オルディ プラスプラスキッチンパックマチ付L半透明50P PP-KP-L 1冊（直送品）</t>
  </si>
  <si>
    <t>オルディ 保存袋 キッチンパック 11号 半透明 200枚入 375136 1個（直送品）</t>
  </si>
  <si>
    <t>オルディ KESMELL消臭袋Mグレー半透明100 KS-SHGYMT-100 1セット(3箱)（直送品）</t>
  </si>
  <si>
    <t>オルディ ASW破れにくい手提げ袋 ブロック 2L/45号 半透明 ASW-HN45YNT-100 1セット(1500枚:100枚×15冊)（直送品）</t>
  </si>
  <si>
    <t>オルディ ポリ袋 M 100枚入り 破れにくい 手提げ袋 乳白 498930 1個（直送品）</t>
  </si>
  <si>
    <t>オルディ ポリ袋 L 100枚入り 破れにくい 手提げ袋 乳白 498931 1個（直送品）</t>
  </si>
  <si>
    <t>オルディ ポリ袋 2L 100枚入り 破れにくい 手提げ袋 乳白 498932 1個（直送品）</t>
  </si>
  <si>
    <t>オルディ ポリ袋 3L 100枚入り 破れにくい 手提げ袋 乳白 498933 1個（直送品）</t>
  </si>
  <si>
    <t>ゴミ袋 白 KESMELL ケスメル 防臭袋 Mサイズ 50枚入 1箱 厚さ：0.02mm オルディ</t>
  </si>
  <si>
    <t>プラスプラス カラーデザインジッパーバッグ S 13×17cm イエロー 冷凍・レンジ解凍可 1箱（40枚入）オルディ</t>
  </si>
  <si>
    <t>プラスプラス カラーデザインジッパーバッグ M 23×17cm ピンク 冷凍・レンジ解凍可 1箱（30枚入）オルディ</t>
  </si>
  <si>
    <t>プラスプラス カラーデザインジッパーバッグ ML 25×28cm グリーン 冷凍・レンジ解凍可 1箱（20枚入）オルディ</t>
  </si>
  <si>
    <t>オルディ プラスプラスネオ手提げBOX M/35号 乳白 60P PP-NTPBM‐60 1個</t>
  </si>
  <si>
    <t>オルディ プラスプラスネオ手提げBOX L/40号 乳白 40P PP-NTPBL-40 1個</t>
  </si>
  <si>
    <t>【ポリ袋】岩谷マテリアル アイラップ100/規格袋 HDPE 0.008mm厚350×250mm（マチ付）1個（100枚入）</t>
  </si>
  <si>
    <t>岩谷マテリアル アイラップホルダー 4980356201305 1セット(1個×5)（直送品）</t>
  </si>
  <si>
    <t>HN02538</t>
  </si>
  <si>
    <t>1個</t>
  </si>
  <si>
    <t>AX26844</t>
  </si>
  <si>
    <t>AXR5168</t>
  </si>
  <si>
    <t>1個（30枚入）</t>
  </si>
  <si>
    <t>HN88712</t>
  </si>
  <si>
    <t>RE32160</t>
  </si>
  <si>
    <t>1個（10枚）</t>
  </si>
  <si>
    <t>HN02535</t>
  </si>
  <si>
    <t>AHR2275</t>
  </si>
  <si>
    <t>1冊</t>
  </si>
  <si>
    <t>NH95689</t>
  </si>
  <si>
    <t>1セット(15P)</t>
  </si>
  <si>
    <t>NH95688</t>
  </si>
  <si>
    <t>1セット(10P)</t>
  </si>
  <si>
    <t>ANK4387</t>
  </si>
  <si>
    <t>AHR2265</t>
  </si>
  <si>
    <t>HN04268</t>
  </si>
  <si>
    <t>HE85498</t>
  </si>
  <si>
    <t>1セット(3箱)</t>
  </si>
  <si>
    <t>WPP4452</t>
  </si>
  <si>
    <t>1セット(1500枚:100枚×15冊)</t>
  </si>
  <si>
    <t>WPJ5541</t>
  </si>
  <si>
    <t>WPJ6146</t>
  </si>
  <si>
    <t>WPJ5982</t>
  </si>
  <si>
    <t>WPJ5970</t>
  </si>
  <si>
    <t>RR01278</t>
  </si>
  <si>
    <t>1箱</t>
  </si>
  <si>
    <t>UK70540</t>
  </si>
  <si>
    <t>1箱（40枚入）</t>
  </si>
  <si>
    <t>UK70529</t>
  </si>
  <si>
    <t>1箱（30枚入）</t>
  </si>
  <si>
    <t>UK70535</t>
  </si>
  <si>
    <t>1箱（20枚入）</t>
  </si>
  <si>
    <t>AEH2741</t>
  </si>
  <si>
    <t>AEH2742</t>
  </si>
  <si>
    <t>EH13424</t>
  </si>
  <si>
    <t>1個（100枚入）</t>
  </si>
  <si>
    <t>AWR9142</t>
  </si>
  <si>
    <t>1セット(1個×5)</t>
  </si>
  <si>
    <t>-</t>
    <phoneticPr fontId="2"/>
  </si>
  <si>
    <t>J91354</t>
  </si>
  <si>
    <t>ﾆﾄﾑｽﾞ/吸着ｶｰﾍﾟｯﾄﾃｰﾌﾟ 30/T268</t>
  </si>
  <si>
    <t>5月
たの</t>
    <rPh sb="1" eb="2">
      <t>ガツ</t>
    </rPh>
    <phoneticPr fontId="2"/>
  </si>
  <si>
    <t>5月
カウ</t>
    <rPh sb="1" eb="2">
      <t>ガツ</t>
    </rPh>
    <phoneticPr fontId="2"/>
  </si>
  <si>
    <t>カウ
ｽﾗｲﾄﾞ</t>
    <phoneticPr fontId="2"/>
  </si>
  <si>
    <t>1719AY</t>
  </si>
  <si>
    <t>ｵﾙﾃﾞｨ/ﾚｲﾝﾎﾞｰﾊﾞｯｸﾞBOX超強化ﾎﾟﾘ袋90L 半透明 100枚入/</t>
  </si>
  <si>
    <t>NH95700</t>
  </si>
  <si>
    <t>1P</t>
    <phoneticPr fontId="2"/>
  </si>
  <si>
    <t>オルディ レインボーバッグ90L BOX 100P RBB-N90-100 1P（直送品）</t>
  </si>
  <si>
    <t>1720AY</t>
  </si>
  <si>
    <t>ｵﾙﾃﾞｨ/ﾎﾟﾘ袋ﾌﾗｯﾋﾟｰ 10号 半透明 200枚入/FP-10</t>
  </si>
  <si>
    <t>ANK4383</t>
  </si>
  <si>
    <t>オルディ フラッピー規格袋10号0.01mm半透明200P FP-10 1冊（直送品）</t>
  </si>
  <si>
    <t>1721AY</t>
  </si>
  <si>
    <t>ｵﾙﾃﾞｨ/ﾎﾟﾘ袋ﾌﾗｯﾋﾟｰ 11号 半透明 200枚入/FP-11</t>
  </si>
  <si>
    <t>ANK4384</t>
  </si>
  <si>
    <t>オルディ フラッピー規格袋11号0.01mm半透明200P FP-11 1冊（直送品）</t>
  </si>
  <si>
    <t>1727AY</t>
  </si>
  <si>
    <t>ｵﾙﾃﾞｨ/ﾎﾟﾘ袋ﾌﾗｯﾋﾟｰ 14号 半透明 200枚入/FP-14</t>
  </si>
  <si>
    <t>1728AY</t>
  </si>
  <si>
    <t>ｵﾙﾃﾞｨ/雨用ｶﾊﾞｰ 透明 100枚入/AY-M-100</t>
  </si>
  <si>
    <t>1737AY</t>
  </si>
  <si>
    <t>ｵﾙﾃﾞｨ/HD室内用ﾎﾟﾘ袋 L 半透明 100枚入/GR-HNL-100</t>
  </si>
  <si>
    <t>6月売価</t>
    <rPh sb="1" eb="2">
      <t>ガツ</t>
    </rPh>
    <rPh sb="2" eb="4">
      <t>バイカ</t>
    </rPh>
    <phoneticPr fontId="2"/>
  </si>
  <si>
    <t>6月
カウ</t>
    <rPh sb="1" eb="2">
      <t>ガツ</t>
    </rPh>
    <phoneticPr fontId="2"/>
  </si>
  <si>
    <t>-</t>
    <phoneticPr fontId="2"/>
  </si>
  <si>
    <t>●</t>
    <phoneticPr fontId="2"/>
  </si>
  <si>
    <t>ｆ</t>
    <phoneticPr fontId="2"/>
  </si>
  <si>
    <t>J91354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</si>
</sst>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176" fontId="0" fillId="4" borderId="4" xfId="0" applyNumberFormat="1" applyFill="1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</cellXfs>
  <cellStyles count="1">
    <cellStyle name="標準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L93"/>
  <sheetViews>
    <sheetView tabSelected="1" zoomScale="90" zoomScaleNormal="90" workbookViewId="0">
      <pane xSplit="7" ySplit="5" topLeftCell="L6" activePane="bottomRight" state="frozen"/>
      <selection pane="topRight" activeCell="G1" sqref="G1"/>
      <selection pane="bottomLeft" activeCell="A5" sqref="A5"/>
      <selection pane="bottomRight" activeCell="F3" sqref="F3"/>
    </sheetView>
  </sheetViews>
  <sheetFormatPr defaultRowHeight="18.75" outlineLevelCol="1" x14ac:dyDescent="0.4"/>
  <cols>
    <col min="1" max="1" width="4.625" customWidth="1"/>
    <col min="2" max="2" width="5.75" customWidth="1"/>
    <col min="3" max="5" width="7.25" customWidth="1"/>
    <col min="6" max="6" width="48.375" customWidth="1"/>
    <col min="7" max="7" width="10.875" customWidth="1"/>
    <col min="8" max="11" width="7.5" hidden="1" customWidth="1" outlineLevel="1"/>
    <col min="12" max="12" width="7.625" customWidth="1" collapsed="1"/>
    <col min="13" max="15" width="7.625" customWidth="1"/>
    <col min="16" max="16" width="6" customWidth="1"/>
    <col min="17" max="21" width="7.625" hidden="1" customWidth="1" outlineLevel="1"/>
    <col min="22" max="22" width="7.625" customWidth="1" collapsed="1"/>
    <col min="23" max="25" width="7.625" customWidth="1"/>
    <col min="26" max="26" width="4.375" customWidth="1" collapsed="1"/>
    <col min="27" max="35" width="7.625" customWidth="1"/>
    <col min="36" max="38" width="7.625" hidden="1" customWidth="1" outlineLevel="1"/>
    <col min="39" max="39" width="7.625" customWidth="1" collapsed="1"/>
    <col min="40" max="41" width="7.625" customWidth="1"/>
    <col min="42" max="47" width="7.625" customWidth="1" outlineLevel="1"/>
    <col min="48" max="62" width="7.625" customWidth="1"/>
  </cols>
  <sheetData>
    <row r="1" spans="1:64" x14ac:dyDescent="0.4">
      <c r="C1" s="29" t="s">
        <v>46</v>
      </c>
      <c r="V1" s="39" t="s">
        <v>43</v>
      </c>
      <c r="W1" s="40"/>
      <c r="X1" s="40"/>
      <c r="Y1" s="41"/>
    </row>
    <row r="2" spans="1:64" x14ac:dyDescent="0.4">
      <c r="C2" s="8" t="s">
        <v>30</v>
      </c>
      <c r="D2" s="9" t="s">
        <v>31</v>
      </c>
      <c r="E2" s="9" t="s">
        <v>32</v>
      </c>
      <c r="F2" s="10"/>
      <c r="G2" s="10"/>
      <c r="H2" s="31"/>
      <c r="I2" s="31"/>
      <c r="J2" s="36" t="s">
        <v>33</v>
      </c>
      <c r="K2" s="38"/>
      <c r="L2" s="36" t="s">
        <v>2</v>
      </c>
      <c r="M2" s="37"/>
      <c r="N2" s="37"/>
      <c r="O2" s="38"/>
      <c r="P2" s="11"/>
      <c r="Q2" s="30"/>
      <c r="R2" s="30"/>
      <c r="S2" s="30"/>
      <c r="T2" s="30"/>
      <c r="U2" s="30"/>
      <c r="V2" s="23"/>
      <c r="W2" s="24" t="s">
        <v>36</v>
      </c>
      <c r="X2" s="24"/>
      <c r="Y2" s="25" t="s">
        <v>36</v>
      </c>
      <c r="Z2" s="10"/>
      <c r="AA2" s="9" t="s">
        <v>41</v>
      </c>
      <c r="AB2" s="11"/>
      <c r="AC2" s="11"/>
      <c r="AD2" s="11"/>
      <c r="AE2" s="11"/>
      <c r="AF2" s="11"/>
      <c r="AG2" s="22" t="s">
        <v>44</v>
      </c>
      <c r="AH2" s="11"/>
      <c r="AI2" s="11"/>
      <c r="AJ2" s="27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>
        <v>51</v>
      </c>
      <c r="BD2">
        <v>14</v>
      </c>
      <c r="BE2">
        <v>28</v>
      </c>
    </row>
    <row r="3" spans="1:64" ht="75" x14ac:dyDescent="0.4">
      <c r="A3" s="1" t="s">
        <v>320</v>
      </c>
      <c r="B3" s="1" t="s">
        <v>58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54</v>
      </c>
      <c r="I3" s="12" t="s">
        <v>55</v>
      </c>
      <c r="J3" s="12" t="s">
        <v>27</v>
      </c>
      <c r="K3" s="12" t="s">
        <v>28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50</v>
      </c>
      <c r="Q3" s="12" t="s">
        <v>20</v>
      </c>
      <c r="R3" s="12" t="s">
        <v>21</v>
      </c>
      <c r="S3" s="12" t="s">
        <v>51</v>
      </c>
      <c r="T3" s="12" t="s">
        <v>23</v>
      </c>
      <c r="U3" s="12" t="s">
        <v>24</v>
      </c>
      <c r="V3" s="12" t="s">
        <v>3</v>
      </c>
      <c r="W3" s="12" t="s">
        <v>25</v>
      </c>
      <c r="X3" s="2" t="s">
        <v>5</v>
      </c>
      <c r="Y3" s="12" t="s">
        <v>26</v>
      </c>
      <c r="Z3" s="14" t="s">
        <v>6</v>
      </c>
      <c r="AA3" s="20" t="s">
        <v>17</v>
      </c>
      <c r="AB3" s="2" t="s">
        <v>16</v>
      </c>
      <c r="AC3" s="2" t="s">
        <v>47</v>
      </c>
      <c r="AD3" s="12" t="s">
        <v>42</v>
      </c>
      <c r="AE3" s="12" t="s">
        <v>56</v>
      </c>
      <c r="AF3" s="2" t="s">
        <v>16</v>
      </c>
      <c r="AG3" s="13" t="s">
        <v>34</v>
      </c>
      <c r="AH3" s="2" t="s">
        <v>16</v>
      </c>
      <c r="AI3" s="2" t="s">
        <v>35</v>
      </c>
      <c r="AJ3" s="26" t="s">
        <v>37</v>
      </c>
      <c r="AK3" s="12" t="s">
        <v>38</v>
      </c>
      <c r="AL3" s="12" t="s">
        <v>39</v>
      </c>
      <c r="AM3" s="12" t="s">
        <v>29</v>
      </c>
      <c r="AN3" s="12" t="s">
        <v>40</v>
      </c>
      <c r="AO3" s="12" t="s">
        <v>18</v>
      </c>
      <c r="AP3" s="12" t="s">
        <v>19</v>
      </c>
      <c r="AQ3" s="12" t="s">
        <v>20</v>
      </c>
      <c r="AR3" s="12" t="s">
        <v>21</v>
      </c>
      <c r="AS3" s="12" t="s">
        <v>22</v>
      </c>
      <c r="AT3" s="12" t="s">
        <v>23</v>
      </c>
      <c r="AU3" s="12" t="s">
        <v>24</v>
      </c>
      <c r="AV3" s="2" t="s">
        <v>11</v>
      </c>
      <c r="AW3" s="2" t="s">
        <v>12</v>
      </c>
      <c r="AX3" s="2" t="s">
        <v>13</v>
      </c>
      <c r="AY3" s="2" t="s">
        <v>14</v>
      </c>
      <c r="AZ3" s="12" t="s">
        <v>45</v>
      </c>
      <c r="BA3" s="2" t="s">
        <v>57</v>
      </c>
      <c r="BB3" s="2" t="s">
        <v>316</v>
      </c>
      <c r="BC3" s="2" t="s">
        <v>15</v>
      </c>
      <c r="BD3" s="18" t="s">
        <v>48</v>
      </c>
      <c r="BE3" s="18" t="s">
        <v>49</v>
      </c>
      <c r="BF3" s="15" t="s">
        <v>53</v>
      </c>
      <c r="BG3" s="33" t="s">
        <v>294</v>
      </c>
      <c r="BH3" s="34" t="s">
        <v>295</v>
      </c>
      <c r="BI3" s="34" t="s">
        <v>317</v>
      </c>
      <c r="BJ3" s="34" t="s">
        <v>296</v>
      </c>
      <c r="BK3" t="s">
        <v>52</v>
      </c>
      <c r="BL3" s="42" t="s">
        <v>318</v>
      </c>
    </row>
    <row r="4" spans="1:64" x14ac:dyDescent="0.4">
      <c r="A4" s="3">
        <v>9</v>
      </c>
      <c r="B4" s="3">
        <v>9</v>
      </c>
      <c r="C4" s="4" t="s">
        <v>65</v>
      </c>
      <c r="D4" s="4" t="str">
        <f t="shared" ref="D4:D35" si="0">TEXT(C4,"000000")</f>
        <v>JW0777</v>
      </c>
      <c r="E4" s="4" t="s">
        <v>65</v>
      </c>
      <c r="F4" s="4" t="s">
        <v>148</v>
      </c>
      <c r="G4" s="5">
        <v>4903652002322</v>
      </c>
      <c r="H4" s="5"/>
      <c r="I4" s="5"/>
      <c r="J4" s="5">
        <v>1</v>
      </c>
      <c r="K4" s="5">
        <v>1</v>
      </c>
      <c r="L4" s="4">
        <v>0</v>
      </c>
      <c r="M4" s="4">
        <v>100</v>
      </c>
      <c r="N4" s="4">
        <v>68</v>
      </c>
      <c r="O4" s="6">
        <f t="shared" ref="O4:O35" si="1">1-N4/M4</f>
        <v>0.31999999999999995</v>
      </c>
      <c r="P4" s="4" t="s">
        <v>223</v>
      </c>
      <c r="Q4" s="4" t="s">
        <v>223</v>
      </c>
      <c r="R4" s="4" t="s">
        <v>223</v>
      </c>
      <c r="S4" s="4" t="s">
        <v>223</v>
      </c>
      <c r="T4" s="4" t="s">
        <v>223</v>
      </c>
      <c r="U4" s="4" t="s">
        <v>223</v>
      </c>
      <c r="V4" s="4">
        <v>0</v>
      </c>
      <c r="W4" s="4">
        <f t="shared" ref="W4:W35" si="2">IF(Z4="",V4,V4*Z4)</f>
        <v>0</v>
      </c>
      <c r="X4" s="4">
        <v>85</v>
      </c>
      <c r="Y4" s="4">
        <f t="shared" ref="Y4:Y35" si="3">IF(Z4="",X4,X4*Z4)</f>
        <v>85</v>
      </c>
      <c r="Z4" s="4"/>
      <c r="AA4" s="21">
        <f t="shared" ref="AA4:AA35" si="4">ROUND(M4*AO4,0)</f>
        <v>125</v>
      </c>
      <c r="AB4" s="6">
        <f t="shared" ref="AB4:AB35" si="5">1-Y4/AA4</f>
        <v>0.31999999999999995</v>
      </c>
      <c r="AC4" s="4">
        <v>1</v>
      </c>
      <c r="AD4" s="4">
        <f t="shared" ref="AD4:AD35" si="6">BC4</f>
        <v>114</v>
      </c>
      <c r="AE4" s="4">
        <f t="shared" ref="AE4:AE35" si="7">AD4*AO4</f>
        <v>142.5</v>
      </c>
      <c r="AF4" s="6">
        <f t="shared" ref="AF4:AF35" si="8">1-Y4/AE4</f>
        <v>0.40350877192982459</v>
      </c>
      <c r="AG4" s="7">
        <v>135</v>
      </c>
      <c r="AH4" s="6">
        <f t="shared" ref="AH4:AH35" si="9">1-Y4/AG4</f>
        <v>0.37037037037037035</v>
      </c>
      <c r="AI4" s="4">
        <f t="shared" ref="AI4:AI35" si="10">AG4-Y4</f>
        <v>50</v>
      </c>
      <c r="AJ4" s="28"/>
      <c r="AK4" s="6"/>
      <c r="AL4" s="6"/>
      <c r="AM4" s="6" t="e">
        <f t="shared" ref="AM4:AM35" si="11">W4/L4</f>
        <v>#DIV/0!</v>
      </c>
      <c r="AN4" s="6">
        <f t="shared" ref="AN4:AN35" si="12">AG4/M4</f>
        <v>1.35</v>
      </c>
      <c r="AO4" s="6">
        <f t="shared" ref="AO4:AO35" si="13">Y4/N4</f>
        <v>1.25</v>
      </c>
      <c r="AP4" s="4" t="str">
        <f t="shared" ref="AP4:AP35" si="14">IFERROR(ROUND($AG4*P4/$M4,0),"-")</f>
        <v>-</v>
      </c>
      <c r="AQ4" s="4" t="str">
        <f t="shared" ref="AQ4:AQ35" si="15">IF(Q4="","-",Q4)</f>
        <v>-</v>
      </c>
      <c r="AR4" s="4" t="str">
        <f t="shared" ref="AR4:AR35" si="16">IF(R4="","-",R4)</f>
        <v>-</v>
      </c>
      <c r="AS4" s="4" t="str">
        <f t="shared" ref="AS4:AS35" si="17">IFERROR(ROUND($AG4*S4/$M4,0),"-")</f>
        <v>-</v>
      </c>
      <c r="AT4" s="4" t="str">
        <f t="shared" ref="AT4:AT35" si="18">IF(T4="","-",T4)</f>
        <v>-</v>
      </c>
      <c r="AU4" s="4" t="str">
        <f t="shared" ref="AU4:AU35" si="19">IF(U4="","-",U4)</f>
        <v>-</v>
      </c>
      <c r="AV4" s="4">
        <v>0</v>
      </c>
      <c r="AW4" s="4" t="s">
        <v>257</v>
      </c>
      <c r="AX4" s="4"/>
      <c r="AY4" s="4"/>
      <c r="AZ4" s="4" t="s">
        <v>258</v>
      </c>
      <c r="BA4" s="4">
        <v>114</v>
      </c>
      <c r="BB4" s="4">
        <v>114</v>
      </c>
      <c r="BC4" s="4">
        <f t="shared" ref="BC4:BC35" si="20">IF(AX4="",BB4,AX4/AY4*BB4)</f>
        <v>114</v>
      </c>
      <c r="BD4" s="19">
        <v>4</v>
      </c>
      <c r="BE4" s="19">
        <v>8</v>
      </c>
      <c r="BF4" s="16">
        <v>18</v>
      </c>
      <c r="BG4" t="s">
        <v>223</v>
      </c>
      <c r="BH4" t="s">
        <v>223</v>
      </c>
      <c r="BI4" t="s">
        <v>223</v>
      </c>
      <c r="BJ4" t="str">
        <f>IFERROR(BI4*AO4,"-")</f>
        <v>-</v>
      </c>
      <c r="BK4" t="s">
        <v>229</v>
      </c>
      <c r="BL4" t="s">
        <v>319</v>
      </c>
    </row>
    <row r="5" spans="1:64" x14ac:dyDescent="0.4">
      <c r="A5" s="3">
        <v>41</v>
      </c>
      <c r="B5" s="3">
        <v>41</v>
      </c>
      <c r="C5" s="4" t="s">
        <v>97</v>
      </c>
      <c r="D5" s="4" t="str">
        <f t="shared" si="0"/>
        <v>J92558</v>
      </c>
      <c r="E5" s="4" t="s">
        <v>97</v>
      </c>
      <c r="F5" s="4" t="s">
        <v>180</v>
      </c>
      <c r="G5" s="5">
        <v>4972759525362</v>
      </c>
      <c r="H5" s="5"/>
      <c r="I5" s="5"/>
      <c r="J5" s="5">
        <v>1</v>
      </c>
      <c r="K5" s="5">
        <v>1</v>
      </c>
      <c r="L5" s="4">
        <v>0</v>
      </c>
      <c r="M5" s="4">
        <v>99</v>
      </c>
      <c r="N5" s="4">
        <v>68</v>
      </c>
      <c r="O5" s="6">
        <f t="shared" si="1"/>
        <v>0.31313131313131315</v>
      </c>
      <c r="P5" s="4" t="s">
        <v>223</v>
      </c>
      <c r="Q5" s="4" t="s">
        <v>223</v>
      </c>
      <c r="R5" s="4" t="s">
        <v>223</v>
      </c>
      <c r="S5" s="4" t="s">
        <v>223</v>
      </c>
      <c r="T5" s="4" t="s">
        <v>223</v>
      </c>
      <c r="U5" s="4" t="s">
        <v>223</v>
      </c>
      <c r="V5" s="4">
        <v>0</v>
      </c>
      <c r="W5" s="4">
        <f t="shared" si="2"/>
        <v>0</v>
      </c>
      <c r="X5" s="4">
        <v>89</v>
      </c>
      <c r="Y5" s="4">
        <f t="shared" si="3"/>
        <v>89</v>
      </c>
      <c r="Z5" s="4"/>
      <c r="AA5" s="21">
        <f t="shared" si="4"/>
        <v>130</v>
      </c>
      <c r="AB5" s="6">
        <f t="shared" si="5"/>
        <v>0.31538461538461537</v>
      </c>
      <c r="AC5" s="4">
        <v>1</v>
      </c>
      <c r="AD5" s="4">
        <f t="shared" si="6"/>
        <v>220</v>
      </c>
      <c r="AE5" s="4">
        <f t="shared" si="7"/>
        <v>287.94117647058823</v>
      </c>
      <c r="AF5" s="6">
        <f t="shared" si="8"/>
        <v>0.69090909090909092</v>
      </c>
      <c r="AG5" s="7">
        <v>130</v>
      </c>
      <c r="AH5" s="6">
        <f t="shared" si="9"/>
        <v>0.31538461538461537</v>
      </c>
      <c r="AI5" s="4">
        <f t="shared" si="10"/>
        <v>41</v>
      </c>
      <c r="AJ5" s="28"/>
      <c r="AK5" s="6"/>
      <c r="AL5" s="6"/>
      <c r="AM5" s="6" t="e">
        <f t="shared" si="11"/>
        <v>#DIV/0!</v>
      </c>
      <c r="AN5" s="6">
        <f t="shared" si="12"/>
        <v>1.3131313131313131</v>
      </c>
      <c r="AO5" s="6">
        <f t="shared" si="13"/>
        <v>1.3088235294117647</v>
      </c>
      <c r="AP5" s="4" t="str">
        <f t="shared" si="14"/>
        <v>-</v>
      </c>
      <c r="AQ5" s="4" t="str">
        <f t="shared" si="15"/>
        <v>-</v>
      </c>
      <c r="AR5" s="4" t="str">
        <f t="shared" si="16"/>
        <v>-</v>
      </c>
      <c r="AS5" s="4" t="str">
        <f t="shared" si="17"/>
        <v>-</v>
      </c>
      <c r="AT5" s="4" t="str">
        <f t="shared" si="18"/>
        <v>-</v>
      </c>
      <c r="AU5" s="4" t="str">
        <f t="shared" si="19"/>
        <v>-</v>
      </c>
      <c r="AV5" s="4">
        <v>0</v>
      </c>
      <c r="AW5" s="4" t="s">
        <v>262</v>
      </c>
      <c r="AX5" s="4">
        <v>1</v>
      </c>
      <c r="AY5" s="4">
        <v>15</v>
      </c>
      <c r="AZ5" s="4" t="s">
        <v>263</v>
      </c>
      <c r="BA5" s="4">
        <v>3300</v>
      </c>
      <c r="BB5" s="4">
        <v>3300</v>
      </c>
      <c r="BC5" s="4">
        <f t="shared" si="20"/>
        <v>220</v>
      </c>
      <c r="BD5" s="19">
        <v>4</v>
      </c>
      <c r="BE5" s="19">
        <v>8</v>
      </c>
      <c r="BF5" s="16">
        <v>18</v>
      </c>
      <c r="BG5" t="s">
        <v>223</v>
      </c>
      <c r="BH5">
        <v>91</v>
      </c>
      <c r="BI5">
        <v>91</v>
      </c>
      <c r="BJ5">
        <f t="shared" ref="BJ5:BJ68" si="21">IFERROR(BI5*AO5,"-")</f>
        <v>119.10294117647059</v>
      </c>
      <c r="BK5" t="s">
        <v>232</v>
      </c>
      <c r="BL5" t="s">
        <v>319</v>
      </c>
    </row>
    <row r="6" spans="1:64" x14ac:dyDescent="0.4">
      <c r="A6" s="3">
        <v>2</v>
      </c>
      <c r="B6" s="3">
        <v>2</v>
      </c>
      <c r="C6" s="17" t="s">
        <v>59</v>
      </c>
      <c r="D6" s="4" t="str">
        <f t="shared" si="0"/>
        <v>J92515</v>
      </c>
      <c r="E6" s="4" t="s">
        <v>59</v>
      </c>
      <c r="F6" s="4" t="s">
        <v>141</v>
      </c>
      <c r="G6" s="5">
        <v>4562121174849</v>
      </c>
      <c r="H6" s="5"/>
      <c r="I6" s="5"/>
      <c r="J6" s="5">
        <v>1</v>
      </c>
      <c r="K6" s="5">
        <v>1</v>
      </c>
      <c r="L6" s="4">
        <v>0</v>
      </c>
      <c r="M6" s="4">
        <v>113</v>
      </c>
      <c r="N6" s="4">
        <v>80</v>
      </c>
      <c r="O6" s="6">
        <f t="shared" si="1"/>
        <v>0.29203539823008851</v>
      </c>
      <c r="P6" s="4" t="s">
        <v>223</v>
      </c>
      <c r="Q6" s="4" t="s">
        <v>223</v>
      </c>
      <c r="R6" s="4" t="s">
        <v>223</v>
      </c>
      <c r="S6" s="4" t="s">
        <v>223</v>
      </c>
      <c r="T6" s="4" t="s">
        <v>223</v>
      </c>
      <c r="U6" s="4" t="s">
        <v>223</v>
      </c>
      <c r="V6" s="4">
        <v>0</v>
      </c>
      <c r="W6" s="4">
        <f t="shared" si="2"/>
        <v>0</v>
      </c>
      <c r="X6" s="4">
        <v>106</v>
      </c>
      <c r="Y6" s="4">
        <f t="shared" si="3"/>
        <v>106</v>
      </c>
      <c r="Z6" s="4"/>
      <c r="AA6" s="21">
        <f t="shared" si="4"/>
        <v>150</v>
      </c>
      <c r="AB6" s="6">
        <f t="shared" si="5"/>
        <v>0.29333333333333333</v>
      </c>
      <c r="AC6" s="4">
        <v>41.75</v>
      </c>
      <c r="AD6" s="4" t="str">
        <f t="shared" si="6"/>
        <v>-</v>
      </c>
      <c r="AE6" s="4" t="e">
        <f t="shared" si="7"/>
        <v>#VALUE!</v>
      </c>
      <c r="AF6" s="6" t="e">
        <f t="shared" si="8"/>
        <v>#VALUE!</v>
      </c>
      <c r="AG6" s="7">
        <v>160</v>
      </c>
      <c r="AH6" s="6">
        <f t="shared" si="9"/>
        <v>0.33750000000000002</v>
      </c>
      <c r="AI6" s="4">
        <f t="shared" si="10"/>
        <v>54</v>
      </c>
      <c r="AJ6" s="28"/>
      <c r="AK6" s="6"/>
      <c r="AL6" s="6"/>
      <c r="AM6" s="6" t="e">
        <f t="shared" si="11"/>
        <v>#DIV/0!</v>
      </c>
      <c r="AN6" s="6">
        <f t="shared" si="12"/>
        <v>1.415929203539823</v>
      </c>
      <c r="AO6" s="6">
        <f t="shared" si="13"/>
        <v>1.325</v>
      </c>
      <c r="AP6" s="4" t="str">
        <f t="shared" si="14"/>
        <v>-</v>
      </c>
      <c r="AQ6" s="4" t="str">
        <f t="shared" si="15"/>
        <v>-</v>
      </c>
      <c r="AR6" s="4" t="str">
        <f t="shared" si="16"/>
        <v>-</v>
      </c>
      <c r="AS6" s="4" t="str">
        <f t="shared" si="17"/>
        <v>-</v>
      </c>
      <c r="AT6" s="4" t="str">
        <f t="shared" si="18"/>
        <v>-</v>
      </c>
      <c r="AU6" s="4" t="str">
        <f t="shared" si="19"/>
        <v>-</v>
      </c>
      <c r="AV6" s="4">
        <v>0</v>
      </c>
      <c r="AW6" s="4" t="s">
        <v>223</v>
      </c>
      <c r="AX6" s="4"/>
      <c r="AY6" s="4"/>
      <c r="AZ6" s="4" t="s">
        <v>223</v>
      </c>
      <c r="BA6" s="4" t="s">
        <v>223</v>
      </c>
      <c r="BB6" s="4" t="s">
        <v>223</v>
      </c>
      <c r="BC6" s="4" t="str">
        <f t="shared" si="20"/>
        <v>-</v>
      </c>
      <c r="BD6" s="19">
        <v>4</v>
      </c>
      <c r="BE6" s="19">
        <v>1</v>
      </c>
      <c r="BF6" s="16">
        <v>18</v>
      </c>
      <c r="BG6" t="s">
        <v>223</v>
      </c>
      <c r="BH6">
        <v>12350</v>
      </c>
      <c r="BI6">
        <v>12350</v>
      </c>
      <c r="BJ6">
        <f t="shared" si="21"/>
        <v>16363.75</v>
      </c>
      <c r="BK6" t="s">
        <v>223</v>
      </c>
      <c r="BL6" t="s">
        <v>319</v>
      </c>
    </row>
    <row r="7" spans="1:64" x14ac:dyDescent="0.4">
      <c r="A7" s="3">
        <v>42</v>
      </c>
      <c r="B7" s="3">
        <v>42</v>
      </c>
      <c r="C7" s="17" t="s">
        <v>98</v>
      </c>
      <c r="D7" s="4" t="str">
        <f t="shared" si="0"/>
        <v>J92557</v>
      </c>
      <c r="E7" s="4" t="s">
        <v>98</v>
      </c>
      <c r="F7" s="4" t="s">
        <v>181</v>
      </c>
      <c r="G7" s="5">
        <v>4972759525379</v>
      </c>
      <c r="H7" s="5"/>
      <c r="I7" s="5"/>
      <c r="J7" s="5">
        <v>1</v>
      </c>
      <c r="K7" s="5">
        <v>1</v>
      </c>
      <c r="L7" s="4">
        <v>0</v>
      </c>
      <c r="M7" s="4">
        <v>114</v>
      </c>
      <c r="N7" s="4">
        <v>85</v>
      </c>
      <c r="O7" s="6">
        <f t="shared" si="1"/>
        <v>0.25438596491228072</v>
      </c>
      <c r="P7" s="4" t="s">
        <v>223</v>
      </c>
      <c r="Q7" s="4" t="s">
        <v>223</v>
      </c>
      <c r="R7" s="4" t="s">
        <v>223</v>
      </c>
      <c r="S7" s="4" t="s">
        <v>223</v>
      </c>
      <c r="T7" s="4" t="s">
        <v>223</v>
      </c>
      <c r="U7" s="4" t="s">
        <v>223</v>
      </c>
      <c r="V7" s="4">
        <v>0</v>
      </c>
      <c r="W7" s="4">
        <f t="shared" si="2"/>
        <v>0</v>
      </c>
      <c r="X7" s="4">
        <v>111</v>
      </c>
      <c r="Y7" s="4">
        <f t="shared" si="3"/>
        <v>111</v>
      </c>
      <c r="Z7" s="4"/>
      <c r="AA7" s="21">
        <f t="shared" si="4"/>
        <v>149</v>
      </c>
      <c r="AB7" s="6">
        <f t="shared" si="5"/>
        <v>0.25503355704697983</v>
      </c>
      <c r="AC7" s="4">
        <v>3.5000000000000004</v>
      </c>
      <c r="AD7" s="4">
        <f t="shared" si="6"/>
        <v>330</v>
      </c>
      <c r="AE7" s="4">
        <f t="shared" si="7"/>
        <v>430.94117647058823</v>
      </c>
      <c r="AF7" s="6">
        <f t="shared" si="8"/>
        <v>0.74242424242424243</v>
      </c>
      <c r="AG7" s="7">
        <v>160</v>
      </c>
      <c r="AH7" s="6">
        <f t="shared" si="9"/>
        <v>0.30625000000000002</v>
      </c>
      <c r="AI7" s="4">
        <f t="shared" si="10"/>
        <v>49</v>
      </c>
      <c r="AJ7" s="28"/>
      <c r="AK7" s="6"/>
      <c r="AL7" s="6"/>
      <c r="AM7" s="6" t="e">
        <f t="shared" si="11"/>
        <v>#DIV/0!</v>
      </c>
      <c r="AN7" s="6">
        <f t="shared" si="12"/>
        <v>1.4035087719298245</v>
      </c>
      <c r="AO7" s="6">
        <f t="shared" si="13"/>
        <v>1.3058823529411765</v>
      </c>
      <c r="AP7" s="4" t="str">
        <f t="shared" si="14"/>
        <v>-</v>
      </c>
      <c r="AQ7" s="4" t="str">
        <f t="shared" si="15"/>
        <v>-</v>
      </c>
      <c r="AR7" s="4" t="str">
        <f t="shared" si="16"/>
        <v>-</v>
      </c>
      <c r="AS7" s="4" t="str">
        <f t="shared" si="17"/>
        <v>-</v>
      </c>
      <c r="AT7" s="4" t="str">
        <f t="shared" si="18"/>
        <v>-</v>
      </c>
      <c r="AU7" s="4" t="str">
        <f t="shared" si="19"/>
        <v>-</v>
      </c>
      <c r="AV7" s="4">
        <v>0</v>
      </c>
      <c r="AW7" s="4" t="s">
        <v>264</v>
      </c>
      <c r="AX7" s="4">
        <v>1</v>
      </c>
      <c r="AY7" s="4">
        <v>10</v>
      </c>
      <c r="AZ7" s="4" t="s">
        <v>265</v>
      </c>
      <c r="BA7" s="4">
        <v>3300</v>
      </c>
      <c r="BB7" s="4">
        <v>3300</v>
      </c>
      <c r="BC7" s="4">
        <f t="shared" si="20"/>
        <v>330</v>
      </c>
      <c r="BD7" s="19">
        <v>4</v>
      </c>
      <c r="BE7" s="19">
        <v>8</v>
      </c>
      <c r="BF7" s="16">
        <v>18</v>
      </c>
      <c r="BG7" t="s">
        <v>223</v>
      </c>
      <c r="BH7" t="s">
        <v>223</v>
      </c>
      <c r="BI7" t="s">
        <v>223</v>
      </c>
      <c r="BJ7" t="str">
        <f t="shared" si="21"/>
        <v>-</v>
      </c>
      <c r="BK7" t="s">
        <v>233</v>
      </c>
      <c r="BL7" t="s">
        <v>319</v>
      </c>
    </row>
    <row r="8" spans="1:64" x14ac:dyDescent="0.4">
      <c r="A8" s="3">
        <v>57</v>
      </c>
      <c r="B8" s="3">
        <v>57</v>
      </c>
      <c r="C8" s="17" t="s">
        <v>113</v>
      </c>
      <c r="D8" s="4" t="str">
        <f t="shared" si="0"/>
        <v>5023AK</v>
      </c>
      <c r="E8" s="4" t="s">
        <v>113</v>
      </c>
      <c r="F8" s="4" t="s">
        <v>196</v>
      </c>
      <c r="G8" s="5">
        <v>4972759534241</v>
      </c>
      <c r="H8" s="5"/>
      <c r="I8" s="5"/>
      <c r="J8" s="5">
        <v>1</v>
      </c>
      <c r="K8" s="5">
        <v>1</v>
      </c>
      <c r="L8" s="4">
        <v>0</v>
      </c>
      <c r="M8" s="4">
        <v>138</v>
      </c>
      <c r="N8" s="4">
        <v>86</v>
      </c>
      <c r="O8" s="6">
        <f t="shared" si="1"/>
        <v>0.37681159420289856</v>
      </c>
      <c r="P8" s="4" t="s">
        <v>223</v>
      </c>
      <c r="Q8" s="4" t="s">
        <v>223</v>
      </c>
      <c r="R8" s="4" t="s">
        <v>223</v>
      </c>
      <c r="S8" s="4" t="s">
        <v>223</v>
      </c>
      <c r="T8" s="4" t="s">
        <v>223</v>
      </c>
      <c r="U8" s="4" t="s">
        <v>223</v>
      </c>
      <c r="V8" s="4">
        <v>0</v>
      </c>
      <c r="W8" s="4">
        <f t="shared" si="2"/>
        <v>0</v>
      </c>
      <c r="X8" s="4">
        <v>113</v>
      </c>
      <c r="Y8" s="4">
        <f t="shared" si="3"/>
        <v>113</v>
      </c>
      <c r="Z8" s="4"/>
      <c r="AA8" s="21">
        <f t="shared" si="4"/>
        <v>181</v>
      </c>
      <c r="AB8" s="6">
        <f t="shared" si="5"/>
        <v>0.37569060773480667</v>
      </c>
      <c r="AC8" s="4">
        <v>2.75</v>
      </c>
      <c r="AD8" s="4" t="str">
        <f t="shared" si="6"/>
        <v>-</v>
      </c>
      <c r="AE8" s="4" t="e">
        <f t="shared" si="7"/>
        <v>#VALUE!</v>
      </c>
      <c r="AF8" s="6" t="e">
        <f t="shared" si="8"/>
        <v>#VALUE!</v>
      </c>
      <c r="AG8" s="7">
        <v>181</v>
      </c>
      <c r="AH8" s="6">
        <f t="shared" si="9"/>
        <v>0.37569060773480667</v>
      </c>
      <c r="AI8" s="4">
        <f t="shared" si="10"/>
        <v>68</v>
      </c>
      <c r="AJ8" s="28"/>
      <c r="AK8" s="6"/>
      <c r="AL8" s="6"/>
      <c r="AM8" s="6" t="e">
        <f t="shared" si="11"/>
        <v>#DIV/0!</v>
      </c>
      <c r="AN8" s="6">
        <f t="shared" si="12"/>
        <v>1.3115942028985508</v>
      </c>
      <c r="AO8" s="6">
        <f t="shared" si="13"/>
        <v>1.3139534883720929</v>
      </c>
      <c r="AP8" s="4" t="str">
        <f t="shared" si="14"/>
        <v>-</v>
      </c>
      <c r="AQ8" s="4" t="str">
        <f t="shared" si="15"/>
        <v>-</v>
      </c>
      <c r="AR8" s="4" t="str">
        <f t="shared" si="16"/>
        <v>-</v>
      </c>
      <c r="AS8" s="4" t="str">
        <f t="shared" si="17"/>
        <v>-</v>
      </c>
      <c r="AT8" s="4" t="str">
        <f t="shared" si="18"/>
        <v>-</v>
      </c>
      <c r="AU8" s="4" t="str">
        <f t="shared" si="19"/>
        <v>-</v>
      </c>
      <c r="AV8" s="4">
        <v>0</v>
      </c>
      <c r="AW8" s="4" t="s">
        <v>223</v>
      </c>
      <c r="AX8" s="4"/>
      <c r="AY8" s="4"/>
      <c r="AZ8" s="4" t="s">
        <v>223</v>
      </c>
      <c r="BA8" s="4" t="s">
        <v>223</v>
      </c>
      <c r="BB8" s="4" t="s">
        <v>223</v>
      </c>
      <c r="BC8" s="4" t="str">
        <f t="shared" si="20"/>
        <v>-</v>
      </c>
      <c r="BD8" s="19">
        <v>4</v>
      </c>
      <c r="BE8" s="19">
        <v>8</v>
      </c>
      <c r="BF8" s="16">
        <v>18</v>
      </c>
      <c r="BG8" t="s">
        <v>223</v>
      </c>
      <c r="BH8">
        <v>3705</v>
      </c>
      <c r="BI8">
        <v>3705</v>
      </c>
      <c r="BJ8">
        <f t="shared" si="21"/>
        <v>4868.197674418604</v>
      </c>
      <c r="BK8" t="s">
        <v>223</v>
      </c>
      <c r="BL8" t="s">
        <v>319</v>
      </c>
    </row>
    <row r="9" spans="1:64" x14ac:dyDescent="0.4">
      <c r="A9" s="3">
        <v>63</v>
      </c>
      <c r="B9" s="3">
        <v>63</v>
      </c>
      <c r="C9" s="17" t="s">
        <v>119</v>
      </c>
      <c r="D9" s="4" t="str">
        <f t="shared" si="0"/>
        <v>5029AK</v>
      </c>
      <c r="E9" s="4" t="s">
        <v>119</v>
      </c>
      <c r="F9" s="4" t="s">
        <v>202</v>
      </c>
      <c r="G9" s="5">
        <v>4972759534302</v>
      </c>
      <c r="H9" s="5"/>
      <c r="I9" s="5"/>
      <c r="J9" s="5">
        <v>1</v>
      </c>
      <c r="K9" s="5">
        <v>1</v>
      </c>
      <c r="L9" s="4">
        <v>0</v>
      </c>
      <c r="M9" s="4">
        <v>138</v>
      </c>
      <c r="N9" s="4">
        <v>86</v>
      </c>
      <c r="O9" s="6">
        <f t="shared" si="1"/>
        <v>0.37681159420289856</v>
      </c>
      <c r="P9" s="4" t="s">
        <v>223</v>
      </c>
      <c r="Q9" s="4" t="s">
        <v>223</v>
      </c>
      <c r="R9" s="4" t="s">
        <v>223</v>
      </c>
      <c r="S9" s="4" t="s">
        <v>223</v>
      </c>
      <c r="T9" s="4" t="s">
        <v>223</v>
      </c>
      <c r="U9" s="4" t="s">
        <v>223</v>
      </c>
      <c r="V9" s="4">
        <v>0</v>
      </c>
      <c r="W9" s="4">
        <f t="shared" si="2"/>
        <v>0</v>
      </c>
      <c r="X9" s="4">
        <v>113</v>
      </c>
      <c r="Y9" s="4">
        <f t="shared" si="3"/>
        <v>113</v>
      </c>
      <c r="Z9" s="4"/>
      <c r="AA9" s="21">
        <f t="shared" si="4"/>
        <v>181</v>
      </c>
      <c r="AB9" s="6">
        <f t="shared" si="5"/>
        <v>0.37569060773480667</v>
      </c>
      <c r="AC9" s="4">
        <v>4.75</v>
      </c>
      <c r="AD9" s="4" t="str">
        <f t="shared" si="6"/>
        <v>-</v>
      </c>
      <c r="AE9" s="4" t="e">
        <f t="shared" si="7"/>
        <v>#VALUE!</v>
      </c>
      <c r="AF9" s="6" t="e">
        <f t="shared" si="8"/>
        <v>#VALUE!</v>
      </c>
      <c r="AG9" s="7">
        <v>181</v>
      </c>
      <c r="AH9" s="6">
        <f t="shared" si="9"/>
        <v>0.37569060773480667</v>
      </c>
      <c r="AI9" s="4">
        <f t="shared" si="10"/>
        <v>68</v>
      </c>
      <c r="AJ9" s="28"/>
      <c r="AK9" s="6"/>
      <c r="AL9" s="6"/>
      <c r="AM9" s="6" t="e">
        <f t="shared" si="11"/>
        <v>#DIV/0!</v>
      </c>
      <c r="AN9" s="6">
        <f t="shared" si="12"/>
        <v>1.3115942028985508</v>
      </c>
      <c r="AO9" s="6">
        <f t="shared" si="13"/>
        <v>1.3139534883720929</v>
      </c>
      <c r="AP9" s="4" t="str">
        <f t="shared" si="14"/>
        <v>-</v>
      </c>
      <c r="AQ9" s="4" t="str">
        <f t="shared" si="15"/>
        <v>-</v>
      </c>
      <c r="AR9" s="4" t="str">
        <f t="shared" si="16"/>
        <v>-</v>
      </c>
      <c r="AS9" s="4" t="str">
        <f t="shared" si="17"/>
        <v>-</v>
      </c>
      <c r="AT9" s="4" t="str">
        <f t="shared" si="18"/>
        <v>-</v>
      </c>
      <c r="AU9" s="4" t="str">
        <f t="shared" si="19"/>
        <v>-</v>
      </c>
      <c r="AV9" s="4">
        <v>0</v>
      </c>
      <c r="AW9" s="4" t="s">
        <v>223</v>
      </c>
      <c r="AX9" s="4"/>
      <c r="AY9" s="4"/>
      <c r="AZ9" s="4" t="s">
        <v>223</v>
      </c>
      <c r="BA9" s="4" t="s">
        <v>223</v>
      </c>
      <c r="BB9" s="4" t="s">
        <v>223</v>
      </c>
      <c r="BC9" s="4" t="str">
        <f t="shared" si="20"/>
        <v>-</v>
      </c>
      <c r="BD9" s="19">
        <v>4</v>
      </c>
      <c r="BE9" s="19">
        <v>1</v>
      </c>
      <c r="BF9" s="16">
        <v>18</v>
      </c>
      <c r="BG9" t="s">
        <v>223</v>
      </c>
      <c r="BH9">
        <v>3705</v>
      </c>
      <c r="BI9">
        <v>3705</v>
      </c>
      <c r="BJ9">
        <f t="shared" si="21"/>
        <v>4868.197674418604</v>
      </c>
      <c r="BK9" t="s">
        <v>223</v>
      </c>
      <c r="BL9" t="s">
        <v>319</v>
      </c>
    </row>
    <row r="10" spans="1:64" x14ac:dyDescent="0.4">
      <c r="A10" s="3">
        <v>7</v>
      </c>
      <c r="B10" s="3">
        <v>7</v>
      </c>
      <c r="C10" s="4" t="s">
        <v>63</v>
      </c>
      <c r="D10" s="4" t="str">
        <f t="shared" si="0"/>
        <v>J777MK</v>
      </c>
      <c r="E10" s="4" t="s">
        <v>63</v>
      </c>
      <c r="F10" s="4" t="s">
        <v>146</v>
      </c>
      <c r="G10" s="5">
        <v>4902951794044</v>
      </c>
      <c r="H10" s="5"/>
      <c r="I10" s="5"/>
      <c r="J10" s="5">
        <v>1</v>
      </c>
      <c r="K10" s="5">
        <v>1</v>
      </c>
      <c r="L10" s="4">
        <v>0</v>
      </c>
      <c r="M10" s="4">
        <v>151</v>
      </c>
      <c r="N10" s="4">
        <v>88</v>
      </c>
      <c r="O10" s="6">
        <f t="shared" si="1"/>
        <v>0.41721854304635764</v>
      </c>
      <c r="P10" s="4" t="s">
        <v>223</v>
      </c>
      <c r="Q10" s="4" t="s">
        <v>223</v>
      </c>
      <c r="R10" s="4" t="s">
        <v>223</v>
      </c>
      <c r="S10" s="4" t="s">
        <v>223</v>
      </c>
      <c r="T10" s="4" t="s">
        <v>223</v>
      </c>
      <c r="U10" s="4" t="s">
        <v>223</v>
      </c>
      <c r="V10" s="4">
        <v>0</v>
      </c>
      <c r="W10" s="4">
        <f t="shared" si="2"/>
        <v>0</v>
      </c>
      <c r="X10" s="4">
        <v>114</v>
      </c>
      <c r="Y10" s="4">
        <f t="shared" si="3"/>
        <v>114</v>
      </c>
      <c r="Z10" s="4"/>
      <c r="AA10" s="21">
        <f t="shared" si="4"/>
        <v>196</v>
      </c>
      <c r="AB10" s="6">
        <f t="shared" si="5"/>
        <v>0.41836734693877553</v>
      </c>
      <c r="AC10" s="4">
        <v>33.75</v>
      </c>
      <c r="AD10" s="4">
        <f t="shared" si="6"/>
        <v>177</v>
      </c>
      <c r="AE10" s="4">
        <f t="shared" si="7"/>
        <v>229.29545454545453</v>
      </c>
      <c r="AF10" s="6">
        <f t="shared" si="8"/>
        <v>0.50282485875706207</v>
      </c>
      <c r="AG10" s="7">
        <v>196</v>
      </c>
      <c r="AH10" s="6">
        <f t="shared" si="9"/>
        <v>0.41836734693877553</v>
      </c>
      <c r="AI10" s="4">
        <f t="shared" si="10"/>
        <v>82</v>
      </c>
      <c r="AJ10" s="28"/>
      <c r="AK10" s="6"/>
      <c r="AL10" s="6"/>
      <c r="AM10" s="6" t="e">
        <f t="shared" si="11"/>
        <v>#DIV/0!</v>
      </c>
      <c r="AN10" s="6">
        <f t="shared" si="12"/>
        <v>1.2980132450331126</v>
      </c>
      <c r="AO10" s="6">
        <f t="shared" si="13"/>
        <v>1.2954545454545454</v>
      </c>
      <c r="AP10" s="4" t="str">
        <f t="shared" si="14"/>
        <v>-</v>
      </c>
      <c r="AQ10" s="4" t="str">
        <f t="shared" si="15"/>
        <v>-</v>
      </c>
      <c r="AR10" s="4" t="str">
        <f t="shared" si="16"/>
        <v>-</v>
      </c>
      <c r="AS10" s="4" t="str">
        <f t="shared" si="17"/>
        <v>-</v>
      </c>
      <c r="AT10" s="4" t="str">
        <f t="shared" si="18"/>
        <v>-</v>
      </c>
      <c r="AU10" s="4" t="str">
        <f t="shared" si="19"/>
        <v>-</v>
      </c>
      <c r="AV10" s="4">
        <v>0</v>
      </c>
      <c r="AW10" s="4" t="s">
        <v>256</v>
      </c>
      <c r="AX10" s="4"/>
      <c r="AY10" s="4"/>
      <c r="AZ10" s="4" t="s">
        <v>252</v>
      </c>
      <c r="BA10" s="4">
        <v>177</v>
      </c>
      <c r="BB10" s="4">
        <v>177</v>
      </c>
      <c r="BC10" s="4">
        <f t="shared" si="20"/>
        <v>177</v>
      </c>
      <c r="BD10" s="19">
        <v>4</v>
      </c>
      <c r="BE10" s="19">
        <v>1</v>
      </c>
      <c r="BF10" s="16">
        <v>18</v>
      </c>
      <c r="BG10" t="s">
        <v>223</v>
      </c>
      <c r="BH10">
        <v>152</v>
      </c>
      <c r="BI10" t="s">
        <v>223</v>
      </c>
      <c r="BJ10" t="str">
        <f t="shared" si="21"/>
        <v>-</v>
      </c>
      <c r="BK10" t="s">
        <v>228</v>
      </c>
      <c r="BL10" t="s">
        <v>319</v>
      </c>
    </row>
    <row r="11" spans="1:64" x14ac:dyDescent="0.4">
      <c r="A11" s="3">
        <v>6</v>
      </c>
      <c r="B11" s="3">
        <v>6</v>
      </c>
      <c r="C11" s="4" t="s">
        <v>62</v>
      </c>
      <c r="D11" s="4" t="str">
        <f t="shared" si="0"/>
        <v>JA4305</v>
      </c>
      <c r="E11" s="4" t="s">
        <v>62</v>
      </c>
      <c r="F11" s="4" t="s">
        <v>145</v>
      </c>
      <c r="G11" s="5">
        <v>4901140620027</v>
      </c>
      <c r="H11" s="5"/>
      <c r="I11" s="5"/>
      <c r="J11" s="5">
        <v>1</v>
      </c>
      <c r="K11" s="5">
        <v>1</v>
      </c>
      <c r="L11" s="4">
        <v>0</v>
      </c>
      <c r="M11" s="4">
        <v>150</v>
      </c>
      <c r="N11" s="4">
        <v>95</v>
      </c>
      <c r="O11" s="6">
        <f t="shared" si="1"/>
        <v>0.3666666666666667</v>
      </c>
      <c r="P11" s="4" t="s">
        <v>223</v>
      </c>
      <c r="Q11" s="4" t="s">
        <v>223</v>
      </c>
      <c r="R11" s="4" t="s">
        <v>223</v>
      </c>
      <c r="S11" s="4" t="s">
        <v>223</v>
      </c>
      <c r="T11" s="4" t="s">
        <v>223</v>
      </c>
      <c r="U11" s="4" t="s">
        <v>223</v>
      </c>
      <c r="V11" s="4">
        <v>0</v>
      </c>
      <c r="W11" s="4">
        <f t="shared" si="2"/>
        <v>0</v>
      </c>
      <c r="X11" s="4">
        <v>122</v>
      </c>
      <c r="Y11" s="4">
        <f t="shared" si="3"/>
        <v>122</v>
      </c>
      <c r="Z11" s="4"/>
      <c r="AA11" s="21">
        <f t="shared" si="4"/>
        <v>193</v>
      </c>
      <c r="AB11" s="6">
        <f t="shared" si="5"/>
        <v>0.36787564766839376</v>
      </c>
      <c r="AC11" s="4">
        <v>105.75000000000001</v>
      </c>
      <c r="AD11" s="4">
        <f t="shared" si="6"/>
        <v>158</v>
      </c>
      <c r="AE11" s="4">
        <f t="shared" si="7"/>
        <v>202.90526315789472</v>
      </c>
      <c r="AF11" s="6">
        <f t="shared" si="8"/>
        <v>0.39873417721518978</v>
      </c>
      <c r="AG11" s="7">
        <v>198</v>
      </c>
      <c r="AH11" s="6">
        <f t="shared" si="9"/>
        <v>0.38383838383838387</v>
      </c>
      <c r="AI11" s="4">
        <f t="shared" si="10"/>
        <v>76</v>
      </c>
      <c r="AJ11" s="28"/>
      <c r="AK11" s="6"/>
      <c r="AL11" s="6"/>
      <c r="AM11" s="6" t="e">
        <f t="shared" si="11"/>
        <v>#DIV/0!</v>
      </c>
      <c r="AN11" s="6">
        <f t="shared" si="12"/>
        <v>1.32</v>
      </c>
      <c r="AO11" s="6">
        <f t="shared" si="13"/>
        <v>1.2842105263157895</v>
      </c>
      <c r="AP11" s="4" t="str">
        <f t="shared" si="14"/>
        <v>-</v>
      </c>
      <c r="AQ11" s="4" t="str">
        <f t="shared" si="15"/>
        <v>-</v>
      </c>
      <c r="AR11" s="4" t="str">
        <f t="shared" si="16"/>
        <v>-</v>
      </c>
      <c r="AS11" s="4" t="str">
        <f t="shared" si="17"/>
        <v>-</v>
      </c>
      <c r="AT11" s="4" t="str">
        <f t="shared" si="18"/>
        <v>-</v>
      </c>
      <c r="AU11" s="4" t="str">
        <f t="shared" si="19"/>
        <v>-</v>
      </c>
      <c r="AV11" s="4">
        <v>0</v>
      </c>
      <c r="AW11" s="4" t="s">
        <v>254</v>
      </c>
      <c r="AX11" s="4"/>
      <c r="AY11" s="4"/>
      <c r="AZ11" s="4" t="s">
        <v>255</v>
      </c>
      <c r="BA11" s="4">
        <v>158</v>
      </c>
      <c r="BB11" s="4">
        <v>158</v>
      </c>
      <c r="BC11" s="4">
        <f t="shared" si="20"/>
        <v>158</v>
      </c>
      <c r="BD11" s="19">
        <v>4</v>
      </c>
      <c r="BE11" s="19">
        <v>1</v>
      </c>
      <c r="BF11" s="16">
        <v>18</v>
      </c>
      <c r="BG11" t="s">
        <v>223</v>
      </c>
      <c r="BH11">
        <v>140</v>
      </c>
      <c r="BI11">
        <v>140</v>
      </c>
      <c r="BJ11">
        <f t="shared" si="21"/>
        <v>179.78947368421052</v>
      </c>
      <c r="BK11" t="s">
        <v>227</v>
      </c>
      <c r="BL11" t="s">
        <v>319</v>
      </c>
    </row>
    <row r="12" spans="1:64" x14ac:dyDescent="0.4">
      <c r="A12" s="3">
        <v>16</v>
      </c>
      <c r="B12" s="3">
        <v>16</v>
      </c>
      <c r="C12" s="4" t="s">
        <v>72</v>
      </c>
      <c r="D12" s="4" t="str">
        <f t="shared" si="0"/>
        <v>J92553</v>
      </c>
      <c r="E12" s="4" t="s">
        <v>72</v>
      </c>
      <c r="F12" s="4" t="s">
        <v>155</v>
      </c>
      <c r="G12" s="5">
        <v>4972759514069</v>
      </c>
      <c r="H12" s="5"/>
      <c r="I12" s="5"/>
      <c r="J12" s="5">
        <v>1</v>
      </c>
      <c r="K12" s="5">
        <v>1</v>
      </c>
      <c r="L12" s="4">
        <v>0</v>
      </c>
      <c r="M12" s="4">
        <v>132</v>
      </c>
      <c r="N12" s="4">
        <v>96</v>
      </c>
      <c r="O12" s="6">
        <f t="shared" si="1"/>
        <v>0.27272727272727271</v>
      </c>
      <c r="P12" s="4" t="s">
        <v>223</v>
      </c>
      <c r="Q12" s="4" t="s">
        <v>223</v>
      </c>
      <c r="R12" s="4" t="s">
        <v>223</v>
      </c>
      <c r="S12" s="4" t="s">
        <v>223</v>
      </c>
      <c r="T12" s="4" t="s">
        <v>223</v>
      </c>
      <c r="U12" s="4" t="s">
        <v>223</v>
      </c>
      <c r="V12" s="4">
        <v>0</v>
      </c>
      <c r="W12" s="4">
        <f t="shared" si="2"/>
        <v>0</v>
      </c>
      <c r="X12" s="4">
        <v>126</v>
      </c>
      <c r="Y12" s="4">
        <f t="shared" si="3"/>
        <v>126</v>
      </c>
      <c r="Z12" s="4"/>
      <c r="AA12" s="21">
        <f t="shared" si="4"/>
        <v>173</v>
      </c>
      <c r="AB12" s="6">
        <f t="shared" si="5"/>
        <v>0.27167630057803471</v>
      </c>
      <c r="AC12" s="4">
        <v>0.75</v>
      </c>
      <c r="AD12" s="4" t="str">
        <f t="shared" si="6"/>
        <v>-</v>
      </c>
      <c r="AE12" s="4" t="e">
        <f t="shared" si="7"/>
        <v>#VALUE!</v>
      </c>
      <c r="AF12" s="6" t="e">
        <f t="shared" si="8"/>
        <v>#VALUE!</v>
      </c>
      <c r="AG12" s="7">
        <v>190</v>
      </c>
      <c r="AH12" s="6">
        <f t="shared" si="9"/>
        <v>0.33684210526315794</v>
      </c>
      <c r="AI12" s="4">
        <f t="shared" si="10"/>
        <v>64</v>
      </c>
      <c r="AJ12" s="28"/>
      <c r="AK12" s="6"/>
      <c r="AL12" s="6"/>
      <c r="AM12" s="6" t="e">
        <f t="shared" si="11"/>
        <v>#DIV/0!</v>
      </c>
      <c r="AN12" s="6">
        <f t="shared" si="12"/>
        <v>1.4393939393939394</v>
      </c>
      <c r="AO12" s="6">
        <f t="shared" si="13"/>
        <v>1.3125</v>
      </c>
      <c r="AP12" s="4" t="str">
        <f t="shared" si="14"/>
        <v>-</v>
      </c>
      <c r="AQ12" s="4" t="str">
        <f t="shared" si="15"/>
        <v>-</v>
      </c>
      <c r="AR12" s="4" t="str">
        <f t="shared" si="16"/>
        <v>-</v>
      </c>
      <c r="AS12" s="4" t="str">
        <f t="shared" si="17"/>
        <v>-</v>
      </c>
      <c r="AT12" s="4" t="str">
        <f t="shared" si="18"/>
        <v>-</v>
      </c>
      <c r="AU12" s="4" t="str">
        <f t="shared" si="19"/>
        <v>-</v>
      </c>
      <c r="AV12" s="4">
        <v>0</v>
      </c>
      <c r="AW12" s="4" t="s">
        <v>223</v>
      </c>
      <c r="AX12" s="4"/>
      <c r="AY12" s="4"/>
      <c r="AZ12" s="4" t="s">
        <v>223</v>
      </c>
      <c r="BA12" s="4" t="s">
        <v>223</v>
      </c>
      <c r="BB12" s="4" t="s">
        <v>223</v>
      </c>
      <c r="BC12" s="4" t="str">
        <f t="shared" si="20"/>
        <v>-</v>
      </c>
      <c r="BD12" s="19">
        <v>4</v>
      </c>
      <c r="BE12" s="19">
        <v>8</v>
      </c>
      <c r="BF12" s="16">
        <v>18</v>
      </c>
      <c r="BG12" t="s">
        <v>223</v>
      </c>
      <c r="BH12">
        <v>9462</v>
      </c>
      <c r="BI12">
        <v>9462</v>
      </c>
      <c r="BJ12">
        <f t="shared" si="21"/>
        <v>12418.875</v>
      </c>
      <c r="BK12" t="s">
        <v>223</v>
      </c>
      <c r="BL12" t="s">
        <v>319</v>
      </c>
    </row>
    <row r="13" spans="1:64" x14ac:dyDescent="0.4">
      <c r="A13" s="3">
        <v>10</v>
      </c>
      <c r="B13" s="3">
        <v>10</v>
      </c>
      <c r="C13" s="4" t="s">
        <v>66</v>
      </c>
      <c r="D13" s="4" t="str">
        <f t="shared" si="0"/>
        <v>J258RA</v>
      </c>
      <c r="E13" s="4" t="s">
        <v>66</v>
      </c>
      <c r="F13" s="4" t="s">
        <v>149</v>
      </c>
      <c r="G13" s="5">
        <v>4903652003152</v>
      </c>
      <c r="H13" s="5"/>
      <c r="I13" s="5"/>
      <c r="J13" s="5">
        <v>1</v>
      </c>
      <c r="K13" s="5">
        <v>1</v>
      </c>
      <c r="L13" s="4">
        <v>0</v>
      </c>
      <c r="M13" s="4">
        <v>165</v>
      </c>
      <c r="N13" s="4">
        <v>104</v>
      </c>
      <c r="O13" s="6">
        <f t="shared" si="1"/>
        <v>0.36969696969696975</v>
      </c>
      <c r="P13" s="4" t="s">
        <v>223</v>
      </c>
      <c r="Q13" s="4" t="s">
        <v>223</v>
      </c>
      <c r="R13" s="4" t="s">
        <v>223</v>
      </c>
      <c r="S13" s="4" t="s">
        <v>223</v>
      </c>
      <c r="T13" s="4" t="s">
        <v>223</v>
      </c>
      <c r="U13" s="4" t="s">
        <v>223</v>
      </c>
      <c r="V13" s="4">
        <v>0</v>
      </c>
      <c r="W13" s="4">
        <f t="shared" si="2"/>
        <v>0</v>
      </c>
      <c r="X13" s="4">
        <v>127</v>
      </c>
      <c r="Y13" s="4">
        <f t="shared" si="3"/>
        <v>127</v>
      </c>
      <c r="Z13" s="4"/>
      <c r="AA13" s="21">
        <f t="shared" si="4"/>
        <v>201</v>
      </c>
      <c r="AB13" s="6">
        <f t="shared" si="5"/>
        <v>0.36815920398009949</v>
      </c>
      <c r="AC13" s="4">
        <v>8.75</v>
      </c>
      <c r="AD13" s="4" t="str">
        <f t="shared" si="6"/>
        <v>-</v>
      </c>
      <c r="AE13" s="4" t="e">
        <f t="shared" si="7"/>
        <v>#VALUE!</v>
      </c>
      <c r="AF13" s="6" t="e">
        <f t="shared" si="8"/>
        <v>#VALUE!</v>
      </c>
      <c r="AG13" s="7">
        <v>202</v>
      </c>
      <c r="AH13" s="6">
        <f t="shared" si="9"/>
        <v>0.37128712871287128</v>
      </c>
      <c r="AI13" s="4">
        <f t="shared" si="10"/>
        <v>75</v>
      </c>
      <c r="AJ13" s="28"/>
      <c r="AK13" s="6"/>
      <c r="AL13" s="6"/>
      <c r="AM13" s="6" t="e">
        <f t="shared" si="11"/>
        <v>#DIV/0!</v>
      </c>
      <c r="AN13" s="6">
        <f t="shared" si="12"/>
        <v>1.2242424242424241</v>
      </c>
      <c r="AO13" s="6">
        <f t="shared" si="13"/>
        <v>1.2211538461538463</v>
      </c>
      <c r="AP13" s="4" t="str">
        <f t="shared" si="14"/>
        <v>-</v>
      </c>
      <c r="AQ13" s="4" t="str">
        <f t="shared" si="15"/>
        <v>-</v>
      </c>
      <c r="AR13" s="4" t="str">
        <f t="shared" si="16"/>
        <v>-</v>
      </c>
      <c r="AS13" s="4" t="str">
        <f t="shared" si="17"/>
        <v>-</v>
      </c>
      <c r="AT13" s="4" t="str">
        <f t="shared" si="18"/>
        <v>-</v>
      </c>
      <c r="AU13" s="4" t="str">
        <f t="shared" si="19"/>
        <v>-</v>
      </c>
      <c r="AV13" s="4">
        <v>0</v>
      </c>
      <c r="AW13" s="4" t="s">
        <v>223</v>
      </c>
      <c r="AX13" s="4"/>
      <c r="AY13" s="4"/>
      <c r="AZ13" s="4" t="s">
        <v>223</v>
      </c>
      <c r="BA13" s="4" t="s">
        <v>223</v>
      </c>
      <c r="BB13" s="4" t="s">
        <v>223</v>
      </c>
      <c r="BC13" s="4" t="str">
        <f t="shared" si="20"/>
        <v>-</v>
      </c>
      <c r="BD13" s="19">
        <v>4</v>
      </c>
      <c r="BE13" s="19">
        <v>1</v>
      </c>
      <c r="BF13" s="16">
        <v>18</v>
      </c>
      <c r="BG13" t="s">
        <v>223</v>
      </c>
      <c r="BH13" t="s">
        <v>223</v>
      </c>
      <c r="BI13" t="s">
        <v>223</v>
      </c>
      <c r="BJ13" t="str">
        <f t="shared" si="21"/>
        <v>-</v>
      </c>
      <c r="BK13" t="s">
        <v>223</v>
      </c>
      <c r="BL13" t="s">
        <v>319</v>
      </c>
    </row>
    <row r="14" spans="1:64" x14ac:dyDescent="0.4">
      <c r="A14" s="3">
        <v>43</v>
      </c>
      <c r="B14" s="3">
        <v>43</v>
      </c>
      <c r="C14" s="4" t="s">
        <v>99</v>
      </c>
      <c r="D14" s="4" t="str">
        <f t="shared" si="0"/>
        <v>J92495</v>
      </c>
      <c r="E14" s="4" t="s">
        <v>99</v>
      </c>
      <c r="F14" s="4" t="s">
        <v>182</v>
      </c>
      <c r="G14" s="5">
        <v>4972759525652</v>
      </c>
      <c r="H14" s="5"/>
      <c r="I14" s="5"/>
      <c r="J14" s="5">
        <v>1</v>
      </c>
      <c r="K14" s="5">
        <v>1</v>
      </c>
      <c r="L14" s="4">
        <v>0</v>
      </c>
      <c r="M14" s="4">
        <v>140</v>
      </c>
      <c r="N14" s="4">
        <v>97</v>
      </c>
      <c r="O14" s="6">
        <f t="shared" si="1"/>
        <v>0.30714285714285716</v>
      </c>
      <c r="P14" s="4" t="s">
        <v>223</v>
      </c>
      <c r="Q14" s="4" t="s">
        <v>223</v>
      </c>
      <c r="R14" s="4" t="s">
        <v>223</v>
      </c>
      <c r="S14" s="4" t="s">
        <v>223</v>
      </c>
      <c r="T14" s="4" t="s">
        <v>223</v>
      </c>
      <c r="U14" s="4" t="s">
        <v>223</v>
      </c>
      <c r="V14" s="4">
        <v>0</v>
      </c>
      <c r="W14" s="4">
        <f t="shared" si="2"/>
        <v>0</v>
      </c>
      <c r="X14" s="4">
        <v>127</v>
      </c>
      <c r="Y14" s="4">
        <f t="shared" si="3"/>
        <v>127</v>
      </c>
      <c r="Z14" s="4"/>
      <c r="AA14" s="21">
        <f t="shared" si="4"/>
        <v>183</v>
      </c>
      <c r="AB14" s="6">
        <f t="shared" si="5"/>
        <v>0.30601092896174864</v>
      </c>
      <c r="AC14" s="4">
        <v>0.75</v>
      </c>
      <c r="AD14" s="4" t="str">
        <f t="shared" si="6"/>
        <v>-</v>
      </c>
      <c r="AE14" s="4" t="e">
        <f t="shared" si="7"/>
        <v>#VALUE!</v>
      </c>
      <c r="AF14" s="6" t="e">
        <f t="shared" si="8"/>
        <v>#VALUE!</v>
      </c>
      <c r="AG14" s="7">
        <v>190</v>
      </c>
      <c r="AH14" s="6">
        <f t="shared" si="9"/>
        <v>0.33157894736842108</v>
      </c>
      <c r="AI14" s="4">
        <f t="shared" si="10"/>
        <v>63</v>
      </c>
      <c r="AJ14" s="28"/>
      <c r="AK14" s="6"/>
      <c r="AL14" s="6"/>
      <c r="AM14" s="6" t="e">
        <f t="shared" si="11"/>
        <v>#DIV/0!</v>
      </c>
      <c r="AN14" s="6">
        <f t="shared" si="12"/>
        <v>1.3571428571428572</v>
      </c>
      <c r="AO14" s="6">
        <f t="shared" si="13"/>
        <v>1.3092783505154639</v>
      </c>
      <c r="AP14" s="4" t="str">
        <f t="shared" si="14"/>
        <v>-</v>
      </c>
      <c r="AQ14" s="4" t="str">
        <f t="shared" si="15"/>
        <v>-</v>
      </c>
      <c r="AR14" s="4" t="str">
        <f t="shared" si="16"/>
        <v>-</v>
      </c>
      <c r="AS14" s="4" t="str">
        <f t="shared" si="17"/>
        <v>-</v>
      </c>
      <c r="AT14" s="4" t="str">
        <f t="shared" si="18"/>
        <v>-</v>
      </c>
      <c r="AU14" s="4" t="str">
        <f t="shared" si="19"/>
        <v>-</v>
      </c>
      <c r="AV14" s="4">
        <v>0</v>
      </c>
      <c r="AW14" s="4" t="s">
        <v>223</v>
      </c>
      <c r="AX14" s="4"/>
      <c r="AY14" s="4"/>
      <c r="AZ14" s="4" t="s">
        <v>223</v>
      </c>
      <c r="BA14" s="4" t="s">
        <v>223</v>
      </c>
      <c r="BB14" s="4" t="s">
        <v>223</v>
      </c>
      <c r="BC14" s="4" t="str">
        <f t="shared" si="20"/>
        <v>-</v>
      </c>
      <c r="BD14" s="19">
        <v>4</v>
      </c>
      <c r="BE14" s="19">
        <v>8</v>
      </c>
      <c r="BF14" s="16">
        <v>18</v>
      </c>
      <c r="BG14" t="s">
        <v>223</v>
      </c>
      <c r="BH14">
        <v>5358</v>
      </c>
      <c r="BI14">
        <v>5358</v>
      </c>
      <c r="BJ14">
        <f t="shared" si="21"/>
        <v>7015.1134020618556</v>
      </c>
      <c r="BK14" t="s">
        <v>223</v>
      </c>
      <c r="BL14" t="s">
        <v>319</v>
      </c>
    </row>
    <row r="15" spans="1:64" x14ac:dyDescent="0.4">
      <c r="A15" s="3">
        <v>51</v>
      </c>
      <c r="B15" s="3">
        <v>51</v>
      </c>
      <c r="C15" s="4" t="s">
        <v>107</v>
      </c>
      <c r="D15" s="4" t="str">
        <f t="shared" si="0"/>
        <v>J92431</v>
      </c>
      <c r="E15" s="4" t="s">
        <v>107</v>
      </c>
      <c r="F15" s="4" t="s">
        <v>190</v>
      </c>
      <c r="G15" s="5">
        <v>4972759528349</v>
      </c>
      <c r="H15" s="5"/>
      <c r="I15" s="5"/>
      <c r="J15" s="32">
        <v>2</v>
      </c>
      <c r="K15" s="5">
        <v>1</v>
      </c>
      <c r="L15" s="4">
        <v>0</v>
      </c>
      <c r="M15" s="4">
        <v>163</v>
      </c>
      <c r="N15" s="4">
        <v>112</v>
      </c>
      <c r="O15" s="6">
        <f t="shared" si="1"/>
        <v>0.31288343558282206</v>
      </c>
      <c r="P15" s="4" t="s">
        <v>223</v>
      </c>
      <c r="Q15" s="4" t="s">
        <v>223</v>
      </c>
      <c r="R15" s="4" t="s">
        <v>223</v>
      </c>
      <c r="S15" s="4" t="s">
        <v>223</v>
      </c>
      <c r="T15" s="4" t="s">
        <v>223</v>
      </c>
      <c r="U15" s="4" t="s">
        <v>223</v>
      </c>
      <c r="V15" s="4">
        <v>0</v>
      </c>
      <c r="W15" s="4">
        <f t="shared" si="2"/>
        <v>0</v>
      </c>
      <c r="X15" s="4">
        <v>131</v>
      </c>
      <c r="Y15" s="4">
        <f t="shared" si="3"/>
        <v>131</v>
      </c>
      <c r="Z15" s="4"/>
      <c r="AA15" s="21">
        <f t="shared" si="4"/>
        <v>191</v>
      </c>
      <c r="AB15" s="6">
        <f t="shared" si="5"/>
        <v>0.31413612565445026</v>
      </c>
      <c r="AC15" s="4">
        <v>9</v>
      </c>
      <c r="AD15" s="4">
        <f t="shared" si="6"/>
        <v>266</v>
      </c>
      <c r="AE15" s="4">
        <f t="shared" si="7"/>
        <v>311.125</v>
      </c>
      <c r="AF15" s="6">
        <f t="shared" si="8"/>
        <v>0.57894736842105265</v>
      </c>
      <c r="AG15" s="7">
        <v>200</v>
      </c>
      <c r="AH15" s="6">
        <f t="shared" si="9"/>
        <v>0.34499999999999997</v>
      </c>
      <c r="AI15" s="4">
        <f t="shared" si="10"/>
        <v>69</v>
      </c>
      <c r="AJ15" s="28"/>
      <c r="AK15" s="6"/>
      <c r="AL15" s="6"/>
      <c r="AM15" s="6" t="e">
        <f t="shared" si="11"/>
        <v>#DIV/0!</v>
      </c>
      <c r="AN15" s="6">
        <f t="shared" si="12"/>
        <v>1.2269938650306749</v>
      </c>
      <c r="AO15" s="6">
        <f t="shared" si="13"/>
        <v>1.1696428571428572</v>
      </c>
      <c r="AP15" s="4" t="str">
        <f t="shared" si="14"/>
        <v>-</v>
      </c>
      <c r="AQ15" s="4" t="str">
        <f t="shared" si="15"/>
        <v>-</v>
      </c>
      <c r="AR15" s="4" t="str">
        <f t="shared" si="16"/>
        <v>-</v>
      </c>
      <c r="AS15" s="4" t="str">
        <f t="shared" si="17"/>
        <v>-</v>
      </c>
      <c r="AT15" s="4" t="str">
        <f t="shared" si="18"/>
        <v>-</v>
      </c>
      <c r="AU15" s="4" t="str">
        <f t="shared" si="19"/>
        <v>-</v>
      </c>
      <c r="AV15" s="4">
        <v>0</v>
      </c>
      <c r="AW15" s="4" t="s">
        <v>267</v>
      </c>
      <c r="AX15" s="4"/>
      <c r="AY15" s="4"/>
      <c r="AZ15" s="4" t="s">
        <v>261</v>
      </c>
      <c r="BA15" s="4">
        <v>197</v>
      </c>
      <c r="BB15" s="4">
        <v>266</v>
      </c>
      <c r="BC15" s="4">
        <f t="shared" si="20"/>
        <v>266</v>
      </c>
      <c r="BD15" s="19">
        <v>4</v>
      </c>
      <c r="BE15" s="19">
        <v>1</v>
      </c>
      <c r="BF15" s="16">
        <v>18</v>
      </c>
      <c r="BG15" t="s">
        <v>223</v>
      </c>
      <c r="BH15">
        <v>15105</v>
      </c>
      <c r="BI15">
        <v>15105</v>
      </c>
      <c r="BJ15">
        <f t="shared" si="21"/>
        <v>17667.455357142859</v>
      </c>
      <c r="BK15" t="s">
        <v>235</v>
      </c>
      <c r="BL15" t="s">
        <v>319</v>
      </c>
    </row>
    <row r="16" spans="1:64" x14ac:dyDescent="0.4">
      <c r="A16" s="3">
        <v>5</v>
      </c>
      <c r="B16" s="3">
        <v>5</v>
      </c>
      <c r="C16" s="4">
        <v>680619</v>
      </c>
      <c r="D16" s="4" t="str">
        <f t="shared" si="0"/>
        <v>680619</v>
      </c>
      <c r="E16" s="4">
        <v>680619</v>
      </c>
      <c r="F16" s="4" t="s">
        <v>144</v>
      </c>
      <c r="G16" s="5">
        <v>4901140620010</v>
      </c>
      <c r="H16" s="5"/>
      <c r="I16" s="5"/>
      <c r="J16" s="32">
        <v>3</v>
      </c>
      <c r="K16" s="5">
        <v>1</v>
      </c>
      <c r="L16" s="4">
        <v>0</v>
      </c>
      <c r="M16" s="4">
        <v>209</v>
      </c>
      <c r="N16" s="4">
        <v>124</v>
      </c>
      <c r="O16" s="6">
        <f t="shared" si="1"/>
        <v>0.40669856459330145</v>
      </c>
      <c r="P16" s="4" t="s">
        <v>223</v>
      </c>
      <c r="Q16" s="4" t="s">
        <v>223</v>
      </c>
      <c r="R16" s="4" t="s">
        <v>223</v>
      </c>
      <c r="S16" s="4" t="s">
        <v>223</v>
      </c>
      <c r="T16" s="4" t="s">
        <v>223</v>
      </c>
      <c r="U16" s="4" t="s">
        <v>223</v>
      </c>
      <c r="V16" s="4">
        <v>0</v>
      </c>
      <c r="W16" s="4">
        <f t="shared" si="2"/>
        <v>0</v>
      </c>
      <c r="X16" s="4">
        <v>152</v>
      </c>
      <c r="Y16" s="4">
        <f t="shared" si="3"/>
        <v>152</v>
      </c>
      <c r="Z16" s="4"/>
      <c r="AA16" s="21">
        <f t="shared" si="4"/>
        <v>256</v>
      </c>
      <c r="AB16" s="6">
        <f t="shared" si="5"/>
        <v>0.40625</v>
      </c>
      <c r="AC16" s="4">
        <v>92.75</v>
      </c>
      <c r="AD16" s="4">
        <f t="shared" si="6"/>
        <v>164</v>
      </c>
      <c r="AE16" s="4">
        <f t="shared" si="7"/>
        <v>201.03225806451613</v>
      </c>
      <c r="AF16" s="6">
        <f t="shared" si="8"/>
        <v>0.24390243902439024</v>
      </c>
      <c r="AG16" s="7">
        <v>258</v>
      </c>
      <c r="AH16" s="6">
        <f t="shared" si="9"/>
        <v>0.41085271317829453</v>
      </c>
      <c r="AI16" s="4">
        <f t="shared" si="10"/>
        <v>106</v>
      </c>
      <c r="AJ16" s="28"/>
      <c r="AK16" s="6"/>
      <c r="AL16" s="6"/>
      <c r="AM16" s="6" t="e">
        <f t="shared" si="11"/>
        <v>#DIV/0!</v>
      </c>
      <c r="AN16" s="6">
        <f t="shared" si="12"/>
        <v>1.2344497607655502</v>
      </c>
      <c r="AO16" s="6">
        <f t="shared" si="13"/>
        <v>1.2258064516129032</v>
      </c>
      <c r="AP16" s="4" t="str">
        <f t="shared" si="14"/>
        <v>-</v>
      </c>
      <c r="AQ16" s="4" t="str">
        <f t="shared" si="15"/>
        <v>-</v>
      </c>
      <c r="AR16" s="4" t="str">
        <f t="shared" si="16"/>
        <v>-</v>
      </c>
      <c r="AS16" s="4" t="str">
        <f t="shared" si="17"/>
        <v>-</v>
      </c>
      <c r="AT16" s="4" t="str">
        <f t="shared" si="18"/>
        <v>-</v>
      </c>
      <c r="AU16" s="4" t="str">
        <f t="shared" si="19"/>
        <v>-</v>
      </c>
      <c r="AV16" s="4" t="s">
        <v>224</v>
      </c>
      <c r="AW16" s="4" t="s">
        <v>253</v>
      </c>
      <c r="AX16" s="4"/>
      <c r="AY16" s="4"/>
      <c r="AZ16" s="4" t="s">
        <v>252</v>
      </c>
      <c r="BA16" s="4">
        <v>164</v>
      </c>
      <c r="BB16" s="4">
        <v>164</v>
      </c>
      <c r="BC16" s="4">
        <f t="shared" si="20"/>
        <v>164</v>
      </c>
      <c r="BD16" s="19">
        <v>4</v>
      </c>
      <c r="BE16" s="19">
        <v>1</v>
      </c>
      <c r="BF16" s="16">
        <v>18</v>
      </c>
      <c r="BG16" t="s">
        <v>223</v>
      </c>
      <c r="BH16">
        <v>235</v>
      </c>
      <c r="BI16">
        <v>235</v>
      </c>
      <c r="BJ16">
        <f t="shared" si="21"/>
        <v>288.06451612903226</v>
      </c>
      <c r="BK16" t="s">
        <v>226</v>
      </c>
      <c r="BL16" t="s">
        <v>319</v>
      </c>
    </row>
    <row r="17" spans="1:64" x14ac:dyDescent="0.4">
      <c r="A17" s="3">
        <v>19</v>
      </c>
      <c r="B17" s="3">
        <v>19</v>
      </c>
      <c r="C17" s="4" t="s">
        <v>75</v>
      </c>
      <c r="D17" s="4" t="str">
        <f t="shared" si="0"/>
        <v>J92464</v>
      </c>
      <c r="E17" s="4" t="s">
        <v>75</v>
      </c>
      <c r="F17" s="4" t="s">
        <v>158</v>
      </c>
      <c r="G17" s="5">
        <v>4972759515219</v>
      </c>
      <c r="H17" s="5"/>
      <c r="I17" s="5"/>
      <c r="J17" s="5">
        <v>1</v>
      </c>
      <c r="K17" s="5">
        <v>1</v>
      </c>
      <c r="L17" s="4">
        <v>0</v>
      </c>
      <c r="M17" s="4">
        <v>170</v>
      </c>
      <c r="N17" s="4">
        <v>116</v>
      </c>
      <c r="O17" s="6">
        <f t="shared" si="1"/>
        <v>0.31764705882352939</v>
      </c>
      <c r="P17" s="4" t="s">
        <v>223</v>
      </c>
      <c r="Q17" s="4" t="s">
        <v>223</v>
      </c>
      <c r="R17" s="4" t="s">
        <v>223</v>
      </c>
      <c r="S17" s="4" t="s">
        <v>223</v>
      </c>
      <c r="T17" s="4" t="s">
        <v>223</v>
      </c>
      <c r="U17" s="4" t="s">
        <v>223</v>
      </c>
      <c r="V17" s="4">
        <v>0</v>
      </c>
      <c r="W17" s="4">
        <f t="shared" si="2"/>
        <v>0</v>
      </c>
      <c r="X17" s="4">
        <v>153</v>
      </c>
      <c r="Y17" s="4">
        <f t="shared" si="3"/>
        <v>153</v>
      </c>
      <c r="Z17" s="4"/>
      <c r="AA17" s="21">
        <f t="shared" si="4"/>
        <v>224</v>
      </c>
      <c r="AB17" s="6">
        <f t="shared" si="5"/>
        <v>0.3169642857142857</v>
      </c>
      <c r="AC17" s="4">
        <v>19</v>
      </c>
      <c r="AD17" s="4" t="str">
        <f t="shared" si="6"/>
        <v>-</v>
      </c>
      <c r="AE17" s="4" t="e">
        <f t="shared" si="7"/>
        <v>#VALUE!</v>
      </c>
      <c r="AF17" s="6" t="e">
        <f t="shared" si="8"/>
        <v>#VALUE!</v>
      </c>
      <c r="AG17" s="7">
        <v>230</v>
      </c>
      <c r="AH17" s="6">
        <f t="shared" si="9"/>
        <v>0.33478260869565213</v>
      </c>
      <c r="AI17" s="4">
        <f t="shared" si="10"/>
        <v>77</v>
      </c>
      <c r="AJ17" s="28"/>
      <c r="AK17" s="6"/>
      <c r="AL17" s="6"/>
      <c r="AM17" s="6" t="e">
        <f t="shared" si="11"/>
        <v>#DIV/0!</v>
      </c>
      <c r="AN17" s="6">
        <f t="shared" si="12"/>
        <v>1.3529411764705883</v>
      </c>
      <c r="AO17" s="6">
        <f t="shared" si="13"/>
        <v>1.3189655172413792</v>
      </c>
      <c r="AP17" s="4" t="str">
        <f t="shared" si="14"/>
        <v>-</v>
      </c>
      <c r="AQ17" s="4" t="str">
        <f t="shared" si="15"/>
        <v>-</v>
      </c>
      <c r="AR17" s="4" t="str">
        <f t="shared" si="16"/>
        <v>-</v>
      </c>
      <c r="AS17" s="4" t="str">
        <f t="shared" si="17"/>
        <v>-</v>
      </c>
      <c r="AT17" s="4" t="str">
        <f t="shared" si="18"/>
        <v>-</v>
      </c>
      <c r="AU17" s="4" t="str">
        <f t="shared" si="19"/>
        <v>-</v>
      </c>
      <c r="AV17" s="4">
        <v>0</v>
      </c>
      <c r="AW17" s="4" t="s">
        <v>223</v>
      </c>
      <c r="AX17" s="4"/>
      <c r="AY17" s="4"/>
      <c r="AZ17" s="4" t="s">
        <v>223</v>
      </c>
      <c r="BA17" s="4" t="s">
        <v>223</v>
      </c>
      <c r="BB17" s="4" t="s">
        <v>223</v>
      </c>
      <c r="BC17" s="4" t="str">
        <f t="shared" si="20"/>
        <v>-</v>
      </c>
      <c r="BD17" s="19">
        <v>4</v>
      </c>
      <c r="BE17" s="19">
        <v>1</v>
      </c>
      <c r="BF17" s="16">
        <v>18</v>
      </c>
      <c r="BG17" t="s">
        <v>223</v>
      </c>
      <c r="BH17">
        <v>475</v>
      </c>
      <c r="BI17">
        <v>619</v>
      </c>
      <c r="BJ17">
        <f t="shared" si="21"/>
        <v>816.43965517241372</v>
      </c>
      <c r="BK17" t="s">
        <v>223</v>
      </c>
      <c r="BL17" t="s">
        <v>319</v>
      </c>
    </row>
    <row r="18" spans="1:64" x14ac:dyDescent="0.4">
      <c r="A18" s="3">
        <v>32</v>
      </c>
      <c r="B18" s="3">
        <v>32</v>
      </c>
      <c r="C18" s="4" t="s">
        <v>88</v>
      </c>
      <c r="D18" s="4" t="str">
        <f t="shared" si="0"/>
        <v>J92535</v>
      </c>
      <c r="E18" s="4" t="s">
        <v>88</v>
      </c>
      <c r="F18" s="4" t="s">
        <v>171</v>
      </c>
      <c r="G18" s="5">
        <v>4972759519835</v>
      </c>
      <c r="H18" s="5"/>
      <c r="I18" s="5"/>
      <c r="J18" s="5">
        <v>1</v>
      </c>
      <c r="K18" s="5">
        <v>1</v>
      </c>
      <c r="L18" s="4">
        <v>0</v>
      </c>
      <c r="M18" s="4">
        <v>168</v>
      </c>
      <c r="N18" s="4">
        <v>119</v>
      </c>
      <c r="O18" s="6">
        <f t="shared" si="1"/>
        <v>0.29166666666666663</v>
      </c>
      <c r="P18" s="4">
        <v>155</v>
      </c>
      <c r="Q18" s="4">
        <v>5</v>
      </c>
      <c r="R18" s="4">
        <v>9</v>
      </c>
      <c r="S18" s="4">
        <v>131</v>
      </c>
      <c r="T18" s="4">
        <v>10</v>
      </c>
      <c r="U18" s="4">
        <v>99999</v>
      </c>
      <c r="V18" s="4">
        <v>0</v>
      </c>
      <c r="W18" s="4">
        <f t="shared" si="2"/>
        <v>0</v>
      </c>
      <c r="X18" s="4">
        <v>156</v>
      </c>
      <c r="Y18" s="4">
        <f t="shared" si="3"/>
        <v>156</v>
      </c>
      <c r="Z18" s="4"/>
      <c r="AA18" s="21">
        <f t="shared" si="4"/>
        <v>220</v>
      </c>
      <c r="AB18" s="6">
        <f t="shared" si="5"/>
        <v>0.29090909090909089</v>
      </c>
      <c r="AC18" s="4">
        <v>22.25</v>
      </c>
      <c r="AD18" s="4">
        <f t="shared" si="6"/>
        <v>323</v>
      </c>
      <c r="AE18" s="4">
        <f t="shared" si="7"/>
        <v>423.42857142857144</v>
      </c>
      <c r="AF18" s="6">
        <f t="shared" si="8"/>
        <v>0.63157894736842102</v>
      </c>
      <c r="AG18" s="7">
        <v>235</v>
      </c>
      <c r="AH18" s="6">
        <f t="shared" si="9"/>
        <v>0.33617021276595749</v>
      </c>
      <c r="AI18" s="4">
        <f t="shared" si="10"/>
        <v>79</v>
      </c>
      <c r="AJ18" s="28"/>
      <c r="AK18" s="6"/>
      <c r="AL18" s="6"/>
      <c r="AM18" s="6" t="e">
        <f t="shared" si="11"/>
        <v>#DIV/0!</v>
      </c>
      <c r="AN18" s="6">
        <f t="shared" si="12"/>
        <v>1.3988095238095237</v>
      </c>
      <c r="AO18" s="6">
        <f t="shared" si="13"/>
        <v>1.3109243697478992</v>
      </c>
      <c r="AP18" s="4">
        <f t="shared" si="14"/>
        <v>217</v>
      </c>
      <c r="AQ18" s="4">
        <f t="shared" si="15"/>
        <v>5</v>
      </c>
      <c r="AR18" s="4">
        <f t="shared" si="16"/>
        <v>9</v>
      </c>
      <c r="AS18" s="4">
        <f t="shared" si="17"/>
        <v>183</v>
      </c>
      <c r="AT18" s="4">
        <f t="shared" si="18"/>
        <v>10</v>
      </c>
      <c r="AU18" s="4">
        <f t="shared" si="19"/>
        <v>99999</v>
      </c>
      <c r="AV18" s="4">
        <v>0</v>
      </c>
      <c r="AW18" s="4" t="s">
        <v>260</v>
      </c>
      <c r="AX18" s="4"/>
      <c r="AY18" s="4"/>
      <c r="AZ18" s="4" t="s">
        <v>261</v>
      </c>
      <c r="BA18" s="4">
        <v>240</v>
      </c>
      <c r="BB18" s="4">
        <v>323</v>
      </c>
      <c r="BC18" s="4">
        <f t="shared" si="20"/>
        <v>323</v>
      </c>
      <c r="BD18" s="19">
        <v>4</v>
      </c>
      <c r="BE18" s="19">
        <v>1</v>
      </c>
      <c r="BF18" s="16">
        <v>18</v>
      </c>
      <c r="BG18" t="s">
        <v>223</v>
      </c>
      <c r="BH18" t="s">
        <v>223</v>
      </c>
      <c r="BI18" t="s">
        <v>223</v>
      </c>
      <c r="BJ18" t="str">
        <f t="shared" si="21"/>
        <v>-</v>
      </c>
      <c r="BK18" t="s">
        <v>231</v>
      </c>
      <c r="BL18" t="s">
        <v>319</v>
      </c>
    </row>
    <row r="19" spans="1:64" x14ac:dyDescent="0.4">
      <c r="A19" s="3">
        <v>58</v>
      </c>
      <c r="B19" s="3">
        <v>58</v>
      </c>
      <c r="C19" s="4" t="s">
        <v>114</v>
      </c>
      <c r="D19" s="4" t="str">
        <f t="shared" si="0"/>
        <v>5024AK</v>
      </c>
      <c r="E19" s="4" t="s">
        <v>114</v>
      </c>
      <c r="F19" s="4" t="s">
        <v>197</v>
      </c>
      <c r="G19" s="5">
        <v>4972759534258</v>
      </c>
      <c r="H19" s="5"/>
      <c r="I19" s="5"/>
      <c r="J19" s="5">
        <v>1</v>
      </c>
      <c r="K19" s="5">
        <v>1</v>
      </c>
      <c r="L19" s="4">
        <v>0</v>
      </c>
      <c r="M19" s="4">
        <v>178</v>
      </c>
      <c r="N19" s="4">
        <v>120</v>
      </c>
      <c r="O19" s="6">
        <f t="shared" si="1"/>
        <v>0.3258426966292135</v>
      </c>
      <c r="P19" s="4" t="s">
        <v>223</v>
      </c>
      <c r="Q19" s="4" t="s">
        <v>223</v>
      </c>
      <c r="R19" s="4" t="s">
        <v>223</v>
      </c>
      <c r="S19" s="4" t="s">
        <v>223</v>
      </c>
      <c r="T19" s="4" t="s">
        <v>223</v>
      </c>
      <c r="U19" s="4" t="s">
        <v>223</v>
      </c>
      <c r="V19" s="4">
        <v>0</v>
      </c>
      <c r="W19" s="4">
        <f t="shared" si="2"/>
        <v>0</v>
      </c>
      <c r="X19" s="4">
        <v>156</v>
      </c>
      <c r="Y19" s="4">
        <f t="shared" si="3"/>
        <v>156</v>
      </c>
      <c r="Z19" s="4"/>
      <c r="AA19" s="21">
        <f t="shared" si="4"/>
        <v>231</v>
      </c>
      <c r="AB19" s="6">
        <f t="shared" si="5"/>
        <v>0.32467532467532467</v>
      </c>
      <c r="AC19" s="4">
        <v>0</v>
      </c>
      <c r="AD19" s="4" t="str">
        <f t="shared" si="6"/>
        <v>-</v>
      </c>
      <c r="AE19" s="4" t="e">
        <f t="shared" si="7"/>
        <v>#VALUE!</v>
      </c>
      <c r="AF19" s="6" t="e">
        <f t="shared" si="8"/>
        <v>#VALUE!</v>
      </c>
      <c r="AG19" s="7">
        <v>235</v>
      </c>
      <c r="AH19" s="6">
        <f t="shared" si="9"/>
        <v>0.33617021276595749</v>
      </c>
      <c r="AI19" s="4">
        <f t="shared" si="10"/>
        <v>79</v>
      </c>
      <c r="AJ19" s="28"/>
      <c r="AK19" s="6"/>
      <c r="AL19" s="6"/>
      <c r="AM19" s="6" t="e">
        <f t="shared" si="11"/>
        <v>#DIV/0!</v>
      </c>
      <c r="AN19" s="6">
        <f t="shared" si="12"/>
        <v>1.3202247191011236</v>
      </c>
      <c r="AO19" s="6">
        <f t="shared" si="13"/>
        <v>1.3</v>
      </c>
      <c r="AP19" s="4" t="str">
        <f t="shared" si="14"/>
        <v>-</v>
      </c>
      <c r="AQ19" s="4" t="str">
        <f t="shared" si="15"/>
        <v>-</v>
      </c>
      <c r="AR19" s="4" t="str">
        <f t="shared" si="16"/>
        <v>-</v>
      </c>
      <c r="AS19" s="4" t="str">
        <f t="shared" si="17"/>
        <v>-</v>
      </c>
      <c r="AT19" s="4" t="str">
        <f t="shared" si="18"/>
        <v>-</v>
      </c>
      <c r="AU19" s="4" t="str">
        <f t="shared" si="19"/>
        <v>-</v>
      </c>
      <c r="AV19" s="4">
        <v>0</v>
      </c>
      <c r="AW19" s="4" t="s">
        <v>223</v>
      </c>
      <c r="AX19" s="4"/>
      <c r="AY19" s="4"/>
      <c r="AZ19" s="4" t="s">
        <v>223</v>
      </c>
      <c r="BA19" s="4" t="s">
        <v>223</v>
      </c>
      <c r="BB19" s="4" t="s">
        <v>223</v>
      </c>
      <c r="BC19" s="4" t="str">
        <f t="shared" si="20"/>
        <v>-</v>
      </c>
      <c r="BD19" s="19">
        <v>4</v>
      </c>
      <c r="BE19" s="19">
        <v>8</v>
      </c>
      <c r="BF19" s="16">
        <v>18</v>
      </c>
      <c r="BG19" t="s">
        <v>223</v>
      </c>
      <c r="BH19">
        <v>5035</v>
      </c>
      <c r="BI19">
        <v>5035</v>
      </c>
      <c r="BJ19">
        <f t="shared" si="21"/>
        <v>6545.5</v>
      </c>
      <c r="BK19" t="s">
        <v>223</v>
      </c>
      <c r="BL19" t="s">
        <v>319</v>
      </c>
    </row>
    <row r="20" spans="1:64" x14ac:dyDescent="0.4">
      <c r="A20" s="3">
        <v>64</v>
      </c>
      <c r="B20" s="3">
        <v>64</v>
      </c>
      <c r="C20" s="4" t="s">
        <v>120</v>
      </c>
      <c r="D20" s="4" t="str">
        <f t="shared" si="0"/>
        <v>5030AK</v>
      </c>
      <c r="E20" s="4" t="s">
        <v>120</v>
      </c>
      <c r="F20" s="4" t="s">
        <v>203</v>
      </c>
      <c r="G20" s="5">
        <v>4972759534319</v>
      </c>
      <c r="H20" s="5"/>
      <c r="I20" s="5"/>
      <c r="J20" s="5">
        <v>1</v>
      </c>
      <c r="K20" s="5">
        <v>1</v>
      </c>
      <c r="L20" s="4">
        <v>0</v>
      </c>
      <c r="M20" s="4">
        <v>178</v>
      </c>
      <c r="N20" s="4">
        <v>120</v>
      </c>
      <c r="O20" s="6">
        <f t="shared" si="1"/>
        <v>0.3258426966292135</v>
      </c>
      <c r="P20" s="4" t="s">
        <v>223</v>
      </c>
      <c r="Q20" s="4" t="s">
        <v>223</v>
      </c>
      <c r="R20" s="4" t="s">
        <v>223</v>
      </c>
      <c r="S20" s="4" t="s">
        <v>223</v>
      </c>
      <c r="T20" s="4" t="s">
        <v>223</v>
      </c>
      <c r="U20" s="4" t="s">
        <v>223</v>
      </c>
      <c r="V20" s="4">
        <v>0</v>
      </c>
      <c r="W20" s="4">
        <f t="shared" si="2"/>
        <v>0</v>
      </c>
      <c r="X20" s="4">
        <v>156</v>
      </c>
      <c r="Y20" s="4">
        <f t="shared" si="3"/>
        <v>156</v>
      </c>
      <c r="Z20" s="4"/>
      <c r="AA20" s="21">
        <f t="shared" si="4"/>
        <v>231</v>
      </c>
      <c r="AB20" s="6">
        <f t="shared" si="5"/>
        <v>0.32467532467532467</v>
      </c>
      <c r="AC20" s="4">
        <v>1.5</v>
      </c>
      <c r="AD20" s="4" t="str">
        <f t="shared" si="6"/>
        <v>-</v>
      </c>
      <c r="AE20" s="4" t="e">
        <f t="shared" si="7"/>
        <v>#VALUE!</v>
      </c>
      <c r="AF20" s="6" t="e">
        <f t="shared" si="8"/>
        <v>#VALUE!</v>
      </c>
      <c r="AG20" s="7">
        <v>235</v>
      </c>
      <c r="AH20" s="6">
        <f t="shared" si="9"/>
        <v>0.33617021276595749</v>
      </c>
      <c r="AI20" s="4">
        <f t="shared" si="10"/>
        <v>79</v>
      </c>
      <c r="AJ20" s="28"/>
      <c r="AK20" s="6"/>
      <c r="AL20" s="6"/>
      <c r="AM20" s="6" t="e">
        <f t="shared" si="11"/>
        <v>#DIV/0!</v>
      </c>
      <c r="AN20" s="6">
        <f t="shared" si="12"/>
        <v>1.3202247191011236</v>
      </c>
      <c r="AO20" s="6">
        <f t="shared" si="13"/>
        <v>1.3</v>
      </c>
      <c r="AP20" s="4" t="str">
        <f t="shared" si="14"/>
        <v>-</v>
      </c>
      <c r="AQ20" s="4" t="str">
        <f t="shared" si="15"/>
        <v>-</v>
      </c>
      <c r="AR20" s="4" t="str">
        <f t="shared" si="16"/>
        <v>-</v>
      </c>
      <c r="AS20" s="4" t="str">
        <f t="shared" si="17"/>
        <v>-</v>
      </c>
      <c r="AT20" s="4" t="str">
        <f t="shared" si="18"/>
        <v>-</v>
      </c>
      <c r="AU20" s="4" t="str">
        <f t="shared" si="19"/>
        <v>-</v>
      </c>
      <c r="AV20" s="4">
        <v>0</v>
      </c>
      <c r="AW20" s="4" t="s">
        <v>223</v>
      </c>
      <c r="AX20" s="4"/>
      <c r="AY20" s="4"/>
      <c r="AZ20" s="4" t="s">
        <v>223</v>
      </c>
      <c r="BA20" s="4" t="s">
        <v>223</v>
      </c>
      <c r="BB20" s="4" t="s">
        <v>223</v>
      </c>
      <c r="BC20" s="4" t="str">
        <f t="shared" si="20"/>
        <v>-</v>
      </c>
      <c r="BD20" s="19">
        <v>4</v>
      </c>
      <c r="BE20" s="19">
        <v>8</v>
      </c>
      <c r="BF20" s="16">
        <v>18</v>
      </c>
      <c r="BG20" t="s">
        <v>223</v>
      </c>
      <c r="BH20">
        <v>5035</v>
      </c>
      <c r="BI20">
        <v>5035</v>
      </c>
      <c r="BJ20">
        <f t="shared" si="21"/>
        <v>6545.5</v>
      </c>
      <c r="BK20" t="s">
        <v>223</v>
      </c>
      <c r="BL20" t="s">
        <v>319</v>
      </c>
    </row>
    <row r="21" spans="1:64" x14ac:dyDescent="0.4">
      <c r="A21" s="3">
        <v>26</v>
      </c>
      <c r="B21" s="3">
        <v>26</v>
      </c>
      <c r="C21" s="4" t="s">
        <v>82</v>
      </c>
      <c r="D21" s="4" t="str">
        <f t="shared" si="0"/>
        <v>J92555</v>
      </c>
      <c r="E21" s="4" t="s">
        <v>82</v>
      </c>
      <c r="F21" s="4" t="s">
        <v>165</v>
      </c>
      <c r="G21" s="5">
        <v>4972759517084</v>
      </c>
      <c r="H21" s="5"/>
      <c r="I21" s="5"/>
      <c r="J21" s="5">
        <v>1</v>
      </c>
      <c r="K21" s="5">
        <v>1</v>
      </c>
      <c r="L21" s="4">
        <v>0</v>
      </c>
      <c r="M21" s="4">
        <v>159</v>
      </c>
      <c r="N21" s="4">
        <v>121</v>
      </c>
      <c r="O21" s="6">
        <f t="shared" si="1"/>
        <v>0.23899371069182385</v>
      </c>
      <c r="P21" s="4" t="s">
        <v>223</v>
      </c>
      <c r="Q21" s="4" t="s">
        <v>223</v>
      </c>
      <c r="R21" s="4" t="s">
        <v>223</v>
      </c>
      <c r="S21" s="4" t="s">
        <v>223</v>
      </c>
      <c r="T21" s="4" t="s">
        <v>223</v>
      </c>
      <c r="U21" s="4" t="s">
        <v>223</v>
      </c>
      <c r="V21" s="4">
        <v>0</v>
      </c>
      <c r="W21" s="4">
        <f t="shared" si="2"/>
        <v>0</v>
      </c>
      <c r="X21" s="4">
        <v>159</v>
      </c>
      <c r="Y21" s="4">
        <f t="shared" si="3"/>
        <v>159</v>
      </c>
      <c r="Z21" s="4"/>
      <c r="AA21" s="21">
        <f t="shared" si="4"/>
        <v>209</v>
      </c>
      <c r="AB21" s="6">
        <f t="shared" si="5"/>
        <v>0.23923444976076558</v>
      </c>
      <c r="AC21" s="4">
        <v>0.25</v>
      </c>
      <c r="AD21" s="4">
        <f t="shared" si="6"/>
        <v>273</v>
      </c>
      <c r="AE21" s="4">
        <f t="shared" si="7"/>
        <v>358.73553719008265</v>
      </c>
      <c r="AF21" s="6">
        <f t="shared" si="8"/>
        <v>0.5567765567765568</v>
      </c>
      <c r="AG21" s="7">
        <v>240</v>
      </c>
      <c r="AH21" s="6">
        <f t="shared" si="9"/>
        <v>0.33750000000000002</v>
      </c>
      <c r="AI21" s="4">
        <f t="shared" si="10"/>
        <v>81</v>
      </c>
      <c r="AJ21" s="28"/>
      <c r="AK21" s="6"/>
      <c r="AL21" s="6"/>
      <c r="AM21" s="6" t="e">
        <f t="shared" si="11"/>
        <v>#DIV/0!</v>
      </c>
      <c r="AN21" s="6">
        <f t="shared" si="12"/>
        <v>1.5094339622641511</v>
      </c>
      <c r="AO21" s="6">
        <f t="shared" si="13"/>
        <v>1.3140495867768596</v>
      </c>
      <c r="AP21" s="4" t="str">
        <f t="shared" si="14"/>
        <v>-</v>
      </c>
      <c r="AQ21" s="4" t="str">
        <f t="shared" si="15"/>
        <v>-</v>
      </c>
      <c r="AR21" s="4" t="str">
        <f t="shared" si="16"/>
        <v>-</v>
      </c>
      <c r="AS21" s="4" t="str">
        <f t="shared" si="17"/>
        <v>-</v>
      </c>
      <c r="AT21" s="4" t="str">
        <f t="shared" si="18"/>
        <v>-</v>
      </c>
      <c r="AU21" s="4" t="str">
        <f t="shared" si="19"/>
        <v>-</v>
      </c>
      <c r="AV21" s="4">
        <v>0</v>
      </c>
      <c r="AW21" s="4" t="s">
        <v>259</v>
      </c>
      <c r="AX21" s="4"/>
      <c r="AY21" s="4"/>
      <c r="AZ21" s="4" t="s">
        <v>252</v>
      </c>
      <c r="BA21" s="4">
        <v>273</v>
      </c>
      <c r="BB21" s="4">
        <v>273</v>
      </c>
      <c r="BC21" s="4">
        <f t="shared" si="20"/>
        <v>273</v>
      </c>
      <c r="BD21" s="19">
        <v>4</v>
      </c>
      <c r="BE21" s="19">
        <v>8</v>
      </c>
      <c r="BF21" s="16">
        <v>18</v>
      </c>
      <c r="BG21" t="s">
        <v>223</v>
      </c>
      <c r="BH21">
        <v>254</v>
      </c>
      <c r="BI21">
        <v>337</v>
      </c>
      <c r="BJ21">
        <f t="shared" si="21"/>
        <v>442.83471074380168</v>
      </c>
      <c r="BK21" t="s">
        <v>230</v>
      </c>
      <c r="BL21" t="s">
        <v>319</v>
      </c>
    </row>
    <row r="22" spans="1:64" x14ac:dyDescent="0.4">
      <c r="A22" s="3">
        <v>40</v>
      </c>
      <c r="B22" s="3">
        <v>40</v>
      </c>
      <c r="C22" s="4" t="s">
        <v>96</v>
      </c>
      <c r="D22" s="4" t="str">
        <f t="shared" si="0"/>
        <v>J92472</v>
      </c>
      <c r="E22" s="4" t="s">
        <v>96</v>
      </c>
      <c r="F22" s="4" t="s">
        <v>179</v>
      </c>
      <c r="G22" s="5">
        <v>4972759522934</v>
      </c>
      <c r="H22" s="5"/>
      <c r="I22" s="5"/>
      <c r="J22" s="5">
        <v>1</v>
      </c>
      <c r="K22" s="5">
        <v>1</v>
      </c>
      <c r="L22" s="4">
        <v>0</v>
      </c>
      <c r="M22" s="4">
        <v>175</v>
      </c>
      <c r="N22" s="4">
        <v>121</v>
      </c>
      <c r="O22" s="6">
        <f t="shared" si="1"/>
        <v>0.30857142857142861</v>
      </c>
      <c r="P22" s="4" t="s">
        <v>223</v>
      </c>
      <c r="Q22" s="4" t="s">
        <v>223</v>
      </c>
      <c r="R22" s="4" t="s">
        <v>223</v>
      </c>
      <c r="S22" s="4" t="s">
        <v>223</v>
      </c>
      <c r="T22" s="4" t="s">
        <v>223</v>
      </c>
      <c r="U22" s="4" t="s">
        <v>223</v>
      </c>
      <c r="V22" s="4">
        <v>0</v>
      </c>
      <c r="W22" s="4">
        <f t="shared" si="2"/>
        <v>0</v>
      </c>
      <c r="X22" s="4">
        <v>159</v>
      </c>
      <c r="Y22" s="4">
        <f t="shared" si="3"/>
        <v>159</v>
      </c>
      <c r="Z22" s="4"/>
      <c r="AA22" s="21">
        <f t="shared" si="4"/>
        <v>230</v>
      </c>
      <c r="AB22" s="6">
        <f t="shared" si="5"/>
        <v>0.30869565217391304</v>
      </c>
      <c r="AC22" s="4">
        <v>11.25</v>
      </c>
      <c r="AD22" s="4" t="str">
        <f t="shared" si="6"/>
        <v>-</v>
      </c>
      <c r="AE22" s="4" t="e">
        <f t="shared" si="7"/>
        <v>#VALUE!</v>
      </c>
      <c r="AF22" s="6" t="e">
        <f t="shared" si="8"/>
        <v>#VALUE!</v>
      </c>
      <c r="AG22" s="7">
        <v>240</v>
      </c>
      <c r="AH22" s="6">
        <f t="shared" si="9"/>
        <v>0.33750000000000002</v>
      </c>
      <c r="AI22" s="4">
        <f t="shared" si="10"/>
        <v>81</v>
      </c>
      <c r="AJ22" s="28"/>
      <c r="AK22" s="6"/>
      <c r="AL22" s="6"/>
      <c r="AM22" s="6" t="e">
        <f t="shared" si="11"/>
        <v>#DIV/0!</v>
      </c>
      <c r="AN22" s="6">
        <f t="shared" si="12"/>
        <v>1.3714285714285714</v>
      </c>
      <c r="AO22" s="6">
        <f t="shared" si="13"/>
        <v>1.3140495867768596</v>
      </c>
      <c r="AP22" s="4" t="str">
        <f t="shared" si="14"/>
        <v>-</v>
      </c>
      <c r="AQ22" s="4" t="str">
        <f t="shared" si="15"/>
        <v>-</v>
      </c>
      <c r="AR22" s="4" t="str">
        <f t="shared" si="16"/>
        <v>-</v>
      </c>
      <c r="AS22" s="4" t="str">
        <f t="shared" si="17"/>
        <v>-</v>
      </c>
      <c r="AT22" s="4" t="str">
        <f t="shared" si="18"/>
        <v>-</v>
      </c>
      <c r="AU22" s="4" t="str">
        <f t="shared" si="19"/>
        <v>-</v>
      </c>
      <c r="AV22" s="4">
        <v>0</v>
      </c>
      <c r="AW22" s="4" t="s">
        <v>223</v>
      </c>
      <c r="AX22" s="4"/>
      <c r="AY22" s="4"/>
      <c r="AZ22" s="4" t="s">
        <v>223</v>
      </c>
      <c r="BA22" s="4" t="s">
        <v>223</v>
      </c>
      <c r="BB22" s="4" t="s">
        <v>223</v>
      </c>
      <c r="BC22" s="4" t="str">
        <f t="shared" si="20"/>
        <v>-</v>
      </c>
      <c r="BD22" s="19">
        <v>4</v>
      </c>
      <c r="BE22" s="19">
        <v>1</v>
      </c>
      <c r="BF22" s="16">
        <v>18</v>
      </c>
      <c r="BG22" t="s">
        <v>223</v>
      </c>
      <c r="BH22">
        <v>329</v>
      </c>
      <c r="BI22">
        <v>431</v>
      </c>
      <c r="BJ22">
        <f t="shared" si="21"/>
        <v>566.35537190082653</v>
      </c>
      <c r="BK22" t="s">
        <v>223</v>
      </c>
      <c r="BL22" t="s">
        <v>319</v>
      </c>
    </row>
    <row r="23" spans="1:64" x14ac:dyDescent="0.4">
      <c r="A23" s="3">
        <v>1</v>
      </c>
      <c r="B23" s="3">
        <v>1</v>
      </c>
      <c r="C23" s="4">
        <v>111045</v>
      </c>
      <c r="D23" s="4" t="str">
        <f t="shared" si="0"/>
        <v>111045</v>
      </c>
      <c r="E23" s="4">
        <v>111045</v>
      </c>
      <c r="F23" s="4" t="s">
        <v>140</v>
      </c>
      <c r="G23" s="5">
        <v>4562121173811</v>
      </c>
      <c r="H23" s="5"/>
      <c r="I23" s="5"/>
      <c r="J23" s="5">
        <v>1</v>
      </c>
      <c r="K23" s="5">
        <v>1</v>
      </c>
      <c r="L23" s="4">
        <v>0</v>
      </c>
      <c r="M23" s="4">
        <v>206</v>
      </c>
      <c r="N23" s="4">
        <v>125</v>
      </c>
      <c r="O23" s="6">
        <f t="shared" si="1"/>
        <v>0.39320388349514568</v>
      </c>
      <c r="P23" s="4" t="s">
        <v>223</v>
      </c>
      <c r="Q23" s="4" t="s">
        <v>223</v>
      </c>
      <c r="R23" s="4" t="s">
        <v>223</v>
      </c>
      <c r="S23" s="4" t="s">
        <v>223</v>
      </c>
      <c r="T23" s="4" t="s">
        <v>223</v>
      </c>
      <c r="U23" s="4" t="s">
        <v>223</v>
      </c>
      <c r="V23" s="4">
        <v>0</v>
      </c>
      <c r="W23" s="4">
        <f t="shared" si="2"/>
        <v>0</v>
      </c>
      <c r="X23" s="4">
        <v>165</v>
      </c>
      <c r="Y23" s="4">
        <f t="shared" si="3"/>
        <v>165</v>
      </c>
      <c r="Z23" s="4"/>
      <c r="AA23" s="21">
        <f t="shared" si="4"/>
        <v>272</v>
      </c>
      <c r="AB23" s="6">
        <f t="shared" si="5"/>
        <v>0.39338235294117652</v>
      </c>
      <c r="AC23" s="4">
        <v>2</v>
      </c>
      <c r="AD23" s="4">
        <f t="shared" si="6"/>
        <v>219</v>
      </c>
      <c r="AE23" s="4">
        <f t="shared" si="7"/>
        <v>289.08000000000004</v>
      </c>
      <c r="AF23" s="6">
        <f t="shared" si="8"/>
        <v>0.42922374429223753</v>
      </c>
      <c r="AG23" s="7">
        <v>274</v>
      </c>
      <c r="AH23" s="6">
        <f t="shared" si="9"/>
        <v>0.3978102189781022</v>
      </c>
      <c r="AI23" s="4">
        <f t="shared" si="10"/>
        <v>109</v>
      </c>
      <c r="AJ23" s="28"/>
      <c r="AK23" s="6" t="e">
        <f>1-Y23/AJ23</f>
        <v>#DIV/0!</v>
      </c>
      <c r="AL23" s="4">
        <f>AJ23-Y23</f>
        <v>-165</v>
      </c>
      <c r="AM23" s="6" t="e">
        <f t="shared" si="11"/>
        <v>#DIV/0!</v>
      </c>
      <c r="AN23" s="6">
        <f t="shared" si="12"/>
        <v>1.3300970873786409</v>
      </c>
      <c r="AO23" s="6">
        <f t="shared" si="13"/>
        <v>1.32</v>
      </c>
      <c r="AP23" s="4" t="str">
        <f t="shared" si="14"/>
        <v>-</v>
      </c>
      <c r="AQ23" s="4" t="str">
        <f t="shared" si="15"/>
        <v>-</v>
      </c>
      <c r="AR23" s="4" t="str">
        <f t="shared" si="16"/>
        <v>-</v>
      </c>
      <c r="AS23" s="4" t="str">
        <f t="shared" si="17"/>
        <v>-</v>
      </c>
      <c r="AT23" s="4" t="str">
        <f t="shared" si="18"/>
        <v>-</v>
      </c>
      <c r="AU23" s="4" t="str">
        <f t="shared" si="19"/>
        <v>-</v>
      </c>
      <c r="AV23" s="4">
        <v>0</v>
      </c>
      <c r="AW23" s="4" t="s">
        <v>251</v>
      </c>
      <c r="AX23" s="4"/>
      <c r="AY23" s="4"/>
      <c r="AZ23" s="4" t="s">
        <v>252</v>
      </c>
      <c r="BA23" s="4">
        <v>219</v>
      </c>
      <c r="BB23" s="4">
        <v>219</v>
      </c>
      <c r="BC23" s="4">
        <f t="shared" si="20"/>
        <v>219</v>
      </c>
      <c r="BD23" s="19">
        <v>4</v>
      </c>
      <c r="BE23" s="19">
        <v>1</v>
      </c>
      <c r="BF23" s="16">
        <v>18</v>
      </c>
      <c r="BG23" t="s">
        <v>223</v>
      </c>
      <c r="BH23">
        <v>204</v>
      </c>
      <c r="BI23">
        <v>204</v>
      </c>
      <c r="BJ23">
        <f t="shared" si="21"/>
        <v>269.28000000000003</v>
      </c>
      <c r="BK23" t="s">
        <v>225</v>
      </c>
      <c r="BL23" t="s">
        <v>319</v>
      </c>
    </row>
    <row r="24" spans="1:64" x14ac:dyDescent="0.4">
      <c r="A24" s="3">
        <v>33</v>
      </c>
      <c r="B24" s="3">
        <v>33</v>
      </c>
      <c r="C24" s="4" t="s">
        <v>89</v>
      </c>
      <c r="D24" s="4" t="str">
        <f t="shared" si="0"/>
        <v>J92534</v>
      </c>
      <c r="E24" s="4" t="s">
        <v>89</v>
      </c>
      <c r="F24" s="4" t="s">
        <v>172</v>
      </c>
      <c r="G24" s="5">
        <v>4972759519842</v>
      </c>
      <c r="H24" s="5"/>
      <c r="I24" s="5"/>
      <c r="J24" s="5">
        <v>1</v>
      </c>
      <c r="K24" s="5">
        <v>1</v>
      </c>
      <c r="L24" s="4">
        <v>0</v>
      </c>
      <c r="M24" s="4">
        <v>179</v>
      </c>
      <c r="N24" s="4">
        <v>126</v>
      </c>
      <c r="O24" s="6">
        <f t="shared" si="1"/>
        <v>0.2960893854748603</v>
      </c>
      <c r="P24" s="4">
        <v>164</v>
      </c>
      <c r="Q24" s="4">
        <v>5</v>
      </c>
      <c r="R24" s="4">
        <v>9</v>
      </c>
      <c r="S24" s="4">
        <v>139</v>
      </c>
      <c r="T24" s="4">
        <v>10</v>
      </c>
      <c r="U24" s="4">
        <v>99999</v>
      </c>
      <c r="V24" s="4">
        <v>0</v>
      </c>
      <c r="W24" s="4">
        <f t="shared" si="2"/>
        <v>0</v>
      </c>
      <c r="X24" s="4">
        <v>166</v>
      </c>
      <c r="Y24" s="4">
        <f t="shared" si="3"/>
        <v>166</v>
      </c>
      <c r="Z24" s="4"/>
      <c r="AA24" s="21">
        <f t="shared" si="4"/>
        <v>236</v>
      </c>
      <c r="AB24" s="6">
        <f t="shared" si="5"/>
        <v>0.29661016949152541</v>
      </c>
      <c r="AC24" s="4">
        <v>19.5</v>
      </c>
      <c r="AD24" s="4" t="str">
        <f t="shared" si="6"/>
        <v>-</v>
      </c>
      <c r="AE24" s="4" t="e">
        <f t="shared" si="7"/>
        <v>#VALUE!</v>
      </c>
      <c r="AF24" s="6" t="e">
        <f t="shared" si="8"/>
        <v>#VALUE!</v>
      </c>
      <c r="AG24" s="7">
        <v>250</v>
      </c>
      <c r="AH24" s="6">
        <f t="shared" si="9"/>
        <v>0.33599999999999997</v>
      </c>
      <c r="AI24" s="4">
        <f t="shared" si="10"/>
        <v>84</v>
      </c>
      <c r="AJ24" s="28"/>
      <c r="AK24" s="6"/>
      <c r="AL24" s="6"/>
      <c r="AM24" s="6" t="e">
        <f t="shared" si="11"/>
        <v>#DIV/0!</v>
      </c>
      <c r="AN24" s="6">
        <f t="shared" si="12"/>
        <v>1.3966480446927374</v>
      </c>
      <c r="AO24" s="6">
        <f t="shared" si="13"/>
        <v>1.3174603174603174</v>
      </c>
      <c r="AP24" s="4">
        <f t="shared" si="14"/>
        <v>229</v>
      </c>
      <c r="AQ24" s="4">
        <f t="shared" si="15"/>
        <v>5</v>
      </c>
      <c r="AR24" s="4">
        <f t="shared" si="16"/>
        <v>9</v>
      </c>
      <c r="AS24" s="4">
        <f t="shared" si="17"/>
        <v>194</v>
      </c>
      <c r="AT24" s="4">
        <f t="shared" si="18"/>
        <v>10</v>
      </c>
      <c r="AU24" s="4">
        <f t="shared" si="19"/>
        <v>99999</v>
      </c>
      <c r="AV24" s="4">
        <v>0</v>
      </c>
      <c r="AW24" s="4" t="s">
        <v>223</v>
      </c>
      <c r="AX24" s="4"/>
      <c r="AY24" s="4"/>
      <c r="AZ24" s="4" t="s">
        <v>223</v>
      </c>
      <c r="BA24" s="4" t="s">
        <v>223</v>
      </c>
      <c r="BB24" s="4" t="s">
        <v>223</v>
      </c>
      <c r="BC24" s="4" t="str">
        <f t="shared" si="20"/>
        <v>-</v>
      </c>
      <c r="BD24" s="19">
        <v>4</v>
      </c>
      <c r="BE24" s="19">
        <v>1</v>
      </c>
      <c r="BF24" s="16">
        <v>18</v>
      </c>
      <c r="BG24" t="s">
        <v>223</v>
      </c>
      <c r="BH24" t="s">
        <v>223</v>
      </c>
      <c r="BI24" t="s">
        <v>223</v>
      </c>
      <c r="BJ24" t="str">
        <f t="shared" si="21"/>
        <v>-</v>
      </c>
      <c r="BK24" t="s">
        <v>223</v>
      </c>
      <c r="BL24" t="s">
        <v>319</v>
      </c>
    </row>
    <row r="25" spans="1:64" x14ac:dyDescent="0.4">
      <c r="A25" s="3">
        <v>31</v>
      </c>
      <c r="B25" s="3">
        <v>31</v>
      </c>
      <c r="C25" s="4" t="s">
        <v>87</v>
      </c>
      <c r="D25" s="4" t="str">
        <f t="shared" si="0"/>
        <v>J92536</v>
      </c>
      <c r="E25" s="4" t="s">
        <v>87</v>
      </c>
      <c r="F25" s="4" t="s">
        <v>170</v>
      </c>
      <c r="G25" s="5">
        <v>4972759519828</v>
      </c>
      <c r="H25" s="5"/>
      <c r="I25" s="5"/>
      <c r="J25" s="5">
        <v>1</v>
      </c>
      <c r="K25" s="5">
        <v>1</v>
      </c>
      <c r="L25" s="4">
        <v>0</v>
      </c>
      <c r="M25" s="4">
        <v>187</v>
      </c>
      <c r="N25" s="4">
        <v>127</v>
      </c>
      <c r="O25" s="6">
        <f t="shared" si="1"/>
        <v>0.32085561497326198</v>
      </c>
      <c r="P25" s="4">
        <v>174</v>
      </c>
      <c r="Q25" s="4">
        <v>5</v>
      </c>
      <c r="R25" s="4">
        <v>9</v>
      </c>
      <c r="S25" s="4">
        <v>154</v>
      </c>
      <c r="T25" s="4">
        <v>10</v>
      </c>
      <c r="U25" s="4">
        <v>99999</v>
      </c>
      <c r="V25" s="4">
        <v>0</v>
      </c>
      <c r="W25" s="4">
        <f t="shared" si="2"/>
        <v>0</v>
      </c>
      <c r="X25" s="4">
        <v>167</v>
      </c>
      <c r="Y25" s="4">
        <f t="shared" si="3"/>
        <v>167</v>
      </c>
      <c r="Z25" s="4"/>
      <c r="AA25" s="21">
        <f t="shared" si="4"/>
        <v>246</v>
      </c>
      <c r="AB25" s="6">
        <f t="shared" si="5"/>
        <v>0.32113821138211385</v>
      </c>
      <c r="AC25" s="4">
        <v>11.5</v>
      </c>
      <c r="AD25" s="4" t="str">
        <f t="shared" si="6"/>
        <v>-</v>
      </c>
      <c r="AE25" s="4" t="e">
        <f t="shared" si="7"/>
        <v>#VALUE!</v>
      </c>
      <c r="AF25" s="6" t="e">
        <f t="shared" si="8"/>
        <v>#VALUE!</v>
      </c>
      <c r="AG25" s="7">
        <v>250</v>
      </c>
      <c r="AH25" s="6">
        <f t="shared" si="9"/>
        <v>0.33199999999999996</v>
      </c>
      <c r="AI25" s="4">
        <f t="shared" si="10"/>
        <v>83</v>
      </c>
      <c r="AJ25" s="28"/>
      <c r="AK25" s="6"/>
      <c r="AL25" s="6"/>
      <c r="AM25" s="6" t="e">
        <f t="shared" si="11"/>
        <v>#DIV/0!</v>
      </c>
      <c r="AN25" s="6">
        <f t="shared" si="12"/>
        <v>1.3368983957219251</v>
      </c>
      <c r="AO25" s="6">
        <f t="shared" si="13"/>
        <v>1.3149606299212599</v>
      </c>
      <c r="AP25" s="4">
        <f t="shared" si="14"/>
        <v>233</v>
      </c>
      <c r="AQ25" s="4">
        <f t="shared" si="15"/>
        <v>5</v>
      </c>
      <c r="AR25" s="4">
        <f t="shared" si="16"/>
        <v>9</v>
      </c>
      <c r="AS25" s="4">
        <f t="shared" si="17"/>
        <v>206</v>
      </c>
      <c r="AT25" s="4">
        <f t="shared" si="18"/>
        <v>10</v>
      </c>
      <c r="AU25" s="4">
        <f t="shared" si="19"/>
        <v>99999</v>
      </c>
      <c r="AV25" s="4">
        <v>0</v>
      </c>
      <c r="AW25" s="4" t="s">
        <v>223</v>
      </c>
      <c r="AX25" s="4"/>
      <c r="AY25" s="4"/>
      <c r="AZ25" s="4" t="s">
        <v>223</v>
      </c>
      <c r="BA25" s="4" t="s">
        <v>223</v>
      </c>
      <c r="BB25" s="4" t="s">
        <v>223</v>
      </c>
      <c r="BC25" s="4" t="str">
        <f t="shared" si="20"/>
        <v>-</v>
      </c>
      <c r="BD25" s="19">
        <v>4</v>
      </c>
      <c r="BE25" s="19">
        <v>1</v>
      </c>
      <c r="BF25" s="16">
        <v>18</v>
      </c>
      <c r="BG25" t="s">
        <v>223</v>
      </c>
      <c r="BH25" t="s">
        <v>223</v>
      </c>
      <c r="BI25" t="s">
        <v>223</v>
      </c>
      <c r="BJ25" t="str">
        <f t="shared" si="21"/>
        <v>-</v>
      </c>
      <c r="BK25" t="s">
        <v>223</v>
      </c>
      <c r="BL25" t="s">
        <v>319</v>
      </c>
    </row>
    <row r="26" spans="1:64" x14ac:dyDescent="0.4">
      <c r="A26" s="3">
        <v>78</v>
      </c>
      <c r="B26" s="3">
        <v>78</v>
      </c>
      <c r="C26" s="4" t="s">
        <v>134</v>
      </c>
      <c r="D26" s="4" t="str">
        <f t="shared" si="0"/>
        <v>5038AK</v>
      </c>
      <c r="E26" s="4" t="s">
        <v>134</v>
      </c>
      <c r="F26" s="4" t="s">
        <v>217</v>
      </c>
      <c r="G26" s="5">
        <v>4972759537631</v>
      </c>
      <c r="H26" s="5"/>
      <c r="I26" s="5"/>
      <c r="J26" s="5">
        <v>1</v>
      </c>
      <c r="K26" s="5">
        <v>1</v>
      </c>
      <c r="L26" s="4">
        <v>0</v>
      </c>
      <c r="M26" s="4">
        <v>228</v>
      </c>
      <c r="N26" s="4">
        <v>135</v>
      </c>
      <c r="O26" s="6">
        <f t="shared" si="1"/>
        <v>0.40789473684210531</v>
      </c>
      <c r="P26" s="4" t="s">
        <v>223</v>
      </c>
      <c r="Q26" s="4" t="s">
        <v>223</v>
      </c>
      <c r="R26" s="4" t="s">
        <v>223</v>
      </c>
      <c r="S26" s="4" t="s">
        <v>223</v>
      </c>
      <c r="T26" s="4" t="s">
        <v>223</v>
      </c>
      <c r="U26" s="4" t="s">
        <v>223</v>
      </c>
      <c r="V26" s="4">
        <v>0</v>
      </c>
      <c r="W26" s="4">
        <f t="shared" si="2"/>
        <v>0</v>
      </c>
      <c r="X26" s="4">
        <v>176</v>
      </c>
      <c r="Y26" s="4">
        <f t="shared" si="3"/>
        <v>176</v>
      </c>
      <c r="Z26" s="4"/>
      <c r="AA26" s="21">
        <f t="shared" si="4"/>
        <v>297</v>
      </c>
      <c r="AB26" s="6">
        <f t="shared" si="5"/>
        <v>0.40740740740740744</v>
      </c>
      <c r="AC26" s="4">
        <v>0.25</v>
      </c>
      <c r="AD26" s="4" t="str">
        <f t="shared" si="6"/>
        <v>-</v>
      </c>
      <c r="AE26" s="4" t="e">
        <f t="shared" si="7"/>
        <v>#VALUE!</v>
      </c>
      <c r="AF26" s="6" t="e">
        <f t="shared" si="8"/>
        <v>#VALUE!</v>
      </c>
      <c r="AG26" s="7">
        <v>295</v>
      </c>
      <c r="AH26" s="6">
        <f t="shared" si="9"/>
        <v>0.40338983050847455</v>
      </c>
      <c r="AI26" s="4">
        <f t="shared" si="10"/>
        <v>119</v>
      </c>
      <c r="AJ26" s="28"/>
      <c r="AK26" s="6"/>
      <c r="AL26" s="6"/>
      <c r="AM26" s="6" t="e">
        <f t="shared" si="11"/>
        <v>#DIV/0!</v>
      </c>
      <c r="AN26" s="6">
        <f t="shared" si="12"/>
        <v>1.2938596491228069</v>
      </c>
      <c r="AO26" s="6">
        <f t="shared" si="13"/>
        <v>1.3037037037037038</v>
      </c>
      <c r="AP26" s="4" t="str">
        <f t="shared" si="14"/>
        <v>-</v>
      </c>
      <c r="AQ26" s="4" t="str">
        <f t="shared" si="15"/>
        <v>-</v>
      </c>
      <c r="AR26" s="4" t="str">
        <f t="shared" si="16"/>
        <v>-</v>
      </c>
      <c r="AS26" s="4" t="str">
        <f t="shared" si="17"/>
        <v>-</v>
      </c>
      <c r="AT26" s="4" t="str">
        <f t="shared" si="18"/>
        <v>-</v>
      </c>
      <c r="AU26" s="4" t="str">
        <f t="shared" si="19"/>
        <v>-</v>
      </c>
      <c r="AV26" s="4">
        <v>0</v>
      </c>
      <c r="AW26" s="4" t="s">
        <v>223</v>
      </c>
      <c r="AX26" s="4"/>
      <c r="AY26" s="4"/>
      <c r="AZ26" s="4" t="s">
        <v>223</v>
      </c>
      <c r="BA26" s="4" t="s">
        <v>223</v>
      </c>
      <c r="BB26" s="4" t="s">
        <v>223</v>
      </c>
      <c r="BC26" s="4" t="str">
        <f t="shared" si="20"/>
        <v>-</v>
      </c>
      <c r="BD26" s="19">
        <v>4</v>
      </c>
      <c r="BE26" s="19">
        <v>8</v>
      </c>
      <c r="BF26" s="16">
        <v>18</v>
      </c>
      <c r="BG26" t="s">
        <v>223</v>
      </c>
      <c r="BH26">
        <v>238</v>
      </c>
      <c r="BI26">
        <v>233</v>
      </c>
      <c r="BJ26">
        <f t="shared" si="21"/>
        <v>303.762962962963</v>
      </c>
      <c r="BK26" t="s">
        <v>223</v>
      </c>
      <c r="BL26" t="s">
        <v>319</v>
      </c>
    </row>
    <row r="27" spans="1:64" x14ac:dyDescent="0.4">
      <c r="A27" s="3">
        <v>49</v>
      </c>
      <c r="B27" s="3">
        <v>49</v>
      </c>
      <c r="C27" s="4" t="s">
        <v>105</v>
      </c>
      <c r="D27" s="4" t="str">
        <f t="shared" si="0"/>
        <v>J92670</v>
      </c>
      <c r="E27" s="4" t="s">
        <v>105</v>
      </c>
      <c r="F27" s="4" t="s">
        <v>188</v>
      </c>
      <c r="G27" s="5">
        <v>4972759526161</v>
      </c>
      <c r="H27" s="5"/>
      <c r="I27" s="5"/>
      <c r="J27" s="5">
        <v>1</v>
      </c>
      <c r="K27" s="5">
        <v>1</v>
      </c>
      <c r="L27" s="4">
        <v>0</v>
      </c>
      <c r="M27" s="4">
        <v>201</v>
      </c>
      <c r="N27" s="4">
        <v>136</v>
      </c>
      <c r="O27" s="6">
        <f t="shared" si="1"/>
        <v>0.3233830845771144</v>
      </c>
      <c r="P27" s="4" t="s">
        <v>223</v>
      </c>
      <c r="Q27" s="4" t="s">
        <v>223</v>
      </c>
      <c r="R27" s="4" t="s">
        <v>223</v>
      </c>
      <c r="S27" s="4" t="s">
        <v>223</v>
      </c>
      <c r="T27" s="4" t="s">
        <v>223</v>
      </c>
      <c r="U27" s="4" t="s">
        <v>223</v>
      </c>
      <c r="V27" s="4">
        <v>0</v>
      </c>
      <c r="W27" s="4">
        <f t="shared" si="2"/>
        <v>0</v>
      </c>
      <c r="X27" s="4">
        <v>177</v>
      </c>
      <c r="Y27" s="4">
        <f t="shared" si="3"/>
        <v>177</v>
      </c>
      <c r="Z27" s="4"/>
      <c r="AA27" s="21">
        <f t="shared" si="4"/>
        <v>262</v>
      </c>
      <c r="AB27" s="6">
        <f t="shared" si="5"/>
        <v>0.32442748091603058</v>
      </c>
      <c r="AC27" s="4">
        <v>13.750000000000002</v>
      </c>
      <c r="AD27" s="4" t="str">
        <f t="shared" si="6"/>
        <v>-</v>
      </c>
      <c r="AE27" s="4" t="e">
        <f t="shared" si="7"/>
        <v>#VALUE!</v>
      </c>
      <c r="AF27" s="6" t="e">
        <f t="shared" si="8"/>
        <v>#VALUE!</v>
      </c>
      <c r="AG27" s="7">
        <v>270</v>
      </c>
      <c r="AH27" s="6">
        <f t="shared" si="9"/>
        <v>0.34444444444444444</v>
      </c>
      <c r="AI27" s="4">
        <f t="shared" si="10"/>
        <v>93</v>
      </c>
      <c r="AJ27" s="28"/>
      <c r="AK27" s="6"/>
      <c r="AL27" s="6"/>
      <c r="AM27" s="6" t="e">
        <f t="shared" si="11"/>
        <v>#DIV/0!</v>
      </c>
      <c r="AN27" s="6">
        <f t="shared" si="12"/>
        <v>1.3432835820895523</v>
      </c>
      <c r="AO27" s="6">
        <f t="shared" si="13"/>
        <v>1.3014705882352942</v>
      </c>
      <c r="AP27" s="4" t="str">
        <f t="shared" si="14"/>
        <v>-</v>
      </c>
      <c r="AQ27" s="4" t="str">
        <f t="shared" si="15"/>
        <v>-</v>
      </c>
      <c r="AR27" s="4" t="str">
        <f t="shared" si="16"/>
        <v>-</v>
      </c>
      <c r="AS27" s="4" t="str">
        <f t="shared" si="17"/>
        <v>-</v>
      </c>
      <c r="AT27" s="4" t="str">
        <f t="shared" si="18"/>
        <v>-</v>
      </c>
      <c r="AU27" s="4" t="str">
        <f t="shared" si="19"/>
        <v>-</v>
      </c>
      <c r="AV27" s="4">
        <v>0</v>
      </c>
      <c r="AW27" s="4" t="s">
        <v>223</v>
      </c>
      <c r="AX27" s="4"/>
      <c r="AY27" s="4"/>
      <c r="AZ27" s="4" t="s">
        <v>223</v>
      </c>
      <c r="BA27" s="4" t="s">
        <v>223</v>
      </c>
      <c r="BB27" s="4" t="s">
        <v>223</v>
      </c>
      <c r="BC27" s="4" t="str">
        <f t="shared" si="20"/>
        <v>-</v>
      </c>
      <c r="BD27" s="19">
        <v>4</v>
      </c>
      <c r="BE27" s="19">
        <v>1</v>
      </c>
      <c r="BF27" s="16">
        <v>18</v>
      </c>
      <c r="BG27" t="s">
        <v>223</v>
      </c>
      <c r="BH27">
        <v>190</v>
      </c>
      <c r="BI27">
        <v>249</v>
      </c>
      <c r="BJ27">
        <f t="shared" si="21"/>
        <v>324.06617647058823</v>
      </c>
      <c r="BK27" t="s">
        <v>223</v>
      </c>
      <c r="BL27" t="s">
        <v>319</v>
      </c>
    </row>
    <row r="28" spans="1:64" x14ac:dyDescent="0.4">
      <c r="A28" s="3">
        <v>34</v>
      </c>
      <c r="B28" s="3">
        <v>34</v>
      </c>
      <c r="C28" s="4" t="s">
        <v>90</v>
      </c>
      <c r="D28" s="4" t="str">
        <f t="shared" si="0"/>
        <v>J92583</v>
      </c>
      <c r="E28" s="4" t="s">
        <v>90</v>
      </c>
      <c r="F28" s="4" t="s">
        <v>173</v>
      </c>
      <c r="G28" s="5">
        <v>4972759522194</v>
      </c>
      <c r="H28" s="5"/>
      <c r="I28" s="5"/>
      <c r="J28" s="5">
        <v>1</v>
      </c>
      <c r="K28" s="5">
        <v>1</v>
      </c>
      <c r="L28" s="4">
        <v>0</v>
      </c>
      <c r="M28" s="4">
        <v>200</v>
      </c>
      <c r="N28" s="4">
        <v>141</v>
      </c>
      <c r="O28" s="6">
        <f t="shared" si="1"/>
        <v>0.29500000000000004</v>
      </c>
      <c r="P28" s="4" t="s">
        <v>223</v>
      </c>
      <c r="Q28" s="4" t="s">
        <v>223</v>
      </c>
      <c r="R28" s="4" t="s">
        <v>223</v>
      </c>
      <c r="S28" s="4" t="s">
        <v>223</v>
      </c>
      <c r="T28" s="4" t="s">
        <v>223</v>
      </c>
      <c r="U28" s="4" t="s">
        <v>223</v>
      </c>
      <c r="V28" s="4">
        <v>0</v>
      </c>
      <c r="W28" s="4">
        <f t="shared" si="2"/>
        <v>0</v>
      </c>
      <c r="X28" s="4">
        <v>184</v>
      </c>
      <c r="Y28" s="4">
        <f t="shared" si="3"/>
        <v>184</v>
      </c>
      <c r="Z28" s="4"/>
      <c r="AA28" s="21">
        <f t="shared" si="4"/>
        <v>261</v>
      </c>
      <c r="AB28" s="6">
        <f t="shared" si="5"/>
        <v>0.29501915708812265</v>
      </c>
      <c r="AC28" s="4">
        <v>0.5</v>
      </c>
      <c r="AD28" s="4" t="str">
        <f t="shared" si="6"/>
        <v>-</v>
      </c>
      <c r="AE28" s="4" t="e">
        <f t="shared" si="7"/>
        <v>#VALUE!</v>
      </c>
      <c r="AF28" s="6" t="e">
        <f t="shared" si="8"/>
        <v>#VALUE!</v>
      </c>
      <c r="AG28" s="7">
        <v>275</v>
      </c>
      <c r="AH28" s="6">
        <f t="shared" si="9"/>
        <v>0.33090909090909093</v>
      </c>
      <c r="AI28" s="4">
        <f t="shared" si="10"/>
        <v>91</v>
      </c>
      <c r="AJ28" s="28"/>
      <c r="AK28" s="6"/>
      <c r="AL28" s="6"/>
      <c r="AM28" s="6" t="e">
        <f t="shared" si="11"/>
        <v>#DIV/0!</v>
      </c>
      <c r="AN28" s="6">
        <f t="shared" si="12"/>
        <v>1.375</v>
      </c>
      <c r="AO28" s="6">
        <f t="shared" si="13"/>
        <v>1.3049645390070923</v>
      </c>
      <c r="AP28" s="4" t="str">
        <f t="shared" si="14"/>
        <v>-</v>
      </c>
      <c r="AQ28" s="4" t="str">
        <f t="shared" si="15"/>
        <v>-</v>
      </c>
      <c r="AR28" s="4" t="str">
        <f t="shared" si="16"/>
        <v>-</v>
      </c>
      <c r="AS28" s="4" t="str">
        <f t="shared" si="17"/>
        <v>-</v>
      </c>
      <c r="AT28" s="4" t="str">
        <f t="shared" si="18"/>
        <v>-</v>
      </c>
      <c r="AU28" s="4" t="str">
        <f t="shared" si="19"/>
        <v>-</v>
      </c>
      <c r="AV28" s="4">
        <v>0</v>
      </c>
      <c r="AW28" s="4" t="s">
        <v>223</v>
      </c>
      <c r="AX28" s="4"/>
      <c r="AY28" s="4"/>
      <c r="AZ28" s="4" t="s">
        <v>223</v>
      </c>
      <c r="BA28" s="4" t="s">
        <v>223</v>
      </c>
      <c r="BB28" s="4" t="s">
        <v>223</v>
      </c>
      <c r="BC28" s="4" t="str">
        <f t="shared" si="20"/>
        <v>-</v>
      </c>
      <c r="BD28" s="19">
        <v>4</v>
      </c>
      <c r="BE28" s="19">
        <v>8</v>
      </c>
      <c r="BF28" s="16">
        <v>18</v>
      </c>
      <c r="BG28" t="s">
        <v>223</v>
      </c>
      <c r="BH28">
        <v>10640</v>
      </c>
      <c r="BI28">
        <v>10640</v>
      </c>
      <c r="BJ28">
        <f t="shared" si="21"/>
        <v>13884.822695035462</v>
      </c>
      <c r="BK28" t="s">
        <v>223</v>
      </c>
      <c r="BL28" t="s">
        <v>319</v>
      </c>
    </row>
    <row r="29" spans="1:64" x14ac:dyDescent="0.4">
      <c r="A29" s="3">
        <v>69</v>
      </c>
      <c r="B29" s="3">
        <v>69</v>
      </c>
      <c r="C29" s="4" t="s">
        <v>125</v>
      </c>
      <c r="D29" s="4" t="str">
        <f t="shared" si="0"/>
        <v>5035AK</v>
      </c>
      <c r="E29" s="4" t="s">
        <v>125</v>
      </c>
      <c r="F29" s="4" t="s">
        <v>208</v>
      </c>
      <c r="G29" s="5">
        <v>4972759534364</v>
      </c>
      <c r="H29" s="5"/>
      <c r="I29" s="5"/>
      <c r="J29" s="5">
        <v>1</v>
      </c>
      <c r="K29" s="5">
        <v>1</v>
      </c>
      <c r="L29" s="4">
        <v>0</v>
      </c>
      <c r="M29" s="4">
        <v>228</v>
      </c>
      <c r="N29" s="4">
        <v>142</v>
      </c>
      <c r="O29" s="6">
        <f t="shared" si="1"/>
        <v>0.3771929824561403</v>
      </c>
      <c r="P29" s="4" t="s">
        <v>223</v>
      </c>
      <c r="Q29" s="4" t="s">
        <v>223</v>
      </c>
      <c r="R29" s="4" t="s">
        <v>223</v>
      </c>
      <c r="S29" s="4" t="s">
        <v>223</v>
      </c>
      <c r="T29" s="4" t="s">
        <v>223</v>
      </c>
      <c r="U29" s="4" t="s">
        <v>223</v>
      </c>
      <c r="V29" s="4">
        <v>0</v>
      </c>
      <c r="W29" s="4">
        <f t="shared" si="2"/>
        <v>0</v>
      </c>
      <c r="X29" s="4">
        <v>184</v>
      </c>
      <c r="Y29" s="4">
        <f t="shared" si="3"/>
        <v>184</v>
      </c>
      <c r="Z29" s="4"/>
      <c r="AA29" s="21">
        <f t="shared" si="4"/>
        <v>295</v>
      </c>
      <c r="AB29" s="6">
        <f t="shared" si="5"/>
        <v>0.37627118644067792</v>
      </c>
      <c r="AC29" s="4">
        <v>1</v>
      </c>
      <c r="AD29" s="4" t="str">
        <f t="shared" si="6"/>
        <v>-</v>
      </c>
      <c r="AE29" s="4" t="e">
        <f t="shared" si="7"/>
        <v>#VALUE!</v>
      </c>
      <c r="AF29" s="6" t="e">
        <f t="shared" si="8"/>
        <v>#VALUE!</v>
      </c>
      <c r="AG29" s="7">
        <v>295</v>
      </c>
      <c r="AH29" s="6">
        <f t="shared" si="9"/>
        <v>0.37627118644067792</v>
      </c>
      <c r="AI29" s="4">
        <f t="shared" si="10"/>
        <v>111</v>
      </c>
      <c r="AJ29" s="28"/>
      <c r="AK29" s="6"/>
      <c r="AL29" s="6"/>
      <c r="AM29" s="6" t="e">
        <f t="shared" si="11"/>
        <v>#DIV/0!</v>
      </c>
      <c r="AN29" s="6">
        <f t="shared" si="12"/>
        <v>1.2938596491228069</v>
      </c>
      <c r="AO29" s="6">
        <f t="shared" si="13"/>
        <v>1.295774647887324</v>
      </c>
      <c r="AP29" s="4" t="str">
        <f t="shared" si="14"/>
        <v>-</v>
      </c>
      <c r="AQ29" s="4" t="str">
        <f t="shared" si="15"/>
        <v>-</v>
      </c>
      <c r="AR29" s="4" t="str">
        <f t="shared" si="16"/>
        <v>-</v>
      </c>
      <c r="AS29" s="4" t="str">
        <f t="shared" si="17"/>
        <v>-</v>
      </c>
      <c r="AT29" s="4" t="str">
        <f t="shared" si="18"/>
        <v>-</v>
      </c>
      <c r="AU29" s="4" t="str">
        <f t="shared" si="19"/>
        <v>-</v>
      </c>
      <c r="AV29" s="4">
        <v>0</v>
      </c>
      <c r="AW29" s="4" t="s">
        <v>223</v>
      </c>
      <c r="AX29" s="4"/>
      <c r="AY29" s="4"/>
      <c r="AZ29" s="4" t="s">
        <v>223</v>
      </c>
      <c r="BA29" s="4" t="s">
        <v>223</v>
      </c>
      <c r="BB29" s="4" t="s">
        <v>223</v>
      </c>
      <c r="BC29" s="4" t="str">
        <f t="shared" si="20"/>
        <v>-</v>
      </c>
      <c r="BD29" s="19">
        <v>4</v>
      </c>
      <c r="BE29" s="19">
        <v>8</v>
      </c>
      <c r="BF29" s="16">
        <v>18</v>
      </c>
      <c r="BG29" t="s">
        <v>223</v>
      </c>
      <c r="BH29">
        <v>4123</v>
      </c>
      <c r="BI29">
        <v>4123</v>
      </c>
      <c r="BJ29">
        <f t="shared" si="21"/>
        <v>5342.4788732394372</v>
      </c>
      <c r="BK29" t="s">
        <v>223</v>
      </c>
      <c r="BL29" t="s">
        <v>319</v>
      </c>
    </row>
    <row r="30" spans="1:64" x14ac:dyDescent="0.4">
      <c r="A30" s="3">
        <v>76</v>
      </c>
      <c r="B30" s="3">
        <v>76</v>
      </c>
      <c r="C30" s="4" t="s">
        <v>132</v>
      </c>
      <c r="D30" s="4" t="str">
        <f t="shared" si="0"/>
        <v>5752AJ</v>
      </c>
      <c r="E30" s="4" t="s">
        <v>132</v>
      </c>
      <c r="F30" s="4" t="s">
        <v>215</v>
      </c>
      <c r="G30" s="5">
        <v>4972759537518</v>
      </c>
      <c r="H30" s="5"/>
      <c r="I30" s="5"/>
      <c r="J30" s="5">
        <v>1</v>
      </c>
      <c r="K30" s="5">
        <v>1</v>
      </c>
      <c r="L30" s="4">
        <v>0</v>
      </c>
      <c r="M30" s="4">
        <v>206</v>
      </c>
      <c r="N30" s="4">
        <v>156</v>
      </c>
      <c r="O30" s="6">
        <f t="shared" si="1"/>
        <v>0.24271844660194175</v>
      </c>
      <c r="P30" s="4" t="s">
        <v>223</v>
      </c>
      <c r="Q30" s="4" t="s">
        <v>223</v>
      </c>
      <c r="R30" s="4" t="s">
        <v>223</v>
      </c>
      <c r="S30" s="4" t="s">
        <v>223</v>
      </c>
      <c r="T30" s="4" t="s">
        <v>223</v>
      </c>
      <c r="U30" s="4" t="s">
        <v>223</v>
      </c>
      <c r="V30" s="4">
        <v>0</v>
      </c>
      <c r="W30" s="4">
        <f t="shared" si="2"/>
        <v>0</v>
      </c>
      <c r="X30" s="4">
        <v>184</v>
      </c>
      <c r="Y30" s="4">
        <f t="shared" si="3"/>
        <v>184</v>
      </c>
      <c r="Z30" s="4"/>
      <c r="AA30" s="21">
        <f t="shared" si="4"/>
        <v>243</v>
      </c>
      <c r="AB30" s="6">
        <f t="shared" si="5"/>
        <v>0.24279835390946503</v>
      </c>
      <c r="AC30" s="4">
        <v>0.25</v>
      </c>
      <c r="AD30" s="4">
        <f t="shared" si="6"/>
        <v>298</v>
      </c>
      <c r="AE30" s="4">
        <f t="shared" si="7"/>
        <v>351.4871794871795</v>
      </c>
      <c r="AF30" s="6">
        <f t="shared" si="8"/>
        <v>0.47651006711409394</v>
      </c>
      <c r="AG30" s="7">
        <v>280</v>
      </c>
      <c r="AH30" s="6">
        <f t="shared" si="9"/>
        <v>0.34285714285714286</v>
      </c>
      <c r="AI30" s="4">
        <f t="shared" si="10"/>
        <v>96</v>
      </c>
      <c r="AJ30" s="28"/>
      <c r="AK30" s="6"/>
      <c r="AL30" s="6"/>
      <c r="AM30" s="6" t="e">
        <f t="shared" si="11"/>
        <v>#DIV/0!</v>
      </c>
      <c r="AN30" s="6">
        <f t="shared" si="12"/>
        <v>1.3592233009708738</v>
      </c>
      <c r="AO30" s="6">
        <f t="shared" si="13"/>
        <v>1.1794871794871795</v>
      </c>
      <c r="AP30" s="4" t="str">
        <f t="shared" si="14"/>
        <v>-</v>
      </c>
      <c r="AQ30" s="4" t="str">
        <f t="shared" si="15"/>
        <v>-</v>
      </c>
      <c r="AR30" s="4" t="str">
        <f t="shared" si="16"/>
        <v>-</v>
      </c>
      <c r="AS30" s="4" t="str">
        <f t="shared" si="17"/>
        <v>-</v>
      </c>
      <c r="AT30" s="4" t="str">
        <f t="shared" si="18"/>
        <v>-</v>
      </c>
      <c r="AU30" s="4" t="str">
        <f t="shared" si="19"/>
        <v>-</v>
      </c>
      <c r="AV30" s="4">
        <v>0</v>
      </c>
      <c r="AW30" s="4" t="s">
        <v>285</v>
      </c>
      <c r="AX30" s="4"/>
      <c r="AY30" s="4"/>
      <c r="AZ30" s="4" t="s">
        <v>252</v>
      </c>
      <c r="BA30" s="4">
        <v>298</v>
      </c>
      <c r="BB30" s="4">
        <v>298</v>
      </c>
      <c r="BC30" s="4">
        <f t="shared" si="20"/>
        <v>298</v>
      </c>
      <c r="BD30" s="19">
        <v>4</v>
      </c>
      <c r="BE30" s="19">
        <v>8</v>
      </c>
      <c r="BF30" s="16">
        <v>18</v>
      </c>
      <c r="BG30" t="s">
        <v>223</v>
      </c>
      <c r="BH30" t="s">
        <v>223</v>
      </c>
      <c r="BI30" t="s">
        <v>223</v>
      </c>
      <c r="BJ30" t="str">
        <f t="shared" si="21"/>
        <v>-</v>
      </c>
      <c r="BK30" t="s">
        <v>247</v>
      </c>
      <c r="BL30" t="s">
        <v>319</v>
      </c>
    </row>
    <row r="31" spans="1:64" x14ac:dyDescent="0.4">
      <c r="A31" s="3">
        <v>82</v>
      </c>
      <c r="B31" s="3">
        <v>82</v>
      </c>
      <c r="C31" s="4" t="s">
        <v>138</v>
      </c>
      <c r="D31" s="4" t="str">
        <f t="shared" si="0"/>
        <v>JA4303</v>
      </c>
      <c r="E31" s="4" t="s">
        <v>138</v>
      </c>
      <c r="F31" s="4" t="s">
        <v>221</v>
      </c>
      <c r="G31" s="5">
        <v>4980356200001</v>
      </c>
      <c r="H31" s="5"/>
      <c r="I31" s="5"/>
      <c r="J31" s="5">
        <v>1</v>
      </c>
      <c r="K31" s="5">
        <v>1</v>
      </c>
      <c r="L31" s="4">
        <v>0</v>
      </c>
      <c r="M31" s="4">
        <v>265</v>
      </c>
      <c r="N31" s="4">
        <v>166</v>
      </c>
      <c r="O31" s="6">
        <f t="shared" si="1"/>
        <v>0.37358490566037739</v>
      </c>
      <c r="P31" s="4" t="s">
        <v>223</v>
      </c>
      <c r="Q31" s="4" t="s">
        <v>223</v>
      </c>
      <c r="R31" s="4" t="s">
        <v>223</v>
      </c>
      <c r="S31" s="4" t="s">
        <v>223</v>
      </c>
      <c r="T31" s="4" t="s">
        <v>223</v>
      </c>
      <c r="U31" s="4" t="s">
        <v>223</v>
      </c>
      <c r="V31" s="4">
        <v>0</v>
      </c>
      <c r="W31" s="4">
        <f t="shared" si="2"/>
        <v>0</v>
      </c>
      <c r="X31" s="4">
        <v>192</v>
      </c>
      <c r="Y31" s="4">
        <f t="shared" si="3"/>
        <v>192</v>
      </c>
      <c r="Z31" s="4"/>
      <c r="AA31" s="21">
        <f t="shared" si="4"/>
        <v>307</v>
      </c>
      <c r="AB31" s="6">
        <f t="shared" si="5"/>
        <v>0.37459283387622155</v>
      </c>
      <c r="AC31" s="4">
        <v>32.25</v>
      </c>
      <c r="AD31" s="4">
        <f t="shared" si="6"/>
        <v>260</v>
      </c>
      <c r="AE31" s="4">
        <f t="shared" si="7"/>
        <v>300.72289156626505</v>
      </c>
      <c r="AF31" s="6">
        <f t="shared" si="8"/>
        <v>0.36153846153846148</v>
      </c>
      <c r="AG31" s="7">
        <v>308</v>
      </c>
      <c r="AH31" s="6">
        <f t="shared" si="9"/>
        <v>0.37662337662337664</v>
      </c>
      <c r="AI31" s="4">
        <f t="shared" si="10"/>
        <v>116</v>
      </c>
      <c r="AJ31" s="28"/>
      <c r="AK31" s="6"/>
      <c r="AL31" s="6"/>
      <c r="AM31" s="6" t="e">
        <f t="shared" si="11"/>
        <v>#DIV/0!</v>
      </c>
      <c r="AN31" s="6">
        <f t="shared" si="12"/>
        <v>1.1622641509433962</v>
      </c>
      <c r="AO31" s="6">
        <f t="shared" si="13"/>
        <v>1.1566265060240963</v>
      </c>
      <c r="AP31" s="4" t="str">
        <f t="shared" si="14"/>
        <v>-</v>
      </c>
      <c r="AQ31" s="4" t="str">
        <f t="shared" si="15"/>
        <v>-</v>
      </c>
      <c r="AR31" s="4" t="str">
        <f t="shared" si="16"/>
        <v>-</v>
      </c>
      <c r="AS31" s="4" t="str">
        <f t="shared" si="17"/>
        <v>-</v>
      </c>
      <c r="AT31" s="4" t="str">
        <f t="shared" si="18"/>
        <v>-</v>
      </c>
      <c r="AU31" s="4" t="str">
        <f t="shared" si="19"/>
        <v>-</v>
      </c>
      <c r="AV31" s="4">
        <v>0</v>
      </c>
      <c r="AW31" s="4" t="s">
        <v>287</v>
      </c>
      <c r="AX31" s="4"/>
      <c r="AY31" s="4"/>
      <c r="AZ31" s="4" t="s">
        <v>288</v>
      </c>
      <c r="BA31" s="4">
        <v>260</v>
      </c>
      <c r="BB31" s="4">
        <v>260</v>
      </c>
      <c r="BC31" s="4">
        <f t="shared" si="20"/>
        <v>260</v>
      </c>
      <c r="BD31" s="19">
        <v>4</v>
      </c>
      <c r="BE31" s="19">
        <v>1</v>
      </c>
      <c r="BF31" s="16">
        <v>18</v>
      </c>
      <c r="BG31" t="s">
        <v>223</v>
      </c>
      <c r="BH31">
        <v>523</v>
      </c>
      <c r="BI31">
        <v>523</v>
      </c>
      <c r="BJ31">
        <f t="shared" si="21"/>
        <v>604.91566265060237</v>
      </c>
      <c r="BK31" t="s">
        <v>249</v>
      </c>
      <c r="BL31" t="s">
        <v>319</v>
      </c>
    </row>
    <row r="32" spans="1:64" x14ac:dyDescent="0.4">
      <c r="A32" s="3">
        <v>11</v>
      </c>
      <c r="B32" s="3">
        <v>11</v>
      </c>
      <c r="C32" s="4" t="s">
        <v>67</v>
      </c>
      <c r="D32" s="4" t="str">
        <f t="shared" si="0"/>
        <v>J259RA</v>
      </c>
      <c r="E32" s="4" t="s">
        <v>67</v>
      </c>
      <c r="F32" s="4" t="s">
        <v>150</v>
      </c>
      <c r="G32" s="5">
        <v>4903652003169</v>
      </c>
      <c r="H32" s="5"/>
      <c r="I32" s="5"/>
      <c r="J32" s="5">
        <v>1</v>
      </c>
      <c r="K32" s="5">
        <v>1</v>
      </c>
      <c r="L32" s="4">
        <v>0</v>
      </c>
      <c r="M32" s="4">
        <v>252</v>
      </c>
      <c r="N32" s="4">
        <v>160</v>
      </c>
      <c r="O32" s="6">
        <f t="shared" si="1"/>
        <v>0.36507936507936511</v>
      </c>
      <c r="P32" s="4" t="s">
        <v>223</v>
      </c>
      <c r="Q32" s="4" t="s">
        <v>223</v>
      </c>
      <c r="R32" s="4" t="s">
        <v>223</v>
      </c>
      <c r="S32" s="4" t="s">
        <v>223</v>
      </c>
      <c r="T32" s="4" t="s">
        <v>223</v>
      </c>
      <c r="U32" s="4" t="s">
        <v>223</v>
      </c>
      <c r="V32" s="4">
        <v>0</v>
      </c>
      <c r="W32" s="4">
        <f t="shared" si="2"/>
        <v>0</v>
      </c>
      <c r="X32" s="4">
        <v>195</v>
      </c>
      <c r="Y32" s="4">
        <f t="shared" si="3"/>
        <v>195</v>
      </c>
      <c r="Z32" s="4"/>
      <c r="AA32" s="21">
        <f t="shared" si="4"/>
        <v>307</v>
      </c>
      <c r="AB32" s="6">
        <f t="shared" si="5"/>
        <v>0.36482084690553751</v>
      </c>
      <c r="AC32" s="4">
        <v>30</v>
      </c>
      <c r="AD32" s="4" t="str">
        <f t="shared" si="6"/>
        <v>-</v>
      </c>
      <c r="AE32" s="4" t="e">
        <f t="shared" si="7"/>
        <v>#VALUE!</v>
      </c>
      <c r="AF32" s="6" t="e">
        <f t="shared" si="8"/>
        <v>#VALUE!</v>
      </c>
      <c r="AG32" s="7">
        <v>310</v>
      </c>
      <c r="AH32" s="6">
        <f t="shared" si="9"/>
        <v>0.37096774193548387</v>
      </c>
      <c r="AI32" s="4">
        <f t="shared" si="10"/>
        <v>115</v>
      </c>
      <c r="AJ32" s="28"/>
      <c r="AK32" s="6"/>
      <c r="AL32" s="6"/>
      <c r="AM32" s="6" t="e">
        <f t="shared" si="11"/>
        <v>#DIV/0!</v>
      </c>
      <c r="AN32" s="6">
        <f t="shared" si="12"/>
        <v>1.2301587301587302</v>
      </c>
      <c r="AO32" s="6">
        <f t="shared" si="13"/>
        <v>1.21875</v>
      </c>
      <c r="AP32" s="4" t="str">
        <f t="shared" si="14"/>
        <v>-</v>
      </c>
      <c r="AQ32" s="4" t="str">
        <f t="shared" si="15"/>
        <v>-</v>
      </c>
      <c r="AR32" s="4" t="str">
        <f t="shared" si="16"/>
        <v>-</v>
      </c>
      <c r="AS32" s="4" t="str">
        <f t="shared" si="17"/>
        <v>-</v>
      </c>
      <c r="AT32" s="4" t="str">
        <f t="shared" si="18"/>
        <v>-</v>
      </c>
      <c r="AU32" s="4" t="str">
        <f t="shared" si="19"/>
        <v>-</v>
      </c>
      <c r="AV32" s="4">
        <v>0</v>
      </c>
      <c r="AW32" s="4" t="s">
        <v>223</v>
      </c>
      <c r="AX32" s="4"/>
      <c r="AY32" s="4"/>
      <c r="AZ32" s="4" t="s">
        <v>223</v>
      </c>
      <c r="BA32" s="4" t="s">
        <v>223</v>
      </c>
      <c r="BB32" s="4" t="s">
        <v>223</v>
      </c>
      <c r="BC32" s="4" t="str">
        <f t="shared" si="20"/>
        <v>-</v>
      </c>
      <c r="BD32" s="19">
        <v>4</v>
      </c>
      <c r="BE32" s="19">
        <v>1</v>
      </c>
      <c r="BF32" s="16">
        <v>18</v>
      </c>
      <c r="BG32" t="s">
        <v>223</v>
      </c>
      <c r="BH32" t="s">
        <v>223</v>
      </c>
      <c r="BI32" t="s">
        <v>223</v>
      </c>
      <c r="BJ32" t="str">
        <f t="shared" si="21"/>
        <v>-</v>
      </c>
      <c r="BK32" t="s">
        <v>223</v>
      </c>
      <c r="BL32" t="s">
        <v>319</v>
      </c>
    </row>
    <row r="33" spans="1:64" x14ac:dyDescent="0.4">
      <c r="A33" s="3">
        <v>77</v>
      </c>
      <c r="B33" s="3">
        <v>77</v>
      </c>
      <c r="C33" s="4" t="s">
        <v>133</v>
      </c>
      <c r="D33" s="4" t="str">
        <f t="shared" si="0"/>
        <v>5753AJ</v>
      </c>
      <c r="E33" s="4" t="s">
        <v>133</v>
      </c>
      <c r="F33" s="4" t="s">
        <v>216</v>
      </c>
      <c r="G33" s="5">
        <v>4972759537525</v>
      </c>
      <c r="H33" s="5"/>
      <c r="I33" s="5"/>
      <c r="J33" s="5">
        <v>1</v>
      </c>
      <c r="K33" s="5">
        <v>1</v>
      </c>
      <c r="L33" s="4">
        <v>0</v>
      </c>
      <c r="M33" s="4">
        <v>206</v>
      </c>
      <c r="N33" s="4">
        <v>156</v>
      </c>
      <c r="O33" s="6">
        <f t="shared" si="1"/>
        <v>0.24271844660194175</v>
      </c>
      <c r="P33" s="4" t="s">
        <v>223</v>
      </c>
      <c r="Q33" s="4" t="s">
        <v>223</v>
      </c>
      <c r="R33" s="4" t="s">
        <v>223</v>
      </c>
      <c r="S33" s="4" t="s">
        <v>223</v>
      </c>
      <c r="T33" s="4" t="s">
        <v>223</v>
      </c>
      <c r="U33" s="4" t="s">
        <v>223</v>
      </c>
      <c r="V33" s="4">
        <v>0</v>
      </c>
      <c r="W33" s="4">
        <f t="shared" si="2"/>
        <v>0</v>
      </c>
      <c r="X33" s="4">
        <v>200</v>
      </c>
      <c r="Y33" s="4">
        <f t="shared" si="3"/>
        <v>200</v>
      </c>
      <c r="Z33" s="4"/>
      <c r="AA33" s="21">
        <f t="shared" si="4"/>
        <v>264</v>
      </c>
      <c r="AB33" s="6">
        <f t="shared" si="5"/>
        <v>0.24242424242424243</v>
      </c>
      <c r="AC33" s="4">
        <v>0</v>
      </c>
      <c r="AD33" s="4">
        <f t="shared" si="6"/>
        <v>298</v>
      </c>
      <c r="AE33" s="4">
        <f t="shared" si="7"/>
        <v>382.0512820512821</v>
      </c>
      <c r="AF33" s="6">
        <f t="shared" si="8"/>
        <v>0.47651006711409405</v>
      </c>
      <c r="AG33" s="7">
        <v>300</v>
      </c>
      <c r="AH33" s="6">
        <f t="shared" si="9"/>
        <v>0.33333333333333337</v>
      </c>
      <c r="AI33" s="4">
        <f t="shared" si="10"/>
        <v>100</v>
      </c>
      <c r="AJ33" s="28"/>
      <c r="AK33" s="6"/>
      <c r="AL33" s="6"/>
      <c r="AM33" s="6" t="e">
        <f t="shared" si="11"/>
        <v>#DIV/0!</v>
      </c>
      <c r="AN33" s="6">
        <f t="shared" si="12"/>
        <v>1.4563106796116505</v>
      </c>
      <c r="AO33" s="6">
        <f t="shared" si="13"/>
        <v>1.2820512820512822</v>
      </c>
      <c r="AP33" s="4" t="str">
        <f t="shared" si="14"/>
        <v>-</v>
      </c>
      <c r="AQ33" s="4" t="str">
        <f t="shared" si="15"/>
        <v>-</v>
      </c>
      <c r="AR33" s="4" t="str">
        <f t="shared" si="16"/>
        <v>-</v>
      </c>
      <c r="AS33" s="4" t="str">
        <f t="shared" si="17"/>
        <v>-</v>
      </c>
      <c r="AT33" s="4" t="str">
        <f t="shared" si="18"/>
        <v>-</v>
      </c>
      <c r="AU33" s="4" t="str">
        <f t="shared" si="19"/>
        <v>-</v>
      </c>
      <c r="AV33" s="4">
        <v>0</v>
      </c>
      <c r="AW33" s="4" t="s">
        <v>286</v>
      </c>
      <c r="AX33" s="4"/>
      <c r="AY33" s="4"/>
      <c r="AZ33" s="4" t="s">
        <v>252</v>
      </c>
      <c r="BA33" s="4">
        <v>298</v>
      </c>
      <c r="BB33" s="4">
        <v>298</v>
      </c>
      <c r="BC33" s="4">
        <f t="shared" si="20"/>
        <v>298</v>
      </c>
      <c r="BD33" s="19">
        <v>4</v>
      </c>
      <c r="BE33" s="19">
        <v>8</v>
      </c>
      <c r="BF33" s="16">
        <v>18</v>
      </c>
      <c r="BG33" t="s">
        <v>223</v>
      </c>
      <c r="BH33" t="s">
        <v>223</v>
      </c>
      <c r="BI33" t="s">
        <v>223</v>
      </c>
      <c r="BJ33" t="str">
        <f t="shared" si="21"/>
        <v>-</v>
      </c>
      <c r="BK33" t="s">
        <v>248</v>
      </c>
      <c r="BL33" t="s">
        <v>319</v>
      </c>
    </row>
    <row r="34" spans="1:64" x14ac:dyDescent="0.4">
      <c r="A34" s="3">
        <v>53</v>
      </c>
      <c r="B34" s="3">
        <v>53</v>
      </c>
      <c r="C34" s="4" t="s">
        <v>109</v>
      </c>
      <c r="D34" s="4" t="str">
        <f t="shared" si="0"/>
        <v>JX1222</v>
      </c>
      <c r="E34" s="4" t="s">
        <v>109</v>
      </c>
      <c r="F34" s="4" t="s">
        <v>192</v>
      </c>
      <c r="G34" s="5">
        <v>4972759532483</v>
      </c>
      <c r="H34" s="5"/>
      <c r="I34" s="5"/>
      <c r="J34" s="5">
        <v>1</v>
      </c>
      <c r="K34" s="5">
        <v>1</v>
      </c>
      <c r="L34" s="4">
        <v>0</v>
      </c>
      <c r="M34" s="4">
        <v>275</v>
      </c>
      <c r="N34" s="4">
        <v>157</v>
      </c>
      <c r="O34" s="6">
        <f t="shared" si="1"/>
        <v>0.42909090909090908</v>
      </c>
      <c r="P34" s="4" t="s">
        <v>223</v>
      </c>
      <c r="Q34" s="4" t="s">
        <v>223</v>
      </c>
      <c r="R34" s="4" t="s">
        <v>223</v>
      </c>
      <c r="S34" s="4" t="s">
        <v>223</v>
      </c>
      <c r="T34" s="4" t="s">
        <v>223</v>
      </c>
      <c r="U34" s="4" t="s">
        <v>223</v>
      </c>
      <c r="V34" s="4">
        <v>0</v>
      </c>
      <c r="W34" s="4">
        <f t="shared" si="2"/>
        <v>0</v>
      </c>
      <c r="X34" s="4">
        <v>206</v>
      </c>
      <c r="Y34" s="4">
        <f t="shared" si="3"/>
        <v>206</v>
      </c>
      <c r="Z34" s="4"/>
      <c r="AA34" s="21">
        <f t="shared" si="4"/>
        <v>361</v>
      </c>
      <c r="AB34" s="6">
        <f t="shared" si="5"/>
        <v>0.4293628808864266</v>
      </c>
      <c r="AC34" s="4">
        <v>7.75</v>
      </c>
      <c r="AD34" s="4">
        <f t="shared" si="6"/>
        <v>246</v>
      </c>
      <c r="AE34" s="4">
        <f t="shared" si="7"/>
        <v>322.77707006369423</v>
      </c>
      <c r="AF34" s="6">
        <f t="shared" si="8"/>
        <v>0.36178861788617878</v>
      </c>
      <c r="AG34" s="7">
        <v>360</v>
      </c>
      <c r="AH34" s="6">
        <f t="shared" si="9"/>
        <v>0.42777777777777781</v>
      </c>
      <c r="AI34" s="4">
        <f t="shared" si="10"/>
        <v>154</v>
      </c>
      <c r="AJ34" s="28"/>
      <c r="AK34" s="6"/>
      <c r="AL34" s="6"/>
      <c r="AM34" s="6" t="e">
        <f t="shared" si="11"/>
        <v>#DIV/0!</v>
      </c>
      <c r="AN34" s="6">
        <f t="shared" si="12"/>
        <v>1.3090909090909091</v>
      </c>
      <c r="AO34" s="6">
        <f t="shared" si="13"/>
        <v>1.3121019108280254</v>
      </c>
      <c r="AP34" s="4" t="str">
        <f t="shared" si="14"/>
        <v>-</v>
      </c>
      <c r="AQ34" s="4" t="str">
        <f t="shared" si="15"/>
        <v>-</v>
      </c>
      <c r="AR34" s="4" t="str">
        <f t="shared" si="16"/>
        <v>-</v>
      </c>
      <c r="AS34" s="4" t="str">
        <f t="shared" si="17"/>
        <v>-</v>
      </c>
      <c r="AT34" s="4" t="str">
        <f t="shared" si="18"/>
        <v>-</v>
      </c>
      <c r="AU34" s="4" t="str">
        <f t="shared" si="19"/>
        <v>-</v>
      </c>
      <c r="AV34" s="4">
        <v>0</v>
      </c>
      <c r="AW34" s="4" t="s">
        <v>268</v>
      </c>
      <c r="AX34" s="4"/>
      <c r="AY34" s="4"/>
      <c r="AZ34" s="4" t="s">
        <v>252</v>
      </c>
      <c r="BA34" s="4">
        <v>246</v>
      </c>
      <c r="BB34" s="4">
        <v>246</v>
      </c>
      <c r="BC34" s="4">
        <f t="shared" si="20"/>
        <v>246</v>
      </c>
      <c r="BD34" s="19">
        <v>4</v>
      </c>
      <c r="BE34" s="19">
        <v>1</v>
      </c>
      <c r="BF34" s="16">
        <v>18</v>
      </c>
      <c r="BG34" t="s">
        <v>223</v>
      </c>
      <c r="BH34">
        <v>230</v>
      </c>
      <c r="BI34">
        <v>230</v>
      </c>
      <c r="BJ34">
        <f t="shared" si="21"/>
        <v>301.78343949044586</v>
      </c>
      <c r="BK34" t="s">
        <v>236</v>
      </c>
      <c r="BL34" t="s">
        <v>319</v>
      </c>
    </row>
    <row r="35" spans="1:64" x14ac:dyDescent="0.4">
      <c r="A35" s="3">
        <v>8</v>
      </c>
      <c r="B35" s="3">
        <v>8</v>
      </c>
      <c r="C35" s="4" t="s">
        <v>64</v>
      </c>
      <c r="D35" s="4" t="str">
        <f t="shared" si="0"/>
        <v>J778MK</v>
      </c>
      <c r="E35" s="4" t="s">
        <v>64</v>
      </c>
      <c r="F35" s="4" t="s">
        <v>147</v>
      </c>
      <c r="G35" s="5">
        <v>4902951794075</v>
      </c>
      <c r="H35" s="5"/>
      <c r="I35" s="5"/>
      <c r="J35" s="5">
        <v>1</v>
      </c>
      <c r="K35" s="5">
        <v>1</v>
      </c>
      <c r="L35" s="4">
        <v>0</v>
      </c>
      <c r="M35" s="4">
        <v>266</v>
      </c>
      <c r="N35" s="4">
        <v>163</v>
      </c>
      <c r="O35" s="6">
        <f t="shared" si="1"/>
        <v>0.38721804511278191</v>
      </c>
      <c r="P35" s="4" t="s">
        <v>223</v>
      </c>
      <c r="Q35" s="4" t="s">
        <v>223</v>
      </c>
      <c r="R35" s="4" t="s">
        <v>223</v>
      </c>
      <c r="S35" s="4" t="s">
        <v>223</v>
      </c>
      <c r="T35" s="4" t="s">
        <v>223</v>
      </c>
      <c r="U35" s="4" t="s">
        <v>223</v>
      </c>
      <c r="V35" s="4">
        <v>0</v>
      </c>
      <c r="W35" s="4">
        <f t="shared" si="2"/>
        <v>0</v>
      </c>
      <c r="X35" s="4">
        <v>213</v>
      </c>
      <c r="Y35" s="4">
        <f t="shared" si="3"/>
        <v>213</v>
      </c>
      <c r="Z35" s="4"/>
      <c r="AA35" s="21">
        <f t="shared" si="4"/>
        <v>348</v>
      </c>
      <c r="AB35" s="6">
        <f t="shared" si="5"/>
        <v>0.38793103448275867</v>
      </c>
      <c r="AC35" s="4">
        <v>8.75</v>
      </c>
      <c r="AD35" s="4" t="str">
        <f t="shared" si="6"/>
        <v>-</v>
      </c>
      <c r="AE35" s="4" t="e">
        <f t="shared" si="7"/>
        <v>#VALUE!</v>
      </c>
      <c r="AF35" s="6" t="e">
        <f t="shared" si="8"/>
        <v>#VALUE!</v>
      </c>
      <c r="AG35" s="7">
        <v>348</v>
      </c>
      <c r="AH35" s="6">
        <f t="shared" si="9"/>
        <v>0.38793103448275867</v>
      </c>
      <c r="AI35" s="4">
        <f t="shared" si="10"/>
        <v>135</v>
      </c>
      <c r="AJ35" s="28"/>
      <c r="AK35" s="6"/>
      <c r="AL35" s="6"/>
      <c r="AM35" s="6" t="e">
        <f t="shared" si="11"/>
        <v>#DIV/0!</v>
      </c>
      <c r="AN35" s="6">
        <f t="shared" si="12"/>
        <v>1.3082706766917294</v>
      </c>
      <c r="AO35" s="6">
        <f t="shared" si="13"/>
        <v>1.3067484662576687</v>
      </c>
      <c r="AP35" s="4" t="str">
        <f t="shared" si="14"/>
        <v>-</v>
      </c>
      <c r="AQ35" s="4" t="str">
        <f t="shared" si="15"/>
        <v>-</v>
      </c>
      <c r="AR35" s="4" t="str">
        <f t="shared" si="16"/>
        <v>-</v>
      </c>
      <c r="AS35" s="4" t="str">
        <f t="shared" si="17"/>
        <v>-</v>
      </c>
      <c r="AT35" s="4" t="str">
        <f t="shared" si="18"/>
        <v>-</v>
      </c>
      <c r="AU35" s="4" t="str">
        <f t="shared" si="19"/>
        <v>-</v>
      </c>
      <c r="AV35" s="4">
        <v>0</v>
      </c>
      <c r="AW35" s="4" t="s">
        <v>223</v>
      </c>
      <c r="AX35" s="4"/>
      <c r="AY35" s="4"/>
      <c r="AZ35" s="4" t="s">
        <v>223</v>
      </c>
      <c r="BA35" s="4" t="s">
        <v>223</v>
      </c>
      <c r="BB35" s="4" t="s">
        <v>223</v>
      </c>
      <c r="BC35" s="4" t="str">
        <f t="shared" si="20"/>
        <v>-</v>
      </c>
      <c r="BD35" s="19">
        <v>4</v>
      </c>
      <c r="BE35" s="19">
        <v>8</v>
      </c>
      <c r="BF35" s="16">
        <v>18</v>
      </c>
      <c r="BG35" t="s">
        <v>223</v>
      </c>
      <c r="BH35" t="s">
        <v>223</v>
      </c>
      <c r="BI35" t="s">
        <v>223</v>
      </c>
      <c r="BJ35" t="str">
        <f t="shared" si="21"/>
        <v>-</v>
      </c>
      <c r="BK35" t="s">
        <v>223</v>
      </c>
      <c r="BL35" t="s">
        <v>319</v>
      </c>
    </row>
    <row r="36" spans="1:64" x14ac:dyDescent="0.4">
      <c r="A36" s="3">
        <v>27</v>
      </c>
      <c r="B36" s="3">
        <v>27</v>
      </c>
      <c r="C36" s="4" t="s">
        <v>83</v>
      </c>
      <c r="D36" s="4" t="str">
        <f t="shared" ref="D36:D67" si="22">TEXT(C36,"000000")</f>
        <v>J92657</v>
      </c>
      <c r="E36" s="4" t="s">
        <v>83</v>
      </c>
      <c r="F36" s="4" t="s">
        <v>166</v>
      </c>
      <c r="G36" s="5">
        <v>4972759519392</v>
      </c>
      <c r="H36" s="5"/>
      <c r="I36" s="5"/>
      <c r="J36" s="5">
        <v>1</v>
      </c>
      <c r="K36" s="5">
        <v>1</v>
      </c>
      <c r="L36" s="4">
        <v>0</v>
      </c>
      <c r="M36" s="4">
        <v>231</v>
      </c>
      <c r="N36" s="4">
        <v>164</v>
      </c>
      <c r="O36" s="6">
        <f t="shared" ref="O36:O67" si="23">1-N36/M36</f>
        <v>0.29004329004328999</v>
      </c>
      <c r="P36" s="4" t="s">
        <v>223</v>
      </c>
      <c r="Q36" s="4" t="s">
        <v>223</v>
      </c>
      <c r="R36" s="4" t="s">
        <v>223</v>
      </c>
      <c r="S36" s="4" t="s">
        <v>223</v>
      </c>
      <c r="T36" s="4" t="s">
        <v>223</v>
      </c>
      <c r="U36" s="4" t="s">
        <v>223</v>
      </c>
      <c r="V36" s="4">
        <v>0</v>
      </c>
      <c r="W36" s="4">
        <f t="shared" ref="W36:W67" si="24">IF(Z36="",V36,V36*Z36)</f>
        <v>0</v>
      </c>
      <c r="X36" s="4">
        <v>215</v>
      </c>
      <c r="Y36" s="4">
        <f t="shared" ref="Y36:Y67" si="25">IF(Z36="",X36,X36*Z36)</f>
        <v>215</v>
      </c>
      <c r="Z36" s="4"/>
      <c r="AA36" s="21">
        <f t="shared" ref="AA36:AA67" si="26">ROUND(M36*AO36,0)</f>
        <v>303</v>
      </c>
      <c r="AB36" s="6">
        <f t="shared" ref="AB36:AB67" si="27">1-Y36/AA36</f>
        <v>0.29042904290429039</v>
      </c>
      <c r="AC36" s="4">
        <v>2.5</v>
      </c>
      <c r="AD36" s="4" t="str">
        <f t="shared" ref="AD36:AD67" si="28">BC36</f>
        <v>-</v>
      </c>
      <c r="AE36" s="4" t="e">
        <f t="shared" ref="AE36:AE67" si="29">AD36*AO36</f>
        <v>#VALUE!</v>
      </c>
      <c r="AF36" s="6" t="e">
        <f t="shared" ref="AF36:AF67" si="30">1-Y36/AE36</f>
        <v>#VALUE!</v>
      </c>
      <c r="AG36" s="7">
        <v>330</v>
      </c>
      <c r="AH36" s="6">
        <f t="shared" ref="AH36:AH67" si="31">1-Y36/AG36</f>
        <v>0.34848484848484851</v>
      </c>
      <c r="AI36" s="4">
        <f t="shared" ref="AI36:AI67" si="32">AG36-Y36</f>
        <v>115</v>
      </c>
      <c r="AJ36" s="28"/>
      <c r="AK36" s="6"/>
      <c r="AL36" s="6"/>
      <c r="AM36" s="6" t="e">
        <f t="shared" ref="AM36:AM67" si="33">W36/L36</f>
        <v>#DIV/0!</v>
      </c>
      <c r="AN36" s="6">
        <f t="shared" ref="AN36:AN67" si="34">AG36/M36</f>
        <v>1.4285714285714286</v>
      </c>
      <c r="AO36" s="6">
        <f t="shared" ref="AO36:AO67" si="35">Y36/N36</f>
        <v>1.3109756097560976</v>
      </c>
      <c r="AP36" s="4" t="str">
        <f t="shared" ref="AP36:AP67" si="36">IFERROR(ROUND($AG36*P36/$M36,0),"-")</f>
        <v>-</v>
      </c>
      <c r="AQ36" s="4" t="str">
        <f t="shared" ref="AQ36:AQ67" si="37">IF(Q36="","-",Q36)</f>
        <v>-</v>
      </c>
      <c r="AR36" s="4" t="str">
        <f t="shared" ref="AR36:AR67" si="38">IF(R36="","-",R36)</f>
        <v>-</v>
      </c>
      <c r="AS36" s="4" t="str">
        <f t="shared" ref="AS36:AS67" si="39">IFERROR(ROUND($AG36*S36/$M36,0),"-")</f>
        <v>-</v>
      </c>
      <c r="AT36" s="4" t="str">
        <f t="shared" ref="AT36:AT67" si="40">IF(T36="","-",T36)</f>
        <v>-</v>
      </c>
      <c r="AU36" s="4" t="str">
        <f t="shared" ref="AU36:AU67" si="41">IF(U36="","-",U36)</f>
        <v>-</v>
      </c>
      <c r="AV36" s="4">
        <v>0</v>
      </c>
      <c r="AW36" s="4" t="s">
        <v>223</v>
      </c>
      <c r="AX36" s="4"/>
      <c r="AY36" s="4"/>
      <c r="AZ36" s="4" t="s">
        <v>223</v>
      </c>
      <c r="BA36" s="4" t="s">
        <v>223</v>
      </c>
      <c r="BB36" s="4" t="s">
        <v>223</v>
      </c>
      <c r="BC36" s="4" t="str">
        <f t="shared" ref="BC36:BC67" si="42">IF(AX36="",BB36,AX36/AY36*BB36)</f>
        <v>-</v>
      </c>
      <c r="BD36" s="19">
        <v>4</v>
      </c>
      <c r="BE36" s="19">
        <v>8</v>
      </c>
      <c r="BF36" s="16">
        <v>18</v>
      </c>
      <c r="BG36" t="s">
        <v>223</v>
      </c>
      <c r="BH36">
        <v>14725</v>
      </c>
      <c r="BI36">
        <v>14725</v>
      </c>
      <c r="BJ36">
        <f t="shared" si="21"/>
        <v>19304.115853658539</v>
      </c>
      <c r="BK36" t="s">
        <v>223</v>
      </c>
      <c r="BL36" t="s">
        <v>319</v>
      </c>
    </row>
    <row r="37" spans="1:64" x14ac:dyDescent="0.4">
      <c r="A37" s="3">
        <v>17</v>
      </c>
      <c r="B37" s="3">
        <v>17</v>
      </c>
      <c r="C37" s="4" t="s">
        <v>73</v>
      </c>
      <c r="D37" s="4" t="str">
        <f t="shared" si="22"/>
        <v>J92416</v>
      </c>
      <c r="E37" s="4" t="s">
        <v>73</v>
      </c>
      <c r="F37" s="4" t="s">
        <v>156</v>
      </c>
      <c r="G37" s="5">
        <v>4972759514151</v>
      </c>
      <c r="H37" s="5"/>
      <c r="I37" s="5"/>
      <c r="J37" s="5">
        <v>1</v>
      </c>
      <c r="K37" s="5">
        <v>1</v>
      </c>
      <c r="L37" s="4">
        <v>0</v>
      </c>
      <c r="M37" s="4">
        <v>233</v>
      </c>
      <c r="N37" s="4">
        <v>171</v>
      </c>
      <c r="O37" s="6">
        <f t="shared" si="23"/>
        <v>0.26609442060085842</v>
      </c>
      <c r="P37" s="4" t="s">
        <v>223</v>
      </c>
      <c r="Q37" s="4" t="s">
        <v>223</v>
      </c>
      <c r="R37" s="4" t="s">
        <v>223</v>
      </c>
      <c r="S37" s="4" t="s">
        <v>223</v>
      </c>
      <c r="T37" s="4" t="s">
        <v>223</v>
      </c>
      <c r="U37" s="4" t="s">
        <v>223</v>
      </c>
      <c r="V37" s="4">
        <v>0</v>
      </c>
      <c r="W37" s="4">
        <f t="shared" si="24"/>
        <v>0</v>
      </c>
      <c r="X37" s="4">
        <v>225</v>
      </c>
      <c r="Y37" s="4">
        <f t="shared" si="25"/>
        <v>225</v>
      </c>
      <c r="Z37" s="4"/>
      <c r="AA37" s="21">
        <f t="shared" si="26"/>
        <v>307</v>
      </c>
      <c r="AB37" s="6">
        <f t="shared" si="27"/>
        <v>0.26710097719869708</v>
      </c>
      <c r="AC37" s="4">
        <v>5.25</v>
      </c>
      <c r="AD37" s="4" t="str">
        <f t="shared" si="28"/>
        <v>-</v>
      </c>
      <c r="AE37" s="4" t="e">
        <f t="shared" si="29"/>
        <v>#VALUE!</v>
      </c>
      <c r="AF37" s="6" t="e">
        <f t="shared" si="30"/>
        <v>#VALUE!</v>
      </c>
      <c r="AG37" s="7">
        <v>345</v>
      </c>
      <c r="AH37" s="6">
        <f t="shared" si="31"/>
        <v>0.34782608695652173</v>
      </c>
      <c r="AI37" s="4">
        <f t="shared" si="32"/>
        <v>120</v>
      </c>
      <c r="AJ37" s="28"/>
      <c r="AK37" s="6"/>
      <c r="AL37" s="6"/>
      <c r="AM37" s="6" t="e">
        <f t="shared" si="33"/>
        <v>#DIV/0!</v>
      </c>
      <c r="AN37" s="6">
        <f t="shared" si="34"/>
        <v>1.4806866952789699</v>
      </c>
      <c r="AO37" s="6">
        <f t="shared" si="35"/>
        <v>1.3157894736842106</v>
      </c>
      <c r="AP37" s="4" t="str">
        <f t="shared" si="36"/>
        <v>-</v>
      </c>
      <c r="AQ37" s="4" t="str">
        <f t="shared" si="37"/>
        <v>-</v>
      </c>
      <c r="AR37" s="4" t="str">
        <f t="shared" si="38"/>
        <v>-</v>
      </c>
      <c r="AS37" s="4" t="str">
        <f t="shared" si="39"/>
        <v>-</v>
      </c>
      <c r="AT37" s="4" t="str">
        <f t="shared" si="40"/>
        <v>-</v>
      </c>
      <c r="AU37" s="4" t="str">
        <f t="shared" si="41"/>
        <v>-</v>
      </c>
      <c r="AV37" s="4">
        <v>0</v>
      </c>
      <c r="AW37" s="4" t="s">
        <v>223</v>
      </c>
      <c r="AX37" s="4"/>
      <c r="AY37" s="4"/>
      <c r="AZ37" s="4" t="s">
        <v>223</v>
      </c>
      <c r="BA37" s="4" t="s">
        <v>223</v>
      </c>
      <c r="BB37" s="4" t="s">
        <v>223</v>
      </c>
      <c r="BC37" s="4" t="str">
        <f t="shared" si="42"/>
        <v>-</v>
      </c>
      <c r="BD37" s="19">
        <v>4</v>
      </c>
      <c r="BE37" s="19">
        <v>8</v>
      </c>
      <c r="BF37" s="16">
        <v>18</v>
      </c>
      <c r="BG37" t="s">
        <v>223</v>
      </c>
      <c r="BH37">
        <v>4750</v>
      </c>
      <c r="BI37">
        <v>4750</v>
      </c>
      <c r="BJ37">
        <f t="shared" si="21"/>
        <v>6250</v>
      </c>
      <c r="BK37" t="s">
        <v>223</v>
      </c>
      <c r="BL37" t="s">
        <v>319</v>
      </c>
    </row>
    <row r="38" spans="1:64" x14ac:dyDescent="0.4">
      <c r="A38" s="3">
        <v>35</v>
      </c>
      <c r="B38" s="3">
        <v>35</v>
      </c>
      <c r="C38" s="4" t="s">
        <v>91</v>
      </c>
      <c r="D38" s="4" t="str">
        <f t="shared" si="22"/>
        <v>J92584</v>
      </c>
      <c r="E38" s="4" t="s">
        <v>91</v>
      </c>
      <c r="F38" s="4" t="s">
        <v>174</v>
      </c>
      <c r="G38" s="5">
        <v>4972759522200</v>
      </c>
      <c r="H38" s="5"/>
      <c r="I38" s="5"/>
      <c r="J38" s="5">
        <v>1</v>
      </c>
      <c r="K38" s="5">
        <v>1</v>
      </c>
      <c r="L38" s="4">
        <v>0</v>
      </c>
      <c r="M38" s="4">
        <v>263</v>
      </c>
      <c r="N38" s="4">
        <v>176</v>
      </c>
      <c r="O38" s="6">
        <f t="shared" si="23"/>
        <v>0.33079847908745252</v>
      </c>
      <c r="P38" s="4" t="s">
        <v>223</v>
      </c>
      <c r="Q38" s="4" t="s">
        <v>223</v>
      </c>
      <c r="R38" s="4" t="s">
        <v>223</v>
      </c>
      <c r="S38" s="4" t="s">
        <v>223</v>
      </c>
      <c r="T38" s="4" t="s">
        <v>223</v>
      </c>
      <c r="U38" s="4" t="s">
        <v>223</v>
      </c>
      <c r="V38" s="4">
        <v>0</v>
      </c>
      <c r="W38" s="4">
        <f t="shared" si="24"/>
        <v>0</v>
      </c>
      <c r="X38" s="4">
        <v>231</v>
      </c>
      <c r="Y38" s="4">
        <f t="shared" si="25"/>
        <v>231</v>
      </c>
      <c r="Z38" s="4"/>
      <c r="AA38" s="21">
        <f t="shared" si="26"/>
        <v>345</v>
      </c>
      <c r="AB38" s="6">
        <f t="shared" si="27"/>
        <v>0.33043478260869563</v>
      </c>
      <c r="AC38" s="4">
        <v>0.75</v>
      </c>
      <c r="AD38" s="4" t="str">
        <f t="shared" si="28"/>
        <v>-</v>
      </c>
      <c r="AE38" s="4" t="e">
        <f t="shared" si="29"/>
        <v>#VALUE!</v>
      </c>
      <c r="AF38" s="6" t="e">
        <f t="shared" si="30"/>
        <v>#VALUE!</v>
      </c>
      <c r="AG38" s="7">
        <v>350</v>
      </c>
      <c r="AH38" s="6">
        <f t="shared" si="31"/>
        <v>0.33999999999999997</v>
      </c>
      <c r="AI38" s="4">
        <f t="shared" si="32"/>
        <v>119</v>
      </c>
      <c r="AJ38" s="28"/>
      <c r="AK38" s="6"/>
      <c r="AL38" s="6"/>
      <c r="AM38" s="6" t="e">
        <f t="shared" si="33"/>
        <v>#DIV/0!</v>
      </c>
      <c r="AN38" s="6">
        <f t="shared" si="34"/>
        <v>1.3307984790874525</v>
      </c>
      <c r="AO38" s="6">
        <f t="shared" si="35"/>
        <v>1.3125</v>
      </c>
      <c r="AP38" s="4" t="str">
        <f t="shared" si="36"/>
        <v>-</v>
      </c>
      <c r="AQ38" s="4" t="str">
        <f t="shared" si="37"/>
        <v>-</v>
      </c>
      <c r="AR38" s="4" t="str">
        <f t="shared" si="38"/>
        <v>-</v>
      </c>
      <c r="AS38" s="4" t="str">
        <f t="shared" si="39"/>
        <v>-</v>
      </c>
      <c r="AT38" s="4" t="str">
        <f t="shared" si="40"/>
        <v>-</v>
      </c>
      <c r="AU38" s="4" t="str">
        <f t="shared" si="41"/>
        <v>-</v>
      </c>
      <c r="AV38" s="4">
        <v>0</v>
      </c>
      <c r="AW38" s="4" t="s">
        <v>223</v>
      </c>
      <c r="AX38" s="4"/>
      <c r="AY38" s="4"/>
      <c r="AZ38" s="4" t="s">
        <v>223</v>
      </c>
      <c r="BA38" s="4" t="s">
        <v>223</v>
      </c>
      <c r="BB38" s="4" t="s">
        <v>223</v>
      </c>
      <c r="BC38" s="4" t="str">
        <f t="shared" si="42"/>
        <v>-</v>
      </c>
      <c r="BD38" s="19">
        <v>4</v>
      </c>
      <c r="BE38" s="19">
        <v>8</v>
      </c>
      <c r="BF38" s="16">
        <v>18</v>
      </c>
      <c r="BG38" t="s">
        <v>223</v>
      </c>
      <c r="BH38">
        <v>278</v>
      </c>
      <c r="BI38">
        <v>278</v>
      </c>
      <c r="BJ38">
        <f t="shared" si="21"/>
        <v>364.875</v>
      </c>
      <c r="BK38" t="s">
        <v>223</v>
      </c>
      <c r="BL38" t="s">
        <v>319</v>
      </c>
    </row>
    <row r="39" spans="1:64" x14ac:dyDescent="0.4">
      <c r="A39" s="3">
        <v>59</v>
      </c>
      <c r="B39" s="3">
        <v>59</v>
      </c>
      <c r="C39" s="4" t="s">
        <v>115</v>
      </c>
      <c r="D39" s="4" t="str">
        <f t="shared" si="22"/>
        <v>5025AK</v>
      </c>
      <c r="E39" s="4" t="s">
        <v>115</v>
      </c>
      <c r="F39" s="4" t="s">
        <v>198</v>
      </c>
      <c r="G39" s="5">
        <v>4972759534265</v>
      </c>
      <c r="H39" s="5"/>
      <c r="I39" s="5"/>
      <c r="J39" s="5">
        <v>1</v>
      </c>
      <c r="K39" s="5">
        <v>1</v>
      </c>
      <c r="L39" s="4">
        <v>0</v>
      </c>
      <c r="M39" s="4">
        <v>278</v>
      </c>
      <c r="N39" s="4">
        <v>180</v>
      </c>
      <c r="O39" s="6">
        <f t="shared" si="23"/>
        <v>0.35251798561151082</v>
      </c>
      <c r="P39" s="4" t="s">
        <v>223</v>
      </c>
      <c r="Q39" s="4" t="s">
        <v>223</v>
      </c>
      <c r="R39" s="4" t="s">
        <v>223</v>
      </c>
      <c r="S39" s="4" t="s">
        <v>223</v>
      </c>
      <c r="T39" s="4" t="s">
        <v>223</v>
      </c>
      <c r="U39" s="4" t="s">
        <v>223</v>
      </c>
      <c r="V39" s="4">
        <v>0</v>
      </c>
      <c r="W39" s="4">
        <f t="shared" si="24"/>
        <v>0</v>
      </c>
      <c r="X39" s="4">
        <v>234</v>
      </c>
      <c r="Y39" s="4">
        <f t="shared" si="25"/>
        <v>234</v>
      </c>
      <c r="Z39" s="4"/>
      <c r="AA39" s="21">
        <f t="shared" si="26"/>
        <v>361</v>
      </c>
      <c r="AB39" s="6">
        <f t="shared" si="27"/>
        <v>0.35180055401662047</v>
      </c>
      <c r="AC39" s="4">
        <v>0.5</v>
      </c>
      <c r="AD39" s="4" t="str">
        <f t="shared" si="28"/>
        <v>-</v>
      </c>
      <c r="AE39" s="4" t="e">
        <f t="shared" si="29"/>
        <v>#VALUE!</v>
      </c>
      <c r="AF39" s="6" t="e">
        <f t="shared" si="30"/>
        <v>#VALUE!</v>
      </c>
      <c r="AG39" s="7">
        <v>360</v>
      </c>
      <c r="AH39" s="6">
        <f t="shared" si="31"/>
        <v>0.35</v>
      </c>
      <c r="AI39" s="4">
        <f t="shared" si="32"/>
        <v>126</v>
      </c>
      <c r="AJ39" s="28"/>
      <c r="AK39" s="6"/>
      <c r="AL39" s="6"/>
      <c r="AM39" s="6" t="e">
        <f t="shared" si="33"/>
        <v>#DIV/0!</v>
      </c>
      <c r="AN39" s="6">
        <f t="shared" si="34"/>
        <v>1.2949640287769784</v>
      </c>
      <c r="AO39" s="6">
        <f t="shared" si="35"/>
        <v>1.3</v>
      </c>
      <c r="AP39" s="4" t="str">
        <f t="shared" si="36"/>
        <v>-</v>
      </c>
      <c r="AQ39" s="4" t="str">
        <f t="shared" si="37"/>
        <v>-</v>
      </c>
      <c r="AR39" s="4" t="str">
        <f t="shared" si="38"/>
        <v>-</v>
      </c>
      <c r="AS39" s="4" t="str">
        <f t="shared" si="39"/>
        <v>-</v>
      </c>
      <c r="AT39" s="4" t="str">
        <f t="shared" si="40"/>
        <v>-</v>
      </c>
      <c r="AU39" s="4" t="str">
        <f t="shared" si="41"/>
        <v>-</v>
      </c>
      <c r="AV39" s="4">
        <v>0</v>
      </c>
      <c r="AW39" s="4" t="s">
        <v>223</v>
      </c>
      <c r="AX39" s="4"/>
      <c r="AY39" s="4"/>
      <c r="AZ39" s="4" t="s">
        <v>223</v>
      </c>
      <c r="BA39" s="4" t="s">
        <v>223</v>
      </c>
      <c r="BB39" s="4" t="s">
        <v>223</v>
      </c>
      <c r="BC39" s="4" t="str">
        <f t="shared" si="42"/>
        <v>-</v>
      </c>
      <c r="BD39" s="19">
        <v>4</v>
      </c>
      <c r="BE39" s="19">
        <v>8</v>
      </c>
      <c r="BF39" s="16">
        <v>18</v>
      </c>
      <c r="BG39" t="s">
        <v>223</v>
      </c>
      <c r="BH39">
        <v>4912</v>
      </c>
      <c r="BI39">
        <v>4912</v>
      </c>
      <c r="BJ39">
        <f t="shared" si="21"/>
        <v>6385.6</v>
      </c>
      <c r="BK39" t="s">
        <v>223</v>
      </c>
      <c r="BL39" t="s">
        <v>319</v>
      </c>
    </row>
    <row r="40" spans="1:64" x14ac:dyDescent="0.4">
      <c r="A40" s="3">
        <v>65</v>
      </c>
      <c r="B40" s="3">
        <v>65</v>
      </c>
      <c r="C40" s="4" t="s">
        <v>121</v>
      </c>
      <c r="D40" s="4" t="str">
        <f t="shared" si="22"/>
        <v>5031AK</v>
      </c>
      <c r="E40" s="4" t="s">
        <v>121</v>
      </c>
      <c r="F40" s="4" t="s">
        <v>204</v>
      </c>
      <c r="G40" s="5">
        <v>4972759534326</v>
      </c>
      <c r="H40" s="5"/>
      <c r="I40" s="5"/>
      <c r="J40" s="5">
        <v>1</v>
      </c>
      <c r="K40" s="5">
        <v>1</v>
      </c>
      <c r="L40" s="4">
        <v>0</v>
      </c>
      <c r="M40" s="4">
        <v>278</v>
      </c>
      <c r="N40" s="4">
        <v>180</v>
      </c>
      <c r="O40" s="6">
        <f t="shared" si="23"/>
        <v>0.35251798561151082</v>
      </c>
      <c r="P40" s="4" t="s">
        <v>223</v>
      </c>
      <c r="Q40" s="4" t="s">
        <v>223</v>
      </c>
      <c r="R40" s="4" t="s">
        <v>223</v>
      </c>
      <c r="S40" s="4" t="s">
        <v>223</v>
      </c>
      <c r="T40" s="4" t="s">
        <v>223</v>
      </c>
      <c r="U40" s="4" t="s">
        <v>223</v>
      </c>
      <c r="V40" s="4">
        <v>0</v>
      </c>
      <c r="W40" s="4">
        <f t="shared" si="24"/>
        <v>0</v>
      </c>
      <c r="X40" s="4">
        <v>234</v>
      </c>
      <c r="Y40" s="4">
        <f t="shared" si="25"/>
        <v>234</v>
      </c>
      <c r="Z40" s="4"/>
      <c r="AA40" s="21">
        <f t="shared" si="26"/>
        <v>361</v>
      </c>
      <c r="AB40" s="6">
        <f t="shared" si="27"/>
        <v>0.35180055401662047</v>
      </c>
      <c r="AC40" s="4">
        <v>1</v>
      </c>
      <c r="AD40" s="4">
        <f t="shared" si="28"/>
        <v>277</v>
      </c>
      <c r="AE40" s="4">
        <f t="shared" si="29"/>
        <v>360.1</v>
      </c>
      <c r="AF40" s="6">
        <f t="shared" si="30"/>
        <v>0.35018050541516255</v>
      </c>
      <c r="AG40" s="7">
        <v>360</v>
      </c>
      <c r="AH40" s="6">
        <f t="shared" si="31"/>
        <v>0.35</v>
      </c>
      <c r="AI40" s="4">
        <f t="shared" si="32"/>
        <v>126</v>
      </c>
      <c r="AJ40" s="28"/>
      <c r="AK40" s="6"/>
      <c r="AL40" s="6"/>
      <c r="AM40" s="6" t="e">
        <f t="shared" si="33"/>
        <v>#DIV/0!</v>
      </c>
      <c r="AN40" s="6">
        <f t="shared" si="34"/>
        <v>1.2949640287769784</v>
      </c>
      <c r="AO40" s="6">
        <f t="shared" si="35"/>
        <v>1.3</v>
      </c>
      <c r="AP40" s="4" t="str">
        <f t="shared" si="36"/>
        <v>-</v>
      </c>
      <c r="AQ40" s="4" t="str">
        <f t="shared" si="37"/>
        <v>-</v>
      </c>
      <c r="AR40" s="4" t="str">
        <f t="shared" si="38"/>
        <v>-</v>
      </c>
      <c r="AS40" s="4" t="str">
        <f t="shared" si="39"/>
        <v>-</v>
      </c>
      <c r="AT40" s="4" t="str">
        <f t="shared" si="40"/>
        <v>-</v>
      </c>
      <c r="AU40" s="4" t="str">
        <f t="shared" si="41"/>
        <v>-</v>
      </c>
      <c r="AV40" s="4">
        <v>0</v>
      </c>
      <c r="AW40" s="4" t="s">
        <v>273</v>
      </c>
      <c r="AX40" s="4"/>
      <c r="AY40" s="4"/>
      <c r="AZ40" s="4" t="s">
        <v>252</v>
      </c>
      <c r="BA40" s="4">
        <v>277</v>
      </c>
      <c r="BB40" s="4">
        <v>277</v>
      </c>
      <c r="BC40" s="4">
        <f t="shared" si="42"/>
        <v>277</v>
      </c>
      <c r="BD40" s="19">
        <v>4</v>
      </c>
      <c r="BE40" s="19">
        <v>8</v>
      </c>
      <c r="BF40" s="16">
        <v>18</v>
      </c>
      <c r="BG40" t="s">
        <v>223</v>
      </c>
      <c r="BH40">
        <v>4912</v>
      </c>
      <c r="BI40">
        <v>4912</v>
      </c>
      <c r="BJ40">
        <f t="shared" si="21"/>
        <v>6385.6</v>
      </c>
      <c r="BK40" t="s">
        <v>239</v>
      </c>
      <c r="BL40" t="s">
        <v>319</v>
      </c>
    </row>
    <row r="41" spans="1:64" x14ac:dyDescent="0.4">
      <c r="A41" s="3">
        <v>48</v>
      </c>
      <c r="B41" s="3">
        <v>48</v>
      </c>
      <c r="C41" s="4" t="s">
        <v>104</v>
      </c>
      <c r="D41" s="4" t="str">
        <f t="shared" si="22"/>
        <v>J92669</v>
      </c>
      <c r="E41" s="4" t="s">
        <v>104</v>
      </c>
      <c r="F41" s="4" t="s">
        <v>187</v>
      </c>
      <c r="G41" s="5">
        <v>4972759526154</v>
      </c>
      <c r="H41" s="5"/>
      <c r="I41" s="5"/>
      <c r="J41" s="5">
        <v>1</v>
      </c>
      <c r="K41" s="5">
        <v>1</v>
      </c>
      <c r="L41" s="4">
        <v>0</v>
      </c>
      <c r="M41" s="4">
        <v>232</v>
      </c>
      <c r="N41" s="4">
        <v>183</v>
      </c>
      <c r="O41" s="6">
        <f t="shared" si="23"/>
        <v>0.21120689655172409</v>
      </c>
      <c r="P41" s="4" t="s">
        <v>223</v>
      </c>
      <c r="Q41" s="4" t="s">
        <v>223</v>
      </c>
      <c r="R41" s="4" t="s">
        <v>223</v>
      </c>
      <c r="S41" s="4" t="s">
        <v>223</v>
      </c>
      <c r="T41" s="4" t="s">
        <v>223</v>
      </c>
      <c r="U41" s="4" t="s">
        <v>223</v>
      </c>
      <c r="V41" s="4">
        <v>0</v>
      </c>
      <c r="W41" s="4">
        <f t="shared" si="24"/>
        <v>0</v>
      </c>
      <c r="X41" s="4">
        <v>239</v>
      </c>
      <c r="Y41" s="4">
        <f t="shared" si="25"/>
        <v>239</v>
      </c>
      <c r="Z41" s="4"/>
      <c r="AA41" s="21">
        <f t="shared" si="26"/>
        <v>303</v>
      </c>
      <c r="AB41" s="6">
        <f t="shared" si="27"/>
        <v>0.21122112211221122</v>
      </c>
      <c r="AC41" s="4">
        <v>2</v>
      </c>
      <c r="AD41" s="4" t="str">
        <f t="shared" si="28"/>
        <v>-</v>
      </c>
      <c r="AE41" s="4" t="e">
        <f t="shared" si="29"/>
        <v>#VALUE!</v>
      </c>
      <c r="AF41" s="6" t="e">
        <f t="shared" si="30"/>
        <v>#VALUE!</v>
      </c>
      <c r="AG41" s="7">
        <v>350</v>
      </c>
      <c r="AH41" s="6">
        <f t="shared" si="31"/>
        <v>0.31714285714285717</v>
      </c>
      <c r="AI41" s="4">
        <f t="shared" si="32"/>
        <v>111</v>
      </c>
      <c r="AJ41" s="28"/>
      <c r="AK41" s="6"/>
      <c r="AL41" s="6"/>
      <c r="AM41" s="6" t="e">
        <f t="shared" si="33"/>
        <v>#DIV/0!</v>
      </c>
      <c r="AN41" s="6">
        <f t="shared" si="34"/>
        <v>1.5086206896551724</v>
      </c>
      <c r="AO41" s="6">
        <f t="shared" si="35"/>
        <v>1.3060109289617485</v>
      </c>
      <c r="AP41" s="4" t="str">
        <f t="shared" si="36"/>
        <v>-</v>
      </c>
      <c r="AQ41" s="4" t="str">
        <f t="shared" si="37"/>
        <v>-</v>
      </c>
      <c r="AR41" s="4" t="str">
        <f t="shared" si="38"/>
        <v>-</v>
      </c>
      <c r="AS41" s="4" t="str">
        <f t="shared" si="39"/>
        <v>-</v>
      </c>
      <c r="AT41" s="4" t="str">
        <f t="shared" si="40"/>
        <v>-</v>
      </c>
      <c r="AU41" s="4" t="str">
        <f t="shared" si="41"/>
        <v>-</v>
      </c>
      <c r="AV41" s="4">
        <v>0</v>
      </c>
      <c r="AW41" s="4" t="s">
        <v>223</v>
      </c>
      <c r="AX41" s="4"/>
      <c r="AY41" s="4"/>
      <c r="AZ41" s="4" t="s">
        <v>223</v>
      </c>
      <c r="BA41" s="4" t="s">
        <v>223</v>
      </c>
      <c r="BB41" s="4" t="s">
        <v>223</v>
      </c>
      <c r="BC41" s="4" t="str">
        <f t="shared" si="42"/>
        <v>-</v>
      </c>
      <c r="BD41" s="19">
        <v>4</v>
      </c>
      <c r="BE41" s="19">
        <v>8</v>
      </c>
      <c r="BF41" s="16">
        <v>18</v>
      </c>
      <c r="BG41" t="s">
        <v>223</v>
      </c>
      <c r="BH41">
        <v>190</v>
      </c>
      <c r="BI41">
        <v>249</v>
      </c>
      <c r="BJ41">
        <f t="shared" si="21"/>
        <v>325.19672131147536</v>
      </c>
      <c r="BK41" t="s">
        <v>223</v>
      </c>
      <c r="BL41" t="s">
        <v>319</v>
      </c>
    </row>
    <row r="42" spans="1:64" x14ac:dyDescent="0.4">
      <c r="A42" s="3">
        <v>44</v>
      </c>
      <c r="B42" s="3">
        <v>44</v>
      </c>
      <c r="C42" s="4" t="s">
        <v>100</v>
      </c>
      <c r="D42" s="4" t="str">
        <f t="shared" si="22"/>
        <v>J92492</v>
      </c>
      <c r="E42" s="4" t="s">
        <v>100</v>
      </c>
      <c r="F42" s="4" t="s">
        <v>183</v>
      </c>
      <c r="G42" s="5">
        <v>4972759525676</v>
      </c>
      <c r="H42" s="5"/>
      <c r="I42" s="5"/>
      <c r="J42" s="32">
        <v>2</v>
      </c>
      <c r="K42" s="5">
        <v>1</v>
      </c>
      <c r="L42" s="4">
        <v>0</v>
      </c>
      <c r="M42" s="4">
        <v>277</v>
      </c>
      <c r="N42" s="4">
        <v>188</v>
      </c>
      <c r="O42" s="6">
        <f t="shared" si="23"/>
        <v>0.32129963898916969</v>
      </c>
      <c r="P42" s="4" t="s">
        <v>223</v>
      </c>
      <c r="Q42" s="4" t="s">
        <v>223</v>
      </c>
      <c r="R42" s="4" t="s">
        <v>223</v>
      </c>
      <c r="S42" s="4" t="s">
        <v>223</v>
      </c>
      <c r="T42" s="4" t="s">
        <v>223</v>
      </c>
      <c r="U42" s="4" t="s">
        <v>223</v>
      </c>
      <c r="V42" s="4">
        <v>0</v>
      </c>
      <c r="W42" s="4">
        <f t="shared" si="24"/>
        <v>0</v>
      </c>
      <c r="X42" s="4">
        <v>247</v>
      </c>
      <c r="Y42" s="4">
        <f t="shared" si="25"/>
        <v>247</v>
      </c>
      <c r="Z42" s="4"/>
      <c r="AA42" s="21">
        <f t="shared" si="26"/>
        <v>364</v>
      </c>
      <c r="AB42" s="6">
        <f t="shared" si="27"/>
        <v>0.3214285714285714</v>
      </c>
      <c r="AC42" s="4">
        <v>1.5</v>
      </c>
      <c r="AD42" s="4" t="str">
        <f t="shared" si="28"/>
        <v>-</v>
      </c>
      <c r="AE42" s="4" t="e">
        <f t="shared" si="29"/>
        <v>#VALUE!</v>
      </c>
      <c r="AF42" s="6" t="e">
        <f t="shared" si="30"/>
        <v>#VALUE!</v>
      </c>
      <c r="AG42" s="7">
        <v>370</v>
      </c>
      <c r="AH42" s="6">
        <f t="shared" si="31"/>
        <v>0.33243243243243248</v>
      </c>
      <c r="AI42" s="4">
        <f t="shared" si="32"/>
        <v>123</v>
      </c>
      <c r="AJ42" s="28"/>
      <c r="AK42" s="6"/>
      <c r="AL42" s="6"/>
      <c r="AM42" s="6" t="e">
        <f t="shared" si="33"/>
        <v>#DIV/0!</v>
      </c>
      <c r="AN42" s="6">
        <f t="shared" si="34"/>
        <v>1.3357400722021662</v>
      </c>
      <c r="AO42" s="6">
        <f t="shared" si="35"/>
        <v>1.3138297872340425</v>
      </c>
      <c r="AP42" s="4" t="str">
        <f t="shared" si="36"/>
        <v>-</v>
      </c>
      <c r="AQ42" s="4" t="str">
        <f t="shared" si="37"/>
        <v>-</v>
      </c>
      <c r="AR42" s="4" t="str">
        <f t="shared" si="38"/>
        <v>-</v>
      </c>
      <c r="AS42" s="4" t="str">
        <f t="shared" si="39"/>
        <v>-</v>
      </c>
      <c r="AT42" s="4" t="str">
        <f t="shared" si="40"/>
        <v>-</v>
      </c>
      <c r="AU42" s="4" t="str">
        <f t="shared" si="41"/>
        <v>-</v>
      </c>
      <c r="AV42" s="4">
        <v>0</v>
      </c>
      <c r="AW42" s="4" t="s">
        <v>223</v>
      </c>
      <c r="AX42" s="4"/>
      <c r="AY42" s="4"/>
      <c r="AZ42" s="4" t="s">
        <v>223</v>
      </c>
      <c r="BA42" s="4" t="s">
        <v>223</v>
      </c>
      <c r="BB42" s="4" t="s">
        <v>223</v>
      </c>
      <c r="BC42" s="4" t="str">
        <f t="shared" si="42"/>
        <v>-</v>
      </c>
      <c r="BD42" s="19">
        <v>4</v>
      </c>
      <c r="BE42" s="19">
        <v>8</v>
      </c>
      <c r="BF42" s="16">
        <v>18</v>
      </c>
      <c r="BG42" t="s">
        <v>223</v>
      </c>
      <c r="BH42">
        <v>298</v>
      </c>
      <c r="BI42">
        <v>298</v>
      </c>
      <c r="BJ42">
        <f t="shared" si="21"/>
        <v>391.52127659574467</v>
      </c>
      <c r="BK42" t="s">
        <v>223</v>
      </c>
      <c r="BL42" t="s">
        <v>319</v>
      </c>
    </row>
    <row r="43" spans="1:64" x14ac:dyDescent="0.4">
      <c r="A43" s="3">
        <v>79</v>
      </c>
      <c r="B43" s="3">
        <v>79</v>
      </c>
      <c r="C43" s="4" t="s">
        <v>135</v>
      </c>
      <c r="D43" s="4" t="str">
        <f t="shared" si="22"/>
        <v>5039AK</v>
      </c>
      <c r="E43" s="4" t="s">
        <v>135</v>
      </c>
      <c r="F43" s="4" t="s">
        <v>218</v>
      </c>
      <c r="G43" s="5">
        <v>4972759537648</v>
      </c>
      <c r="H43" s="5"/>
      <c r="I43" s="5"/>
      <c r="J43" s="5">
        <v>1</v>
      </c>
      <c r="K43" s="5">
        <v>1</v>
      </c>
      <c r="L43" s="4">
        <v>0</v>
      </c>
      <c r="M43" s="4">
        <v>278</v>
      </c>
      <c r="N43" s="4">
        <v>193</v>
      </c>
      <c r="O43" s="6">
        <f t="shared" si="23"/>
        <v>0.30575539568345322</v>
      </c>
      <c r="P43" s="4" t="s">
        <v>223</v>
      </c>
      <c r="Q43" s="4" t="s">
        <v>223</v>
      </c>
      <c r="R43" s="4" t="s">
        <v>223</v>
      </c>
      <c r="S43" s="4" t="s">
        <v>223</v>
      </c>
      <c r="T43" s="4" t="s">
        <v>223</v>
      </c>
      <c r="U43" s="4" t="s">
        <v>223</v>
      </c>
      <c r="V43" s="4">
        <v>0</v>
      </c>
      <c r="W43" s="4">
        <f t="shared" si="24"/>
        <v>0</v>
      </c>
      <c r="X43" s="4">
        <v>250</v>
      </c>
      <c r="Y43" s="4">
        <f t="shared" si="25"/>
        <v>250</v>
      </c>
      <c r="Z43" s="4"/>
      <c r="AA43" s="21">
        <f t="shared" si="26"/>
        <v>360</v>
      </c>
      <c r="AB43" s="6">
        <f t="shared" si="27"/>
        <v>0.30555555555555558</v>
      </c>
      <c r="AC43" s="4">
        <v>0</v>
      </c>
      <c r="AD43" s="4" t="str">
        <f t="shared" si="28"/>
        <v>-</v>
      </c>
      <c r="AE43" s="4" t="e">
        <f t="shared" si="29"/>
        <v>#VALUE!</v>
      </c>
      <c r="AF43" s="6" t="e">
        <f t="shared" si="30"/>
        <v>#VALUE!</v>
      </c>
      <c r="AG43" s="7">
        <v>380</v>
      </c>
      <c r="AH43" s="6">
        <f t="shared" si="31"/>
        <v>0.34210526315789469</v>
      </c>
      <c r="AI43" s="4">
        <f t="shared" si="32"/>
        <v>130</v>
      </c>
      <c r="AJ43" s="28"/>
      <c r="AK43" s="6"/>
      <c r="AL43" s="6"/>
      <c r="AM43" s="6" t="e">
        <f t="shared" si="33"/>
        <v>#DIV/0!</v>
      </c>
      <c r="AN43" s="6">
        <f t="shared" si="34"/>
        <v>1.3669064748201438</v>
      </c>
      <c r="AO43" s="6">
        <f t="shared" si="35"/>
        <v>1.2953367875647668</v>
      </c>
      <c r="AP43" s="4" t="str">
        <f t="shared" si="36"/>
        <v>-</v>
      </c>
      <c r="AQ43" s="4" t="str">
        <f t="shared" si="37"/>
        <v>-</v>
      </c>
      <c r="AR43" s="4" t="str">
        <f t="shared" si="38"/>
        <v>-</v>
      </c>
      <c r="AS43" s="4" t="str">
        <f t="shared" si="39"/>
        <v>-</v>
      </c>
      <c r="AT43" s="4" t="str">
        <f t="shared" si="40"/>
        <v>-</v>
      </c>
      <c r="AU43" s="4" t="str">
        <f t="shared" si="41"/>
        <v>-</v>
      </c>
      <c r="AV43" s="4">
        <v>0</v>
      </c>
      <c r="AW43" s="4" t="s">
        <v>223</v>
      </c>
      <c r="AX43" s="4"/>
      <c r="AY43" s="4"/>
      <c r="AZ43" s="4" t="s">
        <v>223</v>
      </c>
      <c r="BA43" s="4" t="s">
        <v>223</v>
      </c>
      <c r="BB43" s="4" t="s">
        <v>223</v>
      </c>
      <c r="BC43" s="4" t="str">
        <f t="shared" si="42"/>
        <v>-</v>
      </c>
      <c r="BD43" s="19">
        <v>4</v>
      </c>
      <c r="BE43" s="19">
        <v>8</v>
      </c>
      <c r="BF43" s="16">
        <v>18</v>
      </c>
      <c r="BG43" t="s">
        <v>223</v>
      </c>
      <c r="BH43">
        <v>318</v>
      </c>
      <c r="BI43">
        <v>323</v>
      </c>
      <c r="BJ43">
        <f t="shared" si="21"/>
        <v>418.39378238341965</v>
      </c>
      <c r="BK43" t="s">
        <v>223</v>
      </c>
      <c r="BL43" t="s">
        <v>319</v>
      </c>
    </row>
    <row r="44" spans="1:64" x14ac:dyDescent="0.4">
      <c r="A44" s="3">
        <v>50</v>
      </c>
      <c r="B44" s="3">
        <v>50</v>
      </c>
      <c r="C44" s="4" t="s">
        <v>106</v>
      </c>
      <c r="D44" s="4" t="str">
        <f t="shared" si="22"/>
        <v>J92403</v>
      </c>
      <c r="E44" s="4" t="s">
        <v>106</v>
      </c>
      <c r="F44" s="4" t="s">
        <v>189</v>
      </c>
      <c r="G44" s="5">
        <v>4972759528011</v>
      </c>
      <c r="H44" s="5"/>
      <c r="I44" s="5"/>
      <c r="J44" s="5">
        <v>1</v>
      </c>
      <c r="K44" s="5">
        <v>1</v>
      </c>
      <c r="L44" s="4">
        <v>0</v>
      </c>
      <c r="M44" s="4">
        <v>250</v>
      </c>
      <c r="N44" s="4">
        <v>193</v>
      </c>
      <c r="O44" s="6">
        <f t="shared" si="23"/>
        <v>0.22799999999999998</v>
      </c>
      <c r="P44" s="4" t="s">
        <v>223</v>
      </c>
      <c r="Q44" s="4" t="s">
        <v>223</v>
      </c>
      <c r="R44" s="4" t="s">
        <v>223</v>
      </c>
      <c r="S44" s="4" t="s">
        <v>223</v>
      </c>
      <c r="T44" s="4" t="s">
        <v>223</v>
      </c>
      <c r="U44" s="4" t="s">
        <v>223</v>
      </c>
      <c r="V44" s="4">
        <v>0</v>
      </c>
      <c r="W44" s="4">
        <f t="shared" si="24"/>
        <v>0</v>
      </c>
      <c r="X44" s="4">
        <v>253</v>
      </c>
      <c r="Y44" s="4">
        <f t="shared" si="25"/>
        <v>253</v>
      </c>
      <c r="Z44" s="4"/>
      <c r="AA44" s="21">
        <f t="shared" si="26"/>
        <v>328</v>
      </c>
      <c r="AB44" s="6">
        <f t="shared" si="27"/>
        <v>0.22865853658536583</v>
      </c>
      <c r="AC44" s="4">
        <v>1.25</v>
      </c>
      <c r="AD44" s="4">
        <f t="shared" si="28"/>
        <v>341</v>
      </c>
      <c r="AE44" s="4">
        <f t="shared" si="29"/>
        <v>447.01036269430051</v>
      </c>
      <c r="AF44" s="6">
        <f t="shared" si="30"/>
        <v>0.43401759530791784</v>
      </c>
      <c r="AG44" s="7">
        <v>370</v>
      </c>
      <c r="AH44" s="6">
        <f t="shared" si="31"/>
        <v>0.31621621621621621</v>
      </c>
      <c r="AI44" s="4">
        <f t="shared" si="32"/>
        <v>117</v>
      </c>
      <c r="AJ44" s="28"/>
      <c r="AK44" s="6"/>
      <c r="AL44" s="6"/>
      <c r="AM44" s="6" t="e">
        <f t="shared" si="33"/>
        <v>#DIV/0!</v>
      </c>
      <c r="AN44" s="6">
        <f t="shared" si="34"/>
        <v>1.48</v>
      </c>
      <c r="AO44" s="6">
        <f t="shared" si="35"/>
        <v>1.310880829015544</v>
      </c>
      <c r="AP44" s="4" t="str">
        <f t="shared" si="36"/>
        <v>-</v>
      </c>
      <c r="AQ44" s="4" t="str">
        <f t="shared" si="37"/>
        <v>-</v>
      </c>
      <c r="AR44" s="4" t="str">
        <f t="shared" si="38"/>
        <v>-</v>
      </c>
      <c r="AS44" s="4" t="str">
        <f t="shared" si="39"/>
        <v>-</v>
      </c>
      <c r="AT44" s="4" t="str">
        <f t="shared" si="40"/>
        <v>-</v>
      </c>
      <c r="AU44" s="4" t="str">
        <f t="shared" si="41"/>
        <v>-</v>
      </c>
      <c r="AV44" s="4">
        <v>0</v>
      </c>
      <c r="AW44" s="4" t="s">
        <v>266</v>
      </c>
      <c r="AX44" s="4"/>
      <c r="AY44" s="4"/>
      <c r="AZ44" s="4" t="s">
        <v>261</v>
      </c>
      <c r="BA44" s="4">
        <v>341</v>
      </c>
      <c r="BB44" s="4">
        <v>341</v>
      </c>
      <c r="BC44" s="4">
        <f t="shared" si="42"/>
        <v>341</v>
      </c>
      <c r="BD44" s="19">
        <v>4</v>
      </c>
      <c r="BE44" s="19">
        <v>8</v>
      </c>
      <c r="BF44" s="16">
        <v>18</v>
      </c>
      <c r="BG44" t="s">
        <v>223</v>
      </c>
      <c r="BH44">
        <v>348</v>
      </c>
      <c r="BI44">
        <v>348</v>
      </c>
      <c r="BJ44">
        <f t="shared" si="21"/>
        <v>456.18652849740931</v>
      </c>
      <c r="BK44" t="s">
        <v>234</v>
      </c>
      <c r="BL44" t="s">
        <v>319</v>
      </c>
    </row>
    <row r="45" spans="1:64" x14ac:dyDescent="0.4">
      <c r="A45" s="3">
        <v>73</v>
      </c>
      <c r="B45" s="3">
        <v>73</v>
      </c>
      <c r="C45" s="4" t="s">
        <v>129</v>
      </c>
      <c r="D45" s="4" t="str">
        <f t="shared" si="22"/>
        <v>5749AJ</v>
      </c>
      <c r="E45" s="4" t="s">
        <v>129</v>
      </c>
      <c r="F45" s="4" t="s">
        <v>212</v>
      </c>
      <c r="G45" s="5">
        <v>4972759536535</v>
      </c>
      <c r="H45" s="5"/>
      <c r="I45" s="5"/>
      <c r="J45" s="5">
        <v>1</v>
      </c>
      <c r="K45" s="5">
        <v>1</v>
      </c>
      <c r="L45" s="4">
        <v>0</v>
      </c>
      <c r="M45" s="4">
        <v>282</v>
      </c>
      <c r="N45" s="4">
        <v>197</v>
      </c>
      <c r="O45" s="6">
        <f t="shared" si="23"/>
        <v>0.3014184397163121</v>
      </c>
      <c r="P45" s="4" t="s">
        <v>223</v>
      </c>
      <c r="Q45" s="4" t="s">
        <v>223</v>
      </c>
      <c r="R45" s="4" t="s">
        <v>223</v>
      </c>
      <c r="S45" s="4" t="s">
        <v>223</v>
      </c>
      <c r="T45" s="4" t="s">
        <v>223</v>
      </c>
      <c r="U45" s="4" t="s">
        <v>223</v>
      </c>
      <c r="V45" s="4">
        <v>0</v>
      </c>
      <c r="W45" s="4">
        <f t="shared" si="24"/>
        <v>0</v>
      </c>
      <c r="X45" s="4">
        <v>254</v>
      </c>
      <c r="Y45" s="4">
        <f t="shared" si="25"/>
        <v>254</v>
      </c>
      <c r="Z45" s="4"/>
      <c r="AA45" s="21">
        <f t="shared" si="26"/>
        <v>364</v>
      </c>
      <c r="AB45" s="6">
        <f t="shared" si="27"/>
        <v>0.30219780219780223</v>
      </c>
      <c r="AC45" s="4">
        <v>2.75</v>
      </c>
      <c r="AD45" s="4">
        <f t="shared" si="28"/>
        <v>382</v>
      </c>
      <c r="AE45" s="4">
        <f t="shared" si="29"/>
        <v>492.52791878172593</v>
      </c>
      <c r="AF45" s="6">
        <f t="shared" si="30"/>
        <v>0.48429319371727753</v>
      </c>
      <c r="AG45" s="7">
        <v>390</v>
      </c>
      <c r="AH45" s="6">
        <f t="shared" si="31"/>
        <v>0.3487179487179487</v>
      </c>
      <c r="AI45" s="4">
        <f t="shared" si="32"/>
        <v>136</v>
      </c>
      <c r="AJ45" s="28"/>
      <c r="AK45" s="6"/>
      <c r="AL45" s="6"/>
      <c r="AM45" s="6" t="e">
        <f t="shared" si="33"/>
        <v>#DIV/0!</v>
      </c>
      <c r="AN45" s="6">
        <f t="shared" si="34"/>
        <v>1.3829787234042554</v>
      </c>
      <c r="AO45" s="6">
        <f t="shared" si="35"/>
        <v>1.2893401015228427</v>
      </c>
      <c r="AP45" s="4" t="str">
        <f t="shared" si="36"/>
        <v>-</v>
      </c>
      <c r="AQ45" s="4" t="str">
        <f t="shared" si="37"/>
        <v>-</v>
      </c>
      <c r="AR45" s="4" t="str">
        <f t="shared" si="38"/>
        <v>-</v>
      </c>
      <c r="AS45" s="4" t="str">
        <f t="shared" si="39"/>
        <v>-</v>
      </c>
      <c r="AT45" s="4" t="str">
        <f t="shared" si="40"/>
        <v>-</v>
      </c>
      <c r="AU45" s="4" t="str">
        <f t="shared" si="41"/>
        <v>-</v>
      </c>
      <c r="AV45" s="4">
        <v>0</v>
      </c>
      <c r="AW45" s="4" t="s">
        <v>279</v>
      </c>
      <c r="AX45" s="4"/>
      <c r="AY45" s="4"/>
      <c r="AZ45" s="4" t="s">
        <v>280</v>
      </c>
      <c r="BA45" s="4">
        <v>382</v>
      </c>
      <c r="BB45" s="4">
        <v>382</v>
      </c>
      <c r="BC45" s="4">
        <f t="shared" si="42"/>
        <v>382</v>
      </c>
      <c r="BD45" s="19">
        <v>4</v>
      </c>
      <c r="BE45" s="19">
        <v>8</v>
      </c>
      <c r="BF45" s="16">
        <v>18</v>
      </c>
      <c r="BG45" t="s">
        <v>223</v>
      </c>
      <c r="BH45" t="s">
        <v>223</v>
      </c>
      <c r="BI45" t="s">
        <v>223</v>
      </c>
      <c r="BJ45" t="str">
        <f t="shared" si="21"/>
        <v>-</v>
      </c>
      <c r="BK45" t="s">
        <v>244</v>
      </c>
      <c r="BL45" t="s">
        <v>319</v>
      </c>
    </row>
    <row r="46" spans="1:64" x14ac:dyDescent="0.4">
      <c r="A46" s="3">
        <v>74</v>
      </c>
      <c r="B46" s="3">
        <v>74</v>
      </c>
      <c r="C46" s="4" t="s">
        <v>130</v>
      </c>
      <c r="D46" s="4" t="str">
        <f t="shared" si="22"/>
        <v>5750AJ</v>
      </c>
      <c r="E46" s="4" t="s">
        <v>130</v>
      </c>
      <c r="F46" s="4" t="s">
        <v>213</v>
      </c>
      <c r="G46" s="5">
        <v>4972759536542</v>
      </c>
      <c r="H46" s="5"/>
      <c r="I46" s="5"/>
      <c r="J46" s="5">
        <v>1</v>
      </c>
      <c r="K46" s="5">
        <v>1</v>
      </c>
      <c r="L46" s="4">
        <v>0</v>
      </c>
      <c r="M46" s="4">
        <v>282</v>
      </c>
      <c r="N46" s="4">
        <v>197</v>
      </c>
      <c r="O46" s="6">
        <f t="shared" si="23"/>
        <v>0.3014184397163121</v>
      </c>
      <c r="P46" s="4" t="s">
        <v>223</v>
      </c>
      <c r="Q46" s="4" t="s">
        <v>223</v>
      </c>
      <c r="R46" s="4" t="s">
        <v>223</v>
      </c>
      <c r="S46" s="4" t="s">
        <v>223</v>
      </c>
      <c r="T46" s="4" t="s">
        <v>223</v>
      </c>
      <c r="U46" s="4" t="s">
        <v>223</v>
      </c>
      <c r="V46" s="4">
        <v>0</v>
      </c>
      <c r="W46" s="4">
        <f t="shared" si="24"/>
        <v>0</v>
      </c>
      <c r="X46" s="4">
        <v>254</v>
      </c>
      <c r="Y46" s="4">
        <f t="shared" si="25"/>
        <v>254</v>
      </c>
      <c r="Z46" s="4"/>
      <c r="AA46" s="21">
        <f t="shared" si="26"/>
        <v>364</v>
      </c>
      <c r="AB46" s="6">
        <f t="shared" si="27"/>
        <v>0.30219780219780223</v>
      </c>
      <c r="AC46" s="4">
        <v>1.5</v>
      </c>
      <c r="AD46" s="4">
        <f t="shared" si="28"/>
        <v>384</v>
      </c>
      <c r="AE46" s="4">
        <f t="shared" si="29"/>
        <v>495.10659898477161</v>
      </c>
      <c r="AF46" s="6">
        <f t="shared" si="30"/>
        <v>0.48697916666666674</v>
      </c>
      <c r="AG46" s="7">
        <v>390</v>
      </c>
      <c r="AH46" s="6">
        <f t="shared" si="31"/>
        <v>0.3487179487179487</v>
      </c>
      <c r="AI46" s="4">
        <f t="shared" si="32"/>
        <v>136</v>
      </c>
      <c r="AJ46" s="28"/>
      <c r="AK46" s="6"/>
      <c r="AL46" s="6"/>
      <c r="AM46" s="6" t="e">
        <f t="shared" si="33"/>
        <v>#DIV/0!</v>
      </c>
      <c r="AN46" s="6">
        <f t="shared" si="34"/>
        <v>1.3829787234042554</v>
      </c>
      <c r="AO46" s="6">
        <f t="shared" si="35"/>
        <v>1.2893401015228427</v>
      </c>
      <c r="AP46" s="4" t="str">
        <f t="shared" si="36"/>
        <v>-</v>
      </c>
      <c r="AQ46" s="4" t="str">
        <f t="shared" si="37"/>
        <v>-</v>
      </c>
      <c r="AR46" s="4" t="str">
        <f t="shared" si="38"/>
        <v>-</v>
      </c>
      <c r="AS46" s="4" t="str">
        <f t="shared" si="39"/>
        <v>-</v>
      </c>
      <c r="AT46" s="4" t="str">
        <f t="shared" si="40"/>
        <v>-</v>
      </c>
      <c r="AU46" s="4" t="str">
        <f t="shared" si="41"/>
        <v>-</v>
      </c>
      <c r="AV46" s="4">
        <v>0</v>
      </c>
      <c r="AW46" s="4" t="s">
        <v>281</v>
      </c>
      <c r="AX46" s="4"/>
      <c r="AY46" s="4"/>
      <c r="AZ46" s="4" t="s">
        <v>282</v>
      </c>
      <c r="BA46" s="4">
        <v>384</v>
      </c>
      <c r="BB46" s="4">
        <v>384</v>
      </c>
      <c r="BC46" s="4">
        <f t="shared" si="42"/>
        <v>384</v>
      </c>
      <c r="BD46" s="19">
        <v>4</v>
      </c>
      <c r="BE46" s="19">
        <v>8</v>
      </c>
      <c r="BF46" s="16">
        <v>18</v>
      </c>
      <c r="BG46" t="s">
        <v>223</v>
      </c>
      <c r="BH46" t="s">
        <v>223</v>
      </c>
      <c r="BI46" t="s">
        <v>223</v>
      </c>
      <c r="BJ46" t="str">
        <f t="shared" si="21"/>
        <v>-</v>
      </c>
      <c r="BK46" t="s">
        <v>245</v>
      </c>
      <c r="BL46" t="s">
        <v>319</v>
      </c>
    </row>
    <row r="47" spans="1:64" x14ac:dyDescent="0.4">
      <c r="A47" s="3">
        <v>75</v>
      </c>
      <c r="B47" s="3">
        <v>75</v>
      </c>
      <c r="C47" s="4" t="s">
        <v>131</v>
      </c>
      <c r="D47" s="4" t="str">
        <f t="shared" si="22"/>
        <v>5751AJ</v>
      </c>
      <c r="E47" s="4" t="s">
        <v>131</v>
      </c>
      <c r="F47" s="4" t="s">
        <v>214</v>
      </c>
      <c r="G47" s="5">
        <v>4972759536559</v>
      </c>
      <c r="H47" s="5"/>
      <c r="I47" s="5"/>
      <c r="J47" s="5">
        <v>1</v>
      </c>
      <c r="K47" s="5">
        <v>1</v>
      </c>
      <c r="L47" s="4">
        <v>0</v>
      </c>
      <c r="M47" s="4">
        <v>282</v>
      </c>
      <c r="N47" s="4">
        <v>197</v>
      </c>
      <c r="O47" s="6">
        <f t="shared" si="23"/>
        <v>0.3014184397163121</v>
      </c>
      <c r="P47" s="4" t="s">
        <v>223</v>
      </c>
      <c r="Q47" s="4" t="s">
        <v>223</v>
      </c>
      <c r="R47" s="4" t="s">
        <v>223</v>
      </c>
      <c r="S47" s="4" t="s">
        <v>223</v>
      </c>
      <c r="T47" s="4" t="s">
        <v>223</v>
      </c>
      <c r="U47" s="4" t="s">
        <v>223</v>
      </c>
      <c r="V47" s="4">
        <v>0</v>
      </c>
      <c r="W47" s="4">
        <f t="shared" si="24"/>
        <v>0</v>
      </c>
      <c r="X47" s="4">
        <v>254</v>
      </c>
      <c r="Y47" s="4">
        <f t="shared" si="25"/>
        <v>254</v>
      </c>
      <c r="Z47" s="4"/>
      <c r="AA47" s="21">
        <f t="shared" si="26"/>
        <v>364</v>
      </c>
      <c r="AB47" s="6">
        <f t="shared" si="27"/>
        <v>0.30219780219780223</v>
      </c>
      <c r="AC47" s="4">
        <v>0.75</v>
      </c>
      <c r="AD47" s="4">
        <f t="shared" si="28"/>
        <v>384</v>
      </c>
      <c r="AE47" s="4">
        <f t="shared" si="29"/>
        <v>495.10659898477161</v>
      </c>
      <c r="AF47" s="6">
        <f t="shared" si="30"/>
        <v>0.48697916666666674</v>
      </c>
      <c r="AG47" s="7">
        <v>390</v>
      </c>
      <c r="AH47" s="6">
        <f t="shared" si="31"/>
        <v>0.3487179487179487</v>
      </c>
      <c r="AI47" s="4">
        <f t="shared" si="32"/>
        <v>136</v>
      </c>
      <c r="AJ47" s="28"/>
      <c r="AK47" s="6"/>
      <c r="AL47" s="6"/>
      <c r="AM47" s="6" t="e">
        <f t="shared" si="33"/>
        <v>#DIV/0!</v>
      </c>
      <c r="AN47" s="6">
        <f t="shared" si="34"/>
        <v>1.3829787234042554</v>
      </c>
      <c r="AO47" s="6">
        <f t="shared" si="35"/>
        <v>1.2893401015228427</v>
      </c>
      <c r="AP47" s="4" t="str">
        <f t="shared" si="36"/>
        <v>-</v>
      </c>
      <c r="AQ47" s="4" t="str">
        <f t="shared" si="37"/>
        <v>-</v>
      </c>
      <c r="AR47" s="4" t="str">
        <f t="shared" si="38"/>
        <v>-</v>
      </c>
      <c r="AS47" s="4" t="str">
        <f t="shared" si="39"/>
        <v>-</v>
      </c>
      <c r="AT47" s="4" t="str">
        <f t="shared" si="40"/>
        <v>-</v>
      </c>
      <c r="AU47" s="4" t="str">
        <f t="shared" si="41"/>
        <v>-</v>
      </c>
      <c r="AV47" s="4">
        <v>0</v>
      </c>
      <c r="AW47" s="4" t="s">
        <v>283</v>
      </c>
      <c r="AX47" s="4"/>
      <c r="AY47" s="4"/>
      <c r="AZ47" s="4" t="s">
        <v>284</v>
      </c>
      <c r="BA47" s="4">
        <v>384</v>
      </c>
      <c r="BB47" s="4">
        <v>384</v>
      </c>
      <c r="BC47" s="4">
        <f t="shared" si="42"/>
        <v>384</v>
      </c>
      <c r="BD47" s="19">
        <v>4</v>
      </c>
      <c r="BE47" s="19">
        <v>8</v>
      </c>
      <c r="BF47" s="16">
        <v>18</v>
      </c>
      <c r="BG47" t="s">
        <v>223</v>
      </c>
      <c r="BH47" t="s">
        <v>223</v>
      </c>
      <c r="BI47" t="s">
        <v>223</v>
      </c>
      <c r="BJ47" t="str">
        <f t="shared" si="21"/>
        <v>-</v>
      </c>
      <c r="BK47" t="s">
        <v>246</v>
      </c>
      <c r="BL47" t="s">
        <v>319</v>
      </c>
    </row>
    <row r="48" spans="1:64" x14ac:dyDescent="0.4">
      <c r="A48" s="3">
        <v>20</v>
      </c>
      <c r="B48" s="3">
        <v>20</v>
      </c>
      <c r="C48" s="4" t="s">
        <v>76</v>
      </c>
      <c r="D48" s="4" t="str">
        <f t="shared" si="22"/>
        <v>J92465</v>
      </c>
      <c r="E48" s="4" t="s">
        <v>76</v>
      </c>
      <c r="F48" s="4" t="s">
        <v>159</v>
      </c>
      <c r="G48" s="5">
        <v>4972759515226</v>
      </c>
      <c r="H48" s="5"/>
      <c r="I48" s="5"/>
      <c r="J48" s="5">
        <v>1</v>
      </c>
      <c r="K48" s="5">
        <v>1</v>
      </c>
      <c r="L48" s="4">
        <v>0</v>
      </c>
      <c r="M48" s="4">
        <v>291</v>
      </c>
      <c r="N48" s="4">
        <v>197</v>
      </c>
      <c r="O48" s="6">
        <f t="shared" si="23"/>
        <v>0.32302405498281783</v>
      </c>
      <c r="P48" s="4" t="s">
        <v>223</v>
      </c>
      <c r="Q48" s="4" t="s">
        <v>223</v>
      </c>
      <c r="R48" s="4" t="s">
        <v>223</v>
      </c>
      <c r="S48" s="4" t="s">
        <v>223</v>
      </c>
      <c r="T48" s="4" t="s">
        <v>223</v>
      </c>
      <c r="U48" s="4" t="s">
        <v>223</v>
      </c>
      <c r="V48" s="4">
        <v>0</v>
      </c>
      <c r="W48" s="4">
        <f t="shared" si="24"/>
        <v>0</v>
      </c>
      <c r="X48" s="4">
        <v>258</v>
      </c>
      <c r="Y48" s="4">
        <f t="shared" si="25"/>
        <v>258</v>
      </c>
      <c r="Z48" s="4"/>
      <c r="AA48" s="21">
        <f t="shared" si="26"/>
        <v>381</v>
      </c>
      <c r="AB48" s="6">
        <f t="shared" si="27"/>
        <v>0.32283464566929132</v>
      </c>
      <c r="AC48" s="4">
        <v>1</v>
      </c>
      <c r="AD48" s="4" t="str">
        <f t="shared" si="28"/>
        <v>-</v>
      </c>
      <c r="AE48" s="4" t="e">
        <f t="shared" si="29"/>
        <v>#VALUE!</v>
      </c>
      <c r="AF48" s="6" t="e">
        <f t="shared" si="30"/>
        <v>#VALUE!</v>
      </c>
      <c r="AG48" s="7">
        <v>400</v>
      </c>
      <c r="AH48" s="6">
        <f t="shared" si="31"/>
        <v>0.35499999999999998</v>
      </c>
      <c r="AI48" s="4">
        <f t="shared" si="32"/>
        <v>142</v>
      </c>
      <c r="AJ48" s="28"/>
      <c r="AK48" s="6"/>
      <c r="AL48" s="6"/>
      <c r="AM48" s="6" t="e">
        <f t="shared" si="33"/>
        <v>#DIV/0!</v>
      </c>
      <c r="AN48" s="6">
        <f t="shared" si="34"/>
        <v>1.3745704467353952</v>
      </c>
      <c r="AO48" s="6">
        <f t="shared" si="35"/>
        <v>1.3096446700507614</v>
      </c>
      <c r="AP48" s="4" t="str">
        <f t="shared" si="36"/>
        <v>-</v>
      </c>
      <c r="AQ48" s="4" t="str">
        <f t="shared" si="37"/>
        <v>-</v>
      </c>
      <c r="AR48" s="4" t="str">
        <f t="shared" si="38"/>
        <v>-</v>
      </c>
      <c r="AS48" s="4" t="str">
        <f t="shared" si="39"/>
        <v>-</v>
      </c>
      <c r="AT48" s="4" t="str">
        <f t="shared" si="40"/>
        <v>-</v>
      </c>
      <c r="AU48" s="4" t="str">
        <f t="shared" si="41"/>
        <v>-</v>
      </c>
      <c r="AV48" s="4">
        <v>0</v>
      </c>
      <c r="AW48" s="4" t="s">
        <v>223</v>
      </c>
      <c r="AX48" s="4"/>
      <c r="AY48" s="4"/>
      <c r="AZ48" s="4" t="s">
        <v>223</v>
      </c>
      <c r="BA48" s="4" t="s">
        <v>223</v>
      </c>
      <c r="BB48" s="4" t="s">
        <v>223</v>
      </c>
      <c r="BC48" s="4" t="str">
        <f t="shared" si="42"/>
        <v>-</v>
      </c>
      <c r="BD48" s="19">
        <v>4</v>
      </c>
      <c r="BE48" s="19">
        <v>8</v>
      </c>
      <c r="BF48" s="16">
        <v>18</v>
      </c>
      <c r="BG48" t="s">
        <v>223</v>
      </c>
      <c r="BH48">
        <v>362</v>
      </c>
      <c r="BI48">
        <v>472</v>
      </c>
      <c r="BJ48">
        <f t="shared" si="21"/>
        <v>618.15228426395936</v>
      </c>
      <c r="BK48" t="s">
        <v>223</v>
      </c>
      <c r="BL48" t="s">
        <v>319</v>
      </c>
    </row>
    <row r="49" spans="1:64" x14ac:dyDescent="0.4">
      <c r="A49" s="3">
        <v>22</v>
      </c>
      <c r="B49" s="3">
        <v>22</v>
      </c>
      <c r="C49" s="4" t="s">
        <v>78</v>
      </c>
      <c r="D49" s="4" t="str">
        <f t="shared" si="22"/>
        <v>J92458</v>
      </c>
      <c r="E49" s="4" t="s">
        <v>78</v>
      </c>
      <c r="F49" s="4" t="s">
        <v>161</v>
      </c>
      <c r="G49" s="5">
        <v>4972759515264</v>
      </c>
      <c r="H49" s="5"/>
      <c r="I49" s="5"/>
      <c r="J49" s="5">
        <v>1</v>
      </c>
      <c r="K49" s="5">
        <v>1</v>
      </c>
      <c r="L49" s="4">
        <v>0</v>
      </c>
      <c r="M49" s="4">
        <v>288</v>
      </c>
      <c r="N49" s="4">
        <v>197</v>
      </c>
      <c r="O49" s="6">
        <f t="shared" si="23"/>
        <v>0.31597222222222221</v>
      </c>
      <c r="P49" s="4" t="s">
        <v>223</v>
      </c>
      <c r="Q49" s="4" t="s">
        <v>223</v>
      </c>
      <c r="R49" s="4" t="s">
        <v>223</v>
      </c>
      <c r="S49" s="4" t="s">
        <v>223</v>
      </c>
      <c r="T49" s="4" t="s">
        <v>223</v>
      </c>
      <c r="U49" s="4" t="s">
        <v>223</v>
      </c>
      <c r="V49" s="4">
        <v>0</v>
      </c>
      <c r="W49" s="4">
        <f t="shared" si="24"/>
        <v>0</v>
      </c>
      <c r="X49" s="4">
        <v>258</v>
      </c>
      <c r="Y49" s="4">
        <f t="shared" si="25"/>
        <v>258</v>
      </c>
      <c r="Z49" s="4"/>
      <c r="AA49" s="21">
        <f t="shared" si="26"/>
        <v>377</v>
      </c>
      <c r="AB49" s="6">
        <f t="shared" si="27"/>
        <v>0.31564986737400536</v>
      </c>
      <c r="AC49" s="4">
        <v>1</v>
      </c>
      <c r="AD49" s="4" t="str">
        <f t="shared" si="28"/>
        <v>-</v>
      </c>
      <c r="AE49" s="4" t="e">
        <f t="shared" si="29"/>
        <v>#VALUE!</v>
      </c>
      <c r="AF49" s="6" t="e">
        <f t="shared" si="30"/>
        <v>#VALUE!</v>
      </c>
      <c r="AG49" s="7">
        <v>400</v>
      </c>
      <c r="AH49" s="6">
        <f t="shared" si="31"/>
        <v>0.35499999999999998</v>
      </c>
      <c r="AI49" s="4">
        <f t="shared" si="32"/>
        <v>142</v>
      </c>
      <c r="AJ49" s="28"/>
      <c r="AK49" s="6"/>
      <c r="AL49" s="6"/>
      <c r="AM49" s="6" t="e">
        <f t="shared" si="33"/>
        <v>#DIV/0!</v>
      </c>
      <c r="AN49" s="6">
        <f t="shared" si="34"/>
        <v>1.3888888888888888</v>
      </c>
      <c r="AO49" s="6">
        <f t="shared" si="35"/>
        <v>1.3096446700507614</v>
      </c>
      <c r="AP49" s="4" t="str">
        <f t="shared" si="36"/>
        <v>-</v>
      </c>
      <c r="AQ49" s="4" t="str">
        <f t="shared" si="37"/>
        <v>-</v>
      </c>
      <c r="AR49" s="4" t="str">
        <f t="shared" si="38"/>
        <v>-</v>
      </c>
      <c r="AS49" s="4" t="str">
        <f t="shared" si="39"/>
        <v>-</v>
      </c>
      <c r="AT49" s="4" t="str">
        <f t="shared" si="40"/>
        <v>-</v>
      </c>
      <c r="AU49" s="4" t="str">
        <f t="shared" si="41"/>
        <v>-</v>
      </c>
      <c r="AV49" s="4">
        <v>0</v>
      </c>
      <c r="AW49" s="4" t="s">
        <v>223</v>
      </c>
      <c r="AX49" s="4"/>
      <c r="AY49" s="4"/>
      <c r="AZ49" s="4" t="s">
        <v>223</v>
      </c>
      <c r="BA49" s="4" t="s">
        <v>223</v>
      </c>
      <c r="BB49" s="4" t="s">
        <v>223</v>
      </c>
      <c r="BC49" s="4" t="str">
        <f t="shared" si="42"/>
        <v>-</v>
      </c>
      <c r="BD49" s="19">
        <v>4</v>
      </c>
      <c r="BE49" s="19">
        <v>8</v>
      </c>
      <c r="BF49" s="16">
        <v>18</v>
      </c>
      <c r="BG49" t="s">
        <v>223</v>
      </c>
      <c r="BH49">
        <v>351</v>
      </c>
      <c r="BI49">
        <v>457</v>
      </c>
      <c r="BJ49">
        <f t="shared" si="21"/>
        <v>598.50761421319794</v>
      </c>
      <c r="BK49" t="s">
        <v>223</v>
      </c>
      <c r="BL49" t="s">
        <v>319</v>
      </c>
    </row>
    <row r="50" spans="1:64" x14ac:dyDescent="0.4">
      <c r="A50" s="3">
        <v>12</v>
      </c>
      <c r="B50" s="3">
        <v>12</v>
      </c>
      <c r="C50" s="4" t="s">
        <v>68</v>
      </c>
      <c r="D50" s="4" t="str">
        <f t="shared" si="22"/>
        <v>J92421</v>
      </c>
      <c r="E50" s="4" t="s">
        <v>68</v>
      </c>
      <c r="F50" s="4" t="s">
        <v>151</v>
      </c>
      <c r="G50" s="5">
        <v>4972759511921</v>
      </c>
      <c r="H50" s="5"/>
      <c r="I50" s="5"/>
      <c r="J50" s="5">
        <v>1</v>
      </c>
      <c r="K50" s="5">
        <v>1</v>
      </c>
      <c r="L50" s="4">
        <v>0</v>
      </c>
      <c r="M50" s="4">
        <v>288</v>
      </c>
      <c r="N50" s="4">
        <v>211</v>
      </c>
      <c r="O50" s="6">
        <f t="shared" si="23"/>
        <v>0.26736111111111116</v>
      </c>
      <c r="P50" s="4" t="s">
        <v>223</v>
      </c>
      <c r="Q50" s="4" t="s">
        <v>223</v>
      </c>
      <c r="R50" s="4" t="s">
        <v>223</v>
      </c>
      <c r="S50" s="4" t="s">
        <v>223</v>
      </c>
      <c r="T50" s="4" t="s">
        <v>223</v>
      </c>
      <c r="U50" s="4" t="s">
        <v>223</v>
      </c>
      <c r="V50" s="4">
        <v>0</v>
      </c>
      <c r="W50" s="4">
        <f t="shared" si="24"/>
        <v>0</v>
      </c>
      <c r="X50" s="4">
        <v>276</v>
      </c>
      <c r="Y50" s="4">
        <f t="shared" si="25"/>
        <v>276</v>
      </c>
      <c r="Z50" s="4"/>
      <c r="AA50" s="21">
        <f t="shared" si="26"/>
        <v>377</v>
      </c>
      <c r="AB50" s="6">
        <f t="shared" si="27"/>
        <v>0.26790450928381959</v>
      </c>
      <c r="AC50" s="4">
        <v>3.25</v>
      </c>
      <c r="AD50" s="4" t="str">
        <f t="shared" si="28"/>
        <v>-</v>
      </c>
      <c r="AE50" s="4" t="e">
        <f t="shared" si="29"/>
        <v>#VALUE!</v>
      </c>
      <c r="AF50" s="6" t="e">
        <f t="shared" si="30"/>
        <v>#VALUE!</v>
      </c>
      <c r="AG50" s="7">
        <v>410</v>
      </c>
      <c r="AH50" s="6">
        <f t="shared" si="31"/>
        <v>0.32682926829268288</v>
      </c>
      <c r="AI50" s="4">
        <f t="shared" si="32"/>
        <v>134</v>
      </c>
      <c r="AJ50" s="28"/>
      <c r="AK50" s="6"/>
      <c r="AL50" s="6"/>
      <c r="AM50" s="6" t="e">
        <f t="shared" si="33"/>
        <v>#DIV/0!</v>
      </c>
      <c r="AN50" s="6">
        <f t="shared" si="34"/>
        <v>1.4236111111111112</v>
      </c>
      <c r="AO50" s="6">
        <f t="shared" si="35"/>
        <v>1.3080568720379147</v>
      </c>
      <c r="AP50" s="4" t="str">
        <f t="shared" si="36"/>
        <v>-</v>
      </c>
      <c r="AQ50" s="4" t="str">
        <f t="shared" si="37"/>
        <v>-</v>
      </c>
      <c r="AR50" s="4" t="str">
        <f t="shared" si="38"/>
        <v>-</v>
      </c>
      <c r="AS50" s="4" t="str">
        <f t="shared" si="39"/>
        <v>-</v>
      </c>
      <c r="AT50" s="4" t="str">
        <f t="shared" si="40"/>
        <v>-</v>
      </c>
      <c r="AU50" s="4" t="str">
        <f t="shared" si="41"/>
        <v>-</v>
      </c>
      <c r="AV50" s="4">
        <v>0</v>
      </c>
      <c r="AW50" s="4" t="s">
        <v>223</v>
      </c>
      <c r="AX50" s="4"/>
      <c r="AY50" s="4"/>
      <c r="AZ50" s="4" t="s">
        <v>223</v>
      </c>
      <c r="BA50" s="4" t="s">
        <v>223</v>
      </c>
      <c r="BB50" s="4" t="s">
        <v>223</v>
      </c>
      <c r="BC50" s="4" t="str">
        <f t="shared" si="42"/>
        <v>-</v>
      </c>
      <c r="BD50" s="19">
        <v>4</v>
      </c>
      <c r="BE50" s="19">
        <v>8</v>
      </c>
      <c r="BF50" s="16">
        <v>18</v>
      </c>
      <c r="BG50" t="s">
        <v>223</v>
      </c>
      <c r="BH50">
        <v>4674</v>
      </c>
      <c r="BI50">
        <v>4674</v>
      </c>
      <c r="BJ50">
        <f t="shared" si="21"/>
        <v>6113.8578199052126</v>
      </c>
      <c r="BK50" t="s">
        <v>223</v>
      </c>
      <c r="BL50" t="s">
        <v>319</v>
      </c>
    </row>
    <row r="51" spans="1:64" x14ac:dyDescent="0.4">
      <c r="A51" s="3">
        <v>54</v>
      </c>
      <c r="B51" s="3">
        <v>54</v>
      </c>
      <c r="C51" s="4" t="s">
        <v>110</v>
      </c>
      <c r="D51" s="4" t="str">
        <f t="shared" si="22"/>
        <v>JX1223</v>
      </c>
      <c r="E51" s="4" t="s">
        <v>110</v>
      </c>
      <c r="F51" s="4" t="s">
        <v>193</v>
      </c>
      <c r="G51" s="5">
        <v>4972759532490</v>
      </c>
      <c r="H51" s="5"/>
      <c r="I51" s="5"/>
      <c r="J51" s="32">
        <v>2</v>
      </c>
      <c r="K51" s="5">
        <v>1</v>
      </c>
      <c r="L51" s="4">
        <v>0</v>
      </c>
      <c r="M51" s="4">
        <v>345</v>
      </c>
      <c r="N51" s="4">
        <v>212</v>
      </c>
      <c r="O51" s="6">
        <f t="shared" si="23"/>
        <v>0.38550724637681155</v>
      </c>
      <c r="P51" s="4" t="s">
        <v>223</v>
      </c>
      <c r="Q51" s="4" t="s">
        <v>223</v>
      </c>
      <c r="R51" s="4" t="s">
        <v>223</v>
      </c>
      <c r="S51" s="4" t="s">
        <v>223</v>
      </c>
      <c r="T51" s="4" t="s">
        <v>223</v>
      </c>
      <c r="U51" s="4" t="s">
        <v>223</v>
      </c>
      <c r="V51" s="4">
        <v>0</v>
      </c>
      <c r="W51" s="4">
        <f t="shared" si="24"/>
        <v>0</v>
      </c>
      <c r="X51" s="4">
        <v>277</v>
      </c>
      <c r="Y51" s="4">
        <f t="shared" si="25"/>
        <v>277</v>
      </c>
      <c r="Z51" s="4"/>
      <c r="AA51" s="21">
        <f t="shared" si="26"/>
        <v>451</v>
      </c>
      <c r="AB51" s="6">
        <f t="shared" si="27"/>
        <v>0.38580931263858098</v>
      </c>
      <c r="AC51" s="4">
        <v>13.750000000000002</v>
      </c>
      <c r="AD51" s="4" t="str">
        <f t="shared" si="28"/>
        <v>-</v>
      </c>
      <c r="AE51" s="4" t="e">
        <f t="shared" si="29"/>
        <v>#VALUE!</v>
      </c>
      <c r="AF51" s="6" t="e">
        <f t="shared" si="30"/>
        <v>#VALUE!</v>
      </c>
      <c r="AG51" s="7">
        <v>450</v>
      </c>
      <c r="AH51" s="6">
        <f t="shared" si="31"/>
        <v>0.38444444444444448</v>
      </c>
      <c r="AI51" s="4">
        <f t="shared" si="32"/>
        <v>173</v>
      </c>
      <c r="AJ51" s="28"/>
      <c r="AK51" s="6"/>
      <c r="AL51" s="6"/>
      <c r="AM51" s="6" t="e">
        <f t="shared" si="33"/>
        <v>#DIV/0!</v>
      </c>
      <c r="AN51" s="6">
        <f t="shared" si="34"/>
        <v>1.3043478260869565</v>
      </c>
      <c r="AO51" s="6">
        <f t="shared" si="35"/>
        <v>1.3066037735849056</v>
      </c>
      <c r="AP51" s="4" t="str">
        <f t="shared" si="36"/>
        <v>-</v>
      </c>
      <c r="AQ51" s="4" t="str">
        <f t="shared" si="37"/>
        <v>-</v>
      </c>
      <c r="AR51" s="4" t="str">
        <f t="shared" si="38"/>
        <v>-</v>
      </c>
      <c r="AS51" s="4" t="str">
        <f t="shared" si="39"/>
        <v>-</v>
      </c>
      <c r="AT51" s="4" t="str">
        <f t="shared" si="40"/>
        <v>-</v>
      </c>
      <c r="AU51" s="4" t="str">
        <f t="shared" si="41"/>
        <v>-</v>
      </c>
      <c r="AV51" s="4">
        <v>0</v>
      </c>
      <c r="AW51" s="4" t="s">
        <v>223</v>
      </c>
      <c r="AX51" s="4"/>
      <c r="AY51" s="4"/>
      <c r="AZ51" s="4" t="s">
        <v>223</v>
      </c>
      <c r="BA51" s="4" t="s">
        <v>223</v>
      </c>
      <c r="BB51" s="4" t="s">
        <v>223</v>
      </c>
      <c r="BC51" s="4" t="str">
        <f t="shared" si="42"/>
        <v>-</v>
      </c>
      <c r="BD51" s="19">
        <v>4</v>
      </c>
      <c r="BE51" s="19">
        <v>1</v>
      </c>
      <c r="BF51" s="16">
        <v>18</v>
      </c>
      <c r="BG51" t="s">
        <v>223</v>
      </c>
      <c r="BH51">
        <v>10640</v>
      </c>
      <c r="BI51">
        <v>10640</v>
      </c>
      <c r="BJ51">
        <f t="shared" si="21"/>
        <v>13902.264150943396</v>
      </c>
      <c r="BK51" t="s">
        <v>223</v>
      </c>
      <c r="BL51" t="s">
        <v>319</v>
      </c>
    </row>
    <row r="52" spans="1:64" x14ac:dyDescent="0.4">
      <c r="A52" s="3">
        <v>39</v>
      </c>
      <c r="B52" s="3">
        <v>39</v>
      </c>
      <c r="C52" s="4" t="s">
        <v>95</v>
      </c>
      <c r="D52" s="4" t="str">
        <f t="shared" si="22"/>
        <v>J92473</v>
      </c>
      <c r="E52" s="4" t="s">
        <v>95</v>
      </c>
      <c r="F52" s="4" t="s">
        <v>178</v>
      </c>
      <c r="G52" s="5">
        <v>4972759522903</v>
      </c>
      <c r="H52" s="5"/>
      <c r="I52" s="5"/>
      <c r="J52" s="5">
        <v>1</v>
      </c>
      <c r="K52" s="5">
        <v>1</v>
      </c>
      <c r="L52" s="4">
        <v>0</v>
      </c>
      <c r="M52" s="4">
        <v>328</v>
      </c>
      <c r="N52" s="4">
        <v>224</v>
      </c>
      <c r="O52" s="6">
        <f t="shared" si="23"/>
        <v>0.31707317073170727</v>
      </c>
      <c r="P52" s="4" t="s">
        <v>223</v>
      </c>
      <c r="Q52" s="4" t="s">
        <v>223</v>
      </c>
      <c r="R52" s="4" t="s">
        <v>223</v>
      </c>
      <c r="S52" s="4" t="s">
        <v>223</v>
      </c>
      <c r="T52" s="4" t="s">
        <v>223</v>
      </c>
      <c r="U52" s="4" t="s">
        <v>223</v>
      </c>
      <c r="V52" s="4">
        <v>0</v>
      </c>
      <c r="W52" s="4">
        <f t="shared" si="24"/>
        <v>0</v>
      </c>
      <c r="X52" s="4">
        <v>293</v>
      </c>
      <c r="Y52" s="4">
        <f t="shared" si="25"/>
        <v>293</v>
      </c>
      <c r="Z52" s="4"/>
      <c r="AA52" s="21">
        <f t="shared" si="26"/>
        <v>429</v>
      </c>
      <c r="AB52" s="6">
        <f t="shared" si="27"/>
        <v>0.31701631701631705</v>
      </c>
      <c r="AC52" s="4">
        <v>14.249999999999998</v>
      </c>
      <c r="AD52" s="4" t="str">
        <f t="shared" si="28"/>
        <v>-</v>
      </c>
      <c r="AE52" s="4" t="e">
        <f t="shared" si="29"/>
        <v>#VALUE!</v>
      </c>
      <c r="AF52" s="6" t="e">
        <f t="shared" si="30"/>
        <v>#VALUE!</v>
      </c>
      <c r="AG52" s="7">
        <v>450</v>
      </c>
      <c r="AH52" s="6">
        <f t="shared" si="31"/>
        <v>0.34888888888888892</v>
      </c>
      <c r="AI52" s="4">
        <f t="shared" si="32"/>
        <v>157</v>
      </c>
      <c r="AJ52" s="28"/>
      <c r="AK52" s="6"/>
      <c r="AL52" s="6"/>
      <c r="AM52" s="6" t="e">
        <f t="shared" si="33"/>
        <v>#DIV/0!</v>
      </c>
      <c r="AN52" s="6">
        <f t="shared" si="34"/>
        <v>1.3719512195121952</v>
      </c>
      <c r="AO52" s="6">
        <f t="shared" si="35"/>
        <v>1.3080357142857142</v>
      </c>
      <c r="AP52" s="4" t="str">
        <f t="shared" si="36"/>
        <v>-</v>
      </c>
      <c r="AQ52" s="4" t="str">
        <f t="shared" si="37"/>
        <v>-</v>
      </c>
      <c r="AR52" s="4" t="str">
        <f t="shared" si="38"/>
        <v>-</v>
      </c>
      <c r="AS52" s="4" t="str">
        <f t="shared" si="39"/>
        <v>-</v>
      </c>
      <c r="AT52" s="4" t="str">
        <f t="shared" si="40"/>
        <v>-</v>
      </c>
      <c r="AU52" s="4" t="str">
        <f t="shared" si="41"/>
        <v>-</v>
      </c>
      <c r="AV52" s="4">
        <v>0</v>
      </c>
      <c r="AW52" s="4" t="s">
        <v>223</v>
      </c>
      <c r="AX52" s="4"/>
      <c r="AY52" s="4"/>
      <c r="AZ52" s="4" t="s">
        <v>223</v>
      </c>
      <c r="BA52" s="4" t="s">
        <v>223</v>
      </c>
      <c r="BB52" s="4" t="s">
        <v>223</v>
      </c>
      <c r="BC52" s="4" t="str">
        <f t="shared" si="42"/>
        <v>-</v>
      </c>
      <c r="BD52" s="19">
        <v>4</v>
      </c>
      <c r="BE52" s="19">
        <v>1</v>
      </c>
      <c r="BF52" s="16">
        <v>18</v>
      </c>
      <c r="BG52" t="s">
        <v>223</v>
      </c>
      <c r="BH52" t="s">
        <v>223</v>
      </c>
      <c r="BI52" t="s">
        <v>223</v>
      </c>
      <c r="BJ52" t="str">
        <f t="shared" si="21"/>
        <v>-</v>
      </c>
      <c r="BK52" t="s">
        <v>223</v>
      </c>
      <c r="BL52" t="s">
        <v>319</v>
      </c>
    </row>
    <row r="53" spans="1:64" x14ac:dyDescent="0.4">
      <c r="A53" s="3">
        <v>36</v>
      </c>
      <c r="B53" s="3">
        <v>36</v>
      </c>
      <c r="C53" s="4" t="s">
        <v>92</v>
      </c>
      <c r="D53" s="4" t="str">
        <f t="shared" si="22"/>
        <v>J92585</v>
      </c>
      <c r="E53" s="4" t="s">
        <v>92</v>
      </c>
      <c r="F53" s="4" t="s">
        <v>175</v>
      </c>
      <c r="G53" s="5">
        <v>4972759522217</v>
      </c>
      <c r="H53" s="5"/>
      <c r="I53" s="5"/>
      <c r="J53" s="5">
        <v>1</v>
      </c>
      <c r="K53" s="5">
        <v>1</v>
      </c>
      <c r="L53" s="4">
        <v>0</v>
      </c>
      <c r="M53" s="4">
        <v>307</v>
      </c>
      <c r="N53" s="4">
        <v>225</v>
      </c>
      <c r="O53" s="6">
        <f t="shared" si="23"/>
        <v>0.26710097719869708</v>
      </c>
      <c r="P53" s="4" t="s">
        <v>223</v>
      </c>
      <c r="Q53" s="4" t="s">
        <v>223</v>
      </c>
      <c r="R53" s="4" t="s">
        <v>223</v>
      </c>
      <c r="S53" s="4" t="s">
        <v>223</v>
      </c>
      <c r="T53" s="4" t="s">
        <v>223</v>
      </c>
      <c r="U53" s="4" t="s">
        <v>223</v>
      </c>
      <c r="V53" s="4">
        <v>0</v>
      </c>
      <c r="W53" s="4">
        <f t="shared" si="24"/>
        <v>0</v>
      </c>
      <c r="X53" s="4">
        <v>294</v>
      </c>
      <c r="Y53" s="4">
        <f t="shared" si="25"/>
        <v>294</v>
      </c>
      <c r="Z53" s="4"/>
      <c r="AA53" s="21">
        <f t="shared" si="26"/>
        <v>401</v>
      </c>
      <c r="AB53" s="6">
        <f t="shared" si="27"/>
        <v>0.26683291770573569</v>
      </c>
      <c r="AC53" s="4">
        <v>0.25</v>
      </c>
      <c r="AD53" s="4" t="str">
        <f t="shared" si="28"/>
        <v>-</v>
      </c>
      <c r="AE53" s="4" t="e">
        <f t="shared" si="29"/>
        <v>#VALUE!</v>
      </c>
      <c r="AF53" s="6" t="e">
        <f t="shared" si="30"/>
        <v>#VALUE!</v>
      </c>
      <c r="AG53" s="7">
        <v>440</v>
      </c>
      <c r="AH53" s="6">
        <f t="shared" si="31"/>
        <v>0.33181818181818179</v>
      </c>
      <c r="AI53" s="4">
        <f t="shared" si="32"/>
        <v>146</v>
      </c>
      <c r="AJ53" s="28"/>
      <c r="AK53" s="6"/>
      <c r="AL53" s="6"/>
      <c r="AM53" s="6" t="e">
        <f t="shared" si="33"/>
        <v>#DIV/0!</v>
      </c>
      <c r="AN53" s="6">
        <f t="shared" si="34"/>
        <v>1.4332247557003257</v>
      </c>
      <c r="AO53" s="6">
        <f t="shared" si="35"/>
        <v>1.3066666666666666</v>
      </c>
      <c r="AP53" s="4" t="str">
        <f t="shared" si="36"/>
        <v>-</v>
      </c>
      <c r="AQ53" s="4" t="str">
        <f t="shared" si="37"/>
        <v>-</v>
      </c>
      <c r="AR53" s="4" t="str">
        <f t="shared" si="38"/>
        <v>-</v>
      </c>
      <c r="AS53" s="4" t="str">
        <f t="shared" si="39"/>
        <v>-</v>
      </c>
      <c r="AT53" s="4" t="str">
        <f t="shared" si="40"/>
        <v>-</v>
      </c>
      <c r="AU53" s="4" t="str">
        <f t="shared" si="41"/>
        <v>-</v>
      </c>
      <c r="AV53" s="4">
        <v>0</v>
      </c>
      <c r="AW53" s="4" t="s">
        <v>223</v>
      </c>
      <c r="AX53" s="4"/>
      <c r="AY53" s="4"/>
      <c r="AZ53" s="4" t="s">
        <v>223</v>
      </c>
      <c r="BA53" s="4" t="s">
        <v>223</v>
      </c>
      <c r="BB53" s="4" t="s">
        <v>223</v>
      </c>
      <c r="BC53" s="4" t="str">
        <f t="shared" si="42"/>
        <v>-</v>
      </c>
      <c r="BD53" s="19">
        <v>4</v>
      </c>
      <c r="BE53" s="19">
        <v>8</v>
      </c>
      <c r="BF53" s="16">
        <v>18</v>
      </c>
      <c r="BG53" t="s">
        <v>223</v>
      </c>
      <c r="BH53">
        <v>8493</v>
      </c>
      <c r="BI53">
        <v>8493</v>
      </c>
      <c r="BJ53">
        <f t="shared" si="21"/>
        <v>11097.52</v>
      </c>
      <c r="BK53" t="s">
        <v>223</v>
      </c>
      <c r="BL53" t="s">
        <v>319</v>
      </c>
    </row>
    <row r="54" spans="1:64" x14ac:dyDescent="0.4">
      <c r="A54" s="3">
        <v>70</v>
      </c>
      <c r="B54" s="3">
        <v>70</v>
      </c>
      <c r="C54" s="4" t="s">
        <v>126</v>
      </c>
      <c r="D54" s="4" t="str">
        <f t="shared" si="22"/>
        <v>5036AK</v>
      </c>
      <c r="E54" s="4" t="s">
        <v>126</v>
      </c>
      <c r="F54" s="4" t="s">
        <v>209</v>
      </c>
      <c r="G54" s="5">
        <v>4972759534371</v>
      </c>
      <c r="H54" s="5"/>
      <c r="I54" s="5"/>
      <c r="J54" s="5">
        <v>1</v>
      </c>
      <c r="K54" s="5">
        <v>1</v>
      </c>
      <c r="L54" s="4">
        <v>0</v>
      </c>
      <c r="M54" s="4">
        <v>348</v>
      </c>
      <c r="N54" s="4">
        <v>231</v>
      </c>
      <c r="O54" s="6">
        <f t="shared" si="23"/>
        <v>0.33620689655172409</v>
      </c>
      <c r="P54" s="4" t="s">
        <v>223</v>
      </c>
      <c r="Q54" s="4" t="s">
        <v>223</v>
      </c>
      <c r="R54" s="4" t="s">
        <v>223</v>
      </c>
      <c r="S54" s="4" t="s">
        <v>223</v>
      </c>
      <c r="T54" s="4" t="s">
        <v>223</v>
      </c>
      <c r="U54" s="4" t="s">
        <v>223</v>
      </c>
      <c r="V54" s="4">
        <v>0</v>
      </c>
      <c r="W54" s="4">
        <f t="shared" si="24"/>
        <v>0</v>
      </c>
      <c r="X54" s="4">
        <v>300</v>
      </c>
      <c r="Y54" s="4">
        <f t="shared" si="25"/>
        <v>300</v>
      </c>
      <c r="Z54" s="4"/>
      <c r="AA54" s="21">
        <f t="shared" si="26"/>
        <v>452</v>
      </c>
      <c r="AB54" s="6">
        <f t="shared" si="27"/>
        <v>0.33628318584070793</v>
      </c>
      <c r="AC54" s="4">
        <v>0.75</v>
      </c>
      <c r="AD54" s="4" t="str">
        <f t="shared" si="28"/>
        <v>-</v>
      </c>
      <c r="AE54" s="4" t="e">
        <f t="shared" si="29"/>
        <v>#VALUE!</v>
      </c>
      <c r="AF54" s="6" t="e">
        <f t="shared" si="30"/>
        <v>#VALUE!</v>
      </c>
      <c r="AG54" s="7">
        <v>460</v>
      </c>
      <c r="AH54" s="6">
        <f t="shared" si="31"/>
        <v>0.34782608695652173</v>
      </c>
      <c r="AI54" s="4">
        <f t="shared" si="32"/>
        <v>160</v>
      </c>
      <c r="AJ54" s="28"/>
      <c r="AK54" s="6"/>
      <c r="AL54" s="6"/>
      <c r="AM54" s="6" t="e">
        <f t="shared" si="33"/>
        <v>#DIV/0!</v>
      </c>
      <c r="AN54" s="6">
        <f t="shared" si="34"/>
        <v>1.3218390804597702</v>
      </c>
      <c r="AO54" s="6">
        <f t="shared" si="35"/>
        <v>1.2987012987012987</v>
      </c>
      <c r="AP54" s="4" t="str">
        <f t="shared" si="36"/>
        <v>-</v>
      </c>
      <c r="AQ54" s="4" t="str">
        <f t="shared" si="37"/>
        <v>-</v>
      </c>
      <c r="AR54" s="4" t="str">
        <f t="shared" si="38"/>
        <v>-</v>
      </c>
      <c r="AS54" s="4" t="str">
        <f t="shared" si="39"/>
        <v>-</v>
      </c>
      <c r="AT54" s="4" t="str">
        <f t="shared" si="40"/>
        <v>-</v>
      </c>
      <c r="AU54" s="4" t="str">
        <f t="shared" si="41"/>
        <v>-</v>
      </c>
      <c r="AV54" s="4">
        <v>0</v>
      </c>
      <c r="AW54" s="4" t="s">
        <v>223</v>
      </c>
      <c r="AX54" s="4"/>
      <c r="AY54" s="4"/>
      <c r="AZ54" s="4" t="s">
        <v>223</v>
      </c>
      <c r="BA54" s="4" t="s">
        <v>223</v>
      </c>
      <c r="BB54" s="4" t="s">
        <v>223</v>
      </c>
      <c r="BC54" s="4" t="str">
        <f t="shared" si="42"/>
        <v>-</v>
      </c>
      <c r="BD54" s="19">
        <v>4</v>
      </c>
      <c r="BE54" s="19">
        <v>8</v>
      </c>
      <c r="BF54" s="16">
        <v>18</v>
      </c>
      <c r="BG54" t="s">
        <v>223</v>
      </c>
      <c r="BH54">
        <v>5957</v>
      </c>
      <c r="BI54">
        <v>5957</v>
      </c>
      <c r="BJ54">
        <f t="shared" si="21"/>
        <v>7736.363636363636</v>
      </c>
      <c r="BK54" t="s">
        <v>223</v>
      </c>
      <c r="BL54" t="s">
        <v>319</v>
      </c>
    </row>
    <row r="55" spans="1:64" x14ac:dyDescent="0.4">
      <c r="A55" s="3">
        <v>38</v>
      </c>
      <c r="B55" s="3">
        <v>38</v>
      </c>
      <c r="C55" s="4" t="s">
        <v>94</v>
      </c>
      <c r="D55" s="4" t="str">
        <f t="shared" si="22"/>
        <v>J92658</v>
      </c>
      <c r="E55" s="4" t="s">
        <v>94</v>
      </c>
      <c r="F55" s="4" t="s">
        <v>177</v>
      </c>
      <c r="G55" s="5">
        <v>4972759522347</v>
      </c>
      <c r="H55" s="5"/>
      <c r="I55" s="5"/>
      <c r="J55" s="5">
        <v>1</v>
      </c>
      <c r="K55" s="5">
        <v>1</v>
      </c>
      <c r="L55" s="4">
        <v>0</v>
      </c>
      <c r="M55" s="4">
        <v>300</v>
      </c>
      <c r="N55" s="4">
        <v>232</v>
      </c>
      <c r="O55" s="6">
        <f t="shared" si="23"/>
        <v>0.22666666666666668</v>
      </c>
      <c r="P55" s="4" t="s">
        <v>223</v>
      </c>
      <c r="Q55" s="4" t="s">
        <v>223</v>
      </c>
      <c r="R55" s="4" t="s">
        <v>223</v>
      </c>
      <c r="S55" s="4" t="s">
        <v>223</v>
      </c>
      <c r="T55" s="4" t="s">
        <v>223</v>
      </c>
      <c r="U55" s="4" t="s">
        <v>223</v>
      </c>
      <c r="V55" s="4">
        <v>0</v>
      </c>
      <c r="W55" s="4">
        <f t="shared" si="24"/>
        <v>0</v>
      </c>
      <c r="X55" s="4">
        <v>303</v>
      </c>
      <c r="Y55" s="4">
        <f t="shared" si="25"/>
        <v>303</v>
      </c>
      <c r="Z55" s="4"/>
      <c r="AA55" s="21">
        <f t="shared" si="26"/>
        <v>392</v>
      </c>
      <c r="AB55" s="6">
        <f t="shared" si="27"/>
        <v>0.22704081632653061</v>
      </c>
      <c r="AC55" s="4">
        <v>0.25</v>
      </c>
      <c r="AD55" s="4" t="str">
        <f t="shared" si="28"/>
        <v>-</v>
      </c>
      <c r="AE55" s="4" t="e">
        <f t="shared" si="29"/>
        <v>#VALUE!</v>
      </c>
      <c r="AF55" s="6" t="e">
        <f t="shared" si="30"/>
        <v>#VALUE!</v>
      </c>
      <c r="AG55" s="7">
        <v>440</v>
      </c>
      <c r="AH55" s="6">
        <f t="shared" si="31"/>
        <v>0.3113636363636364</v>
      </c>
      <c r="AI55" s="4">
        <f t="shared" si="32"/>
        <v>137</v>
      </c>
      <c r="AJ55" s="28"/>
      <c r="AK55" s="6"/>
      <c r="AL55" s="6"/>
      <c r="AM55" s="6" t="e">
        <f t="shared" si="33"/>
        <v>#DIV/0!</v>
      </c>
      <c r="AN55" s="6">
        <f t="shared" si="34"/>
        <v>1.4666666666666666</v>
      </c>
      <c r="AO55" s="6">
        <f t="shared" si="35"/>
        <v>1.3060344827586208</v>
      </c>
      <c r="AP55" s="4" t="str">
        <f t="shared" si="36"/>
        <v>-</v>
      </c>
      <c r="AQ55" s="4" t="str">
        <f t="shared" si="37"/>
        <v>-</v>
      </c>
      <c r="AR55" s="4" t="str">
        <f t="shared" si="38"/>
        <v>-</v>
      </c>
      <c r="AS55" s="4" t="str">
        <f t="shared" si="39"/>
        <v>-</v>
      </c>
      <c r="AT55" s="4" t="str">
        <f t="shared" si="40"/>
        <v>-</v>
      </c>
      <c r="AU55" s="4" t="str">
        <f t="shared" si="41"/>
        <v>-</v>
      </c>
      <c r="AV55" s="4">
        <v>0</v>
      </c>
      <c r="AW55" s="4" t="s">
        <v>223</v>
      </c>
      <c r="AX55" s="4"/>
      <c r="AY55" s="4"/>
      <c r="AZ55" s="4" t="s">
        <v>223</v>
      </c>
      <c r="BA55" s="4" t="s">
        <v>223</v>
      </c>
      <c r="BB55" s="4" t="s">
        <v>223</v>
      </c>
      <c r="BC55" s="4" t="str">
        <f t="shared" si="42"/>
        <v>-</v>
      </c>
      <c r="BD55" s="19">
        <v>4</v>
      </c>
      <c r="BE55" s="19">
        <v>8</v>
      </c>
      <c r="BF55" s="16">
        <v>18</v>
      </c>
      <c r="BG55" t="s">
        <v>223</v>
      </c>
      <c r="BH55">
        <v>8607</v>
      </c>
      <c r="BI55">
        <v>8607</v>
      </c>
      <c r="BJ55">
        <f t="shared" si="21"/>
        <v>11241.038793103449</v>
      </c>
      <c r="BK55" t="s">
        <v>223</v>
      </c>
      <c r="BL55" t="s">
        <v>319</v>
      </c>
    </row>
    <row r="56" spans="1:64" x14ac:dyDescent="0.4">
      <c r="A56" s="3">
        <v>60</v>
      </c>
      <c r="B56" s="3">
        <v>60</v>
      </c>
      <c r="C56" s="4" t="s">
        <v>116</v>
      </c>
      <c r="D56" s="4" t="str">
        <f t="shared" si="22"/>
        <v>5026AK</v>
      </c>
      <c r="E56" s="4" t="s">
        <v>116</v>
      </c>
      <c r="F56" s="4" t="s">
        <v>199</v>
      </c>
      <c r="G56" s="5">
        <v>4972759534272</v>
      </c>
      <c r="H56" s="5"/>
      <c r="I56" s="5"/>
      <c r="J56" s="5">
        <v>1</v>
      </c>
      <c r="K56" s="5">
        <v>1</v>
      </c>
      <c r="L56" s="4">
        <v>0</v>
      </c>
      <c r="M56" s="4">
        <v>378</v>
      </c>
      <c r="N56" s="4">
        <v>242</v>
      </c>
      <c r="O56" s="6">
        <f t="shared" si="23"/>
        <v>0.35978835978835977</v>
      </c>
      <c r="P56" s="4" t="s">
        <v>223</v>
      </c>
      <c r="Q56" s="4" t="s">
        <v>223</v>
      </c>
      <c r="R56" s="4" t="s">
        <v>223</v>
      </c>
      <c r="S56" s="4" t="s">
        <v>223</v>
      </c>
      <c r="T56" s="4" t="s">
        <v>223</v>
      </c>
      <c r="U56" s="4" t="s">
        <v>223</v>
      </c>
      <c r="V56" s="4">
        <v>0</v>
      </c>
      <c r="W56" s="4">
        <f t="shared" si="24"/>
        <v>0</v>
      </c>
      <c r="X56" s="4">
        <v>315</v>
      </c>
      <c r="Y56" s="4">
        <f t="shared" si="25"/>
        <v>315</v>
      </c>
      <c r="Z56" s="4"/>
      <c r="AA56" s="21">
        <f t="shared" si="26"/>
        <v>492</v>
      </c>
      <c r="AB56" s="6">
        <f t="shared" si="27"/>
        <v>0.3597560975609756</v>
      </c>
      <c r="AC56" s="4">
        <v>0.75</v>
      </c>
      <c r="AD56" s="4" t="str">
        <f t="shared" si="28"/>
        <v>-</v>
      </c>
      <c r="AE56" s="4" t="e">
        <f t="shared" si="29"/>
        <v>#VALUE!</v>
      </c>
      <c r="AF56" s="6" t="e">
        <f t="shared" si="30"/>
        <v>#VALUE!</v>
      </c>
      <c r="AG56" s="7">
        <v>490</v>
      </c>
      <c r="AH56" s="6">
        <f t="shared" si="31"/>
        <v>0.3571428571428571</v>
      </c>
      <c r="AI56" s="4">
        <f t="shared" si="32"/>
        <v>175</v>
      </c>
      <c r="AJ56" s="28"/>
      <c r="AK56" s="6"/>
      <c r="AL56" s="6"/>
      <c r="AM56" s="6" t="e">
        <f t="shared" si="33"/>
        <v>#DIV/0!</v>
      </c>
      <c r="AN56" s="6">
        <f t="shared" si="34"/>
        <v>1.2962962962962963</v>
      </c>
      <c r="AO56" s="6">
        <f t="shared" si="35"/>
        <v>1.3016528925619835</v>
      </c>
      <c r="AP56" s="4" t="str">
        <f t="shared" si="36"/>
        <v>-</v>
      </c>
      <c r="AQ56" s="4" t="str">
        <f t="shared" si="37"/>
        <v>-</v>
      </c>
      <c r="AR56" s="4" t="str">
        <f t="shared" si="38"/>
        <v>-</v>
      </c>
      <c r="AS56" s="4" t="str">
        <f t="shared" si="39"/>
        <v>-</v>
      </c>
      <c r="AT56" s="4" t="str">
        <f t="shared" si="40"/>
        <v>-</v>
      </c>
      <c r="AU56" s="4" t="str">
        <f t="shared" si="41"/>
        <v>-</v>
      </c>
      <c r="AV56" s="4">
        <v>0</v>
      </c>
      <c r="AW56" s="4" t="s">
        <v>223</v>
      </c>
      <c r="AX56" s="4"/>
      <c r="AY56" s="4"/>
      <c r="AZ56" s="4" t="s">
        <v>223</v>
      </c>
      <c r="BA56" s="4" t="s">
        <v>223</v>
      </c>
      <c r="BB56" s="4" t="s">
        <v>223</v>
      </c>
      <c r="BC56" s="4" t="str">
        <f t="shared" si="42"/>
        <v>-</v>
      </c>
      <c r="BD56" s="19">
        <v>4</v>
      </c>
      <c r="BE56" s="19">
        <v>8</v>
      </c>
      <c r="BF56" s="16">
        <v>18</v>
      </c>
      <c r="BG56" t="s">
        <v>223</v>
      </c>
      <c r="BH56">
        <v>6745</v>
      </c>
      <c r="BI56">
        <v>6745</v>
      </c>
      <c r="BJ56">
        <f t="shared" si="21"/>
        <v>8779.6487603305777</v>
      </c>
      <c r="BK56" t="s">
        <v>223</v>
      </c>
      <c r="BL56" t="s">
        <v>319</v>
      </c>
    </row>
    <row r="57" spans="1:64" x14ac:dyDescent="0.4">
      <c r="A57" s="3">
        <v>66</v>
      </c>
      <c r="B57" s="3">
        <v>66</v>
      </c>
      <c r="C57" s="4" t="s">
        <v>122</v>
      </c>
      <c r="D57" s="4" t="str">
        <f t="shared" si="22"/>
        <v>5032AK</v>
      </c>
      <c r="E57" s="4" t="s">
        <v>122</v>
      </c>
      <c r="F57" s="4" t="s">
        <v>205</v>
      </c>
      <c r="G57" s="5">
        <v>4972759534333</v>
      </c>
      <c r="H57" s="5"/>
      <c r="I57" s="5"/>
      <c r="J57" s="5">
        <v>1</v>
      </c>
      <c r="K57" s="5">
        <v>1</v>
      </c>
      <c r="L57" s="4">
        <v>0</v>
      </c>
      <c r="M57" s="4">
        <v>348</v>
      </c>
      <c r="N57" s="4">
        <v>242</v>
      </c>
      <c r="O57" s="6">
        <f t="shared" si="23"/>
        <v>0.3045977011494253</v>
      </c>
      <c r="P57" s="4" t="s">
        <v>223</v>
      </c>
      <c r="Q57" s="4" t="s">
        <v>223</v>
      </c>
      <c r="R57" s="4" t="s">
        <v>223</v>
      </c>
      <c r="S57" s="4" t="s">
        <v>223</v>
      </c>
      <c r="T57" s="4" t="s">
        <v>223</v>
      </c>
      <c r="U57" s="4" t="s">
        <v>223</v>
      </c>
      <c r="V57" s="4">
        <v>0</v>
      </c>
      <c r="W57" s="4">
        <f t="shared" si="24"/>
        <v>0</v>
      </c>
      <c r="X57" s="4">
        <v>315</v>
      </c>
      <c r="Y57" s="4">
        <f t="shared" si="25"/>
        <v>315</v>
      </c>
      <c r="Z57" s="4"/>
      <c r="AA57" s="21">
        <f t="shared" si="26"/>
        <v>453</v>
      </c>
      <c r="AB57" s="6">
        <f t="shared" si="27"/>
        <v>0.30463576158940397</v>
      </c>
      <c r="AC57" s="4">
        <v>1.5</v>
      </c>
      <c r="AD57" s="4">
        <f t="shared" si="28"/>
        <v>422</v>
      </c>
      <c r="AE57" s="4">
        <f t="shared" si="29"/>
        <v>549.29752066115702</v>
      </c>
      <c r="AF57" s="6">
        <f t="shared" si="30"/>
        <v>0.42654028436018954</v>
      </c>
      <c r="AG57" s="7">
        <v>490</v>
      </c>
      <c r="AH57" s="6">
        <f t="shared" si="31"/>
        <v>0.3571428571428571</v>
      </c>
      <c r="AI57" s="4">
        <f t="shared" si="32"/>
        <v>175</v>
      </c>
      <c r="AJ57" s="28"/>
      <c r="AK57" s="6"/>
      <c r="AL57" s="6"/>
      <c r="AM57" s="6" t="e">
        <f t="shared" si="33"/>
        <v>#DIV/0!</v>
      </c>
      <c r="AN57" s="6">
        <f t="shared" si="34"/>
        <v>1.4080459770114941</v>
      </c>
      <c r="AO57" s="6">
        <f t="shared" si="35"/>
        <v>1.3016528925619835</v>
      </c>
      <c r="AP57" s="4" t="str">
        <f t="shared" si="36"/>
        <v>-</v>
      </c>
      <c r="AQ57" s="4" t="str">
        <f t="shared" si="37"/>
        <v>-</v>
      </c>
      <c r="AR57" s="4" t="str">
        <f t="shared" si="38"/>
        <v>-</v>
      </c>
      <c r="AS57" s="4" t="str">
        <f t="shared" si="39"/>
        <v>-</v>
      </c>
      <c r="AT57" s="4" t="str">
        <f t="shared" si="40"/>
        <v>-</v>
      </c>
      <c r="AU57" s="4" t="str">
        <f t="shared" si="41"/>
        <v>-</v>
      </c>
      <c r="AV57" s="4">
        <v>0</v>
      </c>
      <c r="AW57" s="4" t="s">
        <v>274</v>
      </c>
      <c r="AX57" s="4"/>
      <c r="AY57" s="4"/>
      <c r="AZ57" s="4" t="s">
        <v>252</v>
      </c>
      <c r="BA57" s="4">
        <v>422</v>
      </c>
      <c r="BB57" s="4">
        <v>422</v>
      </c>
      <c r="BC57" s="4">
        <f t="shared" si="42"/>
        <v>422</v>
      </c>
      <c r="BD57" s="19">
        <v>4</v>
      </c>
      <c r="BE57" s="19">
        <v>8</v>
      </c>
      <c r="BF57" s="16">
        <v>18</v>
      </c>
      <c r="BG57" t="s">
        <v>223</v>
      </c>
      <c r="BH57">
        <v>6745</v>
      </c>
      <c r="BI57">
        <v>6745</v>
      </c>
      <c r="BJ57">
        <f t="shared" si="21"/>
        <v>8779.6487603305777</v>
      </c>
      <c r="BK57" t="s">
        <v>240</v>
      </c>
      <c r="BL57" t="s">
        <v>319</v>
      </c>
    </row>
    <row r="58" spans="1:64" x14ac:dyDescent="0.4">
      <c r="A58" s="3">
        <v>56</v>
      </c>
      <c r="B58" s="3">
        <v>56</v>
      </c>
      <c r="C58" s="4" t="s">
        <v>112</v>
      </c>
      <c r="D58" s="4" t="str">
        <f t="shared" si="22"/>
        <v>JX1213</v>
      </c>
      <c r="E58" s="4" t="s">
        <v>112</v>
      </c>
      <c r="F58" s="4" t="s">
        <v>195</v>
      </c>
      <c r="G58" s="5">
        <v>4972759533275</v>
      </c>
      <c r="H58" s="5"/>
      <c r="I58" s="5"/>
      <c r="J58" s="5">
        <v>1</v>
      </c>
      <c r="K58" s="5">
        <v>1</v>
      </c>
      <c r="L58" s="4">
        <v>0</v>
      </c>
      <c r="M58" s="4">
        <v>482</v>
      </c>
      <c r="N58" s="4">
        <v>294</v>
      </c>
      <c r="O58" s="6">
        <f t="shared" si="23"/>
        <v>0.39004149377593356</v>
      </c>
      <c r="P58" s="4" t="s">
        <v>223</v>
      </c>
      <c r="Q58" s="4" t="s">
        <v>223</v>
      </c>
      <c r="R58" s="4" t="s">
        <v>223</v>
      </c>
      <c r="S58" s="4" t="s">
        <v>223</v>
      </c>
      <c r="T58" s="4" t="s">
        <v>223</v>
      </c>
      <c r="U58" s="4" t="s">
        <v>223</v>
      </c>
      <c r="V58" s="4">
        <v>0</v>
      </c>
      <c r="W58" s="4">
        <f t="shared" si="24"/>
        <v>0</v>
      </c>
      <c r="X58" s="4">
        <v>317</v>
      </c>
      <c r="Y58" s="4">
        <f t="shared" si="25"/>
        <v>317</v>
      </c>
      <c r="Z58" s="4"/>
      <c r="AA58" s="21">
        <f t="shared" si="26"/>
        <v>520</v>
      </c>
      <c r="AB58" s="6">
        <f t="shared" si="27"/>
        <v>0.39038461538461533</v>
      </c>
      <c r="AC58" s="4">
        <v>1.25</v>
      </c>
      <c r="AD58" s="4" t="str">
        <f t="shared" si="28"/>
        <v>-</v>
      </c>
      <c r="AE58" s="4" t="e">
        <f t="shared" si="29"/>
        <v>#VALUE!</v>
      </c>
      <c r="AF58" s="6" t="e">
        <f t="shared" si="30"/>
        <v>#VALUE!</v>
      </c>
      <c r="AG58" s="7">
        <v>520</v>
      </c>
      <c r="AH58" s="6">
        <f t="shared" si="31"/>
        <v>0.39038461538461533</v>
      </c>
      <c r="AI58" s="4">
        <f t="shared" si="32"/>
        <v>203</v>
      </c>
      <c r="AJ58" s="28"/>
      <c r="AK58" s="6"/>
      <c r="AL58" s="6"/>
      <c r="AM58" s="6" t="e">
        <f t="shared" si="33"/>
        <v>#DIV/0!</v>
      </c>
      <c r="AN58" s="6">
        <f t="shared" si="34"/>
        <v>1.0788381742738589</v>
      </c>
      <c r="AO58" s="6">
        <f t="shared" si="35"/>
        <v>1.0782312925170068</v>
      </c>
      <c r="AP58" s="4" t="str">
        <f t="shared" si="36"/>
        <v>-</v>
      </c>
      <c r="AQ58" s="4" t="str">
        <f t="shared" si="37"/>
        <v>-</v>
      </c>
      <c r="AR58" s="4" t="str">
        <f t="shared" si="38"/>
        <v>-</v>
      </c>
      <c r="AS58" s="4" t="str">
        <f t="shared" si="39"/>
        <v>-</v>
      </c>
      <c r="AT58" s="4" t="str">
        <f t="shared" si="40"/>
        <v>-</v>
      </c>
      <c r="AU58" s="4" t="str">
        <f t="shared" si="41"/>
        <v>-</v>
      </c>
      <c r="AV58" s="4">
        <v>0</v>
      </c>
      <c r="AW58" s="4" t="s">
        <v>223</v>
      </c>
      <c r="AX58" s="4"/>
      <c r="AY58" s="4"/>
      <c r="AZ58" s="4" t="s">
        <v>223</v>
      </c>
      <c r="BA58" s="4" t="s">
        <v>223</v>
      </c>
      <c r="BB58" s="4" t="s">
        <v>223</v>
      </c>
      <c r="BC58" s="4" t="str">
        <f t="shared" si="42"/>
        <v>-</v>
      </c>
      <c r="BD58" s="19">
        <v>4</v>
      </c>
      <c r="BE58" s="19">
        <v>8</v>
      </c>
      <c r="BF58" s="16">
        <v>18</v>
      </c>
      <c r="BG58" t="s">
        <v>223</v>
      </c>
      <c r="BH58" t="s">
        <v>223</v>
      </c>
      <c r="BI58" t="s">
        <v>223</v>
      </c>
      <c r="BJ58" t="str">
        <f t="shared" si="21"/>
        <v>-</v>
      </c>
      <c r="BK58" t="s">
        <v>223</v>
      </c>
      <c r="BL58" t="s">
        <v>319</v>
      </c>
    </row>
    <row r="59" spans="1:64" x14ac:dyDescent="0.4">
      <c r="A59" s="3">
        <v>71</v>
      </c>
      <c r="B59" s="3">
        <v>71</v>
      </c>
      <c r="C59" s="4" t="s">
        <v>127</v>
      </c>
      <c r="D59" s="4" t="str">
        <f t="shared" si="22"/>
        <v>5037AK</v>
      </c>
      <c r="E59" s="4" t="s">
        <v>127</v>
      </c>
      <c r="F59" s="4" t="s">
        <v>210</v>
      </c>
      <c r="G59" s="5">
        <v>4972759534388</v>
      </c>
      <c r="H59" s="5"/>
      <c r="I59" s="5"/>
      <c r="J59" s="5">
        <v>1</v>
      </c>
      <c r="K59" s="5">
        <v>1</v>
      </c>
      <c r="L59" s="4">
        <v>0</v>
      </c>
      <c r="M59" s="4">
        <v>378</v>
      </c>
      <c r="N59" s="4">
        <v>244</v>
      </c>
      <c r="O59" s="6">
        <f t="shared" si="23"/>
        <v>0.35449735449735453</v>
      </c>
      <c r="P59" s="4" t="s">
        <v>223</v>
      </c>
      <c r="Q59" s="4" t="s">
        <v>223</v>
      </c>
      <c r="R59" s="4" t="s">
        <v>223</v>
      </c>
      <c r="S59" s="4" t="s">
        <v>223</v>
      </c>
      <c r="T59" s="4" t="s">
        <v>223</v>
      </c>
      <c r="U59" s="4" t="s">
        <v>223</v>
      </c>
      <c r="V59" s="4">
        <v>0</v>
      </c>
      <c r="W59" s="4">
        <f t="shared" si="24"/>
        <v>0</v>
      </c>
      <c r="X59" s="4">
        <v>317</v>
      </c>
      <c r="Y59" s="4">
        <f t="shared" si="25"/>
        <v>317</v>
      </c>
      <c r="Z59" s="4"/>
      <c r="AA59" s="21">
        <f t="shared" si="26"/>
        <v>491</v>
      </c>
      <c r="AB59" s="6">
        <f t="shared" si="27"/>
        <v>0.35437881873727084</v>
      </c>
      <c r="AC59" s="4">
        <v>1.7500000000000002</v>
      </c>
      <c r="AD59" s="4" t="str">
        <f t="shared" si="28"/>
        <v>-</v>
      </c>
      <c r="AE59" s="4" t="e">
        <f t="shared" si="29"/>
        <v>#VALUE!</v>
      </c>
      <c r="AF59" s="6" t="e">
        <f t="shared" si="30"/>
        <v>#VALUE!</v>
      </c>
      <c r="AG59" s="7">
        <v>510</v>
      </c>
      <c r="AH59" s="6">
        <f t="shared" si="31"/>
        <v>0.3784313725490196</v>
      </c>
      <c r="AI59" s="4">
        <f t="shared" si="32"/>
        <v>193</v>
      </c>
      <c r="AJ59" s="28"/>
      <c r="AK59" s="6"/>
      <c r="AL59" s="6"/>
      <c r="AM59" s="6" t="e">
        <f t="shared" si="33"/>
        <v>#DIV/0!</v>
      </c>
      <c r="AN59" s="6">
        <f t="shared" si="34"/>
        <v>1.3492063492063493</v>
      </c>
      <c r="AO59" s="6">
        <f t="shared" si="35"/>
        <v>1.2991803278688525</v>
      </c>
      <c r="AP59" s="4" t="str">
        <f t="shared" si="36"/>
        <v>-</v>
      </c>
      <c r="AQ59" s="4" t="str">
        <f t="shared" si="37"/>
        <v>-</v>
      </c>
      <c r="AR59" s="4" t="str">
        <f t="shared" si="38"/>
        <v>-</v>
      </c>
      <c r="AS59" s="4" t="str">
        <f t="shared" si="39"/>
        <v>-</v>
      </c>
      <c r="AT59" s="4" t="str">
        <f t="shared" si="40"/>
        <v>-</v>
      </c>
      <c r="AU59" s="4" t="str">
        <f t="shared" si="41"/>
        <v>-</v>
      </c>
      <c r="AV59" s="4">
        <v>0</v>
      </c>
      <c r="AW59" s="4" t="s">
        <v>223</v>
      </c>
      <c r="AX59" s="4"/>
      <c r="AY59" s="4"/>
      <c r="AZ59" s="4" t="s">
        <v>223</v>
      </c>
      <c r="BA59" s="4" t="s">
        <v>223</v>
      </c>
      <c r="BB59" s="4" t="s">
        <v>223</v>
      </c>
      <c r="BC59" s="4" t="str">
        <f t="shared" si="42"/>
        <v>-</v>
      </c>
      <c r="BD59" s="19">
        <v>4</v>
      </c>
      <c r="BE59" s="19">
        <v>8</v>
      </c>
      <c r="BF59" s="16">
        <v>18</v>
      </c>
      <c r="BG59" t="s">
        <v>223</v>
      </c>
      <c r="BH59">
        <v>6365</v>
      </c>
      <c r="BI59">
        <v>6365</v>
      </c>
      <c r="BJ59">
        <f t="shared" si="21"/>
        <v>8269.2827868852455</v>
      </c>
      <c r="BK59" t="s">
        <v>223</v>
      </c>
      <c r="BL59" t="s">
        <v>319</v>
      </c>
    </row>
    <row r="60" spans="1:64" x14ac:dyDescent="0.4">
      <c r="A60" s="3">
        <v>3</v>
      </c>
      <c r="B60" s="3">
        <v>3</v>
      </c>
      <c r="C60" s="4" t="s">
        <v>60</v>
      </c>
      <c r="D60" s="4" t="str">
        <f t="shared" si="22"/>
        <v>J92479</v>
      </c>
      <c r="E60" s="4" t="s">
        <v>60</v>
      </c>
      <c r="F60" s="4" t="s">
        <v>142</v>
      </c>
      <c r="G60" s="5">
        <v>4562121174962</v>
      </c>
      <c r="H60" s="5"/>
      <c r="I60" s="5"/>
      <c r="J60" s="5">
        <v>1</v>
      </c>
      <c r="K60" s="5">
        <v>1</v>
      </c>
      <c r="L60" s="4">
        <v>0</v>
      </c>
      <c r="M60" s="4">
        <v>347</v>
      </c>
      <c r="N60" s="4">
        <v>253</v>
      </c>
      <c r="O60" s="6">
        <f t="shared" si="23"/>
        <v>0.27089337175792505</v>
      </c>
      <c r="P60" s="4" t="s">
        <v>223</v>
      </c>
      <c r="Q60" s="4" t="s">
        <v>223</v>
      </c>
      <c r="R60" s="4" t="s">
        <v>223</v>
      </c>
      <c r="S60" s="4" t="s">
        <v>223</v>
      </c>
      <c r="T60" s="4" t="s">
        <v>223</v>
      </c>
      <c r="U60" s="4" t="s">
        <v>223</v>
      </c>
      <c r="V60" s="4">
        <v>0</v>
      </c>
      <c r="W60" s="4">
        <f t="shared" si="24"/>
        <v>0</v>
      </c>
      <c r="X60" s="4">
        <v>331</v>
      </c>
      <c r="Y60" s="4">
        <f t="shared" si="25"/>
        <v>331</v>
      </c>
      <c r="Z60" s="4"/>
      <c r="AA60" s="21">
        <f t="shared" si="26"/>
        <v>454</v>
      </c>
      <c r="AB60" s="6">
        <f t="shared" si="27"/>
        <v>0.27092511013215859</v>
      </c>
      <c r="AC60" s="4">
        <v>0.75</v>
      </c>
      <c r="AD60" s="4" t="str">
        <f t="shared" si="28"/>
        <v>-</v>
      </c>
      <c r="AE60" s="4" t="e">
        <f t="shared" si="29"/>
        <v>#VALUE!</v>
      </c>
      <c r="AF60" s="6" t="e">
        <f t="shared" si="30"/>
        <v>#VALUE!</v>
      </c>
      <c r="AG60" s="7">
        <v>510</v>
      </c>
      <c r="AH60" s="6">
        <f t="shared" si="31"/>
        <v>0.35098039215686272</v>
      </c>
      <c r="AI60" s="4">
        <f t="shared" si="32"/>
        <v>179</v>
      </c>
      <c r="AJ60" s="28"/>
      <c r="AK60" s="6"/>
      <c r="AL60" s="6"/>
      <c r="AM60" s="6" t="e">
        <f t="shared" si="33"/>
        <v>#DIV/0!</v>
      </c>
      <c r="AN60" s="6">
        <f t="shared" si="34"/>
        <v>1.4697406340057637</v>
      </c>
      <c r="AO60" s="6">
        <f t="shared" si="35"/>
        <v>1.308300395256917</v>
      </c>
      <c r="AP60" s="4" t="str">
        <f t="shared" si="36"/>
        <v>-</v>
      </c>
      <c r="AQ60" s="4" t="str">
        <f t="shared" si="37"/>
        <v>-</v>
      </c>
      <c r="AR60" s="4" t="str">
        <f t="shared" si="38"/>
        <v>-</v>
      </c>
      <c r="AS60" s="4" t="str">
        <f t="shared" si="39"/>
        <v>-</v>
      </c>
      <c r="AT60" s="4" t="str">
        <f t="shared" si="40"/>
        <v>-</v>
      </c>
      <c r="AU60" s="4" t="str">
        <f t="shared" si="41"/>
        <v>-</v>
      </c>
      <c r="AV60" s="4">
        <v>0</v>
      </c>
      <c r="AW60" s="4" t="s">
        <v>223</v>
      </c>
      <c r="AX60" s="4"/>
      <c r="AY60" s="4"/>
      <c r="AZ60" s="4" t="s">
        <v>223</v>
      </c>
      <c r="BA60" s="4" t="s">
        <v>223</v>
      </c>
      <c r="BB60" s="4" t="s">
        <v>223</v>
      </c>
      <c r="BC60" s="4" t="str">
        <f t="shared" si="42"/>
        <v>-</v>
      </c>
      <c r="BD60" s="19">
        <v>4</v>
      </c>
      <c r="BE60" s="19">
        <v>8</v>
      </c>
      <c r="BF60" s="16">
        <v>18</v>
      </c>
      <c r="BG60" t="s">
        <v>223</v>
      </c>
      <c r="BH60">
        <v>650</v>
      </c>
      <c r="BI60">
        <v>848</v>
      </c>
      <c r="BJ60">
        <f t="shared" si="21"/>
        <v>1109.4387351778655</v>
      </c>
      <c r="BK60" t="s">
        <v>223</v>
      </c>
      <c r="BL60" t="s">
        <v>319</v>
      </c>
    </row>
    <row r="61" spans="1:64" x14ac:dyDescent="0.4">
      <c r="A61" s="3">
        <v>80</v>
      </c>
      <c r="B61" s="3">
        <v>80</v>
      </c>
      <c r="C61" s="4" t="s">
        <v>136</v>
      </c>
      <c r="D61" s="4" t="str">
        <f t="shared" si="22"/>
        <v>5040AK</v>
      </c>
      <c r="E61" s="4" t="s">
        <v>136</v>
      </c>
      <c r="F61" s="4" t="s">
        <v>219</v>
      </c>
      <c r="G61" s="5">
        <v>4972759537655</v>
      </c>
      <c r="H61" s="5"/>
      <c r="I61" s="5"/>
      <c r="J61" s="5">
        <v>1</v>
      </c>
      <c r="K61" s="5">
        <v>1</v>
      </c>
      <c r="L61" s="4">
        <v>0</v>
      </c>
      <c r="M61" s="4">
        <v>398</v>
      </c>
      <c r="N61" s="4">
        <v>263</v>
      </c>
      <c r="O61" s="6">
        <f t="shared" si="23"/>
        <v>0.33919597989949746</v>
      </c>
      <c r="P61" s="4" t="s">
        <v>223</v>
      </c>
      <c r="Q61" s="4" t="s">
        <v>223</v>
      </c>
      <c r="R61" s="4" t="s">
        <v>223</v>
      </c>
      <c r="S61" s="4" t="s">
        <v>223</v>
      </c>
      <c r="T61" s="4" t="s">
        <v>223</v>
      </c>
      <c r="U61" s="4" t="s">
        <v>223</v>
      </c>
      <c r="V61" s="4">
        <v>0</v>
      </c>
      <c r="W61" s="4">
        <f t="shared" si="24"/>
        <v>0</v>
      </c>
      <c r="X61" s="4">
        <v>343</v>
      </c>
      <c r="Y61" s="4">
        <f t="shared" si="25"/>
        <v>343</v>
      </c>
      <c r="Z61" s="4"/>
      <c r="AA61" s="21">
        <f t="shared" si="26"/>
        <v>519</v>
      </c>
      <c r="AB61" s="6">
        <f t="shared" si="27"/>
        <v>0.33911368015414256</v>
      </c>
      <c r="AC61" s="4">
        <v>0.25</v>
      </c>
      <c r="AD61" s="4" t="str">
        <f t="shared" si="28"/>
        <v>-</v>
      </c>
      <c r="AE61" s="4" t="e">
        <f t="shared" si="29"/>
        <v>#VALUE!</v>
      </c>
      <c r="AF61" s="6" t="e">
        <f t="shared" si="30"/>
        <v>#VALUE!</v>
      </c>
      <c r="AG61" s="7">
        <v>530</v>
      </c>
      <c r="AH61" s="6">
        <f t="shared" si="31"/>
        <v>0.35283018867924532</v>
      </c>
      <c r="AI61" s="4">
        <f t="shared" si="32"/>
        <v>187</v>
      </c>
      <c r="AJ61" s="28"/>
      <c r="AK61" s="6"/>
      <c r="AL61" s="6"/>
      <c r="AM61" s="6" t="e">
        <f t="shared" si="33"/>
        <v>#DIV/0!</v>
      </c>
      <c r="AN61" s="6">
        <f t="shared" si="34"/>
        <v>1.3316582914572865</v>
      </c>
      <c r="AO61" s="6">
        <f t="shared" si="35"/>
        <v>1.3041825095057034</v>
      </c>
      <c r="AP61" s="4" t="str">
        <f t="shared" si="36"/>
        <v>-</v>
      </c>
      <c r="AQ61" s="4" t="str">
        <f t="shared" si="37"/>
        <v>-</v>
      </c>
      <c r="AR61" s="4" t="str">
        <f t="shared" si="38"/>
        <v>-</v>
      </c>
      <c r="AS61" s="4" t="str">
        <f t="shared" si="39"/>
        <v>-</v>
      </c>
      <c r="AT61" s="4" t="str">
        <f t="shared" si="40"/>
        <v>-</v>
      </c>
      <c r="AU61" s="4" t="str">
        <f t="shared" si="41"/>
        <v>-</v>
      </c>
      <c r="AV61" s="4">
        <v>0</v>
      </c>
      <c r="AW61" s="4" t="s">
        <v>223</v>
      </c>
      <c r="AX61" s="4"/>
      <c r="AY61" s="4"/>
      <c r="AZ61" s="4" t="s">
        <v>223</v>
      </c>
      <c r="BA61" s="4" t="s">
        <v>223</v>
      </c>
      <c r="BB61" s="4" t="s">
        <v>223</v>
      </c>
      <c r="BC61" s="4" t="str">
        <f t="shared" si="42"/>
        <v>-</v>
      </c>
      <c r="BD61" s="19">
        <v>4</v>
      </c>
      <c r="BE61" s="19">
        <v>8</v>
      </c>
      <c r="BF61" s="16">
        <v>18</v>
      </c>
      <c r="BG61" t="s">
        <v>223</v>
      </c>
      <c r="BH61">
        <v>452</v>
      </c>
      <c r="BI61">
        <v>444</v>
      </c>
      <c r="BJ61">
        <f t="shared" si="21"/>
        <v>579.05703422053227</v>
      </c>
      <c r="BK61" t="s">
        <v>223</v>
      </c>
      <c r="BL61" t="s">
        <v>319</v>
      </c>
    </row>
    <row r="62" spans="1:64" x14ac:dyDescent="0.4">
      <c r="A62" s="3">
        <v>28</v>
      </c>
      <c r="B62" s="3">
        <v>28</v>
      </c>
      <c r="C62" s="4" t="s">
        <v>84</v>
      </c>
      <c r="D62" s="4" t="str">
        <f t="shared" si="22"/>
        <v>J92652</v>
      </c>
      <c r="E62" s="4" t="s">
        <v>84</v>
      </c>
      <c r="F62" s="4" t="s">
        <v>167</v>
      </c>
      <c r="G62" s="5">
        <v>4972759519415</v>
      </c>
      <c r="H62" s="5"/>
      <c r="I62" s="5"/>
      <c r="J62" s="5">
        <v>1</v>
      </c>
      <c r="K62" s="5">
        <v>1</v>
      </c>
      <c r="L62" s="4">
        <v>0</v>
      </c>
      <c r="M62" s="4">
        <v>378</v>
      </c>
      <c r="N62" s="4">
        <v>264</v>
      </c>
      <c r="O62" s="6">
        <f t="shared" si="23"/>
        <v>0.30158730158730163</v>
      </c>
      <c r="P62" s="4" t="s">
        <v>223</v>
      </c>
      <c r="Q62" s="4" t="s">
        <v>223</v>
      </c>
      <c r="R62" s="4" t="s">
        <v>223</v>
      </c>
      <c r="S62" s="4" t="s">
        <v>223</v>
      </c>
      <c r="T62" s="4" t="s">
        <v>223</v>
      </c>
      <c r="U62" s="4" t="s">
        <v>223</v>
      </c>
      <c r="V62" s="4">
        <v>0</v>
      </c>
      <c r="W62" s="4">
        <f t="shared" si="24"/>
        <v>0</v>
      </c>
      <c r="X62" s="4">
        <v>344</v>
      </c>
      <c r="Y62" s="4">
        <f t="shared" si="25"/>
        <v>344</v>
      </c>
      <c r="Z62" s="4"/>
      <c r="AA62" s="21">
        <f t="shared" si="26"/>
        <v>493</v>
      </c>
      <c r="AB62" s="6">
        <f t="shared" si="27"/>
        <v>0.30223123732251522</v>
      </c>
      <c r="AC62" s="4">
        <v>2</v>
      </c>
      <c r="AD62" s="4" t="str">
        <f t="shared" si="28"/>
        <v>-</v>
      </c>
      <c r="AE62" s="4" t="e">
        <f t="shared" si="29"/>
        <v>#VALUE!</v>
      </c>
      <c r="AF62" s="6" t="e">
        <f t="shared" si="30"/>
        <v>#VALUE!</v>
      </c>
      <c r="AG62" s="7">
        <v>530</v>
      </c>
      <c r="AH62" s="6">
        <f t="shared" si="31"/>
        <v>0.35094339622641513</v>
      </c>
      <c r="AI62" s="4">
        <f t="shared" si="32"/>
        <v>186</v>
      </c>
      <c r="AJ62" s="28"/>
      <c r="AK62" s="6"/>
      <c r="AL62" s="6"/>
      <c r="AM62" s="6" t="e">
        <f t="shared" si="33"/>
        <v>#DIV/0!</v>
      </c>
      <c r="AN62" s="6">
        <f t="shared" si="34"/>
        <v>1.4021164021164021</v>
      </c>
      <c r="AO62" s="6">
        <f t="shared" si="35"/>
        <v>1.303030303030303</v>
      </c>
      <c r="AP62" s="4" t="str">
        <f t="shared" si="36"/>
        <v>-</v>
      </c>
      <c r="AQ62" s="4" t="str">
        <f t="shared" si="37"/>
        <v>-</v>
      </c>
      <c r="AR62" s="4" t="str">
        <f t="shared" si="38"/>
        <v>-</v>
      </c>
      <c r="AS62" s="4" t="str">
        <f t="shared" si="39"/>
        <v>-</v>
      </c>
      <c r="AT62" s="4" t="str">
        <f t="shared" si="40"/>
        <v>-</v>
      </c>
      <c r="AU62" s="4" t="str">
        <f t="shared" si="41"/>
        <v>-</v>
      </c>
      <c r="AV62" s="4">
        <v>0</v>
      </c>
      <c r="AW62" s="4" t="s">
        <v>223</v>
      </c>
      <c r="AX62" s="4"/>
      <c r="AY62" s="4"/>
      <c r="AZ62" s="4" t="s">
        <v>223</v>
      </c>
      <c r="BA62" s="4" t="s">
        <v>223</v>
      </c>
      <c r="BB62" s="4" t="s">
        <v>223</v>
      </c>
      <c r="BC62" s="4" t="str">
        <f t="shared" si="42"/>
        <v>-</v>
      </c>
      <c r="BD62" s="19">
        <v>4</v>
      </c>
      <c r="BE62" s="19">
        <v>8</v>
      </c>
      <c r="BF62" s="16">
        <v>18</v>
      </c>
      <c r="BG62" t="s">
        <v>223</v>
      </c>
      <c r="BH62">
        <v>14535</v>
      </c>
      <c r="BI62">
        <v>14535</v>
      </c>
      <c r="BJ62">
        <f t="shared" si="21"/>
        <v>18939.545454545452</v>
      </c>
      <c r="BK62" t="s">
        <v>223</v>
      </c>
      <c r="BL62" t="s">
        <v>319</v>
      </c>
    </row>
    <row r="63" spans="1:64" x14ac:dyDescent="0.4">
      <c r="A63" s="3">
        <v>45</v>
      </c>
      <c r="B63" s="3">
        <v>45</v>
      </c>
      <c r="C63" s="4" t="s">
        <v>101</v>
      </c>
      <c r="D63" s="4" t="str">
        <f t="shared" si="22"/>
        <v>J92488</v>
      </c>
      <c r="E63" s="4" t="s">
        <v>101</v>
      </c>
      <c r="F63" s="4" t="s">
        <v>184</v>
      </c>
      <c r="G63" s="5">
        <v>4972759525683</v>
      </c>
      <c r="H63" s="5"/>
      <c r="I63" s="5"/>
      <c r="J63" s="32">
        <v>2</v>
      </c>
      <c r="K63" s="5">
        <v>1</v>
      </c>
      <c r="L63" s="4">
        <v>0</v>
      </c>
      <c r="M63" s="4">
        <v>411</v>
      </c>
      <c r="N63" s="4">
        <v>279</v>
      </c>
      <c r="O63" s="6">
        <f t="shared" si="23"/>
        <v>0.32116788321167888</v>
      </c>
      <c r="P63" s="4" t="s">
        <v>223</v>
      </c>
      <c r="Q63" s="4" t="s">
        <v>223</v>
      </c>
      <c r="R63" s="4" t="s">
        <v>223</v>
      </c>
      <c r="S63" s="4" t="s">
        <v>223</v>
      </c>
      <c r="T63" s="4" t="s">
        <v>223</v>
      </c>
      <c r="U63" s="4" t="s">
        <v>223</v>
      </c>
      <c r="V63" s="4">
        <v>0</v>
      </c>
      <c r="W63" s="4">
        <f t="shared" si="24"/>
        <v>0</v>
      </c>
      <c r="X63" s="4">
        <v>365</v>
      </c>
      <c r="Y63" s="4">
        <f t="shared" si="25"/>
        <v>365</v>
      </c>
      <c r="Z63" s="4"/>
      <c r="AA63" s="21">
        <f t="shared" si="26"/>
        <v>538</v>
      </c>
      <c r="AB63" s="6">
        <f t="shared" si="27"/>
        <v>0.32156133828996281</v>
      </c>
      <c r="AC63" s="4">
        <v>39.75</v>
      </c>
      <c r="AD63" s="4" t="str">
        <f t="shared" si="28"/>
        <v>-</v>
      </c>
      <c r="AE63" s="4" t="e">
        <f t="shared" si="29"/>
        <v>#VALUE!</v>
      </c>
      <c r="AF63" s="6" t="e">
        <f t="shared" si="30"/>
        <v>#VALUE!</v>
      </c>
      <c r="AG63" s="7">
        <v>560</v>
      </c>
      <c r="AH63" s="6">
        <f t="shared" si="31"/>
        <v>0.3482142857142857</v>
      </c>
      <c r="AI63" s="4">
        <f t="shared" si="32"/>
        <v>195</v>
      </c>
      <c r="AJ63" s="28"/>
      <c r="AK63" s="6"/>
      <c r="AL63" s="6"/>
      <c r="AM63" s="6" t="e">
        <f t="shared" si="33"/>
        <v>#DIV/0!</v>
      </c>
      <c r="AN63" s="6">
        <f t="shared" si="34"/>
        <v>1.362530413625304</v>
      </c>
      <c r="AO63" s="6">
        <f t="shared" si="35"/>
        <v>1.3082437275985663</v>
      </c>
      <c r="AP63" s="4" t="str">
        <f t="shared" si="36"/>
        <v>-</v>
      </c>
      <c r="AQ63" s="4" t="str">
        <f t="shared" si="37"/>
        <v>-</v>
      </c>
      <c r="AR63" s="4" t="str">
        <f t="shared" si="38"/>
        <v>-</v>
      </c>
      <c r="AS63" s="4" t="str">
        <f t="shared" si="39"/>
        <v>-</v>
      </c>
      <c r="AT63" s="4" t="str">
        <f t="shared" si="40"/>
        <v>-</v>
      </c>
      <c r="AU63" s="4" t="str">
        <f t="shared" si="41"/>
        <v>-</v>
      </c>
      <c r="AV63" s="4">
        <v>0</v>
      </c>
      <c r="AW63" s="4" t="s">
        <v>223</v>
      </c>
      <c r="AX63" s="4"/>
      <c r="AY63" s="4"/>
      <c r="AZ63" s="4" t="s">
        <v>223</v>
      </c>
      <c r="BA63" s="4" t="s">
        <v>223</v>
      </c>
      <c r="BB63" s="4" t="s">
        <v>223</v>
      </c>
      <c r="BC63" s="4" t="str">
        <f t="shared" si="42"/>
        <v>-</v>
      </c>
      <c r="BD63" s="19">
        <v>4</v>
      </c>
      <c r="BE63" s="19">
        <v>1</v>
      </c>
      <c r="BF63" s="16">
        <v>18</v>
      </c>
      <c r="BG63" t="s">
        <v>223</v>
      </c>
      <c r="BH63">
        <v>8056</v>
      </c>
      <c r="BI63">
        <v>8056</v>
      </c>
      <c r="BJ63">
        <f t="shared" si="21"/>
        <v>10539.21146953405</v>
      </c>
      <c r="BK63" t="s">
        <v>223</v>
      </c>
      <c r="BL63" t="s">
        <v>319</v>
      </c>
    </row>
    <row r="64" spans="1:64" x14ac:dyDescent="0.4">
      <c r="A64" s="3">
        <v>21</v>
      </c>
      <c r="B64" s="3">
        <v>21</v>
      </c>
      <c r="C64" s="4" t="s">
        <v>77</v>
      </c>
      <c r="D64" s="4" t="str">
        <f t="shared" si="22"/>
        <v>J92457</v>
      </c>
      <c r="E64" s="4" t="s">
        <v>77</v>
      </c>
      <c r="F64" s="4" t="s">
        <v>160</v>
      </c>
      <c r="G64" s="5">
        <v>4972759515257</v>
      </c>
      <c r="H64" s="5"/>
      <c r="I64" s="5"/>
      <c r="J64" s="5">
        <v>1</v>
      </c>
      <c r="K64" s="5">
        <v>1</v>
      </c>
      <c r="L64" s="4">
        <v>0</v>
      </c>
      <c r="M64" s="4">
        <v>438</v>
      </c>
      <c r="N64" s="4">
        <v>296</v>
      </c>
      <c r="O64" s="6">
        <f t="shared" si="23"/>
        <v>0.32420091324200917</v>
      </c>
      <c r="P64" s="4" t="s">
        <v>223</v>
      </c>
      <c r="Q64" s="4" t="s">
        <v>223</v>
      </c>
      <c r="R64" s="4" t="s">
        <v>223</v>
      </c>
      <c r="S64" s="4" t="s">
        <v>223</v>
      </c>
      <c r="T64" s="4" t="s">
        <v>223</v>
      </c>
      <c r="U64" s="4" t="s">
        <v>223</v>
      </c>
      <c r="V64" s="4">
        <v>0</v>
      </c>
      <c r="W64" s="4">
        <f t="shared" si="24"/>
        <v>0</v>
      </c>
      <c r="X64" s="4">
        <v>386</v>
      </c>
      <c r="Y64" s="4">
        <f t="shared" si="25"/>
        <v>386</v>
      </c>
      <c r="Z64" s="4"/>
      <c r="AA64" s="21">
        <f t="shared" si="26"/>
        <v>571</v>
      </c>
      <c r="AB64" s="6">
        <f t="shared" si="27"/>
        <v>0.32399299474605958</v>
      </c>
      <c r="AC64" s="4">
        <v>2.25</v>
      </c>
      <c r="AD64" s="4" t="str">
        <f t="shared" si="28"/>
        <v>-</v>
      </c>
      <c r="AE64" s="4" t="e">
        <f t="shared" si="29"/>
        <v>#VALUE!</v>
      </c>
      <c r="AF64" s="6" t="e">
        <f t="shared" si="30"/>
        <v>#VALUE!</v>
      </c>
      <c r="AG64" s="7">
        <v>590</v>
      </c>
      <c r="AH64" s="6">
        <f t="shared" si="31"/>
        <v>0.34576271186440677</v>
      </c>
      <c r="AI64" s="4">
        <f t="shared" si="32"/>
        <v>204</v>
      </c>
      <c r="AJ64" s="28"/>
      <c r="AK64" s="6"/>
      <c r="AL64" s="6"/>
      <c r="AM64" s="6" t="e">
        <f t="shared" si="33"/>
        <v>#DIV/0!</v>
      </c>
      <c r="AN64" s="6">
        <f t="shared" si="34"/>
        <v>1.3470319634703196</v>
      </c>
      <c r="AO64" s="6">
        <f t="shared" si="35"/>
        <v>1.3040540540540539</v>
      </c>
      <c r="AP64" s="4" t="str">
        <f t="shared" si="36"/>
        <v>-</v>
      </c>
      <c r="AQ64" s="4" t="str">
        <f t="shared" si="37"/>
        <v>-</v>
      </c>
      <c r="AR64" s="4" t="str">
        <f t="shared" si="38"/>
        <v>-</v>
      </c>
      <c r="AS64" s="4" t="str">
        <f t="shared" si="39"/>
        <v>-</v>
      </c>
      <c r="AT64" s="4" t="str">
        <f t="shared" si="40"/>
        <v>-</v>
      </c>
      <c r="AU64" s="4" t="str">
        <f t="shared" si="41"/>
        <v>-</v>
      </c>
      <c r="AV64" s="4">
        <v>0</v>
      </c>
      <c r="AW64" s="4" t="s">
        <v>223</v>
      </c>
      <c r="AX64" s="4"/>
      <c r="AY64" s="4"/>
      <c r="AZ64" s="4" t="s">
        <v>223</v>
      </c>
      <c r="BA64" s="4" t="s">
        <v>223</v>
      </c>
      <c r="BB64" s="4" t="s">
        <v>223</v>
      </c>
      <c r="BC64" s="4" t="str">
        <f t="shared" si="42"/>
        <v>-</v>
      </c>
      <c r="BD64" s="19">
        <v>4</v>
      </c>
      <c r="BE64" s="19">
        <v>8</v>
      </c>
      <c r="BF64" s="16">
        <v>18</v>
      </c>
      <c r="BG64" t="s">
        <v>223</v>
      </c>
      <c r="BH64">
        <v>300</v>
      </c>
      <c r="BI64">
        <v>390</v>
      </c>
      <c r="BJ64">
        <f t="shared" si="21"/>
        <v>508.58108108108104</v>
      </c>
      <c r="BK64" t="s">
        <v>223</v>
      </c>
      <c r="BL64" t="s">
        <v>319</v>
      </c>
    </row>
    <row r="65" spans="1:64" x14ac:dyDescent="0.4">
      <c r="A65" s="3">
        <v>4</v>
      </c>
      <c r="B65" s="3">
        <v>4</v>
      </c>
      <c r="C65" s="4" t="s">
        <v>61</v>
      </c>
      <c r="D65" s="4" t="str">
        <f t="shared" si="22"/>
        <v>J92480</v>
      </c>
      <c r="E65" s="4" t="s">
        <v>61</v>
      </c>
      <c r="F65" s="4" t="s">
        <v>143</v>
      </c>
      <c r="G65" s="5">
        <v>4562121174979</v>
      </c>
      <c r="H65" s="5"/>
      <c r="I65" s="5"/>
      <c r="J65" s="5">
        <v>1</v>
      </c>
      <c r="K65" s="5">
        <v>1</v>
      </c>
      <c r="L65" s="4">
        <v>0</v>
      </c>
      <c r="M65" s="4">
        <v>441</v>
      </c>
      <c r="N65" s="4">
        <v>297</v>
      </c>
      <c r="O65" s="6">
        <f t="shared" si="23"/>
        <v>0.32653061224489799</v>
      </c>
      <c r="P65" s="4" t="s">
        <v>223</v>
      </c>
      <c r="Q65" s="4" t="s">
        <v>223</v>
      </c>
      <c r="R65" s="4" t="s">
        <v>223</v>
      </c>
      <c r="S65" s="4" t="s">
        <v>223</v>
      </c>
      <c r="T65" s="4" t="s">
        <v>223</v>
      </c>
      <c r="U65" s="4" t="s">
        <v>223</v>
      </c>
      <c r="V65" s="4">
        <v>0</v>
      </c>
      <c r="W65" s="4">
        <f t="shared" si="24"/>
        <v>0</v>
      </c>
      <c r="X65" s="4">
        <v>388</v>
      </c>
      <c r="Y65" s="4">
        <f t="shared" si="25"/>
        <v>388</v>
      </c>
      <c r="Z65" s="4"/>
      <c r="AA65" s="21">
        <f t="shared" si="26"/>
        <v>576</v>
      </c>
      <c r="AB65" s="6">
        <f t="shared" si="27"/>
        <v>0.32638888888888884</v>
      </c>
      <c r="AC65" s="4">
        <v>7.2499999999999991</v>
      </c>
      <c r="AD65" s="4" t="str">
        <f t="shared" si="28"/>
        <v>-</v>
      </c>
      <c r="AE65" s="4" t="e">
        <f t="shared" si="29"/>
        <v>#VALUE!</v>
      </c>
      <c r="AF65" s="6" t="e">
        <f t="shared" si="30"/>
        <v>#VALUE!</v>
      </c>
      <c r="AG65" s="7">
        <v>600</v>
      </c>
      <c r="AH65" s="6">
        <f t="shared" si="31"/>
        <v>0.35333333333333339</v>
      </c>
      <c r="AI65" s="4">
        <f t="shared" si="32"/>
        <v>212</v>
      </c>
      <c r="AJ65" s="28"/>
      <c r="AK65" s="6"/>
      <c r="AL65" s="6"/>
      <c r="AM65" s="6" t="e">
        <f t="shared" si="33"/>
        <v>#DIV/0!</v>
      </c>
      <c r="AN65" s="6">
        <f t="shared" si="34"/>
        <v>1.3605442176870748</v>
      </c>
      <c r="AO65" s="6">
        <f t="shared" si="35"/>
        <v>1.3063973063973064</v>
      </c>
      <c r="AP65" s="4" t="str">
        <f t="shared" si="36"/>
        <v>-</v>
      </c>
      <c r="AQ65" s="4" t="str">
        <f t="shared" si="37"/>
        <v>-</v>
      </c>
      <c r="AR65" s="4" t="str">
        <f t="shared" si="38"/>
        <v>-</v>
      </c>
      <c r="AS65" s="4" t="str">
        <f t="shared" si="39"/>
        <v>-</v>
      </c>
      <c r="AT65" s="4" t="str">
        <f t="shared" si="40"/>
        <v>-</v>
      </c>
      <c r="AU65" s="4" t="str">
        <f t="shared" si="41"/>
        <v>-</v>
      </c>
      <c r="AV65" s="4">
        <v>0</v>
      </c>
      <c r="AW65" s="4" t="s">
        <v>223</v>
      </c>
      <c r="AX65" s="4"/>
      <c r="AY65" s="4"/>
      <c r="AZ65" s="4" t="s">
        <v>223</v>
      </c>
      <c r="BA65" s="4" t="s">
        <v>223</v>
      </c>
      <c r="BB65" s="4" t="s">
        <v>223</v>
      </c>
      <c r="BC65" s="4" t="str">
        <f t="shared" si="42"/>
        <v>-</v>
      </c>
      <c r="BD65" s="19">
        <v>4</v>
      </c>
      <c r="BE65" s="19">
        <v>8</v>
      </c>
      <c r="BF65" s="16">
        <v>18</v>
      </c>
      <c r="BG65" t="s">
        <v>223</v>
      </c>
      <c r="BH65">
        <v>773</v>
      </c>
      <c r="BI65">
        <v>1006</v>
      </c>
      <c r="BJ65">
        <f t="shared" si="21"/>
        <v>1314.2356902356903</v>
      </c>
      <c r="BK65" t="s">
        <v>223</v>
      </c>
      <c r="BL65" t="s">
        <v>319</v>
      </c>
    </row>
    <row r="66" spans="1:64" x14ac:dyDescent="0.4">
      <c r="A66" s="3">
        <v>13</v>
      </c>
      <c r="B66" s="3">
        <v>13</v>
      </c>
      <c r="C66" s="4" t="s">
        <v>69</v>
      </c>
      <c r="D66" s="4" t="str">
        <f t="shared" si="22"/>
        <v>J92420</v>
      </c>
      <c r="E66" s="4" t="s">
        <v>69</v>
      </c>
      <c r="F66" s="4" t="s">
        <v>152</v>
      </c>
      <c r="G66" s="5">
        <v>4972759511938</v>
      </c>
      <c r="H66" s="5"/>
      <c r="I66" s="5"/>
      <c r="J66" s="5">
        <v>1</v>
      </c>
      <c r="K66" s="5">
        <v>1</v>
      </c>
      <c r="L66" s="4">
        <v>0</v>
      </c>
      <c r="M66" s="4">
        <v>446</v>
      </c>
      <c r="N66" s="4">
        <v>301</v>
      </c>
      <c r="O66" s="6">
        <f t="shared" si="23"/>
        <v>0.32511210762331844</v>
      </c>
      <c r="P66" s="4" t="s">
        <v>223</v>
      </c>
      <c r="Q66" s="4" t="s">
        <v>223</v>
      </c>
      <c r="R66" s="4" t="s">
        <v>223</v>
      </c>
      <c r="S66" s="4" t="s">
        <v>223</v>
      </c>
      <c r="T66" s="4" t="s">
        <v>223</v>
      </c>
      <c r="U66" s="4" t="s">
        <v>223</v>
      </c>
      <c r="V66" s="4">
        <v>0</v>
      </c>
      <c r="W66" s="4">
        <f t="shared" si="24"/>
        <v>0</v>
      </c>
      <c r="X66" s="4">
        <v>393</v>
      </c>
      <c r="Y66" s="4">
        <f t="shared" si="25"/>
        <v>393</v>
      </c>
      <c r="Z66" s="4"/>
      <c r="AA66" s="21">
        <f t="shared" si="26"/>
        <v>582</v>
      </c>
      <c r="AB66" s="6">
        <f t="shared" si="27"/>
        <v>0.32474226804123707</v>
      </c>
      <c r="AC66" s="4">
        <v>0.25</v>
      </c>
      <c r="AD66" s="4" t="str">
        <f t="shared" si="28"/>
        <v>-</v>
      </c>
      <c r="AE66" s="4" t="e">
        <f t="shared" si="29"/>
        <v>#VALUE!</v>
      </c>
      <c r="AF66" s="6" t="e">
        <f t="shared" si="30"/>
        <v>#VALUE!</v>
      </c>
      <c r="AG66" s="7">
        <v>610</v>
      </c>
      <c r="AH66" s="6">
        <f t="shared" si="31"/>
        <v>0.3557377049180328</v>
      </c>
      <c r="AI66" s="4">
        <f t="shared" si="32"/>
        <v>217</v>
      </c>
      <c r="AJ66" s="28"/>
      <c r="AK66" s="6"/>
      <c r="AL66" s="6"/>
      <c r="AM66" s="6" t="e">
        <f t="shared" si="33"/>
        <v>#DIV/0!</v>
      </c>
      <c r="AN66" s="6">
        <f t="shared" si="34"/>
        <v>1.3677130044843049</v>
      </c>
      <c r="AO66" s="6">
        <f t="shared" si="35"/>
        <v>1.3056478405315615</v>
      </c>
      <c r="AP66" s="4" t="str">
        <f t="shared" si="36"/>
        <v>-</v>
      </c>
      <c r="AQ66" s="4" t="str">
        <f t="shared" si="37"/>
        <v>-</v>
      </c>
      <c r="AR66" s="4" t="str">
        <f t="shared" si="38"/>
        <v>-</v>
      </c>
      <c r="AS66" s="4" t="str">
        <f t="shared" si="39"/>
        <v>-</v>
      </c>
      <c r="AT66" s="4" t="str">
        <f t="shared" si="40"/>
        <v>-</v>
      </c>
      <c r="AU66" s="4" t="str">
        <f t="shared" si="41"/>
        <v>-</v>
      </c>
      <c r="AV66" s="4">
        <v>0</v>
      </c>
      <c r="AW66" s="4" t="s">
        <v>223</v>
      </c>
      <c r="AX66" s="4"/>
      <c r="AY66" s="4"/>
      <c r="AZ66" s="4" t="s">
        <v>223</v>
      </c>
      <c r="BA66" s="4" t="s">
        <v>223</v>
      </c>
      <c r="BB66" s="4" t="s">
        <v>223</v>
      </c>
      <c r="BC66" s="4" t="str">
        <f t="shared" si="42"/>
        <v>-</v>
      </c>
      <c r="BD66" s="19">
        <v>4</v>
      </c>
      <c r="BE66" s="19">
        <v>8</v>
      </c>
      <c r="BF66" s="16">
        <v>18</v>
      </c>
      <c r="BG66" t="s">
        <v>223</v>
      </c>
      <c r="BH66">
        <v>6840</v>
      </c>
      <c r="BI66">
        <v>6840</v>
      </c>
      <c r="BJ66">
        <f t="shared" si="21"/>
        <v>8930.6312292358798</v>
      </c>
      <c r="BK66" t="s">
        <v>223</v>
      </c>
      <c r="BL66" t="s">
        <v>319</v>
      </c>
    </row>
    <row r="67" spans="1:64" x14ac:dyDescent="0.4">
      <c r="A67" s="3">
        <v>61</v>
      </c>
      <c r="B67" s="3">
        <v>61</v>
      </c>
      <c r="C67" s="4" t="s">
        <v>117</v>
      </c>
      <c r="D67" s="4" t="str">
        <f t="shared" si="22"/>
        <v>5027AK</v>
      </c>
      <c r="E67" s="4" t="s">
        <v>117</v>
      </c>
      <c r="F67" s="4" t="s">
        <v>200</v>
      </c>
      <c r="G67" s="5">
        <v>4972759534289</v>
      </c>
      <c r="H67" s="5"/>
      <c r="I67" s="5"/>
      <c r="J67" s="5">
        <v>1</v>
      </c>
      <c r="K67" s="5">
        <v>1</v>
      </c>
      <c r="L67" s="4">
        <v>0</v>
      </c>
      <c r="M67" s="4">
        <v>498</v>
      </c>
      <c r="N67" s="4">
        <v>312</v>
      </c>
      <c r="O67" s="6">
        <f t="shared" si="23"/>
        <v>0.37349397590361444</v>
      </c>
      <c r="P67" s="4" t="s">
        <v>223</v>
      </c>
      <c r="Q67" s="4" t="s">
        <v>223</v>
      </c>
      <c r="R67" s="4" t="s">
        <v>223</v>
      </c>
      <c r="S67" s="4" t="s">
        <v>223</v>
      </c>
      <c r="T67" s="4" t="s">
        <v>223</v>
      </c>
      <c r="U67" s="4" t="s">
        <v>223</v>
      </c>
      <c r="V67" s="4">
        <v>0</v>
      </c>
      <c r="W67" s="4">
        <f t="shared" si="24"/>
        <v>0</v>
      </c>
      <c r="X67" s="4">
        <v>406</v>
      </c>
      <c r="Y67" s="4">
        <f t="shared" si="25"/>
        <v>406</v>
      </c>
      <c r="Z67" s="4"/>
      <c r="AA67" s="21">
        <f t="shared" si="26"/>
        <v>648</v>
      </c>
      <c r="AB67" s="6">
        <f t="shared" si="27"/>
        <v>0.37345679012345678</v>
      </c>
      <c r="AC67" s="4">
        <v>2</v>
      </c>
      <c r="AD67" s="4">
        <f t="shared" si="28"/>
        <v>572.73333333333335</v>
      </c>
      <c r="AE67" s="4">
        <f t="shared" si="29"/>
        <v>745.28760683760686</v>
      </c>
      <c r="AF67" s="6">
        <f t="shared" si="30"/>
        <v>0.45524385985333493</v>
      </c>
      <c r="AG67" s="7">
        <v>650</v>
      </c>
      <c r="AH67" s="6">
        <f t="shared" si="31"/>
        <v>0.37538461538461543</v>
      </c>
      <c r="AI67" s="4">
        <f t="shared" si="32"/>
        <v>244</v>
      </c>
      <c r="AJ67" s="28"/>
      <c r="AK67" s="6"/>
      <c r="AL67" s="6"/>
      <c r="AM67" s="6" t="e">
        <f t="shared" si="33"/>
        <v>#DIV/0!</v>
      </c>
      <c r="AN67" s="6">
        <f t="shared" si="34"/>
        <v>1.3052208835341366</v>
      </c>
      <c r="AO67" s="6">
        <f t="shared" si="35"/>
        <v>1.3012820512820513</v>
      </c>
      <c r="AP67" s="4" t="str">
        <f t="shared" si="36"/>
        <v>-</v>
      </c>
      <c r="AQ67" s="4" t="str">
        <f t="shared" si="37"/>
        <v>-</v>
      </c>
      <c r="AR67" s="4" t="str">
        <f t="shared" si="38"/>
        <v>-</v>
      </c>
      <c r="AS67" s="4" t="str">
        <f t="shared" si="39"/>
        <v>-</v>
      </c>
      <c r="AT67" s="4" t="str">
        <f t="shared" si="40"/>
        <v>-</v>
      </c>
      <c r="AU67" s="4" t="str">
        <f t="shared" si="41"/>
        <v>-</v>
      </c>
      <c r="AV67" s="4">
        <v>0</v>
      </c>
      <c r="AW67" s="4" t="s">
        <v>271</v>
      </c>
      <c r="AX67" s="4">
        <v>1</v>
      </c>
      <c r="AY67" s="4">
        <v>15</v>
      </c>
      <c r="AZ67" s="4" t="s">
        <v>272</v>
      </c>
      <c r="BA67" s="4">
        <v>8591</v>
      </c>
      <c r="BB67" s="4">
        <v>8591</v>
      </c>
      <c r="BC67" s="4">
        <f t="shared" si="42"/>
        <v>572.73333333333335</v>
      </c>
      <c r="BD67" s="19">
        <v>4</v>
      </c>
      <c r="BE67" s="19">
        <v>8</v>
      </c>
      <c r="BF67" s="16">
        <v>18</v>
      </c>
      <c r="BG67" t="s">
        <v>223</v>
      </c>
      <c r="BH67">
        <v>6508</v>
      </c>
      <c r="BI67">
        <v>6508</v>
      </c>
      <c r="BJ67">
        <f t="shared" si="21"/>
        <v>8468.7435897435898</v>
      </c>
      <c r="BK67" t="s">
        <v>238</v>
      </c>
      <c r="BL67" t="s">
        <v>319</v>
      </c>
    </row>
    <row r="68" spans="1:64" x14ac:dyDescent="0.4">
      <c r="A68" s="3">
        <v>67</v>
      </c>
      <c r="B68" s="3">
        <v>67</v>
      </c>
      <c r="C68" s="4" t="s">
        <v>123</v>
      </c>
      <c r="D68" s="4" t="str">
        <f t="shared" ref="D68:D86" si="43">TEXT(C68,"000000")</f>
        <v>5033AK</v>
      </c>
      <c r="E68" s="4" t="s">
        <v>123</v>
      </c>
      <c r="F68" s="4" t="s">
        <v>206</v>
      </c>
      <c r="G68" s="5">
        <v>4972759534340</v>
      </c>
      <c r="H68" s="5"/>
      <c r="I68" s="5"/>
      <c r="J68" s="5">
        <v>1</v>
      </c>
      <c r="K68" s="5">
        <v>1</v>
      </c>
      <c r="L68" s="4">
        <v>0</v>
      </c>
      <c r="M68" s="4">
        <v>448</v>
      </c>
      <c r="N68" s="4">
        <v>312</v>
      </c>
      <c r="O68" s="6">
        <f t="shared" ref="O68:O93" si="44">1-N68/M68</f>
        <v>0.3035714285714286</v>
      </c>
      <c r="P68" s="4" t="s">
        <v>223</v>
      </c>
      <c r="Q68" s="4" t="s">
        <v>223</v>
      </c>
      <c r="R68" s="4" t="s">
        <v>223</v>
      </c>
      <c r="S68" s="4" t="s">
        <v>223</v>
      </c>
      <c r="T68" s="4" t="s">
        <v>223</v>
      </c>
      <c r="U68" s="4" t="s">
        <v>223</v>
      </c>
      <c r="V68" s="4">
        <v>0</v>
      </c>
      <c r="W68" s="4">
        <f t="shared" ref="W68:W86" si="45">IF(Z68="",V68,V68*Z68)</f>
        <v>0</v>
      </c>
      <c r="X68" s="4">
        <v>406</v>
      </c>
      <c r="Y68" s="4">
        <f t="shared" ref="Y68:Y86" si="46">IF(Z68="",X68,X68*Z68)</f>
        <v>406</v>
      </c>
      <c r="Z68" s="4"/>
      <c r="AA68" s="21">
        <f t="shared" ref="AA68:AA86" si="47">ROUND(M68*AO68,0)</f>
        <v>583</v>
      </c>
      <c r="AB68" s="6">
        <f t="shared" ref="AB68:AB86" si="48">1-Y68/AA68</f>
        <v>0.30360205831903941</v>
      </c>
      <c r="AC68" s="4">
        <v>8.25</v>
      </c>
      <c r="AD68" s="4">
        <f t="shared" ref="AD68:AD86" si="49">BC68</f>
        <v>524</v>
      </c>
      <c r="AE68" s="4">
        <f t="shared" ref="AE68:AE86" si="50">AD68*AO68</f>
        <v>681.87179487179492</v>
      </c>
      <c r="AF68" s="6">
        <f t="shared" ref="AF68:AF86" si="51">1-Y68/AE68</f>
        <v>0.40458015267175573</v>
      </c>
      <c r="AG68" s="7">
        <v>650</v>
      </c>
      <c r="AH68" s="6">
        <f t="shared" ref="AH68:AH86" si="52">1-Y68/AG68</f>
        <v>0.37538461538461543</v>
      </c>
      <c r="AI68" s="4">
        <f t="shared" ref="AI68:AI86" si="53">AG68-Y68</f>
        <v>244</v>
      </c>
      <c r="AJ68" s="28"/>
      <c r="AK68" s="6"/>
      <c r="AL68" s="6"/>
      <c r="AM68" s="6" t="e">
        <f t="shared" ref="AM68:AM86" si="54">W68/L68</f>
        <v>#DIV/0!</v>
      </c>
      <c r="AN68" s="6">
        <f t="shared" ref="AN68:AN86" si="55">AG68/M68</f>
        <v>1.4508928571428572</v>
      </c>
      <c r="AO68" s="6">
        <f t="shared" ref="AO68:AO86" si="56">Y68/N68</f>
        <v>1.3012820512820513</v>
      </c>
      <c r="AP68" s="4" t="str">
        <f t="shared" ref="AP68:AP86" si="57">IFERROR(ROUND($AG68*P68/$M68,0),"-")</f>
        <v>-</v>
      </c>
      <c r="AQ68" s="4" t="str">
        <f t="shared" ref="AQ68:AQ86" si="58">IF(Q68="","-",Q68)</f>
        <v>-</v>
      </c>
      <c r="AR68" s="4" t="str">
        <f t="shared" ref="AR68:AR86" si="59">IF(R68="","-",R68)</f>
        <v>-</v>
      </c>
      <c r="AS68" s="4" t="str">
        <f t="shared" ref="AS68:AS86" si="60">IFERROR(ROUND($AG68*S68/$M68,0),"-")</f>
        <v>-</v>
      </c>
      <c r="AT68" s="4" t="str">
        <f t="shared" ref="AT68:AT86" si="61">IF(T68="","-",T68)</f>
        <v>-</v>
      </c>
      <c r="AU68" s="4" t="str">
        <f t="shared" ref="AU68:AU86" si="62">IF(U68="","-",U68)</f>
        <v>-</v>
      </c>
      <c r="AV68" s="4">
        <v>0</v>
      </c>
      <c r="AW68" s="4" t="s">
        <v>275</v>
      </c>
      <c r="AX68" s="4"/>
      <c r="AY68" s="4"/>
      <c r="AZ68" s="4" t="s">
        <v>252</v>
      </c>
      <c r="BA68" s="4">
        <v>524</v>
      </c>
      <c r="BB68" s="4">
        <v>524</v>
      </c>
      <c r="BC68" s="4">
        <f t="shared" ref="BC68:BC86" si="63">IF(AX68="",BB68,AX68/AY68*BB68)</f>
        <v>524</v>
      </c>
      <c r="BD68" s="19">
        <v>4</v>
      </c>
      <c r="BE68" s="19">
        <v>1</v>
      </c>
      <c r="BF68" s="16">
        <v>18</v>
      </c>
      <c r="BG68" t="s">
        <v>223</v>
      </c>
      <c r="BH68">
        <v>6508</v>
      </c>
      <c r="BI68">
        <v>6508</v>
      </c>
      <c r="BJ68">
        <f t="shared" si="21"/>
        <v>8468.7435897435898</v>
      </c>
      <c r="BK68" t="s">
        <v>241</v>
      </c>
      <c r="BL68" t="s">
        <v>319</v>
      </c>
    </row>
    <row r="69" spans="1:64" x14ac:dyDescent="0.4">
      <c r="A69" s="3">
        <v>18</v>
      </c>
      <c r="B69" s="3">
        <v>18</v>
      </c>
      <c r="C69" s="4" t="s">
        <v>74</v>
      </c>
      <c r="D69" s="4" t="str">
        <f t="shared" si="43"/>
        <v>J92417</v>
      </c>
      <c r="E69" s="4" t="s">
        <v>74</v>
      </c>
      <c r="F69" s="4" t="s">
        <v>157</v>
      </c>
      <c r="G69" s="5">
        <v>4972759514649</v>
      </c>
      <c r="H69" s="5"/>
      <c r="I69" s="5"/>
      <c r="J69" s="5">
        <v>1</v>
      </c>
      <c r="K69" s="5">
        <v>1</v>
      </c>
      <c r="L69" s="4">
        <v>0</v>
      </c>
      <c r="M69" s="4">
        <v>476</v>
      </c>
      <c r="N69" s="4">
        <v>320</v>
      </c>
      <c r="O69" s="6">
        <f t="shared" si="44"/>
        <v>0.32773109243697474</v>
      </c>
      <c r="P69" s="4" t="s">
        <v>223</v>
      </c>
      <c r="Q69" s="4" t="s">
        <v>223</v>
      </c>
      <c r="R69" s="4" t="s">
        <v>223</v>
      </c>
      <c r="S69" s="4" t="s">
        <v>223</v>
      </c>
      <c r="T69" s="4" t="s">
        <v>223</v>
      </c>
      <c r="U69" s="4" t="s">
        <v>223</v>
      </c>
      <c r="V69" s="4">
        <v>0</v>
      </c>
      <c r="W69" s="4">
        <f t="shared" si="45"/>
        <v>0</v>
      </c>
      <c r="X69" s="4">
        <v>417</v>
      </c>
      <c r="Y69" s="4">
        <f t="shared" si="46"/>
        <v>417</v>
      </c>
      <c r="Z69" s="4"/>
      <c r="AA69" s="21">
        <f t="shared" si="47"/>
        <v>620</v>
      </c>
      <c r="AB69" s="6">
        <f t="shared" si="48"/>
        <v>0.32741935483870965</v>
      </c>
      <c r="AC69" s="4">
        <v>1.5</v>
      </c>
      <c r="AD69" s="4" t="str">
        <f t="shared" si="49"/>
        <v>-</v>
      </c>
      <c r="AE69" s="4" t="e">
        <f t="shared" si="50"/>
        <v>#VALUE!</v>
      </c>
      <c r="AF69" s="6" t="e">
        <f t="shared" si="51"/>
        <v>#VALUE!</v>
      </c>
      <c r="AG69" s="7">
        <v>650</v>
      </c>
      <c r="AH69" s="6">
        <f t="shared" si="52"/>
        <v>0.3584615384615385</v>
      </c>
      <c r="AI69" s="4">
        <f t="shared" si="53"/>
        <v>233</v>
      </c>
      <c r="AJ69" s="28"/>
      <c r="AK69" s="6"/>
      <c r="AL69" s="6"/>
      <c r="AM69" s="6" t="e">
        <f t="shared" si="54"/>
        <v>#DIV/0!</v>
      </c>
      <c r="AN69" s="6">
        <f t="shared" si="55"/>
        <v>1.365546218487395</v>
      </c>
      <c r="AO69" s="6">
        <f t="shared" si="56"/>
        <v>1.3031250000000001</v>
      </c>
      <c r="AP69" s="4" t="str">
        <f t="shared" si="57"/>
        <v>-</v>
      </c>
      <c r="AQ69" s="4" t="str">
        <f t="shared" si="58"/>
        <v>-</v>
      </c>
      <c r="AR69" s="4" t="str">
        <f t="shared" si="59"/>
        <v>-</v>
      </c>
      <c r="AS69" s="4" t="str">
        <f t="shared" si="60"/>
        <v>-</v>
      </c>
      <c r="AT69" s="4" t="str">
        <f t="shared" si="61"/>
        <v>-</v>
      </c>
      <c r="AU69" s="4" t="str">
        <f t="shared" si="62"/>
        <v>-</v>
      </c>
      <c r="AV69" s="4">
        <v>0</v>
      </c>
      <c r="AW69" s="4" t="s">
        <v>223</v>
      </c>
      <c r="AX69" s="4"/>
      <c r="AY69" s="4"/>
      <c r="AZ69" s="4" t="s">
        <v>223</v>
      </c>
      <c r="BA69" s="4" t="s">
        <v>223</v>
      </c>
      <c r="BB69" s="4" t="s">
        <v>223</v>
      </c>
      <c r="BC69" s="4" t="str">
        <f t="shared" si="63"/>
        <v>-</v>
      </c>
      <c r="BD69" s="19">
        <v>4</v>
      </c>
      <c r="BE69" s="19">
        <v>8</v>
      </c>
      <c r="BF69" s="16">
        <v>18</v>
      </c>
      <c r="BG69" t="s">
        <v>223</v>
      </c>
      <c r="BH69">
        <v>599</v>
      </c>
      <c r="BI69">
        <v>599</v>
      </c>
      <c r="BJ69">
        <f t="shared" ref="BJ69:BJ87" si="64">IFERROR(BI69*AO69,"-")</f>
        <v>780.57187500000009</v>
      </c>
      <c r="BK69" t="s">
        <v>223</v>
      </c>
      <c r="BL69" t="s">
        <v>319</v>
      </c>
    </row>
    <row r="70" spans="1:64" x14ac:dyDescent="0.4">
      <c r="A70" s="3">
        <v>29</v>
      </c>
      <c r="B70" s="3">
        <v>29</v>
      </c>
      <c r="C70" s="4" t="s">
        <v>85</v>
      </c>
      <c r="D70" s="4" t="str">
        <f t="shared" si="43"/>
        <v>J92654</v>
      </c>
      <c r="E70" s="4" t="s">
        <v>85</v>
      </c>
      <c r="F70" s="4" t="s">
        <v>168</v>
      </c>
      <c r="G70" s="5">
        <v>4972759519439</v>
      </c>
      <c r="H70" s="5"/>
      <c r="I70" s="5"/>
      <c r="J70" s="5">
        <v>1</v>
      </c>
      <c r="K70" s="5">
        <v>1</v>
      </c>
      <c r="L70" s="4">
        <v>0</v>
      </c>
      <c r="M70" s="4">
        <v>466</v>
      </c>
      <c r="N70" s="4">
        <v>326</v>
      </c>
      <c r="O70" s="6">
        <f t="shared" si="44"/>
        <v>0.30042918454935619</v>
      </c>
      <c r="P70" s="4" t="s">
        <v>223</v>
      </c>
      <c r="Q70" s="4" t="s">
        <v>223</v>
      </c>
      <c r="R70" s="4" t="s">
        <v>223</v>
      </c>
      <c r="S70" s="4" t="s">
        <v>223</v>
      </c>
      <c r="T70" s="4" t="s">
        <v>223</v>
      </c>
      <c r="U70" s="4" t="s">
        <v>223</v>
      </c>
      <c r="V70" s="4">
        <v>0</v>
      </c>
      <c r="W70" s="4">
        <f t="shared" si="45"/>
        <v>0</v>
      </c>
      <c r="X70" s="4">
        <v>426</v>
      </c>
      <c r="Y70" s="4">
        <f t="shared" si="46"/>
        <v>426</v>
      </c>
      <c r="Z70" s="4"/>
      <c r="AA70" s="21">
        <f t="shared" si="47"/>
        <v>609</v>
      </c>
      <c r="AB70" s="6">
        <f t="shared" si="48"/>
        <v>0.30049261083743839</v>
      </c>
      <c r="AC70" s="4">
        <v>0.25</v>
      </c>
      <c r="AD70" s="4" t="str">
        <f t="shared" si="49"/>
        <v>-</v>
      </c>
      <c r="AE70" s="4" t="e">
        <f t="shared" si="50"/>
        <v>#VALUE!</v>
      </c>
      <c r="AF70" s="6" t="e">
        <f t="shared" si="51"/>
        <v>#VALUE!</v>
      </c>
      <c r="AG70" s="7">
        <v>650</v>
      </c>
      <c r="AH70" s="6">
        <f t="shared" si="52"/>
        <v>0.34461538461538466</v>
      </c>
      <c r="AI70" s="4">
        <f t="shared" si="53"/>
        <v>224</v>
      </c>
      <c r="AJ70" s="28"/>
      <c r="AK70" s="6"/>
      <c r="AL70" s="6"/>
      <c r="AM70" s="6" t="e">
        <f t="shared" si="54"/>
        <v>#DIV/0!</v>
      </c>
      <c r="AN70" s="6">
        <f t="shared" si="55"/>
        <v>1.3948497854077253</v>
      </c>
      <c r="AO70" s="6">
        <f t="shared" si="56"/>
        <v>1.3067484662576687</v>
      </c>
      <c r="AP70" s="4" t="str">
        <f t="shared" si="57"/>
        <v>-</v>
      </c>
      <c r="AQ70" s="4" t="str">
        <f t="shared" si="58"/>
        <v>-</v>
      </c>
      <c r="AR70" s="4" t="str">
        <f t="shared" si="59"/>
        <v>-</v>
      </c>
      <c r="AS70" s="4" t="str">
        <f t="shared" si="60"/>
        <v>-</v>
      </c>
      <c r="AT70" s="4" t="str">
        <f t="shared" si="61"/>
        <v>-</v>
      </c>
      <c r="AU70" s="4" t="str">
        <f t="shared" si="62"/>
        <v>-</v>
      </c>
      <c r="AV70" s="4">
        <v>0</v>
      </c>
      <c r="AW70" s="4" t="s">
        <v>223</v>
      </c>
      <c r="AX70" s="4"/>
      <c r="AY70" s="4"/>
      <c r="AZ70" s="4" t="s">
        <v>223</v>
      </c>
      <c r="BA70" s="4" t="s">
        <v>223</v>
      </c>
      <c r="BB70" s="4" t="s">
        <v>223</v>
      </c>
      <c r="BC70" s="4" t="str">
        <f t="shared" si="63"/>
        <v>-</v>
      </c>
      <c r="BD70" s="19">
        <v>4</v>
      </c>
      <c r="BE70" s="19">
        <v>8</v>
      </c>
      <c r="BF70" s="16">
        <v>18</v>
      </c>
      <c r="BG70" t="s">
        <v>223</v>
      </c>
      <c r="BH70">
        <v>12825</v>
      </c>
      <c r="BI70">
        <v>12825</v>
      </c>
      <c r="BJ70">
        <f t="shared" si="64"/>
        <v>16759.049079754601</v>
      </c>
      <c r="BK70" t="s">
        <v>223</v>
      </c>
      <c r="BL70" t="s">
        <v>319</v>
      </c>
    </row>
    <row r="71" spans="1:64" x14ac:dyDescent="0.4">
      <c r="A71" s="3">
        <v>81</v>
      </c>
      <c r="B71" s="3">
        <v>81</v>
      </c>
      <c r="C71" s="4" t="s">
        <v>137</v>
      </c>
      <c r="D71" s="4" t="str">
        <f t="shared" si="43"/>
        <v>5041AK</v>
      </c>
      <c r="E71" s="4" t="s">
        <v>137</v>
      </c>
      <c r="F71" s="4" t="s">
        <v>220</v>
      </c>
      <c r="G71" s="5">
        <v>4972759537662</v>
      </c>
      <c r="H71" s="5"/>
      <c r="I71" s="5"/>
      <c r="J71" s="5">
        <v>1</v>
      </c>
      <c r="K71" s="5">
        <v>1</v>
      </c>
      <c r="L71" s="4">
        <v>0</v>
      </c>
      <c r="M71" s="4">
        <v>580</v>
      </c>
      <c r="N71" s="4">
        <v>340</v>
      </c>
      <c r="O71" s="6">
        <f t="shared" si="44"/>
        <v>0.41379310344827591</v>
      </c>
      <c r="P71" s="4" t="s">
        <v>223</v>
      </c>
      <c r="Q71" s="4" t="s">
        <v>223</v>
      </c>
      <c r="R71" s="4" t="s">
        <v>223</v>
      </c>
      <c r="S71" s="4" t="s">
        <v>223</v>
      </c>
      <c r="T71" s="4" t="s">
        <v>223</v>
      </c>
      <c r="U71" s="4" t="s">
        <v>223</v>
      </c>
      <c r="V71" s="4">
        <v>0</v>
      </c>
      <c r="W71" s="4">
        <f t="shared" si="45"/>
        <v>0</v>
      </c>
      <c r="X71" s="4">
        <v>443</v>
      </c>
      <c r="Y71" s="4">
        <f t="shared" si="46"/>
        <v>443</v>
      </c>
      <c r="Z71" s="4"/>
      <c r="AA71" s="21">
        <f t="shared" si="47"/>
        <v>756</v>
      </c>
      <c r="AB71" s="6">
        <f t="shared" si="48"/>
        <v>0.41402116402116407</v>
      </c>
      <c r="AC71" s="4">
        <v>0.5</v>
      </c>
      <c r="AD71" s="4" t="str">
        <f t="shared" si="49"/>
        <v>-</v>
      </c>
      <c r="AE71" s="4" t="e">
        <f t="shared" si="50"/>
        <v>#VALUE!</v>
      </c>
      <c r="AF71" s="6" t="e">
        <f t="shared" si="51"/>
        <v>#VALUE!</v>
      </c>
      <c r="AG71" s="7">
        <v>750</v>
      </c>
      <c r="AH71" s="6">
        <f t="shared" si="52"/>
        <v>0.40933333333333333</v>
      </c>
      <c r="AI71" s="4">
        <f t="shared" si="53"/>
        <v>307</v>
      </c>
      <c r="AJ71" s="28"/>
      <c r="AK71" s="6"/>
      <c r="AL71" s="6"/>
      <c r="AM71" s="6" t="e">
        <f t="shared" si="54"/>
        <v>#DIV/0!</v>
      </c>
      <c r="AN71" s="6">
        <f t="shared" si="55"/>
        <v>1.2931034482758621</v>
      </c>
      <c r="AO71" s="6">
        <f t="shared" si="56"/>
        <v>1.3029411764705883</v>
      </c>
      <c r="AP71" s="4" t="str">
        <f t="shared" si="57"/>
        <v>-</v>
      </c>
      <c r="AQ71" s="4" t="str">
        <f t="shared" si="58"/>
        <v>-</v>
      </c>
      <c r="AR71" s="4" t="str">
        <f t="shared" si="59"/>
        <v>-</v>
      </c>
      <c r="AS71" s="4" t="str">
        <f t="shared" si="60"/>
        <v>-</v>
      </c>
      <c r="AT71" s="4" t="str">
        <f t="shared" si="61"/>
        <v>-</v>
      </c>
      <c r="AU71" s="4" t="str">
        <f t="shared" si="62"/>
        <v>-</v>
      </c>
      <c r="AV71" s="4">
        <v>0</v>
      </c>
      <c r="AW71" s="4" t="s">
        <v>223</v>
      </c>
      <c r="AX71" s="4"/>
      <c r="AY71" s="4"/>
      <c r="AZ71" s="4" t="s">
        <v>223</v>
      </c>
      <c r="BA71" s="4" t="s">
        <v>223</v>
      </c>
      <c r="BB71" s="4" t="s">
        <v>223</v>
      </c>
      <c r="BC71" s="4" t="str">
        <f t="shared" si="63"/>
        <v>-</v>
      </c>
      <c r="BD71" s="19">
        <v>4</v>
      </c>
      <c r="BE71" s="19">
        <v>8</v>
      </c>
      <c r="BF71" s="16">
        <v>18</v>
      </c>
      <c r="BG71" t="s">
        <v>223</v>
      </c>
      <c r="BH71">
        <v>593</v>
      </c>
      <c r="BI71">
        <v>593</v>
      </c>
      <c r="BJ71">
        <f t="shared" si="64"/>
        <v>772.64411764705881</v>
      </c>
      <c r="BK71" t="s">
        <v>223</v>
      </c>
      <c r="BL71" t="s">
        <v>319</v>
      </c>
    </row>
    <row r="72" spans="1:64" x14ac:dyDescent="0.4">
      <c r="A72" s="3">
        <v>52</v>
      </c>
      <c r="B72" s="3">
        <v>52</v>
      </c>
      <c r="C72" s="4" t="s">
        <v>108</v>
      </c>
      <c r="D72" s="4" t="str">
        <f t="shared" si="43"/>
        <v>JW6467</v>
      </c>
      <c r="E72" s="4" t="s">
        <v>108</v>
      </c>
      <c r="F72" s="4" t="s">
        <v>191</v>
      </c>
      <c r="G72" s="5">
        <v>4972759531844</v>
      </c>
      <c r="H72" s="5"/>
      <c r="I72" s="5"/>
      <c r="J72" s="5">
        <v>1</v>
      </c>
      <c r="K72" s="5">
        <v>1</v>
      </c>
      <c r="L72" s="4">
        <v>0</v>
      </c>
      <c r="M72" s="4">
        <v>591</v>
      </c>
      <c r="N72" s="4">
        <v>338</v>
      </c>
      <c r="O72" s="6">
        <f t="shared" si="44"/>
        <v>0.42808798646362101</v>
      </c>
      <c r="P72" s="4" t="s">
        <v>223</v>
      </c>
      <c r="Q72" s="4" t="s">
        <v>223</v>
      </c>
      <c r="R72" s="4" t="s">
        <v>223</v>
      </c>
      <c r="S72" s="4" t="s">
        <v>223</v>
      </c>
      <c r="T72" s="4" t="s">
        <v>223</v>
      </c>
      <c r="U72" s="4" t="s">
        <v>223</v>
      </c>
      <c r="V72" s="4">
        <v>0</v>
      </c>
      <c r="W72" s="4">
        <f t="shared" si="45"/>
        <v>0</v>
      </c>
      <c r="X72" s="4">
        <v>450</v>
      </c>
      <c r="Y72" s="4">
        <f t="shared" si="46"/>
        <v>450</v>
      </c>
      <c r="Z72" s="4"/>
      <c r="AA72" s="21">
        <f t="shared" si="47"/>
        <v>787</v>
      </c>
      <c r="AB72" s="6">
        <f t="shared" si="48"/>
        <v>0.42820838627700131</v>
      </c>
      <c r="AC72" s="4">
        <v>10.5</v>
      </c>
      <c r="AD72" s="4" t="str">
        <f t="shared" si="49"/>
        <v>-</v>
      </c>
      <c r="AE72" s="4" t="e">
        <f t="shared" si="50"/>
        <v>#VALUE!</v>
      </c>
      <c r="AF72" s="6" t="e">
        <f t="shared" si="51"/>
        <v>#VALUE!</v>
      </c>
      <c r="AG72" s="7">
        <v>780</v>
      </c>
      <c r="AH72" s="6">
        <f t="shared" si="52"/>
        <v>0.42307692307692313</v>
      </c>
      <c r="AI72" s="4">
        <f t="shared" si="53"/>
        <v>330</v>
      </c>
      <c r="AJ72" s="28"/>
      <c r="AK72" s="6"/>
      <c r="AL72" s="6"/>
      <c r="AM72" s="6" t="e">
        <f t="shared" si="54"/>
        <v>#DIV/0!</v>
      </c>
      <c r="AN72" s="6">
        <f t="shared" si="55"/>
        <v>1.3197969543147208</v>
      </c>
      <c r="AO72" s="6">
        <f t="shared" si="56"/>
        <v>1.331360946745562</v>
      </c>
      <c r="AP72" s="4" t="str">
        <f t="shared" si="57"/>
        <v>-</v>
      </c>
      <c r="AQ72" s="4" t="str">
        <f t="shared" si="58"/>
        <v>-</v>
      </c>
      <c r="AR72" s="4" t="str">
        <f t="shared" si="59"/>
        <v>-</v>
      </c>
      <c r="AS72" s="4" t="str">
        <f t="shared" si="60"/>
        <v>-</v>
      </c>
      <c r="AT72" s="4" t="str">
        <f t="shared" si="61"/>
        <v>-</v>
      </c>
      <c r="AU72" s="4" t="str">
        <f t="shared" si="62"/>
        <v>-</v>
      </c>
      <c r="AV72" s="4">
        <v>0</v>
      </c>
      <c r="AW72" s="4" t="s">
        <v>223</v>
      </c>
      <c r="AX72" s="4"/>
      <c r="AY72" s="4"/>
      <c r="AZ72" s="4" t="s">
        <v>223</v>
      </c>
      <c r="BA72" s="4" t="s">
        <v>223</v>
      </c>
      <c r="BB72" s="4" t="s">
        <v>223</v>
      </c>
      <c r="BC72" s="4" t="str">
        <f t="shared" si="63"/>
        <v>-</v>
      </c>
      <c r="BD72" s="19">
        <v>4</v>
      </c>
      <c r="BE72" s="19">
        <v>1</v>
      </c>
      <c r="BF72" s="16">
        <v>18</v>
      </c>
      <c r="BG72" t="s">
        <v>223</v>
      </c>
      <c r="BH72" t="s">
        <v>223</v>
      </c>
      <c r="BI72" t="s">
        <v>223</v>
      </c>
      <c r="BJ72" t="str">
        <f t="shared" si="64"/>
        <v>-</v>
      </c>
      <c r="BK72" t="s">
        <v>223</v>
      </c>
      <c r="BL72" t="s">
        <v>319</v>
      </c>
    </row>
    <row r="73" spans="1:64" x14ac:dyDescent="0.4">
      <c r="A73" s="3">
        <v>46</v>
      </c>
      <c r="B73" s="3">
        <v>46</v>
      </c>
      <c r="C73" s="4" t="s">
        <v>102</v>
      </c>
      <c r="D73" s="4" t="str">
        <f t="shared" si="43"/>
        <v>J92490</v>
      </c>
      <c r="E73" s="4" t="s">
        <v>102</v>
      </c>
      <c r="F73" s="4" t="s">
        <v>185</v>
      </c>
      <c r="G73" s="5">
        <v>4972759525690</v>
      </c>
      <c r="H73" s="5"/>
      <c r="I73" s="5"/>
      <c r="J73" s="32">
        <v>2</v>
      </c>
      <c r="K73" s="5">
        <v>1</v>
      </c>
      <c r="L73" s="4">
        <v>0</v>
      </c>
      <c r="M73" s="4">
        <v>518</v>
      </c>
      <c r="N73" s="4">
        <v>365</v>
      </c>
      <c r="O73" s="6">
        <f t="shared" si="44"/>
        <v>0.29536679536679533</v>
      </c>
      <c r="P73" s="4" t="s">
        <v>223</v>
      </c>
      <c r="Q73" s="4" t="s">
        <v>223</v>
      </c>
      <c r="R73" s="4" t="s">
        <v>223</v>
      </c>
      <c r="S73" s="4" t="s">
        <v>223</v>
      </c>
      <c r="T73" s="4" t="s">
        <v>223</v>
      </c>
      <c r="U73" s="4" t="s">
        <v>223</v>
      </c>
      <c r="V73" s="4">
        <v>0</v>
      </c>
      <c r="W73" s="4">
        <f t="shared" si="45"/>
        <v>0</v>
      </c>
      <c r="X73" s="4">
        <v>476</v>
      </c>
      <c r="Y73" s="4">
        <f t="shared" si="46"/>
        <v>476</v>
      </c>
      <c r="Z73" s="4"/>
      <c r="AA73" s="21">
        <f t="shared" si="47"/>
        <v>676</v>
      </c>
      <c r="AB73" s="6">
        <f t="shared" si="48"/>
        <v>0.29585798816568043</v>
      </c>
      <c r="AC73" s="4">
        <v>13.25</v>
      </c>
      <c r="AD73" s="4" t="str">
        <f t="shared" si="49"/>
        <v>-</v>
      </c>
      <c r="AE73" s="4" t="e">
        <f t="shared" si="50"/>
        <v>#VALUE!</v>
      </c>
      <c r="AF73" s="6" t="e">
        <f t="shared" si="51"/>
        <v>#VALUE!</v>
      </c>
      <c r="AG73" s="7">
        <v>730</v>
      </c>
      <c r="AH73" s="6">
        <f t="shared" si="52"/>
        <v>0.34794520547945207</v>
      </c>
      <c r="AI73" s="4">
        <f t="shared" si="53"/>
        <v>254</v>
      </c>
      <c r="AJ73" s="28"/>
      <c r="AK73" s="6"/>
      <c r="AL73" s="6"/>
      <c r="AM73" s="6" t="e">
        <f t="shared" si="54"/>
        <v>#DIV/0!</v>
      </c>
      <c r="AN73" s="6">
        <f t="shared" si="55"/>
        <v>1.4092664092664093</v>
      </c>
      <c r="AO73" s="6">
        <f t="shared" si="56"/>
        <v>1.3041095890410959</v>
      </c>
      <c r="AP73" s="4" t="str">
        <f t="shared" si="57"/>
        <v>-</v>
      </c>
      <c r="AQ73" s="4" t="str">
        <f t="shared" si="58"/>
        <v>-</v>
      </c>
      <c r="AR73" s="4" t="str">
        <f t="shared" si="59"/>
        <v>-</v>
      </c>
      <c r="AS73" s="4" t="str">
        <f t="shared" si="60"/>
        <v>-</v>
      </c>
      <c r="AT73" s="4" t="str">
        <f t="shared" si="61"/>
        <v>-</v>
      </c>
      <c r="AU73" s="4" t="str">
        <f t="shared" si="62"/>
        <v>-</v>
      </c>
      <c r="AV73" s="4">
        <v>0</v>
      </c>
      <c r="AW73" s="4" t="s">
        <v>223</v>
      </c>
      <c r="AX73" s="4"/>
      <c r="AY73" s="4"/>
      <c r="AZ73" s="4" t="s">
        <v>223</v>
      </c>
      <c r="BA73" s="4" t="s">
        <v>223</v>
      </c>
      <c r="BB73" s="4" t="s">
        <v>223</v>
      </c>
      <c r="BC73" s="4" t="str">
        <f t="shared" si="63"/>
        <v>-</v>
      </c>
      <c r="BD73" s="19">
        <v>4</v>
      </c>
      <c r="BE73" s="19">
        <v>1</v>
      </c>
      <c r="BF73" s="16">
        <v>18</v>
      </c>
      <c r="BG73" t="s">
        <v>223</v>
      </c>
      <c r="BH73">
        <v>10640</v>
      </c>
      <c r="BI73">
        <v>10640</v>
      </c>
      <c r="BJ73">
        <f t="shared" si="64"/>
        <v>13875.726027397261</v>
      </c>
      <c r="BK73" t="s">
        <v>223</v>
      </c>
      <c r="BL73" t="s">
        <v>319</v>
      </c>
    </row>
    <row r="74" spans="1:64" x14ac:dyDescent="0.4">
      <c r="A74" s="3">
        <v>23</v>
      </c>
      <c r="B74" s="3">
        <v>23</v>
      </c>
      <c r="C74" s="4" t="s">
        <v>79</v>
      </c>
      <c r="D74" s="4" t="str">
        <f t="shared" si="43"/>
        <v>J92460</v>
      </c>
      <c r="E74" s="4" t="s">
        <v>79</v>
      </c>
      <c r="F74" s="4" t="s">
        <v>162</v>
      </c>
      <c r="G74" s="5">
        <v>4972759515288</v>
      </c>
      <c r="H74" s="5"/>
      <c r="I74" s="5"/>
      <c r="J74" s="5">
        <v>1</v>
      </c>
      <c r="K74" s="5">
        <v>1</v>
      </c>
      <c r="L74" s="4">
        <v>0</v>
      </c>
      <c r="M74" s="4">
        <v>532</v>
      </c>
      <c r="N74" s="4">
        <v>376</v>
      </c>
      <c r="O74" s="6">
        <f t="shared" si="44"/>
        <v>0.29323308270676696</v>
      </c>
      <c r="P74" s="4" t="s">
        <v>223</v>
      </c>
      <c r="Q74" s="4" t="s">
        <v>223</v>
      </c>
      <c r="R74" s="4" t="s">
        <v>223</v>
      </c>
      <c r="S74" s="4" t="s">
        <v>223</v>
      </c>
      <c r="T74" s="4" t="s">
        <v>223</v>
      </c>
      <c r="U74" s="4" t="s">
        <v>223</v>
      </c>
      <c r="V74" s="4">
        <v>0</v>
      </c>
      <c r="W74" s="4">
        <f t="shared" si="45"/>
        <v>0</v>
      </c>
      <c r="X74" s="4">
        <v>492</v>
      </c>
      <c r="Y74" s="4">
        <f t="shared" si="46"/>
        <v>492</v>
      </c>
      <c r="Z74" s="4"/>
      <c r="AA74" s="21">
        <f t="shared" si="47"/>
        <v>696</v>
      </c>
      <c r="AB74" s="6">
        <f t="shared" si="48"/>
        <v>0.2931034482758621</v>
      </c>
      <c r="AC74" s="4">
        <v>2.75</v>
      </c>
      <c r="AD74" s="4" t="str">
        <f t="shared" si="49"/>
        <v>-</v>
      </c>
      <c r="AE74" s="4" t="e">
        <f t="shared" si="50"/>
        <v>#VALUE!</v>
      </c>
      <c r="AF74" s="6" t="e">
        <f t="shared" si="51"/>
        <v>#VALUE!</v>
      </c>
      <c r="AG74" s="7">
        <v>740</v>
      </c>
      <c r="AH74" s="6">
        <f t="shared" si="52"/>
        <v>0.33513513513513515</v>
      </c>
      <c r="AI74" s="4">
        <f t="shared" si="53"/>
        <v>248</v>
      </c>
      <c r="AJ74" s="28"/>
      <c r="AK74" s="6"/>
      <c r="AL74" s="6"/>
      <c r="AM74" s="6" t="e">
        <f t="shared" si="54"/>
        <v>#DIV/0!</v>
      </c>
      <c r="AN74" s="6">
        <f t="shared" si="55"/>
        <v>1.3909774436090225</v>
      </c>
      <c r="AO74" s="6">
        <f t="shared" si="56"/>
        <v>1.3085106382978724</v>
      </c>
      <c r="AP74" s="4" t="str">
        <f t="shared" si="57"/>
        <v>-</v>
      </c>
      <c r="AQ74" s="4" t="str">
        <f t="shared" si="58"/>
        <v>-</v>
      </c>
      <c r="AR74" s="4" t="str">
        <f t="shared" si="59"/>
        <v>-</v>
      </c>
      <c r="AS74" s="4" t="str">
        <f t="shared" si="60"/>
        <v>-</v>
      </c>
      <c r="AT74" s="4" t="str">
        <f t="shared" si="61"/>
        <v>-</v>
      </c>
      <c r="AU74" s="4" t="str">
        <f t="shared" si="62"/>
        <v>-</v>
      </c>
      <c r="AV74" s="4">
        <v>0</v>
      </c>
      <c r="AW74" s="4" t="s">
        <v>223</v>
      </c>
      <c r="AX74" s="4"/>
      <c r="AY74" s="4"/>
      <c r="AZ74" s="4" t="s">
        <v>223</v>
      </c>
      <c r="BA74" s="4" t="s">
        <v>223</v>
      </c>
      <c r="BB74" s="4" t="s">
        <v>223</v>
      </c>
      <c r="BC74" s="4" t="str">
        <f t="shared" si="63"/>
        <v>-</v>
      </c>
      <c r="BD74" s="19">
        <v>4</v>
      </c>
      <c r="BE74" s="19">
        <v>8</v>
      </c>
      <c r="BF74" s="16">
        <v>18</v>
      </c>
      <c r="BG74" t="s">
        <v>223</v>
      </c>
      <c r="BH74">
        <v>610</v>
      </c>
      <c r="BI74">
        <v>795</v>
      </c>
      <c r="BJ74">
        <f t="shared" si="64"/>
        <v>1040.2659574468084</v>
      </c>
      <c r="BK74" t="s">
        <v>223</v>
      </c>
      <c r="BL74" t="s">
        <v>319</v>
      </c>
    </row>
    <row r="75" spans="1:64" x14ac:dyDescent="0.4">
      <c r="A75" s="3">
        <v>37</v>
      </c>
      <c r="B75" s="3">
        <v>37</v>
      </c>
      <c r="C75" s="4" t="s">
        <v>93</v>
      </c>
      <c r="D75" s="4" t="str">
        <f t="shared" si="43"/>
        <v>J92588</v>
      </c>
      <c r="E75" s="4" t="s">
        <v>93</v>
      </c>
      <c r="F75" s="4" t="s">
        <v>176</v>
      </c>
      <c r="G75" s="5">
        <v>4972759522248</v>
      </c>
      <c r="H75" s="5"/>
      <c r="I75" s="5"/>
      <c r="J75" s="5">
        <v>1</v>
      </c>
      <c r="K75" s="5">
        <v>1</v>
      </c>
      <c r="L75" s="4">
        <v>0</v>
      </c>
      <c r="M75" s="4">
        <v>538</v>
      </c>
      <c r="N75" s="4">
        <v>380</v>
      </c>
      <c r="O75" s="6">
        <f t="shared" si="44"/>
        <v>0.29368029739776946</v>
      </c>
      <c r="P75" s="4" t="s">
        <v>223</v>
      </c>
      <c r="Q75" s="4" t="s">
        <v>223</v>
      </c>
      <c r="R75" s="4" t="s">
        <v>223</v>
      </c>
      <c r="S75" s="4" t="s">
        <v>223</v>
      </c>
      <c r="T75" s="4" t="s">
        <v>223</v>
      </c>
      <c r="U75" s="4" t="s">
        <v>223</v>
      </c>
      <c r="V75" s="4">
        <v>0</v>
      </c>
      <c r="W75" s="4">
        <f t="shared" si="45"/>
        <v>0</v>
      </c>
      <c r="X75" s="4">
        <v>497</v>
      </c>
      <c r="Y75" s="4">
        <f t="shared" si="46"/>
        <v>497</v>
      </c>
      <c r="Z75" s="4"/>
      <c r="AA75" s="21">
        <f t="shared" si="47"/>
        <v>704</v>
      </c>
      <c r="AB75" s="6">
        <f t="shared" si="48"/>
        <v>0.29403409090909094</v>
      </c>
      <c r="AC75" s="4">
        <v>0.75</v>
      </c>
      <c r="AD75" s="4" t="str">
        <f t="shared" si="49"/>
        <v>-</v>
      </c>
      <c r="AE75" s="4" t="e">
        <f t="shared" si="50"/>
        <v>#VALUE!</v>
      </c>
      <c r="AF75" s="6" t="e">
        <f t="shared" si="51"/>
        <v>#VALUE!</v>
      </c>
      <c r="AG75" s="7">
        <v>750</v>
      </c>
      <c r="AH75" s="6">
        <f t="shared" si="52"/>
        <v>0.33733333333333337</v>
      </c>
      <c r="AI75" s="4">
        <f t="shared" si="53"/>
        <v>253</v>
      </c>
      <c r="AJ75" s="28"/>
      <c r="AK75" s="6"/>
      <c r="AL75" s="6"/>
      <c r="AM75" s="6" t="e">
        <f t="shared" si="54"/>
        <v>#DIV/0!</v>
      </c>
      <c r="AN75" s="6">
        <f t="shared" si="55"/>
        <v>1.3940520446096654</v>
      </c>
      <c r="AO75" s="6">
        <f t="shared" si="56"/>
        <v>1.3078947368421052</v>
      </c>
      <c r="AP75" s="4" t="str">
        <f t="shared" si="57"/>
        <v>-</v>
      </c>
      <c r="AQ75" s="4" t="str">
        <f t="shared" si="58"/>
        <v>-</v>
      </c>
      <c r="AR75" s="4" t="str">
        <f t="shared" si="59"/>
        <v>-</v>
      </c>
      <c r="AS75" s="4" t="str">
        <f t="shared" si="60"/>
        <v>-</v>
      </c>
      <c r="AT75" s="4" t="str">
        <f t="shared" si="61"/>
        <v>-</v>
      </c>
      <c r="AU75" s="4" t="str">
        <f t="shared" si="62"/>
        <v>-</v>
      </c>
      <c r="AV75" s="4">
        <v>0</v>
      </c>
      <c r="AW75" s="4" t="s">
        <v>223</v>
      </c>
      <c r="AX75" s="4"/>
      <c r="AY75" s="4"/>
      <c r="AZ75" s="4" t="s">
        <v>223</v>
      </c>
      <c r="BA75" s="4" t="s">
        <v>223</v>
      </c>
      <c r="BB75" s="4" t="s">
        <v>223</v>
      </c>
      <c r="BC75" s="4" t="str">
        <f t="shared" si="63"/>
        <v>-</v>
      </c>
      <c r="BD75" s="19">
        <v>4</v>
      </c>
      <c r="BE75" s="19">
        <v>8</v>
      </c>
      <c r="BF75" s="16">
        <v>18</v>
      </c>
      <c r="BG75" t="s">
        <v>223</v>
      </c>
      <c r="BH75">
        <v>9500</v>
      </c>
      <c r="BI75">
        <v>9500</v>
      </c>
      <c r="BJ75">
        <f t="shared" si="64"/>
        <v>12425</v>
      </c>
      <c r="BK75" t="s">
        <v>223</v>
      </c>
      <c r="BL75" t="s">
        <v>319</v>
      </c>
    </row>
    <row r="76" spans="1:64" x14ac:dyDescent="0.4">
      <c r="A76" s="3">
        <v>14</v>
      </c>
      <c r="B76" s="3">
        <v>14</v>
      </c>
      <c r="C76" s="4" t="s">
        <v>70</v>
      </c>
      <c r="D76" s="4" t="str">
        <f t="shared" si="43"/>
        <v>J92418</v>
      </c>
      <c r="E76" s="4" t="s">
        <v>70</v>
      </c>
      <c r="F76" s="4" t="s">
        <v>153</v>
      </c>
      <c r="G76" s="5">
        <v>4972759511945</v>
      </c>
      <c r="H76" s="5"/>
      <c r="I76" s="5"/>
      <c r="J76" s="5">
        <v>1</v>
      </c>
      <c r="K76" s="5">
        <v>1</v>
      </c>
      <c r="L76" s="4">
        <v>0</v>
      </c>
      <c r="M76" s="4">
        <v>586</v>
      </c>
      <c r="N76" s="4">
        <v>394</v>
      </c>
      <c r="O76" s="6">
        <f t="shared" si="44"/>
        <v>0.32764505119453924</v>
      </c>
      <c r="P76" s="4" t="s">
        <v>223</v>
      </c>
      <c r="Q76" s="4" t="s">
        <v>223</v>
      </c>
      <c r="R76" s="4" t="s">
        <v>223</v>
      </c>
      <c r="S76" s="4" t="s">
        <v>223</v>
      </c>
      <c r="T76" s="4" t="s">
        <v>223</v>
      </c>
      <c r="U76" s="4" t="s">
        <v>223</v>
      </c>
      <c r="V76" s="4">
        <v>0</v>
      </c>
      <c r="W76" s="4">
        <f t="shared" si="45"/>
        <v>0</v>
      </c>
      <c r="X76" s="4">
        <v>515</v>
      </c>
      <c r="Y76" s="4">
        <f t="shared" si="46"/>
        <v>515</v>
      </c>
      <c r="Z76" s="4"/>
      <c r="AA76" s="21">
        <f t="shared" si="47"/>
        <v>766</v>
      </c>
      <c r="AB76" s="6">
        <f t="shared" si="48"/>
        <v>0.32767624020887731</v>
      </c>
      <c r="AC76" s="4">
        <v>1.5</v>
      </c>
      <c r="AD76" s="4" t="str">
        <f t="shared" si="49"/>
        <v>-</v>
      </c>
      <c r="AE76" s="4" t="e">
        <f t="shared" si="50"/>
        <v>#VALUE!</v>
      </c>
      <c r="AF76" s="6" t="e">
        <f t="shared" si="51"/>
        <v>#VALUE!</v>
      </c>
      <c r="AG76" s="7">
        <v>780</v>
      </c>
      <c r="AH76" s="6">
        <f t="shared" si="52"/>
        <v>0.33974358974358976</v>
      </c>
      <c r="AI76" s="4">
        <f t="shared" si="53"/>
        <v>265</v>
      </c>
      <c r="AJ76" s="28"/>
      <c r="AK76" s="6"/>
      <c r="AL76" s="6"/>
      <c r="AM76" s="6" t="e">
        <f t="shared" si="54"/>
        <v>#DIV/0!</v>
      </c>
      <c r="AN76" s="6">
        <f t="shared" si="55"/>
        <v>1.3310580204778157</v>
      </c>
      <c r="AO76" s="6">
        <f t="shared" si="56"/>
        <v>1.3071065989847717</v>
      </c>
      <c r="AP76" s="4" t="str">
        <f t="shared" si="57"/>
        <v>-</v>
      </c>
      <c r="AQ76" s="4" t="str">
        <f t="shared" si="58"/>
        <v>-</v>
      </c>
      <c r="AR76" s="4" t="str">
        <f t="shared" si="59"/>
        <v>-</v>
      </c>
      <c r="AS76" s="4" t="str">
        <f t="shared" si="60"/>
        <v>-</v>
      </c>
      <c r="AT76" s="4" t="str">
        <f t="shared" si="61"/>
        <v>-</v>
      </c>
      <c r="AU76" s="4" t="str">
        <f t="shared" si="62"/>
        <v>-</v>
      </c>
      <c r="AV76" s="4">
        <v>0</v>
      </c>
      <c r="AW76" s="4" t="s">
        <v>223</v>
      </c>
      <c r="AX76" s="4"/>
      <c r="AY76" s="4"/>
      <c r="AZ76" s="4" t="s">
        <v>223</v>
      </c>
      <c r="BA76" s="4" t="s">
        <v>223</v>
      </c>
      <c r="BB76" s="4" t="s">
        <v>223</v>
      </c>
      <c r="BC76" s="4" t="str">
        <f t="shared" si="63"/>
        <v>-</v>
      </c>
      <c r="BD76" s="19">
        <v>4</v>
      </c>
      <c r="BE76" s="19">
        <v>8</v>
      </c>
      <c r="BF76" s="16">
        <v>18</v>
      </c>
      <c r="BG76" t="s">
        <v>223</v>
      </c>
      <c r="BH76">
        <v>6555</v>
      </c>
      <c r="BI76">
        <v>6555</v>
      </c>
      <c r="BJ76">
        <f t="shared" si="64"/>
        <v>8568.0837563451787</v>
      </c>
      <c r="BK76" t="s">
        <v>223</v>
      </c>
      <c r="BL76" t="s">
        <v>319</v>
      </c>
    </row>
    <row r="77" spans="1:64" x14ac:dyDescent="0.4">
      <c r="A77" s="3">
        <v>62</v>
      </c>
      <c r="B77" s="3">
        <v>62</v>
      </c>
      <c r="C77" s="4" t="s">
        <v>118</v>
      </c>
      <c r="D77" s="4" t="str">
        <f t="shared" si="43"/>
        <v>5028AK</v>
      </c>
      <c r="E77" s="4" t="s">
        <v>118</v>
      </c>
      <c r="F77" s="4" t="s">
        <v>201</v>
      </c>
      <c r="G77" s="5">
        <v>4972759534296</v>
      </c>
      <c r="H77" s="5"/>
      <c r="I77" s="5"/>
      <c r="J77" s="5">
        <v>1</v>
      </c>
      <c r="K77" s="5">
        <v>1</v>
      </c>
      <c r="L77" s="4">
        <v>0</v>
      </c>
      <c r="M77" s="4">
        <v>680</v>
      </c>
      <c r="N77" s="4">
        <v>422</v>
      </c>
      <c r="O77" s="6">
        <f t="shared" si="44"/>
        <v>0.37941176470588234</v>
      </c>
      <c r="P77" s="4" t="s">
        <v>223</v>
      </c>
      <c r="Q77" s="4" t="s">
        <v>223</v>
      </c>
      <c r="R77" s="4" t="s">
        <v>223</v>
      </c>
      <c r="S77" s="4" t="s">
        <v>223</v>
      </c>
      <c r="T77" s="4" t="s">
        <v>223</v>
      </c>
      <c r="U77" s="4" t="s">
        <v>223</v>
      </c>
      <c r="V77" s="4">
        <v>0</v>
      </c>
      <c r="W77" s="4">
        <f t="shared" si="45"/>
        <v>0</v>
      </c>
      <c r="X77" s="4">
        <v>549</v>
      </c>
      <c r="Y77" s="4">
        <f t="shared" si="46"/>
        <v>549</v>
      </c>
      <c r="Z77" s="4"/>
      <c r="AA77" s="21">
        <f t="shared" si="47"/>
        <v>885</v>
      </c>
      <c r="AB77" s="6">
        <f t="shared" si="48"/>
        <v>0.37966101694915255</v>
      </c>
      <c r="AC77" s="4">
        <v>0.75</v>
      </c>
      <c r="AD77" s="4" t="str">
        <f t="shared" si="49"/>
        <v>-</v>
      </c>
      <c r="AE77" s="4" t="e">
        <f t="shared" si="50"/>
        <v>#VALUE!</v>
      </c>
      <c r="AF77" s="6" t="e">
        <f t="shared" si="51"/>
        <v>#VALUE!</v>
      </c>
      <c r="AG77" s="7">
        <v>880</v>
      </c>
      <c r="AH77" s="6">
        <f t="shared" si="52"/>
        <v>0.3761363636363636</v>
      </c>
      <c r="AI77" s="4">
        <f t="shared" si="53"/>
        <v>331</v>
      </c>
      <c r="AJ77" s="28"/>
      <c r="AK77" s="6"/>
      <c r="AL77" s="6"/>
      <c r="AM77" s="6" t="e">
        <f t="shared" si="54"/>
        <v>#DIV/0!</v>
      </c>
      <c r="AN77" s="6">
        <f t="shared" si="55"/>
        <v>1.2941176470588236</v>
      </c>
      <c r="AO77" s="6">
        <f t="shared" si="56"/>
        <v>1.3009478672985781</v>
      </c>
      <c r="AP77" s="4" t="str">
        <f t="shared" si="57"/>
        <v>-</v>
      </c>
      <c r="AQ77" s="4" t="str">
        <f t="shared" si="58"/>
        <v>-</v>
      </c>
      <c r="AR77" s="4" t="str">
        <f t="shared" si="59"/>
        <v>-</v>
      </c>
      <c r="AS77" s="4" t="str">
        <f t="shared" si="60"/>
        <v>-</v>
      </c>
      <c r="AT77" s="4" t="str">
        <f t="shared" si="61"/>
        <v>-</v>
      </c>
      <c r="AU77" s="4" t="str">
        <f t="shared" si="62"/>
        <v>-</v>
      </c>
      <c r="AV77" s="4">
        <v>0</v>
      </c>
      <c r="AW77" s="4" t="s">
        <v>223</v>
      </c>
      <c r="AX77" s="4"/>
      <c r="AY77" s="4"/>
      <c r="AZ77" s="4" t="s">
        <v>223</v>
      </c>
      <c r="BA77" s="4" t="s">
        <v>223</v>
      </c>
      <c r="BB77" s="4" t="s">
        <v>223</v>
      </c>
      <c r="BC77" s="4" t="str">
        <f t="shared" si="63"/>
        <v>-</v>
      </c>
      <c r="BD77" s="19">
        <v>4</v>
      </c>
      <c r="BE77" s="19">
        <v>8</v>
      </c>
      <c r="BF77" s="16">
        <v>18</v>
      </c>
      <c r="BG77" t="s">
        <v>223</v>
      </c>
      <c r="BH77">
        <v>6641</v>
      </c>
      <c r="BI77">
        <v>6641</v>
      </c>
      <c r="BJ77">
        <f t="shared" si="64"/>
        <v>8639.5947867298582</v>
      </c>
      <c r="BK77" t="s">
        <v>223</v>
      </c>
      <c r="BL77" t="s">
        <v>319</v>
      </c>
    </row>
    <row r="78" spans="1:64" x14ac:dyDescent="0.4">
      <c r="A78" s="3">
        <v>68</v>
      </c>
      <c r="B78" s="3">
        <v>68</v>
      </c>
      <c r="C78" s="4" t="s">
        <v>124</v>
      </c>
      <c r="D78" s="4" t="str">
        <f t="shared" si="43"/>
        <v>5034AK</v>
      </c>
      <c r="E78" s="4" t="s">
        <v>124</v>
      </c>
      <c r="F78" s="4" t="s">
        <v>207</v>
      </c>
      <c r="G78" s="5">
        <v>4972759534357</v>
      </c>
      <c r="H78" s="5"/>
      <c r="I78" s="5"/>
      <c r="J78" s="5">
        <v>1</v>
      </c>
      <c r="K78" s="5">
        <v>1</v>
      </c>
      <c r="L78" s="4">
        <v>0</v>
      </c>
      <c r="M78" s="4">
        <v>680</v>
      </c>
      <c r="N78" s="4">
        <v>422</v>
      </c>
      <c r="O78" s="6">
        <f t="shared" si="44"/>
        <v>0.37941176470588234</v>
      </c>
      <c r="P78" s="4" t="s">
        <v>223</v>
      </c>
      <c r="Q78" s="4" t="s">
        <v>223</v>
      </c>
      <c r="R78" s="4" t="s">
        <v>223</v>
      </c>
      <c r="S78" s="4" t="s">
        <v>223</v>
      </c>
      <c r="T78" s="4" t="s">
        <v>223</v>
      </c>
      <c r="U78" s="4" t="s">
        <v>223</v>
      </c>
      <c r="V78" s="4">
        <v>0</v>
      </c>
      <c r="W78" s="4">
        <f t="shared" si="45"/>
        <v>0</v>
      </c>
      <c r="X78" s="4">
        <v>549</v>
      </c>
      <c r="Y78" s="4">
        <f t="shared" si="46"/>
        <v>549</v>
      </c>
      <c r="Z78" s="4"/>
      <c r="AA78" s="21">
        <f t="shared" si="47"/>
        <v>885</v>
      </c>
      <c r="AB78" s="6">
        <f t="shared" si="48"/>
        <v>0.37966101694915255</v>
      </c>
      <c r="AC78" s="4">
        <v>1.5</v>
      </c>
      <c r="AD78" s="4">
        <f t="shared" si="49"/>
        <v>714</v>
      </c>
      <c r="AE78" s="4">
        <f t="shared" si="50"/>
        <v>928.87677725118476</v>
      </c>
      <c r="AF78" s="6">
        <f t="shared" si="51"/>
        <v>0.40896358543417366</v>
      </c>
      <c r="AG78" s="7">
        <v>880</v>
      </c>
      <c r="AH78" s="6">
        <f t="shared" si="52"/>
        <v>0.3761363636363636</v>
      </c>
      <c r="AI78" s="4">
        <f t="shared" si="53"/>
        <v>331</v>
      </c>
      <c r="AJ78" s="28"/>
      <c r="AK78" s="6"/>
      <c r="AL78" s="6"/>
      <c r="AM78" s="6" t="e">
        <f t="shared" si="54"/>
        <v>#DIV/0!</v>
      </c>
      <c r="AN78" s="6">
        <f t="shared" si="55"/>
        <v>1.2941176470588236</v>
      </c>
      <c r="AO78" s="6">
        <f t="shared" si="56"/>
        <v>1.3009478672985781</v>
      </c>
      <c r="AP78" s="4" t="str">
        <f t="shared" si="57"/>
        <v>-</v>
      </c>
      <c r="AQ78" s="4" t="str">
        <f t="shared" si="58"/>
        <v>-</v>
      </c>
      <c r="AR78" s="4" t="str">
        <f t="shared" si="59"/>
        <v>-</v>
      </c>
      <c r="AS78" s="4" t="str">
        <f t="shared" si="60"/>
        <v>-</v>
      </c>
      <c r="AT78" s="4" t="str">
        <f t="shared" si="61"/>
        <v>-</v>
      </c>
      <c r="AU78" s="4" t="str">
        <f t="shared" si="62"/>
        <v>-</v>
      </c>
      <c r="AV78" s="4">
        <v>0</v>
      </c>
      <c r="AW78" s="4" t="s">
        <v>276</v>
      </c>
      <c r="AX78" s="4"/>
      <c r="AY78" s="4"/>
      <c r="AZ78" s="4" t="s">
        <v>252</v>
      </c>
      <c r="BA78" s="4">
        <v>714</v>
      </c>
      <c r="BB78" s="4">
        <v>714</v>
      </c>
      <c r="BC78" s="4">
        <f t="shared" si="63"/>
        <v>714</v>
      </c>
      <c r="BD78" s="19">
        <v>4</v>
      </c>
      <c r="BE78" s="19">
        <v>1</v>
      </c>
      <c r="BF78" s="16">
        <v>18</v>
      </c>
      <c r="BG78" t="s">
        <v>223</v>
      </c>
      <c r="BH78">
        <v>6641</v>
      </c>
      <c r="BI78">
        <v>6641</v>
      </c>
      <c r="BJ78">
        <f t="shared" si="64"/>
        <v>8639.5947867298582</v>
      </c>
      <c r="BK78" t="s">
        <v>242</v>
      </c>
      <c r="BL78" t="s">
        <v>319</v>
      </c>
    </row>
    <row r="79" spans="1:64" x14ac:dyDescent="0.4">
      <c r="A79" s="3">
        <v>72</v>
      </c>
      <c r="B79" s="3">
        <v>72</v>
      </c>
      <c r="C79" s="4" t="s">
        <v>128</v>
      </c>
      <c r="D79" s="4" t="str">
        <f t="shared" si="43"/>
        <v>5748AJ</v>
      </c>
      <c r="E79" s="4" t="s">
        <v>128</v>
      </c>
      <c r="F79" s="4" t="s">
        <v>211</v>
      </c>
      <c r="G79" s="5">
        <v>4972759536023</v>
      </c>
      <c r="H79" s="5"/>
      <c r="I79" s="5"/>
      <c r="J79" s="5">
        <v>1</v>
      </c>
      <c r="K79" s="5">
        <v>1</v>
      </c>
      <c r="L79" s="4">
        <v>0</v>
      </c>
      <c r="M79" s="4">
        <v>613</v>
      </c>
      <c r="N79" s="4">
        <v>428</v>
      </c>
      <c r="O79" s="6">
        <f t="shared" si="44"/>
        <v>0.30179445350734091</v>
      </c>
      <c r="P79" s="4" t="s">
        <v>223</v>
      </c>
      <c r="Q79" s="4" t="s">
        <v>223</v>
      </c>
      <c r="R79" s="4" t="s">
        <v>223</v>
      </c>
      <c r="S79" s="4" t="s">
        <v>223</v>
      </c>
      <c r="T79" s="4" t="s">
        <v>223</v>
      </c>
      <c r="U79" s="4" t="s">
        <v>223</v>
      </c>
      <c r="V79" s="4">
        <v>0</v>
      </c>
      <c r="W79" s="4">
        <f t="shared" si="45"/>
        <v>0</v>
      </c>
      <c r="X79" s="4">
        <v>550</v>
      </c>
      <c r="Y79" s="4">
        <f t="shared" si="46"/>
        <v>550</v>
      </c>
      <c r="Z79" s="4"/>
      <c r="AA79" s="21">
        <f t="shared" si="47"/>
        <v>788</v>
      </c>
      <c r="AB79" s="6">
        <f t="shared" si="48"/>
        <v>0.30203045685279184</v>
      </c>
      <c r="AC79" s="4">
        <v>0</v>
      </c>
      <c r="AD79" s="4">
        <f t="shared" si="49"/>
        <v>894</v>
      </c>
      <c r="AE79" s="4">
        <f t="shared" si="50"/>
        <v>1148.8317757009347</v>
      </c>
      <c r="AF79" s="6">
        <f t="shared" si="51"/>
        <v>0.52125279642058175</v>
      </c>
      <c r="AG79" s="7">
        <v>787</v>
      </c>
      <c r="AH79" s="6">
        <f t="shared" si="52"/>
        <v>0.30114358322744594</v>
      </c>
      <c r="AI79" s="4">
        <f t="shared" si="53"/>
        <v>237</v>
      </c>
      <c r="AJ79" s="28"/>
      <c r="AK79" s="6"/>
      <c r="AL79" s="6"/>
      <c r="AM79" s="6" t="e">
        <f t="shared" si="54"/>
        <v>#DIV/0!</v>
      </c>
      <c r="AN79" s="6">
        <f t="shared" si="55"/>
        <v>1.2838499184339316</v>
      </c>
      <c r="AO79" s="6">
        <f t="shared" si="56"/>
        <v>1.2850467289719627</v>
      </c>
      <c r="AP79" s="4" t="str">
        <f t="shared" si="57"/>
        <v>-</v>
      </c>
      <c r="AQ79" s="4" t="str">
        <f t="shared" si="58"/>
        <v>-</v>
      </c>
      <c r="AR79" s="4" t="str">
        <f t="shared" si="59"/>
        <v>-</v>
      </c>
      <c r="AS79" s="4" t="str">
        <f t="shared" si="60"/>
        <v>-</v>
      </c>
      <c r="AT79" s="4" t="str">
        <f t="shared" si="61"/>
        <v>-</v>
      </c>
      <c r="AU79" s="4" t="str">
        <f t="shared" si="62"/>
        <v>-</v>
      </c>
      <c r="AV79" s="4">
        <v>0</v>
      </c>
      <c r="AW79" s="4" t="s">
        <v>277</v>
      </c>
      <c r="AX79" s="4"/>
      <c r="AY79" s="4"/>
      <c r="AZ79" s="4" t="s">
        <v>278</v>
      </c>
      <c r="BA79" s="4">
        <v>894</v>
      </c>
      <c r="BB79" s="4">
        <v>894</v>
      </c>
      <c r="BC79" s="4">
        <f t="shared" si="63"/>
        <v>894</v>
      </c>
      <c r="BD79" s="19">
        <v>4</v>
      </c>
      <c r="BE79" s="19">
        <v>8</v>
      </c>
      <c r="BF79" s="16">
        <v>18</v>
      </c>
      <c r="BG79" t="s">
        <v>223</v>
      </c>
      <c r="BH79">
        <v>613</v>
      </c>
      <c r="BI79">
        <v>613</v>
      </c>
      <c r="BJ79">
        <f t="shared" si="64"/>
        <v>787.73364485981313</v>
      </c>
      <c r="BK79" t="s">
        <v>243</v>
      </c>
      <c r="BL79" t="s">
        <v>319</v>
      </c>
    </row>
    <row r="80" spans="1:64" x14ac:dyDescent="0.4">
      <c r="A80" s="3">
        <v>30</v>
      </c>
      <c r="B80" s="3">
        <v>30</v>
      </c>
      <c r="C80" s="4" t="s">
        <v>86</v>
      </c>
      <c r="D80" s="4" t="str">
        <f t="shared" si="43"/>
        <v>J92655</v>
      </c>
      <c r="E80" s="4" t="s">
        <v>86</v>
      </c>
      <c r="F80" s="4" t="s">
        <v>169</v>
      </c>
      <c r="G80" s="5">
        <v>4972759519446</v>
      </c>
      <c r="H80" s="5"/>
      <c r="I80" s="5"/>
      <c r="J80" s="5">
        <v>1</v>
      </c>
      <c r="K80" s="5">
        <v>1</v>
      </c>
      <c r="L80" s="4">
        <v>0</v>
      </c>
      <c r="M80" s="4">
        <v>616</v>
      </c>
      <c r="N80" s="4">
        <v>429</v>
      </c>
      <c r="O80" s="6">
        <f t="shared" si="44"/>
        <v>0.3035714285714286</v>
      </c>
      <c r="P80" s="4" t="s">
        <v>223</v>
      </c>
      <c r="Q80" s="4" t="s">
        <v>223</v>
      </c>
      <c r="R80" s="4" t="s">
        <v>223</v>
      </c>
      <c r="S80" s="4" t="s">
        <v>223</v>
      </c>
      <c r="T80" s="4" t="s">
        <v>223</v>
      </c>
      <c r="U80" s="4" t="s">
        <v>223</v>
      </c>
      <c r="V80" s="4">
        <v>0</v>
      </c>
      <c r="W80" s="4">
        <f t="shared" si="45"/>
        <v>0</v>
      </c>
      <c r="X80" s="4">
        <v>559</v>
      </c>
      <c r="Y80" s="4">
        <f t="shared" si="46"/>
        <v>559</v>
      </c>
      <c r="Z80" s="4"/>
      <c r="AA80" s="21">
        <f t="shared" si="47"/>
        <v>803</v>
      </c>
      <c r="AB80" s="6">
        <f t="shared" si="48"/>
        <v>0.30386052303860522</v>
      </c>
      <c r="AC80" s="4">
        <v>1.7500000000000002</v>
      </c>
      <c r="AD80" s="4" t="str">
        <f t="shared" si="49"/>
        <v>-</v>
      </c>
      <c r="AE80" s="4" t="e">
        <f t="shared" si="50"/>
        <v>#VALUE!</v>
      </c>
      <c r="AF80" s="6" t="e">
        <f t="shared" si="51"/>
        <v>#VALUE!</v>
      </c>
      <c r="AG80" s="7">
        <v>850</v>
      </c>
      <c r="AH80" s="6">
        <f t="shared" si="52"/>
        <v>0.34235294117647064</v>
      </c>
      <c r="AI80" s="4">
        <f t="shared" si="53"/>
        <v>291</v>
      </c>
      <c r="AJ80" s="28"/>
      <c r="AK80" s="6"/>
      <c r="AL80" s="6"/>
      <c r="AM80" s="6" t="e">
        <f t="shared" si="54"/>
        <v>#DIV/0!</v>
      </c>
      <c r="AN80" s="6">
        <f t="shared" si="55"/>
        <v>1.3798701298701299</v>
      </c>
      <c r="AO80" s="6">
        <f t="shared" si="56"/>
        <v>1.303030303030303</v>
      </c>
      <c r="AP80" s="4" t="str">
        <f t="shared" si="57"/>
        <v>-</v>
      </c>
      <c r="AQ80" s="4" t="str">
        <f t="shared" si="58"/>
        <v>-</v>
      </c>
      <c r="AR80" s="4" t="str">
        <f t="shared" si="59"/>
        <v>-</v>
      </c>
      <c r="AS80" s="4" t="str">
        <f t="shared" si="60"/>
        <v>-</v>
      </c>
      <c r="AT80" s="4" t="str">
        <f t="shared" si="61"/>
        <v>-</v>
      </c>
      <c r="AU80" s="4" t="str">
        <f t="shared" si="62"/>
        <v>-</v>
      </c>
      <c r="AV80" s="4">
        <v>0</v>
      </c>
      <c r="AW80" s="4" t="s">
        <v>223</v>
      </c>
      <c r="AX80" s="4"/>
      <c r="AY80" s="4"/>
      <c r="AZ80" s="4" t="s">
        <v>223</v>
      </c>
      <c r="BA80" s="4" t="s">
        <v>223</v>
      </c>
      <c r="BB80" s="4" t="s">
        <v>223</v>
      </c>
      <c r="BC80" s="4" t="str">
        <f t="shared" si="63"/>
        <v>-</v>
      </c>
      <c r="BD80" s="19">
        <v>4</v>
      </c>
      <c r="BE80" s="19">
        <v>8</v>
      </c>
      <c r="BF80" s="16">
        <v>18</v>
      </c>
      <c r="BG80" t="s">
        <v>223</v>
      </c>
      <c r="BH80">
        <v>14440</v>
      </c>
      <c r="BI80">
        <v>14440</v>
      </c>
      <c r="BJ80">
        <f t="shared" si="64"/>
        <v>18815.757575757576</v>
      </c>
      <c r="BK80" t="s">
        <v>223</v>
      </c>
      <c r="BL80" t="s">
        <v>319</v>
      </c>
    </row>
    <row r="81" spans="1:64" x14ac:dyDescent="0.4">
      <c r="A81" s="3">
        <v>55</v>
      </c>
      <c r="B81" s="3">
        <v>55</v>
      </c>
      <c r="C81" s="4" t="s">
        <v>111</v>
      </c>
      <c r="D81" s="4" t="str">
        <f t="shared" si="43"/>
        <v>JX1199</v>
      </c>
      <c r="E81" s="4" t="s">
        <v>111</v>
      </c>
      <c r="F81" s="4" t="s">
        <v>194</v>
      </c>
      <c r="G81" s="5">
        <v>4972759532773</v>
      </c>
      <c r="H81" s="5"/>
      <c r="I81" s="5"/>
      <c r="J81" s="5">
        <v>1</v>
      </c>
      <c r="K81" s="5">
        <v>1</v>
      </c>
      <c r="L81" s="4">
        <v>0</v>
      </c>
      <c r="M81" s="4">
        <v>771</v>
      </c>
      <c r="N81" s="4">
        <v>478</v>
      </c>
      <c r="O81" s="6">
        <f t="shared" si="44"/>
        <v>0.38002594033722437</v>
      </c>
      <c r="P81" s="4" t="s">
        <v>223</v>
      </c>
      <c r="Q81" s="4" t="s">
        <v>223</v>
      </c>
      <c r="R81" s="4" t="s">
        <v>223</v>
      </c>
      <c r="S81" s="4" t="s">
        <v>223</v>
      </c>
      <c r="T81" s="4" t="s">
        <v>223</v>
      </c>
      <c r="U81" s="4" t="s">
        <v>223</v>
      </c>
      <c r="V81" s="4">
        <v>0</v>
      </c>
      <c r="W81" s="4">
        <f t="shared" si="45"/>
        <v>0</v>
      </c>
      <c r="X81" s="4">
        <v>622</v>
      </c>
      <c r="Y81" s="4">
        <f t="shared" si="46"/>
        <v>622</v>
      </c>
      <c r="Z81" s="4"/>
      <c r="AA81" s="21">
        <f t="shared" si="47"/>
        <v>1003</v>
      </c>
      <c r="AB81" s="6">
        <f t="shared" si="48"/>
        <v>0.37986041874376875</v>
      </c>
      <c r="AC81" s="4">
        <v>0.5</v>
      </c>
      <c r="AD81" s="4">
        <f t="shared" si="49"/>
        <v>1240</v>
      </c>
      <c r="AE81" s="4">
        <f t="shared" si="50"/>
        <v>1613.5564853556484</v>
      </c>
      <c r="AF81" s="6">
        <f t="shared" si="51"/>
        <v>0.61451612903225805</v>
      </c>
      <c r="AG81" s="7">
        <v>950</v>
      </c>
      <c r="AH81" s="6">
        <f t="shared" si="52"/>
        <v>0.34526315789473683</v>
      </c>
      <c r="AI81" s="4">
        <f t="shared" si="53"/>
        <v>328</v>
      </c>
      <c r="AJ81" s="28"/>
      <c r="AK81" s="6"/>
      <c r="AL81" s="6"/>
      <c r="AM81" s="6" t="e">
        <f t="shared" si="54"/>
        <v>#DIV/0!</v>
      </c>
      <c r="AN81" s="6">
        <f t="shared" si="55"/>
        <v>1.2321660181582361</v>
      </c>
      <c r="AO81" s="6">
        <f t="shared" si="56"/>
        <v>1.3012552301255229</v>
      </c>
      <c r="AP81" s="4" t="str">
        <f t="shared" si="57"/>
        <v>-</v>
      </c>
      <c r="AQ81" s="4" t="str">
        <f t="shared" si="58"/>
        <v>-</v>
      </c>
      <c r="AR81" s="4" t="str">
        <f t="shared" si="59"/>
        <v>-</v>
      </c>
      <c r="AS81" s="4" t="str">
        <f t="shared" si="60"/>
        <v>-</v>
      </c>
      <c r="AT81" s="4" t="str">
        <f t="shared" si="61"/>
        <v>-</v>
      </c>
      <c r="AU81" s="4" t="str">
        <f t="shared" si="62"/>
        <v>-</v>
      </c>
      <c r="AV81" s="4">
        <v>0</v>
      </c>
      <c r="AW81" s="4" t="s">
        <v>269</v>
      </c>
      <c r="AX81" s="4">
        <v>1</v>
      </c>
      <c r="AY81" s="4">
        <v>3</v>
      </c>
      <c r="AZ81" s="4" t="s">
        <v>270</v>
      </c>
      <c r="BA81" s="4">
        <v>3720</v>
      </c>
      <c r="BB81" s="4">
        <v>3720</v>
      </c>
      <c r="BC81" s="4">
        <f t="shared" si="63"/>
        <v>1240</v>
      </c>
      <c r="BD81" s="19">
        <v>4</v>
      </c>
      <c r="BE81" s="19">
        <v>8</v>
      </c>
      <c r="BF81" s="16">
        <v>18</v>
      </c>
      <c r="BG81" t="s">
        <v>223</v>
      </c>
      <c r="BH81" t="s">
        <v>223</v>
      </c>
      <c r="BI81" t="s">
        <v>223</v>
      </c>
      <c r="BJ81" t="str">
        <f t="shared" si="64"/>
        <v>-</v>
      </c>
      <c r="BK81" t="s">
        <v>237</v>
      </c>
      <c r="BL81" t="s">
        <v>319</v>
      </c>
    </row>
    <row r="82" spans="1:64" x14ac:dyDescent="0.4">
      <c r="A82" s="3">
        <v>83</v>
      </c>
      <c r="B82" s="3">
        <v>83</v>
      </c>
      <c r="C82" s="4" t="s">
        <v>139</v>
      </c>
      <c r="D82" s="4" t="str">
        <f t="shared" si="43"/>
        <v>J6692X</v>
      </c>
      <c r="E82" s="4" t="s">
        <v>139</v>
      </c>
      <c r="F82" s="4" t="s">
        <v>222</v>
      </c>
      <c r="G82" s="5">
        <v>4980356201305</v>
      </c>
      <c r="H82" s="5"/>
      <c r="I82" s="5"/>
      <c r="J82" s="32">
        <v>2</v>
      </c>
      <c r="K82" s="5">
        <v>1</v>
      </c>
      <c r="L82" s="4">
        <v>800</v>
      </c>
      <c r="M82" s="4">
        <v>816</v>
      </c>
      <c r="N82" s="4">
        <v>560</v>
      </c>
      <c r="O82" s="6">
        <f t="shared" si="44"/>
        <v>0.31372549019607843</v>
      </c>
      <c r="P82" s="4" t="s">
        <v>223</v>
      </c>
      <c r="Q82" s="4" t="s">
        <v>223</v>
      </c>
      <c r="R82" s="4" t="s">
        <v>223</v>
      </c>
      <c r="S82" s="4" t="s">
        <v>223</v>
      </c>
      <c r="T82" s="4" t="s">
        <v>223</v>
      </c>
      <c r="U82" s="4" t="s">
        <v>223</v>
      </c>
      <c r="V82" s="4">
        <v>0</v>
      </c>
      <c r="W82" s="4">
        <f t="shared" si="45"/>
        <v>0</v>
      </c>
      <c r="X82" s="4">
        <v>680</v>
      </c>
      <c r="Y82" s="4">
        <f t="shared" si="46"/>
        <v>680</v>
      </c>
      <c r="Z82" s="4"/>
      <c r="AA82" s="21">
        <f t="shared" si="47"/>
        <v>991</v>
      </c>
      <c r="AB82" s="6">
        <f t="shared" si="48"/>
        <v>0.31382441977800202</v>
      </c>
      <c r="AC82" s="4">
        <v>0.5</v>
      </c>
      <c r="AD82" s="4" t="e">
        <f t="shared" si="49"/>
        <v>#VALUE!</v>
      </c>
      <c r="AE82" s="4" t="e">
        <f t="shared" si="50"/>
        <v>#VALUE!</v>
      </c>
      <c r="AF82" s="6" t="e">
        <f t="shared" si="51"/>
        <v>#VALUE!</v>
      </c>
      <c r="AG82" s="7">
        <v>995</v>
      </c>
      <c r="AH82" s="6">
        <f t="shared" si="52"/>
        <v>0.31658291457286436</v>
      </c>
      <c r="AI82" s="4">
        <f t="shared" si="53"/>
        <v>315</v>
      </c>
      <c r="AJ82" s="28"/>
      <c r="AK82" s="6"/>
      <c r="AL82" s="6"/>
      <c r="AM82" s="6">
        <f t="shared" si="54"/>
        <v>0</v>
      </c>
      <c r="AN82" s="6">
        <f t="shared" si="55"/>
        <v>1.2193627450980393</v>
      </c>
      <c r="AO82" s="6">
        <f t="shared" si="56"/>
        <v>1.2142857142857142</v>
      </c>
      <c r="AP82" s="4" t="str">
        <f t="shared" si="57"/>
        <v>-</v>
      </c>
      <c r="AQ82" s="4" t="str">
        <f t="shared" si="58"/>
        <v>-</v>
      </c>
      <c r="AR82" s="4" t="str">
        <f t="shared" si="59"/>
        <v>-</v>
      </c>
      <c r="AS82" s="4" t="str">
        <f t="shared" si="60"/>
        <v>-</v>
      </c>
      <c r="AT82" s="4" t="str">
        <f t="shared" si="61"/>
        <v>-</v>
      </c>
      <c r="AU82" s="4" t="str">
        <f t="shared" si="62"/>
        <v>-</v>
      </c>
      <c r="AV82" s="4">
        <v>0</v>
      </c>
      <c r="AW82" s="4" t="s">
        <v>289</v>
      </c>
      <c r="AX82" s="4">
        <v>1</v>
      </c>
      <c r="AY82" s="4">
        <v>5</v>
      </c>
      <c r="AZ82" s="4" t="s">
        <v>290</v>
      </c>
      <c r="BA82" s="4">
        <v>4098</v>
      </c>
      <c r="BB82" s="4" t="s">
        <v>223</v>
      </c>
      <c r="BC82" s="4" t="e">
        <f t="shared" si="63"/>
        <v>#VALUE!</v>
      </c>
      <c r="BD82" s="19">
        <v>4</v>
      </c>
      <c r="BE82" s="19">
        <v>8</v>
      </c>
      <c r="BF82" s="16">
        <v>18</v>
      </c>
      <c r="BG82" t="s">
        <v>223</v>
      </c>
      <c r="BH82" t="s">
        <v>223</v>
      </c>
      <c r="BI82" t="s">
        <v>223</v>
      </c>
      <c r="BJ82" t="str">
        <f t="shared" si="64"/>
        <v>-</v>
      </c>
      <c r="BK82" t="s">
        <v>250</v>
      </c>
      <c r="BL82" t="s">
        <v>319</v>
      </c>
    </row>
    <row r="83" spans="1:64" x14ac:dyDescent="0.4">
      <c r="A83" s="3">
        <v>47</v>
      </c>
      <c r="B83" s="3">
        <v>47</v>
      </c>
      <c r="C83" s="4" t="s">
        <v>103</v>
      </c>
      <c r="D83" s="4" t="str">
        <f t="shared" si="43"/>
        <v>J92496</v>
      </c>
      <c r="E83" s="4" t="s">
        <v>103</v>
      </c>
      <c r="F83" s="4" t="s">
        <v>186</v>
      </c>
      <c r="G83" s="5">
        <v>4972759525706</v>
      </c>
      <c r="H83" s="5"/>
      <c r="I83" s="5"/>
      <c r="J83" s="5">
        <v>1</v>
      </c>
      <c r="K83" s="5">
        <v>1</v>
      </c>
      <c r="L83" s="4">
        <v>0</v>
      </c>
      <c r="M83" s="4">
        <v>791</v>
      </c>
      <c r="N83" s="4">
        <v>529</v>
      </c>
      <c r="O83" s="6">
        <f t="shared" si="44"/>
        <v>0.33122629582806573</v>
      </c>
      <c r="P83" s="4" t="s">
        <v>223</v>
      </c>
      <c r="Q83" s="4" t="s">
        <v>223</v>
      </c>
      <c r="R83" s="4" t="s">
        <v>223</v>
      </c>
      <c r="S83" s="4" t="s">
        <v>223</v>
      </c>
      <c r="T83" s="4" t="s">
        <v>223</v>
      </c>
      <c r="U83" s="4" t="s">
        <v>223</v>
      </c>
      <c r="V83" s="4">
        <v>0</v>
      </c>
      <c r="W83" s="4">
        <f t="shared" si="45"/>
        <v>0</v>
      </c>
      <c r="X83" s="4">
        <v>689</v>
      </c>
      <c r="Y83" s="4">
        <f t="shared" si="46"/>
        <v>689</v>
      </c>
      <c r="Z83" s="4"/>
      <c r="AA83" s="21">
        <f t="shared" si="47"/>
        <v>1030</v>
      </c>
      <c r="AB83" s="6">
        <f t="shared" si="48"/>
        <v>0.33106796116504855</v>
      </c>
      <c r="AC83" s="4">
        <v>3.75</v>
      </c>
      <c r="AD83" s="4" t="str">
        <f t="shared" si="49"/>
        <v>-</v>
      </c>
      <c r="AE83" s="4" t="e">
        <f t="shared" si="50"/>
        <v>#VALUE!</v>
      </c>
      <c r="AF83" s="6" t="e">
        <f t="shared" si="51"/>
        <v>#VALUE!</v>
      </c>
      <c r="AG83" s="7">
        <v>1050</v>
      </c>
      <c r="AH83" s="6">
        <f t="shared" si="52"/>
        <v>0.34380952380952379</v>
      </c>
      <c r="AI83" s="4">
        <f t="shared" si="53"/>
        <v>361</v>
      </c>
      <c r="AJ83" s="28"/>
      <c r="AK83" s="6"/>
      <c r="AL83" s="6"/>
      <c r="AM83" s="6" t="e">
        <f t="shared" si="54"/>
        <v>#DIV/0!</v>
      </c>
      <c r="AN83" s="6">
        <f t="shared" si="55"/>
        <v>1.3274336283185841</v>
      </c>
      <c r="AO83" s="6">
        <f t="shared" si="56"/>
        <v>1.3024574669187146</v>
      </c>
      <c r="AP83" s="4" t="str">
        <f t="shared" si="57"/>
        <v>-</v>
      </c>
      <c r="AQ83" s="4" t="str">
        <f t="shared" si="58"/>
        <v>-</v>
      </c>
      <c r="AR83" s="4" t="str">
        <f t="shared" si="59"/>
        <v>-</v>
      </c>
      <c r="AS83" s="4" t="str">
        <f t="shared" si="60"/>
        <v>-</v>
      </c>
      <c r="AT83" s="4" t="str">
        <f t="shared" si="61"/>
        <v>-</v>
      </c>
      <c r="AU83" s="4" t="str">
        <f t="shared" si="62"/>
        <v>-</v>
      </c>
      <c r="AV83" s="4">
        <v>0</v>
      </c>
      <c r="AW83" s="4" t="s">
        <v>223</v>
      </c>
      <c r="AX83" s="4"/>
      <c r="AY83" s="4"/>
      <c r="AZ83" s="4" t="s">
        <v>223</v>
      </c>
      <c r="BA83" s="4" t="s">
        <v>223</v>
      </c>
      <c r="BB83" s="4" t="s">
        <v>223</v>
      </c>
      <c r="BC83" s="4" t="str">
        <f t="shared" si="63"/>
        <v>-</v>
      </c>
      <c r="BD83" s="19">
        <v>4</v>
      </c>
      <c r="BE83" s="19">
        <v>1</v>
      </c>
      <c r="BF83" s="16">
        <v>18</v>
      </c>
      <c r="BG83" t="s">
        <v>223</v>
      </c>
      <c r="BH83">
        <v>799</v>
      </c>
      <c r="BI83">
        <v>799</v>
      </c>
      <c r="BJ83">
        <f t="shared" si="64"/>
        <v>1040.663516068053</v>
      </c>
      <c r="BK83" t="s">
        <v>223</v>
      </c>
      <c r="BL83" t="s">
        <v>319</v>
      </c>
    </row>
    <row r="84" spans="1:64" x14ac:dyDescent="0.4">
      <c r="A84" s="3">
        <v>15</v>
      </c>
      <c r="B84" s="3">
        <v>15</v>
      </c>
      <c r="C84" s="4" t="s">
        <v>71</v>
      </c>
      <c r="D84" s="4" t="str">
        <f t="shared" si="43"/>
        <v>J92419</v>
      </c>
      <c r="E84" s="4" t="s">
        <v>71</v>
      </c>
      <c r="F84" s="4" t="s">
        <v>154</v>
      </c>
      <c r="G84" s="5">
        <v>4972759512393</v>
      </c>
      <c r="H84" s="5"/>
      <c r="I84" s="5"/>
      <c r="J84" s="5">
        <v>1</v>
      </c>
      <c r="K84" s="5">
        <v>1</v>
      </c>
      <c r="L84" s="4">
        <v>0</v>
      </c>
      <c r="M84" s="4">
        <v>875</v>
      </c>
      <c r="N84" s="4">
        <v>617</v>
      </c>
      <c r="O84" s="6">
        <f t="shared" si="44"/>
        <v>0.29485714285714282</v>
      </c>
      <c r="P84" s="4" t="s">
        <v>223</v>
      </c>
      <c r="Q84" s="4" t="s">
        <v>223</v>
      </c>
      <c r="R84" s="4" t="s">
        <v>223</v>
      </c>
      <c r="S84" s="4" t="s">
        <v>223</v>
      </c>
      <c r="T84" s="4" t="s">
        <v>223</v>
      </c>
      <c r="U84" s="4" t="s">
        <v>223</v>
      </c>
      <c r="V84" s="4">
        <v>0</v>
      </c>
      <c r="W84" s="4">
        <f t="shared" si="45"/>
        <v>0</v>
      </c>
      <c r="X84" s="4">
        <v>804</v>
      </c>
      <c r="Y84" s="4">
        <f t="shared" si="46"/>
        <v>804</v>
      </c>
      <c r="Z84" s="4"/>
      <c r="AA84" s="21">
        <f t="shared" si="47"/>
        <v>1140</v>
      </c>
      <c r="AB84" s="6">
        <f t="shared" si="48"/>
        <v>0.29473684210526319</v>
      </c>
      <c r="AC84" s="4">
        <v>0.5</v>
      </c>
      <c r="AD84" s="4" t="str">
        <f t="shared" si="49"/>
        <v>-</v>
      </c>
      <c r="AE84" s="4" t="e">
        <f t="shared" si="50"/>
        <v>#VALUE!</v>
      </c>
      <c r="AF84" s="6" t="e">
        <f t="shared" si="51"/>
        <v>#VALUE!</v>
      </c>
      <c r="AG84" s="7">
        <v>1200</v>
      </c>
      <c r="AH84" s="6">
        <f t="shared" si="52"/>
        <v>0.32999999999999996</v>
      </c>
      <c r="AI84" s="4">
        <f t="shared" si="53"/>
        <v>396</v>
      </c>
      <c r="AJ84" s="28"/>
      <c r="AK84" s="6"/>
      <c r="AL84" s="6"/>
      <c r="AM84" s="6" t="e">
        <f t="shared" si="54"/>
        <v>#DIV/0!</v>
      </c>
      <c r="AN84" s="6">
        <f t="shared" si="55"/>
        <v>1.3714285714285714</v>
      </c>
      <c r="AO84" s="6">
        <f t="shared" si="56"/>
        <v>1.3030794165316046</v>
      </c>
      <c r="AP84" s="4" t="str">
        <f t="shared" si="57"/>
        <v>-</v>
      </c>
      <c r="AQ84" s="4" t="str">
        <f t="shared" si="58"/>
        <v>-</v>
      </c>
      <c r="AR84" s="4" t="str">
        <f t="shared" si="59"/>
        <v>-</v>
      </c>
      <c r="AS84" s="4" t="str">
        <f t="shared" si="60"/>
        <v>-</v>
      </c>
      <c r="AT84" s="4" t="str">
        <f t="shared" si="61"/>
        <v>-</v>
      </c>
      <c r="AU84" s="4" t="str">
        <f t="shared" si="62"/>
        <v>-</v>
      </c>
      <c r="AV84" s="4">
        <v>0</v>
      </c>
      <c r="AW84" s="4" t="s">
        <v>223</v>
      </c>
      <c r="AX84" s="4"/>
      <c r="AY84" s="4"/>
      <c r="AZ84" s="4" t="s">
        <v>223</v>
      </c>
      <c r="BA84" s="4" t="s">
        <v>223</v>
      </c>
      <c r="BB84" s="4" t="s">
        <v>223</v>
      </c>
      <c r="BC84" s="4" t="str">
        <f t="shared" si="63"/>
        <v>-</v>
      </c>
      <c r="BD84" s="19">
        <v>4</v>
      </c>
      <c r="BE84" s="19">
        <v>8</v>
      </c>
      <c r="BF84" s="16">
        <v>18</v>
      </c>
      <c r="BG84" t="s">
        <v>223</v>
      </c>
      <c r="BH84">
        <v>6945</v>
      </c>
      <c r="BI84">
        <v>6945</v>
      </c>
      <c r="BJ84">
        <f t="shared" si="64"/>
        <v>9049.8865478119951</v>
      </c>
      <c r="BK84" t="s">
        <v>223</v>
      </c>
      <c r="BL84" t="s">
        <v>319</v>
      </c>
    </row>
    <row r="85" spans="1:64" x14ac:dyDescent="0.4">
      <c r="A85" s="3">
        <v>24</v>
      </c>
      <c r="B85" s="3">
        <v>24</v>
      </c>
      <c r="C85" s="4" t="s">
        <v>80</v>
      </c>
      <c r="D85" s="4" t="str">
        <f t="shared" si="43"/>
        <v>J92462</v>
      </c>
      <c r="E85" s="4" t="s">
        <v>80</v>
      </c>
      <c r="F85" s="4" t="s">
        <v>163</v>
      </c>
      <c r="G85" s="5">
        <v>4972759515301</v>
      </c>
      <c r="H85" s="5"/>
      <c r="I85" s="5"/>
      <c r="J85" s="5">
        <v>1</v>
      </c>
      <c r="K85" s="5">
        <v>1</v>
      </c>
      <c r="L85" s="4">
        <v>0</v>
      </c>
      <c r="M85" s="4">
        <v>903</v>
      </c>
      <c r="N85" s="4">
        <v>674</v>
      </c>
      <c r="O85" s="6">
        <f t="shared" si="44"/>
        <v>0.2535991140642303</v>
      </c>
      <c r="P85" s="4" t="s">
        <v>223</v>
      </c>
      <c r="Q85" s="4" t="s">
        <v>223</v>
      </c>
      <c r="R85" s="4" t="s">
        <v>223</v>
      </c>
      <c r="S85" s="4" t="s">
        <v>223</v>
      </c>
      <c r="T85" s="4" t="s">
        <v>223</v>
      </c>
      <c r="U85" s="4" t="s">
        <v>223</v>
      </c>
      <c r="V85" s="4">
        <v>0</v>
      </c>
      <c r="W85" s="4">
        <f t="shared" si="45"/>
        <v>0</v>
      </c>
      <c r="X85" s="4">
        <v>877</v>
      </c>
      <c r="Y85" s="4">
        <f t="shared" si="46"/>
        <v>877</v>
      </c>
      <c r="Z85" s="4"/>
      <c r="AA85" s="21">
        <f t="shared" si="47"/>
        <v>1175</v>
      </c>
      <c r="AB85" s="6">
        <f t="shared" si="48"/>
        <v>0.2536170212765958</v>
      </c>
      <c r="AC85" s="4">
        <v>0.25</v>
      </c>
      <c r="AD85" s="4" t="str">
        <f t="shared" si="49"/>
        <v>-</v>
      </c>
      <c r="AE85" s="4" t="e">
        <f t="shared" si="50"/>
        <v>#VALUE!</v>
      </c>
      <c r="AF85" s="6" t="e">
        <f t="shared" si="51"/>
        <v>#VALUE!</v>
      </c>
      <c r="AG85" s="7">
        <v>1280</v>
      </c>
      <c r="AH85" s="6">
        <f t="shared" si="52"/>
        <v>0.31484374999999998</v>
      </c>
      <c r="AI85" s="4">
        <f t="shared" si="53"/>
        <v>403</v>
      </c>
      <c r="AJ85" s="28"/>
      <c r="AK85" s="6"/>
      <c r="AL85" s="6"/>
      <c r="AM85" s="6" t="e">
        <f t="shared" si="54"/>
        <v>#DIV/0!</v>
      </c>
      <c r="AN85" s="6">
        <f t="shared" si="55"/>
        <v>1.4174972314507199</v>
      </c>
      <c r="AO85" s="6">
        <f t="shared" si="56"/>
        <v>1.3011869436201779</v>
      </c>
      <c r="AP85" s="4" t="str">
        <f t="shared" si="57"/>
        <v>-</v>
      </c>
      <c r="AQ85" s="4" t="str">
        <f t="shared" si="58"/>
        <v>-</v>
      </c>
      <c r="AR85" s="4" t="str">
        <f t="shared" si="59"/>
        <v>-</v>
      </c>
      <c r="AS85" s="4" t="str">
        <f t="shared" si="60"/>
        <v>-</v>
      </c>
      <c r="AT85" s="4" t="str">
        <f t="shared" si="61"/>
        <v>-</v>
      </c>
      <c r="AU85" s="4" t="str">
        <f t="shared" si="62"/>
        <v>-</v>
      </c>
      <c r="AV85" s="4">
        <v>0</v>
      </c>
      <c r="AW85" s="4" t="s">
        <v>223</v>
      </c>
      <c r="AX85" s="4"/>
      <c r="AY85" s="4"/>
      <c r="AZ85" s="4" t="s">
        <v>223</v>
      </c>
      <c r="BA85" s="4" t="s">
        <v>223</v>
      </c>
      <c r="BB85" s="4" t="s">
        <v>223</v>
      </c>
      <c r="BC85" s="4" t="str">
        <f t="shared" si="63"/>
        <v>-</v>
      </c>
      <c r="BD85" s="19">
        <v>4</v>
      </c>
      <c r="BE85" s="19">
        <v>8</v>
      </c>
      <c r="BF85" s="16">
        <v>18</v>
      </c>
      <c r="BG85" t="s">
        <v>223</v>
      </c>
      <c r="BH85">
        <v>981</v>
      </c>
      <c r="BI85">
        <v>1277</v>
      </c>
      <c r="BJ85">
        <f t="shared" si="64"/>
        <v>1661.6157270029673</v>
      </c>
      <c r="BK85" t="s">
        <v>223</v>
      </c>
      <c r="BL85" t="s">
        <v>319</v>
      </c>
    </row>
    <row r="86" spans="1:64" x14ac:dyDescent="0.4">
      <c r="A86" s="3">
        <v>25</v>
      </c>
      <c r="B86" s="3">
        <v>25</v>
      </c>
      <c r="C86" s="4" t="s">
        <v>81</v>
      </c>
      <c r="D86" s="4" t="str">
        <f t="shared" si="43"/>
        <v>J92463</v>
      </c>
      <c r="E86" s="4" t="s">
        <v>81</v>
      </c>
      <c r="F86" s="4" t="s">
        <v>164</v>
      </c>
      <c r="G86" s="5">
        <v>4972759515325</v>
      </c>
      <c r="H86" s="5"/>
      <c r="I86" s="5"/>
      <c r="J86" s="5">
        <v>1</v>
      </c>
      <c r="K86" s="5">
        <v>1</v>
      </c>
      <c r="L86" s="4">
        <v>0</v>
      </c>
      <c r="M86" s="4">
        <v>1782</v>
      </c>
      <c r="N86" s="4">
        <v>1207</v>
      </c>
      <c r="O86" s="6">
        <f t="shared" si="44"/>
        <v>0.32267115600448937</v>
      </c>
      <c r="P86" s="4" t="s">
        <v>223</v>
      </c>
      <c r="Q86" s="4" t="s">
        <v>223</v>
      </c>
      <c r="R86" s="4" t="s">
        <v>223</v>
      </c>
      <c r="S86" s="4" t="s">
        <v>223</v>
      </c>
      <c r="T86" s="4" t="s">
        <v>223</v>
      </c>
      <c r="U86" s="4" t="s">
        <v>223</v>
      </c>
      <c r="V86" s="4">
        <v>0</v>
      </c>
      <c r="W86" s="4">
        <f t="shared" si="45"/>
        <v>0</v>
      </c>
      <c r="X86" s="4">
        <v>1580</v>
      </c>
      <c r="Y86" s="4">
        <f t="shared" si="46"/>
        <v>1580</v>
      </c>
      <c r="Z86" s="4"/>
      <c r="AA86" s="21">
        <f t="shared" si="47"/>
        <v>2333</v>
      </c>
      <c r="AB86" s="6">
        <f t="shared" si="48"/>
        <v>0.32276039434204884</v>
      </c>
      <c r="AC86" s="4">
        <v>0.75</v>
      </c>
      <c r="AD86" s="4" t="str">
        <f t="shared" si="49"/>
        <v>-</v>
      </c>
      <c r="AE86" s="4" t="e">
        <f t="shared" si="50"/>
        <v>#VALUE!</v>
      </c>
      <c r="AF86" s="6" t="e">
        <f t="shared" si="51"/>
        <v>#VALUE!</v>
      </c>
      <c r="AG86" s="7">
        <v>2400</v>
      </c>
      <c r="AH86" s="6">
        <f t="shared" si="52"/>
        <v>0.34166666666666667</v>
      </c>
      <c r="AI86" s="4">
        <f t="shared" si="53"/>
        <v>820</v>
      </c>
      <c r="AJ86" s="28"/>
      <c r="AK86" s="6"/>
      <c r="AL86" s="6"/>
      <c r="AM86" s="6" t="e">
        <f t="shared" si="54"/>
        <v>#DIV/0!</v>
      </c>
      <c r="AN86" s="6">
        <f t="shared" si="55"/>
        <v>1.3468013468013469</v>
      </c>
      <c r="AO86" s="6">
        <f t="shared" si="56"/>
        <v>1.3090306545153272</v>
      </c>
      <c r="AP86" s="4" t="str">
        <f t="shared" si="57"/>
        <v>-</v>
      </c>
      <c r="AQ86" s="4" t="str">
        <f t="shared" si="58"/>
        <v>-</v>
      </c>
      <c r="AR86" s="4" t="str">
        <f t="shared" si="59"/>
        <v>-</v>
      </c>
      <c r="AS86" s="4" t="str">
        <f t="shared" si="60"/>
        <v>-</v>
      </c>
      <c r="AT86" s="4" t="str">
        <f t="shared" si="61"/>
        <v>-</v>
      </c>
      <c r="AU86" s="4" t="str">
        <f t="shared" si="62"/>
        <v>-</v>
      </c>
      <c r="AV86" s="4">
        <v>0</v>
      </c>
      <c r="AW86" s="4" t="s">
        <v>223</v>
      </c>
      <c r="AX86" s="4"/>
      <c r="AY86" s="4"/>
      <c r="AZ86" s="4" t="s">
        <v>223</v>
      </c>
      <c r="BA86" s="4" t="s">
        <v>223</v>
      </c>
      <c r="BB86" s="4" t="s">
        <v>223</v>
      </c>
      <c r="BC86" s="4" t="str">
        <f t="shared" si="63"/>
        <v>-</v>
      </c>
      <c r="BD86" s="19">
        <v>4</v>
      </c>
      <c r="BE86" s="19">
        <v>8</v>
      </c>
      <c r="BF86" s="16">
        <v>18</v>
      </c>
      <c r="BG86" t="s">
        <v>223</v>
      </c>
      <c r="BH86">
        <v>12635</v>
      </c>
      <c r="BI86">
        <v>12635</v>
      </c>
      <c r="BJ86">
        <f t="shared" si="64"/>
        <v>16539.602319801161</v>
      </c>
      <c r="BK86" t="s">
        <v>223</v>
      </c>
      <c r="BL86" t="s">
        <v>319</v>
      </c>
    </row>
    <row r="87" spans="1:64" x14ac:dyDescent="0.4">
      <c r="A87" s="3">
        <v>1</v>
      </c>
      <c r="B87" s="3">
        <v>1</v>
      </c>
      <c r="C87" s="4" t="s">
        <v>292</v>
      </c>
      <c r="D87" s="4" t="str">
        <f>TEXT(C87,"000000")</f>
        <v>J91354</v>
      </c>
      <c r="E87" s="4" t="s">
        <v>321</v>
      </c>
      <c r="F87" s="4" t="s">
        <v>293</v>
      </c>
      <c r="G87" s="5">
        <v>4904140296803</v>
      </c>
      <c r="H87" s="5"/>
      <c r="I87" s="5"/>
      <c r="J87" s="5">
        <v>1</v>
      </c>
      <c r="K87" s="5">
        <v>1</v>
      </c>
      <c r="L87" s="4">
        <v>0</v>
      </c>
      <c r="M87" s="4">
        <v>618</v>
      </c>
      <c r="N87" s="4">
        <v>467</v>
      </c>
      <c r="O87" s="6">
        <f t="shared" si="44"/>
        <v>0.24433656957928807</v>
      </c>
      <c r="P87" s="4" t="s">
        <v>291</v>
      </c>
      <c r="Q87" s="4" t="s">
        <v>223</v>
      </c>
      <c r="R87" s="4" t="s">
        <v>223</v>
      </c>
      <c r="S87" s="4" t="s">
        <v>223</v>
      </c>
      <c r="T87" s="4" t="s">
        <v>223</v>
      </c>
      <c r="U87" s="4" t="s">
        <v>223</v>
      </c>
      <c r="V87" s="4">
        <v>0</v>
      </c>
      <c r="W87" s="4">
        <f>IF(Z87="",V87,V87*Z87)</f>
        <v>0</v>
      </c>
      <c r="X87" s="4">
        <v>525</v>
      </c>
      <c r="Y87" s="4">
        <f>IF(Z87="",X87,X87*Z87)</f>
        <v>525</v>
      </c>
      <c r="Z87" s="4"/>
      <c r="AA87" s="21">
        <f t="shared" ref="AA87:AA93" si="65">ROUND(M87*AO87,0)</f>
        <v>695</v>
      </c>
      <c r="AB87" s="6">
        <f t="shared" ref="AB87:AB93" si="66">1-Y87/AA87</f>
        <v>0.24460431654676262</v>
      </c>
      <c r="AC87" s="4">
        <v>0.25</v>
      </c>
      <c r="AD87" s="4" t="str">
        <f t="shared" ref="AD87:AD93" si="67">BC87</f>
        <v>-</v>
      </c>
      <c r="AE87" s="4" t="e">
        <f t="shared" ref="AE87:AE93" si="68">AD87*AO87</f>
        <v>#VALUE!</v>
      </c>
      <c r="AF87" s="6" t="e">
        <f t="shared" ref="AF87:AF93" si="69">1-Y87/AE87</f>
        <v>#VALUE!</v>
      </c>
      <c r="AG87" s="7">
        <v>800</v>
      </c>
      <c r="AH87" s="6">
        <f t="shared" ref="AH87:AH93" si="70">1-Y87/AG87</f>
        <v>0.34375</v>
      </c>
      <c r="AI87" s="4">
        <f t="shared" ref="AI87:AI93" si="71">AG87-Y87</f>
        <v>275</v>
      </c>
      <c r="AJ87" s="28"/>
      <c r="AK87" s="6" t="e">
        <f>1-Y87/AJ87</f>
        <v>#DIV/0!</v>
      </c>
      <c r="AL87" s="4">
        <f>AJ87-Y87</f>
        <v>-525</v>
      </c>
      <c r="AM87" s="6" t="e">
        <f t="shared" ref="AM87:AM93" si="72">W87/L87</f>
        <v>#DIV/0!</v>
      </c>
      <c r="AN87" s="6">
        <f t="shared" ref="AN87:AN93" si="73">AG87/M87</f>
        <v>1.2944983818770226</v>
      </c>
      <c r="AO87" s="6">
        <f t="shared" ref="AO87:AO93" si="74">Y87/N87</f>
        <v>1.1241970021413277</v>
      </c>
      <c r="AP87" s="4" t="str">
        <f>IFERROR(ROUND($AG87*P87/$M87,0),"-")</f>
        <v>-</v>
      </c>
      <c r="AQ87" s="4" t="str">
        <f>IF(Q87="","-",Q87)</f>
        <v>-</v>
      </c>
      <c r="AR87" s="4" t="str">
        <f>IF(R87="","-",R87)</f>
        <v>-</v>
      </c>
      <c r="AS87" s="4" t="str">
        <f t="shared" ref="AS87" si="75">IFERROR(ROUND($AG87*S87/$M87,0),"-")</f>
        <v>-</v>
      </c>
      <c r="AT87" s="4" t="str">
        <f t="shared" ref="AT87" si="76">IF(T87="","-",T87)</f>
        <v>-</v>
      </c>
      <c r="AU87" s="4" t="str">
        <f t="shared" ref="AU87" si="77">IF(U87="","-",U87)</f>
        <v>-</v>
      </c>
      <c r="AV87" s="4">
        <v>0</v>
      </c>
      <c r="AW87" s="4" t="s">
        <v>291</v>
      </c>
      <c r="AX87" s="4"/>
      <c r="AY87" s="4"/>
      <c r="AZ87" s="4" t="s">
        <v>291</v>
      </c>
      <c r="BA87" s="4">
        <f>IFERROR(ROUNDUP(AY87/1.1,0),"-")</f>
        <v>0</v>
      </c>
      <c r="BB87" s="4" t="s">
        <v>223</v>
      </c>
      <c r="BC87" s="4" t="str">
        <f t="shared" ref="BC87:BC89" si="78">IF(AX87="",BB87,AX87/AY87*BB87)</f>
        <v>-</v>
      </c>
      <c r="BD87" s="19">
        <v>4</v>
      </c>
      <c r="BE87" s="19">
        <v>8</v>
      </c>
      <c r="BF87" s="16">
        <v>18</v>
      </c>
      <c r="BG87" t="s">
        <v>223</v>
      </c>
      <c r="BH87">
        <v>881</v>
      </c>
      <c r="BI87" t="s">
        <v>223</v>
      </c>
      <c r="BJ87" t="str">
        <f t="shared" si="64"/>
        <v>-</v>
      </c>
      <c r="BL87" t="s">
        <v>319</v>
      </c>
    </row>
    <row r="88" spans="1:64" x14ac:dyDescent="0.4">
      <c r="A88" s="3">
        <v>1</v>
      </c>
      <c r="B88" s="3">
        <v>1</v>
      </c>
      <c r="C88" s="4" t="s">
        <v>297</v>
      </c>
      <c r="D88" s="4" t="str">
        <f>TEXT(C88,"000000")</f>
        <v>1719AY</v>
      </c>
      <c r="E88" s="4" t="s">
        <v>297</v>
      </c>
      <c r="F88" s="4" t="s">
        <v>298</v>
      </c>
      <c r="G88" s="5">
        <v>4972759518456</v>
      </c>
      <c r="H88" s="5"/>
      <c r="I88" s="5"/>
      <c r="J88" s="5">
        <v>1</v>
      </c>
      <c r="K88" s="5">
        <v>1</v>
      </c>
      <c r="L88" s="4">
        <v>0</v>
      </c>
      <c r="M88" s="4">
        <v>2980</v>
      </c>
      <c r="N88" s="4">
        <v>2190</v>
      </c>
      <c r="O88" s="6">
        <f t="shared" si="44"/>
        <v>0.2651006711409396</v>
      </c>
      <c r="P88" s="4" t="s">
        <v>291</v>
      </c>
      <c r="Q88" s="4" t="s">
        <v>291</v>
      </c>
      <c r="R88" s="4" t="s">
        <v>291</v>
      </c>
      <c r="S88" s="4" t="s">
        <v>291</v>
      </c>
      <c r="T88" s="4" t="s">
        <v>291</v>
      </c>
      <c r="U88" s="4" t="s">
        <v>291</v>
      </c>
      <c r="V88" s="4">
        <v>0</v>
      </c>
      <c r="W88" s="4">
        <f>IF(Z88="",V88,V88*Z88)</f>
        <v>0</v>
      </c>
      <c r="X88" s="4">
        <v>2880</v>
      </c>
      <c r="Y88" s="4">
        <f>IF(Z88="",X88,X88*Z88)</f>
        <v>2880</v>
      </c>
      <c r="Z88" s="4"/>
      <c r="AA88" s="21">
        <f t="shared" si="65"/>
        <v>3919</v>
      </c>
      <c r="AB88" s="6">
        <f t="shared" si="66"/>
        <v>0.26511865271752999</v>
      </c>
      <c r="AC88" s="4">
        <v>0</v>
      </c>
      <c r="AD88" s="4">
        <f t="shared" si="67"/>
        <v>6417</v>
      </c>
      <c r="AE88" s="4">
        <f t="shared" si="68"/>
        <v>8438.7945205479446</v>
      </c>
      <c r="AF88" s="6">
        <f t="shared" si="69"/>
        <v>0.65871902758298262</v>
      </c>
      <c r="AG88" s="7">
        <v>4430</v>
      </c>
      <c r="AH88" s="6">
        <f t="shared" si="70"/>
        <v>0.34988713318284426</v>
      </c>
      <c r="AI88" s="4">
        <f t="shared" si="71"/>
        <v>1550</v>
      </c>
      <c r="AJ88" s="28"/>
      <c r="AK88" s="6" t="e">
        <f>1-Y88/AJ88</f>
        <v>#DIV/0!</v>
      </c>
      <c r="AL88" s="4">
        <f>AJ88-Y88</f>
        <v>-2880</v>
      </c>
      <c r="AM88" s="6" t="e">
        <f t="shared" si="72"/>
        <v>#DIV/0!</v>
      </c>
      <c r="AN88" s="6">
        <f t="shared" si="73"/>
        <v>1.4865771812080537</v>
      </c>
      <c r="AO88" s="6">
        <f t="shared" si="74"/>
        <v>1.3150684931506849</v>
      </c>
      <c r="AP88" s="4" t="str">
        <f>IFERROR(ROUND($AG88*P88/$M88,0),"-")</f>
        <v>-</v>
      </c>
      <c r="AQ88" s="4" t="str">
        <f>IF(Q88="","-",Q88)</f>
        <v>-</v>
      </c>
      <c r="AR88" s="4" t="str">
        <f>IF(R88="","-",R88)</f>
        <v>-</v>
      </c>
      <c r="AS88" s="4" t="str">
        <f>IFERROR(ROUND($AG88*S88/$M88,0),"-")</f>
        <v>-</v>
      </c>
      <c r="AT88" s="4" t="str">
        <f>IF(T88="","-",T88)</f>
        <v>-</v>
      </c>
      <c r="AU88" s="4" t="str">
        <f>IF(U88="","-",U88)</f>
        <v>-</v>
      </c>
      <c r="AV88" s="4">
        <v>0</v>
      </c>
      <c r="AW88" s="4" t="s">
        <v>299</v>
      </c>
      <c r="AX88" s="4"/>
      <c r="AY88" s="4"/>
      <c r="AZ88" s="4" t="s">
        <v>300</v>
      </c>
      <c r="BA88" s="4"/>
      <c r="BB88" s="4">
        <v>6417</v>
      </c>
      <c r="BC88" s="4">
        <f t="shared" si="78"/>
        <v>6417</v>
      </c>
      <c r="BD88" s="19">
        <v>4</v>
      </c>
      <c r="BE88" s="19">
        <v>8</v>
      </c>
      <c r="BF88" s="16">
        <v>18</v>
      </c>
      <c r="BG88" t="s">
        <v>223</v>
      </c>
      <c r="BI88" s="35">
        <v>4119</v>
      </c>
      <c r="BJ88">
        <f t="shared" ref="BJ88:BJ93" si="79">BI88*AO88</f>
        <v>5416.767123287671</v>
      </c>
      <c r="BK88" t="s">
        <v>301</v>
      </c>
      <c r="BL88" t="s">
        <v>319</v>
      </c>
    </row>
    <row r="89" spans="1:64" x14ac:dyDescent="0.4">
      <c r="A89" s="3">
        <v>2</v>
      </c>
      <c r="B89" s="3">
        <v>2</v>
      </c>
      <c r="C89" s="4" t="s">
        <v>302</v>
      </c>
      <c r="D89" s="4" t="str">
        <f t="shared" ref="D89:D93" si="80">TEXT(C89,"000000")</f>
        <v>1720AY</v>
      </c>
      <c r="E89" s="4" t="s">
        <v>302</v>
      </c>
      <c r="F89" s="4" t="s">
        <v>303</v>
      </c>
      <c r="G89" s="5">
        <v>4972759521043</v>
      </c>
      <c r="H89" s="5"/>
      <c r="I89" s="5"/>
      <c r="J89" s="5">
        <v>1</v>
      </c>
      <c r="K89" s="5">
        <v>1</v>
      </c>
      <c r="L89" s="4">
        <v>0</v>
      </c>
      <c r="M89" s="4">
        <v>248</v>
      </c>
      <c r="N89" s="4">
        <v>165</v>
      </c>
      <c r="O89" s="6">
        <f t="shared" si="44"/>
        <v>0.33467741935483875</v>
      </c>
      <c r="P89" s="4" t="s">
        <v>291</v>
      </c>
      <c r="Q89" s="4" t="s">
        <v>291</v>
      </c>
      <c r="R89" s="4" t="s">
        <v>291</v>
      </c>
      <c r="S89" s="4" t="s">
        <v>291</v>
      </c>
      <c r="T89" s="4" t="s">
        <v>291</v>
      </c>
      <c r="U89" s="4" t="s">
        <v>291</v>
      </c>
      <c r="V89" s="4">
        <v>0</v>
      </c>
      <c r="W89" s="4">
        <f t="shared" ref="W89:W93" si="81">IF(Z89="",V89,V89*Z89)</f>
        <v>0</v>
      </c>
      <c r="X89" s="4">
        <v>217</v>
      </c>
      <c r="Y89" s="4">
        <f t="shared" ref="Y89:Y93" si="82">IF(Z89="",X89,X89*Z89)</f>
        <v>217</v>
      </c>
      <c r="Z89" s="4"/>
      <c r="AA89" s="21">
        <f t="shared" si="65"/>
        <v>326</v>
      </c>
      <c r="AB89" s="6">
        <f t="shared" si="66"/>
        <v>0.33435582822085885</v>
      </c>
      <c r="AC89" s="4">
        <v>0</v>
      </c>
      <c r="AD89" s="4">
        <f t="shared" si="67"/>
        <v>300</v>
      </c>
      <c r="AE89" s="4">
        <f t="shared" si="68"/>
        <v>394.54545454545456</v>
      </c>
      <c r="AF89" s="6">
        <f t="shared" si="69"/>
        <v>0.45000000000000007</v>
      </c>
      <c r="AG89" s="7">
        <v>335</v>
      </c>
      <c r="AH89" s="6">
        <f t="shared" si="70"/>
        <v>0.35223880597014923</v>
      </c>
      <c r="AI89" s="4">
        <f t="shared" si="71"/>
        <v>118</v>
      </c>
      <c r="AJ89" s="28"/>
      <c r="AK89" s="6"/>
      <c r="AL89" s="6"/>
      <c r="AM89" s="6" t="e">
        <f t="shared" si="72"/>
        <v>#DIV/0!</v>
      </c>
      <c r="AN89" s="6">
        <f t="shared" si="73"/>
        <v>1.3508064516129032</v>
      </c>
      <c r="AO89" s="6">
        <f t="shared" si="74"/>
        <v>1.3151515151515152</v>
      </c>
      <c r="AP89" s="4" t="str">
        <f t="shared" ref="AP89:AP93" si="83">IFERROR(ROUND($AG89*P89/$M89,0),"-")</f>
        <v>-</v>
      </c>
      <c r="AQ89" s="4" t="str">
        <f t="shared" ref="AQ89:AR93" si="84">IF(Q89="","-",Q89)</f>
        <v>-</v>
      </c>
      <c r="AR89" s="4" t="str">
        <f t="shared" si="84"/>
        <v>-</v>
      </c>
      <c r="AS89" s="4" t="str">
        <f t="shared" ref="AS89:AS93" si="85">IFERROR(ROUND($AG89*S89/$M89,0),"-")</f>
        <v>-</v>
      </c>
      <c r="AT89" s="4" t="str">
        <f t="shared" ref="AT89:AU93" si="86">IF(T89="","-",T89)</f>
        <v>-</v>
      </c>
      <c r="AU89" s="4" t="str">
        <f t="shared" si="86"/>
        <v>-</v>
      </c>
      <c r="AV89" s="4">
        <v>0</v>
      </c>
      <c r="AW89" s="4" t="s">
        <v>304</v>
      </c>
      <c r="AX89" s="4"/>
      <c r="AY89" s="4"/>
      <c r="AZ89" s="4" t="s">
        <v>261</v>
      </c>
      <c r="BA89" s="4"/>
      <c r="BB89" s="4">
        <v>300</v>
      </c>
      <c r="BC89" s="4">
        <f t="shared" si="78"/>
        <v>300</v>
      </c>
      <c r="BD89" s="19">
        <v>4</v>
      </c>
      <c r="BE89" s="19">
        <v>8</v>
      </c>
      <c r="BF89" s="16">
        <v>18</v>
      </c>
      <c r="BG89" t="s">
        <v>223</v>
      </c>
      <c r="BI89">
        <v>288</v>
      </c>
      <c r="BJ89">
        <f t="shared" si="79"/>
        <v>378.76363636363635</v>
      </c>
      <c r="BK89" t="s">
        <v>305</v>
      </c>
      <c r="BL89" t="s">
        <v>319</v>
      </c>
    </row>
    <row r="90" spans="1:64" x14ac:dyDescent="0.4">
      <c r="A90" s="3">
        <v>3</v>
      </c>
      <c r="B90" s="3">
        <v>3</v>
      </c>
      <c r="C90" s="17" t="s">
        <v>306</v>
      </c>
      <c r="D90" s="4" t="str">
        <f t="shared" si="80"/>
        <v>1721AY</v>
      </c>
      <c r="E90" s="4" t="s">
        <v>306</v>
      </c>
      <c r="F90" s="4" t="s">
        <v>307</v>
      </c>
      <c r="G90" s="5">
        <v>4972759521050</v>
      </c>
      <c r="H90" s="5"/>
      <c r="I90" s="5"/>
      <c r="J90" s="5">
        <v>1</v>
      </c>
      <c r="K90" s="5">
        <v>1</v>
      </c>
      <c r="L90" s="4">
        <v>0</v>
      </c>
      <c r="M90" s="4">
        <v>298</v>
      </c>
      <c r="N90" s="4">
        <v>194</v>
      </c>
      <c r="O90" s="6">
        <f t="shared" si="44"/>
        <v>0.34899328859060408</v>
      </c>
      <c r="P90" s="4" t="s">
        <v>291</v>
      </c>
      <c r="Q90" s="4" t="s">
        <v>291</v>
      </c>
      <c r="R90" s="4" t="s">
        <v>291</v>
      </c>
      <c r="S90" s="4" t="s">
        <v>291</v>
      </c>
      <c r="T90" s="4" t="s">
        <v>291</v>
      </c>
      <c r="U90" s="4" t="s">
        <v>291</v>
      </c>
      <c r="V90" s="4">
        <v>0</v>
      </c>
      <c r="W90" s="4">
        <f t="shared" si="81"/>
        <v>0</v>
      </c>
      <c r="X90" s="4">
        <v>256</v>
      </c>
      <c r="Y90" s="4">
        <f t="shared" si="82"/>
        <v>256</v>
      </c>
      <c r="Z90" s="4"/>
      <c r="AA90" s="21">
        <f t="shared" si="65"/>
        <v>393</v>
      </c>
      <c r="AB90" s="6">
        <f t="shared" si="66"/>
        <v>0.34860050890585237</v>
      </c>
      <c r="AC90" s="4">
        <v>0</v>
      </c>
      <c r="AD90" s="4">
        <f t="shared" si="67"/>
        <v>286</v>
      </c>
      <c r="AE90" s="4">
        <f t="shared" si="68"/>
        <v>377.40206185567007</v>
      </c>
      <c r="AF90" s="6">
        <f t="shared" si="69"/>
        <v>0.32167832167832167</v>
      </c>
      <c r="AG90" s="7">
        <v>377</v>
      </c>
      <c r="AH90" s="6">
        <f t="shared" si="70"/>
        <v>0.32095490716180375</v>
      </c>
      <c r="AI90" s="4">
        <f t="shared" si="71"/>
        <v>121</v>
      </c>
      <c r="AJ90" s="28"/>
      <c r="AK90" s="6"/>
      <c r="AL90" s="6"/>
      <c r="AM90" s="6" t="e">
        <f t="shared" si="72"/>
        <v>#DIV/0!</v>
      </c>
      <c r="AN90" s="6">
        <f t="shared" si="73"/>
        <v>1.2651006711409396</v>
      </c>
      <c r="AO90" s="6">
        <f t="shared" si="74"/>
        <v>1.3195876288659794</v>
      </c>
      <c r="AP90" s="4" t="str">
        <f t="shared" si="83"/>
        <v>-</v>
      </c>
      <c r="AQ90" s="4" t="str">
        <f t="shared" si="84"/>
        <v>-</v>
      </c>
      <c r="AR90" s="4" t="str">
        <f t="shared" si="84"/>
        <v>-</v>
      </c>
      <c r="AS90" s="4" t="str">
        <f t="shared" si="85"/>
        <v>-</v>
      </c>
      <c r="AT90" s="4" t="str">
        <f t="shared" si="86"/>
        <v>-</v>
      </c>
      <c r="AU90" s="4" t="str">
        <f t="shared" si="86"/>
        <v>-</v>
      </c>
      <c r="AV90" s="4">
        <v>0</v>
      </c>
      <c r="AW90" s="4" t="s">
        <v>308</v>
      </c>
      <c r="AX90" s="4"/>
      <c r="AY90" s="4"/>
      <c r="AZ90" s="4" t="s">
        <v>261</v>
      </c>
      <c r="BA90" s="4"/>
      <c r="BB90" s="4">
        <v>286</v>
      </c>
      <c r="BC90" s="4">
        <f>IF(AX90="",BB90,AX90/AY90*BB90)</f>
        <v>286</v>
      </c>
      <c r="BD90" s="19">
        <v>4</v>
      </c>
      <c r="BE90" s="19">
        <v>8</v>
      </c>
      <c r="BF90" s="16">
        <v>18</v>
      </c>
      <c r="BG90" t="s">
        <v>223</v>
      </c>
      <c r="BI90">
        <v>353</v>
      </c>
      <c r="BJ90">
        <f t="shared" si="79"/>
        <v>465.81443298969072</v>
      </c>
      <c r="BK90" t="s">
        <v>309</v>
      </c>
      <c r="BL90" t="s">
        <v>319</v>
      </c>
    </row>
    <row r="91" spans="1:64" x14ac:dyDescent="0.4">
      <c r="A91" s="3">
        <v>4</v>
      </c>
      <c r="B91" s="3">
        <v>4</v>
      </c>
      <c r="C91" s="17" t="s">
        <v>310</v>
      </c>
      <c r="D91" s="4" t="str">
        <f t="shared" si="80"/>
        <v>1727AY</v>
      </c>
      <c r="E91" s="4" t="s">
        <v>310</v>
      </c>
      <c r="F91" s="4" t="s">
        <v>311</v>
      </c>
      <c r="G91" s="5">
        <v>4972759527465</v>
      </c>
      <c r="H91" s="5"/>
      <c r="I91" s="5"/>
      <c r="J91" s="5">
        <v>1</v>
      </c>
      <c r="K91" s="5">
        <v>1</v>
      </c>
      <c r="L91" s="4">
        <v>0</v>
      </c>
      <c r="M91" s="4">
        <v>580</v>
      </c>
      <c r="N91" s="4">
        <v>374</v>
      </c>
      <c r="O91" s="6">
        <f t="shared" si="44"/>
        <v>0.35517241379310349</v>
      </c>
      <c r="P91" s="4" t="s">
        <v>291</v>
      </c>
      <c r="Q91" s="4" t="s">
        <v>291</v>
      </c>
      <c r="R91" s="4" t="s">
        <v>291</v>
      </c>
      <c r="S91" s="4" t="s">
        <v>291</v>
      </c>
      <c r="T91" s="4" t="s">
        <v>291</v>
      </c>
      <c r="U91" s="4" t="s">
        <v>291</v>
      </c>
      <c r="V91" s="4">
        <v>0</v>
      </c>
      <c r="W91" s="4">
        <f t="shared" si="81"/>
        <v>0</v>
      </c>
      <c r="X91" s="4">
        <v>493</v>
      </c>
      <c r="Y91" s="4">
        <f t="shared" si="82"/>
        <v>493</v>
      </c>
      <c r="Z91" s="4"/>
      <c r="AA91" s="21">
        <f t="shared" si="65"/>
        <v>765</v>
      </c>
      <c r="AB91" s="6">
        <f t="shared" si="66"/>
        <v>0.35555555555555551</v>
      </c>
      <c r="AC91" s="4">
        <v>0</v>
      </c>
      <c r="AD91" s="4" t="str">
        <f t="shared" si="67"/>
        <v>-</v>
      </c>
      <c r="AE91" s="4" t="e">
        <f t="shared" si="68"/>
        <v>#VALUE!</v>
      </c>
      <c r="AF91" s="6" t="e">
        <f t="shared" si="69"/>
        <v>#VALUE!</v>
      </c>
      <c r="AG91" s="7">
        <v>765</v>
      </c>
      <c r="AH91" s="6">
        <f t="shared" si="70"/>
        <v>0.35555555555555551</v>
      </c>
      <c r="AI91" s="4">
        <f t="shared" si="71"/>
        <v>272</v>
      </c>
      <c r="AJ91" s="28"/>
      <c r="AK91" s="6"/>
      <c r="AL91" s="6"/>
      <c r="AM91" s="6" t="e">
        <f t="shared" si="72"/>
        <v>#DIV/0!</v>
      </c>
      <c r="AN91" s="6">
        <f t="shared" si="73"/>
        <v>1.3189655172413792</v>
      </c>
      <c r="AO91" s="6">
        <f t="shared" si="74"/>
        <v>1.3181818181818181</v>
      </c>
      <c r="AP91" s="4" t="str">
        <f t="shared" si="83"/>
        <v>-</v>
      </c>
      <c r="AQ91" s="4" t="str">
        <f t="shared" si="84"/>
        <v>-</v>
      </c>
      <c r="AR91" s="4" t="str">
        <f t="shared" si="84"/>
        <v>-</v>
      </c>
      <c r="AS91" s="4" t="str">
        <f t="shared" si="85"/>
        <v>-</v>
      </c>
      <c r="AT91" s="4" t="str">
        <f t="shared" si="86"/>
        <v>-</v>
      </c>
      <c r="AU91" s="4" t="str">
        <f t="shared" si="86"/>
        <v>-</v>
      </c>
      <c r="AV91" s="4">
        <v>0</v>
      </c>
      <c r="AW91" s="4" t="s">
        <v>291</v>
      </c>
      <c r="AX91" s="4"/>
      <c r="AY91" s="4"/>
      <c r="AZ91" s="4" t="s">
        <v>291</v>
      </c>
      <c r="BA91" s="4"/>
      <c r="BB91" s="4" t="s">
        <v>291</v>
      </c>
      <c r="BC91" s="4" t="str">
        <f>IF(AX91="",BB91,AX91/AY91*BB91)</f>
        <v>-</v>
      </c>
      <c r="BD91" s="19">
        <v>4</v>
      </c>
      <c r="BE91" s="19">
        <v>8</v>
      </c>
      <c r="BF91" s="16">
        <v>18</v>
      </c>
      <c r="BG91" t="s">
        <v>223</v>
      </c>
      <c r="BI91">
        <v>583</v>
      </c>
      <c r="BJ91">
        <f t="shared" si="79"/>
        <v>768.5</v>
      </c>
      <c r="BK91" t="s">
        <v>291</v>
      </c>
      <c r="BL91" t="s">
        <v>319</v>
      </c>
    </row>
    <row r="92" spans="1:64" x14ac:dyDescent="0.4">
      <c r="A92" s="3">
        <v>5</v>
      </c>
      <c r="B92" s="3">
        <v>5</v>
      </c>
      <c r="C92" s="17" t="s">
        <v>312</v>
      </c>
      <c r="D92" s="4" t="str">
        <f t="shared" si="80"/>
        <v>1728AY</v>
      </c>
      <c r="E92" s="4" t="s">
        <v>312</v>
      </c>
      <c r="F92" s="4" t="s">
        <v>313</v>
      </c>
      <c r="G92" s="5">
        <v>4972759527793</v>
      </c>
      <c r="H92" s="5"/>
      <c r="I92" s="5"/>
      <c r="J92" s="5">
        <v>1</v>
      </c>
      <c r="K92" s="5">
        <v>1</v>
      </c>
      <c r="L92" s="4">
        <v>0</v>
      </c>
      <c r="M92" s="4">
        <v>448</v>
      </c>
      <c r="N92" s="4">
        <v>293</v>
      </c>
      <c r="O92" s="6">
        <f t="shared" si="44"/>
        <v>0.3459821428571429</v>
      </c>
      <c r="P92" s="4" t="s">
        <v>291</v>
      </c>
      <c r="Q92" s="4" t="s">
        <v>291</v>
      </c>
      <c r="R92" s="4" t="s">
        <v>291</v>
      </c>
      <c r="S92" s="4" t="s">
        <v>291</v>
      </c>
      <c r="T92" s="4" t="s">
        <v>291</v>
      </c>
      <c r="U92" s="4" t="s">
        <v>291</v>
      </c>
      <c r="V92" s="4">
        <v>0</v>
      </c>
      <c r="W92" s="4">
        <f t="shared" si="81"/>
        <v>0</v>
      </c>
      <c r="X92" s="4">
        <v>386</v>
      </c>
      <c r="Y92" s="4">
        <f t="shared" si="82"/>
        <v>386</v>
      </c>
      <c r="Z92" s="4"/>
      <c r="AA92" s="21">
        <f t="shared" si="65"/>
        <v>590</v>
      </c>
      <c r="AB92" s="6">
        <f t="shared" si="66"/>
        <v>0.34576271186440677</v>
      </c>
      <c r="AC92" s="4">
        <v>0</v>
      </c>
      <c r="AD92" s="4" t="str">
        <f t="shared" si="67"/>
        <v>-</v>
      </c>
      <c r="AE92" s="4" t="e">
        <f t="shared" si="68"/>
        <v>#VALUE!</v>
      </c>
      <c r="AF92" s="6" t="e">
        <f t="shared" si="69"/>
        <v>#VALUE!</v>
      </c>
      <c r="AG92" s="7">
        <v>600</v>
      </c>
      <c r="AH92" s="6">
        <f t="shared" si="70"/>
        <v>0.35666666666666669</v>
      </c>
      <c r="AI92" s="4">
        <f t="shared" si="71"/>
        <v>214</v>
      </c>
      <c r="AJ92" s="28"/>
      <c r="AK92" s="6"/>
      <c r="AL92" s="6"/>
      <c r="AM92" s="6" t="e">
        <f t="shared" si="72"/>
        <v>#DIV/0!</v>
      </c>
      <c r="AN92" s="6">
        <f t="shared" si="73"/>
        <v>1.3392857142857142</v>
      </c>
      <c r="AO92" s="6">
        <f t="shared" si="74"/>
        <v>1.31740614334471</v>
      </c>
      <c r="AP92" s="4" t="str">
        <f t="shared" si="83"/>
        <v>-</v>
      </c>
      <c r="AQ92" s="4" t="str">
        <f t="shared" si="84"/>
        <v>-</v>
      </c>
      <c r="AR92" s="4" t="str">
        <f t="shared" si="84"/>
        <v>-</v>
      </c>
      <c r="AS92" s="4" t="str">
        <f t="shared" si="85"/>
        <v>-</v>
      </c>
      <c r="AT92" s="4" t="str">
        <f t="shared" si="86"/>
        <v>-</v>
      </c>
      <c r="AU92" s="4" t="str">
        <f t="shared" si="86"/>
        <v>-</v>
      </c>
      <c r="AV92" s="4">
        <v>0</v>
      </c>
      <c r="AW92" s="4" t="s">
        <v>291</v>
      </c>
      <c r="AX92" s="4"/>
      <c r="AY92" s="4"/>
      <c r="AZ92" s="4" t="s">
        <v>291</v>
      </c>
      <c r="BA92" s="4"/>
      <c r="BB92" s="4" t="s">
        <v>291</v>
      </c>
      <c r="BC92" s="4" t="str">
        <f>IF(AX92="",BB92,AX92/AY92*BB92)</f>
        <v>-</v>
      </c>
      <c r="BD92" s="19">
        <v>4</v>
      </c>
      <c r="BE92" s="19">
        <v>8</v>
      </c>
      <c r="BF92" s="16">
        <v>18</v>
      </c>
      <c r="BG92" t="s">
        <v>223</v>
      </c>
      <c r="BI92">
        <v>665</v>
      </c>
      <c r="BJ92">
        <f t="shared" si="79"/>
        <v>876.07508532423208</v>
      </c>
      <c r="BK92" t="s">
        <v>291</v>
      </c>
      <c r="BL92" t="s">
        <v>319</v>
      </c>
    </row>
    <row r="93" spans="1:64" x14ac:dyDescent="0.4">
      <c r="A93" s="3">
        <v>6</v>
      </c>
      <c r="B93" s="3">
        <v>6</v>
      </c>
      <c r="C93" s="17" t="s">
        <v>314</v>
      </c>
      <c r="D93" s="4" t="str">
        <f t="shared" si="80"/>
        <v>1737AY</v>
      </c>
      <c r="E93" s="4" t="s">
        <v>314</v>
      </c>
      <c r="F93" s="4" t="s">
        <v>315</v>
      </c>
      <c r="G93" s="5">
        <v>4972759529780</v>
      </c>
      <c r="H93" s="5"/>
      <c r="I93" s="5"/>
      <c r="J93" s="5">
        <v>1</v>
      </c>
      <c r="K93" s="5">
        <v>1</v>
      </c>
      <c r="L93" s="4">
        <v>0</v>
      </c>
      <c r="M93" s="4">
        <v>498</v>
      </c>
      <c r="N93" s="4">
        <v>300</v>
      </c>
      <c r="O93" s="6">
        <f t="shared" si="44"/>
        <v>0.39759036144578308</v>
      </c>
      <c r="P93" s="4" t="s">
        <v>291</v>
      </c>
      <c r="Q93" s="4" t="s">
        <v>291</v>
      </c>
      <c r="R93" s="4" t="s">
        <v>291</v>
      </c>
      <c r="S93" s="4" t="s">
        <v>291</v>
      </c>
      <c r="T93" s="4" t="s">
        <v>291</v>
      </c>
      <c r="U93" s="4" t="s">
        <v>291</v>
      </c>
      <c r="V93" s="4">
        <v>0</v>
      </c>
      <c r="W93" s="4">
        <f t="shared" si="81"/>
        <v>0</v>
      </c>
      <c r="X93" s="4">
        <v>397</v>
      </c>
      <c r="Y93" s="4">
        <f t="shared" si="82"/>
        <v>397</v>
      </c>
      <c r="Z93" s="4"/>
      <c r="AA93" s="21">
        <f t="shared" si="65"/>
        <v>659</v>
      </c>
      <c r="AB93" s="6">
        <f t="shared" si="66"/>
        <v>0.39757207890743551</v>
      </c>
      <c r="AC93" s="4">
        <v>0</v>
      </c>
      <c r="AD93" s="4" t="str">
        <f t="shared" si="67"/>
        <v>-</v>
      </c>
      <c r="AE93" s="4" t="e">
        <f t="shared" si="68"/>
        <v>#VALUE!</v>
      </c>
      <c r="AF93" s="6" t="e">
        <f t="shared" si="69"/>
        <v>#VALUE!</v>
      </c>
      <c r="AG93" s="7">
        <v>660</v>
      </c>
      <c r="AH93" s="6">
        <f t="shared" si="70"/>
        <v>0.39848484848484844</v>
      </c>
      <c r="AI93" s="4">
        <f t="shared" si="71"/>
        <v>263</v>
      </c>
      <c r="AJ93" s="28"/>
      <c r="AK93" s="6"/>
      <c r="AL93" s="6"/>
      <c r="AM93" s="6" t="e">
        <f t="shared" si="72"/>
        <v>#DIV/0!</v>
      </c>
      <c r="AN93" s="6">
        <f t="shared" si="73"/>
        <v>1.3253012048192772</v>
      </c>
      <c r="AO93" s="6">
        <f t="shared" si="74"/>
        <v>1.3233333333333333</v>
      </c>
      <c r="AP93" s="4" t="str">
        <f t="shared" si="83"/>
        <v>-</v>
      </c>
      <c r="AQ93" s="4" t="str">
        <f t="shared" si="84"/>
        <v>-</v>
      </c>
      <c r="AR93" s="4" t="str">
        <f t="shared" si="84"/>
        <v>-</v>
      </c>
      <c r="AS93" s="4" t="str">
        <f t="shared" si="85"/>
        <v>-</v>
      </c>
      <c r="AT93" s="4" t="str">
        <f t="shared" si="86"/>
        <v>-</v>
      </c>
      <c r="AU93" s="4" t="str">
        <f t="shared" si="86"/>
        <v>-</v>
      </c>
      <c r="AV93" s="4">
        <v>0</v>
      </c>
      <c r="AW93" s="4" t="s">
        <v>291</v>
      </c>
      <c r="AX93" s="4"/>
      <c r="AY93" s="4"/>
      <c r="AZ93" s="4" t="s">
        <v>291</v>
      </c>
      <c r="BA93" s="4"/>
      <c r="BB93" s="4" t="s">
        <v>291</v>
      </c>
      <c r="BC93" s="4" t="str">
        <f>IF(AX93="",BB93,AX93/AY93*BB93)</f>
        <v>-</v>
      </c>
      <c r="BD93" s="19">
        <v>4</v>
      </c>
      <c r="BE93" s="19">
        <v>8</v>
      </c>
      <c r="BF93" s="16">
        <v>18</v>
      </c>
      <c r="BG93" t="s">
        <v>223</v>
      </c>
      <c r="BI93">
        <v>585</v>
      </c>
      <c r="BJ93">
        <f t="shared" si="79"/>
        <v>774.15</v>
      </c>
      <c r="BK93" t="s">
        <v>291</v>
      </c>
      <c r="BL93" t="s">
        <v>319</v>
      </c>
    </row>
  </sheetData>
  <mergeCells count="3">
    <mergeCell ref="L2:O2"/>
    <mergeCell ref="J2:K2"/>
    <mergeCell ref="V1:Y1"/>
  </mergeCells>
  <phoneticPr fontId="2"/>
  <conditionalFormatting sqref="AE4:AE93">
    <cfRule type="cellIs" dxfId="4" priority="4" operator="lessThan">
      <formula>$AG4</formula>
    </cfRule>
  </conditionalFormatting>
  <conditionalFormatting sqref="AG4:AG93">
    <cfRule type="cellIs" dxfId="3" priority="5" operator="greaterThan">
      <formula>$W4</formula>
    </cfRule>
  </conditionalFormatting>
  <conditionalFormatting sqref="AH4:AH93">
    <cfRule type="cellIs" dxfId="2" priority="3" operator="lessThan">
      <formula>0.2</formula>
    </cfRule>
  </conditionalFormatting>
  <conditionalFormatting sqref="BB4:BB87">
    <cfRule type="cellIs" dxfId="1" priority="2" operator="notEqual">
      <formula>$BA4</formula>
    </cfRule>
  </conditionalFormatting>
  <conditionalFormatting sqref="BI4:BI87">
    <cfRule type="cellIs" dxfId="0" priority="1" operator="notEqual">
      <formula>$BH4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2026-06-10T09:08:52Z</dcterms:modified>
</cp:coreProperties>
</file>