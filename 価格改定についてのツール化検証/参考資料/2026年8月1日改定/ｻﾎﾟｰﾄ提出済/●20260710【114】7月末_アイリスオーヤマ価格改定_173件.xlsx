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8月1日改定\"/>
    </mc:Choice>
  </mc:AlternateContent>
  <xr:revisionPtr revIDLastSave="0" documentId="13_ncr:1_{5D7F767A-DE7F-4B3E-8B3F-9A5AA298D1B4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Sheet1!$B$3:$BG$177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4" i="1"/>
  <c r="AY46" i="1" l="1"/>
  <c r="AC46" i="1" s="1"/>
  <c r="AY55" i="1"/>
  <c r="AC55" i="1" s="1"/>
  <c r="AY57" i="1"/>
  <c r="AC57" i="1" s="1"/>
  <c r="AY60" i="1"/>
  <c r="AC60" i="1" s="1"/>
  <c r="AY63" i="1"/>
  <c r="AC63" i="1" s="1"/>
  <c r="AY66" i="1"/>
  <c r="AC66" i="1" s="1"/>
  <c r="AY73" i="1"/>
  <c r="AC73" i="1" s="1"/>
  <c r="AY79" i="1"/>
  <c r="AC79" i="1" s="1"/>
  <c r="AY82" i="1"/>
  <c r="AC82" i="1" s="1"/>
  <c r="AY86" i="1"/>
  <c r="AC86" i="1" s="1"/>
  <c r="AY87" i="1"/>
  <c r="AC87" i="1" s="1"/>
  <c r="AY93" i="1"/>
  <c r="AC93" i="1" s="1"/>
  <c r="AY95" i="1"/>
  <c r="AC95" i="1" s="1"/>
  <c r="AY100" i="1"/>
  <c r="AC100" i="1" s="1"/>
  <c r="AY101" i="1"/>
  <c r="AC101" i="1" s="1"/>
  <c r="AY109" i="1"/>
  <c r="AC109" i="1" s="1"/>
  <c r="AY116" i="1"/>
  <c r="AC116" i="1" s="1"/>
  <c r="AY118" i="1"/>
  <c r="AC118" i="1" s="1"/>
  <c r="AY121" i="1"/>
  <c r="AC121" i="1" s="1"/>
  <c r="AY124" i="1"/>
  <c r="AC124" i="1" s="1"/>
  <c r="AY125" i="1"/>
  <c r="AC125" i="1" s="1"/>
  <c r="AY127" i="1"/>
  <c r="AC127" i="1" s="1"/>
  <c r="AY132" i="1"/>
  <c r="AC132" i="1" s="1"/>
  <c r="AY133" i="1"/>
  <c r="AC133" i="1" s="1"/>
  <c r="AY141" i="1"/>
  <c r="AC141" i="1" s="1"/>
  <c r="AY142" i="1"/>
  <c r="AC142" i="1" s="1"/>
  <c r="AY143" i="1"/>
  <c r="AC143" i="1" s="1"/>
  <c r="AY145" i="1"/>
  <c r="AC145" i="1" s="1"/>
  <c r="AY148" i="1"/>
  <c r="AC148" i="1" s="1"/>
  <c r="AY149" i="1"/>
  <c r="AC149" i="1" s="1"/>
  <c r="AY151" i="1"/>
  <c r="AC151" i="1" s="1"/>
  <c r="AY157" i="1"/>
  <c r="AC157" i="1" s="1"/>
  <c r="AY159" i="1"/>
  <c r="AC159" i="1" s="1"/>
  <c r="AY161" i="1"/>
  <c r="AC161" i="1" s="1"/>
  <c r="AY164" i="1"/>
  <c r="AC164" i="1" s="1"/>
  <c r="AY167" i="1"/>
  <c r="AC167" i="1" s="1"/>
  <c r="AY169" i="1"/>
  <c r="AC169" i="1" s="1"/>
  <c r="AY173" i="1"/>
  <c r="AC173" i="1" s="1"/>
  <c r="AY175" i="1"/>
  <c r="AC175" i="1" s="1"/>
  <c r="AY4" i="1"/>
  <c r="AC4" i="1" s="1"/>
  <c r="AP5" i="1"/>
  <c r="AQ5" i="1"/>
  <c r="AR5" i="1"/>
  <c r="AP6" i="1"/>
  <c r="AQ6" i="1"/>
  <c r="AR6" i="1"/>
  <c r="AP7" i="1"/>
  <c r="AQ7" i="1"/>
  <c r="AR7" i="1"/>
  <c r="AP8" i="1"/>
  <c r="AQ8" i="1"/>
  <c r="AR8" i="1"/>
  <c r="AP9" i="1"/>
  <c r="AQ9" i="1"/>
  <c r="AR9" i="1"/>
  <c r="AP10" i="1"/>
  <c r="AQ10" i="1"/>
  <c r="AR10" i="1"/>
  <c r="AP11" i="1"/>
  <c r="AQ11" i="1"/>
  <c r="AR11" i="1"/>
  <c r="AP12" i="1"/>
  <c r="AQ12" i="1"/>
  <c r="AR12" i="1"/>
  <c r="AQ13" i="1"/>
  <c r="AR13" i="1"/>
  <c r="AQ14" i="1"/>
  <c r="AR14" i="1"/>
  <c r="AQ15" i="1"/>
  <c r="AR15" i="1"/>
  <c r="AP16" i="1"/>
  <c r="AQ16" i="1"/>
  <c r="AR16" i="1"/>
  <c r="AP17" i="1"/>
  <c r="AQ17" i="1"/>
  <c r="AR17" i="1"/>
  <c r="AP18" i="1"/>
  <c r="AQ18" i="1"/>
  <c r="AR18" i="1"/>
  <c r="AP19" i="1"/>
  <c r="AQ19" i="1"/>
  <c r="AR19" i="1"/>
  <c r="AQ20" i="1"/>
  <c r="AR20" i="1"/>
  <c r="AQ21" i="1"/>
  <c r="AR21" i="1"/>
  <c r="AP22" i="1"/>
  <c r="AQ22" i="1"/>
  <c r="AR22" i="1"/>
  <c r="AP23" i="1"/>
  <c r="AQ23" i="1"/>
  <c r="AR23" i="1"/>
  <c r="AP24" i="1"/>
  <c r="AO24" i="1" s="1"/>
  <c r="AQ24" i="1"/>
  <c r="AR24" i="1"/>
  <c r="AP25" i="1"/>
  <c r="AQ25" i="1"/>
  <c r="AR25" i="1"/>
  <c r="AP26" i="1"/>
  <c r="AQ26" i="1"/>
  <c r="AR26" i="1"/>
  <c r="AP27" i="1"/>
  <c r="AO27" i="1" s="1"/>
  <c r="AQ27" i="1"/>
  <c r="AR27" i="1"/>
  <c r="AP28" i="1"/>
  <c r="AQ28" i="1"/>
  <c r="AR28" i="1"/>
  <c r="AP29" i="1"/>
  <c r="AQ29" i="1"/>
  <c r="AR29" i="1"/>
  <c r="AP30" i="1"/>
  <c r="AQ30" i="1"/>
  <c r="AR30" i="1"/>
  <c r="AP31" i="1"/>
  <c r="AQ31" i="1"/>
  <c r="AR31" i="1"/>
  <c r="AP32" i="1"/>
  <c r="AQ32" i="1"/>
  <c r="AR32" i="1"/>
  <c r="AP33" i="1"/>
  <c r="AQ33" i="1"/>
  <c r="AR33" i="1"/>
  <c r="AP34" i="1"/>
  <c r="AQ34" i="1"/>
  <c r="AR34" i="1"/>
  <c r="AP35" i="1"/>
  <c r="AO35" i="1" s="1"/>
  <c r="AQ35" i="1"/>
  <c r="AR35" i="1"/>
  <c r="AP36" i="1"/>
  <c r="AQ36" i="1"/>
  <c r="AR36" i="1"/>
  <c r="AP37" i="1"/>
  <c r="AQ37" i="1"/>
  <c r="AR37" i="1"/>
  <c r="AP38" i="1"/>
  <c r="AQ38" i="1"/>
  <c r="AR38" i="1"/>
  <c r="AP39" i="1"/>
  <c r="AQ39" i="1"/>
  <c r="AR39" i="1"/>
  <c r="AP40" i="1"/>
  <c r="AQ40" i="1"/>
  <c r="AR40" i="1"/>
  <c r="AP41" i="1"/>
  <c r="AQ41" i="1"/>
  <c r="AR41" i="1"/>
  <c r="AP42" i="1"/>
  <c r="AQ42" i="1"/>
  <c r="AR42" i="1"/>
  <c r="AP43" i="1"/>
  <c r="AQ43" i="1"/>
  <c r="AR43" i="1"/>
  <c r="AP44" i="1"/>
  <c r="AQ44" i="1"/>
  <c r="AR44" i="1"/>
  <c r="AP45" i="1"/>
  <c r="AQ45" i="1"/>
  <c r="AR45" i="1"/>
  <c r="AP46" i="1"/>
  <c r="AQ46" i="1"/>
  <c r="AR46" i="1"/>
  <c r="AP47" i="1"/>
  <c r="AQ47" i="1"/>
  <c r="AR47" i="1"/>
  <c r="AP48" i="1"/>
  <c r="AO48" i="1" s="1"/>
  <c r="AQ48" i="1"/>
  <c r="AR48" i="1"/>
  <c r="AP49" i="1"/>
  <c r="AQ49" i="1"/>
  <c r="AR49" i="1"/>
  <c r="AP50" i="1"/>
  <c r="AQ50" i="1"/>
  <c r="AR50" i="1"/>
  <c r="AP51" i="1"/>
  <c r="AO51" i="1" s="1"/>
  <c r="AQ51" i="1"/>
  <c r="AR51" i="1"/>
  <c r="AP52" i="1"/>
  <c r="AQ52" i="1"/>
  <c r="AR52" i="1"/>
  <c r="AP53" i="1"/>
  <c r="AQ53" i="1"/>
  <c r="AR53" i="1"/>
  <c r="AP54" i="1"/>
  <c r="AQ54" i="1"/>
  <c r="AR54" i="1"/>
  <c r="AP55" i="1"/>
  <c r="AQ55" i="1"/>
  <c r="AR55" i="1"/>
  <c r="AP56" i="1"/>
  <c r="AQ56" i="1"/>
  <c r="AR56" i="1"/>
  <c r="AP57" i="1"/>
  <c r="AQ57" i="1"/>
  <c r="AR57" i="1"/>
  <c r="AP58" i="1"/>
  <c r="AQ58" i="1"/>
  <c r="AR58" i="1"/>
  <c r="AP59" i="1"/>
  <c r="AO59" i="1" s="1"/>
  <c r="AQ59" i="1"/>
  <c r="AR59" i="1"/>
  <c r="AP60" i="1"/>
  <c r="AQ60" i="1"/>
  <c r="AR60" i="1"/>
  <c r="AP61" i="1"/>
  <c r="AQ61" i="1"/>
  <c r="AR61" i="1"/>
  <c r="AP62" i="1"/>
  <c r="AQ62" i="1"/>
  <c r="AR62" i="1"/>
  <c r="AP63" i="1"/>
  <c r="AQ63" i="1"/>
  <c r="AR63" i="1"/>
  <c r="AP64" i="1"/>
  <c r="AQ64" i="1"/>
  <c r="AR64" i="1"/>
  <c r="AP65" i="1"/>
  <c r="AQ65" i="1"/>
  <c r="AR65" i="1"/>
  <c r="AQ66" i="1"/>
  <c r="AR66" i="1"/>
  <c r="AP67" i="1"/>
  <c r="AO67" i="1" s="1"/>
  <c r="AQ67" i="1"/>
  <c r="AR67" i="1"/>
  <c r="AP68" i="1"/>
  <c r="AQ68" i="1"/>
  <c r="AR68" i="1"/>
  <c r="AP69" i="1"/>
  <c r="AQ69" i="1"/>
  <c r="AR69" i="1"/>
  <c r="AP70" i="1"/>
  <c r="AQ70" i="1"/>
  <c r="AR70" i="1"/>
  <c r="AQ71" i="1"/>
  <c r="AR71" i="1"/>
  <c r="AQ72" i="1"/>
  <c r="AR72" i="1"/>
  <c r="AP73" i="1"/>
  <c r="AQ73" i="1"/>
  <c r="AR73" i="1"/>
  <c r="AP74" i="1"/>
  <c r="AQ74" i="1"/>
  <c r="AR74" i="1"/>
  <c r="AO75" i="1"/>
  <c r="AQ75" i="1"/>
  <c r="AR75" i="1"/>
  <c r="AP76" i="1"/>
  <c r="AQ76" i="1"/>
  <c r="AR76" i="1"/>
  <c r="AP77" i="1"/>
  <c r="AQ77" i="1"/>
  <c r="AR77" i="1"/>
  <c r="AQ78" i="1"/>
  <c r="AR78" i="1"/>
  <c r="AP79" i="1"/>
  <c r="AQ79" i="1"/>
  <c r="AR79" i="1"/>
  <c r="AP80" i="1"/>
  <c r="AQ80" i="1"/>
  <c r="AR80" i="1"/>
  <c r="AP81" i="1"/>
  <c r="AQ81" i="1"/>
  <c r="AR81" i="1"/>
  <c r="AP82" i="1"/>
  <c r="AQ82" i="1"/>
  <c r="AR82" i="1"/>
  <c r="AQ83" i="1"/>
  <c r="AR83" i="1"/>
  <c r="AQ84" i="1"/>
  <c r="AR84" i="1"/>
  <c r="AP85" i="1"/>
  <c r="AQ85" i="1"/>
  <c r="AR85" i="1"/>
  <c r="AQ86" i="1"/>
  <c r="AR86" i="1"/>
  <c r="AP87" i="1"/>
  <c r="AQ87" i="1"/>
  <c r="AR87" i="1"/>
  <c r="AO88" i="1"/>
  <c r="AQ88" i="1"/>
  <c r="AR88" i="1"/>
  <c r="AP89" i="1"/>
  <c r="AQ89" i="1"/>
  <c r="AR89" i="1"/>
  <c r="AP90" i="1"/>
  <c r="AQ90" i="1"/>
  <c r="AR90" i="1"/>
  <c r="AP91" i="1"/>
  <c r="AO91" i="1" s="1"/>
  <c r="AQ91" i="1"/>
  <c r="AR91" i="1"/>
  <c r="AQ92" i="1"/>
  <c r="AR92" i="1"/>
  <c r="AP93" i="1"/>
  <c r="AQ93" i="1"/>
  <c r="AR93" i="1"/>
  <c r="AQ94" i="1"/>
  <c r="AR94" i="1"/>
  <c r="AP95" i="1"/>
  <c r="AQ95" i="1"/>
  <c r="AR95" i="1"/>
  <c r="AP96" i="1"/>
  <c r="AQ96" i="1"/>
  <c r="AR96" i="1"/>
  <c r="AP97" i="1"/>
  <c r="AQ97" i="1"/>
  <c r="AR97" i="1"/>
  <c r="AP98" i="1"/>
  <c r="AQ98" i="1"/>
  <c r="AR98" i="1"/>
  <c r="AO99" i="1"/>
  <c r="AQ99" i="1"/>
  <c r="AR99" i="1"/>
  <c r="AP100" i="1"/>
  <c r="AQ100" i="1"/>
  <c r="AR100" i="1"/>
  <c r="AP101" i="1"/>
  <c r="AQ101" i="1"/>
  <c r="AR101" i="1"/>
  <c r="AQ102" i="1"/>
  <c r="AR102" i="1"/>
  <c r="AP103" i="1"/>
  <c r="AQ103" i="1"/>
  <c r="AR103" i="1"/>
  <c r="AP104" i="1"/>
  <c r="AQ104" i="1"/>
  <c r="AR104" i="1"/>
  <c r="AQ105" i="1"/>
  <c r="AR105" i="1"/>
  <c r="AP106" i="1"/>
  <c r="AQ106" i="1"/>
  <c r="AR106" i="1"/>
  <c r="AP107" i="1"/>
  <c r="AO107" i="1" s="1"/>
  <c r="AQ107" i="1"/>
  <c r="AR107" i="1"/>
  <c r="AP108" i="1"/>
  <c r="AQ108" i="1"/>
  <c r="AR108" i="1"/>
  <c r="AP109" i="1"/>
  <c r="AQ109" i="1"/>
  <c r="AR109" i="1"/>
  <c r="AP110" i="1"/>
  <c r="AQ110" i="1"/>
  <c r="AR110" i="1"/>
  <c r="AQ111" i="1"/>
  <c r="AR111" i="1"/>
  <c r="AP112" i="1"/>
  <c r="AQ112" i="1"/>
  <c r="AR112" i="1"/>
  <c r="AP113" i="1"/>
  <c r="AQ113" i="1"/>
  <c r="AR113" i="1"/>
  <c r="AP114" i="1"/>
  <c r="AQ114" i="1"/>
  <c r="AR114" i="1"/>
  <c r="AP115" i="1"/>
  <c r="AO115" i="1" s="1"/>
  <c r="AQ115" i="1"/>
  <c r="AR115" i="1"/>
  <c r="AP116" i="1"/>
  <c r="AQ116" i="1"/>
  <c r="AR116" i="1"/>
  <c r="AQ117" i="1"/>
  <c r="AR117" i="1"/>
  <c r="AP118" i="1"/>
  <c r="AQ118" i="1"/>
  <c r="AR118" i="1"/>
  <c r="AP119" i="1"/>
  <c r="AQ119" i="1"/>
  <c r="AR119" i="1"/>
  <c r="AP120" i="1"/>
  <c r="AQ120" i="1"/>
  <c r="AR120" i="1"/>
  <c r="AP121" i="1"/>
  <c r="AQ121" i="1"/>
  <c r="AR121" i="1"/>
  <c r="AP122" i="1"/>
  <c r="AQ122" i="1"/>
  <c r="AR122" i="1"/>
  <c r="AP123" i="1"/>
  <c r="AO123" i="1" s="1"/>
  <c r="AQ123" i="1"/>
  <c r="AR123" i="1"/>
  <c r="AP124" i="1"/>
  <c r="AQ124" i="1"/>
  <c r="AR124" i="1"/>
  <c r="AP125" i="1"/>
  <c r="AQ125" i="1"/>
  <c r="AR125" i="1"/>
  <c r="AP126" i="1"/>
  <c r="AQ126" i="1"/>
  <c r="AR126" i="1"/>
  <c r="AP127" i="1"/>
  <c r="AQ127" i="1"/>
  <c r="AR127" i="1"/>
  <c r="AQ128" i="1"/>
  <c r="AR128" i="1"/>
  <c r="AP129" i="1"/>
  <c r="AQ129" i="1"/>
  <c r="AR129" i="1"/>
  <c r="AP130" i="1"/>
  <c r="AQ130" i="1"/>
  <c r="AR130" i="1"/>
  <c r="AP131" i="1"/>
  <c r="AQ131" i="1"/>
  <c r="AR131" i="1"/>
  <c r="AP132" i="1"/>
  <c r="AQ132" i="1"/>
  <c r="AR132" i="1"/>
  <c r="AP133" i="1"/>
  <c r="AQ133" i="1"/>
  <c r="AR133" i="1"/>
  <c r="AP134" i="1"/>
  <c r="AQ134" i="1"/>
  <c r="AR134" i="1"/>
  <c r="AQ135" i="1"/>
  <c r="AR135" i="1"/>
  <c r="AP136" i="1"/>
  <c r="AQ136" i="1"/>
  <c r="AR136" i="1"/>
  <c r="AQ137" i="1"/>
  <c r="AR137" i="1"/>
  <c r="AP138" i="1"/>
  <c r="AQ138" i="1"/>
  <c r="AR138" i="1"/>
  <c r="AO139" i="1"/>
  <c r="AQ139" i="1"/>
  <c r="AR139" i="1"/>
  <c r="AQ140" i="1"/>
  <c r="AR140" i="1"/>
  <c r="AP141" i="1"/>
  <c r="AQ141" i="1"/>
  <c r="AR141" i="1"/>
  <c r="AP142" i="1"/>
  <c r="AQ142" i="1"/>
  <c r="AR142" i="1"/>
  <c r="AP143" i="1"/>
  <c r="AQ143" i="1"/>
  <c r="AR143" i="1"/>
  <c r="AP144" i="1"/>
  <c r="AQ144" i="1"/>
  <c r="AR144" i="1"/>
  <c r="AP145" i="1"/>
  <c r="AQ145" i="1"/>
  <c r="AR145" i="1"/>
  <c r="AP146" i="1"/>
  <c r="AQ146" i="1"/>
  <c r="AR146" i="1"/>
  <c r="AP147" i="1"/>
  <c r="AO147" i="1" s="1"/>
  <c r="AQ147" i="1"/>
  <c r="AR147" i="1"/>
  <c r="AP148" i="1"/>
  <c r="AQ148" i="1"/>
  <c r="AR148" i="1"/>
  <c r="AP149" i="1"/>
  <c r="AQ149" i="1"/>
  <c r="AR149" i="1"/>
  <c r="AP150" i="1"/>
  <c r="AQ150" i="1"/>
  <c r="AR150" i="1"/>
  <c r="AP151" i="1"/>
  <c r="AQ151" i="1"/>
  <c r="AR151" i="1"/>
  <c r="AP152" i="1"/>
  <c r="AO152" i="1" s="1"/>
  <c r="AQ152" i="1"/>
  <c r="AR152" i="1"/>
  <c r="AP153" i="1"/>
  <c r="AQ153" i="1"/>
  <c r="AR153" i="1"/>
  <c r="AP154" i="1"/>
  <c r="AQ154" i="1"/>
  <c r="AR154" i="1"/>
  <c r="AP155" i="1"/>
  <c r="AO155" i="1" s="1"/>
  <c r="AQ155" i="1"/>
  <c r="AR155" i="1"/>
  <c r="AQ156" i="1"/>
  <c r="AR156" i="1"/>
  <c r="AP157" i="1"/>
  <c r="AQ157" i="1"/>
  <c r="AR157" i="1"/>
  <c r="AP158" i="1"/>
  <c r="AQ158" i="1"/>
  <c r="AR158" i="1"/>
  <c r="AP159" i="1"/>
  <c r="AQ159" i="1"/>
  <c r="AR159" i="1"/>
  <c r="AP160" i="1"/>
  <c r="AO160" i="1" s="1"/>
  <c r="AQ160" i="1"/>
  <c r="AR160" i="1"/>
  <c r="AP161" i="1"/>
  <c r="AQ161" i="1"/>
  <c r="AR161" i="1"/>
  <c r="AP162" i="1"/>
  <c r="AQ162" i="1"/>
  <c r="AR162" i="1"/>
  <c r="AP163" i="1"/>
  <c r="AO163" i="1" s="1"/>
  <c r="AQ163" i="1"/>
  <c r="AR163" i="1"/>
  <c r="AP164" i="1"/>
  <c r="AQ164" i="1"/>
  <c r="AR164" i="1"/>
  <c r="AP165" i="1"/>
  <c r="AQ165" i="1"/>
  <c r="AR165" i="1"/>
  <c r="AP166" i="1"/>
  <c r="AQ166" i="1"/>
  <c r="AR166" i="1"/>
  <c r="AP167" i="1"/>
  <c r="AQ167" i="1"/>
  <c r="AR167" i="1"/>
  <c r="AP168" i="1"/>
  <c r="AQ168" i="1"/>
  <c r="AR168" i="1"/>
  <c r="AP169" i="1"/>
  <c r="AQ169" i="1"/>
  <c r="AR169" i="1"/>
  <c r="AP170" i="1"/>
  <c r="AQ170" i="1"/>
  <c r="AR170" i="1"/>
  <c r="AP171" i="1"/>
  <c r="AO171" i="1" s="1"/>
  <c r="AQ171" i="1"/>
  <c r="AR171" i="1"/>
  <c r="AP172" i="1"/>
  <c r="AQ172" i="1"/>
  <c r="AR172" i="1"/>
  <c r="AP173" i="1"/>
  <c r="AQ173" i="1"/>
  <c r="AR173" i="1"/>
  <c r="AP174" i="1"/>
  <c r="AQ174" i="1"/>
  <c r="AR174" i="1"/>
  <c r="AP175" i="1"/>
  <c r="AQ175" i="1"/>
  <c r="AR175" i="1"/>
  <c r="AP176" i="1"/>
  <c r="AO176" i="1" s="1"/>
  <c r="AQ176" i="1"/>
  <c r="AR176" i="1"/>
  <c r="AP177" i="1"/>
  <c r="AQ177" i="1"/>
  <c r="AR177" i="1"/>
  <c r="AR4" i="1"/>
  <c r="AQ4" i="1"/>
  <c r="AP4" i="1"/>
  <c r="AM132" i="1"/>
  <c r="V132" i="1"/>
  <c r="AL132" i="1" s="1"/>
  <c r="AM142" i="1"/>
  <c r="AM79" i="1"/>
  <c r="AM84" i="1"/>
  <c r="AM98" i="1"/>
  <c r="Q109" i="1"/>
  <c r="AM116" i="1"/>
  <c r="AM130" i="1"/>
  <c r="AM118" i="1"/>
  <c r="Q73" i="1"/>
  <c r="AM160" i="1"/>
  <c r="AM166" i="1"/>
  <c r="Q166" i="1"/>
  <c r="AM163" i="1"/>
  <c r="AM177" i="1"/>
  <c r="AM169" i="1"/>
  <c r="Q169" i="1"/>
  <c r="Q165" i="1"/>
  <c r="AM161" i="1"/>
  <c r="Q159" i="1"/>
  <c r="Q172" i="1"/>
  <c r="Q174" i="1"/>
  <c r="Q55" i="1"/>
  <c r="Q56" i="1"/>
  <c r="Q51" i="1"/>
  <c r="AM57" i="1"/>
  <c r="AM19" i="1"/>
  <c r="Q19" i="1"/>
  <c r="AM39" i="1"/>
  <c r="Q45" i="1"/>
  <c r="AM53" i="1"/>
  <c r="AM35" i="1"/>
  <c r="Q52" i="1"/>
  <c r="Q38" i="1"/>
  <c r="AM34" i="1"/>
  <c r="Q34" i="1"/>
  <c r="Q27" i="1"/>
  <c r="AM4" i="1"/>
  <c r="Q28" i="1"/>
  <c r="Q42" i="1"/>
  <c r="AM36" i="1"/>
  <c r="Q36" i="1"/>
  <c r="Q31" i="1"/>
  <c r="Q5" i="1"/>
  <c r="AM44" i="1"/>
  <c r="Q44" i="1"/>
  <c r="Q15" i="1"/>
  <c r="Q6" i="1"/>
  <c r="AM24" i="1"/>
  <c r="Q29" i="1"/>
  <c r="Q8" i="1"/>
  <c r="Q49" i="1"/>
  <c r="Q46" i="1"/>
  <c r="AM47" i="1"/>
  <c r="Q47" i="1"/>
  <c r="Q41" i="1"/>
  <c r="Q13" i="1"/>
  <c r="X132" i="1"/>
  <c r="E132" i="1"/>
  <c r="G132" i="1" s="1"/>
  <c r="AY13" i="1"/>
  <c r="AC13" i="1" s="1"/>
  <c r="AM13" i="1"/>
  <c r="X13" i="1"/>
  <c r="V13" i="1"/>
  <c r="AL13" i="1" s="1"/>
  <c r="E13" i="1"/>
  <c r="G13" i="1" s="1"/>
  <c r="AY41" i="1"/>
  <c r="AC41" i="1" s="1"/>
  <c r="AM41" i="1"/>
  <c r="X41" i="1"/>
  <c r="AN41" i="1" s="1"/>
  <c r="Z41" i="1" s="1"/>
  <c r="V41" i="1"/>
  <c r="AL41" i="1" s="1"/>
  <c r="E41" i="1"/>
  <c r="G41" i="1" s="1"/>
  <c r="AY40" i="1"/>
  <c r="AC40" i="1" s="1"/>
  <c r="AM40" i="1"/>
  <c r="X40" i="1"/>
  <c r="AN40" i="1" s="1"/>
  <c r="Z40" i="1" s="1"/>
  <c r="V40" i="1"/>
  <c r="AL40" i="1" s="1"/>
  <c r="Q40" i="1"/>
  <c r="E40" i="1"/>
  <c r="G40" i="1" s="1"/>
  <c r="AY47" i="1"/>
  <c r="AC47" i="1" s="1"/>
  <c r="X47" i="1"/>
  <c r="V47" i="1"/>
  <c r="AL47" i="1" s="1"/>
  <c r="E47" i="1"/>
  <c r="G47" i="1" s="1"/>
  <c r="AM46" i="1"/>
  <c r="X46" i="1"/>
  <c r="V46" i="1"/>
  <c r="AL46" i="1" s="1"/>
  <c r="E46" i="1"/>
  <c r="G46" i="1" s="1"/>
  <c r="AY49" i="1"/>
  <c r="AC49" i="1" s="1"/>
  <c r="AM49" i="1"/>
  <c r="X49" i="1"/>
  <c r="AN49" i="1" s="1"/>
  <c r="Z49" i="1" s="1"/>
  <c r="V49" i="1"/>
  <c r="AL49" i="1" s="1"/>
  <c r="E49" i="1"/>
  <c r="G49" i="1" s="1"/>
  <c r="AY48" i="1"/>
  <c r="AC48" i="1" s="1"/>
  <c r="X48" i="1"/>
  <c r="AN48" i="1" s="1"/>
  <c r="BD48" i="1" s="1"/>
  <c r="V48" i="1"/>
  <c r="AL48" i="1" s="1"/>
  <c r="E48" i="1"/>
  <c r="G48" i="1" s="1"/>
  <c r="AY9" i="1"/>
  <c r="AC9" i="1" s="1"/>
  <c r="X9" i="1"/>
  <c r="V9" i="1"/>
  <c r="AL9" i="1" s="1"/>
  <c r="E9" i="1"/>
  <c r="G9" i="1" s="1"/>
  <c r="AY8" i="1"/>
  <c r="AC8" i="1" s="1"/>
  <c r="AM8" i="1"/>
  <c r="X8" i="1"/>
  <c r="AO8" i="1" s="1"/>
  <c r="V8" i="1"/>
  <c r="AL8" i="1" s="1"/>
  <c r="E8" i="1"/>
  <c r="G8" i="1" s="1"/>
  <c r="AY30" i="1"/>
  <c r="AC30" i="1" s="1"/>
  <c r="AM30" i="1"/>
  <c r="X30" i="1"/>
  <c r="V30" i="1"/>
  <c r="AL30" i="1" s="1"/>
  <c r="Q30" i="1"/>
  <c r="E30" i="1"/>
  <c r="G30" i="1" s="1"/>
  <c r="AY29" i="1"/>
  <c r="AC29" i="1" s="1"/>
  <c r="AM29" i="1"/>
  <c r="X29" i="1"/>
  <c r="AN29" i="1" s="1"/>
  <c r="Z29" i="1" s="1"/>
  <c r="V29" i="1"/>
  <c r="AL29" i="1" s="1"/>
  <c r="E29" i="1"/>
  <c r="G29" i="1" s="1"/>
  <c r="AY24" i="1"/>
  <c r="AC24" i="1" s="1"/>
  <c r="X24" i="1"/>
  <c r="V24" i="1"/>
  <c r="AL24" i="1" s="1"/>
  <c r="Q24" i="1"/>
  <c r="E24" i="1"/>
  <c r="G24" i="1" s="1"/>
  <c r="AY23" i="1"/>
  <c r="AC23" i="1" s="1"/>
  <c r="AM23" i="1"/>
  <c r="X23" i="1"/>
  <c r="V23" i="1"/>
  <c r="AL23" i="1" s="1"/>
  <c r="Q23" i="1"/>
  <c r="E23" i="1"/>
  <c r="G23" i="1" s="1"/>
  <c r="AY22" i="1"/>
  <c r="AC22" i="1" s="1"/>
  <c r="AM22" i="1"/>
  <c r="X22" i="1"/>
  <c r="AN22" i="1" s="1"/>
  <c r="BF22" i="1" s="1"/>
  <c r="V22" i="1"/>
  <c r="AL22" i="1" s="1"/>
  <c r="Q22" i="1"/>
  <c r="E22" i="1"/>
  <c r="G22" i="1" s="1"/>
  <c r="AY12" i="1"/>
  <c r="AC12" i="1" s="1"/>
  <c r="X12" i="1"/>
  <c r="V12" i="1"/>
  <c r="AL12" i="1" s="1"/>
  <c r="E12" i="1"/>
  <c r="G12" i="1" s="1"/>
  <c r="AY10" i="1"/>
  <c r="AC10" i="1" s="1"/>
  <c r="X10" i="1"/>
  <c r="AN10" i="1" s="1"/>
  <c r="BF10" i="1" s="1"/>
  <c r="V10" i="1"/>
  <c r="AL10" i="1" s="1"/>
  <c r="E10" i="1"/>
  <c r="G10" i="1" s="1"/>
  <c r="AY6" i="1"/>
  <c r="AC6" i="1" s="1"/>
  <c r="AM6" i="1"/>
  <c r="X6" i="1"/>
  <c r="AO6" i="1" s="1"/>
  <c r="V6" i="1"/>
  <c r="AL6" i="1" s="1"/>
  <c r="E6" i="1"/>
  <c r="G6" i="1" s="1"/>
  <c r="AY15" i="1"/>
  <c r="AC15" i="1" s="1"/>
  <c r="AM15" i="1"/>
  <c r="X15" i="1"/>
  <c r="AN15" i="1" s="1"/>
  <c r="Z15" i="1" s="1"/>
  <c r="V15" i="1"/>
  <c r="AL15" i="1" s="1"/>
  <c r="E15" i="1"/>
  <c r="G15" i="1" s="1"/>
  <c r="AY14" i="1"/>
  <c r="AC14" i="1" s="1"/>
  <c r="AM14" i="1"/>
  <c r="X14" i="1"/>
  <c r="V14" i="1"/>
  <c r="AL14" i="1" s="1"/>
  <c r="Q14" i="1"/>
  <c r="E14" i="1"/>
  <c r="G14" i="1" s="1"/>
  <c r="AY44" i="1"/>
  <c r="AC44" i="1" s="1"/>
  <c r="X44" i="1"/>
  <c r="V44" i="1"/>
  <c r="AL44" i="1" s="1"/>
  <c r="E44" i="1"/>
  <c r="G44" i="1" s="1"/>
  <c r="AY43" i="1"/>
  <c r="AC43" i="1" s="1"/>
  <c r="AM43" i="1"/>
  <c r="X43" i="1"/>
  <c r="V43" i="1"/>
  <c r="AL43" i="1" s="1"/>
  <c r="Q43" i="1"/>
  <c r="E43" i="1"/>
  <c r="G43" i="1" s="1"/>
  <c r="AY21" i="1"/>
  <c r="AC21" i="1" s="1"/>
  <c r="AM21" i="1"/>
  <c r="X21" i="1"/>
  <c r="AN21" i="1" s="1"/>
  <c r="Z21" i="1" s="1"/>
  <c r="V21" i="1"/>
  <c r="AL21" i="1" s="1"/>
  <c r="Q21" i="1"/>
  <c r="E21" i="1"/>
  <c r="G21" i="1" s="1"/>
  <c r="AY20" i="1"/>
  <c r="AC20" i="1" s="1"/>
  <c r="X20" i="1"/>
  <c r="AN20" i="1" s="1"/>
  <c r="BD20" i="1" s="1"/>
  <c r="V20" i="1"/>
  <c r="AL20" i="1" s="1"/>
  <c r="E20" i="1"/>
  <c r="G20" i="1" s="1"/>
  <c r="AY11" i="1"/>
  <c r="AC11" i="1" s="1"/>
  <c r="X11" i="1"/>
  <c r="V11" i="1"/>
  <c r="AL11" i="1" s="1"/>
  <c r="E11" i="1"/>
  <c r="G11" i="1" s="1"/>
  <c r="AY5" i="1"/>
  <c r="AC5" i="1" s="1"/>
  <c r="AM5" i="1"/>
  <c r="X5" i="1"/>
  <c r="AO5" i="1" s="1"/>
  <c r="V5" i="1"/>
  <c r="AL5" i="1" s="1"/>
  <c r="E5" i="1"/>
  <c r="G5" i="1" s="1"/>
  <c r="AY7" i="1"/>
  <c r="AC7" i="1" s="1"/>
  <c r="AM7" i="1"/>
  <c r="X7" i="1"/>
  <c r="AO7" i="1" s="1"/>
  <c r="V7" i="1"/>
  <c r="AL7" i="1" s="1"/>
  <c r="Q7" i="1"/>
  <c r="E7" i="1"/>
  <c r="G7" i="1" s="1"/>
  <c r="AY31" i="1"/>
  <c r="AC31" i="1" s="1"/>
  <c r="AM31" i="1"/>
  <c r="X31" i="1"/>
  <c r="V31" i="1"/>
  <c r="AL31" i="1" s="1"/>
  <c r="E31" i="1"/>
  <c r="G31" i="1" s="1"/>
  <c r="AY36" i="1"/>
  <c r="AC36" i="1" s="1"/>
  <c r="X36" i="1"/>
  <c r="V36" i="1"/>
  <c r="AL36" i="1" s="1"/>
  <c r="E36" i="1"/>
  <c r="G36" i="1" s="1"/>
  <c r="AY42" i="1"/>
  <c r="AC42" i="1" s="1"/>
  <c r="AM42" i="1"/>
  <c r="X42" i="1"/>
  <c r="V42" i="1"/>
  <c r="AL42" i="1" s="1"/>
  <c r="E42" i="1"/>
  <c r="G42" i="1" s="1"/>
  <c r="AY28" i="1"/>
  <c r="AC28" i="1" s="1"/>
  <c r="AM28" i="1"/>
  <c r="X28" i="1"/>
  <c r="V28" i="1"/>
  <c r="AL28" i="1" s="1"/>
  <c r="E28" i="1"/>
  <c r="G28" i="1" s="1"/>
  <c r="X4" i="1"/>
  <c r="AO4" i="1" s="1"/>
  <c r="V4" i="1"/>
  <c r="AL4" i="1" s="1"/>
  <c r="E4" i="1"/>
  <c r="G4" i="1" s="1"/>
  <c r="AY27" i="1"/>
  <c r="AC27" i="1" s="1"/>
  <c r="X27" i="1"/>
  <c r="AG27" i="1" s="1"/>
  <c r="V27" i="1"/>
  <c r="AL27" i="1" s="1"/>
  <c r="E27" i="1"/>
  <c r="G27" i="1" s="1"/>
  <c r="AY26" i="1"/>
  <c r="AC26" i="1" s="1"/>
  <c r="AM26" i="1"/>
  <c r="X26" i="1"/>
  <c r="AG26" i="1" s="1"/>
  <c r="V26" i="1"/>
  <c r="AL26" i="1" s="1"/>
  <c r="Q26" i="1"/>
  <c r="E26" i="1"/>
  <c r="G26" i="1" s="1"/>
  <c r="AY32" i="1"/>
  <c r="AC32" i="1" s="1"/>
  <c r="AM32" i="1"/>
  <c r="X32" i="1"/>
  <c r="V32" i="1"/>
  <c r="AL32" i="1" s="1"/>
  <c r="Q32" i="1"/>
  <c r="E32" i="1"/>
  <c r="G32" i="1" s="1"/>
  <c r="AY18" i="1"/>
  <c r="AC18" i="1" s="1"/>
  <c r="AM18" i="1"/>
  <c r="X18" i="1"/>
  <c r="AG18" i="1" s="1"/>
  <c r="V18" i="1"/>
  <c r="AL18" i="1" s="1"/>
  <c r="Q18" i="1"/>
  <c r="E18" i="1"/>
  <c r="G18" i="1" s="1"/>
  <c r="AY34" i="1"/>
  <c r="AC34" i="1" s="1"/>
  <c r="X34" i="1"/>
  <c r="AH34" i="1" s="1"/>
  <c r="V34" i="1"/>
  <c r="AL34" i="1" s="1"/>
  <c r="E34" i="1"/>
  <c r="G34" i="1" s="1"/>
  <c r="AY38" i="1"/>
  <c r="AC38" i="1" s="1"/>
  <c r="AM38" i="1"/>
  <c r="X38" i="1"/>
  <c r="AH38" i="1" s="1"/>
  <c r="V38" i="1"/>
  <c r="AL38" i="1" s="1"/>
  <c r="E38" i="1"/>
  <c r="G38" i="1" s="1"/>
  <c r="AY37" i="1"/>
  <c r="AC37" i="1" s="1"/>
  <c r="AM37" i="1"/>
  <c r="X37" i="1"/>
  <c r="V37" i="1"/>
  <c r="AL37" i="1" s="1"/>
  <c r="Q37" i="1"/>
  <c r="E37" i="1"/>
  <c r="G37" i="1" s="1"/>
  <c r="AY52" i="1"/>
  <c r="AC52" i="1" s="1"/>
  <c r="X52" i="1"/>
  <c r="AN52" i="1" s="1"/>
  <c r="BD52" i="1" s="1"/>
  <c r="V52" i="1"/>
  <c r="E52" i="1"/>
  <c r="G52" i="1" s="1"/>
  <c r="AY35" i="1"/>
  <c r="AC35" i="1" s="1"/>
  <c r="X35" i="1"/>
  <c r="AN35" i="1" s="1"/>
  <c r="BF35" i="1" s="1"/>
  <c r="V35" i="1"/>
  <c r="AL35" i="1" s="1"/>
  <c r="Q35" i="1"/>
  <c r="E35" i="1"/>
  <c r="G35" i="1" s="1"/>
  <c r="AY33" i="1"/>
  <c r="AC33" i="1" s="1"/>
  <c r="AM33" i="1"/>
  <c r="X33" i="1"/>
  <c r="AH33" i="1" s="1"/>
  <c r="V33" i="1"/>
  <c r="E33" i="1"/>
  <c r="G33" i="1" s="1"/>
  <c r="AY58" i="1"/>
  <c r="AC58" i="1" s="1"/>
  <c r="AM58" i="1"/>
  <c r="X58" i="1"/>
  <c r="AN58" i="1" s="1"/>
  <c r="Z58" i="1" s="1"/>
  <c r="AA58" i="1" s="1"/>
  <c r="V58" i="1"/>
  <c r="Q58" i="1"/>
  <c r="E58" i="1"/>
  <c r="G58" i="1" s="1"/>
  <c r="AY54" i="1"/>
  <c r="AC54" i="1" s="1"/>
  <c r="AM54" i="1"/>
  <c r="X54" i="1"/>
  <c r="AN54" i="1" s="1"/>
  <c r="Z54" i="1" s="1"/>
  <c r="AA54" i="1" s="1"/>
  <c r="V54" i="1"/>
  <c r="Q54" i="1"/>
  <c r="E54" i="1"/>
  <c r="G54" i="1" s="1"/>
  <c r="AY53" i="1"/>
  <c r="AC53" i="1" s="1"/>
  <c r="X53" i="1"/>
  <c r="AH53" i="1" s="1"/>
  <c r="V53" i="1"/>
  <c r="AL53" i="1" s="1"/>
  <c r="E53" i="1"/>
  <c r="G53" i="1" s="1"/>
  <c r="AM60" i="1"/>
  <c r="X60" i="1"/>
  <c r="AH60" i="1" s="1"/>
  <c r="V60" i="1"/>
  <c r="AL60" i="1" s="1"/>
  <c r="E60" i="1"/>
  <c r="G60" i="1" s="1"/>
  <c r="AY59" i="1"/>
  <c r="AC59" i="1" s="1"/>
  <c r="AM59" i="1"/>
  <c r="X59" i="1"/>
  <c r="AN59" i="1" s="1"/>
  <c r="Z59" i="1" s="1"/>
  <c r="AA59" i="1" s="1"/>
  <c r="V59" i="1"/>
  <c r="AL59" i="1" s="1"/>
  <c r="Q59" i="1"/>
  <c r="E59" i="1"/>
  <c r="G59" i="1" s="1"/>
  <c r="AY45" i="1"/>
  <c r="AC45" i="1" s="1"/>
  <c r="X45" i="1"/>
  <c r="AN45" i="1" s="1"/>
  <c r="BD45" i="1" s="1"/>
  <c r="V45" i="1"/>
  <c r="E45" i="1"/>
  <c r="G45" i="1" s="1"/>
  <c r="AY39" i="1"/>
  <c r="AC39" i="1" s="1"/>
  <c r="X39" i="1"/>
  <c r="AN39" i="1" s="1"/>
  <c r="BF39" i="1" s="1"/>
  <c r="V39" i="1"/>
  <c r="AL39" i="1" s="1"/>
  <c r="E39" i="1"/>
  <c r="G39" i="1" s="1"/>
  <c r="AY61" i="1"/>
  <c r="AC61" i="1" s="1"/>
  <c r="AM61" i="1"/>
  <c r="X61" i="1"/>
  <c r="AN61" i="1" s="1"/>
  <c r="Z61" i="1" s="1"/>
  <c r="AA61" i="1" s="1"/>
  <c r="V61" i="1"/>
  <c r="AL61" i="1" s="1"/>
  <c r="E61" i="1"/>
  <c r="G61" i="1" s="1"/>
  <c r="AY25" i="1"/>
  <c r="AC25" i="1" s="1"/>
  <c r="AM25" i="1"/>
  <c r="X25" i="1"/>
  <c r="AG25" i="1" s="1"/>
  <c r="V25" i="1"/>
  <c r="Q25" i="1"/>
  <c r="E25" i="1"/>
  <c r="G25" i="1" s="1"/>
  <c r="AY17" i="1"/>
  <c r="AC17" i="1" s="1"/>
  <c r="AM17" i="1"/>
  <c r="X17" i="1"/>
  <c r="AN17" i="1" s="1"/>
  <c r="Z17" i="1" s="1"/>
  <c r="AA17" i="1" s="1"/>
  <c r="V17" i="1"/>
  <c r="Q17" i="1"/>
  <c r="E17" i="1"/>
  <c r="G17" i="1" s="1"/>
  <c r="AY19" i="1"/>
  <c r="AC19" i="1" s="1"/>
  <c r="X19" i="1"/>
  <c r="AG19" i="1" s="1"/>
  <c r="V19" i="1"/>
  <c r="AL19" i="1" s="1"/>
  <c r="E19" i="1"/>
  <c r="G19" i="1" s="1"/>
  <c r="X57" i="1"/>
  <c r="AG57" i="1" s="1"/>
  <c r="V57" i="1"/>
  <c r="AL57" i="1" s="1"/>
  <c r="E57" i="1"/>
  <c r="G57" i="1" s="1"/>
  <c r="AY51" i="1"/>
  <c r="AC51" i="1" s="1"/>
  <c r="AM51" i="1"/>
  <c r="X51" i="1"/>
  <c r="AH51" i="1" s="1"/>
  <c r="V51" i="1"/>
  <c r="AL51" i="1" s="1"/>
  <c r="E51" i="1"/>
  <c r="G51" i="1" s="1"/>
  <c r="AY56" i="1"/>
  <c r="AC56" i="1" s="1"/>
  <c r="AM56" i="1"/>
  <c r="X56" i="1"/>
  <c r="AG56" i="1" s="1"/>
  <c r="V56" i="1"/>
  <c r="E56" i="1"/>
  <c r="G56" i="1" s="1"/>
  <c r="X55" i="1"/>
  <c r="AH55" i="1" s="1"/>
  <c r="V55" i="1"/>
  <c r="AL55" i="1" s="1"/>
  <c r="E55" i="1"/>
  <c r="G55" i="1" s="1"/>
  <c r="AY50" i="1"/>
  <c r="AC50" i="1" s="1"/>
  <c r="AM50" i="1"/>
  <c r="X50" i="1"/>
  <c r="AH50" i="1" s="1"/>
  <c r="V50" i="1"/>
  <c r="AL50" i="1" s="1"/>
  <c r="Q50" i="1"/>
  <c r="E50" i="1"/>
  <c r="G50" i="1" s="1"/>
  <c r="AY16" i="1"/>
  <c r="AC16" i="1" s="1"/>
  <c r="AM16" i="1"/>
  <c r="X16" i="1"/>
  <c r="AN16" i="1" s="1"/>
  <c r="Z16" i="1" s="1"/>
  <c r="AA16" i="1" s="1"/>
  <c r="V16" i="1"/>
  <c r="AL16" i="1" s="1"/>
  <c r="Q16" i="1"/>
  <c r="E16" i="1"/>
  <c r="G16" i="1" s="1"/>
  <c r="AY176" i="1"/>
  <c r="AC176" i="1" s="1"/>
  <c r="AM176" i="1"/>
  <c r="X176" i="1"/>
  <c r="AN176" i="1" s="1"/>
  <c r="Z176" i="1" s="1"/>
  <c r="V176" i="1"/>
  <c r="Q176" i="1"/>
  <c r="E176" i="1"/>
  <c r="G176" i="1" s="1"/>
  <c r="AY174" i="1"/>
  <c r="AC174" i="1" s="1"/>
  <c r="AM174" i="1"/>
  <c r="X174" i="1"/>
  <c r="AH174" i="1" s="1"/>
  <c r="V174" i="1"/>
  <c r="AL174" i="1" s="1"/>
  <c r="E174" i="1"/>
  <c r="G174" i="1" s="1"/>
  <c r="AM173" i="1"/>
  <c r="X173" i="1"/>
  <c r="AH173" i="1" s="1"/>
  <c r="V173" i="1"/>
  <c r="AL173" i="1" s="1"/>
  <c r="E173" i="1"/>
  <c r="G173" i="1" s="1"/>
  <c r="AY172" i="1"/>
  <c r="AC172" i="1" s="1"/>
  <c r="AM172" i="1"/>
  <c r="X172" i="1"/>
  <c r="AN172" i="1" s="1"/>
  <c r="BF172" i="1" s="1"/>
  <c r="V172" i="1"/>
  <c r="AL172" i="1" s="1"/>
  <c r="E172" i="1"/>
  <c r="G172" i="1" s="1"/>
  <c r="X159" i="1"/>
  <c r="AN159" i="1" s="1"/>
  <c r="BD159" i="1" s="1"/>
  <c r="V159" i="1"/>
  <c r="E159" i="1"/>
  <c r="G159" i="1" s="1"/>
  <c r="X161" i="1"/>
  <c r="AN161" i="1" s="1"/>
  <c r="BD161" i="1" s="1"/>
  <c r="V161" i="1"/>
  <c r="AL161" i="1" s="1"/>
  <c r="Q161" i="1"/>
  <c r="E161" i="1"/>
  <c r="G161" i="1" s="1"/>
  <c r="AY165" i="1"/>
  <c r="AC165" i="1" s="1"/>
  <c r="AM165" i="1"/>
  <c r="X165" i="1"/>
  <c r="AG165" i="1" s="1"/>
  <c r="V165" i="1"/>
  <c r="E165" i="1"/>
  <c r="G165" i="1" s="1"/>
  <c r="AM164" i="1"/>
  <c r="X164" i="1"/>
  <c r="AH164" i="1" s="1"/>
  <c r="V164" i="1"/>
  <c r="AL164" i="1" s="1"/>
  <c r="Q164" i="1"/>
  <c r="E164" i="1"/>
  <c r="G164" i="1" s="1"/>
  <c r="AY168" i="1"/>
  <c r="AC168" i="1" s="1"/>
  <c r="AM168" i="1"/>
  <c r="X168" i="1"/>
  <c r="AN168" i="1" s="1"/>
  <c r="Z168" i="1" s="1"/>
  <c r="AA168" i="1" s="1"/>
  <c r="V168" i="1"/>
  <c r="Q168" i="1"/>
  <c r="E168" i="1"/>
  <c r="G168" i="1" s="1"/>
  <c r="X169" i="1"/>
  <c r="AH169" i="1" s="1"/>
  <c r="V169" i="1"/>
  <c r="AL169" i="1" s="1"/>
  <c r="E169" i="1"/>
  <c r="G169" i="1" s="1"/>
  <c r="AM175" i="1"/>
  <c r="X175" i="1"/>
  <c r="AH175" i="1" s="1"/>
  <c r="V175" i="1"/>
  <c r="AL175" i="1" s="1"/>
  <c r="E175" i="1"/>
  <c r="G175" i="1" s="1"/>
  <c r="AY162" i="1"/>
  <c r="AC162" i="1" s="1"/>
  <c r="AM162" i="1"/>
  <c r="X162" i="1"/>
  <c r="AN162" i="1" s="1"/>
  <c r="Z162" i="1" s="1"/>
  <c r="AA162" i="1" s="1"/>
  <c r="V162" i="1"/>
  <c r="AL162" i="1" s="1"/>
  <c r="Q162" i="1"/>
  <c r="E162" i="1"/>
  <c r="G162" i="1" s="1"/>
  <c r="AY177" i="1"/>
  <c r="AC177" i="1" s="1"/>
  <c r="X177" i="1"/>
  <c r="AN177" i="1" s="1"/>
  <c r="BF177" i="1" s="1"/>
  <c r="V177" i="1"/>
  <c r="AL177" i="1" s="1"/>
  <c r="Q177" i="1"/>
  <c r="E177" i="1"/>
  <c r="G177" i="1" s="1"/>
  <c r="AY163" i="1"/>
  <c r="AC163" i="1" s="1"/>
  <c r="X163" i="1"/>
  <c r="AN163" i="1" s="1"/>
  <c r="Z163" i="1" s="1"/>
  <c r="AA163" i="1" s="1"/>
  <c r="V163" i="1"/>
  <c r="AL163" i="1" s="1"/>
  <c r="E163" i="1"/>
  <c r="G163" i="1" s="1"/>
  <c r="AY170" i="1"/>
  <c r="AC170" i="1" s="1"/>
  <c r="AM170" i="1"/>
  <c r="X170" i="1"/>
  <c r="AH170" i="1" s="1"/>
  <c r="V170" i="1"/>
  <c r="E170" i="1"/>
  <c r="G170" i="1" s="1"/>
  <c r="AY171" i="1"/>
  <c r="AC171" i="1" s="1"/>
  <c r="AM171" i="1"/>
  <c r="X171" i="1"/>
  <c r="AN171" i="1" s="1"/>
  <c r="Z171" i="1" s="1"/>
  <c r="AA171" i="1" s="1"/>
  <c r="V171" i="1"/>
  <c r="Q171" i="1"/>
  <c r="E171" i="1"/>
  <c r="G171" i="1" s="1"/>
  <c r="AM167" i="1"/>
  <c r="X167" i="1"/>
  <c r="AN167" i="1" s="1"/>
  <c r="Z167" i="1" s="1"/>
  <c r="AA167" i="1" s="1"/>
  <c r="V167" i="1"/>
  <c r="AL167" i="1" s="1"/>
  <c r="Q167" i="1"/>
  <c r="E167" i="1"/>
  <c r="G167" i="1" s="1"/>
  <c r="AY166" i="1"/>
  <c r="AC166" i="1" s="1"/>
  <c r="X166" i="1"/>
  <c r="AH166" i="1" s="1"/>
  <c r="V166" i="1"/>
  <c r="AL166" i="1" s="1"/>
  <c r="E166" i="1"/>
  <c r="G166" i="1" s="1"/>
  <c r="AM157" i="1"/>
  <c r="X157" i="1"/>
  <c r="V157" i="1"/>
  <c r="AL157" i="1" s="1"/>
  <c r="Q157" i="1"/>
  <c r="E157" i="1"/>
  <c r="G157" i="1" s="1"/>
  <c r="AY160" i="1"/>
  <c r="AC160" i="1" s="1"/>
  <c r="X160" i="1"/>
  <c r="AH160" i="1" s="1"/>
  <c r="V160" i="1"/>
  <c r="AL160" i="1" s="1"/>
  <c r="Q160" i="1"/>
  <c r="E160" i="1"/>
  <c r="G160" i="1" s="1"/>
  <c r="AY158" i="1"/>
  <c r="AC158" i="1" s="1"/>
  <c r="X158" i="1"/>
  <c r="V158" i="1"/>
  <c r="AL158" i="1" s="1"/>
  <c r="E158" i="1"/>
  <c r="G158" i="1" s="1"/>
  <c r="AY123" i="1"/>
  <c r="AC123" i="1" s="1"/>
  <c r="AM123" i="1"/>
  <c r="X123" i="1"/>
  <c r="V123" i="1"/>
  <c r="AL123" i="1" s="1"/>
  <c r="Q123" i="1"/>
  <c r="E123" i="1"/>
  <c r="G123" i="1" s="1"/>
  <c r="AM73" i="1"/>
  <c r="X73" i="1"/>
  <c r="V73" i="1"/>
  <c r="AL73" i="1" s="1"/>
  <c r="E73" i="1"/>
  <c r="G73" i="1" s="1"/>
  <c r="AY112" i="1"/>
  <c r="AC112" i="1" s="1"/>
  <c r="AM112" i="1"/>
  <c r="X112" i="1"/>
  <c r="V112" i="1"/>
  <c r="AL112" i="1" s="1"/>
  <c r="Q112" i="1"/>
  <c r="E112" i="1"/>
  <c r="G112" i="1" s="1"/>
  <c r="AY97" i="1"/>
  <c r="AC97" i="1" s="1"/>
  <c r="AM97" i="1"/>
  <c r="X97" i="1"/>
  <c r="V97" i="1"/>
  <c r="AL97" i="1" s="1"/>
  <c r="Q97" i="1"/>
  <c r="E97" i="1"/>
  <c r="G97" i="1" s="1"/>
  <c r="X118" i="1"/>
  <c r="V118" i="1"/>
  <c r="AL118" i="1" s="1"/>
  <c r="E118" i="1"/>
  <c r="G118" i="1" s="1"/>
  <c r="AY130" i="1"/>
  <c r="AC130" i="1" s="1"/>
  <c r="X130" i="1"/>
  <c r="V130" i="1"/>
  <c r="AL130" i="1" s="1"/>
  <c r="Q130" i="1"/>
  <c r="E130" i="1"/>
  <c r="G130" i="1" s="1"/>
  <c r="X116" i="1"/>
  <c r="V116" i="1"/>
  <c r="AL116" i="1" s="1"/>
  <c r="Q116" i="1"/>
  <c r="E116" i="1"/>
  <c r="G116" i="1" s="1"/>
  <c r="AY120" i="1"/>
  <c r="AC120" i="1" s="1"/>
  <c r="X120" i="1"/>
  <c r="V120" i="1"/>
  <c r="AL120" i="1" s="1"/>
  <c r="E120" i="1"/>
  <c r="G120" i="1" s="1"/>
  <c r="AY137" i="1"/>
  <c r="AC137" i="1" s="1"/>
  <c r="AM137" i="1"/>
  <c r="X137" i="1"/>
  <c r="AO137" i="1" s="1"/>
  <c r="V137" i="1"/>
  <c r="AL137" i="1" s="1"/>
  <c r="Q137" i="1"/>
  <c r="E137" i="1"/>
  <c r="G137" i="1" s="1"/>
  <c r="AM109" i="1"/>
  <c r="X109" i="1"/>
  <c r="V109" i="1"/>
  <c r="AL109" i="1" s="1"/>
  <c r="E109" i="1"/>
  <c r="G109" i="1" s="1"/>
  <c r="AM100" i="1"/>
  <c r="X100" i="1"/>
  <c r="V100" i="1"/>
  <c r="AL100" i="1" s="1"/>
  <c r="Q100" i="1"/>
  <c r="E100" i="1"/>
  <c r="G100" i="1" s="1"/>
  <c r="AY128" i="1"/>
  <c r="AC128" i="1" s="1"/>
  <c r="AM128" i="1"/>
  <c r="X128" i="1"/>
  <c r="AO128" i="1" s="1"/>
  <c r="V128" i="1"/>
  <c r="AL128" i="1" s="1"/>
  <c r="Q128" i="1"/>
  <c r="E128" i="1"/>
  <c r="G128" i="1" s="1"/>
  <c r="AY98" i="1"/>
  <c r="AC98" i="1" s="1"/>
  <c r="X98" i="1"/>
  <c r="V98" i="1"/>
  <c r="AL98" i="1" s="1"/>
  <c r="E98" i="1"/>
  <c r="G98" i="1" s="1"/>
  <c r="AY84" i="1"/>
  <c r="AC84" i="1" s="1"/>
  <c r="X84" i="1"/>
  <c r="AO84" i="1" s="1"/>
  <c r="V84" i="1"/>
  <c r="AL84" i="1" s="1"/>
  <c r="Q84" i="1"/>
  <c r="E84" i="1"/>
  <c r="G84" i="1" s="1"/>
  <c r="X79" i="1"/>
  <c r="V79" i="1"/>
  <c r="AL79" i="1" s="1"/>
  <c r="Q79" i="1"/>
  <c r="E79" i="1"/>
  <c r="G79" i="1" s="1"/>
  <c r="X142" i="1"/>
  <c r="V142" i="1"/>
  <c r="AL142" i="1" s="1"/>
  <c r="Q142" i="1"/>
  <c r="E142" i="1"/>
  <c r="G142" i="1" s="1"/>
  <c r="AY129" i="1"/>
  <c r="AC129" i="1" s="1"/>
  <c r="AM129" i="1"/>
  <c r="X129" i="1"/>
  <c r="V129" i="1"/>
  <c r="AL129" i="1" s="1"/>
  <c r="Q129" i="1"/>
  <c r="E129" i="1"/>
  <c r="G129" i="1" s="1"/>
  <c r="AY131" i="1"/>
  <c r="AC131" i="1" s="1"/>
  <c r="AM131" i="1"/>
  <c r="X131" i="1"/>
  <c r="V131" i="1"/>
  <c r="AL131" i="1" s="1"/>
  <c r="Q131" i="1"/>
  <c r="E131" i="1"/>
  <c r="G131" i="1" s="1"/>
  <c r="AY139" i="1"/>
  <c r="AC139" i="1" s="1"/>
  <c r="AM139" i="1"/>
  <c r="X139" i="1"/>
  <c r="V139" i="1"/>
  <c r="AL139" i="1" s="1"/>
  <c r="Q139" i="1"/>
  <c r="E139" i="1"/>
  <c r="G139" i="1" s="1"/>
  <c r="AY138" i="1"/>
  <c r="AC138" i="1" s="1"/>
  <c r="AM138" i="1"/>
  <c r="X138" i="1"/>
  <c r="V138" i="1"/>
  <c r="AL138" i="1" s="1"/>
  <c r="Q138" i="1"/>
  <c r="E138" i="1"/>
  <c r="G138" i="1" s="1"/>
  <c r="AY152" i="1"/>
  <c r="AC152" i="1" s="1"/>
  <c r="AM152" i="1"/>
  <c r="X152" i="1"/>
  <c r="V152" i="1"/>
  <c r="AL152" i="1" s="1"/>
  <c r="Q152" i="1"/>
  <c r="E152" i="1"/>
  <c r="G152" i="1" s="1"/>
  <c r="AM151" i="1"/>
  <c r="X151" i="1"/>
  <c r="V151" i="1"/>
  <c r="AL151" i="1" s="1"/>
  <c r="Q151" i="1"/>
  <c r="E151" i="1"/>
  <c r="G151" i="1" s="1"/>
  <c r="AM149" i="1"/>
  <c r="X149" i="1"/>
  <c r="V149" i="1"/>
  <c r="AL149" i="1" s="1"/>
  <c r="Q149" i="1"/>
  <c r="E149" i="1"/>
  <c r="G149" i="1" s="1"/>
  <c r="AY147" i="1"/>
  <c r="AC147" i="1" s="1"/>
  <c r="AM147" i="1"/>
  <c r="X147" i="1"/>
  <c r="AG147" i="1" s="1"/>
  <c r="V147" i="1"/>
  <c r="AL147" i="1" s="1"/>
  <c r="Q147" i="1"/>
  <c r="E147" i="1"/>
  <c r="G147" i="1" s="1"/>
  <c r="AY146" i="1"/>
  <c r="AC146" i="1" s="1"/>
  <c r="AM146" i="1"/>
  <c r="X146" i="1"/>
  <c r="AG146" i="1" s="1"/>
  <c r="V146" i="1"/>
  <c r="AL146" i="1" s="1"/>
  <c r="Q146" i="1"/>
  <c r="E146" i="1"/>
  <c r="G146" i="1" s="1"/>
  <c r="AY155" i="1"/>
  <c r="AC155" i="1" s="1"/>
  <c r="AM155" i="1"/>
  <c r="X155" i="1"/>
  <c r="AG155" i="1" s="1"/>
  <c r="V155" i="1"/>
  <c r="AL155" i="1" s="1"/>
  <c r="Q155" i="1"/>
  <c r="E155" i="1"/>
  <c r="G155" i="1" s="1"/>
  <c r="AM145" i="1"/>
  <c r="X145" i="1"/>
  <c r="AG145" i="1" s="1"/>
  <c r="V145" i="1"/>
  <c r="AL145" i="1" s="1"/>
  <c r="Q145" i="1"/>
  <c r="E145" i="1"/>
  <c r="G145" i="1" s="1"/>
  <c r="AY135" i="1"/>
  <c r="AC135" i="1" s="1"/>
  <c r="AM135" i="1"/>
  <c r="X135" i="1"/>
  <c r="AG135" i="1" s="1"/>
  <c r="V135" i="1"/>
  <c r="AL135" i="1" s="1"/>
  <c r="Q135" i="1"/>
  <c r="E135" i="1"/>
  <c r="G135" i="1" s="1"/>
  <c r="AY70" i="1"/>
  <c r="AC70" i="1" s="1"/>
  <c r="AM70" i="1"/>
  <c r="X70" i="1"/>
  <c r="V70" i="1"/>
  <c r="AL70" i="1" s="1"/>
  <c r="Q70" i="1"/>
  <c r="E70" i="1"/>
  <c r="G70" i="1" s="1"/>
  <c r="AY67" i="1"/>
  <c r="AC67" i="1" s="1"/>
  <c r="AM67" i="1"/>
  <c r="X67" i="1"/>
  <c r="AG67" i="1" s="1"/>
  <c r="V67" i="1"/>
  <c r="AL67" i="1" s="1"/>
  <c r="Q67" i="1"/>
  <c r="E67" i="1"/>
  <c r="G67" i="1" s="1"/>
  <c r="AM66" i="1"/>
  <c r="X66" i="1"/>
  <c r="AO66" i="1" s="1"/>
  <c r="V66" i="1"/>
  <c r="AL66" i="1" s="1"/>
  <c r="Q66" i="1"/>
  <c r="E66" i="1"/>
  <c r="G66" i="1" s="1"/>
  <c r="AY111" i="1"/>
  <c r="AC111" i="1" s="1"/>
  <c r="AM111" i="1"/>
  <c r="X111" i="1"/>
  <c r="AG111" i="1" s="1"/>
  <c r="V111" i="1"/>
  <c r="AL111" i="1" s="1"/>
  <c r="Q111" i="1"/>
  <c r="E111" i="1"/>
  <c r="G111" i="1" s="1"/>
  <c r="AY105" i="1"/>
  <c r="AC105" i="1" s="1"/>
  <c r="AM105" i="1"/>
  <c r="X105" i="1"/>
  <c r="AG105" i="1" s="1"/>
  <c r="V105" i="1"/>
  <c r="AL105" i="1" s="1"/>
  <c r="Q105" i="1"/>
  <c r="E105" i="1"/>
  <c r="G105" i="1" s="1"/>
  <c r="AY88" i="1"/>
  <c r="AC88" i="1" s="1"/>
  <c r="AM88" i="1"/>
  <c r="X88" i="1"/>
  <c r="AG88" i="1" s="1"/>
  <c r="V88" i="1"/>
  <c r="AL88" i="1" s="1"/>
  <c r="Q88" i="1"/>
  <c r="E88" i="1"/>
  <c r="G88" i="1" s="1"/>
  <c r="AY107" i="1"/>
  <c r="AC107" i="1" s="1"/>
  <c r="AM107" i="1"/>
  <c r="X107" i="1"/>
  <c r="AG107" i="1" s="1"/>
  <c r="V107" i="1"/>
  <c r="AL107" i="1" s="1"/>
  <c r="Q107" i="1"/>
  <c r="E107" i="1"/>
  <c r="G107" i="1" s="1"/>
  <c r="AY83" i="1"/>
  <c r="AC83" i="1" s="1"/>
  <c r="AM83" i="1"/>
  <c r="X83" i="1"/>
  <c r="AG83" i="1" s="1"/>
  <c r="V83" i="1"/>
  <c r="AL83" i="1" s="1"/>
  <c r="Q83" i="1"/>
  <c r="E83" i="1"/>
  <c r="G83" i="1" s="1"/>
  <c r="AY71" i="1"/>
  <c r="AC71" i="1" s="1"/>
  <c r="AM71" i="1"/>
  <c r="X71" i="1"/>
  <c r="AH71" i="1" s="1"/>
  <c r="V71" i="1"/>
  <c r="AL71" i="1" s="1"/>
  <c r="Q71" i="1"/>
  <c r="E71" i="1"/>
  <c r="G71" i="1" s="1"/>
  <c r="AM87" i="1"/>
  <c r="X87" i="1"/>
  <c r="AH87" i="1" s="1"/>
  <c r="V87" i="1"/>
  <c r="AL87" i="1" s="1"/>
  <c r="Q87" i="1"/>
  <c r="E87" i="1"/>
  <c r="G87" i="1" s="1"/>
  <c r="AM124" i="1"/>
  <c r="X124" i="1"/>
  <c r="AH124" i="1" s="1"/>
  <c r="V124" i="1"/>
  <c r="AL124" i="1" s="1"/>
  <c r="Q124" i="1"/>
  <c r="E124" i="1"/>
  <c r="G124" i="1" s="1"/>
  <c r="AY134" i="1"/>
  <c r="AC134" i="1" s="1"/>
  <c r="AM134" i="1"/>
  <c r="X134" i="1"/>
  <c r="AH134" i="1" s="1"/>
  <c r="V134" i="1"/>
  <c r="AL134" i="1" s="1"/>
  <c r="Q134" i="1"/>
  <c r="E134" i="1"/>
  <c r="G134" i="1" s="1"/>
  <c r="AY122" i="1"/>
  <c r="AC122" i="1" s="1"/>
  <c r="AM122" i="1"/>
  <c r="X122" i="1"/>
  <c r="AH122" i="1" s="1"/>
  <c r="V122" i="1"/>
  <c r="AL122" i="1" s="1"/>
  <c r="Q122" i="1"/>
  <c r="E122" i="1"/>
  <c r="G122" i="1" s="1"/>
  <c r="AY113" i="1"/>
  <c r="AC113" i="1" s="1"/>
  <c r="AM113" i="1"/>
  <c r="X113" i="1"/>
  <c r="AH113" i="1" s="1"/>
  <c r="V113" i="1"/>
  <c r="AL113" i="1" s="1"/>
  <c r="Q113" i="1"/>
  <c r="E113" i="1"/>
  <c r="G113" i="1" s="1"/>
  <c r="AY96" i="1"/>
  <c r="AC96" i="1" s="1"/>
  <c r="AM96" i="1"/>
  <c r="X96" i="1"/>
  <c r="AH96" i="1" s="1"/>
  <c r="V96" i="1"/>
  <c r="AL96" i="1" s="1"/>
  <c r="Q96" i="1"/>
  <c r="E96" i="1"/>
  <c r="G96" i="1" s="1"/>
  <c r="AY119" i="1"/>
  <c r="AC119" i="1" s="1"/>
  <c r="AM119" i="1"/>
  <c r="X119" i="1"/>
  <c r="AH119" i="1" s="1"/>
  <c r="V119" i="1"/>
  <c r="AL119" i="1" s="1"/>
  <c r="Q119" i="1"/>
  <c r="E119" i="1"/>
  <c r="G119" i="1" s="1"/>
  <c r="AY106" i="1"/>
  <c r="AC106" i="1" s="1"/>
  <c r="AM106" i="1"/>
  <c r="X106" i="1"/>
  <c r="AH106" i="1" s="1"/>
  <c r="V106" i="1"/>
  <c r="AL106" i="1" s="1"/>
  <c r="Q106" i="1"/>
  <c r="E106" i="1"/>
  <c r="G106" i="1" s="1"/>
  <c r="AY91" i="1"/>
  <c r="AC91" i="1" s="1"/>
  <c r="AM91" i="1"/>
  <c r="X91" i="1"/>
  <c r="AH91" i="1" s="1"/>
  <c r="V91" i="1"/>
  <c r="AL91" i="1" s="1"/>
  <c r="Q91" i="1"/>
  <c r="E91" i="1"/>
  <c r="G91" i="1" s="1"/>
  <c r="AM82" i="1"/>
  <c r="X82" i="1"/>
  <c r="AH82" i="1" s="1"/>
  <c r="V82" i="1"/>
  <c r="AL82" i="1" s="1"/>
  <c r="Q82" i="1"/>
  <c r="E82" i="1"/>
  <c r="G82" i="1" s="1"/>
  <c r="AY81" i="1"/>
  <c r="AC81" i="1" s="1"/>
  <c r="AM81" i="1"/>
  <c r="X81" i="1"/>
  <c r="AH81" i="1" s="1"/>
  <c r="V81" i="1"/>
  <c r="AL81" i="1" s="1"/>
  <c r="Q81" i="1"/>
  <c r="E81" i="1"/>
  <c r="G81" i="1" s="1"/>
  <c r="AY69" i="1"/>
  <c r="AC69" i="1" s="1"/>
  <c r="AM69" i="1"/>
  <c r="X69" i="1"/>
  <c r="AH69" i="1" s="1"/>
  <c r="V69" i="1"/>
  <c r="AL69" i="1" s="1"/>
  <c r="Q69" i="1"/>
  <c r="E69" i="1"/>
  <c r="G69" i="1" s="1"/>
  <c r="AM95" i="1"/>
  <c r="X95" i="1"/>
  <c r="AH95" i="1" s="1"/>
  <c r="V95" i="1"/>
  <c r="AL95" i="1" s="1"/>
  <c r="Q95" i="1"/>
  <c r="E95" i="1"/>
  <c r="G95" i="1" s="1"/>
  <c r="AM86" i="1"/>
  <c r="X86" i="1"/>
  <c r="AH86" i="1" s="1"/>
  <c r="V86" i="1"/>
  <c r="AL86" i="1" s="1"/>
  <c r="Q86" i="1"/>
  <c r="E86" i="1"/>
  <c r="G86" i="1" s="1"/>
  <c r="AY65" i="1"/>
  <c r="AC65" i="1" s="1"/>
  <c r="AM65" i="1"/>
  <c r="X65" i="1"/>
  <c r="AH65" i="1" s="1"/>
  <c r="V65" i="1"/>
  <c r="AL65" i="1" s="1"/>
  <c r="Q65" i="1"/>
  <c r="E65" i="1"/>
  <c r="G65" i="1" s="1"/>
  <c r="AY64" i="1"/>
  <c r="AC64" i="1" s="1"/>
  <c r="AM64" i="1"/>
  <c r="X64" i="1"/>
  <c r="AH64" i="1" s="1"/>
  <c r="V64" i="1"/>
  <c r="AL64" i="1" s="1"/>
  <c r="Q64" i="1"/>
  <c r="E64" i="1"/>
  <c r="G64" i="1" s="1"/>
  <c r="AM63" i="1"/>
  <c r="X63" i="1"/>
  <c r="AG63" i="1" s="1"/>
  <c r="V63" i="1"/>
  <c r="AL63" i="1" s="1"/>
  <c r="Q63" i="1"/>
  <c r="E63" i="1"/>
  <c r="G63" i="1" s="1"/>
  <c r="AY80" i="1"/>
  <c r="AC80" i="1" s="1"/>
  <c r="AM80" i="1"/>
  <c r="X80" i="1"/>
  <c r="V80" i="1"/>
  <c r="AL80" i="1" s="1"/>
  <c r="Q80" i="1"/>
  <c r="E80" i="1"/>
  <c r="G80" i="1" s="1"/>
  <c r="AY76" i="1"/>
  <c r="AC76" i="1" s="1"/>
  <c r="AM76" i="1"/>
  <c r="X76" i="1"/>
  <c r="AG76" i="1" s="1"/>
  <c r="V76" i="1"/>
  <c r="AL76" i="1" s="1"/>
  <c r="Q76" i="1"/>
  <c r="E76" i="1"/>
  <c r="G76" i="1" s="1"/>
  <c r="AY62" i="1"/>
  <c r="AC62" i="1" s="1"/>
  <c r="AM62" i="1"/>
  <c r="X62" i="1"/>
  <c r="AG62" i="1" s="1"/>
  <c r="V62" i="1"/>
  <c r="AL62" i="1" s="1"/>
  <c r="Q62" i="1"/>
  <c r="E62" i="1"/>
  <c r="G62" i="1" s="1"/>
  <c r="AM141" i="1"/>
  <c r="X141" i="1"/>
  <c r="AG141" i="1" s="1"/>
  <c r="V141" i="1"/>
  <c r="AL141" i="1" s="1"/>
  <c r="Q141" i="1"/>
  <c r="E141" i="1"/>
  <c r="G141" i="1" s="1"/>
  <c r="AY136" i="1"/>
  <c r="AC136" i="1" s="1"/>
  <c r="AM136" i="1"/>
  <c r="X136" i="1"/>
  <c r="AG136" i="1" s="1"/>
  <c r="V136" i="1"/>
  <c r="AL136" i="1" s="1"/>
  <c r="Q136" i="1"/>
  <c r="E136" i="1"/>
  <c r="G136" i="1" s="1"/>
  <c r="AY75" i="1"/>
  <c r="AC75" i="1" s="1"/>
  <c r="AM75" i="1"/>
  <c r="X75" i="1"/>
  <c r="AG75" i="1" s="1"/>
  <c r="V75" i="1"/>
  <c r="AL75" i="1" s="1"/>
  <c r="Q75" i="1"/>
  <c r="E75" i="1"/>
  <c r="G75" i="1" s="1"/>
  <c r="AY150" i="1"/>
  <c r="AC150" i="1" s="1"/>
  <c r="AM150" i="1"/>
  <c r="X150" i="1"/>
  <c r="AG150" i="1" s="1"/>
  <c r="V150" i="1"/>
  <c r="AL150" i="1" s="1"/>
  <c r="Q150" i="1"/>
  <c r="E150" i="1"/>
  <c r="G150" i="1" s="1"/>
  <c r="AM148" i="1"/>
  <c r="X148" i="1"/>
  <c r="AG148" i="1" s="1"/>
  <c r="V148" i="1"/>
  <c r="AL148" i="1" s="1"/>
  <c r="Q148" i="1"/>
  <c r="E148" i="1"/>
  <c r="G148" i="1" s="1"/>
  <c r="AM143" i="1"/>
  <c r="X143" i="1"/>
  <c r="AG143" i="1" s="1"/>
  <c r="V143" i="1"/>
  <c r="AL143" i="1" s="1"/>
  <c r="Q143" i="1"/>
  <c r="E143" i="1"/>
  <c r="G143" i="1" s="1"/>
  <c r="AY99" i="1"/>
  <c r="AC99" i="1" s="1"/>
  <c r="AM99" i="1"/>
  <c r="X99" i="1"/>
  <c r="AG99" i="1" s="1"/>
  <c r="V99" i="1"/>
  <c r="AL99" i="1" s="1"/>
  <c r="Q99" i="1"/>
  <c r="E99" i="1"/>
  <c r="G99" i="1" s="1"/>
  <c r="AY114" i="1"/>
  <c r="AC114" i="1" s="1"/>
  <c r="AM114" i="1"/>
  <c r="X114" i="1"/>
  <c r="AG114" i="1" s="1"/>
  <c r="V114" i="1"/>
  <c r="AL114" i="1" s="1"/>
  <c r="Q114" i="1"/>
  <c r="E114" i="1"/>
  <c r="G114" i="1" s="1"/>
  <c r="AY153" i="1"/>
  <c r="AC153" i="1" s="1"/>
  <c r="AM153" i="1"/>
  <c r="X153" i="1"/>
  <c r="AG153" i="1" s="1"/>
  <c r="V153" i="1"/>
  <c r="AL153" i="1" s="1"/>
  <c r="Q153" i="1"/>
  <c r="E153" i="1"/>
  <c r="G153" i="1" s="1"/>
  <c r="AM133" i="1"/>
  <c r="X133" i="1"/>
  <c r="AG133" i="1" s="1"/>
  <c r="V133" i="1"/>
  <c r="AL133" i="1" s="1"/>
  <c r="Q133" i="1"/>
  <c r="E133" i="1"/>
  <c r="G133" i="1" s="1"/>
  <c r="AY103" i="1"/>
  <c r="AC103" i="1" s="1"/>
  <c r="AM103" i="1"/>
  <c r="X103" i="1"/>
  <c r="AG103" i="1" s="1"/>
  <c r="V103" i="1"/>
  <c r="AL103" i="1" s="1"/>
  <c r="Q103" i="1"/>
  <c r="E103" i="1"/>
  <c r="G103" i="1" s="1"/>
  <c r="AY144" i="1"/>
  <c r="AC144" i="1" s="1"/>
  <c r="AM144" i="1"/>
  <c r="X144" i="1"/>
  <c r="AG144" i="1" s="1"/>
  <c r="V144" i="1"/>
  <c r="AL144" i="1" s="1"/>
  <c r="Q144" i="1"/>
  <c r="E144" i="1"/>
  <c r="G144" i="1" s="1"/>
  <c r="AM125" i="1"/>
  <c r="X125" i="1"/>
  <c r="AG125" i="1" s="1"/>
  <c r="V125" i="1"/>
  <c r="AL125" i="1" s="1"/>
  <c r="Q125" i="1"/>
  <c r="E125" i="1"/>
  <c r="G125" i="1" s="1"/>
  <c r="AM121" i="1"/>
  <c r="X121" i="1"/>
  <c r="AG121" i="1" s="1"/>
  <c r="V121" i="1"/>
  <c r="AL121" i="1" s="1"/>
  <c r="Q121" i="1"/>
  <c r="E121" i="1"/>
  <c r="G121" i="1" s="1"/>
  <c r="AY110" i="1"/>
  <c r="AC110" i="1" s="1"/>
  <c r="AM110" i="1"/>
  <c r="X110" i="1"/>
  <c r="AG110" i="1" s="1"/>
  <c r="V110" i="1"/>
  <c r="AL110" i="1" s="1"/>
  <c r="Q110" i="1"/>
  <c r="E110" i="1"/>
  <c r="G110" i="1" s="1"/>
  <c r="AY68" i="1"/>
  <c r="AC68" i="1" s="1"/>
  <c r="AM68" i="1"/>
  <c r="X68" i="1"/>
  <c r="AG68" i="1" s="1"/>
  <c r="V68" i="1"/>
  <c r="AL68" i="1" s="1"/>
  <c r="Q68" i="1"/>
  <c r="E68" i="1"/>
  <c r="G68" i="1" s="1"/>
  <c r="AY104" i="1"/>
  <c r="AC104" i="1" s="1"/>
  <c r="AM104" i="1"/>
  <c r="X104" i="1"/>
  <c r="AG104" i="1" s="1"/>
  <c r="V104" i="1"/>
  <c r="AL104" i="1" s="1"/>
  <c r="Q104" i="1"/>
  <c r="E104" i="1"/>
  <c r="G104" i="1" s="1"/>
  <c r="AM127" i="1"/>
  <c r="X127" i="1"/>
  <c r="AG127" i="1" s="1"/>
  <c r="V127" i="1"/>
  <c r="AL127" i="1" s="1"/>
  <c r="Q127" i="1"/>
  <c r="E127" i="1"/>
  <c r="G127" i="1" s="1"/>
  <c r="Q117" i="1"/>
  <c r="Q74" i="1"/>
  <c r="Q77" i="1"/>
  <c r="Q89" i="1"/>
  <c r="Q140" i="1"/>
  <c r="Q154" i="1"/>
  <c r="Q156" i="1"/>
  <c r="Q72" i="1"/>
  <c r="Q94" i="1"/>
  <c r="Q101" i="1"/>
  <c r="Q78" i="1"/>
  <c r="Q90" i="1"/>
  <c r="Q92" i="1"/>
  <c r="Q126" i="1"/>
  <c r="Q85" i="1"/>
  <c r="Q93" i="1"/>
  <c r="Q108" i="1"/>
  <c r="Q115" i="1"/>
  <c r="AM117" i="1"/>
  <c r="AM74" i="1"/>
  <c r="AM77" i="1"/>
  <c r="AM89" i="1"/>
  <c r="AM140" i="1"/>
  <c r="AM154" i="1"/>
  <c r="AM156" i="1"/>
  <c r="AM72" i="1"/>
  <c r="AM94" i="1"/>
  <c r="AM101" i="1"/>
  <c r="AM78" i="1"/>
  <c r="AM90" i="1"/>
  <c r="AM92" i="1"/>
  <c r="AM126" i="1"/>
  <c r="AM85" i="1"/>
  <c r="AM93" i="1"/>
  <c r="AM108" i="1"/>
  <c r="AM115" i="1"/>
  <c r="AY115" i="1"/>
  <c r="AC115" i="1" s="1"/>
  <c r="X115" i="1"/>
  <c r="V115" i="1"/>
  <c r="AL115" i="1" s="1"/>
  <c r="E115" i="1"/>
  <c r="G115" i="1" s="1"/>
  <c r="AY108" i="1"/>
  <c r="AC108" i="1" s="1"/>
  <c r="X108" i="1"/>
  <c r="AH108" i="1" s="1"/>
  <c r="V108" i="1"/>
  <c r="AL108" i="1" s="1"/>
  <c r="E108" i="1"/>
  <c r="G108" i="1" s="1"/>
  <c r="X93" i="1"/>
  <c r="V93" i="1"/>
  <c r="AL93" i="1" s="1"/>
  <c r="E93" i="1"/>
  <c r="G93" i="1" s="1"/>
  <c r="AY85" i="1"/>
  <c r="AC85" i="1" s="1"/>
  <c r="X85" i="1"/>
  <c r="AH85" i="1" s="1"/>
  <c r="V85" i="1"/>
  <c r="AL85" i="1" s="1"/>
  <c r="E85" i="1"/>
  <c r="G85" i="1" s="1"/>
  <c r="AY126" i="1"/>
  <c r="AC126" i="1" s="1"/>
  <c r="X126" i="1"/>
  <c r="AG126" i="1" s="1"/>
  <c r="V126" i="1"/>
  <c r="AL126" i="1" s="1"/>
  <c r="E126" i="1"/>
  <c r="G126" i="1" s="1"/>
  <c r="AY92" i="1"/>
  <c r="AC92" i="1" s="1"/>
  <c r="X92" i="1"/>
  <c r="AG92" i="1" s="1"/>
  <c r="V92" i="1"/>
  <c r="AL92" i="1" s="1"/>
  <c r="E92" i="1"/>
  <c r="G92" i="1" s="1"/>
  <c r="AY90" i="1"/>
  <c r="AC90" i="1" s="1"/>
  <c r="X90" i="1"/>
  <c r="AH90" i="1" s="1"/>
  <c r="V90" i="1"/>
  <c r="AL90" i="1" s="1"/>
  <c r="E90" i="1"/>
  <c r="G90" i="1" s="1"/>
  <c r="AY78" i="1"/>
  <c r="AC78" i="1" s="1"/>
  <c r="X78" i="1"/>
  <c r="AH78" i="1" s="1"/>
  <c r="V78" i="1"/>
  <c r="AL78" i="1" s="1"/>
  <c r="E78" i="1"/>
  <c r="G78" i="1" s="1"/>
  <c r="X101" i="1"/>
  <c r="V101" i="1"/>
  <c r="AL101" i="1" s="1"/>
  <c r="E101" i="1"/>
  <c r="G101" i="1" s="1"/>
  <c r="AO83" i="1" l="1"/>
  <c r="AO168" i="1"/>
  <c r="AO144" i="1"/>
  <c r="AO136" i="1"/>
  <c r="AO120" i="1"/>
  <c r="AO112" i="1"/>
  <c r="AO104" i="1"/>
  <c r="AO96" i="1"/>
  <c r="AO64" i="1"/>
  <c r="AO56" i="1"/>
  <c r="AO40" i="1"/>
  <c r="AO32" i="1"/>
  <c r="AO16" i="1"/>
  <c r="AO10" i="1"/>
  <c r="AN11" i="1"/>
  <c r="BF11" i="1" s="1"/>
  <c r="AO11" i="1"/>
  <c r="AN14" i="1"/>
  <c r="Z14" i="1" s="1"/>
  <c r="AO14" i="1"/>
  <c r="AN9" i="1"/>
  <c r="BD9" i="1" s="1"/>
  <c r="AO9" i="1"/>
  <c r="AN13" i="1"/>
  <c r="Z13" i="1" s="1"/>
  <c r="AO13" i="1"/>
  <c r="AO173" i="1"/>
  <c r="AO165" i="1"/>
  <c r="AO157" i="1"/>
  <c r="AO149" i="1"/>
  <c r="AO141" i="1"/>
  <c r="AO133" i="1"/>
  <c r="AO125" i="1"/>
  <c r="AO109" i="1"/>
  <c r="AO101" i="1"/>
  <c r="AO93" i="1"/>
  <c r="AO85" i="1"/>
  <c r="AO69" i="1"/>
  <c r="AO61" i="1"/>
  <c r="AO53" i="1"/>
  <c r="AO45" i="1"/>
  <c r="AO37" i="1"/>
  <c r="AO29" i="1"/>
  <c r="AO21" i="1"/>
  <c r="AO170" i="1"/>
  <c r="AO162" i="1"/>
  <c r="AO146" i="1"/>
  <c r="AO138" i="1"/>
  <c r="AO130" i="1"/>
  <c r="AO122" i="1"/>
  <c r="AO114" i="1"/>
  <c r="AO106" i="1"/>
  <c r="AO98" i="1"/>
  <c r="AO90" i="1"/>
  <c r="AO82" i="1"/>
  <c r="AO58" i="1"/>
  <c r="AO50" i="1"/>
  <c r="AO42" i="1"/>
  <c r="AO34" i="1"/>
  <c r="AO26" i="1"/>
  <c r="AO18" i="1"/>
  <c r="AG80" i="1"/>
  <c r="AO80" i="1"/>
  <c r="AO175" i="1"/>
  <c r="AO167" i="1"/>
  <c r="AO159" i="1"/>
  <c r="AO151" i="1"/>
  <c r="AO143" i="1"/>
  <c r="AO135" i="1"/>
  <c r="AO127" i="1"/>
  <c r="AO119" i="1"/>
  <c r="AO111" i="1"/>
  <c r="AO103" i="1"/>
  <c r="AO95" i="1"/>
  <c r="AO87" i="1"/>
  <c r="AO79" i="1"/>
  <c r="AO71" i="1"/>
  <c r="AO63" i="1"/>
  <c r="AO55" i="1"/>
  <c r="AO47" i="1"/>
  <c r="AO39" i="1"/>
  <c r="AO31" i="1"/>
  <c r="AO23" i="1"/>
  <c r="AO15" i="1"/>
  <c r="AN12" i="1"/>
  <c r="BD12" i="1" s="1"/>
  <c r="AO12" i="1"/>
  <c r="AO172" i="1"/>
  <c r="AO164" i="1"/>
  <c r="AO148" i="1"/>
  <c r="AO132" i="1"/>
  <c r="AO124" i="1"/>
  <c r="AO116" i="1"/>
  <c r="AO108" i="1"/>
  <c r="AO100" i="1"/>
  <c r="AO92" i="1"/>
  <c r="AO76" i="1"/>
  <c r="AO68" i="1"/>
  <c r="AO60" i="1"/>
  <c r="AO52" i="1"/>
  <c r="AO44" i="1"/>
  <c r="AO36" i="1"/>
  <c r="AO28" i="1"/>
  <c r="AO20" i="1"/>
  <c r="AO131" i="1"/>
  <c r="AO177" i="1"/>
  <c r="AO169" i="1"/>
  <c r="AO161" i="1"/>
  <c r="AO153" i="1"/>
  <c r="AO145" i="1"/>
  <c r="AO129" i="1"/>
  <c r="AO121" i="1"/>
  <c r="AO113" i="1"/>
  <c r="AO105" i="1"/>
  <c r="AO97" i="1"/>
  <c r="AO81" i="1"/>
  <c r="AO73" i="1"/>
  <c r="AO65" i="1"/>
  <c r="AO57" i="1"/>
  <c r="AO49" i="1"/>
  <c r="AO41" i="1"/>
  <c r="AO33" i="1"/>
  <c r="AO25" i="1"/>
  <c r="AO17" i="1"/>
  <c r="AO43" i="1"/>
  <c r="AO174" i="1"/>
  <c r="AO166" i="1"/>
  <c r="AO158" i="1"/>
  <c r="AO150" i="1"/>
  <c r="AO142" i="1"/>
  <c r="AO134" i="1"/>
  <c r="AO126" i="1"/>
  <c r="AO118" i="1"/>
  <c r="AO110" i="1"/>
  <c r="AO86" i="1"/>
  <c r="AO78" i="1"/>
  <c r="AO70" i="1"/>
  <c r="AO62" i="1"/>
  <c r="AO54" i="1"/>
  <c r="AO46" i="1"/>
  <c r="AO38" i="1"/>
  <c r="AO30" i="1"/>
  <c r="AO22" i="1"/>
  <c r="AO19" i="1"/>
  <c r="BD22" i="1"/>
  <c r="BD35" i="1"/>
  <c r="BD15" i="1"/>
  <c r="BD176" i="1"/>
  <c r="BD14" i="1"/>
  <c r="BF159" i="1"/>
  <c r="BD11" i="1"/>
  <c r="BD59" i="1"/>
  <c r="BD10" i="1"/>
  <c r="BF54" i="1"/>
  <c r="BF167" i="1"/>
  <c r="BD39" i="1"/>
  <c r="BF49" i="1"/>
  <c r="BD171" i="1"/>
  <c r="BF59" i="1"/>
  <c r="BF14" i="1"/>
  <c r="BF58" i="1"/>
  <c r="BD54" i="1"/>
  <c r="BF45" i="1"/>
  <c r="BF41" i="1"/>
  <c r="BF29" i="1"/>
  <c r="BF21" i="1"/>
  <c r="BF17" i="1"/>
  <c r="BF13" i="1"/>
  <c r="BF9" i="1"/>
  <c r="BF163" i="1"/>
  <c r="BF168" i="1"/>
  <c r="BD58" i="1"/>
  <c r="BD49" i="1"/>
  <c r="BD41" i="1"/>
  <c r="BD29" i="1"/>
  <c r="BD21" i="1"/>
  <c r="BD17" i="1"/>
  <c r="BD13" i="1"/>
  <c r="BF162" i="1"/>
  <c r="BD168" i="1"/>
  <c r="BD163" i="1"/>
  <c r="BF61" i="1"/>
  <c r="BF48" i="1"/>
  <c r="BF40" i="1"/>
  <c r="BF20" i="1"/>
  <c r="BF16" i="1"/>
  <c r="BF12" i="1"/>
  <c r="BF161" i="1"/>
  <c r="BD172" i="1"/>
  <c r="BD177" i="1"/>
  <c r="BD167" i="1"/>
  <c r="BD162" i="1"/>
  <c r="BD61" i="1"/>
  <c r="BF52" i="1"/>
  <c r="BD40" i="1"/>
  <c r="BD16" i="1"/>
  <c r="BF176" i="1"/>
  <c r="BF15" i="1"/>
  <c r="BF171" i="1"/>
  <c r="Q132" i="1"/>
  <c r="AN132" i="1"/>
  <c r="AN113" i="1"/>
  <c r="AH45" i="1"/>
  <c r="AH76" i="1"/>
  <c r="AG113" i="1"/>
  <c r="AH103" i="1"/>
  <c r="AN153" i="1"/>
  <c r="AN136" i="1"/>
  <c r="AH56" i="1"/>
  <c r="AN103" i="1"/>
  <c r="AH57" i="1"/>
  <c r="AN110" i="1"/>
  <c r="AN127" i="1"/>
  <c r="AN148" i="1"/>
  <c r="AN63" i="1"/>
  <c r="AD11" i="1"/>
  <c r="AE11" i="1" s="1"/>
  <c r="AN99" i="1"/>
  <c r="AD113" i="1"/>
  <c r="AE113" i="1" s="1"/>
  <c r="AH136" i="1"/>
  <c r="AG86" i="1"/>
  <c r="AN82" i="1"/>
  <c r="AG163" i="1"/>
  <c r="AG55" i="1"/>
  <c r="AH61" i="1"/>
  <c r="AH68" i="1"/>
  <c r="AH121" i="1"/>
  <c r="AH133" i="1"/>
  <c r="AH114" i="1"/>
  <c r="AN75" i="1"/>
  <c r="AH141" i="1"/>
  <c r="AG162" i="1"/>
  <c r="AG45" i="1"/>
  <c r="AN121" i="1"/>
  <c r="AN114" i="1"/>
  <c r="AG51" i="1"/>
  <c r="AN124" i="1"/>
  <c r="AH52" i="1"/>
  <c r="AN50" i="1"/>
  <c r="AH19" i="1"/>
  <c r="AG34" i="1"/>
  <c r="AG177" i="1"/>
  <c r="AG164" i="1"/>
  <c r="AH165" i="1"/>
  <c r="AG161" i="1"/>
  <c r="AG159" i="1"/>
  <c r="AG172" i="1"/>
  <c r="AH177" i="1"/>
  <c r="AH161" i="1"/>
  <c r="AH159" i="1"/>
  <c r="AH172" i="1"/>
  <c r="AD40" i="1"/>
  <c r="AE40" i="1" s="1"/>
  <c r="AH163" i="1"/>
  <c r="AN164" i="1"/>
  <c r="AH25" i="1"/>
  <c r="AG59" i="1"/>
  <c r="AG60" i="1"/>
  <c r="AN56" i="1"/>
  <c r="AN51" i="1"/>
  <c r="AH59" i="1"/>
  <c r="AG52" i="1"/>
  <c r="AG50" i="1"/>
  <c r="AN55" i="1"/>
  <c r="AN25" i="1"/>
  <c r="AN141" i="1"/>
  <c r="AN76" i="1"/>
  <c r="AN64" i="1"/>
  <c r="AN86" i="1"/>
  <c r="AH99" i="1"/>
  <c r="AH150" i="1"/>
  <c r="AN96" i="1"/>
  <c r="AD162" i="1"/>
  <c r="AE162" i="1" s="1"/>
  <c r="AD61" i="1"/>
  <c r="AE61" i="1" s="1"/>
  <c r="AH125" i="1"/>
  <c r="AH143" i="1"/>
  <c r="AG173" i="1"/>
  <c r="AG174" i="1"/>
  <c r="AG54" i="1"/>
  <c r="AG58" i="1"/>
  <c r="AG33" i="1"/>
  <c r="AG35" i="1"/>
  <c r="AD22" i="1"/>
  <c r="AE22" i="1" s="1"/>
  <c r="AN173" i="1"/>
  <c r="AH144" i="1"/>
  <c r="AH62" i="1"/>
  <c r="AG134" i="1"/>
  <c r="AG167" i="1"/>
  <c r="AA176" i="1"/>
  <c r="AG53" i="1"/>
  <c r="AH54" i="1"/>
  <c r="AH58" i="1"/>
  <c r="AH35" i="1"/>
  <c r="AN57" i="1"/>
  <c r="AH127" i="1"/>
  <c r="AN125" i="1"/>
  <c r="AN143" i="1"/>
  <c r="AH148" i="1"/>
  <c r="AG95" i="1"/>
  <c r="AN71" i="1"/>
  <c r="AH167" i="1"/>
  <c r="AG176" i="1"/>
  <c r="AH104" i="1"/>
  <c r="AN144" i="1"/>
  <c r="AN62" i="1"/>
  <c r="AN134" i="1"/>
  <c r="AG171" i="1"/>
  <c r="AG170" i="1"/>
  <c r="AG175" i="1"/>
  <c r="AG169" i="1"/>
  <c r="AG168" i="1"/>
  <c r="AH176" i="1"/>
  <c r="AG16" i="1"/>
  <c r="AG17" i="1"/>
  <c r="AG39" i="1"/>
  <c r="AG38" i="1"/>
  <c r="AH80" i="1"/>
  <c r="AN95" i="1"/>
  <c r="AG81" i="1"/>
  <c r="AH171" i="1"/>
  <c r="AH162" i="1"/>
  <c r="AH168" i="1"/>
  <c r="AH16" i="1"/>
  <c r="AH17" i="1"/>
  <c r="AG61" i="1"/>
  <c r="AH39" i="1"/>
  <c r="AN104" i="1"/>
  <c r="AH110" i="1"/>
  <c r="AH153" i="1"/>
  <c r="AH75" i="1"/>
  <c r="AH63" i="1"/>
  <c r="AG96" i="1"/>
  <c r="AN92" i="1"/>
  <c r="AN68" i="1"/>
  <c r="AN133" i="1"/>
  <c r="AN150" i="1"/>
  <c r="AN80" i="1"/>
  <c r="AN81" i="1"/>
  <c r="AN106" i="1"/>
  <c r="AD35" i="1"/>
  <c r="AE35" i="1" s="1"/>
  <c r="AD14" i="1"/>
  <c r="AE14" i="1" s="1"/>
  <c r="AD177" i="1"/>
  <c r="AE177" i="1" s="1"/>
  <c r="AD48" i="1"/>
  <c r="AE48" i="1" s="1"/>
  <c r="AD39" i="1"/>
  <c r="AE39" i="1" s="1"/>
  <c r="AD49" i="1"/>
  <c r="AE49" i="1" s="1"/>
  <c r="Q175" i="1"/>
  <c r="AN175" i="1"/>
  <c r="AM48" i="1"/>
  <c r="Q48" i="1"/>
  <c r="Q20" i="1"/>
  <c r="AM20" i="1"/>
  <c r="AM159" i="1"/>
  <c r="AN44" i="1"/>
  <c r="AM9" i="1"/>
  <c r="Q9" i="1"/>
  <c r="AM10" i="1"/>
  <c r="Q10" i="1"/>
  <c r="Z11" i="1"/>
  <c r="AA11" i="1" s="1"/>
  <c r="AM11" i="1"/>
  <c r="AN60" i="1"/>
  <c r="Q60" i="1"/>
  <c r="AN169" i="1"/>
  <c r="Z159" i="1"/>
  <c r="AA159" i="1" s="1"/>
  <c r="AM45" i="1"/>
  <c r="AM52" i="1"/>
  <c r="Z10" i="1"/>
  <c r="AA10" i="1" s="1"/>
  <c r="Z9" i="1"/>
  <c r="AA9" i="1" s="1"/>
  <c r="AD167" i="1"/>
  <c r="AE167" i="1" s="1"/>
  <c r="AM55" i="1"/>
  <c r="Q57" i="1"/>
  <c r="Z39" i="1"/>
  <c r="AA39" i="1" s="1"/>
  <c r="Z45" i="1"/>
  <c r="AA45" i="1" s="1"/>
  <c r="Q4" i="1"/>
  <c r="AN6" i="1"/>
  <c r="AN8" i="1"/>
  <c r="AN47" i="1"/>
  <c r="Q158" i="1"/>
  <c r="AM158" i="1"/>
  <c r="Q118" i="1"/>
  <c r="Q120" i="1"/>
  <c r="AM120" i="1"/>
  <c r="Q98" i="1"/>
  <c r="Q53" i="1"/>
  <c r="AN53" i="1"/>
  <c r="Q33" i="1"/>
  <c r="AN33" i="1"/>
  <c r="AM12" i="1"/>
  <c r="Q12" i="1"/>
  <c r="AN174" i="1"/>
  <c r="AN46" i="1"/>
  <c r="AN170" i="1"/>
  <c r="Q170" i="1"/>
  <c r="AL171" i="1"/>
  <c r="Q61" i="1"/>
  <c r="Q39" i="1"/>
  <c r="AL52" i="1"/>
  <c r="Q11" i="1"/>
  <c r="Z52" i="1"/>
  <c r="AA52" i="1" s="1"/>
  <c r="AM27" i="1"/>
  <c r="AL168" i="1"/>
  <c r="Q173" i="1"/>
  <c r="AN165" i="1"/>
  <c r="AN19" i="1"/>
  <c r="Z12" i="1"/>
  <c r="AA12" i="1" s="1"/>
  <c r="Z48" i="1"/>
  <c r="AA48" i="1" s="1"/>
  <c r="AL176" i="1"/>
  <c r="AL56" i="1"/>
  <c r="AL17" i="1"/>
  <c r="AD52" i="1"/>
  <c r="AE52" i="1" s="1"/>
  <c r="AD21" i="1"/>
  <c r="AE21" i="1" s="1"/>
  <c r="AL170" i="1"/>
  <c r="Q163" i="1"/>
  <c r="Z177" i="1"/>
  <c r="AA177" i="1" s="1"/>
  <c r="AL165" i="1"/>
  <c r="Z161" i="1"/>
  <c r="AA161" i="1" s="1"/>
  <c r="AL25" i="1"/>
  <c r="AD20" i="1"/>
  <c r="AE20" i="1" s="1"/>
  <c r="Z22" i="1"/>
  <c r="AA22" i="1" s="1"/>
  <c r="AN23" i="1"/>
  <c r="AN24" i="1"/>
  <c r="AN30" i="1"/>
  <c r="AL54" i="1"/>
  <c r="AN43" i="1"/>
  <c r="AL58" i="1"/>
  <c r="AD12" i="1"/>
  <c r="AE12" i="1" s="1"/>
  <c r="AD29" i="1"/>
  <c r="AE29" i="1" s="1"/>
  <c r="AL159" i="1"/>
  <c r="Z172" i="1"/>
  <c r="AA172" i="1" s="1"/>
  <c r="AL45" i="1"/>
  <c r="AL33" i="1"/>
  <c r="Z35" i="1"/>
  <c r="AA35" i="1" s="1"/>
  <c r="Z20" i="1"/>
  <c r="AA20" i="1" s="1"/>
  <c r="AD15" i="1"/>
  <c r="AE15" i="1" s="1"/>
  <c r="AD10" i="1"/>
  <c r="AE10" i="1" s="1"/>
  <c r="AD9" i="1"/>
  <c r="AE9" i="1" s="1"/>
  <c r="AD41" i="1"/>
  <c r="AE41" i="1" s="1"/>
  <c r="AD13" i="1"/>
  <c r="AE13" i="1" s="1"/>
  <c r="Q102" i="1"/>
  <c r="AM102" i="1"/>
  <c r="AH66" i="1"/>
  <c r="AN66" i="1"/>
  <c r="AH149" i="1"/>
  <c r="AN149" i="1"/>
  <c r="AG69" i="1"/>
  <c r="AN91" i="1"/>
  <c r="AG122" i="1"/>
  <c r="AN87" i="1"/>
  <c r="AH88" i="1"/>
  <c r="AN88" i="1"/>
  <c r="AH155" i="1"/>
  <c r="AN155" i="1"/>
  <c r="AH152" i="1"/>
  <c r="AG152" i="1"/>
  <c r="AN152" i="1"/>
  <c r="AH139" i="1"/>
  <c r="AG139" i="1"/>
  <c r="AN139" i="1"/>
  <c r="AH129" i="1"/>
  <c r="AG129" i="1"/>
  <c r="AN129" i="1"/>
  <c r="AH79" i="1"/>
  <c r="AG79" i="1"/>
  <c r="AN79" i="1"/>
  <c r="AH98" i="1"/>
  <c r="AG98" i="1"/>
  <c r="AN98" i="1"/>
  <c r="AH100" i="1"/>
  <c r="AG100" i="1"/>
  <c r="AN100" i="1"/>
  <c r="AH137" i="1"/>
  <c r="AG137" i="1"/>
  <c r="AN137" i="1"/>
  <c r="AH123" i="1"/>
  <c r="AG123" i="1"/>
  <c r="AN123" i="1"/>
  <c r="AN166" i="1"/>
  <c r="AG166" i="1"/>
  <c r="AH97" i="1"/>
  <c r="AG97" i="1"/>
  <c r="AN97" i="1"/>
  <c r="AG157" i="1"/>
  <c r="AN157" i="1"/>
  <c r="AH70" i="1"/>
  <c r="AN70" i="1"/>
  <c r="AH130" i="1"/>
  <c r="AG130" i="1"/>
  <c r="AN130" i="1"/>
  <c r="AH157" i="1"/>
  <c r="AH112" i="1"/>
  <c r="AG112" i="1"/>
  <c r="AN112" i="1"/>
  <c r="AG65" i="1"/>
  <c r="AN69" i="1"/>
  <c r="AG119" i="1"/>
  <c r="AN122" i="1"/>
  <c r="AH107" i="1"/>
  <c r="AN107" i="1"/>
  <c r="AH145" i="1"/>
  <c r="AN145" i="1"/>
  <c r="AH120" i="1"/>
  <c r="AG120" i="1"/>
  <c r="AN120" i="1"/>
  <c r="AH158" i="1"/>
  <c r="AG158" i="1"/>
  <c r="AN158" i="1"/>
  <c r="AD59" i="1"/>
  <c r="AE59" i="1" s="1"/>
  <c r="AH147" i="1"/>
  <c r="AN147" i="1"/>
  <c r="AG64" i="1"/>
  <c r="AG106" i="1"/>
  <c r="AG71" i="1"/>
  <c r="AG66" i="1"/>
  <c r="AH67" i="1"/>
  <c r="AN67" i="1"/>
  <c r="AG149" i="1"/>
  <c r="AH151" i="1"/>
  <c r="AG151" i="1"/>
  <c r="AN151" i="1"/>
  <c r="AH138" i="1"/>
  <c r="AG138" i="1"/>
  <c r="AN138" i="1"/>
  <c r="AH131" i="1"/>
  <c r="AG131" i="1"/>
  <c r="AN131" i="1"/>
  <c r="AH142" i="1"/>
  <c r="AG142" i="1"/>
  <c r="AN142" i="1"/>
  <c r="AH84" i="1"/>
  <c r="AG84" i="1"/>
  <c r="AN84" i="1"/>
  <c r="AH128" i="1"/>
  <c r="AG128" i="1"/>
  <c r="AN128" i="1"/>
  <c r="AH109" i="1"/>
  <c r="AG109" i="1"/>
  <c r="AN109" i="1"/>
  <c r="AH118" i="1"/>
  <c r="AG118" i="1"/>
  <c r="AN118" i="1"/>
  <c r="AH111" i="1"/>
  <c r="AN111" i="1"/>
  <c r="AG91" i="1"/>
  <c r="AG87" i="1"/>
  <c r="AH83" i="1"/>
  <c r="AN83" i="1"/>
  <c r="AH105" i="1"/>
  <c r="AN105" i="1"/>
  <c r="AH146" i="1"/>
  <c r="AN146" i="1"/>
  <c r="AH73" i="1"/>
  <c r="AG73" i="1"/>
  <c r="AN73" i="1"/>
  <c r="AN65" i="1"/>
  <c r="AG82" i="1"/>
  <c r="AN119" i="1"/>
  <c r="AG124" i="1"/>
  <c r="AG70" i="1"/>
  <c r="AH135" i="1"/>
  <c r="AN135" i="1"/>
  <c r="AH116" i="1"/>
  <c r="AG116" i="1"/>
  <c r="AN116" i="1"/>
  <c r="AN160" i="1"/>
  <c r="AG160" i="1"/>
  <c r="AD17" i="1"/>
  <c r="AE17" i="1" s="1"/>
  <c r="AD54" i="1"/>
  <c r="AE54" i="1" s="1"/>
  <c r="AD161" i="1"/>
  <c r="AE161" i="1" s="1"/>
  <c r="AD172" i="1"/>
  <c r="AE172" i="1" s="1"/>
  <c r="AD16" i="1"/>
  <c r="AE16" i="1" s="1"/>
  <c r="AD58" i="1"/>
  <c r="AE58" i="1" s="1"/>
  <c r="AN32" i="1"/>
  <c r="AH32" i="1"/>
  <c r="AG32" i="1"/>
  <c r="AD163" i="1"/>
  <c r="AE163" i="1" s="1"/>
  <c r="AN37" i="1"/>
  <c r="AH37" i="1"/>
  <c r="AG37" i="1"/>
  <c r="AD45" i="1"/>
  <c r="AE45" i="1" s="1"/>
  <c r="AD171" i="1"/>
  <c r="AE171" i="1" s="1"/>
  <c r="AD168" i="1"/>
  <c r="AE168" i="1" s="1"/>
  <c r="AD159" i="1"/>
  <c r="AE159" i="1" s="1"/>
  <c r="AD176" i="1"/>
  <c r="AE176" i="1" s="1"/>
  <c r="AN27" i="1"/>
  <c r="AH27" i="1"/>
  <c r="AN18" i="1"/>
  <c r="AH18" i="1"/>
  <c r="AN28" i="1"/>
  <c r="AH28" i="1"/>
  <c r="AG28" i="1"/>
  <c r="AN36" i="1"/>
  <c r="AH36" i="1"/>
  <c r="AG36" i="1"/>
  <c r="AN7" i="1"/>
  <c r="AH7" i="1"/>
  <c r="AG7" i="1"/>
  <c r="AN34" i="1"/>
  <c r="AN26" i="1"/>
  <c r="AH26" i="1"/>
  <c r="AN38" i="1"/>
  <c r="AN4" i="1"/>
  <c r="AH4" i="1"/>
  <c r="AG4" i="1"/>
  <c r="AN42" i="1"/>
  <c r="AH42" i="1"/>
  <c r="AG42" i="1"/>
  <c r="AN31" i="1"/>
  <c r="AH31" i="1"/>
  <c r="AG31" i="1"/>
  <c r="AN5" i="1"/>
  <c r="AH5" i="1"/>
  <c r="AG5" i="1"/>
  <c r="AG11" i="1"/>
  <c r="AG20" i="1"/>
  <c r="AG21" i="1"/>
  <c r="AG43" i="1"/>
  <c r="AG44" i="1"/>
  <c r="AG14" i="1"/>
  <c r="AG15" i="1"/>
  <c r="AG6" i="1"/>
  <c r="AG10" i="1"/>
  <c r="AG12" i="1"/>
  <c r="AG22" i="1"/>
  <c r="AG23" i="1"/>
  <c r="AG24" i="1"/>
  <c r="AG29" i="1"/>
  <c r="AG30" i="1"/>
  <c r="AG8" i="1"/>
  <c r="AG9" i="1"/>
  <c r="AG48" i="1"/>
  <c r="AG49" i="1"/>
  <c r="AG46" i="1"/>
  <c r="AG47" i="1"/>
  <c r="AG40" i="1"/>
  <c r="AG41" i="1"/>
  <c r="AG13" i="1"/>
  <c r="AG132" i="1"/>
  <c r="AH11" i="1"/>
  <c r="AH20" i="1"/>
  <c r="AH21" i="1"/>
  <c r="AH43" i="1"/>
  <c r="AH44" i="1"/>
  <c r="AH14" i="1"/>
  <c r="AH15" i="1"/>
  <c r="AH6" i="1"/>
  <c r="AH10" i="1"/>
  <c r="AH12" i="1"/>
  <c r="AH22" i="1"/>
  <c r="AH23" i="1"/>
  <c r="AH24" i="1"/>
  <c r="AH29" i="1"/>
  <c r="AH30" i="1"/>
  <c r="AH8" i="1"/>
  <c r="AH9" i="1"/>
  <c r="AH48" i="1"/>
  <c r="AH49" i="1"/>
  <c r="AH46" i="1"/>
  <c r="AH47" i="1"/>
  <c r="AH40" i="1"/>
  <c r="AH41" i="1"/>
  <c r="AH13" i="1"/>
  <c r="AH132" i="1"/>
  <c r="AA21" i="1"/>
  <c r="AA14" i="1"/>
  <c r="AA15" i="1"/>
  <c r="AA29" i="1"/>
  <c r="AA49" i="1"/>
  <c r="AA40" i="1"/>
  <c r="AA41" i="1"/>
  <c r="AA13" i="1"/>
  <c r="AN93" i="1"/>
  <c r="AN115" i="1"/>
  <c r="AN101" i="1"/>
  <c r="AN85" i="1"/>
  <c r="AN90" i="1"/>
  <c r="AN108" i="1"/>
  <c r="AN126" i="1"/>
  <c r="AN78" i="1"/>
  <c r="AG108" i="1"/>
  <c r="AG101" i="1"/>
  <c r="AG78" i="1"/>
  <c r="AH101" i="1"/>
  <c r="AG115" i="1"/>
  <c r="AH115" i="1"/>
  <c r="AH126" i="1"/>
  <c r="AG90" i="1"/>
  <c r="AH92" i="1"/>
  <c r="AG93" i="1"/>
  <c r="AG85" i="1"/>
  <c r="AH93" i="1"/>
  <c r="AD85" i="1" l="1"/>
  <c r="AE85" i="1" s="1"/>
  <c r="BD85" i="1"/>
  <c r="BF85" i="1"/>
  <c r="Z107" i="1"/>
  <c r="AA107" i="1" s="1"/>
  <c r="BF107" i="1"/>
  <c r="BD107" i="1"/>
  <c r="AD101" i="1"/>
  <c r="AE101" i="1" s="1"/>
  <c r="BF101" i="1"/>
  <c r="BD101" i="1"/>
  <c r="Z4" i="1"/>
  <c r="AA4" i="1" s="1"/>
  <c r="BF4" i="1"/>
  <c r="BD4" i="1"/>
  <c r="BD73" i="1"/>
  <c r="BF73" i="1"/>
  <c r="BD142" i="1"/>
  <c r="BF142" i="1"/>
  <c r="Z122" i="1"/>
  <c r="AA122" i="1" s="1"/>
  <c r="BD122" i="1"/>
  <c r="BF122" i="1"/>
  <c r="Z8" i="1"/>
  <c r="AA8" i="1" s="1"/>
  <c r="BD8" i="1"/>
  <c r="BF8" i="1"/>
  <c r="Z133" i="1"/>
  <c r="AA133" i="1" s="1"/>
  <c r="BD133" i="1"/>
  <c r="BF133" i="1"/>
  <c r="Z75" i="1"/>
  <c r="AA75" i="1" s="1"/>
  <c r="BD75" i="1"/>
  <c r="BF75" i="1"/>
  <c r="Z127" i="1"/>
  <c r="AA127" i="1" s="1"/>
  <c r="BD127" i="1"/>
  <c r="BF127" i="1"/>
  <c r="AD93" i="1"/>
  <c r="AE93" i="1" s="1"/>
  <c r="BD93" i="1"/>
  <c r="BF93" i="1"/>
  <c r="Z31" i="1"/>
  <c r="AA31" i="1" s="1"/>
  <c r="BF31" i="1"/>
  <c r="BD31" i="1"/>
  <c r="Z36" i="1"/>
  <c r="AA36" i="1" s="1"/>
  <c r="BD36" i="1"/>
  <c r="BF36" i="1"/>
  <c r="Z46" i="1"/>
  <c r="AA46" i="1" s="1"/>
  <c r="BD46" i="1"/>
  <c r="BF46" i="1"/>
  <c r="Z6" i="1"/>
  <c r="AA6" i="1" s="1"/>
  <c r="BD6" i="1"/>
  <c r="BF6" i="1"/>
  <c r="Z57" i="1"/>
  <c r="AA57" i="1" s="1"/>
  <c r="BF57" i="1"/>
  <c r="BD57" i="1"/>
  <c r="Z124" i="1"/>
  <c r="AA124" i="1" s="1"/>
  <c r="BF124" i="1"/>
  <c r="BD124" i="1"/>
  <c r="Z146" i="1"/>
  <c r="AA146" i="1" s="1"/>
  <c r="BD146" i="1"/>
  <c r="BF146" i="1"/>
  <c r="Z111" i="1"/>
  <c r="AA111" i="1" s="1"/>
  <c r="BD111" i="1"/>
  <c r="BF111" i="1"/>
  <c r="BD128" i="1"/>
  <c r="BF128" i="1"/>
  <c r="Z69" i="1"/>
  <c r="AA69" i="1" s="1"/>
  <c r="BD69" i="1"/>
  <c r="BF69" i="1"/>
  <c r="Z100" i="1"/>
  <c r="AA100" i="1" s="1"/>
  <c r="BD100" i="1"/>
  <c r="BF100" i="1"/>
  <c r="Z91" i="1"/>
  <c r="AA91" i="1" s="1"/>
  <c r="BD91" i="1"/>
  <c r="BF91" i="1"/>
  <c r="BD30" i="1"/>
  <c r="BF30" i="1"/>
  <c r="Z174" i="1"/>
  <c r="AA174" i="1" s="1"/>
  <c r="BD174" i="1"/>
  <c r="BF174" i="1"/>
  <c r="Z92" i="1"/>
  <c r="AA92" i="1" s="1"/>
  <c r="BD92" i="1"/>
  <c r="BF92" i="1"/>
  <c r="Z86" i="1"/>
  <c r="AA86" i="1" s="1"/>
  <c r="BD86" i="1"/>
  <c r="BF86" i="1"/>
  <c r="Z7" i="1"/>
  <c r="AA7" i="1" s="1"/>
  <c r="BF7" i="1"/>
  <c r="BD7" i="1"/>
  <c r="Z83" i="1"/>
  <c r="AA83" i="1" s="1"/>
  <c r="BD83" i="1"/>
  <c r="BF83" i="1"/>
  <c r="Z158" i="1"/>
  <c r="AA158" i="1" s="1"/>
  <c r="BF158" i="1"/>
  <c r="BD158" i="1"/>
  <c r="Z139" i="1"/>
  <c r="AA139" i="1" s="1"/>
  <c r="BF139" i="1"/>
  <c r="BD139" i="1"/>
  <c r="BF137" i="1"/>
  <c r="BD137" i="1"/>
  <c r="Z60" i="1"/>
  <c r="AA60" i="1" s="1"/>
  <c r="BF60" i="1"/>
  <c r="BD60" i="1"/>
  <c r="Z96" i="1"/>
  <c r="AA96" i="1" s="1"/>
  <c r="BD96" i="1"/>
  <c r="BF96" i="1"/>
  <c r="Z115" i="1"/>
  <c r="AA115" i="1" s="1"/>
  <c r="BF115" i="1"/>
  <c r="BD115" i="1"/>
  <c r="Z135" i="1"/>
  <c r="AA135" i="1" s="1"/>
  <c r="BF135" i="1"/>
  <c r="BD135" i="1"/>
  <c r="Z87" i="1"/>
  <c r="AA87" i="1" s="1"/>
  <c r="BD87" i="1"/>
  <c r="BF87" i="1"/>
  <c r="Z43" i="1"/>
  <c r="AA43" i="1" s="1"/>
  <c r="BF43" i="1"/>
  <c r="BD43" i="1"/>
  <c r="Z104" i="1"/>
  <c r="AA104" i="1" s="1"/>
  <c r="BD104" i="1"/>
  <c r="BF104" i="1"/>
  <c r="Z164" i="1"/>
  <c r="AA164" i="1" s="1"/>
  <c r="BD164" i="1"/>
  <c r="BF164" i="1"/>
  <c r="Z82" i="1"/>
  <c r="AA82" i="1" s="1"/>
  <c r="BD82" i="1"/>
  <c r="BF82" i="1"/>
  <c r="Z120" i="1"/>
  <c r="AA120" i="1" s="1"/>
  <c r="BF120" i="1"/>
  <c r="BD120" i="1"/>
  <c r="Z68" i="1"/>
  <c r="AA68" i="1" s="1"/>
  <c r="BD68" i="1"/>
  <c r="BF68" i="1"/>
  <c r="Z110" i="1"/>
  <c r="AA110" i="1" s="1"/>
  <c r="BF110" i="1"/>
  <c r="BD110" i="1"/>
  <c r="AD78" i="1"/>
  <c r="AE78" i="1" s="1"/>
  <c r="BD78" i="1"/>
  <c r="BF78" i="1"/>
  <c r="BD26" i="1"/>
  <c r="BF26" i="1"/>
  <c r="Z126" i="1"/>
  <c r="AA126" i="1" s="1"/>
  <c r="BD126" i="1"/>
  <c r="BF126" i="1"/>
  <c r="BD34" i="1"/>
  <c r="BF34" i="1"/>
  <c r="BF131" i="1"/>
  <c r="BD131" i="1"/>
  <c r="Z147" i="1"/>
  <c r="AA147" i="1" s="1"/>
  <c r="BD147" i="1"/>
  <c r="BF147" i="1"/>
  <c r="Z70" i="1"/>
  <c r="AA70" i="1" s="1"/>
  <c r="BD70" i="1"/>
  <c r="BF70" i="1"/>
  <c r="Z166" i="1"/>
  <c r="AA166" i="1" s="1"/>
  <c r="BF166" i="1"/>
  <c r="BD166" i="1"/>
  <c r="Z129" i="1"/>
  <c r="AA129" i="1" s="1"/>
  <c r="BF129" i="1"/>
  <c r="BD129" i="1"/>
  <c r="Z24" i="1"/>
  <c r="AA24" i="1" s="1"/>
  <c r="BD24" i="1"/>
  <c r="BF24" i="1"/>
  <c r="Z71" i="1"/>
  <c r="AA71" i="1" s="1"/>
  <c r="BF71" i="1"/>
  <c r="BD71" i="1"/>
  <c r="Z173" i="1"/>
  <c r="AA173" i="1" s="1"/>
  <c r="BD173" i="1"/>
  <c r="BF173" i="1"/>
  <c r="Z64" i="1"/>
  <c r="AA64" i="1" s="1"/>
  <c r="BF64" i="1"/>
  <c r="BD64" i="1"/>
  <c r="AD51" i="1"/>
  <c r="AE51" i="1" s="1"/>
  <c r="BD51" i="1"/>
  <c r="BF51" i="1"/>
  <c r="Z114" i="1"/>
  <c r="AA114" i="1" s="1"/>
  <c r="BD114" i="1"/>
  <c r="BF114" i="1"/>
  <c r="Z103" i="1"/>
  <c r="AA103" i="1" s="1"/>
  <c r="BD103" i="1"/>
  <c r="BF103" i="1"/>
  <c r="Z113" i="1"/>
  <c r="AA113" i="1" s="1"/>
  <c r="BF113" i="1"/>
  <c r="BD113" i="1"/>
  <c r="BF138" i="1"/>
  <c r="BD138" i="1"/>
  <c r="Z97" i="1"/>
  <c r="AA97" i="1" s="1"/>
  <c r="BF97" i="1"/>
  <c r="BD97" i="1"/>
  <c r="Z150" i="1"/>
  <c r="AA150" i="1" s="1"/>
  <c r="BD150" i="1"/>
  <c r="BF150" i="1"/>
  <c r="Z144" i="1"/>
  <c r="AA144" i="1" s="1"/>
  <c r="BD144" i="1"/>
  <c r="BF144" i="1"/>
  <c r="Z55" i="1"/>
  <c r="AA55" i="1" s="1"/>
  <c r="BD55" i="1"/>
  <c r="BF55" i="1"/>
  <c r="Z27" i="1"/>
  <c r="AA27" i="1" s="1"/>
  <c r="BF27" i="1"/>
  <c r="BD27" i="1"/>
  <c r="Z79" i="1"/>
  <c r="AA79" i="1" s="1"/>
  <c r="BD79" i="1"/>
  <c r="BF79" i="1"/>
  <c r="Z170" i="1"/>
  <c r="AA170" i="1" s="1"/>
  <c r="BD170" i="1"/>
  <c r="BF170" i="1"/>
  <c r="BD151" i="1"/>
  <c r="BF151" i="1"/>
  <c r="Z152" i="1"/>
  <c r="AA152" i="1" s="1"/>
  <c r="BD152" i="1"/>
  <c r="BF152" i="1"/>
  <c r="AD108" i="1"/>
  <c r="AE108" i="1" s="1"/>
  <c r="BD108" i="1"/>
  <c r="BF108" i="1"/>
  <c r="Z42" i="1"/>
  <c r="AA42" i="1" s="1"/>
  <c r="BD42" i="1"/>
  <c r="BF42" i="1"/>
  <c r="Z28" i="1"/>
  <c r="AA28" i="1" s="1"/>
  <c r="BD28" i="1"/>
  <c r="BF28" i="1"/>
  <c r="Z32" i="1"/>
  <c r="AA32" i="1" s="1"/>
  <c r="BD32" i="1"/>
  <c r="BF32" i="1"/>
  <c r="Z160" i="1"/>
  <c r="AA160" i="1" s="1"/>
  <c r="BF160" i="1"/>
  <c r="BD160" i="1"/>
  <c r="Z119" i="1"/>
  <c r="AA119" i="1" s="1"/>
  <c r="BF119" i="1"/>
  <c r="BD119" i="1"/>
  <c r="Z105" i="1"/>
  <c r="AA105" i="1" s="1"/>
  <c r="BD105" i="1"/>
  <c r="BF105" i="1"/>
  <c r="BD118" i="1"/>
  <c r="BF118" i="1"/>
  <c r="Z145" i="1"/>
  <c r="AA145" i="1" s="1"/>
  <c r="BF145" i="1"/>
  <c r="BD145" i="1"/>
  <c r="BD112" i="1"/>
  <c r="BF112" i="1"/>
  <c r="BF123" i="1"/>
  <c r="BD123" i="1"/>
  <c r="Z155" i="1"/>
  <c r="AA155" i="1" s="1"/>
  <c r="BF155" i="1"/>
  <c r="BD155" i="1"/>
  <c r="Z149" i="1"/>
  <c r="AA149" i="1" s="1"/>
  <c r="BF149" i="1"/>
  <c r="BD149" i="1"/>
  <c r="Z23" i="1"/>
  <c r="AA23" i="1" s="1"/>
  <c r="BF23" i="1"/>
  <c r="BD23" i="1"/>
  <c r="Z19" i="1"/>
  <c r="AA19" i="1" s="1"/>
  <c r="BF19" i="1"/>
  <c r="BD19" i="1"/>
  <c r="Z175" i="1"/>
  <c r="AA175" i="1" s="1"/>
  <c r="BD175" i="1"/>
  <c r="BF175" i="1"/>
  <c r="Z106" i="1"/>
  <c r="AA106" i="1" s="1"/>
  <c r="BD106" i="1"/>
  <c r="BF106" i="1"/>
  <c r="Z76" i="1"/>
  <c r="AA76" i="1" s="1"/>
  <c r="BD76" i="1"/>
  <c r="BF76" i="1"/>
  <c r="AD56" i="1"/>
  <c r="AE56" i="1" s="1"/>
  <c r="BD56" i="1"/>
  <c r="BF56" i="1"/>
  <c r="Z121" i="1"/>
  <c r="AA121" i="1" s="1"/>
  <c r="BD121" i="1"/>
  <c r="BF121" i="1"/>
  <c r="Z99" i="1"/>
  <c r="AA99" i="1" s="1"/>
  <c r="BD99" i="1"/>
  <c r="BF99" i="1"/>
  <c r="Z132" i="1"/>
  <c r="AA132" i="1" s="1"/>
  <c r="BD132" i="1"/>
  <c r="BF132" i="1"/>
  <c r="Z18" i="1"/>
  <c r="AA18" i="1" s="1"/>
  <c r="BD18" i="1"/>
  <c r="BF18" i="1"/>
  <c r="BD109" i="1"/>
  <c r="BF109" i="1"/>
  <c r="Z53" i="1"/>
  <c r="AA53" i="1" s="1"/>
  <c r="BD53" i="1"/>
  <c r="BF53" i="1"/>
  <c r="Z148" i="1"/>
  <c r="AA148" i="1" s="1"/>
  <c r="BD148" i="1"/>
  <c r="BF148" i="1"/>
  <c r="Z38" i="1"/>
  <c r="AA38" i="1" s="1"/>
  <c r="BD38" i="1"/>
  <c r="BF38" i="1"/>
  <c r="Z37" i="1"/>
  <c r="AA37" i="1" s="1"/>
  <c r="BD37" i="1"/>
  <c r="BF37" i="1"/>
  <c r="Z130" i="1"/>
  <c r="AA130" i="1" s="1"/>
  <c r="BF130" i="1"/>
  <c r="BD130" i="1"/>
  <c r="Z95" i="1"/>
  <c r="AA95" i="1" s="1"/>
  <c r="BD95" i="1"/>
  <c r="BF95" i="1"/>
  <c r="Z90" i="1"/>
  <c r="AA90" i="1" s="1"/>
  <c r="BF90" i="1"/>
  <c r="BD90" i="1"/>
  <c r="BF116" i="1"/>
  <c r="BD116" i="1"/>
  <c r="BF84" i="1"/>
  <c r="BD84" i="1"/>
  <c r="Z67" i="1"/>
  <c r="AA67" i="1" s="1"/>
  <c r="BF67" i="1"/>
  <c r="BD67" i="1"/>
  <c r="Z157" i="1"/>
  <c r="AA157" i="1" s="1"/>
  <c r="BD157" i="1"/>
  <c r="BF157" i="1"/>
  <c r="Z98" i="1"/>
  <c r="AA98" i="1" s="1"/>
  <c r="BD98" i="1"/>
  <c r="BF98" i="1"/>
  <c r="Z165" i="1"/>
  <c r="AA165" i="1" s="1"/>
  <c r="BD165" i="1"/>
  <c r="BF165" i="1"/>
  <c r="Z33" i="1"/>
  <c r="AA33" i="1" s="1"/>
  <c r="BD33" i="1"/>
  <c r="BF33" i="1"/>
  <c r="Z169" i="1"/>
  <c r="AA169" i="1" s="1"/>
  <c r="BD169" i="1"/>
  <c r="BF169" i="1"/>
  <c r="AD81" i="1"/>
  <c r="AE81" i="1" s="1"/>
  <c r="BF81" i="1"/>
  <c r="BD81" i="1"/>
  <c r="AD134" i="1"/>
  <c r="AE134" i="1" s="1"/>
  <c r="BF134" i="1"/>
  <c r="BD134" i="1"/>
  <c r="Z141" i="1"/>
  <c r="AA141" i="1" s="1"/>
  <c r="BF141" i="1"/>
  <c r="BD141" i="1"/>
  <c r="Z136" i="1"/>
  <c r="AA136" i="1" s="1"/>
  <c r="BD136" i="1"/>
  <c r="BF136" i="1"/>
  <c r="Z65" i="1"/>
  <c r="AA65" i="1" s="1"/>
  <c r="BF65" i="1"/>
  <c r="BD65" i="1"/>
  <c r="Z66" i="1"/>
  <c r="AA66" i="1" s="1"/>
  <c r="BD66" i="1"/>
  <c r="BF66" i="1"/>
  <c r="Z44" i="1"/>
  <c r="AA44" i="1" s="1"/>
  <c r="BD44" i="1"/>
  <c r="BF44" i="1"/>
  <c r="Z80" i="1"/>
  <c r="AA80" i="1" s="1"/>
  <c r="BD80" i="1"/>
  <c r="BF80" i="1"/>
  <c r="Z62" i="1"/>
  <c r="AA62" i="1" s="1"/>
  <c r="BD62" i="1"/>
  <c r="BF62" i="1"/>
  <c r="Z143" i="1"/>
  <c r="AA143" i="1" s="1"/>
  <c r="BD143" i="1"/>
  <c r="BF143" i="1"/>
  <c r="Z25" i="1"/>
  <c r="AA25" i="1" s="1"/>
  <c r="BD25" i="1"/>
  <c r="BF25" i="1"/>
  <c r="Z63" i="1"/>
  <c r="AA63" i="1" s="1"/>
  <c r="BD63" i="1"/>
  <c r="BF63" i="1"/>
  <c r="Z153" i="1"/>
  <c r="AA153" i="1" s="1"/>
  <c r="BD153" i="1"/>
  <c r="BF153" i="1"/>
  <c r="Z5" i="1"/>
  <c r="AA5" i="1" s="1"/>
  <c r="BD5" i="1"/>
  <c r="BF5" i="1"/>
  <c r="Z88" i="1"/>
  <c r="AA88" i="1" s="1"/>
  <c r="BF88" i="1"/>
  <c r="BD88" i="1"/>
  <c r="Z47" i="1"/>
  <c r="AA47" i="1" s="1"/>
  <c r="BF47" i="1"/>
  <c r="BD47" i="1"/>
  <c r="Z125" i="1"/>
  <c r="AA125" i="1" s="1"/>
  <c r="BF125" i="1"/>
  <c r="BD125" i="1"/>
  <c r="Z50" i="1"/>
  <c r="AA50" i="1" s="1"/>
  <c r="BF50" i="1"/>
  <c r="BD50" i="1"/>
  <c r="AD132" i="1"/>
  <c r="AE132" i="1" s="1"/>
  <c r="AD6" i="1"/>
  <c r="AE6" i="1" s="1"/>
  <c r="AD47" i="1"/>
  <c r="AE47" i="1" s="1"/>
  <c r="AD106" i="1"/>
  <c r="AE106" i="1" s="1"/>
  <c r="AD110" i="1"/>
  <c r="AE110" i="1" s="1"/>
  <c r="AD64" i="1"/>
  <c r="AE64" i="1" s="1"/>
  <c r="AD153" i="1"/>
  <c r="AE153" i="1" s="1"/>
  <c r="AD136" i="1"/>
  <c r="AE136" i="1" s="1"/>
  <c r="AD82" i="1"/>
  <c r="AE82" i="1" s="1"/>
  <c r="AD121" i="1"/>
  <c r="AE121" i="1" s="1"/>
  <c r="AD148" i="1"/>
  <c r="AE148" i="1" s="1"/>
  <c r="Z81" i="1"/>
  <c r="AA81" i="1" s="1"/>
  <c r="AD169" i="1"/>
  <c r="AE169" i="1" s="1"/>
  <c r="AD55" i="1"/>
  <c r="AE55" i="1" s="1"/>
  <c r="AD63" i="1"/>
  <c r="AE63" i="1" s="1"/>
  <c r="AD75" i="1"/>
  <c r="AE75" i="1" s="1"/>
  <c r="AD127" i="1"/>
  <c r="AE127" i="1" s="1"/>
  <c r="AD50" i="1"/>
  <c r="AE50" i="1" s="1"/>
  <c r="AD103" i="1"/>
  <c r="AE103" i="1" s="1"/>
  <c r="AD124" i="1"/>
  <c r="AE124" i="1" s="1"/>
  <c r="Z51" i="1"/>
  <c r="AA51" i="1" s="1"/>
  <c r="AD114" i="1"/>
  <c r="AE114" i="1" s="1"/>
  <c r="Z134" i="1"/>
  <c r="AA134" i="1" s="1"/>
  <c r="AD33" i="1"/>
  <c r="AE33" i="1" s="1"/>
  <c r="Z56" i="1"/>
  <c r="AA56" i="1" s="1"/>
  <c r="AD76" i="1"/>
  <c r="AE76" i="1" s="1"/>
  <c r="AD104" i="1"/>
  <c r="AE104" i="1" s="1"/>
  <c r="AD175" i="1"/>
  <c r="AE175" i="1" s="1"/>
  <c r="AD99" i="1"/>
  <c r="AE99" i="1" s="1"/>
  <c r="AD141" i="1"/>
  <c r="AE141" i="1" s="1"/>
  <c r="AD143" i="1"/>
  <c r="AE143" i="1" s="1"/>
  <c r="AD19" i="1"/>
  <c r="AE19" i="1" s="1"/>
  <c r="AD92" i="1"/>
  <c r="AE92" i="1" s="1"/>
  <c r="AD86" i="1"/>
  <c r="AE86" i="1" s="1"/>
  <c r="AD25" i="1"/>
  <c r="AE25" i="1" s="1"/>
  <c r="AD164" i="1"/>
  <c r="AE164" i="1" s="1"/>
  <c r="AD60" i="1"/>
  <c r="AE60" i="1" s="1"/>
  <c r="AD57" i="1"/>
  <c r="AE57" i="1" s="1"/>
  <c r="AD144" i="1"/>
  <c r="AE144" i="1" s="1"/>
  <c r="AD125" i="1"/>
  <c r="AE125" i="1" s="1"/>
  <c r="AD80" i="1"/>
  <c r="AE80" i="1" s="1"/>
  <c r="AD96" i="1"/>
  <c r="AE96" i="1" s="1"/>
  <c r="AD149" i="1"/>
  <c r="AE149" i="1" s="1"/>
  <c r="Z101" i="1"/>
  <c r="AA101" i="1" s="1"/>
  <c r="AD95" i="1"/>
  <c r="AE95" i="1" s="1"/>
  <c r="AD53" i="1"/>
  <c r="AE53" i="1" s="1"/>
  <c r="AD8" i="1"/>
  <c r="AE8" i="1" s="1"/>
  <c r="AD71" i="1"/>
  <c r="AE71" i="1" s="1"/>
  <c r="AD150" i="1"/>
  <c r="AE150" i="1" s="1"/>
  <c r="AD170" i="1"/>
  <c r="AE170" i="1" s="1"/>
  <c r="AD173" i="1"/>
  <c r="AE173" i="1" s="1"/>
  <c r="AD133" i="1"/>
  <c r="AE133" i="1" s="1"/>
  <c r="AD44" i="1"/>
  <c r="AE44" i="1" s="1"/>
  <c r="AD62" i="1"/>
  <c r="AE62" i="1" s="1"/>
  <c r="AD83" i="1"/>
  <c r="AE83" i="1" s="1"/>
  <c r="AD68" i="1"/>
  <c r="AE68" i="1" s="1"/>
  <c r="AD160" i="1"/>
  <c r="AE160" i="1" s="1"/>
  <c r="AD165" i="1"/>
  <c r="AE165" i="1" s="1"/>
  <c r="AD91" i="1"/>
  <c r="AE91" i="1" s="1"/>
  <c r="AD43" i="1"/>
  <c r="AE43" i="1" s="1"/>
  <c r="Z85" i="1"/>
  <c r="AA85" i="1" s="1"/>
  <c r="AD23" i="1"/>
  <c r="AE23" i="1" s="1"/>
  <c r="AD67" i="1"/>
  <c r="AE67" i="1" s="1"/>
  <c r="AD24" i="1"/>
  <c r="AE24" i="1" s="1"/>
  <c r="AD18" i="1"/>
  <c r="AE18" i="1" s="1"/>
  <c r="AD158" i="1"/>
  <c r="AE158" i="1" s="1"/>
  <c r="AD46" i="1"/>
  <c r="AE46" i="1" s="1"/>
  <c r="Z93" i="1"/>
  <c r="AA93" i="1" s="1"/>
  <c r="AD174" i="1"/>
  <c r="AE174" i="1" s="1"/>
  <c r="AD97" i="1"/>
  <c r="AE97" i="1" s="1"/>
  <c r="AD70" i="1"/>
  <c r="AE70" i="1" s="1"/>
  <c r="Z30" i="1"/>
  <c r="AA30" i="1" s="1"/>
  <c r="AD30" i="1"/>
  <c r="AE30" i="1" s="1"/>
  <c r="AD145" i="1"/>
  <c r="AE145" i="1" s="1"/>
  <c r="Z151" i="1"/>
  <c r="AA151" i="1" s="1"/>
  <c r="AD151" i="1"/>
  <c r="AE151" i="1" s="1"/>
  <c r="AD137" i="1"/>
  <c r="AE137" i="1" s="1"/>
  <c r="Z137" i="1"/>
  <c r="AA137" i="1" s="1"/>
  <c r="AD152" i="1"/>
  <c r="AE152" i="1" s="1"/>
  <c r="AD87" i="1"/>
  <c r="AE87" i="1" s="1"/>
  <c r="Z73" i="1"/>
  <c r="AA73" i="1" s="1"/>
  <c r="AD73" i="1"/>
  <c r="AE73" i="1" s="1"/>
  <c r="AD107" i="1"/>
  <c r="AE107" i="1" s="1"/>
  <c r="AD115" i="1"/>
  <c r="AE115" i="1" s="1"/>
  <c r="AD7" i="1"/>
  <c r="AE7" i="1" s="1"/>
  <c r="AD31" i="1"/>
  <c r="AE31" i="1" s="1"/>
  <c r="Z138" i="1"/>
  <c r="AA138" i="1" s="1"/>
  <c r="AD138" i="1"/>
  <c r="AE138" i="1" s="1"/>
  <c r="AD130" i="1"/>
  <c r="AE130" i="1" s="1"/>
  <c r="AD100" i="1"/>
  <c r="AE100" i="1" s="1"/>
  <c r="AD155" i="1"/>
  <c r="AE155" i="1" s="1"/>
  <c r="AD157" i="1"/>
  <c r="AE157" i="1" s="1"/>
  <c r="Z84" i="1"/>
  <c r="AA84" i="1" s="1"/>
  <c r="AD84" i="1"/>
  <c r="AE84" i="1" s="1"/>
  <c r="AD123" i="1"/>
  <c r="AE123" i="1" s="1"/>
  <c r="Z123" i="1"/>
  <c r="AA123" i="1" s="1"/>
  <c r="AD120" i="1"/>
  <c r="AE120" i="1" s="1"/>
  <c r="AD98" i="1"/>
  <c r="AE98" i="1" s="1"/>
  <c r="AD135" i="1"/>
  <c r="AE135" i="1" s="1"/>
  <c r="AD66" i="1"/>
  <c r="AE66" i="1" s="1"/>
  <c r="Z142" i="1"/>
  <c r="AA142" i="1" s="1"/>
  <c r="AD142" i="1"/>
  <c r="AE142" i="1" s="1"/>
  <c r="AD4" i="1"/>
  <c r="AE4" i="1" s="1"/>
  <c r="AD38" i="1"/>
  <c r="AE38" i="1" s="1"/>
  <c r="AD147" i="1"/>
  <c r="AE147" i="1" s="1"/>
  <c r="AD79" i="1"/>
  <c r="AE79" i="1" s="1"/>
  <c r="AD111" i="1"/>
  <c r="AE111" i="1" s="1"/>
  <c r="AD122" i="1"/>
  <c r="AE122" i="1" s="1"/>
  <c r="Z34" i="1"/>
  <c r="AA34" i="1" s="1"/>
  <c r="AD34" i="1"/>
  <c r="AE34" i="1" s="1"/>
  <c r="AD112" i="1"/>
  <c r="AE112" i="1" s="1"/>
  <c r="Z112" i="1"/>
  <c r="AA112" i="1" s="1"/>
  <c r="Z109" i="1"/>
  <c r="AA109" i="1" s="1"/>
  <c r="AD109" i="1"/>
  <c r="AE109" i="1" s="1"/>
  <c r="AD42" i="1"/>
  <c r="AE42" i="1" s="1"/>
  <c r="Z26" i="1"/>
  <c r="AA26" i="1" s="1"/>
  <c r="AD26" i="1"/>
  <c r="AE26" i="1" s="1"/>
  <c r="AD5" i="1"/>
  <c r="AE5" i="1" s="1"/>
  <c r="AD28" i="1"/>
  <c r="AE28" i="1" s="1"/>
  <c r="AD118" i="1"/>
  <c r="AE118" i="1" s="1"/>
  <c r="Z118" i="1"/>
  <c r="AA118" i="1" s="1"/>
  <c r="Z131" i="1"/>
  <c r="AA131" i="1" s="1"/>
  <c r="AD131" i="1"/>
  <c r="AE131" i="1" s="1"/>
  <c r="AD37" i="1"/>
  <c r="AE37" i="1" s="1"/>
  <c r="AD32" i="1"/>
  <c r="AE32" i="1" s="1"/>
  <c r="AD146" i="1"/>
  <c r="AE146" i="1" s="1"/>
  <c r="AD119" i="1"/>
  <c r="AE119" i="1" s="1"/>
  <c r="AD129" i="1"/>
  <c r="AE129" i="1" s="1"/>
  <c r="AD69" i="1"/>
  <c r="AE69" i="1" s="1"/>
  <c r="AD126" i="1"/>
  <c r="AE126" i="1" s="1"/>
  <c r="AD36" i="1"/>
  <c r="AE36" i="1" s="1"/>
  <c r="AD27" i="1"/>
  <c r="AE27" i="1" s="1"/>
  <c r="Z116" i="1"/>
  <c r="AA116" i="1" s="1"/>
  <c r="AD116" i="1"/>
  <c r="AE116" i="1" s="1"/>
  <c r="AD166" i="1"/>
  <c r="AE166" i="1" s="1"/>
  <c r="Z128" i="1"/>
  <c r="AA128" i="1" s="1"/>
  <c r="AD128" i="1"/>
  <c r="AE128" i="1" s="1"/>
  <c r="AD88" i="1"/>
  <c r="AE88" i="1" s="1"/>
  <c r="AD65" i="1"/>
  <c r="AE65" i="1" s="1"/>
  <c r="AD139" i="1"/>
  <c r="AE139" i="1" s="1"/>
  <c r="AD105" i="1"/>
  <c r="AE105" i="1" s="1"/>
  <c r="AD90" i="1"/>
  <c r="AE90" i="1" s="1"/>
  <c r="Z78" i="1"/>
  <c r="AA78" i="1" s="1"/>
  <c r="Z108" i="1"/>
  <c r="AA108" i="1" s="1"/>
  <c r="AY117" i="1"/>
  <c r="AC117" i="1" s="1"/>
  <c r="AY74" i="1"/>
  <c r="AC74" i="1" s="1"/>
  <c r="AY77" i="1"/>
  <c r="AC77" i="1" s="1"/>
  <c r="AY89" i="1"/>
  <c r="AC89" i="1" s="1"/>
  <c r="AY140" i="1"/>
  <c r="AC140" i="1" s="1"/>
  <c r="AY154" i="1"/>
  <c r="AC154" i="1" s="1"/>
  <c r="AY156" i="1"/>
  <c r="AC156" i="1" s="1"/>
  <c r="AY72" i="1"/>
  <c r="AC72" i="1" s="1"/>
  <c r="AY94" i="1"/>
  <c r="AC94" i="1" s="1"/>
  <c r="AY102" i="1"/>
  <c r="AC102" i="1" s="1"/>
  <c r="X117" i="1"/>
  <c r="AO117" i="1" s="1"/>
  <c r="X74" i="1"/>
  <c r="AO74" i="1" s="1"/>
  <c r="X77" i="1"/>
  <c r="AO77" i="1" s="1"/>
  <c r="X89" i="1"/>
  <c r="AO89" i="1" s="1"/>
  <c r="X140" i="1"/>
  <c r="AO140" i="1" s="1"/>
  <c r="X154" i="1"/>
  <c r="AO154" i="1" s="1"/>
  <c r="X156" i="1"/>
  <c r="AO156" i="1" s="1"/>
  <c r="X72" i="1"/>
  <c r="AO72" i="1" s="1"/>
  <c r="X94" i="1"/>
  <c r="AO94" i="1" s="1"/>
  <c r="V117" i="1"/>
  <c r="AL117" i="1" s="1"/>
  <c r="V74" i="1"/>
  <c r="AL74" i="1" s="1"/>
  <c r="V77" i="1"/>
  <c r="AL77" i="1" s="1"/>
  <c r="V89" i="1"/>
  <c r="AL89" i="1" s="1"/>
  <c r="V140" i="1"/>
  <c r="AL140" i="1" s="1"/>
  <c r="V154" i="1"/>
  <c r="AL154" i="1" s="1"/>
  <c r="V156" i="1"/>
  <c r="AL156" i="1" s="1"/>
  <c r="V72" i="1"/>
  <c r="AL72" i="1" s="1"/>
  <c r="V94" i="1"/>
  <c r="AL94" i="1" s="1"/>
  <c r="E117" i="1"/>
  <c r="G117" i="1" s="1"/>
  <c r="E74" i="1"/>
  <c r="G74" i="1" s="1"/>
  <c r="E77" i="1"/>
  <c r="G77" i="1" s="1"/>
  <c r="E89" i="1"/>
  <c r="G89" i="1" s="1"/>
  <c r="E140" i="1"/>
  <c r="G140" i="1" s="1"/>
  <c r="E154" i="1"/>
  <c r="G154" i="1" s="1"/>
  <c r="E156" i="1"/>
  <c r="G156" i="1" s="1"/>
  <c r="E72" i="1"/>
  <c r="G72" i="1" s="1"/>
  <c r="E94" i="1"/>
  <c r="G94" i="1" s="1"/>
  <c r="E102" i="1"/>
  <c r="G102" i="1" s="1"/>
  <c r="X102" i="1"/>
  <c r="AO102" i="1" s="1"/>
  <c r="V102" i="1"/>
  <c r="AL102" i="1" s="1"/>
  <c r="AN77" i="1" l="1"/>
  <c r="AN74" i="1"/>
  <c r="AN72" i="1"/>
  <c r="AN89" i="1"/>
  <c r="AN94" i="1"/>
  <c r="AN117" i="1"/>
  <c r="AN156" i="1"/>
  <c r="AN154" i="1"/>
  <c r="AN102" i="1"/>
  <c r="AN140" i="1"/>
  <c r="AG94" i="1"/>
  <c r="AG117" i="1"/>
  <c r="AG72" i="1"/>
  <c r="AH154" i="1"/>
  <c r="AG102" i="1"/>
  <c r="AG140" i="1"/>
  <c r="AH89" i="1"/>
  <c r="AH156" i="1"/>
  <c r="AH77" i="1"/>
  <c r="AH74" i="1"/>
  <c r="AG156" i="1"/>
  <c r="AG154" i="1"/>
  <c r="AG89" i="1"/>
  <c r="AH140" i="1"/>
  <c r="AG77" i="1"/>
  <c r="AH94" i="1"/>
  <c r="AH117" i="1"/>
  <c r="AG74" i="1"/>
  <c r="AH72" i="1"/>
  <c r="AJ102" i="1"/>
  <c r="AK102" i="1"/>
  <c r="AH102" i="1"/>
  <c r="AD72" i="1" l="1"/>
  <c r="AE72" i="1" s="1"/>
  <c r="BF72" i="1"/>
  <c r="BD72" i="1"/>
  <c r="AD154" i="1"/>
  <c r="AE154" i="1" s="1"/>
  <c r="BD154" i="1"/>
  <c r="BF154" i="1"/>
  <c r="AD156" i="1"/>
  <c r="AE156" i="1" s="1"/>
  <c r="BF156" i="1"/>
  <c r="BD156" i="1"/>
  <c r="AD94" i="1"/>
  <c r="AE94" i="1" s="1"/>
  <c r="BF94" i="1"/>
  <c r="BD94" i="1"/>
  <c r="BD117" i="1"/>
  <c r="BF117" i="1"/>
  <c r="AD89" i="1"/>
  <c r="AE89" i="1" s="1"/>
  <c r="BF89" i="1"/>
  <c r="BD89" i="1"/>
  <c r="Z140" i="1"/>
  <c r="AA140" i="1" s="1"/>
  <c r="BD140" i="1"/>
  <c r="BF140" i="1"/>
  <c r="AD74" i="1"/>
  <c r="AE74" i="1" s="1"/>
  <c r="BD74" i="1"/>
  <c r="BF74" i="1"/>
  <c r="Z102" i="1"/>
  <c r="AA102" i="1" s="1"/>
  <c r="BF102" i="1"/>
  <c r="BD102" i="1"/>
  <c r="AD77" i="1"/>
  <c r="AE77" i="1" s="1"/>
  <c r="BF77" i="1"/>
  <c r="BD77" i="1"/>
  <c r="Z72" i="1"/>
  <c r="AA72" i="1" s="1"/>
  <c r="Z77" i="1"/>
  <c r="AA77" i="1" s="1"/>
  <c r="Z74" i="1"/>
  <c r="AA74" i="1" s="1"/>
  <c r="Z156" i="1"/>
  <c r="AA156" i="1" s="1"/>
  <c r="Z154" i="1"/>
  <c r="AA154" i="1" s="1"/>
  <c r="AD102" i="1"/>
  <c r="AE102" i="1" s="1"/>
  <c r="Z94" i="1"/>
  <c r="AA94" i="1" s="1"/>
  <c r="AD140" i="1"/>
  <c r="AE140" i="1" s="1"/>
  <c r="Z89" i="1"/>
  <c r="AA89" i="1" s="1"/>
  <c r="AD117" i="1"/>
  <c r="AE117" i="1" s="1"/>
  <c r="Z117" i="1"/>
  <c r="AA117" i="1" s="1"/>
</calcChain>
</file>

<file path=xl/sharedStrings.xml><?xml version="1.0" encoding="utf-8"?>
<sst xmlns="http://schemas.openxmlformats.org/spreadsheetml/2006/main" count="1647" uniqueCount="663">
  <si>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</si>
  <si>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</si>
  <si>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</si>
  <si>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</si>
  <si>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</si>
  <si>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</si>
  <si>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</si>
  <si>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</si>
  <si>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</si>
  <si>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</si>
  <si>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</si>
  <si>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</si>
  <si>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</si>
  <si>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</si>
  <si>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</si>
  <si>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</si>
  <si>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</si>
  <si>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</si>
  <si>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</si>
  <si>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</si>
  <si>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</si>
  <si>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</si>
  <si>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</si>
  <si>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</si>
  <si>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</si>
  <si>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</si>
  <si>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</si>
  <si>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</si>
  <si>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</si>
  <si>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</si>
  <si>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</si>
  <si>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</si>
  <si>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</si>
  <si>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</si>
  <si>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</si>
  <si>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</si>
  <si>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</si>
  <si>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</si>
  <si>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</si>
  <si>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</si>
  <si>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</si>
  <si>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</si>
  <si>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</si>
  <si>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</si>
  <si>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</si>
  <si>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</si>
  <si>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</si>
  <si>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</si>
  <si>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</si>
  <si>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</si>
  <si>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</si>
  <si>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</si>
  <si>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</si>
  <si>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</si>
  <si>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</si>
  <si>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</si>
  <si>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</si>
  <si>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8934AM</t>
  </si>
  <si>
    <t>J012WM</t>
  </si>
  <si>
    <t>J0795W</t>
  </si>
  <si>
    <t>J129NC</t>
  </si>
  <si>
    <t>J130NC</t>
  </si>
  <si>
    <t>J20270</t>
  </si>
  <si>
    <t>J20271</t>
  </si>
  <si>
    <t>J20272</t>
  </si>
  <si>
    <t>J20300</t>
  </si>
  <si>
    <t>J20301</t>
  </si>
  <si>
    <t>J20302</t>
  </si>
  <si>
    <t>J20303</t>
  </si>
  <si>
    <t>J20304</t>
  </si>
  <si>
    <t>J20306</t>
  </si>
  <si>
    <t>J20281</t>
  </si>
  <si>
    <t>J20282</t>
  </si>
  <si>
    <t>J20283</t>
  </si>
  <si>
    <t>J20307</t>
  </si>
  <si>
    <t>J20308</t>
  </si>
  <si>
    <t>J20284</t>
  </si>
  <si>
    <t>J20285</t>
  </si>
  <si>
    <t>J20286</t>
  </si>
  <si>
    <t>J20287</t>
  </si>
  <si>
    <t>J20309</t>
  </si>
  <si>
    <t>J20310</t>
  </si>
  <si>
    <t>J20288</t>
  </si>
  <si>
    <t>J20289</t>
  </si>
  <si>
    <t>J20311</t>
  </si>
  <si>
    <t>J20312</t>
  </si>
  <si>
    <t>J20313</t>
  </si>
  <si>
    <t>J20314</t>
  </si>
  <si>
    <t>J20290</t>
  </si>
  <si>
    <t>J20291</t>
  </si>
  <si>
    <t>J20315</t>
  </si>
  <si>
    <t>J20292</t>
  </si>
  <si>
    <t>J20293</t>
  </si>
  <si>
    <t>J20294</t>
  </si>
  <si>
    <t>J20296</t>
  </si>
  <si>
    <t>J20297</t>
  </si>
  <si>
    <t>J20298</t>
  </si>
  <si>
    <t>J20299</t>
  </si>
  <si>
    <t>J2859P</t>
  </si>
  <si>
    <t>J2860P</t>
  </si>
  <si>
    <t>J335MN</t>
  </si>
  <si>
    <t>J334MN</t>
  </si>
  <si>
    <t>J337MN</t>
  </si>
  <si>
    <t>J350WE</t>
  </si>
  <si>
    <t>J349WE</t>
  </si>
  <si>
    <t>J4538X</t>
  </si>
  <si>
    <t>J4539X</t>
  </si>
  <si>
    <t>J595WD</t>
  </si>
  <si>
    <t>J596WD</t>
  </si>
  <si>
    <t>J7643P</t>
  </si>
  <si>
    <t>J352WE</t>
  </si>
  <si>
    <t>J353WE</t>
  </si>
  <si>
    <t>J763PY</t>
  </si>
  <si>
    <t>J762PY</t>
  </si>
  <si>
    <t>J766PY</t>
  </si>
  <si>
    <t>7236AM</t>
  </si>
  <si>
    <t>J764PY</t>
  </si>
  <si>
    <t>J765PY</t>
  </si>
  <si>
    <t>J532LT</t>
  </si>
  <si>
    <t>J589PW</t>
  </si>
  <si>
    <t>J591PW</t>
  </si>
  <si>
    <t>J592PW</t>
  </si>
  <si>
    <t>J590PW</t>
  </si>
  <si>
    <t>J593PW</t>
  </si>
  <si>
    <t>J598PW</t>
  </si>
  <si>
    <t>J603PW</t>
  </si>
  <si>
    <t>J604PW</t>
  </si>
  <si>
    <t>J595PW</t>
  </si>
  <si>
    <t>J601PW</t>
  </si>
  <si>
    <t>J602PW</t>
  </si>
  <si>
    <t>J594PW</t>
  </si>
  <si>
    <t>J605PW</t>
  </si>
  <si>
    <t>J599PW</t>
  </si>
  <si>
    <t>J783HH</t>
  </si>
  <si>
    <t>J600PW</t>
  </si>
  <si>
    <t>J585PW</t>
  </si>
  <si>
    <t>J584PW</t>
  </si>
  <si>
    <t>J586PW</t>
  </si>
  <si>
    <t>8955AM</t>
  </si>
  <si>
    <t>9081AX</t>
  </si>
  <si>
    <t>9082AX</t>
  </si>
  <si>
    <t>J122SG</t>
  </si>
  <si>
    <t>J123SG</t>
  </si>
  <si>
    <t>J587PW</t>
  </si>
  <si>
    <t>J588PW</t>
  </si>
  <si>
    <t>J134SG</t>
  </si>
  <si>
    <t>J981WK</t>
  </si>
  <si>
    <t>ｱｲﾘｽｵｰﾔﾏ/ﾗﾐﾈｰﾄﾌｨﾙﾑ A4ｻｲｽﾞ 100μ(ﾐｸﾛﾝ) 100枚入/LZ-A</t>
  </si>
  <si>
    <t>ｱｲﾘｽｵｰﾔﾏ/ﾗﾐﾈｰﾄﾌｨﾙﾑ A3ｻｲｽﾞ 100μ(ﾐｸﾛﾝ) 100枚入/LZ-A</t>
  </si>
  <si>
    <t>ｱｲﾘｽｵｰﾔﾏ/ﾗﾐﾈｰﾄﾌｨﾙﾑ B6ｻｲｽﾞ 100μ(ﾐｸﾛﾝ) 20枚入/LZ-B6</t>
  </si>
  <si>
    <t>ｱｲﾘｽｵｰﾔﾏ/ﾗﾐﾈｰﾄﾌｨﾙﾑ B6ｻｲｽﾞ 150μ(ﾐｸﾛﾝ) 20枚入/LZ-15</t>
  </si>
  <si>
    <t>ｱｲﾘｽｵｰﾔﾏ/ﾗﾐﾈｰﾄﾌｨﾙﾑ A4ｻｲｽﾞ 150μ(ﾐｸﾛﾝ) 20枚入/LZ-15</t>
  </si>
  <si>
    <t>ｱｲﾘｽｵｰﾔﾏ/ﾗﾐﾈｰﾀｰ A3 本体 4本ﾛｰﾗｰ ﾎﾜｲﾄ/LFA34AR-W</t>
  </si>
  <si>
    <t>G)ｱｲﾘｽｵｰﾔﾏ/ｵﾌｨｽｼｭﾚｯﾀﾞｰ 細密 (23L/最大細断枚数12枚)</t>
  </si>
  <si>
    <t>ｱｲﾘｽｵｰﾔﾏ/ｵﾌｨｽｼｭﾚｯﾀﾞｰ (60L/最大細断枚数25枚) ｸﾛｽｶｯﾄ</t>
  </si>
  <si>
    <t>ｱｲﾘｽｵｰﾔﾏ/ﾗﾐﾈｰﾄﾌｨﾙﾑ 診察券ｻｲｽﾞ 100μ(ﾐｸﾛﾝ) 100枚入/</t>
  </si>
  <si>
    <t>ｱｲﾘｽｵｰﾔﾏ/ﾗﾐﾈｰﾄﾌｨﾙﾑ B6ｻｲｽﾞ 100μ(ﾐｸﾛﾝ) 100枚入/LZ-B</t>
  </si>
  <si>
    <t>ｱｲﾘｽｵｰﾔﾏ/ﾗﾐﾈｰﾄﾌｨﾙﾑ A5ｻｲｽﾞ 100μ(ﾐｸﾛﾝ) 100枚入/LZ-A</t>
  </si>
  <si>
    <t>ｱｲﾘｽｵｰﾔﾏ/ﾗﾐﾈｰﾄﾌｨﾙﾑ 名刺ｻｲｽﾞ 150μ(ﾐｸﾛﾝ) 100枚入/LZ</t>
  </si>
  <si>
    <t>ｱｲﾘｽｵｰﾔﾏ/ﾗﾐﾈｰﾄﾌｨﾙﾑ 写真(L判)ｻｲｽﾞ 150μ(ﾐｸﾛﾝ) 100枚</t>
  </si>
  <si>
    <t>ｱｲﾘｽｵｰﾔﾏ/ﾗﾐﾈｰﾄﾌｨﾙﾑ はがきｻｲｽﾞ 150μ(ﾐｸﾛﾝ) 100枚入/</t>
  </si>
  <si>
    <t>ｱｲﾘｽｵｰﾔﾏ/ﾗﾐﾈｰﾄﾌｨﾙﾑ A4ｻｲｽﾞ 横型 150μ(ﾐｸﾛﾝ) 100枚入</t>
  </si>
  <si>
    <t>ｱｲﾘｽｵｰﾔﾏ/ﾗﾐﾈｰﾄﾌｨﾙﾑ A4ｻｲｽﾞ 100μ(ﾐｸﾛﾝ) 20枚入/LZ-A4</t>
  </si>
  <si>
    <t>ｱｲﾘｽｵｰﾔﾏ/ﾗﾐﾈｰﾄﾌｨﾙﾑ A3ﾜｲﾄﾞｻｲｽﾞ 100μ(ﾐｸﾛﾝ) 10枚入/L</t>
  </si>
  <si>
    <t>ｱｲﾘｽｵｰﾔﾏ/ﾗﾐﾈｰﾄﾌｨﾙﾑ B5ｻｲｽﾞ 片面ﾏｯﾄ 100μ(ﾐｸﾛﾝ) 100</t>
  </si>
  <si>
    <t>ｱｲﾘｽｵｰﾔﾏ/ﾗﾐﾈｰﾄﾌｨﾙﾑ A4ｻｲｽﾞ 片面ﾏｯﾄ 100μ(ﾐｸﾛﾝ) 100</t>
  </si>
  <si>
    <t>ｱｲﾘｽｵｰﾔﾏ/ﾗﾐﾈｰﾄﾌｨﾙﾑ B4ｻｲｽﾞ 片面ﾏｯﾄ 100μ(ﾐｸﾛﾝ) 100</t>
  </si>
  <si>
    <t>ｱｲﾘｽｵｰﾔﾏ/ﾗﾐﾈｰﾄﾌｨﾙﾑ B5ｻｲｽﾞ 250μ(ﾐｸﾛﾝ) 50枚入/LZ-25</t>
  </si>
  <si>
    <t>ｱｲﾘｽｵｰﾔﾏ/ﾗﾐﾈｰﾄﾌｨﾙﾑ 写真(L判)ｻｲｽﾞ 150μ(ﾐｸﾛﾝ) 20枚</t>
  </si>
  <si>
    <t>ｱｲﾘｽｵｰﾔﾏ/ﾗﾐﾈｰﾄﾌｨﾙﾑ A4ｻｲｽﾞ 横型 250μ(ﾐｸﾛﾝ) 50枚入/</t>
  </si>
  <si>
    <t>ｱｲﾘｽｵｰﾔﾏ/ﾗﾐﾈｰﾄﾌｨﾙﾑ B4ｻｲｽﾞ 250μ(ﾐｸﾛﾝ) 50枚入/LZ-25</t>
  </si>
  <si>
    <t>ｱｲﾘｽｵｰﾔﾏ/ﾗﾐﾈｰﾄﾌｨﾙﾑ A3ｻｲｽﾞ 250μ(ﾐｸﾛﾝ) 50枚入/LZ-25</t>
  </si>
  <si>
    <t>ｱｲﾘｽｵｰﾔﾏ/ﾊﾝﾄﾞｼｭﾚｯﾀﾞｰ (3.2L/手動) ｸﾛｽｶｯﾄ ﾌﾞﾙｰ/ﾎﾜｲﾄ/</t>
  </si>
  <si>
    <t>ｱｲﾘｽｵｰﾔﾏ/ﾗﾐﾈｰﾄﾌｨﾙﾑ A4 100枚入100μ/LZ-A4100R</t>
  </si>
  <si>
    <t>ｱｲﾘｽｵｰﾔﾏ/ﾗﾐﾈｰﾄﾌｨﾙﾑ A3ｻｲｽﾞ 片面ﾏｯﾄ 100μ(ﾐｸﾛﾝ) 100</t>
  </si>
  <si>
    <t>G)ｱｲﾘｽｵｰﾔﾏ/ｵｰﾄﾌｨｰﾄﾞｼｭﾚｯﾀﾞｰ (18.5L/自動細断60枚) ﾏｲ</t>
  </si>
  <si>
    <t>ｱｲﾘｽｵｰﾔﾏ/ﾗﾐﾈｰﾄﾌｨﾙﾑ A3ｻｲｽﾞ 75μ(ﾐｸﾛﾝ) 100枚入/LZ-75</t>
  </si>
  <si>
    <t>ｱｲﾘｽｵｰﾔﾏ/ﾗﾐﾈｰﾄﾌｨﾙﾑ A4ｻｲｽﾞ 75μ(ﾐｸﾛﾝ) 100枚入/LZ-75</t>
  </si>
  <si>
    <t>ｱｲﾘｽｵｰﾔﾏ/ﾊﾝﾄﾞｼｭﾚｯﾀﾞｰ 手動 (1.5L/A4縦折り) ｽﾄﾚｰﾄｶｯﾄ</t>
  </si>
  <si>
    <t>G)ｱｲﾘｽｵｰﾔﾏ/卓上ｼｭﾚｯﾀﾞｰ (3.55L/最大細断枚数2枚) ｸﾛｽ</t>
  </si>
  <si>
    <t>G)ｱｲﾘｽｵｰﾔﾏ/細密ﾎｰﾑｼｭﾚｯﾀﾞｰ (3.0L/最大細断枚数4枚) ﾏ</t>
  </si>
  <si>
    <t>ｱｲﾘｽｵｰﾔﾏ/ﾗﾐﾈｰﾄﾌｨﾙﾑ A7ｻｲｽﾞ 100μ(ﾐｸﾛﾝ) 100枚入/LZ-A</t>
  </si>
  <si>
    <t>ｱｲﾘｽｵｰﾔﾏ/ﾗﾐﾈｰﾄﾌｨﾙﾑ A4ｻｲｽﾞ 100μ(ﾐｸﾛﾝ) 500枚入/LZ-A</t>
  </si>
  <si>
    <t>ｱｲﾘｽｵｰﾔﾏ/ﾗﾐﾈｰﾄﾌｨﾙﾑ A3ｻｲｽﾞ 100μ(ﾐｸﾛﾝ) 500枚入/LZ-A</t>
  </si>
  <si>
    <t>ｱｲﾘｽｵｰﾔﾏ/ﾗﾐﾈｰﾄﾌｨﾙﾑ 名刺ｻｲｽﾞ 150μ(ﾐｸﾛﾝ) 20枚入/LZ-</t>
  </si>
  <si>
    <t>ｱｲﾘｽｵｰﾔﾏ/ﾗﾐﾈｰﾄﾌｨﾙﾑ はがきｻｲｽﾞ 150μ(ﾐｸﾛﾝ) 20枚入/L</t>
  </si>
  <si>
    <t>ｱｲﾘｽｵｰﾔﾏ/ﾗﾐﾈｰﾄﾌｨﾙﾑ A5ｻｲｽﾞ 150μ(ﾐｸﾛﾝ) 20枚入/LZ-15</t>
  </si>
  <si>
    <t>ｱｲﾘｽｵｰﾔﾏ/ﾗﾐﾈｰﾄﾌｨﾙﾑ 名刺ｻｲｽﾞ 100μ(ﾐｸﾛﾝ) 20枚入/LZ-</t>
  </si>
  <si>
    <t>ｱｲﾘｽｵｰﾔﾏ/ﾗﾐﾈｰﾄﾌｨﾙﾑ 診察券ｻｲｽﾞ 100μ(ﾐｸﾛﾝ) 20枚入/L</t>
  </si>
  <si>
    <t>ｱｲﾘｽｵｰﾔﾏ/ﾗﾐﾈｰﾄﾌｨﾙﾑ 写真(L判)ｻｲｽﾞ 100μ(ﾐｸﾛﾝ) 20枚</t>
  </si>
  <si>
    <t>ｱｲﾘｽｵｰﾔﾏ/ﾗﾐﾈｰﾄﾌｨﾙﾑ B5ｻｲｽﾞ 150μ(ﾐｸﾛﾝ) 20枚入/LZ-15</t>
  </si>
  <si>
    <t>ｱｲﾘｽｵｰﾔﾏ/ﾗﾐﾈｰﾄﾌｨﾙﾑ B4ｻｲｽﾞ 150μ(ﾐｸﾛﾝ) 20枚入/LZ-15</t>
  </si>
  <si>
    <t>ｱｲﾘｽｵｰﾔﾏ/ﾗﾐﾈｰﾄﾌｨﾙﾑ はがきｻｲｽﾞ 100μ(ﾐｸﾛﾝ) 20枚入/L</t>
  </si>
  <si>
    <t>ｱｲﾘｽｵｰﾔﾏ/ﾗﾐﾈｰﾄﾌｨﾙﾑ A5ｻｲｽﾞ 100μ(ﾐｸﾛﾝ) 20枚入/LZ-A5</t>
  </si>
  <si>
    <t>ｱｲﾘｽｵｰﾔﾏ/ﾗﾐﾈｰﾄﾌｨﾙﾑ B5ｻｲｽﾞ 100μ(ﾐｸﾛﾝ) 20枚入/LZ-B5</t>
  </si>
  <si>
    <t>ｱｲﾘｽｵｰﾔﾏ/ﾗﾐﾈｰﾄﾌｨﾙﾑ B4ｻｲｽﾞ 100μ(ﾐｸﾛﾝ) 20枚入/LZ-B4</t>
  </si>
  <si>
    <t>ｱｲﾘｽｵｰﾔﾏ/ﾗﾐﾈｰﾄﾌｨﾙﾑ A3ｻｲｽﾞ 150μ(ﾐｸﾛﾝ) 20枚入/LZ-15</t>
  </si>
  <si>
    <t>ｱｲﾘｽｵｰﾔﾏ/ﾗﾐﾈｰﾄﾌｨﾙﾑ B5ｻｲｽﾞ 150μ(ﾐｸﾛﾝ) 100枚入/LZ-5</t>
  </si>
  <si>
    <t>ｱｲﾘｽｵｰﾔﾏ/ﾗﾐﾈｰﾄﾌｨﾙﾑ A3ｻｲｽﾞ 100μ(ﾐｸﾛﾝ) 20枚入/LZ-A3</t>
  </si>
  <si>
    <t>ｱｲﾘｽｵｰﾔﾏ/ﾗﾐﾈｰﾄﾌｨﾙﾑ A3ﾜｲﾄﾞｻｲｽﾞ 100μ(ﾐｸﾛﾝ) 30枚入/L</t>
  </si>
  <si>
    <t>ｱｲﾘｽｵｰﾔﾏ/ﾗﾐﾈｰﾄﾌｨﾙﾑ A4ｻｲｽﾞ 150μ(ﾐｸﾛﾝ) 100枚入/LZ-5</t>
  </si>
  <si>
    <t>ｱｲﾘｽｵｰﾔﾏ/ﾗﾐﾈｰﾄﾌｨﾙﾑ B4ｻｲｽﾞ 150μ(ﾐｸﾛﾝ) 100枚入/LZ-5</t>
  </si>
  <si>
    <t>ｱｲﾘｽｵｰﾔﾏ/ﾗﾐﾈｰﾄﾌｨﾙﾑ A3ｻｲｽﾞ 150μ(ﾐｸﾛﾝ) 50枚入/LZ-5A</t>
  </si>
  <si>
    <t>ｱｲﾘｽｵｰﾔﾏ/ﾗﾐﾈｰﾄﾌｨﾙﾑ A4ｻｲｽﾞ 横型 100μ(ﾐｸﾛﾝ) 20枚入/</t>
  </si>
  <si>
    <t>ｱｲﾘｽｵｰﾔﾏ/ﾗﾐﾈｰﾄﾌｨﾙﾑ 名刺ｻｲｽﾞ 100μ(ﾐｸﾛﾝ) 100枚入/LZ</t>
  </si>
  <si>
    <t>ｱｲﾘｽｵｰﾔﾏ/ﾗﾐﾈｰﾄﾌｨﾙﾑ 写真(L判)ｻｲｽﾞ 100μ(ﾐｸﾛﾝ) 100枚</t>
  </si>
  <si>
    <t>ｱｲﾘｽｵｰﾔﾏ/ﾗﾐﾈｰﾄﾌｨﾙﾑ A4ｻｲｽﾞ 横型 100μ(ﾐｸﾛﾝ) 100枚入</t>
  </si>
  <si>
    <t>ｱｲﾘｽｵｰﾔﾏ/ﾗﾐﾈｰﾄﾌｨﾙﾑ はがきｻｲｽﾞ 100μ(ﾐｸﾛﾝ) 100枚/LZ</t>
  </si>
  <si>
    <t>ｱｲﾘｽｵｰﾔﾏ/ﾗﾐﾈｰﾄﾌｨﾙﾑ B5ｻｲｽﾞ 100μ(ﾐｸﾛﾝ) 100枚入/LZ-B</t>
  </si>
  <si>
    <t>ｱｲﾘｽｵｰﾔﾏ/ﾗﾐﾈｰﾄﾌｨﾙﾑ B4ｻｲｽﾞ 100μ(ﾐｸﾛﾝ) 100枚入/LZ-B</t>
  </si>
  <si>
    <t>ｱｲﾘｽｵｰﾔﾏ/ﾗﾐﾈｰﾄﾌｨﾙﾑ IDｶｰﾄﾞｻｲｽﾞ 100μ(ﾐｸﾛﾝ) 100枚入/</t>
  </si>
  <si>
    <t>ｱｲﾘｽｵｰﾔﾏ/ﾗﾐﾈｰﾄﾌｨﾙﾑ 一般ｶｰﾄﾞｻｲｽﾞ 100μ(ﾐｸﾛﾝ) 100枚</t>
  </si>
  <si>
    <t>ｱｲﾘｽｵｰﾔﾏ/ﾗﾐﾈｰﾄﾌｨﾙﾑ 定期券ｻｲｽﾞ 100μ(ﾐｸﾛﾝ) 100枚入/</t>
  </si>
  <si>
    <t>ｱｲﾘｽｵｰﾔﾏ/ﾗﾐﾈｰﾄﾌｨﾙﾑ A2ｻｲｽﾞ 100μ(ﾐｸﾛﾝ) 100枚入/LZ-A</t>
  </si>
  <si>
    <t>G)ｱｲﾘｽｵｰﾔﾏ/ﾊﾟｰｿﾅﾙｼｭﾚｯﾀﾞｰ (8.7L/最大細断枚数5枚) ｸﾛ</t>
  </si>
  <si>
    <t>G)ｱｲﾘｽｵｰﾔﾏ/ｵﾌｨｽｼｭﾚｯﾀﾞｰ (30L/最大細断枚数15枚) ﾏｲｸﾛ</t>
  </si>
  <si>
    <t>G)ｱｲﾘｽｵｰﾔﾏ/ﾊﾟｰｿﾅﾙｼｭﾚｯﾀﾞｰ (8.9L/最大細断枚数8枚) ｸﾛ</t>
  </si>
  <si>
    <t>G)ｱｲﾘｽｵｰﾔﾏ/ﾊﾟｰｿﾅﾙｼｭﾚｯﾀﾞｰ (8.9L/最大細断枚数4枚) ﾏｲ</t>
  </si>
  <si>
    <t>G)ｱｲﾘｽｵｰﾔﾏ/ｵｰﾄﾌｨｰﾄﾞｼｭﾚｯﾀﾞｰ (18.5L/自動細断60枚) ｸﾛ</t>
  </si>
  <si>
    <t>G)ｱｲﾘｽｵｰﾔﾏ/ｵﾌｨｽｼｭﾚｯﾀﾞｰ (17L/最大細断枚数10枚) ｸﾛｽｶ</t>
  </si>
  <si>
    <t>ｱｲﾘｽｵｰﾔﾏ/高速起動 ﾗﾐﾈｰﾀｰ A3 本体 2本ﾛｰﾗｰ ﾎﾜｲﾄ/HSL-</t>
  </si>
  <si>
    <t>ｱｲﾘｽｵｰﾔﾏ/高速起動 ﾗﾐﾈｰﾀｰ A3 本体 2本ﾛｰﾗｰ ﾚｯﾄﾞ/KHSL</t>
  </si>
  <si>
    <t>ｱｲﾘｽｵｰﾔﾏ/ﾗﾐﾈｰﾀｰ A3 本体 2本ﾛｰﾗｰ ﾎﾜｲﾄ/LM32D-W</t>
  </si>
  <si>
    <t>ｱｲﾘｽｵｰﾔﾏ/ﾗﾐﾈｰﾀｰ A4 本体 2本ﾛｰﾗｰ ﾎﾜｲﾄ/LM42D-W</t>
  </si>
  <si>
    <t>ｱｲﾘｽｵｰﾔﾏ/高速起動 ﾗﾐﾈｰﾀｰ A3 本体 4本ﾛｰﾗｰ ﾎﾜｲﾄ/HSL-</t>
  </si>
  <si>
    <t>ｱｲﾘｽｵｰﾔﾏ/ﾗﾐﾈｰﾄﾌｨﾙﾑ100μ 写真Lｻｲｽﾞ100枚/LFT-PL100</t>
  </si>
  <si>
    <t>ｱｲﾘｽｵｰﾔﾏ/ﾗﾐﾈｰﾄﾌｨﾙﾑ100μ はがきｻｲｽﾞ100枚/LFT-HA100</t>
  </si>
  <si>
    <t>ｱｲﾘｽｵｰﾔﾏ/ﾗﾐﾈｰﾄﾌｨﾙﾑ 100μ B5ｻｲｽﾞ 100枚/LFT-B5100</t>
  </si>
  <si>
    <t>ｱｲﾘｽｵｰﾔﾏ/ﾗﾐﾈｰﾄﾌｨﾙﾑ 100μ A4ｻｲｽﾞ 300枚/LFT-A4300</t>
  </si>
  <si>
    <t>ｱｲﾘｽｵｰﾔﾏ/ﾗﾐﾈｰﾄﾌｨﾙﾑ 100μ A4横ｻｲｽﾞ100枚/LFTY-A4100</t>
  </si>
  <si>
    <t>ｱｲﾘｽｵｰﾔﾏ/ﾗﾐﾈｰﾄﾌｨﾙﾑ 100μ B4ｻｲｽﾞ 100枚/LFT-B4100</t>
  </si>
  <si>
    <t>ｱｲﾘｽｵｰﾔﾏ/ﾗﾐﾈｰﾄﾌｨﾙﾑ 100μ A3ｻｲｽﾞ 300枚/LFT-A3300</t>
  </si>
  <si>
    <t>ｱｲﾘｽｵｰﾔﾏ/ﾗﾐﾈｰﾄﾌｨﾙﾑ 150μ B5ｻｲｽﾞ100枚/LFT-5B5100</t>
  </si>
  <si>
    <t>ｱｲﾘｽｵｰﾔﾏ/ﾗﾐﾈｰﾄﾌｨﾙﾑ 150μ A4ｻｲｽﾞ100枚/LFT-5A4100</t>
  </si>
  <si>
    <t>ｱｲﾘｽｵｰﾔﾏ/ﾗﾐﾈｰﾄﾌｨﾙﾑ 150μ B4ｻｲｽﾞ100枚/LFT-5B4100</t>
  </si>
  <si>
    <t>ｱｲﾘｽｵｰﾔﾏ/ﾗﾐﾈｰﾄﾌｨﾙﾑ 150μ A3ｻｲｽﾞ 50枚/LFT-5A350</t>
  </si>
  <si>
    <t>ｱｲﾘｽｵｰﾔﾏ/ﾗﾐﾈｰﾄﾌｨﾙﾑ100μ A4ｻｲｽﾞ100枚/LFT-A4100</t>
  </si>
  <si>
    <t>ｱｲﾘｽｵｰﾔﾏ/ﾗﾐﾈｰﾄﾌｨﾙﾑ100μ A3ｻｲｽﾞ100枚/LFT-A3100</t>
  </si>
  <si>
    <t>ｱｲﾘｽｵｰﾔﾏ/ﾗﾐﾈｰﾄﾌｨﾙﾑ 名刺ｻｲｽﾞ 100枚 100μ/LFT-NC100</t>
  </si>
  <si>
    <t>ｱｲﾘｽｵｰﾔﾏ/ﾗﾐﾈｰﾄﾌｨﾙﾑ A4横 50枚 250μ/LFTY-25A450</t>
  </si>
  <si>
    <t>ｱｲﾘｽｵｰﾔﾏ/ﾎﾜｲﾄﾎﾞｰﾄﾞ ﾌﾞﾙｰ/NWP-34</t>
  </si>
  <si>
    <t>ｱｲﾘｽｵｰﾔﾏ/ｳｯﾄﾞﾌﾞﾗｯｸﾎﾞｰﾄﾞ 600×450mm/NBM-46</t>
  </si>
  <si>
    <t>ｱｲﾘｽｵｰﾔﾏ/ﾎﾜｲﾄﾎﾞｰﾄﾞ ﾌﾞﾙｰ/NWP-23</t>
  </si>
  <si>
    <t>ｱｲﾘｽｵｰﾔﾏ/ｲｰｾﾞﾙ1300 ﾅﾁｭﾗﾙ/ESL-2</t>
  </si>
  <si>
    <t>ｱｲﾘｽｵｰﾔﾏ/ｲｰｾﾞﾙ1300 ﾀﾞｰｸﾌﾞﾗｳﾝ/ESL-2</t>
  </si>
  <si>
    <t>ｱｲﾘｽｵｰﾔﾏ/ｱﾙﾐﾌﾚｰﾑﾎﾜｲﾄﾎﾞｰﾄﾞ 1800×900mm/AWB-918</t>
  </si>
  <si>
    <t>ｱｲﾘｽｵｰﾔﾏ/ｱﾙﾐﾌﾚｰﾑﾎﾜｲﾄﾎﾞｰﾄﾞ 1200×900mm/AWB-912</t>
  </si>
  <si>
    <t>ｱｲﾘｽｵｰﾔﾏ/ｲｰｾﾞﾙ 1200H ﾍﾟｱ/GXB-68</t>
  </si>
  <si>
    <t>ｱｲﾘｽｵｰﾔﾏ/ﾊﾟﾈﾙｽﾀﾝﾄﾞ(ｷｬｽﾀｰなし) ｼﾙﾊﾞｰ/PNS-1420</t>
  </si>
  <si>
    <t>ｱｲﾘｽｵｰﾔﾏ/ｲｰｾﾞﾙ/ESL-1380</t>
  </si>
  <si>
    <t>ｱｲﾘｽｵｰﾔﾏ/ﾊﾟﾈﾙｽﾀﾝﾄﾞ/PNS-1330</t>
  </si>
  <si>
    <t>ｱｲﾘｽｵｰﾔﾏ/両面ﾌﾞﾗｯｸﾎﾞｰﾄﾞ ﾀﾞｰｸﾌﾞﾗｳﾝ/GXB-77ﾀﾞｰｸﾌﾞﾗｳﾝ</t>
  </si>
  <si>
    <t>ｱｲﾘｽｵｰﾔﾏ/ｳｯﾄﾞﾌﾞﾗｯｸﾎﾞｰﾄﾞ 900×600mm/NBM-69</t>
  </si>
  <si>
    <t>ｱｲﾘｽｵｰﾔﾏ/ｲｰｾﾞﾙ1120 ﾅﾁｭﾗﾙ/ESL-1</t>
  </si>
  <si>
    <t>ｱｲﾘｽｵｰﾔﾏ/ｲｰｾﾞﾙ1120 ﾀﾞｰｸﾌﾞﾗｳﾝ/ESL-1</t>
  </si>
  <si>
    <t>ｱｲﾘｽｵｰﾔﾏ/ﾎﾜｲﾄﾎﾞｰﾄﾞ ﾌﾞﾙｰ/NWP-46</t>
  </si>
  <si>
    <t>ｱｲﾘｽｵｰﾔﾏ/ｳｯﾄﾞﾌﾞﾗｯｸﾎﾞｰﾄﾞ ﾍﾟｱ 300×450×10mm/NBM-34</t>
  </si>
  <si>
    <t>ｱｲﾘｽｵｰﾔﾏ/ｺﾙｸﾎﾞｰﾄﾞ 450×300mm/CRB-3045</t>
  </si>
  <si>
    <t>ｱｲﾘｽｵｰﾔﾏ/ｺﾙｸﾎﾞｰﾄﾞ 600×450mm/CRB-4560</t>
  </si>
  <si>
    <t>ｱｲﾘｽｵｰﾔﾏ/ｺﾙｸﾎﾞｰﾄﾞ 900×600mm/CRB-6090</t>
  </si>
  <si>
    <t>ｱｲﾘｽｵｰﾔﾏ/ｺﾙｸﾎﾞｰﾄﾞ 1200×900mm/CRB-9012</t>
  </si>
  <si>
    <t>ｱｲﾘｽｵｰﾔﾏ/ﾌﾘｰｹｰｽ F-3</t>
  </si>
  <si>
    <t>G)ｱｲﾘｽｵｰﾔﾏ/手提げ金庫 B7 ﾌﾞﾙｰ/SBX-B7</t>
  </si>
  <si>
    <t>G)ｱｲﾘｽｵｰﾔﾏ/手提げ金庫 A5 ﾌﾞﾙｰ/SBX-A5</t>
  </si>
  <si>
    <t>G)ｱｲﾘｽｵｰﾔﾏ/手提げ金庫 A5 ｸﾞﾚｰ/SBX-A5</t>
  </si>
  <si>
    <t>G)ｱｲﾘｽｵｰﾔﾏ/手提げ金庫 A6 ﾌﾞﾙｰ/SBX-A6</t>
  </si>
  <si>
    <t>G)ｱｲﾘｽｵｰﾔﾏ/手提げ金庫 B5 ﾌﾞﾙｰ/SBX-B5</t>
  </si>
  <si>
    <t>ｱｲﾘｽｵｰﾔﾏ/ﾃﾞｽｸﾏｯﾄ 600×450 ﾅﾁｭﾗﾙ/ｸﾞﾘｰﾝ/DMT-6045PZ</t>
  </si>
  <si>
    <t>ｱｲﾘｽｵｰﾔﾏ/ﾃﾞｽｸﾏｯﾄ E型 600×450/DMT-6045E</t>
  </si>
  <si>
    <t>ｱｲﾘｽｵｰﾔﾏ/ﾃﾞｽｸﾏｯﾄ E型 900×600/DMT-9060E</t>
  </si>
  <si>
    <t>G)ｱｲﾘｽｵｰﾔﾏ/ﾃﾝｷｰ式手提げ金庫 B5 ﾀﾞｰｸﾌﾞﾙｰ/SBX-B5T</t>
  </si>
  <si>
    <t>ｱｲﾘｽｵｰﾔﾏ/ﾃﾞｽｸﾏｯﾄ 1190×690 ﾅﾁｭﾗﾙ/ｸﾞﾘｰﾝ/DMT-1169PZ</t>
  </si>
  <si>
    <t>ｱｲﾘｽｵｰﾔﾏ/ﾃﾞｽｸﾏｯﾄ 1390×690 ﾅﾁｭﾗﾙ/ｸﾞﾘｰﾝ/DMT-1369PZ</t>
  </si>
  <si>
    <t>G)ｱｲﾘｽｵｰﾔﾏ/ﾌﾞｻﾞｰ付き手提げ金庫 A4 ﾌﾞﾙｰ/SBX-A4</t>
  </si>
  <si>
    <t>G)ｱｲﾘｽｵｰﾔﾏ/ﾌﾞｻﾞｰ付き手提げ金庫 A4 ｸﾞﾚｰ/SBX-A4</t>
  </si>
  <si>
    <t>G)ｱｲﾘｽｵｰﾔﾏ/手提げ金庫A5ｽﾘﾑ ﾌﾞﾙｰ/SBX-A5S</t>
  </si>
  <si>
    <t>G)ｱｲﾘｽｵｰﾔﾏ/手提げ金庫A5ｽﾘﾑ ｸﾞﾚｰ/SBX-A5S</t>
  </si>
  <si>
    <t>G)ｱｲﾘｽｵｰﾔﾏ/手提げ金庫 B5 ｸﾞﾚｰ/SBX-B5</t>
  </si>
  <si>
    <t>ｱｲﾘｽｵｰﾔﾏ/ﾃﾞｽｸﾏｯﾄ E型 990×690/DMT-9969E</t>
  </si>
  <si>
    <t>ｱｲﾘｽｵｰﾔﾏ/ﾃﾞｽｸﾏｯﾄ 990×590 ﾅﾁｭﾗﾙ/ｸﾞﾘｰﾝ/DMT-9959PZ</t>
  </si>
  <si>
    <t>ｱｲﾘｽｵｰﾔﾏ/ﾀﾞｲﾔﾙﾛｯｸ式小物BOX 335×285×72 ｸﾞﾚｰ</t>
  </si>
  <si>
    <t>ｱｲﾘｽｵｰﾔﾏ/ﾃﾞｽｸﾏｯﾄ 990×690 ﾅﾁｭﾗﾙ/ｸﾞﾘｰﾝ/DMT-9969PZ</t>
  </si>
  <si>
    <t>ｱｲﾘｽｵｰﾔﾏ/ﾃﾞｽｸﾏｯﾄ 下敷き付 1190×690/DMT-1169PN</t>
  </si>
  <si>
    <t>ｱｲﾘｽｵｰﾔﾏ/ﾃﾞｽｸﾏｯﾄ 下敷き付 990×690/DMT-9969PN</t>
  </si>
  <si>
    <t>ｱｲﾘｽｵｰﾔﾏ/ﾃﾞｽｸﾏｯﾄ 下敷き付 600×450/DMT-6045PN</t>
  </si>
  <si>
    <t>ｱｲﾘｽ/ﾊﾟｰﾂｷｬﾋﾞﾈｯﾄ ﾌﾞﾗｯｸ/PC-30</t>
  </si>
  <si>
    <t>ｱｲﾘｽｵｰﾔﾏ/ｳｯﾄﾞﾄｯﾌﾟﾃﾞｽｸﾁｪｽﾄ ｱｯｼｭﾌﾞﾗｳﾝ/ｱｲﾎﾞﾘｰ</t>
  </si>
  <si>
    <t>ｱｲﾘｽｵｰﾔﾏ/ｳｯﾄﾞﾄｯﾌﾟﾃﾞｽｸﾁｪｽﾄ ｱｯｼｭｸﾞﾚｰ/ｸﾞﾚｰ</t>
  </si>
  <si>
    <t>ｱｲﾘｽｵｰﾔﾏ/ﾌｫﾙﾀﾞｰﾎﾞｯｸｽ340ｽﾘﾑ ｸﾘｱ/B-FB340S</t>
  </si>
  <si>
    <t>G)ｱｲﾘｽ/小物ｷｬﾋﾞﾈｯﾄ/KC-100R</t>
  </si>
  <si>
    <t>G)ｱｲﾘｽｵｰﾔﾏ/小物ｷｬﾋﾞﾈｯﾄ ﾗｲﾄｸﾞﾚｰ/KC-350R-ﾗｲﾄGY</t>
  </si>
  <si>
    <t>G)ｱｲﾘｽｵｰﾔﾏ/小物ｷｬﾋﾞﾈｯﾄ ﾗｲﾄｸﾞﾚｰ/KC-310R</t>
  </si>
  <si>
    <t>G)ｱｲﾘｽｵｰﾔﾏ/小物ｷｬﾋﾞﾈｯﾄ ﾗｲﾄｸﾞﾚｰ/KC-30R</t>
  </si>
  <si>
    <t>ｱｲﾘｽｵｰﾔﾏ/ﾌｫﾙﾀﾞｰﾎﾞｯｸｽ 340ﾜｲﾄﾞ A4 ｸﾘｱ/B-FB340W</t>
  </si>
  <si>
    <t>ｱｲﾘｽｵｰﾔﾏ/ﾌｫﾙﾀﾞｰﾎﾞｯｸｽ 340 A4 ｸﾘｱ/B-FB340</t>
  </si>
  <si>
    <t>ｱｲﾘｽｵｰﾔﾏ/ﾌｫﾙﾀﾞｰﾎﾞｯｸｽ 340ｽｰﾊﾟｰﾜｲﾄﾞ A4 ｸﾘｱ/B-FB340SW</t>
  </si>
  <si>
    <t>ｱｲﾘｽｵｰﾔﾏ/A4ﾚﾀｰｹｰｽ 浅型5段 ﾌﾞﾗｯｸ/LCJ-5MB</t>
  </si>
  <si>
    <t>ｱｲﾘｽｵｰﾔﾏ/A4ﾚﾀｰｹｰｽ 浅型5段 ﾎﾜｲﾄ/LCJ-5MW</t>
  </si>
  <si>
    <t>G)ｱｲﾘｽｵｰﾔﾏ/ﾚﾀｰｹｰｽ ｽﾘﾑﾀｲﾌﾟ 浅型7段 ﾗｲﾄｸﾞﾚｰ/L-7SR</t>
  </si>
  <si>
    <t>G)ｱｲﾘｽｵｰﾔﾏ/ﾚﾀｰｹｰｽ ｽﾘﾑﾀｲﾌﾟ浅型7段ﾀﾞｰｸｸﾞﾚｰ/L-7SR</t>
  </si>
  <si>
    <t>ｱｲﾘｽｵｰﾔﾏ/ﾌｧｲﾙｺﾝﾃﾅ A4ﾜｲﾄﾞ ｸﾘｱ/FRC40(209578)</t>
  </si>
  <si>
    <t>ｱｲﾘｽｵｰﾔﾏ/ﾌｧｲﾙｺﾝﾃﾅ B4 ｸﾘｱ/FRC55(209580)</t>
  </si>
  <si>
    <t>ｱｲﾘｽｵｰﾔﾏ/ﾌｧｲﾙｺﾝﾃﾅ A4ｼｮｰﾄ用ﾌﾀ ｸﾘｱ/RCL17(209582)</t>
  </si>
  <si>
    <t>ｱｲﾘｽｵｰﾔﾏ/ﾌｧｲﾙｺﾝﾃﾅ A4ﾜｲﾄﾞ用ﾌﾀ ｸﾘｱ/RCL40(209584)</t>
  </si>
  <si>
    <t>ｱｲﾘｽｵｰﾔﾏ/ﾌｧｲﾙｺﾝﾃﾅ B4用ﾌﾀ ｸﾘｱ/RCL55(209586)</t>
  </si>
  <si>
    <t>ｱｲﾘｽｵｰﾔﾏ/ﾚﾀｰｹｰｽ 浅3段深1段 ﾌﾞﾗｯｸ/LCJ-4D</t>
  </si>
  <si>
    <t>ｱｲﾘｽｵｰﾔﾏ/ﾚﾀｰｹｰｽ 浅3段深1段 ﾎﾜｲﾄ/LCJ-4D</t>
  </si>
  <si>
    <t>ｱｲﾘｽｵｰﾔﾏ/ﾃｰﾌﾞﾙﾁｪｽﾄ ﾎﾜｲﾄ/ET-421</t>
  </si>
  <si>
    <t>ｱｲﾘｽｵｰﾔﾏ/ﾃｰﾌﾞﾙﾁｪｽﾄ ﾎﾜｲﾄ/ET-430</t>
  </si>
  <si>
    <t>G)ｱｲﾘｽｵｰﾔﾏ/ﾌｧｲﾙｽﾀﾝﾄﾞ A4 ｸﾘｱ 2個ｾｯﾄ/FS-25EW×2</t>
  </si>
  <si>
    <t>G)ｱｲﾘｽｵｰﾔﾏ/ﾌｧｲﾙｽﾀﾝﾄﾞ A4 ﾎﾜｲﾄ 2個ｾｯﾄ/FS-25EW×2</t>
  </si>
  <si>
    <t>G)ｱｲﾘｽｵｰﾔﾏ/ﾚﾀｰｹｰｽ 16段 ﾗｲﾄｸﾞﾚｰ/L-16SSR</t>
  </si>
  <si>
    <t>G)ｱｲﾘｽｵｰﾔﾏ/ﾚﾀｰｹｰｽ 超浅型 16段 ﾀﾞｰｸｸﾞﾚｰ/L-16SSR</t>
  </si>
  <si>
    <t>G)ｱｲﾘｽｵｰﾔﾏ/ﾚﾀｰｹｰｽ ｽﾘﾑﾀｲﾌﾟ 浅型10段 ﾗｲﾄｸﾞﾚｰ/L-10SR</t>
  </si>
  <si>
    <t>G)ｱｲﾘｽｵｰﾔﾏ/ﾚﾀｰｹｰｽ ｽﾘﾑﾀｲﾌﾟ浅型10段ﾀﾞｰｸｸﾞﾚｰ/L-10SR</t>
  </si>
  <si>
    <t>ｱｲﾘｽｵｰﾔﾏ/ﾚﾀｰｹｰｽ 超浅型14段 ﾌﾞﾗｯｸ/LCE-14S-BK</t>
  </si>
  <si>
    <t>ｱｲﾘｽ/ﾚﾀｰｹｰｽ 超浅型14段 ﾎﾜｲﾄ/LCE-14S</t>
  </si>
  <si>
    <t>ｱｲﾘｽｵｰﾔﾏ/ﾌｧｲﾙｺﾝﾃﾅ A4ｼｮｰﾄ ｸﾘｱ/FRC17(209576)</t>
  </si>
  <si>
    <t>5285AY</t>
  </si>
  <si>
    <t>中分類</t>
    <rPh sb="0" eb="3">
      <t>チュウブンルイ</t>
    </rPh>
    <phoneticPr fontId="2"/>
  </si>
  <si>
    <t>34/367</t>
  </si>
  <si>
    <t>34/335</t>
  </si>
  <si>
    <t>34/333</t>
  </si>
  <si>
    <t>34/363</t>
  </si>
  <si>
    <t>34/364</t>
  </si>
  <si>
    <t>34/338</t>
  </si>
  <si>
    <t>34/331</t>
  </si>
  <si>
    <t>34/368</t>
  </si>
  <si>
    <t>34/585</t>
  </si>
  <si>
    <t>34/586</t>
  </si>
  <si>
    <t>31/209</t>
  </si>
  <si>
    <t>26/313</t>
  </si>
  <si>
    <t>34/221</t>
  </si>
  <si>
    <t>34/565</t>
  </si>
  <si>
    <t>34/327</t>
  </si>
  <si>
    <t>34/320</t>
  </si>
  <si>
    <t>34/318</t>
  </si>
  <si>
    <t>7月売価</t>
    <rPh sb="1" eb="2">
      <t>ガツ</t>
    </rPh>
    <rPh sb="2" eb="4">
      <t>バイカ</t>
    </rPh>
    <phoneticPr fontId="2"/>
  </si>
  <si>
    <t>-</t>
  </si>
  <si>
    <t>7月
たの</t>
    <rPh sb="1" eb="2">
      <t>ガツ</t>
    </rPh>
    <phoneticPr fontId="2"/>
  </si>
  <si>
    <t>7月
カウ</t>
    <rPh sb="1" eb="2">
      <t>ガツ</t>
    </rPh>
    <phoneticPr fontId="2"/>
  </si>
  <si>
    <t>VDあり</t>
    <phoneticPr fontId="2"/>
  </si>
  <si>
    <t>アイリスオーヤマ　フォルダーボックス ３４０　スリム　B-FB340S(227695)　1個</t>
  </si>
  <si>
    <t>アイリスオーヤマ フォルダーボックス 340 B-FB340(227699) 1個</t>
  </si>
  <si>
    <t>アイリスオーヤマ　ファイルコンテナ用フタ（A4ショート）　クリア　RCL-17　1個</t>
  </si>
  <si>
    <t>アイリスオーヤマ　フォルダーボックス ３４０　ワイド　B-FB340W(227703)　1個</t>
  </si>
  <si>
    <t>アイリスオーヤマ ファイルスタンド(2個セット) FSー25EW×2 クリア FS-25EWX2_CL 1セット(2個)（直送品）</t>
  </si>
  <si>
    <t>アイリスオーヤマ ファイルスタンド(2個セット) FSー25EW×2 白 FS-25EWX2_W 1セット(2個)（直送品）</t>
  </si>
  <si>
    <t>【フタ単品】アイリスオーヤマ ファイルコンテナ(FRC-40)専用 ふた  40L ラックコンテナ A4ワイド クリア RCL-40 １個</t>
  </si>
  <si>
    <t>アイリスオーヤマ フォルダーボックス 340 スーパーワイド B-FB340SW(227707) 1個</t>
  </si>
  <si>
    <t>アイリスオーヤマ　ファイルコンテナ用フタ（B4）　クリア　RCL-55　1個</t>
  </si>
  <si>
    <t>アイリスオーヤマ　ファイルコンテナ（A4ショート）　17L　クリア　1個</t>
  </si>
  <si>
    <t>アイリスオーヤマ　ファイルコンテナ（A4ワイド）　40L　クリア　FRC-40　1個</t>
  </si>
  <si>
    <t>アイリスオーヤマ　ファイルコンテナ（B4）　55L　クリア　FRC-55　1個</t>
  </si>
  <si>
    <t>アイリスオーヤマ フリーケース Fー3 クリア F-3クリア 1個（直送品）</t>
  </si>
  <si>
    <t>アイリスオーヤマ デスクマット DMTー6045E 1枚（直送品）</t>
  </si>
  <si>
    <t>アイリスオーヤマ デスクマット DMTー6045PN ナチュラル/グリーン 1枚（直送品）</t>
  </si>
  <si>
    <t>アイリスオーヤマ デスクマット ナチュラル/緑 DMTー6045PZ 1個（直送品）</t>
  </si>
  <si>
    <t>アイリスオーヤマ　レターケース　浅型5段　ブラック　LCJ-5M</t>
  </si>
  <si>
    <t>アイリスオーヤマ　レターケース　浅型5段　ホワイト　LCJ-5M</t>
  </si>
  <si>
    <t>アイリスオーヤマ　レターケース　浅型3段深型1段　ブラック　LCJ-4D</t>
  </si>
  <si>
    <t>アイリスオーヤマ　レターケース　浅型3段深型1段　ホワイト　LCJ-4D</t>
  </si>
  <si>
    <t>アイリスオーヤマ レターケース A4 書類ケース 卓上収納 ウッドトップデスク チェスト WTDC-430RF アッシュブラウン／アイボリー 1個</t>
  </si>
  <si>
    <t>アイリスオーヤマ レターケース A4 書類ケース 卓上収納 ウッドトップデスク チェスト WTDC-430RF アッシュグレー／グレー 1個</t>
  </si>
  <si>
    <t>アイリスオーヤマ 小物キャビネット 幅10.4×奥行21×高さ29cm 6引き出し 小物入れ ライトグレー KC-100R １台</t>
  </si>
  <si>
    <t>アイリスオーヤマ テーブルチェスト ホワイト ET-421</t>
  </si>
  <si>
    <t>【引き出し収納】アイリスオーヤマ テーブルチェスト 幅25.2×奥行32.2×高さ26.5cm 3段 卓上 A4対応 書類整理 ホワイト ET-430 １個</t>
  </si>
  <si>
    <t>アイリスオーヤマ 小物キャビネット 幅29.5×奥行13×高さ20cm 16引き出し ライトグレー KC-30R １台</t>
  </si>
  <si>
    <t>アイリスオーヤマ パーツキャビネット ブラック PCー30 1台(1個)（直送品）</t>
  </si>
  <si>
    <t>アイリスオーヤマ デスクマット DMTー9969PN ナチュラル/グリーン 1枚（直送品）</t>
  </si>
  <si>
    <t>アイリスオーヤマ デスクマット ナチュラル/緑 DMTー9959PZ 1個（直送品）</t>
  </si>
  <si>
    <t>アイリスオーヤマ　小物キャビネット　24引き出し　KC-310R</t>
  </si>
  <si>
    <t>アイリスオーヤマ デスクマット ナチュラル/緑 DMTー9969PZ 1個（直送品）</t>
  </si>
  <si>
    <t>アイリスオーヤマ デスクマット DMTー1169PN ナチュラル/グリーン 1枚（直送品）</t>
  </si>
  <si>
    <t>アイリスオーヤマ デスクマット ナチュラル/緑 DMTー1169PZ 1個（直送品）</t>
  </si>
  <si>
    <t>アイリスオーヤマ　レターケース　超浅型14段　ブラック　LCE-14S</t>
  </si>
  <si>
    <t>アイリスオーヤマ　レターケース　超浅型14段　ホワイト　LCE-14S</t>
  </si>
  <si>
    <t>アイリスオーヤマ 小物キャビネット 幅30.8×奥行21×高さ29cm 9引き出し 書類ケース 完成品 ライトグレー KC-350DR １台</t>
  </si>
  <si>
    <t>アイリスオーヤマ　レターケース　浅型7段　ライトグレー　L-7SR</t>
  </si>
  <si>
    <t>アイリスオーヤマ　レターケース　浅型7段　ダークグレー　L-7SR</t>
  </si>
  <si>
    <t>アイリスオーヤマ デスクマット ナチュラル/緑 DMTー1369PZ 1個（直送品）</t>
  </si>
  <si>
    <t>アイリスオーヤマ　レターケース　浅型10段　ライトグレー　L-10SR</t>
  </si>
  <si>
    <t>アイリスオーヤマ　レターケース　浅型10段　ダークグレー　L-10SR</t>
  </si>
  <si>
    <t>アイリスオーヤマ　レターケース　超浅型16段　ライトグレー　L-16SSR</t>
  </si>
  <si>
    <t>アイリスオーヤマ レターケース Lー16SSR L-16SSR(245949) 1台</t>
  </si>
  <si>
    <t>アイリスオーヤマ 手提げ金庫 SBXーB7 ブルー 1個（直送品）</t>
  </si>
  <si>
    <t>アイリスオーヤマ 手提げ金庫 SBXーA6 ブルー 1個（直送品）</t>
  </si>
  <si>
    <t>アイリスオーヤマ　プライベートボックス　大　グレー　PV-330</t>
  </si>
  <si>
    <t>アイリスオーヤマ 手提げ金庫 SBX-A5S 1個</t>
  </si>
  <si>
    <t>アイリスオーヤマ 手提げ金庫A5 グレー SBXーA5 1個（直送品）</t>
  </si>
  <si>
    <t>アイリスオーヤマ ラミネートフィルム150ミクロン(名刺サイズ) LZー15NC20 20枚 1セット(160枚:20枚×8袋)（直送品）</t>
  </si>
  <si>
    <t>アイリスオーヤマ ラミネートフィルム100ミクロン(診察券サイズ) LZーSN20 20枚 1袋(20枚)（直送品）</t>
  </si>
  <si>
    <t>アイリスオーヤマ　ラミネートフィルム　写真(L判)サイズ　100μ(ミクロン)　LZ-PL20　1パック(20枚入)</t>
  </si>
  <si>
    <t>アイリスオーヤマ ラミネートフィルム100ミクロン(IDカードサイズ) LZーID100 100枚 1セット(800枚:100枚×8袋)（直送品）</t>
  </si>
  <si>
    <t>アイリスオーヤマ ラミネートフィルム100ミクロン(一般カードサイズ) LZーIC100 100枚 1セット(600枚:100枚×6袋)（直送品）</t>
  </si>
  <si>
    <t>アイリスオーヤマ ラミネートフィルム150ミクロン(写真L判サイズ) LZー15PL20 20枚 1セット(100枚:20枚×5袋)（直送品）</t>
  </si>
  <si>
    <t>アイリスオーヤマ　ラミネートフィルム　はがきサイズ　100μ(ミクロン)　LZ-HA20　1パック(20枚入)</t>
  </si>
  <si>
    <t>アイリスオーヤマ ラミネートフィルム100ミクロン(定期券カードサイズ) LZーTE100 100枚 1セット(500枚:100枚×5袋)（直送品）</t>
  </si>
  <si>
    <t>アイリスオーヤマ ラミネートフィルム100ミクロン(診察券サイズ) LZーSN100 100枚 1セット(500枚:100枚×5袋)（直送品）</t>
  </si>
  <si>
    <t>アイリスオーヤマ　ラミネートフィルム　名刺サイズ　帯電防止剤配合(静電気防止)　100μ(ミクロン)　LFT-NC100　1箱（100枚入）</t>
  </si>
  <si>
    <t>アイリスオーヤマ ラミネートフィルム100ミクロン(B6サイズ) LZーB620 20枚 1袋(20枚)（直送品）</t>
  </si>
  <si>
    <t>アイリスオーヤマ ラミネートフィルム100ミクロン(A7サイズ) LZーA7100 100枚 1袋(100枚)（直送品）</t>
  </si>
  <si>
    <t>アイリスオーヤマ ラミネートフィルム150ミクロン(はがきサイズ) LZー15HA20 20枚 1セット(4袋)（直送品）</t>
  </si>
  <si>
    <t>アイリスオーヤマ　ラミネートフィルム　B6サイズ　150μ(ミクロン)　LZ-15B620　20枚入　1袋</t>
  </si>
  <si>
    <t>アイリスオーヤマ　ラミネートフィルム　名刺サイズ　150μ(ミクロン)　LZ-5NC100　1個(100枚入)</t>
  </si>
  <si>
    <t>アイリスオーヤマ　ラミネートフィルム　写真(L判)サイズ　帯電防止剤配合(静電気防止)　100μ(ミクロン)　LFT-PL100　1箱（100枚入）</t>
  </si>
  <si>
    <t>アイリスオーヤマ　ラミネートフィルム　A5サイズ　150μ(ミクロン)　LZ-15A520　1パック(20枚入)</t>
  </si>
  <si>
    <t>アイリスオーヤマ ラミネートフィルム100ミクロン(B5サイズ) LZーB520 20枚 1袋(20枚)（直送品）</t>
  </si>
  <si>
    <t>アイリスオーヤマ　ラミネートフィルム　写真(L判)サイズ　100μ(ミクロン)　LZ-PL100　100枚入　1個</t>
  </si>
  <si>
    <t>アイリスオーヤマ ラミネートフィルムはがきサイズ100枚入100μ LFT-HA100 1箱(100枚入)</t>
  </si>
  <si>
    <t>アイリスオーヤマ　ラミネートフィルム　A4サイズ　100μ(ミクロン)　LZ-A420　1パック(20枚入)</t>
  </si>
  <si>
    <t>アイリスオーヤマ　ラミネートフィルム　B5サイズ　150μ(ミクロン)　LZ-15B520　1パック(20枚入)</t>
  </si>
  <si>
    <t>アイリスオーヤマ　ラミネートフィルム　A4サイズ　150μ(ミクロン)　LZ-15A420　1パック(20枚入)</t>
  </si>
  <si>
    <t>アイリスオーヤマ　ラミネートフィルム　写真(L判)サイズ　150μ(ミクロン)　LZ-5PL100　1箱（100枚入）</t>
  </si>
  <si>
    <t>アイリスオーヤマ ラミネートフィルム100ミクロン(B4サイズ) LZーB420 20枚 1袋(20枚)（直送品）</t>
  </si>
  <si>
    <t>アイリスオーヤマ　ラミネートフィルム　はがきサイズ　150μ(ミクロン)　LZ-5HA100　100枚入　1個</t>
  </si>
  <si>
    <t>アイリスオーヤマ　ラミネートフィルム　B4サイズ　150μ(ミクロン)　LZ-15B420　1パック（20枚入）</t>
  </si>
  <si>
    <t>アイリスオーヤマ　ラミネートフィルム　A3サイズ　100μ(ミクロン)　LZ-A320　1パック(20枚入)</t>
  </si>
  <si>
    <t>アイリスオーヤマ　ラミネートフィルム　A4サイズ　帯電防止剤配合(静電気防止)　100μ(ミクロン)　LFT-A4100　1箱（100枚入）</t>
  </si>
  <si>
    <t>アイリスオーヤマ　ラミネートフィルム　B5サイズ　帯電防止剤配合(静電気防止)　100μ(ミクロン)　LFT-B5100　1箱（100枚入）</t>
  </si>
  <si>
    <t>アイリスオーヤマ　ラミネートフィルム　A4サイズ　75μ(ミクロン)　LZ-75A4100　100枚入　1箱</t>
  </si>
  <si>
    <t>アイリスオーヤマ　ラミネートフィルム　A4サイズ　横型　帯電防止剤配合(静電気防止)　100μ(ミクロン)　LFTY-A4100　1箱（100枚入)</t>
  </si>
  <si>
    <t>アイリスオーヤマ　ラミネートフィルム　A5サイズ　100μ(ミクロン)　LZ-A5100　100枚入　1個</t>
  </si>
  <si>
    <t>アイリスオーヤマ　ラミネートフィルム　A4サイズ　100μ(ミクロン)　LZ-A4100R　100枚入　1箱</t>
  </si>
  <si>
    <t>アイリスオーヤマ　ラミネートフィルム　B5サイズ　250μ(ミクロン)　LZ-25B550　1箱（50枚入）</t>
  </si>
  <si>
    <t>アイリスオーヤマ　ラミネートフィルム　B5サイズ　100μ(ミクロン)　LZ-B5100　1箱(100枚入)</t>
  </si>
  <si>
    <t>アイリスオーヤマ　ラミネートフィルム　A3サイズ　150μ(ミクロン)　LZ-15A320　1パック(20枚入)</t>
  </si>
  <si>
    <t>アイリスオーヤマ　ラミネートフィルム　B5サイズ　片面マット　100μ(ミクロン)　LZM-B5100　100枚入　1個</t>
  </si>
  <si>
    <t>アイリスオーヤマ　ラミネートフィルム　B4サイズ　帯電防止剤配合(静電気防止)　100μ(ミクロン)　LFT-B4100　1箱（100枚入）</t>
  </si>
  <si>
    <t>アイリスオーヤマ　ラミネートフィルム　A4サイズ　250μ(ミクロン)　LZ-25A450　1箱(50枚入)</t>
  </si>
  <si>
    <t>アイリスオーヤマ　ラミネートフィルム　B4サイズ　100μ(ミクロン)　LZ-B4100　1箱(100枚入)</t>
  </si>
  <si>
    <t>アイリスオーヤマ　ラミネートフィルム　A3サイズ　帯電防止剤配合(静電気防止)　100μ(ミクロン)　LFT-A3100　1箱（100枚入）</t>
  </si>
  <si>
    <t>アイリスオーヤマ ラミネートフィルム100ミクロン(A3ワイドサイズ) LZーA3W30 30枚 1袋(30枚)（直送品）</t>
  </si>
  <si>
    <t>アイリスオーヤマ　ラミネートフィルム　A3サイズ　75μ(ミクロン)　LZ-75A3100　100枚入　1箱</t>
  </si>
  <si>
    <t>アイリスオーヤマ　ラミネートフィルム　A4サイズ　片面マット　100μ(ミクロン)　LZM-A4100　1箱(100枚入)</t>
  </si>
  <si>
    <t>アイリスオーヤマ ラミネートフィルム A4 100枚入150μ LFT-5A4100 1箱(100枚入)</t>
  </si>
  <si>
    <t>アイリスオーヤマ　ラミネートフィルム　A3サイズ　100μ(ミクロン)　LZ-A3100R　100枚入　1箱</t>
  </si>
  <si>
    <t>アイリスオーヤマ　ラミネートフィルム　A3サイズ　帯電防止剤配合(静電気防止)　150μ(ミクロン)　LFT-5A350　1箱（50枚入）</t>
  </si>
  <si>
    <t>アイリスオーヤマ ラミネートフィルム B5 100枚入150μ LFT-5B5100 1箱(100枚入)</t>
  </si>
  <si>
    <t>アイリスオーヤマ　ラミネートフィルム　B4サイズ　250μ(ミクロン)　LZ-25B450　1箱（50枚入）</t>
  </si>
  <si>
    <t>アイリスオーヤマ　ラミネートフィルム　A4サイズ　150μ(ミクロン)　LZ-5A4100　100枚入　1個</t>
  </si>
  <si>
    <t>アイリスオーヤマ ラミネートフィルム横型 A4 50枚入250μ LFTY-25A450(539614) 1箱(50枚入)</t>
  </si>
  <si>
    <t>アイリスオーヤマ　ラミネートフィルム　A3サイズ　150μ(ミクロン)　LZ-5A350　1箱（50枚入）</t>
  </si>
  <si>
    <t>アイリスオーヤマ　ラミネートフィルム　B4サイズ　片面マット　100μ(ミクロン)　LZM-B4100　100枚入　1個</t>
  </si>
  <si>
    <t>アイリスオーヤマ　ラミネートフィルム　A4サイズ　帯電防止剤配合(静電気防止)　100μ(ミクロン)　LFT-A4300　1箱（300枚入）</t>
  </si>
  <si>
    <t>アイリスオーヤマ A4ラミネーター LM42D-W 1台</t>
  </si>
  <si>
    <t>アイリスオーヤマ ラミネートフィルム B4 100枚入150μ LFT-5B4100 1箱(100枚入)</t>
  </si>
  <si>
    <t>アイリスオーヤマ A3ラミネーター LM32D-W 1台</t>
  </si>
  <si>
    <t>アイリスオーヤマ　ラミネートフィルム　A3サイズ　片面マット　100μ(ミクロン)　LZM-A3100　1箱(100枚入)</t>
  </si>
  <si>
    <t>アイリスオーヤマ　ラミネートフィルム　B4サイズ　150μ(ミクロン)　LZ-5B4100　1箱(100枚入)</t>
  </si>
  <si>
    <t>アイリスオーヤマ　ラミネートフィルム　A2サイズ　100μ(ミクロン)　LZ-A2100　100枚入　1個</t>
  </si>
  <si>
    <t>アイリスオーヤマ　ラミネートフィルム　A4サイズ　100μ(ミクロン)　LZ-A4500　1個(500枚入)</t>
  </si>
  <si>
    <t>アイリスオーヤマ　ラミネートフィルム　A3サイズ　帯電防止剤配合(静電気防止)　100μ(ミクロン)　LFT-A3300　1箱（300枚入）</t>
  </si>
  <si>
    <t>A3 高速起動ラミネーター 2本ローラー HSL-A322-W ホワイト 1台 アイリスオーヤマ</t>
  </si>
  <si>
    <t>A3 高速起動ラミネーター 2本ローラー KHSL-A322-R レッド 1台 アイリスオーヤマ</t>
  </si>
  <si>
    <t>A3ラミネーターLFA34AR-W(520736)アイリスオーヤマ4本ローラー</t>
  </si>
  <si>
    <t>アイリスオーヤマ　ラミネートフィルム　A3サイズ　100μ(ミクロン)　LZ-A3500　1個(500枚入)</t>
  </si>
  <si>
    <t>アイリスオーヤマ 高速起動ラミネーター 4本ローラー HSL-A343-W 1台</t>
  </si>
  <si>
    <t>アイリスオーヤマ ハンドシュレッダー  手動 小型シュレッダー 卓上 Ａ4縦折り 1.5L ブルー H62ST １台</t>
  </si>
  <si>
    <t>A4  クロスカットハンドシュレッダー (3.2L/最大細断枚数1枚)  H1ME アイリスオーヤマ</t>
  </si>
  <si>
    <t>アイリスオーヤマ パーソナルシュレッダー P5GCX2 1台</t>
  </si>
  <si>
    <t>アイリスオーヤマ パーソナルシュレッダー （8.9L/最大細断枚数8枚） クロスカット PS-A8C-W 1台</t>
  </si>
  <si>
    <t>アイリスオーヤマ パーソナルシュレッダー （8.9L/最大細断枚数8枚） クロスカット PS-A8C-H 1台</t>
  </si>
  <si>
    <t>アイリスオーヤマ 卓上ペーパーシュレッダー P2HT 1台</t>
  </si>
  <si>
    <t>アイリスオーヤマ パーソナルシュレッダー （8.9L/最大細断枚数4枚） マイクロクロスカット PS-A4M-W 1台</t>
  </si>
  <si>
    <t>アイリスオーヤマ 細密ホームシュレッダー HS4SC 1台</t>
  </si>
  <si>
    <t>A4 オートフィード クロスカット シュレッダー （18.5L/最大60枚セット） AFSB60C アイリスオーヤマ 1台</t>
  </si>
  <si>
    <t>A4 オフィスシュレッダー （17L/最大細断枚数10枚） OS-A17C-W ホワイト アイリスオーヤマ</t>
  </si>
  <si>
    <t>A4 オートフィード マイクロクロスカット シュレッダー （18.5L/最大60枚セット） AFSB60M アイリスオーヤマ 1台</t>
  </si>
  <si>
    <t>A4  マイクロクロスカットシュレッダー (23L/最大細断枚数12枚)  OF12M アイリスオーヤマ</t>
  </si>
  <si>
    <t>アイリスオーヤマ オフィスシュレッダー ホワイト OF15M 1個</t>
  </si>
  <si>
    <t>A3 クロスカットシュレッダー （60L/最大細断枚数25枚） OF325C アイリスオーヤマ</t>
  </si>
  <si>
    <t>アイリスオーヤマ ホワイトボード NWPー23 1セット(2枚)（直送品）</t>
  </si>
  <si>
    <t>アイリスオーヤマ ホワイトボード NWPー34 1セット(2枚)（直送品）</t>
  </si>
  <si>
    <t>アイリスオーヤマ ウッドブラックボード NBMー46 ペア 1枚（直送品）</t>
  </si>
  <si>
    <t>アイリスオーヤマ ホワイトボード NWPー46 1枚（直送品）</t>
  </si>
  <si>
    <t>アイリスオーヤマ イーゼル スタンド 幅68.5×奥行65×高さ104～132cm スチール製 A1 B1 B2対応  ESL-1380 １台</t>
  </si>
  <si>
    <t>アイリスオーヤマ イーゼル1200H GXBー68 ペアー 1台(1個)（直送品）</t>
  </si>
  <si>
    <t>アイリスオーヤマ イーゼル スタンド 1120 幅61×奥行57×高さ111cm 木製 ディスプレイ ナチュラル ESL-1 1台</t>
  </si>
  <si>
    <t>アイリスオーヤマ イーゼル スタンド 1120 幅61×奥行57×高さ111cm 木製 ディスプレイ ダークブラウン ESL-1 １台</t>
  </si>
  <si>
    <t>アイリスオーヤマ イーゼル1300 ESL-2 1個</t>
  </si>
  <si>
    <t>アイリスオーヤマ 両面ブラックボード (A型ブラックボード) 幅52×奥行58×高さ82cm 天然木 ウェルカムボード ダークブラウン GXB-77 １台</t>
  </si>
  <si>
    <t>アイリスオーヤマ コルクボード CRB-3045 ナチュラル 1枚</t>
  </si>
  <si>
    <t>アイリスオーヤマ コルクボード CRB-4560 1セット(3枚)（直送品）</t>
  </si>
  <si>
    <t>アイリスオーヤマ コルクボード CRB-6090 1セット(2枚)（直送品）</t>
  </si>
  <si>
    <t>アイリスオーヤマ パネルスタンド（ポスタースタンド) 幅48.4×奥行52.9×高さ103～132cm A1 B1 B2対応 シルバー PNS-1330 １台</t>
  </si>
  <si>
    <t>アイリスオーヤマ コルクボード CRB-9012 ナチュラル 1枚</t>
  </si>
  <si>
    <t>アイリスオーヤマ パネルスタンド(スチール) PNS-1420 1台</t>
  </si>
  <si>
    <t>2870518</t>
  </si>
  <si>
    <t>1個</t>
  </si>
  <si>
    <t>2870509</t>
  </si>
  <si>
    <t>3448396</t>
  </si>
  <si>
    <t>1枚</t>
  </si>
  <si>
    <t>2870447</t>
  </si>
  <si>
    <t>A018615</t>
  </si>
  <si>
    <t>1セット(2個)</t>
  </si>
  <si>
    <t>A018616</t>
  </si>
  <si>
    <t>3448402</t>
  </si>
  <si>
    <t>2870394</t>
  </si>
  <si>
    <t>3445652</t>
  </si>
  <si>
    <t>3445680</t>
  </si>
  <si>
    <t>3445699</t>
  </si>
  <si>
    <t>3445779</t>
  </si>
  <si>
    <t>A018646</t>
  </si>
  <si>
    <t>A018583</t>
  </si>
  <si>
    <t>A018577</t>
  </si>
  <si>
    <t>K806728</t>
  </si>
  <si>
    <t>1968083</t>
  </si>
  <si>
    <t>1台</t>
  </si>
  <si>
    <t>1968109</t>
  </si>
  <si>
    <t>1968074</t>
  </si>
  <si>
    <t>1968092</t>
  </si>
  <si>
    <t>AA54756</t>
  </si>
  <si>
    <t>AA54757</t>
  </si>
  <si>
    <t>221951</t>
  </si>
  <si>
    <t>2090240</t>
  </si>
  <si>
    <t>2090268</t>
  </si>
  <si>
    <t>221997</t>
  </si>
  <si>
    <t>K806680</t>
  </si>
  <si>
    <t>1台(1個)</t>
  </si>
  <si>
    <t>A018580</t>
  </si>
  <si>
    <t>K806729</t>
  </si>
  <si>
    <t>221988</t>
  </si>
  <si>
    <t>K806730</t>
  </si>
  <si>
    <t>A018581</t>
  </si>
  <si>
    <t>K806725</t>
  </si>
  <si>
    <t>4690321</t>
  </si>
  <si>
    <t>4690312</t>
  </si>
  <si>
    <t>456643</t>
  </si>
  <si>
    <t>643735</t>
  </si>
  <si>
    <t>2090301</t>
  </si>
  <si>
    <t>K806726</t>
  </si>
  <si>
    <t>643744</t>
  </si>
  <si>
    <t>2214641</t>
  </si>
  <si>
    <t>887884</t>
  </si>
  <si>
    <t>2090384</t>
  </si>
  <si>
    <t>A018628</t>
  </si>
  <si>
    <t>A018629</t>
  </si>
  <si>
    <t>802662</t>
  </si>
  <si>
    <t>E360701</t>
  </si>
  <si>
    <t>E360696</t>
  </si>
  <si>
    <t>K807103</t>
  </si>
  <si>
    <t>P099550</t>
  </si>
  <si>
    <t>1セット(160枚:20枚×8袋)</t>
  </si>
  <si>
    <t>A018510</t>
  </si>
  <si>
    <t>1袋(20枚)</t>
  </si>
  <si>
    <t>UA43243</t>
  </si>
  <si>
    <t>1パック（20枚入）</t>
  </si>
  <si>
    <t>P099546</t>
  </si>
  <si>
    <t>1セット(800枚:100枚×8袋)</t>
  </si>
  <si>
    <t>P099547</t>
  </si>
  <si>
    <t>1セット(600枚:100枚×6袋)</t>
  </si>
  <si>
    <t>P099551</t>
  </si>
  <si>
    <t>1セット(100枚:20枚×5袋)</t>
  </si>
  <si>
    <t>UA43242</t>
  </si>
  <si>
    <t>P099548</t>
  </si>
  <si>
    <t>1セット(500枚:100枚×5袋)</t>
  </si>
  <si>
    <t>P099545</t>
  </si>
  <si>
    <t>867111</t>
  </si>
  <si>
    <t>1箱（100枚入）</t>
  </si>
  <si>
    <t>A018511</t>
  </si>
  <si>
    <t>A018524</t>
  </si>
  <si>
    <t>1袋(100枚)</t>
  </si>
  <si>
    <t>P099552</t>
  </si>
  <si>
    <t>1セット(4袋)</t>
  </si>
  <si>
    <t>JE50597</t>
  </si>
  <si>
    <t>1袋</t>
  </si>
  <si>
    <t>460806</t>
  </si>
  <si>
    <t>1個（100枚入）</t>
  </si>
  <si>
    <t>3485228</t>
  </si>
  <si>
    <t>JE50595</t>
  </si>
  <si>
    <t>A018513</t>
  </si>
  <si>
    <t>P133634</t>
  </si>
  <si>
    <t>3485193</t>
  </si>
  <si>
    <t>UA43239</t>
  </si>
  <si>
    <t>JE50598</t>
  </si>
  <si>
    <t>UA43241</t>
  </si>
  <si>
    <t>460815</t>
  </si>
  <si>
    <t>A018514</t>
  </si>
  <si>
    <t>H652161</t>
  </si>
  <si>
    <t>JE50596</t>
  </si>
  <si>
    <t>UA43276</t>
  </si>
  <si>
    <t>3485068</t>
  </si>
  <si>
    <t>3485120</t>
  </si>
  <si>
    <t>UH69204</t>
  </si>
  <si>
    <t>1箱</t>
  </si>
  <si>
    <t>867273</t>
  </si>
  <si>
    <t>P133633</t>
  </si>
  <si>
    <t>HK93195</t>
  </si>
  <si>
    <t>352228</t>
  </si>
  <si>
    <t>1箱（50枚入）</t>
  </si>
  <si>
    <t>UA43274</t>
  </si>
  <si>
    <t>UA43237</t>
  </si>
  <si>
    <t>7791032</t>
  </si>
  <si>
    <t>867228</t>
  </si>
  <si>
    <t>UA43238</t>
  </si>
  <si>
    <t>UA43275</t>
  </si>
  <si>
    <t>3485157</t>
  </si>
  <si>
    <t>A018516</t>
  </si>
  <si>
    <t>1袋(30枚)</t>
  </si>
  <si>
    <t>UH69202</t>
  </si>
  <si>
    <t>4280360</t>
  </si>
  <si>
    <t>3485184</t>
  </si>
  <si>
    <t>HK93189</t>
  </si>
  <si>
    <t>3485059</t>
  </si>
  <si>
    <t>3485139</t>
  </si>
  <si>
    <t>352765</t>
  </si>
  <si>
    <t>H652160</t>
  </si>
  <si>
    <t>3485101</t>
  </si>
  <si>
    <t>5997600</t>
  </si>
  <si>
    <t>7790984</t>
  </si>
  <si>
    <t>3485077</t>
  </si>
  <si>
    <t>1箱（300枚入）</t>
  </si>
  <si>
    <t>AJE3914</t>
  </si>
  <si>
    <t>3485095</t>
  </si>
  <si>
    <t>AJE3913</t>
  </si>
  <si>
    <t>2020316</t>
  </si>
  <si>
    <t>5997646</t>
  </si>
  <si>
    <t>P133632</t>
  </si>
  <si>
    <t>314764</t>
  </si>
  <si>
    <t>1個（500枚入）</t>
  </si>
  <si>
    <t>3485086</t>
  </si>
  <si>
    <t>EJ18532</t>
  </si>
  <si>
    <t>EJ18529</t>
  </si>
  <si>
    <t>2878614</t>
  </si>
  <si>
    <t>314791</t>
  </si>
  <si>
    <t>XP01247</t>
  </si>
  <si>
    <t>U042588</t>
  </si>
  <si>
    <t>1855615</t>
  </si>
  <si>
    <t>RX66722</t>
  </si>
  <si>
    <t>NN89561</t>
  </si>
  <si>
    <t>NN89554</t>
  </si>
  <si>
    <t>7991561</t>
  </si>
  <si>
    <t>NN89555</t>
  </si>
  <si>
    <t>2895894</t>
  </si>
  <si>
    <t>XR11345</t>
  </si>
  <si>
    <t>EJ18528</t>
  </si>
  <si>
    <t>XR11346</t>
  </si>
  <si>
    <t>5359052</t>
  </si>
  <si>
    <t>XU29294</t>
  </si>
  <si>
    <t>U444394</t>
  </si>
  <si>
    <t>ARH9072</t>
  </si>
  <si>
    <t>1セット（2枚）</t>
  </si>
  <si>
    <t>ARH9071</t>
  </si>
  <si>
    <t>A018563</t>
  </si>
  <si>
    <t>ARH9073</t>
  </si>
  <si>
    <t>9411642</t>
  </si>
  <si>
    <t>A018570</t>
  </si>
  <si>
    <t>657491</t>
  </si>
  <si>
    <t>657507</t>
  </si>
  <si>
    <t>E360635</t>
  </si>
  <si>
    <t>E360638</t>
  </si>
  <si>
    <t>X299064</t>
  </si>
  <si>
    <t>X299028</t>
  </si>
  <si>
    <t>ARH8779</t>
  </si>
  <si>
    <t>1セット（3枚）</t>
  </si>
  <si>
    <t>ARH8781</t>
  </si>
  <si>
    <t>9411670</t>
  </si>
  <si>
    <t>X298999</t>
  </si>
  <si>
    <t>134461</t>
  </si>
  <si>
    <t>2倉庫品</t>
    <rPh sb="1" eb="4">
      <t>ソウコヒン</t>
    </rPh>
    <phoneticPr fontId="2"/>
  </si>
  <si>
    <t>VD
粗利率</t>
    <rPh sb="3" eb="6">
      <t>アラリリツ</t>
    </rPh>
    <phoneticPr fontId="2"/>
  </si>
  <si>
    <t>直送</t>
    <rPh sb="0" eb="2">
      <t>チョクソウ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</si>
</sst>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0" fontId="0" fillId="7" borderId="3" xfId="0" applyFill="1" applyBorder="1">
      <alignment vertical="center"/>
    </xf>
    <xf numFmtId="0" fontId="0" fillId="7" borderId="4" xfId="0" applyFill="1" applyBorder="1">
      <alignment vertical="center"/>
    </xf>
    <xf numFmtId="0" fontId="0" fillId="6" borderId="3" xfId="0" applyFill="1" applyBorder="1">
      <alignment vertical="center"/>
    </xf>
    <xf numFmtId="177" fontId="0" fillId="6" borderId="4" xfId="0" applyNumberFormat="1" applyFill="1" applyBorder="1">
      <alignment vertical="center"/>
    </xf>
    <xf numFmtId="177" fontId="0" fillId="8" borderId="4" xfId="0" applyNumberFormat="1" applyFill="1" applyBorder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6" borderId="0" xfId="0" applyFill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G177"/>
  <sheetViews>
    <sheetView tabSelected="1" zoomScale="90" zoomScaleNormal="90" workbookViewId="0">
      <pane xSplit="9" ySplit="5" topLeftCell="R155" activePane="bottomRight" state="frozen"/>
      <selection pane="topRight" activeCell="G1" sqref="G1"/>
      <selection pane="bottomLeft" activeCell="A5" sqref="A5"/>
      <selection pane="bottomRight" activeCell="A179" sqref="A179"/>
    </sheetView>
  </sheetViews>
  <sheetFormatPr defaultRowHeight="18.75" outlineLevelCol="1" x14ac:dyDescent="0.4"/>
  <cols>
    <col min="2" max="2" width="4.625" customWidth="1"/>
    <col min="3" max="3" width="5.75" customWidth="1"/>
    <col min="4" max="7" width="7.75" customWidth="1"/>
    <col min="8" max="8" width="44.375" customWidth="1"/>
    <col min="9" max="9" width="9.5" customWidth="1"/>
    <col min="10" max="13" width="7.5" hidden="1" customWidth="1" outlineLevel="1"/>
    <col min="14" max="14" width="6.375" customWidth="1" collapsed="1"/>
    <col min="15" max="17" width="7.625" customWidth="1"/>
    <col min="18" max="18" width="6.375" customWidth="1"/>
    <col min="19" max="20" width="7.625" hidden="1" customWidth="1" outlineLevel="1"/>
    <col min="21" max="21" width="5.875" customWidth="1" collapsed="1"/>
    <col min="22" max="22" width="5.875" customWidth="1"/>
    <col min="23" max="24" width="7.625" customWidth="1"/>
    <col min="25" max="25" width="4.375" customWidth="1" collapsed="1"/>
    <col min="26" max="26" width="6.5" customWidth="1"/>
    <col min="27" max="27" width="6.75" customWidth="1"/>
    <col min="28" max="28" width="6.125" customWidth="1"/>
    <col min="29" max="29" width="6.625" customWidth="1"/>
    <col min="30" max="34" width="7.625" customWidth="1"/>
    <col min="35" max="37" width="7.625" hidden="1" customWidth="1" outlineLevel="1"/>
    <col min="38" max="38" width="7.625" customWidth="1" collapsed="1"/>
    <col min="39" max="40" width="7.625" customWidth="1"/>
    <col min="41" max="44" width="7.625" customWidth="1" outlineLevel="1"/>
    <col min="45" max="48" width="7.625" customWidth="1"/>
    <col min="49" max="49" width="7.875" customWidth="1"/>
    <col min="50" max="58" width="7.625" customWidth="1"/>
  </cols>
  <sheetData>
    <row r="1" spans="1:59" x14ac:dyDescent="0.4">
      <c r="D1" s="29" t="s">
        <v>37</v>
      </c>
      <c r="U1" s="48" t="s">
        <v>34</v>
      </c>
      <c r="V1" s="49"/>
      <c r="W1" s="49"/>
      <c r="X1" s="50"/>
      <c r="AG1" s="44" t="s">
        <v>662</v>
      </c>
      <c r="AH1" s="42" t="s">
        <v>660</v>
      </c>
      <c r="AL1" s="43" t="s">
        <v>341</v>
      </c>
      <c r="AN1" s="36" t="s">
        <v>341</v>
      </c>
      <c r="AO1" s="36"/>
    </row>
    <row r="2" spans="1:59" x14ac:dyDescent="0.4">
      <c r="D2" s="8" t="s">
        <v>22</v>
      </c>
      <c r="E2" s="9" t="s">
        <v>23</v>
      </c>
      <c r="F2" s="9" t="s">
        <v>24</v>
      </c>
      <c r="G2" s="9"/>
      <c r="H2" s="10"/>
      <c r="I2" s="10"/>
      <c r="J2" s="31"/>
      <c r="K2" s="31"/>
      <c r="L2" s="45" t="s">
        <v>25</v>
      </c>
      <c r="M2" s="47"/>
      <c r="N2" s="45" t="s">
        <v>1</v>
      </c>
      <c r="O2" s="46"/>
      <c r="P2" s="46"/>
      <c r="Q2" s="47"/>
      <c r="R2" s="11"/>
      <c r="S2" s="30"/>
      <c r="T2" s="30"/>
      <c r="U2" s="23"/>
      <c r="V2" s="24" t="s">
        <v>28</v>
      </c>
      <c r="W2" s="24"/>
      <c r="X2" s="25" t="s">
        <v>28</v>
      </c>
      <c r="Y2" s="10"/>
      <c r="Z2" s="9" t="s">
        <v>33</v>
      </c>
      <c r="AA2" s="11"/>
      <c r="AB2" s="11"/>
      <c r="AC2" s="11"/>
      <c r="AD2" s="11"/>
      <c r="AE2" s="11"/>
      <c r="AF2" s="22" t="s">
        <v>35</v>
      </c>
      <c r="AG2" s="11"/>
      <c r="AH2" s="11"/>
      <c r="AI2" s="27"/>
      <c r="AJ2" s="11"/>
      <c r="AK2" s="11"/>
      <c r="AL2" s="11"/>
      <c r="AM2" s="11"/>
      <c r="AN2" s="11"/>
      <c r="AO2" s="11"/>
      <c r="AP2" s="11"/>
      <c r="AQ2" s="11"/>
      <c r="AR2" s="11"/>
      <c r="AS2">
        <v>51</v>
      </c>
      <c r="AZ2">
        <v>14</v>
      </c>
      <c r="BA2">
        <v>28</v>
      </c>
    </row>
    <row r="3" spans="1:59" ht="75" x14ac:dyDescent="0.4">
      <c r="B3" s="1" t="s">
        <v>43</v>
      </c>
      <c r="C3" s="1" t="s">
        <v>47</v>
      </c>
      <c r="D3" s="2" t="s">
        <v>2</v>
      </c>
      <c r="E3" s="2" t="s">
        <v>6</v>
      </c>
      <c r="F3" s="2" t="s">
        <v>7</v>
      </c>
      <c r="G3" s="34" t="s">
        <v>56</v>
      </c>
      <c r="H3" s="2" t="s">
        <v>0</v>
      </c>
      <c r="I3" s="12" t="s">
        <v>4</v>
      </c>
      <c r="J3" s="12" t="s">
        <v>44</v>
      </c>
      <c r="K3" s="12" t="s">
        <v>45</v>
      </c>
      <c r="L3" s="12" t="s">
        <v>19</v>
      </c>
      <c r="M3" s="12" t="s">
        <v>20</v>
      </c>
      <c r="N3" s="12" t="s">
        <v>54</v>
      </c>
      <c r="O3" s="2" t="s">
        <v>5</v>
      </c>
      <c r="P3" s="2" t="s">
        <v>52</v>
      </c>
      <c r="Q3" s="2" t="s">
        <v>13</v>
      </c>
      <c r="R3" s="12" t="s">
        <v>41</v>
      </c>
      <c r="S3" s="12" t="s">
        <v>17</v>
      </c>
      <c r="T3" s="12" t="s">
        <v>18</v>
      </c>
      <c r="U3" s="12" t="s">
        <v>50</v>
      </c>
      <c r="V3" s="12" t="s">
        <v>51</v>
      </c>
      <c r="W3" s="2" t="s">
        <v>52</v>
      </c>
      <c r="X3" s="12" t="s">
        <v>53</v>
      </c>
      <c r="Y3" s="14" t="s">
        <v>3</v>
      </c>
      <c r="Z3" s="20" t="s">
        <v>14</v>
      </c>
      <c r="AA3" s="2" t="s">
        <v>13</v>
      </c>
      <c r="AB3" s="2" t="s">
        <v>38</v>
      </c>
      <c r="AC3" s="12" t="s">
        <v>55</v>
      </c>
      <c r="AD3" s="12" t="s">
        <v>46</v>
      </c>
      <c r="AE3" s="2" t="s">
        <v>13</v>
      </c>
      <c r="AF3" s="13" t="s">
        <v>26</v>
      </c>
      <c r="AG3" s="2" t="s">
        <v>13</v>
      </c>
      <c r="AH3" s="2" t="s">
        <v>27</v>
      </c>
      <c r="AI3" s="26" t="s">
        <v>29</v>
      </c>
      <c r="AJ3" s="12" t="s">
        <v>30</v>
      </c>
      <c r="AK3" s="12" t="s">
        <v>31</v>
      </c>
      <c r="AL3" s="12" t="s">
        <v>21</v>
      </c>
      <c r="AM3" s="12" t="s">
        <v>32</v>
      </c>
      <c r="AN3" s="12" t="s">
        <v>15</v>
      </c>
      <c r="AO3" s="12" t="s">
        <v>661</v>
      </c>
      <c r="AP3" s="12" t="s">
        <v>16</v>
      </c>
      <c r="AQ3" s="12" t="s">
        <v>17</v>
      </c>
      <c r="AR3" s="12" t="s">
        <v>18</v>
      </c>
      <c r="AS3" s="2" t="s">
        <v>8</v>
      </c>
      <c r="AT3" s="2" t="s">
        <v>9</v>
      </c>
      <c r="AU3" s="2" t="s">
        <v>10</v>
      </c>
      <c r="AV3" s="2" t="s">
        <v>11</v>
      </c>
      <c r="AW3" s="12" t="s">
        <v>36</v>
      </c>
      <c r="AX3" s="2" t="s">
        <v>337</v>
      </c>
      <c r="AY3" s="2" t="s">
        <v>12</v>
      </c>
      <c r="AZ3" s="18" t="s">
        <v>39</v>
      </c>
      <c r="BA3" s="18" t="s">
        <v>40</v>
      </c>
      <c r="BB3" s="15" t="s">
        <v>319</v>
      </c>
      <c r="BC3" s="32" t="s">
        <v>339</v>
      </c>
      <c r="BD3" s="33" t="s">
        <v>48</v>
      </c>
      <c r="BE3" s="33" t="s">
        <v>340</v>
      </c>
      <c r="BF3" s="33" t="s">
        <v>49</v>
      </c>
      <c r="BG3" t="s">
        <v>42</v>
      </c>
    </row>
    <row r="4" spans="1:59" x14ac:dyDescent="0.4">
      <c r="A4" t="str">
        <f>TEXT(F4,"000000")</f>
        <v>415760</v>
      </c>
      <c r="B4" s="3">
        <v>143</v>
      </c>
      <c r="C4" s="3">
        <v>143</v>
      </c>
      <c r="D4" s="4">
        <v>415760</v>
      </c>
      <c r="E4" s="4" t="str">
        <f t="shared" ref="E4:E35" si="0">TEXT(D4,"000000")</f>
        <v>415760</v>
      </c>
      <c r="F4" s="4">
        <v>415760</v>
      </c>
      <c r="G4" s="4" t="str">
        <f t="shared" ref="G4:G35" si="1">E4&amp;J4</f>
        <v>4157605</v>
      </c>
      <c r="H4" s="4" t="s">
        <v>288</v>
      </c>
      <c r="I4" s="5">
        <v>4967576197229</v>
      </c>
      <c r="J4" s="5">
        <v>5</v>
      </c>
      <c r="K4" s="5"/>
      <c r="L4" s="5">
        <v>1</v>
      </c>
      <c r="M4" s="5">
        <v>1</v>
      </c>
      <c r="N4" s="4">
        <v>0</v>
      </c>
      <c r="O4" s="4">
        <v>324</v>
      </c>
      <c r="P4" s="4">
        <v>200</v>
      </c>
      <c r="Q4" s="6">
        <f t="shared" ref="Q4:Q35" si="2">IFERROR(1-P4/O4,"-")</f>
        <v>0.38271604938271608</v>
      </c>
      <c r="R4" s="4" t="s">
        <v>338</v>
      </c>
      <c r="S4" s="4" t="s">
        <v>338</v>
      </c>
      <c r="T4" s="4" t="s">
        <v>338</v>
      </c>
      <c r="U4" s="4">
        <v>0</v>
      </c>
      <c r="V4" s="4">
        <f t="shared" ref="V4:V35" si="3">IF(Y4="",U4,U4*Y4)</f>
        <v>0</v>
      </c>
      <c r="W4" s="4">
        <v>230</v>
      </c>
      <c r="X4" s="4">
        <f t="shared" ref="X4:X35" si="4">IF(Y4="",W4,W4*Y4)</f>
        <v>230</v>
      </c>
      <c r="Y4" s="4"/>
      <c r="Z4" s="21">
        <f t="shared" ref="Z4:Z35" si="5">ROUND(O4*AN4,0)</f>
        <v>373</v>
      </c>
      <c r="AA4" s="6">
        <f t="shared" ref="AA4:AA35" si="6">IFERROR(1-X4/Z4,"-")</f>
        <v>0.38337801608579092</v>
      </c>
      <c r="AB4" s="4">
        <v>8</v>
      </c>
      <c r="AC4" s="4">
        <f t="shared" ref="AC4:AC35" si="7">AY4</f>
        <v>309</v>
      </c>
      <c r="AD4" s="4">
        <f t="shared" ref="AD4:AD35" si="8">IFERROR(AC4*AN4,"-")</f>
        <v>355.34999999999997</v>
      </c>
      <c r="AE4" s="6">
        <f t="shared" ref="AE4:AE35" si="9">IFERROR(1-X4/AD4,"-")</f>
        <v>0.35275080906148859</v>
      </c>
      <c r="AF4" s="7">
        <v>355</v>
      </c>
      <c r="AG4" s="6">
        <f t="shared" ref="AG4:AG35" si="10">1-X4/AF4</f>
        <v>0.352112676056338</v>
      </c>
      <c r="AH4" s="4">
        <f t="shared" ref="AH4:AH35" si="11">AF4-X4</f>
        <v>125</v>
      </c>
      <c r="AI4" s="28"/>
      <c r="AJ4" s="6"/>
      <c r="AK4" s="6"/>
      <c r="AL4" s="6" t="str">
        <f t="shared" ref="AL4:AL35" si="12">IFERROR(V4/N4,"-")</f>
        <v>-</v>
      </c>
      <c r="AM4" s="6">
        <f t="shared" ref="AM4:AM35" si="13">IFERROR(AF4/O4,"-")</f>
        <v>1.095679012345679</v>
      </c>
      <c r="AN4" s="6">
        <f t="shared" ref="AN4:AN35" si="14">IFERROR(X4/P4,"-")</f>
        <v>1.1499999999999999</v>
      </c>
      <c r="AO4" s="6" t="str">
        <f>IFERROR(1-X4/AP4,"-")</f>
        <v>-</v>
      </c>
      <c r="AP4" s="4" t="str">
        <f t="shared" ref="AP4:AP12" si="15">IFERROR(ROUND($AF4*R4/$O4,0),"-")</f>
        <v>-</v>
      </c>
      <c r="AQ4" s="4" t="str">
        <f>IF(S4="","-",S4)</f>
        <v>-</v>
      </c>
      <c r="AR4" s="4" t="str">
        <f>IF(T4="","-",T4)</f>
        <v>-</v>
      </c>
      <c r="AS4" s="4">
        <v>0</v>
      </c>
      <c r="AT4" s="4" t="s">
        <v>488</v>
      </c>
      <c r="AU4" s="4"/>
      <c r="AV4" s="4"/>
      <c r="AW4" s="4" t="s">
        <v>489</v>
      </c>
      <c r="AX4" s="4">
        <v>309</v>
      </c>
      <c r="AY4" s="4">
        <f t="shared" ref="AY4:AY35" si="16">IF(AU4="",AX4,AU4/AV4*AX4)</f>
        <v>309</v>
      </c>
      <c r="AZ4" s="19">
        <v>4</v>
      </c>
      <c r="BA4" s="19">
        <v>1</v>
      </c>
      <c r="BB4" s="16">
        <v>350</v>
      </c>
      <c r="BC4" t="s">
        <v>338</v>
      </c>
      <c r="BD4" t="str">
        <f>IFERROR(BC4*AN4,"-")</f>
        <v>-</v>
      </c>
      <c r="BE4" t="s">
        <v>338</v>
      </c>
      <c r="BF4" t="str">
        <f>IFERROR(BE4*AN4,"-")</f>
        <v>-</v>
      </c>
      <c r="BG4" t="s">
        <v>342</v>
      </c>
    </row>
    <row r="5" spans="1:59" x14ac:dyDescent="0.4">
      <c r="A5" t="str">
        <f t="shared" ref="A5:A68" si="17">TEXT(F5,"000000")</f>
        <v>J584PW</v>
      </c>
      <c r="B5" s="3">
        <v>149</v>
      </c>
      <c r="C5" s="3">
        <v>149</v>
      </c>
      <c r="D5" s="4" t="s">
        <v>136</v>
      </c>
      <c r="E5" s="4" t="str">
        <f t="shared" si="0"/>
        <v>J584PW</v>
      </c>
      <c r="F5" s="4" t="s">
        <v>136</v>
      </c>
      <c r="G5" s="4" t="str">
        <f t="shared" si="1"/>
        <v>J584PW5</v>
      </c>
      <c r="H5" s="4" t="s">
        <v>294</v>
      </c>
      <c r="I5" s="5">
        <v>4967576197267</v>
      </c>
      <c r="J5" s="5">
        <v>5</v>
      </c>
      <c r="K5" s="5"/>
      <c r="L5" s="5">
        <v>1</v>
      </c>
      <c r="M5" s="5">
        <v>1</v>
      </c>
      <c r="N5" s="4">
        <v>0</v>
      </c>
      <c r="O5" s="4">
        <v>412</v>
      </c>
      <c r="P5" s="4">
        <v>250</v>
      </c>
      <c r="Q5" s="6">
        <f t="shared" si="2"/>
        <v>0.39320388349514568</v>
      </c>
      <c r="R5" s="4" t="s">
        <v>338</v>
      </c>
      <c r="S5" s="4" t="s">
        <v>338</v>
      </c>
      <c r="T5" s="4" t="s">
        <v>338</v>
      </c>
      <c r="U5" s="4">
        <v>0</v>
      </c>
      <c r="V5" s="4">
        <f t="shared" si="3"/>
        <v>0</v>
      </c>
      <c r="W5" s="4">
        <v>295</v>
      </c>
      <c r="X5" s="4">
        <f t="shared" si="4"/>
        <v>295</v>
      </c>
      <c r="Y5" s="4"/>
      <c r="Z5" s="21">
        <f t="shared" si="5"/>
        <v>486</v>
      </c>
      <c r="AA5" s="6">
        <f t="shared" si="6"/>
        <v>0.39300411522633749</v>
      </c>
      <c r="AB5" s="4">
        <v>0.5</v>
      </c>
      <c r="AC5" s="4">
        <f t="shared" si="7"/>
        <v>370</v>
      </c>
      <c r="AD5" s="4">
        <f t="shared" si="8"/>
        <v>436.59999999999997</v>
      </c>
      <c r="AE5" s="6">
        <f t="shared" si="9"/>
        <v>0.32432432432432423</v>
      </c>
      <c r="AF5" s="7">
        <v>436</v>
      </c>
      <c r="AG5" s="6">
        <f t="shared" si="10"/>
        <v>0.32339449541284404</v>
      </c>
      <c r="AH5" s="4">
        <f t="shared" si="11"/>
        <v>141</v>
      </c>
      <c r="AI5" s="28"/>
      <c r="AJ5" s="6"/>
      <c r="AK5" s="6"/>
      <c r="AL5" s="6" t="str">
        <f t="shared" si="12"/>
        <v>-</v>
      </c>
      <c r="AM5" s="6">
        <f t="shared" si="13"/>
        <v>1.058252427184466</v>
      </c>
      <c r="AN5" s="6">
        <f t="shared" si="14"/>
        <v>1.18</v>
      </c>
      <c r="AO5" s="6" t="str">
        <f t="shared" ref="AO5:AO68" si="18">IFERROR(1-X5/AP5,"-")</f>
        <v>-</v>
      </c>
      <c r="AP5" s="4" t="str">
        <f t="shared" si="15"/>
        <v>-</v>
      </c>
      <c r="AQ5" s="4" t="str">
        <f t="shared" ref="AQ5:AQ68" si="19">IF(S5="","-",S5)</f>
        <v>-</v>
      </c>
      <c r="AR5" s="4" t="str">
        <f t="shared" ref="AR5:AR68" si="20">IF(T5="","-",T5)</f>
        <v>-</v>
      </c>
      <c r="AS5" s="4">
        <v>0</v>
      </c>
      <c r="AT5" s="4" t="s">
        <v>490</v>
      </c>
      <c r="AU5" s="4"/>
      <c r="AV5" s="4"/>
      <c r="AW5" s="4" t="s">
        <v>489</v>
      </c>
      <c r="AX5" s="4">
        <v>370</v>
      </c>
      <c r="AY5" s="4">
        <f t="shared" si="16"/>
        <v>370</v>
      </c>
      <c r="AZ5" s="19">
        <v>4</v>
      </c>
      <c r="BA5" s="19">
        <v>8</v>
      </c>
      <c r="BB5" s="16">
        <v>350</v>
      </c>
      <c r="BC5" t="s">
        <v>338</v>
      </c>
      <c r="BD5" t="str">
        <f t="shared" ref="BD5:BD68" si="21">IFERROR(BC5*AN5,"-")</f>
        <v>-</v>
      </c>
      <c r="BE5">
        <v>506</v>
      </c>
      <c r="BF5">
        <f t="shared" ref="BF5:BF68" si="22">IFERROR(BE5*AN5,"-")</f>
        <v>597.07999999999993</v>
      </c>
      <c r="BG5" t="s">
        <v>343</v>
      </c>
    </row>
    <row r="6" spans="1:59" x14ac:dyDescent="0.4">
      <c r="A6" t="str">
        <f t="shared" si="17"/>
        <v>667196</v>
      </c>
      <c r="B6" s="3">
        <v>157</v>
      </c>
      <c r="C6" s="3">
        <v>157</v>
      </c>
      <c r="D6" s="17">
        <v>667196</v>
      </c>
      <c r="E6" s="4" t="str">
        <f t="shared" si="0"/>
        <v>667196</v>
      </c>
      <c r="F6" s="4">
        <v>667196</v>
      </c>
      <c r="G6" s="4" t="str">
        <f t="shared" si="1"/>
        <v>6671965</v>
      </c>
      <c r="H6" s="4" t="s">
        <v>302</v>
      </c>
      <c r="I6" s="5">
        <v>4905009826742</v>
      </c>
      <c r="J6" s="5">
        <v>5</v>
      </c>
      <c r="K6" s="5"/>
      <c r="L6" s="5">
        <v>1</v>
      </c>
      <c r="M6" s="5">
        <v>1</v>
      </c>
      <c r="N6" s="4">
        <v>0</v>
      </c>
      <c r="O6" s="4">
        <v>534</v>
      </c>
      <c r="P6" s="4">
        <v>300</v>
      </c>
      <c r="Q6" s="6">
        <f t="shared" si="2"/>
        <v>0.4382022471910112</v>
      </c>
      <c r="R6" s="4" t="s">
        <v>338</v>
      </c>
      <c r="S6" s="4" t="s">
        <v>338</v>
      </c>
      <c r="T6" s="4" t="s">
        <v>338</v>
      </c>
      <c r="U6" s="4">
        <v>0</v>
      </c>
      <c r="V6" s="4">
        <f t="shared" si="3"/>
        <v>0</v>
      </c>
      <c r="W6" s="4">
        <v>360</v>
      </c>
      <c r="X6" s="4">
        <f t="shared" si="4"/>
        <v>360</v>
      </c>
      <c r="Y6" s="4"/>
      <c r="Z6" s="21">
        <f t="shared" si="5"/>
        <v>641</v>
      </c>
      <c r="AA6" s="6">
        <f t="shared" si="6"/>
        <v>0.43837753510140409</v>
      </c>
      <c r="AB6" s="4">
        <v>5.75</v>
      </c>
      <c r="AC6" s="4">
        <f t="shared" si="7"/>
        <v>546</v>
      </c>
      <c r="AD6" s="4">
        <f t="shared" si="8"/>
        <v>655.19999999999993</v>
      </c>
      <c r="AE6" s="6">
        <f t="shared" si="9"/>
        <v>0.4505494505494505</v>
      </c>
      <c r="AF6" s="7">
        <v>590</v>
      </c>
      <c r="AG6" s="6">
        <f t="shared" si="10"/>
        <v>0.38983050847457623</v>
      </c>
      <c r="AH6" s="4">
        <f t="shared" si="11"/>
        <v>230</v>
      </c>
      <c r="AI6" s="28"/>
      <c r="AJ6" s="6"/>
      <c r="AK6" s="6"/>
      <c r="AL6" s="6" t="str">
        <f t="shared" si="12"/>
        <v>-</v>
      </c>
      <c r="AM6" s="6">
        <f t="shared" si="13"/>
        <v>1.1048689138576779</v>
      </c>
      <c r="AN6" s="6">
        <f t="shared" si="14"/>
        <v>1.2</v>
      </c>
      <c r="AO6" s="6" t="str">
        <f t="shared" si="18"/>
        <v>-</v>
      </c>
      <c r="AP6" s="4" t="str">
        <f t="shared" si="15"/>
        <v>-</v>
      </c>
      <c r="AQ6" s="4" t="str">
        <f t="shared" si="19"/>
        <v>-</v>
      </c>
      <c r="AR6" s="4" t="str">
        <f t="shared" si="20"/>
        <v>-</v>
      </c>
      <c r="AS6" s="4" t="s">
        <v>336</v>
      </c>
      <c r="AT6" s="4" t="s">
        <v>491</v>
      </c>
      <c r="AU6" s="4"/>
      <c r="AV6" s="4"/>
      <c r="AW6" s="4" t="s">
        <v>492</v>
      </c>
      <c r="AX6" s="4">
        <v>546</v>
      </c>
      <c r="AY6" s="4">
        <f t="shared" si="16"/>
        <v>546</v>
      </c>
      <c r="AZ6" s="19">
        <v>4</v>
      </c>
      <c r="BA6" s="19">
        <v>1</v>
      </c>
      <c r="BB6" s="16">
        <v>350</v>
      </c>
      <c r="BC6" t="s">
        <v>338</v>
      </c>
      <c r="BD6" t="str">
        <f t="shared" si="21"/>
        <v>-</v>
      </c>
      <c r="BE6">
        <v>493</v>
      </c>
      <c r="BF6">
        <f t="shared" si="22"/>
        <v>591.6</v>
      </c>
      <c r="BG6" t="s">
        <v>344</v>
      </c>
    </row>
    <row r="7" spans="1:59" x14ac:dyDescent="0.4">
      <c r="A7" t="str">
        <f t="shared" si="17"/>
        <v>J585PW</v>
      </c>
      <c r="B7" s="3">
        <v>148</v>
      </c>
      <c r="C7" s="3">
        <v>148</v>
      </c>
      <c r="D7" s="17" t="s">
        <v>135</v>
      </c>
      <c r="E7" s="4" t="str">
        <f t="shared" si="0"/>
        <v>J585PW</v>
      </c>
      <c r="F7" s="4" t="s">
        <v>135</v>
      </c>
      <c r="G7" s="4" t="str">
        <f t="shared" si="1"/>
        <v>J585PW5</v>
      </c>
      <c r="H7" s="4" t="s">
        <v>293</v>
      </c>
      <c r="I7" s="5">
        <v>4967576197304</v>
      </c>
      <c r="J7" s="5">
        <v>5</v>
      </c>
      <c r="K7" s="5"/>
      <c r="L7" s="5">
        <v>1</v>
      </c>
      <c r="M7" s="5">
        <v>1</v>
      </c>
      <c r="N7" s="4">
        <v>0</v>
      </c>
      <c r="O7" s="4">
        <v>543</v>
      </c>
      <c r="P7" s="4">
        <v>330</v>
      </c>
      <c r="Q7" s="6">
        <f t="shared" si="2"/>
        <v>0.39226519337016574</v>
      </c>
      <c r="R7" s="4" t="s">
        <v>338</v>
      </c>
      <c r="S7" s="4" t="s">
        <v>338</v>
      </c>
      <c r="T7" s="4" t="s">
        <v>338</v>
      </c>
      <c r="U7" s="4">
        <v>0</v>
      </c>
      <c r="V7" s="4">
        <f t="shared" si="3"/>
        <v>0</v>
      </c>
      <c r="W7" s="4">
        <v>390</v>
      </c>
      <c r="X7" s="4">
        <f t="shared" si="4"/>
        <v>390</v>
      </c>
      <c r="Y7" s="4"/>
      <c r="Z7" s="21">
        <f t="shared" si="5"/>
        <v>642</v>
      </c>
      <c r="AA7" s="6">
        <f t="shared" si="6"/>
        <v>0.39252336448598135</v>
      </c>
      <c r="AB7" s="4">
        <v>0.5</v>
      </c>
      <c r="AC7" s="4">
        <f t="shared" si="7"/>
        <v>493</v>
      </c>
      <c r="AD7" s="4">
        <f t="shared" si="8"/>
        <v>582.63636363636363</v>
      </c>
      <c r="AE7" s="6">
        <f t="shared" si="9"/>
        <v>0.33062880324543609</v>
      </c>
      <c r="AF7" s="7">
        <v>582</v>
      </c>
      <c r="AG7" s="6">
        <f t="shared" si="10"/>
        <v>0.32989690721649489</v>
      </c>
      <c r="AH7" s="4">
        <f t="shared" si="11"/>
        <v>192</v>
      </c>
      <c r="AI7" s="28"/>
      <c r="AJ7" s="6"/>
      <c r="AK7" s="6"/>
      <c r="AL7" s="6" t="str">
        <f t="shared" si="12"/>
        <v>-</v>
      </c>
      <c r="AM7" s="6">
        <f t="shared" si="13"/>
        <v>1.0718232044198894</v>
      </c>
      <c r="AN7" s="6">
        <f t="shared" si="14"/>
        <v>1.1818181818181819</v>
      </c>
      <c r="AO7" s="6" t="str">
        <f t="shared" si="18"/>
        <v>-</v>
      </c>
      <c r="AP7" s="4" t="str">
        <f t="shared" si="15"/>
        <v>-</v>
      </c>
      <c r="AQ7" s="4" t="str">
        <f t="shared" si="19"/>
        <v>-</v>
      </c>
      <c r="AR7" s="4" t="str">
        <f t="shared" si="20"/>
        <v>-</v>
      </c>
      <c r="AS7" s="4">
        <v>0</v>
      </c>
      <c r="AT7" s="4" t="s">
        <v>493</v>
      </c>
      <c r="AU7" s="4"/>
      <c r="AV7" s="4"/>
      <c r="AW7" s="4" t="s">
        <v>489</v>
      </c>
      <c r="AX7" s="4">
        <v>493</v>
      </c>
      <c r="AY7" s="4">
        <f t="shared" si="16"/>
        <v>493</v>
      </c>
      <c r="AZ7" s="19">
        <v>4</v>
      </c>
      <c r="BA7" s="19">
        <v>8</v>
      </c>
      <c r="BB7" s="16">
        <v>350</v>
      </c>
      <c r="BC7" t="s">
        <v>338</v>
      </c>
      <c r="BD7" t="str">
        <f t="shared" si="21"/>
        <v>-</v>
      </c>
      <c r="BE7">
        <v>660</v>
      </c>
      <c r="BF7">
        <f t="shared" si="22"/>
        <v>780</v>
      </c>
      <c r="BG7" t="s">
        <v>345</v>
      </c>
    </row>
    <row r="8" spans="1:59" x14ac:dyDescent="0.4">
      <c r="A8" t="str">
        <f t="shared" si="17"/>
        <v>J587PW</v>
      </c>
      <c r="B8" s="3">
        <v>165</v>
      </c>
      <c r="C8" s="3">
        <v>165</v>
      </c>
      <c r="D8" s="17" t="s">
        <v>143</v>
      </c>
      <c r="E8" s="4" t="str">
        <f t="shared" si="0"/>
        <v>J587PW</v>
      </c>
      <c r="F8" s="4" t="s">
        <v>143</v>
      </c>
      <c r="G8" s="4" t="str">
        <f t="shared" si="1"/>
        <v>J587PW5</v>
      </c>
      <c r="H8" s="4" t="s">
        <v>309</v>
      </c>
      <c r="I8" s="5">
        <v>4905009691753</v>
      </c>
      <c r="J8" s="5">
        <v>5</v>
      </c>
      <c r="K8" s="5"/>
      <c r="L8" s="5">
        <v>1</v>
      </c>
      <c r="M8" s="5">
        <v>1</v>
      </c>
      <c r="N8" s="4">
        <v>0</v>
      </c>
      <c r="O8" s="4">
        <v>559</v>
      </c>
      <c r="P8" s="4">
        <v>340</v>
      </c>
      <c r="Q8" s="6">
        <f t="shared" si="2"/>
        <v>0.39177101967799643</v>
      </c>
      <c r="R8" s="4" t="s">
        <v>338</v>
      </c>
      <c r="S8" s="4" t="s">
        <v>338</v>
      </c>
      <c r="T8" s="4" t="s">
        <v>338</v>
      </c>
      <c r="U8" s="4">
        <v>0</v>
      </c>
      <c r="V8" s="4">
        <f t="shared" si="3"/>
        <v>0</v>
      </c>
      <c r="W8" s="4">
        <v>408</v>
      </c>
      <c r="X8" s="4">
        <f t="shared" si="4"/>
        <v>408</v>
      </c>
      <c r="Y8" s="4"/>
      <c r="Z8" s="21">
        <f t="shared" si="5"/>
        <v>671</v>
      </c>
      <c r="AA8" s="6">
        <f t="shared" si="6"/>
        <v>0.39195230998509689</v>
      </c>
      <c r="AB8" s="4">
        <v>0.75</v>
      </c>
      <c r="AC8" s="4">
        <f t="shared" si="7"/>
        <v>627</v>
      </c>
      <c r="AD8" s="4">
        <f t="shared" si="8"/>
        <v>752.4</v>
      </c>
      <c r="AE8" s="6">
        <f t="shared" si="9"/>
        <v>0.45773524720893144</v>
      </c>
      <c r="AF8" s="7">
        <v>670</v>
      </c>
      <c r="AG8" s="6">
        <f t="shared" si="10"/>
        <v>0.39104477611940303</v>
      </c>
      <c r="AH8" s="4">
        <f t="shared" si="11"/>
        <v>262</v>
      </c>
      <c r="AI8" s="28"/>
      <c r="AJ8" s="6"/>
      <c r="AK8" s="6"/>
      <c r="AL8" s="6" t="str">
        <f t="shared" si="12"/>
        <v>-</v>
      </c>
      <c r="AM8" s="6">
        <f t="shared" si="13"/>
        <v>1.1985688729874777</v>
      </c>
      <c r="AN8" s="6">
        <f t="shared" si="14"/>
        <v>1.2</v>
      </c>
      <c r="AO8" s="6" t="str">
        <f t="shared" si="18"/>
        <v>-</v>
      </c>
      <c r="AP8" s="4" t="str">
        <f t="shared" si="15"/>
        <v>-</v>
      </c>
      <c r="AQ8" s="4" t="str">
        <f t="shared" si="19"/>
        <v>-</v>
      </c>
      <c r="AR8" s="4" t="str">
        <f t="shared" si="20"/>
        <v>-</v>
      </c>
      <c r="AS8" s="4">
        <v>0</v>
      </c>
      <c r="AT8" s="4" t="s">
        <v>494</v>
      </c>
      <c r="AU8" s="4"/>
      <c r="AV8" s="4"/>
      <c r="AW8" s="4" t="s">
        <v>495</v>
      </c>
      <c r="AX8" s="4">
        <v>627</v>
      </c>
      <c r="AY8" s="4">
        <f t="shared" si="16"/>
        <v>627</v>
      </c>
      <c r="AZ8" s="19">
        <v>4</v>
      </c>
      <c r="BA8" s="19">
        <v>8</v>
      </c>
      <c r="BB8" s="16">
        <v>350</v>
      </c>
      <c r="BC8" t="s">
        <v>338</v>
      </c>
      <c r="BD8" t="str">
        <f t="shared" si="21"/>
        <v>-</v>
      </c>
      <c r="BE8">
        <v>627</v>
      </c>
      <c r="BF8">
        <f t="shared" si="22"/>
        <v>752.4</v>
      </c>
      <c r="BG8" t="s">
        <v>346</v>
      </c>
    </row>
    <row r="9" spans="1:59" x14ac:dyDescent="0.4">
      <c r="A9" t="str">
        <f t="shared" si="17"/>
        <v>J588PW</v>
      </c>
      <c r="B9" s="3">
        <v>166</v>
      </c>
      <c r="C9" s="3">
        <v>166</v>
      </c>
      <c r="D9" s="17" t="s">
        <v>144</v>
      </c>
      <c r="E9" s="4" t="str">
        <f t="shared" si="0"/>
        <v>J588PW</v>
      </c>
      <c r="F9" s="4" t="s">
        <v>144</v>
      </c>
      <c r="G9" s="4" t="str">
        <f t="shared" si="1"/>
        <v>J588PW5</v>
      </c>
      <c r="H9" s="4" t="s">
        <v>310</v>
      </c>
      <c r="I9" s="5">
        <v>4905009691760</v>
      </c>
      <c r="J9" s="5">
        <v>5</v>
      </c>
      <c r="K9" s="5"/>
      <c r="L9" s="5">
        <v>1</v>
      </c>
      <c r="M9" s="5">
        <v>1</v>
      </c>
      <c r="N9" s="4">
        <v>0</v>
      </c>
      <c r="O9" s="4">
        <v>554</v>
      </c>
      <c r="P9" s="4">
        <v>340</v>
      </c>
      <c r="Q9" s="6">
        <f t="shared" si="2"/>
        <v>0.38628158844765348</v>
      </c>
      <c r="R9" s="4" t="s">
        <v>338</v>
      </c>
      <c r="S9" s="4" t="s">
        <v>338</v>
      </c>
      <c r="T9" s="4" t="s">
        <v>338</v>
      </c>
      <c r="U9" s="4">
        <v>0</v>
      </c>
      <c r="V9" s="4">
        <f t="shared" si="3"/>
        <v>0</v>
      </c>
      <c r="W9" s="4">
        <v>408</v>
      </c>
      <c r="X9" s="4">
        <f t="shared" si="4"/>
        <v>408</v>
      </c>
      <c r="Y9" s="4"/>
      <c r="Z9" s="21">
        <f t="shared" si="5"/>
        <v>665</v>
      </c>
      <c r="AA9" s="6">
        <f t="shared" si="6"/>
        <v>0.38646616541353385</v>
      </c>
      <c r="AB9" s="4">
        <v>2.25</v>
      </c>
      <c r="AC9" s="4">
        <f t="shared" si="7"/>
        <v>627</v>
      </c>
      <c r="AD9" s="4">
        <f t="shared" si="8"/>
        <v>752.4</v>
      </c>
      <c r="AE9" s="6">
        <f t="shared" si="9"/>
        <v>0.45773524720893144</v>
      </c>
      <c r="AF9" s="7">
        <v>670</v>
      </c>
      <c r="AG9" s="6">
        <f t="shared" si="10"/>
        <v>0.39104477611940303</v>
      </c>
      <c r="AH9" s="4">
        <f t="shared" si="11"/>
        <v>262</v>
      </c>
      <c r="AI9" s="28"/>
      <c r="AJ9" s="6"/>
      <c r="AK9" s="6"/>
      <c r="AL9" s="6" t="str">
        <f t="shared" si="12"/>
        <v>-</v>
      </c>
      <c r="AM9" s="6">
        <f t="shared" si="13"/>
        <v>1.2093862815884477</v>
      </c>
      <c r="AN9" s="6">
        <f t="shared" si="14"/>
        <v>1.2</v>
      </c>
      <c r="AO9" s="6" t="str">
        <f t="shared" si="18"/>
        <v>-</v>
      </c>
      <c r="AP9" s="4" t="str">
        <f t="shared" si="15"/>
        <v>-</v>
      </c>
      <c r="AQ9" s="4" t="str">
        <f t="shared" si="19"/>
        <v>-</v>
      </c>
      <c r="AR9" s="4" t="str">
        <f t="shared" si="20"/>
        <v>-</v>
      </c>
      <c r="AS9" s="4">
        <v>0</v>
      </c>
      <c r="AT9" s="4" t="s">
        <v>496</v>
      </c>
      <c r="AU9" s="4"/>
      <c r="AV9" s="4"/>
      <c r="AW9" s="4" t="s">
        <v>495</v>
      </c>
      <c r="AX9" s="4">
        <v>627</v>
      </c>
      <c r="AY9" s="4">
        <f t="shared" si="16"/>
        <v>627</v>
      </c>
      <c r="AZ9" s="19">
        <v>4</v>
      </c>
      <c r="BA9" s="19">
        <v>1</v>
      </c>
      <c r="BB9" s="16">
        <v>350</v>
      </c>
      <c r="BC9" t="s">
        <v>338</v>
      </c>
      <c r="BD9" t="str">
        <f t="shared" si="21"/>
        <v>-</v>
      </c>
      <c r="BE9">
        <v>475</v>
      </c>
      <c r="BF9">
        <f t="shared" si="22"/>
        <v>570</v>
      </c>
      <c r="BG9" t="s">
        <v>347</v>
      </c>
    </row>
    <row r="10" spans="1:59" x14ac:dyDescent="0.4">
      <c r="A10" t="str">
        <f t="shared" si="17"/>
        <v>667198</v>
      </c>
      <c r="B10" s="3">
        <v>158</v>
      </c>
      <c r="C10" s="3">
        <v>158</v>
      </c>
      <c r="D10" s="4">
        <v>667198</v>
      </c>
      <c r="E10" s="4" t="str">
        <f t="shared" si="0"/>
        <v>667198</v>
      </c>
      <c r="F10" s="4">
        <v>667198</v>
      </c>
      <c r="G10" s="4" t="str">
        <f t="shared" si="1"/>
        <v>6671985</v>
      </c>
      <c r="H10" s="4" t="s">
        <v>303</v>
      </c>
      <c r="I10" s="5">
        <v>4905009826766</v>
      </c>
      <c r="J10" s="5">
        <v>5</v>
      </c>
      <c r="K10" s="5"/>
      <c r="L10" s="5">
        <v>1</v>
      </c>
      <c r="M10" s="5">
        <v>1</v>
      </c>
      <c r="N10" s="4">
        <v>0</v>
      </c>
      <c r="O10" s="4">
        <v>770</v>
      </c>
      <c r="P10" s="4">
        <v>400</v>
      </c>
      <c r="Q10" s="6">
        <f t="shared" si="2"/>
        <v>0.48051948051948057</v>
      </c>
      <c r="R10" s="4" t="s">
        <v>338</v>
      </c>
      <c r="S10" s="4" t="s">
        <v>338</v>
      </c>
      <c r="T10" s="4" t="s">
        <v>338</v>
      </c>
      <c r="U10" s="4">
        <v>0</v>
      </c>
      <c r="V10" s="4">
        <f t="shared" si="3"/>
        <v>0</v>
      </c>
      <c r="W10" s="4">
        <v>480</v>
      </c>
      <c r="X10" s="4">
        <f t="shared" si="4"/>
        <v>480</v>
      </c>
      <c r="Y10" s="4"/>
      <c r="Z10" s="21">
        <f t="shared" si="5"/>
        <v>924</v>
      </c>
      <c r="AA10" s="6">
        <f t="shared" si="6"/>
        <v>0.48051948051948057</v>
      </c>
      <c r="AB10" s="4">
        <v>18</v>
      </c>
      <c r="AC10" s="4">
        <f t="shared" si="7"/>
        <v>819</v>
      </c>
      <c r="AD10" s="4">
        <f t="shared" si="8"/>
        <v>982.8</v>
      </c>
      <c r="AE10" s="6">
        <f t="shared" si="9"/>
        <v>0.51159951159951156</v>
      </c>
      <c r="AF10" s="7">
        <v>900</v>
      </c>
      <c r="AG10" s="6">
        <f t="shared" si="10"/>
        <v>0.46666666666666667</v>
      </c>
      <c r="AH10" s="4">
        <f t="shared" si="11"/>
        <v>420</v>
      </c>
      <c r="AI10" s="28"/>
      <c r="AJ10" s="6"/>
      <c r="AK10" s="6"/>
      <c r="AL10" s="6" t="str">
        <f t="shared" si="12"/>
        <v>-</v>
      </c>
      <c r="AM10" s="6">
        <f t="shared" si="13"/>
        <v>1.1688311688311688</v>
      </c>
      <c r="AN10" s="6">
        <f t="shared" si="14"/>
        <v>1.2</v>
      </c>
      <c r="AO10" s="6" t="str">
        <f t="shared" si="18"/>
        <v>-</v>
      </c>
      <c r="AP10" s="4" t="str">
        <f t="shared" si="15"/>
        <v>-</v>
      </c>
      <c r="AQ10" s="4" t="str">
        <f t="shared" si="19"/>
        <v>-</v>
      </c>
      <c r="AR10" s="4" t="str">
        <f t="shared" si="20"/>
        <v>-</v>
      </c>
      <c r="AS10" s="4" t="s">
        <v>336</v>
      </c>
      <c r="AT10" s="4" t="s">
        <v>497</v>
      </c>
      <c r="AU10" s="4"/>
      <c r="AV10" s="4"/>
      <c r="AW10" s="4" t="s">
        <v>492</v>
      </c>
      <c r="AX10" s="4">
        <v>819</v>
      </c>
      <c r="AY10" s="4">
        <f t="shared" si="16"/>
        <v>819</v>
      </c>
      <c r="AZ10" s="19">
        <v>4</v>
      </c>
      <c r="BA10" s="19">
        <v>1</v>
      </c>
      <c r="BB10" s="16">
        <v>350</v>
      </c>
      <c r="BC10">
        <v>876</v>
      </c>
      <c r="BD10">
        <f t="shared" si="21"/>
        <v>1051.2</v>
      </c>
      <c r="BE10">
        <v>727</v>
      </c>
      <c r="BF10">
        <f t="shared" si="22"/>
        <v>872.4</v>
      </c>
      <c r="BG10" t="s">
        <v>348</v>
      </c>
    </row>
    <row r="11" spans="1:59" x14ac:dyDescent="0.4">
      <c r="A11" t="str">
        <f t="shared" si="17"/>
        <v>J586PW</v>
      </c>
      <c r="B11" s="3">
        <v>150</v>
      </c>
      <c r="C11" s="3">
        <v>150</v>
      </c>
      <c r="D11" s="4" t="s">
        <v>137</v>
      </c>
      <c r="E11" s="4" t="str">
        <f t="shared" si="0"/>
        <v>J586PW</v>
      </c>
      <c r="F11" s="4" t="s">
        <v>137</v>
      </c>
      <c r="G11" s="4" t="str">
        <f t="shared" si="1"/>
        <v>J586PW5</v>
      </c>
      <c r="H11" s="4" t="s">
        <v>295</v>
      </c>
      <c r="I11" s="5">
        <v>4967576197342</v>
      </c>
      <c r="J11" s="5">
        <v>5</v>
      </c>
      <c r="K11" s="5"/>
      <c r="L11" s="5">
        <v>1</v>
      </c>
      <c r="M11" s="5">
        <v>1</v>
      </c>
      <c r="N11" s="4">
        <v>0</v>
      </c>
      <c r="O11" s="4">
        <v>676</v>
      </c>
      <c r="P11" s="4">
        <v>410</v>
      </c>
      <c r="Q11" s="6">
        <f t="shared" si="2"/>
        <v>0.39349112426035504</v>
      </c>
      <c r="R11" s="4" t="s">
        <v>338</v>
      </c>
      <c r="S11" s="4" t="s">
        <v>338</v>
      </c>
      <c r="T11" s="4" t="s">
        <v>338</v>
      </c>
      <c r="U11" s="4">
        <v>0</v>
      </c>
      <c r="V11" s="4">
        <f t="shared" si="3"/>
        <v>0</v>
      </c>
      <c r="W11" s="4">
        <v>484</v>
      </c>
      <c r="X11" s="4">
        <f t="shared" si="4"/>
        <v>484</v>
      </c>
      <c r="Y11" s="4"/>
      <c r="Z11" s="21">
        <f t="shared" si="5"/>
        <v>798</v>
      </c>
      <c r="AA11" s="6">
        <f t="shared" si="6"/>
        <v>0.39348370927318299</v>
      </c>
      <c r="AB11" s="4">
        <v>2.5</v>
      </c>
      <c r="AC11" s="4">
        <f t="shared" si="7"/>
        <v>618</v>
      </c>
      <c r="AD11" s="4">
        <f t="shared" si="8"/>
        <v>729.54146341463411</v>
      </c>
      <c r="AE11" s="6">
        <f t="shared" si="9"/>
        <v>0.33656957928802589</v>
      </c>
      <c r="AF11" s="7">
        <v>729</v>
      </c>
      <c r="AG11" s="6">
        <f t="shared" si="10"/>
        <v>0.33607681755829899</v>
      </c>
      <c r="AH11" s="4">
        <f t="shared" si="11"/>
        <v>245</v>
      </c>
      <c r="AI11" s="28"/>
      <c r="AJ11" s="6"/>
      <c r="AK11" s="6"/>
      <c r="AL11" s="6" t="str">
        <f t="shared" si="12"/>
        <v>-</v>
      </c>
      <c r="AM11" s="6">
        <f t="shared" si="13"/>
        <v>1.0784023668639053</v>
      </c>
      <c r="AN11" s="6">
        <f t="shared" si="14"/>
        <v>1.1804878048780487</v>
      </c>
      <c r="AO11" s="6" t="str">
        <f t="shared" si="18"/>
        <v>-</v>
      </c>
      <c r="AP11" s="4" t="str">
        <f t="shared" si="15"/>
        <v>-</v>
      </c>
      <c r="AQ11" s="4" t="str">
        <f t="shared" si="19"/>
        <v>-</v>
      </c>
      <c r="AR11" s="4" t="str">
        <f t="shared" si="20"/>
        <v>-</v>
      </c>
      <c r="AS11" s="4">
        <v>0</v>
      </c>
      <c r="AT11" s="4" t="s">
        <v>498</v>
      </c>
      <c r="AU11" s="4"/>
      <c r="AV11" s="4"/>
      <c r="AW11" s="4" t="s">
        <v>489</v>
      </c>
      <c r="AX11" s="4">
        <v>618</v>
      </c>
      <c r="AY11" s="4">
        <f t="shared" si="16"/>
        <v>618</v>
      </c>
      <c r="AZ11" s="19">
        <v>4</v>
      </c>
      <c r="BA11" s="19">
        <v>8</v>
      </c>
      <c r="BB11" s="16">
        <v>350</v>
      </c>
      <c r="BC11" t="s">
        <v>338</v>
      </c>
      <c r="BD11" t="str">
        <f t="shared" si="21"/>
        <v>-</v>
      </c>
      <c r="BE11">
        <v>814</v>
      </c>
      <c r="BF11">
        <f t="shared" si="22"/>
        <v>960.91707317073167</v>
      </c>
      <c r="BG11" t="s">
        <v>349</v>
      </c>
    </row>
    <row r="12" spans="1:59" x14ac:dyDescent="0.4">
      <c r="A12" t="str">
        <f t="shared" si="17"/>
        <v>667199</v>
      </c>
      <c r="B12" s="37">
        <v>159</v>
      </c>
      <c r="C12" s="3">
        <v>159</v>
      </c>
      <c r="D12" s="4">
        <v>667199</v>
      </c>
      <c r="E12" s="4" t="str">
        <f t="shared" si="0"/>
        <v>667199</v>
      </c>
      <c r="F12" s="4">
        <v>667199</v>
      </c>
      <c r="G12" s="4" t="str">
        <f t="shared" si="1"/>
        <v>6671995</v>
      </c>
      <c r="H12" s="4" t="s">
        <v>304</v>
      </c>
      <c r="I12" s="5">
        <v>4905009826780</v>
      </c>
      <c r="J12" s="5">
        <v>5</v>
      </c>
      <c r="K12" s="5"/>
      <c r="L12" s="5">
        <v>1</v>
      </c>
      <c r="M12" s="5">
        <v>1</v>
      </c>
      <c r="N12" s="4">
        <v>0</v>
      </c>
      <c r="O12" s="4">
        <v>1200</v>
      </c>
      <c r="P12" s="4">
        <v>500</v>
      </c>
      <c r="Q12" s="6">
        <f t="shared" si="2"/>
        <v>0.58333333333333326</v>
      </c>
      <c r="R12" s="4" t="s">
        <v>338</v>
      </c>
      <c r="S12" s="4" t="s">
        <v>338</v>
      </c>
      <c r="T12" s="4" t="s">
        <v>338</v>
      </c>
      <c r="U12" s="4">
        <v>0</v>
      </c>
      <c r="V12" s="4">
        <f t="shared" si="3"/>
        <v>0</v>
      </c>
      <c r="W12" s="4">
        <v>600</v>
      </c>
      <c r="X12" s="4">
        <f t="shared" si="4"/>
        <v>600</v>
      </c>
      <c r="Y12" s="4"/>
      <c r="Z12" s="21">
        <f t="shared" si="5"/>
        <v>1440</v>
      </c>
      <c r="AA12" s="6">
        <f t="shared" si="6"/>
        <v>0.58333333333333326</v>
      </c>
      <c r="AB12" s="4">
        <v>0.25</v>
      </c>
      <c r="AC12" s="4">
        <f t="shared" si="7"/>
        <v>910</v>
      </c>
      <c r="AD12" s="4">
        <f t="shared" si="8"/>
        <v>1092</v>
      </c>
      <c r="AE12" s="6">
        <f t="shared" si="9"/>
        <v>0.4505494505494505</v>
      </c>
      <c r="AF12" s="7">
        <v>1440</v>
      </c>
      <c r="AG12" s="6">
        <f t="shared" si="10"/>
        <v>0.58333333333333326</v>
      </c>
      <c r="AH12" s="38">
        <f t="shared" si="11"/>
        <v>840</v>
      </c>
      <c r="AI12" s="28"/>
      <c r="AJ12" s="6"/>
      <c r="AK12" s="6"/>
      <c r="AL12" s="6" t="str">
        <f t="shared" si="12"/>
        <v>-</v>
      </c>
      <c r="AM12" s="6">
        <f t="shared" si="13"/>
        <v>1.2</v>
      </c>
      <c r="AN12" s="6">
        <f t="shared" si="14"/>
        <v>1.2</v>
      </c>
      <c r="AO12" s="6" t="str">
        <f t="shared" si="18"/>
        <v>-</v>
      </c>
      <c r="AP12" s="4" t="str">
        <f t="shared" si="15"/>
        <v>-</v>
      </c>
      <c r="AQ12" s="4" t="str">
        <f t="shared" si="19"/>
        <v>-</v>
      </c>
      <c r="AR12" s="4" t="str">
        <f t="shared" si="20"/>
        <v>-</v>
      </c>
      <c r="AS12" s="4" t="s">
        <v>336</v>
      </c>
      <c r="AT12" s="4" t="s">
        <v>499</v>
      </c>
      <c r="AU12" s="4"/>
      <c r="AV12" s="4"/>
      <c r="AW12" s="4" t="s">
        <v>492</v>
      </c>
      <c r="AX12" s="4">
        <v>910</v>
      </c>
      <c r="AY12" s="4">
        <f t="shared" si="16"/>
        <v>910</v>
      </c>
      <c r="AZ12" s="19">
        <v>2</v>
      </c>
      <c r="BA12" s="19">
        <v>8</v>
      </c>
      <c r="BB12" s="16">
        <v>350</v>
      </c>
      <c r="BC12" t="s">
        <v>338</v>
      </c>
      <c r="BD12" t="str">
        <f t="shared" si="21"/>
        <v>-</v>
      </c>
      <c r="BE12">
        <v>853</v>
      </c>
      <c r="BF12">
        <f t="shared" si="22"/>
        <v>1023.5999999999999</v>
      </c>
      <c r="BG12" t="s">
        <v>350</v>
      </c>
    </row>
    <row r="13" spans="1:59" x14ac:dyDescent="0.4">
      <c r="A13" t="str">
        <f t="shared" si="17"/>
        <v>667193</v>
      </c>
      <c r="B13" s="3">
        <v>173</v>
      </c>
      <c r="C13" s="3">
        <v>173</v>
      </c>
      <c r="D13" s="4">
        <v>667193</v>
      </c>
      <c r="E13" s="4" t="str">
        <f t="shared" si="0"/>
        <v>667193</v>
      </c>
      <c r="F13" s="4">
        <v>667193</v>
      </c>
      <c r="G13" s="4" t="str">
        <f t="shared" si="1"/>
        <v>6671935</v>
      </c>
      <c r="H13" s="4" t="s">
        <v>317</v>
      </c>
      <c r="I13" s="5">
        <v>4905009826681</v>
      </c>
      <c r="J13" s="5">
        <v>5</v>
      </c>
      <c r="K13" s="5"/>
      <c r="L13" s="5">
        <v>1</v>
      </c>
      <c r="M13" s="5">
        <v>1</v>
      </c>
      <c r="N13" s="4">
        <v>0</v>
      </c>
      <c r="O13" s="4">
        <v>1339</v>
      </c>
      <c r="P13" s="4">
        <v>800</v>
      </c>
      <c r="Q13" s="6">
        <f t="shared" si="2"/>
        <v>0.40253920836445112</v>
      </c>
      <c r="R13" s="4">
        <v>1198</v>
      </c>
      <c r="S13" s="4">
        <v>6</v>
      </c>
      <c r="T13" s="4">
        <v>99999</v>
      </c>
      <c r="U13" s="4">
        <v>0</v>
      </c>
      <c r="V13" s="4">
        <f t="shared" si="3"/>
        <v>0</v>
      </c>
      <c r="W13" s="4">
        <v>1000</v>
      </c>
      <c r="X13" s="4">
        <f t="shared" si="4"/>
        <v>1000</v>
      </c>
      <c r="Y13" s="4"/>
      <c r="Z13" s="21">
        <f t="shared" si="5"/>
        <v>1674</v>
      </c>
      <c r="AA13" s="6">
        <f t="shared" si="6"/>
        <v>0.40262843488649935</v>
      </c>
      <c r="AB13" s="4">
        <v>10.75</v>
      </c>
      <c r="AC13" s="4">
        <f t="shared" si="7"/>
        <v>1982</v>
      </c>
      <c r="AD13" s="4">
        <f t="shared" si="8"/>
        <v>2477.5</v>
      </c>
      <c r="AE13" s="6">
        <f t="shared" si="9"/>
        <v>0.59636730575176589</v>
      </c>
      <c r="AF13" s="7">
        <v>1680</v>
      </c>
      <c r="AG13" s="6">
        <f t="shared" si="10"/>
        <v>0.40476190476190477</v>
      </c>
      <c r="AH13" s="4">
        <f t="shared" si="11"/>
        <v>680</v>
      </c>
      <c r="AI13" s="28"/>
      <c r="AJ13" s="6"/>
      <c r="AK13" s="6"/>
      <c r="AL13" s="41" t="str">
        <f t="shared" si="12"/>
        <v>-</v>
      </c>
      <c r="AM13" s="6">
        <f t="shared" si="13"/>
        <v>1.2546676624346527</v>
      </c>
      <c r="AN13" s="6">
        <f t="shared" si="14"/>
        <v>1.25</v>
      </c>
      <c r="AO13" s="6">
        <f t="shared" si="18"/>
        <v>0.33333333333333337</v>
      </c>
      <c r="AP13" s="4">
        <v>1500</v>
      </c>
      <c r="AQ13" s="4">
        <f t="shared" si="19"/>
        <v>6</v>
      </c>
      <c r="AR13" s="4">
        <f t="shared" si="20"/>
        <v>99999</v>
      </c>
      <c r="AS13" s="4" t="s">
        <v>336</v>
      </c>
      <c r="AT13" s="4" t="s">
        <v>500</v>
      </c>
      <c r="AU13" s="4"/>
      <c r="AV13" s="4"/>
      <c r="AW13" s="4" t="s">
        <v>489</v>
      </c>
      <c r="AX13" s="4">
        <v>1982</v>
      </c>
      <c r="AY13" s="4">
        <f t="shared" si="16"/>
        <v>1982</v>
      </c>
      <c r="AZ13" s="19">
        <v>4</v>
      </c>
      <c r="BA13" s="19">
        <v>1</v>
      </c>
      <c r="BB13" s="16">
        <v>350</v>
      </c>
      <c r="BC13">
        <v>1828</v>
      </c>
      <c r="BD13">
        <f t="shared" si="21"/>
        <v>2285</v>
      </c>
      <c r="BE13">
        <v>2330</v>
      </c>
      <c r="BF13">
        <f t="shared" si="22"/>
        <v>2912.5</v>
      </c>
      <c r="BG13" t="s">
        <v>351</v>
      </c>
    </row>
    <row r="14" spans="1:59" x14ac:dyDescent="0.4">
      <c r="A14" t="str">
        <f t="shared" si="17"/>
        <v>667194</v>
      </c>
      <c r="B14" s="3">
        <v>155</v>
      </c>
      <c r="C14" s="3">
        <v>155</v>
      </c>
      <c r="D14" s="4">
        <v>667194</v>
      </c>
      <c r="E14" s="4" t="str">
        <f t="shared" si="0"/>
        <v>667194</v>
      </c>
      <c r="F14" s="4">
        <v>667194</v>
      </c>
      <c r="G14" s="4" t="str">
        <f t="shared" si="1"/>
        <v>6671945</v>
      </c>
      <c r="H14" s="4" t="s">
        <v>300</v>
      </c>
      <c r="I14" s="5">
        <v>4905009826704</v>
      </c>
      <c r="J14" s="5">
        <v>5</v>
      </c>
      <c r="K14" s="5"/>
      <c r="L14" s="5">
        <v>1</v>
      </c>
      <c r="M14" s="5">
        <v>1</v>
      </c>
      <c r="N14" s="4">
        <v>0</v>
      </c>
      <c r="O14" s="4">
        <v>2368</v>
      </c>
      <c r="P14" s="4">
        <v>1200</v>
      </c>
      <c r="Q14" s="6">
        <f t="shared" si="2"/>
        <v>0.4932432432432432</v>
      </c>
      <c r="R14" s="4">
        <v>2173</v>
      </c>
      <c r="S14" s="4">
        <v>6</v>
      </c>
      <c r="T14" s="4">
        <v>99999</v>
      </c>
      <c r="U14" s="4">
        <v>0</v>
      </c>
      <c r="V14" s="4">
        <f t="shared" si="3"/>
        <v>0</v>
      </c>
      <c r="W14" s="4">
        <v>1440</v>
      </c>
      <c r="X14" s="4">
        <f t="shared" si="4"/>
        <v>1440</v>
      </c>
      <c r="Y14" s="4"/>
      <c r="Z14" s="21">
        <f t="shared" si="5"/>
        <v>2842</v>
      </c>
      <c r="AA14" s="6">
        <f t="shared" si="6"/>
        <v>0.49331456720619282</v>
      </c>
      <c r="AB14" s="4">
        <v>22</v>
      </c>
      <c r="AC14" s="4">
        <f t="shared" si="7"/>
        <v>2700</v>
      </c>
      <c r="AD14" s="4">
        <f t="shared" si="8"/>
        <v>3240</v>
      </c>
      <c r="AE14" s="6">
        <f t="shared" si="9"/>
        <v>0.55555555555555558</v>
      </c>
      <c r="AF14" s="7">
        <v>2800</v>
      </c>
      <c r="AG14" s="6">
        <f t="shared" si="10"/>
        <v>0.48571428571428577</v>
      </c>
      <c r="AH14" s="4">
        <f t="shared" si="11"/>
        <v>1360</v>
      </c>
      <c r="AI14" s="28"/>
      <c r="AJ14" s="6"/>
      <c r="AK14" s="6"/>
      <c r="AL14" s="41" t="str">
        <f t="shared" si="12"/>
        <v>-</v>
      </c>
      <c r="AM14" s="6">
        <f t="shared" si="13"/>
        <v>1.1824324324324325</v>
      </c>
      <c r="AN14" s="6">
        <f t="shared" si="14"/>
        <v>1.2</v>
      </c>
      <c r="AO14" s="6">
        <f t="shared" si="18"/>
        <v>0.44186046511627908</v>
      </c>
      <c r="AP14" s="4">
        <v>2580</v>
      </c>
      <c r="AQ14" s="4">
        <f t="shared" si="19"/>
        <v>6</v>
      </c>
      <c r="AR14" s="4">
        <f t="shared" si="20"/>
        <v>99999</v>
      </c>
      <c r="AS14" s="4" t="s">
        <v>336</v>
      </c>
      <c r="AT14" s="4" t="s">
        <v>501</v>
      </c>
      <c r="AU14" s="4"/>
      <c r="AV14" s="4"/>
      <c r="AW14" s="4" t="s">
        <v>489</v>
      </c>
      <c r="AX14" s="4">
        <v>2700</v>
      </c>
      <c r="AY14" s="4">
        <f t="shared" si="16"/>
        <v>2700</v>
      </c>
      <c r="AZ14" s="19">
        <v>4</v>
      </c>
      <c r="BA14" s="19">
        <v>1</v>
      </c>
      <c r="BB14" s="16">
        <v>350</v>
      </c>
      <c r="BC14" t="s">
        <v>338</v>
      </c>
      <c r="BD14" t="str">
        <f t="shared" si="21"/>
        <v>-</v>
      </c>
      <c r="BE14">
        <v>3327</v>
      </c>
      <c r="BF14">
        <f t="shared" si="22"/>
        <v>3992.3999999999996</v>
      </c>
      <c r="BG14" t="s">
        <v>352</v>
      </c>
    </row>
    <row r="15" spans="1:59" x14ac:dyDescent="0.4">
      <c r="A15" t="str">
        <f t="shared" si="17"/>
        <v>667195</v>
      </c>
      <c r="B15" s="37">
        <v>156</v>
      </c>
      <c r="C15" s="3">
        <v>156</v>
      </c>
      <c r="D15" s="4">
        <v>667195</v>
      </c>
      <c r="E15" s="4" t="str">
        <f t="shared" si="0"/>
        <v>667195</v>
      </c>
      <c r="F15" s="4">
        <v>667195</v>
      </c>
      <c r="G15" s="4" t="str">
        <f t="shared" si="1"/>
        <v>6671955</v>
      </c>
      <c r="H15" s="4" t="s">
        <v>301</v>
      </c>
      <c r="I15" s="5">
        <v>4905009826728</v>
      </c>
      <c r="J15" s="5">
        <v>5</v>
      </c>
      <c r="K15" s="5"/>
      <c r="L15" s="5">
        <v>1</v>
      </c>
      <c r="M15" s="5">
        <v>1</v>
      </c>
      <c r="N15" s="4">
        <v>0</v>
      </c>
      <c r="O15" s="4">
        <v>2606</v>
      </c>
      <c r="P15" s="4">
        <v>1500</v>
      </c>
      <c r="Q15" s="6">
        <f t="shared" si="2"/>
        <v>0.42440521872601689</v>
      </c>
      <c r="R15" s="4">
        <v>2585</v>
      </c>
      <c r="S15" s="4">
        <v>3</v>
      </c>
      <c r="T15" s="4">
        <v>99999</v>
      </c>
      <c r="U15" s="4">
        <v>0</v>
      </c>
      <c r="V15" s="4">
        <f t="shared" si="3"/>
        <v>0</v>
      </c>
      <c r="W15" s="4">
        <v>1800</v>
      </c>
      <c r="X15" s="4">
        <f t="shared" si="4"/>
        <v>1800</v>
      </c>
      <c r="Y15" s="4"/>
      <c r="Z15" s="21">
        <f t="shared" si="5"/>
        <v>3127</v>
      </c>
      <c r="AA15" s="6">
        <f t="shared" si="6"/>
        <v>0.4243684042212984</v>
      </c>
      <c r="AB15" s="4">
        <v>2.75</v>
      </c>
      <c r="AC15" s="4">
        <f t="shared" si="7"/>
        <v>3082</v>
      </c>
      <c r="AD15" s="4">
        <f t="shared" si="8"/>
        <v>3698.3999999999996</v>
      </c>
      <c r="AE15" s="6">
        <f t="shared" si="9"/>
        <v>0.51330304996755349</v>
      </c>
      <c r="AF15" s="7">
        <v>3200</v>
      </c>
      <c r="AG15" s="6">
        <f t="shared" si="10"/>
        <v>0.4375</v>
      </c>
      <c r="AH15" s="38">
        <f t="shared" si="11"/>
        <v>1400</v>
      </c>
      <c r="AI15" s="28"/>
      <c r="AJ15" s="6"/>
      <c r="AK15" s="6"/>
      <c r="AL15" s="41" t="str">
        <f t="shared" si="12"/>
        <v>-</v>
      </c>
      <c r="AM15" s="6">
        <f t="shared" si="13"/>
        <v>1.2279355333844972</v>
      </c>
      <c r="AN15" s="6">
        <f t="shared" si="14"/>
        <v>1.2</v>
      </c>
      <c r="AO15" s="6">
        <f t="shared" si="18"/>
        <v>0.4</v>
      </c>
      <c r="AP15" s="4">
        <v>3000</v>
      </c>
      <c r="AQ15" s="4">
        <f t="shared" si="19"/>
        <v>3</v>
      </c>
      <c r="AR15" s="4">
        <f t="shared" si="20"/>
        <v>99999</v>
      </c>
      <c r="AS15" s="4" t="s">
        <v>336</v>
      </c>
      <c r="AT15" s="4" t="s">
        <v>502</v>
      </c>
      <c r="AU15" s="4"/>
      <c r="AV15" s="4"/>
      <c r="AW15" s="4" t="s">
        <v>489</v>
      </c>
      <c r="AX15" s="4">
        <v>3082</v>
      </c>
      <c r="AY15" s="4">
        <f t="shared" si="16"/>
        <v>3082</v>
      </c>
      <c r="AZ15" s="19">
        <v>2</v>
      </c>
      <c r="BA15" s="19">
        <v>8</v>
      </c>
      <c r="BB15" s="16">
        <v>350</v>
      </c>
      <c r="BC15" t="s">
        <v>338</v>
      </c>
      <c r="BD15" t="str">
        <f t="shared" si="21"/>
        <v>-</v>
      </c>
      <c r="BE15">
        <v>4121</v>
      </c>
      <c r="BF15">
        <f t="shared" si="22"/>
        <v>4945.2</v>
      </c>
      <c r="BG15" t="s">
        <v>353</v>
      </c>
    </row>
    <row r="16" spans="1:59" x14ac:dyDescent="0.4">
      <c r="A16" t="str">
        <f t="shared" si="17"/>
        <v>J532LT</v>
      </c>
      <c r="B16" s="3">
        <v>116</v>
      </c>
      <c r="C16" s="3">
        <v>116</v>
      </c>
      <c r="D16" s="4" t="s">
        <v>118</v>
      </c>
      <c r="E16" s="4" t="str">
        <f t="shared" si="0"/>
        <v>J532LT</v>
      </c>
      <c r="F16" s="4" t="s">
        <v>118</v>
      </c>
      <c r="G16" s="4" t="str">
        <f t="shared" si="1"/>
        <v>J532LT5</v>
      </c>
      <c r="H16" s="4" t="s">
        <v>261</v>
      </c>
      <c r="I16" s="5">
        <v>4905009375196</v>
      </c>
      <c r="J16" s="5">
        <v>5</v>
      </c>
      <c r="K16" s="5"/>
      <c r="L16" s="5">
        <v>1</v>
      </c>
      <c r="M16" s="5">
        <v>1</v>
      </c>
      <c r="N16" s="4">
        <v>0</v>
      </c>
      <c r="O16" s="4">
        <v>904</v>
      </c>
      <c r="P16" s="4">
        <v>520</v>
      </c>
      <c r="Q16" s="6">
        <f t="shared" si="2"/>
        <v>0.4247787610619469</v>
      </c>
      <c r="R16" s="4" t="s">
        <v>338</v>
      </c>
      <c r="S16" s="4" t="s">
        <v>338</v>
      </c>
      <c r="T16" s="4" t="s">
        <v>338</v>
      </c>
      <c r="U16" s="4">
        <v>0</v>
      </c>
      <c r="V16" s="4">
        <f t="shared" si="3"/>
        <v>0</v>
      </c>
      <c r="W16" s="4">
        <v>572</v>
      </c>
      <c r="X16" s="4">
        <f t="shared" si="4"/>
        <v>572</v>
      </c>
      <c r="Y16" s="4"/>
      <c r="Z16" s="21">
        <f t="shared" si="5"/>
        <v>994</v>
      </c>
      <c r="AA16" s="6">
        <f t="shared" si="6"/>
        <v>0.42454728370221329</v>
      </c>
      <c r="AB16" s="4">
        <v>1.7500000000000002</v>
      </c>
      <c r="AC16" s="4">
        <f t="shared" si="7"/>
        <v>816</v>
      </c>
      <c r="AD16" s="4">
        <f t="shared" si="8"/>
        <v>897.6</v>
      </c>
      <c r="AE16" s="6">
        <f t="shared" si="9"/>
        <v>0.36274509803921573</v>
      </c>
      <c r="AF16" s="7">
        <v>896</v>
      </c>
      <c r="AG16" s="6">
        <f t="shared" si="10"/>
        <v>0.3616071428571429</v>
      </c>
      <c r="AH16" s="4">
        <f t="shared" si="11"/>
        <v>324</v>
      </c>
      <c r="AI16" s="28"/>
      <c r="AJ16" s="6"/>
      <c r="AK16" s="6"/>
      <c r="AL16" s="6" t="str">
        <f t="shared" si="12"/>
        <v>-</v>
      </c>
      <c r="AM16" s="6">
        <f t="shared" si="13"/>
        <v>0.99115044247787609</v>
      </c>
      <c r="AN16" s="6">
        <f t="shared" si="14"/>
        <v>1.1000000000000001</v>
      </c>
      <c r="AO16" s="6" t="str">
        <f t="shared" si="18"/>
        <v>-</v>
      </c>
      <c r="AP16" s="4" t="str">
        <f>IFERROR(ROUND($AF16*R16/$O16,0),"-")</f>
        <v>-</v>
      </c>
      <c r="AQ16" s="4" t="str">
        <f t="shared" si="19"/>
        <v>-</v>
      </c>
      <c r="AR16" s="4" t="str">
        <f t="shared" si="20"/>
        <v>-</v>
      </c>
      <c r="AS16" s="4">
        <v>0</v>
      </c>
      <c r="AT16" s="4" t="s">
        <v>503</v>
      </c>
      <c r="AU16" s="4"/>
      <c r="AV16" s="4"/>
      <c r="AW16" s="4" t="s">
        <v>489</v>
      </c>
      <c r="AX16" s="4">
        <v>816</v>
      </c>
      <c r="AY16" s="4">
        <f t="shared" si="16"/>
        <v>816</v>
      </c>
      <c r="AZ16" s="19">
        <v>4</v>
      </c>
      <c r="BA16" s="19">
        <v>8</v>
      </c>
      <c r="BB16" s="16">
        <v>610</v>
      </c>
      <c r="BC16" t="s">
        <v>338</v>
      </c>
      <c r="BD16" t="str">
        <f t="shared" si="21"/>
        <v>-</v>
      </c>
      <c r="BE16">
        <v>816</v>
      </c>
      <c r="BF16">
        <f t="shared" si="22"/>
        <v>897.6</v>
      </c>
      <c r="BG16" t="s">
        <v>354</v>
      </c>
    </row>
    <row r="17" spans="1:59" x14ac:dyDescent="0.4">
      <c r="A17" t="str">
        <f t="shared" si="17"/>
        <v>J603PW</v>
      </c>
      <c r="B17" s="37">
        <v>123</v>
      </c>
      <c r="C17" s="3">
        <v>123</v>
      </c>
      <c r="D17" s="4" t="s">
        <v>125</v>
      </c>
      <c r="E17" s="4" t="str">
        <f t="shared" si="0"/>
        <v>J603PW</v>
      </c>
      <c r="F17" s="4" t="s">
        <v>125</v>
      </c>
      <c r="G17" s="4" t="str">
        <f t="shared" si="1"/>
        <v>J603PW5</v>
      </c>
      <c r="H17" s="4" t="s">
        <v>268</v>
      </c>
      <c r="I17" s="5">
        <v>4905009720415</v>
      </c>
      <c r="J17" s="5">
        <v>5</v>
      </c>
      <c r="K17" s="5"/>
      <c r="L17" s="5">
        <v>1</v>
      </c>
      <c r="M17" s="5">
        <v>1</v>
      </c>
      <c r="N17" s="4">
        <v>0</v>
      </c>
      <c r="O17" s="4">
        <v>1380</v>
      </c>
      <c r="P17" s="4">
        <v>770</v>
      </c>
      <c r="Q17" s="6">
        <f t="shared" si="2"/>
        <v>0.44202898550724634</v>
      </c>
      <c r="R17" s="4" t="s">
        <v>338</v>
      </c>
      <c r="S17" s="4" t="s">
        <v>338</v>
      </c>
      <c r="T17" s="4" t="s">
        <v>338</v>
      </c>
      <c r="U17" s="4">
        <v>0</v>
      </c>
      <c r="V17" s="4">
        <f t="shared" si="3"/>
        <v>0</v>
      </c>
      <c r="W17" s="4">
        <v>847</v>
      </c>
      <c r="X17" s="4">
        <f t="shared" si="4"/>
        <v>847</v>
      </c>
      <c r="Y17" s="4"/>
      <c r="Z17" s="21">
        <f t="shared" si="5"/>
        <v>1518</v>
      </c>
      <c r="AA17" s="6">
        <f t="shared" si="6"/>
        <v>0.44202898550724634</v>
      </c>
      <c r="AB17" s="4">
        <v>1.5</v>
      </c>
      <c r="AC17" s="4">
        <f t="shared" si="7"/>
        <v>1246</v>
      </c>
      <c r="AD17" s="4">
        <f t="shared" si="8"/>
        <v>1370.6000000000001</v>
      </c>
      <c r="AE17" s="6">
        <f t="shared" si="9"/>
        <v>0.3820224719101124</v>
      </c>
      <c r="AF17" s="7">
        <v>1580</v>
      </c>
      <c r="AG17" s="6">
        <f t="shared" si="10"/>
        <v>0.46392405063291142</v>
      </c>
      <c r="AH17" s="38">
        <f t="shared" si="11"/>
        <v>733</v>
      </c>
      <c r="AI17" s="28"/>
      <c r="AJ17" s="6"/>
      <c r="AK17" s="6"/>
      <c r="AL17" s="6" t="str">
        <f t="shared" si="12"/>
        <v>-</v>
      </c>
      <c r="AM17" s="6">
        <f t="shared" si="13"/>
        <v>1.144927536231884</v>
      </c>
      <c r="AN17" s="6">
        <f t="shared" si="14"/>
        <v>1.1000000000000001</v>
      </c>
      <c r="AO17" s="6" t="str">
        <f t="shared" si="18"/>
        <v>-</v>
      </c>
      <c r="AP17" s="4" t="str">
        <f>IFERROR(ROUND($AF17*R17/$O17,0),"-")</f>
        <v>-</v>
      </c>
      <c r="AQ17" s="4" t="str">
        <f t="shared" si="19"/>
        <v>-</v>
      </c>
      <c r="AR17" s="4" t="str">
        <f t="shared" si="20"/>
        <v>-</v>
      </c>
      <c r="AS17" s="4">
        <v>0</v>
      </c>
      <c r="AT17" s="4" t="s">
        <v>504</v>
      </c>
      <c r="AU17" s="4"/>
      <c r="AV17" s="4"/>
      <c r="AW17" s="4" t="s">
        <v>492</v>
      </c>
      <c r="AX17" s="4">
        <v>1246</v>
      </c>
      <c r="AY17" s="4">
        <f t="shared" si="16"/>
        <v>1246</v>
      </c>
      <c r="AZ17" s="19">
        <v>2</v>
      </c>
      <c r="BA17" s="19">
        <v>8</v>
      </c>
      <c r="BB17" s="16">
        <v>610</v>
      </c>
      <c r="BC17" t="s">
        <v>338</v>
      </c>
      <c r="BD17" t="str">
        <f t="shared" si="21"/>
        <v>-</v>
      </c>
      <c r="BE17">
        <v>1246</v>
      </c>
      <c r="BF17">
        <f t="shared" si="22"/>
        <v>1370.6000000000001</v>
      </c>
      <c r="BG17" t="s">
        <v>355</v>
      </c>
    </row>
    <row r="18" spans="1:59" x14ac:dyDescent="0.4">
      <c r="A18" t="str">
        <f t="shared" si="17"/>
        <v>191061</v>
      </c>
      <c r="B18" s="37">
        <v>139</v>
      </c>
      <c r="C18" s="3">
        <v>139</v>
      </c>
      <c r="D18" s="4">
        <v>191061</v>
      </c>
      <c r="E18" s="4" t="str">
        <f t="shared" si="0"/>
        <v>191061</v>
      </c>
      <c r="F18" s="4">
        <v>191061</v>
      </c>
      <c r="G18" s="4" t="str">
        <f t="shared" si="1"/>
        <v>1910615</v>
      </c>
      <c r="H18" s="4" t="s">
        <v>284</v>
      </c>
      <c r="I18" s="5">
        <v>4905009566266</v>
      </c>
      <c r="J18" s="5">
        <v>5</v>
      </c>
      <c r="K18" s="5"/>
      <c r="L18" s="5">
        <v>1</v>
      </c>
      <c r="M18" s="5">
        <v>1</v>
      </c>
      <c r="N18" s="4">
        <v>0</v>
      </c>
      <c r="O18" s="4">
        <v>1753</v>
      </c>
      <c r="P18" s="4">
        <v>800</v>
      </c>
      <c r="Q18" s="6">
        <f t="shared" si="2"/>
        <v>0.54363947518539646</v>
      </c>
      <c r="R18" s="4" t="s">
        <v>338</v>
      </c>
      <c r="S18" s="4" t="s">
        <v>338</v>
      </c>
      <c r="T18" s="4" t="s">
        <v>338</v>
      </c>
      <c r="U18" s="4">
        <v>0</v>
      </c>
      <c r="V18" s="4">
        <f t="shared" si="3"/>
        <v>0</v>
      </c>
      <c r="W18" s="4">
        <v>896</v>
      </c>
      <c r="X18" s="4">
        <f t="shared" si="4"/>
        <v>896</v>
      </c>
      <c r="Y18" s="4"/>
      <c r="Z18" s="21">
        <f t="shared" si="5"/>
        <v>1963</v>
      </c>
      <c r="AA18" s="6">
        <f t="shared" si="6"/>
        <v>0.54355578196637799</v>
      </c>
      <c r="AB18" s="4">
        <v>2</v>
      </c>
      <c r="AC18" s="4">
        <f t="shared" si="7"/>
        <v>2282</v>
      </c>
      <c r="AD18" s="4">
        <f t="shared" si="8"/>
        <v>2555.84</v>
      </c>
      <c r="AE18" s="6">
        <f t="shared" si="9"/>
        <v>0.64943032427695013</v>
      </c>
      <c r="AF18" s="7">
        <v>1980</v>
      </c>
      <c r="AG18" s="6">
        <f t="shared" si="10"/>
        <v>0.54747474747474745</v>
      </c>
      <c r="AH18" s="38">
        <f t="shared" si="11"/>
        <v>1084</v>
      </c>
      <c r="AI18" s="28"/>
      <c r="AJ18" s="6"/>
      <c r="AK18" s="6"/>
      <c r="AL18" s="6" t="str">
        <f t="shared" si="12"/>
        <v>-</v>
      </c>
      <c r="AM18" s="6">
        <f t="shared" si="13"/>
        <v>1.1294922989161438</v>
      </c>
      <c r="AN18" s="6">
        <f t="shared" si="14"/>
        <v>1.1200000000000001</v>
      </c>
      <c r="AO18" s="6" t="str">
        <f t="shared" si="18"/>
        <v>-</v>
      </c>
      <c r="AP18" s="4" t="str">
        <f>IFERROR(ROUND($AF18*R18/$O18,0),"-")</f>
        <v>-</v>
      </c>
      <c r="AQ18" s="4" t="str">
        <f t="shared" si="19"/>
        <v>-</v>
      </c>
      <c r="AR18" s="4" t="str">
        <f t="shared" si="20"/>
        <v>-</v>
      </c>
      <c r="AS18" s="4" t="s">
        <v>334</v>
      </c>
      <c r="AT18" s="4" t="s">
        <v>505</v>
      </c>
      <c r="AU18" s="4"/>
      <c r="AV18" s="4"/>
      <c r="AW18" s="4" t="s">
        <v>492</v>
      </c>
      <c r="AX18" s="4">
        <v>2282</v>
      </c>
      <c r="AY18" s="4">
        <f t="shared" si="16"/>
        <v>2282</v>
      </c>
      <c r="AZ18" s="19">
        <v>2</v>
      </c>
      <c r="BA18" s="19">
        <v>1</v>
      </c>
      <c r="BB18" s="16">
        <v>610</v>
      </c>
      <c r="BC18" t="s">
        <v>338</v>
      </c>
      <c r="BD18" t="str">
        <f t="shared" si="21"/>
        <v>-</v>
      </c>
      <c r="BE18">
        <v>1782</v>
      </c>
      <c r="BF18">
        <f t="shared" si="22"/>
        <v>1995.8400000000001</v>
      </c>
      <c r="BG18" t="s">
        <v>356</v>
      </c>
    </row>
    <row r="19" spans="1:59" x14ac:dyDescent="0.4">
      <c r="A19" t="str">
        <f t="shared" si="17"/>
        <v>J598PW</v>
      </c>
      <c r="B19" s="3">
        <v>122</v>
      </c>
      <c r="C19" s="3">
        <v>122</v>
      </c>
      <c r="D19" s="4" t="s">
        <v>124</v>
      </c>
      <c r="E19" s="4" t="str">
        <f t="shared" si="0"/>
        <v>J598PW</v>
      </c>
      <c r="F19" s="4" t="s">
        <v>124</v>
      </c>
      <c r="G19" s="4" t="str">
        <f t="shared" si="1"/>
        <v>J598PW5</v>
      </c>
      <c r="H19" s="4" t="s">
        <v>267</v>
      </c>
      <c r="I19" s="5">
        <v>4905009520329</v>
      </c>
      <c r="J19" s="5">
        <v>5</v>
      </c>
      <c r="K19" s="5"/>
      <c r="L19" s="5">
        <v>1</v>
      </c>
      <c r="M19" s="5">
        <v>1</v>
      </c>
      <c r="N19" s="4">
        <v>0</v>
      </c>
      <c r="O19" s="4">
        <v>1535</v>
      </c>
      <c r="P19" s="4">
        <v>1010</v>
      </c>
      <c r="Q19" s="6">
        <f t="shared" si="2"/>
        <v>0.34201954397394141</v>
      </c>
      <c r="R19" s="4" t="s">
        <v>338</v>
      </c>
      <c r="S19" s="4" t="s">
        <v>338</v>
      </c>
      <c r="T19" s="4" t="s">
        <v>338</v>
      </c>
      <c r="U19" s="4">
        <v>0</v>
      </c>
      <c r="V19" s="4">
        <f t="shared" si="3"/>
        <v>0</v>
      </c>
      <c r="W19" s="4">
        <v>1111</v>
      </c>
      <c r="X19" s="4">
        <f t="shared" si="4"/>
        <v>1111</v>
      </c>
      <c r="Y19" s="4"/>
      <c r="Z19" s="21">
        <f t="shared" si="5"/>
        <v>1689</v>
      </c>
      <c r="AA19" s="6">
        <f t="shared" si="6"/>
        <v>0.3422143280047365</v>
      </c>
      <c r="AB19" s="4">
        <v>0</v>
      </c>
      <c r="AC19" s="4">
        <f t="shared" si="7"/>
        <v>1980</v>
      </c>
      <c r="AD19" s="4">
        <f t="shared" si="8"/>
        <v>2178</v>
      </c>
      <c r="AE19" s="6">
        <f t="shared" si="9"/>
        <v>0.48989898989898994</v>
      </c>
      <c r="AF19" s="7">
        <v>1780</v>
      </c>
      <c r="AG19" s="6">
        <f t="shared" si="10"/>
        <v>0.37584269662921344</v>
      </c>
      <c r="AH19" s="4">
        <f t="shared" si="11"/>
        <v>669</v>
      </c>
      <c r="AI19" s="28"/>
      <c r="AJ19" s="6"/>
      <c r="AK19" s="6"/>
      <c r="AL19" s="6" t="str">
        <f t="shared" si="12"/>
        <v>-</v>
      </c>
      <c r="AM19" s="6">
        <f t="shared" si="13"/>
        <v>1.1596091205211727</v>
      </c>
      <c r="AN19" s="6">
        <f t="shared" si="14"/>
        <v>1.1000000000000001</v>
      </c>
      <c r="AO19" s="6" t="str">
        <f t="shared" si="18"/>
        <v>-</v>
      </c>
      <c r="AP19" s="4" t="str">
        <f>IFERROR(ROUND($AF19*R19/$O19,0),"-")</f>
        <v>-</v>
      </c>
      <c r="AQ19" s="4" t="str">
        <f t="shared" si="19"/>
        <v>-</v>
      </c>
      <c r="AR19" s="4" t="str">
        <f t="shared" si="20"/>
        <v>-</v>
      </c>
      <c r="AS19" s="4">
        <v>0</v>
      </c>
      <c r="AT19" s="4" t="s">
        <v>506</v>
      </c>
      <c r="AU19" s="4"/>
      <c r="AV19" s="4"/>
      <c r="AW19" s="4" t="s">
        <v>489</v>
      </c>
      <c r="AX19" s="4">
        <v>1980</v>
      </c>
      <c r="AY19" s="4">
        <f t="shared" si="16"/>
        <v>1980</v>
      </c>
      <c r="AZ19" s="19">
        <v>4</v>
      </c>
      <c r="BA19" s="19">
        <v>8</v>
      </c>
      <c r="BB19" s="16">
        <v>610</v>
      </c>
      <c r="BC19" t="s">
        <v>338</v>
      </c>
      <c r="BD19" t="str">
        <f t="shared" si="21"/>
        <v>-</v>
      </c>
      <c r="BE19">
        <v>1980</v>
      </c>
      <c r="BF19">
        <f t="shared" si="22"/>
        <v>2178</v>
      </c>
      <c r="BG19" t="s">
        <v>357</v>
      </c>
    </row>
    <row r="20" spans="1:59" x14ac:dyDescent="0.4">
      <c r="A20" t="str">
        <f t="shared" si="17"/>
        <v>173333</v>
      </c>
      <c r="B20" s="3">
        <v>151</v>
      </c>
      <c r="C20" s="3">
        <v>151</v>
      </c>
      <c r="D20" s="4">
        <v>173333</v>
      </c>
      <c r="E20" s="4" t="str">
        <f t="shared" si="0"/>
        <v>173333</v>
      </c>
      <c r="F20" s="4">
        <v>173333</v>
      </c>
      <c r="G20" s="4" t="str">
        <f t="shared" si="1"/>
        <v>1733335</v>
      </c>
      <c r="H20" s="4" t="s">
        <v>296</v>
      </c>
      <c r="I20" s="5">
        <v>4967576186889</v>
      </c>
      <c r="J20" s="5">
        <v>5</v>
      </c>
      <c r="K20" s="5"/>
      <c r="L20" s="5">
        <v>1</v>
      </c>
      <c r="M20" s="5">
        <v>1</v>
      </c>
      <c r="N20" s="4">
        <v>0</v>
      </c>
      <c r="O20" s="4">
        <v>1680</v>
      </c>
      <c r="P20" s="4">
        <v>950</v>
      </c>
      <c r="Q20" s="6">
        <f t="shared" si="2"/>
        <v>0.43452380952380953</v>
      </c>
      <c r="R20" s="4">
        <v>1559</v>
      </c>
      <c r="S20" s="4">
        <v>2</v>
      </c>
      <c r="T20" s="4">
        <v>99999</v>
      </c>
      <c r="U20" s="4">
        <v>0</v>
      </c>
      <c r="V20" s="4">
        <f t="shared" si="3"/>
        <v>0</v>
      </c>
      <c r="W20" s="4">
        <v>1140</v>
      </c>
      <c r="X20" s="4">
        <f t="shared" si="4"/>
        <v>1140</v>
      </c>
      <c r="Y20" s="4"/>
      <c r="Z20" s="21">
        <f t="shared" si="5"/>
        <v>2016</v>
      </c>
      <c r="AA20" s="6">
        <f t="shared" si="6"/>
        <v>0.43452380952380953</v>
      </c>
      <c r="AB20" s="4">
        <v>25.5</v>
      </c>
      <c r="AC20" s="4">
        <f t="shared" si="7"/>
        <v>1700</v>
      </c>
      <c r="AD20" s="4">
        <f t="shared" si="8"/>
        <v>2040</v>
      </c>
      <c r="AE20" s="6">
        <f t="shared" si="9"/>
        <v>0.44117647058823528</v>
      </c>
      <c r="AF20" s="7">
        <v>2000</v>
      </c>
      <c r="AG20" s="6">
        <f t="shared" si="10"/>
        <v>0.43000000000000005</v>
      </c>
      <c r="AH20" s="4">
        <f t="shared" si="11"/>
        <v>860</v>
      </c>
      <c r="AI20" s="28"/>
      <c r="AJ20" s="6"/>
      <c r="AK20" s="6"/>
      <c r="AL20" s="41" t="str">
        <f t="shared" si="12"/>
        <v>-</v>
      </c>
      <c r="AM20" s="6">
        <f t="shared" si="13"/>
        <v>1.1904761904761905</v>
      </c>
      <c r="AN20" s="6">
        <f t="shared" si="14"/>
        <v>1.2</v>
      </c>
      <c r="AO20" s="6">
        <f t="shared" si="18"/>
        <v>0.3936170212765957</v>
      </c>
      <c r="AP20" s="4">
        <v>1880</v>
      </c>
      <c r="AQ20" s="4">
        <f t="shared" si="19"/>
        <v>2</v>
      </c>
      <c r="AR20" s="4">
        <f t="shared" si="20"/>
        <v>99999</v>
      </c>
      <c r="AS20" s="4" t="s">
        <v>335</v>
      </c>
      <c r="AT20" s="4" t="s">
        <v>507</v>
      </c>
      <c r="AU20" s="4"/>
      <c r="AV20" s="4"/>
      <c r="AW20" s="4" t="s">
        <v>508</v>
      </c>
      <c r="AX20" s="4">
        <v>1700</v>
      </c>
      <c r="AY20" s="4">
        <f t="shared" si="16"/>
        <v>1700</v>
      </c>
      <c r="AZ20" s="19">
        <v>4</v>
      </c>
      <c r="BA20" s="19">
        <v>1</v>
      </c>
      <c r="BB20" s="16">
        <v>610</v>
      </c>
      <c r="BC20" t="s">
        <v>338</v>
      </c>
      <c r="BD20" t="str">
        <f t="shared" si="21"/>
        <v>-</v>
      </c>
      <c r="BE20">
        <v>2611</v>
      </c>
      <c r="BF20">
        <f t="shared" si="22"/>
        <v>3133.2</v>
      </c>
      <c r="BG20" t="s">
        <v>358</v>
      </c>
    </row>
    <row r="21" spans="1:59" x14ac:dyDescent="0.4">
      <c r="A21" t="str">
        <f t="shared" si="17"/>
        <v>173334</v>
      </c>
      <c r="B21" s="3">
        <v>152</v>
      </c>
      <c r="C21" s="3">
        <v>152</v>
      </c>
      <c r="D21" s="35">
        <v>173334</v>
      </c>
      <c r="E21" s="4" t="str">
        <f t="shared" si="0"/>
        <v>173334</v>
      </c>
      <c r="F21" s="4">
        <v>173334</v>
      </c>
      <c r="G21" s="4" t="str">
        <f t="shared" si="1"/>
        <v>1733345</v>
      </c>
      <c r="H21" s="4" t="s">
        <v>297</v>
      </c>
      <c r="I21" s="5">
        <v>4967576186872</v>
      </c>
      <c r="J21" s="5">
        <v>5</v>
      </c>
      <c r="K21" s="5"/>
      <c r="L21" s="5">
        <v>2</v>
      </c>
      <c r="M21" s="5">
        <v>1</v>
      </c>
      <c r="N21" s="4">
        <v>1380</v>
      </c>
      <c r="O21" s="4">
        <v>1680</v>
      </c>
      <c r="P21" s="4">
        <v>950</v>
      </c>
      <c r="Q21" s="6">
        <f t="shared" si="2"/>
        <v>0.43452380952380953</v>
      </c>
      <c r="R21" s="4">
        <v>1559</v>
      </c>
      <c r="S21" s="4">
        <v>2</v>
      </c>
      <c r="T21" s="4">
        <v>99999</v>
      </c>
      <c r="U21" s="4">
        <v>0</v>
      </c>
      <c r="V21" s="4">
        <f t="shared" si="3"/>
        <v>0</v>
      </c>
      <c r="W21" s="4">
        <v>1140</v>
      </c>
      <c r="X21" s="4">
        <f t="shared" si="4"/>
        <v>1140</v>
      </c>
      <c r="Y21" s="4"/>
      <c r="Z21" s="21">
        <f t="shared" si="5"/>
        <v>2016</v>
      </c>
      <c r="AA21" s="6">
        <f t="shared" si="6"/>
        <v>0.43452380952380953</v>
      </c>
      <c r="AB21" s="4">
        <v>29.75</v>
      </c>
      <c r="AC21" s="4">
        <f t="shared" si="7"/>
        <v>1890</v>
      </c>
      <c r="AD21" s="4">
        <f t="shared" si="8"/>
        <v>2268</v>
      </c>
      <c r="AE21" s="6">
        <f t="shared" si="9"/>
        <v>0.49735449735449733</v>
      </c>
      <c r="AF21" s="7">
        <v>2000</v>
      </c>
      <c r="AG21" s="6">
        <f t="shared" si="10"/>
        <v>0.43000000000000005</v>
      </c>
      <c r="AH21" s="4">
        <f t="shared" si="11"/>
        <v>860</v>
      </c>
      <c r="AI21" s="28"/>
      <c r="AJ21" s="6"/>
      <c r="AK21" s="6"/>
      <c r="AL21" s="41">
        <f t="shared" si="12"/>
        <v>0</v>
      </c>
      <c r="AM21" s="6">
        <f t="shared" si="13"/>
        <v>1.1904761904761905</v>
      </c>
      <c r="AN21" s="6">
        <f t="shared" si="14"/>
        <v>1.2</v>
      </c>
      <c r="AO21" s="6">
        <f t="shared" si="18"/>
        <v>0.3936170212765957</v>
      </c>
      <c r="AP21" s="4">
        <v>1880</v>
      </c>
      <c r="AQ21" s="4">
        <f t="shared" si="19"/>
        <v>2</v>
      </c>
      <c r="AR21" s="4">
        <f t="shared" si="20"/>
        <v>99999</v>
      </c>
      <c r="AS21" s="4" t="s">
        <v>335</v>
      </c>
      <c r="AT21" s="4" t="s">
        <v>509</v>
      </c>
      <c r="AU21" s="4"/>
      <c r="AV21" s="4"/>
      <c r="AW21" s="4" t="s">
        <v>508</v>
      </c>
      <c r="AX21" s="4">
        <v>1890</v>
      </c>
      <c r="AY21" s="4">
        <f t="shared" si="16"/>
        <v>1890</v>
      </c>
      <c r="AZ21" s="19">
        <v>4</v>
      </c>
      <c r="BA21" s="19">
        <v>1</v>
      </c>
      <c r="BB21" s="16">
        <v>610</v>
      </c>
      <c r="BC21" t="s">
        <v>338</v>
      </c>
      <c r="BD21" t="str">
        <f t="shared" si="21"/>
        <v>-</v>
      </c>
      <c r="BE21">
        <v>2611</v>
      </c>
      <c r="BF21">
        <f t="shared" si="22"/>
        <v>3133.2</v>
      </c>
      <c r="BG21" t="s">
        <v>359</v>
      </c>
    </row>
    <row r="22" spans="1:59" x14ac:dyDescent="0.4">
      <c r="A22" t="str">
        <f t="shared" si="17"/>
        <v>8955AM</v>
      </c>
      <c r="B22" s="3">
        <v>160</v>
      </c>
      <c r="C22" s="3">
        <v>160</v>
      </c>
      <c r="D22" s="35" t="s">
        <v>138</v>
      </c>
      <c r="E22" s="4" t="str">
        <f t="shared" si="0"/>
        <v>8955AM</v>
      </c>
      <c r="F22" s="4" t="s">
        <v>138</v>
      </c>
      <c r="G22" s="4" t="str">
        <f t="shared" si="1"/>
        <v>8955AM6</v>
      </c>
      <c r="H22" s="4" t="s">
        <v>297</v>
      </c>
      <c r="I22" s="5">
        <v>4967576186872</v>
      </c>
      <c r="J22" s="5">
        <v>6</v>
      </c>
      <c r="K22" s="5"/>
      <c r="L22" s="5">
        <v>2</v>
      </c>
      <c r="M22" s="5">
        <v>1</v>
      </c>
      <c r="N22" s="4">
        <v>1380</v>
      </c>
      <c r="O22" s="4">
        <v>1280</v>
      </c>
      <c r="P22" s="4">
        <v>950</v>
      </c>
      <c r="Q22" s="6">
        <f t="shared" si="2"/>
        <v>0.2578125</v>
      </c>
      <c r="R22" s="4" t="s">
        <v>338</v>
      </c>
      <c r="S22" s="4" t="s">
        <v>338</v>
      </c>
      <c r="T22" s="4" t="s">
        <v>338</v>
      </c>
      <c r="U22" s="4">
        <v>0</v>
      </c>
      <c r="V22" s="4">
        <f t="shared" si="3"/>
        <v>0</v>
      </c>
      <c r="W22" s="4">
        <v>1140</v>
      </c>
      <c r="X22" s="4">
        <f t="shared" si="4"/>
        <v>1140</v>
      </c>
      <c r="Y22" s="4"/>
      <c r="Z22" s="21">
        <f t="shared" si="5"/>
        <v>1536</v>
      </c>
      <c r="AA22" s="6">
        <f t="shared" si="6"/>
        <v>0.2578125</v>
      </c>
      <c r="AB22" s="4">
        <v>0</v>
      </c>
      <c r="AC22" s="4">
        <f t="shared" si="7"/>
        <v>1890</v>
      </c>
      <c r="AD22" s="4">
        <f t="shared" si="8"/>
        <v>2268</v>
      </c>
      <c r="AE22" s="6">
        <f t="shared" si="9"/>
        <v>0.49735449735449733</v>
      </c>
      <c r="AF22" s="7">
        <v>1280</v>
      </c>
      <c r="AG22" s="6">
        <f t="shared" si="10"/>
        <v>0.109375</v>
      </c>
      <c r="AH22" s="4">
        <f t="shared" si="11"/>
        <v>140</v>
      </c>
      <c r="AI22" s="28"/>
      <c r="AJ22" s="6"/>
      <c r="AK22" s="6"/>
      <c r="AL22" s="6">
        <f t="shared" si="12"/>
        <v>0</v>
      </c>
      <c r="AM22" s="6">
        <f t="shared" si="13"/>
        <v>1</v>
      </c>
      <c r="AN22" s="6">
        <f t="shared" si="14"/>
        <v>1.2</v>
      </c>
      <c r="AO22" s="6" t="str">
        <f t="shared" si="18"/>
        <v>-</v>
      </c>
      <c r="AP22" s="4" t="str">
        <f t="shared" ref="AP22:AP65" si="23">IFERROR(ROUND($AF22*R22/$O22,0),"-")</f>
        <v>-</v>
      </c>
      <c r="AQ22" s="4" t="str">
        <f t="shared" si="19"/>
        <v>-</v>
      </c>
      <c r="AR22" s="4" t="str">
        <f t="shared" si="20"/>
        <v>-</v>
      </c>
      <c r="AS22" s="4">
        <v>0</v>
      </c>
      <c r="AT22" s="4" t="s">
        <v>509</v>
      </c>
      <c r="AU22" s="4"/>
      <c r="AV22" s="4"/>
      <c r="AW22" s="4" t="s">
        <v>508</v>
      </c>
      <c r="AX22" s="4">
        <v>1890</v>
      </c>
      <c r="AY22" s="4">
        <f t="shared" si="16"/>
        <v>1890</v>
      </c>
      <c r="AZ22" s="19">
        <v>4</v>
      </c>
      <c r="BA22" s="19">
        <v>1</v>
      </c>
      <c r="BB22" s="16">
        <v>610</v>
      </c>
      <c r="BC22" t="s">
        <v>338</v>
      </c>
      <c r="BD22" t="str">
        <f t="shared" si="21"/>
        <v>-</v>
      </c>
      <c r="BE22">
        <v>2611</v>
      </c>
      <c r="BF22">
        <f t="shared" si="22"/>
        <v>3133.2</v>
      </c>
      <c r="BG22" t="s">
        <v>359</v>
      </c>
    </row>
    <row r="23" spans="1:59" x14ac:dyDescent="0.4">
      <c r="A23" t="str">
        <f t="shared" si="17"/>
        <v>9081AX</v>
      </c>
      <c r="B23" s="3">
        <v>161</v>
      </c>
      <c r="C23" s="3">
        <v>161</v>
      </c>
      <c r="D23" s="4" t="s">
        <v>139</v>
      </c>
      <c r="E23" s="4" t="str">
        <f t="shared" si="0"/>
        <v>9081AX</v>
      </c>
      <c r="F23" s="4" t="s">
        <v>139</v>
      </c>
      <c r="G23" s="4" t="str">
        <f t="shared" si="1"/>
        <v>9081AX5</v>
      </c>
      <c r="H23" s="4" t="s">
        <v>305</v>
      </c>
      <c r="I23" s="5">
        <v>4967576186902</v>
      </c>
      <c r="J23" s="5">
        <v>5</v>
      </c>
      <c r="K23" s="5"/>
      <c r="L23" s="5">
        <v>1</v>
      </c>
      <c r="M23" s="5">
        <v>1</v>
      </c>
      <c r="N23" s="4">
        <v>0</v>
      </c>
      <c r="O23" s="4">
        <v>1680</v>
      </c>
      <c r="P23" s="4">
        <v>1080</v>
      </c>
      <c r="Q23" s="6">
        <f t="shared" si="2"/>
        <v>0.3571428571428571</v>
      </c>
      <c r="R23" s="4" t="s">
        <v>338</v>
      </c>
      <c r="S23" s="4" t="s">
        <v>338</v>
      </c>
      <c r="T23" s="4" t="s">
        <v>338</v>
      </c>
      <c r="U23" s="4">
        <v>0</v>
      </c>
      <c r="V23" s="4">
        <f t="shared" si="3"/>
        <v>0</v>
      </c>
      <c r="W23" s="4">
        <v>1296</v>
      </c>
      <c r="X23" s="4">
        <f t="shared" si="4"/>
        <v>1296</v>
      </c>
      <c r="Y23" s="4"/>
      <c r="Z23" s="21">
        <f t="shared" si="5"/>
        <v>2016</v>
      </c>
      <c r="AA23" s="6">
        <f t="shared" si="6"/>
        <v>0.3571428571428571</v>
      </c>
      <c r="AB23" s="4">
        <v>4.25</v>
      </c>
      <c r="AC23" s="4">
        <f t="shared" si="7"/>
        <v>1700</v>
      </c>
      <c r="AD23" s="4">
        <f t="shared" si="8"/>
        <v>2040</v>
      </c>
      <c r="AE23" s="6">
        <f t="shared" si="9"/>
        <v>0.36470588235294121</v>
      </c>
      <c r="AF23" s="7">
        <v>2030</v>
      </c>
      <c r="AG23" s="6">
        <f t="shared" si="10"/>
        <v>0.36157635467980298</v>
      </c>
      <c r="AH23" s="4">
        <f t="shared" si="11"/>
        <v>734</v>
      </c>
      <c r="AI23" s="28"/>
      <c r="AJ23" s="6"/>
      <c r="AK23" s="6"/>
      <c r="AL23" s="6" t="str">
        <f t="shared" si="12"/>
        <v>-</v>
      </c>
      <c r="AM23" s="6">
        <f t="shared" si="13"/>
        <v>1.2083333333333333</v>
      </c>
      <c r="AN23" s="6">
        <f t="shared" si="14"/>
        <v>1.2</v>
      </c>
      <c r="AO23" s="6" t="str">
        <f t="shared" si="18"/>
        <v>-</v>
      </c>
      <c r="AP23" s="4" t="str">
        <f t="shared" si="23"/>
        <v>-</v>
      </c>
      <c r="AQ23" s="4" t="str">
        <f t="shared" si="19"/>
        <v>-</v>
      </c>
      <c r="AR23" s="4" t="str">
        <f t="shared" si="20"/>
        <v>-</v>
      </c>
      <c r="AS23" s="4">
        <v>0</v>
      </c>
      <c r="AT23" s="4" t="s">
        <v>510</v>
      </c>
      <c r="AU23" s="4"/>
      <c r="AV23" s="4"/>
      <c r="AW23" s="4" t="s">
        <v>508</v>
      </c>
      <c r="AX23" s="4">
        <v>1700</v>
      </c>
      <c r="AY23" s="4">
        <f t="shared" si="16"/>
        <v>1700</v>
      </c>
      <c r="AZ23" s="19">
        <v>4</v>
      </c>
      <c r="BA23" s="19">
        <v>1</v>
      </c>
      <c r="BB23" s="16">
        <v>610</v>
      </c>
      <c r="BC23" t="s">
        <v>338</v>
      </c>
      <c r="BD23" t="str">
        <f t="shared" si="21"/>
        <v>-</v>
      </c>
      <c r="BE23">
        <v>2312</v>
      </c>
      <c r="BF23">
        <f t="shared" si="22"/>
        <v>2774.4</v>
      </c>
      <c r="BG23" t="s">
        <v>360</v>
      </c>
    </row>
    <row r="24" spans="1:59" x14ac:dyDescent="0.4">
      <c r="A24" t="str">
        <f t="shared" si="17"/>
        <v>9082AX</v>
      </c>
      <c r="B24" s="3">
        <v>162</v>
      </c>
      <c r="C24" s="3">
        <v>162</v>
      </c>
      <c r="D24" s="4" t="s">
        <v>140</v>
      </c>
      <c r="E24" s="4" t="str">
        <f t="shared" si="0"/>
        <v>9082AX</v>
      </c>
      <c r="F24" s="4" t="s">
        <v>140</v>
      </c>
      <c r="G24" s="4" t="str">
        <f t="shared" si="1"/>
        <v>9082AX5</v>
      </c>
      <c r="H24" s="4" t="s">
        <v>306</v>
      </c>
      <c r="I24" s="5">
        <v>4967576186896</v>
      </c>
      <c r="J24" s="5">
        <v>5</v>
      </c>
      <c r="K24" s="5"/>
      <c r="L24" s="5">
        <v>1</v>
      </c>
      <c r="M24" s="5">
        <v>1</v>
      </c>
      <c r="N24" s="4">
        <v>0</v>
      </c>
      <c r="O24" s="4">
        <v>1680</v>
      </c>
      <c r="P24" s="4">
        <v>1080</v>
      </c>
      <c r="Q24" s="6">
        <f t="shared" si="2"/>
        <v>0.3571428571428571</v>
      </c>
      <c r="R24" s="4" t="s">
        <v>338</v>
      </c>
      <c r="S24" s="4" t="s">
        <v>338</v>
      </c>
      <c r="T24" s="4" t="s">
        <v>338</v>
      </c>
      <c r="U24" s="4">
        <v>0</v>
      </c>
      <c r="V24" s="4">
        <f t="shared" si="3"/>
        <v>0</v>
      </c>
      <c r="W24" s="4">
        <v>1296</v>
      </c>
      <c r="X24" s="4">
        <f t="shared" si="4"/>
        <v>1296</v>
      </c>
      <c r="Y24" s="4"/>
      <c r="Z24" s="21">
        <f t="shared" si="5"/>
        <v>2016</v>
      </c>
      <c r="AA24" s="6">
        <f t="shared" si="6"/>
        <v>0.3571428571428571</v>
      </c>
      <c r="AB24" s="4">
        <v>7.75</v>
      </c>
      <c r="AC24" s="4">
        <f t="shared" si="7"/>
        <v>1700</v>
      </c>
      <c r="AD24" s="4">
        <f t="shared" si="8"/>
        <v>2040</v>
      </c>
      <c r="AE24" s="6">
        <f t="shared" si="9"/>
        <v>0.36470588235294121</v>
      </c>
      <c r="AF24" s="7">
        <v>2030</v>
      </c>
      <c r="AG24" s="6">
        <f t="shared" si="10"/>
        <v>0.36157635467980298</v>
      </c>
      <c r="AH24" s="4">
        <f t="shared" si="11"/>
        <v>734</v>
      </c>
      <c r="AI24" s="28"/>
      <c r="AJ24" s="6"/>
      <c r="AK24" s="6"/>
      <c r="AL24" s="6" t="str">
        <f t="shared" si="12"/>
        <v>-</v>
      </c>
      <c r="AM24" s="6">
        <f t="shared" si="13"/>
        <v>1.2083333333333333</v>
      </c>
      <c r="AN24" s="6">
        <f t="shared" si="14"/>
        <v>1.2</v>
      </c>
      <c r="AO24" s="6" t="str">
        <f t="shared" si="18"/>
        <v>-</v>
      </c>
      <c r="AP24" s="4" t="str">
        <f t="shared" si="23"/>
        <v>-</v>
      </c>
      <c r="AQ24" s="4" t="str">
        <f t="shared" si="19"/>
        <v>-</v>
      </c>
      <c r="AR24" s="4" t="str">
        <f t="shared" si="20"/>
        <v>-</v>
      </c>
      <c r="AS24" s="4">
        <v>0</v>
      </c>
      <c r="AT24" s="4" t="s">
        <v>511</v>
      </c>
      <c r="AU24" s="4"/>
      <c r="AV24" s="4"/>
      <c r="AW24" s="4" t="s">
        <v>508</v>
      </c>
      <c r="AX24" s="4">
        <v>1700</v>
      </c>
      <c r="AY24" s="4">
        <f t="shared" si="16"/>
        <v>1700</v>
      </c>
      <c r="AZ24" s="19">
        <v>4</v>
      </c>
      <c r="BA24" s="19">
        <v>1</v>
      </c>
      <c r="BB24" s="16">
        <v>610</v>
      </c>
      <c r="BC24" t="s">
        <v>338</v>
      </c>
      <c r="BD24" t="str">
        <f t="shared" si="21"/>
        <v>-</v>
      </c>
      <c r="BE24">
        <v>2312</v>
      </c>
      <c r="BF24">
        <f t="shared" si="22"/>
        <v>2774.4</v>
      </c>
      <c r="BG24" t="s">
        <v>361</v>
      </c>
    </row>
    <row r="25" spans="1:59" x14ac:dyDescent="0.4">
      <c r="A25" t="str">
        <f t="shared" si="17"/>
        <v>J604PW</v>
      </c>
      <c r="B25" s="37">
        <v>124</v>
      </c>
      <c r="C25" s="3">
        <v>124</v>
      </c>
      <c r="D25" s="4" t="s">
        <v>126</v>
      </c>
      <c r="E25" s="4" t="str">
        <f t="shared" si="0"/>
        <v>J604PW</v>
      </c>
      <c r="F25" s="4" t="s">
        <v>126</v>
      </c>
      <c r="G25" s="4" t="str">
        <f t="shared" si="1"/>
        <v>J604PW5</v>
      </c>
      <c r="H25" s="4" t="s">
        <v>269</v>
      </c>
      <c r="I25" s="5">
        <v>4905009720422</v>
      </c>
      <c r="J25" s="5">
        <v>5</v>
      </c>
      <c r="K25" s="5"/>
      <c r="L25" s="5">
        <v>1</v>
      </c>
      <c r="M25" s="5">
        <v>1</v>
      </c>
      <c r="N25" s="4">
        <v>0</v>
      </c>
      <c r="O25" s="4">
        <v>2171</v>
      </c>
      <c r="P25" s="4">
        <v>1240</v>
      </c>
      <c r="Q25" s="6">
        <f t="shared" si="2"/>
        <v>0.42883463841547675</v>
      </c>
      <c r="R25" s="4" t="s">
        <v>338</v>
      </c>
      <c r="S25" s="4" t="s">
        <v>338</v>
      </c>
      <c r="T25" s="4" t="s">
        <v>338</v>
      </c>
      <c r="U25" s="4">
        <v>0</v>
      </c>
      <c r="V25" s="4">
        <f t="shared" si="3"/>
        <v>0</v>
      </c>
      <c r="W25" s="4">
        <v>1364</v>
      </c>
      <c r="X25" s="4">
        <f t="shared" si="4"/>
        <v>1364</v>
      </c>
      <c r="Y25" s="4"/>
      <c r="Z25" s="21">
        <f t="shared" si="5"/>
        <v>2388</v>
      </c>
      <c r="AA25" s="6">
        <f t="shared" si="6"/>
        <v>0.42881072026800671</v>
      </c>
      <c r="AB25" s="4">
        <v>1</v>
      </c>
      <c r="AC25" s="4" t="str">
        <f t="shared" si="7"/>
        <v>-</v>
      </c>
      <c r="AD25" s="4" t="str">
        <f t="shared" si="8"/>
        <v>-</v>
      </c>
      <c r="AE25" s="6" t="str">
        <f t="shared" si="9"/>
        <v>-</v>
      </c>
      <c r="AF25" s="7">
        <v>2380</v>
      </c>
      <c r="AG25" s="6">
        <f t="shared" si="10"/>
        <v>0.42689075630252105</v>
      </c>
      <c r="AH25" s="38">
        <f t="shared" si="11"/>
        <v>1016</v>
      </c>
      <c r="AI25" s="28"/>
      <c r="AJ25" s="6"/>
      <c r="AK25" s="6"/>
      <c r="AL25" s="6" t="str">
        <f t="shared" si="12"/>
        <v>-</v>
      </c>
      <c r="AM25" s="6">
        <f t="shared" si="13"/>
        <v>1.0962690004606173</v>
      </c>
      <c r="AN25" s="6">
        <f t="shared" si="14"/>
        <v>1.1000000000000001</v>
      </c>
      <c r="AO25" s="6" t="str">
        <f t="shared" si="18"/>
        <v>-</v>
      </c>
      <c r="AP25" s="4" t="str">
        <f t="shared" si="23"/>
        <v>-</v>
      </c>
      <c r="AQ25" s="4" t="str">
        <f t="shared" si="19"/>
        <v>-</v>
      </c>
      <c r="AR25" s="4" t="str">
        <f t="shared" si="20"/>
        <v>-</v>
      </c>
      <c r="AS25" s="4">
        <v>0</v>
      </c>
      <c r="AT25" s="4" t="s">
        <v>338</v>
      </c>
      <c r="AU25" s="4"/>
      <c r="AV25" s="4"/>
      <c r="AW25" s="4" t="s">
        <v>338</v>
      </c>
      <c r="AX25" s="4" t="s">
        <v>338</v>
      </c>
      <c r="AY25" s="4" t="str">
        <f t="shared" si="16"/>
        <v>-</v>
      </c>
      <c r="AZ25" s="19">
        <v>2</v>
      </c>
      <c r="BA25" s="19">
        <v>1</v>
      </c>
      <c r="BB25" s="16">
        <v>610</v>
      </c>
      <c r="BC25" t="s">
        <v>338</v>
      </c>
      <c r="BD25" t="str">
        <f t="shared" si="21"/>
        <v>-</v>
      </c>
      <c r="BE25">
        <v>1782</v>
      </c>
      <c r="BF25">
        <f t="shared" si="22"/>
        <v>1960.2</v>
      </c>
      <c r="BG25" t="s">
        <v>338</v>
      </c>
    </row>
    <row r="26" spans="1:59" x14ac:dyDescent="0.4">
      <c r="A26" t="str">
        <f t="shared" si="17"/>
        <v>164899</v>
      </c>
      <c r="B26" s="3">
        <v>141</v>
      </c>
      <c r="C26" s="3">
        <v>141</v>
      </c>
      <c r="D26" s="4">
        <v>164899</v>
      </c>
      <c r="E26" s="4" t="str">
        <f t="shared" si="0"/>
        <v>164899</v>
      </c>
      <c r="F26" s="4">
        <v>164899</v>
      </c>
      <c r="G26" s="4" t="str">
        <f t="shared" si="1"/>
        <v>1648995</v>
      </c>
      <c r="H26" s="4" t="s">
        <v>286</v>
      </c>
      <c r="I26" s="5">
        <v>4967576541114</v>
      </c>
      <c r="J26" s="5">
        <v>5</v>
      </c>
      <c r="K26" s="5"/>
      <c r="L26" s="5">
        <v>1</v>
      </c>
      <c r="M26" s="5">
        <v>1</v>
      </c>
      <c r="N26" s="4">
        <v>0</v>
      </c>
      <c r="O26" s="4">
        <v>1858</v>
      </c>
      <c r="P26" s="4">
        <v>1200</v>
      </c>
      <c r="Q26" s="6">
        <f t="shared" si="2"/>
        <v>0.35414424111948328</v>
      </c>
      <c r="R26" s="4" t="s">
        <v>338</v>
      </c>
      <c r="S26" s="4" t="s">
        <v>338</v>
      </c>
      <c r="T26" s="4" t="s">
        <v>338</v>
      </c>
      <c r="U26" s="4">
        <v>0</v>
      </c>
      <c r="V26" s="4">
        <f t="shared" si="3"/>
        <v>0</v>
      </c>
      <c r="W26" s="4">
        <v>1380</v>
      </c>
      <c r="X26" s="4">
        <f t="shared" si="4"/>
        <v>1380</v>
      </c>
      <c r="Y26" s="4"/>
      <c r="Z26" s="21">
        <f t="shared" si="5"/>
        <v>2137</v>
      </c>
      <c r="AA26" s="6">
        <f t="shared" si="6"/>
        <v>0.35423490875058494</v>
      </c>
      <c r="AB26" s="4">
        <v>0.25</v>
      </c>
      <c r="AC26" s="4">
        <f t="shared" si="7"/>
        <v>2070</v>
      </c>
      <c r="AD26" s="4">
        <f t="shared" si="8"/>
        <v>2380.5</v>
      </c>
      <c r="AE26" s="6">
        <f t="shared" si="9"/>
        <v>0.42028985507246375</v>
      </c>
      <c r="AF26" s="7">
        <v>2070</v>
      </c>
      <c r="AG26" s="6">
        <f t="shared" si="10"/>
        <v>0.33333333333333337</v>
      </c>
      <c r="AH26" s="4">
        <f t="shared" si="11"/>
        <v>690</v>
      </c>
      <c r="AI26" s="28"/>
      <c r="AJ26" s="6"/>
      <c r="AK26" s="6"/>
      <c r="AL26" s="6" t="str">
        <f t="shared" si="12"/>
        <v>-</v>
      </c>
      <c r="AM26" s="6">
        <f t="shared" si="13"/>
        <v>1.1141011840688912</v>
      </c>
      <c r="AN26" s="6">
        <f t="shared" si="14"/>
        <v>1.1499999999999999</v>
      </c>
      <c r="AO26" s="6" t="str">
        <f t="shared" si="18"/>
        <v>-</v>
      </c>
      <c r="AP26" s="4" t="str">
        <f t="shared" si="23"/>
        <v>-</v>
      </c>
      <c r="AQ26" s="4" t="str">
        <f t="shared" si="19"/>
        <v>-</v>
      </c>
      <c r="AR26" s="4" t="str">
        <f t="shared" si="20"/>
        <v>-</v>
      </c>
      <c r="AS26" s="4">
        <v>0</v>
      </c>
      <c r="AT26" s="4" t="s">
        <v>512</v>
      </c>
      <c r="AU26" s="4"/>
      <c r="AV26" s="4"/>
      <c r="AW26" s="4" t="s">
        <v>489</v>
      </c>
      <c r="AX26" s="4">
        <v>2070</v>
      </c>
      <c r="AY26" s="4">
        <f t="shared" si="16"/>
        <v>2070</v>
      </c>
      <c r="AZ26" s="19">
        <v>4</v>
      </c>
      <c r="BA26" s="19">
        <v>1</v>
      </c>
      <c r="BB26" s="16">
        <v>610</v>
      </c>
      <c r="BC26" t="s">
        <v>338</v>
      </c>
      <c r="BD26" t="str">
        <f t="shared" si="21"/>
        <v>-</v>
      </c>
      <c r="BE26">
        <v>1999</v>
      </c>
      <c r="BF26">
        <f t="shared" si="22"/>
        <v>2298.85</v>
      </c>
      <c r="BG26" t="s">
        <v>362</v>
      </c>
    </row>
    <row r="27" spans="1:59" x14ac:dyDescent="0.4">
      <c r="A27" t="str">
        <f t="shared" si="17"/>
        <v>164900</v>
      </c>
      <c r="B27" s="3">
        <v>142</v>
      </c>
      <c r="C27" s="3">
        <v>142</v>
      </c>
      <c r="D27" s="4">
        <v>164900</v>
      </c>
      <c r="E27" s="4" t="str">
        <f t="shared" si="0"/>
        <v>164900</v>
      </c>
      <c r="F27" s="4">
        <v>164900</v>
      </c>
      <c r="G27" s="4" t="str">
        <f t="shared" si="1"/>
        <v>1649005</v>
      </c>
      <c r="H27" s="4" t="s">
        <v>287</v>
      </c>
      <c r="I27" s="5">
        <v>4967576541121</v>
      </c>
      <c r="J27" s="5">
        <v>5</v>
      </c>
      <c r="K27" s="5"/>
      <c r="L27" s="5">
        <v>1</v>
      </c>
      <c r="M27" s="5">
        <v>1</v>
      </c>
      <c r="N27" s="4">
        <v>0</v>
      </c>
      <c r="O27" s="4">
        <v>1858</v>
      </c>
      <c r="P27" s="4">
        <v>1200</v>
      </c>
      <c r="Q27" s="6">
        <f t="shared" si="2"/>
        <v>0.35414424111948328</v>
      </c>
      <c r="R27" s="4" t="s">
        <v>338</v>
      </c>
      <c r="S27" s="4" t="s">
        <v>338</v>
      </c>
      <c r="T27" s="4" t="s">
        <v>338</v>
      </c>
      <c r="U27" s="4">
        <v>0</v>
      </c>
      <c r="V27" s="4">
        <f t="shared" si="3"/>
        <v>0</v>
      </c>
      <c r="W27" s="4">
        <v>1380</v>
      </c>
      <c r="X27" s="4">
        <f t="shared" si="4"/>
        <v>1380</v>
      </c>
      <c r="Y27" s="4"/>
      <c r="Z27" s="21">
        <f t="shared" si="5"/>
        <v>2137</v>
      </c>
      <c r="AA27" s="6">
        <f t="shared" si="6"/>
        <v>0.35423490875058494</v>
      </c>
      <c r="AB27" s="4">
        <v>0.25</v>
      </c>
      <c r="AC27" s="4">
        <f t="shared" si="7"/>
        <v>1807</v>
      </c>
      <c r="AD27" s="4">
        <f t="shared" si="8"/>
        <v>2078.0499999999997</v>
      </c>
      <c r="AE27" s="6">
        <f t="shared" si="9"/>
        <v>0.3359158826784725</v>
      </c>
      <c r="AF27" s="7">
        <v>2070</v>
      </c>
      <c r="AG27" s="6">
        <f t="shared" si="10"/>
        <v>0.33333333333333337</v>
      </c>
      <c r="AH27" s="4">
        <f t="shared" si="11"/>
        <v>690</v>
      </c>
      <c r="AI27" s="28"/>
      <c r="AJ27" s="6"/>
      <c r="AK27" s="6"/>
      <c r="AL27" s="6" t="str">
        <f t="shared" si="12"/>
        <v>-</v>
      </c>
      <c r="AM27" s="6">
        <f t="shared" si="13"/>
        <v>1.1141011840688912</v>
      </c>
      <c r="AN27" s="6">
        <f t="shared" si="14"/>
        <v>1.1499999999999999</v>
      </c>
      <c r="AO27" s="6" t="str">
        <f t="shared" si="18"/>
        <v>-</v>
      </c>
      <c r="AP27" s="4" t="str">
        <f t="shared" si="23"/>
        <v>-</v>
      </c>
      <c r="AQ27" s="4" t="str">
        <f t="shared" si="19"/>
        <v>-</v>
      </c>
      <c r="AR27" s="4" t="str">
        <f t="shared" si="20"/>
        <v>-</v>
      </c>
      <c r="AS27" s="4">
        <v>0</v>
      </c>
      <c r="AT27" s="4" t="s">
        <v>513</v>
      </c>
      <c r="AU27" s="4"/>
      <c r="AV27" s="4"/>
      <c r="AW27" s="4" t="s">
        <v>489</v>
      </c>
      <c r="AX27" s="4">
        <v>1807</v>
      </c>
      <c r="AY27" s="4">
        <f t="shared" si="16"/>
        <v>1807</v>
      </c>
      <c r="AZ27" s="19">
        <v>4</v>
      </c>
      <c r="BA27" s="19">
        <v>1</v>
      </c>
      <c r="BB27" s="16">
        <v>610</v>
      </c>
      <c r="BC27" t="s">
        <v>338</v>
      </c>
      <c r="BD27" t="str">
        <f t="shared" si="21"/>
        <v>-</v>
      </c>
      <c r="BE27" t="s">
        <v>338</v>
      </c>
      <c r="BF27" t="str">
        <f t="shared" si="22"/>
        <v>-</v>
      </c>
      <c r="BG27" t="s">
        <v>363</v>
      </c>
    </row>
    <row r="28" spans="1:59" x14ac:dyDescent="0.4">
      <c r="A28" t="str">
        <f t="shared" si="17"/>
        <v>623549</v>
      </c>
      <c r="B28" s="3">
        <v>144</v>
      </c>
      <c r="C28" s="3">
        <v>144</v>
      </c>
      <c r="D28" s="4">
        <v>623549</v>
      </c>
      <c r="E28" s="4" t="str">
        <f t="shared" si="0"/>
        <v>623549</v>
      </c>
      <c r="F28" s="4">
        <v>623549</v>
      </c>
      <c r="G28" s="4" t="str">
        <f t="shared" si="1"/>
        <v>6235495</v>
      </c>
      <c r="H28" s="4" t="s">
        <v>289</v>
      </c>
      <c r="I28" s="5">
        <v>4905009542406</v>
      </c>
      <c r="J28" s="5">
        <v>5</v>
      </c>
      <c r="K28" s="5"/>
      <c r="L28" s="5">
        <v>1</v>
      </c>
      <c r="M28" s="5">
        <v>1</v>
      </c>
      <c r="N28" s="4">
        <v>0</v>
      </c>
      <c r="O28" s="4">
        <v>2209</v>
      </c>
      <c r="P28" s="4">
        <v>1300</v>
      </c>
      <c r="Q28" s="6">
        <f t="shared" si="2"/>
        <v>0.41149841557265732</v>
      </c>
      <c r="R28" s="4" t="s">
        <v>338</v>
      </c>
      <c r="S28" s="4" t="s">
        <v>338</v>
      </c>
      <c r="T28" s="4" t="s">
        <v>338</v>
      </c>
      <c r="U28" s="4">
        <v>0</v>
      </c>
      <c r="V28" s="4">
        <f t="shared" si="3"/>
        <v>0</v>
      </c>
      <c r="W28" s="4">
        <v>1496</v>
      </c>
      <c r="X28" s="4">
        <f t="shared" si="4"/>
        <v>1496</v>
      </c>
      <c r="Y28" s="4"/>
      <c r="Z28" s="21">
        <f t="shared" si="5"/>
        <v>2542</v>
      </c>
      <c r="AA28" s="6">
        <f t="shared" si="6"/>
        <v>0.41148701809598742</v>
      </c>
      <c r="AB28" s="4">
        <v>1.5</v>
      </c>
      <c r="AC28" s="4">
        <f t="shared" si="7"/>
        <v>2319</v>
      </c>
      <c r="AD28" s="4">
        <f t="shared" si="8"/>
        <v>2668.6338461538462</v>
      </c>
      <c r="AE28" s="6">
        <f t="shared" si="9"/>
        <v>0.43941354031910307</v>
      </c>
      <c r="AF28" s="7">
        <v>2480</v>
      </c>
      <c r="AG28" s="6">
        <f t="shared" si="10"/>
        <v>0.39677419354838706</v>
      </c>
      <c r="AH28" s="4">
        <f t="shared" si="11"/>
        <v>984</v>
      </c>
      <c r="AI28" s="28"/>
      <c r="AJ28" s="6"/>
      <c r="AK28" s="6"/>
      <c r="AL28" s="6" t="str">
        <f t="shared" si="12"/>
        <v>-</v>
      </c>
      <c r="AM28" s="6">
        <f t="shared" si="13"/>
        <v>1.1226799456767769</v>
      </c>
      <c r="AN28" s="6">
        <f t="shared" si="14"/>
        <v>1.1507692307692308</v>
      </c>
      <c r="AO28" s="6" t="str">
        <f t="shared" si="18"/>
        <v>-</v>
      </c>
      <c r="AP28" s="4" t="str">
        <f t="shared" si="23"/>
        <v>-</v>
      </c>
      <c r="AQ28" s="4" t="str">
        <f t="shared" si="19"/>
        <v>-</v>
      </c>
      <c r="AR28" s="4" t="str">
        <f t="shared" si="20"/>
        <v>-</v>
      </c>
      <c r="AS28" s="4" t="s">
        <v>335</v>
      </c>
      <c r="AT28" s="4" t="s">
        <v>514</v>
      </c>
      <c r="AU28" s="4"/>
      <c r="AV28" s="4"/>
      <c r="AW28" s="4" t="s">
        <v>508</v>
      </c>
      <c r="AX28" s="4">
        <v>2319</v>
      </c>
      <c r="AY28" s="4">
        <f t="shared" si="16"/>
        <v>2319</v>
      </c>
      <c r="AZ28" s="19">
        <v>4</v>
      </c>
      <c r="BA28" s="19">
        <v>1</v>
      </c>
      <c r="BB28" s="16">
        <v>610</v>
      </c>
      <c r="BC28">
        <v>1905</v>
      </c>
      <c r="BD28">
        <f t="shared" si="21"/>
        <v>2192.2153846153847</v>
      </c>
      <c r="BE28">
        <v>2384</v>
      </c>
      <c r="BF28">
        <f t="shared" si="22"/>
        <v>2743.4338461538459</v>
      </c>
      <c r="BG28" t="s">
        <v>364</v>
      </c>
    </row>
    <row r="29" spans="1:59" x14ac:dyDescent="0.4">
      <c r="A29" t="str">
        <f t="shared" si="17"/>
        <v>J122SG</v>
      </c>
      <c r="B29" s="3">
        <v>163</v>
      </c>
      <c r="C29" s="3">
        <v>163</v>
      </c>
      <c r="D29" s="4" t="s">
        <v>141</v>
      </c>
      <c r="E29" s="4" t="str">
        <f t="shared" si="0"/>
        <v>J122SG</v>
      </c>
      <c r="F29" s="4" t="s">
        <v>141</v>
      </c>
      <c r="G29" s="4" t="str">
        <f t="shared" si="1"/>
        <v>J122SG5</v>
      </c>
      <c r="H29" s="4" t="s">
        <v>307</v>
      </c>
      <c r="I29" s="5">
        <v>4905009348442</v>
      </c>
      <c r="J29" s="5">
        <v>5</v>
      </c>
      <c r="K29" s="5"/>
      <c r="L29" s="5">
        <v>1</v>
      </c>
      <c r="M29" s="5">
        <v>1</v>
      </c>
      <c r="N29" s="4">
        <v>0</v>
      </c>
      <c r="O29" s="4">
        <v>1927</v>
      </c>
      <c r="P29" s="4">
        <v>1300</v>
      </c>
      <c r="Q29" s="6">
        <f t="shared" si="2"/>
        <v>0.32537623248572911</v>
      </c>
      <c r="R29" s="4" t="s">
        <v>338</v>
      </c>
      <c r="S29" s="4" t="s">
        <v>338</v>
      </c>
      <c r="T29" s="4" t="s">
        <v>338</v>
      </c>
      <c r="U29" s="4">
        <v>0</v>
      </c>
      <c r="V29" s="4">
        <f t="shared" si="3"/>
        <v>0</v>
      </c>
      <c r="W29" s="4">
        <v>1560</v>
      </c>
      <c r="X29" s="4">
        <f t="shared" si="4"/>
        <v>1560</v>
      </c>
      <c r="Y29" s="4"/>
      <c r="Z29" s="21">
        <f t="shared" si="5"/>
        <v>2312</v>
      </c>
      <c r="AA29" s="6">
        <f t="shared" si="6"/>
        <v>0.32525951557093424</v>
      </c>
      <c r="AB29" s="4">
        <v>0</v>
      </c>
      <c r="AC29" s="4">
        <f t="shared" si="7"/>
        <v>1700</v>
      </c>
      <c r="AD29" s="4">
        <f t="shared" si="8"/>
        <v>2040</v>
      </c>
      <c r="AE29" s="6">
        <f t="shared" si="9"/>
        <v>0.23529411764705888</v>
      </c>
      <c r="AF29" s="7">
        <v>2380</v>
      </c>
      <c r="AG29" s="6">
        <f t="shared" si="10"/>
        <v>0.34453781512605042</v>
      </c>
      <c r="AH29" s="4">
        <f t="shared" si="11"/>
        <v>820</v>
      </c>
      <c r="AI29" s="28"/>
      <c r="AJ29" s="6"/>
      <c r="AK29" s="6"/>
      <c r="AL29" s="6" t="str">
        <f t="shared" si="12"/>
        <v>-</v>
      </c>
      <c r="AM29" s="6">
        <f t="shared" si="13"/>
        <v>1.2350804359107421</v>
      </c>
      <c r="AN29" s="6">
        <f t="shared" si="14"/>
        <v>1.2</v>
      </c>
      <c r="AO29" s="6" t="str">
        <f t="shared" si="18"/>
        <v>-</v>
      </c>
      <c r="AP29" s="4" t="str">
        <f t="shared" si="23"/>
        <v>-</v>
      </c>
      <c r="AQ29" s="4" t="str">
        <f t="shared" si="19"/>
        <v>-</v>
      </c>
      <c r="AR29" s="4" t="str">
        <f t="shared" si="20"/>
        <v>-</v>
      </c>
      <c r="AS29" s="4">
        <v>0</v>
      </c>
      <c r="AT29" s="4" t="s">
        <v>515</v>
      </c>
      <c r="AU29" s="4"/>
      <c r="AV29" s="4"/>
      <c r="AW29" s="4" t="s">
        <v>508</v>
      </c>
      <c r="AX29" s="4">
        <v>1700</v>
      </c>
      <c r="AY29" s="4">
        <f t="shared" si="16"/>
        <v>1700</v>
      </c>
      <c r="AZ29" s="19">
        <v>4</v>
      </c>
      <c r="BA29" s="19">
        <v>8</v>
      </c>
      <c r="BB29" s="16">
        <v>610</v>
      </c>
      <c r="BC29" t="s">
        <v>338</v>
      </c>
      <c r="BD29" t="str">
        <f t="shared" si="21"/>
        <v>-</v>
      </c>
      <c r="BE29">
        <v>2057</v>
      </c>
      <c r="BF29">
        <f t="shared" si="22"/>
        <v>2468.4</v>
      </c>
      <c r="BG29" t="s">
        <v>365</v>
      </c>
    </row>
    <row r="30" spans="1:59" x14ac:dyDescent="0.4">
      <c r="A30" t="str">
        <f t="shared" si="17"/>
        <v>J123SG</v>
      </c>
      <c r="B30" s="3">
        <v>164</v>
      </c>
      <c r="C30" s="3">
        <v>164</v>
      </c>
      <c r="D30" s="4" t="s">
        <v>142</v>
      </c>
      <c r="E30" s="4" t="str">
        <f t="shared" si="0"/>
        <v>J123SG</v>
      </c>
      <c r="F30" s="4" t="s">
        <v>142</v>
      </c>
      <c r="G30" s="4" t="str">
        <f t="shared" si="1"/>
        <v>J123SG5</v>
      </c>
      <c r="H30" s="4" t="s">
        <v>308</v>
      </c>
      <c r="I30" s="5">
        <v>4905009348459</v>
      </c>
      <c r="J30" s="5">
        <v>5</v>
      </c>
      <c r="K30" s="5"/>
      <c r="L30" s="5">
        <v>1</v>
      </c>
      <c r="M30" s="5">
        <v>1</v>
      </c>
      <c r="N30" s="4">
        <v>0</v>
      </c>
      <c r="O30" s="4">
        <v>1927</v>
      </c>
      <c r="P30" s="4">
        <v>1300</v>
      </c>
      <c r="Q30" s="6">
        <f t="shared" si="2"/>
        <v>0.32537623248572911</v>
      </c>
      <c r="R30" s="4" t="s">
        <v>338</v>
      </c>
      <c r="S30" s="4" t="s">
        <v>338</v>
      </c>
      <c r="T30" s="4" t="s">
        <v>338</v>
      </c>
      <c r="U30" s="4">
        <v>0</v>
      </c>
      <c r="V30" s="4">
        <f t="shared" si="3"/>
        <v>0</v>
      </c>
      <c r="W30" s="4">
        <v>1560</v>
      </c>
      <c r="X30" s="4">
        <f t="shared" si="4"/>
        <v>1560</v>
      </c>
      <c r="Y30" s="4"/>
      <c r="Z30" s="21">
        <f t="shared" si="5"/>
        <v>2312</v>
      </c>
      <c r="AA30" s="6">
        <f t="shared" si="6"/>
        <v>0.32525951557093424</v>
      </c>
      <c r="AB30" s="4">
        <v>0.25</v>
      </c>
      <c r="AC30" s="4">
        <f t="shared" si="7"/>
        <v>1437</v>
      </c>
      <c r="AD30" s="4">
        <f t="shared" si="8"/>
        <v>1724.3999999999999</v>
      </c>
      <c r="AE30" s="6">
        <f t="shared" si="9"/>
        <v>9.5337508698677742E-2</v>
      </c>
      <c r="AF30" s="7">
        <v>2380</v>
      </c>
      <c r="AG30" s="6">
        <f t="shared" si="10"/>
        <v>0.34453781512605042</v>
      </c>
      <c r="AH30" s="4">
        <f t="shared" si="11"/>
        <v>820</v>
      </c>
      <c r="AI30" s="28"/>
      <c r="AJ30" s="6"/>
      <c r="AK30" s="6"/>
      <c r="AL30" s="6" t="str">
        <f t="shared" si="12"/>
        <v>-</v>
      </c>
      <c r="AM30" s="6">
        <f t="shared" si="13"/>
        <v>1.2350804359107421</v>
      </c>
      <c r="AN30" s="6">
        <f t="shared" si="14"/>
        <v>1.2</v>
      </c>
      <c r="AO30" s="6" t="str">
        <f t="shared" si="18"/>
        <v>-</v>
      </c>
      <c r="AP30" s="4" t="str">
        <f t="shared" si="23"/>
        <v>-</v>
      </c>
      <c r="AQ30" s="4" t="str">
        <f t="shared" si="19"/>
        <v>-</v>
      </c>
      <c r="AR30" s="4" t="str">
        <f t="shared" si="20"/>
        <v>-</v>
      </c>
      <c r="AS30" s="4">
        <v>0</v>
      </c>
      <c r="AT30" s="4" t="s">
        <v>516</v>
      </c>
      <c r="AU30" s="4"/>
      <c r="AV30" s="4"/>
      <c r="AW30" s="4" t="s">
        <v>508</v>
      </c>
      <c r="AX30" s="4">
        <v>1437</v>
      </c>
      <c r="AY30" s="4">
        <f t="shared" si="16"/>
        <v>1437</v>
      </c>
      <c r="AZ30" s="19">
        <v>4</v>
      </c>
      <c r="BA30" s="19">
        <v>8</v>
      </c>
      <c r="BB30" s="16">
        <v>610</v>
      </c>
      <c r="BC30" t="s">
        <v>338</v>
      </c>
      <c r="BD30" t="str">
        <f t="shared" si="21"/>
        <v>-</v>
      </c>
      <c r="BE30">
        <v>1311</v>
      </c>
      <c r="BF30">
        <f t="shared" si="22"/>
        <v>1573.2</v>
      </c>
      <c r="BG30" t="s">
        <v>366</v>
      </c>
    </row>
    <row r="31" spans="1:59" x14ac:dyDescent="0.4">
      <c r="A31" t="str">
        <f t="shared" si="17"/>
        <v>616027</v>
      </c>
      <c r="B31" s="3">
        <v>147</v>
      </c>
      <c r="C31" s="3">
        <v>147</v>
      </c>
      <c r="D31" s="4">
        <v>616027</v>
      </c>
      <c r="E31" s="4" t="str">
        <f t="shared" si="0"/>
        <v>616027</v>
      </c>
      <c r="F31" s="4">
        <v>616027</v>
      </c>
      <c r="G31" s="4" t="str">
        <f t="shared" si="1"/>
        <v>6160275</v>
      </c>
      <c r="H31" s="4" t="s">
        <v>292</v>
      </c>
      <c r="I31" s="5">
        <v>4905009542390</v>
      </c>
      <c r="J31" s="5">
        <v>5</v>
      </c>
      <c r="K31" s="5"/>
      <c r="L31" s="5">
        <v>1</v>
      </c>
      <c r="M31" s="5">
        <v>1</v>
      </c>
      <c r="N31" s="4">
        <v>0</v>
      </c>
      <c r="O31" s="4">
        <v>2148</v>
      </c>
      <c r="P31" s="4">
        <v>1400</v>
      </c>
      <c r="Q31" s="6">
        <f t="shared" si="2"/>
        <v>0.34823091247672255</v>
      </c>
      <c r="R31" s="4" t="s">
        <v>338</v>
      </c>
      <c r="S31" s="4" t="s">
        <v>338</v>
      </c>
      <c r="T31" s="4" t="s">
        <v>338</v>
      </c>
      <c r="U31" s="4">
        <v>0</v>
      </c>
      <c r="V31" s="4">
        <f t="shared" si="3"/>
        <v>0</v>
      </c>
      <c r="W31" s="4">
        <v>1611</v>
      </c>
      <c r="X31" s="4">
        <f t="shared" si="4"/>
        <v>1611</v>
      </c>
      <c r="Y31" s="4"/>
      <c r="Z31" s="21">
        <f t="shared" si="5"/>
        <v>2472</v>
      </c>
      <c r="AA31" s="6">
        <f t="shared" si="6"/>
        <v>0.34830097087378642</v>
      </c>
      <c r="AB31" s="4">
        <v>1</v>
      </c>
      <c r="AC31" s="4">
        <f t="shared" si="7"/>
        <v>2510</v>
      </c>
      <c r="AD31" s="4">
        <f t="shared" si="8"/>
        <v>2888.2928571428574</v>
      </c>
      <c r="AE31" s="6">
        <f t="shared" si="9"/>
        <v>0.44223107569721121</v>
      </c>
      <c r="AF31" s="7">
        <v>2480</v>
      </c>
      <c r="AG31" s="6">
        <f t="shared" si="10"/>
        <v>0.35040322580645167</v>
      </c>
      <c r="AH31" s="4">
        <f t="shared" si="11"/>
        <v>869</v>
      </c>
      <c r="AI31" s="28"/>
      <c r="AJ31" s="6"/>
      <c r="AK31" s="6"/>
      <c r="AL31" s="6" t="str">
        <f t="shared" si="12"/>
        <v>-</v>
      </c>
      <c r="AM31" s="6">
        <f t="shared" si="13"/>
        <v>1.1545623836126628</v>
      </c>
      <c r="AN31" s="6">
        <f t="shared" si="14"/>
        <v>1.1507142857142858</v>
      </c>
      <c r="AO31" s="6" t="str">
        <f t="shared" si="18"/>
        <v>-</v>
      </c>
      <c r="AP31" s="4" t="str">
        <f t="shared" si="23"/>
        <v>-</v>
      </c>
      <c r="AQ31" s="4" t="str">
        <f t="shared" si="19"/>
        <v>-</v>
      </c>
      <c r="AR31" s="4" t="str">
        <f t="shared" si="20"/>
        <v>-</v>
      </c>
      <c r="AS31" s="4" t="s">
        <v>335</v>
      </c>
      <c r="AT31" s="4" t="s">
        <v>517</v>
      </c>
      <c r="AU31" s="4"/>
      <c r="AV31" s="4"/>
      <c r="AW31" s="4" t="s">
        <v>508</v>
      </c>
      <c r="AX31" s="4">
        <v>2510</v>
      </c>
      <c r="AY31" s="4">
        <f t="shared" si="16"/>
        <v>2510</v>
      </c>
      <c r="AZ31" s="19">
        <v>4</v>
      </c>
      <c r="BA31" s="19">
        <v>1</v>
      </c>
      <c r="BB31" s="16">
        <v>610</v>
      </c>
      <c r="BC31">
        <v>2161</v>
      </c>
      <c r="BD31">
        <f t="shared" si="21"/>
        <v>2486.6935714285714</v>
      </c>
      <c r="BE31">
        <v>3036</v>
      </c>
      <c r="BF31">
        <f t="shared" si="22"/>
        <v>3493.5685714285719</v>
      </c>
      <c r="BG31" t="s">
        <v>367</v>
      </c>
    </row>
    <row r="32" spans="1:59" x14ac:dyDescent="0.4">
      <c r="A32" t="str">
        <f t="shared" si="17"/>
        <v>183590</v>
      </c>
      <c r="B32" s="3">
        <v>140</v>
      </c>
      <c r="C32" s="3">
        <v>140</v>
      </c>
      <c r="D32" s="4">
        <v>183590</v>
      </c>
      <c r="E32" s="4" t="str">
        <f t="shared" si="0"/>
        <v>183590</v>
      </c>
      <c r="F32" s="4">
        <v>183590</v>
      </c>
      <c r="G32" s="4" t="str">
        <f t="shared" si="1"/>
        <v>1835905</v>
      </c>
      <c r="H32" s="4" t="s">
        <v>285</v>
      </c>
      <c r="I32" s="5">
        <v>4905009383177</v>
      </c>
      <c r="J32" s="5">
        <v>5</v>
      </c>
      <c r="K32" s="5"/>
      <c r="L32" s="5">
        <v>1</v>
      </c>
      <c r="M32" s="5">
        <v>1</v>
      </c>
      <c r="N32" s="4">
        <v>0</v>
      </c>
      <c r="O32" s="4">
        <v>2383</v>
      </c>
      <c r="P32" s="4">
        <v>1500</v>
      </c>
      <c r="Q32" s="6">
        <f t="shared" si="2"/>
        <v>0.37054133445237092</v>
      </c>
      <c r="R32" s="4" t="s">
        <v>338</v>
      </c>
      <c r="S32" s="4" t="s">
        <v>338</v>
      </c>
      <c r="T32" s="4" t="s">
        <v>338</v>
      </c>
      <c r="U32" s="4">
        <v>0</v>
      </c>
      <c r="V32" s="4">
        <f t="shared" si="3"/>
        <v>0</v>
      </c>
      <c r="W32" s="4">
        <v>1725</v>
      </c>
      <c r="X32" s="4">
        <f t="shared" si="4"/>
        <v>1725</v>
      </c>
      <c r="Y32" s="4"/>
      <c r="Z32" s="21">
        <f t="shared" si="5"/>
        <v>2740</v>
      </c>
      <c r="AA32" s="6">
        <f t="shared" si="6"/>
        <v>0.37043795620437958</v>
      </c>
      <c r="AB32" s="4">
        <v>0.5</v>
      </c>
      <c r="AC32" s="4">
        <f t="shared" si="7"/>
        <v>2282</v>
      </c>
      <c r="AD32" s="4">
        <f t="shared" si="8"/>
        <v>2624.2999999999997</v>
      </c>
      <c r="AE32" s="6">
        <f t="shared" si="9"/>
        <v>0.3426818580192813</v>
      </c>
      <c r="AF32" s="7">
        <v>2620</v>
      </c>
      <c r="AG32" s="6">
        <f t="shared" si="10"/>
        <v>0.34160305343511455</v>
      </c>
      <c r="AH32" s="4">
        <f t="shared" si="11"/>
        <v>895</v>
      </c>
      <c r="AI32" s="28"/>
      <c r="AJ32" s="6"/>
      <c r="AK32" s="6"/>
      <c r="AL32" s="6" t="str">
        <f t="shared" si="12"/>
        <v>-</v>
      </c>
      <c r="AM32" s="6">
        <f t="shared" si="13"/>
        <v>1.0994544691565253</v>
      </c>
      <c r="AN32" s="6">
        <f t="shared" si="14"/>
        <v>1.1499999999999999</v>
      </c>
      <c r="AO32" s="6" t="str">
        <f t="shared" si="18"/>
        <v>-</v>
      </c>
      <c r="AP32" s="4" t="str">
        <f t="shared" si="23"/>
        <v>-</v>
      </c>
      <c r="AQ32" s="4" t="str">
        <f t="shared" si="19"/>
        <v>-</v>
      </c>
      <c r="AR32" s="4" t="str">
        <f t="shared" si="20"/>
        <v>-</v>
      </c>
      <c r="AS32" s="4">
        <v>0</v>
      </c>
      <c r="AT32" s="4" t="s">
        <v>518</v>
      </c>
      <c r="AU32" s="4"/>
      <c r="AV32" s="4"/>
      <c r="AW32" s="4" t="s">
        <v>519</v>
      </c>
      <c r="AX32" s="4">
        <v>2282</v>
      </c>
      <c r="AY32" s="4">
        <f t="shared" si="16"/>
        <v>2282</v>
      </c>
      <c r="AZ32" s="19">
        <v>4</v>
      </c>
      <c r="BA32" s="19">
        <v>1</v>
      </c>
      <c r="BB32" s="16">
        <v>610</v>
      </c>
      <c r="BC32" t="s">
        <v>338</v>
      </c>
      <c r="BD32" t="str">
        <f t="shared" si="21"/>
        <v>-</v>
      </c>
      <c r="BE32">
        <v>2040</v>
      </c>
      <c r="BF32">
        <f t="shared" si="22"/>
        <v>2346</v>
      </c>
      <c r="BG32" t="s">
        <v>368</v>
      </c>
    </row>
    <row r="33" spans="1:59" x14ac:dyDescent="0.4">
      <c r="A33" t="str">
        <f t="shared" si="17"/>
        <v>J605PW</v>
      </c>
      <c r="B33" s="37">
        <v>133</v>
      </c>
      <c r="C33" s="3">
        <v>133</v>
      </c>
      <c r="D33" s="4" t="s">
        <v>131</v>
      </c>
      <c r="E33" s="4" t="str">
        <f t="shared" si="0"/>
        <v>J605PW</v>
      </c>
      <c r="F33" s="4" t="s">
        <v>131</v>
      </c>
      <c r="G33" s="4" t="str">
        <f t="shared" si="1"/>
        <v>J605PW5</v>
      </c>
      <c r="H33" s="4" t="s">
        <v>278</v>
      </c>
      <c r="I33" s="5">
        <v>4905009720439</v>
      </c>
      <c r="J33" s="5">
        <v>5</v>
      </c>
      <c r="K33" s="5"/>
      <c r="L33" s="5">
        <v>1</v>
      </c>
      <c r="M33" s="5">
        <v>1</v>
      </c>
      <c r="N33" s="4">
        <v>0</v>
      </c>
      <c r="O33" s="4">
        <v>2837</v>
      </c>
      <c r="P33" s="4">
        <v>1620</v>
      </c>
      <c r="Q33" s="6">
        <f t="shared" si="2"/>
        <v>0.42897426859358478</v>
      </c>
      <c r="R33" s="4" t="s">
        <v>338</v>
      </c>
      <c r="S33" s="4" t="s">
        <v>338</v>
      </c>
      <c r="T33" s="4" t="s">
        <v>338</v>
      </c>
      <c r="U33" s="4">
        <v>0</v>
      </c>
      <c r="V33" s="4">
        <f t="shared" si="3"/>
        <v>0</v>
      </c>
      <c r="W33" s="4">
        <v>1783</v>
      </c>
      <c r="X33" s="4">
        <f t="shared" si="4"/>
        <v>1783</v>
      </c>
      <c r="Y33" s="4"/>
      <c r="Z33" s="21">
        <f t="shared" si="5"/>
        <v>3122</v>
      </c>
      <c r="AA33" s="6">
        <f t="shared" si="6"/>
        <v>0.42889173606662401</v>
      </c>
      <c r="AB33" s="4">
        <v>0.25</v>
      </c>
      <c r="AC33" s="4" t="str">
        <f t="shared" si="7"/>
        <v>-</v>
      </c>
      <c r="AD33" s="4" t="str">
        <f t="shared" si="8"/>
        <v>-</v>
      </c>
      <c r="AE33" s="6" t="str">
        <f t="shared" si="9"/>
        <v>-</v>
      </c>
      <c r="AF33" s="7">
        <v>2730</v>
      </c>
      <c r="AG33" s="6">
        <f t="shared" si="10"/>
        <v>0.34688644688644688</v>
      </c>
      <c r="AH33" s="38">
        <f t="shared" si="11"/>
        <v>947</v>
      </c>
      <c r="AI33" s="28"/>
      <c r="AJ33" s="6"/>
      <c r="AK33" s="6"/>
      <c r="AL33" s="6" t="str">
        <f t="shared" si="12"/>
        <v>-</v>
      </c>
      <c r="AM33" s="6">
        <f t="shared" si="13"/>
        <v>0.96228410292562561</v>
      </c>
      <c r="AN33" s="6">
        <f t="shared" si="14"/>
        <v>1.1006172839506172</v>
      </c>
      <c r="AO33" s="6" t="str">
        <f t="shared" si="18"/>
        <v>-</v>
      </c>
      <c r="AP33" s="4" t="str">
        <f t="shared" si="23"/>
        <v>-</v>
      </c>
      <c r="AQ33" s="4" t="str">
        <f t="shared" si="19"/>
        <v>-</v>
      </c>
      <c r="AR33" s="4" t="str">
        <f t="shared" si="20"/>
        <v>-</v>
      </c>
      <c r="AS33" s="4">
        <v>0</v>
      </c>
      <c r="AT33" s="4" t="s">
        <v>338</v>
      </c>
      <c r="AU33" s="4"/>
      <c r="AV33" s="4"/>
      <c r="AW33" s="4" t="s">
        <v>338</v>
      </c>
      <c r="AX33" s="4" t="s">
        <v>338</v>
      </c>
      <c r="AY33" s="4" t="str">
        <f t="shared" si="16"/>
        <v>-</v>
      </c>
      <c r="AZ33" s="19">
        <v>2</v>
      </c>
      <c r="BA33" s="19">
        <v>8</v>
      </c>
      <c r="BB33" s="16">
        <v>610</v>
      </c>
      <c r="BC33" t="s">
        <v>338</v>
      </c>
      <c r="BD33" t="str">
        <f t="shared" si="21"/>
        <v>-</v>
      </c>
      <c r="BE33">
        <v>2482</v>
      </c>
      <c r="BF33">
        <f t="shared" si="22"/>
        <v>2731.7320987654321</v>
      </c>
      <c r="BG33" t="s">
        <v>338</v>
      </c>
    </row>
    <row r="34" spans="1:59" x14ac:dyDescent="0.4">
      <c r="A34" t="str">
        <f t="shared" si="17"/>
        <v>191060</v>
      </c>
      <c r="B34" s="37">
        <v>138</v>
      </c>
      <c r="C34" s="3">
        <v>138</v>
      </c>
      <c r="D34" s="4">
        <v>191060</v>
      </c>
      <c r="E34" s="4" t="str">
        <f t="shared" si="0"/>
        <v>191060</v>
      </c>
      <c r="F34" s="4">
        <v>191060</v>
      </c>
      <c r="G34" s="4" t="str">
        <f t="shared" si="1"/>
        <v>1910605</v>
      </c>
      <c r="H34" s="4" t="s">
        <v>283</v>
      </c>
      <c r="I34" s="5">
        <v>4905009566235</v>
      </c>
      <c r="J34" s="5">
        <v>5</v>
      </c>
      <c r="K34" s="5"/>
      <c r="L34" s="5">
        <v>1</v>
      </c>
      <c r="M34" s="5">
        <v>1</v>
      </c>
      <c r="N34" s="4">
        <v>0</v>
      </c>
      <c r="O34" s="4">
        <v>4065</v>
      </c>
      <c r="P34" s="4">
        <v>1800</v>
      </c>
      <c r="Q34" s="6">
        <f t="shared" si="2"/>
        <v>0.55719557195571956</v>
      </c>
      <c r="R34" s="4" t="s">
        <v>338</v>
      </c>
      <c r="S34" s="4" t="s">
        <v>338</v>
      </c>
      <c r="T34" s="4" t="s">
        <v>338</v>
      </c>
      <c r="U34" s="4">
        <v>0</v>
      </c>
      <c r="V34" s="4">
        <f t="shared" si="3"/>
        <v>0</v>
      </c>
      <c r="W34" s="4">
        <v>2016</v>
      </c>
      <c r="X34" s="4">
        <f t="shared" si="4"/>
        <v>2016</v>
      </c>
      <c r="Y34" s="4"/>
      <c r="Z34" s="21">
        <f t="shared" si="5"/>
        <v>4553</v>
      </c>
      <c r="AA34" s="6">
        <f t="shared" si="6"/>
        <v>0.55721502306171755</v>
      </c>
      <c r="AB34" s="4">
        <v>2.5</v>
      </c>
      <c r="AC34" s="4">
        <f t="shared" si="7"/>
        <v>3302</v>
      </c>
      <c r="AD34" s="4">
        <f t="shared" si="8"/>
        <v>3698.2400000000002</v>
      </c>
      <c r="AE34" s="6">
        <f t="shared" si="9"/>
        <v>0.45487583282858879</v>
      </c>
      <c r="AF34" s="7">
        <v>3680</v>
      </c>
      <c r="AG34" s="6">
        <f t="shared" si="10"/>
        <v>0.45217391304347831</v>
      </c>
      <c r="AH34" s="38">
        <f t="shared" si="11"/>
        <v>1664</v>
      </c>
      <c r="AI34" s="28"/>
      <c r="AJ34" s="6"/>
      <c r="AK34" s="6"/>
      <c r="AL34" s="6" t="str">
        <f t="shared" si="12"/>
        <v>-</v>
      </c>
      <c r="AM34" s="6">
        <f t="shared" si="13"/>
        <v>0.90528905289052886</v>
      </c>
      <c r="AN34" s="6">
        <f t="shared" si="14"/>
        <v>1.1200000000000001</v>
      </c>
      <c r="AO34" s="6" t="str">
        <f t="shared" si="18"/>
        <v>-</v>
      </c>
      <c r="AP34" s="4" t="str">
        <f t="shared" si="23"/>
        <v>-</v>
      </c>
      <c r="AQ34" s="4" t="str">
        <f t="shared" si="19"/>
        <v>-</v>
      </c>
      <c r="AR34" s="4" t="str">
        <f t="shared" si="20"/>
        <v>-</v>
      </c>
      <c r="AS34" s="4" t="s">
        <v>334</v>
      </c>
      <c r="AT34" s="4" t="s">
        <v>520</v>
      </c>
      <c r="AU34" s="4"/>
      <c r="AV34" s="4"/>
      <c r="AW34" s="4" t="s">
        <v>492</v>
      </c>
      <c r="AX34" s="4">
        <v>3302</v>
      </c>
      <c r="AY34" s="4">
        <f t="shared" si="16"/>
        <v>3302</v>
      </c>
      <c r="AZ34" s="19">
        <v>2</v>
      </c>
      <c r="BA34" s="19">
        <v>1</v>
      </c>
      <c r="BB34" s="16">
        <v>610</v>
      </c>
      <c r="BC34" t="s">
        <v>338</v>
      </c>
      <c r="BD34" t="str">
        <f t="shared" si="21"/>
        <v>-</v>
      </c>
      <c r="BE34">
        <v>3302</v>
      </c>
      <c r="BF34">
        <f t="shared" si="22"/>
        <v>3698.2400000000002</v>
      </c>
      <c r="BG34" t="s">
        <v>369</v>
      </c>
    </row>
    <row r="35" spans="1:59" x14ac:dyDescent="0.4">
      <c r="A35" t="str">
        <f t="shared" si="17"/>
        <v>J599PW</v>
      </c>
      <c r="B35" s="37">
        <v>134</v>
      </c>
      <c r="C35" s="3">
        <v>134</v>
      </c>
      <c r="D35" s="4" t="s">
        <v>132</v>
      </c>
      <c r="E35" s="4" t="str">
        <f t="shared" si="0"/>
        <v>J599PW</v>
      </c>
      <c r="F35" s="4" t="s">
        <v>132</v>
      </c>
      <c r="G35" s="4" t="str">
        <f t="shared" si="1"/>
        <v>J599PW5</v>
      </c>
      <c r="H35" s="4" t="s">
        <v>279</v>
      </c>
      <c r="I35" s="5">
        <v>4905009520312</v>
      </c>
      <c r="J35" s="5">
        <v>5</v>
      </c>
      <c r="K35" s="5"/>
      <c r="L35" s="5">
        <v>1</v>
      </c>
      <c r="M35" s="5">
        <v>1</v>
      </c>
      <c r="N35" s="4">
        <v>0</v>
      </c>
      <c r="O35" s="4">
        <v>3231</v>
      </c>
      <c r="P35" s="4">
        <v>1980</v>
      </c>
      <c r="Q35" s="6">
        <f t="shared" si="2"/>
        <v>0.38718662952646243</v>
      </c>
      <c r="R35" s="4" t="s">
        <v>338</v>
      </c>
      <c r="S35" s="4" t="s">
        <v>338</v>
      </c>
      <c r="T35" s="4" t="s">
        <v>338</v>
      </c>
      <c r="U35" s="4">
        <v>0</v>
      </c>
      <c r="V35" s="4">
        <f t="shared" si="3"/>
        <v>0</v>
      </c>
      <c r="W35" s="4">
        <v>2179</v>
      </c>
      <c r="X35" s="4">
        <f t="shared" si="4"/>
        <v>2179</v>
      </c>
      <c r="Y35" s="4"/>
      <c r="Z35" s="21">
        <f t="shared" si="5"/>
        <v>3556</v>
      </c>
      <c r="AA35" s="6">
        <f t="shared" si="6"/>
        <v>0.38723284589426321</v>
      </c>
      <c r="AB35" s="4">
        <v>0.5</v>
      </c>
      <c r="AC35" s="4">
        <f t="shared" si="7"/>
        <v>3282</v>
      </c>
      <c r="AD35" s="4">
        <f t="shared" si="8"/>
        <v>3611.8575757575754</v>
      </c>
      <c r="AE35" s="6">
        <f t="shared" si="9"/>
        <v>0.3967093235831809</v>
      </c>
      <c r="AF35" s="7">
        <v>3580</v>
      </c>
      <c r="AG35" s="6">
        <f t="shared" si="10"/>
        <v>0.39134078212290502</v>
      </c>
      <c r="AH35" s="38">
        <f t="shared" si="11"/>
        <v>1401</v>
      </c>
      <c r="AI35" s="28"/>
      <c r="AJ35" s="6"/>
      <c r="AK35" s="6"/>
      <c r="AL35" s="6" t="str">
        <f t="shared" si="12"/>
        <v>-</v>
      </c>
      <c r="AM35" s="6">
        <f t="shared" si="13"/>
        <v>1.1080160940885175</v>
      </c>
      <c r="AN35" s="6">
        <f t="shared" si="14"/>
        <v>1.1005050505050504</v>
      </c>
      <c r="AO35" s="6" t="str">
        <f t="shared" si="18"/>
        <v>-</v>
      </c>
      <c r="AP35" s="4" t="str">
        <f t="shared" si="23"/>
        <v>-</v>
      </c>
      <c r="AQ35" s="4" t="str">
        <f t="shared" si="19"/>
        <v>-</v>
      </c>
      <c r="AR35" s="4" t="str">
        <f t="shared" si="20"/>
        <v>-</v>
      </c>
      <c r="AS35" s="4">
        <v>0</v>
      </c>
      <c r="AT35" s="4" t="s">
        <v>521</v>
      </c>
      <c r="AU35" s="4"/>
      <c r="AV35" s="4"/>
      <c r="AW35" s="4" t="s">
        <v>489</v>
      </c>
      <c r="AX35" s="4">
        <v>3282</v>
      </c>
      <c r="AY35" s="4">
        <f t="shared" si="16"/>
        <v>3282</v>
      </c>
      <c r="AZ35" s="19">
        <v>2</v>
      </c>
      <c r="BA35" s="19">
        <v>1</v>
      </c>
      <c r="BB35" s="16">
        <v>610</v>
      </c>
      <c r="BC35" t="s">
        <v>338</v>
      </c>
      <c r="BD35" t="str">
        <f t="shared" si="21"/>
        <v>-</v>
      </c>
      <c r="BE35">
        <v>3282</v>
      </c>
      <c r="BF35">
        <f t="shared" si="22"/>
        <v>3611.8575757575754</v>
      </c>
      <c r="BG35" t="s">
        <v>370</v>
      </c>
    </row>
    <row r="36" spans="1:59" x14ac:dyDescent="0.4">
      <c r="A36" t="str">
        <f t="shared" si="17"/>
        <v>616028</v>
      </c>
      <c r="B36" s="3">
        <v>146</v>
      </c>
      <c r="C36" s="3">
        <v>146</v>
      </c>
      <c r="D36" s="4">
        <v>616028</v>
      </c>
      <c r="E36" s="4" t="str">
        <f t="shared" ref="E36:E67" si="24">TEXT(D36,"000000")</f>
        <v>616028</v>
      </c>
      <c r="F36" s="4">
        <v>616028</v>
      </c>
      <c r="G36" s="4" t="str">
        <f t="shared" ref="G36:G67" si="25">E36&amp;J36</f>
        <v>6160285</v>
      </c>
      <c r="H36" s="4" t="s">
        <v>291</v>
      </c>
      <c r="I36" s="5">
        <v>4905009542444</v>
      </c>
      <c r="J36" s="5">
        <v>5</v>
      </c>
      <c r="K36" s="5"/>
      <c r="L36" s="5">
        <v>1</v>
      </c>
      <c r="M36" s="5">
        <v>1</v>
      </c>
      <c r="N36" s="4">
        <v>0</v>
      </c>
      <c r="O36" s="4">
        <v>2717</v>
      </c>
      <c r="P36" s="4">
        <v>2028</v>
      </c>
      <c r="Q36" s="6">
        <f t="shared" ref="Q36:Q67" si="26">IFERROR(1-P36/O36,"-")</f>
        <v>0.25358851674641147</v>
      </c>
      <c r="R36" s="4" t="s">
        <v>338</v>
      </c>
      <c r="S36" s="4" t="s">
        <v>338</v>
      </c>
      <c r="T36" s="4" t="s">
        <v>338</v>
      </c>
      <c r="U36" s="4">
        <v>0</v>
      </c>
      <c r="V36" s="4">
        <f t="shared" ref="V36:V67" si="27">IF(Y36="",U36,U36*Y36)</f>
        <v>0</v>
      </c>
      <c r="W36" s="4">
        <v>2333</v>
      </c>
      <c r="X36" s="4">
        <f t="shared" ref="X36:X67" si="28">IF(Y36="",W36,W36*Y36)</f>
        <v>2333</v>
      </c>
      <c r="Y36" s="4"/>
      <c r="Z36" s="21">
        <f t="shared" ref="Z36:Z67" si="29">ROUND(O36*AN36,0)</f>
        <v>3126</v>
      </c>
      <c r="AA36" s="6">
        <f t="shared" ref="AA36:AA67" si="30">IFERROR(1-X36/Z36,"-")</f>
        <v>0.2536788227767115</v>
      </c>
      <c r="AB36" s="4">
        <v>0.5</v>
      </c>
      <c r="AC36" s="4">
        <f t="shared" ref="AC36:AC67" si="31">AY36</f>
        <v>3546</v>
      </c>
      <c r="AD36" s="4">
        <f t="shared" ref="AD36:AD67" si="32">IFERROR(AC36*AN36,"-")</f>
        <v>4079.2988165680476</v>
      </c>
      <c r="AE36" s="6">
        <f t="shared" ref="AE36:AE67" si="33">IFERROR(1-X36/AD36,"-")</f>
        <v>0.42808798646362101</v>
      </c>
      <c r="AF36" s="7">
        <v>3780</v>
      </c>
      <c r="AG36" s="6">
        <f t="shared" ref="AG36:AG67" si="34">1-X36/AF36</f>
        <v>0.38280423280423281</v>
      </c>
      <c r="AH36" s="4">
        <f t="shared" ref="AH36:AH67" si="35">AF36-X36</f>
        <v>1447</v>
      </c>
      <c r="AI36" s="28"/>
      <c r="AJ36" s="6"/>
      <c r="AK36" s="6"/>
      <c r="AL36" s="6" t="str">
        <f t="shared" ref="AL36:AL67" si="36">IFERROR(V36/N36,"-")</f>
        <v>-</v>
      </c>
      <c r="AM36" s="6">
        <f t="shared" ref="AM36:AM67" si="37">IFERROR(AF36/O36,"-")</f>
        <v>1.3912403386087597</v>
      </c>
      <c r="AN36" s="6">
        <f t="shared" ref="AN36:AN67" si="38">IFERROR(X36/P36,"-")</f>
        <v>1.1503944773175543</v>
      </c>
      <c r="AO36" s="6" t="str">
        <f t="shared" si="18"/>
        <v>-</v>
      </c>
      <c r="AP36" s="4" t="str">
        <f t="shared" si="23"/>
        <v>-</v>
      </c>
      <c r="AQ36" s="4" t="str">
        <f t="shared" si="19"/>
        <v>-</v>
      </c>
      <c r="AR36" s="4" t="str">
        <f t="shared" si="20"/>
        <v>-</v>
      </c>
      <c r="AS36" s="4" t="s">
        <v>335</v>
      </c>
      <c r="AT36" s="4" t="s">
        <v>522</v>
      </c>
      <c r="AU36" s="4"/>
      <c r="AV36" s="4"/>
      <c r="AW36" s="4" t="s">
        <v>508</v>
      </c>
      <c r="AX36" s="4">
        <v>3546</v>
      </c>
      <c r="AY36" s="4">
        <f t="shared" ref="AY36:AY67" si="39">IF(AU36="",AX36,AU36/AV36*AX36)</f>
        <v>3546</v>
      </c>
      <c r="AZ36" s="19">
        <v>4</v>
      </c>
      <c r="BA36" s="19">
        <v>1</v>
      </c>
      <c r="BB36" s="16">
        <v>610</v>
      </c>
      <c r="BC36" t="s">
        <v>338</v>
      </c>
      <c r="BD36" t="str">
        <f t="shared" si="21"/>
        <v>-</v>
      </c>
      <c r="BE36">
        <v>3445</v>
      </c>
      <c r="BF36">
        <f t="shared" si="22"/>
        <v>3963.1089743589746</v>
      </c>
      <c r="BG36" t="s">
        <v>371</v>
      </c>
    </row>
    <row r="37" spans="1:59" x14ac:dyDescent="0.4">
      <c r="A37" t="str">
        <f t="shared" si="17"/>
        <v>J600PW</v>
      </c>
      <c r="B37" s="37">
        <v>136</v>
      </c>
      <c r="C37" s="3">
        <v>136</v>
      </c>
      <c r="D37" s="4" t="s">
        <v>134</v>
      </c>
      <c r="E37" s="4" t="str">
        <f t="shared" si="24"/>
        <v>J600PW</v>
      </c>
      <c r="F37" s="4" t="s">
        <v>134</v>
      </c>
      <c r="G37" s="4" t="str">
        <f t="shared" si="25"/>
        <v>J600PW5</v>
      </c>
      <c r="H37" s="4" t="s">
        <v>281</v>
      </c>
      <c r="I37" s="5">
        <v>4905009520305</v>
      </c>
      <c r="J37" s="5">
        <v>5</v>
      </c>
      <c r="K37" s="5"/>
      <c r="L37" s="5">
        <v>1</v>
      </c>
      <c r="M37" s="5">
        <v>1</v>
      </c>
      <c r="N37" s="4">
        <v>0</v>
      </c>
      <c r="O37" s="4">
        <v>3708</v>
      </c>
      <c r="P37" s="4">
        <v>2250</v>
      </c>
      <c r="Q37" s="6">
        <f t="shared" si="26"/>
        <v>0.39320388349514568</v>
      </c>
      <c r="R37" s="4" t="s">
        <v>338</v>
      </c>
      <c r="S37" s="4" t="s">
        <v>338</v>
      </c>
      <c r="T37" s="4" t="s">
        <v>338</v>
      </c>
      <c r="U37" s="4">
        <v>0</v>
      </c>
      <c r="V37" s="4">
        <f t="shared" si="27"/>
        <v>0</v>
      </c>
      <c r="W37" s="4">
        <v>2476</v>
      </c>
      <c r="X37" s="4">
        <f t="shared" si="28"/>
        <v>2476</v>
      </c>
      <c r="Y37" s="4"/>
      <c r="Z37" s="21">
        <f t="shared" si="29"/>
        <v>4080</v>
      </c>
      <c r="AA37" s="6">
        <f t="shared" si="30"/>
        <v>0.39313725490196083</v>
      </c>
      <c r="AB37" s="4">
        <v>0.25</v>
      </c>
      <c r="AC37" s="4">
        <f t="shared" si="31"/>
        <v>3682</v>
      </c>
      <c r="AD37" s="4">
        <f t="shared" si="32"/>
        <v>4051.8364444444442</v>
      </c>
      <c r="AE37" s="6">
        <f t="shared" si="33"/>
        <v>0.38891906572514934</v>
      </c>
      <c r="AF37" s="7">
        <v>3980</v>
      </c>
      <c r="AG37" s="6">
        <f t="shared" si="34"/>
        <v>0.3778894472361809</v>
      </c>
      <c r="AH37" s="38">
        <f t="shared" si="35"/>
        <v>1504</v>
      </c>
      <c r="AI37" s="28"/>
      <c r="AJ37" s="6"/>
      <c r="AK37" s="6"/>
      <c r="AL37" s="6" t="str">
        <f t="shared" si="36"/>
        <v>-</v>
      </c>
      <c r="AM37" s="6">
        <f t="shared" si="37"/>
        <v>1.0733549083063647</v>
      </c>
      <c r="AN37" s="6">
        <f t="shared" si="38"/>
        <v>1.1004444444444443</v>
      </c>
      <c r="AO37" s="6" t="str">
        <f t="shared" si="18"/>
        <v>-</v>
      </c>
      <c r="AP37" s="4" t="str">
        <f t="shared" si="23"/>
        <v>-</v>
      </c>
      <c r="AQ37" s="4" t="str">
        <f t="shared" si="19"/>
        <v>-</v>
      </c>
      <c r="AR37" s="4" t="str">
        <f t="shared" si="20"/>
        <v>-</v>
      </c>
      <c r="AS37" s="4">
        <v>0</v>
      </c>
      <c r="AT37" s="4" t="s">
        <v>523</v>
      </c>
      <c r="AU37" s="4"/>
      <c r="AV37" s="4"/>
      <c r="AW37" s="4" t="s">
        <v>489</v>
      </c>
      <c r="AX37" s="4">
        <v>3682</v>
      </c>
      <c r="AY37" s="4">
        <f t="shared" si="39"/>
        <v>3682</v>
      </c>
      <c r="AZ37" s="19">
        <v>2</v>
      </c>
      <c r="BA37" s="19">
        <v>8</v>
      </c>
      <c r="BB37" s="16">
        <v>610</v>
      </c>
      <c r="BC37" t="s">
        <v>338</v>
      </c>
      <c r="BD37" t="str">
        <f t="shared" si="21"/>
        <v>-</v>
      </c>
      <c r="BE37">
        <v>3682</v>
      </c>
      <c r="BF37">
        <f t="shared" si="22"/>
        <v>4051.8364444444442</v>
      </c>
      <c r="BG37" t="s">
        <v>372</v>
      </c>
    </row>
    <row r="38" spans="1:59" x14ac:dyDescent="0.4">
      <c r="A38" t="str">
        <f t="shared" si="17"/>
        <v>191059</v>
      </c>
      <c r="B38" s="37">
        <v>137</v>
      </c>
      <c r="C38" s="3">
        <v>137</v>
      </c>
      <c r="D38" s="4">
        <v>191059</v>
      </c>
      <c r="E38" s="4" t="str">
        <f t="shared" si="24"/>
        <v>191059</v>
      </c>
      <c r="F38" s="4">
        <v>191059</v>
      </c>
      <c r="G38" s="4" t="str">
        <f t="shared" si="25"/>
        <v>1910595</v>
      </c>
      <c r="H38" s="4" t="s">
        <v>282</v>
      </c>
      <c r="I38" s="5">
        <v>4905009566228</v>
      </c>
      <c r="J38" s="5">
        <v>5</v>
      </c>
      <c r="K38" s="5"/>
      <c r="L38" s="5">
        <v>1</v>
      </c>
      <c r="M38" s="5">
        <v>1</v>
      </c>
      <c r="N38" s="4">
        <v>0</v>
      </c>
      <c r="O38" s="4">
        <v>4700</v>
      </c>
      <c r="P38" s="4">
        <v>2400</v>
      </c>
      <c r="Q38" s="6">
        <f t="shared" si="26"/>
        <v>0.48936170212765961</v>
      </c>
      <c r="R38" s="4" t="s">
        <v>338</v>
      </c>
      <c r="S38" s="4" t="s">
        <v>338</v>
      </c>
      <c r="T38" s="4" t="s">
        <v>338</v>
      </c>
      <c r="U38" s="4">
        <v>0</v>
      </c>
      <c r="V38" s="4">
        <f t="shared" si="27"/>
        <v>0</v>
      </c>
      <c r="W38" s="4">
        <v>2688</v>
      </c>
      <c r="X38" s="4">
        <f t="shared" si="28"/>
        <v>2688</v>
      </c>
      <c r="Y38" s="4"/>
      <c r="Z38" s="21">
        <f t="shared" si="29"/>
        <v>5264</v>
      </c>
      <c r="AA38" s="6">
        <f t="shared" si="30"/>
        <v>0.48936170212765961</v>
      </c>
      <c r="AB38" s="4">
        <v>2.75</v>
      </c>
      <c r="AC38" s="4">
        <f t="shared" si="31"/>
        <v>3368</v>
      </c>
      <c r="AD38" s="4">
        <f t="shared" si="32"/>
        <v>3772.1600000000003</v>
      </c>
      <c r="AE38" s="6">
        <f t="shared" si="33"/>
        <v>0.28741092636579579</v>
      </c>
      <c r="AF38" s="7">
        <v>3770</v>
      </c>
      <c r="AG38" s="6">
        <f t="shared" si="34"/>
        <v>0.28700265251989387</v>
      </c>
      <c r="AH38" s="38">
        <f t="shared" si="35"/>
        <v>1082</v>
      </c>
      <c r="AI38" s="28"/>
      <c r="AJ38" s="6"/>
      <c r="AK38" s="6"/>
      <c r="AL38" s="6" t="str">
        <f t="shared" si="36"/>
        <v>-</v>
      </c>
      <c r="AM38" s="6">
        <f t="shared" si="37"/>
        <v>0.80212765957446808</v>
      </c>
      <c r="AN38" s="6">
        <f t="shared" si="38"/>
        <v>1.1200000000000001</v>
      </c>
      <c r="AO38" s="6" t="str">
        <f t="shared" si="18"/>
        <v>-</v>
      </c>
      <c r="AP38" s="4" t="str">
        <f t="shared" si="23"/>
        <v>-</v>
      </c>
      <c r="AQ38" s="4" t="str">
        <f t="shared" si="19"/>
        <v>-</v>
      </c>
      <c r="AR38" s="4" t="str">
        <f t="shared" si="20"/>
        <v>-</v>
      </c>
      <c r="AS38" s="4" t="s">
        <v>334</v>
      </c>
      <c r="AT38" s="4" t="s">
        <v>524</v>
      </c>
      <c r="AU38" s="4"/>
      <c r="AV38" s="4"/>
      <c r="AW38" s="4" t="s">
        <v>492</v>
      </c>
      <c r="AX38" s="4">
        <v>3368</v>
      </c>
      <c r="AY38" s="4">
        <f t="shared" si="39"/>
        <v>3368</v>
      </c>
      <c r="AZ38" s="19">
        <v>2</v>
      </c>
      <c r="BA38" s="19">
        <v>1</v>
      </c>
      <c r="BB38" s="16">
        <v>610</v>
      </c>
      <c r="BC38" t="s">
        <v>338</v>
      </c>
      <c r="BD38" t="str">
        <f t="shared" si="21"/>
        <v>-</v>
      </c>
      <c r="BE38">
        <v>3368</v>
      </c>
      <c r="BF38">
        <f t="shared" si="22"/>
        <v>3772.1600000000003</v>
      </c>
      <c r="BG38" t="s">
        <v>373</v>
      </c>
    </row>
    <row r="39" spans="1:59" x14ac:dyDescent="0.4">
      <c r="A39" t="str">
        <f t="shared" si="17"/>
        <v>J601PW</v>
      </c>
      <c r="B39" s="37">
        <v>126</v>
      </c>
      <c r="C39" s="3">
        <v>126</v>
      </c>
      <c r="D39" s="4" t="s">
        <v>128</v>
      </c>
      <c r="E39" s="4" t="str">
        <f t="shared" si="24"/>
        <v>J601PW</v>
      </c>
      <c r="F39" s="4" t="s">
        <v>128</v>
      </c>
      <c r="G39" s="4" t="str">
        <f t="shared" si="25"/>
        <v>J601PW5</v>
      </c>
      <c r="H39" s="4" t="s">
        <v>271</v>
      </c>
      <c r="I39" s="5">
        <v>4905009520299</v>
      </c>
      <c r="J39" s="5">
        <v>5</v>
      </c>
      <c r="K39" s="5"/>
      <c r="L39" s="5">
        <v>1</v>
      </c>
      <c r="M39" s="5">
        <v>1</v>
      </c>
      <c r="N39" s="4">
        <v>0</v>
      </c>
      <c r="O39" s="4">
        <v>4450</v>
      </c>
      <c r="P39" s="4">
        <v>2700</v>
      </c>
      <c r="Q39" s="6">
        <f t="shared" si="26"/>
        <v>0.3932584269662921</v>
      </c>
      <c r="R39" s="4" t="s">
        <v>338</v>
      </c>
      <c r="S39" s="4" t="s">
        <v>338</v>
      </c>
      <c r="T39" s="4" t="s">
        <v>338</v>
      </c>
      <c r="U39" s="4">
        <v>0</v>
      </c>
      <c r="V39" s="4">
        <f t="shared" si="27"/>
        <v>0</v>
      </c>
      <c r="W39" s="4">
        <v>2971</v>
      </c>
      <c r="X39" s="4">
        <f t="shared" si="28"/>
        <v>2971</v>
      </c>
      <c r="Y39" s="4"/>
      <c r="Z39" s="21">
        <f t="shared" si="29"/>
        <v>4897</v>
      </c>
      <c r="AA39" s="6">
        <f t="shared" si="30"/>
        <v>0.39330202164590566</v>
      </c>
      <c r="AB39" s="4">
        <v>0.5</v>
      </c>
      <c r="AC39" s="4">
        <f t="shared" si="31"/>
        <v>4682</v>
      </c>
      <c r="AD39" s="4">
        <f t="shared" si="32"/>
        <v>5151.9340740740745</v>
      </c>
      <c r="AE39" s="6">
        <f t="shared" si="33"/>
        <v>0.42332336608287058</v>
      </c>
      <c r="AF39" s="7">
        <v>4880</v>
      </c>
      <c r="AG39" s="6">
        <f t="shared" si="34"/>
        <v>0.39118852459016396</v>
      </c>
      <c r="AH39" s="38">
        <f t="shared" si="35"/>
        <v>1909</v>
      </c>
      <c r="AI39" s="28"/>
      <c r="AJ39" s="6"/>
      <c r="AK39" s="6"/>
      <c r="AL39" s="6" t="str">
        <f t="shared" si="36"/>
        <v>-</v>
      </c>
      <c r="AM39" s="6">
        <f t="shared" si="37"/>
        <v>1.0966292134831461</v>
      </c>
      <c r="AN39" s="6">
        <f t="shared" si="38"/>
        <v>1.1003703703703704</v>
      </c>
      <c r="AO39" s="6" t="str">
        <f t="shared" si="18"/>
        <v>-</v>
      </c>
      <c r="AP39" s="4" t="str">
        <f t="shared" si="23"/>
        <v>-</v>
      </c>
      <c r="AQ39" s="4" t="str">
        <f t="shared" si="19"/>
        <v>-</v>
      </c>
      <c r="AR39" s="4" t="str">
        <f t="shared" si="20"/>
        <v>-</v>
      </c>
      <c r="AS39" s="4">
        <v>0</v>
      </c>
      <c r="AT39" s="4" t="s">
        <v>525</v>
      </c>
      <c r="AU39" s="4"/>
      <c r="AV39" s="4"/>
      <c r="AW39" s="4" t="s">
        <v>489</v>
      </c>
      <c r="AX39" s="4">
        <v>4682</v>
      </c>
      <c r="AY39" s="4">
        <f t="shared" si="39"/>
        <v>4682</v>
      </c>
      <c r="AZ39" s="19">
        <v>2</v>
      </c>
      <c r="BA39" s="19">
        <v>8</v>
      </c>
      <c r="BB39" s="16">
        <v>610</v>
      </c>
      <c r="BC39" t="s">
        <v>338</v>
      </c>
      <c r="BD39" t="str">
        <f t="shared" si="21"/>
        <v>-</v>
      </c>
      <c r="BE39">
        <v>4682</v>
      </c>
      <c r="BF39">
        <f t="shared" si="22"/>
        <v>5151.9340740740745</v>
      </c>
      <c r="BG39" t="s">
        <v>374</v>
      </c>
    </row>
    <row r="40" spans="1:59" x14ac:dyDescent="0.4">
      <c r="A40" t="str">
        <f t="shared" si="17"/>
        <v>164903</v>
      </c>
      <c r="B40" s="3">
        <v>171</v>
      </c>
      <c r="C40" s="3">
        <v>171</v>
      </c>
      <c r="D40" s="4">
        <v>164903</v>
      </c>
      <c r="E40" s="4" t="str">
        <f t="shared" si="24"/>
        <v>164903</v>
      </c>
      <c r="F40" s="4">
        <v>164903</v>
      </c>
      <c r="G40" s="4" t="str">
        <f t="shared" si="25"/>
        <v>1649035</v>
      </c>
      <c r="H40" s="4" t="s">
        <v>315</v>
      </c>
      <c r="I40" s="5">
        <v>4905009799657</v>
      </c>
      <c r="J40" s="5">
        <v>5</v>
      </c>
      <c r="K40" s="5"/>
      <c r="L40" s="5">
        <v>1</v>
      </c>
      <c r="M40" s="5">
        <v>1</v>
      </c>
      <c r="N40" s="4">
        <v>0</v>
      </c>
      <c r="O40" s="4">
        <v>4241</v>
      </c>
      <c r="P40" s="4">
        <v>2600</v>
      </c>
      <c r="Q40" s="6">
        <f t="shared" si="26"/>
        <v>0.38693704315020039</v>
      </c>
      <c r="R40" s="4" t="s">
        <v>338</v>
      </c>
      <c r="S40" s="4" t="s">
        <v>338</v>
      </c>
      <c r="T40" s="4" t="s">
        <v>338</v>
      </c>
      <c r="U40" s="4">
        <v>0</v>
      </c>
      <c r="V40" s="4">
        <f t="shared" si="27"/>
        <v>0</v>
      </c>
      <c r="W40" s="4">
        <v>3121</v>
      </c>
      <c r="X40" s="4">
        <f t="shared" si="28"/>
        <v>3121</v>
      </c>
      <c r="Y40" s="4"/>
      <c r="Z40" s="21">
        <f t="shared" si="29"/>
        <v>5091</v>
      </c>
      <c r="AA40" s="6">
        <f t="shared" si="30"/>
        <v>0.38695737576114708</v>
      </c>
      <c r="AB40" s="4">
        <v>1.25</v>
      </c>
      <c r="AC40" s="4">
        <f t="shared" si="31"/>
        <v>4673</v>
      </c>
      <c r="AD40" s="4">
        <f t="shared" si="32"/>
        <v>5609.3973076923075</v>
      </c>
      <c r="AE40" s="6">
        <f t="shared" si="33"/>
        <v>0.44361224053070836</v>
      </c>
      <c r="AF40" s="7">
        <v>5180</v>
      </c>
      <c r="AG40" s="6">
        <f t="shared" si="34"/>
        <v>0.39749034749034751</v>
      </c>
      <c r="AH40" s="4">
        <f t="shared" si="35"/>
        <v>2059</v>
      </c>
      <c r="AI40" s="28"/>
      <c r="AJ40" s="6"/>
      <c r="AK40" s="6"/>
      <c r="AL40" s="6" t="str">
        <f t="shared" si="36"/>
        <v>-</v>
      </c>
      <c r="AM40" s="6">
        <f t="shared" si="37"/>
        <v>1.2214100448007545</v>
      </c>
      <c r="AN40" s="6">
        <f t="shared" si="38"/>
        <v>1.2003846153846154</v>
      </c>
      <c r="AO40" s="6" t="str">
        <f t="shared" si="18"/>
        <v>-</v>
      </c>
      <c r="AP40" s="4" t="str">
        <f t="shared" si="23"/>
        <v>-</v>
      </c>
      <c r="AQ40" s="4" t="str">
        <f t="shared" si="19"/>
        <v>-</v>
      </c>
      <c r="AR40" s="4" t="str">
        <f t="shared" si="20"/>
        <v>-</v>
      </c>
      <c r="AS40" s="4">
        <v>0</v>
      </c>
      <c r="AT40" s="4" t="s">
        <v>526</v>
      </c>
      <c r="AU40" s="4"/>
      <c r="AV40" s="4"/>
      <c r="AW40" s="4" t="s">
        <v>508</v>
      </c>
      <c r="AX40" s="4">
        <v>4673</v>
      </c>
      <c r="AY40" s="4">
        <f t="shared" si="39"/>
        <v>4673</v>
      </c>
      <c r="AZ40" s="19">
        <v>4</v>
      </c>
      <c r="BA40" s="19">
        <v>1</v>
      </c>
      <c r="BB40" s="16">
        <v>610</v>
      </c>
      <c r="BC40" t="s">
        <v>338</v>
      </c>
      <c r="BD40" t="str">
        <f t="shared" si="21"/>
        <v>-</v>
      </c>
      <c r="BE40">
        <v>4562</v>
      </c>
      <c r="BF40">
        <f t="shared" si="22"/>
        <v>5476.1546153846157</v>
      </c>
      <c r="BG40" t="s">
        <v>375</v>
      </c>
    </row>
    <row r="41" spans="1:59" x14ac:dyDescent="0.4">
      <c r="A41" t="str">
        <f t="shared" si="17"/>
        <v>936401</v>
      </c>
      <c r="B41" s="3">
        <v>172</v>
      </c>
      <c r="C41" s="3">
        <v>172</v>
      </c>
      <c r="D41" s="4">
        <v>936401</v>
      </c>
      <c r="E41" s="4" t="str">
        <f t="shared" si="24"/>
        <v>936401</v>
      </c>
      <c r="F41" s="4">
        <v>936401</v>
      </c>
      <c r="G41" s="4" t="str">
        <f t="shared" si="25"/>
        <v>9364015</v>
      </c>
      <c r="H41" s="4" t="s">
        <v>316</v>
      </c>
      <c r="I41" s="5">
        <v>4905009799640</v>
      </c>
      <c r="J41" s="5">
        <v>5</v>
      </c>
      <c r="K41" s="5"/>
      <c r="L41" s="5">
        <v>1</v>
      </c>
      <c r="M41" s="5">
        <v>1</v>
      </c>
      <c r="N41" s="4">
        <v>0</v>
      </c>
      <c r="O41" s="4">
        <v>4557</v>
      </c>
      <c r="P41" s="4">
        <v>2600</v>
      </c>
      <c r="Q41" s="6">
        <f t="shared" si="26"/>
        <v>0.42944919903445244</v>
      </c>
      <c r="R41" s="4" t="s">
        <v>338</v>
      </c>
      <c r="S41" s="4" t="s">
        <v>338</v>
      </c>
      <c r="T41" s="4" t="s">
        <v>338</v>
      </c>
      <c r="U41" s="4">
        <v>0</v>
      </c>
      <c r="V41" s="4">
        <f t="shared" si="27"/>
        <v>0</v>
      </c>
      <c r="W41" s="4">
        <v>3121</v>
      </c>
      <c r="X41" s="4">
        <f t="shared" si="28"/>
        <v>3121</v>
      </c>
      <c r="Y41" s="4"/>
      <c r="Z41" s="21">
        <f t="shared" si="29"/>
        <v>5470</v>
      </c>
      <c r="AA41" s="6">
        <f t="shared" si="30"/>
        <v>0.42943327239488116</v>
      </c>
      <c r="AB41" s="4">
        <v>0.5</v>
      </c>
      <c r="AC41" s="4">
        <f t="shared" si="31"/>
        <v>4673</v>
      </c>
      <c r="AD41" s="4">
        <f t="shared" si="32"/>
        <v>5609.3973076923075</v>
      </c>
      <c r="AE41" s="6">
        <f t="shared" si="33"/>
        <v>0.44361224053070836</v>
      </c>
      <c r="AF41" s="7">
        <v>5180</v>
      </c>
      <c r="AG41" s="6">
        <f t="shared" si="34"/>
        <v>0.39749034749034751</v>
      </c>
      <c r="AH41" s="4">
        <f t="shared" si="35"/>
        <v>2059</v>
      </c>
      <c r="AI41" s="28"/>
      <c r="AJ41" s="6"/>
      <c r="AK41" s="6"/>
      <c r="AL41" s="6" t="str">
        <f t="shared" si="36"/>
        <v>-</v>
      </c>
      <c r="AM41" s="6">
        <f t="shared" si="37"/>
        <v>1.1367127496159755</v>
      </c>
      <c r="AN41" s="6">
        <f t="shared" si="38"/>
        <v>1.2003846153846154</v>
      </c>
      <c r="AO41" s="6" t="str">
        <f t="shared" si="18"/>
        <v>-</v>
      </c>
      <c r="AP41" s="4" t="str">
        <f t="shared" si="23"/>
        <v>-</v>
      </c>
      <c r="AQ41" s="4" t="str">
        <f t="shared" si="19"/>
        <v>-</v>
      </c>
      <c r="AR41" s="4" t="str">
        <f t="shared" si="20"/>
        <v>-</v>
      </c>
      <c r="AS41" s="4">
        <v>0</v>
      </c>
      <c r="AT41" s="4" t="s">
        <v>527</v>
      </c>
      <c r="AU41" s="4"/>
      <c r="AV41" s="4"/>
      <c r="AW41" s="4" t="s">
        <v>508</v>
      </c>
      <c r="AX41" s="4">
        <v>4673</v>
      </c>
      <c r="AY41" s="4">
        <f t="shared" si="39"/>
        <v>4673</v>
      </c>
      <c r="AZ41" s="19">
        <v>4</v>
      </c>
      <c r="BA41" s="19">
        <v>1</v>
      </c>
      <c r="BB41" s="16">
        <v>610</v>
      </c>
      <c r="BC41" t="s">
        <v>338</v>
      </c>
      <c r="BD41" t="str">
        <f t="shared" si="21"/>
        <v>-</v>
      </c>
      <c r="BE41">
        <v>4562</v>
      </c>
      <c r="BF41">
        <f t="shared" si="22"/>
        <v>5476.1546153846157</v>
      </c>
      <c r="BG41" t="s">
        <v>376</v>
      </c>
    </row>
    <row r="42" spans="1:59" x14ac:dyDescent="0.4">
      <c r="A42" t="str">
        <f t="shared" si="17"/>
        <v>164904</v>
      </c>
      <c r="B42" s="3">
        <v>145</v>
      </c>
      <c r="C42" s="3">
        <v>145</v>
      </c>
      <c r="D42" s="4">
        <v>164904</v>
      </c>
      <c r="E42" s="4" t="str">
        <f t="shared" si="24"/>
        <v>164904</v>
      </c>
      <c r="F42" s="4">
        <v>164904</v>
      </c>
      <c r="G42" s="4" t="str">
        <f t="shared" si="25"/>
        <v>1649045</v>
      </c>
      <c r="H42" s="4" t="s">
        <v>290</v>
      </c>
      <c r="I42" s="5">
        <v>4905009542451</v>
      </c>
      <c r="J42" s="5">
        <v>5</v>
      </c>
      <c r="K42" s="5"/>
      <c r="L42" s="5">
        <v>1</v>
      </c>
      <c r="M42" s="5">
        <v>1</v>
      </c>
      <c r="N42" s="4">
        <v>0</v>
      </c>
      <c r="O42" s="4">
        <v>4492</v>
      </c>
      <c r="P42" s="4">
        <v>2730</v>
      </c>
      <c r="Q42" s="6">
        <f t="shared" si="26"/>
        <v>0.3922528940338379</v>
      </c>
      <c r="R42" s="4" t="s">
        <v>338</v>
      </c>
      <c r="S42" s="4" t="s">
        <v>338</v>
      </c>
      <c r="T42" s="4" t="s">
        <v>338</v>
      </c>
      <c r="U42" s="4">
        <v>0</v>
      </c>
      <c r="V42" s="4">
        <f t="shared" si="27"/>
        <v>0</v>
      </c>
      <c r="W42" s="4">
        <v>3140</v>
      </c>
      <c r="X42" s="4">
        <f t="shared" si="28"/>
        <v>3140</v>
      </c>
      <c r="Y42" s="4"/>
      <c r="Z42" s="21">
        <f t="shared" si="29"/>
        <v>5167</v>
      </c>
      <c r="AA42" s="6">
        <f t="shared" si="30"/>
        <v>0.3922972711437972</v>
      </c>
      <c r="AB42" s="4">
        <v>0.25</v>
      </c>
      <c r="AC42" s="4">
        <f t="shared" si="31"/>
        <v>4700</v>
      </c>
      <c r="AD42" s="4">
        <f t="shared" si="32"/>
        <v>5405.8608058608052</v>
      </c>
      <c r="AE42" s="6">
        <f t="shared" si="33"/>
        <v>0.41914893617021265</v>
      </c>
      <c r="AF42" s="7">
        <v>5200</v>
      </c>
      <c r="AG42" s="6">
        <f t="shared" si="34"/>
        <v>0.39615384615384619</v>
      </c>
      <c r="AH42" s="4">
        <f t="shared" si="35"/>
        <v>2060</v>
      </c>
      <c r="AI42" s="28"/>
      <c r="AJ42" s="6"/>
      <c r="AK42" s="6"/>
      <c r="AL42" s="6" t="str">
        <f t="shared" si="36"/>
        <v>-</v>
      </c>
      <c r="AM42" s="6">
        <f t="shared" si="37"/>
        <v>1.1576135351736421</v>
      </c>
      <c r="AN42" s="6">
        <f t="shared" si="38"/>
        <v>1.1501831501831501</v>
      </c>
      <c r="AO42" s="6" t="str">
        <f t="shared" si="18"/>
        <v>-</v>
      </c>
      <c r="AP42" s="4" t="str">
        <f t="shared" si="23"/>
        <v>-</v>
      </c>
      <c r="AQ42" s="4" t="str">
        <f t="shared" si="19"/>
        <v>-</v>
      </c>
      <c r="AR42" s="4" t="str">
        <f t="shared" si="20"/>
        <v>-</v>
      </c>
      <c r="AS42" s="4">
        <v>0</v>
      </c>
      <c r="AT42" s="4" t="s">
        <v>528</v>
      </c>
      <c r="AU42" s="4"/>
      <c r="AV42" s="4"/>
      <c r="AW42" s="4" t="s">
        <v>508</v>
      </c>
      <c r="AX42" s="4">
        <v>4700</v>
      </c>
      <c r="AY42" s="4">
        <f t="shared" si="39"/>
        <v>4700</v>
      </c>
      <c r="AZ42" s="19">
        <v>4</v>
      </c>
      <c r="BA42" s="19">
        <v>1</v>
      </c>
      <c r="BB42" s="16">
        <v>610</v>
      </c>
      <c r="BC42">
        <v>4018</v>
      </c>
      <c r="BD42">
        <f t="shared" si="21"/>
        <v>4621.4358974358975</v>
      </c>
      <c r="BE42">
        <v>4647</v>
      </c>
      <c r="BF42">
        <f t="shared" si="22"/>
        <v>5344.9010989010985</v>
      </c>
      <c r="BG42" t="s">
        <v>377</v>
      </c>
    </row>
    <row r="43" spans="1:59" x14ac:dyDescent="0.4">
      <c r="A43" t="str">
        <f t="shared" si="17"/>
        <v>663877</v>
      </c>
      <c r="B43" s="3">
        <v>153</v>
      </c>
      <c r="C43" s="3">
        <v>153</v>
      </c>
      <c r="D43" s="4">
        <v>663877</v>
      </c>
      <c r="E43" s="4" t="str">
        <f t="shared" si="24"/>
        <v>663877</v>
      </c>
      <c r="F43" s="4">
        <v>663877</v>
      </c>
      <c r="G43" s="4" t="str">
        <f t="shared" si="25"/>
        <v>6638775</v>
      </c>
      <c r="H43" s="4" t="s">
        <v>298</v>
      </c>
      <c r="I43" s="5">
        <v>4905009542581</v>
      </c>
      <c r="J43" s="5">
        <v>5</v>
      </c>
      <c r="K43" s="5"/>
      <c r="L43" s="5">
        <v>1</v>
      </c>
      <c r="M43" s="5">
        <v>1</v>
      </c>
      <c r="N43" s="4">
        <v>0</v>
      </c>
      <c r="O43" s="4">
        <v>5055</v>
      </c>
      <c r="P43" s="4">
        <v>2800</v>
      </c>
      <c r="Q43" s="6">
        <f t="shared" si="26"/>
        <v>0.44609297725024732</v>
      </c>
      <c r="R43" s="4" t="s">
        <v>338</v>
      </c>
      <c r="S43" s="4" t="s">
        <v>338</v>
      </c>
      <c r="T43" s="4" t="s">
        <v>338</v>
      </c>
      <c r="U43" s="4">
        <v>0</v>
      </c>
      <c r="V43" s="4">
        <f t="shared" si="27"/>
        <v>0</v>
      </c>
      <c r="W43" s="4">
        <v>3360</v>
      </c>
      <c r="X43" s="4">
        <f t="shared" si="28"/>
        <v>3360</v>
      </c>
      <c r="Y43" s="4"/>
      <c r="Z43" s="21">
        <f t="shared" si="29"/>
        <v>6066</v>
      </c>
      <c r="AA43" s="6">
        <f t="shared" si="30"/>
        <v>0.44609297725024732</v>
      </c>
      <c r="AB43" s="4">
        <v>2</v>
      </c>
      <c r="AC43" s="4">
        <f t="shared" si="31"/>
        <v>4991</v>
      </c>
      <c r="AD43" s="4">
        <f t="shared" si="32"/>
        <v>5989.2</v>
      </c>
      <c r="AE43" s="6">
        <f t="shared" si="33"/>
        <v>0.43899018232819076</v>
      </c>
      <c r="AF43" s="7">
        <v>5980</v>
      </c>
      <c r="AG43" s="6">
        <f t="shared" si="34"/>
        <v>0.43812709030100339</v>
      </c>
      <c r="AH43" s="4">
        <f t="shared" si="35"/>
        <v>2620</v>
      </c>
      <c r="AI43" s="28"/>
      <c r="AJ43" s="6"/>
      <c r="AK43" s="6"/>
      <c r="AL43" s="6" t="str">
        <f t="shared" si="36"/>
        <v>-</v>
      </c>
      <c r="AM43" s="6">
        <f t="shared" si="37"/>
        <v>1.1829871414441147</v>
      </c>
      <c r="AN43" s="6">
        <f t="shared" si="38"/>
        <v>1.2</v>
      </c>
      <c r="AO43" s="6" t="str">
        <f t="shared" si="18"/>
        <v>-</v>
      </c>
      <c r="AP43" s="4" t="str">
        <f t="shared" si="23"/>
        <v>-</v>
      </c>
      <c r="AQ43" s="4" t="str">
        <f t="shared" si="19"/>
        <v>-</v>
      </c>
      <c r="AR43" s="4" t="str">
        <f t="shared" si="20"/>
        <v>-</v>
      </c>
      <c r="AS43" s="4" t="s">
        <v>335</v>
      </c>
      <c r="AT43" s="4" t="s">
        <v>529</v>
      </c>
      <c r="AU43" s="4"/>
      <c r="AV43" s="4"/>
      <c r="AW43" s="4" t="s">
        <v>508</v>
      </c>
      <c r="AX43" s="4">
        <v>4991</v>
      </c>
      <c r="AY43" s="4">
        <f t="shared" si="39"/>
        <v>4991</v>
      </c>
      <c r="AZ43" s="19">
        <v>4</v>
      </c>
      <c r="BA43" s="19">
        <v>1</v>
      </c>
      <c r="BB43" s="16">
        <v>610</v>
      </c>
      <c r="BC43">
        <v>4453</v>
      </c>
      <c r="BD43">
        <f t="shared" si="21"/>
        <v>5343.5999999999995</v>
      </c>
      <c r="BE43">
        <v>6174</v>
      </c>
      <c r="BF43">
        <f t="shared" si="22"/>
        <v>7408.7999999999993</v>
      </c>
      <c r="BG43" t="s">
        <v>378</v>
      </c>
    </row>
    <row r="44" spans="1:59" x14ac:dyDescent="0.4">
      <c r="A44" t="str">
        <f t="shared" si="17"/>
        <v>663879</v>
      </c>
      <c r="B44" s="3">
        <v>154</v>
      </c>
      <c r="C44" s="3">
        <v>154</v>
      </c>
      <c r="D44" s="4">
        <v>663879</v>
      </c>
      <c r="E44" s="4" t="str">
        <f t="shared" si="24"/>
        <v>663879</v>
      </c>
      <c r="F44" s="4">
        <v>663879</v>
      </c>
      <c r="G44" s="4" t="str">
        <f t="shared" si="25"/>
        <v>6638795</v>
      </c>
      <c r="H44" s="4" t="s">
        <v>299</v>
      </c>
      <c r="I44" s="5">
        <v>4905009542598</v>
      </c>
      <c r="J44" s="5">
        <v>5</v>
      </c>
      <c r="K44" s="5"/>
      <c r="L44" s="5">
        <v>1</v>
      </c>
      <c r="M44" s="5">
        <v>1</v>
      </c>
      <c r="N44" s="4">
        <v>0</v>
      </c>
      <c r="O44" s="4">
        <v>5055</v>
      </c>
      <c r="P44" s="4">
        <v>2800</v>
      </c>
      <c r="Q44" s="6">
        <f t="shared" si="26"/>
        <v>0.44609297725024732</v>
      </c>
      <c r="R44" s="4" t="s">
        <v>338</v>
      </c>
      <c r="S44" s="4" t="s">
        <v>338</v>
      </c>
      <c r="T44" s="4" t="s">
        <v>338</v>
      </c>
      <c r="U44" s="4">
        <v>0</v>
      </c>
      <c r="V44" s="4">
        <f t="shared" si="27"/>
        <v>0</v>
      </c>
      <c r="W44" s="4">
        <v>3360</v>
      </c>
      <c r="X44" s="4">
        <f t="shared" si="28"/>
        <v>3360</v>
      </c>
      <c r="Y44" s="4"/>
      <c r="Z44" s="21">
        <f t="shared" si="29"/>
        <v>6066</v>
      </c>
      <c r="AA44" s="6">
        <f t="shared" si="30"/>
        <v>0.44609297725024732</v>
      </c>
      <c r="AB44" s="4">
        <v>1</v>
      </c>
      <c r="AC44" s="4">
        <f t="shared" si="31"/>
        <v>4064</v>
      </c>
      <c r="AD44" s="4">
        <f t="shared" si="32"/>
        <v>4876.8</v>
      </c>
      <c r="AE44" s="6">
        <f t="shared" si="33"/>
        <v>0.3110236220472441</v>
      </c>
      <c r="AF44" s="7">
        <v>5980</v>
      </c>
      <c r="AG44" s="6">
        <f t="shared" si="34"/>
        <v>0.43812709030100339</v>
      </c>
      <c r="AH44" s="4">
        <f t="shared" si="35"/>
        <v>2620</v>
      </c>
      <c r="AI44" s="28"/>
      <c r="AJ44" s="6"/>
      <c r="AK44" s="6"/>
      <c r="AL44" s="6" t="str">
        <f t="shared" si="36"/>
        <v>-</v>
      </c>
      <c r="AM44" s="6">
        <f t="shared" si="37"/>
        <v>1.1829871414441147</v>
      </c>
      <c r="AN44" s="6">
        <f t="shared" si="38"/>
        <v>1.2</v>
      </c>
      <c r="AO44" s="6" t="str">
        <f t="shared" si="18"/>
        <v>-</v>
      </c>
      <c r="AP44" s="4" t="str">
        <f t="shared" si="23"/>
        <v>-</v>
      </c>
      <c r="AQ44" s="4" t="str">
        <f t="shared" si="19"/>
        <v>-</v>
      </c>
      <c r="AR44" s="4" t="str">
        <f t="shared" si="20"/>
        <v>-</v>
      </c>
      <c r="AS44" s="4" t="s">
        <v>335</v>
      </c>
      <c r="AT44" s="4" t="s">
        <v>530</v>
      </c>
      <c r="AU44" s="4"/>
      <c r="AV44" s="4"/>
      <c r="AW44" s="4" t="s">
        <v>508</v>
      </c>
      <c r="AX44" s="4">
        <v>4064</v>
      </c>
      <c r="AY44" s="4">
        <f t="shared" si="39"/>
        <v>4064</v>
      </c>
      <c r="AZ44" s="19">
        <v>4</v>
      </c>
      <c r="BA44" s="19">
        <v>1</v>
      </c>
      <c r="BB44" s="16">
        <v>610</v>
      </c>
      <c r="BC44">
        <v>4454</v>
      </c>
      <c r="BD44">
        <f t="shared" si="21"/>
        <v>5344.8</v>
      </c>
      <c r="BE44">
        <v>6174</v>
      </c>
      <c r="BF44">
        <f t="shared" si="22"/>
        <v>7408.7999999999993</v>
      </c>
      <c r="BG44" t="s">
        <v>379</v>
      </c>
    </row>
    <row r="45" spans="1:59" x14ac:dyDescent="0.4">
      <c r="A45" t="str">
        <f t="shared" si="17"/>
        <v>J602PW</v>
      </c>
      <c r="B45" s="37">
        <v>127</v>
      </c>
      <c r="C45" s="3">
        <v>127</v>
      </c>
      <c r="D45" s="4" t="s">
        <v>129</v>
      </c>
      <c r="E45" s="4" t="str">
        <f t="shared" si="24"/>
        <v>J602PW</v>
      </c>
      <c r="F45" s="4" t="s">
        <v>129</v>
      </c>
      <c r="G45" s="4" t="str">
        <f t="shared" si="25"/>
        <v>J602PW5</v>
      </c>
      <c r="H45" s="4" t="s">
        <v>272</v>
      </c>
      <c r="I45" s="5">
        <v>4905009520282</v>
      </c>
      <c r="J45" s="5">
        <v>5</v>
      </c>
      <c r="K45" s="5"/>
      <c r="L45" s="5">
        <v>1</v>
      </c>
      <c r="M45" s="5">
        <v>1</v>
      </c>
      <c r="N45" s="4">
        <v>0</v>
      </c>
      <c r="O45" s="4">
        <v>5191</v>
      </c>
      <c r="P45" s="4">
        <v>3150</v>
      </c>
      <c r="Q45" s="6">
        <f t="shared" si="26"/>
        <v>0.39318050471970722</v>
      </c>
      <c r="R45" s="4" t="s">
        <v>338</v>
      </c>
      <c r="S45" s="4" t="s">
        <v>338</v>
      </c>
      <c r="T45" s="4" t="s">
        <v>338</v>
      </c>
      <c r="U45" s="4">
        <v>0</v>
      </c>
      <c r="V45" s="4">
        <f t="shared" si="27"/>
        <v>0</v>
      </c>
      <c r="W45" s="4">
        <v>3466</v>
      </c>
      <c r="X45" s="4">
        <f t="shared" si="28"/>
        <v>3466</v>
      </c>
      <c r="Y45" s="4"/>
      <c r="Z45" s="21">
        <f t="shared" si="29"/>
        <v>5712</v>
      </c>
      <c r="AA45" s="6">
        <f t="shared" si="30"/>
        <v>0.39320728291316531</v>
      </c>
      <c r="AB45" s="4">
        <v>0.25</v>
      </c>
      <c r="AC45" s="4">
        <f t="shared" si="31"/>
        <v>4626</v>
      </c>
      <c r="AD45" s="4">
        <f t="shared" si="32"/>
        <v>5090.0685714285719</v>
      </c>
      <c r="AE45" s="6">
        <f t="shared" si="33"/>
        <v>0.31906614785992227</v>
      </c>
      <c r="AF45" s="7">
        <v>5080</v>
      </c>
      <c r="AG45" s="6">
        <f t="shared" si="34"/>
        <v>0.31771653543307088</v>
      </c>
      <c r="AH45" s="38">
        <f t="shared" si="35"/>
        <v>1614</v>
      </c>
      <c r="AI45" s="28"/>
      <c r="AJ45" s="6"/>
      <c r="AK45" s="6"/>
      <c r="AL45" s="6" t="str">
        <f t="shared" si="36"/>
        <v>-</v>
      </c>
      <c r="AM45" s="6">
        <f t="shared" si="37"/>
        <v>0.97861683683298017</v>
      </c>
      <c r="AN45" s="6">
        <f t="shared" si="38"/>
        <v>1.1003174603174604</v>
      </c>
      <c r="AO45" s="6" t="str">
        <f t="shared" si="18"/>
        <v>-</v>
      </c>
      <c r="AP45" s="4" t="str">
        <f t="shared" si="23"/>
        <v>-</v>
      </c>
      <c r="AQ45" s="4" t="str">
        <f t="shared" si="19"/>
        <v>-</v>
      </c>
      <c r="AR45" s="4" t="str">
        <f t="shared" si="20"/>
        <v>-</v>
      </c>
      <c r="AS45" s="4">
        <v>0</v>
      </c>
      <c r="AT45" s="4" t="s">
        <v>531</v>
      </c>
      <c r="AU45" s="4"/>
      <c r="AV45" s="4"/>
      <c r="AW45" s="4" t="s">
        <v>489</v>
      </c>
      <c r="AX45" s="4">
        <v>4626</v>
      </c>
      <c r="AY45" s="4">
        <f t="shared" si="39"/>
        <v>4626</v>
      </c>
      <c r="AZ45" s="19">
        <v>2</v>
      </c>
      <c r="BA45" s="19">
        <v>8</v>
      </c>
      <c r="BB45" s="16">
        <v>610</v>
      </c>
      <c r="BC45" t="s">
        <v>338</v>
      </c>
      <c r="BD45" t="str">
        <f t="shared" si="21"/>
        <v>-</v>
      </c>
      <c r="BE45">
        <v>4626</v>
      </c>
      <c r="BF45">
        <f t="shared" si="22"/>
        <v>5090.0685714285719</v>
      </c>
      <c r="BG45" t="s">
        <v>380</v>
      </c>
    </row>
    <row r="46" spans="1:59" x14ac:dyDescent="0.4">
      <c r="A46" t="str">
        <f t="shared" si="17"/>
        <v>663878</v>
      </c>
      <c r="B46" s="3">
        <v>169</v>
      </c>
      <c r="C46" s="3">
        <v>169</v>
      </c>
      <c r="D46" s="4">
        <v>663878</v>
      </c>
      <c r="E46" s="4" t="str">
        <f t="shared" si="24"/>
        <v>663878</v>
      </c>
      <c r="F46" s="4">
        <v>663878</v>
      </c>
      <c r="G46" s="4" t="str">
        <f t="shared" si="25"/>
        <v>6638785</v>
      </c>
      <c r="H46" s="4" t="s">
        <v>313</v>
      </c>
      <c r="I46" s="5">
        <v>4905009542604</v>
      </c>
      <c r="J46" s="5">
        <v>5</v>
      </c>
      <c r="K46" s="5"/>
      <c r="L46" s="5">
        <v>1</v>
      </c>
      <c r="M46" s="5">
        <v>1</v>
      </c>
      <c r="N46" s="4">
        <v>0</v>
      </c>
      <c r="O46" s="4">
        <v>5910</v>
      </c>
      <c r="P46" s="4">
        <v>3800</v>
      </c>
      <c r="Q46" s="6">
        <f t="shared" si="26"/>
        <v>0.35702199661590528</v>
      </c>
      <c r="R46" s="4" t="s">
        <v>338</v>
      </c>
      <c r="S46" s="4" t="s">
        <v>338</v>
      </c>
      <c r="T46" s="4" t="s">
        <v>338</v>
      </c>
      <c r="U46" s="4">
        <v>0</v>
      </c>
      <c r="V46" s="4">
        <f t="shared" si="27"/>
        <v>0</v>
      </c>
      <c r="W46" s="4">
        <v>4561</v>
      </c>
      <c r="X46" s="4">
        <f t="shared" si="28"/>
        <v>4561</v>
      </c>
      <c r="Y46" s="4"/>
      <c r="Z46" s="21">
        <f t="shared" si="29"/>
        <v>7094</v>
      </c>
      <c r="AA46" s="6">
        <f t="shared" si="30"/>
        <v>0.35706230617423174</v>
      </c>
      <c r="AB46" s="4">
        <v>1.25</v>
      </c>
      <c r="AC46" s="4">
        <f t="shared" si="31"/>
        <v>6628</v>
      </c>
      <c r="AD46" s="4">
        <f t="shared" si="32"/>
        <v>7955.3442105263166</v>
      </c>
      <c r="AE46" s="6">
        <f t="shared" si="33"/>
        <v>0.42667471333735674</v>
      </c>
      <c r="AF46" s="7">
        <v>7100</v>
      </c>
      <c r="AG46" s="6">
        <f t="shared" si="34"/>
        <v>0.35760563380281685</v>
      </c>
      <c r="AH46" s="4">
        <f t="shared" si="35"/>
        <v>2539</v>
      </c>
      <c r="AI46" s="28"/>
      <c r="AJ46" s="6"/>
      <c r="AK46" s="6"/>
      <c r="AL46" s="6" t="str">
        <f t="shared" si="36"/>
        <v>-</v>
      </c>
      <c r="AM46" s="6">
        <f t="shared" si="37"/>
        <v>1.2013536379018612</v>
      </c>
      <c r="AN46" s="6">
        <f t="shared" si="38"/>
        <v>1.2002631578947369</v>
      </c>
      <c r="AO46" s="6" t="str">
        <f t="shared" si="18"/>
        <v>-</v>
      </c>
      <c r="AP46" s="4" t="str">
        <f t="shared" si="23"/>
        <v>-</v>
      </c>
      <c r="AQ46" s="4" t="str">
        <f t="shared" si="19"/>
        <v>-</v>
      </c>
      <c r="AR46" s="4" t="str">
        <f t="shared" si="20"/>
        <v>-</v>
      </c>
      <c r="AS46" s="4" t="s">
        <v>335</v>
      </c>
      <c r="AT46" s="4" t="s">
        <v>532</v>
      </c>
      <c r="AU46" s="4"/>
      <c r="AV46" s="4"/>
      <c r="AW46" s="4" t="s">
        <v>508</v>
      </c>
      <c r="AX46" s="4">
        <v>6628</v>
      </c>
      <c r="AY46" s="4">
        <f t="shared" si="39"/>
        <v>6628</v>
      </c>
      <c r="AZ46" s="19">
        <v>4</v>
      </c>
      <c r="BA46" s="19">
        <v>1</v>
      </c>
      <c r="BB46" s="16">
        <v>610</v>
      </c>
      <c r="BC46">
        <v>5920</v>
      </c>
      <c r="BD46">
        <f t="shared" si="21"/>
        <v>7105.5578947368422</v>
      </c>
      <c r="BE46">
        <v>9258</v>
      </c>
      <c r="BF46">
        <f t="shared" si="22"/>
        <v>11112.036315789474</v>
      </c>
      <c r="BG46" t="s">
        <v>381</v>
      </c>
    </row>
    <row r="47" spans="1:59" x14ac:dyDescent="0.4">
      <c r="A47" t="str">
        <f t="shared" si="17"/>
        <v>663880</v>
      </c>
      <c r="B47" s="3">
        <v>170</v>
      </c>
      <c r="C47" s="3">
        <v>170</v>
      </c>
      <c r="D47" s="4">
        <v>663880</v>
      </c>
      <c r="E47" s="4" t="str">
        <f t="shared" si="24"/>
        <v>663880</v>
      </c>
      <c r="F47" s="4">
        <v>663880</v>
      </c>
      <c r="G47" s="4" t="str">
        <f t="shared" si="25"/>
        <v>6638805</v>
      </c>
      <c r="H47" s="4" t="s">
        <v>314</v>
      </c>
      <c r="I47" s="5">
        <v>4905009542611</v>
      </c>
      <c r="J47" s="5">
        <v>5</v>
      </c>
      <c r="K47" s="5"/>
      <c r="L47" s="5">
        <v>1</v>
      </c>
      <c r="M47" s="5">
        <v>1</v>
      </c>
      <c r="N47" s="4">
        <v>0</v>
      </c>
      <c r="O47" s="4">
        <v>5910</v>
      </c>
      <c r="P47" s="4">
        <v>3800</v>
      </c>
      <c r="Q47" s="6">
        <f t="shared" si="26"/>
        <v>0.35702199661590528</v>
      </c>
      <c r="R47" s="4" t="s">
        <v>338</v>
      </c>
      <c r="S47" s="4" t="s">
        <v>338</v>
      </c>
      <c r="T47" s="4" t="s">
        <v>338</v>
      </c>
      <c r="U47" s="4">
        <v>0</v>
      </c>
      <c r="V47" s="4">
        <f t="shared" si="27"/>
        <v>0</v>
      </c>
      <c r="W47" s="4">
        <v>4561</v>
      </c>
      <c r="X47" s="4">
        <f t="shared" si="28"/>
        <v>4561</v>
      </c>
      <c r="Y47" s="4"/>
      <c r="Z47" s="21">
        <f t="shared" si="29"/>
        <v>7094</v>
      </c>
      <c r="AA47" s="6">
        <f t="shared" si="30"/>
        <v>0.35706230617423174</v>
      </c>
      <c r="AB47" s="4">
        <v>2.25</v>
      </c>
      <c r="AC47" s="4">
        <f t="shared" si="31"/>
        <v>5137</v>
      </c>
      <c r="AD47" s="4">
        <f t="shared" si="32"/>
        <v>6165.7518421052637</v>
      </c>
      <c r="AE47" s="6">
        <f t="shared" si="33"/>
        <v>0.26026863928362864</v>
      </c>
      <c r="AF47" s="7">
        <v>7100</v>
      </c>
      <c r="AG47" s="6">
        <f t="shared" si="34"/>
        <v>0.35760563380281685</v>
      </c>
      <c r="AH47" s="4">
        <f t="shared" si="35"/>
        <v>2539</v>
      </c>
      <c r="AI47" s="28"/>
      <c r="AJ47" s="6"/>
      <c r="AK47" s="6"/>
      <c r="AL47" s="6" t="str">
        <f t="shared" si="36"/>
        <v>-</v>
      </c>
      <c r="AM47" s="6">
        <f t="shared" si="37"/>
        <v>1.2013536379018612</v>
      </c>
      <c r="AN47" s="6">
        <f t="shared" si="38"/>
        <v>1.2002631578947369</v>
      </c>
      <c r="AO47" s="6" t="str">
        <f t="shared" si="18"/>
        <v>-</v>
      </c>
      <c r="AP47" s="4" t="str">
        <f t="shared" si="23"/>
        <v>-</v>
      </c>
      <c r="AQ47" s="4" t="str">
        <f t="shared" si="19"/>
        <v>-</v>
      </c>
      <c r="AR47" s="4" t="str">
        <f t="shared" si="20"/>
        <v>-</v>
      </c>
      <c r="AS47" s="4" t="s">
        <v>335</v>
      </c>
      <c r="AT47" s="4" t="s">
        <v>533</v>
      </c>
      <c r="AU47" s="4"/>
      <c r="AV47" s="4"/>
      <c r="AW47" s="4" t="s">
        <v>508</v>
      </c>
      <c r="AX47" s="4">
        <v>5137</v>
      </c>
      <c r="AY47" s="4">
        <f t="shared" si="39"/>
        <v>5137</v>
      </c>
      <c r="AZ47" s="19">
        <v>4</v>
      </c>
      <c r="BA47" s="19">
        <v>1</v>
      </c>
      <c r="BB47" s="16">
        <v>610</v>
      </c>
      <c r="BC47" t="s">
        <v>338</v>
      </c>
      <c r="BD47" t="str">
        <f t="shared" si="21"/>
        <v>-</v>
      </c>
      <c r="BE47">
        <v>9258</v>
      </c>
      <c r="BF47">
        <f t="shared" si="22"/>
        <v>11112.036315789474</v>
      </c>
      <c r="BG47" t="s">
        <v>382</v>
      </c>
    </row>
    <row r="48" spans="1:59" x14ac:dyDescent="0.4">
      <c r="A48" t="str">
        <f t="shared" si="17"/>
        <v>J134SG</v>
      </c>
      <c r="B48" s="3">
        <v>167</v>
      </c>
      <c r="C48" s="3">
        <v>167</v>
      </c>
      <c r="D48" s="4" t="s">
        <v>145</v>
      </c>
      <c r="E48" s="4" t="str">
        <f t="shared" si="24"/>
        <v>J134SG</v>
      </c>
      <c r="F48" s="4" t="s">
        <v>145</v>
      </c>
      <c r="G48" s="4" t="str">
        <f t="shared" si="25"/>
        <v>J134SG5</v>
      </c>
      <c r="H48" s="4" t="s">
        <v>311</v>
      </c>
      <c r="I48" s="5">
        <v>4905009720453</v>
      </c>
      <c r="J48" s="5">
        <v>5</v>
      </c>
      <c r="K48" s="5"/>
      <c r="L48" s="5">
        <v>1</v>
      </c>
      <c r="M48" s="5">
        <v>1</v>
      </c>
      <c r="N48" s="4">
        <v>0</v>
      </c>
      <c r="O48" s="4">
        <v>6634</v>
      </c>
      <c r="P48" s="4">
        <v>4500</v>
      </c>
      <c r="Q48" s="6">
        <f t="shared" si="26"/>
        <v>0.32167621344588482</v>
      </c>
      <c r="R48" s="4" t="s">
        <v>338</v>
      </c>
      <c r="S48" s="4" t="s">
        <v>338</v>
      </c>
      <c r="T48" s="4" t="s">
        <v>338</v>
      </c>
      <c r="U48" s="4">
        <v>0</v>
      </c>
      <c r="V48" s="4">
        <f t="shared" si="27"/>
        <v>0</v>
      </c>
      <c r="W48" s="4">
        <v>5401</v>
      </c>
      <c r="X48" s="4">
        <f t="shared" si="28"/>
        <v>5401</v>
      </c>
      <c r="Y48" s="4"/>
      <c r="Z48" s="21">
        <f t="shared" si="29"/>
        <v>7962</v>
      </c>
      <c r="AA48" s="6">
        <f t="shared" si="30"/>
        <v>0.32165285104245167</v>
      </c>
      <c r="AB48" s="4">
        <v>0.25</v>
      </c>
      <c r="AC48" s="4">
        <f t="shared" si="31"/>
        <v>8255</v>
      </c>
      <c r="AD48" s="4">
        <f t="shared" si="32"/>
        <v>9907.8344444444447</v>
      </c>
      <c r="AE48" s="6">
        <f t="shared" si="33"/>
        <v>0.45487583282858879</v>
      </c>
      <c r="AF48" s="7">
        <v>8480</v>
      </c>
      <c r="AG48" s="6">
        <f t="shared" si="34"/>
        <v>0.36308962264150946</v>
      </c>
      <c r="AH48" s="4">
        <f t="shared" si="35"/>
        <v>3079</v>
      </c>
      <c r="AI48" s="28"/>
      <c r="AJ48" s="6"/>
      <c r="AK48" s="6"/>
      <c r="AL48" s="6" t="str">
        <f t="shared" si="36"/>
        <v>-</v>
      </c>
      <c r="AM48" s="6">
        <f t="shared" si="37"/>
        <v>1.2782634911064215</v>
      </c>
      <c r="AN48" s="6">
        <f t="shared" si="38"/>
        <v>1.2002222222222223</v>
      </c>
      <c r="AO48" s="6" t="str">
        <f t="shared" si="18"/>
        <v>-</v>
      </c>
      <c r="AP48" s="4" t="str">
        <f t="shared" si="23"/>
        <v>-</v>
      </c>
      <c r="AQ48" s="4" t="str">
        <f t="shared" si="19"/>
        <v>-</v>
      </c>
      <c r="AR48" s="4" t="str">
        <f t="shared" si="20"/>
        <v>-</v>
      </c>
      <c r="AS48" s="4">
        <v>0</v>
      </c>
      <c r="AT48" s="4" t="s">
        <v>534</v>
      </c>
      <c r="AU48" s="4"/>
      <c r="AV48" s="4"/>
      <c r="AW48" s="4" t="s">
        <v>508</v>
      </c>
      <c r="AX48" s="4">
        <v>8255</v>
      </c>
      <c r="AY48" s="4">
        <f t="shared" si="39"/>
        <v>8255</v>
      </c>
      <c r="AZ48" s="19">
        <v>4</v>
      </c>
      <c r="BA48" s="19">
        <v>1</v>
      </c>
      <c r="BB48" s="16">
        <v>610</v>
      </c>
      <c r="BC48">
        <v>7116</v>
      </c>
      <c r="BD48">
        <f t="shared" si="21"/>
        <v>8540.7813333333343</v>
      </c>
      <c r="BE48">
        <v>9112</v>
      </c>
      <c r="BF48">
        <f t="shared" si="22"/>
        <v>10936.424888888889</v>
      </c>
      <c r="BG48" t="s">
        <v>383</v>
      </c>
    </row>
    <row r="49" spans="1:59" x14ac:dyDescent="0.4">
      <c r="A49" t="str">
        <f t="shared" si="17"/>
        <v>J981WK</v>
      </c>
      <c r="B49" s="3">
        <v>168</v>
      </c>
      <c r="C49" s="3">
        <v>168</v>
      </c>
      <c r="D49" s="4" t="s">
        <v>146</v>
      </c>
      <c r="E49" s="4" t="str">
        <f t="shared" si="24"/>
        <v>J981WK</v>
      </c>
      <c r="F49" s="4" t="s">
        <v>146</v>
      </c>
      <c r="G49" s="4" t="str">
        <f t="shared" si="25"/>
        <v>J981WK5</v>
      </c>
      <c r="H49" s="4" t="s">
        <v>312</v>
      </c>
      <c r="I49" s="5">
        <v>4905009720446</v>
      </c>
      <c r="J49" s="5">
        <v>5</v>
      </c>
      <c r="K49" s="5"/>
      <c r="L49" s="5">
        <v>1</v>
      </c>
      <c r="M49" s="5">
        <v>1</v>
      </c>
      <c r="N49" s="4">
        <v>0</v>
      </c>
      <c r="O49" s="4">
        <v>7110</v>
      </c>
      <c r="P49" s="4">
        <v>4500</v>
      </c>
      <c r="Q49" s="6">
        <f t="shared" si="26"/>
        <v>0.36708860759493667</v>
      </c>
      <c r="R49" s="4" t="s">
        <v>338</v>
      </c>
      <c r="S49" s="4" t="s">
        <v>338</v>
      </c>
      <c r="T49" s="4" t="s">
        <v>338</v>
      </c>
      <c r="U49" s="4">
        <v>0</v>
      </c>
      <c r="V49" s="4">
        <f t="shared" si="27"/>
        <v>0</v>
      </c>
      <c r="W49" s="4">
        <v>5401</v>
      </c>
      <c r="X49" s="4">
        <f t="shared" si="28"/>
        <v>5401</v>
      </c>
      <c r="Y49" s="4"/>
      <c r="Z49" s="21">
        <f t="shared" si="29"/>
        <v>8534</v>
      </c>
      <c r="AA49" s="6">
        <f t="shared" si="30"/>
        <v>0.36711975626904148</v>
      </c>
      <c r="AB49" s="4">
        <v>0.5</v>
      </c>
      <c r="AC49" s="4">
        <f t="shared" si="31"/>
        <v>7582</v>
      </c>
      <c r="AD49" s="4">
        <f t="shared" si="32"/>
        <v>9100.0848888888886</v>
      </c>
      <c r="AE49" s="6">
        <f t="shared" si="33"/>
        <v>0.40648905302031124</v>
      </c>
      <c r="AF49" s="7">
        <v>8480</v>
      </c>
      <c r="AG49" s="6">
        <f t="shared" si="34"/>
        <v>0.36308962264150946</v>
      </c>
      <c r="AH49" s="4">
        <f t="shared" si="35"/>
        <v>3079</v>
      </c>
      <c r="AI49" s="28"/>
      <c r="AJ49" s="6"/>
      <c r="AK49" s="6"/>
      <c r="AL49" s="6" t="str">
        <f t="shared" si="36"/>
        <v>-</v>
      </c>
      <c r="AM49" s="6">
        <f t="shared" si="37"/>
        <v>1.1926863572433193</v>
      </c>
      <c r="AN49" s="6">
        <f t="shared" si="38"/>
        <v>1.2002222222222223</v>
      </c>
      <c r="AO49" s="6" t="str">
        <f t="shared" si="18"/>
        <v>-</v>
      </c>
      <c r="AP49" s="4" t="str">
        <f t="shared" si="23"/>
        <v>-</v>
      </c>
      <c r="AQ49" s="4" t="str">
        <f t="shared" si="19"/>
        <v>-</v>
      </c>
      <c r="AR49" s="4" t="str">
        <f t="shared" si="20"/>
        <v>-</v>
      </c>
      <c r="AS49" s="4">
        <v>0</v>
      </c>
      <c r="AT49" s="4" t="s">
        <v>535</v>
      </c>
      <c r="AU49" s="4"/>
      <c r="AV49" s="4"/>
      <c r="AW49" s="4" t="s">
        <v>508</v>
      </c>
      <c r="AX49" s="4">
        <v>7582</v>
      </c>
      <c r="AY49" s="4">
        <f t="shared" si="39"/>
        <v>7582</v>
      </c>
      <c r="AZ49" s="19">
        <v>4</v>
      </c>
      <c r="BA49" s="19">
        <v>1</v>
      </c>
      <c r="BB49" s="16">
        <v>610</v>
      </c>
      <c r="BC49">
        <v>7116</v>
      </c>
      <c r="BD49">
        <f t="shared" si="21"/>
        <v>8540.7813333333343</v>
      </c>
      <c r="BE49">
        <v>9112</v>
      </c>
      <c r="BF49">
        <f t="shared" si="22"/>
        <v>10936.424888888889</v>
      </c>
      <c r="BG49" t="s">
        <v>384</v>
      </c>
    </row>
    <row r="50" spans="1:59" x14ac:dyDescent="0.4">
      <c r="A50" t="str">
        <f t="shared" si="17"/>
        <v>J589PW</v>
      </c>
      <c r="B50" s="3">
        <v>117</v>
      </c>
      <c r="C50" s="3">
        <v>117</v>
      </c>
      <c r="D50" s="4" t="s">
        <v>119</v>
      </c>
      <c r="E50" s="4" t="str">
        <f t="shared" si="24"/>
        <v>J589PW</v>
      </c>
      <c r="F50" s="4" t="s">
        <v>119</v>
      </c>
      <c r="G50" s="4" t="str">
        <f t="shared" si="25"/>
        <v>J589PW5</v>
      </c>
      <c r="H50" s="4" t="s">
        <v>262</v>
      </c>
      <c r="I50" s="5">
        <v>4905009796878</v>
      </c>
      <c r="J50" s="5">
        <v>5</v>
      </c>
      <c r="K50" s="5"/>
      <c r="L50" s="5">
        <v>1</v>
      </c>
      <c r="M50" s="5">
        <v>1</v>
      </c>
      <c r="N50" s="4">
        <v>0</v>
      </c>
      <c r="O50" s="4">
        <v>2126</v>
      </c>
      <c r="P50" s="4">
        <v>1290</v>
      </c>
      <c r="Q50" s="6">
        <f t="shared" si="26"/>
        <v>0.39322671683913457</v>
      </c>
      <c r="R50" s="4" t="s">
        <v>338</v>
      </c>
      <c r="S50" s="4" t="s">
        <v>338</v>
      </c>
      <c r="T50" s="4" t="s">
        <v>338</v>
      </c>
      <c r="U50" s="4">
        <v>0</v>
      </c>
      <c r="V50" s="4">
        <f t="shared" si="27"/>
        <v>0</v>
      </c>
      <c r="W50" s="4">
        <v>1419</v>
      </c>
      <c r="X50" s="4">
        <f t="shared" si="28"/>
        <v>1419</v>
      </c>
      <c r="Y50" s="4"/>
      <c r="Z50" s="21">
        <f t="shared" si="29"/>
        <v>2339</v>
      </c>
      <c r="AA50" s="6">
        <f t="shared" si="30"/>
        <v>0.39333048311244123</v>
      </c>
      <c r="AB50" s="4">
        <v>0.25</v>
      </c>
      <c r="AC50" s="4">
        <f t="shared" si="31"/>
        <v>2280</v>
      </c>
      <c r="AD50" s="4">
        <f t="shared" si="32"/>
        <v>2508</v>
      </c>
      <c r="AE50" s="6">
        <f t="shared" si="33"/>
        <v>0.43421052631578949</v>
      </c>
      <c r="AF50" s="7">
        <v>2350</v>
      </c>
      <c r="AG50" s="6">
        <f t="shared" si="34"/>
        <v>0.39617021276595743</v>
      </c>
      <c r="AH50" s="4">
        <f t="shared" si="35"/>
        <v>931</v>
      </c>
      <c r="AI50" s="28"/>
      <c r="AJ50" s="6"/>
      <c r="AK50" s="6"/>
      <c r="AL50" s="6" t="str">
        <f t="shared" si="36"/>
        <v>-</v>
      </c>
      <c r="AM50" s="6">
        <f t="shared" si="37"/>
        <v>1.1053621825023519</v>
      </c>
      <c r="AN50" s="6">
        <f t="shared" si="38"/>
        <v>1.1000000000000001</v>
      </c>
      <c r="AO50" s="6" t="str">
        <f t="shared" si="18"/>
        <v>-</v>
      </c>
      <c r="AP50" s="4" t="str">
        <f t="shared" si="23"/>
        <v>-</v>
      </c>
      <c r="AQ50" s="4" t="str">
        <f t="shared" si="19"/>
        <v>-</v>
      </c>
      <c r="AR50" s="4" t="str">
        <f t="shared" si="20"/>
        <v>-</v>
      </c>
      <c r="AS50" s="4">
        <v>0</v>
      </c>
      <c r="AT50" s="4" t="s">
        <v>536</v>
      </c>
      <c r="AU50" s="4"/>
      <c r="AV50" s="4"/>
      <c r="AW50" s="4" t="s">
        <v>489</v>
      </c>
      <c r="AX50" s="4">
        <v>2280</v>
      </c>
      <c r="AY50" s="4">
        <f t="shared" si="39"/>
        <v>2280</v>
      </c>
      <c r="AZ50" s="19">
        <v>4</v>
      </c>
      <c r="BA50" s="19">
        <v>8</v>
      </c>
      <c r="BB50" s="16">
        <v>635</v>
      </c>
      <c r="BC50" t="s">
        <v>338</v>
      </c>
      <c r="BD50" t="str">
        <f t="shared" si="21"/>
        <v>-</v>
      </c>
      <c r="BE50" t="s">
        <v>338</v>
      </c>
      <c r="BF50" t="str">
        <f t="shared" si="22"/>
        <v>-</v>
      </c>
      <c r="BG50" t="s">
        <v>385</v>
      </c>
    </row>
    <row r="51" spans="1:59" x14ac:dyDescent="0.4">
      <c r="A51" t="str">
        <f t="shared" si="17"/>
        <v>J590PW</v>
      </c>
      <c r="B51" s="3">
        <v>120</v>
      </c>
      <c r="C51" s="3">
        <v>120</v>
      </c>
      <c r="D51" s="4" t="s">
        <v>122</v>
      </c>
      <c r="E51" s="4" t="str">
        <f t="shared" si="24"/>
        <v>J590PW</v>
      </c>
      <c r="F51" s="4" t="s">
        <v>122</v>
      </c>
      <c r="G51" s="4" t="str">
        <f t="shared" si="25"/>
        <v>J590PW5</v>
      </c>
      <c r="H51" s="4" t="s">
        <v>265</v>
      </c>
      <c r="I51" s="5">
        <v>4905009796885</v>
      </c>
      <c r="J51" s="5">
        <v>5</v>
      </c>
      <c r="K51" s="5"/>
      <c r="L51" s="5">
        <v>1</v>
      </c>
      <c r="M51" s="5">
        <v>1</v>
      </c>
      <c r="N51" s="4">
        <v>0</v>
      </c>
      <c r="O51" s="4">
        <v>2521</v>
      </c>
      <c r="P51" s="4">
        <v>1530</v>
      </c>
      <c r="Q51" s="6">
        <f t="shared" si="26"/>
        <v>0.39309797699325666</v>
      </c>
      <c r="R51" s="4" t="s">
        <v>338</v>
      </c>
      <c r="S51" s="4" t="s">
        <v>338</v>
      </c>
      <c r="T51" s="4" t="s">
        <v>338</v>
      </c>
      <c r="U51" s="4">
        <v>0</v>
      </c>
      <c r="V51" s="4">
        <f t="shared" si="27"/>
        <v>0</v>
      </c>
      <c r="W51" s="4">
        <v>1683</v>
      </c>
      <c r="X51" s="4">
        <f t="shared" si="28"/>
        <v>1683</v>
      </c>
      <c r="Y51" s="4"/>
      <c r="Z51" s="21">
        <f t="shared" si="29"/>
        <v>2773</v>
      </c>
      <c r="AA51" s="6">
        <f t="shared" si="30"/>
        <v>0.39307609087630724</v>
      </c>
      <c r="AB51" s="4">
        <v>0.25</v>
      </c>
      <c r="AC51" s="4">
        <f t="shared" si="31"/>
        <v>2982</v>
      </c>
      <c r="AD51" s="4">
        <f t="shared" si="32"/>
        <v>3280.2000000000003</v>
      </c>
      <c r="AE51" s="6">
        <f t="shared" si="33"/>
        <v>0.48692152917505038</v>
      </c>
      <c r="AF51" s="7">
        <v>2780</v>
      </c>
      <c r="AG51" s="6">
        <f t="shared" si="34"/>
        <v>0.39460431654676253</v>
      </c>
      <c r="AH51" s="4">
        <f t="shared" si="35"/>
        <v>1097</v>
      </c>
      <c r="AI51" s="28"/>
      <c r="AJ51" s="6"/>
      <c r="AK51" s="6"/>
      <c r="AL51" s="6" t="str">
        <f t="shared" si="36"/>
        <v>-</v>
      </c>
      <c r="AM51" s="6">
        <f t="shared" si="37"/>
        <v>1.1027370091233637</v>
      </c>
      <c r="AN51" s="6">
        <f t="shared" si="38"/>
        <v>1.1000000000000001</v>
      </c>
      <c r="AO51" s="6" t="str">
        <f t="shared" si="18"/>
        <v>-</v>
      </c>
      <c r="AP51" s="4" t="str">
        <f t="shared" si="23"/>
        <v>-</v>
      </c>
      <c r="AQ51" s="4" t="str">
        <f t="shared" si="19"/>
        <v>-</v>
      </c>
      <c r="AR51" s="4" t="str">
        <f t="shared" si="20"/>
        <v>-</v>
      </c>
      <c r="AS51" s="4">
        <v>0</v>
      </c>
      <c r="AT51" s="4" t="s">
        <v>537</v>
      </c>
      <c r="AU51" s="4"/>
      <c r="AV51" s="4"/>
      <c r="AW51" s="4" t="s">
        <v>489</v>
      </c>
      <c r="AX51" s="4">
        <v>2982</v>
      </c>
      <c r="AY51" s="4">
        <f t="shared" si="39"/>
        <v>2982</v>
      </c>
      <c r="AZ51" s="19">
        <v>4</v>
      </c>
      <c r="BA51" s="19">
        <v>8</v>
      </c>
      <c r="BB51" s="16">
        <v>635</v>
      </c>
      <c r="BC51" t="s">
        <v>338</v>
      </c>
      <c r="BD51" t="str">
        <f t="shared" si="21"/>
        <v>-</v>
      </c>
      <c r="BE51">
        <v>2648</v>
      </c>
      <c r="BF51">
        <f t="shared" si="22"/>
        <v>2912.8</v>
      </c>
      <c r="BG51" t="s">
        <v>386</v>
      </c>
    </row>
    <row r="52" spans="1:59" x14ac:dyDescent="0.4">
      <c r="A52" t="str">
        <f t="shared" si="17"/>
        <v>J783HH</v>
      </c>
      <c r="B52" s="3">
        <v>135</v>
      </c>
      <c r="C52" s="3">
        <v>135</v>
      </c>
      <c r="D52" s="4" t="s">
        <v>133</v>
      </c>
      <c r="E52" s="4" t="str">
        <f t="shared" si="24"/>
        <v>J783HH</v>
      </c>
      <c r="F52" s="4" t="s">
        <v>133</v>
      </c>
      <c r="G52" s="4" t="str">
        <f t="shared" si="25"/>
        <v>J783HH5</v>
      </c>
      <c r="H52" s="4" t="s">
        <v>280</v>
      </c>
      <c r="I52" s="5">
        <v>4905009005260</v>
      </c>
      <c r="J52" s="5">
        <v>5</v>
      </c>
      <c r="K52" s="5"/>
      <c r="L52" s="5">
        <v>1</v>
      </c>
      <c r="M52" s="5">
        <v>1</v>
      </c>
      <c r="N52" s="4">
        <v>0</v>
      </c>
      <c r="O52" s="4">
        <v>2575</v>
      </c>
      <c r="P52" s="4">
        <v>1900</v>
      </c>
      <c r="Q52" s="6">
        <f t="shared" si="26"/>
        <v>0.26213592233009708</v>
      </c>
      <c r="R52" s="4" t="s">
        <v>338</v>
      </c>
      <c r="S52" s="4" t="s">
        <v>338</v>
      </c>
      <c r="T52" s="4" t="s">
        <v>338</v>
      </c>
      <c r="U52" s="4">
        <v>0</v>
      </c>
      <c r="V52" s="4">
        <f t="shared" si="27"/>
        <v>0</v>
      </c>
      <c r="W52" s="4">
        <v>2091</v>
      </c>
      <c r="X52" s="4">
        <f t="shared" si="28"/>
        <v>2091</v>
      </c>
      <c r="Y52" s="4"/>
      <c r="Z52" s="21">
        <f t="shared" si="29"/>
        <v>2834</v>
      </c>
      <c r="AA52" s="6">
        <f t="shared" si="30"/>
        <v>0.2621736062103035</v>
      </c>
      <c r="AB52" s="4">
        <v>1.5</v>
      </c>
      <c r="AC52" s="4">
        <f t="shared" si="31"/>
        <v>2180</v>
      </c>
      <c r="AD52" s="4">
        <f t="shared" si="32"/>
        <v>2399.1473684210523</v>
      </c>
      <c r="AE52" s="6">
        <f t="shared" si="33"/>
        <v>0.12844036697247696</v>
      </c>
      <c r="AF52" s="7">
        <v>3180</v>
      </c>
      <c r="AG52" s="6">
        <f t="shared" si="34"/>
        <v>0.34245283018867922</v>
      </c>
      <c r="AH52" s="4">
        <f t="shared" si="35"/>
        <v>1089</v>
      </c>
      <c r="AI52" s="28"/>
      <c r="AJ52" s="6"/>
      <c r="AK52" s="6"/>
      <c r="AL52" s="6" t="str">
        <f t="shared" si="36"/>
        <v>-</v>
      </c>
      <c r="AM52" s="6">
        <f t="shared" si="37"/>
        <v>1.2349514563106796</v>
      </c>
      <c r="AN52" s="6">
        <f t="shared" si="38"/>
        <v>1.1005263157894736</v>
      </c>
      <c r="AO52" s="6" t="str">
        <f t="shared" si="18"/>
        <v>-</v>
      </c>
      <c r="AP52" s="4" t="str">
        <f t="shared" si="23"/>
        <v>-</v>
      </c>
      <c r="AQ52" s="4" t="str">
        <f t="shared" si="19"/>
        <v>-</v>
      </c>
      <c r="AR52" s="4" t="str">
        <f t="shared" si="20"/>
        <v>-</v>
      </c>
      <c r="AS52" s="4">
        <v>0</v>
      </c>
      <c r="AT52" s="4" t="s">
        <v>538</v>
      </c>
      <c r="AU52" s="4"/>
      <c r="AV52" s="4"/>
      <c r="AW52" s="4" t="s">
        <v>489</v>
      </c>
      <c r="AX52" s="4">
        <v>2180</v>
      </c>
      <c r="AY52" s="4">
        <f t="shared" si="39"/>
        <v>2180</v>
      </c>
      <c r="AZ52" s="19">
        <v>4</v>
      </c>
      <c r="BA52" s="19">
        <v>1</v>
      </c>
      <c r="BB52" s="16">
        <v>635</v>
      </c>
      <c r="BC52">
        <v>3790</v>
      </c>
      <c r="BD52">
        <f t="shared" si="21"/>
        <v>4170.9947368421044</v>
      </c>
      <c r="BE52">
        <v>3421</v>
      </c>
      <c r="BF52">
        <f t="shared" si="22"/>
        <v>3764.9005263157892</v>
      </c>
      <c r="BG52" t="s">
        <v>387</v>
      </c>
    </row>
    <row r="53" spans="1:59" x14ac:dyDescent="0.4">
      <c r="A53" t="str">
        <f t="shared" si="17"/>
        <v>663950</v>
      </c>
      <c r="B53" s="3">
        <v>130</v>
      </c>
      <c r="C53" s="3">
        <v>130</v>
      </c>
      <c r="D53" s="4">
        <v>663950</v>
      </c>
      <c r="E53" s="4" t="str">
        <f t="shared" si="24"/>
        <v>663950</v>
      </c>
      <c r="F53" s="4">
        <v>663950</v>
      </c>
      <c r="G53" s="4" t="str">
        <f t="shared" si="25"/>
        <v>6639505</v>
      </c>
      <c r="H53" s="4" t="s">
        <v>275</v>
      </c>
      <c r="I53" s="5">
        <v>4905009796892</v>
      </c>
      <c r="J53" s="5">
        <v>5</v>
      </c>
      <c r="K53" s="5"/>
      <c r="L53" s="5">
        <v>1</v>
      </c>
      <c r="M53" s="5">
        <v>1</v>
      </c>
      <c r="N53" s="4">
        <v>0</v>
      </c>
      <c r="O53" s="4">
        <v>5116</v>
      </c>
      <c r="P53" s="4">
        <v>3500</v>
      </c>
      <c r="Q53" s="6">
        <f t="shared" si="26"/>
        <v>0.31587177482408135</v>
      </c>
      <c r="R53" s="4" t="s">
        <v>338</v>
      </c>
      <c r="S53" s="4" t="s">
        <v>338</v>
      </c>
      <c r="T53" s="4" t="s">
        <v>338</v>
      </c>
      <c r="U53" s="4">
        <v>0</v>
      </c>
      <c r="V53" s="4">
        <f t="shared" si="27"/>
        <v>0</v>
      </c>
      <c r="W53" s="4">
        <v>3851</v>
      </c>
      <c r="X53" s="4">
        <f t="shared" si="28"/>
        <v>3851</v>
      </c>
      <c r="Y53" s="4"/>
      <c r="Z53" s="21">
        <f t="shared" si="29"/>
        <v>5629</v>
      </c>
      <c r="AA53" s="6">
        <f t="shared" si="30"/>
        <v>0.31586427429383546</v>
      </c>
      <c r="AB53" s="4">
        <v>0.75</v>
      </c>
      <c r="AC53" s="4">
        <f t="shared" si="31"/>
        <v>5771</v>
      </c>
      <c r="AD53" s="4">
        <f t="shared" si="32"/>
        <v>6349.7488571428576</v>
      </c>
      <c r="AE53" s="6">
        <f t="shared" si="33"/>
        <v>0.39351932074163931</v>
      </c>
      <c r="AF53" s="7">
        <v>5980</v>
      </c>
      <c r="AG53" s="6">
        <f t="shared" si="34"/>
        <v>0.35602006688963206</v>
      </c>
      <c r="AH53" s="4">
        <f t="shared" si="35"/>
        <v>2129</v>
      </c>
      <c r="AI53" s="28"/>
      <c r="AJ53" s="6"/>
      <c r="AK53" s="6"/>
      <c r="AL53" s="6" t="str">
        <f t="shared" si="36"/>
        <v>-</v>
      </c>
      <c r="AM53" s="6">
        <f t="shared" si="37"/>
        <v>1.1688819390148553</v>
      </c>
      <c r="AN53" s="6">
        <f t="shared" si="38"/>
        <v>1.1002857142857143</v>
      </c>
      <c r="AO53" s="6" t="str">
        <f t="shared" si="18"/>
        <v>-</v>
      </c>
      <c r="AP53" s="4" t="str">
        <f t="shared" si="23"/>
        <v>-</v>
      </c>
      <c r="AQ53" s="4" t="str">
        <f t="shared" si="19"/>
        <v>-</v>
      </c>
      <c r="AR53" s="4" t="str">
        <f t="shared" si="20"/>
        <v>-</v>
      </c>
      <c r="AS53" s="4" t="s">
        <v>333</v>
      </c>
      <c r="AT53" s="4" t="s">
        <v>539</v>
      </c>
      <c r="AU53" s="4"/>
      <c r="AV53" s="4"/>
      <c r="AW53" s="4" t="s">
        <v>489</v>
      </c>
      <c r="AX53" s="4">
        <v>5771</v>
      </c>
      <c r="AY53" s="4">
        <f t="shared" si="39"/>
        <v>5771</v>
      </c>
      <c r="AZ53" s="19">
        <v>4</v>
      </c>
      <c r="BA53" s="19">
        <v>1</v>
      </c>
      <c r="BB53" s="16">
        <v>635</v>
      </c>
      <c r="BC53" t="s">
        <v>338</v>
      </c>
      <c r="BD53" t="str">
        <f t="shared" si="21"/>
        <v>-</v>
      </c>
      <c r="BE53">
        <v>4528</v>
      </c>
      <c r="BF53">
        <f t="shared" si="22"/>
        <v>4982.0937142857147</v>
      </c>
      <c r="BG53" t="s">
        <v>388</v>
      </c>
    </row>
    <row r="54" spans="1:59" x14ac:dyDescent="0.4">
      <c r="A54" t="str">
        <f t="shared" si="17"/>
        <v>663951</v>
      </c>
      <c r="B54" s="3">
        <v>131</v>
      </c>
      <c r="C54" s="3">
        <v>131</v>
      </c>
      <c r="D54" s="4">
        <v>663951</v>
      </c>
      <c r="E54" s="4" t="str">
        <f t="shared" si="24"/>
        <v>663951</v>
      </c>
      <c r="F54" s="4">
        <v>663951</v>
      </c>
      <c r="G54" s="4" t="str">
        <f t="shared" si="25"/>
        <v>6639515</v>
      </c>
      <c r="H54" s="4" t="s">
        <v>276</v>
      </c>
      <c r="I54" s="5">
        <v>4905009796908</v>
      </c>
      <c r="J54" s="5">
        <v>5</v>
      </c>
      <c r="K54" s="5"/>
      <c r="L54" s="5">
        <v>1</v>
      </c>
      <c r="M54" s="5">
        <v>1</v>
      </c>
      <c r="N54" s="4">
        <v>0</v>
      </c>
      <c r="O54" s="4">
        <v>5116</v>
      </c>
      <c r="P54" s="4">
        <v>3500</v>
      </c>
      <c r="Q54" s="6">
        <f t="shared" si="26"/>
        <v>0.31587177482408135</v>
      </c>
      <c r="R54" s="4" t="s">
        <v>338</v>
      </c>
      <c r="S54" s="4" t="s">
        <v>338</v>
      </c>
      <c r="T54" s="4" t="s">
        <v>338</v>
      </c>
      <c r="U54" s="4">
        <v>0</v>
      </c>
      <c r="V54" s="4">
        <f t="shared" si="27"/>
        <v>0</v>
      </c>
      <c r="W54" s="4">
        <v>3851</v>
      </c>
      <c r="X54" s="4">
        <f t="shared" si="28"/>
        <v>3851</v>
      </c>
      <c r="Y54" s="4"/>
      <c r="Z54" s="21">
        <f t="shared" si="29"/>
        <v>5629</v>
      </c>
      <c r="AA54" s="6">
        <f t="shared" si="30"/>
        <v>0.31586427429383546</v>
      </c>
      <c r="AB54" s="4">
        <v>1</v>
      </c>
      <c r="AC54" s="4">
        <f t="shared" si="31"/>
        <v>6777</v>
      </c>
      <c r="AD54" s="4">
        <f t="shared" si="32"/>
        <v>7456.6362857142858</v>
      </c>
      <c r="AE54" s="6">
        <f t="shared" si="33"/>
        <v>0.48354729231223259</v>
      </c>
      <c r="AF54" s="7">
        <v>5980</v>
      </c>
      <c r="AG54" s="6">
        <f t="shared" si="34"/>
        <v>0.35602006688963206</v>
      </c>
      <c r="AH54" s="4">
        <f t="shared" si="35"/>
        <v>2129</v>
      </c>
      <c r="AI54" s="28"/>
      <c r="AJ54" s="6"/>
      <c r="AK54" s="6"/>
      <c r="AL54" s="6" t="str">
        <f t="shared" si="36"/>
        <v>-</v>
      </c>
      <c r="AM54" s="6">
        <f t="shared" si="37"/>
        <v>1.1688819390148553</v>
      </c>
      <c r="AN54" s="6">
        <f t="shared" si="38"/>
        <v>1.1002857142857143</v>
      </c>
      <c r="AO54" s="6" t="str">
        <f t="shared" si="18"/>
        <v>-</v>
      </c>
      <c r="AP54" s="4" t="str">
        <f t="shared" si="23"/>
        <v>-</v>
      </c>
      <c r="AQ54" s="4" t="str">
        <f t="shared" si="19"/>
        <v>-</v>
      </c>
      <c r="AR54" s="4" t="str">
        <f t="shared" si="20"/>
        <v>-</v>
      </c>
      <c r="AS54" s="4" t="s">
        <v>333</v>
      </c>
      <c r="AT54" s="4" t="s">
        <v>540</v>
      </c>
      <c r="AU54" s="4"/>
      <c r="AV54" s="4"/>
      <c r="AW54" s="4" t="s">
        <v>489</v>
      </c>
      <c r="AX54" s="4">
        <v>6777</v>
      </c>
      <c r="AY54" s="4">
        <f t="shared" si="39"/>
        <v>6777</v>
      </c>
      <c r="AZ54" s="19">
        <v>4</v>
      </c>
      <c r="BA54" s="19">
        <v>1</v>
      </c>
      <c r="BB54" s="16">
        <v>635</v>
      </c>
      <c r="BC54" t="s">
        <v>338</v>
      </c>
      <c r="BD54" t="str">
        <f t="shared" si="21"/>
        <v>-</v>
      </c>
      <c r="BE54">
        <v>4528</v>
      </c>
      <c r="BF54">
        <f t="shared" si="22"/>
        <v>4982.0937142857147</v>
      </c>
      <c r="BG54" t="s">
        <v>388</v>
      </c>
    </row>
    <row r="55" spans="1:59" x14ac:dyDescent="0.4">
      <c r="A55" t="str">
        <f t="shared" si="17"/>
        <v>J591PW</v>
      </c>
      <c r="B55" s="3">
        <v>118</v>
      </c>
      <c r="C55" s="3">
        <v>118</v>
      </c>
      <c r="D55" s="4" t="s">
        <v>120</v>
      </c>
      <c r="E55" s="4" t="str">
        <f t="shared" si="24"/>
        <v>J591PW</v>
      </c>
      <c r="F55" s="4" t="s">
        <v>120</v>
      </c>
      <c r="G55" s="4" t="str">
        <f t="shared" si="25"/>
        <v>J591PW5</v>
      </c>
      <c r="H55" s="4" t="s">
        <v>263</v>
      </c>
      <c r="I55" s="5">
        <v>4905009796915</v>
      </c>
      <c r="J55" s="5">
        <v>5</v>
      </c>
      <c r="K55" s="5"/>
      <c r="L55" s="5">
        <v>1</v>
      </c>
      <c r="M55" s="5">
        <v>1</v>
      </c>
      <c r="N55" s="4">
        <v>0</v>
      </c>
      <c r="O55" s="4">
        <v>7197</v>
      </c>
      <c r="P55" s="4">
        <v>4410</v>
      </c>
      <c r="Q55" s="6">
        <f t="shared" si="26"/>
        <v>0.38724468528553568</v>
      </c>
      <c r="R55" s="4" t="s">
        <v>338</v>
      </c>
      <c r="S55" s="4" t="s">
        <v>338</v>
      </c>
      <c r="T55" s="4" t="s">
        <v>338</v>
      </c>
      <c r="U55" s="4">
        <v>0</v>
      </c>
      <c r="V55" s="4">
        <f t="shared" si="27"/>
        <v>0</v>
      </c>
      <c r="W55" s="4">
        <v>4851</v>
      </c>
      <c r="X55" s="4">
        <f t="shared" si="28"/>
        <v>4851</v>
      </c>
      <c r="Y55" s="4"/>
      <c r="Z55" s="21">
        <f t="shared" si="29"/>
        <v>7917</v>
      </c>
      <c r="AA55" s="6">
        <f t="shared" si="30"/>
        <v>0.38726790450928383</v>
      </c>
      <c r="AB55" s="4">
        <v>0.25</v>
      </c>
      <c r="AC55" s="4" t="str">
        <f t="shared" si="31"/>
        <v>-</v>
      </c>
      <c r="AD55" s="4" t="str">
        <f t="shared" si="32"/>
        <v>-</v>
      </c>
      <c r="AE55" s="6" t="str">
        <f t="shared" si="33"/>
        <v>-</v>
      </c>
      <c r="AF55" s="7">
        <v>7980</v>
      </c>
      <c r="AG55" s="6">
        <f t="shared" si="34"/>
        <v>0.39210526315789473</v>
      </c>
      <c r="AH55" s="4">
        <f t="shared" si="35"/>
        <v>3129</v>
      </c>
      <c r="AI55" s="28"/>
      <c r="AJ55" s="6"/>
      <c r="AK55" s="6"/>
      <c r="AL55" s="6" t="str">
        <f t="shared" si="36"/>
        <v>-</v>
      </c>
      <c r="AM55" s="6">
        <f t="shared" si="37"/>
        <v>1.1087953313880783</v>
      </c>
      <c r="AN55" s="6">
        <f t="shared" si="38"/>
        <v>1.1000000000000001</v>
      </c>
      <c r="AO55" s="6" t="str">
        <f t="shared" si="18"/>
        <v>-</v>
      </c>
      <c r="AP55" s="4" t="str">
        <f t="shared" si="23"/>
        <v>-</v>
      </c>
      <c r="AQ55" s="4" t="str">
        <f t="shared" si="19"/>
        <v>-</v>
      </c>
      <c r="AR55" s="4" t="str">
        <f t="shared" si="20"/>
        <v>-</v>
      </c>
      <c r="AS55" s="4">
        <v>0</v>
      </c>
      <c r="AT55" s="4" t="s">
        <v>338</v>
      </c>
      <c r="AU55" s="4"/>
      <c r="AV55" s="4"/>
      <c r="AW55" s="4" t="s">
        <v>338</v>
      </c>
      <c r="AX55" s="4" t="s">
        <v>338</v>
      </c>
      <c r="AY55" s="4" t="str">
        <f t="shared" si="39"/>
        <v>-</v>
      </c>
      <c r="AZ55" s="19">
        <v>4</v>
      </c>
      <c r="BA55" s="19">
        <v>8</v>
      </c>
      <c r="BB55" s="16">
        <v>635</v>
      </c>
      <c r="BC55" t="s">
        <v>338</v>
      </c>
      <c r="BD55" t="str">
        <f t="shared" si="21"/>
        <v>-</v>
      </c>
      <c r="BE55">
        <v>5560</v>
      </c>
      <c r="BF55">
        <f t="shared" si="22"/>
        <v>6116.0000000000009</v>
      </c>
      <c r="BG55" t="s">
        <v>338</v>
      </c>
    </row>
    <row r="56" spans="1:59" x14ac:dyDescent="0.4">
      <c r="A56" t="str">
        <f t="shared" si="17"/>
        <v>J592PW</v>
      </c>
      <c r="B56" s="3">
        <v>119</v>
      </c>
      <c r="C56" s="3">
        <v>119</v>
      </c>
      <c r="D56" s="4" t="s">
        <v>121</v>
      </c>
      <c r="E56" s="4" t="str">
        <f t="shared" si="24"/>
        <v>J592PW</v>
      </c>
      <c r="F56" s="4" t="s">
        <v>121</v>
      </c>
      <c r="G56" s="4" t="str">
        <f t="shared" si="25"/>
        <v>J592PW5</v>
      </c>
      <c r="H56" s="4" t="s">
        <v>264</v>
      </c>
      <c r="I56" s="5">
        <v>4905009796922</v>
      </c>
      <c r="J56" s="5">
        <v>5</v>
      </c>
      <c r="K56" s="5"/>
      <c r="L56" s="5">
        <v>1</v>
      </c>
      <c r="M56" s="5">
        <v>1</v>
      </c>
      <c r="N56" s="4">
        <v>0</v>
      </c>
      <c r="O56" s="4">
        <v>7269</v>
      </c>
      <c r="P56" s="4">
        <v>4410</v>
      </c>
      <c r="Q56" s="6">
        <f t="shared" si="26"/>
        <v>0.39331407346264957</v>
      </c>
      <c r="R56" s="4" t="s">
        <v>338</v>
      </c>
      <c r="S56" s="4" t="s">
        <v>338</v>
      </c>
      <c r="T56" s="4" t="s">
        <v>338</v>
      </c>
      <c r="U56" s="4">
        <v>0</v>
      </c>
      <c r="V56" s="4">
        <f t="shared" si="27"/>
        <v>0</v>
      </c>
      <c r="W56" s="4">
        <v>4851</v>
      </c>
      <c r="X56" s="4">
        <f t="shared" si="28"/>
        <v>4851</v>
      </c>
      <c r="Y56" s="4"/>
      <c r="Z56" s="21">
        <f t="shared" si="29"/>
        <v>7996</v>
      </c>
      <c r="AA56" s="6">
        <f t="shared" si="30"/>
        <v>0.3933216608304152</v>
      </c>
      <c r="AB56" s="4">
        <v>0.25</v>
      </c>
      <c r="AC56" s="4">
        <f t="shared" si="31"/>
        <v>5070</v>
      </c>
      <c r="AD56" s="4">
        <f t="shared" si="32"/>
        <v>5577</v>
      </c>
      <c r="AE56" s="6">
        <f t="shared" si="33"/>
        <v>0.13017751479289941</v>
      </c>
      <c r="AF56" s="7">
        <v>7980</v>
      </c>
      <c r="AG56" s="6">
        <f t="shared" si="34"/>
        <v>0.39210526315789473</v>
      </c>
      <c r="AH56" s="4">
        <f t="shared" si="35"/>
        <v>3129</v>
      </c>
      <c r="AI56" s="28"/>
      <c r="AJ56" s="6"/>
      <c r="AK56" s="6"/>
      <c r="AL56" s="6" t="str">
        <f t="shared" si="36"/>
        <v>-</v>
      </c>
      <c r="AM56" s="6">
        <f t="shared" si="37"/>
        <v>1.0978126289723484</v>
      </c>
      <c r="AN56" s="6">
        <f t="shared" si="38"/>
        <v>1.1000000000000001</v>
      </c>
      <c r="AO56" s="6" t="str">
        <f t="shared" si="18"/>
        <v>-</v>
      </c>
      <c r="AP56" s="4" t="str">
        <f t="shared" si="23"/>
        <v>-</v>
      </c>
      <c r="AQ56" s="4" t="str">
        <f t="shared" si="19"/>
        <v>-</v>
      </c>
      <c r="AR56" s="4" t="str">
        <f t="shared" si="20"/>
        <v>-</v>
      </c>
      <c r="AS56" s="4">
        <v>0</v>
      </c>
      <c r="AT56" s="4" t="s">
        <v>541</v>
      </c>
      <c r="AU56" s="4"/>
      <c r="AV56" s="4"/>
      <c r="AW56" s="4" t="s">
        <v>489</v>
      </c>
      <c r="AX56" s="4">
        <v>5070</v>
      </c>
      <c r="AY56" s="4">
        <f t="shared" si="39"/>
        <v>5070</v>
      </c>
      <c r="AZ56" s="19">
        <v>4</v>
      </c>
      <c r="BA56" s="19">
        <v>8</v>
      </c>
      <c r="BB56" s="16">
        <v>635</v>
      </c>
      <c r="BC56" t="s">
        <v>338</v>
      </c>
      <c r="BD56" t="str">
        <f t="shared" si="21"/>
        <v>-</v>
      </c>
      <c r="BE56">
        <v>5560</v>
      </c>
      <c r="BF56">
        <f t="shared" si="22"/>
        <v>6116.0000000000009</v>
      </c>
      <c r="BG56" t="s">
        <v>389</v>
      </c>
    </row>
    <row r="57" spans="1:59" x14ac:dyDescent="0.4">
      <c r="A57" t="str">
        <f t="shared" si="17"/>
        <v>J593PW</v>
      </c>
      <c r="B57" s="3">
        <v>121</v>
      </c>
      <c r="C57" s="3">
        <v>121</v>
      </c>
      <c r="D57" s="4" t="s">
        <v>123</v>
      </c>
      <c r="E57" s="4" t="str">
        <f t="shared" si="24"/>
        <v>J593PW</v>
      </c>
      <c r="F57" s="4" t="s">
        <v>123</v>
      </c>
      <c r="G57" s="4" t="str">
        <f t="shared" si="25"/>
        <v>J593PW5</v>
      </c>
      <c r="H57" s="4" t="s">
        <v>266</v>
      </c>
      <c r="I57" s="5">
        <v>4905009796939</v>
      </c>
      <c r="J57" s="5">
        <v>5</v>
      </c>
      <c r="K57" s="5"/>
      <c r="L57" s="5">
        <v>1</v>
      </c>
      <c r="M57" s="5">
        <v>1</v>
      </c>
      <c r="N57" s="4">
        <v>0</v>
      </c>
      <c r="O57" s="4">
        <v>8527</v>
      </c>
      <c r="P57" s="4">
        <v>5610</v>
      </c>
      <c r="Q57" s="6">
        <f t="shared" si="26"/>
        <v>0.34208983229740819</v>
      </c>
      <c r="R57" s="4" t="s">
        <v>338</v>
      </c>
      <c r="S57" s="4" t="s">
        <v>338</v>
      </c>
      <c r="T57" s="4" t="s">
        <v>338</v>
      </c>
      <c r="U57" s="4">
        <v>0</v>
      </c>
      <c r="V57" s="4">
        <f t="shared" si="27"/>
        <v>0</v>
      </c>
      <c r="W57" s="4">
        <v>6171</v>
      </c>
      <c r="X57" s="4">
        <f t="shared" si="28"/>
        <v>6171</v>
      </c>
      <c r="Y57" s="4"/>
      <c r="Z57" s="21">
        <f t="shared" si="29"/>
        <v>9380</v>
      </c>
      <c r="AA57" s="6">
        <f t="shared" si="30"/>
        <v>0.34211087420042641</v>
      </c>
      <c r="AB57" s="4">
        <v>0.25</v>
      </c>
      <c r="AC57" s="4" t="str">
        <f t="shared" si="31"/>
        <v>-</v>
      </c>
      <c r="AD57" s="4" t="str">
        <f t="shared" si="32"/>
        <v>-</v>
      </c>
      <c r="AE57" s="6" t="str">
        <f t="shared" si="33"/>
        <v>-</v>
      </c>
      <c r="AF57" s="7">
        <v>9380</v>
      </c>
      <c r="AG57" s="6">
        <f t="shared" si="34"/>
        <v>0.34211087420042641</v>
      </c>
      <c r="AH57" s="4">
        <f t="shared" si="35"/>
        <v>3209</v>
      </c>
      <c r="AI57" s="28"/>
      <c r="AJ57" s="6"/>
      <c r="AK57" s="6"/>
      <c r="AL57" s="6" t="str">
        <f t="shared" si="36"/>
        <v>-</v>
      </c>
      <c r="AM57" s="6">
        <f t="shared" si="37"/>
        <v>1.1000351823619092</v>
      </c>
      <c r="AN57" s="6">
        <f t="shared" si="38"/>
        <v>1.1000000000000001</v>
      </c>
      <c r="AO57" s="6" t="str">
        <f t="shared" si="18"/>
        <v>-</v>
      </c>
      <c r="AP57" s="4" t="str">
        <f t="shared" si="23"/>
        <v>-</v>
      </c>
      <c r="AQ57" s="4" t="str">
        <f t="shared" si="19"/>
        <v>-</v>
      </c>
      <c r="AR57" s="4" t="str">
        <f t="shared" si="20"/>
        <v>-</v>
      </c>
      <c r="AS57" s="4">
        <v>0</v>
      </c>
      <c r="AT57" s="4" t="s">
        <v>338</v>
      </c>
      <c r="AU57" s="4"/>
      <c r="AV57" s="4"/>
      <c r="AW57" s="4" t="s">
        <v>338</v>
      </c>
      <c r="AX57" s="4" t="s">
        <v>338</v>
      </c>
      <c r="AY57" s="4" t="str">
        <f t="shared" si="39"/>
        <v>-</v>
      </c>
      <c r="AZ57" s="19">
        <v>4</v>
      </c>
      <c r="BA57" s="19">
        <v>8</v>
      </c>
      <c r="BB57" s="16">
        <v>635</v>
      </c>
      <c r="BC57" t="s">
        <v>338</v>
      </c>
      <c r="BD57" t="str">
        <f t="shared" si="21"/>
        <v>-</v>
      </c>
      <c r="BE57">
        <v>8560</v>
      </c>
      <c r="BF57">
        <f t="shared" si="22"/>
        <v>9416</v>
      </c>
      <c r="BG57" t="s">
        <v>338</v>
      </c>
    </row>
    <row r="58" spans="1:59" x14ac:dyDescent="0.4">
      <c r="A58" t="str">
        <f t="shared" si="17"/>
        <v>J594PW</v>
      </c>
      <c r="B58" s="3">
        <v>132</v>
      </c>
      <c r="C58" s="3">
        <v>132</v>
      </c>
      <c r="D58" s="4" t="s">
        <v>130</v>
      </c>
      <c r="E58" s="4" t="str">
        <f t="shared" si="24"/>
        <v>J594PW</v>
      </c>
      <c r="F58" s="4" t="s">
        <v>130</v>
      </c>
      <c r="G58" s="4" t="str">
        <f t="shared" si="25"/>
        <v>J594PW5</v>
      </c>
      <c r="H58" s="4" t="s">
        <v>277</v>
      </c>
      <c r="I58" s="5">
        <v>4905009796946</v>
      </c>
      <c r="J58" s="5">
        <v>5</v>
      </c>
      <c r="K58" s="5"/>
      <c r="L58" s="5">
        <v>1</v>
      </c>
      <c r="M58" s="5">
        <v>1</v>
      </c>
      <c r="N58" s="4">
        <v>0</v>
      </c>
      <c r="O58" s="4">
        <v>8697</v>
      </c>
      <c r="P58" s="4">
        <v>5610</v>
      </c>
      <c r="Q58" s="6">
        <f t="shared" si="26"/>
        <v>0.35494998275267331</v>
      </c>
      <c r="R58" s="4" t="s">
        <v>338</v>
      </c>
      <c r="S58" s="4" t="s">
        <v>338</v>
      </c>
      <c r="T58" s="4" t="s">
        <v>338</v>
      </c>
      <c r="U58" s="4">
        <v>0</v>
      </c>
      <c r="V58" s="4">
        <f t="shared" si="27"/>
        <v>0</v>
      </c>
      <c r="W58" s="4">
        <v>6172</v>
      </c>
      <c r="X58" s="4">
        <f t="shared" si="28"/>
        <v>6172</v>
      </c>
      <c r="Y58" s="4"/>
      <c r="Z58" s="21">
        <f t="shared" si="29"/>
        <v>9568</v>
      </c>
      <c r="AA58" s="6">
        <f t="shared" si="30"/>
        <v>0.35493311036789299</v>
      </c>
      <c r="AB58" s="4">
        <v>0.25</v>
      </c>
      <c r="AC58" s="4" t="str">
        <f t="shared" si="31"/>
        <v>-</v>
      </c>
      <c r="AD58" s="4" t="str">
        <f t="shared" si="32"/>
        <v>-</v>
      </c>
      <c r="AE58" s="6" t="str">
        <f t="shared" si="33"/>
        <v>-</v>
      </c>
      <c r="AF58" s="7">
        <v>9380</v>
      </c>
      <c r="AG58" s="6">
        <f t="shared" si="34"/>
        <v>0.34200426439232412</v>
      </c>
      <c r="AH58" s="4">
        <f t="shared" si="35"/>
        <v>3208</v>
      </c>
      <c r="AI58" s="28"/>
      <c r="AJ58" s="6"/>
      <c r="AK58" s="6"/>
      <c r="AL58" s="6" t="str">
        <f t="shared" si="36"/>
        <v>-</v>
      </c>
      <c r="AM58" s="6">
        <f t="shared" si="37"/>
        <v>1.0785328274117512</v>
      </c>
      <c r="AN58" s="6">
        <f t="shared" si="38"/>
        <v>1.1001782531194295</v>
      </c>
      <c r="AO58" s="6" t="str">
        <f t="shared" si="18"/>
        <v>-</v>
      </c>
      <c r="AP58" s="4" t="str">
        <f t="shared" si="23"/>
        <v>-</v>
      </c>
      <c r="AQ58" s="4" t="str">
        <f t="shared" si="19"/>
        <v>-</v>
      </c>
      <c r="AR58" s="4" t="str">
        <f t="shared" si="20"/>
        <v>-</v>
      </c>
      <c r="AS58" s="4">
        <v>0</v>
      </c>
      <c r="AT58" s="4" t="s">
        <v>338</v>
      </c>
      <c r="AU58" s="4"/>
      <c r="AV58" s="4"/>
      <c r="AW58" s="4" t="s">
        <v>338</v>
      </c>
      <c r="AX58" s="4" t="s">
        <v>338</v>
      </c>
      <c r="AY58" s="4" t="str">
        <f t="shared" si="39"/>
        <v>-</v>
      </c>
      <c r="AZ58" s="19">
        <v>4</v>
      </c>
      <c r="BA58" s="19">
        <v>1</v>
      </c>
      <c r="BB58" s="16">
        <v>635</v>
      </c>
      <c r="BC58" t="s">
        <v>338</v>
      </c>
      <c r="BD58" t="str">
        <f t="shared" si="21"/>
        <v>-</v>
      </c>
      <c r="BE58">
        <v>8482</v>
      </c>
      <c r="BF58">
        <f t="shared" si="22"/>
        <v>9331.711942959002</v>
      </c>
      <c r="BG58" t="s">
        <v>338</v>
      </c>
    </row>
    <row r="59" spans="1:59" x14ac:dyDescent="0.4">
      <c r="A59" t="str">
        <f t="shared" si="17"/>
        <v>920866</v>
      </c>
      <c r="B59" s="3">
        <v>128</v>
      </c>
      <c r="C59" s="3">
        <v>128</v>
      </c>
      <c r="D59" s="4">
        <v>920866</v>
      </c>
      <c r="E59" s="4" t="str">
        <f t="shared" si="24"/>
        <v>920866</v>
      </c>
      <c r="F59" s="4">
        <v>920866</v>
      </c>
      <c r="G59" s="4" t="str">
        <f t="shared" si="25"/>
        <v>9208665</v>
      </c>
      <c r="H59" s="4" t="s">
        <v>273</v>
      </c>
      <c r="I59" s="5">
        <v>4905009796960</v>
      </c>
      <c r="J59" s="5">
        <v>5</v>
      </c>
      <c r="K59" s="5"/>
      <c r="L59" s="5">
        <v>1</v>
      </c>
      <c r="M59" s="5">
        <v>1</v>
      </c>
      <c r="N59" s="4">
        <v>0</v>
      </c>
      <c r="O59" s="4">
        <v>10980</v>
      </c>
      <c r="P59" s="4">
        <v>7600</v>
      </c>
      <c r="Q59" s="6">
        <f t="shared" si="26"/>
        <v>0.30783242258652099</v>
      </c>
      <c r="R59" s="4" t="s">
        <v>338</v>
      </c>
      <c r="S59" s="4" t="s">
        <v>338</v>
      </c>
      <c r="T59" s="4" t="s">
        <v>338</v>
      </c>
      <c r="U59" s="4">
        <v>0</v>
      </c>
      <c r="V59" s="4">
        <f t="shared" si="27"/>
        <v>0</v>
      </c>
      <c r="W59" s="4">
        <v>8361</v>
      </c>
      <c r="X59" s="4">
        <f t="shared" si="28"/>
        <v>8361</v>
      </c>
      <c r="Y59" s="4"/>
      <c r="Z59" s="21">
        <f t="shared" si="29"/>
        <v>12079</v>
      </c>
      <c r="AA59" s="6">
        <f t="shared" si="30"/>
        <v>0.30780693766040235</v>
      </c>
      <c r="AB59" s="4">
        <v>0.5</v>
      </c>
      <c r="AC59" s="4" t="str">
        <f t="shared" si="31"/>
        <v>-</v>
      </c>
      <c r="AD59" s="4" t="str">
        <f t="shared" si="32"/>
        <v>-</v>
      </c>
      <c r="AE59" s="6" t="str">
        <f t="shared" si="33"/>
        <v>-</v>
      </c>
      <c r="AF59" s="7">
        <v>12800</v>
      </c>
      <c r="AG59" s="6">
        <f t="shared" si="34"/>
        <v>0.346796875</v>
      </c>
      <c r="AH59" s="4">
        <f t="shared" si="35"/>
        <v>4439</v>
      </c>
      <c r="AI59" s="28"/>
      <c r="AJ59" s="6"/>
      <c r="AK59" s="6"/>
      <c r="AL59" s="6" t="str">
        <f t="shared" si="36"/>
        <v>-</v>
      </c>
      <c r="AM59" s="6">
        <f t="shared" si="37"/>
        <v>1.1657559198542806</v>
      </c>
      <c r="AN59" s="6">
        <f t="shared" si="38"/>
        <v>1.1001315789473685</v>
      </c>
      <c r="AO59" s="6" t="str">
        <f t="shared" si="18"/>
        <v>-</v>
      </c>
      <c r="AP59" s="4" t="str">
        <f t="shared" si="23"/>
        <v>-</v>
      </c>
      <c r="AQ59" s="4" t="str">
        <f t="shared" si="19"/>
        <v>-</v>
      </c>
      <c r="AR59" s="4" t="str">
        <f t="shared" si="20"/>
        <v>-</v>
      </c>
      <c r="AS59" s="4" t="s">
        <v>333</v>
      </c>
      <c r="AT59" s="4" t="s">
        <v>338</v>
      </c>
      <c r="AU59" s="4"/>
      <c r="AV59" s="4"/>
      <c r="AW59" s="4" t="s">
        <v>338</v>
      </c>
      <c r="AX59" s="4" t="s">
        <v>338</v>
      </c>
      <c r="AY59" s="4" t="str">
        <f t="shared" si="39"/>
        <v>-</v>
      </c>
      <c r="AZ59" s="19">
        <v>4</v>
      </c>
      <c r="BA59" s="19">
        <v>1</v>
      </c>
      <c r="BB59" s="16">
        <v>635</v>
      </c>
      <c r="BC59" t="s">
        <v>338</v>
      </c>
      <c r="BD59" t="str">
        <f t="shared" si="21"/>
        <v>-</v>
      </c>
      <c r="BE59">
        <v>12227</v>
      </c>
      <c r="BF59">
        <f t="shared" si="22"/>
        <v>13451.308815789474</v>
      </c>
      <c r="BG59" t="s">
        <v>338</v>
      </c>
    </row>
    <row r="60" spans="1:59" x14ac:dyDescent="0.4">
      <c r="A60" t="str">
        <f t="shared" si="17"/>
        <v>920867</v>
      </c>
      <c r="B60" s="3">
        <v>129</v>
      </c>
      <c r="C60" s="3">
        <v>129</v>
      </c>
      <c r="D60" s="4">
        <v>920867</v>
      </c>
      <c r="E60" s="4" t="str">
        <f t="shared" si="24"/>
        <v>920867</v>
      </c>
      <c r="F60" s="4">
        <v>920867</v>
      </c>
      <c r="G60" s="4" t="str">
        <f t="shared" si="25"/>
        <v>9208675</v>
      </c>
      <c r="H60" s="4" t="s">
        <v>274</v>
      </c>
      <c r="I60" s="5">
        <v>4905009796977</v>
      </c>
      <c r="J60" s="5">
        <v>5</v>
      </c>
      <c r="K60" s="5"/>
      <c r="L60" s="5">
        <v>1</v>
      </c>
      <c r="M60" s="5">
        <v>1</v>
      </c>
      <c r="N60" s="4">
        <v>0</v>
      </c>
      <c r="O60" s="4">
        <v>10980</v>
      </c>
      <c r="P60" s="4">
        <v>7600</v>
      </c>
      <c r="Q60" s="6">
        <f t="shared" si="26"/>
        <v>0.30783242258652099</v>
      </c>
      <c r="R60" s="4" t="s">
        <v>338</v>
      </c>
      <c r="S60" s="4" t="s">
        <v>338</v>
      </c>
      <c r="T60" s="4" t="s">
        <v>338</v>
      </c>
      <c r="U60" s="4">
        <v>0</v>
      </c>
      <c r="V60" s="4">
        <f t="shared" si="27"/>
        <v>0</v>
      </c>
      <c r="W60" s="4">
        <v>8361</v>
      </c>
      <c r="X60" s="4">
        <f t="shared" si="28"/>
        <v>8361</v>
      </c>
      <c r="Y60" s="4"/>
      <c r="Z60" s="21">
        <f t="shared" si="29"/>
        <v>12079</v>
      </c>
      <c r="AA60" s="6">
        <f t="shared" si="30"/>
        <v>0.30780693766040235</v>
      </c>
      <c r="AB60" s="4">
        <v>0.75</v>
      </c>
      <c r="AC60" s="4" t="str">
        <f t="shared" si="31"/>
        <v>-</v>
      </c>
      <c r="AD60" s="4" t="str">
        <f t="shared" si="32"/>
        <v>-</v>
      </c>
      <c r="AE60" s="6" t="str">
        <f t="shared" si="33"/>
        <v>-</v>
      </c>
      <c r="AF60" s="7">
        <v>12800</v>
      </c>
      <c r="AG60" s="6">
        <f t="shared" si="34"/>
        <v>0.346796875</v>
      </c>
      <c r="AH60" s="4">
        <f t="shared" si="35"/>
        <v>4439</v>
      </c>
      <c r="AI60" s="28"/>
      <c r="AJ60" s="6"/>
      <c r="AK60" s="6"/>
      <c r="AL60" s="6" t="str">
        <f t="shared" si="36"/>
        <v>-</v>
      </c>
      <c r="AM60" s="6">
        <f t="shared" si="37"/>
        <v>1.1657559198542806</v>
      </c>
      <c r="AN60" s="6">
        <f t="shared" si="38"/>
        <v>1.1001315789473685</v>
      </c>
      <c r="AO60" s="6" t="str">
        <f t="shared" si="18"/>
        <v>-</v>
      </c>
      <c r="AP60" s="4" t="str">
        <f t="shared" si="23"/>
        <v>-</v>
      </c>
      <c r="AQ60" s="4" t="str">
        <f t="shared" si="19"/>
        <v>-</v>
      </c>
      <c r="AR60" s="4" t="str">
        <f t="shared" si="20"/>
        <v>-</v>
      </c>
      <c r="AS60" s="4" t="s">
        <v>333</v>
      </c>
      <c r="AT60" s="4" t="s">
        <v>338</v>
      </c>
      <c r="AU60" s="4"/>
      <c r="AV60" s="4"/>
      <c r="AW60" s="4" t="s">
        <v>338</v>
      </c>
      <c r="AX60" s="4" t="s">
        <v>338</v>
      </c>
      <c r="AY60" s="4" t="str">
        <f t="shared" si="39"/>
        <v>-</v>
      </c>
      <c r="AZ60" s="19">
        <v>4</v>
      </c>
      <c r="BA60" s="19">
        <v>1</v>
      </c>
      <c r="BB60" s="16">
        <v>635</v>
      </c>
      <c r="BC60" t="s">
        <v>338</v>
      </c>
      <c r="BD60" t="str">
        <f t="shared" si="21"/>
        <v>-</v>
      </c>
      <c r="BE60">
        <v>12227</v>
      </c>
      <c r="BF60">
        <f t="shared" si="22"/>
        <v>13451.308815789474</v>
      </c>
      <c r="BG60" t="s">
        <v>338</v>
      </c>
    </row>
    <row r="61" spans="1:59" x14ac:dyDescent="0.4">
      <c r="A61" t="str">
        <f t="shared" si="17"/>
        <v>J595PW</v>
      </c>
      <c r="B61" s="3">
        <v>125</v>
      </c>
      <c r="C61" s="3">
        <v>125</v>
      </c>
      <c r="D61" s="4" t="s">
        <v>127</v>
      </c>
      <c r="E61" s="4" t="str">
        <f t="shared" si="24"/>
        <v>J595PW</v>
      </c>
      <c r="F61" s="4" t="s">
        <v>127</v>
      </c>
      <c r="G61" s="4" t="str">
        <f t="shared" si="25"/>
        <v>J595PW5</v>
      </c>
      <c r="H61" s="4" t="s">
        <v>270</v>
      </c>
      <c r="I61" s="5">
        <v>4905009796953</v>
      </c>
      <c r="J61" s="5">
        <v>5</v>
      </c>
      <c r="K61" s="5"/>
      <c r="L61" s="5">
        <v>1</v>
      </c>
      <c r="M61" s="5">
        <v>1</v>
      </c>
      <c r="N61" s="4">
        <v>0</v>
      </c>
      <c r="O61" s="4">
        <v>14607</v>
      </c>
      <c r="P61" s="4">
        <v>9610</v>
      </c>
      <c r="Q61" s="6">
        <f t="shared" si="26"/>
        <v>0.3420962552200999</v>
      </c>
      <c r="R61" s="4" t="s">
        <v>338</v>
      </c>
      <c r="S61" s="4" t="s">
        <v>338</v>
      </c>
      <c r="T61" s="4" t="s">
        <v>338</v>
      </c>
      <c r="U61" s="4">
        <v>0</v>
      </c>
      <c r="V61" s="4">
        <f t="shared" si="27"/>
        <v>0</v>
      </c>
      <c r="W61" s="4">
        <v>10572</v>
      </c>
      <c r="X61" s="4">
        <f t="shared" si="28"/>
        <v>10572</v>
      </c>
      <c r="Y61" s="4"/>
      <c r="Z61" s="21">
        <f t="shared" si="29"/>
        <v>16069</v>
      </c>
      <c r="AA61" s="6">
        <f t="shared" si="30"/>
        <v>0.34208724873980956</v>
      </c>
      <c r="AB61" s="4">
        <v>0.25</v>
      </c>
      <c r="AC61" s="4" t="str">
        <f t="shared" si="31"/>
        <v>-</v>
      </c>
      <c r="AD61" s="4" t="str">
        <f t="shared" si="32"/>
        <v>-</v>
      </c>
      <c r="AE61" s="6" t="str">
        <f t="shared" si="33"/>
        <v>-</v>
      </c>
      <c r="AF61" s="7">
        <v>16800</v>
      </c>
      <c r="AG61" s="6">
        <f t="shared" si="34"/>
        <v>0.37071428571428566</v>
      </c>
      <c r="AH61" s="4">
        <f t="shared" si="35"/>
        <v>6228</v>
      </c>
      <c r="AI61" s="28"/>
      <c r="AJ61" s="6"/>
      <c r="AK61" s="6"/>
      <c r="AL61" s="6" t="str">
        <f t="shared" si="36"/>
        <v>-</v>
      </c>
      <c r="AM61" s="6">
        <f t="shared" si="37"/>
        <v>1.1501334976381188</v>
      </c>
      <c r="AN61" s="6">
        <f t="shared" si="38"/>
        <v>1.1001040582726327</v>
      </c>
      <c r="AO61" s="6" t="str">
        <f t="shared" si="18"/>
        <v>-</v>
      </c>
      <c r="AP61" s="4" t="str">
        <f t="shared" si="23"/>
        <v>-</v>
      </c>
      <c r="AQ61" s="4" t="str">
        <f t="shared" si="19"/>
        <v>-</v>
      </c>
      <c r="AR61" s="4" t="str">
        <f t="shared" si="20"/>
        <v>-</v>
      </c>
      <c r="AS61" s="4">
        <v>0</v>
      </c>
      <c r="AT61" s="4" t="s">
        <v>338</v>
      </c>
      <c r="AU61" s="4"/>
      <c r="AV61" s="4"/>
      <c r="AW61" s="4" t="s">
        <v>338</v>
      </c>
      <c r="AX61" s="4" t="s">
        <v>338</v>
      </c>
      <c r="AY61" s="4" t="str">
        <f t="shared" si="39"/>
        <v>-</v>
      </c>
      <c r="AZ61" s="19">
        <v>4</v>
      </c>
      <c r="BA61" s="19">
        <v>8</v>
      </c>
      <c r="BB61" s="16">
        <v>635</v>
      </c>
      <c r="BC61" t="s">
        <v>338</v>
      </c>
      <c r="BD61" t="str">
        <f t="shared" si="21"/>
        <v>-</v>
      </c>
      <c r="BE61">
        <v>17959</v>
      </c>
      <c r="BF61">
        <f t="shared" si="22"/>
        <v>19756.768782518211</v>
      </c>
      <c r="BG61" t="s">
        <v>338</v>
      </c>
    </row>
    <row r="62" spans="1:59" x14ac:dyDescent="0.4">
      <c r="A62" t="str">
        <f t="shared" si="17"/>
        <v>J20303</v>
      </c>
      <c r="B62" s="3">
        <v>38</v>
      </c>
      <c r="C62" s="3">
        <v>38</v>
      </c>
      <c r="D62" s="4" t="s">
        <v>68</v>
      </c>
      <c r="E62" s="4" t="str">
        <f t="shared" si="24"/>
        <v>J20303</v>
      </c>
      <c r="F62" s="4" t="s">
        <v>68</v>
      </c>
      <c r="G62" s="4" t="str">
        <f t="shared" si="25"/>
        <v>J203035</v>
      </c>
      <c r="H62" s="4" t="s">
        <v>184</v>
      </c>
      <c r="I62" s="5">
        <v>4905009428687</v>
      </c>
      <c r="J62" s="5">
        <v>5</v>
      </c>
      <c r="K62" s="5"/>
      <c r="L62" s="5">
        <v>1</v>
      </c>
      <c r="M62" s="5">
        <v>1</v>
      </c>
      <c r="N62" s="4">
        <v>0</v>
      </c>
      <c r="O62" s="4">
        <v>173</v>
      </c>
      <c r="P62" s="4">
        <v>100</v>
      </c>
      <c r="Q62" s="6">
        <f t="shared" si="26"/>
        <v>0.4219653179190751</v>
      </c>
      <c r="R62" s="4">
        <v>160</v>
      </c>
      <c r="S62" s="4">
        <v>4</v>
      </c>
      <c r="T62" s="4">
        <v>99999</v>
      </c>
      <c r="U62" s="4">
        <v>0</v>
      </c>
      <c r="V62" s="4">
        <f t="shared" si="27"/>
        <v>0</v>
      </c>
      <c r="W62" s="4">
        <v>120</v>
      </c>
      <c r="X62" s="4">
        <f t="shared" si="28"/>
        <v>120</v>
      </c>
      <c r="Y62" s="4"/>
      <c r="Z62" s="21">
        <f t="shared" si="29"/>
        <v>208</v>
      </c>
      <c r="AA62" s="6">
        <f t="shared" si="30"/>
        <v>0.42307692307692313</v>
      </c>
      <c r="AB62" s="4">
        <v>0.5</v>
      </c>
      <c r="AC62" s="4">
        <f t="shared" si="31"/>
        <v>161.875</v>
      </c>
      <c r="AD62" s="4">
        <f t="shared" si="32"/>
        <v>194.25</v>
      </c>
      <c r="AE62" s="6">
        <f t="shared" si="33"/>
        <v>0.38223938223938225</v>
      </c>
      <c r="AF62" s="7">
        <v>220</v>
      </c>
      <c r="AG62" s="6">
        <f t="shared" si="34"/>
        <v>0.45454545454545459</v>
      </c>
      <c r="AH62" s="4">
        <f t="shared" si="35"/>
        <v>100</v>
      </c>
      <c r="AI62" s="28"/>
      <c r="AJ62" s="6"/>
      <c r="AK62" s="6"/>
      <c r="AL62" s="41" t="str">
        <f t="shared" si="36"/>
        <v>-</v>
      </c>
      <c r="AM62" s="6">
        <f t="shared" si="37"/>
        <v>1.2716763005780347</v>
      </c>
      <c r="AN62" s="6">
        <f t="shared" si="38"/>
        <v>1.2</v>
      </c>
      <c r="AO62" s="6">
        <f t="shared" si="18"/>
        <v>0.40886699507389157</v>
      </c>
      <c r="AP62" s="4">
        <f t="shared" si="23"/>
        <v>203</v>
      </c>
      <c r="AQ62" s="4">
        <f t="shared" si="19"/>
        <v>4</v>
      </c>
      <c r="AR62" s="4">
        <f t="shared" si="20"/>
        <v>99999</v>
      </c>
      <c r="AS62" s="4">
        <v>0</v>
      </c>
      <c r="AT62" s="4" t="s">
        <v>542</v>
      </c>
      <c r="AU62" s="4">
        <v>1</v>
      </c>
      <c r="AV62" s="4">
        <v>8</v>
      </c>
      <c r="AW62" s="4" t="s">
        <v>543</v>
      </c>
      <c r="AX62" s="4">
        <v>1295</v>
      </c>
      <c r="AY62" s="4">
        <f t="shared" si="39"/>
        <v>161.875</v>
      </c>
      <c r="AZ62" s="19">
        <v>4</v>
      </c>
      <c r="BA62" s="19">
        <v>8</v>
      </c>
      <c r="BB62" s="16">
        <v>1120</v>
      </c>
      <c r="BC62" t="s">
        <v>338</v>
      </c>
      <c r="BD62" t="str">
        <f t="shared" si="21"/>
        <v>-</v>
      </c>
      <c r="BE62">
        <v>154</v>
      </c>
      <c r="BF62">
        <f t="shared" si="22"/>
        <v>184.79999999999998</v>
      </c>
      <c r="BG62" t="s">
        <v>390</v>
      </c>
    </row>
    <row r="63" spans="1:59" x14ac:dyDescent="0.4">
      <c r="A63" t="str">
        <f t="shared" si="17"/>
        <v>J20281</v>
      </c>
      <c r="B63" s="3">
        <v>41</v>
      </c>
      <c r="C63" s="3">
        <v>41</v>
      </c>
      <c r="D63" s="4" t="s">
        <v>71</v>
      </c>
      <c r="E63" s="4" t="str">
        <f t="shared" si="24"/>
        <v>J20281</v>
      </c>
      <c r="F63" s="4" t="s">
        <v>71</v>
      </c>
      <c r="G63" s="4" t="str">
        <f t="shared" si="25"/>
        <v>J202815</v>
      </c>
      <c r="H63" s="4" t="s">
        <v>187</v>
      </c>
      <c r="I63" s="5">
        <v>4905009428465</v>
      </c>
      <c r="J63" s="5">
        <v>5</v>
      </c>
      <c r="K63" s="5"/>
      <c r="L63" s="5">
        <v>1</v>
      </c>
      <c r="M63" s="5">
        <v>1</v>
      </c>
      <c r="N63" s="4">
        <v>0</v>
      </c>
      <c r="O63" s="4">
        <v>135</v>
      </c>
      <c r="P63" s="4">
        <v>100</v>
      </c>
      <c r="Q63" s="6">
        <f t="shared" si="26"/>
        <v>0.2592592592592593</v>
      </c>
      <c r="R63" s="4" t="s">
        <v>338</v>
      </c>
      <c r="S63" s="4" t="s">
        <v>338</v>
      </c>
      <c r="T63" s="4" t="s">
        <v>338</v>
      </c>
      <c r="U63" s="4">
        <v>0</v>
      </c>
      <c r="V63" s="4">
        <f t="shared" si="27"/>
        <v>0</v>
      </c>
      <c r="W63" s="4">
        <v>120</v>
      </c>
      <c r="X63" s="4">
        <f t="shared" si="28"/>
        <v>120</v>
      </c>
      <c r="Y63" s="4"/>
      <c r="Z63" s="21">
        <f t="shared" si="29"/>
        <v>162</v>
      </c>
      <c r="AA63" s="6">
        <f t="shared" si="30"/>
        <v>0.2592592592592593</v>
      </c>
      <c r="AB63" s="4">
        <v>1.25</v>
      </c>
      <c r="AC63" s="4" t="str">
        <f t="shared" si="31"/>
        <v>-</v>
      </c>
      <c r="AD63" s="4" t="str">
        <f t="shared" si="32"/>
        <v>-</v>
      </c>
      <c r="AE63" s="6" t="str">
        <f t="shared" si="33"/>
        <v>-</v>
      </c>
      <c r="AF63" s="7">
        <v>220</v>
      </c>
      <c r="AG63" s="6">
        <f t="shared" si="34"/>
        <v>0.45454545454545459</v>
      </c>
      <c r="AH63" s="4">
        <f t="shared" si="35"/>
        <v>100</v>
      </c>
      <c r="AI63" s="28"/>
      <c r="AJ63" s="6"/>
      <c r="AK63" s="6"/>
      <c r="AL63" s="6" t="str">
        <f t="shared" si="36"/>
        <v>-</v>
      </c>
      <c r="AM63" s="6">
        <f t="shared" si="37"/>
        <v>1.6296296296296295</v>
      </c>
      <c r="AN63" s="6">
        <f t="shared" si="38"/>
        <v>1.2</v>
      </c>
      <c r="AO63" s="6" t="str">
        <f t="shared" si="18"/>
        <v>-</v>
      </c>
      <c r="AP63" s="4" t="str">
        <f t="shared" si="23"/>
        <v>-</v>
      </c>
      <c r="AQ63" s="4" t="str">
        <f t="shared" si="19"/>
        <v>-</v>
      </c>
      <c r="AR63" s="4" t="str">
        <f t="shared" si="20"/>
        <v>-</v>
      </c>
      <c r="AS63" s="4">
        <v>0</v>
      </c>
      <c r="AT63" s="4" t="s">
        <v>338</v>
      </c>
      <c r="AU63" s="4"/>
      <c r="AV63" s="4"/>
      <c r="AW63" s="4" t="s">
        <v>338</v>
      </c>
      <c r="AX63" s="4" t="s">
        <v>338</v>
      </c>
      <c r="AY63" s="4" t="str">
        <f t="shared" si="39"/>
        <v>-</v>
      </c>
      <c r="AZ63" s="19">
        <v>4</v>
      </c>
      <c r="BA63" s="19">
        <v>8</v>
      </c>
      <c r="BB63" s="16">
        <v>1120</v>
      </c>
      <c r="BC63" t="s">
        <v>338</v>
      </c>
      <c r="BD63" t="str">
        <f t="shared" si="21"/>
        <v>-</v>
      </c>
      <c r="BE63">
        <v>296</v>
      </c>
      <c r="BF63">
        <f t="shared" si="22"/>
        <v>355.2</v>
      </c>
      <c r="BG63" t="s">
        <v>338</v>
      </c>
    </row>
    <row r="64" spans="1:59" x14ac:dyDescent="0.4">
      <c r="A64" t="str">
        <f t="shared" si="17"/>
        <v>J20282</v>
      </c>
      <c r="B64" s="3">
        <v>42</v>
      </c>
      <c r="C64" s="3">
        <v>42</v>
      </c>
      <c r="D64" s="4" t="s">
        <v>72</v>
      </c>
      <c r="E64" s="4" t="str">
        <f t="shared" si="24"/>
        <v>J20282</v>
      </c>
      <c r="F64" s="4" t="s">
        <v>72</v>
      </c>
      <c r="G64" s="4" t="str">
        <f t="shared" si="25"/>
        <v>J202825</v>
      </c>
      <c r="H64" s="4" t="s">
        <v>188</v>
      </c>
      <c r="I64" s="5">
        <v>4905009490844</v>
      </c>
      <c r="J64" s="5">
        <v>5</v>
      </c>
      <c r="K64" s="5"/>
      <c r="L64" s="5">
        <v>1</v>
      </c>
      <c r="M64" s="5">
        <v>1</v>
      </c>
      <c r="N64" s="4">
        <v>0</v>
      </c>
      <c r="O64" s="4">
        <v>140</v>
      </c>
      <c r="P64" s="4">
        <v>100</v>
      </c>
      <c r="Q64" s="6">
        <f t="shared" si="26"/>
        <v>0.2857142857142857</v>
      </c>
      <c r="R64" s="4" t="s">
        <v>338</v>
      </c>
      <c r="S64" s="4" t="s">
        <v>338</v>
      </c>
      <c r="T64" s="4" t="s">
        <v>338</v>
      </c>
      <c r="U64" s="4">
        <v>0</v>
      </c>
      <c r="V64" s="4">
        <f t="shared" si="27"/>
        <v>0</v>
      </c>
      <c r="W64" s="4">
        <v>120</v>
      </c>
      <c r="X64" s="4">
        <f t="shared" si="28"/>
        <v>120</v>
      </c>
      <c r="Y64" s="4"/>
      <c r="Z64" s="21">
        <f t="shared" si="29"/>
        <v>168</v>
      </c>
      <c r="AA64" s="6">
        <f t="shared" si="30"/>
        <v>0.2857142857142857</v>
      </c>
      <c r="AB64" s="4">
        <v>0.25</v>
      </c>
      <c r="AC64" s="4">
        <f t="shared" si="31"/>
        <v>133</v>
      </c>
      <c r="AD64" s="4">
        <f t="shared" si="32"/>
        <v>159.6</v>
      </c>
      <c r="AE64" s="6">
        <f t="shared" si="33"/>
        <v>0.24812030075187963</v>
      </c>
      <c r="AF64" s="7">
        <v>220</v>
      </c>
      <c r="AG64" s="6">
        <f t="shared" si="34"/>
        <v>0.45454545454545459</v>
      </c>
      <c r="AH64" s="4">
        <f t="shared" si="35"/>
        <v>100</v>
      </c>
      <c r="AI64" s="28"/>
      <c r="AJ64" s="6"/>
      <c r="AK64" s="6"/>
      <c r="AL64" s="6" t="str">
        <f t="shared" si="36"/>
        <v>-</v>
      </c>
      <c r="AM64" s="6">
        <f t="shared" si="37"/>
        <v>1.5714285714285714</v>
      </c>
      <c r="AN64" s="6">
        <f t="shared" si="38"/>
        <v>1.2</v>
      </c>
      <c r="AO64" s="6" t="str">
        <f t="shared" si="18"/>
        <v>-</v>
      </c>
      <c r="AP64" s="4" t="str">
        <f t="shared" si="23"/>
        <v>-</v>
      </c>
      <c r="AQ64" s="4" t="str">
        <f t="shared" si="19"/>
        <v>-</v>
      </c>
      <c r="AR64" s="4" t="str">
        <f t="shared" si="20"/>
        <v>-</v>
      </c>
      <c r="AS64" s="4">
        <v>0</v>
      </c>
      <c r="AT64" s="4" t="s">
        <v>544</v>
      </c>
      <c r="AU64" s="4"/>
      <c r="AV64" s="4"/>
      <c r="AW64" s="4" t="s">
        <v>545</v>
      </c>
      <c r="AX64" s="4">
        <v>133</v>
      </c>
      <c r="AY64" s="4">
        <f t="shared" si="39"/>
        <v>133</v>
      </c>
      <c r="AZ64" s="19">
        <v>4</v>
      </c>
      <c r="BA64" s="19">
        <v>8</v>
      </c>
      <c r="BB64" s="16">
        <v>1120</v>
      </c>
      <c r="BC64" t="s">
        <v>338</v>
      </c>
      <c r="BD64" t="str">
        <f t="shared" si="21"/>
        <v>-</v>
      </c>
      <c r="BE64">
        <v>133</v>
      </c>
      <c r="BF64">
        <f t="shared" si="22"/>
        <v>159.6</v>
      </c>
      <c r="BG64" t="s">
        <v>391</v>
      </c>
    </row>
    <row r="65" spans="1:59" x14ac:dyDescent="0.4">
      <c r="A65" t="str">
        <f t="shared" si="17"/>
        <v>J20283</v>
      </c>
      <c r="B65" s="3">
        <v>43</v>
      </c>
      <c r="C65" s="3">
        <v>43</v>
      </c>
      <c r="D65" s="4" t="s">
        <v>73</v>
      </c>
      <c r="E65" s="4" t="str">
        <f t="shared" si="24"/>
        <v>J20283</v>
      </c>
      <c r="F65" s="4" t="s">
        <v>73</v>
      </c>
      <c r="G65" s="4" t="str">
        <f t="shared" si="25"/>
        <v>J202835</v>
      </c>
      <c r="H65" s="4" t="s">
        <v>189</v>
      </c>
      <c r="I65" s="5">
        <v>4905009428489</v>
      </c>
      <c r="J65" s="5">
        <v>5</v>
      </c>
      <c r="K65" s="5"/>
      <c r="L65" s="5">
        <v>1</v>
      </c>
      <c r="M65" s="5">
        <v>1</v>
      </c>
      <c r="N65" s="4">
        <v>0</v>
      </c>
      <c r="O65" s="4">
        <v>142</v>
      </c>
      <c r="P65" s="4">
        <v>100</v>
      </c>
      <c r="Q65" s="6">
        <f t="shared" si="26"/>
        <v>0.29577464788732399</v>
      </c>
      <c r="R65" s="4" t="s">
        <v>338</v>
      </c>
      <c r="S65" s="4" t="s">
        <v>338</v>
      </c>
      <c r="T65" s="4" t="s">
        <v>338</v>
      </c>
      <c r="U65" s="4">
        <v>0</v>
      </c>
      <c r="V65" s="4">
        <f t="shared" si="27"/>
        <v>0</v>
      </c>
      <c r="W65" s="4">
        <v>120</v>
      </c>
      <c r="X65" s="4">
        <f t="shared" si="28"/>
        <v>120</v>
      </c>
      <c r="Y65" s="4"/>
      <c r="Z65" s="21">
        <f t="shared" si="29"/>
        <v>170</v>
      </c>
      <c r="AA65" s="6">
        <f t="shared" si="30"/>
        <v>0.29411764705882348</v>
      </c>
      <c r="AB65" s="4">
        <v>0.25</v>
      </c>
      <c r="AC65" s="4">
        <f t="shared" si="31"/>
        <v>250</v>
      </c>
      <c r="AD65" s="4">
        <f t="shared" si="32"/>
        <v>300</v>
      </c>
      <c r="AE65" s="6">
        <f t="shared" si="33"/>
        <v>0.6</v>
      </c>
      <c r="AF65" s="7">
        <v>220</v>
      </c>
      <c r="AG65" s="6">
        <f t="shared" si="34"/>
        <v>0.45454545454545459</v>
      </c>
      <c r="AH65" s="4">
        <f t="shared" si="35"/>
        <v>100</v>
      </c>
      <c r="AI65" s="28"/>
      <c r="AJ65" s="6"/>
      <c r="AK65" s="6"/>
      <c r="AL65" s="6" t="str">
        <f t="shared" si="36"/>
        <v>-</v>
      </c>
      <c r="AM65" s="6">
        <f t="shared" si="37"/>
        <v>1.5492957746478873</v>
      </c>
      <c r="AN65" s="6">
        <f t="shared" si="38"/>
        <v>1.2</v>
      </c>
      <c r="AO65" s="6" t="str">
        <f t="shared" si="18"/>
        <v>-</v>
      </c>
      <c r="AP65" s="4" t="str">
        <f t="shared" si="23"/>
        <v>-</v>
      </c>
      <c r="AQ65" s="4" t="str">
        <f t="shared" si="19"/>
        <v>-</v>
      </c>
      <c r="AR65" s="4" t="str">
        <f t="shared" si="20"/>
        <v>-</v>
      </c>
      <c r="AS65" s="4">
        <v>0</v>
      </c>
      <c r="AT65" s="4" t="s">
        <v>546</v>
      </c>
      <c r="AU65" s="4"/>
      <c r="AV65" s="4"/>
      <c r="AW65" s="4" t="s">
        <v>547</v>
      </c>
      <c r="AX65" s="4">
        <v>250</v>
      </c>
      <c r="AY65" s="4">
        <f t="shared" si="39"/>
        <v>250</v>
      </c>
      <c r="AZ65" s="19">
        <v>4</v>
      </c>
      <c r="BA65" s="19">
        <v>8</v>
      </c>
      <c r="BB65" s="16">
        <v>1120</v>
      </c>
      <c r="BC65" t="s">
        <v>338</v>
      </c>
      <c r="BD65" t="str">
        <f t="shared" si="21"/>
        <v>-</v>
      </c>
      <c r="BE65">
        <v>251</v>
      </c>
      <c r="BF65">
        <f t="shared" si="22"/>
        <v>301.2</v>
      </c>
      <c r="BG65" t="s">
        <v>392</v>
      </c>
    </row>
    <row r="66" spans="1:59" x14ac:dyDescent="0.4">
      <c r="A66" t="str">
        <f t="shared" si="17"/>
        <v>J20296</v>
      </c>
      <c r="B66" s="3">
        <v>64</v>
      </c>
      <c r="C66" s="3">
        <v>64</v>
      </c>
      <c r="D66" s="4" t="s">
        <v>94</v>
      </c>
      <c r="E66" s="4" t="str">
        <f t="shared" si="24"/>
        <v>J20296</v>
      </c>
      <c r="F66" s="4" t="s">
        <v>94</v>
      </c>
      <c r="G66" s="4" t="str">
        <f t="shared" si="25"/>
        <v>J202965</v>
      </c>
      <c r="H66" s="4" t="s">
        <v>210</v>
      </c>
      <c r="I66" s="5">
        <v>4905009708260</v>
      </c>
      <c r="J66" s="5">
        <v>5</v>
      </c>
      <c r="K66" s="5"/>
      <c r="L66" s="5">
        <v>1</v>
      </c>
      <c r="M66" s="5">
        <v>1</v>
      </c>
      <c r="N66" s="4">
        <v>0</v>
      </c>
      <c r="O66" s="4">
        <v>183</v>
      </c>
      <c r="P66" s="4">
        <v>100</v>
      </c>
      <c r="Q66" s="6">
        <f t="shared" si="26"/>
        <v>0.45355191256830596</v>
      </c>
      <c r="R66" s="4">
        <v>170</v>
      </c>
      <c r="S66" s="4">
        <v>4</v>
      </c>
      <c r="T66" s="4">
        <v>99999</v>
      </c>
      <c r="U66" s="4">
        <v>0</v>
      </c>
      <c r="V66" s="4">
        <f t="shared" si="27"/>
        <v>0</v>
      </c>
      <c r="W66" s="4">
        <v>120</v>
      </c>
      <c r="X66" s="4">
        <f t="shared" si="28"/>
        <v>120</v>
      </c>
      <c r="Y66" s="4"/>
      <c r="Z66" s="21">
        <f t="shared" si="29"/>
        <v>220</v>
      </c>
      <c r="AA66" s="6">
        <f t="shared" si="30"/>
        <v>0.45454545454545459</v>
      </c>
      <c r="AB66" s="4">
        <v>60.750000000000007</v>
      </c>
      <c r="AC66" s="4">
        <f t="shared" si="31"/>
        <v>195.5</v>
      </c>
      <c r="AD66" s="4">
        <f t="shared" si="32"/>
        <v>234.6</v>
      </c>
      <c r="AE66" s="6">
        <f t="shared" si="33"/>
        <v>0.48849104859335035</v>
      </c>
      <c r="AF66" s="7">
        <v>220</v>
      </c>
      <c r="AG66" s="6">
        <f t="shared" si="34"/>
        <v>0.45454545454545459</v>
      </c>
      <c r="AH66" s="4">
        <f t="shared" si="35"/>
        <v>100</v>
      </c>
      <c r="AI66" s="28"/>
      <c r="AJ66" s="6"/>
      <c r="AK66" s="6"/>
      <c r="AL66" s="41" t="str">
        <f t="shared" si="36"/>
        <v>-</v>
      </c>
      <c r="AM66" s="6">
        <f t="shared" si="37"/>
        <v>1.2021857923497268</v>
      </c>
      <c r="AN66" s="6">
        <f t="shared" si="38"/>
        <v>1.2</v>
      </c>
      <c r="AO66" s="6">
        <f t="shared" si="18"/>
        <v>0.34426229508196726</v>
      </c>
      <c r="AP66" s="4">
        <v>183</v>
      </c>
      <c r="AQ66" s="4">
        <f t="shared" si="19"/>
        <v>4</v>
      </c>
      <c r="AR66" s="4">
        <f t="shared" si="20"/>
        <v>99999</v>
      </c>
      <c r="AS66" s="4">
        <v>0</v>
      </c>
      <c r="AT66" s="4" t="s">
        <v>548</v>
      </c>
      <c r="AU66" s="4">
        <v>1</v>
      </c>
      <c r="AV66" s="4">
        <v>8</v>
      </c>
      <c r="AW66" s="4" t="s">
        <v>549</v>
      </c>
      <c r="AX66" s="4">
        <v>1564</v>
      </c>
      <c r="AY66" s="4">
        <f t="shared" si="39"/>
        <v>195.5</v>
      </c>
      <c r="AZ66" s="19">
        <v>4</v>
      </c>
      <c r="BA66" s="19">
        <v>1</v>
      </c>
      <c r="BB66" s="16">
        <v>1120</v>
      </c>
      <c r="BC66" t="s">
        <v>338</v>
      </c>
      <c r="BD66" t="str">
        <f t="shared" si="21"/>
        <v>-</v>
      </c>
      <c r="BE66">
        <v>246</v>
      </c>
      <c r="BF66">
        <f t="shared" si="22"/>
        <v>295.2</v>
      </c>
      <c r="BG66" t="s">
        <v>393</v>
      </c>
    </row>
    <row r="67" spans="1:59" x14ac:dyDescent="0.4">
      <c r="A67" t="str">
        <f t="shared" si="17"/>
        <v>J20297</v>
      </c>
      <c r="B67" s="3">
        <v>65</v>
      </c>
      <c r="C67" s="3">
        <v>65</v>
      </c>
      <c r="D67" s="4" t="s">
        <v>95</v>
      </c>
      <c r="E67" s="4" t="str">
        <f t="shared" si="24"/>
        <v>J20297</v>
      </c>
      <c r="F67" s="4" t="s">
        <v>95</v>
      </c>
      <c r="G67" s="4" t="str">
        <f t="shared" si="25"/>
        <v>J202975</v>
      </c>
      <c r="H67" s="4" t="s">
        <v>211</v>
      </c>
      <c r="I67" s="5">
        <v>4905009708277</v>
      </c>
      <c r="J67" s="5">
        <v>5</v>
      </c>
      <c r="K67" s="5"/>
      <c r="L67" s="5">
        <v>1</v>
      </c>
      <c r="M67" s="5">
        <v>1</v>
      </c>
      <c r="N67" s="4">
        <v>0</v>
      </c>
      <c r="O67" s="4">
        <v>242</v>
      </c>
      <c r="P67" s="4">
        <v>120</v>
      </c>
      <c r="Q67" s="6">
        <f t="shared" si="26"/>
        <v>0.50413223140495866</v>
      </c>
      <c r="R67" s="4">
        <v>230</v>
      </c>
      <c r="S67" s="4">
        <v>4</v>
      </c>
      <c r="T67" s="4">
        <v>99999</v>
      </c>
      <c r="U67" s="4">
        <v>0</v>
      </c>
      <c r="V67" s="4">
        <f t="shared" si="27"/>
        <v>0</v>
      </c>
      <c r="W67" s="4">
        <v>144</v>
      </c>
      <c r="X67" s="4">
        <f t="shared" si="28"/>
        <v>144</v>
      </c>
      <c r="Y67" s="4"/>
      <c r="Z67" s="21">
        <f t="shared" si="29"/>
        <v>290</v>
      </c>
      <c r="AA67" s="6">
        <f t="shared" si="30"/>
        <v>0.50344827586206897</v>
      </c>
      <c r="AB67" s="4">
        <v>45</v>
      </c>
      <c r="AC67" s="4">
        <f t="shared" si="31"/>
        <v>236.5</v>
      </c>
      <c r="AD67" s="4">
        <f t="shared" si="32"/>
        <v>283.8</v>
      </c>
      <c r="AE67" s="6">
        <f t="shared" si="33"/>
        <v>0.492600422832981</v>
      </c>
      <c r="AF67" s="7">
        <v>278</v>
      </c>
      <c r="AG67" s="6">
        <f t="shared" si="34"/>
        <v>0.48201438848920863</v>
      </c>
      <c r="AH67" s="4">
        <f t="shared" si="35"/>
        <v>134</v>
      </c>
      <c r="AI67" s="28"/>
      <c r="AJ67" s="6"/>
      <c r="AK67" s="6"/>
      <c r="AL67" s="41" t="str">
        <f t="shared" si="36"/>
        <v>-</v>
      </c>
      <c r="AM67" s="6">
        <f t="shared" si="37"/>
        <v>1.1487603305785123</v>
      </c>
      <c r="AN67" s="6">
        <f t="shared" si="38"/>
        <v>1.2</v>
      </c>
      <c r="AO67" s="6">
        <f t="shared" si="18"/>
        <v>0.45454545454545459</v>
      </c>
      <c r="AP67" s="4">
        <f>IFERROR(ROUND($AF67*R67/$O67,0),"-")</f>
        <v>264</v>
      </c>
      <c r="AQ67" s="4">
        <f t="shared" si="19"/>
        <v>4</v>
      </c>
      <c r="AR67" s="4">
        <f t="shared" si="20"/>
        <v>99999</v>
      </c>
      <c r="AS67" s="4">
        <v>0</v>
      </c>
      <c r="AT67" s="4" t="s">
        <v>550</v>
      </c>
      <c r="AU67" s="4">
        <v>1</v>
      </c>
      <c r="AV67" s="4">
        <v>6</v>
      </c>
      <c r="AW67" s="4" t="s">
        <v>551</v>
      </c>
      <c r="AX67" s="4">
        <v>1419</v>
      </c>
      <c r="AY67" s="4">
        <f t="shared" si="39"/>
        <v>236.5</v>
      </c>
      <c r="AZ67" s="19">
        <v>4</v>
      </c>
      <c r="BA67" s="19">
        <v>1</v>
      </c>
      <c r="BB67" s="16">
        <v>1120</v>
      </c>
      <c r="BC67" t="s">
        <v>338</v>
      </c>
      <c r="BD67" t="str">
        <f t="shared" si="21"/>
        <v>-</v>
      </c>
      <c r="BE67">
        <v>244</v>
      </c>
      <c r="BF67">
        <f t="shared" si="22"/>
        <v>292.8</v>
      </c>
      <c r="BG67" t="s">
        <v>394</v>
      </c>
    </row>
    <row r="68" spans="1:59" x14ac:dyDescent="0.4">
      <c r="A68" t="str">
        <f t="shared" si="17"/>
        <v>674969</v>
      </c>
      <c r="B68" s="3">
        <v>22</v>
      </c>
      <c r="C68" s="3">
        <v>22</v>
      </c>
      <c r="D68" s="4">
        <v>674969</v>
      </c>
      <c r="E68" s="4" t="str">
        <f t="shared" ref="E68:E99" si="40">TEXT(D68,"000000")</f>
        <v>674969</v>
      </c>
      <c r="F68" s="4">
        <v>674969</v>
      </c>
      <c r="G68" s="4" t="str">
        <f t="shared" ref="G68:G99" si="41">E68&amp;J68</f>
        <v>6749695</v>
      </c>
      <c r="H68" s="4" t="s">
        <v>168</v>
      </c>
      <c r="I68" s="5">
        <v>4905009428700</v>
      </c>
      <c r="J68" s="5">
        <v>5</v>
      </c>
      <c r="K68" s="5"/>
      <c r="L68" s="5">
        <v>1</v>
      </c>
      <c r="M68" s="5">
        <v>1</v>
      </c>
      <c r="N68" s="4">
        <v>0</v>
      </c>
      <c r="O68" s="4">
        <v>181</v>
      </c>
      <c r="P68" s="4">
        <v>130</v>
      </c>
      <c r="Q68" s="6">
        <f t="shared" ref="Q68:Q99" si="42">IFERROR(1-P68/O68,"-")</f>
        <v>0.28176795580110492</v>
      </c>
      <c r="R68" s="4" t="s">
        <v>338</v>
      </c>
      <c r="S68" s="4" t="s">
        <v>338</v>
      </c>
      <c r="T68" s="4" t="s">
        <v>338</v>
      </c>
      <c r="U68" s="4">
        <v>0</v>
      </c>
      <c r="V68" s="4">
        <f t="shared" ref="V68:V99" si="43">IF(Y68="",U68,U68*Y68)</f>
        <v>0</v>
      </c>
      <c r="W68" s="4">
        <v>156</v>
      </c>
      <c r="X68" s="4">
        <f t="shared" ref="X68:X99" si="44">IF(Y68="",W68,W68*Y68)</f>
        <v>156</v>
      </c>
      <c r="Y68" s="4"/>
      <c r="Z68" s="21">
        <f t="shared" ref="Z68:Z99" si="45">ROUND(O68*AN68,0)</f>
        <v>217</v>
      </c>
      <c r="AA68" s="6">
        <f t="shared" ref="AA68:AA99" si="46">IFERROR(1-X68/Z68,"-")</f>
        <v>0.28110599078341014</v>
      </c>
      <c r="AB68" s="4">
        <v>0.25</v>
      </c>
      <c r="AC68" s="4">
        <f t="shared" ref="AC68:AC99" si="47">AY68</f>
        <v>262</v>
      </c>
      <c r="AD68" s="4">
        <f t="shared" ref="AD68:AD99" si="48">IFERROR(AC68*AN68,"-")</f>
        <v>314.39999999999998</v>
      </c>
      <c r="AE68" s="6">
        <f t="shared" ref="AE68:AE99" si="49">IFERROR(1-X68/AD68,"-")</f>
        <v>0.50381679389312972</v>
      </c>
      <c r="AF68" s="7">
        <v>280</v>
      </c>
      <c r="AG68" s="6">
        <f t="shared" ref="AG68:AG99" si="50">1-X68/AF68</f>
        <v>0.44285714285714284</v>
      </c>
      <c r="AH68" s="4">
        <f t="shared" ref="AH68:AH99" si="51">AF68-X68</f>
        <v>124</v>
      </c>
      <c r="AI68" s="28"/>
      <c r="AJ68" s="6"/>
      <c r="AK68" s="6"/>
      <c r="AL68" s="6" t="str">
        <f t="shared" ref="AL68:AL99" si="52">IFERROR(V68/N68,"-")</f>
        <v>-</v>
      </c>
      <c r="AM68" s="6">
        <f t="shared" ref="AM68:AM99" si="53">IFERROR(AF68/O68,"-")</f>
        <v>1.5469613259668509</v>
      </c>
      <c r="AN68" s="6">
        <f t="shared" ref="AN68:AN99" si="54">IFERROR(X68/P68,"-")</f>
        <v>1.2</v>
      </c>
      <c r="AO68" s="6" t="str">
        <f t="shared" si="18"/>
        <v>-</v>
      </c>
      <c r="AP68" s="4" t="str">
        <f>IFERROR(ROUND($AF68*R68/$O68,0),"-")</f>
        <v>-</v>
      </c>
      <c r="AQ68" s="4" t="str">
        <f t="shared" si="19"/>
        <v>-</v>
      </c>
      <c r="AR68" s="4" t="str">
        <f t="shared" si="20"/>
        <v>-</v>
      </c>
      <c r="AS68" s="4">
        <v>0</v>
      </c>
      <c r="AT68" s="4" t="s">
        <v>552</v>
      </c>
      <c r="AU68" s="4">
        <v>1</v>
      </c>
      <c r="AV68" s="4">
        <v>5</v>
      </c>
      <c r="AW68" s="4" t="s">
        <v>553</v>
      </c>
      <c r="AX68" s="4">
        <v>1310</v>
      </c>
      <c r="AY68" s="4">
        <f t="shared" ref="AY68:AY99" si="55">IF(AU68="",AX68,AU68/AV68*AX68)</f>
        <v>262</v>
      </c>
      <c r="AZ68" s="19">
        <v>4</v>
      </c>
      <c r="BA68" s="19">
        <v>8</v>
      </c>
      <c r="BB68" s="16">
        <v>1120</v>
      </c>
      <c r="BC68" t="s">
        <v>338</v>
      </c>
      <c r="BD68" t="str">
        <f t="shared" si="21"/>
        <v>-</v>
      </c>
      <c r="BE68">
        <v>255</v>
      </c>
      <c r="BF68">
        <f t="shared" si="22"/>
        <v>306</v>
      </c>
      <c r="BG68" t="s">
        <v>395</v>
      </c>
    </row>
    <row r="69" spans="1:59" x14ac:dyDescent="0.4">
      <c r="A69" t="str">
        <f t="shared" ref="A69:A132" si="56">TEXT(F69,"000000")</f>
        <v>J20284</v>
      </c>
      <c r="B69" s="3">
        <v>46</v>
      </c>
      <c r="C69" s="3">
        <v>46</v>
      </c>
      <c r="D69" s="4" t="s">
        <v>76</v>
      </c>
      <c r="E69" s="4" t="str">
        <f t="shared" si="40"/>
        <v>J20284</v>
      </c>
      <c r="F69" s="4" t="s">
        <v>76</v>
      </c>
      <c r="G69" s="4" t="str">
        <f t="shared" si="41"/>
        <v>J202845</v>
      </c>
      <c r="H69" s="4" t="s">
        <v>192</v>
      </c>
      <c r="I69" s="5">
        <v>4905009428496</v>
      </c>
      <c r="J69" s="5">
        <v>5</v>
      </c>
      <c r="K69" s="5"/>
      <c r="L69" s="5">
        <v>1</v>
      </c>
      <c r="M69" s="5">
        <v>1</v>
      </c>
      <c r="N69" s="4">
        <v>0</v>
      </c>
      <c r="O69" s="4">
        <v>263</v>
      </c>
      <c r="P69" s="4">
        <v>130</v>
      </c>
      <c r="Q69" s="6">
        <f t="shared" si="42"/>
        <v>0.50570342205323193</v>
      </c>
      <c r="R69" s="4" t="s">
        <v>338</v>
      </c>
      <c r="S69" s="4" t="s">
        <v>338</v>
      </c>
      <c r="T69" s="4" t="s">
        <v>338</v>
      </c>
      <c r="U69" s="4">
        <v>0</v>
      </c>
      <c r="V69" s="4">
        <f t="shared" si="43"/>
        <v>0</v>
      </c>
      <c r="W69" s="4">
        <v>156</v>
      </c>
      <c r="X69" s="4">
        <f t="shared" si="44"/>
        <v>156</v>
      </c>
      <c r="Y69" s="4"/>
      <c r="Z69" s="21">
        <f t="shared" si="45"/>
        <v>316</v>
      </c>
      <c r="AA69" s="6">
        <f t="shared" si="46"/>
        <v>0.50632911392405067</v>
      </c>
      <c r="AB69" s="4">
        <v>0.5</v>
      </c>
      <c r="AC69" s="4">
        <f t="shared" si="47"/>
        <v>300</v>
      </c>
      <c r="AD69" s="4">
        <f t="shared" si="48"/>
        <v>360</v>
      </c>
      <c r="AE69" s="6">
        <f t="shared" si="49"/>
        <v>0.56666666666666665</v>
      </c>
      <c r="AF69" s="7">
        <v>280</v>
      </c>
      <c r="AG69" s="6">
        <f t="shared" si="50"/>
        <v>0.44285714285714284</v>
      </c>
      <c r="AH69" s="4">
        <f t="shared" si="51"/>
        <v>124</v>
      </c>
      <c r="AI69" s="28"/>
      <c r="AJ69" s="6"/>
      <c r="AK69" s="6"/>
      <c r="AL69" s="6" t="str">
        <f t="shared" si="52"/>
        <v>-</v>
      </c>
      <c r="AM69" s="6">
        <f t="shared" si="53"/>
        <v>1.064638783269962</v>
      </c>
      <c r="AN69" s="6">
        <f t="shared" si="54"/>
        <v>1.2</v>
      </c>
      <c r="AO69" s="6" t="str">
        <f t="shared" ref="AO69:AO132" si="57">IFERROR(1-X69/AP69,"-")</f>
        <v>-</v>
      </c>
      <c r="AP69" s="4" t="str">
        <f t="shared" ref="AP69:AP132" si="58">IFERROR(ROUND($AF69*R69/$O69,0),"-")</f>
        <v>-</v>
      </c>
      <c r="AQ69" s="4" t="str">
        <f t="shared" ref="AQ69:AQ132" si="59">IF(S69="","-",S69)</f>
        <v>-</v>
      </c>
      <c r="AR69" s="4" t="str">
        <f t="shared" ref="AR69:AR132" si="60">IF(T69="","-",T69)</f>
        <v>-</v>
      </c>
      <c r="AS69" s="4">
        <v>0</v>
      </c>
      <c r="AT69" s="4" t="s">
        <v>554</v>
      </c>
      <c r="AU69" s="4"/>
      <c r="AV69" s="4"/>
      <c r="AW69" s="4" t="s">
        <v>547</v>
      </c>
      <c r="AX69" s="4">
        <v>300</v>
      </c>
      <c r="AY69" s="4">
        <f t="shared" si="55"/>
        <v>300</v>
      </c>
      <c r="AZ69" s="19">
        <v>4</v>
      </c>
      <c r="BA69" s="19">
        <v>8</v>
      </c>
      <c r="BB69" s="16">
        <v>1120</v>
      </c>
      <c r="BC69" t="s">
        <v>338</v>
      </c>
      <c r="BD69" t="str">
        <f t="shared" ref="BD69:BD132" si="61">IFERROR(BC69*AN69,"-")</f>
        <v>-</v>
      </c>
      <c r="BE69">
        <v>313</v>
      </c>
      <c r="BF69">
        <f t="shared" ref="BF69:BF132" si="62">IFERROR(BE69*AN69,"-")</f>
        <v>375.59999999999997</v>
      </c>
      <c r="BG69" t="s">
        <v>396</v>
      </c>
    </row>
    <row r="70" spans="1:59" x14ac:dyDescent="0.4">
      <c r="A70" t="str">
        <f t="shared" si="56"/>
        <v>J20298</v>
      </c>
      <c r="B70" s="3">
        <v>66</v>
      </c>
      <c r="C70" s="3">
        <v>66</v>
      </c>
      <c r="D70" s="4" t="s">
        <v>96</v>
      </c>
      <c r="E70" s="4" t="str">
        <f t="shared" si="40"/>
        <v>J20298</v>
      </c>
      <c r="F70" s="4" t="s">
        <v>96</v>
      </c>
      <c r="G70" s="4" t="str">
        <f t="shared" si="41"/>
        <v>J202985</v>
      </c>
      <c r="H70" s="4" t="s">
        <v>212</v>
      </c>
      <c r="I70" s="5">
        <v>4905009708284</v>
      </c>
      <c r="J70" s="5">
        <v>5</v>
      </c>
      <c r="K70" s="5"/>
      <c r="L70" s="5">
        <v>1</v>
      </c>
      <c r="M70" s="5">
        <v>1</v>
      </c>
      <c r="N70" s="4">
        <v>0</v>
      </c>
      <c r="O70" s="4">
        <v>263</v>
      </c>
      <c r="P70" s="4">
        <v>130</v>
      </c>
      <c r="Q70" s="6">
        <f t="shared" si="42"/>
        <v>0.50570342205323193</v>
      </c>
      <c r="R70" s="4">
        <v>250</v>
      </c>
      <c r="S70" s="4">
        <v>10</v>
      </c>
      <c r="T70" s="4">
        <v>99999</v>
      </c>
      <c r="U70" s="4">
        <v>0</v>
      </c>
      <c r="V70" s="4">
        <f t="shared" si="43"/>
        <v>0</v>
      </c>
      <c r="W70" s="4">
        <v>156</v>
      </c>
      <c r="X70" s="4">
        <f t="shared" si="44"/>
        <v>156</v>
      </c>
      <c r="Y70" s="4"/>
      <c r="Z70" s="21">
        <f t="shared" si="45"/>
        <v>316</v>
      </c>
      <c r="AA70" s="6">
        <f t="shared" si="46"/>
        <v>0.50632911392405067</v>
      </c>
      <c r="AB70" s="4">
        <v>31.25</v>
      </c>
      <c r="AC70" s="4">
        <f t="shared" si="47"/>
        <v>242</v>
      </c>
      <c r="AD70" s="4">
        <f t="shared" si="48"/>
        <v>290.39999999999998</v>
      </c>
      <c r="AE70" s="6">
        <f t="shared" si="49"/>
        <v>0.46280991735537191</v>
      </c>
      <c r="AF70" s="7">
        <v>280</v>
      </c>
      <c r="AG70" s="6">
        <f t="shared" si="50"/>
        <v>0.44285714285714284</v>
      </c>
      <c r="AH70" s="4">
        <f t="shared" si="51"/>
        <v>124</v>
      </c>
      <c r="AI70" s="28"/>
      <c r="AJ70" s="6"/>
      <c r="AK70" s="6"/>
      <c r="AL70" s="41" t="str">
        <f t="shared" si="52"/>
        <v>-</v>
      </c>
      <c r="AM70" s="6">
        <f t="shared" si="53"/>
        <v>1.064638783269962</v>
      </c>
      <c r="AN70" s="6">
        <f t="shared" si="54"/>
        <v>1.2</v>
      </c>
      <c r="AO70" s="6">
        <f t="shared" si="57"/>
        <v>0.4135338345864662</v>
      </c>
      <c r="AP70" s="4">
        <f t="shared" si="58"/>
        <v>266</v>
      </c>
      <c r="AQ70" s="4">
        <f t="shared" si="59"/>
        <v>10</v>
      </c>
      <c r="AR70" s="4">
        <f t="shared" si="60"/>
        <v>99999</v>
      </c>
      <c r="AS70" s="4">
        <v>0</v>
      </c>
      <c r="AT70" s="4" t="s">
        <v>555</v>
      </c>
      <c r="AU70" s="4">
        <v>1</v>
      </c>
      <c r="AV70" s="4">
        <v>5</v>
      </c>
      <c r="AW70" s="4" t="s">
        <v>556</v>
      </c>
      <c r="AX70" s="4">
        <v>1210</v>
      </c>
      <c r="AY70" s="4">
        <f t="shared" si="55"/>
        <v>242</v>
      </c>
      <c r="AZ70" s="19">
        <v>4</v>
      </c>
      <c r="BA70" s="19">
        <v>1</v>
      </c>
      <c r="BB70" s="16">
        <v>1120</v>
      </c>
      <c r="BC70" t="s">
        <v>338</v>
      </c>
      <c r="BD70" t="str">
        <f t="shared" si="61"/>
        <v>-</v>
      </c>
      <c r="BE70">
        <v>309</v>
      </c>
      <c r="BF70">
        <f t="shared" si="62"/>
        <v>370.8</v>
      </c>
      <c r="BG70" t="s">
        <v>397</v>
      </c>
    </row>
    <row r="71" spans="1:59" x14ac:dyDescent="0.4">
      <c r="A71" t="str">
        <f t="shared" si="56"/>
        <v>J20290</v>
      </c>
      <c r="B71" s="3">
        <v>58</v>
      </c>
      <c r="C71" s="3">
        <v>58</v>
      </c>
      <c r="D71" s="4" t="s">
        <v>88</v>
      </c>
      <c r="E71" s="4" t="str">
        <f t="shared" si="40"/>
        <v>J20290</v>
      </c>
      <c r="F71" s="4" t="s">
        <v>88</v>
      </c>
      <c r="G71" s="4" t="str">
        <f t="shared" si="41"/>
        <v>J202905</v>
      </c>
      <c r="H71" s="4" t="s">
        <v>204</v>
      </c>
      <c r="I71" s="5">
        <v>4905009427352</v>
      </c>
      <c r="J71" s="5">
        <v>5</v>
      </c>
      <c r="K71" s="5"/>
      <c r="L71" s="5">
        <v>1</v>
      </c>
      <c r="M71" s="5">
        <v>1</v>
      </c>
      <c r="N71" s="4">
        <v>0</v>
      </c>
      <c r="O71" s="4">
        <v>250</v>
      </c>
      <c r="P71" s="4">
        <v>140</v>
      </c>
      <c r="Q71" s="6">
        <f t="shared" si="42"/>
        <v>0.43999999999999995</v>
      </c>
      <c r="R71" s="4">
        <v>240</v>
      </c>
      <c r="S71" s="4">
        <v>4</v>
      </c>
      <c r="T71" s="4">
        <v>99999</v>
      </c>
      <c r="U71" s="4">
        <v>0</v>
      </c>
      <c r="V71" s="4">
        <f t="shared" si="43"/>
        <v>0</v>
      </c>
      <c r="W71" s="4">
        <v>168</v>
      </c>
      <c r="X71" s="4">
        <f t="shared" si="44"/>
        <v>168</v>
      </c>
      <c r="Y71" s="4"/>
      <c r="Z71" s="21">
        <f t="shared" si="45"/>
        <v>300</v>
      </c>
      <c r="AA71" s="6">
        <f t="shared" si="46"/>
        <v>0.43999999999999995</v>
      </c>
      <c r="AB71" s="4">
        <v>151.75</v>
      </c>
      <c r="AC71" s="4" t="str">
        <f t="shared" si="47"/>
        <v>-</v>
      </c>
      <c r="AD71" s="4" t="str">
        <f t="shared" si="48"/>
        <v>-</v>
      </c>
      <c r="AE71" s="6" t="str">
        <f t="shared" si="49"/>
        <v>-</v>
      </c>
      <c r="AF71" s="7">
        <v>300</v>
      </c>
      <c r="AG71" s="6">
        <f t="shared" si="50"/>
        <v>0.43999999999999995</v>
      </c>
      <c r="AH71" s="4">
        <f t="shared" si="51"/>
        <v>132</v>
      </c>
      <c r="AI71" s="28"/>
      <c r="AJ71" s="6"/>
      <c r="AK71" s="6"/>
      <c r="AL71" s="41" t="str">
        <f t="shared" si="52"/>
        <v>-</v>
      </c>
      <c r="AM71" s="6">
        <f t="shared" si="53"/>
        <v>1.2</v>
      </c>
      <c r="AN71" s="6">
        <f t="shared" si="54"/>
        <v>1.2</v>
      </c>
      <c r="AO71" s="6">
        <f t="shared" si="57"/>
        <v>0.38909090909090904</v>
      </c>
      <c r="AP71" s="4">
        <v>275</v>
      </c>
      <c r="AQ71" s="4">
        <f t="shared" si="59"/>
        <v>4</v>
      </c>
      <c r="AR71" s="4">
        <f t="shared" si="60"/>
        <v>99999</v>
      </c>
      <c r="AS71" s="4" t="s">
        <v>323</v>
      </c>
      <c r="AT71" s="4" t="s">
        <v>338</v>
      </c>
      <c r="AU71" s="4"/>
      <c r="AV71" s="4"/>
      <c r="AW71" s="4" t="s">
        <v>338</v>
      </c>
      <c r="AX71" s="4" t="s">
        <v>338</v>
      </c>
      <c r="AY71" s="4" t="str">
        <f t="shared" si="55"/>
        <v>-</v>
      </c>
      <c r="AZ71" s="19">
        <v>4</v>
      </c>
      <c r="BA71" s="19">
        <v>1</v>
      </c>
      <c r="BB71" s="16">
        <v>1120</v>
      </c>
      <c r="BC71" t="s">
        <v>338</v>
      </c>
      <c r="BD71" t="str">
        <f t="shared" si="61"/>
        <v>-</v>
      </c>
      <c r="BE71">
        <v>250</v>
      </c>
      <c r="BF71">
        <f t="shared" si="62"/>
        <v>300</v>
      </c>
      <c r="BG71" t="s">
        <v>338</v>
      </c>
    </row>
    <row r="72" spans="1:59" x14ac:dyDescent="0.4">
      <c r="A72" t="str">
        <f t="shared" si="56"/>
        <v>601319</v>
      </c>
      <c r="B72" s="3">
        <v>9</v>
      </c>
      <c r="C72" s="3">
        <v>9</v>
      </c>
      <c r="D72" s="4">
        <v>601319</v>
      </c>
      <c r="E72" s="4" t="str">
        <f t="shared" si="40"/>
        <v>601319</v>
      </c>
      <c r="F72" s="4">
        <v>601319</v>
      </c>
      <c r="G72" s="4" t="str">
        <f t="shared" si="41"/>
        <v>6013195</v>
      </c>
      <c r="H72" s="4" t="s">
        <v>155</v>
      </c>
      <c r="I72" s="5">
        <v>4905009490851</v>
      </c>
      <c r="J72" s="5">
        <v>5</v>
      </c>
      <c r="K72" s="5"/>
      <c r="L72" s="5">
        <v>1</v>
      </c>
      <c r="M72" s="5">
        <v>1</v>
      </c>
      <c r="N72" s="4">
        <v>0</v>
      </c>
      <c r="O72" s="4">
        <v>248</v>
      </c>
      <c r="P72" s="4">
        <v>141</v>
      </c>
      <c r="Q72" s="6">
        <f t="shared" si="42"/>
        <v>0.43145161290322576</v>
      </c>
      <c r="R72" s="4">
        <v>230</v>
      </c>
      <c r="S72" s="4">
        <v>4</v>
      </c>
      <c r="T72" s="4">
        <v>99999</v>
      </c>
      <c r="U72" s="4">
        <v>0</v>
      </c>
      <c r="V72" s="4">
        <f t="shared" si="43"/>
        <v>0</v>
      </c>
      <c r="W72" s="4">
        <v>169</v>
      </c>
      <c r="X72" s="4">
        <f t="shared" si="44"/>
        <v>169</v>
      </c>
      <c r="Y72" s="4"/>
      <c r="Z72" s="21">
        <f t="shared" si="45"/>
        <v>297</v>
      </c>
      <c r="AA72" s="6">
        <f t="shared" si="46"/>
        <v>0.43097643097643101</v>
      </c>
      <c r="AB72" s="4">
        <v>41</v>
      </c>
      <c r="AC72" s="4">
        <f t="shared" si="47"/>
        <v>275.60000000000002</v>
      </c>
      <c r="AD72" s="4">
        <f t="shared" si="48"/>
        <v>330.32907801418446</v>
      </c>
      <c r="AE72" s="6">
        <f t="shared" si="49"/>
        <v>0.48838896952104505</v>
      </c>
      <c r="AF72" s="7">
        <v>298</v>
      </c>
      <c r="AG72" s="6">
        <f t="shared" si="50"/>
        <v>0.43288590604026844</v>
      </c>
      <c r="AH72" s="4">
        <f t="shared" si="51"/>
        <v>129</v>
      </c>
      <c r="AI72" s="28"/>
      <c r="AJ72" s="6"/>
      <c r="AK72" s="6"/>
      <c r="AL72" s="41" t="str">
        <f t="shared" si="52"/>
        <v>-</v>
      </c>
      <c r="AM72" s="6">
        <f t="shared" si="53"/>
        <v>1.2016129032258065</v>
      </c>
      <c r="AN72" s="6">
        <f t="shared" si="54"/>
        <v>1.198581560283688</v>
      </c>
      <c r="AO72" s="6">
        <f t="shared" si="57"/>
        <v>0.33725490196078434</v>
      </c>
      <c r="AP72" s="4">
        <v>255</v>
      </c>
      <c r="AQ72" s="4">
        <f t="shared" si="59"/>
        <v>4</v>
      </c>
      <c r="AR72" s="4">
        <f t="shared" si="60"/>
        <v>99999</v>
      </c>
      <c r="AS72" s="4" t="s">
        <v>323</v>
      </c>
      <c r="AT72" s="4" t="s">
        <v>557</v>
      </c>
      <c r="AU72" s="4">
        <v>1</v>
      </c>
      <c r="AV72" s="4">
        <v>5</v>
      </c>
      <c r="AW72" s="4" t="s">
        <v>556</v>
      </c>
      <c r="AX72" s="4">
        <v>1378</v>
      </c>
      <c r="AY72" s="4">
        <f t="shared" si="55"/>
        <v>275.60000000000002</v>
      </c>
      <c r="AZ72" s="19">
        <v>4</v>
      </c>
      <c r="BA72" s="19">
        <v>1</v>
      </c>
      <c r="BB72" s="16">
        <v>1120</v>
      </c>
      <c r="BC72" t="s">
        <v>338</v>
      </c>
      <c r="BD72" t="str">
        <f t="shared" si="61"/>
        <v>-</v>
      </c>
      <c r="BE72">
        <v>228</v>
      </c>
      <c r="BF72">
        <f t="shared" si="62"/>
        <v>273.27659574468089</v>
      </c>
      <c r="BG72" t="s">
        <v>398</v>
      </c>
    </row>
    <row r="73" spans="1:59" x14ac:dyDescent="0.4">
      <c r="A73" t="str">
        <f t="shared" si="56"/>
        <v>J352WE</v>
      </c>
      <c r="B73" s="3">
        <v>93</v>
      </c>
      <c r="C73" s="3">
        <v>93</v>
      </c>
      <c r="D73" s="4" t="s">
        <v>110</v>
      </c>
      <c r="E73" s="4" t="str">
        <f t="shared" si="40"/>
        <v>J352WE</v>
      </c>
      <c r="F73" s="4" t="s">
        <v>110</v>
      </c>
      <c r="G73" s="4" t="str">
        <f t="shared" si="41"/>
        <v>J352WE5</v>
      </c>
      <c r="H73" s="4" t="s">
        <v>238</v>
      </c>
      <c r="I73" s="5">
        <v>4905009834143</v>
      </c>
      <c r="J73" s="5">
        <v>5</v>
      </c>
      <c r="K73" s="5"/>
      <c r="L73" s="5">
        <v>1</v>
      </c>
      <c r="M73" s="5">
        <v>1</v>
      </c>
      <c r="N73" s="4">
        <v>0</v>
      </c>
      <c r="O73" s="4">
        <v>360</v>
      </c>
      <c r="P73" s="4">
        <v>180</v>
      </c>
      <c r="Q73" s="6">
        <f t="shared" si="42"/>
        <v>0.5</v>
      </c>
      <c r="R73" s="4" t="s">
        <v>338</v>
      </c>
      <c r="S73" s="4" t="s">
        <v>338</v>
      </c>
      <c r="T73" s="4" t="s">
        <v>338</v>
      </c>
      <c r="U73" s="4">
        <v>0</v>
      </c>
      <c r="V73" s="4">
        <f t="shared" si="43"/>
        <v>0</v>
      </c>
      <c r="W73" s="4">
        <v>216</v>
      </c>
      <c r="X73" s="4">
        <f t="shared" si="44"/>
        <v>216</v>
      </c>
      <c r="Y73" s="4"/>
      <c r="Z73" s="21">
        <f t="shared" si="45"/>
        <v>432</v>
      </c>
      <c r="AA73" s="6">
        <f t="shared" si="46"/>
        <v>0.5</v>
      </c>
      <c r="AB73" s="4">
        <v>13.750000000000002</v>
      </c>
      <c r="AC73" s="4">
        <f t="shared" si="47"/>
        <v>310</v>
      </c>
      <c r="AD73" s="4">
        <f t="shared" si="48"/>
        <v>372</v>
      </c>
      <c r="AE73" s="6">
        <f t="shared" si="49"/>
        <v>0.41935483870967738</v>
      </c>
      <c r="AF73" s="7">
        <v>372</v>
      </c>
      <c r="AG73" s="6">
        <f t="shared" si="50"/>
        <v>0.41935483870967738</v>
      </c>
      <c r="AH73" s="4">
        <f t="shared" si="51"/>
        <v>156</v>
      </c>
      <c r="AI73" s="28"/>
      <c r="AJ73" s="6"/>
      <c r="AK73" s="6"/>
      <c r="AL73" s="6" t="str">
        <f t="shared" si="52"/>
        <v>-</v>
      </c>
      <c r="AM73" s="6">
        <f t="shared" si="53"/>
        <v>1.0333333333333334</v>
      </c>
      <c r="AN73" s="6">
        <f t="shared" si="54"/>
        <v>1.2</v>
      </c>
      <c r="AO73" s="6" t="str">
        <f t="shared" si="57"/>
        <v>-</v>
      </c>
      <c r="AP73" s="4" t="str">
        <f t="shared" si="58"/>
        <v>-</v>
      </c>
      <c r="AQ73" s="4" t="str">
        <f t="shared" si="59"/>
        <v>-</v>
      </c>
      <c r="AR73" s="4" t="str">
        <f t="shared" si="60"/>
        <v>-</v>
      </c>
      <c r="AS73" s="4">
        <v>0</v>
      </c>
      <c r="AT73" s="4" t="s">
        <v>558</v>
      </c>
      <c r="AU73" s="4"/>
      <c r="AV73" s="4"/>
      <c r="AW73" s="4" t="s">
        <v>559</v>
      </c>
      <c r="AX73" s="4">
        <v>310</v>
      </c>
      <c r="AY73" s="4">
        <f t="shared" si="55"/>
        <v>310</v>
      </c>
      <c r="AZ73" s="19">
        <v>4</v>
      </c>
      <c r="BA73" s="19">
        <v>1</v>
      </c>
      <c r="BB73" s="16">
        <v>1120</v>
      </c>
      <c r="BC73" t="s">
        <v>338</v>
      </c>
      <c r="BD73" t="str">
        <f t="shared" si="61"/>
        <v>-</v>
      </c>
      <c r="BE73">
        <v>417</v>
      </c>
      <c r="BF73">
        <f t="shared" si="62"/>
        <v>500.4</v>
      </c>
      <c r="BG73" t="s">
        <v>399</v>
      </c>
    </row>
    <row r="74" spans="1:59" x14ac:dyDescent="0.4">
      <c r="A74" t="str">
        <f t="shared" si="56"/>
        <v>171788</v>
      </c>
      <c r="B74" s="3">
        <v>3</v>
      </c>
      <c r="C74" s="3">
        <v>3</v>
      </c>
      <c r="D74" s="4">
        <v>171788</v>
      </c>
      <c r="E74" s="4" t="str">
        <f t="shared" si="40"/>
        <v>171788</v>
      </c>
      <c r="F74" s="4">
        <v>171788</v>
      </c>
      <c r="G74" s="4" t="str">
        <f t="shared" si="41"/>
        <v>1717885</v>
      </c>
      <c r="H74" s="4" t="s">
        <v>149</v>
      </c>
      <c r="I74" s="5">
        <v>4905009428502</v>
      </c>
      <c r="J74" s="5">
        <v>5</v>
      </c>
      <c r="K74" s="5"/>
      <c r="L74" s="5">
        <v>1</v>
      </c>
      <c r="M74" s="5">
        <v>1</v>
      </c>
      <c r="N74" s="4">
        <v>0</v>
      </c>
      <c r="O74" s="4">
        <v>229</v>
      </c>
      <c r="P74" s="4">
        <v>200</v>
      </c>
      <c r="Q74" s="6">
        <f t="shared" si="42"/>
        <v>0.1266375545851528</v>
      </c>
      <c r="R74" s="4" t="s">
        <v>338</v>
      </c>
      <c r="S74" s="4" t="s">
        <v>338</v>
      </c>
      <c r="T74" s="4" t="s">
        <v>338</v>
      </c>
      <c r="U74" s="4">
        <v>0</v>
      </c>
      <c r="V74" s="4">
        <f t="shared" si="43"/>
        <v>0</v>
      </c>
      <c r="W74" s="4">
        <v>240</v>
      </c>
      <c r="X74" s="4">
        <f t="shared" si="44"/>
        <v>240</v>
      </c>
      <c r="Y74" s="4"/>
      <c r="Z74" s="21">
        <f t="shared" si="45"/>
        <v>275</v>
      </c>
      <c r="AA74" s="6">
        <f t="shared" si="46"/>
        <v>0.12727272727272732</v>
      </c>
      <c r="AB74" s="4">
        <v>0.5</v>
      </c>
      <c r="AC74" s="4">
        <f t="shared" si="47"/>
        <v>303</v>
      </c>
      <c r="AD74" s="4">
        <f t="shared" si="48"/>
        <v>363.59999999999997</v>
      </c>
      <c r="AE74" s="6">
        <f t="shared" si="49"/>
        <v>0.33993399339933983</v>
      </c>
      <c r="AF74" s="7">
        <v>360</v>
      </c>
      <c r="AG74" s="6">
        <f t="shared" si="50"/>
        <v>0.33333333333333337</v>
      </c>
      <c r="AH74" s="4">
        <f t="shared" si="51"/>
        <v>120</v>
      </c>
      <c r="AI74" s="28"/>
      <c r="AJ74" s="6"/>
      <c r="AK74" s="6"/>
      <c r="AL74" s="6" t="str">
        <f t="shared" si="52"/>
        <v>-</v>
      </c>
      <c r="AM74" s="6">
        <f t="shared" si="53"/>
        <v>1.5720524017467248</v>
      </c>
      <c r="AN74" s="6">
        <f t="shared" si="54"/>
        <v>1.2</v>
      </c>
      <c r="AO74" s="6" t="str">
        <f t="shared" si="57"/>
        <v>-</v>
      </c>
      <c r="AP74" s="4" t="str">
        <f t="shared" si="58"/>
        <v>-</v>
      </c>
      <c r="AQ74" s="4" t="str">
        <f t="shared" si="59"/>
        <v>-</v>
      </c>
      <c r="AR74" s="4" t="str">
        <f t="shared" si="60"/>
        <v>-</v>
      </c>
      <c r="AS74" s="4">
        <v>0</v>
      </c>
      <c r="AT74" s="4" t="s">
        <v>560</v>
      </c>
      <c r="AU74" s="4"/>
      <c r="AV74" s="4"/>
      <c r="AW74" s="4" t="s">
        <v>545</v>
      </c>
      <c r="AX74" s="4">
        <v>303</v>
      </c>
      <c r="AY74" s="4">
        <f t="shared" si="55"/>
        <v>303</v>
      </c>
      <c r="AZ74" s="19">
        <v>4</v>
      </c>
      <c r="BA74" s="19">
        <v>8</v>
      </c>
      <c r="BB74" s="16">
        <v>1120</v>
      </c>
      <c r="BC74" t="s">
        <v>338</v>
      </c>
      <c r="BD74" t="str">
        <f t="shared" si="61"/>
        <v>-</v>
      </c>
      <c r="BE74">
        <v>382</v>
      </c>
      <c r="BF74">
        <f t="shared" si="62"/>
        <v>458.4</v>
      </c>
      <c r="BG74" t="s">
        <v>400</v>
      </c>
    </row>
    <row r="75" spans="1:59" x14ac:dyDescent="0.4">
      <c r="A75" t="str">
        <f t="shared" si="56"/>
        <v>J20300</v>
      </c>
      <c r="B75" s="3">
        <v>35</v>
      </c>
      <c r="C75" s="3">
        <v>35</v>
      </c>
      <c r="D75" s="4" t="s">
        <v>65</v>
      </c>
      <c r="E75" s="4" t="str">
        <f t="shared" si="40"/>
        <v>J20300</v>
      </c>
      <c r="F75" s="4" t="s">
        <v>65</v>
      </c>
      <c r="G75" s="4" t="str">
        <f t="shared" si="41"/>
        <v>J203005</v>
      </c>
      <c r="H75" s="4" t="s">
        <v>181</v>
      </c>
      <c r="I75" s="5">
        <v>4905009708338</v>
      </c>
      <c r="J75" s="5">
        <v>5</v>
      </c>
      <c r="K75" s="5"/>
      <c r="L75" s="5">
        <v>1</v>
      </c>
      <c r="M75" s="5">
        <v>1</v>
      </c>
      <c r="N75" s="4">
        <v>0</v>
      </c>
      <c r="O75" s="4">
        <v>358</v>
      </c>
      <c r="P75" s="4">
        <v>200</v>
      </c>
      <c r="Q75" s="6">
        <f t="shared" si="42"/>
        <v>0.44134078212290506</v>
      </c>
      <c r="R75" s="4">
        <v>330</v>
      </c>
      <c r="S75" s="4">
        <v>4</v>
      </c>
      <c r="T75" s="4">
        <v>99999</v>
      </c>
      <c r="U75" s="4">
        <v>0</v>
      </c>
      <c r="V75" s="4">
        <f t="shared" si="43"/>
        <v>0</v>
      </c>
      <c r="W75" s="4">
        <v>240</v>
      </c>
      <c r="X75" s="4">
        <f t="shared" si="44"/>
        <v>240</v>
      </c>
      <c r="Y75" s="4"/>
      <c r="Z75" s="21">
        <f t="shared" si="45"/>
        <v>430</v>
      </c>
      <c r="AA75" s="6">
        <f t="shared" si="46"/>
        <v>0.44186046511627908</v>
      </c>
      <c r="AB75" s="4">
        <v>0.5</v>
      </c>
      <c r="AC75" s="4">
        <f t="shared" si="47"/>
        <v>337</v>
      </c>
      <c r="AD75" s="4">
        <f t="shared" si="48"/>
        <v>404.4</v>
      </c>
      <c r="AE75" s="6">
        <f t="shared" si="49"/>
        <v>0.40652818991097917</v>
      </c>
      <c r="AF75" s="7">
        <v>400</v>
      </c>
      <c r="AG75" s="6">
        <f t="shared" si="50"/>
        <v>0.4</v>
      </c>
      <c r="AH75" s="4">
        <f t="shared" si="51"/>
        <v>160</v>
      </c>
      <c r="AI75" s="28"/>
      <c r="AJ75" s="6"/>
      <c r="AK75" s="6"/>
      <c r="AL75" s="41" t="str">
        <f t="shared" si="52"/>
        <v>-</v>
      </c>
      <c r="AM75" s="6">
        <f t="shared" si="53"/>
        <v>1.1173184357541899</v>
      </c>
      <c r="AN75" s="6">
        <f t="shared" si="54"/>
        <v>1.2</v>
      </c>
      <c r="AO75" s="6">
        <f t="shared" si="57"/>
        <v>0.35135135135135132</v>
      </c>
      <c r="AP75" s="4">
        <v>370</v>
      </c>
      <c r="AQ75" s="4">
        <f t="shared" si="59"/>
        <v>4</v>
      </c>
      <c r="AR75" s="4">
        <f t="shared" si="60"/>
        <v>99999</v>
      </c>
      <c r="AS75" s="4">
        <v>0</v>
      </c>
      <c r="AT75" s="4" t="s">
        <v>561</v>
      </c>
      <c r="AU75" s="4"/>
      <c r="AV75" s="4"/>
      <c r="AW75" s="4" t="s">
        <v>562</v>
      </c>
      <c r="AX75" s="4">
        <v>337</v>
      </c>
      <c r="AY75" s="4">
        <f t="shared" si="55"/>
        <v>337</v>
      </c>
      <c r="AZ75" s="19">
        <v>4</v>
      </c>
      <c r="BA75" s="19">
        <v>8</v>
      </c>
      <c r="BB75" s="16">
        <v>1120</v>
      </c>
      <c r="BC75" t="s">
        <v>338</v>
      </c>
      <c r="BD75" t="str">
        <f t="shared" si="61"/>
        <v>-</v>
      </c>
      <c r="BE75">
        <v>337</v>
      </c>
      <c r="BF75">
        <f t="shared" si="62"/>
        <v>404.4</v>
      </c>
      <c r="BG75" t="s">
        <v>401</v>
      </c>
    </row>
    <row r="76" spans="1:59" x14ac:dyDescent="0.4">
      <c r="A76" t="str">
        <f t="shared" si="56"/>
        <v>J20304</v>
      </c>
      <c r="B76" s="3">
        <v>39</v>
      </c>
      <c r="C76" s="3">
        <v>39</v>
      </c>
      <c r="D76" s="4" t="s">
        <v>69</v>
      </c>
      <c r="E76" s="4" t="str">
        <f t="shared" si="40"/>
        <v>J20304</v>
      </c>
      <c r="F76" s="4" t="s">
        <v>69</v>
      </c>
      <c r="G76" s="4" t="str">
        <f t="shared" si="41"/>
        <v>J203045</v>
      </c>
      <c r="H76" s="4" t="s">
        <v>185</v>
      </c>
      <c r="I76" s="5">
        <v>4905009428717</v>
      </c>
      <c r="J76" s="5">
        <v>5</v>
      </c>
      <c r="K76" s="5"/>
      <c r="L76" s="5">
        <v>1</v>
      </c>
      <c r="M76" s="5">
        <v>1</v>
      </c>
      <c r="N76" s="4">
        <v>0</v>
      </c>
      <c r="O76" s="4">
        <v>318</v>
      </c>
      <c r="P76" s="4">
        <v>200</v>
      </c>
      <c r="Q76" s="6">
        <f t="shared" si="42"/>
        <v>0.37106918238993714</v>
      </c>
      <c r="R76" s="4" t="s">
        <v>338</v>
      </c>
      <c r="S76" s="4" t="s">
        <v>338</v>
      </c>
      <c r="T76" s="4" t="s">
        <v>338</v>
      </c>
      <c r="U76" s="4">
        <v>0</v>
      </c>
      <c r="V76" s="4">
        <f t="shared" si="43"/>
        <v>0</v>
      </c>
      <c r="W76" s="4">
        <v>240</v>
      </c>
      <c r="X76" s="4">
        <f t="shared" si="44"/>
        <v>240</v>
      </c>
      <c r="Y76" s="4"/>
      <c r="Z76" s="21">
        <f t="shared" si="45"/>
        <v>382</v>
      </c>
      <c r="AA76" s="6">
        <f t="shared" si="46"/>
        <v>0.37172774869109948</v>
      </c>
      <c r="AB76" s="4">
        <v>0.25</v>
      </c>
      <c r="AC76" s="4">
        <f t="shared" si="47"/>
        <v>315.5</v>
      </c>
      <c r="AD76" s="4">
        <f t="shared" si="48"/>
        <v>378.59999999999997</v>
      </c>
      <c r="AE76" s="6">
        <f t="shared" si="49"/>
        <v>0.36608557844690959</v>
      </c>
      <c r="AF76" s="7">
        <v>378</v>
      </c>
      <c r="AG76" s="6">
        <f t="shared" si="50"/>
        <v>0.36507936507936511</v>
      </c>
      <c r="AH76" s="4">
        <f t="shared" si="51"/>
        <v>138</v>
      </c>
      <c r="AI76" s="28"/>
      <c r="AJ76" s="6"/>
      <c r="AK76" s="6"/>
      <c r="AL76" s="6" t="str">
        <f t="shared" si="52"/>
        <v>-</v>
      </c>
      <c r="AM76" s="6">
        <f t="shared" si="53"/>
        <v>1.1886792452830188</v>
      </c>
      <c r="AN76" s="6">
        <f t="shared" si="54"/>
        <v>1.2</v>
      </c>
      <c r="AO76" s="6" t="str">
        <f t="shared" si="57"/>
        <v>-</v>
      </c>
      <c r="AP76" s="4" t="str">
        <f t="shared" si="58"/>
        <v>-</v>
      </c>
      <c r="AQ76" s="4" t="str">
        <f t="shared" si="59"/>
        <v>-</v>
      </c>
      <c r="AR76" s="4" t="str">
        <f t="shared" si="60"/>
        <v>-</v>
      </c>
      <c r="AS76" s="4">
        <v>0</v>
      </c>
      <c r="AT76" s="4" t="s">
        <v>563</v>
      </c>
      <c r="AU76" s="4">
        <v>1</v>
      </c>
      <c r="AV76" s="4">
        <v>4</v>
      </c>
      <c r="AW76" s="4" t="s">
        <v>564</v>
      </c>
      <c r="AX76" s="4">
        <v>1262</v>
      </c>
      <c r="AY76" s="4">
        <f t="shared" si="55"/>
        <v>315.5</v>
      </c>
      <c r="AZ76" s="19">
        <v>4</v>
      </c>
      <c r="BA76" s="19">
        <v>8</v>
      </c>
      <c r="BB76" s="16">
        <v>1120</v>
      </c>
      <c r="BC76" t="s">
        <v>338</v>
      </c>
      <c r="BD76" t="str">
        <f t="shared" si="61"/>
        <v>-</v>
      </c>
      <c r="BE76">
        <v>309</v>
      </c>
      <c r="BF76">
        <f t="shared" si="62"/>
        <v>370.8</v>
      </c>
      <c r="BG76" t="s">
        <v>402</v>
      </c>
    </row>
    <row r="77" spans="1:59" x14ac:dyDescent="0.4">
      <c r="A77" t="str">
        <f t="shared" si="56"/>
        <v>171796</v>
      </c>
      <c r="B77" s="3">
        <v>4</v>
      </c>
      <c r="C77" s="3">
        <v>4</v>
      </c>
      <c r="D77" s="4">
        <v>171796</v>
      </c>
      <c r="E77" s="4" t="str">
        <f t="shared" si="40"/>
        <v>171796</v>
      </c>
      <c r="F77" s="4">
        <v>171796</v>
      </c>
      <c r="G77" s="4" t="str">
        <f t="shared" si="41"/>
        <v>1717965</v>
      </c>
      <c r="H77" s="4" t="s">
        <v>150</v>
      </c>
      <c r="I77" s="5">
        <v>4905009428724</v>
      </c>
      <c r="J77" s="5">
        <v>5</v>
      </c>
      <c r="K77" s="5"/>
      <c r="L77" s="5">
        <v>1</v>
      </c>
      <c r="M77" s="5">
        <v>1</v>
      </c>
      <c r="N77" s="4">
        <v>0</v>
      </c>
      <c r="O77" s="4">
        <v>348</v>
      </c>
      <c r="P77" s="4">
        <v>215</v>
      </c>
      <c r="Q77" s="6">
        <f t="shared" si="42"/>
        <v>0.38218390804597702</v>
      </c>
      <c r="R77" s="4" t="s">
        <v>338</v>
      </c>
      <c r="S77" s="4" t="s">
        <v>338</v>
      </c>
      <c r="T77" s="4" t="s">
        <v>338</v>
      </c>
      <c r="U77" s="4">
        <v>0</v>
      </c>
      <c r="V77" s="4">
        <f t="shared" si="43"/>
        <v>0</v>
      </c>
      <c r="W77" s="4">
        <v>258</v>
      </c>
      <c r="X77" s="4">
        <f t="shared" si="44"/>
        <v>258</v>
      </c>
      <c r="Y77" s="4"/>
      <c r="Z77" s="21">
        <f t="shared" si="45"/>
        <v>418</v>
      </c>
      <c r="AA77" s="6">
        <f t="shared" si="46"/>
        <v>0.38277511961722488</v>
      </c>
      <c r="AB77" s="4">
        <v>0.25</v>
      </c>
      <c r="AC77" s="4">
        <f t="shared" si="47"/>
        <v>402</v>
      </c>
      <c r="AD77" s="4">
        <f t="shared" si="48"/>
        <v>482.4</v>
      </c>
      <c r="AE77" s="6">
        <f t="shared" si="49"/>
        <v>0.46517412935323377</v>
      </c>
      <c r="AF77" s="7">
        <v>418</v>
      </c>
      <c r="AG77" s="6">
        <f t="shared" si="50"/>
        <v>0.38277511961722488</v>
      </c>
      <c r="AH77" s="4">
        <f t="shared" si="51"/>
        <v>160</v>
      </c>
      <c r="AI77" s="28"/>
      <c r="AJ77" s="6"/>
      <c r="AK77" s="6"/>
      <c r="AL77" s="6" t="str">
        <f t="shared" si="52"/>
        <v>-</v>
      </c>
      <c r="AM77" s="6">
        <f t="shared" si="53"/>
        <v>1.2011494252873562</v>
      </c>
      <c r="AN77" s="6">
        <f t="shared" si="54"/>
        <v>1.2</v>
      </c>
      <c r="AO77" s="6" t="str">
        <f t="shared" si="57"/>
        <v>-</v>
      </c>
      <c r="AP77" s="4" t="str">
        <f t="shared" si="58"/>
        <v>-</v>
      </c>
      <c r="AQ77" s="4" t="str">
        <f t="shared" si="59"/>
        <v>-</v>
      </c>
      <c r="AR77" s="4" t="str">
        <f t="shared" si="60"/>
        <v>-</v>
      </c>
      <c r="AS77" s="4">
        <v>0</v>
      </c>
      <c r="AT77" s="4" t="s">
        <v>565</v>
      </c>
      <c r="AU77" s="4"/>
      <c r="AV77" s="4"/>
      <c r="AW77" s="4" t="s">
        <v>566</v>
      </c>
      <c r="AX77" s="4">
        <v>402</v>
      </c>
      <c r="AY77" s="4">
        <f t="shared" si="55"/>
        <v>402</v>
      </c>
      <c r="AZ77" s="19">
        <v>4</v>
      </c>
      <c r="BA77" s="19">
        <v>8</v>
      </c>
      <c r="BB77" s="16">
        <v>1120</v>
      </c>
      <c r="BC77" t="s">
        <v>338</v>
      </c>
      <c r="BD77" t="str">
        <f t="shared" si="61"/>
        <v>-</v>
      </c>
      <c r="BE77">
        <v>420</v>
      </c>
      <c r="BF77">
        <f t="shared" si="62"/>
        <v>504</v>
      </c>
      <c r="BG77" t="s">
        <v>403</v>
      </c>
    </row>
    <row r="78" spans="1:59" x14ac:dyDescent="0.4">
      <c r="A78" t="str">
        <f t="shared" si="56"/>
        <v>601331</v>
      </c>
      <c r="B78" s="3">
        <v>12</v>
      </c>
      <c r="C78" s="3">
        <v>12</v>
      </c>
      <c r="D78" s="4">
        <v>601331</v>
      </c>
      <c r="E78" s="4" t="str">
        <f t="shared" si="40"/>
        <v>601331</v>
      </c>
      <c r="F78" s="4">
        <v>601331</v>
      </c>
      <c r="G78" s="4" t="str">
        <f t="shared" si="41"/>
        <v>6013315</v>
      </c>
      <c r="H78" s="4" t="s">
        <v>158</v>
      </c>
      <c r="I78" s="5">
        <v>4905009427451</v>
      </c>
      <c r="J78" s="5">
        <v>5</v>
      </c>
      <c r="K78" s="5"/>
      <c r="L78" s="5">
        <v>1</v>
      </c>
      <c r="M78" s="5">
        <v>1</v>
      </c>
      <c r="N78" s="4">
        <v>0</v>
      </c>
      <c r="O78" s="4">
        <v>564</v>
      </c>
      <c r="P78" s="4">
        <v>235</v>
      </c>
      <c r="Q78" s="6">
        <f t="shared" si="42"/>
        <v>0.58333333333333326</v>
      </c>
      <c r="R78" s="4">
        <v>539</v>
      </c>
      <c r="S78" s="4">
        <v>4</v>
      </c>
      <c r="T78" s="4">
        <v>99999</v>
      </c>
      <c r="U78" s="4">
        <v>0</v>
      </c>
      <c r="V78" s="4">
        <f t="shared" si="43"/>
        <v>0</v>
      </c>
      <c r="W78" s="4">
        <v>281.99999999999994</v>
      </c>
      <c r="X78" s="4">
        <f t="shared" si="44"/>
        <v>281.99999999999994</v>
      </c>
      <c r="Y78" s="4"/>
      <c r="Z78" s="21">
        <f t="shared" si="45"/>
        <v>677</v>
      </c>
      <c r="AA78" s="6">
        <f t="shared" si="46"/>
        <v>0.5834564254062039</v>
      </c>
      <c r="AB78" s="4">
        <v>33.75</v>
      </c>
      <c r="AC78" s="4">
        <f t="shared" si="47"/>
        <v>564</v>
      </c>
      <c r="AD78" s="4">
        <f t="shared" si="48"/>
        <v>676.79999999999984</v>
      </c>
      <c r="AE78" s="6">
        <f t="shared" si="49"/>
        <v>0.58333333333333326</v>
      </c>
      <c r="AF78" s="7">
        <v>670</v>
      </c>
      <c r="AG78" s="6">
        <f t="shared" si="50"/>
        <v>0.57910447761194039</v>
      </c>
      <c r="AH78" s="4">
        <f t="shared" si="51"/>
        <v>388.00000000000006</v>
      </c>
      <c r="AI78" s="28"/>
      <c r="AJ78" s="6"/>
      <c r="AK78" s="6"/>
      <c r="AL78" s="41" t="str">
        <f t="shared" si="52"/>
        <v>-</v>
      </c>
      <c r="AM78" s="6">
        <f t="shared" si="53"/>
        <v>1.1879432624113475</v>
      </c>
      <c r="AN78" s="6">
        <f t="shared" si="54"/>
        <v>1.1999999999999997</v>
      </c>
      <c r="AO78" s="6">
        <f t="shared" si="57"/>
        <v>0.32048192771084349</v>
      </c>
      <c r="AP78" s="4">
        <v>415</v>
      </c>
      <c r="AQ78" s="4">
        <f t="shared" si="59"/>
        <v>4</v>
      </c>
      <c r="AR78" s="4">
        <f t="shared" si="60"/>
        <v>99999</v>
      </c>
      <c r="AS78" s="4" t="s">
        <v>323</v>
      </c>
      <c r="AT78" s="4" t="s">
        <v>567</v>
      </c>
      <c r="AU78" s="4"/>
      <c r="AV78" s="4"/>
      <c r="AW78" s="4" t="s">
        <v>568</v>
      </c>
      <c r="AX78" s="4">
        <v>564</v>
      </c>
      <c r="AY78" s="4">
        <f t="shared" si="55"/>
        <v>564</v>
      </c>
      <c r="AZ78" s="19">
        <v>4</v>
      </c>
      <c r="BA78" s="19">
        <v>1</v>
      </c>
      <c r="BB78" s="16">
        <v>1120</v>
      </c>
      <c r="BC78" t="s">
        <v>338</v>
      </c>
      <c r="BD78" t="str">
        <f t="shared" si="61"/>
        <v>-</v>
      </c>
      <c r="BE78">
        <v>365</v>
      </c>
      <c r="BF78">
        <f t="shared" si="62"/>
        <v>437.99999999999989</v>
      </c>
      <c r="BG78" t="s">
        <v>404</v>
      </c>
    </row>
    <row r="79" spans="1:59" x14ac:dyDescent="0.4">
      <c r="A79" t="str">
        <f t="shared" si="56"/>
        <v>669460</v>
      </c>
      <c r="B79" s="3">
        <v>80</v>
      </c>
      <c r="C79" s="3">
        <v>80</v>
      </c>
      <c r="D79" s="4">
        <v>669460</v>
      </c>
      <c r="E79" s="4" t="str">
        <f t="shared" si="40"/>
        <v>669460</v>
      </c>
      <c r="F79" s="4">
        <v>669460</v>
      </c>
      <c r="G79" s="4" t="str">
        <f t="shared" si="41"/>
        <v>6694605</v>
      </c>
      <c r="H79" s="4" t="s">
        <v>225</v>
      </c>
      <c r="I79" s="5">
        <v>4905009834150</v>
      </c>
      <c r="J79" s="5">
        <v>5</v>
      </c>
      <c r="K79" s="5"/>
      <c r="L79" s="5">
        <v>1</v>
      </c>
      <c r="M79" s="5">
        <v>1</v>
      </c>
      <c r="N79" s="4">
        <v>0</v>
      </c>
      <c r="O79" s="4">
        <v>908</v>
      </c>
      <c r="P79" s="4">
        <v>292</v>
      </c>
      <c r="Q79" s="6">
        <f t="shared" si="42"/>
        <v>0.6784140969162995</v>
      </c>
      <c r="R79" s="4" t="s">
        <v>338</v>
      </c>
      <c r="S79" s="4" t="s">
        <v>338</v>
      </c>
      <c r="T79" s="4" t="s">
        <v>338</v>
      </c>
      <c r="U79" s="4">
        <v>0</v>
      </c>
      <c r="V79" s="4">
        <f t="shared" si="43"/>
        <v>0</v>
      </c>
      <c r="W79" s="4">
        <v>350</v>
      </c>
      <c r="X79" s="4">
        <f t="shared" si="44"/>
        <v>350</v>
      </c>
      <c r="Y79" s="4"/>
      <c r="Z79" s="21">
        <f t="shared" si="45"/>
        <v>1088</v>
      </c>
      <c r="AA79" s="6">
        <f t="shared" si="46"/>
        <v>0.67830882352941169</v>
      </c>
      <c r="AB79" s="4">
        <v>4.75</v>
      </c>
      <c r="AC79" s="4">
        <f t="shared" si="47"/>
        <v>900</v>
      </c>
      <c r="AD79" s="4">
        <f t="shared" si="48"/>
        <v>1078.7671232876712</v>
      </c>
      <c r="AE79" s="6">
        <f t="shared" si="49"/>
        <v>0.67555555555555558</v>
      </c>
      <c r="AF79" s="7">
        <v>1070</v>
      </c>
      <c r="AG79" s="6">
        <f t="shared" si="50"/>
        <v>0.67289719626168232</v>
      </c>
      <c r="AH79" s="4">
        <f t="shared" si="51"/>
        <v>720</v>
      </c>
      <c r="AI79" s="28"/>
      <c r="AJ79" s="6"/>
      <c r="AK79" s="6"/>
      <c r="AL79" s="6" t="str">
        <f t="shared" si="52"/>
        <v>-</v>
      </c>
      <c r="AM79" s="6">
        <f t="shared" si="53"/>
        <v>1.1784140969162995</v>
      </c>
      <c r="AN79" s="6">
        <f t="shared" si="54"/>
        <v>1.1986301369863013</v>
      </c>
      <c r="AO79" s="6" t="str">
        <f t="shared" si="57"/>
        <v>-</v>
      </c>
      <c r="AP79" s="4" t="str">
        <f t="shared" si="58"/>
        <v>-</v>
      </c>
      <c r="AQ79" s="4" t="str">
        <f t="shared" si="59"/>
        <v>-</v>
      </c>
      <c r="AR79" s="4" t="str">
        <f t="shared" si="60"/>
        <v>-</v>
      </c>
      <c r="AS79" s="4" t="s">
        <v>323</v>
      </c>
      <c r="AT79" s="4" t="s">
        <v>569</v>
      </c>
      <c r="AU79" s="4"/>
      <c r="AV79" s="4"/>
      <c r="AW79" s="4" t="s">
        <v>559</v>
      </c>
      <c r="AX79" s="4">
        <v>900</v>
      </c>
      <c r="AY79" s="4">
        <f t="shared" si="55"/>
        <v>900</v>
      </c>
      <c r="AZ79" s="19">
        <v>4</v>
      </c>
      <c r="BA79" s="19">
        <v>1</v>
      </c>
      <c r="BB79" s="16">
        <v>1120</v>
      </c>
      <c r="BC79" t="s">
        <v>338</v>
      </c>
      <c r="BD79" t="str">
        <f t="shared" si="61"/>
        <v>-</v>
      </c>
      <c r="BE79">
        <v>999</v>
      </c>
      <c r="BF79">
        <f t="shared" si="62"/>
        <v>1197.4315068493149</v>
      </c>
      <c r="BG79" t="s">
        <v>405</v>
      </c>
    </row>
    <row r="80" spans="1:59" x14ac:dyDescent="0.4">
      <c r="A80" t="str">
        <f t="shared" si="56"/>
        <v>J20306</v>
      </c>
      <c r="B80" s="3">
        <v>40</v>
      </c>
      <c r="C80" s="3">
        <v>40</v>
      </c>
      <c r="D80" s="4" t="s">
        <v>70</v>
      </c>
      <c r="E80" s="4" t="str">
        <f t="shared" si="40"/>
        <v>J20306</v>
      </c>
      <c r="F80" s="4" t="s">
        <v>70</v>
      </c>
      <c r="G80" s="4" t="str">
        <f t="shared" si="41"/>
        <v>J203065</v>
      </c>
      <c r="H80" s="4" t="s">
        <v>186</v>
      </c>
      <c r="I80" s="5">
        <v>4905009428731</v>
      </c>
      <c r="J80" s="5">
        <v>5</v>
      </c>
      <c r="K80" s="5"/>
      <c r="L80" s="5">
        <v>1</v>
      </c>
      <c r="M80" s="5">
        <v>1</v>
      </c>
      <c r="N80" s="4">
        <v>0</v>
      </c>
      <c r="O80" s="4">
        <v>515</v>
      </c>
      <c r="P80" s="4">
        <v>300</v>
      </c>
      <c r="Q80" s="6">
        <f t="shared" si="42"/>
        <v>0.41747572815533984</v>
      </c>
      <c r="R80" s="4" t="s">
        <v>338</v>
      </c>
      <c r="S80" s="4" t="s">
        <v>338</v>
      </c>
      <c r="T80" s="4" t="s">
        <v>338</v>
      </c>
      <c r="U80" s="4">
        <v>0</v>
      </c>
      <c r="V80" s="4">
        <f t="shared" si="43"/>
        <v>0</v>
      </c>
      <c r="W80" s="4">
        <v>360</v>
      </c>
      <c r="X80" s="4">
        <f t="shared" si="44"/>
        <v>360</v>
      </c>
      <c r="Y80" s="4"/>
      <c r="Z80" s="21">
        <f t="shared" si="45"/>
        <v>618</v>
      </c>
      <c r="AA80" s="6">
        <f t="shared" si="46"/>
        <v>0.41747572815533984</v>
      </c>
      <c r="AB80" s="4">
        <v>4.25</v>
      </c>
      <c r="AC80" s="4">
        <f t="shared" si="47"/>
        <v>755</v>
      </c>
      <c r="AD80" s="4">
        <f t="shared" si="48"/>
        <v>906</v>
      </c>
      <c r="AE80" s="6">
        <f t="shared" si="49"/>
        <v>0.60264900662251653</v>
      </c>
      <c r="AF80" s="7">
        <v>618</v>
      </c>
      <c r="AG80" s="6">
        <f t="shared" si="50"/>
        <v>0.41747572815533984</v>
      </c>
      <c r="AH80" s="4">
        <f t="shared" si="51"/>
        <v>258</v>
      </c>
      <c r="AI80" s="28"/>
      <c r="AJ80" s="6"/>
      <c r="AK80" s="6"/>
      <c r="AL80" s="6" t="str">
        <f t="shared" si="52"/>
        <v>-</v>
      </c>
      <c r="AM80" s="6">
        <f t="shared" si="53"/>
        <v>1.2</v>
      </c>
      <c r="AN80" s="6">
        <f t="shared" si="54"/>
        <v>1.2</v>
      </c>
      <c r="AO80" s="6" t="str">
        <f t="shared" si="57"/>
        <v>-</v>
      </c>
      <c r="AP80" s="4" t="str">
        <f t="shared" si="58"/>
        <v>-</v>
      </c>
      <c r="AQ80" s="4" t="str">
        <f t="shared" si="59"/>
        <v>-</v>
      </c>
      <c r="AR80" s="4" t="str">
        <f t="shared" si="60"/>
        <v>-</v>
      </c>
      <c r="AS80" s="4">
        <v>0</v>
      </c>
      <c r="AT80" s="4" t="s">
        <v>570</v>
      </c>
      <c r="AU80" s="4"/>
      <c r="AV80" s="4"/>
      <c r="AW80" s="4" t="s">
        <v>547</v>
      </c>
      <c r="AX80" s="4">
        <v>755</v>
      </c>
      <c r="AY80" s="4">
        <f t="shared" si="55"/>
        <v>755</v>
      </c>
      <c r="AZ80" s="19">
        <v>4</v>
      </c>
      <c r="BA80" s="19">
        <v>1</v>
      </c>
      <c r="BB80" s="16">
        <v>1120</v>
      </c>
      <c r="BC80" t="s">
        <v>338</v>
      </c>
      <c r="BD80" t="str">
        <f t="shared" si="61"/>
        <v>-</v>
      </c>
      <c r="BE80">
        <v>558</v>
      </c>
      <c r="BF80">
        <f t="shared" si="62"/>
        <v>669.6</v>
      </c>
      <c r="BG80" t="s">
        <v>406</v>
      </c>
    </row>
    <row r="81" spans="1:59" x14ac:dyDescent="0.4">
      <c r="A81" t="str">
        <f t="shared" si="56"/>
        <v>J20285</v>
      </c>
      <c r="B81" s="3">
        <v>47</v>
      </c>
      <c r="C81" s="3">
        <v>47</v>
      </c>
      <c r="D81" s="4" t="s">
        <v>77</v>
      </c>
      <c r="E81" s="4" t="str">
        <f t="shared" si="40"/>
        <v>J20285</v>
      </c>
      <c r="F81" s="4" t="s">
        <v>77</v>
      </c>
      <c r="G81" s="4" t="str">
        <f t="shared" si="41"/>
        <v>J202855</v>
      </c>
      <c r="H81" s="4" t="s">
        <v>193</v>
      </c>
      <c r="I81" s="5">
        <v>4905009428519</v>
      </c>
      <c r="J81" s="5">
        <v>5</v>
      </c>
      <c r="K81" s="5"/>
      <c r="L81" s="5">
        <v>1</v>
      </c>
      <c r="M81" s="5">
        <v>1</v>
      </c>
      <c r="N81" s="4">
        <v>0</v>
      </c>
      <c r="O81" s="4">
        <v>376</v>
      </c>
      <c r="P81" s="4">
        <v>300</v>
      </c>
      <c r="Q81" s="6">
        <f t="shared" si="42"/>
        <v>0.2021276595744681</v>
      </c>
      <c r="R81" s="4" t="s">
        <v>338</v>
      </c>
      <c r="S81" s="4" t="s">
        <v>338</v>
      </c>
      <c r="T81" s="4" t="s">
        <v>338</v>
      </c>
      <c r="U81" s="4">
        <v>0</v>
      </c>
      <c r="V81" s="4">
        <f t="shared" si="43"/>
        <v>0</v>
      </c>
      <c r="W81" s="4">
        <v>360</v>
      </c>
      <c r="X81" s="4">
        <f t="shared" si="44"/>
        <v>360</v>
      </c>
      <c r="Y81" s="4"/>
      <c r="Z81" s="21">
        <f t="shared" si="45"/>
        <v>451</v>
      </c>
      <c r="AA81" s="6">
        <f t="shared" si="46"/>
        <v>0.20177383592017739</v>
      </c>
      <c r="AB81" s="4">
        <v>8.5</v>
      </c>
      <c r="AC81" s="4" t="str">
        <f t="shared" si="47"/>
        <v>-</v>
      </c>
      <c r="AD81" s="4" t="str">
        <f t="shared" si="48"/>
        <v>-</v>
      </c>
      <c r="AE81" s="6" t="str">
        <f t="shared" si="49"/>
        <v>-</v>
      </c>
      <c r="AF81" s="7">
        <v>618</v>
      </c>
      <c r="AG81" s="6">
        <f t="shared" si="50"/>
        <v>0.41747572815533984</v>
      </c>
      <c r="AH81" s="4">
        <f t="shared" si="51"/>
        <v>258</v>
      </c>
      <c r="AI81" s="28"/>
      <c r="AJ81" s="6"/>
      <c r="AK81" s="6"/>
      <c r="AL81" s="6" t="str">
        <f t="shared" si="52"/>
        <v>-</v>
      </c>
      <c r="AM81" s="6">
        <f t="shared" si="53"/>
        <v>1.6436170212765957</v>
      </c>
      <c r="AN81" s="6">
        <f t="shared" si="54"/>
        <v>1.2</v>
      </c>
      <c r="AO81" s="6" t="str">
        <f t="shared" si="57"/>
        <v>-</v>
      </c>
      <c r="AP81" s="4" t="str">
        <f t="shared" si="58"/>
        <v>-</v>
      </c>
      <c r="AQ81" s="4" t="str">
        <f t="shared" si="59"/>
        <v>-</v>
      </c>
      <c r="AR81" s="4" t="str">
        <f t="shared" si="60"/>
        <v>-</v>
      </c>
      <c r="AS81" s="4">
        <v>0</v>
      </c>
      <c r="AT81" s="4" t="s">
        <v>338</v>
      </c>
      <c r="AU81" s="4"/>
      <c r="AV81" s="4"/>
      <c r="AW81" s="4" t="s">
        <v>338</v>
      </c>
      <c r="AX81" s="4" t="s">
        <v>338</v>
      </c>
      <c r="AY81" s="4" t="str">
        <f t="shared" si="55"/>
        <v>-</v>
      </c>
      <c r="AZ81" s="19">
        <v>4</v>
      </c>
      <c r="BA81" s="19">
        <v>1</v>
      </c>
      <c r="BB81" s="16">
        <v>1120</v>
      </c>
      <c r="BC81" t="s">
        <v>338</v>
      </c>
      <c r="BD81" t="str">
        <f t="shared" si="61"/>
        <v>-</v>
      </c>
      <c r="BE81">
        <v>544</v>
      </c>
      <c r="BF81">
        <f t="shared" si="62"/>
        <v>652.79999999999995</v>
      </c>
      <c r="BG81" t="s">
        <v>338</v>
      </c>
    </row>
    <row r="82" spans="1:59" x14ac:dyDescent="0.4">
      <c r="A82" t="str">
        <f t="shared" si="56"/>
        <v>J20286</v>
      </c>
      <c r="B82" s="3">
        <v>48</v>
      </c>
      <c r="C82" s="3">
        <v>48</v>
      </c>
      <c r="D82" s="4" t="s">
        <v>78</v>
      </c>
      <c r="E82" s="4" t="str">
        <f t="shared" si="40"/>
        <v>J20286</v>
      </c>
      <c r="F82" s="4" t="s">
        <v>78</v>
      </c>
      <c r="G82" s="4" t="str">
        <f t="shared" si="41"/>
        <v>J202865</v>
      </c>
      <c r="H82" s="4" t="s">
        <v>194</v>
      </c>
      <c r="I82" s="5">
        <v>4905009428526</v>
      </c>
      <c r="J82" s="5">
        <v>5</v>
      </c>
      <c r="K82" s="5"/>
      <c r="L82" s="5">
        <v>1</v>
      </c>
      <c r="M82" s="5">
        <v>1</v>
      </c>
      <c r="N82" s="4">
        <v>0</v>
      </c>
      <c r="O82" s="4">
        <v>626</v>
      </c>
      <c r="P82" s="4">
        <v>310</v>
      </c>
      <c r="Q82" s="6">
        <f t="shared" si="42"/>
        <v>0.50479233226837061</v>
      </c>
      <c r="R82" s="4" t="s">
        <v>338</v>
      </c>
      <c r="S82" s="4" t="s">
        <v>338</v>
      </c>
      <c r="T82" s="4" t="s">
        <v>338</v>
      </c>
      <c r="U82" s="4">
        <v>0</v>
      </c>
      <c r="V82" s="4">
        <f t="shared" si="43"/>
        <v>0</v>
      </c>
      <c r="W82" s="4">
        <v>372</v>
      </c>
      <c r="X82" s="4">
        <f t="shared" si="44"/>
        <v>372</v>
      </c>
      <c r="Y82" s="4"/>
      <c r="Z82" s="21">
        <f t="shared" si="45"/>
        <v>751</v>
      </c>
      <c r="AA82" s="6">
        <f t="shared" si="46"/>
        <v>0.50466045272969373</v>
      </c>
      <c r="AB82" s="4">
        <v>1.25</v>
      </c>
      <c r="AC82" s="4">
        <f t="shared" si="47"/>
        <v>630</v>
      </c>
      <c r="AD82" s="4">
        <f t="shared" si="48"/>
        <v>756</v>
      </c>
      <c r="AE82" s="6">
        <f t="shared" si="49"/>
        <v>0.50793650793650791</v>
      </c>
      <c r="AF82" s="7">
        <v>750</v>
      </c>
      <c r="AG82" s="6">
        <f t="shared" si="50"/>
        <v>0.504</v>
      </c>
      <c r="AH82" s="4">
        <f t="shared" si="51"/>
        <v>378</v>
      </c>
      <c r="AI82" s="28"/>
      <c r="AJ82" s="6"/>
      <c r="AK82" s="6"/>
      <c r="AL82" s="6" t="str">
        <f t="shared" si="52"/>
        <v>-</v>
      </c>
      <c r="AM82" s="6">
        <f t="shared" si="53"/>
        <v>1.1980830670926517</v>
      </c>
      <c r="AN82" s="6">
        <f t="shared" si="54"/>
        <v>1.2</v>
      </c>
      <c r="AO82" s="6" t="str">
        <f t="shared" si="57"/>
        <v>-</v>
      </c>
      <c r="AP82" s="4" t="str">
        <f t="shared" si="58"/>
        <v>-</v>
      </c>
      <c r="AQ82" s="4" t="str">
        <f t="shared" si="59"/>
        <v>-</v>
      </c>
      <c r="AR82" s="4" t="str">
        <f t="shared" si="60"/>
        <v>-</v>
      </c>
      <c r="AS82" s="4">
        <v>0</v>
      </c>
      <c r="AT82" s="4" t="s">
        <v>571</v>
      </c>
      <c r="AU82" s="4"/>
      <c r="AV82" s="4"/>
      <c r="AW82" s="4" t="s">
        <v>545</v>
      </c>
      <c r="AX82" s="4">
        <v>630</v>
      </c>
      <c r="AY82" s="4">
        <f t="shared" si="55"/>
        <v>630</v>
      </c>
      <c r="AZ82" s="19">
        <v>4</v>
      </c>
      <c r="BA82" s="19">
        <v>1</v>
      </c>
      <c r="BB82" s="16">
        <v>1120</v>
      </c>
      <c r="BC82" t="s">
        <v>338</v>
      </c>
      <c r="BD82" t="str">
        <f t="shared" si="61"/>
        <v>-</v>
      </c>
      <c r="BE82">
        <v>835</v>
      </c>
      <c r="BF82">
        <f t="shared" si="62"/>
        <v>1002</v>
      </c>
      <c r="BG82" t="s">
        <v>407</v>
      </c>
    </row>
    <row r="83" spans="1:59" x14ac:dyDescent="0.4">
      <c r="A83" t="str">
        <f t="shared" si="56"/>
        <v>J20291</v>
      </c>
      <c r="B83" s="3">
        <v>59</v>
      </c>
      <c r="C83" s="3">
        <v>59</v>
      </c>
      <c r="D83" s="4" t="s">
        <v>89</v>
      </c>
      <c r="E83" s="4" t="str">
        <f t="shared" si="40"/>
        <v>J20291</v>
      </c>
      <c r="F83" s="4" t="s">
        <v>89</v>
      </c>
      <c r="G83" s="4" t="str">
        <f t="shared" si="41"/>
        <v>J202915</v>
      </c>
      <c r="H83" s="4" t="s">
        <v>205</v>
      </c>
      <c r="I83" s="5">
        <v>4905009427376</v>
      </c>
      <c r="J83" s="5">
        <v>5</v>
      </c>
      <c r="K83" s="5"/>
      <c r="L83" s="5">
        <v>1</v>
      </c>
      <c r="M83" s="5">
        <v>1</v>
      </c>
      <c r="N83" s="4">
        <v>0</v>
      </c>
      <c r="O83" s="4">
        <v>657</v>
      </c>
      <c r="P83" s="4">
        <v>325</v>
      </c>
      <c r="Q83" s="6">
        <f t="shared" si="42"/>
        <v>0.50532724505327242</v>
      </c>
      <c r="R83" s="4">
        <v>620</v>
      </c>
      <c r="S83" s="4">
        <v>4</v>
      </c>
      <c r="T83" s="4">
        <v>99999</v>
      </c>
      <c r="U83" s="4">
        <v>0</v>
      </c>
      <c r="V83" s="4">
        <f t="shared" si="43"/>
        <v>0</v>
      </c>
      <c r="W83" s="4">
        <v>390</v>
      </c>
      <c r="X83" s="4">
        <f t="shared" si="44"/>
        <v>390</v>
      </c>
      <c r="Y83" s="4"/>
      <c r="Z83" s="21">
        <f t="shared" si="45"/>
        <v>788</v>
      </c>
      <c r="AA83" s="6">
        <f t="shared" si="46"/>
        <v>0.50507614213197971</v>
      </c>
      <c r="AB83" s="4">
        <v>7.0000000000000009</v>
      </c>
      <c r="AC83" s="4">
        <f t="shared" si="47"/>
        <v>1238</v>
      </c>
      <c r="AD83" s="4">
        <f t="shared" si="48"/>
        <v>1485.6</v>
      </c>
      <c r="AE83" s="6">
        <f t="shared" si="49"/>
        <v>0.73747980613893382</v>
      </c>
      <c r="AF83" s="7">
        <v>780</v>
      </c>
      <c r="AG83" s="6">
        <f t="shared" si="50"/>
        <v>0.5</v>
      </c>
      <c r="AH83" s="4">
        <f t="shared" si="51"/>
        <v>390</v>
      </c>
      <c r="AI83" s="28"/>
      <c r="AJ83" s="6"/>
      <c r="AK83" s="6"/>
      <c r="AL83" s="41" t="str">
        <f t="shared" si="52"/>
        <v>-</v>
      </c>
      <c r="AM83" s="6">
        <f t="shared" si="53"/>
        <v>1.1872146118721461</v>
      </c>
      <c r="AN83" s="6">
        <f t="shared" si="54"/>
        <v>1.2</v>
      </c>
      <c r="AO83" s="6">
        <f t="shared" si="57"/>
        <v>0.47154471544715448</v>
      </c>
      <c r="AP83" s="4">
        <v>738</v>
      </c>
      <c r="AQ83" s="4">
        <f t="shared" si="59"/>
        <v>4</v>
      </c>
      <c r="AR83" s="4">
        <f t="shared" si="60"/>
        <v>99999</v>
      </c>
      <c r="AS83" s="4">
        <v>0</v>
      </c>
      <c r="AT83" s="4" t="s">
        <v>572</v>
      </c>
      <c r="AU83" s="4"/>
      <c r="AV83" s="4"/>
      <c r="AW83" s="4" t="s">
        <v>489</v>
      </c>
      <c r="AX83" s="4">
        <v>1238</v>
      </c>
      <c r="AY83" s="4">
        <f t="shared" si="55"/>
        <v>1238</v>
      </c>
      <c r="AZ83" s="19">
        <v>4</v>
      </c>
      <c r="BA83" s="19">
        <v>1</v>
      </c>
      <c r="BB83" s="16">
        <v>1120</v>
      </c>
      <c r="BC83" t="s">
        <v>338</v>
      </c>
      <c r="BD83" t="str">
        <f t="shared" si="61"/>
        <v>-</v>
      </c>
      <c r="BE83">
        <v>683</v>
      </c>
      <c r="BF83">
        <f t="shared" si="62"/>
        <v>819.6</v>
      </c>
      <c r="BG83" t="s">
        <v>408</v>
      </c>
    </row>
    <row r="84" spans="1:59" x14ac:dyDescent="0.4">
      <c r="A84" t="str">
        <f t="shared" si="56"/>
        <v>669461</v>
      </c>
      <c r="B84" s="3">
        <v>81</v>
      </c>
      <c r="C84" s="3">
        <v>81</v>
      </c>
      <c r="D84" s="4">
        <v>669461</v>
      </c>
      <c r="E84" s="4" t="str">
        <f t="shared" si="40"/>
        <v>669461</v>
      </c>
      <c r="F84" s="4">
        <v>669461</v>
      </c>
      <c r="G84" s="4" t="str">
        <f t="shared" si="41"/>
        <v>6694615</v>
      </c>
      <c r="H84" s="4" t="s">
        <v>226</v>
      </c>
      <c r="I84" s="5">
        <v>4905009834167</v>
      </c>
      <c r="J84" s="5">
        <v>5</v>
      </c>
      <c r="K84" s="5"/>
      <c r="L84" s="5">
        <v>1</v>
      </c>
      <c r="M84" s="5">
        <v>1</v>
      </c>
      <c r="N84" s="4">
        <v>0</v>
      </c>
      <c r="O84" s="4">
        <v>1299</v>
      </c>
      <c r="P84" s="4">
        <v>365</v>
      </c>
      <c r="Q84" s="6">
        <f t="shared" si="42"/>
        <v>0.71901462663587368</v>
      </c>
      <c r="R84" s="4">
        <v>1272</v>
      </c>
      <c r="S84" s="4">
        <v>5</v>
      </c>
      <c r="T84" s="4">
        <v>99999</v>
      </c>
      <c r="U84" s="4">
        <v>0</v>
      </c>
      <c r="V84" s="4">
        <f t="shared" si="43"/>
        <v>0</v>
      </c>
      <c r="W84" s="4">
        <v>438</v>
      </c>
      <c r="X84" s="4">
        <f t="shared" si="44"/>
        <v>438</v>
      </c>
      <c r="Y84" s="4"/>
      <c r="Z84" s="21">
        <f t="shared" si="45"/>
        <v>1559</v>
      </c>
      <c r="AA84" s="6">
        <f t="shared" si="46"/>
        <v>0.71905067350865948</v>
      </c>
      <c r="AB84" s="4">
        <v>8.5</v>
      </c>
      <c r="AC84" s="4">
        <f t="shared" si="47"/>
        <v>1300</v>
      </c>
      <c r="AD84" s="4">
        <f t="shared" si="48"/>
        <v>1560</v>
      </c>
      <c r="AE84" s="6">
        <f t="shared" si="49"/>
        <v>0.71923076923076923</v>
      </c>
      <c r="AF84" s="7">
        <v>1480</v>
      </c>
      <c r="AG84" s="6">
        <f t="shared" si="50"/>
        <v>0.70405405405405408</v>
      </c>
      <c r="AH84" s="4">
        <f t="shared" si="51"/>
        <v>1042</v>
      </c>
      <c r="AI84" s="28"/>
      <c r="AJ84" s="6"/>
      <c r="AK84" s="6"/>
      <c r="AL84" s="41" t="str">
        <f t="shared" si="52"/>
        <v>-</v>
      </c>
      <c r="AM84" s="6">
        <f t="shared" si="53"/>
        <v>1.1393379522709777</v>
      </c>
      <c r="AN84" s="6">
        <f t="shared" si="54"/>
        <v>1.2</v>
      </c>
      <c r="AO84" s="6">
        <f t="shared" si="57"/>
        <v>0.68714285714285717</v>
      </c>
      <c r="AP84" s="4">
        <v>1400</v>
      </c>
      <c r="AQ84" s="4">
        <f t="shared" si="59"/>
        <v>5</v>
      </c>
      <c r="AR84" s="4">
        <f t="shared" si="60"/>
        <v>99999</v>
      </c>
      <c r="AS84" s="4" t="s">
        <v>323</v>
      </c>
      <c r="AT84" s="4" t="s">
        <v>573</v>
      </c>
      <c r="AU84" s="4"/>
      <c r="AV84" s="4"/>
      <c r="AW84" s="4" t="s">
        <v>559</v>
      </c>
      <c r="AX84" s="4">
        <v>1300</v>
      </c>
      <c r="AY84" s="4">
        <f t="shared" si="55"/>
        <v>1300</v>
      </c>
      <c r="AZ84" s="19">
        <v>4</v>
      </c>
      <c r="BA84" s="19">
        <v>1</v>
      </c>
      <c r="BB84" s="16">
        <v>1120</v>
      </c>
      <c r="BC84" t="s">
        <v>338</v>
      </c>
      <c r="BD84" t="str">
        <f t="shared" si="61"/>
        <v>-</v>
      </c>
      <c r="BE84">
        <v>1300</v>
      </c>
      <c r="BF84">
        <f t="shared" si="62"/>
        <v>1560</v>
      </c>
      <c r="BG84" t="s">
        <v>409</v>
      </c>
    </row>
    <row r="85" spans="1:59" x14ac:dyDescent="0.4">
      <c r="A85" t="str">
        <f t="shared" si="56"/>
        <v>639359</v>
      </c>
      <c r="B85" s="3">
        <v>16</v>
      </c>
      <c r="C85" s="3">
        <v>16</v>
      </c>
      <c r="D85" s="4">
        <v>639359</v>
      </c>
      <c r="E85" s="4" t="str">
        <f t="shared" si="40"/>
        <v>639359</v>
      </c>
      <c r="F85" s="4">
        <v>639359</v>
      </c>
      <c r="G85" s="4" t="str">
        <f t="shared" si="41"/>
        <v>6393595</v>
      </c>
      <c r="H85" s="4" t="s">
        <v>162</v>
      </c>
      <c r="I85" s="5">
        <v>4905009428533</v>
      </c>
      <c r="J85" s="5">
        <v>5</v>
      </c>
      <c r="K85" s="5"/>
      <c r="L85" s="5">
        <v>1</v>
      </c>
      <c r="M85" s="5">
        <v>1</v>
      </c>
      <c r="N85" s="4">
        <v>0</v>
      </c>
      <c r="O85" s="4">
        <v>647</v>
      </c>
      <c r="P85" s="4">
        <v>400</v>
      </c>
      <c r="Q85" s="6">
        <f t="shared" si="42"/>
        <v>0.38176197836166925</v>
      </c>
      <c r="R85" s="4" t="s">
        <v>338</v>
      </c>
      <c r="S85" s="4" t="s">
        <v>338</v>
      </c>
      <c r="T85" s="4" t="s">
        <v>338</v>
      </c>
      <c r="U85" s="4">
        <v>0</v>
      </c>
      <c r="V85" s="4">
        <f t="shared" si="43"/>
        <v>0</v>
      </c>
      <c r="W85" s="4">
        <v>480</v>
      </c>
      <c r="X85" s="4">
        <f t="shared" si="44"/>
        <v>480</v>
      </c>
      <c r="Y85" s="4"/>
      <c r="Z85" s="21">
        <f t="shared" si="45"/>
        <v>776</v>
      </c>
      <c r="AA85" s="6">
        <f t="shared" si="46"/>
        <v>0.38144329896907214</v>
      </c>
      <c r="AB85" s="4">
        <v>9</v>
      </c>
      <c r="AC85" s="4">
        <f t="shared" si="47"/>
        <v>580</v>
      </c>
      <c r="AD85" s="4">
        <f t="shared" si="48"/>
        <v>696</v>
      </c>
      <c r="AE85" s="6">
        <f t="shared" si="49"/>
        <v>0.31034482758620685</v>
      </c>
      <c r="AF85" s="7">
        <v>780</v>
      </c>
      <c r="AG85" s="6">
        <f t="shared" si="50"/>
        <v>0.38461538461538458</v>
      </c>
      <c r="AH85" s="4">
        <f t="shared" si="51"/>
        <v>300</v>
      </c>
      <c r="AI85" s="28"/>
      <c r="AJ85" s="6"/>
      <c r="AK85" s="6"/>
      <c r="AL85" s="6" t="str">
        <f t="shared" si="52"/>
        <v>-</v>
      </c>
      <c r="AM85" s="6">
        <f t="shared" si="53"/>
        <v>1.2055641421947449</v>
      </c>
      <c r="AN85" s="6">
        <f t="shared" si="54"/>
        <v>1.2</v>
      </c>
      <c r="AO85" s="6" t="str">
        <f t="shared" si="57"/>
        <v>-</v>
      </c>
      <c r="AP85" s="4" t="str">
        <f t="shared" si="58"/>
        <v>-</v>
      </c>
      <c r="AQ85" s="4" t="str">
        <f t="shared" si="59"/>
        <v>-</v>
      </c>
      <c r="AR85" s="4" t="str">
        <f t="shared" si="60"/>
        <v>-</v>
      </c>
      <c r="AS85" s="4">
        <v>0</v>
      </c>
      <c r="AT85" s="4" t="s">
        <v>574</v>
      </c>
      <c r="AU85" s="4"/>
      <c r="AV85" s="4"/>
      <c r="AW85" s="4" t="s">
        <v>547</v>
      </c>
      <c r="AX85" s="4">
        <v>580</v>
      </c>
      <c r="AY85" s="4">
        <f t="shared" si="55"/>
        <v>580</v>
      </c>
      <c r="AZ85" s="19">
        <v>4</v>
      </c>
      <c r="BA85" s="19">
        <v>1</v>
      </c>
      <c r="BB85" s="16">
        <v>1120</v>
      </c>
      <c r="BC85" t="s">
        <v>338</v>
      </c>
      <c r="BD85" t="str">
        <f t="shared" si="61"/>
        <v>-</v>
      </c>
      <c r="BE85">
        <v>1280</v>
      </c>
      <c r="BF85">
        <f t="shared" si="62"/>
        <v>1536</v>
      </c>
      <c r="BG85" t="s">
        <v>410</v>
      </c>
    </row>
    <row r="86" spans="1:59" x14ac:dyDescent="0.4">
      <c r="A86" t="str">
        <f t="shared" si="56"/>
        <v>J20307</v>
      </c>
      <c r="B86" s="3">
        <v>44</v>
      </c>
      <c r="C86" s="3">
        <v>44</v>
      </c>
      <c r="D86" s="4" t="s">
        <v>74</v>
      </c>
      <c r="E86" s="4" t="str">
        <f t="shared" si="40"/>
        <v>J20307</v>
      </c>
      <c r="F86" s="4" t="s">
        <v>74</v>
      </c>
      <c r="G86" s="4" t="str">
        <f t="shared" si="41"/>
        <v>J203075</v>
      </c>
      <c r="H86" s="4" t="s">
        <v>190</v>
      </c>
      <c r="I86" s="5">
        <v>4905009428748</v>
      </c>
      <c r="J86" s="5">
        <v>5</v>
      </c>
      <c r="K86" s="5"/>
      <c r="L86" s="5">
        <v>1</v>
      </c>
      <c r="M86" s="5">
        <v>1</v>
      </c>
      <c r="N86" s="4">
        <v>0</v>
      </c>
      <c r="O86" s="4">
        <v>571</v>
      </c>
      <c r="P86" s="4">
        <v>400</v>
      </c>
      <c r="Q86" s="6">
        <f t="shared" si="42"/>
        <v>0.29947460595446584</v>
      </c>
      <c r="R86" s="4">
        <v>530</v>
      </c>
      <c r="S86" s="4">
        <v>4</v>
      </c>
      <c r="T86" s="4">
        <v>99999</v>
      </c>
      <c r="U86" s="4">
        <v>0</v>
      </c>
      <c r="V86" s="4">
        <f t="shared" si="43"/>
        <v>0</v>
      </c>
      <c r="W86" s="4">
        <v>480</v>
      </c>
      <c r="X86" s="4">
        <f t="shared" si="44"/>
        <v>480</v>
      </c>
      <c r="Y86" s="4"/>
      <c r="Z86" s="21">
        <f t="shared" si="45"/>
        <v>685</v>
      </c>
      <c r="AA86" s="6">
        <f t="shared" si="46"/>
        <v>0.2992700729927007</v>
      </c>
      <c r="AB86" s="4">
        <v>0.75</v>
      </c>
      <c r="AC86" s="4">
        <f t="shared" si="47"/>
        <v>893</v>
      </c>
      <c r="AD86" s="4">
        <f t="shared" si="48"/>
        <v>1071.5999999999999</v>
      </c>
      <c r="AE86" s="6">
        <f t="shared" si="49"/>
        <v>0.55207166853303469</v>
      </c>
      <c r="AF86" s="7">
        <v>780</v>
      </c>
      <c r="AG86" s="6">
        <f t="shared" si="50"/>
        <v>0.38461538461538458</v>
      </c>
      <c r="AH86" s="4">
        <f t="shared" si="51"/>
        <v>300</v>
      </c>
      <c r="AI86" s="28"/>
      <c r="AJ86" s="6"/>
      <c r="AK86" s="6"/>
      <c r="AL86" s="41" t="str">
        <f t="shared" si="52"/>
        <v>-</v>
      </c>
      <c r="AM86" s="6">
        <f t="shared" si="53"/>
        <v>1.3660245183887916</v>
      </c>
      <c r="AN86" s="6">
        <f t="shared" si="54"/>
        <v>1.2</v>
      </c>
      <c r="AO86" s="6">
        <f t="shared" si="57"/>
        <v>0.34959349593495936</v>
      </c>
      <c r="AP86" s="4">
        <v>738</v>
      </c>
      <c r="AQ86" s="4">
        <f t="shared" si="59"/>
        <v>4</v>
      </c>
      <c r="AR86" s="4">
        <f t="shared" si="60"/>
        <v>99999</v>
      </c>
      <c r="AS86" s="4">
        <v>0</v>
      </c>
      <c r="AT86" s="4" t="s">
        <v>575</v>
      </c>
      <c r="AU86" s="4"/>
      <c r="AV86" s="4"/>
      <c r="AW86" s="4" t="s">
        <v>547</v>
      </c>
      <c r="AX86" s="4">
        <v>893</v>
      </c>
      <c r="AY86" s="4">
        <f t="shared" si="55"/>
        <v>893</v>
      </c>
      <c r="AZ86" s="19">
        <v>4</v>
      </c>
      <c r="BA86" s="19">
        <v>8</v>
      </c>
      <c r="BB86" s="16">
        <v>1120</v>
      </c>
      <c r="BC86" t="s">
        <v>338</v>
      </c>
      <c r="BD86" t="str">
        <f t="shared" si="61"/>
        <v>-</v>
      </c>
      <c r="BE86">
        <v>738</v>
      </c>
      <c r="BF86">
        <f t="shared" si="62"/>
        <v>885.6</v>
      </c>
      <c r="BG86" t="s">
        <v>411</v>
      </c>
    </row>
    <row r="87" spans="1:59" x14ac:dyDescent="0.4">
      <c r="A87" t="str">
        <f t="shared" si="56"/>
        <v>J20314</v>
      </c>
      <c r="B87" s="3">
        <v>57</v>
      </c>
      <c r="C87" s="3">
        <v>57</v>
      </c>
      <c r="D87" s="4" t="s">
        <v>87</v>
      </c>
      <c r="E87" s="4" t="str">
        <f t="shared" si="40"/>
        <v>J20314</v>
      </c>
      <c r="F87" s="4" t="s">
        <v>87</v>
      </c>
      <c r="G87" s="4" t="str">
        <f t="shared" si="41"/>
        <v>J203145</v>
      </c>
      <c r="H87" s="4" t="s">
        <v>203</v>
      </c>
      <c r="I87" s="5">
        <v>4905009452804</v>
      </c>
      <c r="J87" s="5">
        <v>5</v>
      </c>
      <c r="K87" s="5"/>
      <c r="L87" s="5">
        <v>1</v>
      </c>
      <c r="M87" s="5">
        <v>1</v>
      </c>
      <c r="N87" s="4">
        <v>0</v>
      </c>
      <c r="O87" s="4">
        <v>616</v>
      </c>
      <c r="P87" s="4">
        <v>400</v>
      </c>
      <c r="Q87" s="6">
        <f t="shared" si="42"/>
        <v>0.35064935064935066</v>
      </c>
      <c r="R87" s="4" t="s">
        <v>338</v>
      </c>
      <c r="S87" s="4" t="s">
        <v>338</v>
      </c>
      <c r="T87" s="4" t="s">
        <v>338</v>
      </c>
      <c r="U87" s="4">
        <v>0</v>
      </c>
      <c r="V87" s="4">
        <f t="shared" si="43"/>
        <v>0</v>
      </c>
      <c r="W87" s="4">
        <v>480</v>
      </c>
      <c r="X87" s="4">
        <f t="shared" si="44"/>
        <v>480</v>
      </c>
      <c r="Y87" s="4"/>
      <c r="Z87" s="21">
        <f t="shared" si="45"/>
        <v>739</v>
      </c>
      <c r="AA87" s="6">
        <f t="shared" si="46"/>
        <v>0.35047361299052771</v>
      </c>
      <c r="AB87" s="4">
        <v>0</v>
      </c>
      <c r="AC87" s="4" t="str">
        <f t="shared" si="47"/>
        <v>-</v>
      </c>
      <c r="AD87" s="4" t="str">
        <f t="shared" si="48"/>
        <v>-</v>
      </c>
      <c r="AE87" s="6" t="str">
        <f t="shared" si="49"/>
        <v>-</v>
      </c>
      <c r="AF87" s="7">
        <v>780</v>
      </c>
      <c r="AG87" s="6">
        <f t="shared" si="50"/>
        <v>0.38461538461538458</v>
      </c>
      <c r="AH87" s="4">
        <f t="shared" si="51"/>
        <v>300</v>
      </c>
      <c r="AI87" s="28"/>
      <c r="AJ87" s="6"/>
      <c r="AK87" s="6"/>
      <c r="AL87" s="6" t="str">
        <f t="shared" si="52"/>
        <v>-</v>
      </c>
      <c r="AM87" s="6">
        <f t="shared" si="53"/>
        <v>1.2662337662337662</v>
      </c>
      <c r="AN87" s="6">
        <f t="shared" si="54"/>
        <v>1.2</v>
      </c>
      <c r="AO87" s="6" t="str">
        <f t="shared" si="57"/>
        <v>-</v>
      </c>
      <c r="AP87" s="4" t="str">
        <f t="shared" si="58"/>
        <v>-</v>
      </c>
      <c r="AQ87" s="4" t="str">
        <f t="shared" si="59"/>
        <v>-</v>
      </c>
      <c r="AR87" s="4" t="str">
        <f t="shared" si="60"/>
        <v>-</v>
      </c>
      <c r="AS87" s="4">
        <v>0</v>
      </c>
      <c r="AT87" s="4" t="s">
        <v>338</v>
      </c>
      <c r="AU87" s="4"/>
      <c r="AV87" s="4"/>
      <c r="AW87" s="4" t="s">
        <v>338</v>
      </c>
      <c r="AX87" s="4" t="s">
        <v>338</v>
      </c>
      <c r="AY87" s="4" t="str">
        <f t="shared" si="55"/>
        <v>-</v>
      </c>
      <c r="AZ87" s="19">
        <v>4</v>
      </c>
      <c r="BA87" s="19">
        <v>8</v>
      </c>
      <c r="BB87" s="16">
        <v>1120</v>
      </c>
      <c r="BC87" t="s">
        <v>338</v>
      </c>
      <c r="BD87" t="str">
        <f t="shared" si="61"/>
        <v>-</v>
      </c>
      <c r="BE87">
        <v>1132</v>
      </c>
      <c r="BF87">
        <f t="shared" si="62"/>
        <v>1358.3999999999999</v>
      </c>
      <c r="BG87" t="s">
        <v>338</v>
      </c>
    </row>
    <row r="88" spans="1:59" x14ac:dyDescent="0.4">
      <c r="A88" t="str">
        <f t="shared" si="56"/>
        <v>J20292</v>
      </c>
      <c r="B88" s="3">
        <v>61</v>
      </c>
      <c r="C88" s="3">
        <v>61</v>
      </c>
      <c r="D88" s="4" t="s">
        <v>91</v>
      </c>
      <c r="E88" s="4" t="str">
        <f t="shared" si="40"/>
        <v>J20292</v>
      </c>
      <c r="F88" s="4" t="s">
        <v>91</v>
      </c>
      <c r="G88" s="4" t="str">
        <f t="shared" si="41"/>
        <v>J202925</v>
      </c>
      <c r="H88" s="4" t="s">
        <v>207</v>
      </c>
      <c r="I88" s="5">
        <v>4905009427383</v>
      </c>
      <c r="J88" s="5">
        <v>5</v>
      </c>
      <c r="K88" s="5"/>
      <c r="L88" s="5">
        <v>1</v>
      </c>
      <c r="M88" s="5">
        <v>1</v>
      </c>
      <c r="N88" s="4">
        <v>0</v>
      </c>
      <c r="O88" s="4">
        <v>717</v>
      </c>
      <c r="P88" s="4">
        <v>400</v>
      </c>
      <c r="Q88" s="6">
        <f t="shared" si="42"/>
        <v>0.44211994421199441</v>
      </c>
      <c r="R88" s="4">
        <v>670</v>
      </c>
      <c r="S88" s="4">
        <v>4</v>
      </c>
      <c r="T88" s="4">
        <v>99999</v>
      </c>
      <c r="U88" s="4">
        <v>0</v>
      </c>
      <c r="V88" s="4">
        <f t="shared" si="43"/>
        <v>0</v>
      </c>
      <c r="W88" s="4">
        <v>480</v>
      </c>
      <c r="X88" s="4">
        <f t="shared" si="44"/>
        <v>480</v>
      </c>
      <c r="Y88" s="4"/>
      <c r="Z88" s="21">
        <f t="shared" si="45"/>
        <v>860</v>
      </c>
      <c r="AA88" s="6">
        <f t="shared" si="46"/>
        <v>0.44186046511627908</v>
      </c>
      <c r="AB88" s="4">
        <v>4.75</v>
      </c>
      <c r="AC88" s="4" t="str">
        <f t="shared" si="47"/>
        <v>-</v>
      </c>
      <c r="AD88" s="4" t="str">
        <f t="shared" si="48"/>
        <v>-</v>
      </c>
      <c r="AE88" s="6" t="str">
        <f t="shared" si="49"/>
        <v>-</v>
      </c>
      <c r="AF88" s="7">
        <v>780</v>
      </c>
      <c r="AG88" s="6">
        <f t="shared" si="50"/>
        <v>0.38461538461538458</v>
      </c>
      <c r="AH88" s="4">
        <f t="shared" si="51"/>
        <v>300</v>
      </c>
      <c r="AI88" s="28"/>
      <c r="AJ88" s="6"/>
      <c r="AK88" s="6"/>
      <c r="AL88" s="41" t="str">
        <f t="shared" si="52"/>
        <v>-</v>
      </c>
      <c r="AM88" s="6">
        <f t="shared" si="53"/>
        <v>1.0878661087866108</v>
      </c>
      <c r="AN88" s="6">
        <f t="shared" si="54"/>
        <v>1.2</v>
      </c>
      <c r="AO88" s="6">
        <f t="shared" si="57"/>
        <v>0.34959349593495936</v>
      </c>
      <c r="AP88" s="4">
        <v>738</v>
      </c>
      <c r="AQ88" s="4">
        <f t="shared" si="59"/>
        <v>4</v>
      </c>
      <c r="AR88" s="4">
        <f t="shared" si="60"/>
        <v>99999</v>
      </c>
      <c r="AS88" s="4">
        <v>0</v>
      </c>
      <c r="AT88" s="4" t="s">
        <v>338</v>
      </c>
      <c r="AU88" s="4"/>
      <c r="AV88" s="4"/>
      <c r="AW88" s="4" t="s">
        <v>338</v>
      </c>
      <c r="AX88" s="4" t="s">
        <v>338</v>
      </c>
      <c r="AY88" s="4" t="str">
        <f t="shared" si="55"/>
        <v>-</v>
      </c>
      <c r="AZ88" s="19">
        <v>4</v>
      </c>
      <c r="BA88" s="19">
        <v>1</v>
      </c>
      <c r="BB88" s="16">
        <v>1120</v>
      </c>
      <c r="BC88" t="s">
        <v>338</v>
      </c>
      <c r="BD88" t="str">
        <f t="shared" si="61"/>
        <v>-</v>
      </c>
      <c r="BE88">
        <v>809</v>
      </c>
      <c r="BF88">
        <f t="shared" si="62"/>
        <v>970.8</v>
      </c>
      <c r="BG88" t="s">
        <v>338</v>
      </c>
    </row>
    <row r="89" spans="1:59" x14ac:dyDescent="0.4">
      <c r="A89" t="str">
        <f t="shared" si="56"/>
        <v>178993</v>
      </c>
      <c r="B89" s="3">
        <v>5</v>
      </c>
      <c r="C89" s="3">
        <v>5</v>
      </c>
      <c r="D89" s="4">
        <v>178993</v>
      </c>
      <c r="E89" s="4" t="str">
        <f t="shared" si="40"/>
        <v>178993</v>
      </c>
      <c r="F89" s="4">
        <v>178993</v>
      </c>
      <c r="G89" s="4" t="str">
        <f t="shared" si="41"/>
        <v>1789935</v>
      </c>
      <c r="H89" s="4" t="s">
        <v>151</v>
      </c>
      <c r="I89" s="5">
        <v>4905009428755</v>
      </c>
      <c r="J89" s="5">
        <v>5</v>
      </c>
      <c r="K89" s="5"/>
      <c r="L89" s="5">
        <v>1</v>
      </c>
      <c r="M89" s="5">
        <v>1</v>
      </c>
      <c r="N89" s="4">
        <v>0</v>
      </c>
      <c r="O89" s="4">
        <v>1030</v>
      </c>
      <c r="P89" s="4">
        <v>500</v>
      </c>
      <c r="Q89" s="6">
        <f t="shared" si="42"/>
        <v>0.5145631067961165</v>
      </c>
      <c r="R89" s="4" t="s">
        <v>338</v>
      </c>
      <c r="S89" s="4" t="s">
        <v>338</v>
      </c>
      <c r="T89" s="4" t="s">
        <v>338</v>
      </c>
      <c r="U89" s="4">
        <v>0</v>
      </c>
      <c r="V89" s="4">
        <f t="shared" si="43"/>
        <v>0</v>
      </c>
      <c r="W89" s="4">
        <v>600</v>
      </c>
      <c r="X89" s="4">
        <f t="shared" si="44"/>
        <v>600</v>
      </c>
      <c r="Y89" s="4"/>
      <c r="Z89" s="21">
        <f t="shared" si="45"/>
        <v>1236</v>
      </c>
      <c r="AA89" s="6">
        <f t="shared" si="46"/>
        <v>0.5145631067961165</v>
      </c>
      <c r="AB89" s="4">
        <v>2.75</v>
      </c>
      <c r="AC89" s="4">
        <f t="shared" si="47"/>
        <v>780</v>
      </c>
      <c r="AD89" s="4">
        <f t="shared" si="48"/>
        <v>936</v>
      </c>
      <c r="AE89" s="6">
        <f t="shared" si="49"/>
        <v>0.35897435897435892</v>
      </c>
      <c r="AF89" s="7">
        <v>936</v>
      </c>
      <c r="AG89" s="6">
        <f t="shared" si="50"/>
        <v>0.35897435897435892</v>
      </c>
      <c r="AH89" s="4">
        <f t="shared" si="51"/>
        <v>336</v>
      </c>
      <c r="AI89" s="28"/>
      <c r="AJ89" s="6"/>
      <c r="AK89" s="6"/>
      <c r="AL89" s="6" t="str">
        <f t="shared" si="52"/>
        <v>-</v>
      </c>
      <c r="AM89" s="6">
        <f t="shared" si="53"/>
        <v>0.90873786407766988</v>
      </c>
      <c r="AN89" s="6">
        <f t="shared" si="54"/>
        <v>1.2</v>
      </c>
      <c r="AO89" s="6" t="str">
        <f t="shared" si="57"/>
        <v>-</v>
      </c>
      <c r="AP89" s="4" t="str">
        <f t="shared" si="58"/>
        <v>-</v>
      </c>
      <c r="AQ89" s="4" t="str">
        <f t="shared" si="59"/>
        <v>-</v>
      </c>
      <c r="AR89" s="4" t="str">
        <f t="shared" si="60"/>
        <v>-</v>
      </c>
      <c r="AS89" s="4">
        <v>0</v>
      </c>
      <c r="AT89" s="4" t="s">
        <v>576</v>
      </c>
      <c r="AU89" s="4"/>
      <c r="AV89" s="4"/>
      <c r="AW89" s="4" t="s">
        <v>547</v>
      </c>
      <c r="AX89" s="4">
        <v>780</v>
      </c>
      <c r="AY89" s="4">
        <f t="shared" si="55"/>
        <v>780</v>
      </c>
      <c r="AZ89" s="19">
        <v>4</v>
      </c>
      <c r="BA89" s="19">
        <v>1</v>
      </c>
      <c r="BB89" s="16">
        <v>1120</v>
      </c>
      <c r="BC89" t="s">
        <v>338</v>
      </c>
      <c r="BD89" t="str">
        <f t="shared" si="61"/>
        <v>-</v>
      </c>
      <c r="BE89">
        <v>909</v>
      </c>
      <c r="BF89">
        <f t="shared" si="62"/>
        <v>1090.8</v>
      </c>
      <c r="BG89" t="s">
        <v>412</v>
      </c>
    </row>
    <row r="90" spans="1:59" x14ac:dyDescent="0.4">
      <c r="A90" t="str">
        <f t="shared" si="56"/>
        <v>601332</v>
      </c>
      <c r="B90" s="3">
        <v>13</v>
      </c>
      <c r="C90" s="3">
        <v>13</v>
      </c>
      <c r="D90" s="4">
        <v>601332</v>
      </c>
      <c r="E90" s="4" t="str">
        <f t="shared" si="40"/>
        <v>601332</v>
      </c>
      <c r="F90" s="4">
        <v>601332</v>
      </c>
      <c r="G90" s="4" t="str">
        <f t="shared" si="41"/>
        <v>6013325</v>
      </c>
      <c r="H90" s="4" t="s">
        <v>159</v>
      </c>
      <c r="I90" s="5">
        <v>4905009427475</v>
      </c>
      <c r="J90" s="5">
        <v>5</v>
      </c>
      <c r="K90" s="5"/>
      <c r="L90" s="5">
        <v>1</v>
      </c>
      <c r="M90" s="5">
        <v>1</v>
      </c>
      <c r="N90" s="4">
        <v>0</v>
      </c>
      <c r="O90" s="4">
        <v>1129</v>
      </c>
      <c r="P90" s="4">
        <v>500</v>
      </c>
      <c r="Q90" s="6">
        <f t="shared" si="42"/>
        <v>0.55713020372010624</v>
      </c>
      <c r="R90" s="4" t="s">
        <v>338</v>
      </c>
      <c r="S90" s="4" t="s">
        <v>338</v>
      </c>
      <c r="T90" s="4" t="s">
        <v>338</v>
      </c>
      <c r="U90" s="4">
        <v>0</v>
      </c>
      <c r="V90" s="4">
        <f t="shared" si="43"/>
        <v>0</v>
      </c>
      <c r="W90" s="4">
        <v>600</v>
      </c>
      <c r="X90" s="4">
        <f t="shared" si="44"/>
        <v>600</v>
      </c>
      <c r="Y90" s="4"/>
      <c r="Z90" s="21">
        <f t="shared" si="45"/>
        <v>1355</v>
      </c>
      <c r="AA90" s="6">
        <f t="shared" si="46"/>
        <v>0.55719557195571956</v>
      </c>
      <c r="AB90" s="4">
        <v>2.5</v>
      </c>
      <c r="AC90" s="4">
        <f t="shared" si="47"/>
        <v>1119</v>
      </c>
      <c r="AD90" s="4">
        <f t="shared" si="48"/>
        <v>1342.8</v>
      </c>
      <c r="AE90" s="6">
        <f t="shared" si="49"/>
        <v>0.55317247542448611</v>
      </c>
      <c r="AF90" s="7">
        <v>1280</v>
      </c>
      <c r="AG90" s="6">
        <f t="shared" si="50"/>
        <v>0.53125</v>
      </c>
      <c r="AH90" s="4">
        <f t="shared" si="51"/>
        <v>680</v>
      </c>
      <c r="AI90" s="28"/>
      <c r="AJ90" s="6"/>
      <c r="AK90" s="6"/>
      <c r="AL90" s="6" t="str">
        <f t="shared" si="52"/>
        <v>-</v>
      </c>
      <c r="AM90" s="6">
        <f t="shared" si="53"/>
        <v>1.133746678476528</v>
      </c>
      <c r="AN90" s="6">
        <f t="shared" si="54"/>
        <v>1.2</v>
      </c>
      <c r="AO90" s="6" t="str">
        <f t="shared" si="57"/>
        <v>-</v>
      </c>
      <c r="AP90" s="4" t="str">
        <f t="shared" si="58"/>
        <v>-</v>
      </c>
      <c r="AQ90" s="4" t="str">
        <f t="shared" si="59"/>
        <v>-</v>
      </c>
      <c r="AR90" s="4" t="str">
        <f t="shared" si="60"/>
        <v>-</v>
      </c>
      <c r="AS90" s="4" t="s">
        <v>323</v>
      </c>
      <c r="AT90" s="4" t="s">
        <v>577</v>
      </c>
      <c r="AU90" s="4"/>
      <c r="AV90" s="4"/>
      <c r="AW90" s="4" t="s">
        <v>559</v>
      </c>
      <c r="AX90" s="4">
        <v>1119</v>
      </c>
      <c r="AY90" s="4">
        <f t="shared" si="55"/>
        <v>1119</v>
      </c>
      <c r="AZ90" s="19">
        <v>4</v>
      </c>
      <c r="BA90" s="19">
        <v>1</v>
      </c>
      <c r="BB90" s="16">
        <v>1120</v>
      </c>
      <c r="BC90" t="s">
        <v>338</v>
      </c>
      <c r="BD90" t="str">
        <f t="shared" si="61"/>
        <v>-</v>
      </c>
      <c r="BE90">
        <v>1076</v>
      </c>
      <c r="BF90">
        <f t="shared" si="62"/>
        <v>1291.2</v>
      </c>
      <c r="BG90" t="s">
        <v>413</v>
      </c>
    </row>
    <row r="91" spans="1:59" x14ac:dyDescent="0.4">
      <c r="A91" t="str">
        <f t="shared" si="56"/>
        <v>J20287</v>
      </c>
      <c r="B91" s="3">
        <v>49</v>
      </c>
      <c r="C91" s="3">
        <v>49</v>
      </c>
      <c r="D91" s="4" t="s">
        <v>79</v>
      </c>
      <c r="E91" s="4" t="str">
        <f t="shared" si="40"/>
        <v>J20287</v>
      </c>
      <c r="F91" s="4" t="s">
        <v>79</v>
      </c>
      <c r="G91" s="4" t="str">
        <f t="shared" si="41"/>
        <v>J202875</v>
      </c>
      <c r="H91" s="4" t="s">
        <v>195</v>
      </c>
      <c r="I91" s="5">
        <v>4905009428540</v>
      </c>
      <c r="J91" s="5">
        <v>5</v>
      </c>
      <c r="K91" s="5"/>
      <c r="L91" s="5">
        <v>1</v>
      </c>
      <c r="M91" s="5">
        <v>1</v>
      </c>
      <c r="N91" s="4">
        <v>0</v>
      </c>
      <c r="O91" s="4">
        <v>1061</v>
      </c>
      <c r="P91" s="4">
        <v>525</v>
      </c>
      <c r="Q91" s="6">
        <f t="shared" si="42"/>
        <v>0.50518378887841653</v>
      </c>
      <c r="R91" s="4" t="s">
        <v>338</v>
      </c>
      <c r="S91" s="4" t="s">
        <v>338</v>
      </c>
      <c r="T91" s="4" t="s">
        <v>338</v>
      </c>
      <c r="U91" s="4">
        <v>0</v>
      </c>
      <c r="V91" s="4">
        <f t="shared" si="43"/>
        <v>0</v>
      </c>
      <c r="W91" s="4">
        <v>630</v>
      </c>
      <c r="X91" s="4">
        <f t="shared" si="44"/>
        <v>630</v>
      </c>
      <c r="Y91" s="4"/>
      <c r="Z91" s="21">
        <f t="shared" si="45"/>
        <v>1273</v>
      </c>
      <c r="AA91" s="6">
        <f t="shared" si="46"/>
        <v>0.50510604870384923</v>
      </c>
      <c r="AB91" s="4">
        <v>1</v>
      </c>
      <c r="AC91" s="4">
        <f t="shared" si="47"/>
        <v>1062</v>
      </c>
      <c r="AD91" s="4">
        <f t="shared" si="48"/>
        <v>1274.3999999999999</v>
      </c>
      <c r="AE91" s="6">
        <f t="shared" si="49"/>
        <v>0.50564971751412424</v>
      </c>
      <c r="AF91" s="7">
        <v>1270</v>
      </c>
      <c r="AG91" s="6">
        <f t="shared" si="50"/>
        <v>0.50393700787401574</v>
      </c>
      <c r="AH91" s="4">
        <f t="shared" si="51"/>
        <v>640</v>
      </c>
      <c r="AI91" s="28"/>
      <c r="AJ91" s="6"/>
      <c r="AK91" s="6"/>
      <c r="AL91" s="6" t="str">
        <f t="shared" si="52"/>
        <v>-</v>
      </c>
      <c r="AM91" s="6">
        <f t="shared" si="53"/>
        <v>1.1969839773798303</v>
      </c>
      <c r="AN91" s="6">
        <f t="shared" si="54"/>
        <v>1.2</v>
      </c>
      <c r="AO91" s="6" t="str">
        <f t="shared" si="57"/>
        <v>-</v>
      </c>
      <c r="AP91" s="4" t="str">
        <f t="shared" si="58"/>
        <v>-</v>
      </c>
      <c r="AQ91" s="4" t="str">
        <f t="shared" si="59"/>
        <v>-</v>
      </c>
      <c r="AR91" s="4" t="str">
        <f t="shared" si="60"/>
        <v>-</v>
      </c>
      <c r="AS91" s="4">
        <v>0</v>
      </c>
      <c r="AT91" s="4" t="s">
        <v>578</v>
      </c>
      <c r="AU91" s="4"/>
      <c r="AV91" s="4"/>
      <c r="AW91" s="4" t="s">
        <v>545</v>
      </c>
      <c r="AX91" s="4">
        <v>1062</v>
      </c>
      <c r="AY91" s="4">
        <f t="shared" si="55"/>
        <v>1062</v>
      </c>
      <c r="AZ91" s="19">
        <v>4</v>
      </c>
      <c r="BA91" s="19">
        <v>1</v>
      </c>
      <c r="BB91" s="16">
        <v>1120</v>
      </c>
      <c r="BC91" t="s">
        <v>338</v>
      </c>
      <c r="BD91" t="str">
        <f t="shared" si="61"/>
        <v>-</v>
      </c>
      <c r="BE91">
        <v>1308</v>
      </c>
      <c r="BF91">
        <f t="shared" si="62"/>
        <v>1569.6</v>
      </c>
      <c r="BG91" t="s">
        <v>414</v>
      </c>
    </row>
    <row r="92" spans="1:59" x14ac:dyDescent="0.4">
      <c r="A92" t="str">
        <f t="shared" si="56"/>
        <v>601333</v>
      </c>
      <c r="B92" s="3">
        <v>14</v>
      </c>
      <c r="C92" s="3">
        <v>14</v>
      </c>
      <c r="D92" s="4">
        <v>601333</v>
      </c>
      <c r="E92" s="4" t="str">
        <f t="shared" si="40"/>
        <v>601333</v>
      </c>
      <c r="F92" s="4">
        <v>601333</v>
      </c>
      <c r="G92" s="4" t="str">
        <f t="shared" si="41"/>
        <v>6013335</v>
      </c>
      <c r="H92" s="4" t="s">
        <v>160</v>
      </c>
      <c r="I92" s="5">
        <v>4905009427482</v>
      </c>
      <c r="J92" s="5">
        <v>5</v>
      </c>
      <c r="K92" s="5"/>
      <c r="L92" s="5">
        <v>1</v>
      </c>
      <c r="M92" s="5">
        <v>1</v>
      </c>
      <c r="N92" s="4">
        <v>0</v>
      </c>
      <c r="O92" s="4">
        <v>1275</v>
      </c>
      <c r="P92" s="4">
        <v>600</v>
      </c>
      <c r="Q92" s="6">
        <f t="shared" si="42"/>
        <v>0.52941176470588236</v>
      </c>
      <c r="R92" s="4">
        <v>1210</v>
      </c>
      <c r="S92" s="4">
        <v>4</v>
      </c>
      <c r="T92" s="4">
        <v>99999</v>
      </c>
      <c r="U92" s="4">
        <v>0</v>
      </c>
      <c r="V92" s="4">
        <f t="shared" si="43"/>
        <v>0</v>
      </c>
      <c r="W92" s="4">
        <v>720</v>
      </c>
      <c r="X92" s="4">
        <f t="shared" si="44"/>
        <v>720</v>
      </c>
      <c r="Y92" s="4"/>
      <c r="Z92" s="21">
        <f t="shared" si="45"/>
        <v>1530</v>
      </c>
      <c r="AA92" s="6">
        <f t="shared" si="46"/>
        <v>0.52941176470588236</v>
      </c>
      <c r="AB92" s="4">
        <v>2</v>
      </c>
      <c r="AC92" s="4">
        <f t="shared" si="47"/>
        <v>1184</v>
      </c>
      <c r="AD92" s="4">
        <f t="shared" si="48"/>
        <v>1420.8</v>
      </c>
      <c r="AE92" s="6">
        <f t="shared" si="49"/>
        <v>0.4932432432432432</v>
      </c>
      <c r="AF92" s="7">
        <v>1330</v>
      </c>
      <c r="AG92" s="6">
        <f t="shared" si="50"/>
        <v>0.45864661654135341</v>
      </c>
      <c r="AH92" s="4">
        <f t="shared" si="51"/>
        <v>610</v>
      </c>
      <c r="AI92" s="28"/>
      <c r="AJ92" s="6"/>
      <c r="AK92" s="6"/>
      <c r="AL92" s="41" t="str">
        <f t="shared" si="52"/>
        <v>-</v>
      </c>
      <c r="AM92" s="6">
        <f t="shared" si="53"/>
        <v>1.0431372549019609</v>
      </c>
      <c r="AN92" s="6">
        <f t="shared" si="54"/>
        <v>1.2</v>
      </c>
      <c r="AO92" s="6">
        <f t="shared" si="57"/>
        <v>0.42400000000000004</v>
      </c>
      <c r="AP92" s="4">
        <v>1250</v>
      </c>
      <c r="AQ92" s="4">
        <f t="shared" si="59"/>
        <v>4</v>
      </c>
      <c r="AR92" s="4">
        <f t="shared" si="60"/>
        <v>99999</v>
      </c>
      <c r="AS92" s="4" t="s">
        <v>323</v>
      </c>
      <c r="AT92" s="4" t="s">
        <v>579</v>
      </c>
      <c r="AU92" s="4"/>
      <c r="AV92" s="4"/>
      <c r="AW92" s="4" t="s">
        <v>489</v>
      </c>
      <c r="AX92" s="4">
        <v>1184</v>
      </c>
      <c r="AY92" s="4">
        <f t="shared" si="55"/>
        <v>1184</v>
      </c>
      <c r="AZ92" s="19">
        <v>4</v>
      </c>
      <c r="BA92" s="19">
        <v>1</v>
      </c>
      <c r="BB92" s="16">
        <v>1120</v>
      </c>
      <c r="BC92" t="s">
        <v>338</v>
      </c>
      <c r="BD92" t="str">
        <f t="shared" si="61"/>
        <v>-</v>
      </c>
      <c r="BE92">
        <v>1113</v>
      </c>
      <c r="BF92">
        <f t="shared" si="62"/>
        <v>1335.6</v>
      </c>
      <c r="BG92" t="s">
        <v>415</v>
      </c>
    </row>
    <row r="93" spans="1:59" x14ac:dyDescent="0.4">
      <c r="A93" t="str">
        <f t="shared" si="56"/>
        <v>670132</v>
      </c>
      <c r="B93" s="37">
        <v>17</v>
      </c>
      <c r="C93" s="3">
        <v>17</v>
      </c>
      <c r="D93" s="4">
        <v>670132</v>
      </c>
      <c r="E93" s="4" t="str">
        <f t="shared" si="40"/>
        <v>670132</v>
      </c>
      <c r="F93" s="4">
        <v>670132</v>
      </c>
      <c r="G93" s="4" t="str">
        <f t="shared" si="41"/>
        <v>6701325</v>
      </c>
      <c r="H93" s="4" t="s">
        <v>163</v>
      </c>
      <c r="I93" s="5">
        <v>4905009428564</v>
      </c>
      <c r="J93" s="5">
        <v>5</v>
      </c>
      <c r="K93" s="5"/>
      <c r="L93" s="5">
        <v>1</v>
      </c>
      <c r="M93" s="5">
        <v>1</v>
      </c>
      <c r="N93" s="4">
        <v>0</v>
      </c>
      <c r="O93" s="4">
        <v>1284</v>
      </c>
      <c r="P93" s="4">
        <v>600</v>
      </c>
      <c r="Q93" s="6">
        <f t="shared" si="42"/>
        <v>0.53271028037383172</v>
      </c>
      <c r="R93" s="4" t="s">
        <v>338</v>
      </c>
      <c r="S93" s="4" t="s">
        <v>338</v>
      </c>
      <c r="T93" s="4" t="s">
        <v>338</v>
      </c>
      <c r="U93" s="4">
        <v>0</v>
      </c>
      <c r="V93" s="4">
        <f t="shared" si="43"/>
        <v>0</v>
      </c>
      <c r="W93" s="4">
        <v>720</v>
      </c>
      <c r="X93" s="4">
        <f t="shared" si="44"/>
        <v>720</v>
      </c>
      <c r="Y93" s="4"/>
      <c r="Z93" s="21">
        <f t="shared" si="45"/>
        <v>1541</v>
      </c>
      <c r="AA93" s="6">
        <f t="shared" si="46"/>
        <v>0.53277092796885139</v>
      </c>
      <c r="AB93" s="4">
        <v>0.75</v>
      </c>
      <c r="AC93" s="4" t="str">
        <f t="shared" si="47"/>
        <v>-</v>
      </c>
      <c r="AD93" s="4" t="str">
        <f t="shared" si="48"/>
        <v>-</v>
      </c>
      <c r="AE93" s="6" t="str">
        <f t="shared" si="49"/>
        <v>-</v>
      </c>
      <c r="AF93" s="7">
        <v>1580</v>
      </c>
      <c r="AG93" s="6">
        <f t="shared" si="50"/>
        <v>0.54430379746835444</v>
      </c>
      <c r="AH93" s="38">
        <f t="shared" si="51"/>
        <v>860</v>
      </c>
      <c r="AI93" s="28"/>
      <c r="AJ93" s="6"/>
      <c r="AK93" s="6"/>
      <c r="AL93" s="6" t="str">
        <f t="shared" si="52"/>
        <v>-</v>
      </c>
      <c r="AM93" s="6">
        <f t="shared" si="53"/>
        <v>1.2305295950155763</v>
      </c>
      <c r="AN93" s="6">
        <f t="shared" si="54"/>
        <v>1.2</v>
      </c>
      <c r="AO93" s="6" t="str">
        <f t="shared" si="57"/>
        <v>-</v>
      </c>
      <c r="AP93" s="4" t="str">
        <f t="shared" si="58"/>
        <v>-</v>
      </c>
      <c r="AQ93" s="4" t="str">
        <f t="shared" si="59"/>
        <v>-</v>
      </c>
      <c r="AR93" s="4" t="str">
        <f t="shared" si="60"/>
        <v>-</v>
      </c>
      <c r="AS93" s="4">
        <v>0</v>
      </c>
      <c r="AT93" s="4" t="s">
        <v>338</v>
      </c>
      <c r="AU93" s="4"/>
      <c r="AV93" s="4"/>
      <c r="AW93" s="4" t="s">
        <v>338</v>
      </c>
      <c r="AX93" s="4" t="s">
        <v>338</v>
      </c>
      <c r="AY93" s="4" t="str">
        <f t="shared" si="55"/>
        <v>-</v>
      </c>
      <c r="AZ93" s="19">
        <v>2</v>
      </c>
      <c r="BA93" s="19">
        <v>1</v>
      </c>
      <c r="BB93" s="16">
        <v>1120</v>
      </c>
      <c r="BC93" t="s">
        <v>338</v>
      </c>
      <c r="BD93" t="str">
        <f t="shared" si="61"/>
        <v>-</v>
      </c>
      <c r="BE93">
        <v>1265</v>
      </c>
      <c r="BF93">
        <f t="shared" si="62"/>
        <v>1518</v>
      </c>
      <c r="BG93" t="s">
        <v>338</v>
      </c>
    </row>
    <row r="94" spans="1:59" x14ac:dyDescent="0.4">
      <c r="A94" t="str">
        <f t="shared" si="56"/>
        <v>601322</v>
      </c>
      <c r="B94" s="3">
        <v>10</v>
      </c>
      <c r="C94" s="3">
        <v>10</v>
      </c>
      <c r="D94" s="4">
        <v>601322</v>
      </c>
      <c r="E94" s="4" t="str">
        <f t="shared" si="40"/>
        <v>601322</v>
      </c>
      <c r="F94" s="4">
        <v>601322</v>
      </c>
      <c r="G94" s="4" t="str">
        <f t="shared" si="41"/>
        <v>6013225</v>
      </c>
      <c r="H94" s="4" t="s">
        <v>156</v>
      </c>
      <c r="I94" s="5">
        <v>4905009427390</v>
      </c>
      <c r="J94" s="5">
        <v>5</v>
      </c>
      <c r="K94" s="5"/>
      <c r="L94" s="5">
        <v>1</v>
      </c>
      <c r="M94" s="5">
        <v>1</v>
      </c>
      <c r="N94" s="4">
        <v>0</v>
      </c>
      <c r="O94" s="4">
        <v>1109</v>
      </c>
      <c r="P94" s="4">
        <v>700</v>
      </c>
      <c r="Q94" s="6">
        <f t="shared" si="42"/>
        <v>0.36880072137060416</v>
      </c>
      <c r="R94" s="4">
        <v>1030</v>
      </c>
      <c r="S94" s="4">
        <v>4</v>
      </c>
      <c r="T94" s="4">
        <v>99999</v>
      </c>
      <c r="U94" s="4">
        <v>0</v>
      </c>
      <c r="V94" s="4">
        <f t="shared" si="43"/>
        <v>0</v>
      </c>
      <c r="W94" s="4">
        <v>840</v>
      </c>
      <c r="X94" s="4">
        <f t="shared" si="44"/>
        <v>840</v>
      </c>
      <c r="Y94" s="4"/>
      <c r="Z94" s="21">
        <f t="shared" si="45"/>
        <v>1331</v>
      </c>
      <c r="AA94" s="6">
        <f t="shared" si="46"/>
        <v>0.36889556724267469</v>
      </c>
      <c r="AB94" s="4">
        <v>9.5</v>
      </c>
      <c r="AC94" s="4" t="str">
        <f t="shared" si="47"/>
        <v>-</v>
      </c>
      <c r="AD94" s="4" t="str">
        <f t="shared" si="48"/>
        <v>-</v>
      </c>
      <c r="AE94" s="6" t="str">
        <f t="shared" si="49"/>
        <v>-</v>
      </c>
      <c r="AF94" s="7">
        <v>1380</v>
      </c>
      <c r="AG94" s="6">
        <f t="shared" si="50"/>
        <v>0.39130434782608692</v>
      </c>
      <c r="AH94" s="4">
        <f t="shared" si="51"/>
        <v>540</v>
      </c>
      <c r="AI94" s="28"/>
      <c r="AJ94" s="6"/>
      <c r="AK94" s="6"/>
      <c r="AL94" s="41" t="str">
        <f t="shared" si="52"/>
        <v>-</v>
      </c>
      <c r="AM94" s="6">
        <f t="shared" si="53"/>
        <v>1.2443642921550946</v>
      </c>
      <c r="AN94" s="6">
        <f t="shared" si="54"/>
        <v>1.2</v>
      </c>
      <c r="AO94" s="6">
        <f t="shared" si="57"/>
        <v>0.34375</v>
      </c>
      <c r="AP94" s="4">
        <v>1280</v>
      </c>
      <c r="AQ94" s="4">
        <f t="shared" si="59"/>
        <v>4</v>
      </c>
      <c r="AR94" s="4">
        <f t="shared" si="60"/>
        <v>99999</v>
      </c>
      <c r="AS94" s="4" t="s">
        <v>323</v>
      </c>
      <c r="AT94" s="4" t="s">
        <v>338</v>
      </c>
      <c r="AU94" s="4"/>
      <c r="AV94" s="4"/>
      <c r="AW94" s="4" t="s">
        <v>338</v>
      </c>
      <c r="AX94" s="4" t="s">
        <v>338</v>
      </c>
      <c r="AY94" s="4" t="str">
        <f t="shared" si="55"/>
        <v>-</v>
      </c>
      <c r="AZ94" s="19">
        <v>4</v>
      </c>
      <c r="BA94" s="19">
        <v>1</v>
      </c>
      <c r="BB94" s="16">
        <v>1120</v>
      </c>
      <c r="BC94" t="s">
        <v>338</v>
      </c>
      <c r="BD94" t="str">
        <f t="shared" si="61"/>
        <v>-</v>
      </c>
      <c r="BE94" t="s">
        <v>338</v>
      </c>
      <c r="BF94" t="str">
        <f t="shared" si="62"/>
        <v>-</v>
      </c>
      <c r="BG94" t="s">
        <v>338</v>
      </c>
    </row>
    <row r="95" spans="1:59" x14ac:dyDescent="0.4">
      <c r="A95" t="str">
        <f t="shared" si="56"/>
        <v>J20308</v>
      </c>
      <c r="B95" s="3">
        <v>45</v>
      </c>
      <c r="C95" s="3">
        <v>45</v>
      </c>
      <c r="D95" s="4" t="s">
        <v>75</v>
      </c>
      <c r="E95" s="4" t="str">
        <f t="shared" si="40"/>
        <v>J20308</v>
      </c>
      <c r="F95" s="4" t="s">
        <v>75</v>
      </c>
      <c r="G95" s="4" t="str">
        <f t="shared" si="41"/>
        <v>J203085</v>
      </c>
      <c r="H95" s="4" t="s">
        <v>191</v>
      </c>
      <c r="I95" s="5">
        <v>4905009428762</v>
      </c>
      <c r="J95" s="5">
        <v>5</v>
      </c>
      <c r="K95" s="5"/>
      <c r="L95" s="5">
        <v>1</v>
      </c>
      <c r="M95" s="5">
        <v>1</v>
      </c>
      <c r="N95" s="4">
        <v>0</v>
      </c>
      <c r="O95" s="4">
        <v>1202</v>
      </c>
      <c r="P95" s="4">
        <v>700</v>
      </c>
      <c r="Q95" s="6">
        <f t="shared" si="42"/>
        <v>0.41763727121464223</v>
      </c>
      <c r="R95" s="4" t="s">
        <v>338</v>
      </c>
      <c r="S95" s="4" t="s">
        <v>338</v>
      </c>
      <c r="T95" s="4" t="s">
        <v>338</v>
      </c>
      <c r="U95" s="4">
        <v>0</v>
      </c>
      <c r="V95" s="4">
        <f t="shared" si="43"/>
        <v>0</v>
      </c>
      <c r="W95" s="4">
        <v>840</v>
      </c>
      <c r="X95" s="4">
        <f t="shared" si="44"/>
        <v>840</v>
      </c>
      <c r="Y95" s="4"/>
      <c r="Z95" s="21">
        <f t="shared" si="45"/>
        <v>1442</v>
      </c>
      <c r="AA95" s="6">
        <f t="shared" si="46"/>
        <v>0.41747572815533984</v>
      </c>
      <c r="AB95" s="4">
        <v>0.25</v>
      </c>
      <c r="AC95" s="4">
        <f t="shared" si="47"/>
        <v>1583</v>
      </c>
      <c r="AD95" s="4">
        <f t="shared" si="48"/>
        <v>1899.6</v>
      </c>
      <c r="AE95" s="6">
        <f t="shared" si="49"/>
        <v>0.55780164245104236</v>
      </c>
      <c r="AF95" s="7">
        <v>1480</v>
      </c>
      <c r="AG95" s="6">
        <f t="shared" si="50"/>
        <v>0.43243243243243246</v>
      </c>
      <c r="AH95" s="4">
        <f t="shared" si="51"/>
        <v>640</v>
      </c>
      <c r="AI95" s="28"/>
      <c r="AJ95" s="6"/>
      <c r="AK95" s="6"/>
      <c r="AL95" s="6" t="str">
        <f t="shared" si="52"/>
        <v>-</v>
      </c>
      <c r="AM95" s="6">
        <f t="shared" si="53"/>
        <v>1.2312811980033278</v>
      </c>
      <c r="AN95" s="6">
        <f t="shared" si="54"/>
        <v>1.2</v>
      </c>
      <c r="AO95" s="6" t="str">
        <f t="shared" si="57"/>
        <v>-</v>
      </c>
      <c r="AP95" s="4" t="str">
        <f t="shared" si="58"/>
        <v>-</v>
      </c>
      <c r="AQ95" s="4" t="str">
        <f t="shared" si="59"/>
        <v>-</v>
      </c>
      <c r="AR95" s="4" t="str">
        <f t="shared" si="60"/>
        <v>-</v>
      </c>
      <c r="AS95" s="4">
        <v>0</v>
      </c>
      <c r="AT95" s="4" t="s">
        <v>580</v>
      </c>
      <c r="AU95" s="4"/>
      <c r="AV95" s="4"/>
      <c r="AW95" s="4" t="s">
        <v>547</v>
      </c>
      <c r="AX95" s="4">
        <v>1583</v>
      </c>
      <c r="AY95" s="4">
        <f t="shared" si="55"/>
        <v>1583</v>
      </c>
      <c r="AZ95" s="19">
        <v>4</v>
      </c>
      <c r="BA95" s="19">
        <v>8</v>
      </c>
      <c r="BB95" s="16">
        <v>1120</v>
      </c>
      <c r="BC95" t="s">
        <v>338</v>
      </c>
      <c r="BD95" t="str">
        <f t="shared" si="61"/>
        <v>-</v>
      </c>
      <c r="BE95">
        <v>1343</v>
      </c>
      <c r="BF95">
        <f t="shared" si="62"/>
        <v>1611.6</v>
      </c>
      <c r="BG95" t="s">
        <v>416</v>
      </c>
    </row>
    <row r="96" spans="1:59" x14ac:dyDescent="0.4">
      <c r="A96" t="str">
        <f t="shared" si="56"/>
        <v>J20288</v>
      </c>
      <c r="B96" s="3">
        <v>52</v>
      </c>
      <c r="C96" s="3">
        <v>52</v>
      </c>
      <c r="D96" s="4" t="s">
        <v>82</v>
      </c>
      <c r="E96" s="4" t="str">
        <f t="shared" si="40"/>
        <v>J20288</v>
      </c>
      <c r="F96" s="4" t="s">
        <v>82</v>
      </c>
      <c r="G96" s="4" t="str">
        <f t="shared" si="41"/>
        <v>J202885</v>
      </c>
      <c r="H96" s="4" t="s">
        <v>198</v>
      </c>
      <c r="I96" s="5">
        <v>4905009428557</v>
      </c>
      <c r="J96" s="5">
        <v>5</v>
      </c>
      <c r="K96" s="5"/>
      <c r="L96" s="5">
        <v>1</v>
      </c>
      <c r="M96" s="5">
        <v>1</v>
      </c>
      <c r="N96" s="4">
        <v>0</v>
      </c>
      <c r="O96" s="4">
        <v>1320</v>
      </c>
      <c r="P96" s="4">
        <v>700</v>
      </c>
      <c r="Q96" s="6">
        <f t="shared" si="42"/>
        <v>0.46969696969696972</v>
      </c>
      <c r="R96" s="4" t="s">
        <v>338</v>
      </c>
      <c r="S96" s="4" t="s">
        <v>338</v>
      </c>
      <c r="T96" s="4" t="s">
        <v>338</v>
      </c>
      <c r="U96" s="4">
        <v>0</v>
      </c>
      <c r="V96" s="4">
        <f t="shared" si="43"/>
        <v>0</v>
      </c>
      <c r="W96" s="4">
        <v>840</v>
      </c>
      <c r="X96" s="4">
        <f t="shared" si="44"/>
        <v>840</v>
      </c>
      <c r="Y96" s="4"/>
      <c r="Z96" s="21">
        <f t="shared" si="45"/>
        <v>1584</v>
      </c>
      <c r="AA96" s="6">
        <f t="shared" si="46"/>
        <v>0.46969696969696972</v>
      </c>
      <c r="AB96" s="4">
        <v>9.5</v>
      </c>
      <c r="AC96" s="4">
        <f t="shared" si="47"/>
        <v>1080</v>
      </c>
      <c r="AD96" s="4">
        <f t="shared" si="48"/>
        <v>1296</v>
      </c>
      <c r="AE96" s="6">
        <f t="shared" si="49"/>
        <v>0.35185185185185186</v>
      </c>
      <c r="AF96" s="7">
        <v>1290</v>
      </c>
      <c r="AG96" s="6">
        <f t="shared" si="50"/>
        <v>0.34883720930232553</v>
      </c>
      <c r="AH96" s="4">
        <f t="shared" si="51"/>
        <v>450</v>
      </c>
      <c r="AI96" s="28"/>
      <c r="AJ96" s="6"/>
      <c r="AK96" s="6"/>
      <c r="AL96" s="6" t="str">
        <f t="shared" si="52"/>
        <v>-</v>
      </c>
      <c r="AM96" s="6">
        <f t="shared" si="53"/>
        <v>0.97727272727272729</v>
      </c>
      <c r="AN96" s="6">
        <f t="shared" si="54"/>
        <v>1.2</v>
      </c>
      <c r="AO96" s="6" t="str">
        <f t="shared" si="57"/>
        <v>-</v>
      </c>
      <c r="AP96" s="4" t="str">
        <f t="shared" si="58"/>
        <v>-</v>
      </c>
      <c r="AQ96" s="4" t="str">
        <f t="shared" si="59"/>
        <v>-</v>
      </c>
      <c r="AR96" s="4" t="str">
        <f t="shared" si="60"/>
        <v>-</v>
      </c>
      <c r="AS96" s="4">
        <v>0</v>
      </c>
      <c r="AT96" s="4" t="s">
        <v>581</v>
      </c>
      <c r="AU96" s="4"/>
      <c r="AV96" s="4"/>
      <c r="AW96" s="4" t="s">
        <v>547</v>
      </c>
      <c r="AX96" s="4">
        <v>1080</v>
      </c>
      <c r="AY96" s="4">
        <f t="shared" si="55"/>
        <v>1080</v>
      </c>
      <c r="AZ96" s="19">
        <v>4</v>
      </c>
      <c r="BA96" s="19">
        <v>1</v>
      </c>
      <c r="BB96" s="16">
        <v>1120</v>
      </c>
      <c r="BC96" t="s">
        <v>338</v>
      </c>
      <c r="BD96" t="str">
        <f t="shared" si="61"/>
        <v>-</v>
      </c>
      <c r="BE96">
        <v>1837</v>
      </c>
      <c r="BF96">
        <f t="shared" si="62"/>
        <v>2204.4</v>
      </c>
      <c r="BG96" t="s">
        <v>417</v>
      </c>
    </row>
    <row r="97" spans="1:59" x14ac:dyDescent="0.4">
      <c r="A97" t="str">
        <f t="shared" si="56"/>
        <v>681118</v>
      </c>
      <c r="B97" s="3">
        <v>91</v>
      </c>
      <c r="C97" s="3">
        <v>91</v>
      </c>
      <c r="D97" s="4">
        <v>681118</v>
      </c>
      <c r="E97" s="4" t="str">
        <f t="shared" si="40"/>
        <v>681118</v>
      </c>
      <c r="F97" s="4">
        <v>681118</v>
      </c>
      <c r="G97" s="4" t="str">
        <f t="shared" si="41"/>
        <v>6811185</v>
      </c>
      <c r="H97" s="4" t="s">
        <v>236</v>
      </c>
      <c r="I97" s="5">
        <v>4905009834181</v>
      </c>
      <c r="J97" s="5">
        <v>5</v>
      </c>
      <c r="K97" s="5"/>
      <c r="L97" s="5">
        <v>1</v>
      </c>
      <c r="M97" s="5">
        <v>1</v>
      </c>
      <c r="N97" s="4">
        <v>0</v>
      </c>
      <c r="O97" s="4">
        <v>1690</v>
      </c>
      <c r="P97" s="4">
        <v>710</v>
      </c>
      <c r="Q97" s="6">
        <f t="shared" si="42"/>
        <v>0.5798816568047338</v>
      </c>
      <c r="R97" s="4" t="s">
        <v>338</v>
      </c>
      <c r="S97" s="4" t="s">
        <v>338</v>
      </c>
      <c r="T97" s="4" t="s">
        <v>338</v>
      </c>
      <c r="U97" s="4">
        <v>0</v>
      </c>
      <c r="V97" s="4">
        <f t="shared" si="43"/>
        <v>0</v>
      </c>
      <c r="W97" s="4">
        <v>852</v>
      </c>
      <c r="X97" s="4">
        <f t="shared" si="44"/>
        <v>852</v>
      </c>
      <c r="Y97" s="4"/>
      <c r="Z97" s="21">
        <f t="shared" si="45"/>
        <v>2028</v>
      </c>
      <c r="AA97" s="6">
        <f t="shared" si="46"/>
        <v>0.5798816568047338</v>
      </c>
      <c r="AB97" s="4">
        <v>338.25</v>
      </c>
      <c r="AC97" s="4">
        <f t="shared" si="47"/>
        <v>1690</v>
      </c>
      <c r="AD97" s="4">
        <f t="shared" si="48"/>
        <v>2028</v>
      </c>
      <c r="AE97" s="6">
        <f t="shared" si="49"/>
        <v>0.5798816568047338</v>
      </c>
      <c r="AF97" s="7">
        <v>2020</v>
      </c>
      <c r="AG97" s="6">
        <f t="shared" si="50"/>
        <v>0.57821782178217829</v>
      </c>
      <c r="AH97" s="4">
        <f t="shared" si="51"/>
        <v>1168</v>
      </c>
      <c r="AI97" s="28"/>
      <c r="AJ97" s="6"/>
      <c r="AK97" s="6"/>
      <c r="AL97" s="6" t="str">
        <f t="shared" si="52"/>
        <v>-</v>
      </c>
      <c r="AM97" s="6">
        <f t="shared" si="53"/>
        <v>1.1952662721893492</v>
      </c>
      <c r="AN97" s="6">
        <f t="shared" si="54"/>
        <v>1.2</v>
      </c>
      <c r="AO97" s="6" t="str">
        <f t="shared" si="57"/>
        <v>-</v>
      </c>
      <c r="AP97" s="4" t="str">
        <f t="shared" si="58"/>
        <v>-</v>
      </c>
      <c r="AQ97" s="4" t="str">
        <f t="shared" si="59"/>
        <v>-</v>
      </c>
      <c r="AR97" s="4" t="str">
        <f t="shared" si="60"/>
        <v>-</v>
      </c>
      <c r="AS97" s="4" t="s">
        <v>323</v>
      </c>
      <c r="AT97" s="4" t="s">
        <v>582</v>
      </c>
      <c r="AU97" s="4"/>
      <c r="AV97" s="4"/>
      <c r="AW97" s="4" t="s">
        <v>559</v>
      </c>
      <c r="AX97" s="4">
        <v>1690</v>
      </c>
      <c r="AY97" s="4">
        <f t="shared" si="55"/>
        <v>1690</v>
      </c>
      <c r="AZ97" s="19">
        <v>4</v>
      </c>
      <c r="BA97" s="19">
        <v>1</v>
      </c>
      <c r="BB97" s="16">
        <v>1120</v>
      </c>
      <c r="BC97">
        <v>1690</v>
      </c>
      <c r="BD97">
        <f t="shared" si="61"/>
        <v>2028</v>
      </c>
      <c r="BE97">
        <v>2653</v>
      </c>
      <c r="BF97">
        <f t="shared" si="62"/>
        <v>3183.6</v>
      </c>
      <c r="BG97" t="s">
        <v>418</v>
      </c>
    </row>
    <row r="98" spans="1:59" x14ac:dyDescent="0.4">
      <c r="A98" t="str">
        <f t="shared" si="56"/>
        <v>669462</v>
      </c>
      <c r="B98" s="3">
        <v>82</v>
      </c>
      <c r="C98" s="3">
        <v>82</v>
      </c>
      <c r="D98" s="4">
        <v>669462</v>
      </c>
      <c r="E98" s="4" t="str">
        <f t="shared" si="40"/>
        <v>669462</v>
      </c>
      <c r="F98" s="4">
        <v>669462</v>
      </c>
      <c r="G98" s="4" t="str">
        <f t="shared" si="41"/>
        <v>6694625</v>
      </c>
      <c r="H98" s="4" t="s">
        <v>227</v>
      </c>
      <c r="I98" s="5">
        <v>4905009834174</v>
      </c>
      <c r="J98" s="5">
        <v>5</v>
      </c>
      <c r="K98" s="5"/>
      <c r="L98" s="5">
        <v>1</v>
      </c>
      <c r="M98" s="5">
        <v>1</v>
      </c>
      <c r="N98" s="4">
        <v>0</v>
      </c>
      <c r="O98" s="4">
        <v>1350</v>
      </c>
      <c r="P98" s="4">
        <v>724</v>
      </c>
      <c r="Q98" s="6">
        <f t="shared" si="42"/>
        <v>0.46370370370370373</v>
      </c>
      <c r="R98" s="4" t="s">
        <v>338</v>
      </c>
      <c r="S98" s="4" t="s">
        <v>338</v>
      </c>
      <c r="T98" s="4" t="s">
        <v>338</v>
      </c>
      <c r="U98" s="4">
        <v>0</v>
      </c>
      <c r="V98" s="4">
        <f t="shared" si="43"/>
        <v>0</v>
      </c>
      <c r="W98" s="4">
        <v>868</v>
      </c>
      <c r="X98" s="4">
        <f t="shared" si="44"/>
        <v>868</v>
      </c>
      <c r="Y98" s="4"/>
      <c r="Z98" s="21">
        <f t="shared" si="45"/>
        <v>1619</v>
      </c>
      <c r="AA98" s="6">
        <f t="shared" si="46"/>
        <v>0.46386658431130323</v>
      </c>
      <c r="AB98" s="4">
        <v>67</v>
      </c>
      <c r="AC98" s="4">
        <f t="shared" si="47"/>
        <v>1350</v>
      </c>
      <c r="AD98" s="4">
        <f t="shared" si="48"/>
        <v>1618.5082872928176</v>
      </c>
      <c r="AE98" s="6">
        <f t="shared" si="49"/>
        <v>0.46370370370370373</v>
      </c>
      <c r="AF98" s="7">
        <v>1620</v>
      </c>
      <c r="AG98" s="6">
        <f t="shared" si="50"/>
        <v>0.46419753086419757</v>
      </c>
      <c r="AH98" s="4">
        <f t="shared" si="51"/>
        <v>752</v>
      </c>
      <c r="AI98" s="28"/>
      <c r="AJ98" s="6"/>
      <c r="AK98" s="6"/>
      <c r="AL98" s="6" t="str">
        <f t="shared" si="52"/>
        <v>-</v>
      </c>
      <c r="AM98" s="6">
        <f t="shared" si="53"/>
        <v>1.2</v>
      </c>
      <c r="AN98" s="6">
        <f t="shared" si="54"/>
        <v>1.1988950276243093</v>
      </c>
      <c r="AO98" s="6" t="str">
        <f t="shared" si="57"/>
        <v>-</v>
      </c>
      <c r="AP98" s="4" t="str">
        <f t="shared" si="58"/>
        <v>-</v>
      </c>
      <c r="AQ98" s="4" t="str">
        <f t="shared" si="59"/>
        <v>-</v>
      </c>
      <c r="AR98" s="4" t="str">
        <f t="shared" si="60"/>
        <v>-</v>
      </c>
      <c r="AS98" s="4" t="s">
        <v>323</v>
      </c>
      <c r="AT98" s="4" t="s">
        <v>583</v>
      </c>
      <c r="AU98" s="4"/>
      <c r="AV98" s="4"/>
      <c r="AW98" s="4" t="s">
        <v>559</v>
      </c>
      <c r="AX98" s="4">
        <v>1350</v>
      </c>
      <c r="AY98" s="4">
        <f t="shared" si="55"/>
        <v>1350</v>
      </c>
      <c r="AZ98" s="19">
        <v>4</v>
      </c>
      <c r="BA98" s="19">
        <v>1</v>
      </c>
      <c r="BB98" s="16">
        <v>1120</v>
      </c>
      <c r="BC98" t="s">
        <v>338</v>
      </c>
      <c r="BD98" t="str">
        <f t="shared" si="61"/>
        <v>-</v>
      </c>
      <c r="BE98">
        <v>1523</v>
      </c>
      <c r="BF98">
        <f t="shared" si="62"/>
        <v>1825.9171270718232</v>
      </c>
      <c r="BG98" t="s">
        <v>419</v>
      </c>
    </row>
    <row r="99" spans="1:59" x14ac:dyDescent="0.4">
      <c r="A99" t="str">
        <f t="shared" si="56"/>
        <v>J130NC</v>
      </c>
      <c r="B99" s="3">
        <v>31</v>
      </c>
      <c r="C99" s="3">
        <v>31</v>
      </c>
      <c r="D99" s="4" t="s">
        <v>61</v>
      </c>
      <c r="E99" s="4" t="str">
        <f t="shared" si="40"/>
        <v>J130NC</v>
      </c>
      <c r="F99" s="4" t="s">
        <v>61</v>
      </c>
      <c r="G99" s="4" t="str">
        <f t="shared" si="41"/>
        <v>J130NC5</v>
      </c>
      <c r="H99" s="4" t="s">
        <v>177</v>
      </c>
      <c r="I99" s="5">
        <v>4967576651820</v>
      </c>
      <c r="J99" s="5">
        <v>5</v>
      </c>
      <c r="K99" s="5"/>
      <c r="L99" s="5">
        <v>1</v>
      </c>
      <c r="M99" s="5">
        <v>1</v>
      </c>
      <c r="N99" s="4">
        <v>0</v>
      </c>
      <c r="O99" s="4">
        <v>1180</v>
      </c>
      <c r="P99" s="4">
        <v>780</v>
      </c>
      <c r="Q99" s="6">
        <f t="shared" si="42"/>
        <v>0.33898305084745761</v>
      </c>
      <c r="R99" s="4">
        <v>1092</v>
      </c>
      <c r="S99" s="4">
        <v>4</v>
      </c>
      <c r="T99" s="4">
        <v>99999</v>
      </c>
      <c r="U99" s="4">
        <v>0</v>
      </c>
      <c r="V99" s="4">
        <f t="shared" si="43"/>
        <v>0</v>
      </c>
      <c r="W99" s="4">
        <v>936</v>
      </c>
      <c r="X99" s="4">
        <f t="shared" si="44"/>
        <v>936</v>
      </c>
      <c r="Y99" s="4"/>
      <c r="Z99" s="21">
        <f t="shared" si="45"/>
        <v>1416</v>
      </c>
      <c r="AA99" s="6">
        <f t="shared" si="46"/>
        <v>0.33898305084745761</v>
      </c>
      <c r="AB99" s="4">
        <v>15.25</v>
      </c>
      <c r="AC99" s="4">
        <f t="shared" si="47"/>
        <v>1180</v>
      </c>
      <c r="AD99" s="4">
        <f t="shared" si="48"/>
        <v>1416</v>
      </c>
      <c r="AE99" s="6">
        <f t="shared" si="49"/>
        <v>0.33898305084745761</v>
      </c>
      <c r="AF99" s="7">
        <v>1480</v>
      </c>
      <c r="AG99" s="6">
        <f t="shared" si="50"/>
        <v>0.36756756756756759</v>
      </c>
      <c r="AH99" s="4">
        <f t="shared" si="51"/>
        <v>544</v>
      </c>
      <c r="AI99" s="28"/>
      <c r="AJ99" s="6"/>
      <c r="AK99" s="6"/>
      <c r="AL99" s="41" t="str">
        <f t="shared" si="52"/>
        <v>-</v>
      </c>
      <c r="AM99" s="6">
        <f t="shared" si="53"/>
        <v>1.2542372881355932</v>
      </c>
      <c r="AN99" s="6">
        <f t="shared" si="54"/>
        <v>1.2</v>
      </c>
      <c r="AO99" s="6">
        <f t="shared" si="57"/>
        <v>0.33142857142857141</v>
      </c>
      <c r="AP99" s="4">
        <v>1400</v>
      </c>
      <c r="AQ99" s="4">
        <f t="shared" si="59"/>
        <v>4</v>
      </c>
      <c r="AR99" s="4">
        <f t="shared" si="60"/>
        <v>99999</v>
      </c>
      <c r="AS99" s="4">
        <v>0</v>
      </c>
      <c r="AT99" s="4" t="s">
        <v>584</v>
      </c>
      <c r="AU99" s="4"/>
      <c r="AV99" s="4"/>
      <c r="AW99" s="4" t="s">
        <v>585</v>
      </c>
      <c r="AX99" s="4">
        <v>1180</v>
      </c>
      <c r="AY99" s="4">
        <f t="shared" si="55"/>
        <v>1180</v>
      </c>
      <c r="AZ99" s="19">
        <v>4</v>
      </c>
      <c r="BA99" s="19">
        <v>1</v>
      </c>
      <c r="BB99" s="16">
        <v>1120</v>
      </c>
      <c r="BC99" t="s">
        <v>338</v>
      </c>
      <c r="BD99" t="str">
        <f t="shared" si="61"/>
        <v>-</v>
      </c>
      <c r="BE99">
        <v>1850</v>
      </c>
      <c r="BF99">
        <f t="shared" si="62"/>
        <v>2220</v>
      </c>
      <c r="BG99" t="s">
        <v>420</v>
      </c>
    </row>
    <row r="100" spans="1:59" x14ac:dyDescent="0.4">
      <c r="A100" t="str">
        <f t="shared" si="56"/>
        <v>669466</v>
      </c>
      <c r="B100" s="3">
        <v>84</v>
      </c>
      <c r="C100" s="3">
        <v>84</v>
      </c>
      <c r="D100" s="4">
        <v>669466</v>
      </c>
      <c r="E100" s="4" t="str">
        <f t="shared" ref="E100:E131" si="63">TEXT(D100,"000000")</f>
        <v>669466</v>
      </c>
      <c r="F100" s="4">
        <v>669466</v>
      </c>
      <c r="G100" s="4" t="str">
        <f t="shared" ref="G100:G131" si="64">E100&amp;J100</f>
        <v>6694665</v>
      </c>
      <c r="H100" s="4" t="s">
        <v>229</v>
      </c>
      <c r="I100" s="5">
        <v>4905009834235</v>
      </c>
      <c r="J100" s="5">
        <v>5</v>
      </c>
      <c r="K100" s="5"/>
      <c r="L100" s="5">
        <v>1</v>
      </c>
      <c r="M100" s="5">
        <v>1</v>
      </c>
      <c r="N100" s="4">
        <v>0</v>
      </c>
      <c r="O100" s="4">
        <v>1528</v>
      </c>
      <c r="P100" s="4">
        <v>799</v>
      </c>
      <c r="Q100" s="6">
        <f t="shared" ref="Q100:Q131" si="65">IFERROR(1-P100/O100,"-")</f>
        <v>0.47709424083769636</v>
      </c>
      <c r="R100" s="4" t="s">
        <v>338</v>
      </c>
      <c r="S100" s="4" t="s">
        <v>338</v>
      </c>
      <c r="T100" s="4" t="s">
        <v>338</v>
      </c>
      <c r="U100" s="4">
        <v>0</v>
      </c>
      <c r="V100" s="4">
        <f t="shared" ref="V100:V131" si="66">IF(Y100="",U100,U100*Y100)</f>
        <v>0</v>
      </c>
      <c r="W100" s="4">
        <v>958</v>
      </c>
      <c r="X100" s="4">
        <f t="shared" ref="X100:X131" si="67">IF(Y100="",W100,W100*Y100)</f>
        <v>958</v>
      </c>
      <c r="Y100" s="4"/>
      <c r="Z100" s="21">
        <f t="shared" ref="Z100:Z131" si="68">ROUND(O100*AN100,0)</f>
        <v>1832</v>
      </c>
      <c r="AA100" s="6">
        <f t="shared" ref="AA100:AA131" si="69">IFERROR(1-X100/Z100,"-")</f>
        <v>0.47707423580786024</v>
      </c>
      <c r="AB100" s="4">
        <v>23</v>
      </c>
      <c r="AC100" s="4">
        <f t="shared" ref="AC100:AC131" si="70">AY100</f>
        <v>1753</v>
      </c>
      <c r="AD100" s="4">
        <f t="shared" ref="AD100:AD131" si="71">IFERROR(AC100*AN100,"-")</f>
        <v>2101.8448060075093</v>
      </c>
      <c r="AE100" s="6">
        <f t="shared" ref="AE100:AE131" si="72">IFERROR(1-X100/AD100,"-")</f>
        <v>0.5442099258414147</v>
      </c>
      <c r="AF100" s="7">
        <v>1800</v>
      </c>
      <c r="AG100" s="6">
        <f t="shared" ref="AG100:AG131" si="73">1-X100/AF100</f>
        <v>0.46777777777777774</v>
      </c>
      <c r="AH100" s="4">
        <f t="shared" ref="AH100:AH131" si="74">AF100-X100</f>
        <v>842</v>
      </c>
      <c r="AI100" s="28"/>
      <c r="AJ100" s="6"/>
      <c r="AK100" s="6"/>
      <c r="AL100" s="6" t="str">
        <f t="shared" ref="AL100:AL131" si="75">IFERROR(V100/N100,"-")</f>
        <v>-</v>
      </c>
      <c r="AM100" s="6">
        <f t="shared" ref="AM100:AM131" si="76">IFERROR(AF100/O100,"-")</f>
        <v>1.1780104712041886</v>
      </c>
      <c r="AN100" s="6">
        <f t="shared" ref="AN100:AN131" si="77">IFERROR(X100/P100,"-")</f>
        <v>1.1989987484355444</v>
      </c>
      <c r="AO100" s="6" t="str">
        <f t="shared" si="57"/>
        <v>-</v>
      </c>
      <c r="AP100" s="4" t="str">
        <f t="shared" si="58"/>
        <v>-</v>
      </c>
      <c r="AQ100" s="4" t="str">
        <f t="shared" si="59"/>
        <v>-</v>
      </c>
      <c r="AR100" s="4" t="str">
        <f t="shared" si="60"/>
        <v>-</v>
      </c>
      <c r="AS100" s="4" t="s">
        <v>323</v>
      </c>
      <c r="AT100" s="4" t="s">
        <v>586</v>
      </c>
      <c r="AU100" s="4"/>
      <c r="AV100" s="4"/>
      <c r="AW100" s="4" t="s">
        <v>559</v>
      </c>
      <c r="AX100" s="4">
        <v>1753</v>
      </c>
      <c r="AY100" s="4">
        <f t="shared" ref="AY100:AY131" si="78">IF(AU100="",AX100,AU100/AV100*AX100)</f>
        <v>1753</v>
      </c>
      <c r="AZ100" s="19">
        <v>4</v>
      </c>
      <c r="BA100" s="19">
        <v>1</v>
      </c>
      <c r="BB100" s="16">
        <v>1120</v>
      </c>
      <c r="BC100" t="s">
        <v>338</v>
      </c>
      <c r="BD100" t="str">
        <f t="shared" si="61"/>
        <v>-</v>
      </c>
      <c r="BE100">
        <v>2414</v>
      </c>
      <c r="BF100">
        <f t="shared" si="62"/>
        <v>2894.3829787234044</v>
      </c>
      <c r="BG100" t="s">
        <v>421</v>
      </c>
    </row>
    <row r="101" spans="1:59" x14ac:dyDescent="0.4">
      <c r="A101" t="str">
        <f t="shared" si="56"/>
        <v>601323</v>
      </c>
      <c r="B101" s="3">
        <v>11</v>
      </c>
      <c r="C101" s="3">
        <v>11</v>
      </c>
      <c r="D101" s="4">
        <v>601323</v>
      </c>
      <c r="E101" s="4" t="str">
        <f t="shared" si="63"/>
        <v>601323</v>
      </c>
      <c r="F101" s="4">
        <v>601323</v>
      </c>
      <c r="G101" s="4" t="str">
        <f t="shared" si="64"/>
        <v>6013235</v>
      </c>
      <c r="H101" s="4" t="s">
        <v>157</v>
      </c>
      <c r="I101" s="5">
        <v>4905009427406</v>
      </c>
      <c r="J101" s="5">
        <v>5</v>
      </c>
      <c r="K101" s="5"/>
      <c r="L101" s="5">
        <v>1</v>
      </c>
      <c r="M101" s="5">
        <v>1</v>
      </c>
      <c r="N101" s="4">
        <v>0</v>
      </c>
      <c r="O101" s="4">
        <v>2265</v>
      </c>
      <c r="P101" s="4">
        <v>800</v>
      </c>
      <c r="Q101" s="6">
        <f t="shared" si="65"/>
        <v>0.64679911699779247</v>
      </c>
      <c r="R101" s="4" t="s">
        <v>338</v>
      </c>
      <c r="S101" s="4" t="s">
        <v>338</v>
      </c>
      <c r="T101" s="4" t="s">
        <v>338</v>
      </c>
      <c r="U101" s="4">
        <v>0</v>
      </c>
      <c r="V101" s="4">
        <f t="shared" si="66"/>
        <v>0</v>
      </c>
      <c r="W101" s="4">
        <v>960</v>
      </c>
      <c r="X101" s="4">
        <f t="shared" si="67"/>
        <v>960</v>
      </c>
      <c r="Y101" s="4"/>
      <c r="Z101" s="21">
        <f t="shared" si="68"/>
        <v>2718</v>
      </c>
      <c r="AA101" s="6">
        <f t="shared" si="69"/>
        <v>0.64679911699779247</v>
      </c>
      <c r="AB101" s="4">
        <v>16</v>
      </c>
      <c r="AC101" s="4">
        <f t="shared" si="70"/>
        <v>2266</v>
      </c>
      <c r="AD101" s="4">
        <f t="shared" si="71"/>
        <v>2719.2</v>
      </c>
      <c r="AE101" s="6">
        <f t="shared" si="72"/>
        <v>0.64695498676081198</v>
      </c>
      <c r="AF101" s="7">
        <v>2480</v>
      </c>
      <c r="AG101" s="6">
        <f t="shared" si="73"/>
        <v>0.61290322580645162</v>
      </c>
      <c r="AH101" s="4">
        <f t="shared" si="74"/>
        <v>1520</v>
      </c>
      <c r="AI101" s="28"/>
      <c r="AJ101" s="6"/>
      <c r="AK101" s="6"/>
      <c r="AL101" s="6" t="str">
        <f t="shared" si="75"/>
        <v>-</v>
      </c>
      <c r="AM101" s="6">
        <f t="shared" si="76"/>
        <v>1.0949227373068433</v>
      </c>
      <c r="AN101" s="6">
        <f t="shared" si="77"/>
        <v>1.2</v>
      </c>
      <c r="AO101" s="6" t="str">
        <f t="shared" si="57"/>
        <v>-</v>
      </c>
      <c r="AP101" s="4" t="str">
        <f t="shared" si="58"/>
        <v>-</v>
      </c>
      <c r="AQ101" s="4" t="str">
        <f t="shared" si="59"/>
        <v>-</v>
      </c>
      <c r="AR101" s="4" t="str">
        <f t="shared" si="60"/>
        <v>-</v>
      </c>
      <c r="AS101" s="4" t="s">
        <v>323</v>
      </c>
      <c r="AT101" s="4" t="s">
        <v>587</v>
      </c>
      <c r="AU101" s="4"/>
      <c r="AV101" s="4"/>
      <c r="AW101" s="4" t="s">
        <v>489</v>
      </c>
      <c r="AX101" s="4">
        <v>2266</v>
      </c>
      <c r="AY101" s="4">
        <f t="shared" si="78"/>
        <v>2266</v>
      </c>
      <c r="AZ101" s="19">
        <v>4</v>
      </c>
      <c r="BA101" s="19">
        <v>1</v>
      </c>
      <c r="BB101" s="16">
        <v>1120</v>
      </c>
      <c r="BC101" t="s">
        <v>338</v>
      </c>
      <c r="BD101" t="str">
        <f t="shared" si="61"/>
        <v>-</v>
      </c>
      <c r="BE101">
        <v>1349</v>
      </c>
      <c r="BF101">
        <f t="shared" si="62"/>
        <v>1618.8</v>
      </c>
      <c r="BG101" t="s">
        <v>422</v>
      </c>
    </row>
    <row r="102" spans="1:59" x14ac:dyDescent="0.4">
      <c r="A102" t="str">
        <f t="shared" si="56"/>
        <v>171756</v>
      </c>
      <c r="B102" s="3">
        <v>1</v>
      </c>
      <c r="C102" s="3">
        <v>1</v>
      </c>
      <c r="D102" s="35">
        <v>171756</v>
      </c>
      <c r="E102" s="4" t="str">
        <f t="shared" si="63"/>
        <v>171756</v>
      </c>
      <c r="F102" s="4">
        <v>171756</v>
      </c>
      <c r="G102" s="4" t="str">
        <f t="shared" si="64"/>
        <v>1717565</v>
      </c>
      <c r="H102" s="4" t="s">
        <v>147</v>
      </c>
      <c r="I102" s="5">
        <v>4967576643382</v>
      </c>
      <c r="J102" s="5">
        <v>5</v>
      </c>
      <c r="K102" s="5"/>
      <c r="L102" s="5">
        <v>2</v>
      </c>
      <c r="M102" s="5">
        <v>1</v>
      </c>
      <c r="N102" s="4">
        <v>0</v>
      </c>
      <c r="O102" s="4">
        <v>1770</v>
      </c>
      <c r="P102" s="4">
        <v>900</v>
      </c>
      <c r="Q102" s="6">
        <f t="shared" si="65"/>
        <v>0.49152542372881358</v>
      </c>
      <c r="R102" s="4">
        <v>1695</v>
      </c>
      <c r="S102" s="4">
        <v>4</v>
      </c>
      <c r="T102" s="4">
        <v>99999</v>
      </c>
      <c r="U102" s="4">
        <v>0</v>
      </c>
      <c r="V102" s="4">
        <f t="shared" si="66"/>
        <v>0</v>
      </c>
      <c r="W102" s="4">
        <v>1080</v>
      </c>
      <c r="X102" s="4">
        <f t="shared" si="67"/>
        <v>1080</v>
      </c>
      <c r="Y102" s="4"/>
      <c r="Z102" s="21">
        <f t="shared" si="68"/>
        <v>2124</v>
      </c>
      <c r="AA102" s="6">
        <f t="shared" si="69"/>
        <v>0.49152542372881358</v>
      </c>
      <c r="AB102" s="4">
        <v>34</v>
      </c>
      <c r="AC102" s="4">
        <f t="shared" si="70"/>
        <v>1773</v>
      </c>
      <c r="AD102" s="4">
        <f t="shared" si="71"/>
        <v>2127.6</v>
      </c>
      <c r="AE102" s="6">
        <f t="shared" si="72"/>
        <v>0.49238578680203049</v>
      </c>
      <c r="AF102" s="7">
        <v>1880</v>
      </c>
      <c r="AG102" s="6">
        <f t="shared" si="73"/>
        <v>0.42553191489361697</v>
      </c>
      <c r="AH102" s="4">
        <f t="shared" si="74"/>
        <v>800</v>
      </c>
      <c r="AI102" s="28"/>
      <c r="AJ102" s="6" t="e">
        <f>1-X102/AI102</f>
        <v>#DIV/0!</v>
      </c>
      <c r="AK102" s="4">
        <f>AI102-X102</f>
        <v>-1080</v>
      </c>
      <c r="AL102" s="41" t="str">
        <f t="shared" si="75"/>
        <v>-</v>
      </c>
      <c r="AM102" s="6">
        <f t="shared" si="76"/>
        <v>1.0621468926553672</v>
      </c>
      <c r="AN102" s="6">
        <f t="shared" si="77"/>
        <v>1.2</v>
      </c>
      <c r="AO102" s="6">
        <f t="shared" si="57"/>
        <v>0.3932584269662921</v>
      </c>
      <c r="AP102" s="4">
        <v>1780</v>
      </c>
      <c r="AQ102" s="4">
        <f t="shared" si="59"/>
        <v>4</v>
      </c>
      <c r="AR102" s="4">
        <f t="shared" si="60"/>
        <v>99999</v>
      </c>
      <c r="AS102" s="4">
        <v>0</v>
      </c>
      <c r="AT102" s="4" t="s">
        <v>588</v>
      </c>
      <c r="AU102" s="4"/>
      <c r="AV102" s="4"/>
      <c r="AW102" s="4" t="s">
        <v>585</v>
      </c>
      <c r="AX102" s="4">
        <v>1773</v>
      </c>
      <c r="AY102" s="4">
        <f t="shared" si="78"/>
        <v>1773</v>
      </c>
      <c r="AZ102" s="19">
        <v>4</v>
      </c>
      <c r="BA102" s="19">
        <v>1</v>
      </c>
      <c r="BB102" s="16">
        <v>1120</v>
      </c>
      <c r="BC102" t="s">
        <v>338</v>
      </c>
      <c r="BD102" t="str">
        <f t="shared" si="61"/>
        <v>-</v>
      </c>
      <c r="BE102">
        <v>1668</v>
      </c>
      <c r="BF102">
        <f t="shared" si="62"/>
        <v>2001.6</v>
      </c>
      <c r="BG102" t="s">
        <v>423</v>
      </c>
    </row>
    <row r="103" spans="1:59" x14ac:dyDescent="0.4">
      <c r="A103" t="str">
        <f t="shared" si="56"/>
        <v>8934AM</v>
      </c>
      <c r="B103" s="3">
        <v>27</v>
      </c>
      <c r="C103" s="3">
        <v>27</v>
      </c>
      <c r="D103" s="35" t="s">
        <v>57</v>
      </c>
      <c r="E103" s="4" t="str">
        <f t="shared" si="63"/>
        <v>8934AM</v>
      </c>
      <c r="F103" s="4" t="s">
        <v>57</v>
      </c>
      <c r="G103" s="4" t="str">
        <f t="shared" si="64"/>
        <v>8934AM6</v>
      </c>
      <c r="H103" s="4" t="s">
        <v>173</v>
      </c>
      <c r="I103" s="5">
        <v>4967576643382</v>
      </c>
      <c r="J103" s="5">
        <v>6</v>
      </c>
      <c r="K103" s="5"/>
      <c r="L103" s="5">
        <v>2</v>
      </c>
      <c r="M103" s="5">
        <v>1</v>
      </c>
      <c r="N103" s="4">
        <v>0</v>
      </c>
      <c r="O103" s="4">
        <v>998</v>
      </c>
      <c r="P103" s="4">
        <v>900</v>
      </c>
      <c r="Q103" s="6">
        <f t="shared" si="65"/>
        <v>9.8196392785571129E-2</v>
      </c>
      <c r="R103" s="4" t="s">
        <v>338</v>
      </c>
      <c r="S103" s="4" t="s">
        <v>338</v>
      </c>
      <c r="T103" s="4" t="s">
        <v>338</v>
      </c>
      <c r="U103" s="4">
        <v>0</v>
      </c>
      <c r="V103" s="4">
        <f t="shared" si="66"/>
        <v>0</v>
      </c>
      <c r="W103" s="4">
        <v>1080</v>
      </c>
      <c r="X103" s="4">
        <f t="shared" si="67"/>
        <v>1080</v>
      </c>
      <c r="Y103" s="4"/>
      <c r="Z103" s="21">
        <f t="shared" si="68"/>
        <v>1198</v>
      </c>
      <c r="AA103" s="6">
        <f t="shared" si="69"/>
        <v>9.8497495826377346E-2</v>
      </c>
      <c r="AB103" s="4">
        <v>0</v>
      </c>
      <c r="AC103" s="4">
        <f t="shared" si="70"/>
        <v>1773</v>
      </c>
      <c r="AD103" s="4">
        <f t="shared" si="71"/>
        <v>2127.6</v>
      </c>
      <c r="AE103" s="6">
        <f t="shared" si="72"/>
        <v>0.49238578680203049</v>
      </c>
      <c r="AF103" s="7">
        <v>1880</v>
      </c>
      <c r="AG103" s="6">
        <f t="shared" si="73"/>
        <v>0.42553191489361697</v>
      </c>
      <c r="AH103" s="4">
        <f t="shared" si="74"/>
        <v>800</v>
      </c>
      <c r="AI103" s="28"/>
      <c r="AJ103" s="6"/>
      <c r="AK103" s="6"/>
      <c r="AL103" s="6" t="str">
        <f t="shared" si="75"/>
        <v>-</v>
      </c>
      <c r="AM103" s="6">
        <f t="shared" si="76"/>
        <v>1.8837675350701404</v>
      </c>
      <c r="AN103" s="6">
        <f t="shared" si="77"/>
        <v>1.2</v>
      </c>
      <c r="AO103" s="6" t="str">
        <f t="shared" si="57"/>
        <v>-</v>
      </c>
      <c r="AP103" s="4" t="str">
        <f t="shared" si="58"/>
        <v>-</v>
      </c>
      <c r="AQ103" s="4" t="str">
        <f t="shared" si="59"/>
        <v>-</v>
      </c>
      <c r="AR103" s="4" t="str">
        <f t="shared" si="60"/>
        <v>-</v>
      </c>
      <c r="AS103" s="4">
        <v>0</v>
      </c>
      <c r="AT103" s="4" t="s">
        <v>588</v>
      </c>
      <c r="AU103" s="4"/>
      <c r="AV103" s="4"/>
      <c r="AW103" s="4" t="s">
        <v>585</v>
      </c>
      <c r="AX103" s="4">
        <v>1773</v>
      </c>
      <c r="AY103" s="4">
        <f t="shared" si="78"/>
        <v>1773</v>
      </c>
      <c r="AZ103" s="19">
        <v>4</v>
      </c>
      <c r="BA103" s="19">
        <v>1</v>
      </c>
      <c r="BB103" s="16">
        <v>1120</v>
      </c>
      <c r="BC103" t="s">
        <v>338</v>
      </c>
      <c r="BD103" t="str">
        <f t="shared" si="61"/>
        <v>-</v>
      </c>
      <c r="BE103">
        <v>1668</v>
      </c>
      <c r="BF103">
        <f t="shared" si="62"/>
        <v>2001.6</v>
      </c>
      <c r="BG103" t="s">
        <v>423</v>
      </c>
    </row>
    <row r="104" spans="1:59" x14ac:dyDescent="0.4">
      <c r="A104" t="str">
        <f t="shared" si="56"/>
        <v>671663</v>
      </c>
      <c r="B104" s="3">
        <v>21</v>
      </c>
      <c r="C104" s="3">
        <v>21</v>
      </c>
      <c r="D104" s="4">
        <v>671663</v>
      </c>
      <c r="E104" s="4" t="str">
        <f t="shared" si="63"/>
        <v>671663</v>
      </c>
      <c r="F104" s="4">
        <v>671663</v>
      </c>
      <c r="G104" s="4" t="str">
        <f t="shared" si="64"/>
        <v>6716635</v>
      </c>
      <c r="H104" s="4" t="s">
        <v>167</v>
      </c>
      <c r="I104" s="5">
        <v>4905009715527</v>
      </c>
      <c r="J104" s="5">
        <v>5</v>
      </c>
      <c r="K104" s="5"/>
      <c r="L104" s="5">
        <v>1</v>
      </c>
      <c r="M104" s="5">
        <v>1</v>
      </c>
      <c r="N104" s="4">
        <v>0</v>
      </c>
      <c r="O104" s="4">
        <v>1657</v>
      </c>
      <c r="P104" s="4">
        <v>900</v>
      </c>
      <c r="Q104" s="6">
        <f t="shared" si="65"/>
        <v>0.45684972842486427</v>
      </c>
      <c r="R104" s="4" t="s">
        <v>338</v>
      </c>
      <c r="S104" s="4" t="s">
        <v>338</v>
      </c>
      <c r="T104" s="4" t="s">
        <v>338</v>
      </c>
      <c r="U104" s="4">
        <v>0</v>
      </c>
      <c r="V104" s="4">
        <f t="shared" si="66"/>
        <v>0</v>
      </c>
      <c r="W104" s="4">
        <v>1080</v>
      </c>
      <c r="X104" s="4">
        <f t="shared" si="67"/>
        <v>1080</v>
      </c>
      <c r="Y104" s="4"/>
      <c r="Z104" s="21">
        <f t="shared" si="68"/>
        <v>1988</v>
      </c>
      <c r="AA104" s="6">
        <f t="shared" si="69"/>
        <v>0.45674044265593561</v>
      </c>
      <c r="AB104" s="4">
        <v>1.5</v>
      </c>
      <c r="AC104" s="4">
        <f t="shared" si="70"/>
        <v>1610</v>
      </c>
      <c r="AD104" s="4">
        <f t="shared" si="71"/>
        <v>1932</v>
      </c>
      <c r="AE104" s="6">
        <f t="shared" si="72"/>
        <v>0.44099378881987583</v>
      </c>
      <c r="AF104" s="7">
        <v>1900</v>
      </c>
      <c r="AG104" s="6">
        <f t="shared" si="73"/>
        <v>0.43157894736842106</v>
      </c>
      <c r="AH104" s="4">
        <f t="shared" si="74"/>
        <v>820</v>
      </c>
      <c r="AI104" s="28"/>
      <c r="AJ104" s="6"/>
      <c r="AK104" s="6"/>
      <c r="AL104" s="6" t="str">
        <f t="shared" si="75"/>
        <v>-</v>
      </c>
      <c r="AM104" s="6">
        <f t="shared" si="76"/>
        <v>1.1466505733252867</v>
      </c>
      <c r="AN104" s="6">
        <f t="shared" si="77"/>
        <v>1.2</v>
      </c>
      <c r="AO104" s="6" t="str">
        <f t="shared" si="57"/>
        <v>-</v>
      </c>
      <c r="AP104" s="4" t="str">
        <f t="shared" si="58"/>
        <v>-</v>
      </c>
      <c r="AQ104" s="4" t="str">
        <f t="shared" si="59"/>
        <v>-</v>
      </c>
      <c r="AR104" s="4" t="str">
        <f t="shared" si="60"/>
        <v>-</v>
      </c>
      <c r="AS104" s="4" t="s">
        <v>324</v>
      </c>
      <c r="AT104" s="4" t="s">
        <v>589</v>
      </c>
      <c r="AU104" s="4"/>
      <c r="AV104" s="4"/>
      <c r="AW104" s="4" t="s">
        <v>590</v>
      </c>
      <c r="AX104" s="4">
        <v>1610</v>
      </c>
      <c r="AY104" s="4">
        <f t="shared" si="78"/>
        <v>1610</v>
      </c>
      <c r="AZ104" s="19">
        <v>4</v>
      </c>
      <c r="BA104" s="19">
        <v>1</v>
      </c>
      <c r="BB104" s="16">
        <v>1120</v>
      </c>
      <c r="BC104" t="s">
        <v>338</v>
      </c>
      <c r="BD104" t="str">
        <f t="shared" si="61"/>
        <v>-</v>
      </c>
      <c r="BE104">
        <v>1815</v>
      </c>
      <c r="BF104">
        <f t="shared" si="62"/>
        <v>2178</v>
      </c>
      <c r="BG104" t="s">
        <v>424</v>
      </c>
    </row>
    <row r="105" spans="1:59" x14ac:dyDescent="0.4">
      <c r="A105" t="str">
        <f t="shared" si="56"/>
        <v>J20293</v>
      </c>
      <c r="B105" s="3">
        <v>62</v>
      </c>
      <c r="C105" s="3">
        <v>62</v>
      </c>
      <c r="D105" s="4" t="s">
        <v>92</v>
      </c>
      <c r="E105" s="4" t="str">
        <f t="shared" si="63"/>
        <v>J20293</v>
      </c>
      <c r="F105" s="4" t="s">
        <v>92</v>
      </c>
      <c r="G105" s="4" t="str">
        <f t="shared" si="64"/>
        <v>J202935</v>
      </c>
      <c r="H105" s="4" t="s">
        <v>208</v>
      </c>
      <c r="I105" s="5">
        <v>4905009427413</v>
      </c>
      <c r="J105" s="5">
        <v>5</v>
      </c>
      <c r="K105" s="5"/>
      <c r="L105" s="5">
        <v>1</v>
      </c>
      <c r="M105" s="5">
        <v>1</v>
      </c>
      <c r="N105" s="4">
        <v>0</v>
      </c>
      <c r="O105" s="4">
        <v>1488</v>
      </c>
      <c r="P105" s="4">
        <v>900</v>
      </c>
      <c r="Q105" s="6">
        <f t="shared" si="65"/>
        <v>0.39516129032258063</v>
      </c>
      <c r="R105" s="4">
        <v>1390</v>
      </c>
      <c r="S105" s="4">
        <v>4</v>
      </c>
      <c r="T105" s="4">
        <v>99999</v>
      </c>
      <c r="U105" s="4">
        <v>0</v>
      </c>
      <c r="V105" s="4">
        <f t="shared" si="66"/>
        <v>0</v>
      </c>
      <c r="W105" s="4">
        <v>1080</v>
      </c>
      <c r="X105" s="4">
        <f t="shared" si="67"/>
        <v>1080</v>
      </c>
      <c r="Y105" s="4"/>
      <c r="Z105" s="21">
        <f t="shared" si="68"/>
        <v>1786</v>
      </c>
      <c r="AA105" s="6">
        <f t="shared" si="69"/>
        <v>0.39529675251959684</v>
      </c>
      <c r="AB105" s="4">
        <v>6</v>
      </c>
      <c r="AC105" s="4">
        <f t="shared" si="70"/>
        <v>1380</v>
      </c>
      <c r="AD105" s="4">
        <f t="shared" si="71"/>
        <v>1656</v>
      </c>
      <c r="AE105" s="6">
        <f t="shared" si="72"/>
        <v>0.34782608695652173</v>
      </c>
      <c r="AF105" s="7">
        <v>1780</v>
      </c>
      <c r="AG105" s="6">
        <f t="shared" si="73"/>
        <v>0.3932584269662921</v>
      </c>
      <c r="AH105" s="4">
        <f t="shared" si="74"/>
        <v>700</v>
      </c>
      <c r="AI105" s="28"/>
      <c r="AJ105" s="6"/>
      <c r="AK105" s="6"/>
      <c r="AL105" s="41" t="str">
        <f t="shared" si="75"/>
        <v>-</v>
      </c>
      <c r="AM105" s="6">
        <f t="shared" si="76"/>
        <v>1.196236559139785</v>
      </c>
      <c r="AN105" s="6">
        <f t="shared" si="77"/>
        <v>1.2</v>
      </c>
      <c r="AO105" s="6">
        <f t="shared" si="57"/>
        <v>0.31645569620253167</v>
      </c>
      <c r="AP105" s="4">
        <v>1580</v>
      </c>
      <c r="AQ105" s="4">
        <f t="shared" si="59"/>
        <v>4</v>
      </c>
      <c r="AR105" s="4">
        <f t="shared" si="60"/>
        <v>99999</v>
      </c>
      <c r="AS105" s="4">
        <v>0</v>
      </c>
      <c r="AT105" s="4" t="s">
        <v>591</v>
      </c>
      <c r="AU105" s="4"/>
      <c r="AV105" s="4"/>
      <c r="AW105" s="4" t="s">
        <v>559</v>
      </c>
      <c r="AX105" s="4">
        <v>1380</v>
      </c>
      <c r="AY105" s="4">
        <f t="shared" si="78"/>
        <v>1380</v>
      </c>
      <c r="AZ105" s="19">
        <v>4</v>
      </c>
      <c r="BA105" s="19">
        <v>1</v>
      </c>
      <c r="BB105" s="16">
        <v>1120</v>
      </c>
      <c r="BC105" t="s">
        <v>338</v>
      </c>
      <c r="BD105" t="str">
        <f t="shared" si="61"/>
        <v>-</v>
      </c>
      <c r="BE105" t="s">
        <v>338</v>
      </c>
      <c r="BF105" t="str">
        <f t="shared" si="62"/>
        <v>-</v>
      </c>
      <c r="BG105" t="s">
        <v>425</v>
      </c>
    </row>
    <row r="106" spans="1:59" x14ac:dyDescent="0.4">
      <c r="A106" t="str">
        <f t="shared" si="56"/>
        <v>J20309</v>
      </c>
      <c r="B106" s="3">
        <v>50</v>
      </c>
      <c r="C106" s="3">
        <v>50</v>
      </c>
      <c r="D106" s="4" t="s">
        <v>80</v>
      </c>
      <c r="E106" s="4" t="str">
        <f t="shared" si="63"/>
        <v>J20309</v>
      </c>
      <c r="F106" s="4" t="s">
        <v>80</v>
      </c>
      <c r="G106" s="4" t="str">
        <f t="shared" si="64"/>
        <v>J203095</v>
      </c>
      <c r="H106" s="4" t="s">
        <v>196</v>
      </c>
      <c r="I106" s="5">
        <v>4905009428779</v>
      </c>
      <c r="J106" s="5">
        <v>5</v>
      </c>
      <c r="K106" s="5"/>
      <c r="L106" s="5">
        <v>1</v>
      </c>
      <c r="M106" s="5">
        <v>1</v>
      </c>
      <c r="N106" s="4">
        <v>0</v>
      </c>
      <c r="O106" s="4">
        <v>1860</v>
      </c>
      <c r="P106" s="4">
        <v>1000</v>
      </c>
      <c r="Q106" s="6">
        <f t="shared" si="65"/>
        <v>0.4623655913978495</v>
      </c>
      <c r="R106" s="4" t="s">
        <v>338</v>
      </c>
      <c r="S106" s="4" t="s">
        <v>338</v>
      </c>
      <c r="T106" s="4" t="s">
        <v>338</v>
      </c>
      <c r="U106" s="4">
        <v>0</v>
      </c>
      <c r="V106" s="4">
        <f t="shared" si="66"/>
        <v>0</v>
      </c>
      <c r="W106" s="4">
        <v>1200</v>
      </c>
      <c r="X106" s="4">
        <f t="shared" si="67"/>
        <v>1200</v>
      </c>
      <c r="Y106" s="4"/>
      <c r="Z106" s="21">
        <f t="shared" si="68"/>
        <v>2232</v>
      </c>
      <c r="AA106" s="6">
        <f t="shared" si="69"/>
        <v>0.4623655913978495</v>
      </c>
      <c r="AB106" s="4">
        <v>1</v>
      </c>
      <c r="AC106" s="4">
        <f t="shared" si="70"/>
        <v>1520</v>
      </c>
      <c r="AD106" s="4">
        <f t="shared" si="71"/>
        <v>1824</v>
      </c>
      <c r="AE106" s="6">
        <f t="shared" si="72"/>
        <v>0.34210526315789469</v>
      </c>
      <c r="AF106" s="7">
        <v>1820</v>
      </c>
      <c r="AG106" s="6">
        <f t="shared" si="73"/>
        <v>0.34065934065934067</v>
      </c>
      <c r="AH106" s="4">
        <f t="shared" si="74"/>
        <v>620</v>
      </c>
      <c r="AI106" s="28"/>
      <c r="AJ106" s="6"/>
      <c r="AK106" s="6"/>
      <c r="AL106" s="6" t="str">
        <f t="shared" si="75"/>
        <v>-</v>
      </c>
      <c r="AM106" s="6">
        <f t="shared" si="76"/>
        <v>0.978494623655914</v>
      </c>
      <c r="AN106" s="6">
        <f t="shared" si="77"/>
        <v>1.2</v>
      </c>
      <c r="AO106" s="6" t="str">
        <f t="shared" si="57"/>
        <v>-</v>
      </c>
      <c r="AP106" s="4" t="str">
        <f t="shared" si="58"/>
        <v>-</v>
      </c>
      <c r="AQ106" s="4" t="str">
        <f t="shared" si="59"/>
        <v>-</v>
      </c>
      <c r="AR106" s="4" t="str">
        <f t="shared" si="60"/>
        <v>-</v>
      </c>
      <c r="AS106" s="4">
        <v>0</v>
      </c>
      <c r="AT106" s="4" t="s">
        <v>592</v>
      </c>
      <c r="AU106" s="4"/>
      <c r="AV106" s="4"/>
      <c r="AW106" s="4" t="s">
        <v>547</v>
      </c>
      <c r="AX106" s="4">
        <v>1520</v>
      </c>
      <c r="AY106" s="4">
        <f t="shared" si="78"/>
        <v>1520</v>
      </c>
      <c r="AZ106" s="19">
        <v>4</v>
      </c>
      <c r="BA106" s="19">
        <v>8</v>
      </c>
      <c r="BB106" s="16">
        <v>1120</v>
      </c>
      <c r="BC106" t="s">
        <v>338</v>
      </c>
      <c r="BD106" t="str">
        <f t="shared" si="61"/>
        <v>-</v>
      </c>
      <c r="BE106">
        <v>1694</v>
      </c>
      <c r="BF106">
        <f t="shared" si="62"/>
        <v>2032.8</v>
      </c>
      <c r="BG106" t="s">
        <v>426</v>
      </c>
    </row>
    <row r="107" spans="1:59" x14ac:dyDescent="0.4">
      <c r="A107" t="str">
        <f t="shared" si="56"/>
        <v>J20315</v>
      </c>
      <c r="B107" s="3">
        <v>60</v>
      </c>
      <c r="C107" s="3">
        <v>60</v>
      </c>
      <c r="D107" s="4" t="s">
        <v>90</v>
      </c>
      <c r="E107" s="4" t="str">
        <f t="shared" si="63"/>
        <v>J20315</v>
      </c>
      <c r="F107" s="4" t="s">
        <v>90</v>
      </c>
      <c r="G107" s="4" t="str">
        <f t="shared" si="64"/>
        <v>J203155</v>
      </c>
      <c r="H107" s="4" t="s">
        <v>206</v>
      </c>
      <c r="I107" s="5">
        <v>4905009452811</v>
      </c>
      <c r="J107" s="5">
        <v>5</v>
      </c>
      <c r="K107" s="5"/>
      <c r="L107" s="5">
        <v>1</v>
      </c>
      <c r="M107" s="5">
        <v>1</v>
      </c>
      <c r="N107" s="4">
        <v>0</v>
      </c>
      <c r="O107" s="4">
        <v>2109</v>
      </c>
      <c r="P107" s="4">
        <v>1000</v>
      </c>
      <c r="Q107" s="6">
        <f t="shared" si="65"/>
        <v>0.52584163110478899</v>
      </c>
      <c r="R107" s="4" t="s">
        <v>338</v>
      </c>
      <c r="S107" s="4" t="s">
        <v>338</v>
      </c>
      <c r="T107" s="4" t="s">
        <v>338</v>
      </c>
      <c r="U107" s="4">
        <v>0</v>
      </c>
      <c r="V107" s="4">
        <f t="shared" si="66"/>
        <v>0</v>
      </c>
      <c r="W107" s="4">
        <v>1200</v>
      </c>
      <c r="X107" s="4">
        <f t="shared" si="67"/>
        <v>1200</v>
      </c>
      <c r="Y107" s="4"/>
      <c r="Z107" s="21">
        <f t="shared" si="68"/>
        <v>2531</v>
      </c>
      <c r="AA107" s="6">
        <f t="shared" si="69"/>
        <v>0.52587909917028841</v>
      </c>
      <c r="AB107" s="4">
        <v>2</v>
      </c>
      <c r="AC107" s="4" t="str">
        <f t="shared" si="70"/>
        <v>-</v>
      </c>
      <c r="AD107" s="4" t="str">
        <f t="shared" si="71"/>
        <v>-</v>
      </c>
      <c r="AE107" s="6" t="str">
        <f t="shared" si="72"/>
        <v>-</v>
      </c>
      <c r="AF107" s="7">
        <v>2280</v>
      </c>
      <c r="AG107" s="6">
        <f t="shared" si="73"/>
        <v>0.47368421052631582</v>
      </c>
      <c r="AH107" s="4">
        <f t="shared" si="74"/>
        <v>1080</v>
      </c>
      <c r="AI107" s="28"/>
      <c r="AJ107" s="6"/>
      <c r="AK107" s="6"/>
      <c r="AL107" s="6" t="str">
        <f t="shared" si="75"/>
        <v>-</v>
      </c>
      <c r="AM107" s="6">
        <f t="shared" si="76"/>
        <v>1.0810810810810811</v>
      </c>
      <c r="AN107" s="6">
        <f t="shared" si="77"/>
        <v>1.2</v>
      </c>
      <c r="AO107" s="6" t="str">
        <f t="shared" si="57"/>
        <v>-</v>
      </c>
      <c r="AP107" s="4" t="str">
        <f t="shared" si="58"/>
        <v>-</v>
      </c>
      <c r="AQ107" s="4" t="str">
        <f t="shared" si="59"/>
        <v>-</v>
      </c>
      <c r="AR107" s="4" t="str">
        <f t="shared" si="60"/>
        <v>-</v>
      </c>
      <c r="AS107" s="4">
        <v>0</v>
      </c>
      <c r="AT107" s="4" t="s">
        <v>338</v>
      </c>
      <c r="AU107" s="4"/>
      <c r="AV107" s="4"/>
      <c r="AW107" s="4" t="s">
        <v>338</v>
      </c>
      <c r="AX107" s="4" t="s">
        <v>338</v>
      </c>
      <c r="AY107" s="4" t="str">
        <f t="shared" si="78"/>
        <v>-</v>
      </c>
      <c r="AZ107" s="19">
        <v>4</v>
      </c>
      <c r="BA107" s="19">
        <v>1</v>
      </c>
      <c r="BB107" s="16">
        <v>1120</v>
      </c>
      <c r="BC107" t="s">
        <v>338</v>
      </c>
      <c r="BD107" t="str">
        <f t="shared" si="61"/>
        <v>-</v>
      </c>
      <c r="BE107">
        <v>2475</v>
      </c>
      <c r="BF107">
        <f t="shared" si="62"/>
        <v>2970</v>
      </c>
      <c r="BG107" t="s">
        <v>338</v>
      </c>
    </row>
    <row r="108" spans="1:59" x14ac:dyDescent="0.4">
      <c r="A108" t="str">
        <f t="shared" si="56"/>
        <v>671658</v>
      </c>
      <c r="B108" s="3">
        <v>18</v>
      </c>
      <c r="C108" s="3">
        <v>18</v>
      </c>
      <c r="D108" s="4">
        <v>671658</v>
      </c>
      <c r="E108" s="4" t="str">
        <f t="shared" si="63"/>
        <v>671658</v>
      </c>
      <c r="F108" s="4">
        <v>671658</v>
      </c>
      <c r="G108" s="4" t="str">
        <f t="shared" si="64"/>
        <v>6716585</v>
      </c>
      <c r="H108" s="4" t="s">
        <v>164</v>
      </c>
      <c r="I108" s="5">
        <v>4905009710256</v>
      </c>
      <c r="J108" s="5">
        <v>5</v>
      </c>
      <c r="K108" s="5"/>
      <c r="L108" s="5">
        <v>1</v>
      </c>
      <c r="M108" s="5">
        <v>1</v>
      </c>
      <c r="N108" s="4">
        <v>0</v>
      </c>
      <c r="O108" s="4">
        <v>1863</v>
      </c>
      <c r="P108" s="4">
        <v>1089</v>
      </c>
      <c r="Q108" s="6">
        <f t="shared" si="65"/>
        <v>0.41545893719806759</v>
      </c>
      <c r="R108" s="4" t="s">
        <v>338</v>
      </c>
      <c r="S108" s="4" t="s">
        <v>338</v>
      </c>
      <c r="T108" s="4" t="s">
        <v>338</v>
      </c>
      <c r="U108" s="4">
        <v>0</v>
      </c>
      <c r="V108" s="4">
        <f t="shared" si="66"/>
        <v>0</v>
      </c>
      <c r="W108" s="4">
        <v>1306</v>
      </c>
      <c r="X108" s="4">
        <f t="shared" si="67"/>
        <v>1306</v>
      </c>
      <c r="Y108" s="4"/>
      <c r="Z108" s="21">
        <f t="shared" si="68"/>
        <v>2234</v>
      </c>
      <c r="AA108" s="6">
        <f t="shared" si="69"/>
        <v>0.41539838854073408</v>
      </c>
      <c r="AB108" s="4">
        <v>0.5</v>
      </c>
      <c r="AC108" s="4">
        <f t="shared" si="70"/>
        <v>1810</v>
      </c>
      <c r="AD108" s="4">
        <f t="shared" si="71"/>
        <v>2170.6703397612491</v>
      </c>
      <c r="AE108" s="6">
        <f t="shared" si="72"/>
        <v>0.39834254143646419</v>
      </c>
      <c r="AF108" s="7">
        <v>2000</v>
      </c>
      <c r="AG108" s="6">
        <f t="shared" si="73"/>
        <v>0.34699999999999998</v>
      </c>
      <c r="AH108" s="4">
        <f t="shared" si="74"/>
        <v>694</v>
      </c>
      <c r="AI108" s="28"/>
      <c r="AJ108" s="6"/>
      <c r="AK108" s="6"/>
      <c r="AL108" s="6" t="str">
        <f t="shared" si="75"/>
        <v>-</v>
      </c>
      <c r="AM108" s="6">
        <f t="shared" si="76"/>
        <v>1.0735373054213635</v>
      </c>
      <c r="AN108" s="6">
        <f t="shared" si="77"/>
        <v>1.199265381083563</v>
      </c>
      <c r="AO108" s="6" t="str">
        <f t="shared" si="57"/>
        <v>-</v>
      </c>
      <c r="AP108" s="4" t="str">
        <f t="shared" si="58"/>
        <v>-</v>
      </c>
      <c r="AQ108" s="4" t="str">
        <f t="shared" si="59"/>
        <v>-</v>
      </c>
      <c r="AR108" s="4" t="str">
        <f t="shared" si="60"/>
        <v>-</v>
      </c>
      <c r="AS108" s="4" t="s">
        <v>324</v>
      </c>
      <c r="AT108" s="4" t="s">
        <v>593</v>
      </c>
      <c r="AU108" s="4"/>
      <c r="AV108" s="4"/>
      <c r="AW108" s="4" t="s">
        <v>489</v>
      </c>
      <c r="AX108" s="4">
        <v>1810</v>
      </c>
      <c r="AY108" s="4">
        <f t="shared" si="78"/>
        <v>1810</v>
      </c>
      <c r="AZ108" s="19">
        <v>4</v>
      </c>
      <c r="BA108" s="19">
        <v>1</v>
      </c>
      <c r="BB108" s="16">
        <v>1120</v>
      </c>
      <c r="BC108" t="s">
        <v>338</v>
      </c>
      <c r="BD108" t="str">
        <f t="shared" si="61"/>
        <v>-</v>
      </c>
      <c r="BE108">
        <v>1699</v>
      </c>
      <c r="BF108">
        <f t="shared" si="62"/>
        <v>2037.5518824609735</v>
      </c>
      <c r="BG108" t="s">
        <v>427</v>
      </c>
    </row>
    <row r="109" spans="1:59" x14ac:dyDescent="0.4">
      <c r="A109" t="str">
        <f t="shared" si="56"/>
        <v>669467</v>
      </c>
      <c r="B109" s="3">
        <v>85</v>
      </c>
      <c r="C109" s="3">
        <v>85</v>
      </c>
      <c r="D109" s="35">
        <v>669467</v>
      </c>
      <c r="E109" s="4" t="str">
        <f t="shared" si="63"/>
        <v>669467</v>
      </c>
      <c r="F109" s="4">
        <v>669467</v>
      </c>
      <c r="G109" s="4" t="str">
        <f t="shared" si="64"/>
        <v>6694675</v>
      </c>
      <c r="H109" s="4" t="s">
        <v>230</v>
      </c>
      <c r="I109" s="5">
        <v>4905009834198</v>
      </c>
      <c r="J109" s="5">
        <v>5</v>
      </c>
      <c r="K109" s="5"/>
      <c r="L109" s="5">
        <v>2</v>
      </c>
      <c r="M109" s="5">
        <v>1</v>
      </c>
      <c r="N109" s="4">
        <v>0</v>
      </c>
      <c r="O109" s="4">
        <v>3140</v>
      </c>
      <c r="P109" s="4">
        <v>1274</v>
      </c>
      <c r="Q109" s="6">
        <f t="shared" si="65"/>
        <v>0.59426751592356686</v>
      </c>
      <c r="R109" s="4" t="s">
        <v>338</v>
      </c>
      <c r="S109" s="4" t="s">
        <v>338</v>
      </c>
      <c r="T109" s="4" t="s">
        <v>338</v>
      </c>
      <c r="U109" s="4">
        <v>0</v>
      </c>
      <c r="V109" s="4">
        <f t="shared" si="66"/>
        <v>0</v>
      </c>
      <c r="W109" s="4">
        <v>1528</v>
      </c>
      <c r="X109" s="4">
        <f t="shared" si="67"/>
        <v>1528</v>
      </c>
      <c r="Y109" s="4"/>
      <c r="Z109" s="21">
        <f t="shared" si="68"/>
        <v>3766</v>
      </c>
      <c r="AA109" s="6">
        <f t="shared" si="69"/>
        <v>0.59426447158789164</v>
      </c>
      <c r="AB109" s="4">
        <v>15.5</v>
      </c>
      <c r="AC109" s="4">
        <f t="shared" si="70"/>
        <v>2819</v>
      </c>
      <c r="AD109" s="4">
        <f t="shared" si="71"/>
        <v>3381.0298273155418</v>
      </c>
      <c r="AE109" s="6">
        <f t="shared" si="72"/>
        <v>0.54806669031571476</v>
      </c>
      <c r="AF109" s="7">
        <v>3380</v>
      </c>
      <c r="AG109" s="6">
        <f t="shared" si="73"/>
        <v>0.54792899408284024</v>
      </c>
      <c r="AH109" s="4">
        <f t="shared" si="74"/>
        <v>1852</v>
      </c>
      <c r="AI109" s="28"/>
      <c r="AJ109" s="6"/>
      <c r="AK109" s="6"/>
      <c r="AL109" s="6" t="str">
        <f t="shared" si="75"/>
        <v>-</v>
      </c>
      <c r="AM109" s="6">
        <f t="shared" si="76"/>
        <v>1.0764331210191083</v>
      </c>
      <c r="AN109" s="6">
        <f t="shared" si="77"/>
        <v>1.1993720565149137</v>
      </c>
      <c r="AO109" s="6" t="str">
        <f t="shared" si="57"/>
        <v>-</v>
      </c>
      <c r="AP109" s="4" t="str">
        <f t="shared" si="58"/>
        <v>-</v>
      </c>
      <c r="AQ109" s="4" t="str">
        <f t="shared" si="59"/>
        <v>-</v>
      </c>
      <c r="AR109" s="4" t="str">
        <f t="shared" si="60"/>
        <v>-</v>
      </c>
      <c r="AS109" s="4" t="s">
        <v>323</v>
      </c>
      <c r="AT109" s="4" t="s">
        <v>594</v>
      </c>
      <c r="AU109" s="4"/>
      <c r="AV109" s="4"/>
      <c r="AW109" s="4" t="s">
        <v>559</v>
      </c>
      <c r="AX109" s="4">
        <v>2819</v>
      </c>
      <c r="AY109" s="4">
        <f t="shared" si="78"/>
        <v>2819</v>
      </c>
      <c r="AZ109" s="19">
        <v>4</v>
      </c>
      <c r="BA109" s="19">
        <v>1</v>
      </c>
      <c r="BB109" s="16">
        <v>1120</v>
      </c>
      <c r="BC109">
        <v>2570</v>
      </c>
      <c r="BD109">
        <f t="shared" si="61"/>
        <v>3082.3861852433283</v>
      </c>
      <c r="BE109">
        <v>3271</v>
      </c>
      <c r="BF109">
        <f t="shared" si="62"/>
        <v>3923.145996860283</v>
      </c>
      <c r="BG109" t="s">
        <v>428</v>
      </c>
    </row>
    <row r="110" spans="1:59" x14ac:dyDescent="0.4">
      <c r="A110" t="str">
        <f t="shared" si="56"/>
        <v>671664</v>
      </c>
      <c r="B110" s="3">
        <v>23</v>
      </c>
      <c r="C110" s="3">
        <v>23</v>
      </c>
      <c r="D110" s="4">
        <v>671664</v>
      </c>
      <c r="E110" s="4" t="str">
        <f t="shared" si="63"/>
        <v>671664</v>
      </c>
      <c r="F110" s="4">
        <v>671664</v>
      </c>
      <c r="G110" s="4" t="str">
        <f t="shared" si="64"/>
        <v>6716645</v>
      </c>
      <c r="H110" s="4" t="s">
        <v>169</v>
      </c>
      <c r="I110" s="5">
        <v>4905009715534</v>
      </c>
      <c r="J110" s="5">
        <v>5</v>
      </c>
      <c r="K110" s="5"/>
      <c r="L110" s="5">
        <v>1</v>
      </c>
      <c r="M110" s="5">
        <v>1</v>
      </c>
      <c r="N110" s="4">
        <v>0</v>
      </c>
      <c r="O110" s="4">
        <v>1980</v>
      </c>
      <c r="P110" s="4">
        <v>1300</v>
      </c>
      <c r="Q110" s="6">
        <f t="shared" si="65"/>
        <v>0.34343434343434343</v>
      </c>
      <c r="R110" s="4" t="s">
        <v>338</v>
      </c>
      <c r="S110" s="4" t="s">
        <v>338</v>
      </c>
      <c r="T110" s="4" t="s">
        <v>338</v>
      </c>
      <c r="U110" s="4">
        <v>0</v>
      </c>
      <c r="V110" s="4">
        <f t="shared" si="66"/>
        <v>0</v>
      </c>
      <c r="W110" s="4">
        <v>1560</v>
      </c>
      <c r="X110" s="4">
        <f t="shared" si="67"/>
        <v>1560</v>
      </c>
      <c r="Y110" s="4"/>
      <c r="Z110" s="21">
        <f t="shared" si="68"/>
        <v>2376</v>
      </c>
      <c r="AA110" s="6">
        <f t="shared" si="69"/>
        <v>0.34343434343434343</v>
      </c>
      <c r="AB110" s="4">
        <v>9.5</v>
      </c>
      <c r="AC110" s="4">
        <f t="shared" si="70"/>
        <v>1980</v>
      </c>
      <c r="AD110" s="4">
        <f t="shared" si="71"/>
        <v>2376</v>
      </c>
      <c r="AE110" s="6">
        <f t="shared" si="72"/>
        <v>0.34343434343434343</v>
      </c>
      <c r="AF110" s="7">
        <v>2370</v>
      </c>
      <c r="AG110" s="6">
        <f t="shared" si="73"/>
        <v>0.34177215189873422</v>
      </c>
      <c r="AH110" s="4">
        <f t="shared" si="74"/>
        <v>810</v>
      </c>
      <c r="AI110" s="28"/>
      <c r="AJ110" s="6"/>
      <c r="AK110" s="6"/>
      <c r="AL110" s="6" t="str">
        <f t="shared" si="75"/>
        <v>-</v>
      </c>
      <c r="AM110" s="6">
        <f t="shared" si="76"/>
        <v>1.196969696969697</v>
      </c>
      <c r="AN110" s="6">
        <f t="shared" si="77"/>
        <v>1.2</v>
      </c>
      <c r="AO110" s="6" t="str">
        <f t="shared" si="57"/>
        <v>-</v>
      </c>
      <c r="AP110" s="4" t="str">
        <f t="shared" si="58"/>
        <v>-</v>
      </c>
      <c r="AQ110" s="4" t="str">
        <f t="shared" si="59"/>
        <v>-</v>
      </c>
      <c r="AR110" s="4" t="str">
        <f t="shared" si="60"/>
        <v>-</v>
      </c>
      <c r="AS110" s="4" t="s">
        <v>324</v>
      </c>
      <c r="AT110" s="4" t="s">
        <v>595</v>
      </c>
      <c r="AU110" s="4"/>
      <c r="AV110" s="4"/>
      <c r="AW110" s="4" t="s">
        <v>590</v>
      </c>
      <c r="AX110" s="4">
        <v>1980</v>
      </c>
      <c r="AY110" s="4">
        <f t="shared" si="78"/>
        <v>1980</v>
      </c>
      <c r="AZ110" s="19">
        <v>4</v>
      </c>
      <c r="BA110" s="19">
        <v>1</v>
      </c>
      <c r="BB110" s="16">
        <v>1120</v>
      </c>
      <c r="BC110" t="s">
        <v>338</v>
      </c>
      <c r="BD110" t="str">
        <f t="shared" si="61"/>
        <v>-</v>
      </c>
      <c r="BE110">
        <v>1967</v>
      </c>
      <c r="BF110">
        <f t="shared" si="62"/>
        <v>2360.4</v>
      </c>
      <c r="BG110" t="s">
        <v>429</v>
      </c>
    </row>
    <row r="111" spans="1:59" x14ac:dyDescent="0.4">
      <c r="A111" t="str">
        <f t="shared" si="56"/>
        <v>J20294</v>
      </c>
      <c r="B111" s="3">
        <v>63</v>
      </c>
      <c r="C111" s="3">
        <v>63</v>
      </c>
      <c r="D111" s="4" t="s">
        <v>93</v>
      </c>
      <c r="E111" s="4" t="str">
        <f t="shared" si="63"/>
        <v>J20294</v>
      </c>
      <c r="F111" s="4" t="s">
        <v>93</v>
      </c>
      <c r="G111" s="4" t="str">
        <f t="shared" si="64"/>
        <v>J202945</v>
      </c>
      <c r="H111" s="4" t="s">
        <v>209</v>
      </c>
      <c r="I111" s="5">
        <v>4905009427437</v>
      </c>
      <c r="J111" s="5">
        <v>5</v>
      </c>
      <c r="K111" s="5"/>
      <c r="L111" s="5">
        <v>1</v>
      </c>
      <c r="M111" s="5">
        <v>1</v>
      </c>
      <c r="N111" s="4">
        <v>0</v>
      </c>
      <c r="O111" s="4">
        <v>2180</v>
      </c>
      <c r="P111" s="4">
        <v>1344</v>
      </c>
      <c r="Q111" s="6">
        <f t="shared" si="65"/>
        <v>0.38348623853211006</v>
      </c>
      <c r="R111" s="4">
        <v>2055</v>
      </c>
      <c r="S111" s="4">
        <v>4</v>
      </c>
      <c r="T111" s="4">
        <v>99999</v>
      </c>
      <c r="U111" s="4">
        <v>0</v>
      </c>
      <c r="V111" s="4">
        <f t="shared" si="66"/>
        <v>0</v>
      </c>
      <c r="W111" s="4">
        <v>1612</v>
      </c>
      <c r="X111" s="4">
        <f t="shared" si="67"/>
        <v>1612</v>
      </c>
      <c r="Y111" s="4"/>
      <c r="Z111" s="21">
        <f t="shared" si="68"/>
        <v>2615</v>
      </c>
      <c r="AA111" s="6">
        <f t="shared" si="69"/>
        <v>0.38355640535372848</v>
      </c>
      <c r="AB111" s="4">
        <v>22.5</v>
      </c>
      <c r="AC111" s="4">
        <f t="shared" si="70"/>
        <v>2180</v>
      </c>
      <c r="AD111" s="4">
        <f t="shared" si="71"/>
        <v>2614.7023809523807</v>
      </c>
      <c r="AE111" s="6">
        <f t="shared" si="72"/>
        <v>0.38348623853211006</v>
      </c>
      <c r="AF111" s="7">
        <v>2580</v>
      </c>
      <c r="AG111" s="6">
        <f t="shared" si="73"/>
        <v>0.37519379844961243</v>
      </c>
      <c r="AH111" s="4">
        <f t="shared" si="74"/>
        <v>968</v>
      </c>
      <c r="AI111" s="28"/>
      <c r="AJ111" s="6"/>
      <c r="AK111" s="6"/>
      <c r="AL111" s="41" t="str">
        <f t="shared" si="75"/>
        <v>-</v>
      </c>
      <c r="AM111" s="6">
        <f t="shared" si="76"/>
        <v>1.1834862385321101</v>
      </c>
      <c r="AN111" s="6">
        <f t="shared" si="77"/>
        <v>1.1994047619047619</v>
      </c>
      <c r="AO111" s="6">
        <f t="shared" si="57"/>
        <v>0.34204081632653061</v>
      </c>
      <c r="AP111" s="4">
        <v>2450</v>
      </c>
      <c r="AQ111" s="4">
        <f t="shared" si="59"/>
        <v>4</v>
      </c>
      <c r="AR111" s="4">
        <f t="shared" si="60"/>
        <v>99999</v>
      </c>
      <c r="AS111" s="4" t="s">
        <v>323</v>
      </c>
      <c r="AT111" s="4" t="s">
        <v>596</v>
      </c>
      <c r="AU111" s="4"/>
      <c r="AV111" s="4"/>
      <c r="AW111" s="4" t="s">
        <v>559</v>
      </c>
      <c r="AX111" s="4">
        <v>2180</v>
      </c>
      <c r="AY111" s="4">
        <f t="shared" si="78"/>
        <v>2180</v>
      </c>
      <c r="AZ111" s="19">
        <v>4</v>
      </c>
      <c r="BA111" s="19">
        <v>1</v>
      </c>
      <c r="BB111" s="16">
        <v>1120</v>
      </c>
      <c r="BC111" t="s">
        <v>338</v>
      </c>
      <c r="BD111" t="str">
        <f t="shared" si="61"/>
        <v>-</v>
      </c>
      <c r="BE111">
        <v>2458</v>
      </c>
      <c r="BF111">
        <f t="shared" si="62"/>
        <v>2948.1369047619046</v>
      </c>
      <c r="BG111" t="s">
        <v>430</v>
      </c>
    </row>
    <row r="112" spans="1:59" x14ac:dyDescent="0.4">
      <c r="A112" t="str">
        <f t="shared" si="56"/>
        <v>681778</v>
      </c>
      <c r="B112" s="3">
        <v>92</v>
      </c>
      <c r="C112" s="3">
        <v>92</v>
      </c>
      <c r="D112" s="4">
        <v>681778</v>
      </c>
      <c r="E112" s="4" t="str">
        <f t="shared" si="63"/>
        <v>681778</v>
      </c>
      <c r="F112" s="4">
        <v>681778</v>
      </c>
      <c r="G112" s="4" t="str">
        <f t="shared" si="64"/>
        <v>6817785</v>
      </c>
      <c r="H112" s="4" t="s">
        <v>237</v>
      </c>
      <c r="I112" s="5">
        <v>4905009834204</v>
      </c>
      <c r="J112" s="5">
        <v>5</v>
      </c>
      <c r="K112" s="5"/>
      <c r="L112" s="5">
        <v>1</v>
      </c>
      <c r="M112" s="5">
        <v>1</v>
      </c>
      <c r="N112" s="4">
        <v>0</v>
      </c>
      <c r="O112" s="4">
        <v>2700</v>
      </c>
      <c r="P112" s="4">
        <v>1380</v>
      </c>
      <c r="Q112" s="6">
        <f t="shared" si="65"/>
        <v>0.48888888888888893</v>
      </c>
      <c r="R112" s="4" t="s">
        <v>338</v>
      </c>
      <c r="S112" s="4" t="s">
        <v>338</v>
      </c>
      <c r="T112" s="4" t="s">
        <v>338</v>
      </c>
      <c r="U112" s="4">
        <v>0</v>
      </c>
      <c r="V112" s="4">
        <f t="shared" si="66"/>
        <v>0</v>
      </c>
      <c r="W112" s="4">
        <v>1656</v>
      </c>
      <c r="X112" s="4">
        <f t="shared" si="67"/>
        <v>1656</v>
      </c>
      <c r="Y112" s="4"/>
      <c r="Z112" s="21">
        <f t="shared" si="68"/>
        <v>3240</v>
      </c>
      <c r="AA112" s="6">
        <f t="shared" si="69"/>
        <v>0.48888888888888893</v>
      </c>
      <c r="AB112" s="4">
        <v>138.5</v>
      </c>
      <c r="AC112" s="4">
        <f t="shared" si="70"/>
        <v>2700</v>
      </c>
      <c r="AD112" s="4">
        <f t="shared" si="71"/>
        <v>3240</v>
      </c>
      <c r="AE112" s="6">
        <f t="shared" si="72"/>
        <v>0.48888888888888893</v>
      </c>
      <c r="AF112" s="7">
        <v>3240</v>
      </c>
      <c r="AG112" s="6">
        <f t="shared" si="73"/>
        <v>0.48888888888888893</v>
      </c>
      <c r="AH112" s="4">
        <f t="shared" si="74"/>
        <v>1584</v>
      </c>
      <c r="AI112" s="28"/>
      <c r="AJ112" s="6"/>
      <c r="AK112" s="6"/>
      <c r="AL112" s="6" t="str">
        <f t="shared" si="75"/>
        <v>-</v>
      </c>
      <c r="AM112" s="6">
        <f t="shared" si="76"/>
        <v>1.2</v>
      </c>
      <c r="AN112" s="6">
        <f t="shared" si="77"/>
        <v>1.2</v>
      </c>
      <c r="AO112" s="6" t="str">
        <f t="shared" si="57"/>
        <v>-</v>
      </c>
      <c r="AP112" s="4" t="str">
        <f t="shared" si="58"/>
        <v>-</v>
      </c>
      <c r="AQ112" s="4" t="str">
        <f t="shared" si="59"/>
        <v>-</v>
      </c>
      <c r="AR112" s="4" t="str">
        <f t="shared" si="60"/>
        <v>-</v>
      </c>
      <c r="AS112" s="4" t="s">
        <v>323</v>
      </c>
      <c r="AT112" s="4" t="s">
        <v>597</v>
      </c>
      <c r="AU112" s="4"/>
      <c r="AV112" s="4"/>
      <c r="AW112" s="4" t="s">
        <v>559</v>
      </c>
      <c r="AX112" s="4">
        <v>2700</v>
      </c>
      <c r="AY112" s="4">
        <f t="shared" si="78"/>
        <v>2700</v>
      </c>
      <c r="AZ112" s="19">
        <v>4</v>
      </c>
      <c r="BA112" s="19">
        <v>1</v>
      </c>
      <c r="BB112" s="16">
        <v>1120</v>
      </c>
      <c r="BC112" t="s">
        <v>338</v>
      </c>
      <c r="BD112" t="str">
        <f t="shared" si="61"/>
        <v>-</v>
      </c>
      <c r="BE112">
        <v>3562</v>
      </c>
      <c r="BF112">
        <f t="shared" si="62"/>
        <v>4274.3999999999996</v>
      </c>
      <c r="BG112" t="s">
        <v>431</v>
      </c>
    </row>
    <row r="113" spans="1:59" x14ac:dyDescent="0.4">
      <c r="A113" t="str">
        <f t="shared" si="56"/>
        <v>J20289</v>
      </c>
      <c r="B113" s="3">
        <v>53</v>
      </c>
      <c r="C113" s="3">
        <v>53</v>
      </c>
      <c r="D113" s="4" t="s">
        <v>83</v>
      </c>
      <c r="E113" s="4" t="str">
        <f t="shared" si="63"/>
        <v>J20289</v>
      </c>
      <c r="F113" s="4" t="s">
        <v>83</v>
      </c>
      <c r="G113" s="4" t="str">
        <f t="shared" si="64"/>
        <v>J202895</v>
      </c>
      <c r="H113" s="4" t="s">
        <v>199</v>
      </c>
      <c r="I113" s="5">
        <v>4905009428670</v>
      </c>
      <c r="J113" s="5">
        <v>5</v>
      </c>
      <c r="K113" s="5"/>
      <c r="L113" s="5">
        <v>1</v>
      </c>
      <c r="M113" s="5">
        <v>1</v>
      </c>
      <c r="N113" s="4">
        <v>0</v>
      </c>
      <c r="O113" s="4">
        <v>1999</v>
      </c>
      <c r="P113" s="4">
        <v>1400</v>
      </c>
      <c r="Q113" s="6">
        <f t="shared" si="65"/>
        <v>0.29964982491245618</v>
      </c>
      <c r="R113" s="4" t="s">
        <v>338</v>
      </c>
      <c r="S113" s="4" t="s">
        <v>338</v>
      </c>
      <c r="T113" s="4" t="s">
        <v>338</v>
      </c>
      <c r="U113" s="4">
        <v>0</v>
      </c>
      <c r="V113" s="4">
        <f t="shared" si="66"/>
        <v>0</v>
      </c>
      <c r="W113" s="4">
        <v>1680</v>
      </c>
      <c r="X113" s="4">
        <f t="shared" si="67"/>
        <v>1680</v>
      </c>
      <c r="Y113" s="4"/>
      <c r="Z113" s="21">
        <f t="shared" si="68"/>
        <v>2399</v>
      </c>
      <c r="AA113" s="6">
        <f t="shared" si="69"/>
        <v>0.29970821175489792</v>
      </c>
      <c r="AB113" s="4">
        <v>0.25</v>
      </c>
      <c r="AC113" s="4">
        <f t="shared" si="70"/>
        <v>2380</v>
      </c>
      <c r="AD113" s="4">
        <f t="shared" si="71"/>
        <v>2856</v>
      </c>
      <c r="AE113" s="6">
        <f t="shared" si="72"/>
        <v>0.41176470588235292</v>
      </c>
      <c r="AF113" s="7">
        <v>2650</v>
      </c>
      <c r="AG113" s="6">
        <f t="shared" si="73"/>
        <v>0.36603773584905663</v>
      </c>
      <c r="AH113" s="4">
        <f t="shared" si="74"/>
        <v>970</v>
      </c>
      <c r="AI113" s="28"/>
      <c r="AJ113" s="6"/>
      <c r="AK113" s="6"/>
      <c r="AL113" s="6" t="str">
        <f t="shared" si="75"/>
        <v>-</v>
      </c>
      <c r="AM113" s="6">
        <f t="shared" si="76"/>
        <v>1.325662831415708</v>
      </c>
      <c r="AN113" s="6">
        <f t="shared" si="77"/>
        <v>1.2</v>
      </c>
      <c r="AO113" s="6" t="str">
        <f t="shared" si="57"/>
        <v>-</v>
      </c>
      <c r="AP113" s="4" t="str">
        <f t="shared" si="58"/>
        <v>-</v>
      </c>
      <c r="AQ113" s="4" t="str">
        <f t="shared" si="59"/>
        <v>-</v>
      </c>
      <c r="AR113" s="4" t="str">
        <f t="shared" si="60"/>
        <v>-</v>
      </c>
      <c r="AS113" s="4">
        <v>0</v>
      </c>
      <c r="AT113" s="4" t="s">
        <v>598</v>
      </c>
      <c r="AU113" s="4"/>
      <c r="AV113" s="4"/>
      <c r="AW113" s="4" t="s">
        <v>599</v>
      </c>
      <c r="AX113" s="4">
        <v>2380</v>
      </c>
      <c r="AY113" s="4">
        <f t="shared" si="78"/>
        <v>2380</v>
      </c>
      <c r="AZ113" s="19">
        <v>4</v>
      </c>
      <c r="BA113" s="19">
        <v>8</v>
      </c>
      <c r="BB113" s="16">
        <v>1120</v>
      </c>
      <c r="BC113" t="s">
        <v>338</v>
      </c>
      <c r="BD113" t="str">
        <f t="shared" si="61"/>
        <v>-</v>
      </c>
      <c r="BE113">
        <v>2223</v>
      </c>
      <c r="BF113">
        <f t="shared" si="62"/>
        <v>2667.6</v>
      </c>
      <c r="BG113" t="s">
        <v>432</v>
      </c>
    </row>
    <row r="114" spans="1:59" x14ac:dyDescent="0.4">
      <c r="A114" t="str">
        <f t="shared" si="56"/>
        <v>J129NC</v>
      </c>
      <c r="B114" s="3">
        <v>30</v>
      </c>
      <c r="C114" s="3">
        <v>30</v>
      </c>
      <c r="D114" s="4" t="s">
        <v>60</v>
      </c>
      <c r="E114" s="4" t="str">
        <f t="shared" si="63"/>
        <v>J129NC</v>
      </c>
      <c r="F114" s="4" t="s">
        <v>60</v>
      </c>
      <c r="G114" s="4" t="str">
        <f t="shared" si="64"/>
        <v>J129NC5</v>
      </c>
      <c r="H114" s="4" t="s">
        <v>176</v>
      </c>
      <c r="I114" s="5">
        <v>4967576651813</v>
      </c>
      <c r="J114" s="5">
        <v>5</v>
      </c>
      <c r="K114" s="5"/>
      <c r="L114" s="5">
        <v>1</v>
      </c>
      <c r="M114" s="5">
        <v>1</v>
      </c>
      <c r="N114" s="4">
        <v>0</v>
      </c>
      <c r="O114" s="4">
        <v>2555</v>
      </c>
      <c r="P114" s="4">
        <v>1460</v>
      </c>
      <c r="Q114" s="6">
        <f t="shared" si="65"/>
        <v>0.4285714285714286</v>
      </c>
      <c r="R114" s="4" t="s">
        <v>338</v>
      </c>
      <c r="S114" s="4" t="s">
        <v>338</v>
      </c>
      <c r="T114" s="4" t="s">
        <v>338</v>
      </c>
      <c r="U114" s="4">
        <v>0</v>
      </c>
      <c r="V114" s="4">
        <f t="shared" si="66"/>
        <v>0</v>
      </c>
      <c r="W114" s="4">
        <v>1752</v>
      </c>
      <c r="X114" s="4">
        <f t="shared" si="67"/>
        <v>1752</v>
      </c>
      <c r="Y114" s="4"/>
      <c r="Z114" s="21">
        <f t="shared" si="68"/>
        <v>3066</v>
      </c>
      <c r="AA114" s="6">
        <f t="shared" si="69"/>
        <v>0.4285714285714286</v>
      </c>
      <c r="AB114" s="4">
        <v>4</v>
      </c>
      <c r="AC114" s="4">
        <f t="shared" si="70"/>
        <v>2178</v>
      </c>
      <c r="AD114" s="4">
        <f t="shared" si="71"/>
        <v>2613.6</v>
      </c>
      <c r="AE114" s="6">
        <f t="shared" si="72"/>
        <v>0.3296602387511478</v>
      </c>
      <c r="AF114" s="7">
        <v>2613</v>
      </c>
      <c r="AG114" s="6">
        <f t="shared" si="73"/>
        <v>0.32950631458094148</v>
      </c>
      <c r="AH114" s="4">
        <f t="shared" si="74"/>
        <v>861</v>
      </c>
      <c r="AI114" s="28"/>
      <c r="AJ114" s="6"/>
      <c r="AK114" s="6"/>
      <c r="AL114" s="6" t="str">
        <f t="shared" si="75"/>
        <v>-</v>
      </c>
      <c r="AM114" s="6">
        <f t="shared" si="76"/>
        <v>1.0227005870841488</v>
      </c>
      <c r="AN114" s="6">
        <f t="shared" si="77"/>
        <v>1.2</v>
      </c>
      <c r="AO114" s="6" t="str">
        <f t="shared" si="57"/>
        <v>-</v>
      </c>
      <c r="AP114" s="4" t="str">
        <f t="shared" si="58"/>
        <v>-</v>
      </c>
      <c r="AQ114" s="4" t="str">
        <f t="shared" si="59"/>
        <v>-</v>
      </c>
      <c r="AR114" s="4" t="str">
        <f t="shared" si="60"/>
        <v>-</v>
      </c>
      <c r="AS114" s="4">
        <v>0</v>
      </c>
      <c r="AT114" s="4" t="s">
        <v>600</v>
      </c>
      <c r="AU114" s="4"/>
      <c r="AV114" s="4"/>
      <c r="AW114" s="4" t="s">
        <v>585</v>
      </c>
      <c r="AX114" s="4">
        <v>2178</v>
      </c>
      <c r="AY114" s="4">
        <f t="shared" si="78"/>
        <v>2178</v>
      </c>
      <c r="AZ114" s="19">
        <v>4</v>
      </c>
      <c r="BA114" s="19">
        <v>1</v>
      </c>
      <c r="BB114" s="16">
        <v>1120</v>
      </c>
      <c r="BC114" t="s">
        <v>338</v>
      </c>
      <c r="BD114" t="str">
        <f t="shared" si="61"/>
        <v>-</v>
      </c>
      <c r="BE114">
        <v>3199</v>
      </c>
      <c r="BF114">
        <f t="shared" si="62"/>
        <v>3838.7999999999997</v>
      </c>
      <c r="BG114" t="s">
        <v>433</v>
      </c>
    </row>
    <row r="115" spans="1:59" x14ac:dyDescent="0.4">
      <c r="A115" t="str">
        <f t="shared" si="56"/>
        <v>671659</v>
      </c>
      <c r="B115" s="3">
        <v>19</v>
      </c>
      <c r="C115" s="3">
        <v>19</v>
      </c>
      <c r="D115" s="4">
        <v>671659</v>
      </c>
      <c r="E115" s="4" t="str">
        <f t="shared" si="63"/>
        <v>671659</v>
      </c>
      <c r="F115" s="4">
        <v>671659</v>
      </c>
      <c r="G115" s="4" t="str">
        <f t="shared" si="64"/>
        <v>6716595</v>
      </c>
      <c r="H115" s="4" t="s">
        <v>165</v>
      </c>
      <c r="I115" s="5">
        <v>4905009710263</v>
      </c>
      <c r="J115" s="5">
        <v>5</v>
      </c>
      <c r="K115" s="5"/>
      <c r="L115" s="5">
        <v>1</v>
      </c>
      <c r="M115" s="5">
        <v>1</v>
      </c>
      <c r="N115" s="4">
        <v>0</v>
      </c>
      <c r="O115" s="4">
        <v>3890</v>
      </c>
      <c r="P115" s="4">
        <v>1500</v>
      </c>
      <c r="Q115" s="6">
        <f t="shared" si="65"/>
        <v>0.61439588688946012</v>
      </c>
      <c r="R115" s="4" t="s">
        <v>338</v>
      </c>
      <c r="S115" s="4" t="s">
        <v>338</v>
      </c>
      <c r="T115" s="4" t="s">
        <v>338</v>
      </c>
      <c r="U115" s="4">
        <v>0</v>
      </c>
      <c r="V115" s="4">
        <f t="shared" si="66"/>
        <v>0</v>
      </c>
      <c r="W115" s="4">
        <v>1800</v>
      </c>
      <c r="X115" s="4">
        <f t="shared" si="67"/>
        <v>1800</v>
      </c>
      <c r="Y115" s="4"/>
      <c r="Z115" s="21">
        <f t="shared" si="68"/>
        <v>4668</v>
      </c>
      <c r="AA115" s="6">
        <f t="shared" si="69"/>
        <v>0.61439588688946012</v>
      </c>
      <c r="AB115" s="4">
        <v>12.5</v>
      </c>
      <c r="AC115" s="4">
        <f t="shared" si="70"/>
        <v>3891</v>
      </c>
      <c r="AD115" s="4">
        <f t="shared" si="71"/>
        <v>4669.2</v>
      </c>
      <c r="AE115" s="6">
        <f t="shared" si="72"/>
        <v>0.61449498843484962</v>
      </c>
      <c r="AF115" s="7">
        <v>4480</v>
      </c>
      <c r="AG115" s="6">
        <f t="shared" si="73"/>
        <v>0.5982142857142857</v>
      </c>
      <c r="AH115" s="4">
        <f t="shared" si="74"/>
        <v>2680</v>
      </c>
      <c r="AI115" s="28"/>
      <c r="AJ115" s="6"/>
      <c r="AK115" s="6"/>
      <c r="AL115" s="6" t="str">
        <f t="shared" si="75"/>
        <v>-</v>
      </c>
      <c r="AM115" s="6">
        <f t="shared" si="76"/>
        <v>1.1516709511568124</v>
      </c>
      <c r="AN115" s="6">
        <f t="shared" si="77"/>
        <v>1.2</v>
      </c>
      <c r="AO115" s="6" t="str">
        <f t="shared" si="57"/>
        <v>-</v>
      </c>
      <c r="AP115" s="4" t="str">
        <f t="shared" si="58"/>
        <v>-</v>
      </c>
      <c r="AQ115" s="4" t="str">
        <f t="shared" si="59"/>
        <v>-</v>
      </c>
      <c r="AR115" s="4" t="str">
        <f t="shared" si="60"/>
        <v>-</v>
      </c>
      <c r="AS115" s="4" t="s">
        <v>324</v>
      </c>
      <c r="AT115" s="4" t="s">
        <v>601</v>
      </c>
      <c r="AU115" s="4"/>
      <c r="AV115" s="4"/>
      <c r="AW115" s="4" t="s">
        <v>559</v>
      </c>
      <c r="AX115" s="4">
        <v>3891</v>
      </c>
      <c r="AY115" s="4">
        <f t="shared" si="78"/>
        <v>3891</v>
      </c>
      <c r="AZ115" s="19">
        <v>4</v>
      </c>
      <c r="BA115" s="19">
        <v>1</v>
      </c>
      <c r="BB115" s="16">
        <v>1120</v>
      </c>
      <c r="BC115" t="s">
        <v>338</v>
      </c>
      <c r="BD115" t="str">
        <f t="shared" si="61"/>
        <v>-</v>
      </c>
      <c r="BE115">
        <v>4205</v>
      </c>
      <c r="BF115">
        <f t="shared" si="62"/>
        <v>5046</v>
      </c>
      <c r="BG115" t="s">
        <v>434</v>
      </c>
    </row>
    <row r="116" spans="1:59" x14ac:dyDescent="0.4">
      <c r="A116" t="str">
        <f t="shared" si="56"/>
        <v>669471</v>
      </c>
      <c r="B116" s="3">
        <v>88</v>
      </c>
      <c r="C116" s="3">
        <v>88</v>
      </c>
      <c r="D116" s="4">
        <v>669471</v>
      </c>
      <c r="E116" s="4" t="str">
        <f t="shared" si="63"/>
        <v>669471</v>
      </c>
      <c r="F116" s="4">
        <v>669471</v>
      </c>
      <c r="G116" s="4" t="str">
        <f t="shared" si="64"/>
        <v>6694715</v>
      </c>
      <c r="H116" s="4" t="s">
        <v>233</v>
      </c>
      <c r="I116" s="5">
        <v>4905009834259</v>
      </c>
      <c r="J116" s="5">
        <v>5</v>
      </c>
      <c r="K116" s="5"/>
      <c r="L116" s="5">
        <v>1</v>
      </c>
      <c r="M116" s="5">
        <v>1</v>
      </c>
      <c r="N116" s="4">
        <v>0</v>
      </c>
      <c r="O116" s="4">
        <v>3800</v>
      </c>
      <c r="P116" s="4">
        <v>1566</v>
      </c>
      <c r="Q116" s="6">
        <f t="shared" si="65"/>
        <v>0.58789473684210525</v>
      </c>
      <c r="R116" s="4" t="s">
        <v>338</v>
      </c>
      <c r="S116" s="4" t="s">
        <v>338</v>
      </c>
      <c r="T116" s="4" t="s">
        <v>338</v>
      </c>
      <c r="U116" s="4">
        <v>0</v>
      </c>
      <c r="V116" s="4">
        <f t="shared" si="66"/>
        <v>0</v>
      </c>
      <c r="W116" s="4">
        <v>1879</v>
      </c>
      <c r="X116" s="4">
        <f t="shared" si="67"/>
        <v>1879</v>
      </c>
      <c r="Y116" s="4"/>
      <c r="Z116" s="21">
        <f t="shared" si="68"/>
        <v>4560</v>
      </c>
      <c r="AA116" s="6">
        <f t="shared" si="69"/>
        <v>0.58793859649122804</v>
      </c>
      <c r="AB116" s="4">
        <v>31.25</v>
      </c>
      <c r="AC116" s="4">
        <f t="shared" si="70"/>
        <v>3800</v>
      </c>
      <c r="AD116" s="4">
        <f t="shared" si="71"/>
        <v>4559.5146871008938</v>
      </c>
      <c r="AE116" s="6">
        <f t="shared" si="72"/>
        <v>0.58789473684210525</v>
      </c>
      <c r="AF116" s="7">
        <v>4550</v>
      </c>
      <c r="AG116" s="6">
        <f t="shared" si="73"/>
        <v>0.58703296703296703</v>
      </c>
      <c r="AH116" s="4">
        <f t="shared" si="74"/>
        <v>2671</v>
      </c>
      <c r="AI116" s="28"/>
      <c r="AJ116" s="6"/>
      <c r="AK116" s="6"/>
      <c r="AL116" s="6" t="str">
        <f t="shared" si="75"/>
        <v>-</v>
      </c>
      <c r="AM116" s="6">
        <f t="shared" si="76"/>
        <v>1.1973684210526316</v>
      </c>
      <c r="AN116" s="6">
        <f t="shared" si="77"/>
        <v>1.1998722860791826</v>
      </c>
      <c r="AO116" s="6" t="str">
        <f t="shared" si="57"/>
        <v>-</v>
      </c>
      <c r="AP116" s="4" t="str">
        <f t="shared" si="58"/>
        <v>-</v>
      </c>
      <c r="AQ116" s="4" t="str">
        <f t="shared" si="59"/>
        <v>-</v>
      </c>
      <c r="AR116" s="4" t="str">
        <f t="shared" si="60"/>
        <v>-</v>
      </c>
      <c r="AS116" s="4" t="s">
        <v>323</v>
      </c>
      <c r="AT116" s="4" t="s">
        <v>602</v>
      </c>
      <c r="AU116" s="4"/>
      <c r="AV116" s="4"/>
      <c r="AW116" s="4" t="s">
        <v>559</v>
      </c>
      <c r="AX116" s="4">
        <v>3800</v>
      </c>
      <c r="AY116" s="4">
        <f t="shared" si="78"/>
        <v>3800</v>
      </c>
      <c r="AZ116" s="19">
        <v>4</v>
      </c>
      <c r="BA116" s="19">
        <v>1</v>
      </c>
      <c r="BB116" s="16">
        <v>1120</v>
      </c>
      <c r="BC116" t="s">
        <v>338</v>
      </c>
      <c r="BD116" t="str">
        <f t="shared" si="61"/>
        <v>-</v>
      </c>
      <c r="BE116">
        <v>4017</v>
      </c>
      <c r="BF116">
        <f t="shared" si="62"/>
        <v>4819.8869731800769</v>
      </c>
      <c r="BG116" t="s">
        <v>435</v>
      </c>
    </row>
    <row r="117" spans="1:59" x14ac:dyDescent="0.4">
      <c r="A117" t="str">
        <f t="shared" si="56"/>
        <v>171757</v>
      </c>
      <c r="B117" s="3">
        <v>2</v>
      </c>
      <c r="C117" s="3">
        <v>2</v>
      </c>
      <c r="D117" s="4">
        <v>171757</v>
      </c>
      <c r="E117" s="4" t="str">
        <f t="shared" si="63"/>
        <v>171757</v>
      </c>
      <c r="F117" s="4">
        <v>171757</v>
      </c>
      <c r="G117" s="4" t="str">
        <f t="shared" si="64"/>
        <v>1717575</v>
      </c>
      <c r="H117" s="4" t="s">
        <v>148</v>
      </c>
      <c r="I117" s="5">
        <v>4967576643375</v>
      </c>
      <c r="J117" s="5">
        <v>5</v>
      </c>
      <c r="K117" s="5"/>
      <c r="L117" s="5">
        <v>1</v>
      </c>
      <c r="M117" s="5">
        <v>1</v>
      </c>
      <c r="N117" s="4">
        <v>0</v>
      </c>
      <c r="O117" s="4">
        <v>2694</v>
      </c>
      <c r="P117" s="4">
        <v>1600</v>
      </c>
      <c r="Q117" s="6">
        <f t="shared" si="65"/>
        <v>0.40608760207869343</v>
      </c>
      <c r="R117" s="4">
        <v>2560</v>
      </c>
      <c r="S117" s="4">
        <v>4</v>
      </c>
      <c r="T117" s="4">
        <v>99999</v>
      </c>
      <c r="U117" s="4">
        <v>0</v>
      </c>
      <c r="V117" s="4">
        <f t="shared" si="66"/>
        <v>0</v>
      </c>
      <c r="W117" s="4">
        <v>1920</v>
      </c>
      <c r="X117" s="4">
        <f t="shared" si="67"/>
        <v>1920</v>
      </c>
      <c r="Y117" s="4"/>
      <c r="Z117" s="21">
        <f t="shared" si="68"/>
        <v>3233</v>
      </c>
      <c r="AA117" s="6">
        <f t="shared" si="69"/>
        <v>0.40612434271574394</v>
      </c>
      <c r="AB117" s="4">
        <v>24.75</v>
      </c>
      <c r="AC117" s="4">
        <f t="shared" si="70"/>
        <v>2410</v>
      </c>
      <c r="AD117" s="4">
        <f t="shared" si="71"/>
        <v>2892</v>
      </c>
      <c r="AE117" s="6">
        <f t="shared" si="72"/>
        <v>0.33609958506224069</v>
      </c>
      <c r="AF117" s="7">
        <v>2890</v>
      </c>
      <c r="AG117" s="6">
        <f t="shared" si="73"/>
        <v>0.33564013840830453</v>
      </c>
      <c r="AH117" s="4">
        <f t="shared" si="74"/>
        <v>970</v>
      </c>
      <c r="AI117" s="28"/>
      <c r="AJ117" s="6"/>
      <c r="AK117" s="6"/>
      <c r="AL117" s="41" t="str">
        <f t="shared" si="75"/>
        <v>-</v>
      </c>
      <c r="AM117" s="6">
        <f t="shared" si="76"/>
        <v>1.07275426874536</v>
      </c>
      <c r="AN117" s="6">
        <f t="shared" si="77"/>
        <v>1.2</v>
      </c>
      <c r="AO117" s="6">
        <f t="shared" si="57"/>
        <v>0.28888888888888886</v>
      </c>
      <c r="AP117" s="4">
        <v>2700</v>
      </c>
      <c r="AQ117" s="4">
        <f t="shared" si="59"/>
        <v>4</v>
      </c>
      <c r="AR117" s="4">
        <f t="shared" si="60"/>
        <v>99999</v>
      </c>
      <c r="AS117" s="4">
        <v>0</v>
      </c>
      <c r="AT117" s="4" t="s">
        <v>603</v>
      </c>
      <c r="AU117" s="4"/>
      <c r="AV117" s="4"/>
      <c r="AW117" s="4" t="s">
        <v>585</v>
      </c>
      <c r="AX117" s="4">
        <v>2410</v>
      </c>
      <c r="AY117" s="4">
        <f t="shared" si="78"/>
        <v>2410</v>
      </c>
      <c r="AZ117" s="19">
        <v>4</v>
      </c>
      <c r="BA117" s="19">
        <v>1</v>
      </c>
      <c r="BB117" s="16">
        <v>1120</v>
      </c>
      <c r="BC117" t="s">
        <v>338</v>
      </c>
      <c r="BD117" t="str">
        <f t="shared" si="61"/>
        <v>-</v>
      </c>
      <c r="BE117">
        <v>2375</v>
      </c>
      <c r="BF117">
        <f t="shared" si="62"/>
        <v>2850</v>
      </c>
      <c r="BG117" t="s">
        <v>436</v>
      </c>
    </row>
    <row r="118" spans="1:59" x14ac:dyDescent="0.4">
      <c r="A118" t="str">
        <f t="shared" si="56"/>
        <v>669473</v>
      </c>
      <c r="B118" s="3">
        <v>90</v>
      </c>
      <c r="C118" s="3">
        <v>90</v>
      </c>
      <c r="D118" s="4">
        <v>669473</v>
      </c>
      <c r="E118" s="4" t="str">
        <f t="shared" si="63"/>
        <v>669473</v>
      </c>
      <c r="F118" s="4">
        <v>669473</v>
      </c>
      <c r="G118" s="4" t="str">
        <f t="shared" si="64"/>
        <v>6694735</v>
      </c>
      <c r="H118" s="4" t="s">
        <v>235</v>
      </c>
      <c r="I118" s="5">
        <v>4905009834273</v>
      </c>
      <c r="J118" s="5">
        <v>5</v>
      </c>
      <c r="K118" s="5"/>
      <c r="L118" s="5">
        <v>1</v>
      </c>
      <c r="M118" s="5">
        <v>1</v>
      </c>
      <c r="N118" s="4">
        <v>0</v>
      </c>
      <c r="O118" s="4">
        <v>4135</v>
      </c>
      <c r="P118" s="4">
        <v>1685</v>
      </c>
      <c r="Q118" s="6">
        <f t="shared" si="65"/>
        <v>0.592503022974607</v>
      </c>
      <c r="R118" s="4" t="s">
        <v>338</v>
      </c>
      <c r="S118" s="4" t="s">
        <v>338</v>
      </c>
      <c r="T118" s="4" t="s">
        <v>338</v>
      </c>
      <c r="U118" s="4">
        <v>0</v>
      </c>
      <c r="V118" s="4">
        <f t="shared" si="66"/>
        <v>0</v>
      </c>
      <c r="W118" s="4">
        <v>2022</v>
      </c>
      <c r="X118" s="4">
        <f t="shared" si="67"/>
        <v>2022</v>
      </c>
      <c r="Y118" s="4"/>
      <c r="Z118" s="21">
        <f t="shared" si="68"/>
        <v>4962</v>
      </c>
      <c r="AA118" s="6">
        <f t="shared" si="69"/>
        <v>0.592503022974607</v>
      </c>
      <c r="AB118" s="4">
        <v>19.25</v>
      </c>
      <c r="AC118" s="4">
        <f t="shared" si="70"/>
        <v>4137</v>
      </c>
      <c r="AD118" s="4">
        <f t="shared" si="71"/>
        <v>4964.3999999999996</v>
      </c>
      <c r="AE118" s="6">
        <f t="shared" si="72"/>
        <v>0.59270002417210543</v>
      </c>
      <c r="AF118" s="7">
        <v>4900</v>
      </c>
      <c r="AG118" s="6">
        <f t="shared" si="73"/>
        <v>0.58734693877551014</v>
      </c>
      <c r="AH118" s="4">
        <f t="shared" si="74"/>
        <v>2878</v>
      </c>
      <c r="AI118" s="28"/>
      <c r="AJ118" s="6"/>
      <c r="AK118" s="6"/>
      <c r="AL118" s="6" t="str">
        <f t="shared" si="75"/>
        <v>-</v>
      </c>
      <c r="AM118" s="6">
        <f t="shared" si="76"/>
        <v>1.185006045949214</v>
      </c>
      <c r="AN118" s="6">
        <f t="shared" si="77"/>
        <v>1.2</v>
      </c>
      <c r="AO118" s="6" t="str">
        <f t="shared" si="57"/>
        <v>-</v>
      </c>
      <c r="AP118" s="4" t="str">
        <f t="shared" si="58"/>
        <v>-</v>
      </c>
      <c r="AQ118" s="4" t="str">
        <f t="shared" si="59"/>
        <v>-</v>
      </c>
      <c r="AR118" s="4" t="str">
        <f t="shared" si="60"/>
        <v>-</v>
      </c>
      <c r="AS118" s="4" t="s">
        <v>323</v>
      </c>
      <c r="AT118" s="4" t="s">
        <v>604</v>
      </c>
      <c r="AU118" s="4"/>
      <c r="AV118" s="4"/>
      <c r="AW118" s="4" t="s">
        <v>590</v>
      </c>
      <c r="AX118" s="4">
        <v>4137</v>
      </c>
      <c r="AY118" s="4">
        <f t="shared" si="78"/>
        <v>4137</v>
      </c>
      <c r="AZ118" s="19">
        <v>4</v>
      </c>
      <c r="BA118" s="19">
        <v>1</v>
      </c>
      <c r="BB118" s="16">
        <v>1120</v>
      </c>
      <c r="BC118" t="s">
        <v>338</v>
      </c>
      <c r="BD118" t="str">
        <f t="shared" si="61"/>
        <v>-</v>
      </c>
      <c r="BE118">
        <v>4164</v>
      </c>
      <c r="BF118">
        <f t="shared" si="62"/>
        <v>4996.8</v>
      </c>
      <c r="BG118" t="s">
        <v>437</v>
      </c>
    </row>
    <row r="119" spans="1:59" x14ac:dyDescent="0.4">
      <c r="A119" t="str">
        <f t="shared" si="56"/>
        <v>J20310</v>
      </c>
      <c r="B119" s="3">
        <v>51</v>
      </c>
      <c r="C119" s="3">
        <v>51</v>
      </c>
      <c r="D119" s="4" t="s">
        <v>81</v>
      </c>
      <c r="E119" s="4" t="str">
        <f t="shared" si="63"/>
        <v>J20310</v>
      </c>
      <c r="F119" s="4" t="s">
        <v>81</v>
      </c>
      <c r="G119" s="4" t="str">
        <f t="shared" si="64"/>
        <v>J203105</v>
      </c>
      <c r="H119" s="4" t="s">
        <v>197</v>
      </c>
      <c r="I119" s="5">
        <v>4905009427499</v>
      </c>
      <c r="J119" s="5">
        <v>5</v>
      </c>
      <c r="K119" s="5"/>
      <c r="L119" s="5">
        <v>1</v>
      </c>
      <c r="M119" s="5">
        <v>1</v>
      </c>
      <c r="N119" s="4">
        <v>0</v>
      </c>
      <c r="O119" s="4">
        <v>2918</v>
      </c>
      <c r="P119" s="4">
        <v>1700</v>
      </c>
      <c r="Q119" s="6">
        <f t="shared" si="65"/>
        <v>0.41740918437285812</v>
      </c>
      <c r="R119" s="4" t="s">
        <v>338</v>
      </c>
      <c r="S119" s="4" t="s">
        <v>338</v>
      </c>
      <c r="T119" s="4" t="s">
        <v>338</v>
      </c>
      <c r="U119" s="4">
        <v>0</v>
      </c>
      <c r="V119" s="4">
        <f t="shared" si="66"/>
        <v>0</v>
      </c>
      <c r="W119" s="4">
        <v>2040</v>
      </c>
      <c r="X119" s="4">
        <f t="shared" si="67"/>
        <v>2040</v>
      </c>
      <c r="Y119" s="4"/>
      <c r="Z119" s="21">
        <f t="shared" si="68"/>
        <v>3502</v>
      </c>
      <c r="AA119" s="6">
        <f t="shared" si="69"/>
        <v>0.41747572815533984</v>
      </c>
      <c r="AB119" s="4">
        <v>0.75</v>
      </c>
      <c r="AC119" s="4" t="str">
        <f t="shared" si="70"/>
        <v>-</v>
      </c>
      <c r="AD119" s="4" t="str">
        <f t="shared" si="71"/>
        <v>-</v>
      </c>
      <c r="AE119" s="6" t="str">
        <f t="shared" si="72"/>
        <v>-</v>
      </c>
      <c r="AF119" s="7">
        <v>3500</v>
      </c>
      <c r="AG119" s="6">
        <f t="shared" si="73"/>
        <v>0.41714285714285715</v>
      </c>
      <c r="AH119" s="4">
        <f t="shared" si="74"/>
        <v>1460</v>
      </c>
      <c r="AI119" s="28"/>
      <c r="AJ119" s="6"/>
      <c r="AK119" s="6"/>
      <c r="AL119" s="6" t="str">
        <f t="shared" si="75"/>
        <v>-</v>
      </c>
      <c r="AM119" s="6">
        <f t="shared" si="76"/>
        <v>1.1994516792323509</v>
      </c>
      <c r="AN119" s="6">
        <f t="shared" si="77"/>
        <v>1.2</v>
      </c>
      <c r="AO119" s="6" t="str">
        <f t="shared" si="57"/>
        <v>-</v>
      </c>
      <c r="AP119" s="4" t="str">
        <f t="shared" si="58"/>
        <v>-</v>
      </c>
      <c r="AQ119" s="4" t="str">
        <f t="shared" si="59"/>
        <v>-</v>
      </c>
      <c r="AR119" s="4" t="str">
        <f t="shared" si="60"/>
        <v>-</v>
      </c>
      <c r="AS119" s="4">
        <v>0</v>
      </c>
      <c r="AT119" s="4" t="s">
        <v>338</v>
      </c>
      <c r="AU119" s="4"/>
      <c r="AV119" s="4"/>
      <c r="AW119" s="4" t="s">
        <v>338</v>
      </c>
      <c r="AX119" s="4" t="s">
        <v>338</v>
      </c>
      <c r="AY119" s="4" t="str">
        <f t="shared" si="78"/>
        <v>-</v>
      </c>
      <c r="AZ119" s="19">
        <v>4</v>
      </c>
      <c r="BA119" s="19">
        <v>8</v>
      </c>
      <c r="BB119" s="16">
        <v>1120</v>
      </c>
      <c r="BC119" t="s">
        <v>338</v>
      </c>
      <c r="BD119" t="str">
        <f t="shared" si="61"/>
        <v>-</v>
      </c>
      <c r="BE119">
        <v>3228</v>
      </c>
      <c r="BF119">
        <f t="shared" si="62"/>
        <v>3873.6</v>
      </c>
      <c r="BG119" t="s">
        <v>338</v>
      </c>
    </row>
    <row r="120" spans="1:59" x14ac:dyDescent="0.4">
      <c r="A120" t="str">
        <f t="shared" si="56"/>
        <v>669470</v>
      </c>
      <c r="B120" s="3">
        <v>87</v>
      </c>
      <c r="C120" s="3">
        <v>87</v>
      </c>
      <c r="D120" s="4">
        <v>669470</v>
      </c>
      <c r="E120" s="4" t="str">
        <f t="shared" si="63"/>
        <v>669470</v>
      </c>
      <c r="F120" s="4">
        <v>669470</v>
      </c>
      <c r="G120" s="4" t="str">
        <f t="shared" si="64"/>
        <v>6694705</v>
      </c>
      <c r="H120" s="4" t="s">
        <v>232</v>
      </c>
      <c r="I120" s="5">
        <v>4905009834242</v>
      </c>
      <c r="J120" s="5">
        <v>5</v>
      </c>
      <c r="K120" s="5"/>
      <c r="L120" s="5">
        <v>1</v>
      </c>
      <c r="M120" s="5">
        <v>1</v>
      </c>
      <c r="N120" s="4">
        <v>0</v>
      </c>
      <c r="O120" s="4">
        <v>3828</v>
      </c>
      <c r="P120" s="4">
        <v>1740</v>
      </c>
      <c r="Q120" s="6">
        <f t="shared" si="65"/>
        <v>0.54545454545454541</v>
      </c>
      <c r="R120" s="4" t="s">
        <v>338</v>
      </c>
      <c r="S120" s="4" t="s">
        <v>338</v>
      </c>
      <c r="T120" s="4" t="s">
        <v>338</v>
      </c>
      <c r="U120" s="4">
        <v>0</v>
      </c>
      <c r="V120" s="4">
        <f t="shared" si="66"/>
        <v>0</v>
      </c>
      <c r="W120" s="4">
        <v>2088</v>
      </c>
      <c r="X120" s="4">
        <f t="shared" si="67"/>
        <v>2088</v>
      </c>
      <c r="Y120" s="4"/>
      <c r="Z120" s="21">
        <f t="shared" si="68"/>
        <v>4594</v>
      </c>
      <c r="AA120" s="6">
        <f t="shared" si="69"/>
        <v>0.54549412276882892</v>
      </c>
      <c r="AB120" s="4">
        <v>1</v>
      </c>
      <c r="AC120" s="4">
        <f t="shared" si="70"/>
        <v>3363</v>
      </c>
      <c r="AD120" s="4">
        <f t="shared" si="71"/>
        <v>4035.6</v>
      </c>
      <c r="AE120" s="6">
        <f t="shared" si="72"/>
        <v>0.48260481712756464</v>
      </c>
      <c r="AF120" s="7">
        <v>3980</v>
      </c>
      <c r="AG120" s="6">
        <f t="shared" si="73"/>
        <v>0.47537688442211057</v>
      </c>
      <c r="AH120" s="4">
        <f t="shared" si="74"/>
        <v>1892</v>
      </c>
      <c r="AI120" s="28"/>
      <c r="AJ120" s="6"/>
      <c r="AK120" s="6"/>
      <c r="AL120" s="6" t="str">
        <f t="shared" si="75"/>
        <v>-</v>
      </c>
      <c r="AM120" s="6">
        <f t="shared" si="76"/>
        <v>1.0397074190177638</v>
      </c>
      <c r="AN120" s="6">
        <f t="shared" si="77"/>
        <v>1.2</v>
      </c>
      <c r="AO120" s="6" t="str">
        <f t="shared" si="57"/>
        <v>-</v>
      </c>
      <c r="AP120" s="4" t="str">
        <f t="shared" si="58"/>
        <v>-</v>
      </c>
      <c r="AQ120" s="4" t="str">
        <f t="shared" si="59"/>
        <v>-</v>
      </c>
      <c r="AR120" s="4" t="str">
        <f t="shared" si="60"/>
        <v>-</v>
      </c>
      <c r="AS120" s="4" t="s">
        <v>323</v>
      </c>
      <c r="AT120" s="4" t="s">
        <v>605</v>
      </c>
      <c r="AU120" s="4"/>
      <c r="AV120" s="4"/>
      <c r="AW120" s="4" t="s">
        <v>559</v>
      </c>
      <c r="AX120" s="4">
        <v>3363</v>
      </c>
      <c r="AY120" s="4">
        <f t="shared" si="78"/>
        <v>3363</v>
      </c>
      <c r="AZ120" s="19">
        <v>4</v>
      </c>
      <c r="BA120" s="19">
        <v>1</v>
      </c>
      <c r="BB120" s="16">
        <v>1120</v>
      </c>
      <c r="BC120" t="s">
        <v>338</v>
      </c>
      <c r="BD120" t="str">
        <f t="shared" si="61"/>
        <v>-</v>
      </c>
      <c r="BE120">
        <v>5232</v>
      </c>
      <c r="BF120">
        <f t="shared" si="62"/>
        <v>6278.4</v>
      </c>
      <c r="BG120" t="s">
        <v>438</v>
      </c>
    </row>
    <row r="121" spans="1:59" x14ac:dyDescent="0.4">
      <c r="A121" t="str">
        <f t="shared" si="56"/>
        <v>671665</v>
      </c>
      <c r="B121" s="3">
        <v>24</v>
      </c>
      <c r="C121" s="3">
        <v>24</v>
      </c>
      <c r="D121" s="4">
        <v>671665</v>
      </c>
      <c r="E121" s="4" t="str">
        <f t="shared" si="63"/>
        <v>671665</v>
      </c>
      <c r="F121" s="4">
        <v>671665</v>
      </c>
      <c r="G121" s="4" t="str">
        <f t="shared" si="64"/>
        <v>6716655</v>
      </c>
      <c r="H121" s="4" t="s">
        <v>170</v>
      </c>
      <c r="I121" s="5">
        <v>4905009715541</v>
      </c>
      <c r="J121" s="5">
        <v>5</v>
      </c>
      <c r="K121" s="5"/>
      <c r="L121" s="5">
        <v>1</v>
      </c>
      <c r="M121" s="5">
        <v>1</v>
      </c>
      <c r="N121" s="4">
        <v>0</v>
      </c>
      <c r="O121" s="4">
        <v>3534</v>
      </c>
      <c r="P121" s="4">
        <v>1800</v>
      </c>
      <c r="Q121" s="6">
        <f t="shared" si="65"/>
        <v>0.49066213921901525</v>
      </c>
      <c r="R121" s="4" t="s">
        <v>338</v>
      </c>
      <c r="S121" s="4" t="s">
        <v>338</v>
      </c>
      <c r="T121" s="4" t="s">
        <v>338</v>
      </c>
      <c r="U121" s="4">
        <v>0</v>
      </c>
      <c r="V121" s="4">
        <f t="shared" si="66"/>
        <v>0</v>
      </c>
      <c r="W121" s="4">
        <v>2160</v>
      </c>
      <c r="X121" s="4">
        <f t="shared" si="67"/>
        <v>2160</v>
      </c>
      <c r="Y121" s="4"/>
      <c r="Z121" s="21">
        <f t="shared" si="68"/>
        <v>4241</v>
      </c>
      <c r="AA121" s="6">
        <f t="shared" si="69"/>
        <v>0.49068615892478185</v>
      </c>
      <c r="AB121" s="4">
        <v>1</v>
      </c>
      <c r="AC121" s="4">
        <f t="shared" si="70"/>
        <v>3500</v>
      </c>
      <c r="AD121" s="4">
        <f t="shared" si="71"/>
        <v>4200</v>
      </c>
      <c r="AE121" s="6">
        <f t="shared" si="72"/>
        <v>0.48571428571428577</v>
      </c>
      <c r="AF121" s="7">
        <v>4180</v>
      </c>
      <c r="AG121" s="6">
        <f t="shared" si="73"/>
        <v>0.48325358851674638</v>
      </c>
      <c r="AH121" s="4">
        <f t="shared" si="74"/>
        <v>2020</v>
      </c>
      <c r="AI121" s="28"/>
      <c r="AJ121" s="6"/>
      <c r="AK121" s="6"/>
      <c r="AL121" s="6" t="str">
        <f t="shared" si="75"/>
        <v>-</v>
      </c>
      <c r="AM121" s="6">
        <f t="shared" si="76"/>
        <v>1.1827956989247312</v>
      </c>
      <c r="AN121" s="6">
        <f t="shared" si="77"/>
        <v>1.2</v>
      </c>
      <c r="AO121" s="6" t="str">
        <f t="shared" si="57"/>
        <v>-</v>
      </c>
      <c r="AP121" s="4" t="str">
        <f t="shared" si="58"/>
        <v>-</v>
      </c>
      <c r="AQ121" s="4" t="str">
        <f t="shared" si="59"/>
        <v>-</v>
      </c>
      <c r="AR121" s="4" t="str">
        <f t="shared" si="60"/>
        <v>-</v>
      </c>
      <c r="AS121" s="4" t="s">
        <v>324</v>
      </c>
      <c r="AT121" s="4" t="s">
        <v>606</v>
      </c>
      <c r="AU121" s="4"/>
      <c r="AV121" s="4"/>
      <c r="AW121" s="4" t="s">
        <v>590</v>
      </c>
      <c r="AX121" s="4">
        <v>3500</v>
      </c>
      <c r="AY121" s="4">
        <f t="shared" si="78"/>
        <v>3500</v>
      </c>
      <c r="AZ121" s="19">
        <v>4</v>
      </c>
      <c r="BA121" s="19">
        <v>1</v>
      </c>
      <c r="BB121" s="16">
        <v>1120</v>
      </c>
      <c r="BC121" t="s">
        <v>338</v>
      </c>
      <c r="BD121" t="str">
        <f t="shared" si="61"/>
        <v>-</v>
      </c>
      <c r="BE121">
        <v>3500</v>
      </c>
      <c r="BF121">
        <f t="shared" si="62"/>
        <v>4200</v>
      </c>
      <c r="BG121" t="s">
        <v>439</v>
      </c>
    </row>
    <row r="122" spans="1:59" x14ac:dyDescent="0.4">
      <c r="A122" t="str">
        <f t="shared" si="56"/>
        <v>J20311</v>
      </c>
      <c r="B122" s="3">
        <v>54</v>
      </c>
      <c r="C122" s="3">
        <v>54</v>
      </c>
      <c r="D122" s="4" t="s">
        <v>84</v>
      </c>
      <c r="E122" s="4" t="str">
        <f t="shared" si="63"/>
        <v>J20311</v>
      </c>
      <c r="F122" s="4" t="s">
        <v>84</v>
      </c>
      <c r="G122" s="4" t="str">
        <f t="shared" si="64"/>
        <v>J203115</v>
      </c>
      <c r="H122" s="4" t="s">
        <v>200</v>
      </c>
      <c r="I122" s="5">
        <v>4905009427505</v>
      </c>
      <c r="J122" s="5">
        <v>5</v>
      </c>
      <c r="K122" s="5"/>
      <c r="L122" s="5">
        <v>1</v>
      </c>
      <c r="M122" s="5">
        <v>1</v>
      </c>
      <c r="N122" s="4">
        <v>0</v>
      </c>
      <c r="O122" s="4">
        <v>2480</v>
      </c>
      <c r="P122" s="4">
        <v>1800</v>
      </c>
      <c r="Q122" s="6">
        <f t="shared" si="65"/>
        <v>0.27419354838709675</v>
      </c>
      <c r="R122" s="4" t="s">
        <v>338</v>
      </c>
      <c r="S122" s="4" t="s">
        <v>338</v>
      </c>
      <c r="T122" s="4" t="s">
        <v>338</v>
      </c>
      <c r="U122" s="4">
        <v>0</v>
      </c>
      <c r="V122" s="4">
        <f t="shared" si="66"/>
        <v>0</v>
      </c>
      <c r="W122" s="4">
        <v>2160</v>
      </c>
      <c r="X122" s="4">
        <f t="shared" si="67"/>
        <v>2160</v>
      </c>
      <c r="Y122" s="4"/>
      <c r="Z122" s="21">
        <f t="shared" si="68"/>
        <v>2976</v>
      </c>
      <c r="AA122" s="6">
        <f t="shared" si="69"/>
        <v>0.27419354838709675</v>
      </c>
      <c r="AB122" s="4">
        <v>14.499999999999998</v>
      </c>
      <c r="AC122" s="4">
        <f t="shared" si="70"/>
        <v>2874</v>
      </c>
      <c r="AD122" s="4">
        <f t="shared" si="71"/>
        <v>3448.7999999999997</v>
      </c>
      <c r="AE122" s="6">
        <f t="shared" si="72"/>
        <v>0.37369519832985376</v>
      </c>
      <c r="AF122" s="7">
        <v>3380</v>
      </c>
      <c r="AG122" s="6">
        <f t="shared" si="73"/>
        <v>0.36094674556213013</v>
      </c>
      <c r="AH122" s="4">
        <f t="shared" si="74"/>
        <v>1220</v>
      </c>
      <c r="AI122" s="28"/>
      <c r="AJ122" s="6"/>
      <c r="AK122" s="6"/>
      <c r="AL122" s="6" t="str">
        <f t="shared" si="75"/>
        <v>-</v>
      </c>
      <c r="AM122" s="6">
        <f t="shared" si="76"/>
        <v>1.3629032258064515</v>
      </c>
      <c r="AN122" s="6">
        <f t="shared" si="77"/>
        <v>1.2</v>
      </c>
      <c r="AO122" s="6" t="str">
        <f t="shared" si="57"/>
        <v>-</v>
      </c>
      <c r="AP122" s="4" t="str">
        <f t="shared" si="58"/>
        <v>-</v>
      </c>
      <c r="AQ122" s="4" t="str">
        <f t="shared" si="59"/>
        <v>-</v>
      </c>
      <c r="AR122" s="4" t="str">
        <f t="shared" si="60"/>
        <v>-</v>
      </c>
      <c r="AS122" s="4">
        <v>0</v>
      </c>
      <c r="AT122" s="4" t="s">
        <v>607</v>
      </c>
      <c r="AU122" s="4"/>
      <c r="AV122" s="4"/>
      <c r="AW122" s="4" t="s">
        <v>489</v>
      </c>
      <c r="AX122" s="4">
        <v>2874</v>
      </c>
      <c r="AY122" s="4">
        <f t="shared" si="78"/>
        <v>2874</v>
      </c>
      <c r="AZ122" s="19">
        <v>4</v>
      </c>
      <c r="BA122" s="19">
        <v>1</v>
      </c>
      <c r="BB122" s="16">
        <v>1120</v>
      </c>
      <c r="BC122" t="s">
        <v>338</v>
      </c>
      <c r="BD122" t="str">
        <f t="shared" si="61"/>
        <v>-</v>
      </c>
      <c r="BE122">
        <v>3690</v>
      </c>
      <c r="BF122">
        <f t="shared" si="62"/>
        <v>4428</v>
      </c>
      <c r="BG122" t="s">
        <v>440</v>
      </c>
    </row>
    <row r="123" spans="1:59" x14ac:dyDescent="0.4">
      <c r="A123" t="str">
        <f t="shared" si="56"/>
        <v>J353WE</v>
      </c>
      <c r="B123" s="3">
        <v>94</v>
      </c>
      <c r="C123" s="3">
        <v>94</v>
      </c>
      <c r="D123" s="4" t="s">
        <v>111</v>
      </c>
      <c r="E123" s="4" t="str">
        <f t="shared" si="63"/>
        <v>J353WE</v>
      </c>
      <c r="F123" s="4" t="s">
        <v>111</v>
      </c>
      <c r="G123" s="4" t="str">
        <f t="shared" si="64"/>
        <v>J353WE5</v>
      </c>
      <c r="H123" s="4" t="s">
        <v>239</v>
      </c>
      <c r="I123" s="5">
        <v>4905009834280</v>
      </c>
      <c r="J123" s="5">
        <v>5</v>
      </c>
      <c r="K123" s="5"/>
      <c r="L123" s="5">
        <v>1</v>
      </c>
      <c r="M123" s="5">
        <v>1</v>
      </c>
      <c r="N123" s="4">
        <v>0</v>
      </c>
      <c r="O123" s="4">
        <v>3200</v>
      </c>
      <c r="P123" s="4">
        <v>1800</v>
      </c>
      <c r="Q123" s="6">
        <f t="shared" si="65"/>
        <v>0.4375</v>
      </c>
      <c r="R123" s="4" t="s">
        <v>338</v>
      </c>
      <c r="S123" s="4" t="s">
        <v>338</v>
      </c>
      <c r="T123" s="4" t="s">
        <v>338</v>
      </c>
      <c r="U123" s="4">
        <v>0</v>
      </c>
      <c r="V123" s="4">
        <f t="shared" si="66"/>
        <v>0</v>
      </c>
      <c r="W123" s="4">
        <v>2160</v>
      </c>
      <c r="X123" s="4">
        <f t="shared" si="67"/>
        <v>2160</v>
      </c>
      <c r="Y123" s="4"/>
      <c r="Z123" s="21">
        <f t="shared" si="68"/>
        <v>3840</v>
      </c>
      <c r="AA123" s="6">
        <f t="shared" si="69"/>
        <v>0.4375</v>
      </c>
      <c r="AB123" s="4">
        <v>0.25</v>
      </c>
      <c r="AC123" s="4">
        <f t="shared" si="70"/>
        <v>3140</v>
      </c>
      <c r="AD123" s="4">
        <f t="shared" si="71"/>
        <v>3768</v>
      </c>
      <c r="AE123" s="6">
        <f t="shared" si="72"/>
        <v>0.42675159235668791</v>
      </c>
      <c r="AF123" s="7">
        <v>3680</v>
      </c>
      <c r="AG123" s="6">
        <f t="shared" si="73"/>
        <v>0.41304347826086951</v>
      </c>
      <c r="AH123" s="4">
        <f t="shared" si="74"/>
        <v>1520</v>
      </c>
      <c r="AI123" s="28"/>
      <c r="AJ123" s="6"/>
      <c r="AK123" s="6"/>
      <c r="AL123" s="6" t="str">
        <f t="shared" si="75"/>
        <v>-</v>
      </c>
      <c r="AM123" s="6">
        <f t="shared" si="76"/>
        <v>1.1499999999999999</v>
      </c>
      <c r="AN123" s="6">
        <f t="shared" si="77"/>
        <v>1.2</v>
      </c>
      <c r="AO123" s="6" t="str">
        <f t="shared" si="57"/>
        <v>-</v>
      </c>
      <c r="AP123" s="4" t="str">
        <f t="shared" si="58"/>
        <v>-</v>
      </c>
      <c r="AQ123" s="4" t="str">
        <f t="shared" si="59"/>
        <v>-</v>
      </c>
      <c r="AR123" s="4" t="str">
        <f t="shared" si="60"/>
        <v>-</v>
      </c>
      <c r="AS123" s="4">
        <v>0</v>
      </c>
      <c r="AT123" s="4" t="s">
        <v>608</v>
      </c>
      <c r="AU123" s="4"/>
      <c r="AV123" s="4"/>
      <c r="AW123" s="4" t="s">
        <v>590</v>
      </c>
      <c r="AX123" s="4">
        <v>3140</v>
      </c>
      <c r="AY123" s="4">
        <f t="shared" si="78"/>
        <v>3140</v>
      </c>
      <c r="AZ123" s="19">
        <v>4</v>
      </c>
      <c r="BA123" s="19">
        <v>1</v>
      </c>
      <c r="BB123" s="16">
        <v>1120</v>
      </c>
      <c r="BC123">
        <v>3140</v>
      </c>
      <c r="BD123">
        <f t="shared" si="61"/>
        <v>3768</v>
      </c>
      <c r="BE123">
        <v>2362</v>
      </c>
      <c r="BF123">
        <f t="shared" si="62"/>
        <v>2834.4</v>
      </c>
      <c r="BG123" t="s">
        <v>441</v>
      </c>
    </row>
    <row r="124" spans="1:59" x14ac:dyDescent="0.4">
      <c r="A124" t="str">
        <f t="shared" si="56"/>
        <v>J20313</v>
      </c>
      <c r="B124" s="3">
        <v>56</v>
      </c>
      <c r="C124" s="3">
        <v>56</v>
      </c>
      <c r="D124" s="4" t="s">
        <v>86</v>
      </c>
      <c r="E124" s="4" t="str">
        <f t="shared" si="63"/>
        <v>J20313</v>
      </c>
      <c r="F124" s="4" t="s">
        <v>86</v>
      </c>
      <c r="G124" s="4" t="str">
        <f t="shared" si="64"/>
        <v>J203135</v>
      </c>
      <c r="H124" s="4" t="s">
        <v>202</v>
      </c>
      <c r="I124" s="5">
        <v>4905009427529</v>
      </c>
      <c r="J124" s="5">
        <v>5</v>
      </c>
      <c r="K124" s="5"/>
      <c r="L124" s="5">
        <v>1</v>
      </c>
      <c r="M124" s="5">
        <v>1</v>
      </c>
      <c r="N124" s="4">
        <v>0</v>
      </c>
      <c r="O124" s="4">
        <v>2580</v>
      </c>
      <c r="P124" s="4">
        <v>1900</v>
      </c>
      <c r="Q124" s="6">
        <f t="shared" si="65"/>
        <v>0.26356589147286824</v>
      </c>
      <c r="R124" s="4" t="s">
        <v>338</v>
      </c>
      <c r="S124" s="4" t="s">
        <v>338</v>
      </c>
      <c r="T124" s="4" t="s">
        <v>338</v>
      </c>
      <c r="U124" s="4">
        <v>0</v>
      </c>
      <c r="V124" s="4">
        <f t="shared" si="66"/>
        <v>0</v>
      </c>
      <c r="W124" s="4">
        <v>2279.9999999999995</v>
      </c>
      <c r="X124" s="4">
        <f t="shared" si="67"/>
        <v>2279.9999999999995</v>
      </c>
      <c r="Y124" s="4"/>
      <c r="Z124" s="21">
        <f t="shared" si="68"/>
        <v>3096</v>
      </c>
      <c r="AA124" s="6">
        <f t="shared" si="69"/>
        <v>0.26356589147286835</v>
      </c>
      <c r="AB124" s="4">
        <v>9.75</v>
      </c>
      <c r="AC124" s="4">
        <f t="shared" si="70"/>
        <v>2855</v>
      </c>
      <c r="AD124" s="4">
        <f t="shared" si="71"/>
        <v>3425.9999999999991</v>
      </c>
      <c r="AE124" s="6">
        <f t="shared" si="72"/>
        <v>0.33450087565674247</v>
      </c>
      <c r="AF124" s="7">
        <v>3420</v>
      </c>
      <c r="AG124" s="6">
        <f t="shared" si="73"/>
        <v>0.33333333333333348</v>
      </c>
      <c r="AH124" s="4">
        <f t="shared" si="74"/>
        <v>1140.0000000000005</v>
      </c>
      <c r="AI124" s="28"/>
      <c r="AJ124" s="6"/>
      <c r="AK124" s="6"/>
      <c r="AL124" s="6" t="str">
        <f t="shared" si="75"/>
        <v>-</v>
      </c>
      <c r="AM124" s="6">
        <f t="shared" si="76"/>
        <v>1.3255813953488371</v>
      </c>
      <c r="AN124" s="6">
        <f t="shared" si="77"/>
        <v>1.1999999999999997</v>
      </c>
      <c r="AO124" s="6" t="str">
        <f t="shared" si="57"/>
        <v>-</v>
      </c>
      <c r="AP124" s="4" t="str">
        <f t="shared" si="58"/>
        <v>-</v>
      </c>
      <c r="AQ124" s="4" t="str">
        <f t="shared" si="59"/>
        <v>-</v>
      </c>
      <c r="AR124" s="4" t="str">
        <f t="shared" si="60"/>
        <v>-</v>
      </c>
      <c r="AS124" s="4">
        <v>0</v>
      </c>
      <c r="AT124" s="4" t="s">
        <v>609</v>
      </c>
      <c r="AU124" s="4"/>
      <c r="AV124" s="4"/>
      <c r="AW124" s="4" t="s">
        <v>590</v>
      </c>
      <c r="AX124" s="4">
        <v>2855</v>
      </c>
      <c r="AY124" s="4">
        <f t="shared" si="78"/>
        <v>2855</v>
      </c>
      <c r="AZ124" s="19">
        <v>4</v>
      </c>
      <c r="BA124" s="19">
        <v>1</v>
      </c>
      <c r="BB124" s="16">
        <v>1120</v>
      </c>
      <c r="BC124" t="s">
        <v>338</v>
      </c>
      <c r="BD124" t="str">
        <f t="shared" si="61"/>
        <v>-</v>
      </c>
      <c r="BE124">
        <v>3610</v>
      </c>
      <c r="BF124">
        <f t="shared" si="62"/>
        <v>4331.9999999999991</v>
      </c>
      <c r="BG124" t="s">
        <v>442</v>
      </c>
    </row>
    <row r="125" spans="1:59" x14ac:dyDescent="0.4">
      <c r="A125" t="str">
        <f t="shared" si="56"/>
        <v>671666</v>
      </c>
      <c r="B125" s="3">
        <v>25</v>
      </c>
      <c r="C125" s="3">
        <v>25</v>
      </c>
      <c r="D125" s="4">
        <v>671666</v>
      </c>
      <c r="E125" s="4" t="str">
        <f t="shared" si="63"/>
        <v>671666</v>
      </c>
      <c r="F125" s="4">
        <v>671666</v>
      </c>
      <c r="G125" s="4" t="str">
        <f t="shared" si="64"/>
        <v>6716665</v>
      </c>
      <c r="H125" s="4" t="s">
        <v>171</v>
      </c>
      <c r="I125" s="5">
        <v>4905009715558</v>
      </c>
      <c r="J125" s="5">
        <v>5</v>
      </c>
      <c r="K125" s="5"/>
      <c r="L125" s="5">
        <v>1</v>
      </c>
      <c r="M125" s="5">
        <v>1</v>
      </c>
      <c r="N125" s="4">
        <v>0</v>
      </c>
      <c r="O125" s="4">
        <v>3359</v>
      </c>
      <c r="P125" s="4">
        <v>1996</v>
      </c>
      <c r="Q125" s="6">
        <f t="shared" si="65"/>
        <v>0.40577552843108067</v>
      </c>
      <c r="R125" s="4" t="s">
        <v>338</v>
      </c>
      <c r="S125" s="4" t="s">
        <v>338</v>
      </c>
      <c r="T125" s="4" t="s">
        <v>338</v>
      </c>
      <c r="U125" s="4">
        <v>0</v>
      </c>
      <c r="V125" s="4">
        <f t="shared" si="66"/>
        <v>0</v>
      </c>
      <c r="W125" s="4">
        <v>2395</v>
      </c>
      <c r="X125" s="4">
        <f t="shared" si="67"/>
        <v>2395</v>
      </c>
      <c r="Y125" s="4"/>
      <c r="Z125" s="21">
        <f t="shared" si="68"/>
        <v>4030</v>
      </c>
      <c r="AA125" s="6">
        <f t="shared" si="69"/>
        <v>0.40570719602977667</v>
      </c>
      <c r="AB125" s="4">
        <v>11.25</v>
      </c>
      <c r="AC125" s="4" t="str">
        <f t="shared" si="70"/>
        <v>-</v>
      </c>
      <c r="AD125" s="4" t="str">
        <f t="shared" si="71"/>
        <v>-</v>
      </c>
      <c r="AE125" s="6" t="str">
        <f t="shared" si="72"/>
        <v>-</v>
      </c>
      <c r="AF125" s="7">
        <v>3980</v>
      </c>
      <c r="AG125" s="6">
        <f t="shared" si="73"/>
        <v>0.39824120603015079</v>
      </c>
      <c r="AH125" s="4">
        <f t="shared" si="74"/>
        <v>1585</v>
      </c>
      <c r="AI125" s="28"/>
      <c r="AJ125" s="6"/>
      <c r="AK125" s="6"/>
      <c r="AL125" s="6" t="str">
        <f t="shared" si="75"/>
        <v>-</v>
      </c>
      <c r="AM125" s="6">
        <f t="shared" si="76"/>
        <v>1.1848764513247991</v>
      </c>
      <c r="AN125" s="6">
        <f t="shared" si="77"/>
        <v>1.1998997995991985</v>
      </c>
      <c r="AO125" s="6" t="str">
        <f t="shared" si="57"/>
        <v>-</v>
      </c>
      <c r="AP125" s="4" t="str">
        <f t="shared" si="58"/>
        <v>-</v>
      </c>
      <c r="AQ125" s="4" t="str">
        <f t="shared" si="59"/>
        <v>-</v>
      </c>
      <c r="AR125" s="4" t="str">
        <f t="shared" si="60"/>
        <v>-</v>
      </c>
      <c r="AS125" s="4" t="s">
        <v>324</v>
      </c>
      <c r="AT125" s="4" t="s">
        <v>338</v>
      </c>
      <c r="AU125" s="4"/>
      <c r="AV125" s="4"/>
      <c r="AW125" s="4" t="s">
        <v>338</v>
      </c>
      <c r="AX125" s="4" t="s">
        <v>338</v>
      </c>
      <c r="AY125" s="4" t="str">
        <f t="shared" si="78"/>
        <v>-</v>
      </c>
      <c r="AZ125" s="19">
        <v>4</v>
      </c>
      <c r="BA125" s="19">
        <v>1</v>
      </c>
      <c r="BB125" s="16">
        <v>1120</v>
      </c>
      <c r="BC125" t="s">
        <v>338</v>
      </c>
      <c r="BD125" t="str">
        <f t="shared" si="61"/>
        <v>-</v>
      </c>
      <c r="BE125">
        <v>3116</v>
      </c>
      <c r="BF125">
        <f t="shared" si="62"/>
        <v>3738.8877755511025</v>
      </c>
      <c r="BG125" t="s">
        <v>338</v>
      </c>
    </row>
    <row r="126" spans="1:59" x14ac:dyDescent="0.4">
      <c r="A126" t="str">
        <f t="shared" si="56"/>
        <v>620885</v>
      </c>
      <c r="B126" s="3">
        <v>15</v>
      </c>
      <c r="C126" s="3">
        <v>15</v>
      </c>
      <c r="D126" s="4">
        <v>620885</v>
      </c>
      <c r="E126" s="4" t="str">
        <f t="shared" si="63"/>
        <v>620885</v>
      </c>
      <c r="F126" s="4">
        <v>620885</v>
      </c>
      <c r="G126" s="4" t="str">
        <f t="shared" si="64"/>
        <v>6208855</v>
      </c>
      <c r="H126" s="4" t="s">
        <v>161</v>
      </c>
      <c r="I126" s="5">
        <v>4905009452828</v>
      </c>
      <c r="J126" s="5">
        <v>5</v>
      </c>
      <c r="K126" s="5"/>
      <c r="L126" s="5">
        <v>1</v>
      </c>
      <c r="M126" s="5">
        <v>1</v>
      </c>
      <c r="N126" s="4">
        <v>0</v>
      </c>
      <c r="O126" s="4">
        <v>4158</v>
      </c>
      <c r="P126" s="4">
        <v>2000</v>
      </c>
      <c r="Q126" s="6">
        <f t="shared" si="65"/>
        <v>0.51899951899951902</v>
      </c>
      <c r="R126" s="4" t="s">
        <v>338</v>
      </c>
      <c r="S126" s="4" t="s">
        <v>338</v>
      </c>
      <c r="T126" s="4" t="s">
        <v>338</v>
      </c>
      <c r="U126" s="4">
        <v>0</v>
      </c>
      <c r="V126" s="4">
        <f t="shared" si="66"/>
        <v>0</v>
      </c>
      <c r="W126" s="4">
        <v>2400</v>
      </c>
      <c r="X126" s="4">
        <f t="shared" si="67"/>
        <v>2400</v>
      </c>
      <c r="Y126" s="4"/>
      <c r="Z126" s="21">
        <f t="shared" si="68"/>
        <v>4990</v>
      </c>
      <c r="AA126" s="6">
        <f t="shared" si="69"/>
        <v>0.51903807615230457</v>
      </c>
      <c r="AB126" s="4">
        <v>0.75</v>
      </c>
      <c r="AC126" s="4" t="str">
        <f t="shared" si="70"/>
        <v>-</v>
      </c>
      <c r="AD126" s="4" t="str">
        <f t="shared" si="71"/>
        <v>-</v>
      </c>
      <c r="AE126" s="6" t="str">
        <f t="shared" si="72"/>
        <v>-</v>
      </c>
      <c r="AF126" s="7">
        <v>4460</v>
      </c>
      <c r="AG126" s="6">
        <f t="shared" si="73"/>
        <v>0.46188340807174888</v>
      </c>
      <c r="AH126" s="4">
        <f t="shared" si="74"/>
        <v>2060</v>
      </c>
      <c r="AI126" s="28"/>
      <c r="AJ126" s="6"/>
      <c r="AK126" s="6"/>
      <c r="AL126" s="6" t="str">
        <f t="shared" si="75"/>
        <v>-</v>
      </c>
      <c r="AM126" s="6">
        <f t="shared" si="76"/>
        <v>1.0726310726310726</v>
      </c>
      <c r="AN126" s="6">
        <f t="shared" si="77"/>
        <v>1.2</v>
      </c>
      <c r="AO126" s="6" t="str">
        <f t="shared" si="57"/>
        <v>-</v>
      </c>
      <c r="AP126" s="4" t="str">
        <f t="shared" si="58"/>
        <v>-</v>
      </c>
      <c r="AQ126" s="4" t="str">
        <f t="shared" si="59"/>
        <v>-</v>
      </c>
      <c r="AR126" s="4" t="str">
        <f t="shared" si="60"/>
        <v>-</v>
      </c>
      <c r="AS126" s="4" t="s">
        <v>323</v>
      </c>
      <c r="AT126" s="4" t="s">
        <v>338</v>
      </c>
      <c r="AU126" s="4"/>
      <c r="AV126" s="4"/>
      <c r="AW126" s="4" t="s">
        <v>338</v>
      </c>
      <c r="AX126" s="4" t="s">
        <v>338</v>
      </c>
      <c r="AY126" s="4" t="str">
        <f t="shared" si="78"/>
        <v>-</v>
      </c>
      <c r="AZ126" s="19">
        <v>4</v>
      </c>
      <c r="BA126" s="19">
        <v>1</v>
      </c>
      <c r="BB126" s="16">
        <v>1120</v>
      </c>
      <c r="BC126" t="s">
        <v>338</v>
      </c>
      <c r="BD126" t="str">
        <f t="shared" si="61"/>
        <v>-</v>
      </c>
      <c r="BE126">
        <v>3718</v>
      </c>
      <c r="BF126">
        <f t="shared" si="62"/>
        <v>4461.5999999999995</v>
      </c>
      <c r="BG126" t="s">
        <v>338</v>
      </c>
    </row>
    <row r="127" spans="1:59" x14ac:dyDescent="0.4">
      <c r="A127" t="str">
        <f t="shared" si="56"/>
        <v>671660</v>
      </c>
      <c r="B127" s="3">
        <v>20</v>
      </c>
      <c r="C127" s="3">
        <v>20</v>
      </c>
      <c r="D127" s="4">
        <v>671660</v>
      </c>
      <c r="E127" s="4" t="str">
        <f t="shared" si="63"/>
        <v>671660</v>
      </c>
      <c r="F127" s="4">
        <v>671660</v>
      </c>
      <c r="G127" s="4" t="str">
        <f t="shared" si="64"/>
        <v>6716605</v>
      </c>
      <c r="H127" s="4" t="s">
        <v>166</v>
      </c>
      <c r="I127" s="5">
        <v>4905009710270</v>
      </c>
      <c r="J127" s="5">
        <v>5</v>
      </c>
      <c r="K127" s="5"/>
      <c r="L127" s="5">
        <v>1</v>
      </c>
      <c r="M127" s="5">
        <v>1</v>
      </c>
      <c r="N127" s="4">
        <v>0</v>
      </c>
      <c r="O127" s="4">
        <v>4122</v>
      </c>
      <c r="P127" s="4">
        <v>2200</v>
      </c>
      <c r="Q127" s="6">
        <f t="shared" si="65"/>
        <v>0.46627850557981565</v>
      </c>
      <c r="R127" s="4" t="s">
        <v>338</v>
      </c>
      <c r="S127" s="4" t="s">
        <v>338</v>
      </c>
      <c r="T127" s="4" t="s">
        <v>338</v>
      </c>
      <c r="U127" s="4">
        <v>0</v>
      </c>
      <c r="V127" s="4">
        <f t="shared" si="66"/>
        <v>0</v>
      </c>
      <c r="W127" s="4">
        <v>2640</v>
      </c>
      <c r="X127" s="4">
        <f t="shared" si="67"/>
        <v>2640</v>
      </c>
      <c r="Y127" s="4"/>
      <c r="Z127" s="21">
        <f t="shared" si="68"/>
        <v>4946</v>
      </c>
      <c r="AA127" s="6">
        <f t="shared" si="69"/>
        <v>0.46623534169025471</v>
      </c>
      <c r="AB127" s="4">
        <v>0.75</v>
      </c>
      <c r="AC127" s="4">
        <f t="shared" si="70"/>
        <v>4082</v>
      </c>
      <c r="AD127" s="4">
        <f t="shared" si="71"/>
        <v>4898.3999999999996</v>
      </c>
      <c r="AE127" s="6">
        <f t="shared" si="72"/>
        <v>0.46104850563449284</v>
      </c>
      <c r="AF127" s="7">
        <v>4880</v>
      </c>
      <c r="AG127" s="6">
        <f t="shared" si="73"/>
        <v>0.45901639344262291</v>
      </c>
      <c r="AH127" s="4">
        <f t="shared" si="74"/>
        <v>2240</v>
      </c>
      <c r="AI127" s="28"/>
      <c r="AJ127" s="6"/>
      <c r="AK127" s="6"/>
      <c r="AL127" s="6" t="str">
        <f t="shared" si="75"/>
        <v>-</v>
      </c>
      <c r="AM127" s="6">
        <f t="shared" si="76"/>
        <v>1.1838913148956818</v>
      </c>
      <c r="AN127" s="6">
        <f t="shared" si="77"/>
        <v>1.2</v>
      </c>
      <c r="AO127" s="6" t="str">
        <f t="shared" si="57"/>
        <v>-</v>
      </c>
      <c r="AP127" s="4" t="str">
        <f t="shared" si="58"/>
        <v>-</v>
      </c>
      <c r="AQ127" s="4" t="str">
        <f t="shared" si="59"/>
        <v>-</v>
      </c>
      <c r="AR127" s="4" t="str">
        <f t="shared" si="60"/>
        <v>-</v>
      </c>
      <c r="AS127" s="4" t="s">
        <v>324</v>
      </c>
      <c r="AT127" s="4" t="s">
        <v>610</v>
      </c>
      <c r="AU127" s="4"/>
      <c r="AV127" s="4"/>
      <c r="AW127" s="4" t="s">
        <v>489</v>
      </c>
      <c r="AX127" s="4">
        <v>4082</v>
      </c>
      <c r="AY127" s="4">
        <f t="shared" si="78"/>
        <v>4082</v>
      </c>
      <c r="AZ127" s="19">
        <v>4</v>
      </c>
      <c r="BA127" s="19">
        <v>1</v>
      </c>
      <c r="BB127" s="16">
        <v>1120</v>
      </c>
      <c r="BC127" t="s">
        <v>338</v>
      </c>
      <c r="BD127" t="str">
        <f t="shared" si="61"/>
        <v>-</v>
      </c>
      <c r="BE127">
        <v>6699</v>
      </c>
      <c r="BF127">
        <f t="shared" si="62"/>
        <v>8038.7999999999993</v>
      </c>
      <c r="BG127" t="s">
        <v>443</v>
      </c>
    </row>
    <row r="128" spans="1:59" x14ac:dyDescent="0.4">
      <c r="A128" t="str">
        <f t="shared" si="56"/>
        <v>669464</v>
      </c>
      <c r="B128" s="3">
        <v>83</v>
      </c>
      <c r="C128" s="3">
        <v>83</v>
      </c>
      <c r="D128" s="4">
        <v>669464</v>
      </c>
      <c r="E128" s="4" t="str">
        <f t="shared" si="63"/>
        <v>669464</v>
      </c>
      <c r="F128" s="4">
        <v>669464</v>
      </c>
      <c r="G128" s="4" t="str">
        <f t="shared" si="64"/>
        <v>6694645</v>
      </c>
      <c r="H128" s="4" t="s">
        <v>228</v>
      </c>
      <c r="I128" s="5">
        <v>4905009834211</v>
      </c>
      <c r="J128" s="5">
        <v>5</v>
      </c>
      <c r="K128" s="5"/>
      <c r="L128" s="5">
        <v>1</v>
      </c>
      <c r="M128" s="5">
        <v>1</v>
      </c>
      <c r="N128" s="4">
        <v>0</v>
      </c>
      <c r="O128" s="4">
        <v>4900</v>
      </c>
      <c r="P128" s="4">
        <v>2300</v>
      </c>
      <c r="Q128" s="6">
        <f t="shared" si="65"/>
        <v>0.53061224489795911</v>
      </c>
      <c r="R128" s="4">
        <v>4667</v>
      </c>
      <c r="S128" s="4">
        <v>3</v>
      </c>
      <c r="T128" s="4">
        <v>99999</v>
      </c>
      <c r="U128" s="4">
        <v>0</v>
      </c>
      <c r="V128" s="4">
        <f t="shared" si="66"/>
        <v>0</v>
      </c>
      <c r="W128" s="4">
        <v>2760</v>
      </c>
      <c r="X128" s="4">
        <f t="shared" si="67"/>
        <v>2760</v>
      </c>
      <c r="Y128" s="4"/>
      <c r="Z128" s="21">
        <f t="shared" si="68"/>
        <v>5880</v>
      </c>
      <c r="AA128" s="6">
        <f t="shared" si="69"/>
        <v>0.53061224489795911</v>
      </c>
      <c r="AB128" s="4">
        <v>23</v>
      </c>
      <c r="AC128" s="4">
        <f t="shared" si="70"/>
        <v>4910</v>
      </c>
      <c r="AD128" s="4">
        <f t="shared" si="71"/>
        <v>5892</v>
      </c>
      <c r="AE128" s="6">
        <f t="shared" si="72"/>
        <v>0.53156822810590632</v>
      </c>
      <c r="AF128" s="7">
        <v>4980</v>
      </c>
      <c r="AG128" s="6">
        <f t="shared" si="73"/>
        <v>0.44578313253012047</v>
      </c>
      <c r="AH128" s="4">
        <f t="shared" si="74"/>
        <v>2220</v>
      </c>
      <c r="AI128" s="28"/>
      <c r="AJ128" s="6"/>
      <c r="AK128" s="6"/>
      <c r="AL128" s="41" t="str">
        <f t="shared" si="75"/>
        <v>-</v>
      </c>
      <c r="AM128" s="6">
        <f t="shared" si="76"/>
        <v>1.0163265306122449</v>
      </c>
      <c r="AN128" s="6">
        <f t="shared" si="77"/>
        <v>1.2</v>
      </c>
      <c r="AO128" s="6">
        <f t="shared" si="57"/>
        <v>0.41276595744680855</v>
      </c>
      <c r="AP128" s="4">
        <v>4700</v>
      </c>
      <c r="AQ128" s="4">
        <f t="shared" si="59"/>
        <v>3</v>
      </c>
      <c r="AR128" s="4">
        <f t="shared" si="60"/>
        <v>99999</v>
      </c>
      <c r="AS128" s="4" t="s">
        <v>323</v>
      </c>
      <c r="AT128" s="4" t="s">
        <v>611</v>
      </c>
      <c r="AU128" s="4"/>
      <c r="AV128" s="4"/>
      <c r="AW128" s="4" t="s">
        <v>612</v>
      </c>
      <c r="AX128" s="4">
        <v>4910</v>
      </c>
      <c r="AY128" s="4">
        <f t="shared" si="78"/>
        <v>4910</v>
      </c>
      <c r="AZ128" s="19">
        <v>4</v>
      </c>
      <c r="BA128" s="19">
        <v>1</v>
      </c>
      <c r="BB128" s="16">
        <v>1120</v>
      </c>
      <c r="BC128" t="s">
        <v>338</v>
      </c>
      <c r="BD128" t="str">
        <f t="shared" si="61"/>
        <v>-</v>
      </c>
      <c r="BE128">
        <v>7562</v>
      </c>
      <c r="BF128">
        <f t="shared" si="62"/>
        <v>9074.4</v>
      </c>
      <c r="BG128" t="s">
        <v>444</v>
      </c>
    </row>
    <row r="129" spans="1:59" x14ac:dyDescent="0.4">
      <c r="A129" t="str">
        <f t="shared" si="56"/>
        <v>J596WD</v>
      </c>
      <c r="B129" s="3">
        <v>78</v>
      </c>
      <c r="C129" s="3">
        <v>78</v>
      </c>
      <c r="D129" s="4" t="s">
        <v>108</v>
      </c>
      <c r="E129" s="4" t="str">
        <f t="shared" si="63"/>
        <v>J596WD</v>
      </c>
      <c r="F129" s="4" t="s">
        <v>108</v>
      </c>
      <c r="G129" s="4" t="str">
        <f t="shared" si="64"/>
        <v>J596WD5</v>
      </c>
      <c r="H129" s="4" t="s">
        <v>223</v>
      </c>
      <c r="I129" s="5">
        <v>4967576705578</v>
      </c>
      <c r="J129" s="5">
        <v>5</v>
      </c>
      <c r="K129" s="5"/>
      <c r="L129" s="5">
        <v>1</v>
      </c>
      <c r="M129" s="5">
        <v>1</v>
      </c>
      <c r="N129" s="4">
        <v>0</v>
      </c>
      <c r="O129" s="4">
        <v>5450</v>
      </c>
      <c r="P129" s="4">
        <v>2600</v>
      </c>
      <c r="Q129" s="6">
        <f t="shared" si="65"/>
        <v>0.52293577981651373</v>
      </c>
      <c r="R129" s="4" t="s">
        <v>338</v>
      </c>
      <c r="S129" s="4" t="s">
        <v>338</v>
      </c>
      <c r="T129" s="4" t="s">
        <v>338</v>
      </c>
      <c r="U129" s="4">
        <v>0</v>
      </c>
      <c r="V129" s="4">
        <f t="shared" si="66"/>
        <v>0</v>
      </c>
      <c r="W129" s="4">
        <v>2795</v>
      </c>
      <c r="X129" s="4">
        <f t="shared" si="67"/>
        <v>2795</v>
      </c>
      <c r="Y129" s="4"/>
      <c r="Z129" s="21">
        <f t="shared" si="68"/>
        <v>5859</v>
      </c>
      <c r="AA129" s="6">
        <f t="shared" si="69"/>
        <v>0.52295613585936174</v>
      </c>
      <c r="AB129" s="4">
        <v>1</v>
      </c>
      <c r="AC129" s="4">
        <f t="shared" si="70"/>
        <v>5455</v>
      </c>
      <c r="AD129" s="4">
        <f t="shared" si="71"/>
        <v>5864.125</v>
      </c>
      <c r="AE129" s="6">
        <f t="shared" si="72"/>
        <v>0.52337305224564612</v>
      </c>
      <c r="AF129" s="7">
        <v>5400</v>
      </c>
      <c r="AG129" s="6">
        <f t="shared" si="73"/>
        <v>0.4824074074074074</v>
      </c>
      <c r="AH129" s="4">
        <f t="shared" si="74"/>
        <v>2605</v>
      </c>
      <c r="AI129" s="28"/>
      <c r="AJ129" s="6"/>
      <c r="AK129" s="6"/>
      <c r="AL129" s="6" t="str">
        <f t="shared" si="75"/>
        <v>-</v>
      </c>
      <c r="AM129" s="6">
        <f t="shared" si="76"/>
        <v>0.99082568807339455</v>
      </c>
      <c r="AN129" s="6">
        <f t="shared" si="77"/>
        <v>1.075</v>
      </c>
      <c r="AO129" s="6" t="str">
        <f t="shared" si="57"/>
        <v>-</v>
      </c>
      <c r="AP129" s="4" t="str">
        <f t="shared" si="58"/>
        <v>-</v>
      </c>
      <c r="AQ129" s="4" t="str">
        <f t="shared" si="59"/>
        <v>-</v>
      </c>
      <c r="AR129" s="4" t="str">
        <f t="shared" si="60"/>
        <v>-</v>
      </c>
      <c r="AS129" s="4">
        <v>0</v>
      </c>
      <c r="AT129" s="4" t="s">
        <v>613</v>
      </c>
      <c r="AU129" s="4"/>
      <c r="AV129" s="4"/>
      <c r="AW129" s="4" t="s">
        <v>508</v>
      </c>
      <c r="AX129" s="4">
        <v>5455</v>
      </c>
      <c r="AY129" s="4">
        <f t="shared" si="78"/>
        <v>5455</v>
      </c>
      <c r="AZ129" s="19">
        <v>4</v>
      </c>
      <c r="BA129" s="19">
        <v>1</v>
      </c>
      <c r="BB129" s="16">
        <v>1120</v>
      </c>
      <c r="BC129" t="s">
        <v>338</v>
      </c>
      <c r="BD129" t="str">
        <f t="shared" si="61"/>
        <v>-</v>
      </c>
      <c r="BE129">
        <v>4982</v>
      </c>
      <c r="BF129">
        <f t="shared" si="62"/>
        <v>5355.65</v>
      </c>
      <c r="BG129" t="s">
        <v>445</v>
      </c>
    </row>
    <row r="130" spans="1:59" x14ac:dyDescent="0.4">
      <c r="A130" t="str">
        <f t="shared" si="56"/>
        <v>669472</v>
      </c>
      <c r="B130" s="3">
        <v>89</v>
      </c>
      <c r="C130" s="3">
        <v>89</v>
      </c>
      <c r="D130" s="4">
        <v>669472</v>
      </c>
      <c r="E130" s="4" t="str">
        <f t="shared" si="63"/>
        <v>669472</v>
      </c>
      <c r="F130" s="4">
        <v>669472</v>
      </c>
      <c r="G130" s="4" t="str">
        <f t="shared" si="64"/>
        <v>6694725</v>
      </c>
      <c r="H130" s="4" t="s">
        <v>234</v>
      </c>
      <c r="I130" s="5">
        <v>4905009834266</v>
      </c>
      <c r="J130" s="5">
        <v>5</v>
      </c>
      <c r="K130" s="5"/>
      <c r="L130" s="5">
        <v>1</v>
      </c>
      <c r="M130" s="5">
        <v>1</v>
      </c>
      <c r="N130" s="4">
        <v>0</v>
      </c>
      <c r="O130" s="4">
        <v>6408</v>
      </c>
      <c r="P130" s="4">
        <v>2900</v>
      </c>
      <c r="Q130" s="6">
        <f t="shared" si="65"/>
        <v>0.54744069912609239</v>
      </c>
      <c r="R130" s="4" t="s">
        <v>338</v>
      </c>
      <c r="S130" s="4" t="s">
        <v>338</v>
      </c>
      <c r="T130" s="4" t="s">
        <v>338</v>
      </c>
      <c r="U130" s="4">
        <v>0</v>
      </c>
      <c r="V130" s="4">
        <f t="shared" si="66"/>
        <v>0</v>
      </c>
      <c r="W130" s="4">
        <v>3480</v>
      </c>
      <c r="X130" s="4">
        <f t="shared" si="67"/>
        <v>3480</v>
      </c>
      <c r="Y130" s="4"/>
      <c r="Z130" s="21">
        <f t="shared" si="68"/>
        <v>7690</v>
      </c>
      <c r="AA130" s="6">
        <f t="shared" si="69"/>
        <v>0.54746423927178156</v>
      </c>
      <c r="AB130" s="4">
        <v>2</v>
      </c>
      <c r="AC130" s="4">
        <f t="shared" si="70"/>
        <v>6346</v>
      </c>
      <c r="AD130" s="4">
        <f t="shared" si="71"/>
        <v>7615.2</v>
      </c>
      <c r="AE130" s="6">
        <f t="shared" si="72"/>
        <v>0.54301922470847774</v>
      </c>
      <c r="AF130" s="7">
        <v>7480</v>
      </c>
      <c r="AG130" s="6">
        <f t="shared" si="73"/>
        <v>0.53475935828876997</v>
      </c>
      <c r="AH130" s="4">
        <f t="shared" si="74"/>
        <v>4000</v>
      </c>
      <c r="AI130" s="28"/>
      <c r="AJ130" s="6"/>
      <c r="AK130" s="6"/>
      <c r="AL130" s="6" t="str">
        <f t="shared" si="75"/>
        <v>-</v>
      </c>
      <c r="AM130" s="6">
        <f t="shared" si="76"/>
        <v>1.16729088639201</v>
      </c>
      <c r="AN130" s="6">
        <f t="shared" si="77"/>
        <v>1.2</v>
      </c>
      <c r="AO130" s="6" t="str">
        <f t="shared" si="57"/>
        <v>-</v>
      </c>
      <c r="AP130" s="4" t="str">
        <f t="shared" si="58"/>
        <v>-</v>
      </c>
      <c r="AQ130" s="4" t="str">
        <f t="shared" si="59"/>
        <v>-</v>
      </c>
      <c r="AR130" s="4" t="str">
        <f t="shared" si="60"/>
        <v>-</v>
      </c>
      <c r="AS130" s="4" t="s">
        <v>323</v>
      </c>
      <c r="AT130" s="4" t="s">
        <v>614</v>
      </c>
      <c r="AU130" s="4"/>
      <c r="AV130" s="4"/>
      <c r="AW130" s="4" t="s">
        <v>559</v>
      </c>
      <c r="AX130" s="4">
        <v>6346</v>
      </c>
      <c r="AY130" s="4">
        <f t="shared" si="78"/>
        <v>6346</v>
      </c>
      <c r="AZ130" s="19">
        <v>4</v>
      </c>
      <c r="BA130" s="19">
        <v>1</v>
      </c>
      <c r="BB130" s="16">
        <v>1120</v>
      </c>
      <c r="BC130" t="s">
        <v>338</v>
      </c>
      <c r="BD130" t="str">
        <f t="shared" si="61"/>
        <v>-</v>
      </c>
      <c r="BE130">
        <v>7717</v>
      </c>
      <c r="BF130">
        <f t="shared" si="62"/>
        <v>9260.4</v>
      </c>
      <c r="BG130" t="s">
        <v>446</v>
      </c>
    </row>
    <row r="131" spans="1:59" x14ac:dyDescent="0.4">
      <c r="A131" t="str">
        <f t="shared" si="56"/>
        <v>J595WD</v>
      </c>
      <c r="B131" s="3">
        <v>77</v>
      </c>
      <c r="C131" s="3">
        <v>77</v>
      </c>
      <c r="D131" s="35" t="s">
        <v>107</v>
      </c>
      <c r="E131" s="4" t="str">
        <f t="shared" si="63"/>
        <v>J595WD</v>
      </c>
      <c r="F131" s="4" t="s">
        <v>107</v>
      </c>
      <c r="G131" s="4" t="str">
        <f t="shared" si="64"/>
        <v>J595WD5</v>
      </c>
      <c r="H131" s="4" t="s">
        <v>222</v>
      </c>
      <c r="I131" s="5">
        <v>4967576705554</v>
      </c>
      <c r="J131" s="5">
        <v>5</v>
      </c>
      <c r="K131" s="5"/>
      <c r="L131" s="5">
        <v>2</v>
      </c>
      <c r="M131" s="5">
        <v>2</v>
      </c>
      <c r="N131" s="4">
        <v>0</v>
      </c>
      <c r="O131" s="4">
        <v>6360</v>
      </c>
      <c r="P131" s="4">
        <v>3300</v>
      </c>
      <c r="Q131" s="6">
        <f t="shared" si="65"/>
        <v>0.48113207547169812</v>
      </c>
      <c r="R131" s="4" t="s">
        <v>338</v>
      </c>
      <c r="S131" s="4" t="s">
        <v>338</v>
      </c>
      <c r="T131" s="4" t="s">
        <v>338</v>
      </c>
      <c r="U131" s="4">
        <v>0</v>
      </c>
      <c r="V131" s="4">
        <f t="shared" si="66"/>
        <v>0</v>
      </c>
      <c r="W131" s="4">
        <v>3498</v>
      </c>
      <c r="X131" s="4">
        <f t="shared" si="67"/>
        <v>3498</v>
      </c>
      <c r="Y131" s="4"/>
      <c r="Z131" s="21">
        <f t="shared" si="68"/>
        <v>6742</v>
      </c>
      <c r="AA131" s="6">
        <f t="shared" si="69"/>
        <v>0.48116285968555328</v>
      </c>
      <c r="AB131" s="4">
        <v>15.25</v>
      </c>
      <c r="AC131" s="4">
        <f t="shared" si="70"/>
        <v>6364</v>
      </c>
      <c r="AD131" s="4">
        <f t="shared" si="71"/>
        <v>6745.84</v>
      </c>
      <c r="AE131" s="6">
        <f t="shared" si="72"/>
        <v>0.48145820238843495</v>
      </c>
      <c r="AF131" s="7">
        <v>6680</v>
      </c>
      <c r="AG131" s="6">
        <f t="shared" si="73"/>
        <v>0.47634730538922154</v>
      </c>
      <c r="AH131" s="4">
        <f t="shared" si="74"/>
        <v>3182</v>
      </c>
      <c r="AI131" s="28"/>
      <c r="AJ131" s="6"/>
      <c r="AK131" s="6"/>
      <c r="AL131" s="6" t="str">
        <f t="shared" si="75"/>
        <v>-</v>
      </c>
      <c r="AM131" s="6">
        <f t="shared" si="76"/>
        <v>1.050314465408805</v>
      </c>
      <c r="AN131" s="6">
        <f t="shared" si="77"/>
        <v>1.06</v>
      </c>
      <c r="AO131" s="6" t="str">
        <f t="shared" si="57"/>
        <v>-</v>
      </c>
      <c r="AP131" s="4" t="str">
        <f t="shared" si="58"/>
        <v>-</v>
      </c>
      <c r="AQ131" s="4" t="str">
        <f t="shared" si="59"/>
        <v>-</v>
      </c>
      <c r="AR131" s="4" t="str">
        <f t="shared" si="60"/>
        <v>-</v>
      </c>
      <c r="AS131" s="4">
        <v>0</v>
      </c>
      <c r="AT131" s="4" t="s">
        <v>615</v>
      </c>
      <c r="AU131" s="4"/>
      <c r="AV131" s="4"/>
      <c r="AW131" s="4" t="s">
        <v>508</v>
      </c>
      <c r="AX131" s="4">
        <v>6364</v>
      </c>
      <c r="AY131" s="4">
        <f t="shared" si="78"/>
        <v>6364</v>
      </c>
      <c r="AZ131" s="19">
        <v>4</v>
      </c>
      <c r="BA131" s="19">
        <v>1</v>
      </c>
      <c r="BB131" s="16">
        <v>1120</v>
      </c>
      <c r="BC131" t="s">
        <v>338</v>
      </c>
      <c r="BD131" t="str">
        <f t="shared" si="61"/>
        <v>-</v>
      </c>
      <c r="BE131">
        <v>6355</v>
      </c>
      <c r="BF131">
        <f t="shared" si="62"/>
        <v>6736.3</v>
      </c>
      <c r="BG131" t="s">
        <v>447</v>
      </c>
    </row>
    <row r="132" spans="1:59" x14ac:dyDescent="0.4">
      <c r="A132" t="str">
        <f t="shared" si="56"/>
        <v>5285AY</v>
      </c>
      <c r="B132" s="3">
        <v>176</v>
      </c>
      <c r="C132" s="3">
        <v>77</v>
      </c>
      <c r="D132" s="35" t="s">
        <v>107</v>
      </c>
      <c r="E132" s="4" t="str">
        <f t="shared" ref="E132:E163" si="79">TEXT(D132,"000000")</f>
        <v>J595WD</v>
      </c>
      <c r="F132" s="4" t="s">
        <v>318</v>
      </c>
      <c r="G132" s="4" t="str">
        <f t="shared" ref="G132:G163" si="80">E132&amp;J132</f>
        <v>J595WD99</v>
      </c>
      <c r="H132" s="4" t="s">
        <v>222</v>
      </c>
      <c r="I132" s="5">
        <v>4967576705554</v>
      </c>
      <c r="J132" s="5">
        <v>99</v>
      </c>
      <c r="K132" s="5"/>
      <c r="L132" s="5"/>
      <c r="M132" s="5"/>
      <c r="N132" s="4">
        <v>0</v>
      </c>
      <c r="O132" s="4">
        <v>5980</v>
      </c>
      <c r="P132" s="4">
        <v>3300</v>
      </c>
      <c r="Q132" s="6">
        <f t="shared" ref="Q132:Q163" si="81">IFERROR(1-P132/O132,"-")</f>
        <v>0.44816053511705689</v>
      </c>
      <c r="R132" s="4" t="s">
        <v>338</v>
      </c>
      <c r="S132" s="4" t="s">
        <v>338</v>
      </c>
      <c r="T132" s="4" t="s">
        <v>338</v>
      </c>
      <c r="U132" s="4">
        <v>0</v>
      </c>
      <c r="V132" s="4">
        <f t="shared" ref="V132:V163" si="82">IF(Y132="",U132,U132*Y132)</f>
        <v>0</v>
      </c>
      <c r="W132" s="4">
        <v>3498</v>
      </c>
      <c r="X132" s="4">
        <f t="shared" ref="X132:X163" si="83">IF(Y132="",W132,W132*Y132)</f>
        <v>3498</v>
      </c>
      <c r="Y132" s="4"/>
      <c r="Z132" s="21">
        <f t="shared" ref="Z132:Z163" si="84">ROUND(O132*AN132,0)</f>
        <v>6339</v>
      </c>
      <c r="AA132" s="6">
        <f t="shared" ref="AA132:AA163" si="85">IFERROR(1-X132/Z132,"-")</f>
        <v>0.44817794604827255</v>
      </c>
      <c r="AB132" s="4">
        <v>15.25</v>
      </c>
      <c r="AC132" s="4">
        <f t="shared" ref="AC132:AC163" si="86">AY132</f>
        <v>6364</v>
      </c>
      <c r="AD132" s="4">
        <f t="shared" ref="AD132:AD163" si="87">IFERROR(AC132*AN132,"-")</f>
        <v>6745.84</v>
      </c>
      <c r="AE132" s="6">
        <f t="shared" ref="AE132:AE163" si="88">IFERROR(1-X132/AD132,"-")</f>
        <v>0.48145820238843495</v>
      </c>
      <c r="AF132" s="7">
        <v>6680</v>
      </c>
      <c r="AG132" s="6">
        <f t="shared" ref="AG132:AG163" si="89">1-X132/AF132</f>
        <v>0.47634730538922154</v>
      </c>
      <c r="AH132" s="4">
        <f t="shared" ref="AH132:AH163" si="90">AF132-X132</f>
        <v>3182</v>
      </c>
      <c r="AI132" s="28"/>
      <c r="AJ132" s="6"/>
      <c r="AK132" s="6"/>
      <c r="AL132" s="6" t="str">
        <f t="shared" ref="AL132:AL163" si="91">IFERROR(V132/N132,"-")</f>
        <v>-</v>
      </c>
      <c r="AM132" s="6">
        <f t="shared" ref="AM132:AM163" si="92">IFERROR(AF132/O132,"-")</f>
        <v>1.1170568561872909</v>
      </c>
      <c r="AN132" s="6">
        <f t="shared" ref="AN132:AN163" si="93">IFERROR(X132/P132,"-")</f>
        <v>1.06</v>
      </c>
      <c r="AO132" s="6" t="str">
        <f t="shared" si="57"/>
        <v>-</v>
      </c>
      <c r="AP132" s="4" t="str">
        <f t="shared" si="58"/>
        <v>-</v>
      </c>
      <c r="AQ132" s="4" t="str">
        <f t="shared" si="59"/>
        <v>-</v>
      </c>
      <c r="AR132" s="4" t="str">
        <f t="shared" si="60"/>
        <v>-</v>
      </c>
      <c r="AS132" s="4">
        <v>0</v>
      </c>
      <c r="AT132" s="4" t="s">
        <v>615</v>
      </c>
      <c r="AU132" s="4"/>
      <c r="AV132" s="4"/>
      <c r="AW132" s="4" t="s">
        <v>508</v>
      </c>
      <c r="AX132" s="4">
        <v>6364</v>
      </c>
      <c r="AY132" s="4">
        <f t="shared" ref="AY132:AY163" si="94">IF(AU132="",AX132,AU132/AV132*AX132)</f>
        <v>6364</v>
      </c>
      <c r="AZ132" s="19">
        <v>4</v>
      </c>
      <c r="BA132" s="19">
        <v>1</v>
      </c>
      <c r="BB132" s="16">
        <v>1120</v>
      </c>
      <c r="BC132" t="s">
        <v>338</v>
      </c>
      <c r="BD132" t="str">
        <f t="shared" si="61"/>
        <v>-</v>
      </c>
      <c r="BE132">
        <v>6355</v>
      </c>
      <c r="BF132">
        <f t="shared" si="62"/>
        <v>6736.3</v>
      </c>
      <c r="BG132" t="s">
        <v>447</v>
      </c>
    </row>
    <row r="133" spans="1:59" x14ac:dyDescent="0.4">
      <c r="A133" t="str">
        <f t="shared" ref="A133:A177" si="95">TEXT(F133,"000000")</f>
        <v>J012WM</v>
      </c>
      <c r="B133" s="3">
        <v>28</v>
      </c>
      <c r="C133" s="3">
        <v>28</v>
      </c>
      <c r="D133" s="4" t="s">
        <v>58</v>
      </c>
      <c r="E133" s="4" t="str">
        <f t="shared" si="79"/>
        <v>J012WM</v>
      </c>
      <c r="F133" s="4" t="s">
        <v>58</v>
      </c>
      <c r="G133" s="4" t="str">
        <f t="shared" si="80"/>
        <v>J012WM5</v>
      </c>
      <c r="H133" s="4" t="s">
        <v>174</v>
      </c>
      <c r="I133" s="5">
        <v>4905009710287</v>
      </c>
      <c r="J133" s="5">
        <v>5</v>
      </c>
      <c r="K133" s="5"/>
      <c r="L133" s="5">
        <v>1</v>
      </c>
      <c r="M133" s="5">
        <v>1</v>
      </c>
      <c r="N133" s="4">
        <v>0</v>
      </c>
      <c r="O133" s="4">
        <v>3770</v>
      </c>
      <c r="P133" s="4">
        <v>3000</v>
      </c>
      <c r="Q133" s="6">
        <f t="shared" si="81"/>
        <v>0.20424403183023876</v>
      </c>
      <c r="R133" s="4" t="s">
        <v>338</v>
      </c>
      <c r="S133" s="4" t="s">
        <v>338</v>
      </c>
      <c r="T133" s="4" t="s">
        <v>338</v>
      </c>
      <c r="U133" s="4">
        <v>0</v>
      </c>
      <c r="V133" s="4">
        <f t="shared" si="82"/>
        <v>0</v>
      </c>
      <c r="W133" s="4">
        <v>3600</v>
      </c>
      <c r="X133" s="4">
        <f t="shared" si="83"/>
        <v>3600</v>
      </c>
      <c r="Y133" s="4"/>
      <c r="Z133" s="21">
        <f t="shared" si="84"/>
        <v>4524</v>
      </c>
      <c r="AA133" s="6">
        <f t="shared" si="85"/>
        <v>0.20424403183023876</v>
      </c>
      <c r="AB133" s="4">
        <v>4</v>
      </c>
      <c r="AC133" s="4">
        <f t="shared" si="86"/>
        <v>7237</v>
      </c>
      <c r="AD133" s="4">
        <f t="shared" si="87"/>
        <v>8684.4</v>
      </c>
      <c r="AE133" s="6">
        <f t="shared" si="88"/>
        <v>0.58546358988531155</v>
      </c>
      <c r="AF133" s="7">
        <v>6980</v>
      </c>
      <c r="AG133" s="6">
        <f t="shared" si="89"/>
        <v>0.48424068767908313</v>
      </c>
      <c r="AH133" s="4">
        <f t="shared" si="90"/>
        <v>3380</v>
      </c>
      <c r="AI133" s="28"/>
      <c r="AJ133" s="6"/>
      <c r="AK133" s="6"/>
      <c r="AL133" s="6" t="str">
        <f t="shared" si="91"/>
        <v>-</v>
      </c>
      <c r="AM133" s="6">
        <f t="shared" si="92"/>
        <v>1.8514588859416445</v>
      </c>
      <c r="AN133" s="6">
        <f t="shared" si="93"/>
        <v>1.2</v>
      </c>
      <c r="AO133" s="6" t="str">
        <f t="shared" ref="AO133:AO177" si="96">IFERROR(1-X133/AP133,"-")</f>
        <v>-</v>
      </c>
      <c r="AP133" s="4" t="str">
        <f t="shared" ref="AP133:AP177" si="97">IFERROR(ROUND($AF133*R133/$O133,0),"-")</f>
        <v>-</v>
      </c>
      <c r="AQ133" s="4" t="str">
        <f t="shared" ref="AQ133:AQ177" si="98">IF(S133="","-",S133)</f>
        <v>-</v>
      </c>
      <c r="AR133" s="4" t="str">
        <f t="shared" ref="AR133:AR177" si="99">IF(T133="","-",T133)</f>
        <v>-</v>
      </c>
      <c r="AS133" s="4">
        <v>0</v>
      </c>
      <c r="AT133" s="4" t="s">
        <v>616</v>
      </c>
      <c r="AU133" s="4"/>
      <c r="AV133" s="4"/>
      <c r="AW133" s="4" t="s">
        <v>559</v>
      </c>
      <c r="AX133" s="4">
        <v>7237</v>
      </c>
      <c r="AY133" s="4">
        <f t="shared" si="94"/>
        <v>7237</v>
      </c>
      <c r="AZ133" s="19">
        <v>4</v>
      </c>
      <c r="BA133" s="19">
        <v>1</v>
      </c>
      <c r="BB133" s="16">
        <v>1120</v>
      </c>
      <c r="BC133" t="s">
        <v>338</v>
      </c>
      <c r="BD133" t="str">
        <f t="shared" ref="BD133:BD177" si="100">IFERROR(BC133*AN133,"-")</f>
        <v>-</v>
      </c>
      <c r="BE133">
        <v>7709</v>
      </c>
      <c r="BF133">
        <f t="shared" ref="BF133:BF177" si="101">IFERROR(BE133*AN133,"-")</f>
        <v>9250.7999999999993</v>
      </c>
      <c r="BG133" t="s">
        <v>448</v>
      </c>
    </row>
    <row r="134" spans="1:59" x14ac:dyDescent="0.4">
      <c r="A134" t="str">
        <f t="shared" si="95"/>
        <v>J20312</v>
      </c>
      <c r="B134" s="3">
        <v>55</v>
      </c>
      <c r="C134" s="3">
        <v>55</v>
      </c>
      <c r="D134" s="4" t="s">
        <v>85</v>
      </c>
      <c r="E134" s="4" t="str">
        <f t="shared" si="79"/>
        <v>J20312</v>
      </c>
      <c r="F134" s="4" t="s">
        <v>85</v>
      </c>
      <c r="G134" s="4" t="str">
        <f t="shared" si="80"/>
        <v>J203125</v>
      </c>
      <c r="H134" s="4" t="s">
        <v>201</v>
      </c>
      <c r="I134" s="5">
        <v>4905009427512</v>
      </c>
      <c r="J134" s="5">
        <v>5</v>
      </c>
      <c r="K134" s="5"/>
      <c r="L134" s="5">
        <v>1</v>
      </c>
      <c r="M134" s="5">
        <v>1</v>
      </c>
      <c r="N134" s="4">
        <v>0</v>
      </c>
      <c r="O134" s="4">
        <v>5151</v>
      </c>
      <c r="P134" s="4">
        <v>3000</v>
      </c>
      <c r="Q134" s="6">
        <f t="shared" si="81"/>
        <v>0.41758881770529999</v>
      </c>
      <c r="R134" s="4" t="s">
        <v>338</v>
      </c>
      <c r="S134" s="4" t="s">
        <v>338</v>
      </c>
      <c r="T134" s="4" t="s">
        <v>338</v>
      </c>
      <c r="U134" s="4">
        <v>0</v>
      </c>
      <c r="V134" s="4">
        <f t="shared" si="82"/>
        <v>0</v>
      </c>
      <c r="W134" s="4">
        <v>3600</v>
      </c>
      <c r="X134" s="4">
        <f t="shared" si="83"/>
        <v>3600</v>
      </c>
      <c r="Y134" s="4"/>
      <c r="Z134" s="21">
        <f t="shared" si="84"/>
        <v>6181</v>
      </c>
      <c r="AA134" s="6">
        <f t="shared" si="85"/>
        <v>0.41756997249635985</v>
      </c>
      <c r="AB134" s="4">
        <v>0.25</v>
      </c>
      <c r="AC134" s="4">
        <f t="shared" si="86"/>
        <v>4800</v>
      </c>
      <c r="AD134" s="4">
        <f t="shared" si="87"/>
        <v>5760</v>
      </c>
      <c r="AE134" s="6">
        <f t="shared" si="88"/>
        <v>0.375</v>
      </c>
      <c r="AF134" s="7">
        <v>5750</v>
      </c>
      <c r="AG134" s="6">
        <f t="shared" si="89"/>
        <v>0.37391304347826082</v>
      </c>
      <c r="AH134" s="4">
        <f t="shared" si="90"/>
        <v>2150</v>
      </c>
      <c r="AI134" s="28"/>
      <c r="AJ134" s="6"/>
      <c r="AK134" s="6"/>
      <c r="AL134" s="6" t="str">
        <f t="shared" si="91"/>
        <v>-</v>
      </c>
      <c r="AM134" s="6">
        <f t="shared" si="92"/>
        <v>1.1162880993981752</v>
      </c>
      <c r="AN134" s="6">
        <f t="shared" si="93"/>
        <v>1.2</v>
      </c>
      <c r="AO134" s="6" t="str">
        <f t="shared" si="96"/>
        <v>-</v>
      </c>
      <c r="AP134" s="4" t="str">
        <f t="shared" si="97"/>
        <v>-</v>
      </c>
      <c r="AQ134" s="4" t="str">
        <f t="shared" si="98"/>
        <v>-</v>
      </c>
      <c r="AR134" s="4" t="str">
        <f t="shared" si="99"/>
        <v>-</v>
      </c>
      <c r="AS134" s="4">
        <v>0</v>
      </c>
      <c r="AT134" s="4" t="s">
        <v>617</v>
      </c>
      <c r="AU134" s="4"/>
      <c r="AV134" s="4"/>
      <c r="AW134" s="4" t="s">
        <v>559</v>
      </c>
      <c r="AX134" s="4">
        <v>4800</v>
      </c>
      <c r="AY134" s="4">
        <f t="shared" si="94"/>
        <v>4800</v>
      </c>
      <c r="AZ134" s="19">
        <v>4</v>
      </c>
      <c r="BA134" s="19">
        <v>8</v>
      </c>
      <c r="BB134" s="16">
        <v>1120</v>
      </c>
      <c r="BC134" t="s">
        <v>338</v>
      </c>
      <c r="BD134" t="str">
        <f t="shared" si="100"/>
        <v>-</v>
      </c>
      <c r="BE134">
        <v>6116</v>
      </c>
      <c r="BF134">
        <f t="shared" si="101"/>
        <v>7339.2</v>
      </c>
      <c r="BG134" t="s">
        <v>449</v>
      </c>
    </row>
    <row r="135" spans="1:59" x14ac:dyDescent="0.4">
      <c r="A135" t="str">
        <f t="shared" si="95"/>
        <v>J20299</v>
      </c>
      <c r="B135" s="37">
        <v>67</v>
      </c>
      <c r="C135" s="3">
        <v>67</v>
      </c>
      <c r="D135" s="4" t="s">
        <v>97</v>
      </c>
      <c r="E135" s="4" t="str">
        <f t="shared" si="79"/>
        <v>J20299</v>
      </c>
      <c r="F135" s="4" t="s">
        <v>97</v>
      </c>
      <c r="G135" s="4" t="str">
        <f t="shared" si="80"/>
        <v>J202995</v>
      </c>
      <c r="H135" s="4" t="s">
        <v>213</v>
      </c>
      <c r="I135" s="5">
        <v>4905009708307</v>
      </c>
      <c r="J135" s="5">
        <v>5</v>
      </c>
      <c r="K135" s="5"/>
      <c r="L135" s="5">
        <v>1</v>
      </c>
      <c r="M135" s="5">
        <v>1</v>
      </c>
      <c r="N135" s="4">
        <v>0</v>
      </c>
      <c r="O135" s="4">
        <v>5273</v>
      </c>
      <c r="P135" s="4">
        <v>3400</v>
      </c>
      <c r="Q135" s="6">
        <f t="shared" si="81"/>
        <v>0.35520576521904035</v>
      </c>
      <c r="R135" s="4">
        <v>4910</v>
      </c>
      <c r="S135" s="4">
        <v>4</v>
      </c>
      <c r="T135" s="4">
        <v>99999</v>
      </c>
      <c r="U135" s="4">
        <v>0</v>
      </c>
      <c r="V135" s="4">
        <f t="shared" si="82"/>
        <v>0</v>
      </c>
      <c r="W135" s="4">
        <v>4080</v>
      </c>
      <c r="X135" s="4">
        <f t="shared" si="83"/>
        <v>4080</v>
      </c>
      <c r="Y135" s="4"/>
      <c r="Z135" s="21">
        <f t="shared" si="84"/>
        <v>6328</v>
      </c>
      <c r="AA135" s="6">
        <f t="shared" si="85"/>
        <v>0.35524652338811635</v>
      </c>
      <c r="AB135" s="4">
        <v>1</v>
      </c>
      <c r="AC135" s="4">
        <f t="shared" si="86"/>
        <v>5400</v>
      </c>
      <c r="AD135" s="4">
        <f t="shared" si="87"/>
        <v>6480</v>
      </c>
      <c r="AE135" s="6">
        <f t="shared" si="88"/>
        <v>0.37037037037037035</v>
      </c>
      <c r="AF135" s="7">
        <v>6380</v>
      </c>
      <c r="AG135" s="6">
        <f t="shared" si="89"/>
        <v>0.36050156739811912</v>
      </c>
      <c r="AH135" s="38">
        <f t="shared" si="90"/>
        <v>2300</v>
      </c>
      <c r="AI135" s="28"/>
      <c r="AJ135" s="6"/>
      <c r="AK135" s="6"/>
      <c r="AL135" s="41" t="str">
        <f t="shared" si="91"/>
        <v>-</v>
      </c>
      <c r="AM135" s="6">
        <f t="shared" si="92"/>
        <v>1.2099374170301536</v>
      </c>
      <c r="AN135" s="6">
        <f t="shared" si="93"/>
        <v>1.2</v>
      </c>
      <c r="AO135" s="6">
        <f t="shared" si="96"/>
        <v>0.31999999999999995</v>
      </c>
      <c r="AP135" s="4">
        <v>6000</v>
      </c>
      <c r="AQ135" s="4">
        <f t="shared" si="98"/>
        <v>4</v>
      </c>
      <c r="AR135" s="4">
        <f t="shared" si="99"/>
        <v>99999</v>
      </c>
      <c r="AS135" s="4">
        <v>0</v>
      </c>
      <c r="AT135" s="4" t="s">
        <v>618</v>
      </c>
      <c r="AU135" s="4"/>
      <c r="AV135" s="4"/>
      <c r="AW135" s="4" t="s">
        <v>489</v>
      </c>
      <c r="AX135" s="4">
        <v>5400</v>
      </c>
      <c r="AY135" s="4">
        <f t="shared" si="94"/>
        <v>5400</v>
      </c>
      <c r="AZ135" s="19">
        <v>2</v>
      </c>
      <c r="BA135" s="19">
        <v>8</v>
      </c>
      <c r="BB135" s="16">
        <v>1120</v>
      </c>
      <c r="BC135" t="s">
        <v>338</v>
      </c>
      <c r="BD135" t="str">
        <f t="shared" si="100"/>
        <v>-</v>
      </c>
      <c r="BE135">
        <v>7035</v>
      </c>
      <c r="BF135">
        <f t="shared" si="101"/>
        <v>8442</v>
      </c>
      <c r="BG135" t="s">
        <v>450</v>
      </c>
    </row>
    <row r="136" spans="1:59" x14ac:dyDescent="0.4">
      <c r="A136" t="str">
        <f t="shared" si="95"/>
        <v>J20301</v>
      </c>
      <c r="B136" s="3">
        <v>36</v>
      </c>
      <c r="C136" s="3">
        <v>36</v>
      </c>
      <c r="D136" s="4" t="s">
        <v>66</v>
      </c>
      <c r="E136" s="4" t="str">
        <f t="shared" si="79"/>
        <v>J20301</v>
      </c>
      <c r="F136" s="4" t="s">
        <v>66</v>
      </c>
      <c r="G136" s="4" t="str">
        <f t="shared" si="80"/>
        <v>J203015</v>
      </c>
      <c r="H136" s="4" t="s">
        <v>182</v>
      </c>
      <c r="I136" s="5">
        <v>4905009498628</v>
      </c>
      <c r="J136" s="5">
        <v>5</v>
      </c>
      <c r="K136" s="5"/>
      <c r="L136" s="5">
        <v>1</v>
      </c>
      <c r="M136" s="5">
        <v>1</v>
      </c>
      <c r="N136" s="4">
        <v>0</v>
      </c>
      <c r="O136" s="4">
        <v>6336</v>
      </c>
      <c r="P136" s="4">
        <v>4400</v>
      </c>
      <c r="Q136" s="6">
        <f t="shared" si="81"/>
        <v>0.30555555555555558</v>
      </c>
      <c r="R136" s="4" t="s">
        <v>338</v>
      </c>
      <c r="S136" s="4" t="s">
        <v>338</v>
      </c>
      <c r="T136" s="4" t="s">
        <v>338</v>
      </c>
      <c r="U136" s="4">
        <v>0</v>
      </c>
      <c r="V136" s="4">
        <f t="shared" si="82"/>
        <v>0</v>
      </c>
      <c r="W136" s="4">
        <v>5040</v>
      </c>
      <c r="X136" s="4">
        <f t="shared" si="83"/>
        <v>5040</v>
      </c>
      <c r="Y136" s="4"/>
      <c r="Z136" s="21">
        <f t="shared" si="84"/>
        <v>7258</v>
      </c>
      <c r="AA136" s="6">
        <f t="shared" si="85"/>
        <v>0.30559382750068886</v>
      </c>
      <c r="AB136" s="4">
        <v>1.25</v>
      </c>
      <c r="AC136" s="4">
        <f t="shared" si="86"/>
        <v>9528</v>
      </c>
      <c r="AD136" s="4">
        <f t="shared" si="87"/>
        <v>10913.890909090909</v>
      </c>
      <c r="AE136" s="6">
        <f t="shared" si="88"/>
        <v>0.53820319059613775</v>
      </c>
      <c r="AF136" s="7">
        <v>7500</v>
      </c>
      <c r="AG136" s="6">
        <f t="shared" si="89"/>
        <v>0.32799999999999996</v>
      </c>
      <c r="AH136" s="4">
        <f t="shared" si="90"/>
        <v>2460</v>
      </c>
      <c r="AI136" s="28"/>
      <c r="AJ136" s="6"/>
      <c r="AK136" s="6"/>
      <c r="AL136" s="6" t="str">
        <f t="shared" si="91"/>
        <v>-</v>
      </c>
      <c r="AM136" s="6">
        <f t="shared" si="92"/>
        <v>1.1837121212121211</v>
      </c>
      <c r="AN136" s="6">
        <f t="shared" si="93"/>
        <v>1.1454545454545455</v>
      </c>
      <c r="AO136" s="6" t="str">
        <f t="shared" si="96"/>
        <v>-</v>
      </c>
      <c r="AP136" s="4" t="str">
        <f t="shared" si="97"/>
        <v>-</v>
      </c>
      <c r="AQ136" s="4" t="str">
        <f t="shared" si="98"/>
        <v>-</v>
      </c>
      <c r="AR136" s="4" t="str">
        <f t="shared" si="99"/>
        <v>-</v>
      </c>
      <c r="AS136" s="4">
        <v>0</v>
      </c>
      <c r="AT136" s="4" t="s">
        <v>619</v>
      </c>
      <c r="AU136" s="4"/>
      <c r="AV136" s="4"/>
      <c r="AW136" s="4" t="s">
        <v>620</v>
      </c>
      <c r="AX136" s="4">
        <v>9528</v>
      </c>
      <c r="AY136" s="4">
        <f t="shared" si="94"/>
        <v>9528</v>
      </c>
      <c r="AZ136" s="19">
        <v>4</v>
      </c>
      <c r="BA136" s="19">
        <v>1</v>
      </c>
      <c r="BB136" s="16">
        <v>1120</v>
      </c>
      <c r="BC136" t="s">
        <v>338</v>
      </c>
      <c r="BD136" t="str">
        <f t="shared" si="100"/>
        <v>-</v>
      </c>
      <c r="BE136">
        <v>6555</v>
      </c>
      <c r="BF136">
        <f t="shared" si="101"/>
        <v>7508.454545454546</v>
      </c>
      <c r="BG136" t="s">
        <v>451</v>
      </c>
    </row>
    <row r="137" spans="1:59" x14ac:dyDescent="0.4">
      <c r="A137" t="str">
        <f t="shared" si="95"/>
        <v>669469</v>
      </c>
      <c r="B137" s="37">
        <v>86</v>
      </c>
      <c r="C137" s="3">
        <v>86</v>
      </c>
      <c r="D137" s="4">
        <v>669469</v>
      </c>
      <c r="E137" s="4" t="str">
        <f t="shared" si="79"/>
        <v>669469</v>
      </c>
      <c r="F137" s="4">
        <v>669469</v>
      </c>
      <c r="G137" s="4" t="str">
        <f t="shared" si="80"/>
        <v>6694695</v>
      </c>
      <c r="H137" s="4" t="s">
        <v>231</v>
      </c>
      <c r="I137" s="5">
        <v>4905009834228</v>
      </c>
      <c r="J137" s="5">
        <v>5</v>
      </c>
      <c r="K137" s="5"/>
      <c r="L137" s="5">
        <v>1</v>
      </c>
      <c r="M137" s="5">
        <v>1</v>
      </c>
      <c r="N137" s="4">
        <v>0</v>
      </c>
      <c r="O137" s="4">
        <v>8430</v>
      </c>
      <c r="P137" s="4">
        <v>4500</v>
      </c>
      <c r="Q137" s="6">
        <f t="shared" si="81"/>
        <v>0.46619217081850539</v>
      </c>
      <c r="R137" s="4">
        <v>8052</v>
      </c>
      <c r="S137" s="4">
        <v>2</v>
      </c>
      <c r="T137" s="4">
        <v>99999</v>
      </c>
      <c r="U137" s="4">
        <v>0</v>
      </c>
      <c r="V137" s="4">
        <f t="shared" si="82"/>
        <v>0</v>
      </c>
      <c r="W137" s="4">
        <v>5400</v>
      </c>
      <c r="X137" s="4">
        <f t="shared" si="83"/>
        <v>5400</v>
      </c>
      <c r="Y137" s="4"/>
      <c r="Z137" s="21">
        <f t="shared" si="84"/>
        <v>10116</v>
      </c>
      <c r="AA137" s="6">
        <f t="shared" si="85"/>
        <v>0.46619217081850539</v>
      </c>
      <c r="AB137" s="4">
        <v>13.25</v>
      </c>
      <c r="AC137" s="4">
        <f t="shared" si="86"/>
        <v>8437</v>
      </c>
      <c r="AD137" s="4">
        <f t="shared" si="87"/>
        <v>10124.4</v>
      </c>
      <c r="AE137" s="6">
        <f t="shared" si="88"/>
        <v>0.46663505985539877</v>
      </c>
      <c r="AF137" s="7">
        <v>10000</v>
      </c>
      <c r="AG137" s="6">
        <f t="shared" si="89"/>
        <v>0.45999999999999996</v>
      </c>
      <c r="AH137" s="38">
        <f t="shared" si="90"/>
        <v>4600</v>
      </c>
      <c r="AI137" s="28"/>
      <c r="AJ137" s="6"/>
      <c r="AK137" s="6"/>
      <c r="AL137" s="41" t="str">
        <f t="shared" si="91"/>
        <v>-</v>
      </c>
      <c r="AM137" s="6">
        <f t="shared" si="92"/>
        <v>1.1862396204033214</v>
      </c>
      <c r="AN137" s="6">
        <f t="shared" si="93"/>
        <v>1.2</v>
      </c>
      <c r="AO137" s="6">
        <f t="shared" si="96"/>
        <v>0.43157894736842106</v>
      </c>
      <c r="AP137" s="4">
        <v>9500</v>
      </c>
      <c r="AQ137" s="4">
        <f t="shared" si="98"/>
        <v>2</v>
      </c>
      <c r="AR137" s="4">
        <f t="shared" si="99"/>
        <v>99999</v>
      </c>
      <c r="AS137" s="4" t="s">
        <v>323</v>
      </c>
      <c r="AT137" s="4" t="s">
        <v>621</v>
      </c>
      <c r="AU137" s="4"/>
      <c r="AV137" s="4"/>
      <c r="AW137" s="4" t="s">
        <v>612</v>
      </c>
      <c r="AX137" s="4">
        <v>8437</v>
      </c>
      <c r="AY137" s="4">
        <f t="shared" si="94"/>
        <v>8437</v>
      </c>
      <c r="AZ137" s="19">
        <v>2</v>
      </c>
      <c r="BA137" s="19">
        <v>1</v>
      </c>
      <c r="BB137" s="16">
        <v>1120</v>
      </c>
      <c r="BC137" t="s">
        <v>338</v>
      </c>
      <c r="BD137" t="str">
        <f t="shared" si="100"/>
        <v>-</v>
      </c>
      <c r="BE137">
        <v>10326</v>
      </c>
      <c r="BF137">
        <f t="shared" si="101"/>
        <v>12391.199999999999</v>
      </c>
      <c r="BG137" t="s">
        <v>452</v>
      </c>
    </row>
    <row r="138" spans="1:59" x14ac:dyDescent="0.4">
      <c r="A138" t="str">
        <f t="shared" si="95"/>
        <v>J4538X</v>
      </c>
      <c r="B138" s="3">
        <v>75</v>
      </c>
      <c r="C138" s="3">
        <v>75</v>
      </c>
      <c r="D138" s="4" t="s">
        <v>105</v>
      </c>
      <c r="E138" s="4" t="str">
        <f t="shared" si="79"/>
        <v>J4538X</v>
      </c>
      <c r="F138" s="4" t="s">
        <v>105</v>
      </c>
      <c r="G138" s="4" t="str">
        <f t="shared" si="80"/>
        <v>J4538X5</v>
      </c>
      <c r="H138" s="4" t="s">
        <v>220</v>
      </c>
      <c r="I138" s="5">
        <v>4967576667159</v>
      </c>
      <c r="J138" s="5">
        <v>5</v>
      </c>
      <c r="K138" s="5"/>
      <c r="L138" s="5">
        <v>1</v>
      </c>
      <c r="M138" s="5">
        <v>1</v>
      </c>
      <c r="N138" s="4">
        <v>0</v>
      </c>
      <c r="O138" s="4">
        <v>9980</v>
      </c>
      <c r="P138" s="4">
        <v>7800</v>
      </c>
      <c r="Q138" s="6">
        <f t="shared" si="81"/>
        <v>0.21843687374749499</v>
      </c>
      <c r="R138" s="4" t="s">
        <v>338</v>
      </c>
      <c r="S138" s="4" t="s">
        <v>338</v>
      </c>
      <c r="T138" s="4" t="s">
        <v>338</v>
      </c>
      <c r="U138" s="4">
        <v>0</v>
      </c>
      <c r="V138" s="4">
        <f t="shared" si="82"/>
        <v>0</v>
      </c>
      <c r="W138" s="4">
        <v>8461</v>
      </c>
      <c r="X138" s="4">
        <f t="shared" si="83"/>
        <v>8461</v>
      </c>
      <c r="Y138" s="4"/>
      <c r="Z138" s="21">
        <f t="shared" si="84"/>
        <v>10826</v>
      </c>
      <c r="AA138" s="6">
        <f t="shared" si="85"/>
        <v>0.21845556992425641</v>
      </c>
      <c r="AB138" s="4">
        <v>3.25</v>
      </c>
      <c r="AC138" s="4">
        <f t="shared" si="86"/>
        <v>14455</v>
      </c>
      <c r="AD138" s="4">
        <f t="shared" si="87"/>
        <v>15679.96858974359</v>
      </c>
      <c r="AE138" s="6">
        <f t="shared" si="88"/>
        <v>0.46039432722241436</v>
      </c>
      <c r="AF138" s="7">
        <v>13800</v>
      </c>
      <c r="AG138" s="6">
        <f t="shared" si="89"/>
        <v>0.38688405797101444</v>
      </c>
      <c r="AH138" s="4">
        <f t="shared" si="90"/>
        <v>5339</v>
      </c>
      <c r="AI138" s="28"/>
      <c r="AJ138" s="6"/>
      <c r="AK138" s="6"/>
      <c r="AL138" s="6" t="str">
        <f t="shared" si="91"/>
        <v>-</v>
      </c>
      <c r="AM138" s="6">
        <f t="shared" si="92"/>
        <v>1.3827655310621243</v>
      </c>
      <c r="AN138" s="6">
        <f t="shared" si="93"/>
        <v>1.0847435897435898</v>
      </c>
      <c r="AO138" s="6" t="str">
        <f t="shared" si="96"/>
        <v>-</v>
      </c>
      <c r="AP138" s="4" t="str">
        <f t="shared" si="97"/>
        <v>-</v>
      </c>
      <c r="AQ138" s="4" t="str">
        <f t="shared" si="98"/>
        <v>-</v>
      </c>
      <c r="AR138" s="4" t="str">
        <f t="shared" si="99"/>
        <v>-</v>
      </c>
      <c r="AS138" s="4" t="s">
        <v>327</v>
      </c>
      <c r="AT138" s="4" t="s">
        <v>622</v>
      </c>
      <c r="AU138" s="4"/>
      <c r="AV138" s="4"/>
      <c r="AW138" s="4" t="s">
        <v>508</v>
      </c>
      <c r="AX138" s="4">
        <v>14455</v>
      </c>
      <c r="AY138" s="4">
        <f t="shared" si="94"/>
        <v>14455</v>
      </c>
      <c r="AZ138" s="19">
        <v>4</v>
      </c>
      <c r="BA138" s="19">
        <v>1</v>
      </c>
      <c r="BB138" s="16">
        <v>1120</v>
      </c>
      <c r="BC138" t="s">
        <v>338</v>
      </c>
      <c r="BD138" t="str">
        <f t="shared" si="100"/>
        <v>-</v>
      </c>
      <c r="BE138">
        <v>14728</v>
      </c>
      <c r="BF138">
        <f t="shared" si="101"/>
        <v>15976.10358974359</v>
      </c>
      <c r="BG138" t="s">
        <v>453</v>
      </c>
    </row>
    <row r="139" spans="1:59" x14ac:dyDescent="0.4">
      <c r="A139" t="str">
        <f t="shared" si="95"/>
        <v>J4539X</v>
      </c>
      <c r="B139" s="3">
        <v>76</v>
      </c>
      <c r="C139" s="3">
        <v>76</v>
      </c>
      <c r="D139" s="4" t="s">
        <v>106</v>
      </c>
      <c r="E139" s="4" t="str">
        <f t="shared" si="79"/>
        <v>J4539X</v>
      </c>
      <c r="F139" s="4" t="s">
        <v>106</v>
      </c>
      <c r="G139" s="4" t="str">
        <f t="shared" si="80"/>
        <v>J4539X5</v>
      </c>
      <c r="H139" s="4" t="s">
        <v>221</v>
      </c>
      <c r="I139" s="5">
        <v>4967576667166</v>
      </c>
      <c r="J139" s="5">
        <v>5</v>
      </c>
      <c r="K139" s="5"/>
      <c r="L139" s="5">
        <v>1</v>
      </c>
      <c r="M139" s="5">
        <v>1</v>
      </c>
      <c r="N139" s="4">
        <v>0</v>
      </c>
      <c r="O139" s="4">
        <v>12156</v>
      </c>
      <c r="P139" s="4">
        <v>7800</v>
      </c>
      <c r="Q139" s="6">
        <f t="shared" si="81"/>
        <v>0.35834155972359327</v>
      </c>
      <c r="R139" s="4">
        <v>11300</v>
      </c>
      <c r="S139" s="4">
        <v>4</v>
      </c>
      <c r="T139" s="4">
        <v>99999</v>
      </c>
      <c r="U139" s="4">
        <v>0</v>
      </c>
      <c r="V139" s="4">
        <f t="shared" si="82"/>
        <v>0</v>
      </c>
      <c r="W139" s="4">
        <v>8461</v>
      </c>
      <c r="X139" s="4">
        <f t="shared" si="83"/>
        <v>8461</v>
      </c>
      <c r="Y139" s="4"/>
      <c r="Z139" s="21">
        <f t="shared" si="84"/>
        <v>13186</v>
      </c>
      <c r="AA139" s="6">
        <f t="shared" si="85"/>
        <v>0.35833459730016681</v>
      </c>
      <c r="AB139" s="4">
        <v>2.25</v>
      </c>
      <c r="AC139" s="4">
        <f t="shared" si="86"/>
        <v>14455</v>
      </c>
      <c r="AD139" s="4">
        <f t="shared" si="87"/>
        <v>15679.96858974359</v>
      </c>
      <c r="AE139" s="6">
        <f t="shared" si="88"/>
        <v>0.46039432722241436</v>
      </c>
      <c r="AF139" s="7">
        <v>13800</v>
      </c>
      <c r="AG139" s="6">
        <f t="shared" si="89"/>
        <v>0.38688405797101444</v>
      </c>
      <c r="AH139" s="4">
        <f t="shared" si="90"/>
        <v>5339</v>
      </c>
      <c r="AI139" s="28"/>
      <c r="AJ139" s="6"/>
      <c r="AK139" s="6"/>
      <c r="AL139" s="41" t="str">
        <f t="shared" si="91"/>
        <v>-</v>
      </c>
      <c r="AM139" s="6">
        <f t="shared" si="92"/>
        <v>1.1352418558736426</v>
      </c>
      <c r="AN139" s="6">
        <f t="shared" si="93"/>
        <v>1.0847435897435898</v>
      </c>
      <c r="AO139" s="6">
        <f t="shared" si="96"/>
        <v>0.338984375</v>
      </c>
      <c r="AP139" s="4">
        <v>12800</v>
      </c>
      <c r="AQ139" s="4">
        <f t="shared" si="98"/>
        <v>4</v>
      </c>
      <c r="AR139" s="4">
        <f t="shared" si="99"/>
        <v>99999</v>
      </c>
      <c r="AS139" s="4" t="s">
        <v>327</v>
      </c>
      <c r="AT139" s="4" t="s">
        <v>623</v>
      </c>
      <c r="AU139" s="4"/>
      <c r="AV139" s="4"/>
      <c r="AW139" s="4" t="s">
        <v>508</v>
      </c>
      <c r="AX139" s="4">
        <v>14455</v>
      </c>
      <c r="AY139" s="4">
        <f t="shared" si="94"/>
        <v>14455</v>
      </c>
      <c r="AZ139" s="19">
        <v>4</v>
      </c>
      <c r="BA139" s="19">
        <v>1</v>
      </c>
      <c r="BB139" s="16">
        <v>1120</v>
      </c>
      <c r="BC139" t="s">
        <v>338</v>
      </c>
      <c r="BD139" t="str">
        <f t="shared" si="100"/>
        <v>-</v>
      </c>
      <c r="BE139">
        <v>14728</v>
      </c>
      <c r="BF139">
        <f t="shared" si="101"/>
        <v>15976.10358974359</v>
      </c>
      <c r="BG139" t="s">
        <v>454</v>
      </c>
    </row>
    <row r="140" spans="1:59" x14ac:dyDescent="0.4">
      <c r="A140" t="str">
        <f t="shared" si="95"/>
        <v>190560</v>
      </c>
      <c r="B140" s="3">
        <v>6</v>
      </c>
      <c r="C140" s="3">
        <v>6</v>
      </c>
      <c r="D140" s="4">
        <v>190560</v>
      </c>
      <c r="E140" s="4" t="str">
        <f t="shared" si="79"/>
        <v>190560</v>
      </c>
      <c r="F140" s="4">
        <v>190560</v>
      </c>
      <c r="G140" s="4" t="str">
        <f t="shared" si="80"/>
        <v>1905605</v>
      </c>
      <c r="H140" s="4" t="s">
        <v>152</v>
      </c>
      <c r="I140" s="5">
        <v>4967576232685</v>
      </c>
      <c r="J140" s="5">
        <v>5</v>
      </c>
      <c r="K140" s="5"/>
      <c r="L140" s="5">
        <v>1</v>
      </c>
      <c r="M140" s="5">
        <v>1</v>
      </c>
      <c r="N140" s="4">
        <v>0</v>
      </c>
      <c r="O140" s="4">
        <v>15580</v>
      </c>
      <c r="P140" s="4">
        <v>8060</v>
      </c>
      <c r="Q140" s="6">
        <f t="shared" si="81"/>
        <v>0.48267008985879334</v>
      </c>
      <c r="R140" s="4">
        <v>14800</v>
      </c>
      <c r="S140" s="4">
        <v>4</v>
      </c>
      <c r="T140" s="4">
        <v>99999</v>
      </c>
      <c r="U140" s="4">
        <v>0</v>
      </c>
      <c r="V140" s="4">
        <f t="shared" si="82"/>
        <v>0</v>
      </c>
      <c r="W140" s="4">
        <v>8743</v>
      </c>
      <c r="X140" s="4">
        <f t="shared" si="83"/>
        <v>8743</v>
      </c>
      <c r="Y140" s="4"/>
      <c r="Z140" s="21">
        <f t="shared" si="84"/>
        <v>16900</v>
      </c>
      <c r="AA140" s="6">
        <f t="shared" si="85"/>
        <v>0.48266272189349113</v>
      </c>
      <c r="AB140" s="4">
        <v>3.75</v>
      </c>
      <c r="AC140" s="4">
        <f t="shared" si="86"/>
        <v>15582</v>
      </c>
      <c r="AD140" s="4">
        <f t="shared" si="87"/>
        <v>16902.41017369727</v>
      </c>
      <c r="AE140" s="6">
        <f t="shared" si="88"/>
        <v>0.48273649082274417</v>
      </c>
      <c r="AF140" s="7">
        <v>16800</v>
      </c>
      <c r="AG140" s="6">
        <f t="shared" si="89"/>
        <v>0.47958333333333336</v>
      </c>
      <c r="AH140" s="4">
        <f t="shared" si="90"/>
        <v>8057</v>
      </c>
      <c r="AI140" s="28"/>
      <c r="AJ140" s="6"/>
      <c r="AK140" s="6"/>
      <c r="AL140" s="41" t="str">
        <f t="shared" si="91"/>
        <v>-</v>
      </c>
      <c r="AM140" s="6">
        <f t="shared" si="92"/>
        <v>1.0783055198973042</v>
      </c>
      <c r="AN140" s="6">
        <f t="shared" si="93"/>
        <v>1.0847394540942927</v>
      </c>
      <c r="AO140" s="6">
        <f t="shared" si="96"/>
        <v>0.44664556962025315</v>
      </c>
      <c r="AP140" s="4">
        <v>15800</v>
      </c>
      <c r="AQ140" s="4">
        <f t="shared" si="98"/>
        <v>4</v>
      </c>
      <c r="AR140" s="4">
        <f t="shared" si="99"/>
        <v>99999</v>
      </c>
      <c r="AS140" s="4" t="s">
        <v>320</v>
      </c>
      <c r="AT140" s="4" t="s">
        <v>624</v>
      </c>
      <c r="AU140" s="4"/>
      <c r="AV140" s="4"/>
      <c r="AW140" s="4" t="s">
        <v>508</v>
      </c>
      <c r="AX140" s="4">
        <v>15582</v>
      </c>
      <c r="AY140" s="4">
        <f t="shared" si="94"/>
        <v>15582</v>
      </c>
      <c r="AZ140" s="19">
        <v>4</v>
      </c>
      <c r="BA140" s="19">
        <v>1</v>
      </c>
      <c r="BB140" s="16">
        <v>1120</v>
      </c>
      <c r="BC140" t="s">
        <v>338</v>
      </c>
      <c r="BD140" t="str">
        <f t="shared" si="100"/>
        <v>-</v>
      </c>
      <c r="BE140">
        <v>21237</v>
      </c>
      <c r="BF140">
        <f t="shared" si="101"/>
        <v>23036.611786600493</v>
      </c>
      <c r="BG140" t="s">
        <v>455</v>
      </c>
    </row>
    <row r="141" spans="1:59" x14ac:dyDescent="0.4">
      <c r="A141" t="str">
        <f t="shared" si="95"/>
        <v>J20302</v>
      </c>
      <c r="B141" s="3">
        <v>37</v>
      </c>
      <c r="C141" s="3">
        <v>37</v>
      </c>
      <c r="D141" s="4" t="s">
        <v>67</v>
      </c>
      <c r="E141" s="4" t="str">
        <f t="shared" si="79"/>
        <v>J20302</v>
      </c>
      <c r="F141" s="4" t="s">
        <v>67</v>
      </c>
      <c r="G141" s="4" t="str">
        <f t="shared" si="80"/>
        <v>J203025</v>
      </c>
      <c r="H141" s="4" t="s">
        <v>183</v>
      </c>
      <c r="I141" s="5">
        <v>4905009498635</v>
      </c>
      <c r="J141" s="5">
        <v>5</v>
      </c>
      <c r="K141" s="5"/>
      <c r="L141" s="5">
        <v>1</v>
      </c>
      <c r="M141" s="5">
        <v>1</v>
      </c>
      <c r="N141" s="4">
        <v>0</v>
      </c>
      <c r="O141" s="4">
        <v>9942</v>
      </c>
      <c r="P141" s="4">
        <v>8300</v>
      </c>
      <c r="Q141" s="6">
        <f t="shared" si="81"/>
        <v>0.16515791591229134</v>
      </c>
      <c r="R141" s="4" t="s">
        <v>338</v>
      </c>
      <c r="S141" s="4" t="s">
        <v>338</v>
      </c>
      <c r="T141" s="4" t="s">
        <v>338</v>
      </c>
      <c r="U141" s="4">
        <v>0</v>
      </c>
      <c r="V141" s="4">
        <f t="shared" si="82"/>
        <v>0</v>
      </c>
      <c r="W141" s="4">
        <v>9503</v>
      </c>
      <c r="X141" s="4">
        <f t="shared" si="83"/>
        <v>9503</v>
      </c>
      <c r="Y141" s="4"/>
      <c r="Z141" s="21">
        <f t="shared" si="84"/>
        <v>11383</v>
      </c>
      <c r="AA141" s="6">
        <f t="shared" si="85"/>
        <v>0.16515856979706578</v>
      </c>
      <c r="AB141" s="4">
        <v>1.7500000000000002</v>
      </c>
      <c r="AC141" s="4">
        <f t="shared" si="86"/>
        <v>14637</v>
      </c>
      <c r="AD141" s="4">
        <f t="shared" si="87"/>
        <v>16758.483253012047</v>
      </c>
      <c r="AE141" s="6">
        <f t="shared" si="88"/>
        <v>0.43294390927102544</v>
      </c>
      <c r="AF141" s="7">
        <v>14800</v>
      </c>
      <c r="AG141" s="6">
        <f t="shared" si="89"/>
        <v>0.35790540540540539</v>
      </c>
      <c r="AH141" s="4">
        <f t="shared" si="90"/>
        <v>5297</v>
      </c>
      <c r="AI141" s="28"/>
      <c r="AJ141" s="6"/>
      <c r="AK141" s="6"/>
      <c r="AL141" s="6" t="str">
        <f t="shared" si="91"/>
        <v>-</v>
      </c>
      <c r="AM141" s="6">
        <f t="shared" si="92"/>
        <v>1.4886340776503721</v>
      </c>
      <c r="AN141" s="6">
        <f t="shared" si="93"/>
        <v>1.1449397590361445</v>
      </c>
      <c r="AO141" s="6" t="str">
        <f t="shared" si="96"/>
        <v>-</v>
      </c>
      <c r="AP141" s="4" t="str">
        <f t="shared" si="97"/>
        <v>-</v>
      </c>
      <c r="AQ141" s="4" t="str">
        <f t="shared" si="98"/>
        <v>-</v>
      </c>
      <c r="AR141" s="4" t="str">
        <f t="shared" si="99"/>
        <v>-</v>
      </c>
      <c r="AS141" s="4">
        <v>0</v>
      </c>
      <c r="AT141" s="4" t="s">
        <v>625</v>
      </c>
      <c r="AU141" s="4"/>
      <c r="AV141" s="4"/>
      <c r="AW141" s="4" t="s">
        <v>620</v>
      </c>
      <c r="AX141" s="4">
        <v>14637</v>
      </c>
      <c r="AY141" s="4">
        <f t="shared" si="94"/>
        <v>14637</v>
      </c>
      <c r="AZ141" s="19">
        <v>4</v>
      </c>
      <c r="BA141" s="19">
        <v>1</v>
      </c>
      <c r="BB141" s="16">
        <v>1120</v>
      </c>
      <c r="BC141" t="s">
        <v>338</v>
      </c>
      <c r="BD141" t="str">
        <f t="shared" si="100"/>
        <v>-</v>
      </c>
      <c r="BE141">
        <v>16243</v>
      </c>
      <c r="BF141">
        <f t="shared" si="101"/>
        <v>18597.256506024096</v>
      </c>
      <c r="BG141" t="s">
        <v>456</v>
      </c>
    </row>
    <row r="142" spans="1:59" x14ac:dyDescent="0.4">
      <c r="A142" t="str">
        <f t="shared" si="95"/>
        <v>J7643P</v>
      </c>
      <c r="B142" s="3">
        <v>79</v>
      </c>
      <c r="C142" s="3">
        <v>79</v>
      </c>
      <c r="D142" s="4" t="s">
        <v>109</v>
      </c>
      <c r="E142" s="4" t="str">
        <f t="shared" si="79"/>
        <v>J7643P</v>
      </c>
      <c r="F142" s="4" t="s">
        <v>109</v>
      </c>
      <c r="G142" s="4" t="str">
        <f t="shared" si="80"/>
        <v>J7643P5</v>
      </c>
      <c r="H142" s="4" t="s">
        <v>224</v>
      </c>
      <c r="I142" s="5">
        <v>4967576685160</v>
      </c>
      <c r="J142" s="5">
        <v>5</v>
      </c>
      <c r="K142" s="5"/>
      <c r="L142" s="5">
        <v>1</v>
      </c>
      <c r="M142" s="5">
        <v>1</v>
      </c>
      <c r="N142" s="4">
        <v>0</v>
      </c>
      <c r="O142" s="4">
        <v>14800</v>
      </c>
      <c r="P142" s="4">
        <v>9700</v>
      </c>
      <c r="Q142" s="6">
        <f t="shared" si="81"/>
        <v>0.34459459459459463</v>
      </c>
      <c r="R142" s="4" t="s">
        <v>338</v>
      </c>
      <c r="S142" s="4" t="s">
        <v>338</v>
      </c>
      <c r="T142" s="4" t="s">
        <v>338</v>
      </c>
      <c r="U142" s="4">
        <v>0</v>
      </c>
      <c r="V142" s="4">
        <f t="shared" si="82"/>
        <v>0</v>
      </c>
      <c r="W142" s="4">
        <v>10355</v>
      </c>
      <c r="X142" s="4">
        <f t="shared" si="83"/>
        <v>10355</v>
      </c>
      <c r="Y142" s="4"/>
      <c r="Z142" s="21">
        <f t="shared" si="84"/>
        <v>15799</v>
      </c>
      <c r="AA142" s="6">
        <f t="shared" si="85"/>
        <v>0.34457877080827903</v>
      </c>
      <c r="AB142" s="4">
        <v>7.5</v>
      </c>
      <c r="AC142" s="4">
        <f t="shared" si="86"/>
        <v>18091</v>
      </c>
      <c r="AD142" s="4">
        <f t="shared" si="87"/>
        <v>19312.608762886597</v>
      </c>
      <c r="AE142" s="6">
        <f t="shared" si="88"/>
        <v>0.46382178984025202</v>
      </c>
      <c r="AF142" s="7">
        <v>16800</v>
      </c>
      <c r="AG142" s="6">
        <f t="shared" si="89"/>
        <v>0.38363095238095235</v>
      </c>
      <c r="AH142" s="4">
        <f t="shared" si="90"/>
        <v>6445</v>
      </c>
      <c r="AI142" s="28"/>
      <c r="AJ142" s="6"/>
      <c r="AK142" s="6"/>
      <c r="AL142" s="6" t="str">
        <f t="shared" si="91"/>
        <v>-</v>
      </c>
      <c r="AM142" s="6">
        <f t="shared" si="92"/>
        <v>1.1351351351351351</v>
      </c>
      <c r="AN142" s="6">
        <f t="shared" si="93"/>
        <v>1.0675257731958763</v>
      </c>
      <c r="AO142" s="6" t="str">
        <f t="shared" si="96"/>
        <v>-</v>
      </c>
      <c r="AP142" s="4" t="str">
        <f t="shared" si="97"/>
        <v>-</v>
      </c>
      <c r="AQ142" s="4" t="str">
        <f t="shared" si="98"/>
        <v>-</v>
      </c>
      <c r="AR142" s="4" t="str">
        <f t="shared" si="99"/>
        <v>-</v>
      </c>
      <c r="AS142" s="4" t="s">
        <v>320</v>
      </c>
      <c r="AT142" s="4" t="s">
        <v>626</v>
      </c>
      <c r="AU142" s="4"/>
      <c r="AV142" s="4"/>
      <c r="AW142" s="4" t="s">
        <v>508</v>
      </c>
      <c r="AX142" s="4">
        <v>18091</v>
      </c>
      <c r="AY142" s="4">
        <f t="shared" si="94"/>
        <v>18091</v>
      </c>
      <c r="AZ142" s="19">
        <v>4</v>
      </c>
      <c r="BA142" s="19">
        <v>1</v>
      </c>
      <c r="BB142" s="16">
        <v>1120</v>
      </c>
      <c r="BC142" t="s">
        <v>338</v>
      </c>
      <c r="BD142" t="str">
        <f t="shared" si="100"/>
        <v>-</v>
      </c>
      <c r="BE142">
        <v>21364</v>
      </c>
      <c r="BF142">
        <f t="shared" si="101"/>
        <v>22806.620618556699</v>
      </c>
      <c r="BG142" t="s">
        <v>457</v>
      </c>
    </row>
    <row r="143" spans="1:59" x14ac:dyDescent="0.4">
      <c r="A143" t="str">
        <f t="shared" si="95"/>
        <v>J20270</v>
      </c>
      <c r="B143" s="3">
        <v>32</v>
      </c>
      <c r="C143" s="3">
        <v>32</v>
      </c>
      <c r="D143" s="4" t="s">
        <v>62</v>
      </c>
      <c r="E143" s="4" t="str">
        <f t="shared" si="79"/>
        <v>J20270</v>
      </c>
      <c r="F143" s="4" t="s">
        <v>62</v>
      </c>
      <c r="G143" s="4" t="str">
        <f t="shared" si="80"/>
        <v>J202705</v>
      </c>
      <c r="H143" s="4" t="s">
        <v>178</v>
      </c>
      <c r="I143" s="5">
        <v>4905009723997</v>
      </c>
      <c r="J143" s="5">
        <v>5</v>
      </c>
      <c r="K143" s="5"/>
      <c r="L143" s="5">
        <v>1</v>
      </c>
      <c r="M143" s="5">
        <v>1</v>
      </c>
      <c r="N143" s="4">
        <v>0</v>
      </c>
      <c r="O143" s="4">
        <v>801</v>
      </c>
      <c r="P143" s="4">
        <v>550</v>
      </c>
      <c r="Q143" s="6">
        <f t="shared" si="81"/>
        <v>0.31335830212234705</v>
      </c>
      <c r="R143" s="4" t="s">
        <v>338</v>
      </c>
      <c r="S143" s="4" t="s">
        <v>338</v>
      </c>
      <c r="T143" s="4" t="s">
        <v>338</v>
      </c>
      <c r="U143" s="4">
        <v>0</v>
      </c>
      <c r="V143" s="4">
        <f t="shared" si="82"/>
        <v>0</v>
      </c>
      <c r="W143" s="4">
        <v>618</v>
      </c>
      <c r="X143" s="4">
        <f t="shared" si="83"/>
        <v>618</v>
      </c>
      <c r="Y143" s="4"/>
      <c r="Z143" s="21">
        <f t="shared" si="84"/>
        <v>900</v>
      </c>
      <c r="AA143" s="6">
        <f t="shared" si="85"/>
        <v>0.31333333333333335</v>
      </c>
      <c r="AB143" s="4">
        <v>2.5</v>
      </c>
      <c r="AC143" s="4">
        <f t="shared" si="86"/>
        <v>874</v>
      </c>
      <c r="AD143" s="4">
        <f t="shared" si="87"/>
        <v>982.05818181818177</v>
      </c>
      <c r="AE143" s="6">
        <f t="shared" si="88"/>
        <v>0.37070938215102966</v>
      </c>
      <c r="AF143" s="7">
        <v>980</v>
      </c>
      <c r="AG143" s="6">
        <f t="shared" si="89"/>
        <v>0.3693877551020408</v>
      </c>
      <c r="AH143" s="4">
        <f t="shared" si="90"/>
        <v>362</v>
      </c>
      <c r="AI143" s="28"/>
      <c r="AJ143" s="6"/>
      <c r="AK143" s="6"/>
      <c r="AL143" s="6" t="str">
        <f t="shared" si="91"/>
        <v>-</v>
      </c>
      <c r="AM143" s="6">
        <f t="shared" si="92"/>
        <v>1.223470661672909</v>
      </c>
      <c r="AN143" s="6">
        <f t="shared" si="93"/>
        <v>1.1236363636363635</v>
      </c>
      <c r="AO143" s="6" t="str">
        <f t="shared" si="96"/>
        <v>-</v>
      </c>
      <c r="AP143" s="4" t="str">
        <f t="shared" si="97"/>
        <v>-</v>
      </c>
      <c r="AQ143" s="4" t="str">
        <f t="shared" si="98"/>
        <v>-</v>
      </c>
      <c r="AR143" s="4" t="str">
        <f t="shared" si="99"/>
        <v>-</v>
      </c>
      <c r="AS143" s="4">
        <v>0</v>
      </c>
      <c r="AT143" s="4" t="s">
        <v>627</v>
      </c>
      <c r="AU143" s="4"/>
      <c r="AV143" s="4"/>
      <c r="AW143" s="4" t="s">
        <v>508</v>
      </c>
      <c r="AX143" s="4">
        <v>874</v>
      </c>
      <c r="AY143" s="4">
        <f t="shared" si="94"/>
        <v>874</v>
      </c>
      <c r="AZ143" s="19">
        <v>4</v>
      </c>
      <c r="BA143" s="19">
        <v>1</v>
      </c>
      <c r="BB143" s="16">
        <v>1125</v>
      </c>
      <c r="BC143" t="s">
        <v>338</v>
      </c>
      <c r="BD143" t="str">
        <f t="shared" si="100"/>
        <v>-</v>
      </c>
      <c r="BE143">
        <v>930</v>
      </c>
      <c r="BF143">
        <f t="shared" si="101"/>
        <v>1044.9818181818182</v>
      </c>
      <c r="BG143" t="s">
        <v>458</v>
      </c>
    </row>
    <row r="144" spans="1:59" x14ac:dyDescent="0.4">
      <c r="A144" t="str">
        <f t="shared" si="95"/>
        <v>685011</v>
      </c>
      <c r="B144" s="3">
        <v>26</v>
      </c>
      <c r="C144" s="3">
        <v>26</v>
      </c>
      <c r="D144" s="4">
        <v>685011</v>
      </c>
      <c r="E144" s="4" t="str">
        <f t="shared" si="79"/>
        <v>685011</v>
      </c>
      <c r="F144" s="4">
        <v>685011</v>
      </c>
      <c r="G144" s="4" t="str">
        <f t="shared" si="80"/>
        <v>6850115</v>
      </c>
      <c r="H144" s="4" t="s">
        <v>172</v>
      </c>
      <c r="I144" s="5">
        <v>4905009875238</v>
      </c>
      <c r="J144" s="5">
        <v>5</v>
      </c>
      <c r="K144" s="5"/>
      <c r="L144" s="5">
        <v>1</v>
      </c>
      <c r="M144" s="5">
        <v>1</v>
      </c>
      <c r="N144" s="4">
        <v>0</v>
      </c>
      <c r="O144" s="4">
        <v>2744</v>
      </c>
      <c r="P144" s="4">
        <v>1700</v>
      </c>
      <c r="Q144" s="6">
        <f t="shared" si="81"/>
        <v>0.38046647230320696</v>
      </c>
      <c r="R144" s="4" t="s">
        <v>338</v>
      </c>
      <c r="S144" s="4" t="s">
        <v>338</v>
      </c>
      <c r="T144" s="4" t="s">
        <v>338</v>
      </c>
      <c r="U144" s="4">
        <v>0</v>
      </c>
      <c r="V144" s="4">
        <f t="shared" si="82"/>
        <v>0</v>
      </c>
      <c r="W144" s="4">
        <v>1905</v>
      </c>
      <c r="X144" s="4">
        <f t="shared" si="83"/>
        <v>1905</v>
      </c>
      <c r="Y144" s="4"/>
      <c r="Z144" s="21">
        <f t="shared" si="84"/>
        <v>3075</v>
      </c>
      <c r="AA144" s="6">
        <f t="shared" si="85"/>
        <v>0.38048780487804879</v>
      </c>
      <c r="AB144" s="4">
        <v>2.5</v>
      </c>
      <c r="AC144" s="4">
        <f t="shared" si="86"/>
        <v>2664</v>
      </c>
      <c r="AD144" s="4">
        <f t="shared" si="87"/>
        <v>2985.2470588235296</v>
      </c>
      <c r="AE144" s="6">
        <f t="shared" si="88"/>
        <v>0.36186186186186187</v>
      </c>
      <c r="AF144" s="7">
        <v>2980</v>
      </c>
      <c r="AG144" s="6">
        <f t="shared" si="89"/>
        <v>0.36073825503355705</v>
      </c>
      <c r="AH144" s="4">
        <f t="shared" si="90"/>
        <v>1075</v>
      </c>
      <c r="AI144" s="28"/>
      <c r="AJ144" s="6"/>
      <c r="AK144" s="6"/>
      <c r="AL144" s="6" t="str">
        <f t="shared" si="91"/>
        <v>-</v>
      </c>
      <c r="AM144" s="6">
        <f t="shared" si="92"/>
        <v>1.0860058309037901</v>
      </c>
      <c r="AN144" s="6">
        <f t="shared" si="93"/>
        <v>1.1205882352941177</v>
      </c>
      <c r="AO144" s="6" t="str">
        <f t="shared" si="96"/>
        <v>-</v>
      </c>
      <c r="AP144" s="4" t="str">
        <f t="shared" si="97"/>
        <v>-</v>
      </c>
      <c r="AQ144" s="4" t="str">
        <f t="shared" si="98"/>
        <v>-</v>
      </c>
      <c r="AR144" s="4" t="str">
        <f t="shared" si="99"/>
        <v>-</v>
      </c>
      <c r="AS144" s="4" t="s">
        <v>325</v>
      </c>
      <c r="AT144" s="4" t="s">
        <v>628</v>
      </c>
      <c r="AU144" s="4"/>
      <c r="AV144" s="4"/>
      <c r="AW144" s="4" t="s">
        <v>508</v>
      </c>
      <c r="AX144" s="4">
        <v>2664</v>
      </c>
      <c r="AY144" s="4">
        <f t="shared" si="94"/>
        <v>2664</v>
      </c>
      <c r="AZ144" s="19">
        <v>4</v>
      </c>
      <c r="BA144" s="19">
        <v>1</v>
      </c>
      <c r="BB144" s="16">
        <v>1125</v>
      </c>
      <c r="BC144" t="s">
        <v>338</v>
      </c>
      <c r="BD144" t="str">
        <f t="shared" si="100"/>
        <v>-</v>
      </c>
      <c r="BE144">
        <v>3099</v>
      </c>
      <c r="BF144">
        <f t="shared" si="101"/>
        <v>3472.7029411764706</v>
      </c>
      <c r="BG144" t="s">
        <v>459</v>
      </c>
    </row>
    <row r="145" spans="1:59" x14ac:dyDescent="0.4">
      <c r="A145" t="str">
        <f t="shared" si="95"/>
        <v>J2859P</v>
      </c>
      <c r="B145" s="3">
        <v>68</v>
      </c>
      <c r="C145" s="3">
        <v>68</v>
      </c>
      <c r="D145" s="4" t="s">
        <v>98</v>
      </c>
      <c r="E145" s="4" t="str">
        <f t="shared" si="79"/>
        <v>J2859P</v>
      </c>
      <c r="F145" s="4" t="s">
        <v>98</v>
      </c>
      <c r="G145" s="4" t="str">
        <f t="shared" si="80"/>
        <v>J2859P5</v>
      </c>
      <c r="H145" s="4" t="s">
        <v>214</v>
      </c>
      <c r="I145" s="5">
        <v>4967576702423</v>
      </c>
      <c r="J145" s="5">
        <v>5</v>
      </c>
      <c r="K145" s="5"/>
      <c r="L145" s="5">
        <v>1</v>
      </c>
      <c r="M145" s="5">
        <v>1</v>
      </c>
      <c r="N145" s="4">
        <v>0</v>
      </c>
      <c r="O145" s="4">
        <v>4059</v>
      </c>
      <c r="P145" s="4">
        <v>3050</v>
      </c>
      <c r="Q145" s="6">
        <f t="shared" si="81"/>
        <v>0.24858339492485837</v>
      </c>
      <c r="R145" s="4" t="s">
        <v>338</v>
      </c>
      <c r="S145" s="4" t="s">
        <v>338</v>
      </c>
      <c r="T145" s="4" t="s">
        <v>338</v>
      </c>
      <c r="U145" s="4">
        <v>0</v>
      </c>
      <c r="V145" s="4">
        <f t="shared" si="82"/>
        <v>0</v>
      </c>
      <c r="W145" s="4">
        <v>3279</v>
      </c>
      <c r="X145" s="4">
        <f t="shared" si="83"/>
        <v>3279</v>
      </c>
      <c r="Y145" s="4"/>
      <c r="Z145" s="21">
        <f t="shared" si="84"/>
        <v>4364</v>
      </c>
      <c r="AA145" s="6">
        <f t="shared" si="85"/>
        <v>0.24862511457378556</v>
      </c>
      <c r="AB145" s="4">
        <v>5.25</v>
      </c>
      <c r="AC145" s="4">
        <f t="shared" si="86"/>
        <v>4500</v>
      </c>
      <c r="AD145" s="4">
        <f t="shared" si="87"/>
        <v>4837.8688524590161</v>
      </c>
      <c r="AE145" s="6">
        <f t="shared" si="88"/>
        <v>0.32222222222222219</v>
      </c>
      <c r="AF145" s="7">
        <v>4837</v>
      </c>
      <c r="AG145" s="6">
        <f t="shared" si="89"/>
        <v>0.3221004755013438</v>
      </c>
      <c r="AH145" s="4">
        <f t="shared" si="90"/>
        <v>1558</v>
      </c>
      <c r="AI145" s="28"/>
      <c r="AJ145" s="6"/>
      <c r="AK145" s="6"/>
      <c r="AL145" s="6" t="str">
        <f t="shared" si="91"/>
        <v>-</v>
      </c>
      <c r="AM145" s="6">
        <f t="shared" si="92"/>
        <v>1.1916728258191673</v>
      </c>
      <c r="AN145" s="6">
        <f t="shared" si="93"/>
        <v>1.0750819672131147</v>
      </c>
      <c r="AO145" s="6" t="str">
        <f t="shared" si="96"/>
        <v>-</v>
      </c>
      <c r="AP145" s="4" t="str">
        <f t="shared" si="97"/>
        <v>-</v>
      </c>
      <c r="AQ145" s="4" t="str">
        <f t="shared" si="98"/>
        <v>-</v>
      </c>
      <c r="AR145" s="4" t="str">
        <f t="shared" si="99"/>
        <v>-</v>
      </c>
      <c r="AS145" s="4">
        <v>0</v>
      </c>
      <c r="AT145" s="4" t="s">
        <v>629</v>
      </c>
      <c r="AU145" s="4"/>
      <c r="AV145" s="4"/>
      <c r="AW145" s="4" t="s">
        <v>508</v>
      </c>
      <c r="AX145" s="4">
        <v>4500</v>
      </c>
      <c r="AY145" s="4">
        <f t="shared" si="94"/>
        <v>4500</v>
      </c>
      <c r="AZ145" s="19">
        <v>4</v>
      </c>
      <c r="BA145" s="19">
        <v>1</v>
      </c>
      <c r="BB145" s="16">
        <v>1125</v>
      </c>
      <c r="BC145" t="s">
        <v>338</v>
      </c>
      <c r="BD145" t="str">
        <f t="shared" si="100"/>
        <v>-</v>
      </c>
      <c r="BE145">
        <v>5000</v>
      </c>
      <c r="BF145">
        <f t="shared" si="101"/>
        <v>5375.4098360655735</v>
      </c>
      <c r="BG145" t="s">
        <v>460</v>
      </c>
    </row>
    <row r="146" spans="1:59" x14ac:dyDescent="0.4">
      <c r="A146" t="str">
        <f t="shared" si="95"/>
        <v>J335MN</v>
      </c>
      <c r="B146" s="3">
        <v>70</v>
      </c>
      <c r="C146" s="3">
        <v>70</v>
      </c>
      <c r="D146" s="4" t="s">
        <v>100</v>
      </c>
      <c r="E146" s="4" t="str">
        <f t="shared" si="79"/>
        <v>J335MN</v>
      </c>
      <c r="F146" s="4" t="s">
        <v>100</v>
      </c>
      <c r="G146" s="4" t="str">
        <f t="shared" si="80"/>
        <v>J335MN5</v>
      </c>
      <c r="H146" s="4" t="s">
        <v>216</v>
      </c>
      <c r="I146" s="5">
        <v>4967576645416</v>
      </c>
      <c r="J146" s="5">
        <v>5</v>
      </c>
      <c r="K146" s="5"/>
      <c r="L146" s="5">
        <v>1</v>
      </c>
      <c r="M146" s="5">
        <v>1</v>
      </c>
      <c r="N146" s="4">
        <v>0</v>
      </c>
      <c r="O146" s="4">
        <v>5100</v>
      </c>
      <c r="P146" s="4">
        <v>3750</v>
      </c>
      <c r="Q146" s="6">
        <f t="shared" si="81"/>
        <v>0.26470588235294112</v>
      </c>
      <c r="R146" s="4" t="s">
        <v>338</v>
      </c>
      <c r="S146" s="4" t="s">
        <v>338</v>
      </c>
      <c r="T146" s="4" t="s">
        <v>338</v>
      </c>
      <c r="U146" s="4">
        <v>0</v>
      </c>
      <c r="V146" s="4">
        <f t="shared" si="82"/>
        <v>0</v>
      </c>
      <c r="W146" s="4">
        <v>4092</v>
      </c>
      <c r="X146" s="4">
        <f t="shared" si="83"/>
        <v>4092</v>
      </c>
      <c r="Y146" s="4"/>
      <c r="Z146" s="21">
        <f t="shared" si="84"/>
        <v>5565</v>
      </c>
      <c r="AA146" s="6">
        <f t="shared" si="85"/>
        <v>0.26469002695417787</v>
      </c>
      <c r="AB146" s="4">
        <v>1.5</v>
      </c>
      <c r="AC146" s="4">
        <f t="shared" si="86"/>
        <v>7000</v>
      </c>
      <c r="AD146" s="4">
        <f t="shared" si="87"/>
        <v>7638.4</v>
      </c>
      <c r="AE146" s="6">
        <f t="shared" si="88"/>
        <v>0.4642857142857143</v>
      </c>
      <c r="AF146" s="7">
        <v>6280</v>
      </c>
      <c r="AG146" s="6">
        <f t="shared" si="89"/>
        <v>0.34840764331210194</v>
      </c>
      <c r="AH146" s="4">
        <f t="shared" si="90"/>
        <v>2188</v>
      </c>
      <c r="AI146" s="28"/>
      <c r="AJ146" s="6"/>
      <c r="AK146" s="6"/>
      <c r="AL146" s="6" t="str">
        <f t="shared" si="91"/>
        <v>-</v>
      </c>
      <c r="AM146" s="6">
        <f t="shared" si="92"/>
        <v>1.2313725490196079</v>
      </c>
      <c r="AN146" s="6">
        <f t="shared" si="93"/>
        <v>1.0911999999999999</v>
      </c>
      <c r="AO146" s="6" t="str">
        <f t="shared" si="96"/>
        <v>-</v>
      </c>
      <c r="AP146" s="4" t="str">
        <f t="shared" si="97"/>
        <v>-</v>
      </c>
      <c r="AQ146" s="4" t="str">
        <f t="shared" si="98"/>
        <v>-</v>
      </c>
      <c r="AR146" s="4" t="str">
        <f t="shared" si="99"/>
        <v>-</v>
      </c>
      <c r="AS146" s="4">
        <v>0</v>
      </c>
      <c r="AT146" s="4" t="s">
        <v>630</v>
      </c>
      <c r="AU146" s="4"/>
      <c r="AV146" s="4"/>
      <c r="AW146" s="4" t="s">
        <v>508</v>
      </c>
      <c r="AX146" s="4">
        <v>7000</v>
      </c>
      <c r="AY146" s="4">
        <f t="shared" si="94"/>
        <v>7000</v>
      </c>
      <c r="AZ146" s="19">
        <v>4</v>
      </c>
      <c r="BA146" s="19">
        <v>1</v>
      </c>
      <c r="BB146" s="16">
        <v>1125</v>
      </c>
      <c r="BC146" t="s">
        <v>338</v>
      </c>
      <c r="BD146" t="str">
        <f t="shared" si="100"/>
        <v>-</v>
      </c>
      <c r="BE146">
        <v>7400</v>
      </c>
      <c r="BF146">
        <f t="shared" si="101"/>
        <v>8074.8799999999992</v>
      </c>
      <c r="BG146" t="s">
        <v>461</v>
      </c>
    </row>
    <row r="147" spans="1:59" x14ac:dyDescent="0.4">
      <c r="A147" t="str">
        <f t="shared" si="95"/>
        <v>J334MN</v>
      </c>
      <c r="B147" s="3">
        <v>71</v>
      </c>
      <c r="C147" s="3">
        <v>71</v>
      </c>
      <c r="D147" s="4" t="s">
        <v>101</v>
      </c>
      <c r="E147" s="4" t="str">
        <f t="shared" si="79"/>
        <v>J334MN</v>
      </c>
      <c r="F147" s="4" t="s">
        <v>101</v>
      </c>
      <c r="G147" s="4" t="str">
        <f t="shared" si="80"/>
        <v>J334MN5</v>
      </c>
      <c r="H147" s="4" t="s">
        <v>216</v>
      </c>
      <c r="I147" s="5">
        <v>4967576645409</v>
      </c>
      <c r="J147" s="5">
        <v>5</v>
      </c>
      <c r="K147" s="5"/>
      <c r="L147" s="5">
        <v>1</v>
      </c>
      <c r="M147" s="5">
        <v>1</v>
      </c>
      <c r="N147" s="4">
        <v>0</v>
      </c>
      <c r="O147" s="4">
        <v>5151</v>
      </c>
      <c r="P147" s="4">
        <v>3750</v>
      </c>
      <c r="Q147" s="6">
        <f t="shared" si="81"/>
        <v>0.27198602213162493</v>
      </c>
      <c r="R147" s="4" t="s">
        <v>338</v>
      </c>
      <c r="S147" s="4" t="s">
        <v>338</v>
      </c>
      <c r="T147" s="4" t="s">
        <v>338</v>
      </c>
      <c r="U147" s="4">
        <v>0</v>
      </c>
      <c r="V147" s="4">
        <f t="shared" si="82"/>
        <v>0</v>
      </c>
      <c r="W147" s="4">
        <v>4092</v>
      </c>
      <c r="X147" s="4">
        <f t="shared" si="83"/>
        <v>4092</v>
      </c>
      <c r="Y147" s="4"/>
      <c r="Z147" s="21">
        <f t="shared" si="84"/>
        <v>5621</v>
      </c>
      <c r="AA147" s="6">
        <f t="shared" si="85"/>
        <v>0.27201565557729945</v>
      </c>
      <c r="AB147" s="4">
        <v>0.5</v>
      </c>
      <c r="AC147" s="4">
        <f t="shared" si="86"/>
        <v>7000</v>
      </c>
      <c r="AD147" s="4">
        <f t="shared" si="87"/>
        <v>7638.4</v>
      </c>
      <c r="AE147" s="6">
        <f t="shared" si="88"/>
        <v>0.4642857142857143</v>
      </c>
      <c r="AF147" s="7">
        <v>6280</v>
      </c>
      <c r="AG147" s="6">
        <f t="shared" si="89"/>
        <v>0.34840764331210194</v>
      </c>
      <c r="AH147" s="4">
        <f t="shared" si="90"/>
        <v>2188</v>
      </c>
      <c r="AI147" s="28"/>
      <c r="AJ147" s="6"/>
      <c r="AK147" s="6"/>
      <c r="AL147" s="6" t="str">
        <f t="shared" si="91"/>
        <v>-</v>
      </c>
      <c r="AM147" s="6">
        <f t="shared" si="92"/>
        <v>1.219180741603572</v>
      </c>
      <c r="AN147" s="6">
        <f t="shared" si="93"/>
        <v>1.0911999999999999</v>
      </c>
      <c r="AO147" s="6" t="str">
        <f t="shared" si="96"/>
        <v>-</v>
      </c>
      <c r="AP147" s="4" t="str">
        <f t="shared" si="97"/>
        <v>-</v>
      </c>
      <c r="AQ147" s="4" t="str">
        <f t="shared" si="98"/>
        <v>-</v>
      </c>
      <c r="AR147" s="4" t="str">
        <f t="shared" si="99"/>
        <v>-</v>
      </c>
      <c r="AS147" s="4">
        <v>0</v>
      </c>
      <c r="AT147" s="4" t="s">
        <v>631</v>
      </c>
      <c r="AU147" s="4"/>
      <c r="AV147" s="4"/>
      <c r="AW147" s="4" t="s">
        <v>508</v>
      </c>
      <c r="AX147" s="4">
        <v>7000</v>
      </c>
      <c r="AY147" s="4">
        <f t="shared" si="94"/>
        <v>7000</v>
      </c>
      <c r="AZ147" s="19">
        <v>4</v>
      </c>
      <c r="BA147" s="19">
        <v>1</v>
      </c>
      <c r="BB147" s="16">
        <v>1125</v>
      </c>
      <c r="BC147" t="s">
        <v>338</v>
      </c>
      <c r="BD147" t="str">
        <f t="shared" si="100"/>
        <v>-</v>
      </c>
      <c r="BE147">
        <v>7400</v>
      </c>
      <c r="BF147">
        <f t="shared" si="101"/>
        <v>8074.8799999999992</v>
      </c>
      <c r="BG147" t="s">
        <v>462</v>
      </c>
    </row>
    <row r="148" spans="1:59" x14ac:dyDescent="0.4">
      <c r="A148" t="str">
        <f t="shared" si="95"/>
        <v>J20271</v>
      </c>
      <c r="B148" s="3">
        <v>33</v>
      </c>
      <c r="C148" s="3">
        <v>33</v>
      </c>
      <c r="D148" s="4" t="s">
        <v>63</v>
      </c>
      <c r="E148" s="4" t="str">
        <f t="shared" si="79"/>
        <v>J20271</v>
      </c>
      <c r="F148" s="4" t="s">
        <v>63</v>
      </c>
      <c r="G148" s="4" t="str">
        <f t="shared" si="80"/>
        <v>J202715</v>
      </c>
      <c r="H148" s="4" t="s">
        <v>179</v>
      </c>
      <c r="I148" s="5">
        <v>4905009887415</v>
      </c>
      <c r="J148" s="5">
        <v>5</v>
      </c>
      <c r="K148" s="5"/>
      <c r="L148" s="5">
        <v>1</v>
      </c>
      <c r="M148" s="5">
        <v>1</v>
      </c>
      <c r="N148" s="4">
        <v>0</v>
      </c>
      <c r="O148" s="4">
        <v>6460</v>
      </c>
      <c r="P148" s="4">
        <v>5100</v>
      </c>
      <c r="Q148" s="6">
        <f t="shared" si="81"/>
        <v>0.21052631578947367</v>
      </c>
      <c r="R148" s="4" t="s">
        <v>338</v>
      </c>
      <c r="S148" s="4" t="s">
        <v>338</v>
      </c>
      <c r="T148" s="4" t="s">
        <v>338</v>
      </c>
      <c r="U148" s="4">
        <v>0</v>
      </c>
      <c r="V148" s="4">
        <f t="shared" si="82"/>
        <v>0</v>
      </c>
      <c r="W148" s="4">
        <v>5440</v>
      </c>
      <c r="X148" s="4">
        <f t="shared" si="83"/>
        <v>5440</v>
      </c>
      <c r="Y148" s="4"/>
      <c r="Z148" s="21">
        <f t="shared" si="84"/>
        <v>6891</v>
      </c>
      <c r="AA148" s="6">
        <f t="shared" si="85"/>
        <v>0.210564504426063</v>
      </c>
      <c r="AB148" s="4">
        <v>0</v>
      </c>
      <c r="AC148" s="4">
        <f t="shared" si="86"/>
        <v>7500</v>
      </c>
      <c r="AD148" s="4">
        <f t="shared" si="87"/>
        <v>8000</v>
      </c>
      <c r="AE148" s="6">
        <f t="shared" si="88"/>
        <v>0.31999999999999995</v>
      </c>
      <c r="AF148" s="7">
        <v>8000</v>
      </c>
      <c r="AG148" s="6">
        <f t="shared" si="89"/>
        <v>0.31999999999999995</v>
      </c>
      <c r="AH148" s="4">
        <f t="shared" si="90"/>
        <v>2560</v>
      </c>
      <c r="AI148" s="28"/>
      <c r="AJ148" s="6"/>
      <c r="AK148" s="6"/>
      <c r="AL148" s="6" t="str">
        <f t="shared" si="91"/>
        <v>-</v>
      </c>
      <c r="AM148" s="6">
        <f t="shared" si="92"/>
        <v>1.2383900928792571</v>
      </c>
      <c r="AN148" s="6">
        <f t="shared" si="93"/>
        <v>1.0666666666666667</v>
      </c>
      <c r="AO148" s="6" t="str">
        <f t="shared" si="96"/>
        <v>-</v>
      </c>
      <c r="AP148" s="4" t="str">
        <f t="shared" si="97"/>
        <v>-</v>
      </c>
      <c r="AQ148" s="4" t="str">
        <f t="shared" si="98"/>
        <v>-</v>
      </c>
      <c r="AR148" s="4" t="str">
        <f t="shared" si="99"/>
        <v>-</v>
      </c>
      <c r="AS148" s="4">
        <v>0</v>
      </c>
      <c r="AT148" s="4" t="s">
        <v>632</v>
      </c>
      <c r="AU148" s="4"/>
      <c r="AV148" s="4"/>
      <c r="AW148" s="4" t="s">
        <v>508</v>
      </c>
      <c r="AX148" s="4">
        <v>7500</v>
      </c>
      <c r="AY148" s="4">
        <f t="shared" si="94"/>
        <v>7500</v>
      </c>
      <c r="AZ148" s="19">
        <v>4</v>
      </c>
      <c r="BA148" s="19">
        <v>8</v>
      </c>
      <c r="BB148" s="16">
        <v>1125</v>
      </c>
      <c r="BC148" t="s">
        <v>338</v>
      </c>
      <c r="BD148" t="str">
        <f t="shared" si="100"/>
        <v>-</v>
      </c>
      <c r="BE148">
        <v>8020</v>
      </c>
      <c r="BF148">
        <f t="shared" si="101"/>
        <v>8554.6666666666661</v>
      </c>
      <c r="BG148" t="s">
        <v>463</v>
      </c>
    </row>
    <row r="149" spans="1:59" x14ac:dyDescent="0.4">
      <c r="A149" t="str">
        <f t="shared" si="95"/>
        <v>J337MN</v>
      </c>
      <c r="B149" s="3">
        <v>72</v>
      </c>
      <c r="C149" s="3">
        <v>72</v>
      </c>
      <c r="D149" s="4" t="s">
        <v>102</v>
      </c>
      <c r="E149" s="4" t="str">
        <f t="shared" si="79"/>
        <v>J337MN</v>
      </c>
      <c r="F149" s="4" t="s">
        <v>102</v>
      </c>
      <c r="G149" s="4" t="str">
        <f t="shared" si="80"/>
        <v>J337MN5</v>
      </c>
      <c r="H149" s="4" t="s">
        <v>217</v>
      </c>
      <c r="I149" s="5">
        <v>4967576645430</v>
      </c>
      <c r="J149" s="5">
        <v>5</v>
      </c>
      <c r="K149" s="5"/>
      <c r="L149" s="5">
        <v>1</v>
      </c>
      <c r="M149" s="5">
        <v>1</v>
      </c>
      <c r="N149" s="4">
        <v>0</v>
      </c>
      <c r="O149" s="4">
        <v>7650</v>
      </c>
      <c r="P149" s="4">
        <v>5200</v>
      </c>
      <c r="Q149" s="6">
        <f t="shared" si="81"/>
        <v>0.3202614379084967</v>
      </c>
      <c r="R149" s="4" t="s">
        <v>338</v>
      </c>
      <c r="S149" s="4" t="s">
        <v>338</v>
      </c>
      <c r="T149" s="4" t="s">
        <v>338</v>
      </c>
      <c r="U149" s="4">
        <v>0</v>
      </c>
      <c r="V149" s="4">
        <f t="shared" si="82"/>
        <v>0</v>
      </c>
      <c r="W149" s="4">
        <v>5547</v>
      </c>
      <c r="X149" s="4">
        <f t="shared" si="83"/>
        <v>5547</v>
      </c>
      <c r="Y149" s="4"/>
      <c r="Z149" s="21">
        <f t="shared" si="84"/>
        <v>8160</v>
      </c>
      <c r="AA149" s="6">
        <f t="shared" si="85"/>
        <v>0.32022058823529409</v>
      </c>
      <c r="AB149" s="4">
        <v>0.25</v>
      </c>
      <c r="AC149" s="4">
        <f t="shared" si="86"/>
        <v>9000</v>
      </c>
      <c r="AD149" s="4">
        <f t="shared" si="87"/>
        <v>9600.5769230769238</v>
      </c>
      <c r="AE149" s="6">
        <f t="shared" si="88"/>
        <v>0.42222222222222228</v>
      </c>
      <c r="AF149" s="7">
        <v>8680</v>
      </c>
      <c r="AG149" s="6">
        <f t="shared" si="89"/>
        <v>0.36094470046082949</v>
      </c>
      <c r="AH149" s="4">
        <f t="shared" si="90"/>
        <v>3133</v>
      </c>
      <c r="AI149" s="28"/>
      <c r="AJ149" s="6"/>
      <c r="AK149" s="6"/>
      <c r="AL149" s="6" t="str">
        <f t="shared" si="91"/>
        <v>-</v>
      </c>
      <c r="AM149" s="6">
        <f t="shared" si="92"/>
        <v>1.134640522875817</v>
      </c>
      <c r="AN149" s="6">
        <f t="shared" si="93"/>
        <v>1.0667307692307693</v>
      </c>
      <c r="AO149" s="6" t="str">
        <f t="shared" si="96"/>
        <v>-</v>
      </c>
      <c r="AP149" s="4" t="str">
        <f t="shared" si="97"/>
        <v>-</v>
      </c>
      <c r="AQ149" s="4" t="str">
        <f t="shared" si="98"/>
        <v>-</v>
      </c>
      <c r="AR149" s="4" t="str">
        <f t="shared" si="99"/>
        <v>-</v>
      </c>
      <c r="AS149" s="4">
        <v>0</v>
      </c>
      <c r="AT149" s="4" t="s">
        <v>633</v>
      </c>
      <c r="AU149" s="4"/>
      <c r="AV149" s="4"/>
      <c r="AW149" s="4" t="s">
        <v>508</v>
      </c>
      <c r="AX149" s="4">
        <v>9000</v>
      </c>
      <c r="AY149" s="4">
        <f t="shared" si="94"/>
        <v>9000</v>
      </c>
      <c r="AZ149" s="19">
        <v>4</v>
      </c>
      <c r="BA149" s="19">
        <v>8</v>
      </c>
      <c r="BB149" s="16">
        <v>1125</v>
      </c>
      <c r="BC149" t="s">
        <v>338</v>
      </c>
      <c r="BD149" t="str">
        <f t="shared" si="100"/>
        <v>-</v>
      </c>
      <c r="BE149">
        <v>8910</v>
      </c>
      <c r="BF149">
        <f t="shared" si="101"/>
        <v>9504.5711538461546</v>
      </c>
      <c r="BG149" t="s">
        <v>464</v>
      </c>
    </row>
    <row r="150" spans="1:59" x14ac:dyDescent="0.4">
      <c r="A150" t="str">
        <f t="shared" si="95"/>
        <v>J20272</v>
      </c>
      <c r="B150" s="3">
        <v>34</v>
      </c>
      <c r="C150" s="3">
        <v>34</v>
      </c>
      <c r="D150" s="4" t="s">
        <v>64</v>
      </c>
      <c r="E150" s="4" t="str">
        <f t="shared" si="79"/>
        <v>J20272</v>
      </c>
      <c r="F150" s="4" t="s">
        <v>64</v>
      </c>
      <c r="G150" s="4" t="str">
        <f t="shared" si="80"/>
        <v>J202725</v>
      </c>
      <c r="H150" s="4" t="s">
        <v>180</v>
      </c>
      <c r="I150" s="5">
        <v>4967576178426</v>
      </c>
      <c r="J150" s="5">
        <v>5</v>
      </c>
      <c r="K150" s="5"/>
      <c r="L150" s="5">
        <v>1</v>
      </c>
      <c r="M150" s="5">
        <v>1</v>
      </c>
      <c r="N150" s="4">
        <v>0</v>
      </c>
      <c r="O150" s="4">
        <v>8102</v>
      </c>
      <c r="P150" s="4">
        <v>5500</v>
      </c>
      <c r="Q150" s="6">
        <f t="shared" si="81"/>
        <v>0.32115527030362878</v>
      </c>
      <c r="R150" s="4" t="s">
        <v>338</v>
      </c>
      <c r="S150" s="4" t="s">
        <v>338</v>
      </c>
      <c r="T150" s="4" t="s">
        <v>338</v>
      </c>
      <c r="U150" s="4">
        <v>0</v>
      </c>
      <c r="V150" s="4">
        <f t="shared" si="82"/>
        <v>0</v>
      </c>
      <c r="W150" s="4">
        <v>5867</v>
      </c>
      <c r="X150" s="4">
        <f t="shared" si="83"/>
        <v>5867</v>
      </c>
      <c r="Y150" s="4"/>
      <c r="Z150" s="21">
        <f t="shared" si="84"/>
        <v>8643</v>
      </c>
      <c r="AA150" s="6">
        <f t="shared" si="85"/>
        <v>0.32118477380539168</v>
      </c>
      <c r="AB150" s="4">
        <v>0.5</v>
      </c>
      <c r="AC150" s="4">
        <f t="shared" si="86"/>
        <v>8200</v>
      </c>
      <c r="AD150" s="4">
        <f t="shared" si="87"/>
        <v>8747.1636363636371</v>
      </c>
      <c r="AE150" s="6">
        <f t="shared" si="88"/>
        <v>0.3292682926829269</v>
      </c>
      <c r="AF150" s="7">
        <v>8747</v>
      </c>
      <c r="AG150" s="6">
        <f t="shared" si="89"/>
        <v>0.32925574482679776</v>
      </c>
      <c r="AH150" s="4">
        <f t="shared" si="90"/>
        <v>2880</v>
      </c>
      <c r="AI150" s="28"/>
      <c r="AJ150" s="6"/>
      <c r="AK150" s="6"/>
      <c r="AL150" s="6" t="str">
        <f t="shared" si="91"/>
        <v>-</v>
      </c>
      <c r="AM150" s="6">
        <f t="shared" si="92"/>
        <v>1.0796099728462107</v>
      </c>
      <c r="AN150" s="6">
        <f t="shared" si="93"/>
        <v>1.0667272727272727</v>
      </c>
      <c r="AO150" s="6" t="str">
        <f t="shared" si="96"/>
        <v>-</v>
      </c>
      <c r="AP150" s="4" t="str">
        <f t="shared" si="97"/>
        <v>-</v>
      </c>
      <c r="AQ150" s="4" t="str">
        <f t="shared" si="98"/>
        <v>-</v>
      </c>
      <c r="AR150" s="4" t="str">
        <f t="shared" si="99"/>
        <v>-</v>
      </c>
      <c r="AS150" s="4">
        <v>0</v>
      </c>
      <c r="AT150" s="4" t="s">
        <v>634</v>
      </c>
      <c r="AU150" s="4"/>
      <c r="AV150" s="4"/>
      <c r="AW150" s="4" t="s">
        <v>508</v>
      </c>
      <c r="AX150" s="4">
        <v>8200</v>
      </c>
      <c r="AY150" s="4">
        <f t="shared" si="94"/>
        <v>8200</v>
      </c>
      <c r="AZ150" s="19">
        <v>4</v>
      </c>
      <c r="BA150" s="19">
        <v>8</v>
      </c>
      <c r="BB150" s="16">
        <v>1125</v>
      </c>
      <c r="BC150" t="s">
        <v>338</v>
      </c>
      <c r="BD150" t="str">
        <f t="shared" si="100"/>
        <v>-</v>
      </c>
      <c r="BE150">
        <v>8470</v>
      </c>
      <c r="BF150">
        <f t="shared" si="101"/>
        <v>9035.18</v>
      </c>
      <c r="BG150" t="s">
        <v>465</v>
      </c>
    </row>
    <row r="151" spans="1:59" x14ac:dyDescent="0.4">
      <c r="A151" t="str">
        <f t="shared" si="95"/>
        <v>J350WE</v>
      </c>
      <c r="B151" s="37">
        <v>73</v>
      </c>
      <c r="C151" s="3">
        <v>73</v>
      </c>
      <c r="D151" s="4" t="s">
        <v>103</v>
      </c>
      <c r="E151" s="4" t="str">
        <f t="shared" si="79"/>
        <v>J350WE</v>
      </c>
      <c r="F151" s="4" t="s">
        <v>103</v>
      </c>
      <c r="G151" s="4" t="str">
        <f t="shared" si="80"/>
        <v>J350WE5</v>
      </c>
      <c r="H151" s="4" t="s">
        <v>218</v>
      </c>
      <c r="I151" s="5">
        <v>4967576698436</v>
      </c>
      <c r="J151" s="5">
        <v>5</v>
      </c>
      <c r="K151" s="5"/>
      <c r="L151" s="5">
        <v>1</v>
      </c>
      <c r="M151" s="5">
        <v>1</v>
      </c>
      <c r="N151" s="4">
        <v>0</v>
      </c>
      <c r="O151" s="4">
        <v>16800</v>
      </c>
      <c r="P151" s="4">
        <v>11800</v>
      </c>
      <c r="Q151" s="6">
        <f t="shared" si="81"/>
        <v>0.29761904761904767</v>
      </c>
      <c r="R151" s="4" t="s">
        <v>338</v>
      </c>
      <c r="S151" s="4" t="s">
        <v>338</v>
      </c>
      <c r="T151" s="4" t="s">
        <v>338</v>
      </c>
      <c r="U151" s="4">
        <v>0</v>
      </c>
      <c r="V151" s="4">
        <f t="shared" si="82"/>
        <v>0</v>
      </c>
      <c r="W151" s="4">
        <v>12546</v>
      </c>
      <c r="X151" s="4">
        <f t="shared" si="83"/>
        <v>12546</v>
      </c>
      <c r="Y151" s="4"/>
      <c r="Z151" s="21">
        <f t="shared" si="84"/>
        <v>17862</v>
      </c>
      <c r="AA151" s="6">
        <f t="shared" si="85"/>
        <v>0.29761504870675182</v>
      </c>
      <c r="AB151" s="4">
        <v>3.5000000000000004</v>
      </c>
      <c r="AC151" s="4">
        <f t="shared" si="86"/>
        <v>18800</v>
      </c>
      <c r="AD151" s="4">
        <f t="shared" si="87"/>
        <v>19988.542372881355</v>
      </c>
      <c r="AE151" s="6">
        <f t="shared" si="88"/>
        <v>0.37234042553191482</v>
      </c>
      <c r="AF151" s="7">
        <v>19800</v>
      </c>
      <c r="AG151" s="6">
        <f t="shared" si="89"/>
        <v>0.36636363636363634</v>
      </c>
      <c r="AH151" s="38">
        <f t="shared" si="90"/>
        <v>7254</v>
      </c>
      <c r="AI151" s="28"/>
      <c r="AJ151" s="6"/>
      <c r="AK151" s="6"/>
      <c r="AL151" s="6" t="str">
        <f t="shared" si="91"/>
        <v>-</v>
      </c>
      <c r="AM151" s="6">
        <f t="shared" si="92"/>
        <v>1.1785714285714286</v>
      </c>
      <c r="AN151" s="6">
        <f t="shared" si="93"/>
        <v>1.0632203389830508</v>
      </c>
      <c r="AO151" s="6" t="str">
        <f t="shared" si="96"/>
        <v>-</v>
      </c>
      <c r="AP151" s="4" t="str">
        <f t="shared" si="97"/>
        <v>-</v>
      </c>
      <c r="AQ151" s="4" t="str">
        <f t="shared" si="98"/>
        <v>-</v>
      </c>
      <c r="AR151" s="4" t="str">
        <f t="shared" si="99"/>
        <v>-</v>
      </c>
      <c r="AS151" s="4">
        <v>0</v>
      </c>
      <c r="AT151" s="4" t="s">
        <v>635</v>
      </c>
      <c r="AU151" s="4"/>
      <c r="AV151" s="4"/>
      <c r="AW151" s="4" t="s">
        <v>508</v>
      </c>
      <c r="AX151" s="4">
        <v>18800</v>
      </c>
      <c r="AY151" s="4">
        <f t="shared" si="94"/>
        <v>18800</v>
      </c>
      <c r="AZ151" s="19">
        <v>2</v>
      </c>
      <c r="BA151" s="19">
        <v>1</v>
      </c>
      <c r="BB151" s="16">
        <v>1125</v>
      </c>
      <c r="BC151" t="s">
        <v>338</v>
      </c>
      <c r="BD151" t="str">
        <f t="shared" si="100"/>
        <v>-</v>
      </c>
      <c r="BE151">
        <v>18891</v>
      </c>
      <c r="BF151">
        <f t="shared" si="101"/>
        <v>20085.295423728814</v>
      </c>
      <c r="BG151" t="s">
        <v>466</v>
      </c>
    </row>
    <row r="152" spans="1:59" x14ac:dyDescent="0.4">
      <c r="A152" t="str">
        <f t="shared" si="95"/>
        <v>J349WE</v>
      </c>
      <c r="B152" s="37">
        <v>74</v>
      </c>
      <c r="C152" s="3">
        <v>74</v>
      </c>
      <c r="D152" s="4" t="s">
        <v>104</v>
      </c>
      <c r="E152" s="4" t="str">
        <f t="shared" si="79"/>
        <v>J349WE</v>
      </c>
      <c r="F152" s="4" t="s">
        <v>104</v>
      </c>
      <c r="G152" s="4" t="str">
        <f t="shared" si="80"/>
        <v>J349WE5</v>
      </c>
      <c r="H152" s="4" t="s">
        <v>219</v>
      </c>
      <c r="I152" s="5">
        <v>4967576653008</v>
      </c>
      <c r="J152" s="5">
        <v>5</v>
      </c>
      <c r="K152" s="5"/>
      <c r="L152" s="5">
        <v>1</v>
      </c>
      <c r="M152" s="5">
        <v>1</v>
      </c>
      <c r="N152" s="4">
        <v>0</v>
      </c>
      <c r="O152" s="4">
        <v>18100</v>
      </c>
      <c r="P152" s="4">
        <v>12500</v>
      </c>
      <c r="Q152" s="6">
        <f t="shared" si="81"/>
        <v>0.30939226519337015</v>
      </c>
      <c r="R152" s="4" t="s">
        <v>338</v>
      </c>
      <c r="S152" s="4" t="s">
        <v>338</v>
      </c>
      <c r="T152" s="4" t="s">
        <v>338</v>
      </c>
      <c r="U152" s="4">
        <v>0</v>
      </c>
      <c r="V152" s="4">
        <f t="shared" si="82"/>
        <v>0</v>
      </c>
      <c r="W152" s="4">
        <v>13904</v>
      </c>
      <c r="X152" s="4">
        <f t="shared" si="83"/>
        <v>13904</v>
      </c>
      <c r="Y152" s="4"/>
      <c r="Z152" s="21">
        <f t="shared" si="84"/>
        <v>20133</v>
      </c>
      <c r="AA152" s="6">
        <f t="shared" si="85"/>
        <v>0.30939253961158297</v>
      </c>
      <c r="AB152" s="4">
        <v>1.5</v>
      </c>
      <c r="AC152" s="4">
        <f t="shared" si="86"/>
        <v>18164</v>
      </c>
      <c r="AD152" s="4">
        <f t="shared" si="87"/>
        <v>20204.180479999999</v>
      </c>
      <c r="AE152" s="6">
        <f t="shared" si="88"/>
        <v>0.31182558907729574</v>
      </c>
      <c r="AF152" s="7">
        <v>20200</v>
      </c>
      <c r="AG152" s="6">
        <f t="shared" si="89"/>
        <v>0.31168316831683174</v>
      </c>
      <c r="AH152" s="38">
        <f t="shared" si="90"/>
        <v>6296</v>
      </c>
      <c r="AI152" s="28"/>
      <c r="AJ152" s="6"/>
      <c r="AK152" s="6"/>
      <c r="AL152" s="6" t="str">
        <f t="shared" si="91"/>
        <v>-</v>
      </c>
      <c r="AM152" s="6">
        <f t="shared" si="92"/>
        <v>1.1160220994475138</v>
      </c>
      <c r="AN152" s="6">
        <f t="shared" si="93"/>
        <v>1.11232</v>
      </c>
      <c r="AO152" s="6" t="str">
        <f t="shared" si="96"/>
        <v>-</v>
      </c>
      <c r="AP152" s="4" t="str">
        <f t="shared" si="97"/>
        <v>-</v>
      </c>
      <c r="AQ152" s="4" t="str">
        <f t="shared" si="98"/>
        <v>-</v>
      </c>
      <c r="AR152" s="4" t="str">
        <f t="shared" si="99"/>
        <v>-</v>
      </c>
      <c r="AS152" s="4">
        <v>0</v>
      </c>
      <c r="AT152" s="4" t="s">
        <v>636</v>
      </c>
      <c r="AU152" s="4"/>
      <c r="AV152" s="4"/>
      <c r="AW152" s="4" t="s">
        <v>508</v>
      </c>
      <c r="AX152" s="4">
        <v>18164</v>
      </c>
      <c r="AY152" s="4">
        <f t="shared" si="94"/>
        <v>18164</v>
      </c>
      <c r="AZ152" s="19">
        <v>2</v>
      </c>
      <c r="BA152" s="19">
        <v>1</v>
      </c>
      <c r="BB152" s="16">
        <v>1125</v>
      </c>
      <c r="BC152" t="s">
        <v>338</v>
      </c>
      <c r="BD152" t="str">
        <f t="shared" si="100"/>
        <v>-</v>
      </c>
      <c r="BE152">
        <v>25000</v>
      </c>
      <c r="BF152">
        <f t="shared" si="101"/>
        <v>27808</v>
      </c>
      <c r="BG152" t="s">
        <v>467</v>
      </c>
    </row>
    <row r="153" spans="1:59" x14ac:dyDescent="0.4">
      <c r="A153" t="str">
        <f t="shared" si="95"/>
        <v>J0795W</v>
      </c>
      <c r="B153" s="37">
        <v>29</v>
      </c>
      <c r="C153" s="3">
        <v>29</v>
      </c>
      <c r="D153" s="4" t="s">
        <v>59</v>
      </c>
      <c r="E153" s="4" t="str">
        <f t="shared" si="79"/>
        <v>J0795W</v>
      </c>
      <c r="F153" s="4" t="s">
        <v>59</v>
      </c>
      <c r="G153" s="4" t="str">
        <f t="shared" si="80"/>
        <v>J0795W5</v>
      </c>
      <c r="H153" s="4" t="s">
        <v>175</v>
      </c>
      <c r="I153" s="5">
        <v>4967576698443</v>
      </c>
      <c r="J153" s="5">
        <v>5</v>
      </c>
      <c r="K153" s="5"/>
      <c r="L153" s="5">
        <v>1</v>
      </c>
      <c r="M153" s="5">
        <v>1</v>
      </c>
      <c r="N153" s="4">
        <v>0</v>
      </c>
      <c r="O153" s="4">
        <v>19800</v>
      </c>
      <c r="P153" s="4">
        <v>14500</v>
      </c>
      <c r="Q153" s="6">
        <f t="shared" si="81"/>
        <v>0.26767676767676762</v>
      </c>
      <c r="R153" s="4" t="s">
        <v>338</v>
      </c>
      <c r="S153" s="4" t="s">
        <v>338</v>
      </c>
      <c r="T153" s="4" t="s">
        <v>338</v>
      </c>
      <c r="U153" s="4">
        <v>0</v>
      </c>
      <c r="V153" s="4">
        <f t="shared" si="82"/>
        <v>0</v>
      </c>
      <c r="W153" s="4">
        <v>15232</v>
      </c>
      <c r="X153" s="4">
        <f t="shared" si="83"/>
        <v>15232</v>
      </c>
      <c r="Y153" s="4"/>
      <c r="Z153" s="21">
        <f t="shared" si="84"/>
        <v>20800</v>
      </c>
      <c r="AA153" s="6">
        <f t="shared" si="85"/>
        <v>0.26769230769230767</v>
      </c>
      <c r="AB153" s="4">
        <v>1.7500000000000002</v>
      </c>
      <c r="AC153" s="4">
        <f t="shared" si="86"/>
        <v>23800</v>
      </c>
      <c r="AD153" s="4">
        <f t="shared" si="87"/>
        <v>25001.489655172416</v>
      </c>
      <c r="AE153" s="6">
        <f t="shared" si="88"/>
        <v>0.39075630252100846</v>
      </c>
      <c r="AF153" s="7">
        <v>22800</v>
      </c>
      <c r="AG153" s="6">
        <f t="shared" si="89"/>
        <v>0.33192982456140352</v>
      </c>
      <c r="AH153" s="38">
        <f t="shared" si="90"/>
        <v>7568</v>
      </c>
      <c r="AI153" s="28"/>
      <c r="AJ153" s="6"/>
      <c r="AK153" s="6"/>
      <c r="AL153" s="6" t="str">
        <f t="shared" si="91"/>
        <v>-</v>
      </c>
      <c r="AM153" s="6">
        <f t="shared" si="92"/>
        <v>1.1515151515151516</v>
      </c>
      <c r="AN153" s="6">
        <f t="shared" si="93"/>
        <v>1.0504827586206897</v>
      </c>
      <c r="AO153" s="6" t="str">
        <f t="shared" si="96"/>
        <v>-</v>
      </c>
      <c r="AP153" s="4" t="str">
        <f t="shared" si="97"/>
        <v>-</v>
      </c>
      <c r="AQ153" s="4" t="str">
        <f t="shared" si="98"/>
        <v>-</v>
      </c>
      <c r="AR153" s="4" t="str">
        <f t="shared" si="99"/>
        <v>-</v>
      </c>
      <c r="AS153" s="4" t="s">
        <v>326</v>
      </c>
      <c r="AT153" s="4" t="s">
        <v>637</v>
      </c>
      <c r="AU153" s="4"/>
      <c r="AV153" s="4"/>
      <c r="AW153" s="4" t="s">
        <v>508</v>
      </c>
      <c r="AX153" s="4">
        <v>23800</v>
      </c>
      <c r="AY153" s="4">
        <f t="shared" si="94"/>
        <v>23800</v>
      </c>
      <c r="AZ153" s="19">
        <v>2</v>
      </c>
      <c r="BA153" s="19">
        <v>1</v>
      </c>
      <c r="BB153" s="16">
        <v>1125</v>
      </c>
      <c r="BC153" t="s">
        <v>338</v>
      </c>
      <c r="BD153" t="str">
        <f t="shared" si="100"/>
        <v>-</v>
      </c>
      <c r="BE153">
        <v>23782</v>
      </c>
      <c r="BF153">
        <f t="shared" si="101"/>
        <v>24982.580965517242</v>
      </c>
      <c r="BG153" t="s">
        <v>468</v>
      </c>
    </row>
    <row r="154" spans="1:59" x14ac:dyDescent="0.4">
      <c r="A154" t="str">
        <f t="shared" si="95"/>
        <v>192018</v>
      </c>
      <c r="B154" s="37">
        <v>7</v>
      </c>
      <c r="C154" s="3">
        <v>7</v>
      </c>
      <c r="D154" s="4">
        <v>192018</v>
      </c>
      <c r="E154" s="4" t="str">
        <f t="shared" si="79"/>
        <v>192018</v>
      </c>
      <c r="F154" s="4">
        <v>192018</v>
      </c>
      <c r="G154" s="4" t="str">
        <f t="shared" si="80"/>
        <v>1920185</v>
      </c>
      <c r="H154" s="4" t="s">
        <v>153</v>
      </c>
      <c r="I154" s="5">
        <v>4967576295376</v>
      </c>
      <c r="J154" s="5">
        <v>5</v>
      </c>
      <c r="K154" s="5"/>
      <c r="L154" s="5">
        <v>1</v>
      </c>
      <c r="M154" s="5">
        <v>1</v>
      </c>
      <c r="N154" s="4">
        <v>0</v>
      </c>
      <c r="O154" s="4">
        <v>22800</v>
      </c>
      <c r="P154" s="4">
        <v>16300</v>
      </c>
      <c r="Q154" s="6">
        <f t="shared" si="81"/>
        <v>0.28508771929824561</v>
      </c>
      <c r="R154" s="4" t="s">
        <v>338</v>
      </c>
      <c r="S154" s="4" t="s">
        <v>338</v>
      </c>
      <c r="T154" s="4" t="s">
        <v>338</v>
      </c>
      <c r="U154" s="4">
        <v>0</v>
      </c>
      <c r="V154" s="4">
        <f t="shared" si="82"/>
        <v>0</v>
      </c>
      <c r="W154" s="4">
        <v>17563</v>
      </c>
      <c r="X154" s="4">
        <f t="shared" si="83"/>
        <v>17563</v>
      </c>
      <c r="Y154" s="4"/>
      <c r="Z154" s="21">
        <f t="shared" si="84"/>
        <v>24567</v>
      </c>
      <c r="AA154" s="6">
        <f t="shared" si="85"/>
        <v>0.28509789555094234</v>
      </c>
      <c r="AB154" s="4">
        <v>3</v>
      </c>
      <c r="AC154" s="4">
        <f t="shared" si="86"/>
        <v>27255</v>
      </c>
      <c r="AD154" s="4">
        <f t="shared" si="87"/>
        <v>29366.844478527608</v>
      </c>
      <c r="AE154" s="6">
        <f t="shared" si="88"/>
        <v>0.40194459732159238</v>
      </c>
      <c r="AF154" s="7">
        <v>27800</v>
      </c>
      <c r="AG154" s="6">
        <f t="shared" si="89"/>
        <v>0.36823741007194244</v>
      </c>
      <c r="AH154" s="38">
        <f t="shared" si="90"/>
        <v>10237</v>
      </c>
      <c r="AI154" s="28"/>
      <c r="AJ154" s="6"/>
      <c r="AK154" s="6"/>
      <c r="AL154" s="6" t="str">
        <f t="shared" si="91"/>
        <v>-</v>
      </c>
      <c r="AM154" s="6">
        <f t="shared" si="92"/>
        <v>1.2192982456140351</v>
      </c>
      <c r="AN154" s="6">
        <f t="shared" si="93"/>
        <v>1.0774846625766872</v>
      </c>
      <c r="AO154" s="6" t="str">
        <f t="shared" si="96"/>
        <v>-</v>
      </c>
      <c r="AP154" s="4" t="str">
        <f t="shared" si="97"/>
        <v>-</v>
      </c>
      <c r="AQ154" s="4" t="str">
        <f t="shared" si="98"/>
        <v>-</v>
      </c>
      <c r="AR154" s="4" t="str">
        <f t="shared" si="99"/>
        <v>-</v>
      </c>
      <c r="AS154" s="4" t="s">
        <v>321</v>
      </c>
      <c r="AT154" s="4" t="s">
        <v>638</v>
      </c>
      <c r="AU154" s="4"/>
      <c r="AV154" s="4"/>
      <c r="AW154" s="4" t="s">
        <v>508</v>
      </c>
      <c r="AX154" s="4">
        <v>27255</v>
      </c>
      <c r="AY154" s="4">
        <f t="shared" si="94"/>
        <v>27255</v>
      </c>
      <c r="AZ154" s="19">
        <v>2</v>
      </c>
      <c r="BA154" s="19">
        <v>1</v>
      </c>
      <c r="BB154" s="16">
        <v>1125</v>
      </c>
      <c r="BC154" t="s">
        <v>338</v>
      </c>
      <c r="BD154" t="str">
        <f t="shared" si="100"/>
        <v>-</v>
      </c>
      <c r="BE154">
        <v>31819</v>
      </c>
      <c r="BF154">
        <f t="shared" si="101"/>
        <v>34284.484478527607</v>
      </c>
      <c r="BG154" t="s">
        <v>469</v>
      </c>
    </row>
    <row r="155" spans="1:59" x14ac:dyDescent="0.4">
      <c r="A155" t="str">
        <f t="shared" si="95"/>
        <v>J2860P</v>
      </c>
      <c r="B155" s="37">
        <v>69</v>
      </c>
      <c r="C155" s="3">
        <v>69</v>
      </c>
      <c r="D155" s="4" t="s">
        <v>99</v>
      </c>
      <c r="E155" s="4" t="str">
        <f t="shared" si="79"/>
        <v>J2860P</v>
      </c>
      <c r="F155" s="4" t="s">
        <v>99</v>
      </c>
      <c r="G155" s="4" t="str">
        <f t="shared" si="80"/>
        <v>J2860P5</v>
      </c>
      <c r="H155" s="4" t="s">
        <v>215</v>
      </c>
      <c r="I155" s="5">
        <v>4967576686617</v>
      </c>
      <c r="J155" s="5">
        <v>5</v>
      </c>
      <c r="K155" s="5"/>
      <c r="L155" s="5">
        <v>1</v>
      </c>
      <c r="M155" s="5">
        <v>1</v>
      </c>
      <c r="N155" s="4">
        <v>0</v>
      </c>
      <c r="O155" s="4">
        <v>37810</v>
      </c>
      <c r="P155" s="4">
        <v>27500</v>
      </c>
      <c r="Q155" s="6">
        <f t="shared" si="81"/>
        <v>0.2726791854006877</v>
      </c>
      <c r="R155" s="4" t="s">
        <v>338</v>
      </c>
      <c r="S155" s="4" t="s">
        <v>338</v>
      </c>
      <c r="T155" s="4" t="s">
        <v>338</v>
      </c>
      <c r="U155" s="4">
        <v>0</v>
      </c>
      <c r="V155" s="4">
        <f t="shared" si="82"/>
        <v>0</v>
      </c>
      <c r="W155" s="4">
        <v>28899</v>
      </c>
      <c r="X155" s="4">
        <f t="shared" si="83"/>
        <v>28899</v>
      </c>
      <c r="Y155" s="4"/>
      <c r="Z155" s="21">
        <f t="shared" si="84"/>
        <v>39733</v>
      </c>
      <c r="AA155" s="6">
        <f t="shared" si="85"/>
        <v>0.27267007273550947</v>
      </c>
      <c r="AB155" s="4">
        <v>0.5</v>
      </c>
      <c r="AC155" s="4">
        <f t="shared" si="86"/>
        <v>46992</v>
      </c>
      <c r="AD155" s="4">
        <f t="shared" si="87"/>
        <v>49382.611199999992</v>
      </c>
      <c r="AE155" s="6">
        <f t="shared" si="88"/>
        <v>0.41479400749063666</v>
      </c>
      <c r="AF155" s="7">
        <v>45800</v>
      </c>
      <c r="AG155" s="6">
        <f t="shared" si="89"/>
        <v>0.36901746724890827</v>
      </c>
      <c r="AH155" s="38">
        <f t="shared" si="90"/>
        <v>16901</v>
      </c>
      <c r="AI155" s="28"/>
      <c r="AJ155" s="6"/>
      <c r="AK155" s="6"/>
      <c r="AL155" s="6" t="str">
        <f t="shared" si="91"/>
        <v>-</v>
      </c>
      <c r="AM155" s="6">
        <f t="shared" si="92"/>
        <v>1.2113197566781275</v>
      </c>
      <c r="AN155" s="6">
        <f t="shared" si="93"/>
        <v>1.0508727272727272</v>
      </c>
      <c r="AO155" s="6" t="str">
        <f t="shared" si="96"/>
        <v>-</v>
      </c>
      <c r="AP155" s="4" t="str">
        <f t="shared" si="97"/>
        <v>-</v>
      </c>
      <c r="AQ155" s="4" t="str">
        <f t="shared" si="98"/>
        <v>-</v>
      </c>
      <c r="AR155" s="4" t="str">
        <f t="shared" si="99"/>
        <v>-</v>
      </c>
      <c r="AS155" s="4">
        <v>0</v>
      </c>
      <c r="AT155" s="4" t="s">
        <v>639</v>
      </c>
      <c r="AU155" s="4"/>
      <c r="AV155" s="4"/>
      <c r="AW155" s="4" t="s">
        <v>489</v>
      </c>
      <c r="AX155" s="4">
        <v>46992</v>
      </c>
      <c r="AY155" s="4">
        <f t="shared" si="94"/>
        <v>46992</v>
      </c>
      <c r="AZ155" s="19">
        <v>2</v>
      </c>
      <c r="BA155" s="19">
        <v>8</v>
      </c>
      <c r="BB155" s="16">
        <v>1125</v>
      </c>
      <c r="BC155" t="s">
        <v>338</v>
      </c>
      <c r="BD155" t="str">
        <f t="shared" si="100"/>
        <v>-</v>
      </c>
      <c r="BE155">
        <v>49091</v>
      </c>
      <c r="BF155">
        <f t="shared" si="101"/>
        <v>51588.39305454545</v>
      </c>
      <c r="BG155" t="s">
        <v>470</v>
      </c>
    </row>
    <row r="156" spans="1:59" x14ac:dyDescent="0.4">
      <c r="A156" t="str">
        <f t="shared" si="95"/>
        <v>386274</v>
      </c>
      <c r="B156" s="39">
        <v>8</v>
      </c>
      <c r="C156" s="3">
        <v>8</v>
      </c>
      <c r="D156" s="4">
        <v>386274</v>
      </c>
      <c r="E156" s="4" t="str">
        <f t="shared" si="79"/>
        <v>386274</v>
      </c>
      <c r="F156" s="4">
        <v>386274</v>
      </c>
      <c r="G156" s="4" t="str">
        <f t="shared" si="80"/>
        <v>3862745</v>
      </c>
      <c r="H156" s="4" t="s">
        <v>154</v>
      </c>
      <c r="I156" s="5">
        <v>4967576507547</v>
      </c>
      <c r="J156" s="5">
        <v>5</v>
      </c>
      <c r="K156" s="5"/>
      <c r="L156" s="5">
        <v>1</v>
      </c>
      <c r="M156" s="5">
        <v>1</v>
      </c>
      <c r="N156" s="4">
        <v>0</v>
      </c>
      <c r="O156" s="4">
        <v>99800</v>
      </c>
      <c r="P156" s="4">
        <v>68100</v>
      </c>
      <c r="Q156" s="6">
        <f t="shared" si="81"/>
        <v>0.3176352705410822</v>
      </c>
      <c r="R156" s="4">
        <v>92785</v>
      </c>
      <c r="S156" s="4">
        <v>3</v>
      </c>
      <c r="T156" s="4">
        <v>99999</v>
      </c>
      <c r="U156" s="4">
        <v>0</v>
      </c>
      <c r="V156" s="4">
        <f t="shared" si="82"/>
        <v>0</v>
      </c>
      <c r="W156" s="4">
        <v>73695</v>
      </c>
      <c r="X156" s="4">
        <f t="shared" si="83"/>
        <v>73695</v>
      </c>
      <c r="Y156" s="4"/>
      <c r="Z156" s="21">
        <f t="shared" si="84"/>
        <v>107999</v>
      </c>
      <c r="AA156" s="6">
        <f t="shared" si="85"/>
        <v>0.31763257067195072</v>
      </c>
      <c r="AB156" s="4">
        <v>0</v>
      </c>
      <c r="AC156" s="4">
        <f t="shared" si="86"/>
        <v>99819</v>
      </c>
      <c r="AD156" s="4">
        <f t="shared" si="87"/>
        <v>108019.9883259912</v>
      </c>
      <c r="AE156" s="6">
        <f t="shared" si="88"/>
        <v>0.31776515493042412</v>
      </c>
      <c r="AF156" s="7">
        <v>96900</v>
      </c>
      <c r="AG156" s="40">
        <f t="shared" si="89"/>
        <v>0.23947368421052628</v>
      </c>
      <c r="AH156" s="4">
        <f t="shared" si="90"/>
        <v>23205</v>
      </c>
      <c r="AI156" s="28"/>
      <c r="AJ156" s="6"/>
      <c r="AK156" s="6"/>
      <c r="AL156" s="41" t="str">
        <f t="shared" si="91"/>
        <v>-</v>
      </c>
      <c r="AM156" s="6">
        <f t="shared" si="92"/>
        <v>0.9709418837675351</v>
      </c>
      <c r="AN156" s="6">
        <f t="shared" si="93"/>
        <v>1.0821585903083701</v>
      </c>
      <c r="AO156" s="6">
        <f t="shared" si="96"/>
        <v>0.19896739130434782</v>
      </c>
      <c r="AP156" s="4">
        <v>92000</v>
      </c>
      <c r="AQ156" s="4">
        <f t="shared" si="98"/>
        <v>3</v>
      </c>
      <c r="AR156" s="4">
        <f t="shared" si="99"/>
        <v>99999</v>
      </c>
      <c r="AS156" s="4" t="s">
        <v>322</v>
      </c>
      <c r="AT156" s="4" t="s">
        <v>640</v>
      </c>
      <c r="AU156" s="4"/>
      <c r="AV156" s="4"/>
      <c r="AW156" s="4" t="s">
        <v>508</v>
      </c>
      <c r="AX156" s="4">
        <v>99819</v>
      </c>
      <c r="AY156" s="4">
        <f t="shared" si="94"/>
        <v>99819</v>
      </c>
      <c r="AZ156" s="19">
        <v>4</v>
      </c>
      <c r="BA156" s="19">
        <v>9</v>
      </c>
      <c r="BB156" s="16">
        <v>1125</v>
      </c>
      <c r="BC156" t="s">
        <v>338</v>
      </c>
      <c r="BD156" t="str">
        <f t="shared" si="100"/>
        <v>-</v>
      </c>
      <c r="BE156">
        <v>89546</v>
      </c>
      <c r="BF156">
        <f t="shared" si="101"/>
        <v>96902.973127753314</v>
      </c>
      <c r="BG156" t="s">
        <v>471</v>
      </c>
    </row>
    <row r="157" spans="1:59" x14ac:dyDescent="0.4">
      <c r="A157" t="str">
        <f t="shared" si="95"/>
        <v>J762PY</v>
      </c>
      <c r="B157" s="3">
        <v>97</v>
      </c>
      <c r="C157" s="3">
        <v>97</v>
      </c>
      <c r="D157" s="4" t="s">
        <v>113</v>
      </c>
      <c r="E157" s="4" t="str">
        <f t="shared" si="79"/>
        <v>J762PY</v>
      </c>
      <c r="F157" s="4" t="s">
        <v>113</v>
      </c>
      <c r="G157" s="4" t="str">
        <f t="shared" si="80"/>
        <v>J762PY5</v>
      </c>
      <c r="H157" s="4" t="s">
        <v>242</v>
      </c>
      <c r="I157" s="5">
        <v>4905009736621</v>
      </c>
      <c r="J157" s="5">
        <v>5</v>
      </c>
      <c r="K157" s="5"/>
      <c r="L157" s="5">
        <v>1</v>
      </c>
      <c r="M157" s="5">
        <v>1</v>
      </c>
      <c r="N157" s="4">
        <v>0</v>
      </c>
      <c r="O157" s="4">
        <v>754</v>
      </c>
      <c r="P157" s="4">
        <v>530</v>
      </c>
      <c r="Q157" s="6">
        <f t="shared" si="81"/>
        <v>0.29708222811671092</v>
      </c>
      <c r="R157" s="4" t="s">
        <v>338</v>
      </c>
      <c r="S157" s="4" t="s">
        <v>338</v>
      </c>
      <c r="T157" s="4" t="s">
        <v>338</v>
      </c>
      <c r="U157" s="4">
        <v>0</v>
      </c>
      <c r="V157" s="4">
        <f t="shared" si="82"/>
        <v>0</v>
      </c>
      <c r="W157" s="4">
        <v>546</v>
      </c>
      <c r="X157" s="4">
        <f t="shared" si="83"/>
        <v>546</v>
      </c>
      <c r="Y157" s="4"/>
      <c r="Z157" s="21">
        <f t="shared" si="84"/>
        <v>777</v>
      </c>
      <c r="AA157" s="6">
        <f t="shared" si="85"/>
        <v>0.29729729729729726</v>
      </c>
      <c r="AB157" s="4">
        <v>0.5</v>
      </c>
      <c r="AC157" s="4">
        <f t="shared" si="86"/>
        <v>1376</v>
      </c>
      <c r="AD157" s="4">
        <f t="shared" si="87"/>
        <v>1417.5396226415094</v>
      </c>
      <c r="AE157" s="6">
        <f t="shared" si="88"/>
        <v>0.61482558139534882</v>
      </c>
      <c r="AF157" s="7">
        <v>840</v>
      </c>
      <c r="AG157" s="6">
        <f t="shared" si="89"/>
        <v>0.35</v>
      </c>
      <c r="AH157" s="4">
        <f t="shared" si="90"/>
        <v>294</v>
      </c>
      <c r="AI157" s="28"/>
      <c r="AJ157" s="6"/>
      <c r="AK157" s="6"/>
      <c r="AL157" s="6" t="str">
        <f t="shared" si="91"/>
        <v>-</v>
      </c>
      <c r="AM157" s="6">
        <f t="shared" si="92"/>
        <v>1.1140583554376657</v>
      </c>
      <c r="AN157" s="6">
        <f t="shared" si="93"/>
        <v>1.030188679245283</v>
      </c>
      <c r="AO157" s="6" t="str">
        <f t="shared" si="96"/>
        <v>-</v>
      </c>
      <c r="AP157" s="4" t="str">
        <f t="shared" si="97"/>
        <v>-</v>
      </c>
      <c r="AQ157" s="4" t="str">
        <f t="shared" si="98"/>
        <v>-</v>
      </c>
      <c r="AR157" s="4" t="str">
        <f t="shared" si="99"/>
        <v>-</v>
      </c>
      <c r="AS157" s="4">
        <v>0</v>
      </c>
      <c r="AT157" s="4" t="s">
        <v>641</v>
      </c>
      <c r="AU157" s="4">
        <v>1</v>
      </c>
      <c r="AV157" s="4">
        <v>2</v>
      </c>
      <c r="AW157" s="4" t="s">
        <v>642</v>
      </c>
      <c r="AX157" s="4">
        <v>2752</v>
      </c>
      <c r="AY157" s="4">
        <f t="shared" si="94"/>
        <v>1376</v>
      </c>
      <c r="AZ157" s="19">
        <v>4</v>
      </c>
      <c r="BA157" s="19">
        <v>8</v>
      </c>
      <c r="BB157" s="16">
        <v>1905</v>
      </c>
      <c r="BC157" t="s">
        <v>338</v>
      </c>
      <c r="BD157" t="str">
        <f t="shared" si="100"/>
        <v>-</v>
      </c>
      <c r="BE157">
        <v>817</v>
      </c>
      <c r="BF157">
        <f t="shared" si="101"/>
        <v>841.66415094339618</v>
      </c>
      <c r="BG157" t="s">
        <v>472</v>
      </c>
    </row>
    <row r="158" spans="1:59" x14ac:dyDescent="0.4">
      <c r="A158" t="str">
        <f t="shared" si="95"/>
        <v>J763PY</v>
      </c>
      <c r="B158" s="3">
        <v>95</v>
      </c>
      <c r="C158" s="3">
        <v>95</v>
      </c>
      <c r="D158" s="4" t="s">
        <v>112</v>
      </c>
      <c r="E158" s="4" t="str">
        <f t="shared" si="79"/>
        <v>J763PY</v>
      </c>
      <c r="F158" s="4" t="s">
        <v>112</v>
      </c>
      <c r="G158" s="4" t="str">
        <f t="shared" si="80"/>
        <v>J763PY5</v>
      </c>
      <c r="H158" s="4" t="s">
        <v>240</v>
      </c>
      <c r="I158" s="5">
        <v>4905009736638</v>
      </c>
      <c r="J158" s="5">
        <v>5</v>
      </c>
      <c r="K158" s="5"/>
      <c r="L158" s="5">
        <v>1</v>
      </c>
      <c r="M158" s="5">
        <v>1</v>
      </c>
      <c r="N158" s="4">
        <v>0</v>
      </c>
      <c r="O158" s="4">
        <v>969</v>
      </c>
      <c r="P158" s="4">
        <v>730</v>
      </c>
      <c r="Q158" s="6">
        <f t="shared" si="81"/>
        <v>0.24664602683178538</v>
      </c>
      <c r="R158" s="4" t="s">
        <v>338</v>
      </c>
      <c r="S158" s="4" t="s">
        <v>338</v>
      </c>
      <c r="T158" s="4" t="s">
        <v>338</v>
      </c>
      <c r="U158" s="4">
        <v>0</v>
      </c>
      <c r="V158" s="4">
        <f t="shared" si="82"/>
        <v>0</v>
      </c>
      <c r="W158" s="4">
        <v>752</v>
      </c>
      <c r="X158" s="4">
        <f t="shared" si="83"/>
        <v>752</v>
      </c>
      <c r="Y158" s="4"/>
      <c r="Z158" s="21">
        <f t="shared" si="84"/>
        <v>998</v>
      </c>
      <c r="AA158" s="6">
        <f t="shared" si="85"/>
        <v>0.24649298597194391</v>
      </c>
      <c r="AB158" s="4">
        <v>0</v>
      </c>
      <c r="AC158" s="4">
        <f t="shared" si="86"/>
        <v>1914</v>
      </c>
      <c r="AD158" s="4">
        <f t="shared" si="87"/>
        <v>1971.682191780822</v>
      </c>
      <c r="AE158" s="6">
        <f t="shared" si="88"/>
        <v>0.61859979101358409</v>
      </c>
      <c r="AF158" s="7">
        <v>1180</v>
      </c>
      <c r="AG158" s="6">
        <f t="shared" si="89"/>
        <v>0.36271186440677972</v>
      </c>
      <c r="AH158" s="4">
        <f t="shared" si="90"/>
        <v>428</v>
      </c>
      <c r="AI158" s="28"/>
      <c r="AJ158" s="6"/>
      <c r="AK158" s="6"/>
      <c r="AL158" s="6" t="str">
        <f t="shared" si="91"/>
        <v>-</v>
      </c>
      <c r="AM158" s="6">
        <f t="shared" si="92"/>
        <v>1.217750257997936</v>
      </c>
      <c r="AN158" s="6">
        <f t="shared" si="93"/>
        <v>1.0301369863013699</v>
      </c>
      <c r="AO158" s="6" t="str">
        <f t="shared" si="96"/>
        <v>-</v>
      </c>
      <c r="AP158" s="4" t="str">
        <f t="shared" si="97"/>
        <v>-</v>
      </c>
      <c r="AQ158" s="4" t="str">
        <f t="shared" si="98"/>
        <v>-</v>
      </c>
      <c r="AR158" s="4" t="str">
        <f t="shared" si="99"/>
        <v>-</v>
      </c>
      <c r="AS158" s="4">
        <v>0</v>
      </c>
      <c r="AT158" s="4" t="s">
        <v>643</v>
      </c>
      <c r="AU158" s="4">
        <v>1</v>
      </c>
      <c r="AV158" s="4">
        <v>2</v>
      </c>
      <c r="AW158" s="4" t="s">
        <v>642</v>
      </c>
      <c r="AX158" s="4">
        <v>3828</v>
      </c>
      <c r="AY158" s="4">
        <f t="shared" si="94"/>
        <v>1914</v>
      </c>
      <c r="AZ158" s="19">
        <v>4</v>
      </c>
      <c r="BA158" s="19">
        <v>8</v>
      </c>
      <c r="BB158" s="16">
        <v>1905</v>
      </c>
      <c r="BC158" t="s">
        <v>338</v>
      </c>
      <c r="BD158" t="str">
        <f t="shared" si="100"/>
        <v>-</v>
      </c>
      <c r="BE158" t="s">
        <v>338</v>
      </c>
      <c r="BF158" t="str">
        <f t="shared" si="101"/>
        <v>-</v>
      </c>
      <c r="BG158" t="s">
        <v>473</v>
      </c>
    </row>
    <row r="159" spans="1:59" x14ac:dyDescent="0.4">
      <c r="A159" t="str">
        <f t="shared" si="95"/>
        <v>J765PY</v>
      </c>
      <c r="B159" s="3">
        <v>111</v>
      </c>
      <c r="C159" s="3">
        <v>111</v>
      </c>
      <c r="D159" s="4" t="s">
        <v>117</v>
      </c>
      <c r="E159" s="4" t="str">
        <f t="shared" si="79"/>
        <v>J765PY</v>
      </c>
      <c r="F159" s="4" t="s">
        <v>117</v>
      </c>
      <c r="G159" s="4" t="str">
        <f t="shared" si="80"/>
        <v>J765PY5</v>
      </c>
      <c r="H159" s="4" t="s">
        <v>256</v>
      </c>
      <c r="I159" s="5">
        <v>4905009736690</v>
      </c>
      <c r="J159" s="5">
        <v>5</v>
      </c>
      <c r="K159" s="5"/>
      <c r="L159" s="5">
        <v>1</v>
      </c>
      <c r="M159" s="5">
        <v>1</v>
      </c>
      <c r="N159" s="4">
        <v>0</v>
      </c>
      <c r="O159" s="4">
        <v>1285</v>
      </c>
      <c r="P159" s="4">
        <v>900</v>
      </c>
      <c r="Q159" s="6">
        <f t="shared" si="81"/>
        <v>0.29961089494163429</v>
      </c>
      <c r="R159" s="4" t="s">
        <v>338</v>
      </c>
      <c r="S159" s="4" t="s">
        <v>338</v>
      </c>
      <c r="T159" s="4" t="s">
        <v>338</v>
      </c>
      <c r="U159" s="4">
        <v>0</v>
      </c>
      <c r="V159" s="4">
        <f t="shared" si="82"/>
        <v>0</v>
      </c>
      <c r="W159" s="4">
        <v>928</v>
      </c>
      <c r="X159" s="4">
        <f t="shared" si="83"/>
        <v>928</v>
      </c>
      <c r="Y159" s="4"/>
      <c r="Z159" s="21">
        <f t="shared" si="84"/>
        <v>1325</v>
      </c>
      <c r="AA159" s="6">
        <f t="shared" si="85"/>
        <v>0.29962264150943396</v>
      </c>
      <c r="AB159" s="4">
        <v>0.75</v>
      </c>
      <c r="AC159" s="4" t="str">
        <f t="shared" si="86"/>
        <v>-</v>
      </c>
      <c r="AD159" s="4" t="str">
        <f t="shared" si="87"/>
        <v>-</v>
      </c>
      <c r="AE159" s="6" t="str">
        <f t="shared" si="88"/>
        <v>-</v>
      </c>
      <c r="AF159" s="7">
        <v>1480</v>
      </c>
      <c r="AG159" s="6">
        <f t="shared" si="89"/>
        <v>0.37297297297297294</v>
      </c>
      <c r="AH159" s="4">
        <f t="shared" si="90"/>
        <v>552</v>
      </c>
      <c r="AI159" s="28"/>
      <c r="AJ159" s="6"/>
      <c r="AK159" s="6"/>
      <c r="AL159" s="6" t="str">
        <f t="shared" si="91"/>
        <v>-</v>
      </c>
      <c r="AM159" s="6">
        <f t="shared" si="92"/>
        <v>1.1517509727626458</v>
      </c>
      <c r="AN159" s="6">
        <f t="shared" si="93"/>
        <v>1.0311111111111111</v>
      </c>
      <c r="AO159" s="6" t="str">
        <f t="shared" si="96"/>
        <v>-</v>
      </c>
      <c r="AP159" s="4" t="str">
        <f t="shared" si="97"/>
        <v>-</v>
      </c>
      <c r="AQ159" s="4" t="str">
        <f t="shared" si="98"/>
        <v>-</v>
      </c>
      <c r="AR159" s="4" t="str">
        <f t="shared" si="99"/>
        <v>-</v>
      </c>
      <c r="AS159" s="4">
        <v>0</v>
      </c>
      <c r="AT159" s="4" t="s">
        <v>338</v>
      </c>
      <c r="AU159" s="4"/>
      <c r="AV159" s="4"/>
      <c r="AW159" s="4" t="s">
        <v>338</v>
      </c>
      <c r="AX159" s="4" t="s">
        <v>338</v>
      </c>
      <c r="AY159" s="4" t="str">
        <f t="shared" si="94"/>
        <v>-</v>
      </c>
      <c r="AZ159" s="19">
        <v>4</v>
      </c>
      <c r="BA159" s="19">
        <v>8</v>
      </c>
      <c r="BB159" s="16">
        <v>1905</v>
      </c>
      <c r="BC159" t="s">
        <v>338</v>
      </c>
      <c r="BD159" t="str">
        <f t="shared" si="100"/>
        <v>-</v>
      </c>
      <c r="BE159">
        <v>1135</v>
      </c>
      <c r="BF159">
        <f t="shared" si="101"/>
        <v>1170.3111111111111</v>
      </c>
      <c r="BG159" t="s">
        <v>338</v>
      </c>
    </row>
    <row r="160" spans="1:59" x14ac:dyDescent="0.4">
      <c r="A160" t="str">
        <f t="shared" si="95"/>
        <v>662574</v>
      </c>
      <c r="B160" s="37">
        <v>96</v>
      </c>
      <c r="C160" s="3">
        <v>96</v>
      </c>
      <c r="D160" s="4">
        <v>662574</v>
      </c>
      <c r="E160" s="4" t="str">
        <f t="shared" si="79"/>
        <v>662574</v>
      </c>
      <c r="F160" s="4">
        <v>662574</v>
      </c>
      <c r="G160" s="4" t="str">
        <f t="shared" si="80"/>
        <v>6625745</v>
      </c>
      <c r="H160" s="4" t="s">
        <v>241</v>
      </c>
      <c r="I160" s="5">
        <v>4905009736706</v>
      </c>
      <c r="J160" s="5">
        <v>5</v>
      </c>
      <c r="K160" s="5"/>
      <c r="L160" s="5">
        <v>1</v>
      </c>
      <c r="M160" s="5">
        <v>1</v>
      </c>
      <c r="N160" s="4">
        <v>0</v>
      </c>
      <c r="O160" s="4">
        <v>2336</v>
      </c>
      <c r="P160" s="4">
        <v>1320</v>
      </c>
      <c r="Q160" s="6">
        <f t="shared" si="81"/>
        <v>0.43493150684931503</v>
      </c>
      <c r="R160" s="4" t="s">
        <v>338</v>
      </c>
      <c r="S160" s="4" t="s">
        <v>338</v>
      </c>
      <c r="T160" s="4" t="s">
        <v>338</v>
      </c>
      <c r="U160" s="4">
        <v>0</v>
      </c>
      <c r="V160" s="4">
        <f t="shared" si="82"/>
        <v>0</v>
      </c>
      <c r="W160" s="4">
        <v>1360</v>
      </c>
      <c r="X160" s="4">
        <f t="shared" si="83"/>
        <v>1360</v>
      </c>
      <c r="Y160" s="4"/>
      <c r="Z160" s="21">
        <f t="shared" si="84"/>
        <v>2407</v>
      </c>
      <c r="AA160" s="6">
        <f t="shared" si="85"/>
        <v>0.43498130452845862</v>
      </c>
      <c r="AB160" s="4">
        <v>4.75</v>
      </c>
      <c r="AC160" s="4">
        <f t="shared" si="86"/>
        <v>1632</v>
      </c>
      <c r="AD160" s="4">
        <f t="shared" si="87"/>
        <v>1681.4545454545455</v>
      </c>
      <c r="AE160" s="6">
        <f t="shared" si="88"/>
        <v>0.19117647058823528</v>
      </c>
      <c r="AF160" s="7">
        <v>2380</v>
      </c>
      <c r="AG160" s="6">
        <f t="shared" si="89"/>
        <v>0.4285714285714286</v>
      </c>
      <c r="AH160" s="38">
        <f t="shared" si="90"/>
        <v>1020</v>
      </c>
      <c r="AI160" s="28"/>
      <c r="AJ160" s="6"/>
      <c r="AK160" s="6"/>
      <c r="AL160" s="6" t="str">
        <f t="shared" si="91"/>
        <v>-</v>
      </c>
      <c r="AM160" s="6">
        <f t="shared" si="92"/>
        <v>1.0188356164383561</v>
      </c>
      <c r="AN160" s="6">
        <f t="shared" si="93"/>
        <v>1.0303030303030303</v>
      </c>
      <c r="AO160" s="6" t="str">
        <f t="shared" si="96"/>
        <v>-</v>
      </c>
      <c r="AP160" s="4" t="str">
        <f t="shared" si="97"/>
        <v>-</v>
      </c>
      <c r="AQ160" s="4" t="str">
        <f t="shared" si="98"/>
        <v>-</v>
      </c>
      <c r="AR160" s="4" t="str">
        <f t="shared" si="99"/>
        <v>-</v>
      </c>
      <c r="AS160" s="4" t="s">
        <v>328</v>
      </c>
      <c r="AT160" s="4" t="s">
        <v>644</v>
      </c>
      <c r="AU160" s="4"/>
      <c r="AV160" s="4"/>
      <c r="AW160" s="4" t="s">
        <v>492</v>
      </c>
      <c r="AX160" s="4">
        <v>1632</v>
      </c>
      <c r="AY160" s="4">
        <f t="shared" si="94"/>
        <v>1632</v>
      </c>
      <c r="AZ160" s="19">
        <v>2</v>
      </c>
      <c r="BA160" s="19">
        <v>1</v>
      </c>
      <c r="BB160" s="16">
        <v>1905</v>
      </c>
      <c r="BC160" t="s">
        <v>338</v>
      </c>
      <c r="BD160" t="str">
        <f t="shared" si="100"/>
        <v>-</v>
      </c>
      <c r="BE160">
        <v>1555</v>
      </c>
      <c r="BF160">
        <f t="shared" si="101"/>
        <v>1602.121212121212</v>
      </c>
      <c r="BG160" t="s">
        <v>474</v>
      </c>
    </row>
    <row r="161" spans="1:59" x14ac:dyDescent="0.4">
      <c r="A161" t="str">
        <f t="shared" si="95"/>
        <v>J764PY</v>
      </c>
      <c r="B161" s="37">
        <v>110</v>
      </c>
      <c r="C161" s="3">
        <v>110</v>
      </c>
      <c r="D161" s="4" t="s">
        <v>116</v>
      </c>
      <c r="E161" s="4" t="str">
        <f t="shared" si="79"/>
        <v>J764PY</v>
      </c>
      <c r="F161" s="4" t="s">
        <v>116</v>
      </c>
      <c r="G161" s="4" t="str">
        <f t="shared" si="80"/>
        <v>J764PY5</v>
      </c>
      <c r="H161" s="4" t="s">
        <v>255</v>
      </c>
      <c r="I161" s="5">
        <v>4905009736645</v>
      </c>
      <c r="J161" s="5">
        <v>5</v>
      </c>
      <c r="K161" s="5"/>
      <c r="L161" s="5">
        <v>1</v>
      </c>
      <c r="M161" s="5">
        <v>1</v>
      </c>
      <c r="N161" s="4">
        <v>0</v>
      </c>
      <c r="O161" s="4">
        <v>2416</v>
      </c>
      <c r="P161" s="4">
        <v>1400</v>
      </c>
      <c r="Q161" s="6">
        <f t="shared" si="81"/>
        <v>0.42052980132450335</v>
      </c>
      <c r="R161" s="4" t="s">
        <v>338</v>
      </c>
      <c r="S161" s="4" t="s">
        <v>338</v>
      </c>
      <c r="T161" s="4" t="s">
        <v>338</v>
      </c>
      <c r="U161" s="4">
        <v>0</v>
      </c>
      <c r="V161" s="4">
        <f t="shared" si="82"/>
        <v>0</v>
      </c>
      <c r="W161" s="4">
        <v>1443</v>
      </c>
      <c r="X161" s="4">
        <f t="shared" si="83"/>
        <v>1443</v>
      </c>
      <c r="Y161" s="4"/>
      <c r="Z161" s="21">
        <f t="shared" si="84"/>
        <v>2490</v>
      </c>
      <c r="AA161" s="6">
        <f t="shared" si="85"/>
        <v>0.42048192771084336</v>
      </c>
      <c r="AB161" s="4">
        <v>2.75</v>
      </c>
      <c r="AC161" s="4">
        <f t="shared" si="86"/>
        <v>3614</v>
      </c>
      <c r="AD161" s="4">
        <f t="shared" si="87"/>
        <v>3725.0014285714283</v>
      </c>
      <c r="AE161" s="6">
        <f t="shared" si="88"/>
        <v>0.61261759822910899</v>
      </c>
      <c r="AF161" s="7">
        <v>2480</v>
      </c>
      <c r="AG161" s="6">
        <f t="shared" si="89"/>
        <v>0.41814516129032253</v>
      </c>
      <c r="AH161" s="38">
        <f t="shared" si="90"/>
        <v>1037</v>
      </c>
      <c r="AI161" s="28"/>
      <c r="AJ161" s="6"/>
      <c r="AK161" s="6"/>
      <c r="AL161" s="6" t="str">
        <f t="shared" si="91"/>
        <v>-</v>
      </c>
      <c r="AM161" s="6">
        <f t="shared" si="92"/>
        <v>1.0264900662251655</v>
      </c>
      <c r="AN161" s="6">
        <f t="shared" si="93"/>
        <v>1.0307142857142857</v>
      </c>
      <c r="AO161" s="6" t="str">
        <f t="shared" si="96"/>
        <v>-</v>
      </c>
      <c r="AP161" s="4" t="str">
        <f t="shared" si="97"/>
        <v>-</v>
      </c>
      <c r="AQ161" s="4" t="str">
        <f t="shared" si="98"/>
        <v>-</v>
      </c>
      <c r="AR161" s="4" t="str">
        <f t="shared" si="99"/>
        <v>-</v>
      </c>
      <c r="AS161" s="4">
        <v>0</v>
      </c>
      <c r="AT161" s="4" t="s">
        <v>645</v>
      </c>
      <c r="AU161" s="4"/>
      <c r="AV161" s="4"/>
      <c r="AW161" s="4" t="s">
        <v>492</v>
      </c>
      <c r="AX161" s="4">
        <v>3614</v>
      </c>
      <c r="AY161" s="4">
        <f t="shared" si="94"/>
        <v>3614</v>
      </c>
      <c r="AZ161" s="19">
        <v>2</v>
      </c>
      <c r="BA161" s="19">
        <v>8</v>
      </c>
      <c r="BB161" s="16">
        <v>1905</v>
      </c>
      <c r="BC161" t="s">
        <v>338</v>
      </c>
      <c r="BD161" t="str">
        <f t="shared" si="100"/>
        <v>-</v>
      </c>
      <c r="BE161">
        <v>2190</v>
      </c>
      <c r="BF161">
        <f t="shared" si="101"/>
        <v>2257.2642857142855</v>
      </c>
      <c r="BG161" t="s">
        <v>475</v>
      </c>
    </row>
    <row r="162" spans="1:59" x14ac:dyDescent="0.4">
      <c r="A162" t="str">
        <f t="shared" si="95"/>
        <v>415125</v>
      </c>
      <c r="B162" s="37">
        <v>104</v>
      </c>
      <c r="C162" s="3">
        <v>104</v>
      </c>
      <c r="D162" s="4">
        <v>415125</v>
      </c>
      <c r="E162" s="4" t="str">
        <f t="shared" si="79"/>
        <v>415125</v>
      </c>
      <c r="F162" s="4">
        <v>415125</v>
      </c>
      <c r="G162" s="4" t="str">
        <f t="shared" si="80"/>
        <v>4151255</v>
      </c>
      <c r="H162" s="4" t="s">
        <v>249</v>
      </c>
      <c r="I162" s="5">
        <v>4905009387632</v>
      </c>
      <c r="J162" s="5">
        <v>5</v>
      </c>
      <c r="K162" s="5"/>
      <c r="L162" s="5">
        <v>1</v>
      </c>
      <c r="M162" s="5">
        <v>1</v>
      </c>
      <c r="N162" s="4">
        <v>0</v>
      </c>
      <c r="O162" s="4">
        <v>2740</v>
      </c>
      <c r="P162" s="4">
        <v>1700</v>
      </c>
      <c r="Q162" s="6">
        <f t="shared" si="81"/>
        <v>0.37956204379562042</v>
      </c>
      <c r="R162" s="4" t="s">
        <v>338</v>
      </c>
      <c r="S162" s="4" t="s">
        <v>338</v>
      </c>
      <c r="T162" s="4" t="s">
        <v>338</v>
      </c>
      <c r="U162" s="4">
        <v>0</v>
      </c>
      <c r="V162" s="4">
        <f t="shared" si="82"/>
        <v>0</v>
      </c>
      <c r="W162" s="4">
        <v>1752</v>
      </c>
      <c r="X162" s="4">
        <f t="shared" si="83"/>
        <v>1752</v>
      </c>
      <c r="Y162" s="4"/>
      <c r="Z162" s="21">
        <f t="shared" si="84"/>
        <v>2824</v>
      </c>
      <c r="AA162" s="6">
        <f t="shared" si="85"/>
        <v>0.3796033994334278</v>
      </c>
      <c r="AB162" s="4">
        <v>2.25</v>
      </c>
      <c r="AC162" s="4">
        <f t="shared" si="86"/>
        <v>3030</v>
      </c>
      <c r="AD162" s="4">
        <f t="shared" si="87"/>
        <v>3122.6823529411763</v>
      </c>
      <c r="AE162" s="6">
        <f t="shared" si="88"/>
        <v>0.43894389438943893</v>
      </c>
      <c r="AF162" s="7">
        <v>2880</v>
      </c>
      <c r="AG162" s="6">
        <f t="shared" si="89"/>
        <v>0.39166666666666672</v>
      </c>
      <c r="AH162" s="38">
        <f t="shared" si="90"/>
        <v>1128</v>
      </c>
      <c r="AI162" s="28"/>
      <c r="AJ162" s="6"/>
      <c r="AK162" s="6"/>
      <c r="AL162" s="6" t="str">
        <f t="shared" si="91"/>
        <v>-</v>
      </c>
      <c r="AM162" s="6">
        <f t="shared" si="92"/>
        <v>1.051094890510949</v>
      </c>
      <c r="AN162" s="6">
        <f t="shared" si="93"/>
        <v>1.0305882352941176</v>
      </c>
      <c r="AO162" s="6" t="str">
        <f t="shared" si="96"/>
        <v>-</v>
      </c>
      <c r="AP162" s="4" t="str">
        <f t="shared" si="97"/>
        <v>-</v>
      </c>
      <c r="AQ162" s="4" t="str">
        <f t="shared" si="98"/>
        <v>-</v>
      </c>
      <c r="AR162" s="4" t="str">
        <f t="shared" si="99"/>
        <v>-</v>
      </c>
      <c r="AS162" s="4" t="s">
        <v>329</v>
      </c>
      <c r="AT162" s="4" t="s">
        <v>646</v>
      </c>
      <c r="AU162" s="4"/>
      <c r="AV162" s="4"/>
      <c r="AW162" s="4" t="s">
        <v>489</v>
      </c>
      <c r="AX162" s="4">
        <v>3030</v>
      </c>
      <c r="AY162" s="4">
        <f t="shared" si="94"/>
        <v>3030</v>
      </c>
      <c r="AZ162" s="19">
        <v>2</v>
      </c>
      <c r="BA162" s="19">
        <v>1</v>
      </c>
      <c r="BB162" s="16">
        <v>1905</v>
      </c>
      <c r="BC162" t="s">
        <v>338</v>
      </c>
      <c r="BD162" t="str">
        <f t="shared" si="100"/>
        <v>-</v>
      </c>
      <c r="BE162">
        <v>2924</v>
      </c>
      <c r="BF162">
        <f t="shared" si="101"/>
        <v>3013.4399999999996</v>
      </c>
      <c r="BG162" t="s">
        <v>476</v>
      </c>
    </row>
    <row r="163" spans="1:59" x14ac:dyDescent="0.4">
      <c r="A163" t="str">
        <f t="shared" si="95"/>
        <v>J766PY</v>
      </c>
      <c r="B163" s="37">
        <v>102</v>
      </c>
      <c r="C163" s="3">
        <v>102</v>
      </c>
      <c r="D163" s="4" t="s">
        <v>114</v>
      </c>
      <c r="E163" s="4" t="str">
        <f t="shared" si="79"/>
        <v>J766PY</v>
      </c>
      <c r="F163" s="4" t="s">
        <v>114</v>
      </c>
      <c r="G163" s="4" t="str">
        <f t="shared" si="80"/>
        <v>J766PY5</v>
      </c>
      <c r="H163" s="4" t="s">
        <v>247</v>
      </c>
      <c r="I163" s="5">
        <v>4905009371556</v>
      </c>
      <c r="J163" s="5">
        <v>5</v>
      </c>
      <c r="K163" s="5"/>
      <c r="L163" s="5">
        <v>1</v>
      </c>
      <c r="M163" s="5">
        <v>1</v>
      </c>
      <c r="N163" s="4">
        <v>0</v>
      </c>
      <c r="O163" s="4">
        <v>3080</v>
      </c>
      <c r="P163" s="4">
        <v>1740</v>
      </c>
      <c r="Q163" s="6">
        <f t="shared" si="81"/>
        <v>0.43506493506493504</v>
      </c>
      <c r="R163" s="4" t="s">
        <v>338</v>
      </c>
      <c r="S163" s="4" t="s">
        <v>338</v>
      </c>
      <c r="T163" s="4" t="s">
        <v>338</v>
      </c>
      <c r="U163" s="4">
        <v>0</v>
      </c>
      <c r="V163" s="4">
        <f t="shared" si="82"/>
        <v>0</v>
      </c>
      <c r="W163" s="4">
        <v>1793</v>
      </c>
      <c r="X163" s="4">
        <f t="shared" si="83"/>
        <v>1793</v>
      </c>
      <c r="Y163" s="4"/>
      <c r="Z163" s="21">
        <f t="shared" si="84"/>
        <v>3174</v>
      </c>
      <c r="AA163" s="6">
        <f t="shared" si="85"/>
        <v>0.43509766855702581</v>
      </c>
      <c r="AB163" s="4">
        <v>0.75</v>
      </c>
      <c r="AC163" s="4">
        <f t="shared" si="86"/>
        <v>2682</v>
      </c>
      <c r="AD163" s="4">
        <f t="shared" si="87"/>
        <v>2763.6931034482759</v>
      </c>
      <c r="AE163" s="6">
        <f t="shared" si="88"/>
        <v>0.35123042505592839</v>
      </c>
      <c r="AF163" s="7">
        <v>2763</v>
      </c>
      <c r="AG163" s="6">
        <f t="shared" si="89"/>
        <v>0.35106768005790812</v>
      </c>
      <c r="AH163" s="38">
        <f t="shared" si="90"/>
        <v>970</v>
      </c>
      <c r="AI163" s="28"/>
      <c r="AJ163" s="6"/>
      <c r="AK163" s="6"/>
      <c r="AL163" s="6" t="str">
        <f t="shared" si="91"/>
        <v>-</v>
      </c>
      <c r="AM163" s="6">
        <f t="shared" si="92"/>
        <v>0.89707792207792203</v>
      </c>
      <c r="AN163" s="6">
        <f t="shared" si="93"/>
        <v>1.0304597701149425</v>
      </c>
      <c r="AO163" s="6" t="str">
        <f t="shared" si="96"/>
        <v>-</v>
      </c>
      <c r="AP163" s="4" t="str">
        <f t="shared" si="97"/>
        <v>-</v>
      </c>
      <c r="AQ163" s="4" t="str">
        <f t="shared" si="98"/>
        <v>-</v>
      </c>
      <c r="AR163" s="4" t="str">
        <f t="shared" si="99"/>
        <v>-</v>
      </c>
      <c r="AS163" s="4">
        <v>0</v>
      </c>
      <c r="AT163" s="4" t="s">
        <v>647</v>
      </c>
      <c r="AU163" s="4"/>
      <c r="AV163" s="4"/>
      <c r="AW163" s="4" t="s">
        <v>519</v>
      </c>
      <c r="AX163" s="4">
        <v>2682</v>
      </c>
      <c r="AY163" s="4">
        <f t="shared" si="94"/>
        <v>2682</v>
      </c>
      <c r="AZ163" s="19">
        <v>2</v>
      </c>
      <c r="BA163" s="19">
        <v>8</v>
      </c>
      <c r="BB163" s="16">
        <v>1905</v>
      </c>
      <c r="BC163" t="s">
        <v>338</v>
      </c>
      <c r="BD163" t="str">
        <f t="shared" si="100"/>
        <v>-</v>
      </c>
      <c r="BE163">
        <v>2712</v>
      </c>
      <c r="BF163">
        <f t="shared" si="101"/>
        <v>2794.6068965517243</v>
      </c>
      <c r="BG163" t="s">
        <v>477</v>
      </c>
    </row>
    <row r="164" spans="1:59" x14ac:dyDescent="0.4">
      <c r="A164" t="str">
        <f t="shared" si="95"/>
        <v>677029</v>
      </c>
      <c r="B164" s="37">
        <v>108</v>
      </c>
      <c r="C164" s="3">
        <v>108</v>
      </c>
      <c r="D164" s="4">
        <v>677029</v>
      </c>
      <c r="E164" s="4" t="str">
        <f t="shared" ref="E164:E177" si="102">TEXT(D164,"000000")</f>
        <v>677029</v>
      </c>
      <c r="F164" s="4">
        <v>677029</v>
      </c>
      <c r="G164" s="4" t="str">
        <f t="shared" ref="G164:G177" si="103">E164&amp;J164</f>
        <v>6770295</v>
      </c>
      <c r="H164" s="4" t="s">
        <v>253</v>
      </c>
      <c r="I164" s="5">
        <v>4905009712854</v>
      </c>
      <c r="J164" s="5">
        <v>5</v>
      </c>
      <c r="K164" s="5"/>
      <c r="L164" s="5">
        <v>1</v>
      </c>
      <c r="M164" s="5">
        <v>1</v>
      </c>
      <c r="N164" s="4">
        <v>0</v>
      </c>
      <c r="O164" s="4">
        <v>2750</v>
      </c>
      <c r="P164" s="4">
        <v>1800</v>
      </c>
      <c r="Q164" s="6">
        <f t="shared" ref="Q164:Q177" si="104">IFERROR(1-P164/O164,"-")</f>
        <v>0.34545454545454546</v>
      </c>
      <c r="R164" s="4" t="s">
        <v>338</v>
      </c>
      <c r="S164" s="4" t="s">
        <v>338</v>
      </c>
      <c r="T164" s="4" t="s">
        <v>338</v>
      </c>
      <c r="U164" s="4">
        <v>0</v>
      </c>
      <c r="V164" s="4">
        <f t="shared" ref="V164:V177" si="105">IF(Y164="",U164,U164*Y164)</f>
        <v>0</v>
      </c>
      <c r="W164" s="4">
        <v>1855</v>
      </c>
      <c r="X164" s="4">
        <f t="shared" ref="X164:X177" si="106">IF(Y164="",W164,W164*Y164)</f>
        <v>1855</v>
      </c>
      <c r="Y164" s="4"/>
      <c r="Z164" s="21">
        <f t="shared" ref="Z164:Z177" si="107">ROUND(O164*AN164,0)</f>
        <v>2834</v>
      </c>
      <c r="AA164" s="6">
        <f t="shared" ref="AA164:AA177" si="108">IFERROR(1-X164/Z164,"-")</f>
        <v>0.34544812985179962</v>
      </c>
      <c r="AB164" s="4">
        <v>6</v>
      </c>
      <c r="AC164" s="4">
        <f t="shared" ref="AC164:AC177" si="109">AY164</f>
        <v>3164</v>
      </c>
      <c r="AD164" s="4">
        <f t="shared" ref="AD164:AD177" si="110">IFERROR(AC164*AN164,"-")</f>
        <v>3260.6777777777775</v>
      </c>
      <c r="AE164" s="6">
        <f t="shared" ref="AE164:AE177" si="111">IFERROR(1-X164/AD164,"-")</f>
        <v>0.43109987357774959</v>
      </c>
      <c r="AF164" s="7">
        <v>2830</v>
      </c>
      <c r="AG164" s="6">
        <f t="shared" ref="AG164:AG177" si="112">1-X164/AF164</f>
        <v>0.34452296819787986</v>
      </c>
      <c r="AH164" s="38">
        <f t="shared" ref="AH164:AH177" si="113">AF164-X164</f>
        <v>975</v>
      </c>
      <c r="AI164" s="28"/>
      <c r="AJ164" s="6"/>
      <c r="AK164" s="6"/>
      <c r="AL164" s="6" t="str">
        <f t="shared" ref="AL164:AL177" si="114">IFERROR(V164/N164,"-")</f>
        <v>-</v>
      </c>
      <c r="AM164" s="6">
        <f t="shared" ref="AM164:AM177" si="115">IFERROR(AF164/O164,"-")</f>
        <v>1.0290909090909091</v>
      </c>
      <c r="AN164" s="6">
        <f t="shared" ref="AN164:AN177" si="116">IFERROR(X164/P164,"-")</f>
        <v>1.0305555555555554</v>
      </c>
      <c r="AO164" s="6" t="str">
        <f t="shared" si="96"/>
        <v>-</v>
      </c>
      <c r="AP164" s="4" t="str">
        <f t="shared" si="97"/>
        <v>-</v>
      </c>
      <c r="AQ164" s="4" t="str">
        <f t="shared" si="98"/>
        <v>-</v>
      </c>
      <c r="AR164" s="4" t="str">
        <f t="shared" si="99"/>
        <v>-</v>
      </c>
      <c r="AS164" s="4" t="s">
        <v>329</v>
      </c>
      <c r="AT164" s="4" t="s">
        <v>648</v>
      </c>
      <c r="AU164" s="4"/>
      <c r="AV164" s="4"/>
      <c r="AW164" s="4" t="s">
        <v>489</v>
      </c>
      <c r="AX164" s="4">
        <v>3164</v>
      </c>
      <c r="AY164" s="4">
        <f t="shared" ref="AY164:AY177" si="117">IF(AU164="",AX164,AU164/AV164*AX164)</f>
        <v>3164</v>
      </c>
      <c r="AZ164" s="19">
        <v>2</v>
      </c>
      <c r="BA164" s="19">
        <v>1</v>
      </c>
      <c r="BB164" s="16">
        <v>1905</v>
      </c>
      <c r="BC164" t="s">
        <v>338</v>
      </c>
      <c r="BD164" t="str">
        <f t="shared" si="100"/>
        <v>-</v>
      </c>
      <c r="BE164">
        <v>2727</v>
      </c>
      <c r="BF164">
        <f t="shared" si="101"/>
        <v>2810.3249999999998</v>
      </c>
      <c r="BG164" t="s">
        <v>478</v>
      </c>
    </row>
    <row r="165" spans="1:59" x14ac:dyDescent="0.4">
      <c r="A165" t="str">
        <f t="shared" si="95"/>
        <v>677030</v>
      </c>
      <c r="B165" s="37">
        <v>109</v>
      </c>
      <c r="C165" s="3">
        <v>109</v>
      </c>
      <c r="D165" s="4">
        <v>677030</v>
      </c>
      <c r="E165" s="4" t="str">
        <f t="shared" si="102"/>
        <v>677030</v>
      </c>
      <c r="F165" s="4">
        <v>677030</v>
      </c>
      <c r="G165" s="4" t="str">
        <f t="shared" si="103"/>
        <v>6770305</v>
      </c>
      <c r="H165" s="4" t="s">
        <v>254</v>
      </c>
      <c r="I165" s="5">
        <v>4905009712861</v>
      </c>
      <c r="J165" s="5">
        <v>5</v>
      </c>
      <c r="K165" s="5"/>
      <c r="L165" s="5">
        <v>1</v>
      </c>
      <c r="M165" s="5">
        <v>1</v>
      </c>
      <c r="N165" s="4">
        <v>0</v>
      </c>
      <c r="O165" s="4">
        <v>2750</v>
      </c>
      <c r="P165" s="4">
        <v>1800</v>
      </c>
      <c r="Q165" s="6">
        <f t="shared" si="104"/>
        <v>0.34545454545454546</v>
      </c>
      <c r="R165" s="4" t="s">
        <v>338</v>
      </c>
      <c r="S165" s="4" t="s">
        <v>338</v>
      </c>
      <c r="T165" s="4" t="s">
        <v>338</v>
      </c>
      <c r="U165" s="4">
        <v>0</v>
      </c>
      <c r="V165" s="4">
        <f t="shared" si="105"/>
        <v>0</v>
      </c>
      <c r="W165" s="4">
        <v>1855</v>
      </c>
      <c r="X165" s="4">
        <f t="shared" si="106"/>
        <v>1855</v>
      </c>
      <c r="Y165" s="4"/>
      <c r="Z165" s="21">
        <f t="shared" si="107"/>
        <v>2834</v>
      </c>
      <c r="AA165" s="6">
        <f t="shared" si="108"/>
        <v>0.34544812985179962</v>
      </c>
      <c r="AB165" s="4">
        <v>5.75</v>
      </c>
      <c r="AC165" s="4">
        <f t="shared" si="109"/>
        <v>4300</v>
      </c>
      <c r="AD165" s="4">
        <f t="shared" si="110"/>
        <v>4431.3888888888887</v>
      </c>
      <c r="AE165" s="6">
        <f t="shared" si="111"/>
        <v>0.58139534883720922</v>
      </c>
      <c r="AF165" s="7">
        <v>2830</v>
      </c>
      <c r="AG165" s="6">
        <f t="shared" si="112"/>
        <v>0.34452296819787986</v>
      </c>
      <c r="AH165" s="38">
        <f t="shared" si="113"/>
        <v>975</v>
      </c>
      <c r="AI165" s="28"/>
      <c r="AJ165" s="6"/>
      <c r="AK165" s="6"/>
      <c r="AL165" s="6" t="str">
        <f t="shared" si="114"/>
        <v>-</v>
      </c>
      <c r="AM165" s="6">
        <f t="shared" si="115"/>
        <v>1.0290909090909091</v>
      </c>
      <c r="AN165" s="6">
        <f t="shared" si="116"/>
        <v>1.0305555555555554</v>
      </c>
      <c r="AO165" s="6" t="str">
        <f t="shared" si="96"/>
        <v>-</v>
      </c>
      <c r="AP165" s="4" t="str">
        <f t="shared" si="97"/>
        <v>-</v>
      </c>
      <c r="AQ165" s="4" t="str">
        <f t="shared" si="98"/>
        <v>-</v>
      </c>
      <c r="AR165" s="4" t="str">
        <f t="shared" si="99"/>
        <v>-</v>
      </c>
      <c r="AS165" s="4" t="s">
        <v>329</v>
      </c>
      <c r="AT165" s="4" t="s">
        <v>649</v>
      </c>
      <c r="AU165" s="4"/>
      <c r="AV165" s="4"/>
      <c r="AW165" s="4" t="s">
        <v>508</v>
      </c>
      <c r="AX165" s="4">
        <v>4300</v>
      </c>
      <c r="AY165" s="4">
        <f t="shared" si="117"/>
        <v>4300</v>
      </c>
      <c r="AZ165" s="19">
        <v>2</v>
      </c>
      <c r="BA165" s="19">
        <v>1</v>
      </c>
      <c r="BB165" s="16">
        <v>1905</v>
      </c>
      <c r="BC165" t="s">
        <v>338</v>
      </c>
      <c r="BD165" t="str">
        <f t="shared" si="100"/>
        <v>-</v>
      </c>
      <c r="BE165">
        <v>2727</v>
      </c>
      <c r="BF165">
        <f t="shared" si="101"/>
        <v>2810.3249999999998</v>
      </c>
      <c r="BG165" t="s">
        <v>479</v>
      </c>
    </row>
    <row r="166" spans="1:59" x14ac:dyDescent="0.4">
      <c r="A166" t="str">
        <f t="shared" si="95"/>
        <v>677031</v>
      </c>
      <c r="B166" s="37">
        <v>98</v>
      </c>
      <c r="C166" s="3">
        <v>98</v>
      </c>
      <c r="D166" s="4">
        <v>677031</v>
      </c>
      <c r="E166" s="4" t="str">
        <f t="shared" si="102"/>
        <v>677031</v>
      </c>
      <c r="F166" s="4">
        <v>677031</v>
      </c>
      <c r="G166" s="4" t="str">
        <f t="shared" si="103"/>
        <v>6770315</v>
      </c>
      <c r="H166" s="4" t="s">
        <v>243</v>
      </c>
      <c r="I166" s="5">
        <v>4905009712878</v>
      </c>
      <c r="J166" s="5">
        <v>5</v>
      </c>
      <c r="K166" s="5"/>
      <c r="L166" s="5">
        <v>1</v>
      </c>
      <c r="M166" s="5">
        <v>1</v>
      </c>
      <c r="N166" s="4">
        <v>0</v>
      </c>
      <c r="O166" s="4">
        <v>3774</v>
      </c>
      <c r="P166" s="4">
        <v>2400</v>
      </c>
      <c r="Q166" s="6">
        <f t="shared" si="104"/>
        <v>0.36406995230524641</v>
      </c>
      <c r="R166" s="4" t="s">
        <v>338</v>
      </c>
      <c r="S166" s="4" t="s">
        <v>338</v>
      </c>
      <c r="T166" s="4" t="s">
        <v>338</v>
      </c>
      <c r="U166" s="4">
        <v>0</v>
      </c>
      <c r="V166" s="4">
        <f t="shared" si="105"/>
        <v>0</v>
      </c>
      <c r="W166" s="4">
        <v>2473</v>
      </c>
      <c r="X166" s="4">
        <f t="shared" si="106"/>
        <v>2473</v>
      </c>
      <c r="Y166" s="4"/>
      <c r="Z166" s="21">
        <f t="shared" si="107"/>
        <v>3889</v>
      </c>
      <c r="AA166" s="6">
        <f t="shared" si="108"/>
        <v>0.3641038827462072</v>
      </c>
      <c r="AB166" s="4">
        <v>6</v>
      </c>
      <c r="AC166" s="4">
        <f t="shared" si="109"/>
        <v>5577</v>
      </c>
      <c r="AD166" s="4">
        <f t="shared" si="110"/>
        <v>5746.6337500000009</v>
      </c>
      <c r="AE166" s="6">
        <f t="shared" si="111"/>
        <v>0.56966110812264659</v>
      </c>
      <c r="AF166" s="7">
        <v>3900</v>
      </c>
      <c r="AG166" s="6">
        <f t="shared" si="112"/>
        <v>0.36589743589743595</v>
      </c>
      <c r="AH166" s="38">
        <f t="shared" si="113"/>
        <v>1427</v>
      </c>
      <c r="AI166" s="28"/>
      <c r="AJ166" s="6"/>
      <c r="AK166" s="6"/>
      <c r="AL166" s="6" t="str">
        <f t="shared" si="114"/>
        <v>-</v>
      </c>
      <c r="AM166" s="6">
        <f t="shared" si="115"/>
        <v>1.0333863275039745</v>
      </c>
      <c r="AN166" s="6">
        <f t="shared" si="116"/>
        <v>1.0304166666666668</v>
      </c>
      <c r="AO166" s="6" t="str">
        <f t="shared" si="96"/>
        <v>-</v>
      </c>
      <c r="AP166" s="4" t="str">
        <f t="shared" si="97"/>
        <v>-</v>
      </c>
      <c r="AQ166" s="4" t="str">
        <f t="shared" si="98"/>
        <v>-</v>
      </c>
      <c r="AR166" s="4" t="str">
        <f t="shared" si="99"/>
        <v>-</v>
      </c>
      <c r="AS166" s="4" t="s">
        <v>329</v>
      </c>
      <c r="AT166" s="4" t="s">
        <v>650</v>
      </c>
      <c r="AU166" s="4"/>
      <c r="AV166" s="4"/>
      <c r="AW166" s="4" t="s">
        <v>489</v>
      </c>
      <c r="AX166" s="4">
        <v>5577</v>
      </c>
      <c r="AY166" s="4">
        <f t="shared" si="117"/>
        <v>5577</v>
      </c>
      <c r="AZ166" s="19">
        <v>2</v>
      </c>
      <c r="BA166" s="19">
        <v>1</v>
      </c>
      <c r="BB166" s="16">
        <v>1905</v>
      </c>
      <c r="BC166" t="s">
        <v>338</v>
      </c>
      <c r="BD166" t="str">
        <f t="shared" si="100"/>
        <v>-</v>
      </c>
      <c r="BE166">
        <v>3793</v>
      </c>
      <c r="BF166">
        <f t="shared" si="101"/>
        <v>3908.3704166666671</v>
      </c>
      <c r="BG166" t="s">
        <v>480</v>
      </c>
    </row>
    <row r="167" spans="1:59" x14ac:dyDescent="0.4">
      <c r="A167" t="str">
        <f t="shared" si="95"/>
        <v>677032</v>
      </c>
      <c r="B167" s="37">
        <v>99</v>
      </c>
      <c r="C167" s="3">
        <v>99</v>
      </c>
      <c r="D167" s="4">
        <v>677032</v>
      </c>
      <c r="E167" s="4" t="str">
        <f t="shared" si="102"/>
        <v>677032</v>
      </c>
      <c r="F167" s="4">
        <v>677032</v>
      </c>
      <c r="G167" s="4" t="str">
        <f t="shared" si="103"/>
        <v>6770325</v>
      </c>
      <c r="H167" s="4" t="s">
        <v>244</v>
      </c>
      <c r="I167" s="5">
        <v>4905009712885</v>
      </c>
      <c r="J167" s="5">
        <v>5</v>
      </c>
      <c r="K167" s="5"/>
      <c r="L167" s="5">
        <v>1</v>
      </c>
      <c r="M167" s="5">
        <v>1</v>
      </c>
      <c r="N167" s="4">
        <v>0</v>
      </c>
      <c r="O167" s="4">
        <v>3774</v>
      </c>
      <c r="P167" s="4">
        <v>2400</v>
      </c>
      <c r="Q167" s="6">
        <f t="shared" si="104"/>
        <v>0.36406995230524641</v>
      </c>
      <c r="R167" s="4" t="s">
        <v>338</v>
      </c>
      <c r="S167" s="4" t="s">
        <v>338</v>
      </c>
      <c r="T167" s="4" t="s">
        <v>338</v>
      </c>
      <c r="U167" s="4">
        <v>0</v>
      </c>
      <c r="V167" s="4">
        <f t="shared" si="105"/>
        <v>0</v>
      </c>
      <c r="W167" s="4">
        <v>2473</v>
      </c>
      <c r="X167" s="4">
        <f t="shared" si="106"/>
        <v>2473</v>
      </c>
      <c r="Y167" s="4"/>
      <c r="Z167" s="21">
        <f t="shared" si="107"/>
        <v>3889</v>
      </c>
      <c r="AA167" s="6">
        <f t="shared" si="108"/>
        <v>0.3641038827462072</v>
      </c>
      <c r="AB167" s="4">
        <v>4.75</v>
      </c>
      <c r="AC167" s="4">
        <f t="shared" si="109"/>
        <v>4600</v>
      </c>
      <c r="AD167" s="4">
        <f t="shared" si="110"/>
        <v>4739.916666666667</v>
      </c>
      <c r="AE167" s="6">
        <f t="shared" si="111"/>
        <v>0.47826086956521741</v>
      </c>
      <c r="AF167" s="7">
        <v>3900</v>
      </c>
      <c r="AG167" s="6">
        <f t="shared" si="112"/>
        <v>0.36589743589743595</v>
      </c>
      <c r="AH167" s="38">
        <f t="shared" si="113"/>
        <v>1427</v>
      </c>
      <c r="AI167" s="28"/>
      <c r="AJ167" s="6"/>
      <c r="AK167" s="6"/>
      <c r="AL167" s="6" t="str">
        <f t="shared" si="114"/>
        <v>-</v>
      </c>
      <c r="AM167" s="6">
        <f t="shared" si="115"/>
        <v>1.0333863275039745</v>
      </c>
      <c r="AN167" s="6">
        <f t="shared" si="116"/>
        <v>1.0304166666666668</v>
      </c>
      <c r="AO167" s="6" t="str">
        <f t="shared" si="96"/>
        <v>-</v>
      </c>
      <c r="AP167" s="4" t="str">
        <f t="shared" si="97"/>
        <v>-</v>
      </c>
      <c r="AQ167" s="4" t="str">
        <f t="shared" si="98"/>
        <v>-</v>
      </c>
      <c r="AR167" s="4" t="str">
        <f t="shared" si="99"/>
        <v>-</v>
      </c>
      <c r="AS167" s="4" t="s">
        <v>329</v>
      </c>
      <c r="AT167" s="4" t="s">
        <v>651</v>
      </c>
      <c r="AU167" s="4"/>
      <c r="AV167" s="4"/>
      <c r="AW167" s="4" t="s">
        <v>489</v>
      </c>
      <c r="AX167" s="4">
        <v>4600</v>
      </c>
      <c r="AY167" s="4">
        <f t="shared" si="117"/>
        <v>4600</v>
      </c>
      <c r="AZ167" s="19">
        <v>2</v>
      </c>
      <c r="BA167" s="19">
        <v>1</v>
      </c>
      <c r="BB167" s="16">
        <v>1905</v>
      </c>
      <c r="BC167">
        <v>3869</v>
      </c>
      <c r="BD167">
        <f t="shared" si="100"/>
        <v>3986.6820833333336</v>
      </c>
      <c r="BE167" t="s">
        <v>338</v>
      </c>
      <c r="BF167" t="str">
        <f t="shared" si="101"/>
        <v>-</v>
      </c>
      <c r="BG167" t="s">
        <v>480</v>
      </c>
    </row>
    <row r="168" spans="1:59" x14ac:dyDescent="0.4">
      <c r="A168" t="str">
        <f t="shared" si="95"/>
        <v>662575</v>
      </c>
      <c r="B168" s="37">
        <v>107</v>
      </c>
      <c r="C168" s="3">
        <v>107</v>
      </c>
      <c r="D168" s="4">
        <v>662575</v>
      </c>
      <c r="E168" s="4" t="str">
        <f t="shared" si="102"/>
        <v>662575</v>
      </c>
      <c r="F168" s="4">
        <v>662575</v>
      </c>
      <c r="G168" s="4" t="str">
        <f t="shared" si="103"/>
        <v>6625755</v>
      </c>
      <c r="H168" s="4" t="s">
        <v>252</v>
      </c>
      <c r="I168" s="5">
        <v>4905009736713</v>
      </c>
      <c r="J168" s="5">
        <v>5</v>
      </c>
      <c r="K168" s="5"/>
      <c r="L168" s="5">
        <v>1</v>
      </c>
      <c r="M168" s="5">
        <v>1</v>
      </c>
      <c r="N168" s="4">
        <v>0</v>
      </c>
      <c r="O168" s="4">
        <v>4000</v>
      </c>
      <c r="P168" s="4">
        <v>2900</v>
      </c>
      <c r="Q168" s="6">
        <f t="shared" si="104"/>
        <v>0.27500000000000002</v>
      </c>
      <c r="R168" s="4" t="s">
        <v>338</v>
      </c>
      <c r="S168" s="4" t="s">
        <v>338</v>
      </c>
      <c r="T168" s="4" t="s">
        <v>338</v>
      </c>
      <c r="U168" s="4">
        <v>0</v>
      </c>
      <c r="V168" s="4">
        <f t="shared" si="105"/>
        <v>0</v>
      </c>
      <c r="W168" s="4">
        <v>2988</v>
      </c>
      <c r="X168" s="4">
        <f t="shared" si="106"/>
        <v>2988</v>
      </c>
      <c r="Y168" s="4"/>
      <c r="Z168" s="21">
        <f t="shared" si="107"/>
        <v>4121</v>
      </c>
      <c r="AA168" s="6">
        <f t="shared" si="108"/>
        <v>0.27493326862412037</v>
      </c>
      <c r="AB168" s="4">
        <v>3.75</v>
      </c>
      <c r="AC168" s="4" t="str">
        <f t="shared" si="109"/>
        <v>-</v>
      </c>
      <c r="AD168" s="4" t="str">
        <f t="shared" si="110"/>
        <v>-</v>
      </c>
      <c r="AE168" s="6" t="str">
        <f t="shared" si="111"/>
        <v>-</v>
      </c>
      <c r="AF168" s="7">
        <v>4580</v>
      </c>
      <c r="AG168" s="6">
        <f t="shared" si="112"/>
        <v>0.34759825327510918</v>
      </c>
      <c r="AH168" s="38">
        <f t="shared" si="113"/>
        <v>1592</v>
      </c>
      <c r="AI168" s="28"/>
      <c r="AJ168" s="6"/>
      <c r="AK168" s="6"/>
      <c r="AL168" s="6" t="str">
        <f t="shared" si="114"/>
        <v>-</v>
      </c>
      <c r="AM168" s="6">
        <f t="shared" si="115"/>
        <v>1.145</v>
      </c>
      <c r="AN168" s="6">
        <f t="shared" si="116"/>
        <v>1.0303448275862068</v>
      </c>
      <c r="AO168" s="6" t="str">
        <f t="shared" si="96"/>
        <v>-</v>
      </c>
      <c r="AP168" s="4" t="str">
        <f t="shared" si="97"/>
        <v>-</v>
      </c>
      <c r="AQ168" s="4" t="str">
        <f t="shared" si="98"/>
        <v>-</v>
      </c>
      <c r="AR168" s="4" t="str">
        <f t="shared" si="99"/>
        <v>-</v>
      </c>
      <c r="AS168" s="4" t="s">
        <v>328</v>
      </c>
      <c r="AT168" s="4" t="s">
        <v>338</v>
      </c>
      <c r="AU168" s="4"/>
      <c r="AV168" s="4"/>
      <c r="AW168" s="4" t="s">
        <v>338</v>
      </c>
      <c r="AX168" s="4" t="s">
        <v>338</v>
      </c>
      <c r="AY168" s="4" t="str">
        <f t="shared" si="117"/>
        <v>-</v>
      </c>
      <c r="AZ168" s="19">
        <v>2</v>
      </c>
      <c r="BA168" s="19">
        <v>1</v>
      </c>
      <c r="BB168" s="16">
        <v>1905</v>
      </c>
      <c r="BC168" t="s">
        <v>338</v>
      </c>
      <c r="BD168" t="str">
        <f t="shared" si="100"/>
        <v>-</v>
      </c>
      <c r="BE168">
        <v>3655</v>
      </c>
      <c r="BF168">
        <f t="shared" si="101"/>
        <v>3765.910344827586</v>
      </c>
      <c r="BG168" t="s">
        <v>338</v>
      </c>
    </row>
    <row r="169" spans="1:59" x14ac:dyDescent="0.4">
      <c r="A169" t="str">
        <f t="shared" si="95"/>
        <v>602735</v>
      </c>
      <c r="B169" s="37">
        <v>106</v>
      </c>
      <c r="C169" s="3">
        <v>106</v>
      </c>
      <c r="D169" s="4">
        <v>602735</v>
      </c>
      <c r="E169" s="4" t="str">
        <f t="shared" si="102"/>
        <v>602735</v>
      </c>
      <c r="F169" s="4">
        <v>602735</v>
      </c>
      <c r="G169" s="4" t="str">
        <f t="shared" si="103"/>
        <v>6027355</v>
      </c>
      <c r="H169" s="4" t="s">
        <v>251</v>
      </c>
      <c r="I169" s="5">
        <v>4905009458073</v>
      </c>
      <c r="J169" s="5">
        <v>5</v>
      </c>
      <c r="K169" s="5"/>
      <c r="L169" s="5">
        <v>1</v>
      </c>
      <c r="M169" s="5">
        <v>1</v>
      </c>
      <c r="N169" s="4">
        <v>0</v>
      </c>
      <c r="O169" s="4">
        <v>5726</v>
      </c>
      <c r="P169" s="4">
        <v>3600</v>
      </c>
      <c r="Q169" s="6">
        <f t="shared" si="104"/>
        <v>0.37128885784142507</v>
      </c>
      <c r="R169" s="4" t="s">
        <v>338</v>
      </c>
      <c r="S169" s="4" t="s">
        <v>338</v>
      </c>
      <c r="T169" s="4" t="s">
        <v>338</v>
      </c>
      <c r="U169" s="4">
        <v>0</v>
      </c>
      <c r="V169" s="4">
        <f t="shared" si="105"/>
        <v>0</v>
      </c>
      <c r="W169" s="4">
        <v>3709</v>
      </c>
      <c r="X169" s="4">
        <f t="shared" si="106"/>
        <v>3709</v>
      </c>
      <c r="Y169" s="4"/>
      <c r="Z169" s="21">
        <f t="shared" si="107"/>
        <v>5899</v>
      </c>
      <c r="AA169" s="6">
        <f t="shared" si="108"/>
        <v>0.37124936429903377</v>
      </c>
      <c r="AB169" s="4">
        <v>2.5</v>
      </c>
      <c r="AC169" s="4">
        <f t="shared" si="109"/>
        <v>6170</v>
      </c>
      <c r="AD169" s="4">
        <f t="shared" si="110"/>
        <v>6356.8138888888889</v>
      </c>
      <c r="AE169" s="6">
        <f t="shared" si="111"/>
        <v>0.41653160453808746</v>
      </c>
      <c r="AF169" s="7">
        <v>5980</v>
      </c>
      <c r="AG169" s="6">
        <f t="shared" si="112"/>
        <v>0.37976588628762542</v>
      </c>
      <c r="AH169" s="38">
        <f t="shared" si="113"/>
        <v>2271</v>
      </c>
      <c r="AI169" s="28"/>
      <c r="AJ169" s="6"/>
      <c r="AK169" s="6"/>
      <c r="AL169" s="6" t="str">
        <f t="shared" si="114"/>
        <v>-</v>
      </c>
      <c r="AM169" s="6">
        <f t="shared" si="115"/>
        <v>1.0443590639189662</v>
      </c>
      <c r="AN169" s="6">
        <f t="shared" si="116"/>
        <v>1.0302777777777778</v>
      </c>
      <c r="AO169" s="6" t="str">
        <f t="shared" si="96"/>
        <v>-</v>
      </c>
      <c r="AP169" s="4" t="str">
        <f t="shared" si="97"/>
        <v>-</v>
      </c>
      <c r="AQ169" s="4" t="str">
        <f t="shared" si="98"/>
        <v>-</v>
      </c>
      <c r="AR169" s="4" t="str">
        <f t="shared" si="99"/>
        <v>-</v>
      </c>
      <c r="AS169" s="4" t="s">
        <v>328</v>
      </c>
      <c r="AT169" s="4" t="s">
        <v>652</v>
      </c>
      <c r="AU169" s="4"/>
      <c r="AV169" s="4"/>
      <c r="AW169" s="4" t="s">
        <v>508</v>
      </c>
      <c r="AX169" s="4">
        <v>6170</v>
      </c>
      <c r="AY169" s="4">
        <f t="shared" si="117"/>
        <v>6170</v>
      </c>
      <c r="AZ169" s="19">
        <v>2</v>
      </c>
      <c r="BA169" s="19">
        <v>1</v>
      </c>
      <c r="BB169" s="16">
        <v>1905</v>
      </c>
      <c r="BC169" t="s">
        <v>338</v>
      </c>
      <c r="BD169" t="str">
        <f t="shared" si="100"/>
        <v>-</v>
      </c>
      <c r="BE169">
        <v>6148</v>
      </c>
      <c r="BF169">
        <f t="shared" si="101"/>
        <v>6334.1477777777782</v>
      </c>
      <c r="BG169" t="s">
        <v>481</v>
      </c>
    </row>
    <row r="170" spans="1:59" x14ac:dyDescent="0.4">
      <c r="A170" t="str">
        <f t="shared" si="95"/>
        <v>626165</v>
      </c>
      <c r="B170" s="39">
        <v>101</v>
      </c>
      <c r="C170" s="3">
        <v>101</v>
      </c>
      <c r="D170" s="4">
        <v>626165</v>
      </c>
      <c r="E170" s="4" t="str">
        <f t="shared" si="102"/>
        <v>626165</v>
      </c>
      <c r="F170" s="4">
        <v>626165</v>
      </c>
      <c r="G170" s="4" t="str">
        <f t="shared" si="103"/>
        <v>6261655</v>
      </c>
      <c r="H170" s="4" t="s">
        <v>246</v>
      </c>
      <c r="I170" s="5">
        <v>4905009612215</v>
      </c>
      <c r="J170" s="5">
        <v>5</v>
      </c>
      <c r="K170" s="5"/>
      <c r="L170" s="5">
        <v>1</v>
      </c>
      <c r="M170" s="5">
        <v>1</v>
      </c>
      <c r="N170" s="4">
        <v>0</v>
      </c>
      <c r="O170" s="4">
        <v>12821</v>
      </c>
      <c r="P170" s="4">
        <v>9000</v>
      </c>
      <c r="Q170" s="6">
        <f t="shared" si="104"/>
        <v>0.29802667498635049</v>
      </c>
      <c r="R170" s="4" t="s">
        <v>338</v>
      </c>
      <c r="S170" s="4" t="s">
        <v>338</v>
      </c>
      <c r="T170" s="4" t="s">
        <v>338</v>
      </c>
      <c r="U170" s="4">
        <v>0</v>
      </c>
      <c r="V170" s="4">
        <f t="shared" si="105"/>
        <v>0</v>
      </c>
      <c r="W170" s="4">
        <v>9271</v>
      </c>
      <c r="X170" s="4">
        <f t="shared" si="106"/>
        <v>9271</v>
      </c>
      <c r="Y170" s="4"/>
      <c r="Z170" s="21">
        <f t="shared" si="107"/>
        <v>13207</v>
      </c>
      <c r="AA170" s="6">
        <f t="shared" si="108"/>
        <v>0.29802377527068979</v>
      </c>
      <c r="AB170" s="4">
        <v>0</v>
      </c>
      <c r="AC170" s="4" t="str">
        <f t="shared" si="109"/>
        <v>-</v>
      </c>
      <c r="AD170" s="4" t="str">
        <f t="shared" si="110"/>
        <v>-</v>
      </c>
      <c r="AE170" s="6" t="str">
        <f t="shared" si="111"/>
        <v>-</v>
      </c>
      <c r="AF170" s="7">
        <v>12800</v>
      </c>
      <c r="AG170" s="40">
        <f t="shared" si="112"/>
        <v>0.27570312500000005</v>
      </c>
      <c r="AH170" s="4">
        <f t="shared" si="113"/>
        <v>3529</v>
      </c>
      <c r="AI170" s="28"/>
      <c r="AJ170" s="6"/>
      <c r="AK170" s="6"/>
      <c r="AL170" s="6" t="str">
        <f t="shared" si="114"/>
        <v>-</v>
      </c>
      <c r="AM170" s="6">
        <f t="shared" si="115"/>
        <v>0.99836206224163482</v>
      </c>
      <c r="AN170" s="6">
        <f t="shared" si="116"/>
        <v>1.0301111111111112</v>
      </c>
      <c r="AO170" s="6" t="str">
        <f t="shared" si="96"/>
        <v>-</v>
      </c>
      <c r="AP170" s="4" t="str">
        <f t="shared" si="97"/>
        <v>-</v>
      </c>
      <c r="AQ170" s="4" t="str">
        <f t="shared" si="98"/>
        <v>-</v>
      </c>
      <c r="AR170" s="4" t="str">
        <f t="shared" si="99"/>
        <v>-</v>
      </c>
      <c r="AS170" s="4" t="s">
        <v>331</v>
      </c>
      <c r="AT170" s="4" t="s">
        <v>338</v>
      </c>
      <c r="AU170" s="4"/>
      <c r="AV170" s="4"/>
      <c r="AW170" s="4" t="s">
        <v>338</v>
      </c>
      <c r="AX170" s="4" t="s">
        <v>338</v>
      </c>
      <c r="AY170" s="4" t="str">
        <f t="shared" si="117"/>
        <v>-</v>
      </c>
      <c r="AZ170" s="19">
        <v>4</v>
      </c>
      <c r="BA170" s="19">
        <v>9</v>
      </c>
      <c r="BB170" s="16">
        <v>1905</v>
      </c>
      <c r="BC170" t="s">
        <v>338</v>
      </c>
      <c r="BD170" t="str">
        <f t="shared" si="100"/>
        <v>-</v>
      </c>
      <c r="BE170">
        <v>12090</v>
      </c>
      <c r="BF170">
        <f t="shared" si="101"/>
        <v>12454.043333333335</v>
      </c>
      <c r="BG170" t="s">
        <v>338</v>
      </c>
    </row>
    <row r="171" spans="1:59" x14ac:dyDescent="0.4">
      <c r="A171" t="str">
        <f t="shared" si="95"/>
        <v>675035</v>
      </c>
      <c r="B171" s="39">
        <v>100</v>
      </c>
      <c r="C171" s="3">
        <v>100</v>
      </c>
      <c r="D171" s="4">
        <v>675035</v>
      </c>
      <c r="E171" s="4" t="str">
        <f t="shared" si="102"/>
        <v>675035</v>
      </c>
      <c r="F171" s="4">
        <v>675035</v>
      </c>
      <c r="G171" s="4" t="str">
        <f t="shared" si="103"/>
        <v>6750355</v>
      </c>
      <c r="H171" s="4" t="s">
        <v>245</v>
      </c>
      <c r="I171" s="5">
        <v>4905009612222</v>
      </c>
      <c r="J171" s="5">
        <v>5</v>
      </c>
      <c r="K171" s="5"/>
      <c r="L171" s="5">
        <v>1</v>
      </c>
      <c r="M171" s="5">
        <v>1</v>
      </c>
      <c r="N171" s="4">
        <v>0</v>
      </c>
      <c r="O171" s="4">
        <v>15267</v>
      </c>
      <c r="P171" s="4">
        <v>11500</v>
      </c>
      <c r="Q171" s="6">
        <f t="shared" si="104"/>
        <v>0.24674133752538152</v>
      </c>
      <c r="R171" s="4" t="s">
        <v>338</v>
      </c>
      <c r="S171" s="4" t="s">
        <v>338</v>
      </c>
      <c r="T171" s="4" t="s">
        <v>338</v>
      </c>
      <c r="U171" s="4">
        <v>0</v>
      </c>
      <c r="V171" s="4">
        <f t="shared" si="105"/>
        <v>0</v>
      </c>
      <c r="W171" s="4">
        <v>11846</v>
      </c>
      <c r="X171" s="4">
        <f t="shared" si="106"/>
        <v>11846</v>
      </c>
      <c r="Y171" s="4"/>
      <c r="Z171" s="21">
        <f t="shared" si="107"/>
        <v>15726</v>
      </c>
      <c r="AA171" s="6">
        <f t="shared" si="108"/>
        <v>0.24672516851074655</v>
      </c>
      <c r="AB171" s="4">
        <v>0</v>
      </c>
      <c r="AC171" s="4" t="str">
        <f t="shared" si="109"/>
        <v>-</v>
      </c>
      <c r="AD171" s="4" t="str">
        <f t="shared" si="110"/>
        <v>-</v>
      </c>
      <c r="AE171" s="6" t="str">
        <f t="shared" si="111"/>
        <v>-</v>
      </c>
      <c r="AF171" s="7">
        <v>16800</v>
      </c>
      <c r="AG171" s="40">
        <f t="shared" si="112"/>
        <v>0.29488095238095235</v>
      </c>
      <c r="AH171" s="4">
        <f t="shared" si="113"/>
        <v>4954</v>
      </c>
      <c r="AI171" s="28"/>
      <c r="AJ171" s="6"/>
      <c r="AK171" s="6"/>
      <c r="AL171" s="6" t="str">
        <f t="shared" si="114"/>
        <v>-</v>
      </c>
      <c r="AM171" s="6">
        <f t="shared" si="115"/>
        <v>1.1004126547455295</v>
      </c>
      <c r="AN171" s="6">
        <f t="shared" si="116"/>
        <v>1.0300869565217392</v>
      </c>
      <c r="AO171" s="6" t="str">
        <f t="shared" si="96"/>
        <v>-</v>
      </c>
      <c r="AP171" s="4" t="str">
        <f t="shared" si="97"/>
        <v>-</v>
      </c>
      <c r="AQ171" s="4" t="str">
        <f t="shared" si="98"/>
        <v>-</v>
      </c>
      <c r="AR171" s="4" t="str">
        <f t="shared" si="99"/>
        <v>-</v>
      </c>
      <c r="AS171" s="4" t="s">
        <v>330</v>
      </c>
      <c r="AT171" s="4" t="s">
        <v>338</v>
      </c>
      <c r="AU171" s="4"/>
      <c r="AV171" s="4"/>
      <c r="AW171" s="4" t="s">
        <v>338</v>
      </c>
      <c r="AX171" s="4" t="s">
        <v>338</v>
      </c>
      <c r="AY171" s="4" t="str">
        <f t="shared" si="117"/>
        <v>-</v>
      </c>
      <c r="AZ171" s="19">
        <v>4</v>
      </c>
      <c r="BA171" s="19">
        <v>9</v>
      </c>
      <c r="BB171" s="16">
        <v>1905</v>
      </c>
      <c r="BC171" t="s">
        <v>338</v>
      </c>
      <c r="BD171" t="str">
        <f t="shared" si="100"/>
        <v>-</v>
      </c>
      <c r="BE171" t="s">
        <v>338</v>
      </c>
      <c r="BF171" t="str">
        <f t="shared" si="101"/>
        <v>-</v>
      </c>
      <c r="BG171" t="s">
        <v>338</v>
      </c>
    </row>
    <row r="172" spans="1:59" x14ac:dyDescent="0.4">
      <c r="A172" t="str">
        <f t="shared" si="95"/>
        <v>541278</v>
      </c>
      <c r="B172" s="3">
        <v>112</v>
      </c>
      <c r="C172" s="3">
        <v>112</v>
      </c>
      <c r="D172" s="4">
        <v>541278</v>
      </c>
      <c r="E172" s="4" t="str">
        <f t="shared" si="102"/>
        <v>541278</v>
      </c>
      <c r="F172" s="4">
        <v>541278</v>
      </c>
      <c r="G172" s="4" t="str">
        <f t="shared" si="103"/>
        <v>5412785</v>
      </c>
      <c r="H172" s="4" t="s">
        <v>257</v>
      </c>
      <c r="I172" s="5">
        <v>4905009680696</v>
      </c>
      <c r="J172" s="5">
        <v>5</v>
      </c>
      <c r="K172" s="5"/>
      <c r="L172" s="5">
        <v>1</v>
      </c>
      <c r="M172" s="5">
        <v>1</v>
      </c>
      <c r="N172" s="4">
        <v>0</v>
      </c>
      <c r="O172" s="4">
        <v>600</v>
      </c>
      <c r="P172" s="4">
        <v>320</v>
      </c>
      <c r="Q172" s="6">
        <f t="shared" si="104"/>
        <v>0.46666666666666667</v>
      </c>
      <c r="R172" s="4" t="s">
        <v>338</v>
      </c>
      <c r="S172" s="4" t="s">
        <v>338</v>
      </c>
      <c r="T172" s="4" t="s">
        <v>338</v>
      </c>
      <c r="U172" s="4">
        <v>0</v>
      </c>
      <c r="V172" s="4">
        <f t="shared" si="105"/>
        <v>0</v>
      </c>
      <c r="W172" s="4">
        <v>336</v>
      </c>
      <c r="X172" s="4">
        <f t="shared" si="106"/>
        <v>336</v>
      </c>
      <c r="Y172" s="4"/>
      <c r="Z172" s="21">
        <f t="shared" si="107"/>
        <v>630</v>
      </c>
      <c r="AA172" s="6">
        <f t="shared" si="108"/>
        <v>0.46666666666666667</v>
      </c>
      <c r="AB172" s="4">
        <v>20.25</v>
      </c>
      <c r="AC172" s="4">
        <f t="shared" si="109"/>
        <v>600</v>
      </c>
      <c r="AD172" s="4">
        <f t="shared" si="110"/>
        <v>630</v>
      </c>
      <c r="AE172" s="6">
        <f t="shared" si="111"/>
        <v>0.46666666666666667</v>
      </c>
      <c r="AF172" s="7">
        <v>628</v>
      </c>
      <c r="AG172" s="6">
        <f t="shared" si="112"/>
        <v>0.46496815286624205</v>
      </c>
      <c r="AH172" s="4">
        <f t="shared" si="113"/>
        <v>292</v>
      </c>
      <c r="AI172" s="28"/>
      <c r="AJ172" s="6"/>
      <c r="AK172" s="6"/>
      <c r="AL172" s="6" t="str">
        <f t="shared" si="114"/>
        <v>-</v>
      </c>
      <c r="AM172" s="6">
        <f t="shared" si="115"/>
        <v>1.0466666666666666</v>
      </c>
      <c r="AN172" s="6">
        <f t="shared" si="116"/>
        <v>1.05</v>
      </c>
      <c r="AO172" s="6" t="str">
        <f t="shared" si="96"/>
        <v>-</v>
      </c>
      <c r="AP172" s="4" t="str">
        <f t="shared" si="97"/>
        <v>-</v>
      </c>
      <c r="AQ172" s="4" t="str">
        <f t="shared" si="98"/>
        <v>-</v>
      </c>
      <c r="AR172" s="4" t="str">
        <f t="shared" si="99"/>
        <v>-</v>
      </c>
      <c r="AS172" s="4" t="s">
        <v>332</v>
      </c>
      <c r="AT172" s="4" t="s">
        <v>653</v>
      </c>
      <c r="AU172" s="4"/>
      <c r="AV172" s="4"/>
      <c r="AW172" s="4" t="s">
        <v>492</v>
      </c>
      <c r="AX172" s="4">
        <v>600</v>
      </c>
      <c r="AY172" s="4">
        <f t="shared" si="117"/>
        <v>600</v>
      </c>
      <c r="AZ172" s="19">
        <v>4</v>
      </c>
      <c r="BA172" s="19">
        <v>1</v>
      </c>
      <c r="BB172" s="16">
        <v>1910</v>
      </c>
      <c r="BC172" t="s">
        <v>338</v>
      </c>
      <c r="BD172" t="str">
        <f t="shared" si="100"/>
        <v>-</v>
      </c>
      <c r="BE172">
        <v>464</v>
      </c>
      <c r="BF172">
        <f t="shared" si="101"/>
        <v>487.20000000000005</v>
      </c>
      <c r="BG172" t="s">
        <v>482</v>
      </c>
    </row>
    <row r="173" spans="1:59" x14ac:dyDescent="0.4">
      <c r="A173" t="str">
        <f t="shared" si="95"/>
        <v>541287</v>
      </c>
      <c r="B173" s="37">
        <v>113</v>
      </c>
      <c r="C173" s="3">
        <v>113</v>
      </c>
      <c r="D173" s="4">
        <v>541287</v>
      </c>
      <c r="E173" s="4" t="str">
        <f t="shared" si="102"/>
        <v>541287</v>
      </c>
      <c r="F173" s="4">
        <v>541287</v>
      </c>
      <c r="G173" s="4" t="str">
        <f t="shared" si="103"/>
        <v>5412875</v>
      </c>
      <c r="H173" s="4" t="s">
        <v>258</v>
      </c>
      <c r="I173" s="5">
        <v>4905009680702</v>
      </c>
      <c r="J173" s="5">
        <v>5</v>
      </c>
      <c r="K173" s="5"/>
      <c r="L173" s="5">
        <v>1</v>
      </c>
      <c r="M173" s="5">
        <v>1</v>
      </c>
      <c r="N173" s="4">
        <v>0</v>
      </c>
      <c r="O173" s="4">
        <v>1435</v>
      </c>
      <c r="P173" s="4">
        <v>510</v>
      </c>
      <c r="Q173" s="6">
        <f t="shared" si="104"/>
        <v>0.64459930313588854</v>
      </c>
      <c r="R173" s="4" t="s">
        <v>338</v>
      </c>
      <c r="S173" s="4" t="s">
        <v>338</v>
      </c>
      <c r="T173" s="4" t="s">
        <v>338</v>
      </c>
      <c r="U173" s="4">
        <v>0</v>
      </c>
      <c r="V173" s="4">
        <f t="shared" si="105"/>
        <v>0</v>
      </c>
      <c r="W173" s="4">
        <v>536</v>
      </c>
      <c r="X173" s="4">
        <f t="shared" si="106"/>
        <v>536</v>
      </c>
      <c r="Y173" s="4"/>
      <c r="Z173" s="21">
        <f t="shared" si="107"/>
        <v>1508</v>
      </c>
      <c r="AA173" s="6">
        <f t="shared" si="108"/>
        <v>0.64456233421750664</v>
      </c>
      <c r="AB173" s="4">
        <v>4.75</v>
      </c>
      <c r="AC173" s="4">
        <f t="shared" si="109"/>
        <v>1202</v>
      </c>
      <c r="AD173" s="4">
        <f t="shared" si="110"/>
        <v>1263.278431372549</v>
      </c>
      <c r="AE173" s="6">
        <f t="shared" si="111"/>
        <v>0.57570715474209644</v>
      </c>
      <c r="AF173" s="7">
        <v>1480</v>
      </c>
      <c r="AG173" s="6">
        <f t="shared" si="112"/>
        <v>0.63783783783783776</v>
      </c>
      <c r="AH173" s="38">
        <f t="shared" si="113"/>
        <v>944</v>
      </c>
      <c r="AI173" s="28"/>
      <c r="AJ173" s="6"/>
      <c r="AK173" s="6"/>
      <c r="AL173" s="6" t="str">
        <f t="shared" si="114"/>
        <v>-</v>
      </c>
      <c r="AM173" s="6">
        <f t="shared" si="115"/>
        <v>1.0313588850174216</v>
      </c>
      <c r="AN173" s="6">
        <f t="shared" si="116"/>
        <v>1.0509803921568628</v>
      </c>
      <c r="AO173" s="6" t="str">
        <f t="shared" si="96"/>
        <v>-</v>
      </c>
      <c r="AP173" s="4" t="str">
        <f t="shared" si="97"/>
        <v>-</v>
      </c>
      <c r="AQ173" s="4" t="str">
        <f t="shared" si="98"/>
        <v>-</v>
      </c>
      <c r="AR173" s="4" t="str">
        <f t="shared" si="99"/>
        <v>-</v>
      </c>
      <c r="AS173" s="4" t="s">
        <v>332</v>
      </c>
      <c r="AT173" s="4" t="s">
        <v>654</v>
      </c>
      <c r="AU173" s="4">
        <v>1</v>
      </c>
      <c r="AV173" s="4">
        <v>3</v>
      </c>
      <c r="AW173" s="4" t="s">
        <v>655</v>
      </c>
      <c r="AX173" s="4">
        <v>3606</v>
      </c>
      <c r="AY173" s="4">
        <f t="shared" si="117"/>
        <v>1202</v>
      </c>
      <c r="AZ173" s="19">
        <v>2</v>
      </c>
      <c r="BA173" s="19">
        <v>1</v>
      </c>
      <c r="BB173" s="16">
        <v>1910</v>
      </c>
      <c r="BC173" t="s">
        <v>338</v>
      </c>
      <c r="BD173" t="str">
        <f t="shared" si="100"/>
        <v>-</v>
      </c>
      <c r="BE173">
        <v>630</v>
      </c>
      <c r="BF173">
        <f t="shared" si="101"/>
        <v>662.11764705882354</v>
      </c>
      <c r="BG173" t="s">
        <v>483</v>
      </c>
    </row>
    <row r="174" spans="1:59" x14ac:dyDescent="0.4">
      <c r="A174" t="str">
        <f t="shared" si="95"/>
        <v>541305</v>
      </c>
      <c r="B174" s="37">
        <v>114</v>
      </c>
      <c r="C174" s="3">
        <v>114</v>
      </c>
      <c r="D174" s="4">
        <v>541305</v>
      </c>
      <c r="E174" s="4" t="str">
        <f t="shared" si="102"/>
        <v>541305</v>
      </c>
      <c r="F174" s="4">
        <v>541305</v>
      </c>
      <c r="G174" s="4" t="str">
        <f t="shared" si="103"/>
        <v>5413055</v>
      </c>
      <c r="H174" s="4" t="s">
        <v>259</v>
      </c>
      <c r="I174" s="5">
        <v>4905009680726</v>
      </c>
      <c r="J174" s="5">
        <v>5</v>
      </c>
      <c r="K174" s="5"/>
      <c r="L174" s="5">
        <v>1</v>
      </c>
      <c r="M174" s="5">
        <v>1</v>
      </c>
      <c r="N174" s="4">
        <v>0</v>
      </c>
      <c r="O174" s="4">
        <v>2050</v>
      </c>
      <c r="P174" s="4">
        <v>1050</v>
      </c>
      <c r="Q174" s="6">
        <f t="shared" si="104"/>
        <v>0.48780487804878048</v>
      </c>
      <c r="R174" s="4" t="s">
        <v>338</v>
      </c>
      <c r="S174" s="4" t="s">
        <v>338</v>
      </c>
      <c r="T174" s="4" t="s">
        <v>338</v>
      </c>
      <c r="U174" s="4">
        <v>0</v>
      </c>
      <c r="V174" s="4">
        <f t="shared" si="105"/>
        <v>0</v>
      </c>
      <c r="W174" s="4">
        <v>1103</v>
      </c>
      <c r="X174" s="4">
        <f t="shared" si="106"/>
        <v>1103</v>
      </c>
      <c r="Y174" s="4"/>
      <c r="Z174" s="21">
        <f t="shared" si="107"/>
        <v>2153</v>
      </c>
      <c r="AA174" s="6">
        <f t="shared" si="108"/>
        <v>0.48769159312587085</v>
      </c>
      <c r="AB174" s="4">
        <v>10.25</v>
      </c>
      <c r="AC174" s="4">
        <f t="shared" si="109"/>
        <v>2530</v>
      </c>
      <c r="AD174" s="4">
        <f t="shared" si="110"/>
        <v>2657.7047619047621</v>
      </c>
      <c r="AE174" s="6">
        <f t="shared" si="111"/>
        <v>0.58498023715415015</v>
      </c>
      <c r="AF174" s="7">
        <v>2280</v>
      </c>
      <c r="AG174" s="6">
        <f t="shared" si="112"/>
        <v>0.51622807017543859</v>
      </c>
      <c r="AH174" s="38">
        <f t="shared" si="113"/>
        <v>1177</v>
      </c>
      <c r="AI174" s="28"/>
      <c r="AJ174" s="6"/>
      <c r="AK174" s="6"/>
      <c r="AL174" s="6" t="str">
        <f t="shared" si="114"/>
        <v>-</v>
      </c>
      <c r="AM174" s="6">
        <f t="shared" si="115"/>
        <v>1.1121951219512196</v>
      </c>
      <c r="AN174" s="6">
        <f t="shared" si="116"/>
        <v>1.0504761904761906</v>
      </c>
      <c r="AO174" s="6" t="str">
        <f t="shared" si="96"/>
        <v>-</v>
      </c>
      <c r="AP174" s="4" t="str">
        <f t="shared" si="97"/>
        <v>-</v>
      </c>
      <c r="AQ174" s="4" t="str">
        <f t="shared" si="98"/>
        <v>-</v>
      </c>
      <c r="AR174" s="4" t="str">
        <f t="shared" si="99"/>
        <v>-</v>
      </c>
      <c r="AS174" s="4" t="s">
        <v>332</v>
      </c>
      <c r="AT174" s="4" t="s">
        <v>656</v>
      </c>
      <c r="AU174" s="4">
        <v>1</v>
      </c>
      <c r="AV174" s="4">
        <v>2</v>
      </c>
      <c r="AW174" s="4" t="s">
        <v>642</v>
      </c>
      <c r="AX174" s="4">
        <v>5060</v>
      </c>
      <c r="AY174" s="4">
        <f t="shared" si="117"/>
        <v>2530</v>
      </c>
      <c r="AZ174" s="19">
        <v>2</v>
      </c>
      <c r="BA174" s="19">
        <v>1</v>
      </c>
      <c r="BB174" s="16">
        <v>1910</v>
      </c>
      <c r="BC174" t="s">
        <v>338</v>
      </c>
      <c r="BD174" t="str">
        <f t="shared" si="100"/>
        <v>-</v>
      </c>
      <c r="BE174">
        <v>1345</v>
      </c>
      <c r="BF174">
        <f t="shared" si="101"/>
        <v>1412.8904761904764</v>
      </c>
      <c r="BG174" t="s">
        <v>484</v>
      </c>
    </row>
    <row r="175" spans="1:59" x14ac:dyDescent="0.4">
      <c r="A175" t="str">
        <f t="shared" si="95"/>
        <v>7236AM</v>
      </c>
      <c r="B175" s="37">
        <v>105</v>
      </c>
      <c r="C175" s="3">
        <v>105</v>
      </c>
      <c r="D175" s="4" t="s">
        <v>115</v>
      </c>
      <c r="E175" s="4" t="str">
        <f t="shared" si="102"/>
        <v>7236AM</v>
      </c>
      <c r="F175" s="4" t="s">
        <v>115</v>
      </c>
      <c r="G175" s="4" t="str">
        <f t="shared" si="103"/>
        <v>7236AM5</v>
      </c>
      <c r="H175" s="4" t="s">
        <v>250</v>
      </c>
      <c r="I175" s="5">
        <v>4905009387649</v>
      </c>
      <c r="J175" s="5">
        <v>5</v>
      </c>
      <c r="K175" s="5"/>
      <c r="L175" s="5">
        <v>1</v>
      </c>
      <c r="M175" s="5">
        <v>1</v>
      </c>
      <c r="N175" s="4">
        <v>0</v>
      </c>
      <c r="O175" s="4">
        <v>3980</v>
      </c>
      <c r="P175" s="4">
        <v>2500</v>
      </c>
      <c r="Q175" s="6">
        <f t="shared" si="104"/>
        <v>0.37185929648241201</v>
      </c>
      <c r="R175" s="4" t="s">
        <v>338</v>
      </c>
      <c r="S175" s="4" t="s">
        <v>338</v>
      </c>
      <c r="T175" s="4" t="s">
        <v>338</v>
      </c>
      <c r="U175" s="4">
        <v>0</v>
      </c>
      <c r="V175" s="4">
        <f t="shared" si="105"/>
        <v>0</v>
      </c>
      <c r="W175" s="4">
        <v>2576</v>
      </c>
      <c r="X175" s="4">
        <f t="shared" si="106"/>
        <v>2576</v>
      </c>
      <c r="Y175" s="4"/>
      <c r="Z175" s="21">
        <f t="shared" si="107"/>
        <v>4101</v>
      </c>
      <c r="AA175" s="6">
        <f t="shared" si="108"/>
        <v>0.37186052182394536</v>
      </c>
      <c r="AB175" s="4">
        <v>0.75</v>
      </c>
      <c r="AC175" s="4">
        <f t="shared" si="109"/>
        <v>4579</v>
      </c>
      <c r="AD175" s="4">
        <f t="shared" si="110"/>
        <v>4718.2016000000003</v>
      </c>
      <c r="AE175" s="6">
        <f t="shared" si="111"/>
        <v>0.45402926403144794</v>
      </c>
      <c r="AF175" s="7">
        <v>3800</v>
      </c>
      <c r="AG175" s="6">
        <f t="shared" si="112"/>
        <v>0.32210526315789478</v>
      </c>
      <c r="AH175" s="38">
        <f t="shared" si="113"/>
        <v>1224</v>
      </c>
      <c r="AI175" s="28"/>
      <c r="AJ175" s="6"/>
      <c r="AK175" s="6"/>
      <c r="AL175" s="6" t="str">
        <f t="shared" si="114"/>
        <v>-</v>
      </c>
      <c r="AM175" s="6">
        <f t="shared" si="115"/>
        <v>0.95477386934673369</v>
      </c>
      <c r="AN175" s="6">
        <f t="shared" si="116"/>
        <v>1.0304</v>
      </c>
      <c r="AO175" s="6" t="str">
        <f t="shared" si="96"/>
        <v>-</v>
      </c>
      <c r="AP175" s="4" t="str">
        <f t="shared" si="97"/>
        <v>-</v>
      </c>
      <c r="AQ175" s="4" t="str">
        <f t="shared" si="98"/>
        <v>-</v>
      </c>
      <c r="AR175" s="4" t="str">
        <f t="shared" si="99"/>
        <v>-</v>
      </c>
      <c r="AS175" s="4">
        <v>0</v>
      </c>
      <c r="AT175" s="4" t="s">
        <v>657</v>
      </c>
      <c r="AU175" s="4"/>
      <c r="AV175" s="4"/>
      <c r="AW175" s="4" t="s">
        <v>508</v>
      </c>
      <c r="AX175" s="4">
        <v>4579</v>
      </c>
      <c r="AY175" s="4">
        <f t="shared" si="117"/>
        <v>4579</v>
      </c>
      <c r="AZ175" s="19">
        <v>2</v>
      </c>
      <c r="BA175" s="19">
        <v>1</v>
      </c>
      <c r="BB175" s="16">
        <v>1910</v>
      </c>
      <c r="BC175" t="s">
        <v>338</v>
      </c>
      <c r="BD175" t="str">
        <f t="shared" si="100"/>
        <v>-</v>
      </c>
      <c r="BE175">
        <v>3705</v>
      </c>
      <c r="BF175">
        <f t="shared" si="101"/>
        <v>3817.6320000000001</v>
      </c>
      <c r="BG175" t="s">
        <v>485</v>
      </c>
    </row>
    <row r="176" spans="1:59" x14ac:dyDescent="0.4">
      <c r="A176" t="str">
        <f t="shared" si="95"/>
        <v>541314</v>
      </c>
      <c r="B176" s="39">
        <v>115</v>
      </c>
      <c r="C176" s="3">
        <v>115</v>
      </c>
      <c r="D176" s="4">
        <v>541314</v>
      </c>
      <c r="E176" s="4" t="str">
        <f t="shared" si="102"/>
        <v>541314</v>
      </c>
      <c r="F176" s="4">
        <v>541314</v>
      </c>
      <c r="G176" s="4" t="str">
        <f t="shared" si="103"/>
        <v>5413145</v>
      </c>
      <c r="H176" s="4" t="s">
        <v>260</v>
      </c>
      <c r="I176" s="5">
        <v>4905009680733</v>
      </c>
      <c r="J176" s="5">
        <v>5</v>
      </c>
      <c r="K176" s="5"/>
      <c r="L176" s="5">
        <v>1</v>
      </c>
      <c r="M176" s="5">
        <v>1</v>
      </c>
      <c r="N176" s="4">
        <v>0</v>
      </c>
      <c r="O176" s="4">
        <v>4600</v>
      </c>
      <c r="P176" s="4">
        <v>3500</v>
      </c>
      <c r="Q176" s="6">
        <f t="shared" si="104"/>
        <v>0.23913043478260865</v>
      </c>
      <c r="R176" s="4" t="s">
        <v>338</v>
      </c>
      <c r="S176" s="4" t="s">
        <v>338</v>
      </c>
      <c r="T176" s="4" t="s">
        <v>338</v>
      </c>
      <c r="U176" s="4">
        <v>0</v>
      </c>
      <c r="V176" s="4">
        <f t="shared" si="105"/>
        <v>0</v>
      </c>
      <c r="W176" s="4">
        <v>3675</v>
      </c>
      <c r="X176" s="4">
        <f t="shared" si="106"/>
        <v>3675</v>
      </c>
      <c r="Y176" s="4"/>
      <c r="Z176" s="21">
        <f t="shared" si="107"/>
        <v>4830</v>
      </c>
      <c r="AA176" s="6">
        <f t="shared" si="108"/>
        <v>0.23913043478260865</v>
      </c>
      <c r="AB176" s="4">
        <v>0</v>
      </c>
      <c r="AC176" s="4">
        <f t="shared" si="109"/>
        <v>3637</v>
      </c>
      <c r="AD176" s="4">
        <f t="shared" si="110"/>
        <v>3818.8500000000004</v>
      </c>
      <c r="AE176" s="6">
        <f t="shared" si="111"/>
        <v>3.7668408028595057E-2</v>
      </c>
      <c r="AF176" s="7">
        <v>4780</v>
      </c>
      <c r="AG176" s="40">
        <f t="shared" si="112"/>
        <v>0.23117154811715479</v>
      </c>
      <c r="AH176" s="4">
        <f t="shared" si="113"/>
        <v>1105</v>
      </c>
      <c r="AI176" s="28"/>
      <c r="AJ176" s="6"/>
      <c r="AK176" s="6"/>
      <c r="AL176" s="6" t="str">
        <f t="shared" si="114"/>
        <v>-</v>
      </c>
      <c r="AM176" s="6">
        <f t="shared" si="115"/>
        <v>1.0391304347826087</v>
      </c>
      <c r="AN176" s="6">
        <f t="shared" si="116"/>
        <v>1.05</v>
      </c>
      <c r="AO176" s="6" t="str">
        <f t="shared" si="96"/>
        <v>-</v>
      </c>
      <c r="AP176" s="4" t="str">
        <f t="shared" si="97"/>
        <v>-</v>
      </c>
      <c r="AQ176" s="4" t="str">
        <f t="shared" si="98"/>
        <v>-</v>
      </c>
      <c r="AR176" s="4" t="str">
        <f t="shared" si="99"/>
        <v>-</v>
      </c>
      <c r="AS176" s="4" t="s">
        <v>332</v>
      </c>
      <c r="AT176" s="4" t="s">
        <v>658</v>
      </c>
      <c r="AU176" s="4"/>
      <c r="AV176" s="4"/>
      <c r="AW176" s="4" t="s">
        <v>492</v>
      </c>
      <c r="AX176" s="4">
        <v>3637</v>
      </c>
      <c r="AY176" s="4">
        <f t="shared" si="117"/>
        <v>3637</v>
      </c>
      <c r="AZ176" s="19">
        <v>4</v>
      </c>
      <c r="BA176" s="19">
        <v>9</v>
      </c>
      <c r="BB176" s="16">
        <v>1910</v>
      </c>
      <c r="BC176" t="s">
        <v>338</v>
      </c>
      <c r="BD176" t="str">
        <f t="shared" si="100"/>
        <v>-</v>
      </c>
      <c r="BE176">
        <v>2080</v>
      </c>
      <c r="BF176">
        <f t="shared" si="101"/>
        <v>2184</v>
      </c>
      <c r="BG176" t="s">
        <v>486</v>
      </c>
    </row>
    <row r="177" spans="1:59" x14ac:dyDescent="0.4">
      <c r="A177" t="str">
        <f t="shared" si="95"/>
        <v>191718</v>
      </c>
      <c r="B177" s="39">
        <v>103</v>
      </c>
      <c r="C177" s="3">
        <v>103</v>
      </c>
      <c r="D177" s="4">
        <v>191718</v>
      </c>
      <c r="E177" s="4" t="str">
        <f t="shared" si="102"/>
        <v>191718</v>
      </c>
      <c r="F177" s="4">
        <v>191718</v>
      </c>
      <c r="G177" s="4" t="str">
        <f t="shared" si="103"/>
        <v>1917185</v>
      </c>
      <c r="H177" s="4" t="s">
        <v>248</v>
      </c>
      <c r="I177" s="5">
        <v>4905009517947</v>
      </c>
      <c r="J177" s="5">
        <v>5</v>
      </c>
      <c r="K177" s="5"/>
      <c r="L177" s="5">
        <v>1</v>
      </c>
      <c r="M177" s="5">
        <v>1</v>
      </c>
      <c r="N177" s="4">
        <v>0</v>
      </c>
      <c r="O177" s="4">
        <v>9560</v>
      </c>
      <c r="P177" s="4">
        <v>8000</v>
      </c>
      <c r="Q177" s="6">
        <f t="shared" si="104"/>
        <v>0.16317991631799167</v>
      </c>
      <c r="R177" s="4" t="s">
        <v>338</v>
      </c>
      <c r="S177" s="4" t="s">
        <v>338</v>
      </c>
      <c r="T177" s="4" t="s">
        <v>338</v>
      </c>
      <c r="U177" s="4">
        <v>0</v>
      </c>
      <c r="V177" s="4">
        <f t="shared" si="105"/>
        <v>0</v>
      </c>
      <c r="W177" s="4">
        <v>8241</v>
      </c>
      <c r="X177" s="4">
        <f t="shared" si="106"/>
        <v>8241</v>
      </c>
      <c r="Y177" s="4"/>
      <c r="Z177" s="21">
        <f t="shared" si="107"/>
        <v>9848</v>
      </c>
      <c r="AA177" s="6">
        <f t="shared" si="108"/>
        <v>0.16318034118602764</v>
      </c>
      <c r="AB177" s="4">
        <v>0</v>
      </c>
      <c r="AC177" s="4">
        <f t="shared" si="109"/>
        <v>9334</v>
      </c>
      <c r="AD177" s="4">
        <f t="shared" si="110"/>
        <v>9615.1867499999989</v>
      </c>
      <c r="AE177" s="6">
        <f t="shared" si="111"/>
        <v>0.14291836297407323</v>
      </c>
      <c r="AF177" s="7">
        <v>10800</v>
      </c>
      <c r="AG177" s="40">
        <f t="shared" si="112"/>
        <v>0.2369444444444444</v>
      </c>
      <c r="AH177" s="4">
        <f t="shared" si="113"/>
        <v>2559</v>
      </c>
      <c r="AI177" s="28"/>
      <c r="AJ177" s="6"/>
      <c r="AK177" s="6"/>
      <c r="AL177" s="6" t="str">
        <f t="shared" si="114"/>
        <v>-</v>
      </c>
      <c r="AM177" s="6">
        <f t="shared" si="115"/>
        <v>1.1297071129707112</v>
      </c>
      <c r="AN177" s="6">
        <f t="shared" si="116"/>
        <v>1.030125</v>
      </c>
      <c r="AO177" s="6" t="str">
        <f t="shared" si="96"/>
        <v>-</v>
      </c>
      <c r="AP177" s="4" t="str">
        <f t="shared" si="97"/>
        <v>-</v>
      </c>
      <c r="AQ177" s="4" t="str">
        <f t="shared" si="98"/>
        <v>-</v>
      </c>
      <c r="AR177" s="4" t="str">
        <f t="shared" si="99"/>
        <v>-</v>
      </c>
      <c r="AS177" s="4">
        <v>0</v>
      </c>
      <c r="AT177" s="4" t="s">
        <v>659</v>
      </c>
      <c r="AU177" s="4"/>
      <c r="AV177" s="4"/>
      <c r="AW177" s="4" t="s">
        <v>508</v>
      </c>
      <c r="AX177" s="4">
        <v>9334</v>
      </c>
      <c r="AY177" s="4">
        <f t="shared" si="117"/>
        <v>9334</v>
      </c>
      <c r="AZ177" s="19">
        <v>4</v>
      </c>
      <c r="BA177" s="19">
        <v>9</v>
      </c>
      <c r="BB177" s="16">
        <v>1910</v>
      </c>
      <c r="BC177" t="s">
        <v>338</v>
      </c>
      <c r="BD177" t="str">
        <f t="shared" si="100"/>
        <v>-</v>
      </c>
      <c r="BE177" t="s">
        <v>338</v>
      </c>
      <c r="BF177" t="str">
        <f t="shared" si="101"/>
        <v>-</v>
      </c>
      <c r="BG177" t="s">
        <v>487</v>
      </c>
    </row>
  </sheetData>
  <mergeCells count="3">
    <mergeCell ref="N2:Q2"/>
    <mergeCell ref="L2:M2"/>
    <mergeCell ref="U1:X1"/>
  </mergeCells>
  <phoneticPr fontId="2"/>
  <conditionalFormatting sqref="AD4:AD177">
    <cfRule type="cellIs" dxfId="2" priority="2" operator="lessThan">
      <formula>$AF4</formula>
    </cfRule>
  </conditionalFormatting>
  <conditionalFormatting sqref="AF4:AF177">
    <cfRule type="cellIs" dxfId="1" priority="4" operator="greaterThan">
      <formula>$V4</formula>
    </cfRule>
  </conditionalFormatting>
  <conditionalFormatting sqref="AG4:AG177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2026-07-15T08:34:22Z</dcterms:modified>
</cp:coreProperties>
</file>