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商品部\個人フォルダ\須永\価格改定\2026年8月1日改定\"/>
    </mc:Choice>
  </mc:AlternateContent>
  <xr:revisionPtr revIDLastSave="0" documentId="13_ncr:1_{205E84DD-F2E3-4EB7-901F-43D0FEC4481F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Sheet1!$A$3:$BI$26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A8" i="1" l="1"/>
  <c r="AD8" i="1" s="1"/>
  <c r="BA12" i="1"/>
  <c r="AD12" i="1" s="1"/>
  <c r="BA13" i="1"/>
  <c r="AD13" i="1" s="1"/>
  <c r="BA18" i="1"/>
  <c r="AD18" i="1" s="1"/>
  <c r="BA20" i="1"/>
  <c r="AD20" i="1" s="1"/>
  <c r="BA21" i="1"/>
  <c r="AD21" i="1" s="1"/>
  <c r="BA23" i="1"/>
  <c r="AD23" i="1" s="1"/>
  <c r="BA24" i="1"/>
  <c r="AD24" i="1" s="1"/>
  <c r="BA26" i="1"/>
  <c r="AD26" i="1" s="1"/>
  <c r="BA4" i="1"/>
  <c r="AD4" i="1" s="1"/>
  <c r="BH17" i="1"/>
  <c r="Q4" i="1"/>
  <c r="R4" i="1" s="1"/>
  <c r="Q6" i="1"/>
  <c r="R6" i="1" s="1"/>
  <c r="Q8" i="1"/>
  <c r="R8" i="1" s="1"/>
  <c r="Q10" i="1"/>
  <c r="R10" i="1" s="1"/>
  <c r="Q12" i="1"/>
  <c r="R12" i="1" s="1"/>
  <c r="Q14" i="1"/>
  <c r="R14" i="1" s="1"/>
  <c r="Q16" i="1"/>
  <c r="R16" i="1" s="1"/>
  <c r="Q17" i="1"/>
  <c r="R17" i="1" s="1"/>
  <c r="Q19" i="1"/>
  <c r="R19" i="1" s="1"/>
  <c r="Q21" i="1"/>
  <c r="R21" i="1" s="1"/>
  <c r="Q23" i="1"/>
  <c r="R23" i="1" s="1"/>
  <c r="Q24" i="1"/>
  <c r="R24" i="1" s="1"/>
  <c r="Q25" i="1"/>
  <c r="R25" i="1" s="1"/>
  <c r="Q5" i="1"/>
  <c r="R5" i="1" s="1"/>
  <c r="Q7" i="1"/>
  <c r="R7" i="1" s="1"/>
  <c r="Q9" i="1"/>
  <c r="R9" i="1" s="1"/>
  <c r="Q11" i="1"/>
  <c r="R11" i="1" s="1"/>
  <c r="Q13" i="1"/>
  <c r="R13" i="1" s="1"/>
  <c r="Q15" i="1"/>
  <c r="R15" i="1" s="1"/>
  <c r="Q18" i="1"/>
  <c r="R18" i="1" s="1"/>
  <c r="Q20" i="1"/>
  <c r="R20" i="1" s="1"/>
  <c r="Q22" i="1"/>
  <c r="R22" i="1" s="1"/>
  <c r="Q26" i="1"/>
  <c r="R26" i="1" s="1"/>
  <c r="Y5" i="1"/>
  <c r="Y11" i="1"/>
  <c r="Y13" i="1"/>
  <c r="Y20" i="1"/>
  <c r="AI20" i="1" s="1"/>
  <c r="Y22" i="1"/>
  <c r="AI22" i="1" s="1"/>
  <c r="Y26" i="1"/>
  <c r="AI26" i="1" s="1"/>
  <c r="Y7" i="1"/>
  <c r="AI7" i="1" s="1"/>
  <c r="Y18" i="1"/>
  <c r="AP4" i="1"/>
  <c r="AQ4" i="1"/>
  <c r="AR4" i="1"/>
  <c r="AP6" i="1"/>
  <c r="AQ6" i="1"/>
  <c r="AR6" i="1"/>
  <c r="AP8" i="1"/>
  <c r="AQ8" i="1"/>
  <c r="AR8" i="1"/>
  <c r="AQ10" i="1"/>
  <c r="AR10" i="1"/>
  <c r="AP12" i="1"/>
  <c r="AQ12" i="1"/>
  <c r="AR12" i="1"/>
  <c r="AP14" i="1"/>
  <c r="AQ14" i="1"/>
  <c r="AR14" i="1"/>
  <c r="AP16" i="1"/>
  <c r="AQ16" i="1"/>
  <c r="AR16" i="1"/>
  <c r="AP17" i="1"/>
  <c r="AQ17" i="1"/>
  <c r="AR17" i="1"/>
  <c r="AP19" i="1"/>
  <c r="AQ19" i="1"/>
  <c r="AR19" i="1"/>
  <c r="AP21" i="1"/>
  <c r="AQ21" i="1"/>
  <c r="AR21" i="1"/>
  <c r="AP23" i="1"/>
  <c r="AQ23" i="1"/>
  <c r="AR23" i="1"/>
  <c r="AP24" i="1"/>
  <c r="AQ24" i="1"/>
  <c r="AR24" i="1"/>
  <c r="AP25" i="1"/>
  <c r="AQ25" i="1"/>
  <c r="AR25" i="1"/>
  <c r="AP5" i="1"/>
  <c r="AQ5" i="1"/>
  <c r="AR5" i="1"/>
  <c r="AP7" i="1"/>
  <c r="AQ7" i="1"/>
  <c r="AR7" i="1"/>
  <c r="AP9" i="1"/>
  <c r="AQ9" i="1"/>
  <c r="AR9" i="1"/>
  <c r="AP11" i="1"/>
  <c r="AQ11" i="1"/>
  <c r="AR11" i="1"/>
  <c r="AP13" i="1"/>
  <c r="AQ13" i="1"/>
  <c r="AR13" i="1"/>
  <c r="AP15" i="1"/>
  <c r="AQ15" i="1"/>
  <c r="AR15" i="1"/>
  <c r="AP18" i="1"/>
  <c r="AQ18" i="1"/>
  <c r="AR18" i="1"/>
  <c r="AP20" i="1"/>
  <c r="AQ20" i="1"/>
  <c r="AR20" i="1"/>
  <c r="AP22" i="1"/>
  <c r="AQ22" i="1"/>
  <c r="AR22" i="1"/>
  <c r="AP26" i="1"/>
  <c r="AQ26" i="1"/>
  <c r="AR26" i="1"/>
  <c r="O11" i="1"/>
  <c r="O18" i="1"/>
  <c r="O20" i="1"/>
  <c r="O22" i="1"/>
  <c r="O26" i="1"/>
  <c r="O25" i="1"/>
  <c r="AN26" i="1"/>
  <c r="W26" i="1"/>
  <c r="D26" i="1"/>
  <c r="BA22" i="1"/>
  <c r="AD22" i="1" s="1"/>
  <c r="AN22" i="1"/>
  <c r="W22" i="1"/>
  <c r="AM22" i="1" s="1"/>
  <c r="D22" i="1"/>
  <c r="AN20" i="1"/>
  <c r="W20" i="1"/>
  <c r="AM20" i="1" s="1"/>
  <c r="D20" i="1"/>
  <c r="AN18" i="1"/>
  <c r="W18" i="1"/>
  <c r="AM18" i="1" s="1"/>
  <c r="D18" i="1"/>
  <c r="BA15" i="1"/>
  <c r="AD15" i="1" s="1"/>
  <c r="AN15" i="1"/>
  <c r="Y15" i="1"/>
  <c r="W15" i="1"/>
  <c r="AM15" i="1" s="1"/>
  <c r="O15" i="1"/>
  <c r="D15" i="1"/>
  <c r="AN13" i="1"/>
  <c r="W13" i="1"/>
  <c r="AM13" i="1" s="1"/>
  <c r="O13" i="1"/>
  <c r="D13" i="1"/>
  <c r="BA11" i="1"/>
  <c r="AD11" i="1" s="1"/>
  <c r="AN11" i="1"/>
  <c r="W11" i="1"/>
  <c r="AM11" i="1" s="1"/>
  <c r="D11" i="1"/>
  <c r="BA9" i="1"/>
  <c r="AD9" i="1" s="1"/>
  <c r="AN9" i="1"/>
  <c r="Y9" i="1"/>
  <c r="AI9" i="1" s="1"/>
  <c r="W9" i="1"/>
  <c r="AM9" i="1" s="1"/>
  <c r="O9" i="1"/>
  <c r="D9" i="1"/>
  <c r="BA7" i="1"/>
  <c r="AD7" i="1" s="1"/>
  <c r="AN7" i="1"/>
  <c r="W7" i="1"/>
  <c r="AM7" i="1" s="1"/>
  <c r="O7" i="1"/>
  <c r="D7" i="1"/>
  <c r="BA5" i="1"/>
  <c r="AD5" i="1" s="1"/>
  <c r="AN5" i="1"/>
  <c r="W5" i="1"/>
  <c r="AM5" i="1" s="1"/>
  <c r="O5" i="1"/>
  <c r="D5" i="1"/>
  <c r="BA25" i="1"/>
  <c r="AD25" i="1" s="1"/>
  <c r="AN25" i="1"/>
  <c r="Y25" i="1"/>
  <c r="AH25" i="1" s="1"/>
  <c r="W25" i="1"/>
  <c r="AM25" i="1" s="1"/>
  <c r="D25" i="1"/>
  <c r="AN24" i="1"/>
  <c r="Y24" i="1"/>
  <c r="AO24" i="1" s="1"/>
  <c r="AA24" i="1" s="1"/>
  <c r="AB24" i="1" s="1"/>
  <c r="W24" i="1"/>
  <c r="AM24" i="1" s="1"/>
  <c r="O24" i="1"/>
  <c r="D24" i="1"/>
  <c r="AN23" i="1"/>
  <c r="Y23" i="1"/>
  <c r="AI23" i="1" s="1"/>
  <c r="W23" i="1"/>
  <c r="AM23" i="1" s="1"/>
  <c r="O23" i="1"/>
  <c r="D23" i="1"/>
  <c r="AN21" i="1"/>
  <c r="Y21" i="1"/>
  <c r="AO21" i="1" s="1"/>
  <c r="AA21" i="1" s="1"/>
  <c r="AB21" i="1" s="1"/>
  <c r="W21" i="1"/>
  <c r="AM21" i="1" s="1"/>
  <c r="O21" i="1"/>
  <c r="D21" i="1"/>
  <c r="BA19" i="1"/>
  <c r="AD19" i="1" s="1"/>
  <c r="AN19" i="1"/>
  <c r="Y19" i="1"/>
  <c r="AI19" i="1" s="1"/>
  <c r="W19" i="1"/>
  <c r="AM19" i="1" s="1"/>
  <c r="O19" i="1"/>
  <c r="D19" i="1"/>
  <c r="BA17" i="1"/>
  <c r="AD17" i="1" s="1"/>
  <c r="AN17" i="1"/>
  <c r="Y17" i="1"/>
  <c r="AO17" i="1" s="1"/>
  <c r="AA17" i="1" s="1"/>
  <c r="AB17" i="1" s="1"/>
  <c r="W17" i="1"/>
  <c r="AM17" i="1" s="1"/>
  <c r="O17" i="1"/>
  <c r="D17" i="1"/>
  <c r="BA16" i="1"/>
  <c r="AD16" i="1" s="1"/>
  <c r="AN16" i="1"/>
  <c r="Y16" i="1"/>
  <c r="AI16" i="1" s="1"/>
  <c r="W16" i="1"/>
  <c r="AM16" i="1" s="1"/>
  <c r="O16" i="1"/>
  <c r="D16" i="1"/>
  <c r="BA14" i="1"/>
  <c r="AD14" i="1" s="1"/>
  <c r="AN14" i="1"/>
  <c r="Y14" i="1"/>
  <c r="AO14" i="1" s="1"/>
  <c r="AA14" i="1" s="1"/>
  <c r="AB14" i="1" s="1"/>
  <c r="W14" i="1"/>
  <c r="AM14" i="1" s="1"/>
  <c r="O14" i="1"/>
  <c r="D14" i="1"/>
  <c r="AN12" i="1"/>
  <c r="Y12" i="1"/>
  <c r="AI12" i="1" s="1"/>
  <c r="W12" i="1"/>
  <c r="AM12" i="1" s="1"/>
  <c r="O12" i="1"/>
  <c r="D12" i="1"/>
  <c r="BA10" i="1"/>
  <c r="AD10" i="1" s="1"/>
  <c r="AN10" i="1"/>
  <c r="Y10" i="1"/>
  <c r="AO10" i="1" s="1"/>
  <c r="AA10" i="1" s="1"/>
  <c r="AB10" i="1" s="1"/>
  <c r="W10" i="1"/>
  <c r="AM10" i="1" s="1"/>
  <c r="O10" i="1"/>
  <c r="D10" i="1"/>
  <c r="AN8" i="1"/>
  <c r="Y8" i="1"/>
  <c r="AO8" i="1" s="1"/>
  <c r="AA8" i="1" s="1"/>
  <c r="AB8" i="1" s="1"/>
  <c r="W8" i="1"/>
  <c r="AM8" i="1" s="1"/>
  <c r="O8" i="1"/>
  <c r="D8" i="1"/>
  <c r="BA6" i="1"/>
  <c r="AD6" i="1" s="1"/>
  <c r="AN6" i="1"/>
  <c r="Y6" i="1"/>
  <c r="AH6" i="1" s="1"/>
  <c r="W6" i="1"/>
  <c r="AM6" i="1" s="1"/>
  <c r="O6" i="1"/>
  <c r="D6" i="1"/>
  <c r="AN4" i="1"/>
  <c r="Y4" i="1"/>
  <c r="AI4" i="1" s="1"/>
  <c r="W4" i="1"/>
  <c r="AM4" i="1" s="1"/>
  <c r="O4" i="1"/>
  <c r="D4" i="1"/>
  <c r="BH10" i="1" l="1"/>
  <c r="BH24" i="1"/>
  <c r="BH8" i="1"/>
  <c r="BH14" i="1"/>
  <c r="BH21" i="1"/>
  <c r="BF10" i="1"/>
  <c r="BF17" i="1"/>
  <c r="BF24" i="1"/>
  <c r="BF8" i="1"/>
  <c r="BF14" i="1"/>
  <c r="BF21" i="1"/>
  <c r="AM26" i="1"/>
  <c r="AO4" i="1"/>
  <c r="BH4" i="1" s="1"/>
  <c r="AO6" i="1"/>
  <c r="BH6" i="1" s="1"/>
  <c r="AO23" i="1"/>
  <c r="BH23" i="1" s="1"/>
  <c r="AI6" i="1"/>
  <c r="AO12" i="1"/>
  <c r="BH12" i="1" s="1"/>
  <c r="AI24" i="1"/>
  <c r="AI14" i="1"/>
  <c r="AI17" i="1"/>
  <c r="AO16" i="1"/>
  <c r="BH16" i="1" s="1"/>
  <c r="AH16" i="1"/>
  <c r="AH17" i="1"/>
  <c r="AH4" i="1"/>
  <c r="AH21" i="1"/>
  <c r="AH12" i="1"/>
  <c r="AH14" i="1"/>
  <c r="AI21" i="1"/>
  <c r="AH23" i="1"/>
  <c r="AH24" i="1"/>
  <c r="AH8" i="1"/>
  <c r="AO19" i="1"/>
  <c r="BH19" i="1" s="1"/>
  <c r="AI8" i="1"/>
  <c r="AH10" i="1"/>
  <c r="AI10" i="1"/>
  <c r="AH19" i="1"/>
  <c r="AE17" i="1"/>
  <c r="AF17" i="1" s="1"/>
  <c r="AE14" i="1"/>
  <c r="AF14" i="1" s="1"/>
  <c r="AE8" i="1"/>
  <c r="AF8" i="1" s="1"/>
  <c r="AE21" i="1"/>
  <c r="AF21" i="1" s="1"/>
  <c r="AE10" i="1"/>
  <c r="AF10" i="1" s="1"/>
  <c r="AE24" i="1"/>
  <c r="AF24" i="1" s="1"/>
  <c r="AO11" i="1"/>
  <c r="BH11" i="1" s="1"/>
  <c r="AH11" i="1"/>
  <c r="AI11" i="1"/>
  <c r="AO13" i="1"/>
  <c r="BH13" i="1" s="1"/>
  <c r="AH13" i="1"/>
  <c r="AI13" i="1"/>
  <c r="AO5" i="1"/>
  <c r="BH5" i="1" s="1"/>
  <c r="AH5" i="1"/>
  <c r="AO15" i="1"/>
  <c r="BH15" i="1" s="1"/>
  <c r="AH15" i="1"/>
  <c r="AO18" i="1"/>
  <c r="BH18" i="1" s="1"/>
  <c r="AH18" i="1"/>
  <c r="AI5" i="1"/>
  <c r="AO7" i="1"/>
  <c r="BH7" i="1" s="1"/>
  <c r="AH7" i="1"/>
  <c r="AI15" i="1"/>
  <c r="AO9" i="1"/>
  <c r="BH9" i="1" s="1"/>
  <c r="AH9" i="1"/>
  <c r="AI18" i="1"/>
  <c r="AO20" i="1"/>
  <c r="BH20" i="1" s="1"/>
  <c r="AH20" i="1"/>
  <c r="AO22" i="1"/>
  <c r="BH22" i="1" s="1"/>
  <c r="AH22" i="1"/>
  <c r="AI25" i="1"/>
  <c r="AO25" i="1"/>
  <c r="BH25" i="1" s="1"/>
  <c r="AO26" i="1"/>
  <c r="BH26" i="1" s="1"/>
  <c r="AH26" i="1"/>
  <c r="AA20" i="1" l="1"/>
  <c r="AB20" i="1" s="1"/>
  <c r="BF20" i="1"/>
  <c r="AA13" i="1"/>
  <c r="AB13" i="1" s="1"/>
  <c r="BF13" i="1"/>
  <c r="AA6" i="1"/>
  <c r="AB6" i="1" s="1"/>
  <c r="BF6" i="1"/>
  <c r="AA18" i="1"/>
  <c r="AB18" i="1" s="1"/>
  <c r="BF18" i="1"/>
  <c r="AA4" i="1"/>
  <c r="AB4" i="1" s="1"/>
  <c r="BF4" i="1"/>
  <c r="AA25" i="1"/>
  <c r="AB25" i="1" s="1"/>
  <c r="BF25" i="1"/>
  <c r="AA9" i="1"/>
  <c r="AB9" i="1" s="1"/>
  <c r="BF9" i="1"/>
  <c r="AA15" i="1"/>
  <c r="AB15" i="1" s="1"/>
  <c r="BF15" i="1"/>
  <c r="AA11" i="1"/>
  <c r="AB11" i="1" s="1"/>
  <c r="BF11" i="1"/>
  <c r="AA23" i="1"/>
  <c r="AB23" i="1" s="1"/>
  <c r="BF23" i="1"/>
  <c r="AA16" i="1"/>
  <c r="AB16" i="1" s="1"/>
  <c r="BF16" i="1"/>
  <c r="AA26" i="1"/>
  <c r="AB26" i="1" s="1"/>
  <c r="BF26" i="1"/>
  <c r="AA5" i="1"/>
  <c r="AB5" i="1" s="1"/>
  <c r="BF5" i="1"/>
  <c r="AA12" i="1"/>
  <c r="AB12" i="1" s="1"/>
  <c r="BF12" i="1"/>
  <c r="AA22" i="1"/>
  <c r="AB22" i="1" s="1"/>
  <c r="BF22" i="1"/>
  <c r="AA7" i="1"/>
  <c r="AB7" i="1" s="1"/>
  <c r="BF7" i="1"/>
  <c r="AA19" i="1"/>
  <c r="AB19" i="1" s="1"/>
  <c r="BF19" i="1"/>
  <c r="AE6" i="1"/>
  <c r="AF6" i="1" s="1"/>
  <c r="AE4" i="1"/>
  <c r="AF4" i="1" s="1"/>
  <c r="AE23" i="1"/>
  <c r="AF23" i="1" s="1"/>
  <c r="AE16" i="1"/>
  <c r="AF16" i="1" s="1"/>
  <c r="AE19" i="1"/>
  <c r="AF19" i="1" s="1"/>
  <c r="AE12" i="1"/>
  <c r="AF12" i="1" s="1"/>
  <c r="AE7" i="1"/>
  <c r="AF7" i="1" s="1"/>
  <c r="AE15" i="1"/>
  <c r="AF15" i="1" s="1"/>
  <c r="AE13" i="1"/>
  <c r="AF13" i="1" s="1"/>
  <c r="AE25" i="1"/>
  <c r="AF25" i="1" s="1"/>
  <c r="AE18" i="1"/>
  <c r="AF18" i="1" s="1"/>
  <c r="AE26" i="1"/>
  <c r="AF26" i="1" s="1"/>
  <c r="AE9" i="1"/>
  <c r="AF9" i="1" s="1"/>
  <c r="AE11" i="1"/>
  <c r="AF11" i="1" s="1"/>
  <c r="AE22" i="1"/>
  <c r="AF22" i="1" s="1"/>
  <c r="AE20" i="1"/>
  <c r="AF20" i="1" s="1"/>
  <c r="AE5" i="1"/>
  <c r="AF5" i="1" s="1"/>
</calcChain>
</file>

<file path=xl/sharedStrings.xml><?xml version="1.0" encoding="utf-8"?>
<sst xmlns="http://schemas.openxmlformats.org/spreadsheetml/2006/main" count="335" uniqueCount="125">
  <si>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</si>
  <si>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</si>
  <si>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</si>
  <si>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</si>
  <si>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</si>
  <si>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</si>
  <si>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</si>
  <si>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</si>
  <si>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</si>
  <si>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</si>
  <si>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</si>
  <si>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</si>
  <si>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</si>
  <si>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</si>
  <si>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</si>
  <si>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</si>
  <si>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</si>
  <si>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</si>
  <si>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</si>
  <si>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</si>
  <si>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</si>
  <si>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</si>
  <si>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</si>
  <si>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</si>
  <si>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</si>
  <si>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</si>
  <si>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</si>
  <si>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</si>
  <si>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</si>
  <si>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</si>
  <si>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</si>
  <si>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</si>
  <si>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</si>
  <si>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</si>
  <si>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</si>
  <si>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</si>
  <si>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</si>
  <si>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</si>
  <si>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</si>
  <si>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</si>
  <si>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</si>
  <si>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</si>
  <si>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</si>
  <si>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</si>
  <si>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</si>
  <si>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</si>
  <si>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</si>
  <si>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</si>
  <si>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</si>
  <si>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</si>
  <si>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</si>
  <si>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</si>
  <si>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</si>
  <si>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</si>
  <si>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5月売価</t>
    <rPh sb="1" eb="2">
      <t>ガツ</t>
    </rPh>
    <rPh sb="2" eb="4">
      <t>バイカ</t>
    </rPh>
    <phoneticPr fontId="2"/>
  </si>
  <si>
    <t>新No.</t>
    <rPh sb="0" eb="1">
      <t>シン</t>
    </rPh>
    <phoneticPr fontId="2"/>
  </si>
  <si>
    <t>普通保存用ｻｰﾏﾙﾚｼﾞﾛｰﾙ 幅45×外径80×内径12mm 5巻</t>
  </si>
  <si>
    <t>普通保存用ｻｰﾏﾙﾚｼﾞﾛｰﾙ 幅45×外径80×内径17.5mm 5巻</t>
  </si>
  <si>
    <t>普通保存用ｻｰﾏﾙﾚｼﾞﾛｰﾙ 幅58×外径80×内径12mm 5巻</t>
  </si>
  <si>
    <t>普通保存用ｻｰﾏﾙﾚｼﾞﾛｰﾙ 幅58×外径80×内径17.5mm 5巻</t>
  </si>
  <si>
    <t>普通保存用ｻｰﾏﾙﾚｼﾞﾛｰﾙ 幅58×外径70×内径12mm 5巻</t>
  </si>
  <si>
    <t>中保存用ｻｰﾏﾙﾚｼﾞﾛｰﾙ 幅58×外径80×内径12mm 5巻</t>
  </si>
  <si>
    <t>中保存用ｻｰﾏﾙﾚｼﾞﾛｰﾙ 幅80×外径80×内径12mm 5巻</t>
  </si>
  <si>
    <t>高保存用ｻｰﾏﾙﾚｼﾞﾛｰﾙ 幅45×外径80×内径12mm 5巻</t>
  </si>
  <si>
    <t>高保存用ｻｰﾏﾙﾚｼﾞﾛｰﾙ 幅58×外径80×内径12mm 5巻</t>
  </si>
  <si>
    <t>高保存用ｻｰﾏﾙﾚｼﾞﾛｰﾙ 幅58×外径80×内径17.5mm 5巻</t>
  </si>
  <si>
    <t>高保存用ｻｰﾏﾙﾚｼﾞﾛｰﾙ 幅80×外径80×内径12mm 5巻</t>
  </si>
  <si>
    <t>普通保存用ｻｰﾏﾙﾚｼﾞﾛｰﾙ 幅80×外径80×内径12mm 50巻</t>
  </si>
  <si>
    <t>中保存用ｻｰﾏﾙﾚｼﾞﾛｰﾙ 幅45×外径80×内径12mm 5巻</t>
  </si>
  <si>
    <t>普通保存用ｻｰﾏﾙﾚｼﾞﾛｰﾙ 幅45×外径80×内径12mm 100巻</t>
  </si>
  <si>
    <t>6586498</t>
  </si>
  <si>
    <t>普通保存用ｻｰﾏﾙﾚｼﾞﾛｰﾙ 幅45*外径80*内径17.5mm 100巻</t>
  </si>
  <si>
    <t>6586508</t>
  </si>
  <si>
    <t>普通保存用ｻｰﾏﾙﾚｼﾞﾛｰﾙ 幅58×外径80×内径12mm 80巻</t>
  </si>
  <si>
    <t>6586518</t>
  </si>
  <si>
    <t>普通保存用ｻｰﾏﾙﾚｼﾞﾛｰﾙ 幅58×外径80×内径17.5mm 80巻</t>
  </si>
  <si>
    <t>6586548</t>
  </si>
  <si>
    <t>普通保存用ｻｰﾏﾙﾚｼﾞﾛｰﾙ 幅58×外径70×内径12mm 100巻</t>
  </si>
  <si>
    <t>6586558</t>
  </si>
  <si>
    <t>中保存用ｻｰﾏﾙﾚｼﾞﾛｰﾙ 幅58×外径80×内径12mm 80巻</t>
  </si>
  <si>
    <t>6586598</t>
  </si>
  <si>
    <t>高保存用ｻｰﾏﾙﾚｼﾞﾛｰﾙ 幅45×外径80×内径12mm 100巻</t>
  </si>
  <si>
    <t>6586618</t>
  </si>
  <si>
    <t>高保存用ｻｰﾏﾙﾚｼﾞﾛｰﾙ 幅58×外径80×内径12mm 80巻</t>
  </si>
  <si>
    <t>6586628</t>
  </si>
  <si>
    <t>高保存用ｻｰﾏﾙﾚｼﾞﾛｰﾙ 幅58×外径80×内径17.5mm 80巻</t>
  </si>
  <si>
    <t>6586638</t>
  </si>
  <si>
    <t>中保存用ｻｰﾏﾙﾚｼﾞﾛｰﾙ 幅45×外径80×内径12mm 100巻</t>
  </si>
  <si>
    <t>6586588</t>
  </si>
  <si>
    <t>34/561</t>
  </si>
  <si>
    <t>-</t>
  </si>
  <si>
    <t>840977</t>
  </si>
  <si>
    <t>8529245</t>
  </si>
  <si>
    <t>8545599</t>
  </si>
  <si>
    <t>3031790</t>
  </si>
  <si>
    <t>U297086</t>
  </si>
  <si>
    <t>8529209</t>
  </si>
  <si>
    <t>U297090</t>
  </si>
  <si>
    <t>519912</t>
  </si>
  <si>
    <t>【感熱紙】レジロール　普通保存　幅45ｍｍ×外径80ｍｍ　1パック（5巻入） オリジナル</t>
  </si>
  <si>
    <t>【感熱紙】レジロール 中保存 幅80mm×外径80mm FSC認証紙　1パック(3巻入)　 オリジナル</t>
  </si>
  <si>
    <t>【感熱紙】レジロール　高保存　幅58ｍｍ×外径80ｍｍ　1パック（5巻入） オリジナル</t>
  </si>
  <si>
    <t>【感熱紙】中川製作所 サーマルレジ用紙高保存８０ｍｍ×８０φ U248-217-0017 1パック（3巻入） オリジナル</t>
  </si>
  <si>
    <t>【感熱紙】レジロール　普通保存　幅80ｍｍ×外径80ｍｍ　1セット（12巻入り） オリジナル</t>
  </si>
  <si>
    <t>【FSC認証紙】レジロール　中保存　幅45×外径80ｍｍ　1パック(5巻入)　 オリジナル</t>
  </si>
  <si>
    <t>【感熱紙】レジロール　普通保存　幅45ｍｍ×外径80ｍｍ　1箱（60巻入） オリジナル</t>
  </si>
  <si>
    <t>【感熱紙】レジロール　普通保存　幅58ｍｍ×外径80ｍｍ　1箱（60巻入） オリジナル</t>
  </si>
  <si>
    <t>1パック（5巻入）</t>
  </si>
  <si>
    <t>1パック（3巻入）</t>
  </si>
  <si>
    <t>1セット（3巻入）</t>
  </si>
  <si>
    <t>1セット（12巻入り）</t>
  </si>
  <si>
    <t>1箱（60巻入）</t>
  </si>
  <si>
    <t>5月
たの</t>
    <rPh sb="1" eb="2">
      <t>ガツ</t>
    </rPh>
    <phoneticPr fontId="2"/>
  </si>
  <si>
    <t>たの
ｽﾗｲﾄﾞ</t>
    <phoneticPr fontId="2"/>
  </si>
  <si>
    <t>-</t>
    <phoneticPr fontId="2"/>
  </si>
  <si>
    <t>5月
カウ</t>
    <rPh sb="1" eb="2">
      <t>ガツ</t>
    </rPh>
    <phoneticPr fontId="2"/>
  </si>
  <si>
    <t>カウ
ｽﾗｲﾄﾞ</t>
    <phoneticPr fontId="2"/>
  </si>
  <si>
    <t>6月売価</t>
    <rPh sb="1" eb="2">
      <t>ガツ</t>
    </rPh>
    <rPh sb="2" eb="4">
      <t>バイカ</t>
    </rPh>
    <phoneticPr fontId="2"/>
  </si>
  <si>
    <t>【感熱紙】レジロール　普通保存　幅58ｍｍ×外径80ｍｍ　1パック（5巻入） オリジナル</t>
  </si>
  <si>
    <t>【FSC認証紙】レジロール　感熱　高保存　幅58×80ｍｍ　1箱(60巻入)　 オリジナル</t>
  </si>
  <si>
    <t>U297079</t>
  </si>
  <si>
    <t>U297082</t>
  </si>
  <si>
    <t>1箱（100巻入）</t>
  </si>
  <si>
    <t>【FSC認証紙】レジロール　感熱　中保存　幅45×外径80ｍｍ　1箱(100巻入) オリジナル</t>
  </si>
  <si>
    <t>7月売価</t>
    <rPh sb="1" eb="2">
      <t>ガツ</t>
    </rPh>
    <rPh sb="2" eb="4">
      <t>バイカ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</si>
</sst>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0.0%"/>
    <numFmt numFmtId="178" formatCode="#,##0.0;[Red]\-#,##0.0"/>
  </numFmts>
  <fonts count="4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2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13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>
      <alignment vertical="center"/>
    </xf>
    <xf numFmtId="0" fontId="0" fillId="3" borderId="4" xfId="0" applyFill="1" applyBorder="1">
      <alignment vertical="center"/>
    </xf>
    <xf numFmtId="0" fontId="0" fillId="6" borderId="3" xfId="0" applyFill="1" applyBorder="1">
      <alignment vertical="center"/>
    </xf>
    <xf numFmtId="177" fontId="0" fillId="7" borderId="4" xfId="0" applyNumberFormat="1" applyFill="1" applyBorder="1">
      <alignment vertical="center"/>
    </xf>
    <xf numFmtId="0" fontId="0" fillId="0" borderId="18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178" fontId="0" fillId="0" borderId="0" xfId="1" applyNumberFormat="1" applyFont="1">
      <alignment vertical="center"/>
    </xf>
    <xf numFmtId="178" fontId="0" fillId="0" borderId="6" xfId="1" applyNumberFormat="1" applyFont="1" applyBorder="1" applyAlignment="1">
      <alignment horizontal="center" vertical="center"/>
    </xf>
    <xf numFmtId="178" fontId="0" fillId="0" borderId="2" xfId="1" applyNumberFormat="1" applyFont="1" applyBorder="1" applyAlignment="1">
      <alignment vertical="center" wrapText="1"/>
    </xf>
    <xf numFmtId="178" fontId="0" fillId="0" borderId="4" xfId="1" applyNumberFormat="1" applyFont="1" applyBorder="1">
      <alignment vertical="center"/>
    </xf>
  </cellXfs>
  <cellStyles count="2">
    <cellStyle name="桁区切り" xfId="1" builtinId="6"/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CC"/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I26"/>
  <sheetViews>
    <sheetView tabSelected="1" zoomScale="90" zoomScaleNormal="90" workbookViewId="0">
      <pane xSplit="11" ySplit="5" topLeftCell="AA6" activePane="bottomRight" state="frozen"/>
      <selection pane="topRight" activeCell="L1" sqref="L1"/>
      <selection pane="bottomLeft" activeCell="A6" sqref="A6"/>
      <selection pane="bottomRight" activeCell="AG18" sqref="AG18"/>
    </sheetView>
  </sheetViews>
  <sheetFormatPr defaultRowHeight="18.75" outlineLevelCol="1" x14ac:dyDescent="0.4"/>
  <cols>
    <col min="1" max="1" width="4.625" customWidth="1"/>
    <col min="2" max="2" width="5.75" customWidth="1"/>
    <col min="6" max="6" width="48.375" customWidth="1"/>
    <col min="7" max="7" width="15.5" bestFit="1" customWidth="1"/>
    <col min="8" max="11" width="7.5" hidden="1" customWidth="1" outlineLevel="1"/>
    <col min="12" max="12" width="7.625" customWidth="1" collapsed="1"/>
    <col min="13" max="19" width="7.625" customWidth="1"/>
    <col min="20" max="21" width="7.625" hidden="1" customWidth="1" outlineLevel="1"/>
    <col min="22" max="22" width="7.625" customWidth="1" collapsed="1"/>
    <col min="23" max="25" width="7.625" customWidth="1"/>
    <col min="26" max="26" width="4.375" customWidth="1" collapsed="1"/>
    <col min="27" max="30" width="7.625" customWidth="1"/>
    <col min="31" max="31" width="9.25" style="43" customWidth="1"/>
    <col min="32" max="32" width="9.25" customWidth="1"/>
    <col min="33" max="35" width="7.625" customWidth="1"/>
    <col min="36" max="38" width="7.625" customWidth="1" outlineLevel="1"/>
    <col min="39" max="41" width="7.625" customWidth="1"/>
    <col min="42" max="44" width="7.625" customWidth="1" outlineLevel="1"/>
    <col min="45" max="48" width="7.625" customWidth="1"/>
    <col min="49" max="51" width="9" customWidth="1"/>
    <col min="52" max="60" width="7.625" customWidth="1"/>
  </cols>
  <sheetData>
    <row r="1" spans="1:61" x14ac:dyDescent="0.4">
      <c r="C1" s="28" t="s">
        <v>43</v>
      </c>
      <c r="V1" s="40" t="s">
        <v>40</v>
      </c>
      <c r="W1" s="41"/>
      <c r="X1" s="41"/>
      <c r="Y1" s="42"/>
    </row>
    <row r="2" spans="1:61" x14ac:dyDescent="0.4">
      <c r="C2" s="8" t="s">
        <v>27</v>
      </c>
      <c r="D2" s="9" t="s">
        <v>28</v>
      </c>
      <c r="E2" s="9" t="s">
        <v>29</v>
      </c>
      <c r="F2" s="10"/>
      <c r="G2" s="10"/>
      <c r="H2" s="31"/>
      <c r="I2" s="31"/>
      <c r="J2" s="37" t="s">
        <v>30</v>
      </c>
      <c r="K2" s="39"/>
      <c r="L2" s="37" t="s">
        <v>2</v>
      </c>
      <c r="M2" s="38"/>
      <c r="N2" s="38"/>
      <c r="O2" s="39"/>
      <c r="P2" s="11"/>
      <c r="Q2" s="11"/>
      <c r="R2" s="11"/>
      <c r="S2" s="11"/>
      <c r="T2" s="30"/>
      <c r="U2" s="30"/>
      <c r="V2" s="22"/>
      <c r="W2" s="23" t="s">
        <v>33</v>
      </c>
      <c r="X2" s="23"/>
      <c r="Y2" s="24" t="s">
        <v>33</v>
      </c>
      <c r="Z2" s="10"/>
      <c r="AA2" s="9" t="s">
        <v>38</v>
      </c>
      <c r="AB2" s="11"/>
      <c r="AC2" s="11"/>
      <c r="AD2" s="11"/>
      <c r="AE2" s="44"/>
      <c r="AF2" s="11"/>
      <c r="AG2" s="21" t="s">
        <v>41</v>
      </c>
      <c r="AH2" s="11"/>
      <c r="AI2" s="11"/>
      <c r="AJ2" s="26"/>
      <c r="AK2" s="11"/>
      <c r="AL2" s="11"/>
      <c r="AM2" s="11"/>
      <c r="AN2" s="11"/>
      <c r="AO2" s="11"/>
      <c r="AP2" s="11"/>
      <c r="AQ2" s="11"/>
      <c r="AR2" s="11"/>
      <c r="AS2">
        <v>51</v>
      </c>
      <c r="BB2">
        <v>14</v>
      </c>
      <c r="BC2">
        <v>28</v>
      </c>
    </row>
    <row r="3" spans="1:61" ht="75" x14ac:dyDescent="0.4">
      <c r="A3" s="1" t="s">
        <v>49</v>
      </c>
      <c r="B3" s="1" t="s">
        <v>55</v>
      </c>
      <c r="C3" s="2" t="s">
        <v>4</v>
      </c>
      <c r="D3" s="2" t="s">
        <v>9</v>
      </c>
      <c r="E3" s="2" t="s">
        <v>10</v>
      </c>
      <c r="F3" s="2" t="s">
        <v>0</v>
      </c>
      <c r="G3" s="12" t="s">
        <v>7</v>
      </c>
      <c r="H3" s="12" t="s">
        <v>51</v>
      </c>
      <c r="I3" s="12" t="s">
        <v>52</v>
      </c>
      <c r="J3" s="12" t="s">
        <v>24</v>
      </c>
      <c r="K3" s="12" t="s">
        <v>25</v>
      </c>
      <c r="L3" s="12" t="s">
        <v>1</v>
      </c>
      <c r="M3" s="2" t="s">
        <v>8</v>
      </c>
      <c r="N3" s="2" t="s">
        <v>5</v>
      </c>
      <c r="O3" s="2" t="s">
        <v>16</v>
      </c>
      <c r="P3" s="2"/>
      <c r="Q3" s="2"/>
      <c r="R3" s="2"/>
      <c r="S3" s="12" t="s">
        <v>47</v>
      </c>
      <c r="T3" s="12" t="s">
        <v>20</v>
      </c>
      <c r="U3" s="12" t="s">
        <v>21</v>
      </c>
      <c r="V3" s="12" t="s">
        <v>3</v>
      </c>
      <c r="W3" s="12" t="s">
        <v>22</v>
      </c>
      <c r="X3" s="2" t="s">
        <v>5</v>
      </c>
      <c r="Y3" s="12" t="s">
        <v>23</v>
      </c>
      <c r="Z3" s="14" t="s">
        <v>6</v>
      </c>
      <c r="AA3" s="19" t="s">
        <v>17</v>
      </c>
      <c r="AB3" s="2" t="s">
        <v>16</v>
      </c>
      <c r="AC3" s="2" t="s">
        <v>44</v>
      </c>
      <c r="AD3" s="12" t="s">
        <v>39</v>
      </c>
      <c r="AE3" s="45" t="s">
        <v>53</v>
      </c>
      <c r="AF3" s="2" t="s">
        <v>16</v>
      </c>
      <c r="AG3" s="13" t="s">
        <v>31</v>
      </c>
      <c r="AH3" s="2" t="s">
        <v>16</v>
      </c>
      <c r="AI3" s="2" t="s">
        <v>32</v>
      </c>
      <c r="AJ3" s="25" t="s">
        <v>34</v>
      </c>
      <c r="AK3" s="12" t="s">
        <v>35</v>
      </c>
      <c r="AL3" s="12" t="s">
        <v>36</v>
      </c>
      <c r="AM3" s="12" t="s">
        <v>26</v>
      </c>
      <c r="AN3" s="12" t="s">
        <v>37</v>
      </c>
      <c r="AO3" s="12" t="s">
        <v>18</v>
      </c>
      <c r="AP3" s="12" t="s">
        <v>19</v>
      </c>
      <c r="AQ3" s="12" t="s">
        <v>20</v>
      </c>
      <c r="AR3" s="12" t="s">
        <v>21</v>
      </c>
      <c r="AS3" s="2" t="s">
        <v>11</v>
      </c>
      <c r="AT3" s="2" t="s">
        <v>12</v>
      </c>
      <c r="AU3" s="2" t="s">
        <v>13</v>
      </c>
      <c r="AV3" s="2" t="s">
        <v>14</v>
      </c>
      <c r="AW3" s="12" t="s">
        <v>42</v>
      </c>
      <c r="AX3" s="2" t="s">
        <v>54</v>
      </c>
      <c r="AY3" s="2" t="s">
        <v>117</v>
      </c>
      <c r="AZ3" s="2" t="s">
        <v>124</v>
      </c>
      <c r="BA3" s="2" t="s">
        <v>15</v>
      </c>
      <c r="BB3" s="17" t="s">
        <v>45</v>
      </c>
      <c r="BC3" s="17" t="s">
        <v>46</v>
      </c>
      <c r="BD3" s="15" t="s">
        <v>50</v>
      </c>
      <c r="BE3" s="35" t="s">
        <v>112</v>
      </c>
      <c r="BF3" s="36" t="s">
        <v>113</v>
      </c>
      <c r="BG3" s="36" t="s">
        <v>115</v>
      </c>
      <c r="BH3" s="36" t="s">
        <v>116</v>
      </c>
      <c r="BI3" t="s">
        <v>48</v>
      </c>
    </row>
    <row r="4" spans="1:61" x14ac:dyDescent="0.4">
      <c r="A4" s="3">
        <v>47</v>
      </c>
      <c r="B4" s="3">
        <v>47</v>
      </c>
      <c r="C4" s="32">
        <v>658649</v>
      </c>
      <c r="D4" s="4" t="str">
        <f t="shared" ref="D4:D24" si="0">TEXT(C4,"000000")</f>
        <v>658649</v>
      </c>
      <c r="E4" s="4">
        <v>658649</v>
      </c>
      <c r="F4" s="4" t="s">
        <v>56</v>
      </c>
      <c r="G4" s="5">
        <v>4943467312766</v>
      </c>
      <c r="H4" s="5"/>
      <c r="I4" s="5"/>
      <c r="J4" s="5">
        <v>2</v>
      </c>
      <c r="K4" s="5">
        <v>2</v>
      </c>
      <c r="L4" s="4">
        <v>0</v>
      </c>
      <c r="M4" s="4">
        <v>822</v>
      </c>
      <c r="N4" s="4">
        <v>375</v>
      </c>
      <c r="O4" s="6">
        <f t="shared" ref="O4:O24" si="1">1-N4/M4</f>
        <v>0.54379562043795615</v>
      </c>
      <c r="P4" s="4">
        <v>75</v>
      </c>
      <c r="Q4" s="4">
        <f t="shared" ref="Q4:Q24" si="2">P4*Z4</f>
        <v>375</v>
      </c>
      <c r="R4" s="4">
        <f t="shared" ref="R4:R24" si="3">N4-Q4</f>
        <v>0</v>
      </c>
      <c r="S4" s="4" t="s">
        <v>90</v>
      </c>
      <c r="T4" s="4" t="s">
        <v>90</v>
      </c>
      <c r="U4" s="4" t="s">
        <v>90</v>
      </c>
      <c r="V4" s="4">
        <v>0</v>
      </c>
      <c r="W4" s="4">
        <f t="shared" ref="W4:W24" si="4">IF(Z4="",V4,V4*Z4)</f>
        <v>0</v>
      </c>
      <c r="X4" s="4">
        <v>85</v>
      </c>
      <c r="Y4" s="4">
        <f t="shared" ref="Y4:Y24" si="5">IF(Z4="",X4,X4*Z4)</f>
        <v>425</v>
      </c>
      <c r="Z4" s="4">
        <v>5</v>
      </c>
      <c r="AA4" s="20">
        <f t="shared" ref="AA4:AA24" si="6">ROUND(M4*AO4,0)</f>
        <v>932</v>
      </c>
      <c r="AB4" s="6">
        <f t="shared" ref="AB4:AB24" si="7">1-Y4/AA4</f>
        <v>0.54399141630901293</v>
      </c>
      <c r="AC4" s="4">
        <v>27.750000000000004</v>
      </c>
      <c r="AD4" s="4" t="str">
        <f t="shared" ref="AD4:AD24" si="8">BA4</f>
        <v>-</v>
      </c>
      <c r="AE4" s="46" t="e">
        <f t="shared" ref="AE4:AE24" si="9">AD4*AO4</f>
        <v>#VALUE!</v>
      </c>
      <c r="AF4" s="6" t="e">
        <f t="shared" ref="AF4:AF24" si="10">1-Y4/AE4</f>
        <v>#VALUE!</v>
      </c>
      <c r="AG4" s="7">
        <v>857</v>
      </c>
      <c r="AH4" s="34">
        <f t="shared" ref="AH4:AH24" si="11">1-Y4/AG4</f>
        <v>0.50408401400233371</v>
      </c>
      <c r="AI4" s="4">
        <f t="shared" ref="AI4:AI24" si="12">AG4-Y4</f>
        <v>432</v>
      </c>
      <c r="AJ4" s="27"/>
      <c r="AK4" s="6"/>
      <c r="AL4" s="6"/>
      <c r="AM4" s="6" t="e">
        <f t="shared" ref="AM4:AM24" si="13">W4/L4</f>
        <v>#DIV/0!</v>
      </c>
      <c r="AN4" s="6">
        <f t="shared" ref="AN4:AN24" si="14">AG4/M4</f>
        <v>1.0425790754257906</v>
      </c>
      <c r="AO4" s="6">
        <f t="shared" ref="AO4:AO24" si="15">Y4/N4</f>
        <v>1.1333333333333333</v>
      </c>
      <c r="AP4" s="4" t="str">
        <f t="shared" ref="AP4:AP24" si="16">IFERROR(ROUND($AG4*S4/$M4,0),"-")</f>
        <v>-</v>
      </c>
      <c r="AQ4" s="4" t="str">
        <f t="shared" ref="AQ4:AQ24" si="17">IF(T4="","-",T4)</f>
        <v>-</v>
      </c>
      <c r="AR4" s="4" t="str">
        <f t="shared" ref="AR4:AR24" si="18">IF(U4="","-",U4)</f>
        <v>-</v>
      </c>
      <c r="AS4" s="4" t="s">
        <v>89</v>
      </c>
      <c r="AT4" s="4" t="s">
        <v>90</v>
      </c>
      <c r="AU4" s="4"/>
      <c r="AV4" s="4"/>
      <c r="AW4" s="4" t="s">
        <v>90</v>
      </c>
      <c r="AX4" s="4" t="s">
        <v>90</v>
      </c>
      <c r="AY4" s="4" t="s">
        <v>90</v>
      </c>
      <c r="AZ4" s="4" t="s">
        <v>90</v>
      </c>
      <c r="BA4" s="4" t="str">
        <f t="shared" ref="BA4:BA24" si="19">IF(AU4="",AZ4,AU4/AV4*AZ4)</f>
        <v>-</v>
      </c>
      <c r="BB4" s="18">
        <v>4</v>
      </c>
      <c r="BC4" s="18">
        <v>1</v>
      </c>
      <c r="BD4" s="16">
        <v>11</v>
      </c>
      <c r="BE4" t="s">
        <v>114</v>
      </c>
      <c r="BF4" t="str">
        <f>IFERROR(BE4*AO4,"-")</f>
        <v>-</v>
      </c>
      <c r="BG4" t="s">
        <v>114</v>
      </c>
      <c r="BH4" t="str">
        <f>IFERROR(BG4*AO4,"-")</f>
        <v>-</v>
      </c>
      <c r="BI4" t="s">
        <v>90</v>
      </c>
    </row>
    <row r="5" spans="1:61" x14ac:dyDescent="0.4">
      <c r="A5" s="3">
        <v>143</v>
      </c>
      <c r="B5" s="3">
        <v>47</v>
      </c>
      <c r="C5" s="32">
        <v>658649</v>
      </c>
      <c r="D5" s="4" t="str">
        <f t="shared" si="0"/>
        <v>658649</v>
      </c>
      <c r="E5" s="4">
        <v>658763</v>
      </c>
      <c r="F5" s="4" t="s">
        <v>69</v>
      </c>
      <c r="G5" s="5">
        <v>4943467312766</v>
      </c>
      <c r="H5" s="5">
        <v>8</v>
      </c>
      <c r="I5" s="5" t="s">
        <v>70</v>
      </c>
      <c r="J5" s="5"/>
      <c r="K5" s="5"/>
      <c r="L5" s="4">
        <v>0</v>
      </c>
      <c r="M5" s="4">
        <v>10585</v>
      </c>
      <c r="N5" s="4">
        <v>7500</v>
      </c>
      <c r="O5" s="6">
        <f t="shared" si="1"/>
        <v>0.29145016532829471</v>
      </c>
      <c r="P5" s="4">
        <v>75</v>
      </c>
      <c r="Q5" s="4">
        <f t="shared" si="2"/>
        <v>7500</v>
      </c>
      <c r="R5" s="4">
        <f t="shared" si="3"/>
        <v>0</v>
      </c>
      <c r="S5" s="4" t="s">
        <v>90</v>
      </c>
      <c r="T5" s="4" t="s">
        <v>90</v>
      </c>
      <c r="U5" s="4" t="s">
        <v>90</v>
      </c>
      <c r="V5" s="4">
        <v>0</v>
      </c>
      <c r="W5" s="4">
        <f t="shared" si="4"/>
        <v>0</v>
      </c>
      <c r="X5" s="4">
        <v>85</v>
      </c>
      <c r="Y5" s="4">
        <f t="shared" si="5"/>
        <v>8500</v>
      </c>
      <c r="Z5" s="4">
        <v>100</v>
      </c>
      <c r="AA5" s="20">
        <f t="shared" si="6"/>
        <v>11996</v>
      </c>
      <c r="AB5" s="6">
        <f t="shared" si="7"/>
        <v>0.29143047682560852</v>
      </c>
      <c r="AC5" s="4">
        <v>27.750000000000004</v>
      </c>
      <c r="AD5" s="4" t="str">
        <f t="shared" si="8"/>
        <v>-</v>
      </c>
      <c r="AE5" s="46" t="e">
        <f t="shared" si="9"/>
        <v>#VALUE!</v>
      </c>
      <c r="AF5" s="6" t="e">
        <f t="shared" si="10"/>
        <v>#VALUE!</v>
      </c>
      <c r="AG5" s="7">
        <v>13800</v>
      </c>
      <c r="AH5" s="34">
        <f t="shared" si="11"/>
        <v>0.38405797101449279</v>
      </c>
      <c r="AI5" s="4">
        <f t="shared" si="12"/>
        <v>5300</v>
      </c>
      <c r="AJ5" s="27"/>
      <c r="AK5" s="6"/>
      <c r="AL5" s="6"/>
      <c r="AM5" s="6" t="e">
        <f t="shared" si="13"/>
        <v>#DIV/0!</v>
      </c>
      <c r="AN5" s="6">
        <f t="shared" si="14"/>
        <v>1.3037316957959377</v>
      </c>
      <c r="AO5" s="6">
        <f t="shared" si="15"/>
        <v>1.1333333333333333</v>
      </c>
      <c r="AP5" s="4" t="str">
        <f t="shared" si="16"/>
        <v>-</v>
      </c>
      <c r="AQ5" s="4" t="str">
        <f t="shared" si="17"/>
        <v>-</v>
      </c>
      <c r="AR5" s="4" t="str">
        <f t="shared" si="18"/>
        <v>-</v>
      </c>
      <c r="AS5" s="4" t="s">
        <v>89</v>
      </c>
      <c r="AT5" s="4" t="s">
        <v>90</v>
      </c>
      <c r="AU5" s="4"/>
      <c r="AV5" s="4"/>
      <c r="AW5" s="4" t="s">
        <v>90</v>
      </c>
      <c r="AX5" s="4" t="s">
        <v>90</v>
      </c>
      <c r="AY5" s="4" t="s">
        <v>90</v>
      </c>
      <c r="AZ5" s="4" t="s">
        <v>90</v>
      </c>
      <c r="BA5" s="4" t="str">
        <f t="shared" si="19"/>
        <v>-</v>
      </c>
      <c r="BB5" s="18">
        <v>4</v>
      </c>
      <c r="BC5" s="18">
        <v>1</v>
      </c>
      <c r="BD5" s="16">
        <v>11</v>
      </c>
      <c r="BE5" t="s">
        <v>114</v>
      </c>
      <c r="BF5" t="str">
        <f t="shared" ref="BF5:BF26" si="20">IFERROR(BE5*AO5,"-")</f>
        <v>-</v>
      </c>
      <c r="BG5" t="s">
        <v>114</v>
      </c>
      <c r="BH5" t="str">
        <f t="shared" ref="BH5:BH26" si="21">IFERROR(BG5*AO5,"-")</f>
        <v>-</v>
      </c>
      <c r="BI5" t="s">
        <v>90</v>
      </c>
    </row>
    <row r="6" spans="1:61" x14ac:dyDescent="0.4">
      <c r="A6" s="3">
        <v>48</v>
      </c>
      <c r="B6" s="3">
        <v>48</v>
      </c>
      <c r="C6" s="32">
        <v>658650</v>
      </c>
      <c r="D6" s="4" t="str">
        <f t="shared" si="0"/>
        <v>658650</v>
      </c>
      <c r="E6" s="4">
        <v>658650</v>
      </c>
      <c r="F6" s="4" t="s">
        <v>57</v>
      </c>
      <c r="G6" s="5">
        <v>4943467312261</v>
      </c>
      <c r="H6" s="5"/>
      <c r="I6" s="5"/>
      <c r="J6" s="5">
        <v>2</v>
      </c>
      <c r="K6" s="5">
        <v>2</v>
      </c>
      <c r="L6" s="4">
        <v>0</v>
      </c>
      <c r="M6" s="4">
        <v>835</v>
      </c>
      <c r="N6" s="4">
        <v>375</v>
      </c>
      <c r="O6" s="6">
        <f t="shared" si="1"/>
        <v>0.55089820359281438</v>
      </c>
      <c r="P6" s="4">
        <v>75</v>
      </c>
      <c r="Q6" s="4">
        <f t="shared" si="2"/>
        <v>375</v>
      </c>
      <c r="R6" s="4">
        <f t="shared" si="3"/>
        <v>0</v>
      </c>
      <c r="S6" s="4" t="s">
        <v>90</v>
      </c>
      <c r="T6" s="4" t="s">
        <v>90</v>
      </c>
      <c r="U6" s="4" t="s">
        <v>90</v>
      </c>
      <c r="V6" s="4">
        <v>0</v>
      </c>
      <c r="W6" s="4">
        <f t="shared" si="4"/>
        <v>0</v>
      </c>
      <c r="X6" s="4">
        <v>85</v>
      </c>
      <c r="Y6" s="4">
        <f t="shared" si="5"/>
        <v>425</v>
      </c>
      <c r="Z6" s="4">
        <v>5</v>
      </c>
      <c r="AA6" s="20">
        <f t="shared" si="6"/>
        <v>946</v>
      </c>
      <c r="AB6" s="6">
        <f t="shared" si="7"/>
        <v>0.55073995771670192</v>
      </c>
      <c r="AC6" s="4">
        <v>40.25</v>
      </c>
      <c r="AD6" s="4">
        <f t="shared" si="8"/>
        <v>757</v>
      </c>
      <c r="AE6" s="46">
        <f t="shared" si="9"/>
        <v>857.93333333333328</v>
      </c>
      <c r="AF6" s="6">
        <f t="shared" si="10"/>
        <v>0.50462351387054161</v>
      </c>
      <c r="AG6" s="7">
        <v>857</v>
      </c>
      <c r="AH6" s="6">
        <f t="shared" si="11"/>
        <v>0.50408401400233371</v>
      </c>
      <c r="AI6" s="4">
        <f t="shared" si="12"/>
        <v>432</v>
      </c>
      <c r="AJ6" s="27"/>
      <c r="AK6" s="6"/>
      <c r="AL6" s="6"/>
      <c r="AM6" s="6" t="e">
        <f t="shared" si="13"/>
        <v>#DIV/0!</v>
      </c>
      <c r="AN6" s="6">
        <f t="shared" si="14"/>
        <v>1.0263473053892216</v>
      </c>
      <c r="AO6" s="6">
        <f t="shared" si="15"/>
        <v>1.1333333333333333</v>
      </c>
      <c r="AP6" s="4" t="str">
        <f t="shared" si="16"/>
        <v>-</v>
      </c>
      <c r="AQ6" s="4" t="str">
        <f t="shared" si="17"/>
        <v>-</v>
      </c>
      <c r="AR6" s="4" t="str">
        <f t="shared" si="18"/>
        <v>-</v>
      </c>
      <c r="AS6" s="4" t="s">
        <v>89</v>
      </c>
      <c r="AT6" s="4" t="s">
        <v>91</v>
      </c>
      <c r="AU6" s="4"/>
      <c r="AV6" s="4"/>
      <c r="AW6" s="4" t="s">
        <v>107</v>
      </c>
      <c r="AX6" s="4">
        <v>757</v>
      </c>
      <c r="AY6" s="4">
        <v>757</v>
      </c>
      <c r="AZ6" s="4">
        <v>757</v>
      </c>
      <c r="BA6" s="4">
        <f t="shared" si="19"/>
        <v>757</v>
      </c>
      <c r="BB6" s="18">
        <v>4</v>
      </c>
      <c r="BC6" s="18">
        <v>1</v>
      </c>
      <c r="BD6" s="16">
        <v>11</v>
      </c>
      <c r="BE6" t="s">
        <v>114</v>
      </c>
      <c r="BF6" t="str">
        <f t="shared" si="20"/>
        <v>-</v>
      </c>
      <c r="BG6" t="s">
        <v>114</v>
      </c>
      <c r="BH6" t="str">
        <f t="shared" si="21"/>
        <v>-</v>
      </c>
      <c r="BI6" t="s">
        <v>99</v>
      </c>
    </row>
    <row r="7" spans="1:61" x14ac:dyDescent="0.4">
      <c r="A7" s="3">
        <v>144</v>
      </c>
      <c r="B7" s="3">
        <v>48</v>
      </c>
      <c r="C7" s="32">
        <v>658650</v>
      </c>
      <c r="D7" s="4" t="str">
        <f t="shared" si="0"/>
        <v>658650</v>
      </c>
      <c r="E7" s="4">
        <v>658765</v>
      </c>
      <c r="F7" s="4" t="s">
        <v>71</v>
      </c>
      <c r="G7" s="5">
        <v>4943467312261</v>
      </c>
      <c r="H7" s="5">
        <v>8</v>
      </c>
      <c r="I7" s="5" t="s">
        <v>72</v>
      </c>
      <c r="J7" s="5"/>
      <c r="K7" s="5"/>
      <c r="L7" s="4">
        <v>0</v>
      </c>
      <c r="M7" s="4">
        <v>10585</v>
      </c>
      <c r="N7" s="4">
        <v>7500</v>
      </c>
      <c r="O7" s="6">
        <f t="shared" si="1"/>
        <v>0.29145016532829471</v>
      </c>
      <c r="P7" s="4">
        <v>75</v>
      </c>
      <c r="Q7" s="4">
        <f t="shared" si="2"/>
        <v>7500</v>
      </c>
      <c r="R7" s="4">
        <f t="shared" si="3"/>
        <v>0</v>
      </c>
      <c r="S7" s="4" t="s">
        <v>90</v>
      </c>
      <c r="T7" s="4" t="s">
        <v>90</v>
      </c>
      <c r="U7" s="4" t="s">
        <v>90</v>
      </c>
      <c r="V7" s="4">
        <v>0</v>
      </c>
      <c r="W7" s="4">
        <f t="shared" si="4"/>
        <v>0</v>
      </c>
      <c r="X7" s="4">
        <v>85</v>
      </c>
      <c r="Y7" s="4">
        <f t="shared" si="5"/>
        <v>8500</v>
      </c>
      <c r="Z7" s="4">
        <v>100</v>
      </c>
      <c r="AA7" s="20">
        <f t="shared" si="6"/>
        <v>11996</v>
      </c>
      <c r="AB7" s="6">
        <f t="shared" si="7"/>
        <v>0.29143047682560852</v>
      </c>
      <c r="AC7" s="4">
        <v>40.25</v>
      </c>
      <c r="AD7" s="4">
        <f t="shared" si="8"/>
        <v>14373.333333333334</v>
      </c>
      <c r="AE7" s="46">
        <f t="shared" si="9"/>
        <v>16289.777777777777</v>
      </c>
      <c r="AF7" s="6">
        <f t="shared" si="10"/>
        <v>0.4782003710575139</v>
      </c>
      <c r="AG7" s="7">
        <v>13800</v>
      </c>
      <c r="AH7" s="6">
        <f t="shared" si="11"/>
        <v>0.38405797101449279</v>
      </c>
      <c r="AI7" s="4">
        <f t="shared" si="12"/>
        <v>5300</v>
      </c>
      <c r="AJ7" s="27"/>
      <c r="AK7" s="6"/>
      <c r="AL7" s="6"/>
      <c r="AM7" s="6" t="e">
        <f t="shared" si="13"/>
        <v>#DIV/0!</v>
      </c>
      <c r="AN7" s="6">
        <f t="shared" si="14"/>
        <v>1.3037316957959377</v>
      </c>
      <c r="AO7" s="6">
        <f t="shared" si="15"/>
        <v>1.1333333333333333</v>
      </c>
      <c r="AP7" s="4" t="str">
        <f t="shared" si="16"/>
        <v>-</v>
      </c>
      <c r="AQ7" s="4" t="str">
        <f t="shared" si="17"/>
        <v>-</v>
      </c>
      <c r="AR7" s="4" t="str">
        <f t="shared" si="18"/>
        <v>-</v>
      </c>
      <c r="AS7" s="4" t="s">
        <v>89</v>
      </c>
      <c r="AT7" s="4" t="s">
        <v>97</v>
      </c>
      <c r="AU7" s="4">
        <v>100</v>
      </c>
      <c r="AV7" s="4">
        <v>60</v>
      </c>
      <c r="AW7" s="4" t="s">
        <v>111</v>
      </c>
      <c r="AX7" s="4">
        <v>8624</v>
      </c>
      <c r="AY7" s="4">
        <v>8624</v>
      </c>
      <c r="AZ7" s="4">
        <v>8624</v>
      </c>
      <c r="BA7" s="4">
        <f t="shared" si="19"/>
        <v>14373.333333333334</v>
      </c>
      <c r="BB7" s="18">
        <v>4</v>
      </c>
      <c r="BC7" s="18">
        <v>1</v>
      </c>
      <c r="BD7" s="16">
        <v>11</v>
      </c>
      <c r="BE7" t="s">
        <v>114</v>
      </c>
      <c r="BF7" t="str">
        <f t="shared" si="20"/>
        <v>-</v>
      </c>
      <c r="BG7" t="s">
        <v>114</v>
      </c>
      <c r="BH7" t="str">
        <f t="shared" si="21"/>
        <v>-</v>
      </c>
      <c r="BI7" t="s">
        <v>105</v>
      </c>
    </row>
    <row r="8" spans="1:61" x14ac:dyDescent="0.4">
      <c r="A8" s="3">
        <v>49</v>
      </c>
      <c r="B8" s="3">
        <v>49</v>
      </c>
      <c r="C8" s="32">
        <v>658651</v>
      </c>
      <c r="D8" s="4" t="str">
        <f t="shared" si="0"/>
        <v>658651</v>
      </c>
      <c r="E8" s="4">
        <v>658651</v>
      </c>
      <c r="F8" s="4" t="s">
        <v>58</v>
      </c>
      <c r="G8" s="5">
        <v>4943467311769</v>
      </c>
      <c r="H8" s="5"/>
      <c r="I8" s="5"/>
      <c r="J8" s="5">
        <v>2</v>
      </c>
      <c r="K8" s="5">
        <v>2</v>
      </c>
      <c r="L8" s="4">
        <v>0</v>
      </c>
      <c r="M8" s="4">
        <v>1044</v>
      </c>
      <c r="N8" s="4">
        <v>445</v>
      </c>
      <c r="O8" s="6">
        <f t="shared" si="1"/>
        <v>0.57375478927203072</v>
      </c>
      <c r="P8" s="4">
        <v>89</v>
      </c>
      <c r="Q8" s="4">
        <f t="shared" si="2"/>
        <v>445</v>
      </c>
      <c r="R8" s="4">
        <f t="shared" si="3"/>
        <v>0</v>
      </c>
      <c r="S8" s="4" t="s">
        <v>90</v>
      </c>
      <c r="T8" s="4" t="s">
        <v>90</v>
      </c>
      <c r="U8" s="4" t="s">
        <v>90</v>
      </c>
      <c r="V8" s="4">
        <v>0</v>
      </c>
      <c r="W8" s="4">
        <f t="shared" si="4"/>
        <v>0</v>
      </c>
      <c r="X8" s="4">
        <v>101</v>
      </c>
      <c r="Y8" s="4">
        <f t="shared" si="5"/>
        <v>505</v>
      </c>
      <c r="Z8" s="4">
        <v>5</v>
      </c>
      <c r="AA8" s="20">
        <f t="shared" si="6"/>
        <v>1185</v>
      </c>
      <c r="AB8" s="6">
        <f t="shared" si="7"/>
        <v>0.57383966244725737</v>
      </c>
      <c r="AC8" s="4">
        <v>1021.5</v>
      </c>
      <c r="AD8" s="4">
        <f t="shared" si="8"/>
        <v>830</v>
      </c>
      <c r="AE8" s="46">
        <f t="shared" si="9"/>
        <v>941.91011235955068</v>
      </c>
      <c r="AF8" s="6">
        <f t="shared" si="10"/>
        <v>0.46385542168674709</v>
      </c>
      <c r="AG8" s="7">
        <v>1100</v>
      </c>
      <c r="AH8" s="6">
        <f t="shared" si="11"/>
        <v>0.54090909090909089</v>
      </c>
      <c r="AI8" s="4">
        <f t="shared" si="12"/>
        <v>595</v>
      </c>
      <c r="AJ8" s="27"/>
      <c r="AK8" s="6"/>
      <c r="AL8" s="6"/>
      <c r="AM8" s="6" t="e">
        <f t="shared" si="13"/>
        <v>#DIV/0!</v>
      </c>
      <c r="AN8" s="6">
        <f t="shared" si="14"/>
        <v>1.053639846743295</v>
      </c>
      <c r="AO8" s="6">
        <f t="shared" si="15"/>
        <v>1.1348314606741574</v>
      </c>
      <c r="AP8" s="4" t="str">
        <f t="shared" si="16"/>
        <v>-</v>
      </c>
      <c r="AQ8" s="4" t="str">
        <f t="shared" si="17"/>
        <v>-</v>
      </c>
      <c r="AR8" s="4" t="str">
        <f t="shared" si="18"/>
        <v>-</v>
      </c>
      <c r="AS8" s="4" t="s">
        <v>89</v>
      </c>
      <c r="AT8" s="4">
        <v>850006</v>
      </c>
      <c r="AU8" s="4"/>
      <c r="AV8" s="4"/>
      <c r="AW8" s="4" t="s">
        <v>107</v>
      </c>
      <c r="AX8" s="4" t="s">
        <v>90</v>
      </c>
      <c r="AY8" s="4">
        <v>830</v>
      </c>
      <c r="AZ8" s="4">
        <v>830</v>
      </c>
      <c r="BA8" s="4">
        <f t="shared" si="19"/>
        <v>830</v>
      </c>
      <c r="BB8" s="18">
        <v>4</v>
      </c>
      <c r="BC8" s="18">
        <v>1</v>
      </c>
      <c r="BD8" s="16">
        <v>11</v>
      </c>
      <c r="BE8" s="29">
        <v>771</v>
      </c>
      <c r="BF8">
        <f t="shared" si="20"/>
        <v>874.9550561797754</v>
      </c>
      <c r="BG8" t="s">
        <v>114</v>
      </c>
      <c r="BH8" t="str">
        <f t="shared" si="21"/>
        <v>-</v>
      </c>
      <c r="BI8" t="s">
        <v>118</v>
      </c>
    </row>
    <row r="9" spans="1:61" x14ac:dyDescent="0.4">
      <c r="A9" s="3">
        <v>145</v>
      </c>
      <c r="B9" s="3">
        <v>49</v>
      </c>
      <c r="C9" s="32">
        <v>658651</v>
      </c>
      <c r="D9" s="4" t="str">
        <f t="shared" si="0"/>
        <v>658651</v>
      </c>
      <c r="E9" s="4">
        <v>658653</v>
      </c>
      <c r="F9" s="4" t="s">
        <v>73</v>
      </c>
      <c r="G9" s="5">
        <v>4943467311769</v>
      </c>
      <c r="H9" s="5">
        <v>8</v>
      </c>
      <c r="I9" s="5" t="s">
        <v>74</v>
      </c>
      <c r="J9" s="5"/>
      <c r="K9" s="5"/>
      <c r="L9" s="4">
        <v>0</v>
      </c>
      <c r="M9" s="4">
        <v>13000</v>
      </c>
      <c r="N9" s="4">
        <v>7120</v>
      </c>
      <c r="O9" s="6">
        <f t="shared" si="1"/>
        <v>0.4523076923076923</v>
      </c>
      <c r="P9" s="4">
        <v>89</v>
      </c>
      <c r="Q9" s="4">
        <f t="shared" si="2"/>
        <v>7120</v>
      </c>
      <c r="R9" s="4">
        <f t="shared" si="3"/>
        <v>0</v>
      </c>
      <c r="S9" s="4" t="s">
        <v>90</v>
      </c>
      <c r="T9" s="4" t="s">
        <v>90</v>
      </c>
      <c r="U9" s="4" t="s">
        <v>90</v>
      </c>
      <c r="V9" s="4">
        <v>0</v>
      </c>
      <c r="W9" s="4">
        <f t="shared" si="4"/>
        <v>0</v>
      </c>
      <c r="X9" s="4">
        <v>101</v>
      </c>
      <c r="Y9" s="4">
        <f t="shared" si="5"/>
        <v>8080</v>
      </c>
      <c r="Z9" s="4">
        <v>80</v>
      </c>
      <c r="AA9" s="20">
        <f t="shared" si="6"/>
        <v>14753</v>
      </c>
      <c r="AB9" s="6">
        <f t="shared" si="7"/>
        <v>0.45231478343387788</v>
      </c>
      <c r="AC9" s="4">
        <v>1021.5</v>
      </c>
      <c r="AD9" s="4">
        <f t="shared" si="8"/>
        <v>12613.333333333332</v>
      </c>
      <c r="AE9" s="46">
        <f t="shared" si="9"/>
        <v>14314.007490636704</v>
      </c>
      <c r="AF9" s="6">
        <f t="shared" si="10"/>
        <v>0.43551797040169138</v>
      </c>
      <c r="AG9" s="7">
        <v>14300</v>
      </c>
      <c r="AH9" s="6">
        <f t="shared" si="11"/>
        <v>0.43496503496503491</v>
      </c>
      <c r="AI9" s="4">
        <f t="shared" si="12"/>
        <v>6220</v>
      </c>
      <c r="AJ9" s="27"/>
      <c r="AK9" s="6"/>
      <c r="AL9" s="6"/>
      <c r="AM9" s="6" t="e">
        <f t="shared" si="13"/>
        <v>#DIV/0!</v>
      </c>
      <c r="AN9" s="6">
        <f t="shared" si="14"/>
        <v>1.1000000000000001</v>
      </c>
      <c r="AO9" s="6">
        <f t="shared" si="15"/>
        <v>1.1348314606741574</v>
      </c>
      <c r="AP9" s="4" t="str">
        <f t="shared" si="16"/>
        <v>-</v>
      </c>
      <c r="AQ9" s="4" t="str">
        <f t="shared" si="17"/>
        <v>-</v>
      </c>
      <c r="AR9" s="4" t="str">
        <f t="shared" si="18"/>
        <v>-</v>
      </c>
      <c r="AS9" s="4" t="s">
        <v>89</v>
      </c>
      <c r="AT9" s="4" t="s">
        <v>98</v>
      </c>
      <c r="AU9" s="4">
        <v>80</v>
      </c>
      <c r="AV9" s="4">
        <v>60</v>
      </c>
      <c r="AW9" s="4" t="s">
        <v>111</v>
      </c>
      <c r="AX9" s="4">
        <v>9460</v>
      </c>
      <c r="AY9" s="4">
        <v>9460</v>
      </c>
      <c r="AZ9" s="4">
        <v>9460</v>
      </c>
      <c r="BA9" s="4">
        <f t="shared" si="19"/>
        <v>12613.333333333332</v>
      </c>
      <c r="BB9" s="18">
        <v>4</v>
      </c>
      <c r="BC9" s="18">
        <v>1</v>
      </c>
      <c r="BD9" s="16">
        <v>11</v>
      </c>
      <c r="BE9" s="29">
        <v>11392</v>
      </c>
      <c r="BF9">
        <f t="shared" si="20"/>
        <v>12928.000000000002</v>
      </c>
      <c r="BG9" t="s">
        <v>114</v>
      </c>
      <c r="BH9" t="str">
        <f t="shared" si="21"/>
        <v>-</v>
      </c>
      <c r="BI9" t="s">
        <v>106</v>
      </c>
    </row>
    <row r="10" spans="1:61" x14ac:dyDescent="0.4">
      <c r="A10" s="3">
        <v>50</v>
      </c>
      <c r="B10" s="3">
        <v>50</v>
      </c>
      <c r="C10" s="32">
        <v>658654</v>
      </c>
      <c r="D10" s="4" t="str">
        <f t="shared" si="0"/>
        <v>658654</v>
      </c>
      <c r="E10" s="4">
        <v>658654</v>
      </c>
      <c r="F10" s="4" t="s">
        <v>59</v>
      </c>
      <c r="G10" s="5">
        <v>4943467311264</v>
      </c>
      <c r="H10" s="5"/>
      <c r="I10" s="5"/>
      <c r="J10" s="5">
        <v>2</v>
      </c>
      <c r="K10" s="5">
        <v>2</v>
      </c>
      <c r="L10" s="4">
        <v>0</v>
      </c>
      <c r="M10" s="4">
        <v>906</v>
      </c>
      <c r="N10" s="4">
        <v>445</v>
      </c>
      <c r="O10" s="6">
        <f t="shared" si="1"/>
        <v>0.50883002207505523</v>
      </c>
      <c r="P10" s="4">
        <v>89</v>
      </c>
      <c r="Q10" s="4">
        <f t="shared" si="2"/>
        <v>445</v>
      </c>
      <c r="R10" s="4">
        <f t="shared" si="3"/>
        <v>0</v>
      </c>
      <c r="S10" s="4">
        <v>860</v>
      </c>
      <c r="T10" s="4">
        <v>5</v>
      </c>
      <c r="U10" s="4">
        <v>99999</v>
      </c>
      <c r="V10" s="4">
        <v>0</v>
      </c>
      <c r="W10" s="4">
        <f t="shared" si="4"/>
        <v>0</v>
      </c>
      <c r="X10" s="4">
        <v>101</v>
      </c>
      <c r="Y10" s="4">
        <f t="shared" si="5"/>
        <v>505</v>
      </c>
      <c r="Z10" s="4">
        <v>5</v>
      </c>
      <c r="AA10" s="20">
        <f t="shared" si="6"/>
        <v>1028</v>
      </c>
      <c r="AB10" s="6">
        <f t="shared" si="7"/>
        <v>0.50875486381322954</v>
      </c>
      <c r="AC10" s="4">
        <v>401.99999999999994</v>
      </c>
      <c r="AD10" s="4" t="str">
        <f t="shared" si="8"/>
        <v>-</v>
      </c>
      <c r="AE10" s="46" t="e">
        <f t="shared" si="9"/>
        <v>#VALUE!</v>
      </c>
      <c r="AF10" s="6" t="e">
        <f t="shared" si="10"/>
        <v>#VALUE!</v>
      </c>
      <c r="AG10" s="7">
        <v>1100</v>
      </c>
      <c r="AH10" s="6">
        <f t="shared" si="11"/>
        <v>0.54090909090909089</v>
      </c>
      <c r="AI10" s="4">
        <f t="shared" si="12"/>
        <v>595</v>
      </c>
      <c r="AJ10" s="27"/>
      <c r="AK10" s="6"/>
      <c r="AL10" s="6"/>
      <c r="AM10" s="6" t="e">
        <f t="shared" si="13"/>
        <v>#DIV/0!</v>
      </c>
      <c r="AN10" s="6">
        <f t="shared" si="14"/>
        <v>1.2141280353200883</v>
      </c>
      <c r="AO10" s="6">
        <f t="shared" si="15"/>
        <v>1.1348314606741574</v>
      </c>
      <c r="AP10" s="4">
        <v>1050</v>
      </c>
      <c r="AQ10" s="4">
        <f t="shared" si="17"/>
        <v>5</v>
      </c>
      <c r="AR10" s="4">
        <f t="shared" si="18"/>
        <v>99999</v>
      </c>
      <c r="AS10" s="4" t="s">
        <v>89</v>
      </c>
      <c r="AT10" s="4" t="s">
        <v>90</v>
      </c>
      <c r="AU10" s="4"/>
      <c r="AV10" s="4"/>
      <c r="AW10" s="4" t="s">
        <v>90</v>
      </c>
      <c r="AX10" s="4" t="s">
        <v>90</v>
      </c>
      <c r="AY10" s="4" t="s">
        <v>90</v>
      </c>
      <c r="AZ10" s="4" t="s">
        <v>90</v>
      </c>
      <c r="BA10" s="4" t="str">
        <f t="shared" si="19"/>
        <v>-</v>
      </c>
      <c r="BB10" s="18">
        <v>4</v>
      </c>
      <c r="BC10" s="18">
        <v>1</v>
      </c>
      <c r="BD10" s="16">
        <v>11</v>
      </c>
      <c r="BE10" t="s">
        <v>114</v>
      </c>
      <c r="BF10" t="str">
        <f t="shared" si="20"/>
        <v>-</v>
      </c>
      <c r="BG10" t="s">
        <v>114</v>
      </c>
      <c r="BH10" t="str">
        <f t="shared" si="21"/>
        <v>-</v>
      </c>
      <c r="BI10" t="s">
        <v>90</v>
      </c>
    </row>
    <row r="11" spans="1:61" x14ac:dyDescent="0.4">
      <c r="A11" s="3">
        <v>146</v>
      </c>
      <c r="B11" s="3">
        <v>50</v>
      </c>
      <c r="C11" s="32">
        <v>658654</v>
      </c>
      <c r="D11" s="4" t="str">
        <f t="shared" si="0"/>
        <v>658654</v>
      </c>
      <c r="E11" s="4">
        <v>658652</v>
      </c>
      <c r="F11" s="4" t="s">
        <v>75</v>
      </c>
      <c r="G11" s="5">
        <v>4943467311264</v>
      </c>
      <c r="H11" s="5">
        <v>8</v>
      </c>
      <c r="I11" s="5" t="s">
        <v>76</v>
      </c>
      <c r="J11" s="5"/>
      <c r="K11" s="5"/>
      <c r="L11" s="4">
        <v>0</v>
      </c>
      <c r="M11" s="4">
        <v>13212</v>
      </c>
      <c r="N11" s="4">
        <v>7120</v>
      </c>
      <c r="O11" s="6">
        <f t="shared" si="1"/>
        <v>0.4610959733575537</v>
      </c>
      <c r="P11" s="4">
        <v>89</v>
      </c>
      <c r="Q11" s="4">
        <f t="shared" si="2"/>
        <v>7120</v>
      </c>
      <c r="R11" s="4">
        <f t="shared" si="3"/>
        <v>0</v>
      </c>
      <c r="S11" s="4" t="s">
        <v>90</v>
      </c>
      <c r="T11" s="4" t="s">
        <v>90</v>
      </c>
      <c r="U11" s="4" t="s">
        <v>90</v>
      </c>
      <c r="V11" s="4">
        <v>0</v>
      </c>
      <c r="W11" s="4">
        <f t="shared" si="4"/>
        <v>0</v>
      </c>
      <c r="X11" s="4">
        <v>101</v>
      </c>
      <c r="Y11" s="4">
        <f t="shared" si="5"/>
        <v>8080</v>
      </c>
      <c r="Z11" s="4">
        <v>80</v>
      </c>
      <c r="AA11" s="20">
        <f t="shared" si="6"/>
        <v>14993</v>
      </c>
      <c r="AB11" s="6">
        <f t="shared" si="7"/>
        <v>0.46108183819115589</v>
      </c>
      <c r="AC11" s="4">
        <v>401.99999999999994</v>
      </c>
      <c r="AD11" s="4" t="str">
        <f t="shared" si="8"/>
        <v>-</v>
      </c>
      <c r="AE11" s="46" t="e">
        <f t="shared" si="9"/>
        <v>#VALUE!</v>
      </c>
      <c r="AF11" s="6" t="e">
        <f t="shared" si="10"/>
        <v>#VALUE!</v>
      </c>
      <c r="AG11" s="7">
        <v>14300</v>
      </c>
      <c r="AH11" s="6">
        <f t="shared" si="11"/>
        <v>0.43496503496503491</v>
      </c>
      <c r="AI11" s="4">
        <f t="shared" si="12"/>
        <v>6220</v>
      </c>
      <c r="AJ11" s="27"/>
      <c r="AK11" s="6"/>
      <c r="AL11" s="6"/>
      <c r="AM11" s="6" t="e">
        <f t="shared" si="13"/>
        <v>#DIV/0!</v>
      </c>
      <c r="AN11" s="6">
        <f t="shared" si="14"/>
        <v>1.0823493793521042</v>
      </c>
      <c r="AO11" s="6">
        <f t="shared" si="15"/>
        <v>1.1348314606741574</v>
      </c>
      <c r="AP11" s="4" t="str">
        <f t="shared" si="16"/>
        <v>-</v>
      </c>
      <c r="AQ11" s="4" t="str">
        <f t="shared" si="17"/>
        <v>-</v>
      </c>
      <c r="AR11" s="4" t="str">
        <f t="shared" si="18"/>
        <v>-</v>
      </c>
      <c r="AS11" s="4" t="s">
        <v>89</v>
      </c>
      <c r="AT11" s="4" t="s">
        <v>90</v>
      </c>
      <c r="AU11" s="4"/>
      <c r="AV11" s="4"/>
      <c r="AW11" s="4" t="s">
        <v>90</v>
      </c>
      <c r="AX11" s="4" t="s">
        <v>90</v>
      </c>
      <c r="AY11" s="4" t="s">
        <v>90</v>
      </c>
      <c r="AZ11" s="4" t="s">
        <v>90</v>
      </c>
      <c r="BA11" s="4" t="str">
        <f t="shared" si="19"/>
        <v>-</v>
      </c>
      <c r="BB11" s="18">
        <v>4</v>
      </c>
      <c r="BC11" s="18">
        <v>1</v>
      </c>
      <c r="BD11" s="16">
        <v>11</v>
      </c>
      <c r="BE11" t="s">
        <v>114</v>
      </c>
      <c r="BF11" t="str">
        <f t="shared" si="20"/>
        <v>-</v>
      </c>
      <c r="BG11" t="s">
        <v>114</v>
      </c>
      <c r="BH11" t="str">
        <f t="shared" si="21"/>
        <v>-</v>
      </c>
      <c r="BI11" t="s">
        <v>90</v>
      </c>
    </row>
    <row r="12" spans="1:61" x14ac:dyDescent="0.4">
      <c r="A12" s="3">
        <v>51</v>
      </c>
      <c r="B12" s="3">
        <v>51</v>
      </c>
      <c r="C12" s="32">
        <v>658655</v>
      </c>
      <c r="D12" s="4" t="str">
        <f t="shared" si="0"/>
        <v>658655</v>
      </c>
      <c r="E12" s="4">
        <v>658655</v>
      </c>
      <c r="F12" s="4" t="s">
        <v>60</v>
      </c>
      <c r="G12" s="5">
        <v>4943467311561</v>
      </c>
      <c r="H12" s="5"/>
      <c r="I12" s="5"/>
      <c r="J12" s="5">
        <v>2</v>
      </c>
      <c r="K12" s="5">
        <v>2</v>
      </c>
      <c r="L12" s="4">
        <v>0</v>
      </c>
      <c r="M12" s="4">
        <v>816</v>
      </c>
      <c r="N12" s="4">
        <v>385</v>
      </c>
      <c r="O12" s="6">
        <f t="shared" si="1"/>
        <v>0.52818627450980393</v>
      </c>
      <c r="P12" s="4">
        <v>77</v>
      </c>
      <c r="Q12" s="4">
        <f t="shared" si="2"/>
        <v>385</v>
      </c>
      <c r="R12" s="4">
        <f t="shared" si="3"/>
        <v>0</v>
      </c>
      <c r="S12" s="4" t="s">
        <v>90</v>
      </c>
      <c r="T12" s="4" t="s">
        <v>90</v>
      </c>
      <c r="U12" s="4" t="s">
        <v>90</v>
      </c>
      <c r="V12" s="4">
        <v>0</v>
      </c>
      <c r="W12" s="4">
        <f t="shared" si="4"/>
        <v>0</v>
      </c>
      <c r="X12" s="4">
        <v>87</v>
      </c>
      <c r="Y12" s="4">
        <f t="shared" si="5"/>
        <v>435</v>
      </c>
      <c r="Z12" s="4">
        <v>5</v>
      </c>
      <c r="AA12" s="20">
        <f t="shared" si="6"/>
        <v>922</v>
      </c>
      <c r="AB12" s="6">
        <f t="shared" si="7"/>
        <v>0.52819956616052055</v>
      </c>
      <c r="AC12" s="4">
        <v>507.74999999999994</v>
      </c>
      <c r="AD12" s="4" t="str">
        <f t="shared" si="8"/>
        <v>-</v>
      </c>
      <c r="AE12" s="46" t="e">
        <f t="shared" si="9"/>
        <v>#VALUE!</v>
      </c>
      <c r="AF12" s="6" t="e">
        <f t="shared" si="10"/>
        <v>#VALUE!</v>
      </c>
      <c r="AG12" s="7">
        <v>880</v>
      </c>
      <c r="AH12" s="6">
        <f t="shared" si="11"/>
        <v>0.50568181818181812</v>
      </c>
      <c r="AI12" s="4">
        <f t="shared" si="12"/>
        <v>445</v>
      </c>
      <c r="AJ12" s="27"/>
      <c r="AK12" s="6"/>
      <c r="AL12" s="6"/>
      <c r="AM12" s="6" t="e">
        <f t="shared" si="13"/>
        <v>#DIV/0!</v>
      </c>
      <c r="AN12" s="6">
        <f t="shared" si="14"/>
        <v>1.0784313725490196</v>
      </c>
      <c r="AO12" s="6">
        <f t="shared" si="15"/>
        <v>1.1298701298701299</v>
      </c>
      <c r="AP12" s="4" t="str">
        <f t="shared" si="16"/>
        <v>-</v>
      </c>
      <c r="AQ12" s="4" t="str">
        <f t="shared" si="17"/>
        <v>-</v>
      </c>
      <c r="AR12" s="4" t="str">
        <f t="shared" si="18"/>
        <v>-</v>
      </c>
      <c r="AS12" s="4" t="s">
        <v>89</v>
      </c>
      <c r="AT12" s="4" t="s">
        <v>90</v>
      </c>
      <c r="AU12" s="4"/>
      <c r="AV12" s="4"/>
      <c r="AW12" s="4" t="s">
        <v>90</v>
      </c>
      <c r="AX12" s="4" t="s">
        <v>90</v>
      </c>
      <c r="AY12" s="4" t="s">
        <v>90</v>
      </c>
      <c r="AZ12" s="4" t="s">
        <v>90</v>
      </c>
      <c r="BA12" s="4" t="str">
        <f t="shared" si="19"/>
        <v>-</v>
      </c>
      <c r="BB12" s="18">
        <v>4</v>
      </c>
      <c r="BC12" s="18">
        <v>1</v>
      </c>
      <c r="BD12" s="16">
        <v>11</v>
      </c>
      <c r="BE12" t="s">
        <v>114</v>
      </c>
      <c r="BF12" t="str">
        <f t="shared" si="20"/>
        <v>-</v>
      </c>
      <c r="BG12" t="s">
        <v>114</v>
      </c>
      <c r="BH12" t="str">
        <f t="shared" si="21"/>
        <v>-</v>
      </c>
      <c r="BI12" t="s">
        <v>90</v>
      </c>
    </row>
    <row r="13" spans="1:61" x14ac:dyDescent="0.4">
      <c r="A13" s="3">
        <v>147</v>
      </c>
      <c r="B13" s="3">
        <v>51</v>
      </c>
      <c r="C13" s="32">
        <v>658655</v>
      </c>
      <c r="D13" s="4" t="str">
        <f t="shared" si="0"/>
        <v>658655</v>
      </c>
      <c r="E13" s="4">
        <v>658766</v>
      </c>
      <c r="F13" s="4" t="s">
        <v>77</v>
      </c>
      <c r="G13" s="5">
        <v>4943467311561</v>
      </c>
      <c r="H13" s="5">
        <v>8</v>
      </c>
      <c r="I13" s="5" t="s">
        <v>78</v>
      </c>
      <c r="J13" s="5"/>
      <c r="K13" s="5"/>
      <c r="L13" s="4">
        <v>0</v>
      </c>
      <c r="M13" s="4">
        <v>14030</v>
      </c>
      <c r="N13" s="4">
        <v>7700</v>
      </c>
      <c r="O13" s="6">
        <f t="shared" si="1"/>
        <v>0.45117605131860294</v>
      </c>
      <c r="P13" s="4">
        <v>77</v>
      </c>
      <c r="Q13" s="4">
        <f t="shared" si="2"/>
        <v>7700</v>
      </c>
      <c r="R13" s="4">
        <f t="shared" si="3"/>
        <v>0</v>
      </c>
      <c r="S13" s="4" t="s">
        <v>90</v>
      </c>
      <c r="T13" s="4" t="s">
        <v>90</v>
      </c>
      <c r="U13" s="4" t="s">
        <v>90</v>
      </c>
      <c r="V13" s="4">
        <v>0</v>
      </c>
      <c r="W13" s="4">
        <f t="shared" si="4"/>
        <v>0</v>
      </c>
      <c r="X13" s="4">
        <v>87</v>
      </c>
      <c r="Y13" s="4">
        <f t="shared" si="5"/>
        <v>8700</v>
      </c>
      <c r="Z13" s="4">
        <v>100</v>
      </c>
      <c r="AA13" s="20">
        <f t="shared" si="6"/>
        <v>15852</v>
      </c>
      <c r="AB13" s="6">
        <f t="shared" si="7"/>
        <v>0.4511733535200606</v>
      </c>
      <c r="AC13" s="4">
        <v>507.74999999999994</v>
      </c>
      <c r="AD13" s="4" t="str">
        <f t="shared" si="8"/>
        <v>-</v>
      </c>
      <c r="AE13" s="46" t="e">
        <f t="shared" si="9"/>
        <v>#VALUE!</v>
      </c>
      <c r="AF13" s="6" t="e">
        <f t="shared" si="10"/>
        <v>#VALUE!</v>
      </c>
      <c r="AG13" s="7">
        <v>14980</v>
      </c>
      <c r="AH13" s="6">
        <f t="shared" si="11"/>
        <v>0.41922563417890524</v>
      </c>
      <c r="AI13" s="4">
        <f t="shared" si="12"/>
        <v>6280</v>
      </c>
      <c r="AJ13" s="27"/>
      <c r="AK13" s="6"/>
      <c r="AL13" s="6"/>
      <c r="AM13" s="6" t="e">
        <f t="shared" si="13"/>
        <v>#DIV/0!</v>
      </c>
      <c r="AN13" s="6">
        <f t="shared" si="14"/>
        <v>1.0677120456165361</v>
      </c>
      <c r="AO13" s="6">
        <f t="shared" si="15"/>
        <v>1.1298701298701299</v>
      </c>
      <c r="AP13" s="4" t="str">
        <f t="shared" si="16"/>
        <v>-</v>
      </c>
      <c r="AQ13" s="4" t="str">
        <f t="shared" si="17"/>
        <v>-</v>
      </c>
      <c r="AR13" s="4" t="str">
        <f t="shared" si="18"/>
        <v>-</v>
      </c>
      <c r="AS13" s="4" t="s">
        <v>89</v>
      </c>
      <c r="AT13" s="4" t="s">
        <v>90</v>
      </c>
      <c r="AU13" s="4"/>
      <c r="AV13" s="4"/>
      <c r="AW13" s="4" t="s">
        <v>90</v>
      </c>
      <c r="AX13" s="4" t="s">
        <v>90</v>
      </c>
      <c r="AY13" s="4" t="s">
        <v>90</v>
      </c>
      <c r="AZ13" s="4" t="s">
        <v>90</v>
      </c>
      <c r="BA13" s="4" t="str">
        <f t="shared" si="19"/>
        <v>-</v>
      </c>
      <c r="BB13" s="18">
        <v>4</v>
      </c>
      <c r="BC13" s="18">
        <v>1</v>
      </c>
      <c r="BD13" s="16">
        <v>11</v>
      </c>
      <c r="BE13" t="s">
        <v>114</v>
      </c>
      <c r="BF13" t="str">
        <f t="shared" si="20"/>
        <v>-</v>
      </c>
      <c r="BG13" t="s">
        <v>114</v>
      </c>
      <c r="BH13" t="str">
        <f t="shared" si="21"/>
        <v>-</v>
      </c>
      <c r="BI13" t="s">
        <v>90</v>
      </c>
    </row>
    <row r="14" spans="1:61" x14ac:dyDescent="0.4">
      <c r="A14" s="3">
        <v>52</v>
      </c>
      <c r="B14" s="3">
        <v>52</v>
      </c>
      <c r="C14" s="32">
        <v>658659</v>
      </c>
      <c r="D14" s="4" t="str">
        <f t="shared" si="0"/>
        <v>658659</v>
      </c>
      <c r="E14" s="4">
        <v>658659</v>
      </c>
      <c r="F14" s="4" t="s">
        <v>61</v>
      </c>
      <c r="G14" s="5">
        <v>4943467351765</v>
      </c>
      <c r="H14" s="5"/>
      <c r="I14" s="5"/>
      <c r="J14" s="5">
        <v>2</v>
      </c>
      <c r="K14" s="5">
        <v>2</v>
      </c>
      <c r="L14" s="4">
        <v>0</v>
      </c>
      <c r="M14" s="4">
        <v>899</v>
      </c>
      <c r="N14" s="4">
        <v>455</v>
      </c>
      <c r="O14" s="6">
        <f t="shared" si="1"/>
        <v>0.4938820912124583</v>
      </c>
      <c r="P14" s="4">
        <v>91</v>
      </c>
      <c r="Q14" s="4">
        <f t="shared" si="2"/>
        <v>455</v>
      </c>
      <c r="R14" s="4">
        <f t="shared" si="3"/>
        <v>0</v>
      </c>
      <c r="S14" s="4" t="s">
        <v>90</v>
      </c>
      <c r="T14" s="4" t="s">
        <v>90</v>
      </c>
      <c r="U14" s="4" t="s">
        <v>90</v>
      </c>
      <c r="V14" s="4">
        <v>0</v>
      </c>
      <c r="W14" s="4">
        <f t="shared" si="4"/>
        <v>0</v>
      </c>
      <c r="X14" s="4">
        <v>103</v>
      </c>
      <c r="Y14" s="4">
        <f t="shared" si="5"/>
        <v>515</v>
      </c>
      <c r="Z14" s="4">
        <v>5</v>
      </c>
      <c r="AA14" s="20">
        <f t="shared" si="6"/>
        <v>1018</v>
      </c>
      <c r="AB14" s="6">
        <f t="shared" si="7"/>
        <v>0.4941060903732809</v>
      </c>
      <c r="AC14" s="4">
        <v>701.5</v>
      </c>
      <c r="AD14" s="4" t="str">
        <f t="shared" si="8"/>
        <v>-</v>
      </c>
      <c r="AE14" s="46" t="e">
        <f t="shared" si="9"/>
        <v>#VALUE!</v>
      </c>
      <c r="AF14" s="6" t="e">
        <f t="shared" si="10"/>
        <v>#VALUE!</v>
      </c>
      <c r="AG14" s="7">
        <v>1050</v>
      </c>
      <c r="AH14" s="6">
        <f t="shared" si="11"/>
        <v>0.50952380952380949</v>
      </c>
      <c r="AI14" s="4">
        <f t="shared" si="12"/>
        <v>535</v>
      </c>
      <c r="AJ14" s="27"/>
      <c r="AK14" s="6"/>
      <c r="AL14" s="6"/>
      <c r="AM14" s="6" t="e">
        <f t="shared" si="13"/>
        <v>#DIV/0!</v>
      </c>
      <c r="AN14" s="6">
        <f t="shared" si="14"/>
        <v>1.167964404894327</v>
      </c>
      <c r="AO14" s="6">
        <f t="shared" si="15"/>
        <v>1.1318681318681318</v>
      </c>
      <c r="AP14" s="4" t="str">
        <f t="shared" si="16"/>
        <v>-</v>
      </c>
      <c r="AQ14" s="4" t="str">
        <f t="shared" si="17"/>
        <v>-</v>
      </c>
      <c r="AR14" s="4" t="str">
        <f t="shared" si="18"/>
        <v>-</v>
      </c>
      <c r="AS14" s="4" t="s">
        <v>89</v>
      </c>
      <c r="AT14" s="4" t="s">
        <v>114</v>
      </c>
      <c r="AU14" s="4"/>
      <c r="AV14" s="4"/>
      <c r="AW14" s="4" t="s">
        <v>90</v>
      </c>
      <c r="AX14" s="4" t="s">
        <v>90</v>
      </c>
      <c r="AY14" s="4" t="s">
        <v>90</v>
      </c>
      <c r="AZ14" s="4" t="s">
        <v>90</v>
      </c>
      <c r="BA14" s="4" t="str">
        <f t="shared" si="19"/>
        <v>-</v>
      </c>
      <c r="BB14" s="18">
        <v>4</v>
      </c>
      <c r="BC14" s="18">
        <v>1</v>
      </c>
      <c r="BD14" s="16">
        <v>11</v>
      </c>
      <c r="BE14" s="29">
        <v>876</v>
      </c>
      <c r="BF14">
        <f t="shared" si="20"/>
        <v>991.5164835164835</v>
      </c>
      <c r="BG14">
        <v>1280</v>
      </c>
      <c r="BH14">
        <f t="shared" si="21"/>
        <v>1448.7912087912086</v>
      </c>
      <c r="BI14" t="s">
        <v>90</v>
      </c>
    </row>
    <row r="15" spans="1:61" x14ac:dyDescent="0.4">
      <c r="A15" s="3">
        <v>148</v>
      </c>
      <c r="B15" s="3">
        <v>52</v>
      </c>
      <c r="C15" s="32">
        <v>658659</v>
      </c>
      <c r="D15" s="4" t="str">
        <f t="shared" si="0"/>
        <v>658659</v>
      </c>
      <c r="E15" s="4">
        <v>658768</v>
      </c>
      <c r="F15" s="4" t="s">
        <v>79</v>
      </c>
      <c r="G15" s="5">
        <v>4943467351765</v>
      </c>
      <c r="H15" s="5">
        <v>8</v>
      </c>
      <c r="I15" s="5" t="s">
        <v>80</v>
      </c>
      <c r="J15" s="5"/>
      <c r="K15" s="5"/>
      <c r="L15" s="4">
        <v>0</v>
      </c>
      <c r="M15" s="4">
        <v>12667</v>
      </c>
      <c r="N15" s="4">
        <v>7280</v>
      </c>
      <c r="O15" s="6">
        <f t="shared" si="1"/>
        <v>0.4252782821504697</v>
      </c>
      <c r="P15" s="4">
        <v>91</v>
      </c>
      <c r="Q15" s="4">
        <f t="shared" si="2"/>
        <v>7280</v>
      </c>
      <c r="R15" s="4">
        <f t="shared" si="3"/>
        <v>0</v>
      </c>
      <c r="S15" s="4" t="s">
        <v>90</v>
      </c>
      <c r="T15" s="4" t="s">
        <v>90</v>
      </c>
      <c r="U15" s="4" t="s">
        <v>90</v>
      </c>
      <c r="V15" s="4">
        <v>0</v>
      </c>
      <c r="W15" s="4">
        <f t="shared" si="4"/>
        <v>0</v>
      </c>
      <c r="X15" s="4">
        <v>103</v>
      </c>
      <c r="Y15" s="4">
        <f t="shared" si="5"/>
        <v>8240</v>
      </c>
      <c r="Z15" s="4">
        <v>80</v>
      </c>
      <c r="AA15" s="20">
        <f t="shared" si="6"/>
        <v>14337</v>
      </c>
      <c r="AB15" s="6">
        <f t="shared" si="7"/>
        <v>0.42526330473599772</v>
      </c>
      <c r="AC15" s="4">
        <v>701.5</v>
      </c>
      <c r="AD15" s="4" t="str">
        <f t="shared" si="8"/>
        <v>-</v>
      </c>
      <c r="AE15" s="46" t="e">
        <f t="shared" si="9"/>
        <v>#VALUE!</v>
      </c>
      <c r="AF15" s="6" t="e">
        <f t="shared" si="10"/>
        <v>#VALUE!</v>
      </c>
      <c r="AG15" s="7">
        <v>15000</v>
      </c>
      <c r="AH15" s="6">
        <f t="shared" si="11"/>
        <v>0.45066666666666666</v>
      </c>
      <c r="AI15" s="4">
        <f t="shared" si="12"/>
        <v>6760</v>
      </c>
      <c r="AJ15" s="27"/>
      <c r="AK15" s="6"/>
      <c r="AL15" s="6"/>
      <c r="AM15" s="6" t="e">
        <f t="shared" si="13"/>
        <v>#DIV/0!</v>
      </c>
      <c r="AN15" s="6">
        <f t="shared" si="14"/>
        <v>1.1841793637009552</v>
      </c>
      <c r="AO15" s="6">
        <f t="shared" si="15"/>
        <v>1.1318681318681318</v>
      </c>
      <c r="AP15" s="4" t="str">
        <f t="shared" si="16"/>
        <v>-</v>
      </c>
      <c r="AQ15" s="4" t="str">
        <f t="shared" si="17"/>
        <v>-</v>
      </c>
      <c r="AR15" s="4" t="str">
        <f t="shared" si="18"/>
        <v>-</v>
      </c>
      <c r="AS15" s="4" t="s">
        <v>89</v>
      </c>
      <c r="AT15" s="4" t="s">
        <v>90</v>
      </c>
      <c r="AU15" s="4"/>
      <c r="AV15" s="4"/>
      <c r="AW15" s="4" t="s">
        <v>90</v>
      </c>
      <c r="AX15" s="4" t="s">
        <v>90</v>
      </c>
      <c r="AY15" s="4" t="s">
        <v>90</v>
      </c>
      <c r="AZ15" s="4" t="s">
        <v>90</v>
      </c>
      <c r="BA15" s="4" t="str">
        <f t="shared" si="19"/>
        <v>-</v>
      </c>
      <c r="BB15" s="18">
        <v>4</v>
      </c>
      <c r="BC15" s="18">
        <v>1</v>
      </c>
      <c r="BD15" s="16">
        <v>11</v>
      </c>
      <c r="BE15" s="29">
        <v>12096</v>
      </c>
      <c r="BF15">
        <f t="shared" si="20"/>
        <v>13691.076923076922</v>
      </c>
      <c r="BG15">
        <v>16757</v>
      </c>
      <c r="BH15">
        <f t="shared" si="21"/>
        <v>18966.714285714286</v>
      </c>
      <c r="BI15" t="s">
        <v>90</v>
      </c>
    </row>
    <row r="16" spans="1:61" x14ac:dyDescent="0.4">
      <c r="A16" s="3">
        <v>53</v>
      </c>
      <c r="B16" s="3">
        <v>53</v>
      </c>
      <c r="C16" s="32">
        <v>658660</v>
      </c>
      <c r="D16" s="4" t="str">
        <f t="shared" si="0"/>
        <v>658660</v>
      </c>
      <c r="E16" s="4">
        <v>658660</v>
      </c>
      <c r="F16" s="4" t="s">
        <v>62</v>
      </c>
      <c r="G16" s="5">
        <v>4943467353165</v>
      </c>
      <c r="H16" s="5"/>
      <c r="I16" s="5"/>
      <c r="J16" s="5">
        <v>1</v>
      </c>
      <c r="K16" s="5">
        <v>1</v>
      </c>
      <c r="L16" s="4">
        <v>0</v>
      </c>
      <c r="M16" s="4">
        <v>1525</v>
      </c>
      <c r="N16" s="4">
        <v>640</v>
      </c>
      <c r="O16" s="6">
        <f t="shared" si="1"/>
        <v>0.58032786885245902</v>
      </c>
      <c r="P16" s="4">
        <v>128</v>
      </c>
      <c r="Q16" s="4">
        <f t="shared" si="2"/>
        <v>640</v>
      </c>
      <c r="R16" s="4">
        <f t="shared" si="3"/>
        <v>0</v>
      </c>
      <c r="S16" s="4" t="s">
        <v>90</v>
      </c>
      <c r="T16" s="4" t="s">
        <v>90</v>
      </c>
      <c r="U16" s="4" t="s">
        <v>90</v>
      </c>
      <c r="V16" s="4">
        <v>0</v>
      </c>
      <c r="W16" s="4">
        <f t="shared" si="4"/>
        <v>0</v>
      </c>
      <c r="X16" s="4">
        <v>144</v>
      </c>
      <c r="Y16" s="4">
        <f t="shared" si="5"/>
        <v>720</v>
      </c>
      <c r="Z16" s="4">
        <v>5</v>
      </c>
      <c r="AA16" s="20">
        <f t="shared" si="6"/>
        <v>1716</v>
      </c>
      <c r="AB16" s="6">
        <f t="shared" si="7"/>
        <v>0.58041958041958042</v>
      </c>
      <c r="AC16" s="4">
        <v>91.75</v>
      </c>
      <c r="AD16" s="4">
        <f t="shared" si="8"/>
        <v>1313.3333333333335</v>
      </c>
      <c r="AE16" s="46">
        <f t="shared" si="9"/>
        <v>1477.5000000000002</v>
      </c>
      <c r="AF16" s="6">
        <f t="shared" si="10"/>
        <v>0.51269035532994933</v>
      </c>
      <c r="AG16" s="7">
        <v>1525</v>
      </c>
      <c r="AH16" s="6">
        <f t="shared" si="11"/>
        <v>0.52786885245901638</v>
      </c>
      <c r="AI16" s="4">
        <f t="shared" si="12"/>
        <v>805</v>
      </c>
      <c r="AJ16" s="27"/>
      <c r="AK16" s="6"/>
      <c r="AL16" s="6"/>
      <c r="AM16" s="6" t="e">
        <f t="shared" si="13"/>
        <v>#DIV/0!</v>
      </c>
      <c r="AN16" s="6">
        <f t="shared" si="14"/>
        <v>1</v>
      </c>
      <c r="AO16" s="6">
        <f t="shared" si="15"/>
        <v>1.125</v>
      </c>
      <c r="AP16" s="4" t="str">
        <f t="shared" si="16"/>
        <v>-</v>
      </c>
      <c r="AQ16" s="4" t="str">
        <f t="shared" si="17"/>
        <v>-</v>
      </c>
      <c r="AR16" s="4" t="str">
        <f t="shared" si="18"/>
        <v>-</v>
      </c>
      <c r="AS16" s="4" t="s">
        <v>89</v>
      </c>
      <c r="AT16" s="4" t="s">
        <v>92</v>
      </c>
      <c r="AU16" s="4">
        <v>5</v>
      </c>
      <c r="AV16" s="4">
        <v>3</v>
      </c>
      <c r="AW16" s="4" t="s">
        <v>108</v>
      </c>
      <c r="AX16" s="4">
        <v>788</v>
      </c>
      <c r="AY16" s="4">
        <v>788</v>
      </c>
      <c r="AZ16" s="4">
        <v>788</v>
      </c>
      <c r="BA16" s="4">
        <f t="shared" si="19"/>
        <v>1313.3333333333335</v>
      </c>
      <c r="BB16" s="18">
        <v>4</v>
      </c>
      <c r="BC16" s="18">
        <v>1</v>
      </c>
      <c r="BD16" s="16">
        <v>11</v>
      </c>
      <c r="BE16" t="s">
        <v>114</v>
      </c>
      <c r="BF16" t="str">
        <f t="shared" si="20"/>
        <v>-</v>
      </c>
      <c r="BG16" t="s">
        <v>114</v>
      </c>
      <c r="BH16" t="str">
        <f t="shared" si="21"/>
        <v>-</v>
      </c>
      <c r="BI16" t="s">
        <v>100</v>
      </c>
    </row>
    <row r="17" spans="1:61" x14ac:dyDescent="0.4">
      <c r="A17" s="3">
        <v>54</v>
      </c>
      <c r="B17" s="3">
        <v>54</v>
      </c>
      <c r="C17" s="32">
        <v>658661</v>
      </c>
      <c r="D17" s="4" t="str">
        <f t="shared" si="0"/>
        <v>658661</v>
      </c>
      <c r="E17" s="4">
        <v>658661</v>
      </c>
      <c r="F17" s="4" t="s">
        <v>63</v>
      </c>
      <c r="G17" s="5">
        <v>4943467332764</v>
      </c>
      <c r="H17" s="5"/>
      <c r="I17" s="5"/>
      <c r="J17" s="5">
        <v>2</v>
      </c>
      <c r="K17" s="5">
        <v>2</v>
      </c>
      <c r="L17" s="4">
        <v>0</v>
      </c>
      <c r="M17" s="4">
        <v>940</v>
      </c>
      <c r="N17" s="4">
        <v>475</v>
      </c>
      <c r="O17" s="6">
        <f t="shared" si="1"/>
        <v>0.49468085106382975</v>
      </c>
      <c r="P17" s="4">
        <v>95</v>
      </c>
      <c r="Q17" s="4">
        <f t="shared" si="2"/>
        <v>475</v>
      </c>
      <c r="R17" s="4">
        <f t="shared" si="3"/>
        <v>0</v>
      </c>
      <c r="S17" s="4" t="s">
        <v>90</v>
      </c>
      <c r="T17" s="4" t="s">
        <v>90</v>
      </c>
      <c r="U17" s="4" t="s">
        <v>90</v>
      </c>
      <c r="V17" s="4">
        <v>0</v>
      </c>
      <c r="W17" s="4">
        <f t="shared" si="4"/>
        <v>0</v>
      </c>
      <c r="X17" s="4">
        <v>105</v>
      </c>
      <c r="Y17" s="4">
        <f t="shared" si="5"/>
        <v>525</v>
      </c>
      <c r="Z17" s="4">
        <v>5</v>
      </c>
      <c r="AA17" s="20">
        <f t="shared" si="6"/>
        <v>1039</v>
      </c>
      <c r="AB17" s="6">
        <f t="shared" si="7"/>
        <v>0.49470644850818091</v>
      </c>
      <c r="AC17" s="4">
        <v>14.75</v>
      </c>
      <c r="AD17" s="4" t="str">
        <f t="shared" si="8"/>
        <v>-</v>
      </c>
      <c r="AE17" s="46" t="e">
        <f t="shared" si="9"/>
        <v>#VALUE!</v>
      </c>
      <c r="AF17" s="6" t="e">
        <f t="shared" si="10"/>
        <v>#VALUE!</v>
      </c>
      <c r="AG17" s="7">
        <v>1080</v>
      </c>
      <c r="AH17" s="6">
        <f t="shared" si="11"/>
        <v>0.51388888888888884</v>
      </c>
      <c r="AI17" s="4">
        <f t="shared" si="12"/>
        <v>555</v>
      </c>
      <c r="AJ17" s="27"/>
      <c r="AK17" s="6"/>
      <c r="AL17" s="6"/>
      <c r="AM17" s="6" t="e">
        <f t="shared" si="13"/>
        <v>#DIV/0!</v>
      </c>
      <c r="AN17" s="6">
        <f t="shared" si="14"/>
        <v>1.1489361702127661</v>
      </c>
      <c r="AO17" s="6">
        <f t="shared" si="15"/>
        <v>1.1052631578947369</v>
      </c>
      <c r="AP17" s="4" t="str">
        <f t="shared" si="16"/>
        <v>-</v>
      </c>
      <c r="AQ17" s="4" t="str">
        <f t="shared" si="17"/>
        <v>-</v>
      </c>
      <c r="AR17" s="4" t="str">
        <f t="shared" si="18"/>
        <v>-</v>
      </c>
      <c r="AS17" s="4" t="s">
        <v>89</v>
      </c>
      <c r="AT17" s="4" t="s">
        <v>90</v>
      </c>
      <c r="AU17" s="4"/>
      <c r="AV17" s="4"/>
      <c r="AW17" s="4" t="s">
        <v>90</v>
      </c>
      <c r="AX17" s="4" t="s">
        <v>90</v>
      </c>
      <c r="AY17" s="4" t="s">
        <v>90</v>
      </c>
      <c r="AZ17" s="4" t="s">
        <v>90</v>
      </c>
      <c r="BA17" s="4" t="str">
        <f t="shared" si="19"/>
        <v>-</v>
      </c>
      <c r="BB17" s="18">
        <v>4</v>
      </c>
      <c r="BC17" s="18">
        <v>1</v>
      </c>
      <c r="BD17" s="16">
        <v>11</v>
      </c>
      <c r="BE17" t="s">
        <v>114</v>
      </c>
      <c r="BF17" t="str">
        <f t="shared" si="20"/>
        <v>-</v>
      </c>
      <c r="BG17" t="s">
        <v>114</v>
      </c>
      <c r="BH17" t="str">
        <f t="shared" si="21"/>
        <v>-</v>
      </c>
      <c r="BI17" t="s">
        <v>90</v>
      </c>
    </row>
    <row r="18" spans="1:61" x14ac:dyDescent="0.4">
      <c r="A18" s="3">
        <v>149</v>
      </c>
      <c r="B18" s="3">
        <v>54</v>
      </c>
      <c r="C18" s="32">
        <v>658661</v>
      </c>
      <c r="D18" s="4" t="str">
        <f t="shared" si="0"/>
        <v>658661</v>
      </c>
      <c r="E18" s="4">
        <v>658771</v>
      </c>
      <c r="F18" s="4" t="s">
        <v>81</v>
      </c>
      <c r="G18" s="5">
        <v>4943467332764</v>
      </c>
      <c r="H18" s="5">
        <v>8</v>
      </c>
      <c r="I18" s="5" t="s">
        <v>82</v>
      </c>
      <c r="J18" s="5"/>
      <c r="K18" s="5"/>
      <c r="L18" s="4">
        <v>0</v>
      </c>
      <c r="M18" s="4">
        <v>13403</v>
      </c>
      <c r="N18" s="4">
        <v>9500</v>
      </c>
      <c r="O18" s="6">
        <f t="shared" si="1"/>
        <v>0.29120346191151236</v>
      </c>
      <c r="P18" s="4">
        <v>95</v>
      </c>
      <c r="Q18" s="4">
        <f t="shared" si="2"/>
        <v>9500</v>
      </c>
      <c r="R18" s="4">
        <f t="shared" si="3"/>
        <v>0</v>
      </c>
      <c r="S18" s="4" t="s">
        <v>90</v>
      </c>
      <c r="T18" s="4" t="s">
        <v>90</v>
      </c>
      <c r="U18" s="4" t="s">
        <v>90</v>
      </c>
      <c r="V18" s="4">
        <v>0</v>
      </c>
      <c r="W18" s="4">
        <f t="shared" si="4"/>
        <v>0</v>
      </c>
      <c r="X18" s="4">
        <v>105</v>
      </c>
      <c r="Y18" s="4">
        <f t="shared" si="5"/>
        <v>10500</v>
      </c>
      <c r="Z18" s="4">
        <v>100</v>
      </c>
      <c r="AA18" s="20">
        <f t="shared" si="6"/>
        <v>14814</v>
      </c>
      <c r="AB18" s="6">
        <f t="shared" si="7"/>
        <v>0.29121101660591331</v>
      </c>
      <c r="AC18" s="4">
        <v>14.75</v>
      </c>
      <c r="AD18" s="4" t="str">
        <f t="shared" si="8"/>
        <v>-</v>
      </c>
      <c r="AE18" s="46" t="e">
        <f t="shared" si="9"/>
        <v>#VALUE!</v>
      </c>
      <c r="AF18" s="6" t="e">
        <f t="shared" si="10"/>
        <v>#VALUE!</v>
      </c>
      <c r="AG18" s="7">
        <v>18900</v>
      </c>
      <c r="AH18" s="6">
        <f t="shared" si="11"/>
        <v>0.44444444444444442</v>
      </c>
      <c r="AI18" s="4">
        <f t="shared" si="12"/>
        <v>8400</v>
      </c>
      <c r="AJ18" s="27"/>
      <c r="AK18" s="6"/>
      <c r="AL18" s="6"/>
      <c r="AM18" s="6" t="e">
        <f t="shared" si="13"/>
        <v>#DIV/0!</v>
      </c>
      <c r="AN18" s="6">
        <f t="shared" si="14"/>
        <v>1.4101320599865701</v>
      </c>
      <c r="AO18" s="6">
        <f t="shared" si="15"/>
        <v>1.1052631578947369</v>
      </c>
      <c r="AP18" s="4" t="str">
        <f t="shared" si="16"/>
        <v>-</v>
      </c>
      <c r="AQ18" s="4" t="str">
        <f t="shared" si="17"/>
        <v>-</v>
      </c>
      <c r="AR18" s="4" t="str">
        <f t="shared" si="18"/>
        <v>-</v>
      </c>
      <c r="AS18" s="4" t="s">
        <v>89</v>
      </c>
      <c r="AT18" s="4" t="s">
        <v>90</v>
      </c>
      <c r="AU18" s="4"/>
      <c r="AV18" s="4"/>
      <c r="AW18" s="4" t="s">
        <v>90</v>
      </c>
      <c r="AX18" s="4" t="s">
        <v>90</v>
      </c>
      <c r="AY18" s="4" t="s">
        <v>90</v>
      </c>
      <c r="AZ18" s="4" t="s">
        <v>90</v>
      </c>
      <c r="BA18" s="4" t="str">
        <f t="shared" si="19"/>
        <v>-</v>
      </c>
      <c r="BB18" s="18">
        <v>4</v>
      </c>
      <c r="BC18" s="18">
        <v>1</v>
      </c>
      <c r="BD18" s="16">
        <v>11</v>
      </c>
      <c r="BE18" t="s">
        <v>114</v>
      </c>
      <c r="BF18" t="str">
        <f t="shared" si="20"/>
        <v>-</v>
      </c>
      <c r="BG18" t="s">
        <v>114</v>
      </c>
      <c r="BH18" t="str">
        <f t="shared" si="21"/>
        <v>-</v>
      </c>
      <c r="BI18" t="s">
        <v>90</v>
      </c>
    </row>
    <row r="19" spans="1:61" x14ac:dyDescent="0.4">
      <c r="A19" s="3">
        <v>55</v>
      </c>
      <c r="B19" s="3">
        <v>55</v>
      </c>
      <c r="C19" s="32">
        <v>658662</v>
      </c>
      <c r="D19" s="4" t="str">
        <f t="shared" si="0"/>
        <v>658662</v>
      </c>
      <c r="E19" s="4">
        <v>658662</v>
      </c>
      <c r="F19" s="4" t="s">
        <v>64</v>
      </c>
      <c r="G19" s="5">
        <v>4943467331767</v>
      </c>
      <c r="H19" s="5"/>
      <c r="I19" s="5"/>
      <c r="J19" s="5">
        <v>2</v>
      </c>
      <c r="K19" s="5">
        <v>2</v>
      </c>
      <c r="L19" s="4">
        <v>0</v>
      </c>
      <c r="M19" s="4">
        <v>1125</v>
      </c>
      <c r="N19" s="4">
        <v>570</v>
      </c>
      <c r="O19" s="6">
        <f t="shared" si="1"/>
        <v>0.49333333333333329</v>
      </c>
      <c r="P19" s="4">
        <v>114</v>
      </c>
      <c r="Q19" s="4">
        <f t="shared" si="2"/>
        <v>570</v>
      </c>
      <c r="R19" s="4">
        <f t="shared" si="3"/>
        <v>0</v>
      </c>
      <c r="S19" s="4" t="s">
        <v>90</v>
      </c>
      <c r="T19" s="4" t="s">
        <v>90</v>
      </c>
      <c r="U19" s="4" t="s">
        <v>90</v>
      </c>
      <c r="V19" s="4">
        <v>0</v>
      </c>
      <c r="W19" s="4">
        <f t="shared" si="4"/>
        <v>0</v>
      </c>
      <c r="X19" s="4">
        <v>126</v>
      </c>
      <c r="Y19" s="4">
        <f t="shared" si="5"/>
        <v>630</v>
      </c>
      <c r="Z19" s="4">
        <v>5</v>
      </c>
      <c r="AA19" s="20">
        <f t="shared" si="6"/>
        <v>1243</v>
      </c>
      <c r="AB19" s="6">
        <f t="shared" si="7"/>
        <v>0.49316170555108607</v>
      </c>
      <c r="AC19" s="4">
        <v>208.75</v>
      </c>
      <c r="AD19" s="4">
        <f t="shared" si="8"/>
        <v>1376</v>
      </c>
      <c r="AE19" s="46">
        <f t="shared" si="9"/>
        <v>1520.8421052631581</v>
      </c>
      <c r="AF19" s="6">
        <f t="shared" si="10"/>
        <v>0.58575581395348841</v>
      </c>
      <c r="AG19" s="7">
        <v>1300</v>
      </c>
      <c r="AH19" s="6">
        <f t="shared" si="11"/>
        <v>0.51538461538461533</v>
      </c>
      <c r="AI19" s="4">
        <f t="shared" si="12"/>
        <v>670</v>
      </c>
      <c r="AJ19" s="27"/>
      <c r="AK19" s="6"/>
      <c r="AL19" s="6"/>
      <c r="AM19" s="6" t="e">
        <f t="shared" si="13"/>
        <v>#DIV/0!</v>
      </c>
      <c r="AN19" s="6">
        <f t="shared" si="14"/>
        <v>1.1555555555555554</v>
      </c>
      <c r="AO19" s="6">
        <f t="shared" si="15"/>
        <v>1.1052631578947369</v>
      </c>
      <c r="AP19" s="4" t="str">
        <f t="shared" si="16"/>
        <v>-</v>
      </c>
      <c r="AQ19" s="4" t="str">
        <f t="shared" si="17"/>
        <v>-</v>
      </c>
      <c r="AR19" s="4" t="str">
        <f t="shared" si="18"/>
        <v>-</v>
      </c>
      <c r="AS19" s="4" t="s">
        <v>89</v>
      </c>
      <c r="AT19" s="4" t="s">
        <v>93</v>
      </c>
      <c r="AU19" s="4"/>
      <c r="AV19" s="4"/>
      <c r="AW19" s="4" t="s">
        <v>107</v>
      </c>
      <c r="AX19" s="4">
        <v>1376</v>
      </c>
      <c r="AY19" s="4">
        <v>1376</v>
      </c>
      <c r="AZ19" s="4">
        <v>1376</v>
      </c>
      <c r="BA19" s="4">
        <f t="shared" si="19"/>
        <v>1376</v>
      </c>
      <c r="BB19" s="18">
        <v>4</v>
      </c>
      <c r="BC19" s="18">
        <v>1</v>
      </c>
      <c r="BD19" s="16">
        <v>11</v>
      </c>
      <c r="BE19" t="s">
        <v>114</v>
      </c>
      <c r="BF19" t="str">
        <f t="shared" si="20"/>
        <v>-</v>
      </c>
      <c r="BG19" t="s">
        <v>114</v>
      </c>
      <c r="BH19" t="str">
        <f t="shared" si="21"/>
        <v>-</v>
      </c>
      <c r="BI19" t="s">
        <v>101</v>
      </c>
    </row>
    <row r="20" spans="1:61" x14ac:dyDescent="0.4">
      <c r="A20" s="3">
        <v>150</v>
      </c>
      <c r="B20" s="3">
        <v>55</v>
      </c>
      <c r="C20" s="32">
        <v>658662</v>
      </c>
      <c r="D20" s="4" t="str">
        <f t="shared" si="0"/>
        <v>658662</v>
      </c>
      <c r="E20" s="4">
        <v>658772</v>
      </c>
      <c r="F20" s="4" t="s">
        <v>83</v>
      </c>
      <c r="G20" s="5">
        <v>4943467331767</v>
      </c>
      <c r="H20" s="5">
        <v>8</v>
      </c>
      <c r="I20" s="5" t="s">
        <v>84</v>
      </c>
      <c r="J20" s="5"/>
      <c r="K20" s="5"/>
      <c r="L20" s="4">
        <v>0</v>
      </c>
      <c r="M20" s="4">
        <v>17852</v>
      </c>
      <c r="N20" s="4">
        <v>9120</v>
      </c>
      <c r="O20" s="6">
        <f t="shared" si="1"/>
        <v>0.48913287026663677</v>
      </c>
      <c r="P20" s="4">
        <v>114</v>
      </c>
      <c r="Q20" s="4">
        <f t="shared" si="2"/>
        <v>9120</v>
      </c>
      <c r="R20" s="4">
        <f t="shared" si="3"/>
        <v>0</v>
      </c>
      <c r="S20" s="4" t="s">
        <v>90</v>
      </c>
      <c r="T20" s="4" t="s">
        <v>90</v>
      </c>
      <c r="U20" s="4" t="s">
        <v>90</v>
      </c>
      <c r="V20" s="4">
        <v>0</v>
      </c>
      <c r="W20" s="4">
        <f t="shared" si="4"/>
        <v>0</v>
      </c>
      <c r="X20" s="4">
        <v>126</v>
      </c>
      <c r="Y20" s="4">
        <f t="shared" si="5"/>
        <v>10080</v>
      </c>
      <c r="Z20" s="4">
        <v>80</v>
      </c>
      <c r="AA20" s="20">
        <f t="shared" si="6"/>
        <v>19731</v>
      </c>
      <c r="AB20" s="6">
        <f t="shared" si="7"/>
        <v>0.48912878211950739</v>
      </c>
      <c r="AC20" s="4">
        <v>208.75</v>
      </c>
      <c r="AD20" s="4">
        <f t="shared" si="8"/>
        <v>21290.666666666664</v>
      </c>
      <c r="AE20" s="46">
        <f t="shared" si="9"/>
        <v>23531.78947368421</v>
      </c>
      <c r="AF20" s="6">
        <f t="shared" si="10"/>
        <v>0.57164328657314623</v>
      </c>
      <c r="AG20" s="7">
        <v>19800</v>
      </c>
      <c r="AH20" s="6">
        <f t="shared" si="11"/>
        <v>0.49090909090909096</v>
      </c>
      <c r="AI20" s="4">
        <f t="shared" si="12"/>
        <v>9720</v>
      </c>
      <c r="AJ20" s="27"/>
      <c r="AK20" s="6"/>
      <c r="AL20" s="6"/>
      <c r="AM20" s="6" t="e">
        <f t="shared" si="13"/>
        <v>#DIV/0!</v>
      </c>
      <c r="AN20" s="6">
        <f t="shared" si="14"/>
        <v>1.1091194263948017</v>
      </c>
      <c r="AO20" s="6">
        <f t="shared" si="15"/>
        <v>1.1052631578947369</v>
      </c>
      <c r="AP20" s="4" t="str">
        <f t="shared" si="16"/>
        <v>-</v>
      </c>
      <c r="AQ20" s="4" t="str">
        <f t="shared" si="17"/>
        <v>-</v>
      </c>
      <c r="AR20" s="4" t="str">
        <f t="shared" si="18"/>
        <v>-</v>
      </c>
      <c r="AS20" s="4" t="s">
        <v>89</v>
      </c>
      <c r="AT20" s="4" t="s">
        <v>120</v>
      </c>
      <c r="AU20" s="4">
        <v>80</v>
      </c>
      <c r="AV20" s="4">
        <v>60</v>
      </c>
      <c r="AW20" s="4" t="s">
        <v>111</v>
      </c>
      <c r="AX20" s="4" t="s">
        <v>90</v>
      </c>
      <c r="AY20" s="4">
        <v>15968</v>
      </c>
      <c r="AZ20" s="4">
        <v>15968</v>
      </c>
      <c r="BA20" s="4">
        <f t="shared" si="19"/>
        <v>21290.666666666664</v>
      </c>
      <c r="BB20" s="18">
        <v>4</v>
      </c>
      <c r="BC20" s="18">
        <v>1</v>
      </c>
      <c r="BD20" s="16">
        <v>11</v>
      </c>
      <c r="BE20" t="s">
        <v>114</v>
      </c>
      <c r="BF20" t="str">
        <f t="shared" si="20"/>
        <v>-</v>
      </c>
      <c r="BG20" t="s">
        <v>114</v>
      </c>
      <c r="BH20" t="str">
        <f t="shared" si="21"/>
        <v>-</v>
      </c>
      <c r="BI20" t="s">
        <v>119</v>
      </c>
    </row>
    <row r="21" spans="1:61" x14ac:dyDescent="0.4">
      <c r="A21" s="3">
        <v>56</v>
      </c>
      <c r="B21" s="3">
        <v>56</v>
      </c>
      <c r="C21" s="32">
        <v>658663</v>
      </c>
      <c r="D21" s="4" t="str">
        <f t="shared" si="0"/>
        <v>658663</v>
      </c>
      <c r="E21" s="4">
        <v>658663</v>
      </c>
      <c r="F21" s="4" t="s">
        <v>65</v>
      </c>
      <c r="G21" s="5">
        <v>4943467331262</v>
      </c>
      <c r="H21" s="5"/>
      <c r="I21" s="5"/>
      <c r="J21" s="5">
        <v>2</v>
      </c>
      <c r="K21" s="5">
        <v>2</v>
      </c>
      <c r="L21" s="4">
        <v>0</v>
      </c>
      <c r="M21" s="4">
        <v>1125</v>
      </c>
      <c r="N21" s="4">
        <v>570</v>
      </c>
      <c r="O21" s="6">
        <f t="shared" si="1"/>
        <v>0.49333333333333329</v>
      </c>
      <c r="P21" s="4">
        <v>114</v>
      </c>
      <c r="Q21" s="4">
        <f t="shared" si="2"/>
        <v>570</v>
      </c>
      <c r="R21" s="4">
        <f t="shared" si="3"/>
        <v>0</v>
      </c>
      <c r="S21" s="4" t="s">
        <v>90</v>
      </c>
      <c r="T21" s="4" t="s">
        <v>90</v>
      </c>
      <c r="U21" s="4" t="s">
        <v>90</v>
      </c>
      <c r="V21" s="4">
        <v>0</v>
      </c>
      <c r="W21" s="4">
        <f t="shared" si="4"/>
        <v>0</v>
      </c>
      <c r="X21" s="4">
        <v>126</v>
      </c>
      <c r="Y21" s="4">
        <f t="shared" si="5"/>
        <v>630</v>
      </c>
      <c r="Z21" s="4">
        <v>5</v>
      </c>
      <c r="AA21" s="20">
        <f t="shared" si="6"/>
        <v>1243</v>
      </c>
      <c r="AB21" s="6">
        <f t="shared" si="7"/>
        <v>0.49316170555108607</v>
      </c>
      <c r="AC21" s="4">
        <v>131</v>
      </c>
      <c r="AD21" s="4" t="str">
        <f t="shared" si="8"/>
        <v>-</v>
      </c>
      <c r="AE21" s="46" t="e">
        <f t="shared" si="9"/>
        <v>#VALUE!</v>
      </c>
      <c r="AF21" s="6" t="e">
        <f t="shared" si="10"/>
        <v>#VALUE!</v>
      </c>
      <c r="AG21" s="7">
        <v>1300</v>
      </c>
      <c r="AH21" s="6">
        <f t="shared" si="11"/>
        <v>0.51538461538461533</v>
      </c>
      <c r="AI21" s="4">
        <f t="shared" si="12"/>
        <v>670</v>
      </c>
      <c r="AJ21" s="27"/>
      <c r="AK21" s="6"/>
      <c r="AL21" s="6"/>
      <c r="AM21" s="6" t="e">
        <f t="shared" si="13"/>
        <v>#DIV/0!</v>
      </c>
      <c r="AN21" s="6">
        <f t="shared" si="14"/>
        <v>1.1555555555555554</v>
      </c>
      <c r="AO21" s="6">
        <f t="shared" si="15"/>
        <v>1.1052631578947369</v>
      </c>
      <c r="AP21" s="4" t="str">
        <f t="shared" si="16"/>
        <v>-</v>
      </c>
      <c r="AQ21" s="4" t="str">
        <f t="shared" si="17"/>
        <v>-</v>
      </c>
      <c r="AR21" s="4" t="str">
        <f t="shared" si="18"/>
        <v>-</v>
      </c>
      <c r="AS21" s="4" t="s">
        <v>89</v>
      </c>
      <c r="AT21" s="4" t="s">
        <v>90</v>
      </c>
      <c r="AU21" s="4"/>
      <c r="AV21" s="4"/>
      <c r="AW21" s="4" t="s">
        <v>90</v>
      </c>
      <c r="AX21" s="4" t="s">
        <v>90</v>
      </c>
      <c r="AY21" s="4" t="s">
        <v>90</v>
      </c>
      <c r="AZ21" s="4" t="s">
        <v>90</v>
      </c>
      <c r="BA21" s="4" t="str">
        <f t="shared" si="19"/>
        <v>-</v>
      </c>
      <c r="BB21" s="18">
        <v>4</v>
      </c>
      <c r="BC21" s="18">
        <v>1</v>
      </c>
      <c r="BD21" s="16">
        <v>11</v>
      </c>
      <c r="BE21" t="s">
        <v>114</v>
      </c>
      <c r="BF21" t="str">
        <f t="shared" si="20"/>
        <v>-</v>
      </c>
      <c r="BG21">
        <v>1840</v>
      </c>
      <c r="BH21">
        <f t="shared" si="21"/>
        <v>2033.6842105263161</v>
      </c>
      <c r="BI21" t="s">
        <v>90</v>
      </c>
    </row>
    <row r="22" spans="1:61" x14ac:dyDescent="0.4">
      <c r="A22" s="3">
        <v>151</v>
      </c>
      <c r="B22" s="3">
        <v>56</v>
      </c>
      <c r="C22" s="32">
        <v>658663</v>
      </c>
      <c r="D22" s="4" t="str">
        <f t="shared" si="0"/>
        <v>658663</v>
      </c>
      <c r="E22" s="4">
        <v>658774</v>
      </c>
      <c r="F22" s="4" t="s">
        <v>85</v>
      </c>
      <c r="G22" s="5">
        <v>4943467331262</v>
      </c>
      <c r="H22" s="5">
        <v>8</v>
      </c>
      <c r="I22" s="5" t="s">
        <v>86</v>
      </c>
      <c r="J22" s="5"/>
      <c r="K22" s="5"/>
      <c r="L22" s="4">
        <v>0</v>
      </c>
      <c r="M22" s="4">
        <v>13124</v>
      </c>
      <c r="N22" s="4">
        <v>9120</v>
      </c>
      <c r="O22" s="6">
        <f t="shared" si="1"/>
        <v>0.30508991161231336</v>
      </c>
      <c r="P22" s="4">
        <v>114</v>
      </c>
      <c r="Q22" s="4">
        <f t="shared" si="2"/>
        <v>9120</v>
      </c>
      <c r="R22" s="4">
        <f t="shared" si="3"/>
        <v>0</v>
      </c>
      <c r="S22" s="4" t="s">
        <v>90</v>
      </c>
      <c r="T22" s="4" t="s">
        <v>90</v>
      </c>
      <c r="U22" s="4" t="s">
        <v>90</v>
      </c>
      <c r="V22" s="4">
        <v>0</v>
      </c>
      <c r="W22" s="4">
        <f t="shared" si="4"/>
        <v>0</v>
      </c>
      <c r="X22" s="4">
        <v>126</v>
      </c>
      <c r="Y22" s="4">
        <f t="shared" si="5"/>
        <v>10080</v>
      </c>
      <c r="Z22" s="4">
        <v>80</v>
      </c>
      <c r="AA22" s="20">
        <f t="shared" si="6"/>
        <v>14505</v>
      </c>
      <c r="AB22" s="6">
        <f t="shared" si="7"/>
        <v>0.30506721820062044</v>
      </c>
      <c r="AC22" s="4">
        <v>131</v>
      </c>
      <c r="AD22" s="4" t="str">
        <f t="shared" si="8"/>
        <v>-</v>
      </c>
      <c r="AE22" s="46" t="e">
        <f t="shared" si="9"/>
        <v>#VALUE!</v>
      </c>
      <c r="AF22" s="6" t="e">
        <f t="shared" si="10"/>
        <v>#VALUE!</v>
      </c>
      <c r="AG22" s="7">
        <v>19800</v>
      </c>
      <c r="AH22" s="6">
        <f t="shared" si="11"/>
        <v>0.49090909090909096</v>
      </c>
      <c r="AI22" s="4">
        <f t="shared" si="12"/>
        <v>9720</v>
      </c>
      <c r="AJ22" s="27"/>
      <c r="AK22" s="6"/>
      <c r="AL22" s="6"/>
      <c r="AM22" s="6" t="e">
        <f t="shared" si="13"/>
        <v>#DIV/0!</v>
      </c>
      <c r="AN22" s="6">
        <f t="shared" si="14"/>
        <v>1.5086863761048461</v>
      </c>
      <c r="AO22" s="6">
        <f t="shared" si="15"/>
        <v>1.1052631578947369</v>
      </c>
      <c r="AP22" s="4" t="str">
        <f t="shared" si="16"/>
        <v>-</v>
      </c>
      <c r="AQ22" s="4" t="str">
        <f t="shared" si="17"/>
        <v>-</v>
      </c>
      <c r="AR22" s="4" t="str">
        <f t="shared" si="18"/>
        <v>-</v>
      </c>
      <c r="AS22" s="4" t="s">
        <v>89</v>
      </c>
      <c r="AT22" s="4" t="s">
        <v>90</v>
      </c>
      <c r="AU22" s="4"/>
      <c r="AV22" s="4"/>
      <c r="AW22" s="4" t="s">
        <v>90</v>
      </c>
      <c r="AX22" s="4" t="s">
        <v>90</v>
      </c>
      <c r="AY22" s="4" t="s">
        <v>90</v>
      </c>
      <c r="AZ22" s="4" t="s">
        <v>90</v>
      </c>
      <c r="BA22" s="4" t="str">
        <f t="shared" si="19"/>
        <v>-</v>
      </c>
      <c r="BB22" s="18">
        <v>4</v>
      </c>
      <c r="BC22" s="18">
        <v>1</v>
      </c>
      <c r="BD22" s="16">
        <v>11</v>
      </c>
      <c r="BE22" t="s">
        <v>114</v>
      </c>
      <c r="BF22" t="str">
        <f t="shared" si="20"/>
        <v>-</v>
      </c>
      <c r="BG22">
        <v>24960</v>
      </c>
      <c r="BH22">
        <f t="shared" si="21"/>
        <v>27587.368421052633</v>
      </c>
      <c r="BI22" t="s">
        <v>90</v>
      </c>
    </row>
    <row r="23" spans="1:61" x14ac:dyDescent="0.4">
      <c r="A23" s="3">
        <v>57</v>
      </c>
      <c r="B23" s="3">
        <v>57</v>
      </c>
      <c r="C23" s="32">
        <v>658664</v>
      </c>
      <c r="D23" s="4" t="str">
        <f t="shared" si="0"/>
        <v>658664</v>
      </c>
      <c r="E23" s="4">
        <v>658664</v>
      </c>
      <c r="F23" s="4" t="s">
        <v>66</v>
      </c>
      <c r="G23" s="5">
        <v>4943467333167</v>
      </c>
      <c r="H23" s="5"/>
      <c r="I23" s="5"/>
      <c r="J23" s="5">
        <v>1</v>
      </c>
      <c r="K23" s="5">
        <v>1</v>
      </c>
      <c r="L23" s="4">
        <v>0</v>
      </c>
      <c r="M23" s="4">
        <v>2020</v>
      </c>
      <c r="N23" s="4">
        <v>790</v>
      </c>
      <c r="O23" s="6">
        <f t="shared" si="1"/>
        <v>0.6089108910891089</v>
      </c>
      <c r="P23" s="4">
        <v>158</v>
      </c>
      <c r="Q23" s="4">
        <f t="shared" si="2"/>
        <v>790</v>
      </c>
      <c r="R23" s="4">
        <f t="shared" si="3"/>
        <v>0</v>
      </c>
      <c r="S23" s="4" t="s">
        <v>90</v>
      </c>
      <c r="T23" s="4" t="s">
        <v>90</v>
      </c>
      <c r="U23" s="4" t="s">
        <v>90</v>
      </c>
      <c r="V23" s="4">
        <v>0</v>
      </c>
      <c r="W23" s="4">
        <f t="shared" si="4"/>
        <v>0</v>
      </c>
      <c r="X23" s="4">
        <v>174</v>
      </c>
      <c r="Y23" s="4">
        <f t="shared" si="5"/>
        <v>870</v>
      </c>
      <c r="Z23" s="4">
        <v>5</v>
      </c>
      <c r="AA23" s="20">
        <f t="shared" si="6"/>
        <v>2225</v>
      </c>
      <c r="AB23" s="6">
        <f t="shared" si="7"/>
        <v>0.60898876404494384</v>
      </c>
      <c r="AC23" s="4">
        <v>39.5</v>
      </c>
      <c r="AD23" s="4">
        <f t="shared" si="8"/>
        <v>2058.3333333333335</v>
      </c>
      <c r="AE23" s="46">
        <f t="shared" si="9"/>
        <v>2266.7721518987346</v>
      </c>
      <c r="AF23" s="6">
        <f t="shared" si="10"/>
        <v>0.61619433198380569</v>
      </c>
      <c r="AG23" s="7">
        <v>2250</v>
      </c>
      <c r="AH23" s="6">
        <f t="shared" si="11"/>
        <v>0.61333333333333329</v>
      </c>
      <c r="AI23" s="4">
        <f t="shared" si="12"/>
        <v>1380</v>
      </c>
      <c r="AJ23" s="27"/>
      <c r="AK23" s="6"/>
      <c r="AL23" s="6"/>
      <c r="AM23" s="6" t="e">
        <f t="shared" si="13"/>
        <v>#DIV/0!</v>
      </c>
      <c r="AN23" s="6">
        <f t="shared" si="14"/>
        <v>1.113861386138614</v>
      </c>
      <c r="AO23" s="6">
        <f t="shared" si="15"/>
        <v>1.1012658227848102</v>
      </c>
      <c r="AP23" s="4" t="str">
        <f t="shared" si="16"/>
        <v>-</v>
      </c>
      <c r="AQ23" s="4" t="str">
        <f t="shared" si="17"/>
        <v>-</v>
      </c>
      <c r="AR23" s="4" t="str">
        <f t="shared" si="18"/>
        <v>-</v>
      </c>
      <c r="AS23" s="4" t="s">
        <v>89</v>
      </c>
      <c r="AT23" s="4" t="s">
        <v>94</v>
      </c>
      <c r="AU23" s="4">
        <v>5</v>
      </c>
      <c r="AV23" s="4">
        <v>3</v>
      </c>
      <c r="AW23" s="4" t="s">
        <v>109</v>
      </c>
      <c r="AX23" s="4">
        <v>1235</v>
      </c>
      <c r="AY23" s="4">
        <v>1235</v>
      </c>
      <c r="AZ23" s="4">
        <v>1235</v>
      </c>
      <c r="BA23" s="4">
        <f t="shared" si="19"/>
        <v>2058.3333333333335</v>
      </c>
      <c r="BB23" s="18">
        <v>4</v>
      </c>
      <c r="BC23" s="18">
        <v>1</v>
      </c>
      <c r="BD23" s="16">
        <v>11</v>
      </c>
      <c r="BE23" t="s">
        <v>114</v>
      </c>
      <c r="BF23" t="str">
        <f t="shared" si="20"/>
        <v>-</v>
      </c>
      <c r="BG23" t="s">
        <v>114</v>
      </c>
      <c r="BH23" t="str">
        <f t="shared" si="21"/>
        <v>-</v>
      </c>
      <c r="BI23" t="s">
        <v>102</v>
      </c>
    </row>
    <row r="24" spans="1:61" x14ac:dyDescent="0.4">
      <c r="A24" s="33">
        <v>58</v>
      </c>
      <c r="B24" s="3">
        <v>58</v>
      </c>
      <c r="C24" s="32">
        <v>658767</v>
      </c>
      <c r="D24" s="4" t="str">
        <f t="shared" si="0"/>
        <v>658767</v>
      </c>
      <c r="E24" s="4">
        <v>658767</v>
      </c>
      <c r="F24" s="4" t="s">
        <v>67</v>
      </c>
      <c r="G24" s="5">
        <v>4943467313114</v>
      </c>
      <c r="H24" s="5"/>
      <c r="I24" s="5"/>
      <c r="J24" s="5">
        <v>1</v>
      </c>
      <c r="K24" s="5">
        <v>1</v>
      </c>
      <c r="L24" s="4">
        <v>0</v>
      </c>
      <c r="M24" s="4">
        <v>8440</v>
      </c>
      <c r="N24" s="4">
        <v>6200</v>
      </c>
      <c r="O24" s="6">
        <f t="shared" si="1"/>
        <v>0.2654028436018957</v>
      </c>
      <c r="P24" s="4">
        <v>124</v>
      </c>
      <c r="Q24" s="4">
        <f t="shared" si="2"/>
        <v>6200</v>
      </c>
      <c r="R24" s="4">
        <f t="shared" si="3"/>
        <v>0</v>
      </c>
      <c r="S24" s="4" t="s">
        <v>90</v>
      </c>
      <c r="T24" s="4" t="s">
        <v>90</v>
      </c>
      <c r="U24" s="4" t="s">
        <v>90</v>
      </c>
      <c r="V24" s="4">
        <v>0</v>
      </c>
      <c r="W24" s="4">
        <f t="shared" si="4"/>
        <v>0</v>
      </c>
      <c r="X24" s="4">
        <v>140</v>
      </c>
      <c r="Y24" s="4">
        <f t="shared" si="5"/>
        <v>7000</v>
      </c>
      <c r="Z24" s="4">
        <v>50</v>
      </c>
      <c r="AA24" s="20">
        <f t="shared" si="6"/>
        <v>9529</v>
      </c>
      <c r="AB24" s="6">
        <f t="shared" si="7"/>
        <v>0.26540035680554097</v>
      </c>
      <c r="AC24" s="4">
        <v>922.5</v>
      </c>
      <c r="AD24" s="4">
        <f t="shared" si="8"/>
        <v>10450</v>
      </c>
      <c r="AE24" s="46">
        <f t="shared" si="9"/>
        <v>11798.387096774195</v>
      </c>
      <c r="AF24" s="6">
        <f t="shared" si="10"/>
        <v>0.40669856459330156</v>
      </c>
      <c r="AG24" s="7">
        <v>10300</v>
      </c>
      <c r="AH24" s="6">
        <f t="shared" si="11"/>
        <v>0.32038834951456308</v>
      </c>
      <c r="AI24" s="4">
        <f t="shared" si="12"/>
        <v>3300</v>
      </c>
      <c r="AJ24" s="27"/>
      <c r="AK24" s="6"/>
      <c r="AL24" s="6"/>
      <c r="AM24" s="6" t="e">
        <f t="shared" si="13"/>
        <v>#DIV/0!</v>
      </c>
      <c r="AN24" s="6">
        <f t="shared" si="14"/>
        <v>1.2203791469194314</v>
      </c>
      <c r="AO24" s="6">
        <f t="shared" si="15"/>
        <v>1.1290322580645162</v>
      </c>
      <c r="AP24" s="4" t="str">
        <f t="shared" si="16"/>
        <v>-</v>
      </c>
      <c r="AQ24" s="4" t="str">
        <f t="shared" si="17"/>
        <v>-</v>
      </c>
      <c r="AR24" s="4" t="str">
        <f t="shared" si="18"/>
        <v>-</v>
      </c>
      <c r="AS24" s="4" t="s">
        <v>89</v>
      </c>
      <c r="AT24" s="4" t="s">
        <v>95</v>
      </c>
      <c r="AU24" s="4">
        <v>50</v>
      </c>
      <c r="AV24" s="4">
        <v>12</v>
      </c>
      <c r="AW24" s="4" t="s">
        <v>110</v>
      </c>
      <c r="AX24" s="4">
        <v>2508</v>
      </c>
      <c r="AY24" s="4">
        <v>2508</v>
      </c>
      <c r="AZ24" s="4">
        <v>2508</v>
      </c>
      <c r="BA24" s="4">
        <f t="shared" si="19"/>
        <v>10450</v>
      </c>
      <c r="BB24" s="18">
        <v>2</v>
      </c>
      <c r="BC24" s="18">
        <v>1</v>
      </c>
      <c r="BD24" s="16">
        <v>11</v>
      </c>
      <c r="BE24" s="29">
        <v>10300</v>
      </c>
      <c r="BF24">
        <f t="shared" si="20"/>
        <v>11629.032258064517</v>
      </c>
      <c r="BG24" t="s">
        <v>114</v>
      </c>
      <c r="BH24" t="str">
        <f t="shared" si="21"/>
        <v>-</v>
      </c>
      <c r="BI24" t="s">
        <v>103</v>
      </c>
    </row>
    <row r="25" spans="1:61" x14ac:dyDescent="0.4">
      <c r="A25" s="3">
        <v>117</v>
      </c>
      <c r="B25" s="3">
        <v>117</v>
      </c>
      <c r="C25" s="32">
        <v>658658</v>
      </c>
      <c r="D25" s="4" t="str">
        <f t="shared" ref="D25:D26" si="22">TEXT(C25,"000000")</f>
        <v>658658</v>
      </c>
      <c r="E25" s="4">
        <v>658658</v>
      </c>
      <c r="F25" s="4" t="s">
        <v>68</v>
      </c>
      <c r="G25" s="5">
        <v>4943467352762</v>
      </c>
      <c r="H25" s="5"/>
      <c r="I25" s="5"/>
      <c r="J25" s="5">
        <v>2</v>
      </c>
      <c r="K25" s="5">
        <v>2</v>
      </c>
      <c r="L25" s="4">
        <v>0</v>
      </c>
      <c r="M25" s="4">
        <v>963</v>
      </c>
      <c r="N25" s="4">
        <v>385</v>
      </c>
      <c r="O25" s="6">
        <f t="shared" ref="O25:O26" si="23">1-N25/M25</f>
        <v>0.60020768431983385</v>
      </c>
      <c r="P25" s="4">
        <v>76</v>
      </c>
      <c r="Q25" s="4">
        <f t="shared" ref="Q25:Q26" si="24">P25*Z25</f>
        <v>380</v>
      </c>
      <c r="R25" s="4">
        <f t="shared" ref="R25:R26" si="25">N25-Q25</f>
        <v>5</v>
      </c>
      <c r="S25" s="4" t="s">
        <v>90</v>
      </c>
      <c r="T25" s="4" t="s">
        <v>90</v>
      </c>
      <c r="U25" s="4" t="s">
        <v>90</v>
      </c>
      <c r="V25" s="4">
        <v>0</v>
      </c>
      <c r="W25" s="4">
        <f t="shared" ref="W25:W26" si="26">IF(Z25="",V25,V25*Z25)</f>
        <v>0</v>
      </c>
      <c r="X25" s="4">
        <v>86</v>
      </c>
      <c r="Y25" s="4">
        <f t="shared" ref="Y25:Y26" si="27">IF(Z25="",X25,X25*Z25)</f>
        <v>430</v>
      </c>
      <c r="Z25" s="4">
        <v>5</v>
      </c>
      <c r="AA25" s="20">
        <f t="shared" ref="AA25:AA26" si="28">ROUND(M25*AO25,0)</f>
        <v>1076</v>
      </c>
      <c r="AB25" s="6">
        <f t="shared" ref="AB25:AB26" si="29">1-Y25/AA25</f>
        <v>0.6003717472118959</v>
      </c>
      <c r="AC25" s="4">
        <v>10.25</v>
      </c>
      <c r="AD25" s="4">
        <f t="shared" ref="AD25:AD26" si="30">BA25</f>
        <v>988</v>
      </c>
      <c r="AE25" s="46">
        <f t="shared" ref="AE25:AE26" si="31">AD25*AO25</f>
        <v>1103.4805194805194</v>
      </c>
      <c r="AF25" s="6">
        <f t="shared" ref="AF25:AF26" si="32">1-Y25/AE25</f>
        <v>0.61032388663967607</v>
      </c>
      <c r="AG25" s="7">
        <v>1100</v>
      </c>
      <c r="AH25" s="6">
        <f t="shared" ref="AH25:AH26" si="33">1-Y25/AG25</f>
        <v>0.60909090909090913</v>
      </c>
      <c r="AI25" s="4">
        <f t="shared" ref="AI25:AI26" si="34">AG25-Y25</f>
        <v>670</v>
      </c>
      <c r="AJ25" s="27"/>
      <c r="AK25" s="6"/>
      <c r="AL25" s="6"/>
      <c r="AM25" s="6" t="e">
        <f t="shared" ref="AM25:AM26" si="35">W25/L25</f>
        <v>#DIV/0!</v>
      </c>
      <c r="AN25" s="6">
        <f t="shared" ref="AN25:AN26" si="36">AG25/M25</f>
        <v>1.142263759086189</v>
      </c>
      <c r="AO25" s="6">
        <f t="shared" ref="AO25:AO26" si="37">Y25/N25</f>
        <v>1.1168831168831168</v>
      </c>
      <c r="AP25" s="4" t="str">
        <f t="shared" ref="AP25:AP26" si="38">IFERROR(ROUND($AG25*S25/$M25,0),"-")</f>
        <v>-</v>
      </c>
      <c r="AQ25" s="4" t="str">
        <f t="shared" ref="AQ25:AQ26" si="39">IF(T25="","-",T25)</f>
        <v>-</v>
      </c>
      <c r="AR25" s="4" t="str">
        <f t="shared" ref="AR25:AR26" si="40">IF(U25="","-",U25)</f>
        <v>-</v>
      </c>
      <c r="AS25" s="4" t="s">
        <v>89</v>
      </c>
      <c r="AT25" s="4" t="s">
        <v>96</v>
      </c>
      <c r="AU25" s="4"/>
      <c r="AV25" s="4"/>
      <c r="AW25" s="4" t="s">
        <v>107</v>
      </c>
      <c r="AX25" s="4">
        <v>988</v>
      </c>
      <c r="AY25" s="4">
        <v>988</v>
      </c>
      <c r="AZ25" s="4">
        <v>988</v>
      </c>
      <c r="BA25" s="4">
        <f t="shared" ref="BA25:BA26" si="41">IF(AU25="",AZ25,AU25/AV25*AZ25)</f>
        <v>988</v>
      </c>
      <c r="BB25" s="18">
        <v>4</v>
      </c>
      <c r="BC25" s="18">
        <v>1</v>
      </c>
      <c r="BD25" s="16">
        <v>11</v>
      </c>
      <c r="BE25" t="s">
        <v>114</v>
      </c>
      <c r="BF25" t="str">
        <f t="shared" si="20"/>
        <v>-</v>
      </c>
      <c r="BG25" t="s">
        <v>114</v>
      </c>
      <c r="BH25" t="str">
        <f t="shared" si="21"/>
        <v>-</v>
      </c>
      <c r="BI25" t="s">
        <v>104</v>
      </c>
    </row>
    <row r="26" spans="1:61" x14ac:dyDescent="0.4">
      <c r="A26" s="3">
        <v>157</v>
      </c>
      <c r="B26" s="3">
        <v>117</v>
      </c>
      <c r="C26" s="32">
        <v>658658</v>
      </c>
      <c r="D26" s="4" t="str">
        <f t="shared" si="22"/>
        <v>658658</v>
      </c>
      <c r="E26" s="4">
        <v>658769</v>
      </c>
      <c r="F26" s="4" t="s">
        <v>87</v>
      </c>
      <c r="G26" s="5">
        <v>4943467352762</v>
      </c>
      <c r="H26" s="5">
        <v>8</v>
      </c>
      <c r="I26" s="5" t="s">
        <v>88</v>
      </c>
      <c r="J26" s="5"/>
      <c r="K26" s="5"/>
      <c r="L26" s="4">
        <v>0</v>
      </c>
      <c r="M26" s="4">
        <v>10868</v>
      </c>
      <c r="N26" s="4">
        <v>7700</v>
      </c>
      <c r="O26" s="6">
        <f t="shared" si="23"/>
        <v>0.291497975708502</v>
      </c>
      <c r="P26" s="4">
        <v>76</v>
      </c>
      <c r="Q26" s="4">
        <f t="shared" si="24"/>
        <v>7600</v>
      </c>
      <c r="R26" s="4">
        <f t="shared" si="25"/>
        <v>100</v>
      </c>
      <c r="S26" s="4" t="s">
        <v>90</v>
      </c>
      <c r="T26" s="4" t="s">
        <v>90</v>
      </c>
      <c r="U26" s="4" t="s">
        <v>90</v>
      </c>
      <c r="V26" s="4">
        <v>0</v>
      </c>
      <c r="W26" s="4">
        <f t="shared" si="26"/>
        <v>0</v>
      </c>
      <c r="X26" s="4">
        <v>86</v>
      </c>
      <c r="Y26" s="4">
        <f t="shared" si="27"/>
        <v>8600</v>
      </c>
      <c r="Z26" s="4">
        <v>100</v>
      </c>
      <c r="AA26" s="20">
        <f t="shared" si="28"/>
        <v>12138</v>
      </c>
      <c r="AB26" s="6">
        <f t="shared" si="29"/>
        <v>0.29148129840171366</v>
      </c>
      <c r="AC26" s="4">
        <v>10.25</v>
      </c>
      <c r="AD26" s="4">
        <f t="shared" si="30"/>
        <v>18666</v>
      </c>
      <c r="AE26" s="46">
        <f t="shared" si="31"/>
        <v>20847.740259740258</v>
      </c>
      <c r="AF26" s="6">
        <f t="shared" si="32"/>
        <v>0.58748526733097606</v>
      </c>
      <c r="AG26" s="7">
        <v>17800</v>
      </c>
      <c r="AH26" s="6">
        <f t="shared" si="33"/>
        <v>0.51685393258426959</v>
      </c>
      <c r="AI26" s="4">
        <f t="shared" si="34"/>
        <v>9200</v>
      </c>
      <c r="AJ26" s="27"/>
      <c r="AK26" s="6"/>
      <c r="AL26" s="6"/>
      <c r="AM26" s="6" t="e">
        <f t="shared" si="35"/>
        <v>#DIV/0!</v>
      </c>
      <c r="AN26" s="6">
        <f t="shared" si="36"/>
        <v>1.6378358483621642</v>
      </c>
      <c r="AO26" s="6">
        <f t="shared" si="37"/>
        <v>1.1168831168831168</v>
      </c>
      <c r="AP26" s="4" t="str">
        <f t="shared" si="38"/>
        <v>-</v>
      </c>
      <c r="AQ26" s="4" t="str">
        <f t="shared" si="39"/>
        <v>-</v>
      </c>
      <c r="AR26" s="4" t="str">
        <f t="shared" si="40"/>
        <v>-</v>
      </c>
      <c r="AS26" s="4" t="s">
        <v>89</v>
      </c>
      <c r="AT26" s="4" t="s">
        <v>121</v>
      </c>
      <c r="AU26" s="4"/>
      <c r="AV26" s="4"/>
      <c r="AW26" s="4" t="s">
        <v>122</v>
      </c>
      <c r="AX26" s="4" t="s">
        <v>90</v>
      </c>
      <c r="AY26" s="4">
        <v>18666</v>
      </c>
      <c r="AZ26" s="4">
        <v>18666</v>
      </c>
      <c r="BA26" s="4">
        <f t="shared" si="41"/>
        <v>18666</v>
      </c>
      <c r="BB26" s="18">
        <v>4</v>
      </c>
      <c r="BC26" s="18">
        <v>1</v>
      </c>
      <c r="BD26" s="16">
        <v>11</v>
      </c>
      <c r="BE26" t="s">
        <v>114</v>
      </c>
      <c r="BF26" t="str">
        <f t="shared" si="20"/>
        <v>-</v>
      </c>
      <c r="BG26" t="s">
        <v>114</v>
      </c>
      <c r="BH26" t="str">
        <f t="shared" si="21"/>
        <v>-</v>
      </c>
      <c r="BI26" t="s">
        <v>123</v>
      </c>
    </row>
  </sheetData>
  <mergeCells count="3">
    <mergeCell ref="L2:O2"/>
    <mergeCell ref="J2:K2"/>
    <mergeCell ref="V1:Y1"/>
  </mergeCells>
  <phoneticPr fontId="2"/>
  <conditionalFormatting sqref="AE4:AE26">
    <cfRule type="cellIs" dxfId="2" priority="2" operator="lessThan">
      <formula>$AG4</formula>
    </cfRule>
  </conditionalFormatting>
  <conditionalFormatting sqref="AG4:AG26">
    <cfRule type="cellIs" dxfId="1" priority="4" operator="greaterThan">
      <formula>$W4</formula>
    </cfRule>
  </conditionalFormatting>
  <conditionalFormatting sqref="AH4:AH26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須永 英里子</cp:lastModifiedBy>
  <dcterms:created xsi:type="dcterms:W3CDTF">2022-07-07T00:08:53Z</dcterms:created>
  <dcterms:modified xsi:type="dcterms:W3CDTF">2026-07-15T09:41:56Z</dcterms:modified>
</cp:coreProperties>
</file>