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ﾔ_ヤマダ_695\価格改定\20260612_7月末\"/>
    </mc:Choice>
  </mc:AlternateContent>
  <xr:revisionPtr revIDLastSave="0" documentId="13_ncr:1_{23D76CE2-4B53-4FAC-A8C9-770979142D0A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  <c r="BJ32" i="1"/>
  <c r="AH32" i="1" s="1"/>
  <c r="AR32" i="1"/>
  <c r="AC32" i="1"/>
  <c r="AS32" i="1" s="1"/>
  <c r="AA32" i="1"/>
  <c r="AQ32" i="1" s="1"/>
  <c r="P32" i="1"/>
  <c r="D32" i="1"/>
  <c r="BJ31" i="1"/>
  <c r="AH31" i="1" s="1"/>
  <c r="AR31" i="1"/>
  <c r="AC31" i="1"/>
  <c r="AS31" i="1" s="1"/>
  <c r="AA31" i="1"/>
  <c r="AQ31" i="1" s="1"/>
  <c r="P31" i="1"/>
  <c r="D31" i="1"/>
  <c r="BJ30" i="1"/>
  <c r="AH30" i="1" s="1"/>
  <c r="AR30" i="1"/>
  <c r="AC30" i="1"/>
  <c r="AS30" i="1" s="1"/>
  <c r="AA30" i="1"/>
  <c r="AQ30" i="1" s="1"/>
  <c r="P30" i="1"/>
  <c r="D30" i="1"/>
  <c r="BJ29" i="1"/>
  <c r="AH29" i="1" s="1"/>
  <c r="AR29" i="1"/>
  <c r="AC29" i="1"/>
  <c r="AS29" i="1" s="1"/>
  <c r="AA29" i="1"/>
  <c r="AQ29" i="1" s="1"/>
  <c r="P29" i="1"/>
  <c r="D29" i="1"/>
  <c r="BJ28" i="1"/>
  <c r="AH28" i="1" s="1"/>
  <c r="AR28" i="1"/>
  <c r="AC28" i="1"/>
  <c r="AS28" i="1" s="1"/>
  <c r="AA28" i="1"/>
  <c r="AQ28" i="1" s="1"/>
  <c r="P28" i="1"/>
  <c r="D28" i="1"/>
  <c r="BJ27" i="1"/>
  <c r="AH27" i="1" s="1"/>
  <c r="AR27" i="1"/>
  <c r="AC27" i="1"/>
  <c r="AS27" i="1" s="1"/>
  <c r="AA27" i="1"/>
  <c r="AQ27" i="1" s="1"/>
  <c r="P27" i="1"/>
  <c r="D27" i="1"/>
  <c r="BJ26" i="1"/>
  <c r="AH26" i="1" s="1"/>
  <c r="AR26" i="1"/>
  <c r="AC26" i="1"/>
  <c r="AS26" i="1" s="1"/>
  <c r="AA26" i="1"/>
  <c r="AQ26" i="1" s="1"/>
  <c r="P26" i="1"/>
  <c r="D26" i="1"/>
  <c r="BJ25" i="1"/>
  <c r="AH25" i="1" s="1"/>
  <c r="AR25" i="1"/>
  <c r="AC25" i="1"/>
  <c r="AS25" i="1" s="1"/>
  <c r="AA25" i="1"/>
  <c r="AQ25" i="1" s="1"/>
  <c r="P25" i="1"/>
  <c r="D25" i="1"/>
  <c r="BJ24" i="1"/>
  <c r="AH24" i="1" s="1"/>
  <c r="AR24" i="1"/>
  <c r="AC24" i="1"/>
  <c r="AS24" i="1" s="1"/>
  <c r="AA24" i="1"/>
  <c r="AQ24" i="1" s="1"/>
  <c r="P24" i="1"/>
  <c r="D24" i="1"/>
  <c r="BJ23" i="1"/>
  <c r="AH23" i="1" s="1"/>
  <c r="AR23" i="1"/>
  <c r="AC23" i="1"/>
  <c r="AS23" i="1" s="1"/>
  <c r="AA23" i="1"/>
  <c r="AQ23" i="1" s="1"/>
  <c r="P23" i="1"/>
  <c r="D2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4" i="1"/>
  <c r="AT4" i="1"/>
  <c r="BJ22" i="1"/>
  <c r="AH22" i="1" s="1"/>
  <c r="AC22" i="1"/>
  <c r="AS22" i="1" s="1"/>
  <c r="AA22" i="1"/>
  <c r="AQ22" i="1" s="1"/>
  <c r="D22" i="1"/>
  <c r="BJ21" i="1"/>
  <c r="AH21" i="1" s="1"/>
  <c r="AC21" i="1"/>
  <c r="AM21" i="1" s="1"/>
  <c r="AA21" i="1"/>
  <c r="AQ21" i="1" s="1"/>
  <c r="D21" i="1"/>
  <c r="BJ20" i="1"/>
  <c r="AH20" i="1" s="1"/>
  <c r="AC20" i="1"/>
  <c r="AS20" i="1" s="1"/>
  <c r="AA20" i="1"/>
  <c r="AQ20" i="1" s="1"/>
  <c r="D20" i="1"/>
  <c r="BJ19" i="1"/>
  <c r="AH19" i="1" s="1"/>
  <c r="AC19" i="1"/>
  <c r="AM19" i="1" s="1"/>
  <c r="AA19" i="1"/>
  <c r="AQ19" i="1" s="1"/>
  <c r="D19" i="1"/>
  <c r="BJ18" i="1"/>
  <c r="AH18" i="1" s="1"/>
  <c r="AC18" i="1"/>
  <c r="AL18" i="1" s="1"/>
  <c r="AA18" i="1"/>
  <c r="AQ18" i="1" s="1"/>
  <c r="D18" i="1"/>
  <c r="BJ17" i="1"/>
  <c r="AH17" i="1" s="1"/>
  <c r="AC17" i="1"/>
  <c r="AL17" i="1" s="1"/>
  <c r="AA17" i="1"/>
  <c r="AQ17" i="1" s="1"/>
  <c r="D17" i="1"/>
  <c r="BJ16" i="1"/>
  <c r="AH16" i="1" s="1"/>
  <c r="AC16" i="1"/>
  <c r="AM16" i="1" s="1"/>
  <c r="AA16" i="1"/>
  <c r="AQ16" i="1" s="1"/>
  <c r="D16" i="1"/>
  <c r="BJ15" i="1"/>
  <c r="AH15" i="1" s="1"/>
  <c r="AC15" i="1"/>
  <c r="AM15" i="1" s="1"/>
  <c r="AA15" i="1"/>
  <c r="AQ15" i="1" s="1"/>
  <c r="D15" i="1"/>
  <c r="BJ14" i="1"/>
  <c r="AH14" i="1" s="1"/>
  <c r="AC14" i="1"/>
  <c r="AS14" i="1" s="1"/>
  <c r="AA14" i="1"/>
  <c r="AQ14" i="1" s="1"/>
  <c r="D14" i="1"/>
  <c r="AV4" i="1"/>
  <c r="AU4" i="1"/>
  <c r="AS19" i="1" l="1"/>
  <c r="BP19" i="1" s="1"/>
  <c r="AS21" i="1"/>
  <c r="AS15" i="1"/>
  <c r="BS15" i="1" s="1"/>
  <c r="BP14" i="1"/>
  <c r="BS14" i="1"/>
  <c r="BS20" i="1"/>
  <c r="BP20" i="1"/>
  <c r="BP22" i="1"/>
  <c r="BS22" i="1"/>
  <c r="BS19" i="1"/>
  <c r="AE25" i="1"/>
  <c r="AF25" i="1" s="1"/>
  <c r="BP25" i="1"/>
  <c r="BS25" i="1"/>
  <c r="AE29" i="1"/>
  <c r="BS29" i="1"/>
  <c r="BP29" i="1"/>
  <c r="AE30" i="1"/>
  <c r="AF30" i="1" s="1"/>
  <c r="BP30" i="1"/>
  <c r="BS30" i="1"/>
  <c r="BP15" i="1"/>
  <c r="AE24" i="1"/>
  <c r="AF24" i="1" s="1"/>
  <c r="BP24" i="1"/>
  <c r="BS24" i="1"/>
  <c r="AE28" i="1"/>
  <c r="AF28" i="1" s="1"/>
  <c r="BS28" i="1"/>
  <c r="BP28" i="1"/>
  <c r="AE32" i="1"/>
  <c r="BP32" i="1"/>
  <c r="BS32" i="1"/>
  <c r="AE26" i="1"/>
  <c r="AF26" i="1" s="1"/>
  <c r="BS26" i="1"/>
  <c r="BP26" i="1"/>
  <c r="BS21" i="1"/>
  <c r="BP21" i="1"/>
  <c r="AE23" i="1"/>
  <c r="AF23" i="1" s="1"/>
  <c r="BP23" i="1"/>
  <c r="BS23" i="1"/>
  <c r="AE27" i="1"/>
  <c r="AF27" i="1" s="1"/>
  <c r="BS27" i="1"/>
  <c r="BP27" i="1"/>
  <c r="AE31" i="1"/>
  <c r="AF31" i="1" s="1"/>
  <c r="BS31" i="1"/>
  <c r="BP31" i="1"/>
  <c r="AI20" i="1"/>
  <c r="AJ20" i="1" s="1"/>
  <c r="AI19" i="1"/>
  <c r="AJ19" i="1" s="1"/>
  <c r="AI22" i="1"/>
  <c r="AJ22" i="1" s="1"/>
  <c r="AI14" i="1"/>
  <c r="AJ14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S17" i="1"/>
  <c r="AL23" i="1"/>
  <c r="AL24" i="1"/>
  <c r="AL25" i="1"/>
  <c r="AL26" i="1"/>
  <c r="AL27" i="1"/>
  <c r="AL28" i="1"/>
  <c r="AL29" i="1"/>
  <c r="AL30" i="1"/>
  <c r="AL31" i="1"/>
  <c r="AL32" i="1"/>
  <c r="AM23" i="1"/>
  <c r="AM24" i="1"/>
  <c r="AM25" i="1"/>
  <c r="AM26" i="1"/>
  <c r="AM27" i="1"/>
  <c r="AM28" i="1"/>
  <c r="AM29" i="1"/>
  <c r="AM30" i="1"/>
  <c r="AM31" i="1"/>
  <c r="AM32" i="1"/>
  <c r="AS16" i="1"/>
  <c r="AI21" i="1"/>
  <c r="AJ21" i="1" s="1"/>
  <c r="AF29" i="1"/>
  <c r="AF32" i="1"/>
  <c r="AE14" i="1"/>
  <c r="AF14" i="1" s="1"/>
  <c r="AE22" i="1"/>
  <c r="AF22" i="1" s="1"/>
  <c r="AS18" i="1"/>
  <c r="AI15" i="1"/>
  <c r="AJ15" i="1" s="1"/>
  <c r="AE19" i="1"/>
  <c r="AF19" i="1" s="1"/>
  <c r="AE21" i="1"/>
  <c r="AF21" i="1" s="1"/>
  <c r="AL21" i="1"/>
  <c r="AL14" i="1"/>
  <c r="AL15" i="1"/>
  <c r="AM14" i="1"/>
  <c r="AL22" i="1"/>
  <c r="AM22" i="1"/>
  <c r="AM18" i="1"/>
  <c r="AL16" i="1"/>
  <c r="AM17" i="1"/>
  <c r="AE20" i="1"/>
  <c r="AF20" i="1" s="1"/>
  <c r="AL20" i="1"/>
  <c r="AE15" i="1"/>
  <c r="AF15" i="1" s="1"/>
  <c r="AL19" i="1"/>
  <c r="AM20" i="1"/>
  <c r="AE18" i="1" l="1"/>
  <c r="AF18" i="1" s="1"/>
  <c r="BS18" i="1"/>
  <c r="BP18" i="1"/>
  <c r="AI16" i="1"/>
  <c r="AJ16" i="1" s="1"/>
  <c r="BP16" i="1"/>
  <c r="BS16" i="1"/>
  <c r="AE17" i="1"/>
  <c r="AF17" i="1" s="1"/>
  <c r="BP17" i="1"/>
  <c r="BS17" i="1"/>
  <c r="AI18" i="1"/>
  <c r="AJ18" i="1" s="1"/>
  <c r="AE16" i="1"/>
  <c r="AF16" i="1" s="1"/>
  <c r="AI17" i="1"/>
  <c r="AJ17" i="1" s="1"/>
  <c r="BJ5" i="1"/>
  <c r="AH5" i="1" s="1"/>
  <c r="BJ6" i="1"/>
  <c r="AH6" i="1" s="1"/>
  <c r="BJ7" i="1"/>
  <c r="AH7" i="1" s="1"/>
  <c r="BJ8" i="1"/>
  <c r="AH8" i="1" s="1"/>
  <c r="BJ9" i="1"/>
  <c r="AH9" i="1" s="1"/>
  <c r="BJ10" i="1"/>
  <c r="AH10" i="1" s="1"/>
  <c r="BJ11" i="1"/>
  <c r="AH11" i="1" s="1"/>
  <c r="BJ12" i="1"/>
  <c r="AH12" i="1" s="1"/>
  <c r="BJ13" i="1"/>
  <c r="AH13" i="1" s="1"/>
  <c r="BJ4" i="1"/>
  <c r="AH4" i="1" s="1"/>
  <c r="AC5" i="1"/>
  <c r="AC6" i="1"/>
  <c r="AC7" i="1"/>
  <c r="AC8" i="1"/>
  <c r="AC9" i="1"/>
  <c r="AC10" i="1"/>
  <c r="AC11" i="1"/>
  <c r="AC12" i="1"/>
  <c r="AC13" i="1"/>
  <c r="AA5" i="1"/>
  <c r="AQ5" i="1" s="1"/>
  <c r="AA6" i="1"/>
  <c r="AQ6" i="1" s="1"/>
  <c r="AA7" i="1"/>
  <c r="AQ7" i="1" s="1"/>
  <c r="AA8" i="1"/>
  <c r="AQ8" i="1" s="1"/>
  <c r="AA9" i="1"/>
  <c r="AQ9" i="1" s="1"/>
  <c r="AA10" i="1"/>
  <c r="AQ10" i="1" s="1"/>
  <c r="AA11" i="1"/>
  <c r="AQ11" i="1" s="1"/>
  <c r="AA12" i="1"/>
  <c r="AQ12" i="1" s="1"/>
  <c r="AA13" i="1"/>
  <c r="AQ13" i="1" s="1"/>
  <c r="D5" i="1"/>
  <c r="D6" i="1"/>
  <c r="D7" i="1"/>
  <c r="D8" i="1"/>
  <c r="D9" i="1"/>
  <c r="D10" i="1"/>
  <c r="D11" i="1"/>
  <c r="D12" i="1"/>
  <c r="D13" i="1"/>
  <c r="D4" i="1"/>
  <c r="AC4" i="1"/>
  <c r="AA4" i="1"/>
  <c r="AQ4" i="1" s="1"/>
  <c r="AS7" i="1" l="1"/>
  <c r="AE7" i="1" s="1"/>
  <c r="AF7" i="1" s="1"/>
  <c r="AS12" i="1"/>
  <c r="AE12" i="1" s="1"/>
  <c r="AF12" i="1" s="1"/>
  <c r="AS8" i="1"/>
  <c r="AS11" i="1"/>
  <c r="AS6" i="1"/>
  <c r="AS13" i="1"/>
  <c r="AS5" i="1"/>
  <c r="AS10" i="1"/>
  <c r="AI7" i="1"/>
  <c r="AJ7" i="1" s="1"/>
  <c r="AS4" i="1"/>
  <c r="AE4" i="1" s="1"/>
  <c r="AF4" i="1" s="1"/>
  <c r="AS9" i="1"/>
  <c r="AL13" i="1"/>
  <c r="AL5" i="1"/>
  <c r="AL12" i="1"/>
  <c r="AM10" i="1"/>
  <c r="AL4" i="1"/>
  <c r="AL9" i="1"/>
  <c r="AM8" i="1"/>
  <c r="AM11" i="1"/>
  <c r="AM7" i="1"/>
  <c r="AM6" i="1"/>
  <c r="AL11" i="1"/>
  <c r="AL10" i="1"/>
  <c r="AL8" i="1"/>
  <c r="AM9" i="1"/>
  <c r="AL7" i="1"/>
  <c r="AM13" i="1"/>
  <c r="AM5" i="1"/>
  <c r="AL6" i="1"/>
  <c r="AM12" i="1"/>
  <c r="AO4" i="1"/>
  <c r="AP4" i="1"/>
  <c r="AM4" i="1"/>
  <c r="AI8" i="1" l="1"/>
  <c r="AJ8" i="1" s="1"/>
  <c r="BP8" i="1"/>
  <c r="BS8" i="1"/>
  <c r="AI13" i="1"/>
  <c r="AJ13" i="1" s="1"/>
  <c r="BS13" i="1"/>
  <c r="BP13" i="1"/>
  <c r="AI11" i="1"/>
  <c r="AJ11" i="1" s="1"/>
  <c r="BS11" i="1"/>
  <c r="BP11" i="1"/>
  <c r="AI12" i="1"/>
  <c r="AJ12" i="1" s="1"/>
  <c r="BS12" i="1"/>
  <c r="BP12" i="1"/>
  <c r="AI10" i="1"/>
  <c r="AJ10" i="1" s="1"/>
  <c r="BS10" i="1"/>
  <c r="BP10" i="1"/>
  <c r="BS5" i="1"/>
  <c r="BP5" i="1"/>
  <c r="AI6" i="1"/>
  <c r="AJ6" i="1" s="1"/>
  <c r="BP6" i="1"/>
  <c r="BS6" i="1"/>
  <c r="AI9" i="1"/>
  <c r="AJ9" i="1" s="1"/>
  <c r="BP9" i="1"/>
  <c r="BS9" i="1"/>
  <c r="AE11" i="1"/>
  <c r="AF11" i="1" s="1"/>
  <c r="BS7" i="1"/>
  <c r="BP7" i="1"/>
  <c r="AE10" i="1"/>
  <c r="AF10" i="1" s="1"/>
  <c r="AE13" i="1"/>
  <c r="AF13" i="1" s="1"/>
  <c r="AE9" i="1"/>
  <c r="AF9" i="1" s="1"/>
  <c r="AE8" i="1"/>
  <c r="AF8" i="1" s="1"/>
  <c r="AI5" i="1"/>
  <c r="AJ5" i="1" s="1"/>
  <c r="AE5" i="1"/>
  <c r="AF5" i="1" s="1"/>
  <c r="AI4" i="1"/>
  <c r="AJ4" i="1" s="1"/>
  <c r="BP4" i="1"/>
  <c r="BS4" i="1"/>
  <c r="AE6" i="1"/>
  <c r="AF6" i="1" s="1"/>
</calcChain>
</file>

<file path=xl/sharedStrings.xml><?xml version="1.0" encoding="utf-8"?>
<sst xmlns="http://schemas.openxmlformats.org/spreadsheetml/2006/main" count="357" uniqueCount="147">
  <si>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</si>
  <si>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</si>
  <si>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</si>
  <si>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</si>
  <si>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</si>
  <si>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</si>
  <si>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</si>
  <si>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</si>
  <si>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</si>
  <si>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</si>
  <si>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</si>
  <si>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</si>
  <si>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</si>
  <si>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</si>
  <si>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</si>
  <si>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</si>
  <si>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</si>
  <si>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</si>
  <si>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</si>
  <si>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</si>
  <si>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</si>
  <si>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</si>
  <si>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</si>
  <si>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</si>
  <si>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</si>
  <si>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</si>
  <si>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</si>
  <si>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</si>
  <si>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</si>
  <si>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</si>
  <si>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</si>
  <si>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</si>
  <si>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</si>
  <si>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</si>
  <si>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</si>
  <si>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</si>
  <si>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</si>
  <si>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</si>
  <si>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</si>
  <si>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</si>
  <si>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</si>
  <si>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</si>
  <si>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</si>
  <si>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</si>
  <si>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</si>
  <si>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</si>
  <si>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</si>
  <si>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</si>
  <si>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</si>
  <si>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</si>
  <si>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</si>
  <si>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</si>
  <si>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</si>
  <si>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</si>
  <si>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</si>
  <si>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</si>
  <si>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</si>
  <si>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</si>
  <si>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</si>
  <si>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</si>
  <si>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</si>
  <si>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</si>
  <si>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</si>
  <si>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</si>
  <si>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</si>
  <si>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</si>
  <si>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J0124Y</t>
  </si>
  <si>
    <t>J0125Y</t>
  </si>
  <si>
    <t>J0126Y</t>
  </si>
  <si>
    <t>天野製作所/印鑑ｹｰｽ ｻﾆｰﾄｶｹﾞ ﾎﾜｲﾄ 直径12mm</t>
  </si>
  <si>
    <t>天野製作所/印鑑ｹｰｽ ｻﾆｰﾄｶｹﾞ ﾎﾜｲﾄ 直径15mm</t>
  </si>
  <si>
    <t>天野製作所/印鑑ｹｰｽ ｻﾆｰﾄｶｹﾞ ﾋﾟﾝｸ 直径12mm</t>
  </si>
  <si>
    <t>天野製作所/印鑑ｹｰｽ ｻﾆｰﾄｶｹﾞ ﾋﾟﾝｸ 直径15mm</t>
  </si>
  <si>
    <t>天野製作所/印鑑ｹｰｽ PLﾓﾐ ｲｴﾛｰ 直径12mm</t>
  </si>
  <si>
    <t>天野製作所/印鑑ｹｰｽ PLﾓﾐ ｲｴﾛｰ 直径15mm</t>
  </si>
  <si>
    <t>天野製作所/印鑑ｹｰｽ PLﾓﾐ ｲｴﾛｰ 直径18mm</t>
  </si>
  <si>
    <t>天野製作所/印鑑ｹｰｽ PLﾓﾐ ｵﾚﾝｼﾞ 直径12mm</t>
  </si>
  <si>
    <t>天野製作所/印鑑ｹｰｽ PLﾓﾐ ｵﾚﾝｼﾞ 直径15mm</t>
  </si>
  <si>
    <t>天野製作所/印鑑ｹｰｽ PLﾓﾐ ｵﾚﾝｼﾞ 直径18mm</t>
  </si>
  <si>
    <t>天野製作所/印鑑ｹｰｽ PLﾓﾐ ﾋﾟﾝｸ 直径12mm</t>
  </si>
  <si>
    <t>天野製作所/印鑑ｹｰｽ PLﾓﾐ ﾋﾟﾝｸ 直径15mm</t>
  </si>
  <si>
    <t>天野製作所/印鑑ｹｰｽ PLﾓﾐ ﾋﾟﾝｸ 直径18mm</t>
  </si>
  <si>
    <t>天野製作所/印鑑ｹｰｽ PLﾓﾐ ﾌﾞﾙｰ 直径12mm</t>
  </si>
  <si>
    <t>天野製作所/印鑑ｹｰｽ PLﾓﾐ ﾌﾞﾙｰ 直径15mm</t>
  </si>
  <si>
    <t>天野製作所/印鑑ｹｰｽ PLﾓﾐ ﾌﾞﾙｰ 直径18mm</t>
  </si>
  <si>
    <t>ｻﾝﾋﾞｰ(ﾂｷﾈｺ)/ｽﾀﾝﾌﾟ台 ｽﾃｲｽﾞｵﾝ ｼﾞｪｯﾄﾌﾞﾗｯｸ/SZ-31</t>
  </si>
  <si>
    <t>ｻﾝﾋﾞｰ(ﾂｷﾈｺ)/ｽﾀﾝﾌﾟ台 ｽﾃｲｽﾞｵﾝ ｵﾘｰﾌﾞｸﾞﾘｰﾝ/SZ-51</t>
  </si>
  <si>
    <t>ｻﾝﾋﾞｰ(ﾂｷﾈｺ)/ｽﾀﾝﾌﾟ台 ｽﾃｲｽﾞｵﾝ ﾌﾞﾚｲｼﾞﾝｸﾞﾚｯﾄﾞ/SZ-21</t>
  </si>
  <si>
    <t>ﾂｷﾈｺ/ｽﾃｲｽﾞｵﾝｲﾝｶｰ ｼﾞｪｯﾄﾌﾞﾗｯｸ/SZR-31</t>
  </si>
  <si>
    <t>ｻﾝﾋﾞｰ(ﾂｷﾈｺ)/ｶﾗｰﾊﾟﾚｯﾄ 単色 ｺﾞｰﾙﾄﾞ/CP-91</t>
  </si>
  <si>
    <t>ｻﾝﾋﾞｰ(ﾂｷﾈｺ)/ｶﾗｰﾊﾟﾚｯﾄ 単色 ﾌﾞﾗｯｸ/CP-82</t>
  </si>
  <si>
    <t>ｻﾝﾋﾞｰ(ﾂｷﾈｺ)/ｶﾗｰﾊﾟﾚｯﾄ 単色 ｼﾙﾊﾞｰ/CP-92</t>
  </si>
  <si>
    <t>ｻﾝﾋﾞｰ(ﾂｷﾈｺ)/ｽﾃｲｽﾞｵﾝ･ﾐﾃﾞｨ ﾁｪﾘｰﾋﾟﾝｸ/SZM-81</t>
  </si>
  <si>
    <t>ｻﾝﾋﾞｰ(ﾂｷﾈｺ)/ｽﾀﾝﾌﾟ台 ｽﾃｲｽﾞｵﾝ ﾃｨﾝﾊﾞｰﾌﾞﾗｳﾝ/SZ-41</t>
  </si>
  <si>
    <t>ｻﾝﾋﾞｰ(ﾂｷﾈｺ)/ｽﾃｲｽﾞｵﾝ専用ｽﾀﾝﾌﾟｸﾘｰﾅｰ 56ml/SZCL-56</t>
  </si>
  <si>
    <t>ﾂｷﾈｺ/ｱｰﾄﾆｯｸS ｽｶｰﾚｯﾄ/AS-14</t>
  </si>
  <si>
    <t>ﾂｷﾈｺ/ｱｰﾄﾆｯｸS ﾛｲﾔﾙﾌﾞﾙｰ/AS-18</t>
  </si>
  <si>
    <t>ﾂｷﾈｺ/ｱｰﾄﾆｯｸS ｶﾅﾘｰ/AS-11</t>
  </si>
  <si>
    <t>-</t>
  </si>
  <si>
    <t>-</t>
    <phoneticPr fontId="2"/>
  </si>
  <si>
    <t>サンビー サニートカゲ 12×60mm ホワイト CA-G1223 1個（直送品）</t>
  </si>
  <si>
    <t>サンビー サニートカゲ 15×60mm ホワイト CA-G1523 1個（直送品）</t>
  </si>
  <si>
    <t>サンビー サニートカゲ 12×60mm ピンク CA-G1222 1個（直送品）</t>
  </si>
  <si>
    <t>サンビー サニートカゲ 15×60mm ピンク CA-G1522 1個（直送品）</t>
  </si>
  <si>
    <t>サンビー PLモミカラー 12×60mm イエロー CA-P1203 1個（直送品）</t>
  </si>
  <si>
    <t>サンビー PLモミカラー 15×60mm イエロー CA-P1503 1個（直送品）</t>
  </si>
  <si>
    <t>サンビー PLモミカラー 12×60mm オレンジ CA-P1204 1個（直送品）</t>
  </si>
  <si>
    <t>サンビー PLモミカラー 15×60mm オレンジ CA-P1504 1個（直送品）</t>
  </si>
  <si>
    <t>サンビー PLモミカラー 15×60mm ピンク CA-P1505 1個（直送品）</t>
  </si>
  <si>
    <t>サンビー PLモミカラー 12×60mm ブルー CA-P1206 1個（直送品）</t>
  </si>
  <si>
    <t>サンビー PLモミカラー 15×60mm ブルー CA-P1506 1個（直送品）</t>
  </si>
  <si>
    <t>(株) ツキネコ ステイズオン インクパッド ジェットブラック SZ-31　5個（直送品）</t>
  </si>
  <si>
    <t>(株) ツキネコ ステイズオン インクパッド オリーブグリーン SZ-51　5個（直送品）</t>
  </si>
  <si>
    <t>(株) ツキネコ ステイズオン インクパッド ブレイジングレッド SZ-21　5個（直送品）</t>
  </si>
  <si>
    <t>(株) ツキネコ ステイズオン インクパッド ティンバーブラウン SZ-41　5個（直送品）</t>
  </si>
  <si>
    <t>ツキネコ ステイズオンクリーナーSZCL-56 4110240SZクリーナー056 1セット(1本×2)（直送品）</t>
  </si>
  <si>
    <t>サンビー アートニックスタンプ スカーレット 23980 1セット(5個)（直送品）</t>
  </si>
  <si>
    <t>WKP0516</t>
  </si>
  <si>
    <t>1個</t>
  </si>
  <si>
    <t>WKP0521</t>
  </si>
  <si>
    <t>WKP0515</t>
  </si>
  <si>
    <t>WKP0522</t>
  </si>
  <si>
    <t>WKP0555</t>
  </si>
  <si>
    <t>WKP0565</t>
  </si>
  <si>
    <t>WKP0556</t>
  </si>
  <si>
    <t>WKP0566</t>
  </si>
  <si>
    <t>WKP0567</t>
  </si>
  <si>
    <t>WKP0558</t>
  </si>
  <si>
    <t>WKP0568</t>
  </si>
  <si>
    <t>EH83611</t>
  </si>
  <si>
    <t>1セット(5個)</t>
  </si>
  <si>
    <t>EH83618</t>
  </si>
  <si>
    <t>EH83606</t>
  </si>
  <si>
    <t>EH83616</t>
  </si>
  <si>
    <t>UH42774</t>
  </si>
  <si>
    <t>1セット(1本×2)</t>
  </si>
  <si>
    <t>XH60415</t>
  </si>
  <si>
    <t>1セット（5個）</t>
  </si>
  <si>
    <t>6月
たの</t>
    <rPh sb="1" eb="2">
      <t>ガツ</t>
    </rPh>
    <phoneticPr fontId="2"/>
  </si>
  <si>
    <t>6月
カウ</t>
    <rPh sb="1" eb="2">
      <t>ガツ</t>
    </rPh>
    <phoneticPr fontId="2"/>
  </si>
  <si>
    <t>M価違う</t>
    <rPh sb="1" eb="2">
      <t>カ</t>
    </rPh>
    <rPh sb="2" eb="3">
      <t>チガ</t>
    </rPh>
    <phoneticPr fontId="2"/>
  </si>
  <si>
    <t>VDなし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</si>
  <si>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</si>
  <si>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</si>
  <si>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</si>
  <si>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品目+
FW荷姿</t>
    <rPh sb="0" eb="2">
      <t>ヒンモク</t>
    </rPh>
    <rPh sb="6" eb="8">
      <t>ニスガタ</t>
    </rPh>
    <phoneticPr fontId="2"/>
  </si>
  <si>
    <t>箱バラなし</t>
    <rPh sb="0" eb="1">
      <t>ハコ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</si>
</sst>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4" xfId="0" applyFill="1" applyBorder="1">
      <alignment vertical="center"/>
    </xf>
    <xf numFmtId="0" fontId="0" fillId="0" borderId="0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33"/>
  <sheetViews>
    <sheetView tabSelected="1" zoomScale="90" zoomScaleNormal="90" workbookViewId="0">
      <pane xSplit="8" ySplit="5" topLeftCell="I6" activePane="bottomRight" state="frozen"/>
      <selection pane="topRight" activeCell="G1" sqref="G1"/>
      <selection pane="bottomLeft" activeCell="A5" sqref="A5"/>
      <selection pane="bottomRight" activeCell="F2" sqref="F2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5" width="7.625" customWidth="1"/>
    <col min="66" max="67" width="7.625" hidden="1" customWidth="1" outlineLevel="1"/>
    <col min="68" max="68" width="7.625" customWidth="1" collapsed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9" t="s">
        <v>43</v>
      </c>
      <c r="F1" t="s">
        <v>146</v>
      </c>
      <c r="Z1" s="46" t="s">
        <v>40</v>
      </c>
      <c r="AA1" s="47"/>
      <c r="AB1" s="47"/>
      <c r="AC1" s="48"/>
      <c r="AM1" t="s">
        <v>141</v>
      </c>
    </row>
    <row r="2" spans="1:72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3" t="s">
        <v>31</v>
      </c>
      <c r="L2" s="45"/>
      <c r="M2" s="43" t="s">
        <v>1</v>
      </c>
      <c r="N2" s="44"/>
      <c r="O2" s="44"/>
      <c r="P2" s="45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9" t="s">
        <v>145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65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12" t="s">
        <v>57</v>
      </c>
      <c r="BI3" s="2" t="s">
        <v>142</v>
      </c>
      <c r="BJ3" s="2" t="s">
        <v>12</v>
      </c>
      <c r="BK3" s="18" t="s">
        <v>45</v>
      </c>
      <c r="BL3" s="18" t="s">
        <v>46</v>
      </c>
      <c r="BM3" s="15" t="s">
        <v>52</v>
      </c>
      <c r="BN3" s="42" t="s">
        <v>138</v>
      </c>
      <c r="BO3" s="38" t="s">
        <v>143</v>
      </c>
      <c r="BP3" s="39" t="s">
        <v>58</v>
      </c>
      <c r="BQ3" s="39" t="s">
        <v>139</v>
      </c>
      <c r="BR3" s="39" t="s">
        <v>144</v>
      </c>
      <c r="BS3" s="39" t="s">
        <v>59</v>
      </c>
      <c r="BT3" s="34" t="s">
        <v>50</v>
      </c>
    </row>
    <row r="4" spans="1:72" x14ac:dyDescent="0.4">
      <c r="A4" s="3">
        <v>1</v>
      </c>
      <c r="B4" s="3">
        <v>1</v>
      </c>
      <c r="C4" s="4">
        <v>194092</v>
      </c>
      <c r="D4" s="4" t="str">
        <f>TEXT(C4,"000000")</f>
        <v>194092</v>
      </c>
      <c r="E4" s="4">
        <v>194092</v>
      </c>
      <c r="F4" s="4" t="str">
        <f>D4&amp;I4</f>
        <v>1940925</v>
      </c>
      <c r="G4" s="4" t="s">
        <v>69</v>
      </c>
      <c r="H4" s="5">
        <v>2001234824989</v>
      </c>
      <c r="I4" s="5">
        <v>5</v>
      </c>
      <c r="J4" s="5"/>
      <c r="K4" s="5">
        <v>1</v>
      </c>
      <c r="L4" s="5">
        <v>1</v>
      </c>
      <c r="M4" s="4">
        <v>2550</v>
      </c>
      <c r="N4" s="4">
        <v>1865</v>
      </c>
      <c r="O4" s="4">
        <v>1275</v>
      </c>
      <c r="P4" s="6">
        <f>IFERROR(1-O4/N4,"-")</f>
        <v>0.3163538873994638</v>
      </c>
      <c r="Q4" s="4" t="s">
        <v>99</v>
      </c>
      <c r="R4" s="4"/>
      <c r="S4" s="4"/>
      <c r="T4" s="4"/>
      <c r="U4" s="4"/>
      <c r="V4" s="4"/>
      <c r="W4" s="4"/>
      <c r="X4" s="4"/>
      <c r="Y4" s="4"/>
      <c r="Z4" s="4">
        <v>2700</v>
      </c>
      <c r="AA4" s="4">
        <f>IF(AD4="",Z4,Z4*AD4)</f>
        <v>2700</v>
      </c>
      <c r="AB4" s="4">
        <v>1350</v>
      </c>
      <c r="AC4" s="4">
        <f>IF(AD4="",AB4,AB4*AD4)</f>
        <v>1350</v>
      </c>
      <c r="AD4" s="4"/>
      <c r="AE4" s="21">
        <f t="shared" ref="AE4:AE22" si="0">ROUND(N4*AS4,0)</f>
        <v>1975</v>
      </c>
      <c r="AF4" s="6">
        <f>IFERROR(1-AC4/AE4,"-")</f>
        <v>0.31645569620253167</v>
      </c>
      <c r="AG4" s="33">
        <v>0</v>
      </c>
      <c r="AH4" s="4">
        <f>BJ4</f>
        <v>2700</v>
      </c>
      <c r="AI4" s="33">
        <f>IFERROR(AH4*AS4,"-")</f>
        <v>2858.8235294117649</v>
      </c>
      <c r="AJ4" s="6">
        <f>IFERROR(1-AC4/AI4,"-")</f>
        <v>0.52777777777777779</v>
      </c>
      <c r="AK4" s="7">
        <v>2100</v>
      </c>
      <c r="AL4" s="6">
        <f t="shared" ref="AL4:AL22" si="1">1-AC4/AK4</f>
        <v>0.3571428571428571</v>
      </c>
      <c r="AM4" s="4">
        <f t="shared" ref="AM4:AM22" si="2">AK4-AC4</f>
        <v>750</v>
      </c>
      <c r="AN4" s="28"/>
      <c r="AO4" s="6" t="e">
        <f>1-AC4/AN4</f>
        <v>#DIV/0!</v>
      </c>
      <c r="AP4" s="4">
        <f>AN4-AC4</f>
        <v>-1350</v>
      </c>
      <c r="AQ4" s="6">
        <f>IFERROR(AA4/M4,"-")</f>
        <v>1.0588235294117647</v>
      </c>
      <c r="AR4" s="6">
        <f>IFERROR(AK4/N4,"-")</f>
        <v>1.126005361930295</v>
      </c>
      <c r="AS4" s="6">
        <f>IFERROR(AC4/O4,"-")</f>
        <v>1.0588235294117647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117</v>
      </c>
      <c r="BE4" s="4"/>
      <c r="BF4" s="4"/>
      <c r="BG4" s="4" t="s">
        <v>118</v>
      </c>
      <c r="BH4" s="4">
        <v>2700</v>
      </c>
      <c r="BI4" s="4">
        <v>2700</v>
      </c>
      <c r="BJ4" s="4">
        <f t="shared" ref="BJ4:BJ5" si="3">IF(BE4="",BI4,BE4/BF4*BI4)</f>
        <v>2700</v>
      </c>
      <c r="BK4" s="19">
        <v>4</v>
      </c>
      <c r="BL4" s="19">
        <v>8</v>
      </c>
      <c r="BM4" s="16">
        <v>7</v>
      </c>
      <c r="BN4" s="41" t="s">
        <v>98</v>
      </c>
      <c r="BO4" t="s">
        <v>98</v>
      </c>
      <c r="BP4" t="str">
        <f>IFERROR(BO4*AS4,"-")</f>
        <v>-</v>
      </c>
      <c r="BQ4" t="s">
        <v>98</v>
      </c>
      <c r="BR4" t="s">
        <v>98</v>
      </c>
      <c r="BS4" t="str">
        <f>IFERROR(BR4*AS4,"-")</f>
        <v>-</v>
      </c>
      <c r="BT4" t="s">
        <v>100</v>
      </c>
    </row>
    <row r="5" spans="1:72" x14ac:dyDescent="0.4">
      <c r="A5" s="3">
        <v>2</v>
      </c>
      <c r="B5" s="3">
        <v>2</v>
      </c>
      <c r="C5" s="4">
        <v>194093</v>
      </c>
      <c r="D5" s="4" t="str">
        <f t="shared" ref="D5:D13" si="4">TEXT(C5,"000000")</f>
        <v>194093</v>
      </c>
      <c r="E5" s="4">
        <v>194093</v>
      </c>
      <c r="F5" s="4" t="str">
        <f t="shared" ref="F5:F32" si="5">D5&amp;I5</f>
        <v>1940935</v>
      </c>
      <c r="G5" s="4" t="s">
        <v>70</v>
      </c>
      <c r="H5" s="5">
        <v>4535753105147</v>
      </c>
      <c r="I5" s="5">
        <v>5</v>
      </c>
      <c r="J5" s="5"/>
      <c r="K5" s="5">
        <v>1</v>
      </c>
      <c r="L5" s="5">
        <v>1</v>
      </c>
      <c r="M5" s="4">
        <v>2780</v>
      </c>
      <c r="N5" s="4">
        <v>2300</v>
      </c>
      <c r="O5" s="4">
        <v>1390</v>
      </c>
      <c r="P5" s="6">
        <f t="shared" ref="P5:P22" si="6">IFERROR(1-O5/N5,"-")</f>
        <v>0.39565217391304353</v>
      </c>
      <c r="Q5" s="4" t="s">
        <v>99</v>
      </c>
      <c r="R5" s="4"/>
      <c r="S5" s="4"/>
      <c r="T5" s="4"/>
      <c r="U5" s="4"/>
      <c r="V5" s="4"/>
      <c r="W5" s="4"/>
      <c r="X5" s="4"/>
      <c r="Y5" s="4"/>
      <c r="Z5" s="4">
        <v>3000</v>
      </c>
      <c r="AA5" s="4">
        <f t="shared" ref="AA5:AA13" si="7">IF(AD5="",Z5,Z5*AD5)</f>
        <v>3000</v>
      </c>
      <c r="AB5" s="4">
        <v>1500</v>
      </c>
      <c r="AC5" s="4">
        <f t="shared" ref="AC5:AC13" si="8">IF(AD5="",AB5,AB5*AD5)</f>
        <v>1500</v>
      </c>
      <c r="AD5" s="4"/>
      <c r="AE5" s="21">
        <f t="shared" si="0"/>
        <v>2482</v>
      </c>
      <c r="AF5" s="6">
        <f t="shared" ref="AF5:AF22" si="9">IFERROR(1-AC5/AE5,"-")</f>
        <v>0.39564867042707497</v>
      </c>
      <c r="AG5" s="33">
        <v>0</v>
      </c>
      <c r="AH5" s="4">
        <f t="shared" ref="AH5:AH13" si="10">BJ5</f>
        <v>3000</v>
      </c>
      <c r="AI5" s="33">
        <f t="shared" ref="AI5:AI22" si="11">IFERROR(AH5*AS5,"-")</f>
        <v>3237.4100719424459</v>
      </c>
      <c r="AJ5" s="6">
        <f t="shared" ref="AJ5:AJ22" si="12">IFERROR(1-AC5/AI5,"-")</f>
        <v>0.53666666666666663</v>
      </c>
      <c r="AK5" s="7">
        <v>2480</v>
      </c>
      <c r="AL5" s="6">
        <f t="shared" si="1"/>
        <v>0.39516129032258063</v>
      </c>
      <c r="AM5" s="4">
        <f t="shared" si="2"/>
        <v>980</v>
      </c>
      <c r="AN5" s="28"/>
      <c r="AO5" s="6"/>
      <c r="AP5" s="6"/>
      <c r="AQ5" s="6">
        <f t="shared" ref="AQ5:AQ22" si="13">IFERROR(AA5/M5,"-")</f>
        <v>1.079136690647482</v>
      </c>
      <c r="AR5" s="6">
        <f t="shared" ref="AR5:AR22" si="14">IFERROR(AK5/N5,"-")</f>
        <v>1.0782608695652174</v>
      </c>
      <c r="AS5" s="6">
        <f t="shared" ref="AS5:AS22" si="15">IFERROR(AC5/O5,"-")</f>
        <v>1.079136690647482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119</v>
      </c>
      <c r="BE5" s="4"/>
      <c r="BF5" s="4"/>
      <c r="BG5" s="4" t="s">
        <v>118</v>
      </c>
      <c r="BH5" s="4">
        <v>3000</v>
      </c>
      <c r="BI5" s="4">
        <v>3000</v>
      </c>
      <c r="BJ5" s="4">
        <f t="shared" si="3"/>
        <v>3000</v>
      </c>
      <c r="BK5" s="19">
        <v>4</v>
      </c>
      <c r="BL5" s="19">
        <v>8</v>
      </c>
      <c r="BM5" s="16">
        <v>7</v>
      </c>
      <c r="BN5" s="41" t="s">
        <v>98</v>
      </c>
      <c r="BO5" t="s">
        <v>98</v>
      </c>
      <c r="BP5" t="str">
        <f t="shared" ref="BP5:BP32" si="16">IFERROR(BO5*AS5,"-")</f>
        <v>-</v>
      </c>
      <c r="BQ5" t="s">
        <v>98</v>
      </c>
      <c r="BR5" t="s">
        <v>98</v>
      </c>
      <c r="BS5" t="str">
        <f t="shared" ref="BS5:BS32" si="17">IFERROR(BR5*AS5,"-")</f>
        <v>-</v>
      </c>
      <c r="BT5" t="s">
        <v>101</v>
      </c>
    </row>
    <row r="6" spans="1:72" x14ac:dyDescent="0.4">
      <c r="A6" s="3">
        <v>3</v>
      </c>
      <c r="B6" s="3">
        <v>3</v>
      </c>
      <c r="C6" s="17">
        <v>194095</v>
      </c>
      <c r="D6" s="4" t="str">
        <f t="shared" si="4"/>
        <v>194095</v>
      </c>
      <c r="E6" s="4">
        <v>194095</v>
      </c>
      <c r="F6" s="4" t="str">
        <f t="shared" si="5"/>
        <v>1940955</v>
      </c>
      <c r="G6" s="4" t="s">
        <v>71</v>
      </c>
      <c r="H6" s="5">
        <v>2001234825016</v>
      </c>
      <c r="I6" s="5">
        <v>5</v>
      </c>
      <c r="J6" s="5"/>
      <c r="K6" s="5">
        <v>1</v>
      </c>
      <c r="L6" s="5">
        <v>1</v>
      </c>
      <c r="M6" s="4">
        <v>2550</v>
      </c>
      <c r="N6" s="4">
        <v>1830</v>
      </c>
      <c r="O6" s="4">
        <v>1275</v>
      </c>
      <c r="P6" s="6">
        <f t="shared" si="6"/>
        <v>0.30327868852459017</v>
      </c>
      <c r="Q6" s="4" t="s">
        <v>99</v>
      </c>
      <c r="R6" s="4"/>
      <c r="S6" s="4"/>
      <c r="T6" s="4"/>
      <c r="U6" s="4"/>
      <c r="V6" s="4"/>
      <c r="W6" s="4"/>
      <c r="X6" s="4"/>
      <c r="Y6" s="4"/>
      <c r="Z6" s="4">
        <v>2700</v>
      </c>
      <c r="AA6" s="4">
        <f t="shared" si="7"/>
        <v>2700</v>
      </c>
      <c r="AB6" s="4">
        <v>1350</v>
      </c>
      <c r="AC6" s="4">
        <f t="shared" si="8"/>
        <v>1350</v>
      </c>
      <c r="AD6" s="4"/>
      <c r="AE6" s="21">
        <f t="shared" si="0"/>
        <v>1938</v>
      </c>
      <c r="AF6" s="6">
        <f t="shared" si="9"/>
        <v>0.30340557275541791</v>
      </c>
      <c r="AG6" s="33">
        <v>0</v>
      </c>
      <c r="AH6" s="4">
        <f t="shared" si="10"/>
        <v>2700</v>
      </c>
      <c r="AI6" s="33">
        <f t="shared" si="11"/>
        <v>2858.8235294117649</v>
      </c>
      <c r="AJ6" s="6">
        <f t="shared" si="12"/>
        <v>0.52777777777777779</v>
      </c>
      <c r="AK6" s="7">
        <v>2100</v>
      </c>
      <c r="AL6" s="6">
        <f t="shared" si="1"/>
        <v>0.3571428571428571</v>
      </c>
      <c r="AM6" s="4">
        <f t="shared" si="2"/>
        <v>750</v>
      </c>
      <c r="AN6" s="28"/>
      <c r="AO6" s="6"/>
      <c r="AP6" s="6"/>
      <c r="AQ6" s="6">
        <f t="shared" si="13"/>
        <v>1.0588235294117647</v>
      </c>
      <c r="AR6" s="6">
        <f t="shared" si="14"/>
        <v>1.1475409836065573</v>
      </c>
      <c r="AS6" s="6">
        <f t="shared" si="15"/>
        <v>1.0588235294117647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120</v>
      </c>
      <c r="BE6" s="4"/>
      <c r="BF6" s="4"/>
      <c r="BG6" s="4" t="s">
        <v>118</v>
      </c>
      <c r="BH6" s="4">
        <v>2700</v>
      </c>
      <c r="BI6" s="4">
        <v>2700</v>
      </c>
      <c r="BJ6" s="4">
        <f t="shared" ref="BJ6:BJ13" si="18">IF(BE6="",BI6,BE6/BF6*BI6)</f>
        <v>2700</v>
      </c>
      <c r="BK6" s="19">
        <v>4</v>
      </c>
      <c r="BL6" s="19">
        <v>8</v>
      </c>
      <c r="BM6" s="16">
        <v>7</v>
      </c>
      <c r="BN6" s="41" t="s">
        <v>98</v>
      </c>
      <c r="BO6" t="s">
        <v>98</v>
      </c>
      <c r="BP6" t="str">
        <f t="shared" si="16"/>
        <v>-</v>
      </c>
      <c r="BQ6" t="s">
        <v>98</v>
      </c>
      <c r="BR6" t="s">
        <v>98</v>
      </c>
      <c r="BS6" t="str">
        <f t="shared" si="17"/>
        <v>-</v>
      </c>
      <c r="BT6" t="s">
        <v>102</v>
      </c>
    </row>
    <row r="7" spans="1:72" x14ac:dyDescent="0.4">
      <c r="A7" s="3">
        <v>4</v>
      </c>
      <c r="B7" s="3">
        <v>4</v>
      </c>
      <c r="C7" s="17">
        <v>194096</v>
      </c>
      <c r="D7" s="4" t="str">
        <f t="shared" si="4"/>
        <v>194096</v>
      </c>
      <c r="E7" s="4">
        <v>194096</v>
      </c>
      <c r="F7" s="4" t="str">
        <f t="shared" si="5"/>
        <v>1940965</v>
      </c>
      <c r="G7" s="4" t="s">
        <v>72</v>
      </c>
      <c r="H7" s="5">
        <v>2001234825023</v>
      </c>
      <c r="I7" s="5">
        <v>5</v>
      </c>
      <c r="J7" s="5"/>
      <c r="K7" s="5">
        <v>1</v>
      </c>
      <c r="L7" s="5">
        <v>1</v>
      </c>
      <c r="M7" s="4">
        <v>2780</v>
      </c>
      <c r="N7" s="4">
        <v>2300</v>
      </c>
      <c r="O7" s="4">
        <v>1390</v>
      </c>
      <c r="P7" s="6">
        <f t="shared" si="6"/>
        <v>0.39565217391304353</v>
      </c>
      <c r="Q7" s="4" t="s">
        <v>99</v>
      </c>
      <c r="R7" s="4"/>
      <c r="S7" s="4"/>
      <c r="T7" s="4"/>
      <c r="U7" s="4"/>
      <c r="V7" s="4"/>
      <c r="W7" s="4"/>
      <c r="X7" s="4"/>
      <c r="Y7" s="4"/>
      <c r="Z7" s="4">
        <v>3000</v>
      </c>
      <c r="AA7" s="4">
        <f t="shared" si="7"/>
        <v>3000</v>
      </c>
      <c r="AB7" s="4">
        <v>1500</v>
      </c>
      <c r="AC7" s="4">
        <f t="shared" si="8"/>
        <v>1500</v>
      </c>
      <c r="AD7" s="4"/>
      <c r="AE7" s="21">
        <f t="shared" si="0"/>
        <v>2482</v>
      </c>
      <c r="AF7" s="6">
        <f t="shared" si="9"/>
        <v>0.39564867042707497</v>
      </c>
      <c r="AG7" s="33">
        <v>0</v>
      </c>
      <c r="AH7" s="4">
        <f t="shared" si="10"/>
        <v>3000</v>
      </c>
      <c r="AI7" s="33">
        <f t="shared" si="11"/>
        <v>3237.4100719424459</v>
      </c>
      <c r="AJ7" s="6">
        <f t="shared" si="12"/>
        <v>0.53666666666666663</v>
      </c>
      <c r="AK7" s="7">
        <v>2480</v>
      </c>
      <c r="AL7" s="6">
        <f t="shared" si="1"/>
        <v>0.39516129032258063</v>
      </c>
      <c r="AM7" s="4">
        <f t="shared" si="2"/>
        <v>980</v>
      </c>
      <c r="AN7" s="28"/>
      <c r="AO7" s="6"/>
      <c r="AP7" s="6"/>
      <c r="AQ7" s="6">
        <f t="shared" si="13"/>
        <v>1.079136690647482</v>
      </c>
      <c r="AR7" s="6">
        <f t="shared" si="14"/>
        <v>1.0782608695652174</v>
      </c>
      <c r="AS7" s="6">
        <f t="shared" si="15"/>
        <v>1.079136690647482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121</v>
      </c>
      <c r="BE7" s="4"/>
      <c r="BF7" s="4"/>
      <c r="BG7" s="4" t="s">
        <v>118</v>
      </c>
      <c r="BH7" s="4">
        <v>3000</v>
      </c>
      <c r="BI7" s="4">
        <v>3000</v>
      </c>
      <c r="BJ7" s="4">
        <f t="shared" si="18"/>
        <v>3000</v>
      </c>
      <c r="BK7" s="19">
        <v>4</v>
      </c>
      <c r="BL7" s="19">
        <v>8</v>
      </c>
      <c r="BM7" s="16">
        <v>7</v>
      </c>
      <c r="BN7" s="41" t="s">
        <v>98</v>
      </c>
      <c r="BO7" t="s">
        <v>98</v>
      </c>
      <c r="BP7" t="str">
        <f t="shared" si="16"/>
        <v>-</v>
      </c>
      <c r="BQ7" t="s">
        <v>98</v>
      </c>
      <c r="BR7" t="s">
        <v>98</v>
      </c>
      <c r="BS7" t="str">
        <f t="shared" si="17"/>
        <v>-</v>
      </c>
      <c r="BT7" t="s">
        <v>103</v>
      </c>
    </row>
    <row r="8" spans="1:72" x14ac:dyDescent="0.4">
      <c r="A8" s="3">
        <v>5</v>
      </c>
      <c r="B8" s="3">
        <v>5</v>
      </c>
      <c r="C8" s="17">
        <v>194104</v>
      </c>
      <c r="D8" s="4" t="str">
        <f t="shared" si="4"/>
        <v>194104</v>
      </c>
      <c r="E8" s="4">
        <v>194104</v>
      </c>
      <c r="F8" s="4" t="str">
        <f t="shared" si="5"/>
        <v>1941045</v>
      </c>
      <c r="G8" s="4" t="s">
        <v>73</v>
      </c>
      <c r="H8" s="5">
        <v>2001234825108</v>
      </c>
      <c r="I8" s="5">
        <v>5</v>
      </c>
      <c r="J8" s="5"/>
      <c r="K8" s="5">
        <v>1</v>
      </c>
      <c r="L8" s="5">
        <v>1</v>
      </c>
      <c r="M8" s="4">
        <v>2000</v>
      </c>
      <c r="N8" s="4">
        <v>1570</v>
      </c>
      <c r="O8" s="4">
        <v>1000</v>
      </c>
      <c r="P8" s="6">
        <f t="shared" si="6"/>
        <v>0.36305732484076436</v>
      </c>
      <c r="Q8" s="4" t="s">
        <v>99</v>
      </c>
      <c r="R8" s="4"/>
      <c r="S8" s="4"/>
      <c r="T8" s="4"/>
      <c r="U8" s="4"/>
      <c r="V8" s="4"/>
      <c r="W8" s="4"/>
      <c r="X8" s="4"/>
      <c r="Y8" s="4"/>
      <c r="Z8" s="4">
        <v>2200</v>
      </c>
      <c r="AA8" s="4">
        <f t="shared" si="7"/>
        <v>2200</v>
      </c>
      <c r="AB8" s="4">
        <v>1100</v>
      </c>
      <c r="AC8" s="4">
        <f t="shared" si="8"/>
        <v>1100</v>
      </c>
      <c r="AD8" s="4"/>
      <c r="AE8" s="21">
        <f t="shared" si="0"/>
        <v>1727</v>
      </c>
      <c r="AF8" s="6">
        <f t="shared" si="9"/>
        <v>0.36305732484076436</v>
      </c>
      <c r="AG8" s="33">
        <v>0</v>
      </c>
      <c r="AH8" s="4">
        <f t="shared" si="10"/>
        <v>2200</v>
      </c>
      <c r="AI8" s="33">
        <f t="shared" si="11"/>
        <v>2420</v>
      </c>
      <c r="AJ8" s="6">
        <f t="shared" si="12"/>
        <v>0.54545454545454541</v>
      </c>
      <c r="AK8" s="7">
        <v>1800</v>
      </c>
      <c r="AL8" s="6">
        <f t="shared" si="1"/>
        <v>0.38888888888888884</v>
      </c>
      <c r="AM8" s="4">
        <f t="shared" si="2"/>
        <v>700</v>
      </c>
      <c r="AN8" s="28"/>
      <c r="AO8" s="6"/>
      <c r="AP8" s="6"/>
      <c r="AQ8" s="6">
        <f t="shared" si="13"/>
        <v>1.1000000000000001</v>
      </c>
      <c r="AR8" s="6">
        <f t="shared" si="14"/>
        <v>1.1464968152866242</v>
      </c>
      <c r="AS8" s="6">
        <f t="shared" si="15"/>
        <v>1.1000000000000001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122</v>
      </c>
      <c r="BE8" s="4"/>
      <c r="BF8" s="4"/>
      <c r="BG8" s="4" t="s">
        <v>118</v>
      </c>
      <c r="BH8" s="4">
        <v>2200</v>
      </c>
      <c r="BI8" s="4">
        <v>2200</v>
      </c>
      <c r="BJ8" s="4">
        <f t="shared" si="18"/>
        <v>2200</v>
      </c>
      <c r="BK8" s="19">
        <v>4</v>
      </c>
      <c r="BL8" s="19">
        <v>8</v>
      </c>
      <c r="BM8" s="16">
        <v>7</v>
      </c>
      <c r="BN8" s="41" t="s">
        <v>98</v>
      </c>
      <c r="BO8" t="s">
        <v>98</v>
      </c>
      <c r="BP8" t="str">
        <f t="shared" si="16"/>
        <v>-</v>
      </c>
      <c r="BQ8" t="s">
        <v>98</v>
      </c>
      <c r="BR8" t="s">
        <v>98</v>
      </c>
      <c r="BS8" t="str">
        <f t="shared" si="17"/>
        <v>-</v>
      </c>
      <c r="BT8" t="s">
        <v>104</v>
      </c>
    </row>
    <row r="9" spans="1:72" x14ac:dyDescent="0.4">
      <c r="A9" s="3">
        <v>6</v>
      </c>
      <c r="B9" s="3">
        <v>6</v>
      </c>
      <c r="C9" s="17">
        <v>194105</v>
      </c>
      <c r="D9" s="4" t="str">
        <f t="shared" si="4"/>
        <v>194105</v>
      </c>
      <c r="E9" s="4">
        <v>194105</v>
      </c>
      <c r="F9" s="4" t="str">
        <f t="shared" si="5"/>
        <v>1941055</v>
      </c>
      <c r="G9" s="4" t="s">
        <v>74</v>
      </c>
      <c r="H9" s="5">
        <v>2001234825115</v>
      </c>
      <c r="I9" s="5">
        <v>5</v>
      </c>
      <c r="J9" s="5"/>
      <c r="K9" s="5">
        <v>1</v>
      </c>
      <c r="L9" s="5">
        <v>1</v>
      </c>
      <c r="M9" s="4">
        <v>2200</v>
      </c>
      <c r="N9" s="4">
        <v>1686</v>
      </c>
      <c r="O9" s="4">
        <v>1100</v>
      </c>
      <c r="P9" s="6">
        <f t="shared" si="6"/>
        <v>0.34756820877817318</v>
      </c>
      <c r="Q9" s="4" t="s">
        <v>99</v>
      </c>
      <c r="R9" s="4"/>
      <c r="S9" s="4"/>
      <c r="T9" s="4"/>
      <c r="U9" s="4"/>
      <c r="V9" s="4"/>
      <c r="W9" s="4"/>
      <c r="X9" s="4"/>
      <c r="Y9" s="4"/>
      <c r="Z9" s="4">
        <v>2400</v>
      </c>
      <c r="AA9" s="4">
        <f t="shared" si="7"/>
        <v>2400</v>
      </c>
      <c r="AB9" s="4">
        <v>1200</v>
      </c>
      <c r="AC9" s="4">
        <f t="shared" si="8"/>
        <v>1200</v>
      </c>
      <c r="AD9" s="4"/>
      <c r="AE9" s="21">
        <f t="shared" si="0"/>
        <v>1839</v>
      </c>
      <c r="AF9" s="6">
        <f t="shared" si="9"/>
        <v>0.34747145187601958</v>
      </c>
      <c r="AG9" s="33">
        <v>0</v>
      </c>
      <c r="AH9" s="4">
        <f t="shared" si="10"/>
        <v>2400</v>
      </c>
      <c r="AI9" s="33">
        <f t="shared" si="11"/>
        <v>2618.181818181818</v>
      </c>
      <c r="AJ9" s="6">
        <f t="shared" si="12"/>
        <v>0.54166666666666663</v>
      </c>
      <c r="AK9" s="7">
        <v>1980</v>
      </c>
      <c r="AL9" s="6">
        <f t="shared" si="1"/>
        <v>0.39393939393939392</v>
      </c>
      <c r="AM9" s="4">
        <f t="shared" si="2"/>
        <v>780</v>
      </c>
      <c r="AN9" s="28"/>
      <c r="AO9" s="6"/>
      <c r="AP9" s="6"/>
      <c r="AQ9" s="6">
        <f t="shared" si="13"/>
        <v>1.0909090909090908</v>
      </c>
      <c r="AR9" s="6">
        <f t="shared" si="14"/>
        <v>1.1743772241992882</v>
      </c>
      <c r="AS9" s="6">
        <f t="shared" si="15"/>
        <v>1.0909090909090908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123</v>
      </c>
      <c r="BE9" s="4"/>
      <c r="BF9" s="4"/>
      <c r="BG9" s="4" t="s">
        <v>118</v>
      </c>
      <c r="BH9" s="4">
        <v>2400</v>
      </c>
      <c r="BI9" s="4">
        <v>2400</v>
      </c>
      <c r="BJ9" s="4">
        <f t="shared" si="18"/>
        <v>2400</v>
      </c>
      <c r="BK9" s="19">
        <v>4</v>
      </c>
      <c r="BL9" s="19">
        <v>8</v>
      </c>
      <c r="BM9" s="16">
        <v>7</v>
      </c>
      <c r="BN9" s="41" t="s">
        <v>98</v>
      </c>
      <c r="BO9" t="s">
        <v>98</v>
      </c>
      <c r="BP9" t="str">
        <f t="shared" si="16"/>
        <v>-</v>
      </c>
      <c r="BQ9" t="s">
        <v>98</v>
      </c>
      <c r="BR9" t="s">
        <v>98</v>
      </c>
      <c r="BS9" t="str">
        <f t="shared" si="17"/>
        <v>-</v>
      </c>
      <c r="BT9" t="s">
        <v>105</v>
      </c>
    </row>
    <row r="10" spans="1:72" x14ac:dyDescent="0.4">
      <c r="A10" s="3">
        <v>7</v>
      </c>
      <c r="B10" s="3">
        <v>7</v>
      </c>
      <c r="C10" s="4">
        <v>194106</v>
      </c>
      <c r="D10" s="4" t="str">
        <f t="shared" si="4"/>
        <v>194106</v>
      </c>
      <c r="E10" s="4">
        <v>194106</v>
      </c>
      <c r="F10" s="4" t="str">
        <f t="shared" si="5"/>
        <v>1941065</v>
      </c>
      <c r="G10" s="4" t="s">
        <v>75</v>
      </c>
      <c r="H10" s="5">
        <v>2001234825122</v>
      </c>
      <c r="I10" s="5">
        <v>5</v>
      </c>
      <c r="J10" s="5"/>
      <c r="K10" s="5">
        <v>1</v>
      </c>
      <c r="L10" s="5">
        <v>1</v>
      </c>
      <c r="M10" s="4">
        <v>2800</v>
      </c>
      <c r="N10" s="4">
        <v>2330</v>
      </c>
      <c r="O10" s="4">
        <v>1400</v>
      </c>
      <c r="P10" s="6">
        <f t="shared" si="6"/>
        <v>0.39914163090128751</v>
      </c>
      <c r="Q10" s="4" t="s">
        <v>99</v>
      </c>
      <c r="R10" s="4"/>
      <c r="S10" s="4"/>
      <c r="T10" s="4"/>
      <c r="U10" s="4"/>
      <c r="V10" s="4"/>
      <c r="W10" s="4"/>
      <c r="X10" s="4"/>
      <c r="Y10" s="4"/>
      <c r="Z10" s="4">
        <v>3000</v>
      </c>
      <c r="AA10" s="4">
        <f t="shared" si="7"/>
        <v>3000</v>
      </c>
      <c r="AB10" s="4">
        <v>1500</v>
      </c>
      <c r="AC10" s="4">
        <f t="shared" si="8"/>
        <v>1500</v>
      </c>
      <c r="AD10" s="4"/>
      <c r="AE10" s="21">
        <f t="shared" si="0"/>
        <v>2496</v>
      </c>
      <c r="AF10" s="6">
        <f t="shared" si="9"/>
        <v>0.39903846153846156</v>
      </c>
      <c r="AG10" s="33">
        <v>0</v>
      </c>
      <c r="AH10" s="4" t="str">
        <f t="shared" si="10"/>
        <v>-</v>
      </c>
      <c r="AI10" s="33" t="str">
        <f t="shared" si="11"/>
        <v>-</v>
      </c>
      <c r="AJ10" s="6" t="str">
        <f t="shared" si="12"/>
        <v>-</v>
      </c>
      <c r="AK10" s="7">
        <v>2480</v>
      </c>
      <c r="AL10" s="6">
        <f t="shared" si="1"/>
        <v>0.39516129032258063</v>
      </c>
      <c r="AM10" s="4">
        <f t="shared" si="2"/>
        <v>980</v>
      </c>
      <c r="AN10" s="28"/>
      <c r="AO10" s="6"/>
      <c r="AP10" s="6"/>
      <c r="AQ10" s="6">
        <f t="shared" si="13"/>
        <v>1.0714285714285714</v>
      </c>
      <c r="AR10" s="6">
        <f t="shared" si="14"/>
        <v>1.0643776824034334</v>
      </c>
      <c r="AS10" s="6">
        <f t="shared" si="15"/>
        <v>1.0714285714285714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98</v>
      </c>
      <c r="BE10" s="4"/>
      <c r="BF10" s="4"/>
      <c r="BG10" s="4" t="s">
        <v>98</v>
      </c>
      <c r="BH10" s="4" t="s">
        <v>98</v>
      </c>
      <c r="BI10" s="4" t="s">
        <v>98</v>
      </c>
      <c r="BJ10" s="4" t="str">
        <f t="shared" si="18"/>
        <v>-</v>
      </c>
      <c r="BK10" s="19">
        <v>4</v>
      </c>
      <c r="BL10" s="19">
        <v>8</v>
      </c>
      <c r="BM10" s="16">
        <v>7</v>
      </c>
      <c r="BN10" s="41" t="s">
        <v>98</v>
      </c>
      <c r="BO10" t="s">
        <v>98</v>
      </c>
      <c r="BP10" t="str">
        <f t="shared" si="16"/>
        <v>-</v>
      </c>
      <c r="BQ10" t="s">
        <v>98</v>
      </c>
      <c r="BR10" t="s">
        <v>98</v>
      </c>
      <c r="BS10" t="str">
        <f t="shared" si="17"/>
        <v>-</v>
      </c>
      <c r="BT10" t="s">
        <v>98</v>
      </c>
    </row>
    <row r="11" spans="1:72" x14ac:dyDescent="0.4">
      <c r="A11" s="3">
        <v>8</v>
      </c>
      <c r="B11" s="3">
        <v>8</v>
      </c>
      <c r="C11" s="4">
        <v>194107</v>
      </c>
      <c r="D11" s="4" t="str">
        <f t="shared" si="4"/>
        <v>194107</v>
      </c>
      <c r="E11" s="4">
        <v>194107</v>
      </c>
      <c r="F11" s="4" t="str">
        <f t="shared" si="5"/>
        <v>1941075</v>
      </c>
      <c r="G11" s="4" t="s">
        <v>76</v>
      </c>
      <c r="H11" s="5">
        <v>2001234825139</v>
      </c>
      <c r="I11" s="5">
        <v>5</v>
      </c>
      <c r="J11" s="5"/>
      <c r="K11" s="5">
        <v>1</v>
      </c>
      <c r="L11" s="5">
        <v>1</v>
      </c>
      <c r="M11" s="4">
        <v>2000</v>
      </c>
      <c r="N11" s="4">
        <v>1463</v>
      </c>
      <c r="O11" s="4">
        <v>1000</v>
      </c>
      <c r="P11" s="6">
        <f t="shared" si="6"/>
        <v>0.31647300068352702</v>
      </c>
      <c r="Q11" s="4" t="s">
        <v>99</v>
      </c>
      <c r="R11" s="4"/>
      <c r="S11" s="4"/>
      <c r="T11" s="4"/>
      <c r="U11" s="4"/>
      <c r="V11" s="4"/>
      <c r="W11" s="4"/>
      <c r="X11" s="4"/>
      <c r="Y11" s="4"/>
      <c r="Z11" s="4">
        <v>2200</v>
      </c>
      <c r="AA11" s="4">
        <f t="shared" si="7"/>
        <v>2200</v>
      </c>
      <c r="AB11" s="4">
        <v>1100</v>
      </c>
      <c r="AC11" s="4">
        <f t="shared" si="8"/>
        <v>1100</v>
      </c>
      <c r="AD11" s="4"/>
      <c r="AE11" s="21">
        <f t="shared" si="0"/>
        <v>1609</v>
      </c>
      <c r="AF11" s="6">
        <f t="shared" si="9"/>
        <v>0.3163455562461156</v>
      </c>
      <c r="AG11" s="33">
        <v>0</v>
      </c>
      <c r="AH11" s="4">
        <f t="shared" si="10"/>
        <v>2200</v>
      </c>
      <c r="AI11" s="33">
        <f t="shared" si="11"/>
        <v>2420</v>
      </c>
      <c r="AJ11" s="6">
        <f t="shared" si="12"/>
        <v>0.54545454545454541</v>
      </c>
      <c r="AK11" s="7">
        <v>1800</v>
      </c>
      <c r="AL11" s="6">
        <f t="shared" si="1"/>
        <v>0.38888888888888884</v>
      </c>
      <c r="AM11" s="4">
        <f t="shared" si="2"/>
        <v>700</v>
      </c>
      <c r="AN11" s="28"/>
      <c r="AO11" s="6"/>
      <c r="AP11" s="6"/>
      <c r="AQ11" s="6">
        <f t="shared" si="13"/>
        <v>1.1000000000000001</v>
      </c>
      <c r="AR11" s="6">
        <f t="shared" si="14"/>
        <v>1.2303485987696514</v>
      </c>
      <c r="AS11" s="6">
        <f t="shared" si="15"/>
        <v>1.1000000000000001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124</v>
      </c>
      <c r="BE11" s="4"/>
      <c r="BF11" s="4"/>
      <c r="BG11" s="4" t="s">
        <v>118</v>
      </c>
      <c r="BH11" s="4">
        <v>2200</v>
      </c>
      <c r="BI11" s="4">
        <v>2200</v>
      </c>
      <c r="BJ11" s="4">
        <f t="shared" si="18"/>
        <v>2200</v>
      </c>
      <c r="BK11" s="19">
        <v>4</v>
      </c>
      <c r="BL11" s="19">
        <v>8</v>
      </c>
      <c r="BM11" s="16">
        <v>7</v>
      </c>
      <c r="BN11" s="41" t="s">
        <v>98</v>
      </c>
      <c r="BO11" t="s">
        <v>98</v>
      </c>
      <c r="BP11" t="str">
        <f t="shared" si="16"/>
        <v>-</v>
      </c>
      <c r="BQ11" t="s">
        <v>98</v>
      </c>
      <c r="BR11" t="s">
        <v>98</v>
      </c>
      <c r="BS11" t="str">
        <f t="shared" si="17"/>
        <v>-</v>
      </c>
      <c r="BT11" t="s">
        <v>106</v>
      </c>
    </row>
    <row r="12" spans="1:72" x14ac:dyDescent="0.4">
      <c r="A12" s="3">
        <v>9</v>
      </c>
      <c r="B12" s="3">
        <v>9</v>
      </c>
      <c r="C12" s="4">
        <v>194108</v>
      </c>
      <c r="D12" s="4" t="str">
        <f t="shared" si="4"/>
        <v>194108</v>
      </c>
      <c r="E12" s="4">
        <v>194108</v>
      </c>
      <c r="F12" s="4" t="str">
        <f t="shared" si="5"/>
        <v>1941085</v>
      </c>
      <c r="G12" s="4" t="s">
        <v>77</v>
      </c>
      <c r="H12" s="5">
        <v>2001234825146</v>
      </c>
      <c r="I12" s="5">
        <v>5</v>
      </c>
      <c r="J12" s="5"/>
      <c r="K12" s="5">
        <v>1</v>
      </c>
      <c r="L12" s="5">
        <v>1</v>
      </c>
      <c r="M12" s="4">
        <v>2200</v>
      </c>
      <c r="N12" s="4">
        <v>1811</v>
      </c>
      <c r="O12" s="4">
        <v>1100</v>
      </c>
      <c r="P12" s="6">
        <f t="shared" si="6"/>
        <v>0.39260077305356156</v>
      </c>
      <c r="Q12" s="4" t="s">
        <v>99</v>
      </c>
      <c r="R12" s="4"/>
      <c r="S12" s="4"/>
      <c r="T12" s="4"/>
      <c r="U12" s="4"/>
      <c r="V12" s="4"/>
      <c r="W12" s="4"/>
      <c r="X12" s="4"/>
      <c r="Y12" s="4"/>
      <c r="Z12" s="4">
        <v>2400</v>
      </c>
      <c r="AA12" s="4">
        <f t="shared" si="7"/>
        <v>2400</v>
      </c>
      <c r="AB12" s="4">
        <v>1200</v>
      </c>
      <c r="AC12" s="4">
        <f t="shared" si="8"/>
        <v>1200</v>
      </c>
      <c r="AD12" s="4"/>
      <c r="AE12" s="21">
        <f t="shared" si="0"/>
        <v>1976</v>
      </c>
      <c r="AF12" s="6">
        <f t="shared" si="9"/>
        <v>0.39271255060728749</v>
      </c>
      <c r="AG12" s="33">
        <v>0</v>
      </c>
      <c r="AH12" s="4">
        <f t="shared" si="10"/>
        <v>2400</v>
      </c>
      <c r="AI12" s="33">
        <f t="shared" si="11"/>
        <v>2618.181818181818</v>
      </c>
      <c r="AJ12" s="6">
        <f t="shared" si="12"/>
        <v>0.54166666666666663</v>
      </c>
      <c r="AK12" s="7">
        <v>1980</v>
      </c>
      <c r="AL12" s="6">
        <f t="shared" si="1"/>
        <v>0.39393939393939392</v>
      </c>
      <c r="AM12" s="4">
        <f t="shared" si="2"/>
        <v>780</v>
      </c>
      <c r="AN12" s="28"/>
      <c r="AO12" s="6"/>
      <c r="AP12" s="6"/>
      <c r="AQ12" s="6">
        <f t="shared" si="13"/>
        <v>1.0909090909090908</v>
      </c>
      <c r="AR12" s="6">
        <f t="shared" si="14"/>
        <v>1.0933186085035891</v>
      </c>
      <c r="AS12" s="6">
        <f t="shared" si="15"/>
        <v>1.0909090909090908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125</v>
      </c>
      <c r="BE12" s="4"/>
      <c r="BF12" s="4"/>
      <c r="BG12" s="4" t="s">
        <v>118</v>
      </c>
      <c r="BH12" s="4">
        <v>2400</v>
      </c>
      <c r="BI12" s="4">
        <v>2400</v>
      </c>
      <c r="BJ12" s="4">
        <f t="shared" si="18"/>
        <v>2400</v>
      </c>
      <c r="BK12" s="19">
        <v>4</v>
      </c>
      <c r="BL12" s="19">
        <v>8</v>
      </c>
      <c r="BM12" s="16">
        <v>7</v>
      </c>
      <c r="BN12" s="41" t="s">
        <v>98</v>
      </c>
      <c r="BO12" t="s">
        <v>98</v>
      </c>
      <c r="BP12" t="str">
        <f t="shared" si="16"/>
        <v>-</v>
      </c>
      <c r="BQ12" t="s">
        <v>98</v>
      </c>
      <c r="BR12" t="s">
        <v>98</v>
      </c>
      <c r="BS12" t="str">
        <f t="shared" si="17"/>
        <v>-</v>
      </c>
      <c r="BT12" t="s">
        <v>107</v>
      </c>
    </row>
    <row r="13" spans="1:72" x14ac:dyDescent="0.4">
      <c r="A13" s="3">
        <v>10</v>
      </c>
      <c r="B13" s="3">
        <v>10</v>
      </c>
      <c r="C13" s="4">
        <v>194109</v>
      </c>
      <c r="D13" s="4" t="str">
        <f t="shared" si="4"/>
        <v>194109</v>
      </c>
      <c r="E13" s="4">
        <v>194109</v>
      </c>
      <c r="F13" s="4" t="str">
        <f t="shared" si="5"/>
        <v>1941095</v>
      </c>
      <c r="G13" s="4" t="s">
        <v>78</v>
      </c>
      <c r="H13" s="5">
        <v>2001234825153</v>
      </c>
      <c r="I13" s="5">
        <v>5</v>
      </c>
      <c r="J13" s="5"/>
      <c r="K13" s="5">
        <v>1</v>
      </c>
      <c r="L13" s="5">
        <v>1</v>
      </c>
      <c r="M13" s="4">
        <v>2800</v>
      </c>
      <c r="N13" s="4">
        <v>2330</v>
      </c>
      <c r="O13" s="4">
        <v>1400</v>
      </c>
      <c r="P13" s="6">
        <f t="shared" si="6"/>
        <v>0.39914163090128751</v>
      </c>
      <c r="Q13" s="4" t="s">
        <v>99</v>
      </c>
      <c r="R13" s="4"/>
      <c r="S13" s="4"/>
      <c r="T13" s="4"/>
      <c r="U13" s="4"/>
      <c r="V13" s="4"/>
      <c r="W13" s="4"/>
      <c r="X13" s="4"/>
      <c r="Y13" s="4"/>
      <c r="Z13" s="4">
        <v>3000</v>
      </c>
      <c r="AA13" s="4">
        <f t="shared" si="7"/>
        <v>3000</v>
      </c>
      <c r="AB13" s="4">
        <v>1500</v>
      </c>
      <c r="AC13" s="4">
        <f t="shared" si="8"/>
        <v>1500</v>
      </c>
      <c r="AD13" s="4"/>
      <c r="AE13" s="21">
        <f t="shared" si="0"/>
        <v>2496</v>
      </c>
      <c r="AF13" s="6">
        <f t="shared" si="9"/>
        <v>0.39903846153846156</v>
      </c>
      <c r="AG13" s="33">
        <v>0</v>
      </c>
      <c r="AH13" s="4" t="str">
        <f t="shared" si="10"/>
        <v>-</v>
      </c>
      <c r="AI13" s="33" t="str">
        <f t="shared" si="11"/>
        <v>-</v>
      </c>
      <c r="AJ13" s="6" t="str">
        <f t="shared" si="12"/>
        <v>-</v>
      </c>
      <c r="AK13" s="7">
        <v>2480</v>
      </c>
      <c r="AL13" s="6">
        <f t="shared" si="1"/>
        <v>0.39516129032258063</v>
      </c>
      <c r="AM13" s="4">
        <f t="shared" si="2"/>
        <v>980</v>
      </c>
      <c r="AN13" s="28"/>
      <c r="AO13" s="6"/>
      <c r="AP13" s="6"/>
      <c r="AQ13" s="6">
        <f t="shared" si="13"/>
        <v>1.0714285714285714</v>
      </c>
      <c r="AR13" s="6">
        <f t="shared" si="14"/>
        <v>1.0643776824034334</v>
      </c>
      <c r="AS13" s="6">
        <f t="shared" si="15"/>
        <v>1.0714285714285714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98</v>
      </c>
      <c r="BE13" s="4"/>
      <c r="BF13" s="4"/>
      <c r="BG13" s="4" t="s">
        <v>98</v>
      </c>
      <c r="BH13" s="4" t="s">
        <v>98</v>
      </c>
      <c r="BI13" s="4" t="s">
        <v>98</v>
      </c>
      <c r="BJ13" s="4" t="str">
        <f t="shared" si="18"/>
        <v>-</v>
      </c>
      <c r="BK13" s="19">
        <v>4</v>
      </c>
      <c r="BL13" s="19">
        <v>8</v>
      </c>
      <c r="BM13" s="16">
        <v>7</v>
      </c>
      <c r="BN13" s="41" t="s">
        <v>98</v>
      </c>
      <c r="BO13" t="s">
        <v>98</v>
      </c>
      <c r="BP13" t="str">
        <f t="shared" si="16"/>
        <v>-</v>
      </c>
      <c r="BQ13" t="s">
        <v>98</v>
      </c>
      <c r="BR13" t="s">
        <v>98</v>
      </c>
      <c r="BS13" t="str">
        <f t="shared" si="17"/>
        <v>-</v>
      </c>
      <c r="BT13" t="s">
        <v>98</v>
      </c>
    </row>
    <row r="14" spans="1:72" x14ac:dyDescent="0.4">
      <c r="A14" s="3">
        <v>11</v>
      </c>
      <c r="B14" s="3">
        <v>11</v>
      </c>
      <c r="C14" s="4">
        <v>194110</v>
      </c>
      <c r="D14" s="4" t="str">
        <f t="shared" ref="D14:D22" si="19">TEXT(C14,"000000")</f>
        <v>194110</v>
      </c>
      <c r="E14" s="4">
        <v>194110</v>
      </c>
      <c r="F14" s="4" t="str">
        <f t="shared" si="5"/>
        <v>1941105</v>
      </c>
      <c r="G14" s="4" t="s">
        <v>79</v>
      </c>
      <c r="H14" s="5">
        <v>2001234825160</v>
      </c>
      <c r="I14" s="5">
        <v>5</v>
      </c>
      <c r="J14" s="5"/>
      <c r="K14" s="5">
        <v>1</v>
      </c>
      <c r="L14" s="5">
        <v>1</v>
      </c>
      <c r="M14" s="4">
        <v>2000</v>
      </c>
      <c r="N14" s="4">
        <v>1463</v>
      </c>
      <c r="O14" s="4">
        <v>1000</v>
      </c>
      <c r="P14" s="6">
        <f t="shared" si="6"/>
        <v>0.31647300068352702</v>
      </c>
      <c r="Q14" s="4" t="s">
        <v>99</v>
      </c>
      <c r="R14" s="4"/>
      <c r="S14" s="4"/>
      <c r="T14" s="4"/>
      <c r="U14" s="4"/>
      <c r="V14" s="4"/>
      <c r="W14" s="4"/>
      <c r="X14" s="4"/>
      <c r="Y14" s="4"/>
      <c r="Z14" s="4">
        <v>2200</v>
      </c>
      <c r="AA14" s="4">
        <f t="shared" ref="AA14:AA22" si="20">IF(AD14="",Z14,Z14*AD14)</f>
        <v>2200</v>
      </c>
      <c r="AB14" s="4">
        <v>1100</v>
      </c>
      <c r="AC14" s="4">
        <f t="shared" ref="AC14:AC22" si="21">IF(AD14="",AB14,AB14*AD14)</f>
        <v>1100</v>
      </c>
      <c r="AD14" s="4"/>
      <c r="AE14" s="21">
        <f t="shared" si="0"/>
        <v>1609</v>
      </c>
      <c r="AF14" s="6">
        <f t="shared" si="9"/>
        <v>0.3163455562461156</v>
      </c>
      <c r="AG14" s="33">
        <v>0</v>
      </c>
      <c r="AH14" s="4" t="str">
        <f t="shared" ref="AH14:AH22" si="22">BJ14</f>
        <v>-</v>
      </c>
      <c r="AI14" s="33" t="str">
        <f t="shared" si="11"/>
        <v>-</v>
      </c>
      <c r="AJ14" s="6" t="str">
        <f t="shared" si="12"/>
        <v>-</v>
      </c>
      <c r="AK14" s="7">
        <v>1800</v>
      </c>
      <c r="AL14" s="6">
        <f t="shared" si="1"/>
        <v>0.38888888888888884</v>
      </c>
      <c r="AM14" s="4">
        <f t="shared" si="2"/>
        <v>700</v>
      </c>
      <c r="AN14" s="28"/>
      <c r="AO14" s="6"/>
      <c r="AP14" s="6"/>
      <c r="AQ14" s="6">
        <f t="shared" si="13"/>
        <v>1.1000000000000001</v>
      </c>
      <c r="AR14" s="6">
        <f t="shared" si="14"/>
        <v>1.2303485987696514</v>
      </c>
      <c r="AS14" s="6">
        <f t="shared" si="15"/>
        <v>1.1000000000000001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98</v>
      </c>
      <c r="BE14" s="4"/>
      <c r="BF14" s="4"/>
      <c r="BG14" s="4" t="s">
        <v>98</v>
      </c>
      <c r="BH14" s="4" t="s">
        <v>98</v>
      </c>
      <c r="BI14" s="4" t="s">
        <v>98</v>
      </c>
      <c r="BJ14" s="4" t="str">
        <f t="shared" ref="BJ14:BJ22" si="23">IF(BE14="",BI14,BE14/BF14*BI14)</f>
        <v>-</v>
      </c>
      <c r="BK14" s="19">
        <v>4</v>
      </c>
      <c r="BL14" s="19">
        <v>8</v>
      </c>
      <c r="BM14" s="16">
        <v>7</v>
      </c>
      <c r="BN14" s="41" t="s">
        <v>98</v>
      </c>
      <c r="BO14" t="s">
        <v>98</v>
      </c>
      <c r="BP14" t="str">
        <f t="shared" si="16"/>
        <v>-</v>
      </c>
      <c r="BQ14" t="s">
        <v>98</v>
      </c>
      <c r="BR14" t="s">
        <v>98</v>
      </c>
      <c r="BS14" t="str">
        <f t="shared" si="17"/>
        <v>-</v>
      </c>
      <c r="BT14" t="s">
        <v>98</v>
      </c>
    </row>
    <row r="15" spans="1:72" x14ac:dyDescent="0.4">
      <c r="A15" s="3">
        <v>12</v>
      </c>
      <c r="B15" s="3">
        <v>12</v>
      </c>
      <c r="C15" s="4">
        <v>194111</v>
      </c>
      <c r="D15" s="4" t="str">
        <f t="shared" si="19"/>
        <v>194111</v>
      </c>
      <c r="E15" s="4">
        <v>194111</v>
      </c>
      <c r="F15" s="4" t="str">
        <f t="shared" si="5"/>
        <v>1941115</v>
      </c>
      <c r="G15" s="4" t="s">
        <v>80</v>
      </c>
      <c r="H15" s="5">
        <v>2001234825177</v>
      </c>
      <c r="I15" s="5">
        <v>5</v>
      </c>
      <c r="J15" s="5"/>
      <c r="K15" s="5">
        <v>1</v>
      </c>
      <c r="L15" s="5">
        <v>1</v>
      </c>
      <c r="M15" s="4">
        <v>2200</v>
      </c>
      <c r="N15" s="4">
        <v>1686</v>
      </c>
      <c r="O15" s="4">
        <v>1100</v>
      </c>
      <c r="P15" s="6">
        <f t="shared" si="6"/>
        <v>0.34756820877817318</v>
      </c>
      <c r="Q15" s="4" t="s">
        <v>99</v>
      </c>
      <c r="R15" s="4"/>
      <c r="S15" s="4"/>
      <c r="T15" s="4"/>
      <c r="U15" s="4"/>
      <c r="V15" s="4"/>
      <c r="W15" s="4"/>
      <c r="X15" s="4"/>
      <c r="Y15" s="4"/>
      <c r="Z15" s="4">
        <v>2400</v>
      </c>
      <c r="AA15" s="4">
        <f t="shared" si="20"/>
        <v>2400</v>
      </c>
      <c r="AB15" s="4">
        <v>1200</v>
      </c>
      <c r="AC15" s="4">
        <f t="shared" si="21"/>
        <v>1200</v>
      </c>
      <c r="AD15" s="4"/>
      <c r="AE15" s="21">
        <f t="shared" si="0"/>
        <v>1839</v>
      </c>
      <c r="AF15" s="6">
        <f t="shared" si="9"/>
        <v>0.34747145187601958</v>
      </c>
      <c r="AG15" s="33">
        <v>0</v>
      </c>
      <c r="AH15" s="4">
        <f t="shared" si="22"/>
        <v>2400</v>
      </c>
      <c r="AI15" s="33">
        <f t="shared" si="11"/>
        <v>2618.181818181818</v>
      </c>
      <c r="AJ15" s="6">
        <f t="shared" si="12"/>
        <v>0.54166666666666663</v>
      </c>
      <c r="AK15" s="7">
        <v>1980</v>
      </c>
      <c r="AL15" s="6">
        <f t="shared" si="1"/>
        <v>0.39393939393939392</v>
      </c>
      <c r="AM15" s="4">
        <f t="shared" si="2"/>
        <v>780</v>
      </c>
      <c r="AN15" s="28"/>
      <c r="AO15" s="6"/>
      <c r="AP15" s="6"/>
      <c r="AQ15" s="6">
        <f t="shared" si="13"/>
        <v>1.0909090909090908</v>
      </c>
      <c r="AR15" s="6">
        <f t="shared" si="14"/>
        <v>1.1743772241992882</v>
      </c>
      <c r="AS15" s="6">
        <f t="shared" si="15"/>
        <v>1.0909090909090908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126</v>
      </c>
      <c r="BE15" s="4"/>
      <c r="BF15" s="4"/>
      <c r="BG15" s="4" t="s">
        <v>118</v>
      </c>
      <c r="BH15" s="4">
        <v>2400</v>
      </c>
      <c r="BI15" s="4">
        <v>2400</v>
      </c>
      <c r="BJ15" s="4">
        <f t="shared" si="23"/>
        <v>2400</v>
      </c>
      <c r="BK15" s="19">
        <v>4</v>
      </c>
      <c r="BL15" s="19">
        <v>8</v>
      </c>
      <c r="BM15" s="16">
        <v>7</v>
      </c>
      <c r="BN15" s="41" t="s">
        <v>98</v>
      </c>
      <c r="BO15" t="s">
        <v>98</v>
      </c>
      <c r="BP15" t="str">
        <f t="shared" si="16"/>
        <v>-</v>
      </c>
      <c r="BQ15" t="s">
        <v>98</v>
      </c>
      <c r="BR15" t="s">
        <v>98</v>
      </c>
      <c r="BS15" t="str">
        <f t="shared" si="17"/>
        <v>-</v>
      </c>
      <c r="BT15" t="s">
        <v>108</v>
      </c>
    </row>
    <row r="16" spans="1:72" x14ac:dyDescent="0.4">
      <c r="A16" s="3">
        <v>13</v>
      </c>
      <c r="B16" s="3">
        <v>13</v>
      </c>
      <c r="C16" s="4">
        <v>194112</v>
      </c>
      <c r="D16" s="4" t="str">
        <f t="shared" si="19"/>
        <v>194112</v>
      </c>
      <c r="E16" s="4">
        <v>194112</v>
      </c>
      <c r="F16" s="4" t="str">
        <f t="shared" si="5"/>
        <v>1941125</v>
      </c>
      <c r="G16" s="4" t="s">
        <v>81</v>
      </c>
      <c r="H16" s="5">
        <v>2001234825184</v>
      </c>
      <c r="I16" s="5">
        <v>5</v>
      </c>
      <c r="J16" s="5"/>
      <c r="K16" s="5">
        <v>1</v>
      </c>
      <c r="L16" s="5">
        <v>1</v>
      </c>
      <c r="M16" s="4">
        <v>2800</v>
      </c>
      <c r="N16" s="4">
        <v>2330</v>
      </c>
      <c r="O16" s="4">
        <v>1400</v>
      </c>
      <c r="P16" s="6">
        <f t="shared" si="6"/>
        <v>0.39914163090128751</v>
      </c>
      <c r="Q16" s="4" t="s">
        <v>99</v>
      </c>
      <c r="R16" s="4"/>
      <c r="S16" s="4"/>
      <c r="T16" s="4"/>
      <c r="U16" s="4"/>
      <c r="V16" s="4"/>
      <c r="W16" s="4"/>
      <c r="X16" s="4"/>
      <c r="Y16" s="4"/>
      <c r="Z16" s="4">
        <v>3000</v>
      </c>
      <c r="AA16" s="4">
        <f t="shared" si="20"/>
        <v>3000</v>
      </c>
      <c r="AB16" s="4">
        <v>1500</v>
      </c>
      <c r="AC16" s="4">
        <f t="shared" si="21"/>
        <v>1500</v>
      </c>
      <c r="AD16" s="4"/>
      <c r="AE16" s="21">
        <f t="shared" si="0"/>
        <v>2496</v>
      </c>
      <c r="AF16" s="6">
        <f t="shared" si="9"/>
        <v>0.39903846153846156</v>
      </c>
      <c r="AG16" s="33">
        <v>0</v>
      </c>
      <c r="AH16" s="4" t="str">
        <f t="shared" si="22"/>
        <v>-</v>
      </c>
      <c r="AI16" s="33" t="str">
        <f t="shared" si="11"/>
        <v>-</v>
      </c>
      <c r="AJ16" s="6" t="str">
        <f t="shared" si="12"/>
        <v>-</v>
      </c>
      <c r="AK16" s="7">
        <v>2480</v>
      </c>
      <c r="AL16" s="6">
        <f t="shared" si="1"/>
        <v>0.39516129032258063</v>
      </c>
      <c r="AM16" s="4">
        <f t="shared" si="2"/>
        <v>980</v>
      </c>
      <c r="AN16" s="28"/>
      <c r="AO16" s="6"/>
      <c r="AP16" s="6"/>
      <c r="AQ16" s="6">
        <f t="shared" si="13"/>
        <v>1.0714285714285714</v>
      </c>
      <c r="AR16" s="6">
        <f t="shared" si="14"/>
        <v>1.0643776824034334</v>
      </c>
      <c r="AS16" s="6">
        <f t="shared" si="15"/>
        <v>1.0714285714285714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98</v>
      </c>
      <c r="BE16" s="4"/>
      <c r="BF16" s="4"/>
      <c r="BG16" s="4" t="s">
        <v>98</v>
      </c>
      <c r="BH16" s="4" t="s">
        <v>98</v>
      </c>
      <c r="BI16" s="4" t="s">
        <v>98</v>
      </c>
      <c r="BJ16" s="4" t="str">
        <f t="shared" si="23"/>
        <v>-</v>
      </c>
      <c r="BK16" s="19">
        <v>4</v>
      </c>
      <c r="BL16" s="19">
        <v>8</v>
      </c>
      <c r="BM16" s="16">
        <v>7</v>
      </c>
      <c r="BN16" s="41" t="s">
        <v>98</v>
      </c>
      <c r="BO16" t="s">
        <v>98</v>
      </c>
      <c r="BP16" t="str">
        <f t="shared" si="16"/>
        <v>-</v>
      </c>
      <c r="BQ16" t="s">
        <v>98</v>
      </c>
      <c r="BR16" t="s">
        <v>98</v>
      </c>
      <c r="BS16" t="str">
        <f t="shared" si="17"/>
        <v>-</v>
      </c>
      <c r="BT16" t="s">
        <v>98</v>
      </c>
    </row>
    <row r="17" spans="1:72" x14ac:dyDescent="0.4">
      <c r="A17" s="3">
        <v>14</v>
      </c>
      <c r="B17" s="3">
        <v>14</v>
      </c>
      <c r="C17" s="4">
        <v>194113</v>
      </c>
      <c r="D17" s="4" t="str">
        <f t="shared" si="19"/>
        <v>194113</v>
      </c>
      <c r="E17" s="4">
        <v>194113</v>
      </c>
      <c r="F17" s="4" t="str">
        <f t="shared" si="5"/>
        <v>1941135</v>
      </c>
      <c r="G17" s="4" t="s">
        <v>82</v>
      </c>
      <c r="H17" s="5">
        <v>2001234825191</v>
      </c>
      <c r="I17" s="5">
        <v>5</v>
      </c>
      <c r="J17" s="5"/>
      <c r="K17" s="5">
        <v>1</v>
      </c>
      <c r="L17" s="5">
        <v>1</v>
      </c>
      <c r="M17" s="4">
        <v>2000</v>
      </c>
      <c r="N17" s="4">
        <v>1463</v>
      </c>
      <c r="O17" s="4">
        <v>1000</v>
      </c>
      <c r="P17" s="6">
        <f t="shared" si="6"/>
        <v>0.31647300068352702</v>
      </c>
      <c r="Q17" s="4" t="s">
        <v>99</v>
      </c>
      <c r="R17" s="4"/>
      <c r="S17" s="4"/>
      <c r="T17" s="4"/>
      <c r="U17" s="4"/>
      <c r="V17" s="4"/>
      <c r="W17" s="4"/>
      <c r="X17" s="4"/>
      <c r="Y17" s="4"/>
      <c r="Z17" s="4">
        <v>2200</v>
      </c>
      <c r="AA17" s="4">
        <f t="shared" si="20"/>
        <v>2200</v>
      </c>
      <c r="AB17" s="4">
        <v>1100</v>
      </c>
      <c r="AC17" s="4">
        <f t="shared" si="21"/>
        <v>1100</v>
      </c>
      <c r="AD17" s="4"/>
      <c r="AE17" s="21">
        <f t="shared" si="0"/>
        <v>1609</v>
      </c>
      <c r="AF17" s="6">
        <f t="shared" si="9"/>
        <v>0.3163455562461156</v>
      </c>
      <c r="AG17" s="33">
        <v>0</v>
      </c>
      <c r="AH17" s="4">
        <f t="shared" si="22"/>
        <v>2200</v>
      </c>
      <c r="AI17" s="33">
        <f t="shared" si="11"/>
        <v>2420</v>
      </c>
      <c r="AJ17" s="6">
        <f t="shared" si="12"/>
        <v>0.54545454545454541</v>
      </c>
      <c r="AK17" s="7">
        <v>1800</v>
      </c>
      <c r="AL17" s="6">
        <f t="shared" si="1"/>
        <v>0.38888888888888884</v>
      </c>
      <c r="AM17" s="4">
        <f t="shared" si="2"/>
        <v>700</v>
      </c>
      <c r="AN17" s="28"/>
      <c r="AO17" s="6"/>
      <c r="AP17" s="6"/>
      <c r="AQ17" s="6">
        <f t="shared" si="13"/>
        <v>1.1000000000000001</v>
      </c>
      <c r="AR17" s="6">
        <f t="shared" si="14"/>
        <v>1.2303485987696514</v>
      </c>
      <c r="AS17" s="6">
        <f t="shared" si="15"/>
        <v>1.1000000000000001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127</v>
      </c>
      <c r="BE17" s="4"/>
      <c r="BF17" s="4"/>
      <c r="BG17" s="4" t="s">
        <v>118</v>
      </c>
      <c r="BH17" s="4">
        <v>2200</v>
      </c>
      <c r="BI17" s="4">
        <v>2200</v>
      </c>
      <c r="BJ17" s="4">
        <f t="shared" si="23"/>
        <v>2200</v>
      </c>
      <c r="BK17" s="19">
        <v>4</v>
      </c>
      <c r="BL17" s="19">
        <v>8</v>
      </c>
      <c r="BM17" s="16">
        <v>7</v>
      </c>
      <c r="BN17" s="41" t="s">
        <v>98</v>
      </c>
      <c r="BO17" t="s">
        <v>98</v>
      </c>
      <c r="BP17" t="str">
        <f t="shared" si="16"/>
        <v>-</v>
      </c>
      <c r="BQ17" t="s">
        <v>98</v>
      </c>
      <c r="BR17" t="s">
        <v>98</v>
      </c>
      <c r="BS17" t="str">
        <f t="shared" si="17"/>
        <v>-</v>
      </c>
      <c r="BT17" t="s">
        <v>109</v>
      </c>
    </row>
    <row r="18" spans="1:72" x14ac:dyDescent="0.4">
      <c r="A18" s="3">
        <v>15</v>
      </c>
      <c r="B18" s="3">
        <v>15</v>
      </c>
      <c r="C18" s="4">
        <v>194114</v>
      </c>
      <c r="D18" s="4" t="str">
        <f t="shared" si="19"/>
        <v>194114</v>
      </c>
      <c r="E18" s="4">
        <v>194114</v>
      </c>
      <c r="F18" s="4" t="str">
        <f t="shared" si="5"/>
        <v>1941145</v>
      </c>
      <c r="G18" s="4" t="s">
        <v>83</v>
      </c>
      <c r="H18" s="5">
        <v>2001234825207</v>
      </c>
      <c r="I18" s="5">
        <v>5</v>
      </c>
      <c r="J18" s="5"/>
      <c r="K18" s="5">
        <v>1</v>
      </c>
      <c r="L18" s="5">
        <v>1</v>
      </c>
      <c r="M18" s="4">
        <v>2200</v>
      </c>
      <c r="N18" s="4">
        <v>1727</v>
      </c>
      <c r="O18" s="4">
        <v>1100</v>
      </c>
      <c r="P18" s="6">
        <f t="shared" si="6"/>
        <v>0.36305732484076436</v>
      </c>
      <c r="Q18" s="4" t="s">
        <v>99</v>
      </c>
      <c r="R18" s="4"/>
      <c r="S18" s="4"/>
      <c r="T18" s="4"/>
      <c r="U18" s="4"/>
      <c r="V18" s="4"/>
      <c r="W18" s="4"/>
      <c r="X18" s="4"/>
      <c r="Y18" s="4"/>
      <c r="Z18" s="4">
        <v>2400</v>
      </c>
      <c r="AA18" s="4">
        <f t="shared" si="20"/>
        <v>2400</v>
      </c>
      <c r="AB18" s="4">
        <v>1200</v>
      </c>
      <c r="AC18" s="4">
        <f t="shared" si="21"/>
        <v>1200</v>
      </c>
      <c r="AD18" s="4"/>
      <c r="AE18" s="21">
        <f t="shared" si="0"/>
        <v>1884</v>
      </c>
      <c r="AF18" s="6">
        <f t="shared" si="9"/>
        <v>0.36305732484076436</v>
      </c>
      <c r="AG18" s="33">
        <v>0</v>
      </c>
      <c r="AH18" s="4">
        <f t="shared" si="22"/>
        <v>2400</v>
      </c>
      <c r="AI18" s="33">
        <f t="shared" si="11"/>
        <v>2618.181818181818</v>
      </c>
      <c r="AJ18" s="6">
        <f t="shared" si="12"/>
        <v>0.54166666666666663</v>
      </c>
      <c r="AK18" s="7">
        <v>1980</v>
      </c>
      <c r="AL18" s="6">
        <f t="shared" si="1"/>
        <v>0.39393939393939392</v>
      </c>
      <c r="AM18" s="4">
        <f t="shared" si="2"/>
        <v>780</v>
      </c>
      <c r="AN18" s="28"/>
      <c r="AO18" s="6"/>
      <c r="AP18" s="6"/>
      <c r="AQ18" s="6">
        <f t="shared" si="13"/>
        <v>1.0909090909090908</v>
      </c>
      <c r="AR18" s="6">
        <f t="shared" si="14"/>
        <v>1.1464968152866242</v>
      </c>
      <c r="AS18" s="6">
        <f t="shared" si="15"/>
        <v>1.0909090909090908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128</v>
      </c>
      <c r="BE18" s="4"/>
      <c r="BF18" s="4"/>
      <c r="BG18" s="4" t="s">
        <v>118</v>
      </c>
      <c r="BH18" s="4">
        <v>2400</v>
      </c>
      <c r="BI18" s="4">
        <v>2400</v>
      </c>
      <c r="BJ18" s="4">
        <f t="shared" si="23"/>
        <v>2400</v>
      </c>
      <c r="BK18" s="19">
        <v>4</v>
      </c>
      <c r="BL18" s="19">
        <v>8</v>
      </c>
      <c r="BM18" s="16">
        <v>7</v>
      </c>
      <c r="BN18" s="41" t="s">
        <v>98</v>
      </c>
      <c r="BO18" t="s">
        <v>98</v>
      </c>
      <c r="BP18" t="str">
        <f t="shared" si="16"/>
        <v>-</v>
      </c>
      <c r="BQ18" t="s">
        <v>98</v>
      </c>
      <c r="BR18" t="s">
        <v>98</v>
      </c>
      <c r="BS18" t="str">
        <f t="shared" si="17"/>
        <v>-</v>
      </c>
      <c r="BT18" t="s">
        <v>110</v>
      </c>
    </row>
    <row r="19" spans="1:72" x14ac:dyDescent="0.4">
      <c r="A19" s="3">
        <v>16</v>
      </c>
      <c r="B19" s="3">
        <v>16</v>
      </c>
      <c r="C19" s="4">
        <v>194115</v>
      </c>
      <c r="D19" s="4" t="str">
        <f t="shared" si="19"/>
        <v>194115</v>
      </c>
      <c r="E19" s="4">
        <v>194115</v>
      </c>
      <c r="F19" s="4" t="str">
        <f t="shared" si="5"/>
        <v>1941155</v>
      </c>
      <c r="G19" s="4" t="s">
        <v>84</v>
      </c>
      <c r="H19" s="5">
        <v>2001234825214</v>
      </c>
      <c r="I19" s="5">
        <v>5</v>
      </c>
      <c r="J19" s="5"/>
      <c r="K19" s="5">
        <v>1</v>
      </c>
      <c r="L19" s="5">
        <v>1</v>
      </c>
      <c r="M19" s="4">
        <v>2800</v>
      </c>
      <c r="N19" s="4">
        <v>2330</v>
      </c>
      <c r="O19" s="4">
        <v>1400</v>
      </c>
      <c r="P19" s="6">
        <f t="shared" si="6"/>
        <v>0.39914163090128751</v>
      </c>
      <c r="Q19" s="4" t="s">
        <v>99</v>
      </c>
      <c r="R19" s="4"/>
      <c r="S19" s="4"/>
      <c r="T19" s="4"/>
      <c r="U19" s="4"/>
      <c r="V19" s="4"/>
      <c r="W19" s="4"/>
      <c r="X19" s="4"/>
      <c r="Y19" s="4"/>
      <c r="Z19" s="4">
        <v>3000</v>
      </c>
      <c r="AA19" s="4">
        <f t="shared" si="20"/>
        <v>3000</v>
      </c>
      <c r="AB19" s="4">
        <v>1500</v>
      </c>
      <c r="AC19" s="4">
        <f t="shared" si="21"/>
        <v>1500</v>
      </c>
      <c r="AD19" s="4"/>
      <c r="AE19" s="21">
        <f t="shared" si="0"/>
        <v>2496</v>
      </c>
      <c r="AF19" s="6">
        <f t="shared" si="9"/>
        <v>0.39903846153846156</v>
      </c>
      <c r="AG19" s="33">
        <v>0.25</v>
      </c>
      <c r="AH19" s="4" t="str">
        <f t="shared" si="22"/>
        <v>-</v>
      </c>
      <c r="AI19" s="33" t="str">
        <f t="shared" si="11"/>
        <v>-</v>
      </c>
      <c r="AJ19" s="6" t="str">
        <f t="shared" si="12"/>
        <v>-</v>
      </c>
      <c r="AK19" s="7">
        <v>2480</v>
      </c>
      <c r="AL19" s="6">
        <f t="shared" si="1"/>
        <v>0.39516129032258063</v>
      </c>
      <c r="AM19" s="4">
        <f t="shared" si="2"/>
        <v>980</v>
      </c>
      <c r="AN19" s="28"/>
      <c r="AO19" s="6"/>
      <c r="AP19" s="6"/>
      <c r="AQ19" s="6">
        <f t="shared" si="13"/>
        <v>1.0714285714285714</v>
      </c>
      <c r="AR19" s="6">
        <f t="shared" si="14"/>
        <v>1.0643776824034334</v>
      </c>
      <c r="AS19" s="6">
        <f t="shared" si="15"/>
        <v>1.0714285714285714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98</v>
      </c>
      <c r="BE19" s="4"/>
      <c r="BF19" s="4"/>
      <c r="BG19" s="4" t="s">
        <v>98</v>
      </c>
      <c r="BH19" s="4" t="s">
        <v>98</v>
      </c>
      <c r="BI19" s="4" t="s">
        <v>98</v>
      </c>
      <c r="BJ19" s="4" t="str">
        <f t="shared" si="23"/>
        <v>-</v>
      </c>
      <c r="BK19" s="19">
        <v>4</v>
      </c>
      <c r="BL19" s="19">
        <v>8</v>
      </c>
      <c r="BM19" s="16">
        <v>7</v>
      </c>
      <c r="BN19" s="41" t="s">
        <v>98</v>
      </c>
      <c r="BO19" t="s">
        <v>98</v>
      </c>
      <c r="BP19" t="str">
        <f t="shared" si="16"/>
        <v>-</v>
      </c>
      <c r="BQ19" t="s">
        <v>98</v>
      </c>
      <c r="BR19" t="s">
        <v>98</v>
      </c>
      <c r="BS19" t="str">
        <f t="shared" si="17"/>
        <v>-</v>
      </c>
      <c r="BT19" t="s">
        <v>98</v>
      </c>
    </row>
    <row r="20" spans="1:72" x14ac:dyDescent="0.4">
      <c r="A20" s="3">
        <v>17</v>
      </c>
      <c r="B20" s="3">
        <v>17</v>
      </c>
      <c r="C20" s="4">
        <v>112229</v>
      </c>
      <c r="D20" s="4" t="str">
        <f t="shared" si="19"/>
        <v>112229</v>
      </c>
      <c r="E20" s="4">
        <v>112229</v>
      </c>
      <c r="F20" s="4" t="str">
        <f t="shared" si="5"/>
        <v>1122295</v>
      </c>
      <c r="G20" s="4" t="s">
        <v>85</v>
      </c>
      <c r="H20" s="5">
        <v>4992475550318</v>
      </c>
      <c r="I20" s="5">
        <v>5</v>
      </c>
      <c r="J20" s="5"/>
      <c r="K20" s="5">
        <v>1</v>
      </c>
      <c r="L20" s="5">
        <v>1</v>
      </c>
      <c r="M20" s="40">
        <v>770</v>
      </c>
      <c r="N20" s="4">
        <v>610</v>
      </c>
      <c r="O20" s="4">
        <v>423</v>
      </c>
      <c r="P20" s="6">
        <f t="shared" si="6"/>
        <v>0.30655737704918029</v>
      </c>
      <c r="Q20" s="4" t="s">
        <v>99</v>
      </c>
      <c r="R20" s="4"/>
      <c r="S20" s="4"/>
      <c r="T20" s="4"/>
      <c r="U20" s="4"/>
      <c r="V20" s="4"/>
      <c r="W20" s="4"/>
      <c r="X20" s="4"/>
      <c r="Y20" s="4"/>
      <c r="Z20" s="4">
        <v>980</v>
      </c>
      <c r="AA20" s="4">
        <f t="shared" si="20"/>
        <v>980</v>
      </c>
      <c r="AB20" s="4">
        <v>493</v>
      </c>
      <c r="AC20" s="4">
        <f t="shared" si="21"/>
        <v>493</v>
      </c>
      <c r="AD20" s="4"/>
      <c r="AE20" s="21">
        <f t="shared" si="0"/>
        <v>711</v>
      </c>
      <c r="AF20" s="6">
        <f t="shared" si="9"/>
        <v>0.30661040787623062</v>
      </c>
      <c r="AG20" s="33">
        <v>4.25</v>
      </c>
      <c r="AH20" s="4">
        <f t="shared" si="22"/>
        <v>782.2</v>
      </c>
      <c r="AI20" s="33">
        <f t="shared" si="11"/>
        <v>911.64208037825063</v>
      </c>
      <c r="AJ20" s="6">
        <f t="shared" si="12"/>
        <v>0.45921759140884688</v>
      </c>
      <c r="AK20" s="7">
        <v>780</v>
      </c>
      <c r="AL20" s="6">
        <f t="shared" si="1"/>
        <v>0.36794871794871797</v>
      </c>
      <c r="AM20" s="4">
        <f t="shared" si="2"/>
        <v>287</v>
      </c>
      <c r="AN20" s="28"/>
      <c r="AO20" s="6"/>
      <c r="AP20" s="6"/>
      <c r="AQ20" s="6">
        <f t="shared" si="13"/>
        <v>1.2727272727272727</v>
      </c>
      <c r="AR20" s="6">
        <f t="shared" si="14"/>
        <v>1.278688524590164</v>
      </c>
      <c r="AS20" s="6">
        <f t="shared" si="15"/>
        <v>1.16548463356974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129</v>
      </c>
      <c r="BE20" s="4">
        <v>1</v>
      </c>
      <c r="BF20" s="4">
        <v>5</v>
      </c>
      <c r="BG20" s="4" t="s">
        <v>130</v>
      </c>
      <c r="BH20" s="4">
        <v>3911</v>
      </c>
      <c r="BI20" s="4">
        <v>3911</v>
      </c>
      <c r="BJ20" s="4">
        <f t="shared" si="23"/>
        <v>782.2</v>
      </c>
      <c r="BK20" s="19">
        <v>4</v>
      </c>
      <c r="BL20" s="19">
        <v>1</v>
      </c>
      <c r="BM20" s="16">
        <v>7</v>
      </c>
      <c r="BN20" s="41" t="s">
        <v>98</v>
      </c>
      <c r="BO20" t="s">
        <v>98</v>
      </c>
      <c r="BP20" t="str">
        <f t="shared" si="16"/>
        <v>-</v>
      </c>
      <c r="BQ20">
        <v>840</v>
      </c>
      <c r="BR20">
        <v>840</v>
      </c>
      <c r="BS20">
        <f t="shared" si="17"/>
        <v>979.00709219858163</v>
      </c>
      <c r="BT20" t="s">
        <v>111</v>
      </c>
    </row>
    <row r="21" spans="1:72" x14ac:dyDescent="0.4">
      <c r="A21" s="3">
        <v>18</v>
      </c>
      <c r="B21" s="3">
        <v>18</v>
      </c>
      <c r="C21" s="4">
        <v>112230</v>
      </c>
      <c r="D21" s="4" t="str">
        <f t="shared" si="19"/>
        <v>112230</v>
      </c>
      <c r="E21" s="4">
        <v>112230</v>
      </c>
      <c r="F21" s="4" t="str">
        <f t="shared" si="5"/>
        <v>1122305</v>
      </c>
      <c r="G21" s="4" t="s">
        <v>86</v>
      </c>
      <c r="H21" s="5">
        <v>4992475550516</v>
      </c>
      <c r="I21" s="5">
        <v>5</v>
      </c>
      <c r="J21" s="5"/>
      <c r="K21" s="5">
        <v>1</v>
      </c>
      <c r="L21" s="5">
        <v>1</v>
      </c>
      <c r="M21" s="40">
        <v>770</v>
      </c>
      <c r="N21" s="4">
        <v>610</v>
      </c>
      <c r="O21" s="4">
        <v>423</v>
      </c>
      <c r="P21" s="6">
        <f t="shared" si="6"/>
        <v>0.30655737704918029</v>
      </c>
      <c r="Q21" s="4" t="s">
        <v>99</v>
      </c>
      <c r="R21" s="4"/>
      <c r="S21" s="4"/>
      <c r="T21" s="4"/>
      <c r="U21" s="4"/>
      <c r="V21" s="4"/>
      <c r="W21" s="4"/>
      <c r="X21" s="4"/>
      <c r="Y21" s="4"/>
      <c r="Z21" s="4">
        <v>980</v>
      </c>
      <c r="AA21" s="4">
        <f t="shared" si="20"/>
        <v>980</v>
      </c>
      <c r="AB21" s="4">
        <v>493</v>
      </c>
      <c r="AC21" s="4">
        <f t="shared" si="21"/>
        <v>493</v>
      </c>
      <c r="AD21" s="4"/>
      <c r="AE21" s="21">
        <f t="shared" si="0"/>
        <v>711</v>
      </c>
      <c r="AF21" s="6">
        <f t="shared" si="9"/>
        <v>0.30661040787623062</v>
      </c>
      <c r="AG21" s="33">
        <v>0.25</v>
      </c>
      <c r="AH21" s="4">
        <f t="shared" si="22"/>
        <v>782.2</v>
      </c>
      <c r="AI21" s="33">
        <f t="shared" si="11"/>
        <v>911.64208037825063</v>
      </c>
      <c r="AJ21" s="6">
        <f t="shared" si="12"/>
        <v>0.45921759140884688</v>
      </c>
      <c r="AK21" s="7">
        <v>780</v>
      </c>
      <c r="AL21" s="6">
        <f t="shared" si="1"/>
        <v>0.36794871794871797</v>
      </c>
      <c r="AM21" s="4">
        <f t="shared" si="2"/>
        <v>287</v>
      </c>
      <c r="AN21" s="28"/>
      <c r="AO21" s="6"/>
      <c r="AP21" s="6"/>
      <c r="AQ21" s="6">
        <f t="shared" si="13"/>
        <v>1.2727272727272727</v>
      </c>
      <c r="AR21" s="6">
        <f t="shared" si="14"/>
        <v>1.278688524590164</v>
      </c>
      <c r="AS21" s="6">
        <f t="shared" si="15"/>
        <v>1.16548463356974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131</v>
      </c>
      <c r="BE21" s="4">
        <v>1</v>
      </c>
      <c r="BF21" s="4">
        <v>5</v>
      </c>
      <c r="BG21" s="4" t="s">
        <v>130</v>
      </c>
      <c r="BH21" s="4">
        <v>3911</v>
      </c>
      <c r="BI21" s="4">
        <v>3911</v>
      </c>
      <c r="BJ21" s="4">
        <f t="shared" si="23"/>
        <v>782.2</v>
      </c>
      <c r="BK21" s="19">
        <v>4</v>
      </c>
      <c r="BL21" s="19">
        <v>1</v>
      </c>
      <c r="BM21" s="16">
        <v>7</v>
      </c>
      <c r="BN21" s="41" t="s">
        <v>98</v>
      </c>
      <c r="BO21" t="s">
        <v>98</v>
      </c>
      <c r="BP21" t="str">
        <f t="shared" si="16"/>
        <v>-</v>
      </c>
      <c r="BQ21">
        <v>840</v>
      </c>
      <c r="BR21">
        <v>840</v>
      </c>
      <c r="BS21">
        <f t="shared" si="17"/>
        <v>979.00709219858163</v>
      </c>
      <c r="BT21" t="s">
        <v>112</v>
      </c>
    </row>
    <row r="22" spans="1:72" x14ac:dyDescent="0.4">
      <c r="A22" s="3">
        <v>19</v>
      </c>
      <c r="B22" s="3">
        <v>19</v>
      </c>
      <c r="C22" s="4">
        <v>112231</v>
      </c>
      <c r="D22" s="4" t="str">
        <f t="shared" si="19"/>
        <v>112231</v>
      </c>
      <c r="E22" s="4">
        <v>112231</v>
      </c>
      <c r="F22" s="4" t="str">
        <f t="shared" si="5"/>
        <v>1122315</v>
      </c>
      <c r="G22" s="4" t="s">
        <v>87</v>
      </c>
      <c r="H22" s="5">
        <v>4992475550219</v>
      </c>
      <c r="I22" s="5">
        <v>5</v>
      </c>
      <c r="J22" s="5"/>
      <c r="K22" s="5">
        <v>1</v>
      </c>
      <c r="L22" s="5">
        <v>1</v>
      </c>
      <c r="M22" s="40">
        <v>770</v>
      </c>
      <c r="N22" s="4">
        <v>610</v>
      </c>
      <c r="O22" s="4">
        <v>423</v>
      </c>
      <c r="P22" s="6">
        <f t="shared" si="6"/>
        <v>0.30655737704918029</v>
      </c>
      <c r="Q22" s="4" t="s">
        <v>99</v>
      </c>
      <c r="R22" s="4"/>
      <c r="S22" s="4"/>
      <c r="T22" s="4"/>
      <c r="U22" s="4"/>
      <c r="V22" s="4"/>
      <c r="W22" s="4"/>
      <c r="X22" s="4"/>
      <c r="Y22" s="4"/>
      <c r="Z22" s="4">
        <v>980</v>
      </c>
      <c r="AA22" s="4">
        <f t="shared" si="20"/>
        <v>980</v>
      </c>
      <c r="AB22" s="4">
        <v>493</v>
      </c>
      <c r="AC22" s="4">
        <f t="shared" si="21"/>
        <v>493</v>
      </c>
      <c r="AD22" s="4"/>
      <c r="AE22" s="21">
        <f t="shared" si="0"/>
        <v>711</v>
      </c>
      <c r="AF22" s="6">
        <f t="shared" si="9"/>
        <v>0.30661040787623062</v>
      </c>
      <c r="AG22" s="33">
        <v>0.25</v>
      </c>
      <c r="AH22" s="4">
        <f t="shared" si="22"/>
        <v>782.2</v>
      </c>
      <c r="AI22" s="33">
        <f t="shared" si="11"/>
        <v>911.64208037825063</v>
      </c>
      <c r="AJ22" s="6">
        <f t="shared" si="12"/>
        <v>0.45921759140884688</v>
      </c>
      <c r="AK22" s="7">
        <v>780</v>
      </c>
      <c r="AL22" s="6">
        <f t="shared" si="1"/>
        <v>0.36794871794871797</v>
      </c>
      <c r="AM22" s="4">
        <f t="shared" si="2"/>
        <v>287</v>
      </c>
      <c r="AN22" s="28"/>
      <c r="AO22" s="6"/>
      <c r="AP22" s="6"/>
      <c r="AQ22" s="6">
        <f t="shared" si="13"/>
        <v>1.2727272727272727</v>
      </c>
      <c r="AR22" s="6">
        <f t="shared" si="14"/>
        <v>1.278688524590164</v>
      </c>
      <c r="AS22" s="6">
        <f t="shared" si="15"/>
        <v>1.16548463356974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132</v>
      </c>
      <c r="BE22" s="4">
        <v>1</v>
      </c>
      <c r="BF22" s="4">
        <v>5</v>
      </c>
      <c r="BG22" s="4" t="s">
        <v>130</v>
      </c>
      <c r="BH22" s="4">
        <v>3911</v>
      </c>
      <c r="BI22" s="4">
        <v>3911</v>
      </c>
      <c r="BJ22" s="4">
        <f t="shared" si="23"/>
        <v>782.2</v>
      </c>
      <c r="BK22" s="19">
        <v>4</v>
      </c>
      <c r="BL22" s="19">
        <v>1</v>
      </c>
      <c r="BM22" s="16">
        <v>7</v>
      </c>
      <c r="BN22" s="41" t="s">
        <v>98</v>
      </c>
      <c r="BO22" t="s">
        <v>98</v>
      </c>
      <c r="BP22" t="str">
        <f t="shared" si="16"/>
        <v>-</v>
      </c>
      <c r="BQ22">
        <v>840</v>
      </c>
      <c r="BR22">
        <v>840</v>
      </c>
      <c r="BS22">
        <f t="shared" si="17"/>
        <v>979.00709219858163</v>
      </c>
      <c r="BT22" t="s">
        <v>113</v>
      </c>
    </row>
    <row r="23" spans="1:72" x14ac:dyDescent="0.4">
      <c r="A23" s="3">
        <v>20</v>
      </c>
      <c r="B23" s="3">
        <v>20</v>
      </c>
      <c r="C23" s="4">
        <v>134748</v>
      </c>
      <c r="D23" s="4" t="str">
        <f t="shared" ref="D23:D32" si="24">TEXT(C23,"000000")</f>
        <v>134748</v>
      </c>
      <c r="E23" s="4">
        <v>134748</v>
      </c>
      <c r="F23" s="4" t="str">
        <f t="shared" si="5"/>
        <v>1347485</v>
      </c>
      <c r="G23" s="4" t="s">
        <v>88</v>
      </c>
      <c r="H23" s="5">
        <v>712353160316</v>
      </c>
      <c r="I23" s="5">
        <v>5</v>
      </c>
      <c r="J23" s="5"/>
      <c r="K23" s="5">
        <v>1</v>
      </c>
      <c r="L23" s="5">
        <v>1</v>
      </c>
      <c r="M23" s="40">
        <v>528</v>
      </c>
      <c r="N23" s="4">
        <v>503</v>
      </c>
      <c r="O23" s="4">
        <v>316</v>
      </c>
      <c r="P23" s="6">
        <f t="shared" ref="P23:P32" si="25">IFERROR(1-O23/N23,"-")</f>
        <v>0.37176938369781309</v>
      </c>
      <c r="Q23" s="4" t="s">
        <v>99</v>
      </c>
      <c r="R23" s="4"/>
      <c r="S23" s="4"/>
      <c r="T23" s="4"/>
      <c r="U23" s="4"/>
      <c r="V23" s="4"/>
      <c r="W23" s="4"/>
      <c r="X23" s="4"/>
      <c r="Y23" s="4"/>
      <c r="Z23" s="4">
        <v>630</v>
      </c>
      <c r="AA23" s="4">
        <f t="shared" ref="AA23:AA32" si="26">IF(AD23="",Z23,Z23*AD23)</f>
        <v>630</v>
      </c>
      <c r="AB23" s="4">
        <v>398</v>
      </c>
      <c r="AC23" s="4">
        <f t="shared" ref="AC23:AC32" si="27">IF(AD23="",AB23,AB23*AD23)</f>
        <v>398</v>
      </c>
      <c r="AD23" s="4"/>
      <c r="AE23" s="21">
        <f t="shared" ref="AE23:AE32" si="28">ROUND(N23*AS23,0)</f>
        <v>634</v>
      </c>
      <c r="AF23" s="6">
        <f t="shared" ref="AF23:AF32" si="29">IFERROR(1-AC23/AE23,"-")</f>
        <v>0.37223974763406942</v>
      </c>
      <c r="AG23" s="33">
        <v>13</v>
      </c>
      <c r="AH23" s="4" t="str">
        <f t="shared" ref="AH23:AH32" si="30">BJ23</f>
        <v>-</v>
      </c>
      <c r="AI23" s="33" t="str">
        <f t="shared" ref="AI23:AI32" si="31">IFERROR(AH23*AS23,"-")</f>
        <v>-</v>
      </c>
      <c r="AJ23" s="6" t="str">
        <f t="shared" ref="AJ23:AJ32" si="32">IFERROR(1-AC23/AI23,"-")</f>
        <v>-</v>
      </c>
      <c r="AK23" s="7">
        <v>630</v>
      </c>
      <c r="AL23" s="6">
        <f t="shared" ref="AL23:AL32" si="33">1-AC23/AK23</f>
        <v>0.36825396825396828</v>
      </c>
      <c r="AM23" s="4">
        <f t="shared" ref="AM23:AM32" si="34">AK23-AC23</f>
        <v>232</v>
      </c>
      <c r="AN23" s="28"/>
      <c r="AO23" s="6"/>
      <c r="AP23" s="6"/>
      <c r="AQ23" s="6">
        <f t="shared" ref="AQ23:AQ32" si="35">IFERROR(AA23/M23,"-")</f>
        <v>1.1931818181818181</v>
      </c>
      <c r="AR23" s="6">
        <f t="shared" ref="AR23:AR32" si="36">IFERROR(AK23/N23,"-")</f>
        <v>1.2524850894632207</v>
      </c>
      <c r="AS23" s="6">
        <f t="shared" ref="AS23:AS32" si="37">IFERROR(AC23/O23,"-")</f>
        <v>1.259493670886076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98</v>
      </c>
      <c r="BE23" s="4"/>
      <c r="BF23" s="4"/>
      <c r="BG23" s="4" t="s">
        <v>98</v>
      </c>
      <c r="BH23" s="4" t="s">
        <v>98</v>
      </c>
      <c r="BI23" s="4" t="s">
        <v>98</v>
      </c>
      <c r="BJ23" s="4" t="str">
        <f t="shared" ref="BJ23:BJ32" si="38">IF(BE23="",BI23,BE23/BF23*BI23)</f>
        <v>-</v>
      </c>
      <c r="BK23" s="19">
        <v>4</v>
      </c>
      <c r="BL23" s="19">
        <v>1</v>
      </c>
      <c r="BM23" s="16">
        <v>7</v>
      </c>
      <c r="BN23" s="41" t="s">
        <v>98</v>
      </c>
      <c r="BO23" t="s">
        <v>98</v>
      </c>
      <c r="BP23" t="str">
        <f t="shared" si="16"/>
        <v>-</v>
      </c>
      <c r="BQ23" t="s">
        <v>98</v>
      </c>
      <c r="BR23" t="s">
        <v>98</v>
      </c>
      <c r="BS23" t="str">
        <f t="shared" si="17"/>
        <v>-</v>
      </c>
      <c r="BT23" t="s">
        <v>98</v>
      </c>
    </row>
    <row r="24" spans="1:72" x14ac:dyDescent="0.4">
      <c r="A24" s="3">
        <v>21</v>
      </c>
      <c r="B24" s="3">
        <v>21</v>
      </c>
      <c r="C24" s="4">
        <v>177842</v>
      </c>
      <c r="D24" s="4" t="str">
        <f t="shared" si="24"/>
        <v>177842</v>
      </c>
      <c r="E24" s="4">
        <v>177842</v>
      </c>
      <c r="F24" s="4" t="str">
        <f t="shared" si="5"/>
        <v>1778425</v>
      </c>
      <c r="G24" s="4" t="s">
        <v>89</v>
      </c>
      <c r="H24" s="5">
        <v>4992475380915</v>
      </c>
      <c r="I24" s="5">
        <v>5</v>
      </c>
      <c r="J24" s="5"/>
      <c r="K24" s="5">
        <v>1</v>
      </c>
      <c r="L24" s="5">
        <v>1</v>
      </c>
      <c r="M24" s="40">
        <v>770</v>
      </c>
      <c r="N24" s="4">
        <v>686</v>
      </c>
      <c r="O24" s="4">
        <v>462</v>
      </c>
      <c r="P24" s="6">
        <f t="shared" si="25"/>
        <v>0.32653061224489799</v>
      </c>
      <c r="Q24" s="4" t="s">
        <v>99</v>
      </c>
      <c r="R24" s="4"/>
      <c r="S24" s="4"/>
      <c r="T24" s="4"/>
      <c r="U24" s="4"/>
      <c r="V24" s="4"/>
      <c r="W24" s="4"/>
      <c r="X24" s="4"/>
      <c r="Y24" s="4"/>
      <c r="Z24" s="4">
        <v>880</v>
      </c>
      <c r="AA24" s="4">
        <f t="shared" si="26"/>
        <v>880</v>
      </c>
      <c r="AB24" s="4">
        <v>508</v>
      </c>
      <c r="AC24" s="4">
        <f t="shared" si="27"/>
        <v>508</v>
      </c>
      <c r="AD24" s="4"/>
      <c r="AE24" s="21">
        <f t="shared" si="28"/>
        <v>754</v>
      </c>
      <c r="AF24" s="6">
        <f t="shared" si="29"/>
        <v>0.32625994694960214</v>
      </c>
      <c r="AG24" s="33">
        <v>1.7500000000000002</v>
      </c>
      <c r="AH24" s="4" t="str">
        <f t="shared" si="30"/>
        <v>-</v>
      </c>
      <c r="AI24" s="33" t="str">
        <f t="shared" si="31"/>
        <v>-</v>
      </c>
      <c r="AJ24" s="6" t="str">
        <f t="shared" si="32"/>
        <v>-</v>
      </c>
      <c r="AK24" s="7">
        <v>790</v>
      </c>
      <c r="AL24" s="6">
        <f t="shared" si="33"/>
        <v>0.35696202531645571</v>
      </c>
      <c r="AM24" s="4">
        <f t="shared" si="34"/>
        <v>282</v>
      </c>
      <c r="AN24" s="28"/>
      <c r="AO24" s="6"/>
      <c r="AP24" s="6"/>
      <c r="AQ24" s="6">
        <f t="shared" si="35"/>
        <v>1.1428571428571428</v>
      </c>
      <c r="AR24" s="6">
        <f t="shared" si="36"/>
        <v>1.1516034985422741</v>
      </c>
      <c r="AS24" s="6">
        <f t="shared" si="37"/>
        <v>1.0995670995670996</v>
      </c>
      <c r="AT24" s="4"/>
      <c r="AU24" s="4"/>
      <c r="AV24" s="4"/>
      <c r="AW24" s="4"/>
      <c r="AX24" s="4"/>
      <c r="AY24" s="4"/>
      <c r="AZ24" s="4"/>
      <c r="BA24" s="4"/>
      <c r="BB24" s="4"/>
      <c r="BC24" s="4">
        <v>0</v>
      </c>
      <c r="BD24" s="4" t="s">
        <v>98</v>
      </c>
      <c r="BE24" s="4"/>
      <c r="BF24" s="4"/>
      <c r="BG24" s="4" t="s">
        <v>98</v>
      </c>
      <c r="BH24" s="4" t="s">
        <v>98</v>
      </c>
      <c r="BI24" s="4" t="s">
        <v>98</v>
      </c>
      <c r="BJ24" s="4" t="str">
        <f t="shared" si="38"/>
        <v>-</v>
      </c>
      <c r="BK24" s="19">
        <v>4</v>
      </c>
      <c r="BL24" s="19">
        <v>1</v>
      </c>
      <c r="BM24" s="16">
        <v>7</v>
      </c>
      <c r="BN24" s="41" t="s">
        <v>98</v>
      </c>
      <c r="BO24" t="s">
        <v>98</v>
      </c>
      <c r="BP24" t="str">
        <f t="shared" si="16"/>
        <v>-</v>
      </c>
      <c r="BQ24" t="s">
        <v>98</v>
      </c>
      <c r="BR24" t="s">
        <v>98</v>
      </c>
      <c r="BS24" t="str">
        <f t="shared" si="17"/>
        <v>-</v>
      </c>
      <c r="BT24" t="s">
        <v>98</v>
      </c>
    </row>
    <row r="25" spans="1:72" x14ac:dyDescent="0.4">
      <c r="A25" s="3">
        <v>22</v>
      </c>
      <c r="B25" s="3">
        <v>22</v>
      </c>
      <c r="C25" s="4">
        <v>183935</v>
      </c>
      <c r="D25" s="4" t="str">
        <f t="shared" si="24"/>
        <v>183935</v>
      </c>
      <c r="E25" s="4">
        <v>183935</v>
      </c>
      <c r="F25" s="4" t="str">
        <f t="shared" si="5"/>
        <v>1839355</v>
      </c>
      <c r="G25" s="4" t="s">
        <v>90</v>
      </c>
      <c r="H25" s="5">
        <v>4992475380823</v>
      </c>
      <c r="I25" s="5">
        <v>5</v>
      </c>
      <c r="J25" s="5"/>
      <c r="K25" s="5">
        <v>1</v>
      </c>
      <c r="L25" s="5">
        <v>1</v>
      </c>
      <c r="M25" s="40">
        <v>770</v>
      </c>
      <c r="N25" s="4">
        <v>640</v>
      </c>
      <c r="O25" s="4">
        <v>462</v>
      </c>
      <c r="P25" s="6">
        <f t="shared" si="25"/>
        <v>0.27812499999999996</v>
      </c>
      <c r="Q25" s="4" t="s">
        <v>99</v>
      </c>
      <c r="R25" s="4"/>
      <c r="S25" s="4"/>
      <c r="T25" s="4"/>
      <c r="U25" s="4"/>
      <c r="V25" s="4"/>
      <c r="W25" s="4"/>
      <c r="X25" s="4"/>
      <c r="Y25" s="4"/>
      <c r="Z25" s="4">
        <v>880</v>
      </c>
      <c r="AA25" s="4">
        <f t="shared" si="26"/>
        <v>880</v>
      </c>
      <c r="AB25" s="4">
        <v>508</v>
      </c>
      <c r="AC25" s="4">
        <f t="shared" si="27"/>
        <v>508</v>
      </c>
      <c r="AD25" s="4"/>
      <c r="AE25" s="21">
        <f t="shared" si="28"/>
        <v>704</v>
      </c>
      <c r="AF25" s="6">
        <f t="shared" si="29"/>
        <v>0.27840909090909094</v>
      </c>
      <c r="AG25" s="33">
        <v>0.25</v>
      </c>
      <c r="AH25" s="4" t="str">
        <f t="shared" si="30"/>
        <v>-</v>
      </c>
      <c r="AI25" s="33" t="str">
        <f t="shared" si="31"/>
        <v>-</v>
      </c>
      <c r="AJ25" s="6" t="str">
        <f t="shared" si="32"/>
        <v>-</v>
      </c>
      <c r="AK25" s="7">
        <v>790</v>
      </c>
      <c r="AL25" s="6">
        <f t="shared" si="33"/>
        <v>0.35696202531645571</v>
      </c>
      <c r="AM25" s="4">
        <f t="shared" si="34"/>
        <v>282</v>
      </c>
      <c r="AN25" s="28"/>
      <c r="AO25" s="6"/>
      <c r="AP25" s="6"/>
      <c r="AQ25" s="6">
        <f t="shared" si="35"/>
        <v>1.1428571428571428</v>
      </c>
      <c r="AR25" s="6">
        <f t="shared" si="36"/>
        <v>1.234375</v>
      </c>
      <c r="AS25" s="6">
        <f t="shared" si="37"/>
        <v>1.0995670995670996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98</v>
      </c>
      <c r="BE25" s="4"/>
      <c r="BF25" s="4"/>
      <c r="BG25" s="4" t="s">
        <v>98</v>
      </c>
      <c r="BH25" s="4" t="s">
        <v>98</v>
      </c>
      <c r="BI25" s="4" t="s">
        <v>98</v>
      </c>
      <c r="BJ25" s="4" t="str">
        <f t="shared" si="38"/>
        <v>-</v>
      </c>
      <c r="BK25" s="19">
        <v>4</v>
      </c>
      <c r="BL25" s="19">
        <v>1</v>
      </c>
      <c r="BM25" s="16">
        <v>7</v>
      </c>
      <c r="BN25" s="41" t="s">
        <v>98</v>
      </c>
      <c r="BO25" t="s">
        <v>98</v>
      </c>
      <c r="BP25" t="str">
        <f t="shared" si="16"/>
        <v>-</v>
      </c>
      <c r="BQ25">
        <v>800</v>
      </c>
      <c r="BR25">
        <v>800</v>
      </c>
      <c r="BS25">
        <f t="shared" si="17"/>
        <v>879.65367965367966</v>
      </c>
      <c r="BT25" t="s">
        <v>98</v>
      </c>
    </row>
    <row r="26" spans="1:72" x14ac:dyDescent="0.4">
      <c r="A26" s="3">
        <v>23</v>
      </c>
      <c r="B26" s="3">
        <v>23</v>
      </c>
      <c r="C26" s="4">
        <v>183936</v>
      </c>
      <c r="D26" s="4" t="str">
        <f t="shared" si="24"/>
        <v>183936</v>
      </c>
      <c r="E26" s="4">
        <v>183936</v>
      </c>
      <c r="F26" s="4" t="str">
        <f t="shared" si="5"/>
        <v>1839365</v>
      </c>
      <c r="G26" s="4" t="s">
        <v>91</v>
      </c>
      <c r="H26" s="5">
        <v>4992475380922</v>
      </c>
      <c r="I26" s="5">
        <v>5</v>
      </c>
      <c r="J26" s="5"/>
      <c r="K26" s="5">
        <v>1</v>
      </c>
      <c r="L26" s="5">
        <v>1</v>
      </c>
      <c r="M26" s="40">
        <v>770</v>
      </c>
      <c r="N26" s="4">
        <v>686</v>
      </c>
      <c r="O26" s="4">
        <v>462</v>
      </c>
      <c r="P26" s="6">
        <f t="shared" si="25"/>
        <v>0.32653061224489799</v>
      </c>
      <c r="Q26" s="4" t="s">
        <v>99</v>
      </c>
      <c r="R26" s="4"/>
      <c r="S26" s="4"/>
      <c r="T26" s="4"/>
      <c r="U26" s="4"/>
      <c r="V26" s="4"/>
      <c r="W26" s="4"/>
      <c r="X26" s="4"/>
      <c r="Y26" s="4"/>
      <c r="Z26" s="4">
        <v>880</v>
      </c>
      <c r="AA26" s="4">
        <f t="shared" si="26"/>
        <v>880</v>
      </c>
      <c r="AB26" s="4">
        <v>508</v>
      </c>
      <c r="AC26" s="4">
        <f t="shared" si="27"/>
        <v>508</v>
      </c>
      <c r="AD26" s="4"/>
      <c r="AE26" s="21">
        <f t="shared" si="28"/>
        <v>754</v>
      </c>
      <c r="AF26" s="6">
        <f t="shared" si="29"/>
        <v>0.32625994694960214</v>
      </c>
      <c r="AG26" s="33">
        <v>1</v>
      </c>
      <c r="AH26" s="4" t="str">
        <f t="shared" si="30"/>
        <v>-</v>
      </c>
      <c r="AI26" s="33" t="str">
        <f t="shared" si="31"/>
        <v>-</v>
      </c>
      <c r="AJ26" s="6" t="str">
        <f t="shared" si="32"/>
        <v>-</v>
      </c>
      <c r="AK26" s="7">
        <v>790</v>
      </c>
      <c r="AL26" s="6">
        <f t="shared" si="33"/>
        <v>0.35696202531645571</v>
      </c>
      <c r="AM26" s="4">
        <f t="shared" si="34"/>
        <v>282</v>
      </c>
      <c r="AN26" s="28"/>
      <c r="AO26" s="6"/>
      <c r="AP26" s="6"/>
      <c r="AQ26" s="6">
        <f t="shared" si="35"/>
        <v>1.1428571428571428</v>
      </c>
      <c r="AR26" s="6">
        <f t="shared" si="36"/>
        <v>1.1516034985422741</v>
      </c>
      <c r="AS26" s="6">
        <f t="shared" si="37"/>
        <v>1.0995670995670996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98</v>
      </c>
      <c r="BE26" s="4"/>
      <c r="BF26" s="4"/>
      <c r="BG26" s="4" t="s">
        <v>98</v>
      </c>
      <c r="BH26" s="4" t="s">
        <v>98</v>
      </c>
      <c r="BI26" s="4" t="s">
        <v>98</v>
      </c>
      <c r="BJ26" s="4" t="str">
        <f t="shared" si="38"/>
        <v>-</v>
      </c>
      <c r="BK26" s="19">
        <v>4</v>
      </c>
      <c r="BL26" s="19">
        <v>1</v>
      </c>
      <c r="BM26" s="16">
        <v>7</v>
      </c>
      <c r="BN26" s="41" t="s">
        <v>98</v>
      </c>
      <c r="BO26" t="s">
        <v>98</v>
      </c>
      <c r="BP26" t="str">
        <f t="shared" si="16"/>
        <v>-</v>
      </c>
      <c r="BQ26">
        <v>800</v>
      </c>
      <c r="BR26">
        <v>800</v>
      </c>
      <c r="BS26">
        <f t="shared" si="17"/>
        <v>879.65367965367966</v>
      </c>
      <c r="BT26" t="s">
        <v>98</v>
      </c>
    </row>
    <row r="27" spans="1:72" x14ac:dyDescent="0.4">
      <c r="A27" s="3">
        <v>24</v>
      </c>
      <c r="B27" s="3">
        <v>24</v>
      </c>
      <c r="C27" s="4">
        <v>190978</v>
      </c>
      <c r="D27" s="4" t="str">
        <f t="shared" si="24"/>
        <v>190978</v>
      </c>
      <c r="E27" s="4">
        <v>190978</v>
      </c>
      <c r="F27" s="4" t="str">
        <f t="shared" si="5"/>
        <v>1909785</v>
      </c>
      <c r="G27" s="4" t="s">
        <v>92</v>
      </c>
      <c r="H27" s="5">
        <v>4992475554811</v>
      </c>
      <c r="I27" s="5">
        <v>5</v>
      </c>
      <c r="J27" s="5"/>
      <c r="K27" s="5">
        <v>1</v>
      </c>
      <c r="L27" s="5">
        <v>1</v>
      </c>
      <c r="M27" s="40">
        <v>495</v>
      </c>
      <c r="N27" s="4">
        <v>344</v>
      </c>
      <c r="O27" s="4">
        <v>297</v>
      </c>
      <c r="P27" s="6">
        <f t="shared" si="25"/>
        <v>0.13662790697674421</v>
      </c>
      <c r="Q27" s="4" t="s">
        <v>99</v>
      </c>
      <c r="R27" s="4"/>
      <c r="S27" s="4"/>
      <c r="T27" s="4"/>
      <c r="U27" s="4"/>
      <c r="V27" s="4"/>
      <c r="W27" s="4"/>
      <c r="X27" s="4"/>
      <c r="Y27" s="4"/>
      <c r="Z27" s="4">
        <v>750</v>
      </c>
      <c r="AA27" s="4">
        <f t="shared" si="26"/>
        <v>750</v>
      </c>
      <c r="AB27" s="4">
        <v>405</v>
      </c>
      <c r="AC27" s="4">
        <f t="shared" si="27"/>
        <v>405</v>
      </c>
      <c r="AD27" s="4"/>
      <c r="AE27" s="21">
        <f t="shared" si="28"/>
        <v>469</v>
      </c>
      <c r="AF27" s="6">
        <f t="shared" si="29"/>
        <v>0.13646055437100213</v>
      </c>
      <c r="AG27" s="33">
        <v>0.5</v>
      </c>
      <c r="AH27" s="4" t="str">
        <f t="shared" si="30"/>
        <v>-</v>
      </c>
      <c r="AI27" s="33" t="str">
        <f t="shared" si="31"/>
        <v>-</v>
      </c>
      <c r="AJ27" s="6" t="str">
        <f t="shared" si="32"/>
        <v>-</v>
      </c>
      <c r="AK27" s="7">
        <v>630</v>
      </c>
      <c r="AL27" s="6">
        <f t="shared" si="33"/>
        <v>0.3571428571428571</v>
      </c>
      <c r="AM27" s="4">
        <f t="shared" si="34"/>
        <v>225</v>
      </c>
      <c r="AN27" s="28"/>
      <c r="AO27" s="6"/>
      <c r="AP27" s="6"/>
      <c r="AQ27" s="6">
        <f t="shared" si="35"/>
        <v>1.5151515151515151</v>
      </c>
      <c r="AR27" s="6">
        <f t="shared" si="36"/>
        <v>1.8313953488372092</v>
      </c>
      <c r="AS27" s="6">
        <f t="shared" si="37"/>
        <v>1.3636363636363635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98</v>
      </c>
      <c r="BE27" s="4"/>
      <c r="BF27" s="4"/>
      <c r="BG27" s="4" t="s">
        <v>98</v>
      </c>
      <c r="BH27" s="4" t="s">
        <v>98</v>
      </c>
      <c r="BI27" s="4" t="s">
        <v>98</v>
      </c>
      <c r="BJ27" s="4" t="str">
        <f t="shared" si="38"/>
        <v>-</v>
      </c>
      <c r="BK27" s="19">
        <v>4</v>
      </c>
      <c r="BL27" s="19">
        <v>1</v>
      </c>
      <c r="BM27" s="16">
        <v>7</v>
      </c>
      <c r="BN27" s="41" t="s">
        <v>98</v>
      </c>
      <c r="BO27" t="s">
        <v>98</v>
      </c>
      <c r="BP27" t="str">
        <f t="shared" si="16"/>
        <v>-</v>
      </c>
      <c r="BQ27">
        <v>550</v>
      </c>
      <c r="BR27">
        <v>550</v>
      </c>
      <c r="BS27">
        <f t="shared" si="17"/>
        <v>750</v>
      </c>
      <c r="BT27" t="s">
        <v>98</v>
      </c>
    </row>
    <row r="28" spans="1:72" x14ac:dyDescent="0.4">
      <c r="A28" s="3">
        <v>25</v>
      </c>
      <c r="B28" s="3">
        <v>25</v>
      </c>
      <c r="C28" s="4">
        <v>946574</v>
      </c>
      <c r="D28" s="4" t="str">
        <f t="shared" si="24"/>
        <v>946574</v>
      </c>
      <c r="E28" s="4">
        <v>946574</v>
      </c>
      <c r="F28" s="4" t="str">
        <f t="shared" si="5"/>
        <v>9465745</v>
      </c>
      <c r="G28" s="4" t="s">
        <v>93</v>
      </c>
      <c r="H28" s="5">
        <v>4992475550417</v>
      </c>
      <c r="I28" s="5">
        <v>5</v>
      </c>
      <c r="J28" s="5"/>
      <c r="K28" s="5">
        <v>1</v>
      </c>
      <c r="L28" s="5">
        <v>1</v>
      </c>
      <c r="M28" s="40">
        <v>770</v>
      </c>
      <c r="N28" s="4">
        <v>661</v>
      </c>
      <c r="O28" s="4">
        <v>462</v>
      </c>
      <c r="P28" s="6">
        <f t="shared" si="25"/>
        <v>0.30105900151285936</v>
      </c>
      <c r="Q28" s="4" t="s">
        <v>99</v>
      </c>
      <c r="R28" s="4"/>
      <c r="S28" s="4"/>
      <c r="T28" s="4"/>
      <c r="U28" s="4"/>
      <c r="V28" s="4"/>
      <c r="W28" s="4"/>
      <c r="X28" s="4"/>
      <c r="Y28" s="4"/>
      <c r="Z28" s="4">
        <v>980</v>
      </c>
      <c r="AA28" s="4">
        <f t="shared" si="26"/>
        <v>980</v>
      </c>
      <c r="AB28" s="4">
        <v>539</v>
      </c>
      <c r="AC28" s="4">
        <f t="shared" si="27"/>
        <v>539</v>
      </c>
      <c r="AD28" s="4"/>
      <c r="AE28" s="21">
        <f t="shared" si="28"/>
        <v>771</v>
      </c>
      <c r="AF28" s="6">
        <f t="shared" si="29"/>
        <v>0.30090791180285348</v>
      </c>
      <c r="AG28" s="33">
        <v>2</v>
      </c>
      <c r="AH28" s="4">
        <f t="shared" si="30"/>
        <v>782.2</v>
      </c>
      <c r="AI28" s="33">
        <f t="shared" si="31"/>
        <v>912.56666666666683</v>
      </c>
      <c r="AJ28" s="6">
        <f t="shared" si="32"/>
        <v>0.40935822040398884</v>
      </c>
      <c r="AK28" s="7">
        <v>880</v>
      </c>
      <c r="AL28" s="6">
        <f t="shared" si="33"/>
        <v>0.38749999999999996</v>
      </c>
      <c r="AM28" s="4">
        <f t="shared" si="34"/>
        <v>341</v>
      </c>
      <c r="AN28" s="28"/>
      <c r="AO28" s="6"/>
      <c r="AP28" s="6"/>
      <c r="AQ28" s="6">
        <f t="shared" si="35"/>
        <v>1.2727272727272727</v>
      </c>
      <c r="AR28" s="6">
        <f t="shared" si="36"/>
        <v>1.3313161875945536</v>
      </c>
      <c r="AS28" s="6">
        <f t="shared" si="37"/>
        <v>1.1666666666666667</v>
      </c>
      <c r="AT28" s="4"/>
      <c r="AU28" s="4"/>
      <c r="AV28" s="4"/>
      <c r="AW28" s="4"/>
      <c r="AX28" s="4"/>
      <c r="AY28" s="4"/>
      <c r="AZ28" s="4"/>
      <c r="BA28" s="4"/>
      <c r="BB28" s="4"/>
      <c r="BC28" s="4">
        <v>0</v>
      </c>
      <c r="BD28" s="4" t="s">
        <v>133</v>
      </c>
      <c r="BE28" s="4">
        <v>1</v>
      </c>
      <c r="BF28" s="4">
        <v>5</v>
      </c>
      <c r="BG28" s="4" t="s">
        <v>130</v>
      </c>
      <c r="BH28" s="4">
        <v>3911</v>
      </c>
      <c r="BI28" s="4">
        <v>3911</v>
      </c>
      <c r="BJ28" s="4">
        <f t="shared" si="38"/>
        <v>782.2</v>
      </c>
      <c r="BK28" s="19">
        <v>4</v>
      </c>
      <c r="BL28" s="19">
        <v>1</v>
      </c>
      <c r="BM28" s="16">
        <v>7</v>
      </c>
      <c r="BN28" s="41" t="s">
        <v>98</v>
      </c>
      <c r="BO28" t="s">
        <v>98</v>
      </c>
      <c r="BP28" t="str">
        <f t="shared" si="16"/>
        <v>-</v>
      </c>
      <c r="BQ28">
        <v>840</v>
      </c>
      <c r="BR28">
        <v>840</v>
      </c>
      <c r="BS28">
        <f t="shared" si="17"/>
        <v>980.00000000000011</v>
      </c>
      <c r="BT28" t="s">
        <v>114</v>
      </c>
    </row>
    <row r="29" spans="1:72" x14ac:dyDescent="0.4">
      <c r="A29" s="3">
        <v>26</v>
      </c>
      <c r="B29" s="3">
        <v>26</v>
      </c>
      <c r="C29" s="4">
        <v>946575</v>
      </c>
      <c r="D29" s="4" t="str">
        <f t="shared" si="24"/>
        <v>946575</v>
      </c>
      <c r="E29" s="4">
        <v>946575</v>
      </c>
      <c r="F29" s="4" t="str">
        <f t="shared" si="5"/>
        <v>9465755</v>
      </c>
      <c r="G29" s="4" t="s">
        <v>94</v>
      </c>
      <c r="H29" s="5">
        <v>4992475020569</v>
      </c>
      <c r="I29" s="5">
        <v>5</v>
      </c>
      <c r="J29" s="5"/>
      <c r="K29" s="5">
        <v>1</v>
      </c>
      <c r="L29" s="5">
        <v>1</v>
      </c>
      <c r="M29" s="4">
        <v>840</v>
      </c>
      <c r="N29" s="4">
        <v>780</v>
      </c>
      <c r="O29" s="4">
        <v>504</v>
      </c>
      <c r="P29" s="6">
        <f t="shared" si="25"/>
        <v>0.35384615384615381</v>
      </c>
      <c r="Q29" s="4" t="s">
        <v>99</v>
      </c>
      <c r="R29" s="4"/>
      <c r="S29" s="4"/>
      <c r="T29" s="4"/>
      <c r="U29" s="4"/>
      <c r="V29" s="4"/>
      <c r="W29" s="4"/>
      <c r="X29" s="4"/>
      <c r="Y29" s="4"/>
      <c r="Z29" s="4">
        <v>980</v>
      </c>
      <c r="AA29" s="4">
        <f t="shared" si="26"/>
        <v>980</v>
      </c>
      <c r="AB29" s="4">
        <v>588</v>
      </c>
      <c r="AC29" s="4">
        <f t="shared" si="27"/>
        <v>588</v>
      </c>
      <c r="AD29" s="4"/>
      <c r="AE29" s="21">
        <f t="shared" si="28"/>
        <v>910</v>
      </c>
      <c r="AF29" s="6">
        <f t="shared" si="29"/>
        <v>0.35384615384615381</v>
      </c>
      <c r="AG29" s="33">
        <v>2.5</v>
      </c>
      <c r="AH29" s="4">
        <f t="shared" si="30"/>
        <v>630</v>
      </c>
      <c r="AI29" s="33">
        <f t="shared" si="31"/>
        <v>735</v>
      </c>
      <c r="AJ29" s="6">
        <f t="shared" si="32"/>
        <v>0.19999999999999996</v>
      </c>
      <c r="AK29" s="7">
        <v>880</v>
      </c>
      <c r="AL29" s="6">
        <f t="shared" si="33"/>
        <v>0.33181818181818179</v>
      </c>
      <c r="AM29" s="4">
        <f t="shared" si="34"/>
        <v>292</v>
      </c>
      <c r="AN29" s="28"/>
      <c r="AO29" s="6"/>
      <c r="AP29" s="6"/>
      <c r="AQ29" s="6">
        <f t="shared" si="35"/>
        <v>1.1666666666666667</v>
      </c>
      <c r="AR29" s="6">
        <f t="shared" si="36"/>
        <v>1.1282051282051282</v>
      </c>
      <c r="AS29" s="6">
        <f t="shared" si="37"/>
        <v>1.1666666666666667</v>
      </c>
      <c r="AT29" s="4"/>
      <c r="AU29" s="4"/>
      <c r="AV29" s="4"/>
      <c r="AW29" s="4"/>
      <c r="AX29" s="4"/>
      <c r="AY29" s="4"/>
      <c r="AZ29" s="4"/>
      <c r="BA29" s="4"/>
      <c r="BB29" s="4"/>
      <c r="BC29" s="4">
        <v>0</v>
      </c>
      <c r="BD29" s="4" t="s">
        <v>134</v>
      </c>
      <c r="BE29" s="4">
        <v>1</v>
      </c>
      <c r="BF29" s="4">
        <v>2</v>
      </c>
      <c r="BG29" s="4" t="s">
        <v>135</v>
      </c>
      <c r="BH29" s="4">
        <v>1260</v>
      </c>
      <c r="BI29" s="4">
        <v>1260</v>
      </c>
      <c r="BJ29" s="4">
        <f t="shared" si="38"/>
        <v>630</v>
      </c>
      <c r="BK29" s="19">
        <v>4</v>
      </c>
      <c r="BL29" s="19">
        <v>1</v>
      </c>
      <c r="BM29" s="16">
        <v>7</v>
      </c>
      <c r="BN29" s="41" t="s">
        <v>98</v>
      </c>
      <c r="BO29" t="s">
        <v>98</v>
      </c>
      <c r="BP29" t="str">
        <f t="shared" si="16"/>
        <v>-</v>
      </c>
      <c r="BQ29">
        <v>840</v>
      </c>
      <c r="BR29">
        <v>840</v>
      </c>
      <c r="BS29">
        <f t="shared" si="17"/>
        <v>980.00000000000011</v>
      </c>
      <c r="BT29" t="s">
        <v>115</v>
      </c>
    </row>
    <row r="30" spans="1:72" x14ac:dyDescent="0.4">
      <c r="A30" s="3">
        <v>27</v>
      </c>
      <c r="B30" s="3">
        <v>27</v>
      </c>
      <c r="C30" s="4" t="s">
        <v>66</v>
      </c>
      <c r="D30" s="4" t="str">
        <f t="shared" si="24"/>
        <v>J0124Y</v>
      </c>
      <c r="E30" s="4" t="s">
        <v>66</v>
      </c>
      <c r="F30" s="4" t="str">
        <f t="shared" si="5"/>
        <v>J0124Y5</v>
      </c>
      <c r="G30" s="4" t="s">
        <v>95</v>
      </c>
      <c r="H30" s="5">
        <v>4992475301149</v>
      </c>
      <c r="I30" s="5">
        <v>5</v>
      </c>
      <c r="J30" s="5"/>
      <c r="K30" s="5">
        <v>1</v>
      </c>
      <c r="L30" s="5">
        <v>1</v>
      </c>
      <c r="M30" s="40">
        <v>330</v>
      </c>
      <c r="N30" s="4">
        <v>317</v>
      </c>
      <c r="O30" s="4">
        <v>198</v>
      </c>
      <c r="P30" s="6">
        <f t="shared" si="25"/>
        <v>0.37539432176656151</v>
      </c>
      <c r="Q30" s="4" t="s">
        <v>99</v>
      </c>
      <c r="R30" s="4"/>
      <c r="S30" s="4"/>
      <c r="T30" s="4"/>
      <c r="U30" s="4"/>
      <c r="V30" s="4"/>
      <c r="W30" s="4"/>
      <c r="X30" s="4"/>
      <c r="Y30" s="4"/>
      <c r="Z30" s="4">
        <v>380</v>
      </c>
      <c r="AA30" s="4">
        <f t="shared" si="26"/>
        <v>380</v>
      </c>
      <c r="AB30" s="4">
        <v>250</v>
      </c>
      <c r="AC30" s="4">
        <f t="shared" si="27"/>
        <v>250</v>
      </c>
      <c r="AD30" s="4"/>
      <c r="AE30" s="21">
        <f t="shared" si="28"/>
        <v>400</v>
      </c>
      <c r="AF30" s="6">
        <f t="shared" si="29"/>
        <v>0.375</v>
      </c>
      <c r="AG30" s="33">
        <v>0</v>
      </c>
      <c r="AH30" s="4">
        <f t="shared" si="30"/>
        <v>400</v>
      </c>
      <c r="AI30" s="33">
        <f t="shared" si="31"/>
        <v>505.05050505050502</v>
      </c>
      <c r="AJ30" s="6">
        <f t="shared" si="32"/>
        <v>0.50499999999999989</v>
      </c>
      <c r="AK30" s="7">
        <v>380</v>
      </c>
      <c r="AL30" s="6">
        <f t="shared" si="33"/>
        <v>0.34210526315789469</v>
      </c>
      <c r="AM30" s="4">
        <f t="shared" si="34"/>
        <v>130</v>
      </c>
      <c r="AN30" s="28"/>
      <c r="AO30" s="6"/>
      <c r="AP30" s="6"/>
      <c r="AQ30" s="6">
        <f t="shared" si="35"/>
        <v>1.1515151515151516</v>
      </c>
      <c r="AR30" s="6">
        <f t="shared" si="36"/>
        <v>1.1987381703470033</v>
      </c>
      <c r="AS30" s="6">
        <f t="shared" si="37"/>
        <v>1.2626262626262625</v>
      </c>
      <c r="AT30" s="4"/>
      <c r="AU30" s="4"/>
      <c r="AV30" s="4"/>
      <c r="AW30" s="4"/>
      <c r="AX30" s="4"/>
      <c r="AY30" s="4"/>
      <c r="AZ30" s="4"/>
      <c r="BA30" s="4"/>
      <c r="BB30" s="4"/>
      <c r="BC30" s="4">
        <v>0</v>
      </c>
      <c r="BD30" s="4" t="s">
        <v>136</v>
      </c>
      <c r="BE30" s="4">
        <v>1</v>
      </c>
      <c r="BF30" s="4">
        <v>5</v>
      </c>
      <c r="BG30" s="4" t="s">
        <v>137</v>
      </c>
      <c r="BH30" s="4">
        <v>2000</v>
      </c>
      <c r="BI30" s="4">
        <v>2000</v>
      </c>
      <c r="BJ30" s="4">
        <f t="shared" si="38"/>
        <v>400</v>
      </c>
      <c r="BK30" s="19">
        <v>4</v>
      </c>
      <c r="BL30" s="19">
        <v>8</v>
      </c>
      <c r="BM30" s="16">
        <v>7</v>
      </c>
      <c r="BN30" s="41" t="s">
        <v>98</v>
      </c>
      <c r="BO30" t="s">
        <v>98</v>
      </c>
      <c r="BP30" t="str">
        <f t="shared" si="16"/>
        <v>-</v>
      </c>
      <c r="BQ30">
        <v>300</v>
      </c>
      <c r="BR30">
        <v>300</v>
      </c>
      <c r="BS30">
        <f t="shared" si="17"/>
        <v>378.78787878787875</v>
      </c>
      <c r="BT30" t="s">
        <v>116</v>
      </c>
    </row>
    <row r="31" spans="1:72" x14ac:dyDescent="0.4">
      <c r="A31" s="3">
        <v>28</v>
      </c>
      <c r="B31" s="3">
        <v>28</v>
      </c>
      <c r="C31" s="4" t="s">
        <v>67</v>
      </c>
      <c r="D31" s="4" t="str">
        <f t="shared" si="24"/>
        <v>J0125Y</v>
      </c>
      <c r="E31" s="4" t="s">
        <v>67</v>
      </c>
      <c r="F31" s="4" t="str">
        <f t="shared" si="5"/>
        <v>J0125Y5</v>
      </c>
      <c r="G31" s="4" t="s">
        <v>96</v>
      </c>
      <c r="H31" s="5">
        <v>4992475301187</v>
      </c>
      <c r="I31" s="5">
        <v>5</v>
      </c>
      <c r="J31" s="5"/>
      <c r="K31" s="5">
        <v>1</v>
      </c>
      <c r="L31" s="5">
        <v>1</v>
      </c>
      <c r="M31" s="40">
        <v>330</v>
      </c>
      <c r="N31" s="4">
        <v>317</v>
      </c>
      <c r="O31" s="4">
        <v>198</v>
      </c>
      <c r="P31" s="6">
        <f t="shared" si="25"/>
        <v>0.37539432176656151</v>
      </c>
      <c r="Q31" s="4" t="s">
        <v>99</v>
      </c>
      <c r="R31" s="4"/>
      <c r="S31" s="4"/>
      <c r="T31" s="4"/>
      <c r="U31" s="4"/>
      <c r="V31" s="4"/>
      <c r="W31" s="4"/>
      <c r="X31" s="4"/>
      <c r="Y31" s="4"/>
      <c r="Z31" s="4">
        <v>380</v>
      </c>
      <c r="AA31" s="4">
        <f t="shared" si="26"/>
        <v>380</v>
      </c>
      <c r="AB31" s="4">
        <v>250</v>
      </c>
      <c r="AC31" s="4">
        <f t="shared" si="27"/>
        <v>250</v>
      </c>
      <c r="AD31" s="4"/>
      <c r="AE31" s="21">
        <f t="shared" si="28"/>
        <v>400</v>
      </c>
      <c r="AF31" s="6">
        <f t="shared" si="29"/>
        <v>0.375</v>
      </c>
      <c r="AG31" s="33">
        <v>0</v>
      </c>
      <c r="AH31" s="4" t="str">
        <f t="shared" si="30"/>
        <v>-</v>
      </c>
      <c r="AI31" s="33" t="str">
        <f t="shared" si="31"/>
        <v>-</v>
      </c>
      <c r="AJ31" s="6" t="str">
        <f t="shared" si="32"/>
        <v>-</v>
      </c>
      <c r="AK31" s="7">
        <v>380</v>
      </c>
      <c r="AL31" s="6">
        <f t="shared" si="33"/>
        <v>0.34210526315789469</v>
      </c>
      <c r="AM31" s="4">
        <f t="shared" si="34"/>
        <v>130</v>
      </c>
      <c r="AN31" s="28"/>
      <c r="AO31" s="6"/>
      <c r="AP31" s="6"/>
      <c r="AQ31" s="6">
        <f t="shared" si="35"/>
        <v>1.1515151515151516</v>
      </c>
      <c r="AR31" s="6">
        <f t="shared" si="36"/>
        <v>1.1987381703470033</v>
      </c>
      <c r="AS31" s="6">
        <f t="shared" si="37"/>
        <v>1.2626262626262625</v>
      </c>
      <c r="AT31" s="4"/>
      <c r="AU31" s="4"/>
      <c r="AV31" s="4"/>
      <c r="AW31" s="4"/>
      <c r="AX31" s="4"/>
      <c r="AY31" s="4"/>
      <c r="AZ31" s="4"/>
      <c r="BA31" s="4"/>
      <c r="BB31" s="4"/>
      <c r="BC31" s="4">
        <v>0</v>
      </c>
      <c r="BD31" s="4" t="s">
        <v>98</v>
      </c>
      <c r="BE31" s="4"/>
      <c r="BF31" s="4"/>
      <c r="BG31" s="4" t="s">
        <v>98</v>
      </c>
      <c r="BH31" s="4" t="s">
        <v>98</v>
      </c>
      <c r="BI31" s="4" t="s">
        <v>98</v>
      </c>
      <c r="BJ31" s="4" t="str">
        <f t="shared" si="38"/>
        <v>-</v>
      </c>
      <c r="BK31" s="19">
        <v>4</v>
      </c>
      <c r="BL31" s="19">
        <v>8</v>
      </c>
      <c r="BM31" s="16">
        <v>7</v>
      </c>
      <c r="BN31" s="41" t="s">
        <v>98</v>
      </c>
      <c r="BO31" t="s">
        <v>98</v>
      </c>
      <c r="BP31" t="str">
        <f t="shared" si="16"/>
        <v>-</v>
      </c>
      <c r="BQ31">
        <v>300</v>
      </c>
      <c r="BR31">
        <v>300</v>
      </c>
      <c r="BS31">
        <f t="shared" si="17"/>
        <v>378.78787878787875</v>
      </c>
      <c r="BT31" t="s">
        <v>98</v>
      </c>
    </row>
    <row r="32" spans="1:72" x14ac:dyDescent="0.4">
      <c r="A32" s="3">
        <v>29</v>
      </c>
      <c r="B32" s="3">
        <v>29</v>
      </c>
      <c r="C32" s="4" t="s">
        <v>68</v>
      </c>
      <c r="D32" s="4" t="str">
        <f t="shared" si="24"/>
        <v>J0126Y</v>
      </c>
      <c r="E32" s="4" t="s">
        <v>68</v>
      </c>
      <c r="F32" s="4" t="str">
        <f t="shared" si="5"/>
        <v>J0126Y5</v>
      </c>
      <c r="G32" s="4" t="s">
        <v>97</v>
      </c>
      <c r="H32" s="5">
        <v>4992475301118</v>
      </c>
      <c r="I32" s="5">
        <v>5</v>
      </c>
      <c r="J32" s="5"/>
      <c r="K32" s="5">
        <v>1</v>
      </c>
      <c r="L32" s="5">
        <v>1</v>
      </c>
      <c r="M32" s="40">
        <v>330</v>
      </c>
      <c r="N32" s="4">
        <v>317</v>
      </c>
      <c r="O32" s="4">
        <v>198</v>
      </c>
      <c r="P32" s="6">
        <f t="shared" si="25"/>
        <v>0.37539432176656151</v>
      </c>
      <c r="Q32" s="4" t="s">
        <v>99</v>
      </c>
      <c r="R32" s="4"/>
      <c r="S32" s="4"/>
      <c r="T32" s="4"/>
      <c r="U32" s="4"/>
      <c r="V32" s="4"/>
      <c r="W32" s="4"/>
      <c r="X32" s="4"/>
      <c r="Y32" s="4"/>
      <c r="Z32" s="4">
        <v>380</v>
      </c>
      <c r="AA32" s="4">
        <f t="shared" si="26"/>
        <v>380</v>
      </c>
      <c r="AB32" s="4">
        <v>250</v>
      </c>
      <c r="AC32" s="4">
        <f t="shared" si="27"/>
        <v>250</v>
      </c>
      <c r="AD32" s="4"/>
      <c r="AE32" s="21">
        <f t="shared" si="28"/>
        <v>400</v>
      </c>
      <c r="AF32" s="6">
        <f t="shared" si="29"/>
        <v>0.375</v>
      </c>
      <c r="AG32" s="33">
        <v>0</v>
      </c>
      <c r="AH32" s="4" t="str">
        <f t="shared" si="30"/>
        <v>-</v>
      </c>
      <c r="AI32" s="33" t="str">
        <f t="shared" si="31"/>
        <v>-</v>
      </c>
      <c r="AJ32" s="6" t="str">
        <f t="shared" si="32"/>
        <v>-</v>
      </c>
      <c r="AK32" s="7">
        <v>380</v>
      </c>
      <c r="AL32" s="6">
        <f t="shared" si="33"/>
        <v>0.34210526315789469</v>
      </c>
      <c r="AM32" s="4">
        <f t="shared" si="34"/>
        <v>130</v>
      </c>
      <c r="AN32" s="28"/>
      <c r="AO32" s="6"/>
      <c r="AP32" s="6"/>
      <c r="AQ32" s="6">
        <f t="shared" si="35"/>
        <v>1.1515151515151516</v>
      </c>
      <c r="AR32" s="6">
        <f t="shared" si="36"/>
        <v>1.1987381703470033</v>
      </c>
      <c r="AS32" s="6">
        <f t="shared" si="37"/>
        <v>1.2626262626262625</v>
      </c>
      <c r="AT32" s="4"/>
      <c r="AU32" s="4"/>
      <c r="AV32" s="4"/>
      <c r="AW32" s="4"/>
      <c r="AX32" s="4"/>
      <c r="AY32" s="4"/>
      <c r="AZ32" s="4"/>
      <c r="BA32" s="4"/>
      <c r="BB32" s="4"/>
      <c r="BC32" s="4">
        <v>0</v>
      </c>
      <c r="BD32" s="4" t="s">
        <v>98</v>
      </c>
      <c r="BE32" s="4"/>
      <c r="BF32" s="4"/>
      <c r="BG32" s="4" t="s">
        <v>98</v>
      </c>
      <c r="BH32" s="4" t="s">
        <v>98</v>
      </c>
      <c r="BI32" s="4" t="s">
        <v>98</v>
      </c>
      <c r="BJ32" s="4" t="str">
        <f t="shared" si="38"/>
        <v>-</v>
      </c>
      <c r="BK32" s="19">
        <v>4</v>
      </c>
      <c r="BL32" s="19">
        <v>8</v>
      </c>
      <c r="BM32" s="16">
        <v>7</v>
      </c>
      <c r="BN32" s="41" t="s">
        <v>98</v>
      </c>
      <c r="BO32" t="s">
        <v>98</v>
      </c>
      <c r="BP32" t="str">
        <f t="shared" si="16"/>
        <v>-</v>
      </c>
      <c r="BQ32" t="s">
        <v>98</v>
      </c>
      <c r="BR32" t="s">
        <v>98</v>
      </c>
      <c r="BS32" t="str">
        <f t="shared" si="17"/>
        <v>-</v>
      </c>
      <c r="BT32" t="s">
        <v>98</v>
      </c>
    </row>
    <row r="33" spans="13:13" x14ac:dyDescent="0.4">
      <c r="M33" t="s">
        <v>140</v>
      </c>
    </row>
  </sheetData>
  <autoFilter ref="A3:BT3" xr:uid="{7A1660CF-9003-4B2D-B659-7F339ED5B476}"/>
  <mergeCells count="3">
    <mergeCell ref="M2:P2"/>
    <mergeCell ref="K2:L2"/>
    <mergeCell ref="Z1:AC1"/>
  </mergeCells>
  <phoneticPr fontId="2"/>
  <conditionalFormatting sqref="AK4:AK32">
    <cfRule type="cellIs" dxfId="4" priority="6" operator="greaterThan">
      <formula>$AA4</formula>
    </cfRule>
  </conditionalFormatting>
  <conditionalFormatting sqref="AI4:AI32">
    <cfRule type="cellIs" dxfId="3" priority="4" operator="lessThan">
      <formula>$AK4</formula>
    </cfRule>
  </conditionalFormatting>
  <conditionalFormatting sqref="AL4:AL32">
    <cfRule type="cellIs" dxfId="2" priority="3" operator="lessThan">
      <formula>0.2</formula>
    </cfRule>
  </conditionalFormatting>
  <conditionalFormatting sqref="BI4:BI32">
    <cfRule type="cellIs" dxfId="1" priority="2" operator="notEqual">
      <formula>$BH4</formula>
    </cfRule>
  </conditionalFormatting>
  <conditionalFormatting sqref="BR4:BR32">
    <cfRule type="cellIs" dxfId="0" priority="1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2026-07-03T01:08:23Z</dcterms:modified>
</cp:coreProperties>
</file>