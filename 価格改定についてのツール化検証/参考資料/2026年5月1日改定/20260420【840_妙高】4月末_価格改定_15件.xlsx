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ﾐ_妙高コーポ_840\価格改定\20260420_4月末\"/>
    </mc:Choice>
  </mc:AlternateContent>
  <xr:revisionPtr revIDLastSave="0" documentId="13_ncr:1_{8C47717D-A00D-4AC8-9932-9A90C4EA2B6D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Sheet1!$A$3:$AY$3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4" i="1"/>
  <c r="Z17" i="1"/>
  <c r="Z4" i="1"/>
  <c r="AS15" i="1"/>
  <c r="W15" i="1" s="1"/>
  <c r="Z15" i="1" s="1"/>
  <c r="S15" i="1"/>
  <c r="S16" i="1"/>
  <c r="AC16" i="1" s="1"/>
  <c r="S17" i="1"/>
  <c r="AB17" i="1" s="1"/>
  <c r="S18" i="1"/>
  <c r="AB18" i="1" s="1"/>
  <c r="AJ5" i="1"/>
  <c r="AK5" i="1"/>
  <c r="AL5" i="1"/>
  <c r="AJ6" i="1"/>
  <c r="AK6" i="1"/>
  <c r="AL6" i="1"/>
  <c r="AJ7" i="1"/>
  <c r="AK7" i="1"/>
  <c r="AL7" i="1"/>
  <c r="AJ8" i="1"/>
  <c r="AK8" i="1"/>
  <c r="AL8" i="1"/>
  <c r="AJ9" i="1"/>
  <c r="AK9" i="1"/>
  <c r="AL9" i="1"/>
  <c r="AJ10" i="1"/>
  <c r="AK10" i="1"/>
  <c r="AL10" i="1"/>
  <c r="AJ11" i="1"/>
  <c r="AK11" i="1"/>
  <c r="AL11" i="1"/>
  <c r="AJ12" i="1"/>
  <c r="AK12" i="1"/>
  <c r="AL12" i="1"/>
  <c r="AJ13" i="1"/>
  <c r="AK13" i="1"/>
  <c r="AL13" i="1"/>
  <c r="AJ14" i="1"/>
  <c r="AK14" i="1"/>
  <c r="AL14" i="1"/>
  <c r="AJ15" i="1"/>
  <c r="AK15" i="1"/>
  <c r="AL15" i="1"/>
  <c r="AJ16" i="1"/>
  <c r="AK16" i="1"/>
  <c r="AL16" i="1"/>
  <c r="AJ17" i="1"/>
  <c r="AK17" i="1"/>
  <c r="AL17" i="1"/>
  <c r="AJ18" i="1"/>
  <c r="AK18" i="1"/>
  <c r="AL18" i="1"/>
  <c r="AL4" i="1"/>
  <c r="AK4" i="1"/>
  <c r="AJ4" i="1"/>
  <c r="AH16" i="1"/>
  <c r="AH17" i="1"/>
  <c r="L17" i="1"/>
  <c r="AS18" i="1"/>
  <c r="W18" i="1" s="1"/>
  <c r="Z18" i="1" s="1"/>
  <c r="AH18" i="1"/>
  <c r="Q18" i="1"/>
  <c r="AG18" i="1" s="1"/>
  <c r="L18" i="1"/>
  <c r="C18" i="1"/>
  <c r="AS17" i="1"/>
  <c r="W17" i="1" s="1"/>
  <c r="Q17" i="1"/>
  <c r="C17" i="1"/>
  <c r="AS16" i="1"/>
  <c r="W16" i="1" s="1"/>
  <c r="Z16" i="1" s="1"/>
  <c r="Q16" i="1"/>
  <c r="AG16" i="1" s="1"/>
  <c r="L16" i="1"/>
  <c r="C16" i="1"/>
  <c r="AH15" i="1"/>
  <c r="Q15" i="1"/>
  <c r="AG15" i="1" s="1"/>
  <c r="L15" i="1"/>
  <c r="C15" i="1"/>
  <c r="AS14" i="1"/>
  <c r="W14" i="1" s="1"/>
  <c r="AH14" i="1"/>
  <c r="S14" i="1"/>
  <c r="AI14" i="1" s="1"/>
  <c r="U14" i="1" s="1"/>
  <c r="V14" i="1" s="1"/>
  <c r="Q14" i="1"/>
  <c r="L14" i="1"/>
  <c r="C14" i="1"/>
  <c r="X14" i="1" l="1"/>
  <c r="AB15" i="1"/>
  <c r="AC15" i="1"/>
  <c r="AC14" i="1"/>
  <c r="X15" i="1"/>
  <c r="AB14" i="1"/>
  <c r="AG17" i="1"/>
  <c r="AG14" i="1"/>
  <c r="AC18" i="1"/>
  <c r="X16" i="1"/>
  <c r="X17" i="1"/>
  <c r="AB16" i="1"/>
  <c r="AC17" i="1"/>
  <c r="AI18" i="1"/>
  <c r="U18" i="1" s="1"/>
  <c r="V18" i="1" s="1"/>
  <c r="AI16" i="1"/>
  <c r="U16" i="1" s="1"/>
  <c r="V16" i="1" s="1"/>
  <c r="AI17" i="1"/>
  <c r="U17" i="1" s="1"/>
  <c r="V17" i="1" s="1"/>
  <c r="AI15" i="1"/>
  <c r="U15" i="1" s="1"/>
  <c r="V15" i="1" s="1"/>
  <c r="X18" i="1"/>
  <c r="AS5" i="1" l="1"/>
  <c r="W5" i="1" s="1"/>
  <c r="Z5" i="1" s="1"/>
  <c r="AS6" i="1"/>
  <c r="W6" i="1" s="1"/>
  <c r="AS9" i="1"/>
  <c r="W9" i="1" s="1"/>
  <c r="AS10" i="1"/>
  <c r="W10" i="1" s="1"/>
  <c r="AS11" i="1"/>
  <c r="W11" i="1" s="1"/>
  <c r="AS12" i="1"/>
  <c r="W12" i="1" s="1"/>
  <c r="AS13" i="1"/>
  <c r="W13" i="1" s="1"/>
  <c r="Z13" i="1" s="1"/>
  <c r="AS4" i="1"/>
  <c r="W4" i="1" s="1"/>
  <c r="S5" i="1"/>
  <c r="AB5" i="1" s="1"/>
  <c r="S6" i="1"/>
  <c r="AI6" i="1" s="1"/>
  <c r="U6" i="1" s="1"/>
  <c r="V6" i="1" s="1"/>
  <c r="S7" i="1"/>
  <c r="AC7" i="1" s="1"/>
  <c r="S8" i="1"/>
  <c r="AC8" i="1" s="1"/>
  <c r="S9" i="1"/>
  <c r="AB9" i="1" s="1"/>
  <c r="S10" i="1"/>
  <c r="AC10" i="1" s="1"/>
  <c r="S11" i="1"/>
  <c r="AC11" i="1" s="1"/>
  <c r="S12" i="1"/>
  <c r="AB12" i="1" s="1"/>
  <c r="S13" i="1"/>
  <c r="AB13" i="1" s="1"/>
  <c r="Q5" i="1"/>
  <c r="AG5" i="1" s="1"/>
  <c r="Q6" i="1"/>
  <c r="AG6" i="1" s="1"/>
  <c r="Q7" i="1"/>
  <c r="AG7" i="1" s="1"/>
  <c r="Q8" i="1"/>
  <c r="AG8" i="1" s="1"/>
  <c r="Q9" i="1"/>
  <c r="AG9" i="1" s="1"/>
  <c r="Q10" i="1"/>
  <c r="AG10" i="1" s="1"/>
  <c r="Q11" i="1"/>
  <c r="AG11" i="1" s="1"/>
  <c r="Q12" i="1"/>
  <c r="AG12" i="1" s="1"/>
  <c r="Q13" i="1"/>
  <c r="AG13" i="1" s="1"/>
  <c r="C5" i="1"/>
  <c r="C6" i="1"/>
  <c r="C7" i="1"/>
  <c r="C8" i="1"/>
  <c r="C9" i="1"/>
  <c r="C10" i="1"/>
  <c r="C11" i="1"/>
  <c r="C12" i="1"/>
  <c r="C13" i="1"/>
  <c r="C4" i="1"/>
  <c r="S4" i="1"/>
  <c r="AB4" i="1" s="1"/>
  <c r="Q4" i="1"/>
  <c r="AG4" i="1" s="1"/>
  <c r="AH13" i="1"/>
  <c r="L13" i="1"/>
  <c r="AH12" i="1"/>
  <c r="L12" i="1"/>
  <c r="AH11" i="1"/>
  <c r="L11" i="1"/>
  <c r="AH10" i="1"/>
  <c r="L10" i="1"/>
  <c r="AH4" i="1"/>
  <c r="AH9" i="1"/>
  <c r="L9" i="1"/>
  <c r="AS8" i="1"/>
  <c r="W8" i="1" s="1"/>
  <c r="AH8" i="1"/>
  <c r="L8" i="1"/>
  <c r="AS7" i="1"/>
  <c r="W7" i="1" s="1"/>
  <c r="AH7" i="1"/>
  <c r="L7" i="1"/>
  <c r="AH6" i="1"/>
  <c r="L6" i="1"/>
  <c r="AI5" i="1"/>
  <c r="U5" i="1" s="1"/>
  <c r="V5" i="1" s="1"/>
  <c r="AH5" i="1"/>
  <c r="L5" i="1"/>
  <c r="L4" i="1"/>
  <c r="X5" i="1" l="1"/>
  <c r="AI10" i="1"/>
  <c r="U10" i="1" s="1"/>
  <c r="V10" i="1" s="1"/>
  <c r="AI12" i="1"/>
  <c r="U12" i="1" s="1"/>
  <c r="V12" i="1" s="1"/>
  <c r="X10" i="1"/>
  <c r="X8" i="1"/>
  <c r="AI8" i="1"/>
  <c r="U8" i="1" s="1"/>
  <c r="V8" i="1" s="1"/>
  <c r="X6" i="1"/>
  <c r="AC6" i="1"/>
  <c r="AI13" i="1"/>
  <c r="U13" i="1" s="1"/>
  <c r="V13" i="1" s="1"/>
  <c r="AB11" i="1"/>
  <c r="AB10" i="1"/>
  <c r="AB8" i="1"/>
  <c r="X9" i="1"/>
  <c r="AI11" i="1"/>
  <c r="U11" i="1" s="1"/>
  <c r="V11" i="1" s="1"/>
  <c r="X11" i="1"/>
  <c r="X13" i="1"/>
  <c r="AC9" i="1"/>
  <c r="X4" i="1"/>
  <c r="X12" i="1"/>
  <c r="AI9" i="1"/>
  <c r="U9" i="1" s="1"/>
  <c r="V9" i="1" s="1"/>
  <c r="X7" i="1"/>
  <c r="AB7" i="1"/>
  <c r="AC13" i="1"/>
  <c r="AC5" i="1"/>
  <c r="AI7" i="1"/>
  <c r="U7" i="1" s="1"/>
  <c r="V7" i="1" s="1"/>
  <c r="AB6" i="1"/>
  <c r="AC12" i="1"/>
  <c r="AE4" i="1"/>
  <c r="AF4" i="1"/>
  <c r="AC4" i="1"/>
  <c r="AI4" i="1"/>
  <c r="U4" i="1" s="1"/>
  <c r="V4" i="1" s="1"/>
</calcChain>
</file>

<file path=xl/sharedStrings.xml><?xml version="1.0" encoding="utf-8"?>
<sst xmlns="http://schemas.openxmlformats.org/spreadsheetml/2006/main" count="170" uniqueCount="108">
  <si>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</si>
  <si>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</si>
  <si>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</si>
  <si>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</si>
  <si>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</si>
  <si>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</si>
  <si>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</si>
  <si>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</si>
  <si>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</si>
  <si>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</si>
  <si>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</si>
  <si>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</si>
  <si>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</si>
  <si>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</si>
  <si>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</si>
  <si>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</si>
  <si>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</si>
  <si>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</si>
  <si>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</si>
  <si>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</si>
  <si>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</si>
  <si>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</si>
  <si>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</si>
  <si>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</si>
  <si>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</si>
  <si>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</si>
  <si>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</si>
  <si>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</si>
  <si>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</si>
  <si>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</si>
  <si>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</si>
  <si>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</si>
  <si>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</si>
  <si>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</si>
  <si>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</si>
  <si>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</si>
  <si>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</si>
  <si>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</si>
  <si>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</si>
  <si>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</si>
  <si>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</si>
  <si>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</si>
  <si>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</si>
  <si>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</si>
  <si>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</si>
  <si>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</si>
  <si>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</si>
  <si>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</si>
  <si>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</si>
  <si>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</si>
  <si>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</si>
  <si>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</si>
  <si>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</si>
  <si>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</si>
  <si>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J8305X</t>
  </si>
  <si>
    <t>34/170</t>
  </si>
  <si>
    <t>34/170･602</t>
  </si>
  <si>
    <t>34/603</t>
  </si>
  <si>
    <t>ｺﾆｼ/ｼｰﾙはがし ｾﾞﾘｰ状 20g/#05340</t>
  </si>
  <si>
    <t>ｺﾆｼ/ﾎﾞﾝﾄﾞGｸﾘﾔｰ 20ml/#14329</t>
  </si>
  <si>
    <t>ｺﾆｼ/ﾍﾟｰﾊﾟｰｷﾚｲ 30ml/#04618</t>
  </si>
  <si>
    <t>ｺﾆｼ/ﾎﾞﾝﾄﾞ木工用ﾌﾟﾚﾐｱﾑ30ml/#04467</t>
  </si>
  <si>
    <t>ｺﾆｼ/ﾎﾞﾝﾄﾞ木工用 180gﾎﾞﾄﾙ/#10132</t>
  </si>
  <si>
    <t>ｺﾆｼ/ﾎﾞﾝﾄﾞ木工用速乾 180gﾎﾞﾄﾙ/#10832</t>
  </si>
  <si>
    <t>ｺﾆｼ/ﾎﾞﾝﾄﾞCH18 500g/#40117</t>
  </si>
  <si>
    <t>ｺﾆｼ/ﾎﾞﾝﾄﾞG17 170ml/#13041</t>
  </si>
  <si>
    <t>ｺﾆｼ/ｺﾝｸﾘﾎﾞﾝﾄﾞ K-10 170ml/#11541</t>
  </si>
  <si>
    <t>ｺﾆｼ/ﾎﾞﾝﾄﾞGPｸﾘﾔｰ 170ml/#14375</t>
  </si>
  <si>
    <t>ｺﾆｼ/ﾎﾞﾝﾄﾞCH38 らくらく750 750g/#40167</t>
  </si>
  <si>
    <t>ｺﾆｼ/ﾎﾞﾝﾄﾞｸｲｯｸ30 80gｾｯﾄ/#16231</t>
  </si>
  <si>
    <t>ｺﾆｼ/ﾎﾞﾝﾄﾞｸｲｯｸ5 80gｾｯﾄ/#16131</t>
  </si>
  <si>
    <t>ｺﾆｼ/壁ｸﾛｽ用 ﾎﾞﾝﾄﾞ 60g/#10544</t>
  </si>
  <si>
    <t>●ｺﾆｼ/#40300(10本)/ﾎﾞﾝﾄﾞ木工用速乾らくらく750gﾎﾞﾄﾙ</t>
  </si>
  <si>
    <t>-</t>
  </si>
  <si>
    <t>コニシ シールはがしゼリー状 #05340 1本</t>
  </si>
  <si>
    <t>コニシ Gクリヤー 20mlスリム #14329 1セット(5個)</t>
  </si>
  <si>
    <t>コニシ ペーパーキレイ 30ml #04618 1本</t>
  </si>
  <si>
    <t>コニシ 木工用プレミアム 30ml #04467 1本</t>
  </si>
  <si>
    <t>【接着剤】 コニシ ボンド ＃10132 木工用ボンド 180ml 1本</t>
  </si>
  <si>
    <t>【接着剤】 コニシ ボンド木工用速乾 #10832 180g（1本あたり）</t>
  </si>
  <si>
    <t>【接着剤】 コニシ ボンドニューCH18 500g #40117 500g（1本あたり）</t>
  </si>
  <si>
    <t>【ゴム系接着剤】コニシ　ボンドG17　170ml　♯13041</t>
  </si>
  <si>
    <t>コニシ ボンド GPクリヤー プラスチック用 速乾・透明 170ml 14375 1セット(1個×10)（直送品）</t>
  </si>
  <si>
    <t>コニシ ボンドCH38(らくらく750) 750g(ボトル) #40167 40167 1個 259-4825（直送品）</t>
  </si>
  <si>
    <t>コニシ ボンド クイック30 80gセット 16231 1セット(1個×10)（直送品）</t>
  </si>
  <si>
    <t>コニシ ボンド クイック5 80gセット 16131 1セット(1個×10)（直送品）</t>
  </si>
  <si>
    <t>コニシ ボンド 壁クロス用 60g #10544 1パック 63-7824-21（直送品）</t>
  </si>
  <si>
    <t>コニシ 木工用速乾 750g #40300 1本</t>
  </si>
  <si>
    <t>XE71607</t>
  </si>
  <si>
    <t>1本</t>
  </si>
  <si>
    <t>U429875</t>
  </si>
  <si>
    <t>1セット（5個）</t>
  </si>
  <si>
    <t>HK35930</t>
  </si>
  <si>
    <t>HJ32209</t>
  </si>
  <si>
    <t>693666</t>
  </si>
  <si>
    <t>8291648</t>
  </si>
  <si>
    <t>823457</t>
  </si>
  <si>
    <t>693684</t>
  </si>
  <si>
    <t>AWW0240</t>
  </si>
  <si>
    <t>1セット（1個×10）</t>
  </si>
  <si>
    <t>KJ25279</t>
  </si>
  <si>
    <t>1個</t>
  </si>
  <si>
    <t>AWW0236</t>
  </si>
  <si>
    <t>AWW0239</t>
  </si>
  <si>
    <t>RA10202</t>
  </si>
  <si>
    <t>1パック</t>
  </si>
  <si>
    <t>NJ09747</t>
  </si>
  <si>
    <t>ｱｽｸﾙ
ｽﾗｲﾄﾞ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</si>
</sst>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176" fontId="0" fillId="4" borderId="4" xfId="0" applyNumberForma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2" xfId="0" applyNumberFormat="1" applyBorder="1" applyAlignment="1">
      <alignment vertical="center" wrapText="1"/>
    </xf>
  </cellXfs>
  <cellStyles count="1">
    <cellStyle name="標準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AY18"/>
  <sheetViews>
    <sheetView tabSelected="1" zoomScale="90" zoomScaleNormal="90" workbookViewId="0">
      <pane xSplit="6" ySplit="5" topLeftCell="P6" activePane="bottomRight" state="frozen"/>
      <selection pane="topRight" activeCell="G1" sqref="G1"/>
      <selection pane="bottomLeft" activeCell="A5" sqref="A5"/>
      <selection pane="bottomRight" activeCell="Z1" sqref="Z1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8" width="7.5" hidden="1" customWidth="1" outlineLevel="1"/>
    <col min="9" max="9" width="7.625" customWidth="1" collapsed="1"/>
    <col min="10" max="13" width="7.625" customWidth="1"/>
    <col min="14" max="15" width="7.625" hidden="1" customWidth="1" outlineLevel="1"/>
    <col min="16" max="16" width="7.625" customWidth="1" collapsed="1"/>
    <col min="17" max="19" width="7.625" customWidth="1"/>
    <col min="20" max="20" width="4.375" customWidth="1" collapsed="1"/>
    <col min="21" max="24" width="7.625" customWidth="1"/>
    <col min="25" max="26" width="7.625" style="30" customWidth="1"/>
    <col min="27" max="29" width="7.625" customWidth="1"/>
    <col min="30" max="32" width="7.625" hidden="1" customWidth="1" outlineLevel="1"/>
    <col min="33" max="33" width="7.625" customWidth="1" collapsed="1"/>
    <col min="34" max="35" width="7.625" customWidth="1"/>
    <col min="36" max="38" width="7.625" customWidth="1" outlineLevel="1"/>
    <col min="39" max="42" width="7.625" customWidth="1"/>
    <col min="43" max="43" width="19.5" bestFit="1" customWidth="1"/>
    <col min="44" max="50" width="7.625" customWidth="1"/>
  </cols>
  <sheetData>
    <row r="1" spans="1:51" x14ac:dyDescent="0.4">
      <c r="B1" s="29" t="s">
        <v>43</v>
      </c>
      <c r="P1" s="41" t="s">
        <v>40</v>
      </c>
      <c r="Q1" s="42"/>
      <c r="R1" s="42"/>
      <c r="S1" s="43"/>
    </row>
    <row r="2" spans="1:51" x14ac:dyDescent="0.4">
      <c r="B2" s="8" t="s">
        <v>27</v>
      </c>
      <c r="C2" s="9" t="s">
        <v>28</v>
      </c>
      <c r="D2" s="9" t="s">
        <v>29</v>
      </c>
      <c r="E2" s="10"/>
      <c r="F2" s="10"/>
      <c r="G2" s="38" t="s">
        <v>30</v>
      </c>
      <c r="H2" s="40"/>
      <c r="I2" s="38" t="s">
        <v>2</v>
      </c>
      <c r="J2" s="39"/>
      <c r="K2" s="39"/>
      <c r="L2" s="40"/>
      <c r="M2" s="11"/>
      <c r="N2" s="36"/>
      <c r="O2" s="36"/>
      <c r="P2" s="23"/>
      <c r="Q2" s="24" t="s">
        <v>33</v>
      </c>
      <c r="R2" s="24"/>
      <c r="S2" s="25" t="s">
        <v>33</v>
      </c>
      <c r="T2" s="10"/>
      <c r="U2" s="9" t="s">
        <v>38</v>
      </c>
      <c r="V2" s="11"/>
      <c r="W2" s="11"/>
      <c r="X2" s="11"/>
      <c r="Y2" s="31"/>
      <c r="Z2" s="31"/>
      <c r="AA2" s="22" t="s">
        <v>41</v>
      </c>
      <c r="AB2" s="11"/>
      <c r="AC2" s="11"/>
      <c r="AD2" s="27"/>
      <c r="AE2" s="11"/>
      <c r="AF2" s="11"/>
      <c r="AG2" s="11"/>
      <c r="AH2" s="11"/>
      <c r="AI2" s="11"/>
      <c r="AJ2" s="11"/>
      <c r="AK2" s="11"/>
      <c r="AL2" s="11"/>
      <c r="AM2">
        <v>51</v>
      </c>
      <c r="AT2">
        <v>14</v>
      </c>
      <c r="AU2">
        <v>28</v>
      </c>
    </row>
    <row r="3" spans="1:51" ht="75" x14ac:dyDescent="0.4">
      <c r="A3" s="1" t="s">
        <v>51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24</v>
      </c>
      <c r="H3" s="12" t="s">
        <v>25</v>
      </c>
      <c r="I3" s="12" t="s">
        <v>1</v>
      </c>
      <c r="J3" s="2" t="s">
        <v>8</v>
      </c>
      <c r="K3" s="2" t="s">
        <v>5</v>
      </c>
      <c r="L3" s="2" t="s">
        <v>16</v>
      </c>
      <c r="M3" s="12" t="s">
        <v>49</v>
      </c>
      <c r="N3" s="12" t="s">
        <v>20</v>
      </c>
      <c r="O3" s="12" t="s">
        <v>21</v>
      </c>
      <c r="P3" s="12" t="s">
        <v>3</v>
      </c>
      <c r="Q3" s="12" t="s">
        <v>22</v>
      </c>
      <c r="R3" s="2" t="s">
        <v>5</v>
      </c>
      <c r="S3" s="12" t="s">
        <v>23</v>
      </c>
      <c r="T3" s="14" t="s">
        <v>6</v>
      </c>
      <c r="U3" s="20" t="s">
        <v>17</v>
      </c>
      <c r="V3" s="2" t="s">
        <v>16</v>
      </c>
      <c r="W3" s="12" t="s">
        <v>39</v>
      </c>
      <c r="X3" s="2" t="s">
        <v>16</v>
      </c>
      <c r="Y3" s="32" t="s">
        <v>44</v>
      </c>
      <c r="Z3" s="44" t="s">
        <v>107</v>
      </c>
      <c r="AA3" s="13" t="s">
        <v>31</v>
      </c>
      <c r="AB3" s="2" t="s">
        <v>16</v>
      </c>
      <c r="AC3" s="2" t="s">
        <v>32</v>
      </c>
      <c r="AD3" s="26" t="s">
        <v>34</v>
      </c>
      <c r="AE3" s="12" t="s">
        <v>35</v>
      </c>
      <c r="AF3" s="12" t="s">
        <v>36</v>
      </c>
      <c r="AG3" s="12" t="s">
        <v>26</v>
      </c>
      <c r="AH3" s="12" t="s">
        <v>37</v>
      </c>
      <c r="AI3" s="12" t="s">
        <v>18</v>
      </c>
      <c r="AJ3" s="12" t="s">
        <v>19</v>
      </c>
      <c r="AK3" s="12" t="s">
        <v>20</v>
      </c>
      <c r="AL3" s="12" t="s">
        <v>21</v>
      </c>
      <c r="AM3" s="2" t="s">
        <v>11</v>
      </c>
      <c r="AN3" s="2" t="s">
        <v>12</v>
      </c>
      <c r="AO3" s="2" t="s">
        <v>13</v>
      </c>
      <c r="AP3" s="2" t="s">
        <v>14</v>
      </c>
      <c r="AQ3" s="12" t="s">
        <v>42</v>
      </c>
      <c r="AR3" s="2" t="s">
        <v>53</v>
      </c>
      <c r="AS3" s="2" t="s">
        <v>15</v>
      </c>
      <c r="AT3" s="18" t="s">
        <v>45</v>
      </c>
      <c r="AU3" s="18" t="s">
        <v>46</v>
      </c>
      <c r="AV3" s="15" t="s">
        <v>52</v>
      </c>
      <c r="AW3" s="34" t="s">
        <v>47</v>
      </c>
      <c r="AX3" s="35" t="s">
        <v>48</v>
      </c>
      <c r="AY3" s="35" t="s">
        <v>50</v>
      </c>
    </row>
    <row r="4" spans="1:51" x14ac:dyDescent="0.4">
      <c r="A4" s="3">
        <v>1</v>
      </c>
      <c r="B4" s="4">
        <v>189385</v>
      </c>
      <c r="C4" s="4" t="str">
        <f>TEXT(B4,"000000")</f>
        <v>189385</v>
      </c>
      <c r="D4" s="4">
        <v>189385</v>
      </c>
      <c r="E4" s="4" t="s">
        <v>58</v>
      </c>
      <c r="F4" s="5">
        <v>4901490053407</v>
      </c>
      <c r="G4" s="5">
        <v>1</v>
      </c>
      <c r="H4" s="5">
        <v>1</v>
      </c>
      <c r="I4" s="4">
        <v>0</v>
      </c>
      <c r="J4" s="4">
        <v>125</v>
      </c>
      <c r="K4" s="4">
        <v>88</v>
      </c>
      <c r="L4" s="6">
        <f t="shared" ref="L4:L13" si="0">1-K4/J4</f>
        <v>0.29600000000000004</v>
      </c>
      <c r="M4" s="4" t="s">
        <v>73</v>
      </c>
      <c r="N4" s="4" t="s">
        <v>73</v>
      </c>
      <c r="O4" s="4" t="s">
        <v>73</v>
      </c>
      <c r="P4" s="4">
        <v>0</v>
      </c>
      <c r="Q4" s="4">
        <f>IF(T4="",P4,P4*T4)</f>
        <v>0</v>
      </c>
      <c r="R4" s="4">
        <v>110</v>
      </c>
      <c r="S4" s="4">
        <f>IF(T4="",R4,R4*T4)</f>
        <v>110</v>
      </c>
      <c r="T4" s="4"/>
      <c r="U4" s="21">
        <f>ROUND(J4*AI4,0)</f>
        <v>156</v>
      </c>
      <c r="V4" s="6">
        <f t="shared" ref="V4" si="1">1-S4/U4</f>
        <v>0.29487179487179482</v>
      </c>
      <c r="W4" s="4">
        <f>AS4</f>
        <v>223</v>
      </c>
      <c r="X4" s="6">
        <f t="shared" ref="X4:X5" si="2">1-S4/W4</f>
        <v>0.50672645739910316</v>
      </c>
      <c r="Y4" s="33">
        <v>3</v>
      </c>
      <c r="Z4" s="33">
        <f>W4*AI4</f>
        <v>278.75</v>
      </c>
      <c r="AA4" s="7">
        <v>160</v>
      </c>
      <c r="AB4" s="6">
        <f>1-S4/AA4</f>
        <v>0.3125</v>
      </c>
      <c r="AC4" s="4">
        <f>AA4-S4</f>
        <v>50</v>
      </c>
      <c r="AD4" s="28"/>
      <c r="AE4" s="6" t="e">
        <f>1-S4/AD4</f>
        <v>#DIV/0!</v>
      </c>
      <c r="AF4" s="4">
        <f>AD4-S4</f>
        <v>-110</v>
      </c>
      <c r="AG4" s="6" t="e">
        <f>Q4/I4</f>
        <v>#DIV/0!</v>
      </c>
      <c r="AH4" s="6">
        <f>AA4/J4</f>
        <v>1.28</v>
      </c>
      <c r="AI4" s="6">
        <f t="shared" ref="AI4:AI18" si="3">S4/K4</f>
        <v>1.25</v>
      </c>
      <c r="AJ4" s="4" t="str">
        <f>IFERROR(ROUND($AA4*M4/$J4,0),"-")</f>
        <v>-</v>
      </c>
      <c r="AK4" s="4" t="str">
        <f>IF(N4="","-",N4)</f>
        <v>-</v>
      </c>
      <c r="AL4" s="4" t="str">
        <f>IF(O4="","-",O4)</f>
        <v>-</v>
      </c>
      <c r="AM4" s="4">
        <v>0</v>
      </c>
      <c r="AN4" s="4" t="s">
        <v>88</v>
      </c>
      <c r="AO4" s="4"/>
      <c r="AP4" s="4"/>
      <c r="AQ4" s="4" t="s">
        <v>89</v>
      </c>
      <c r="AR4" s="4">
        <v>223</v>
      </c>
      <c r="AS4" s="4">
        <f t="shared" ref="AS4:AS5" si="4">IF(AO4="",AR4,AO4/AP4*AR4)</f>
        <v>223</v>
      </c>
      <c r="AT4" s="19">
        <v>4</v>
      </c>
      <c r="AU4" s="19">
        <v>1</v>
      </c>
      <c r="AV4" s="16">
        <v>6</v>
      </c>
      <c r="AY4" s="4" t="s">
        <v>74</v>
      </c>
    </row>
    <row r="5" spans="1:51" x14ac:dyDescent="0.4">
      <c r="A5" s="3">
        <v>2</v>
      </c>
      <c r="B5" s="4">
        <v>684690</v>
      </c>
      <c r="C5" s="4" t="str">
        <f t="shared" ref="C5:C13" si="5">TEXT(B5,"000000")</f>
        <v>684690</v>
      </c>
      <c r="D5" s="4">
        <v>684690</v>
      </c>
      <c r="E5" s="4" t="s">
        <v>59</v>
      </c>
      <c r="F5" s="5">
        <v>4901490143290</v>
      </c>
      <c r="G5" s="5">
        <v>1</v>
      </c>
      <c r="H5" s="5">
        <v>1</v>
      </c>
      <c r="I5" s="4">
        <v>0</v>
      </c>
      <c r="J5" s="4">
        <v>221</v>
      </c>
      <c r="K5" s="4">
        <v>115.5</v>
      </c>
      <c r="L5" s="6">
        <f t="shared" si="0"/>
        <v>0.4773755656108597</v>
      </c>
      <c r="M5" s="4" t="s">
        <v>73</v>
      </c>
      <c r="N5" s="4" t="s">
        <v>73</v>
      </c>
      <c r="O5" s="4" t="s">
        <v>73</v>
      </c>
      <c r="P5" s="4">
        <v>0</v>
      </c>
      <c r="Q5" s="4">
        <f t="shared" ref="Q5:Q13" si="6">IF(T5="",P5,P5*T5)</f>
        <v>0</v>
      </c>
      <c r="R5" s="4">
        <v>151</v>
      </c>
      <c r="S5" s="4">
        <f t="shared" ref="S5:S13" si="7">IF(T5="",R5,R5*T5)</f>
        <v>151</v>
      </c>
      <c r="T5" s="4"/>
      <c r="U5" s="21">
        <f>ROUND(J5*AI5,0)</f>
        <v>289</v>
      </c>
      <c r="V5" s="6">
        <f t="shared" ref="V5" si="8">1-S5/U5</f>
        <v>0.47750865051903113</v>
      </c>
      <c r="W5" s="4">
        <f t="shared" ref="W5:W13" si="9">AS5</f>
        <v>200</v>
      </c>
      <c r="X5" s="6">
        <f t="shared" si="2"/>
        <v>0.245</v>
      </c>
      <c r="Y5" s="33">
        <v>4</v>
      </c>
      <c r="Z5" s="33">
        <f t="shared" ref="Z5:Z18" si="10">W5*AI5</f>
        <v>261.47186147186147</v>
      </c>
      <c r="AA5" s="7">
        <v>260</v>
      </c>
      <c r="AB5" s="6">
        <f>1-S5/AA5</f>
        <v>0.41923076923076918</v>
      </c>
      <c r="AC5" s="4">
        <f>AA5-S5</f>
        <v>109</v>
      </c>
      <c r="AD5" s="28"/>
      <c r="AE5" s="6"/>
      <c r="AF5" s="6"/>
      <c r="AG5" s="6" t="e">
        <f>Q5/I5</f>
        <v>#DIV/0!</v>
      </c>
      <c r="AH5" s="6">
        <f>AA5/J5</f>
        <v>1.1764705882352942</v>
      </c>
      <c r="AI5" s="6">
        <f t="shared" si="3"/>
        <v>1.3073593073593073</v>
      </c>
      <c r="AJ5" s="4" t="str">
        <f>IFERROR(ROUND($AA5*M5/$J5,0),"-")</f>
        <v>-</v>
      </c>
      <c r="AK5" s="4" t="str">
        <f>IF(N5="","-",N5)</f>
        <v>-</v>
      </c>
      <c r="AL5" s="4" t="str">
        <f>IF(O5="","-",O5)</f>
        <v>-</v>
      </c>
      <c r="AM5" s="4">
        <v>0</v>
      </c>
      <c r="AN5" s="4" t="s">
        <v>90</v>
      </c>
      <c r="AO5" s="4">
        <v>1</v>
      </c>
      <c r="AP5" s="4">
        <v>5</v>
      </c>
      <c r="AQ5" s="4" t="s">
        <v>91</v>
      </c>
      <c r="AR5" s="4">
        <v>1000</v>
      </c>
      <c r="AS5" s="4">
        <f t="shared" si="4"/>
        <v>200</v>
      </c>
      <c r="AT5" s="19">
        <v>4</v>
      </c>
      <c r="AU5" s="19">
        <v>1</v>
      </c>
      <c r="AV5" s="16">
        <v>6</v>
      </c>
      <c r="AY5" s="4" t="s">
        <v>75</v>
      </c>
    </row>
    <row r="6" spans="1:51" x14ac:dyDescent="0.4">
      <c r="A6" s="3">
        <v>3</v>
      </c>
      <c r="B6" s="17">
        <v>165421</v>
      </c>
      <c r="C6" s="4" t="str">
        <f t="shared" si="5"/>
        <v>165421</v>
      </c>
      <c r="D6" s="4">
        <v>165421</v>
      </c>
      <c r="E6" s="4" t="s">
        <v>60</v>
      </c>
      <c r="F6" s="5">
        <v>4901490046188</v>
      </c>
      <c r="G6" s="5">
        <v>1</v>
      </c>
      <c r="H6" s="5">
        <v>1</v>
      </c>
      <c r="I6" s="4">
        <v>0</v>
      </c>
      <c r="J6" s="4">
        <v>236</v>
      </c>
      <c r="K6" s="4">
        <v>161.5</v>
      </c>
      <c r="L6" s="6">
        <f t="shared" si="0"/>
        <v>0.31567796610169496</v>
      </c>
      <c r="M6" s="4" t="s">
        <v>73</v>
      </c>
      <c r="N6" s="4" t="s">
        <v>73</v>
      </c>
      <c r="O6" s="4" t="s">
        <v>73</v>
      </c>
      <c r="P6" s="4">
        <v>0</v>
      </c>
      <c r="Q6" s="4">
        <f t="shared" si="6"/>
        <v>0</v>
      </c>
      <c r="R6" s="4">
        <v>218</v>
      </c>
      <c r="S6" s="4">
        <f t="shared" si="7"/>
        <v>218</v>
      </c>
      <c r="T6" s="4"/>
      <c r="U6" s="21">
        <f>ROUND(J6*AI6,0)</f>
        <v>319</v>
      </c>
      <c r="V6" s="6">
        <f t="shared" ref="V6:V13" si="11">1-S6/U6</f>
        <v>0.31661442006269591</v>
      </c>
      <c r="W6" s="4">
        <f t="shared" si="9"/>
        <v>408</v>
      </c>
      <c r="X6" s="6">
        <f t="shared" ref="X6:X13" si="12">1-S6/W6</f>
        <v>0.46568627450980393</v>
      </c>
      <c r="Y6" s="33">
        <v>6.75</v>
      </c>
      <c r="Z6" s="33">
        <f t="shared" si="10"/>
        <v>550.73684210526312</v>
      </c>
      <c r="AA6" s="7">
        <v>320</v>
      </c>
      <c r="AB6" s="6">
        <f>1-S6/AA6</f>
        <v>0.31874999999999998</v>
      </c>
      <c r="AC6" s="4">
        <f>AA6-S6</f>
        <v>102</v>
      </c>
      <c r="AD6" s="28"/>
      <c r="AE6" s="6"/>
      <c r="AF6" s="6"/>
      <c r="AG6" s="6" t="e">
        <f>Q6/I6</f>
        <v>#DIV/0!</v>
      </c>
      <c r="AH6" s="6">
        <f>AA6/J6</f>
        <v>1.3559322033898304</v>
      </c>
      <c r="AI6" s="6">
        <f t="shared" si="3"/>
        <v>1.3498452012383901</v>
      </c>
      <c r="AJ6" s="4" t="str">
        <f>IFERROR(ROUND($AA6*M6/$J6,0),"-")</f>
        <v>-</v>
      </c>
      <c r="AK6" s="4" t="str">
        <f>IF(N6="","-",N6)</f>
        <v>-</v>
      </c>
      <c r="AL6" s="4" t="str">
        <f>IF(O6="","-",O6)</f>
        <v>-</v>
      </c>
      <c r="AM6" s="4">
        <v>0</v>
      </c>
      <c r="AN6" s="4" t="s">
        <v>92</v>
      </c>
      <c r="AO6" s="4"/>
      <c r="AP6" s="4"/>
      <c r="AQ6" s="4" t="s">
        <v>89</v>
      </c>
      <c r="AR6" s="4">
        <v>408</v>
      </c>
      <c r="AS6" s="4">
        <f t="shared" ref="AS6:AS13" si="13">IF(AO6="",AR6,AO6/AP6*AR6)</f>
        <v>408</v>
      </c>
      <c r="AT6" s="19">
        <v>4</v>
      </c>
      <c r="AU6" s="19">
        <v>1</v>
      </c>
      <c r="AV6" s="16">
        <v>6</v>
      </c>
      <c r="AY6" s="4" t="s">
        <v>76</v>
      </c>
    </row>
    <row r="7" spans="1:51" x14ac:dyDescent="0.4">
      <c r="A7" s="3">
        <v>4</v>
      </c>
      <c r="B7" s="17">
        <v>677857</v>
      </c>
      <c r="C7" s="4" t="str">
        <f t="shared" si="5"/>
        <v>677857</v>
      </c>
      <c r="D7" s="4">
        <v>677857</v>
      </c>
      <c r="E7" s="4" t="s">
        <v>61</v>
      </c>
      <c r="F7" s="5">
        <v>4901490044672</v>
      </c>
      <c r="G7" s="5">
        <v>1</v>
      </c>
      <c r="H7" s="5">
        <v>1</v>
      </c>
      <c r="I7" s="4">
        <v>0</v>
      </c>
      <c r="J7" s="4">
        <v>277</v>
      </c>
      <c r="K7" s="4">
        <v>162</v>
      </c>
      <c r="L7" s="6">
        <f t="shared" si="0"/>
        <v>0.41516245487364623</v>
      </c>
      <c r="M7" s="4" t="s">
        <v>73</v>
      </c>
      <c r="N7" s="4" t="s">
        <v>73</v>
      </c>
      <c r="O7" s="4" t="s">
        <v>73</v>
      </c>
      <c r="P7" s="4">
        <v>0</v>
      </c>
      <c r="Q7" s="4">
        <f t="shared" si="6"/>
        <v>0</v>
      </c>
      <c r="R7" s="4">
        <v>214</v>
      </c>
      <c r="S7" s="4">
        <f t="shared" si="7"/>
        <v>214</v>
      </c>
      <c r="T7" s="4"/>
      <c r="U7" s="21">
        <f>ROUND(J7*AI7,0)</f>
        <v>366</v>
      </c>
      <c r="V7" s="6">
        <f t="shared" si="11"/>
        <v>0.41530054644808745</v>
      </c>
      <c r="W7" s="4">
        <f t="shared" si="9"/>
        <v>282</v>
      </c>
      <c r="X7" s="6">
        <f t="shared" si="12"/>
        <v>0.24113475177304966</v>
      </c>
      <c r="Y7" s="33">
        <v>4.25</v>
      </c>
      <c r="Z7" s="33">
        <f t="shared" si="10"/>
        <v>372.51851851851853</v>
      </c>
      <c r="AA7" s="7">
        <v>370</v>
      </c>
      <c r="AB7" s="6">
        <f>1-S7/AA7</f>
        <v>0.42162162162162165</v>
      </c>
      <c r="AC7" s="4">
        <f>AA7-S7</f>
        <v>156</v>
      </c>
      <c r="AD7" s="28"/>
      <c r="AE7" s="6"/>
      <c r="AF7" s="6"/>
      <c r="AG7" s="6" t="e">
        <f>Q7/I7</f>
        <v>#DIV/0!</v>
      </c>
      <c r="AH7" s="6">
        <f>AA7/J7</f>
        <v>1.3357400722021662</v>
      </c>
      <c r="AI7" s="6">
        <f t="shared" si="3"/>
        <v>1.3209876543209877</v>
      </c>
      <c r="AJ7" s="4" t="str">
        <f>IFERROR(ROUND($AA7*M7/$J7,0),"-")</f>
        <v>-</v>
      </c>
      <c r="AK7" s="4" t="str">
        <f>IF(N7="","-",N7)</f>
        <v>-</v>
      </c>
      <c r="AL7" s="4" t="str">
        <f>IF(O7="","-",O7)</f>
        <v>-</v>
      </c>
      <c r="AM7" s="4" t="s">
        <v>55</v>
      </c>
      <c r="AN7" s="4" t="s">
        <v>93</v>
      </c>
      <c r="AO7" s="4"/>
      <c r="AP7" s="4"/>
      <c r="AQ7" s="4" t="s">
        <v>89</v>
      </c>
      <c r="AR7" s="4">
        <v>282</v>
      </c>
      <c r="AS7" s="4">
        <f t="shared" si="13"/>
        <v>282</v>
      </c>
      <c r="AT7" s="19">
        <v>4</v>
      </c>
      <c r="AU7" s="19">
        <v>1</v>
      </c>
      <c r="AV7" s="16">
        <v>6</v>
      </c>
      <c r="AY7" s="4" t="s">
        <v>77</v>
      </c>
    </row>
    <row r="8" spans="1:51" x14ac:dyDescent="0.4">
      <c r="A8" s="3">
        <v>5</v>
      </c>
      <c r="B8" s="17">
        <v>621998</v>
      </c>
      <c r="C8" s="4" t="str">
        <f t="shared" si="5"/>
        <v>621998</v>
      </c>
      <c r="D8" s="4">
        <v>621998</v>
      </c>
      <c r="E8" s="4" t="s">
        <v>62</v>
      </c>
      <c r="F8" s="5">
        <v>4901490101320</v>
      </c>
      <c r="G8" s="5">
        <v>1</v>
      </c>
      <c r="H8" s="5">
        <v>1</v>
      </c>
      <c r="I8" s="4">
        <v>0</v>
      </c>
      <c r="J8" s="4">
        <v>277</v>
      </c>
      <c r="K8" s="4">
        <v>195.5</v>
      </c>
      <c r="L8" s="6">
        <f t="shared" si="0"/>
        <v>0.29422382671480141</v>
      </c>
      <c r="M8" s="4" t="s">
        <v>73</v>
      </c>
      <c r="N8" s="4" t="s">
        <v>73</v>
      </c>
      <c r="O8" s="4" t="s">
        <v>73</v>
      </c>
      <c r="P8" s="4">
        <v>0</v>
      </c>
      <c r="Q8" s="4">
        <f t="shared" si="6"/>
        <v>0</v>
      </c>
      <c r="R8" s="4">
        <v>257</v>
      </c>
      <c r="S8" s="4">
        <f t="shared" si="7"/>
        <v>257</v>
      </c>
      <c r="T8" s="4"/>
      <c r="U8" s="21">
        <f>ROUND(J8*AI8,0)</f>
        <v>364</v>
      </c>
      <c r="V8" s="6">
        <f t="shared" si="11"/>
        <v>0.29395604395604391</v>
      </c>
      <c r="W8" s="4">
        <f t="shared" si="9"/>
        <v>270</v>
      </c>
      <c r="X8" s="6">
        <f t="shared" si="12"/>
        <v>4.8148148148148162E-2</v>
      </c>
      <c r="Y8" s="33">
        <v>21.25</v>
      </c>
      <c r="Z8" s="33">
        <f t="shared" si="10"/>
        <v>354.93606138107418</v>
      </c>
      <c r="AA8" s="7">
        <v>354</v>
      </c>
      <c r="AB8" s="6">
        <f>1-S8/AA8</f>
        <v>0.27401129943502822</v>
      </c>
      <c r="AC8" s="4">
        <f>AA8-S8</f>
        <v>97</v>
      </c>
      <c r="AD8" s="28"/>
      <c r="AE8" s="6"/>
      <c r="AF8" s="6"/>
      <c r="AG8" s="6" t="e">
        <f>Q8/I8</f>
        <v>#DIV/0!</v>
      </c>
      <c r="AH8" s="6">
        <f>AA8/J8</f>
        <v>1.2779783393501805</v>
      </c>
      <c r="AI8" s="6">
        <f t="shared" si="3"/>
        <v>1.3145780051150895</v>
      </c>
      <c r="AJ8" s="4" t="str">
        <f>IFERROR(ROUND($AA8*M8/$J8,0),"-")</f>
        <v>-</v>
      </c>
      <c r="AK8" s="4" t="str">
        <f>IF(N8="","-",N8)</f>
        <v>-</v>
      </c>
      <c r="AL8" s="4" t="str">
        <f>IF(O8="","-",O8)</f>
        <v>-</v>
      </c>
      <c r="AM8" s="4" t="s">
        <v>56</v>
      </c>
      <c r="AN8" s="4" t="s">
        <v>94</v>
      </c>
      <c r="AO8" s="4"/>
      <c r="AP8" s="4"/>
      <c r="AQ8" s="4" t="s">
        <v>89</v>
      </c>
      <c r="AR8" s="4">
        <v>270</v>
      </c>
      <c r="AS8" s="4">
        <f t="shared" si="13"/>
        <v>270</v>
      </c>
      <c r="AT8" s="19">
        <v>4</v>
      </c>
      <c r="AU8" s="19">
        <v>1</v>
      </c>
      <c r="AV8" s="16">
        <v>6</v>
      </c>
      <c r="AY8" s="4" t="s">
        <v>78</v>
      </c>
    </row>
    <row r="9" spans="1:51" x14ac:dyDescent="0.4">
      <c r="A9" s="3">
        <v>6</v>
      </c>
      <c r="B9" s="17">
        <v>621999</v>
      </c>
      <c r="C9" s="4" t="str">
        <f t="shared" si="5"/>
        <v>621999</v>
      </c>
      <c r="D9" s="4">
        <v>621999</v>
      </c>
      <c r="E9" s="4" t="s">
        <v>63</v>
      </c>
      <c r="F9" s="5">
        <v>4901490108329</v>
      </c>
      <c r="G9" s="5">
        <v>1</v>
      </c>
      <c r="H9" s="5">
        <v>1</v>
      </c>
      <c r="I9" s="4">
        <v>0</v>
      </c>
      <c r="J9" s="4">
        <v>363</v>
      </c>
      <c r="K9" s="4">
        <v>231</v>
      </c>
      <c r="L9" s="6">
        <f t="shared" si="0"/>
        <v>0.36363636363636365</v>
      </c>
      <c r="M9" s="4">
        <v>328</v>
      </c>
      <c r="N9" s="4">
        <v>10</v>
      </c>
      <c r="O9" s="4">
        <v>99999</v>
      </c>
      <c r="P9" s="4">
        <v>0</v>
      </c>
      <c r="Q9" s="4">
        <f t="shared" si="6"/>
        <v>0</v>
      </c>
      <c r="R9" s="4">
        <v>301</v>
      </c>
      <c r="S9" s="4">
        <f t="shared" si="7"/>
        <v>301</v>
      </c>
      <c r="T9" s="4"/>
      <c r="U9" s="21">
        <f>ROUND(J9*AI9,0)</f>
        <v>473</v>
      </c>
      <c r="V9" s="6">
        <f t="shared" si="11"/>
        <v>0.36363636363636365</v>
      </c>
      <c r="W9" s="4">
        <f t="shared" si="9"/>
        <v>354</v>
      </c>
      <c r="X9" s="6">
        <f t="shared" si="12"/>
        <v>0.14971751412429379</v>
      </c>
      <c r="Y9" s="33">
        <v>22.25</v>
      </c>
      <c r="Z9" s="33">
        <f t="shared" si="10"/>
        <v>461.27272727272725</v>
      </c>
      <c r="AA9" s="7">
        <v>460</v>
      </c>
      <c r="AB9" s="6">
        <f>1-S9/AA9</f>
        <v>0.34565217391304348</v>
      </c>
      <c r="AC9" s="4">
        <f>AA9-S9</f>
        <v>159</v>
      </c>
      <c r="AD9" s="28"/>
      <c r="AE9" s="6"/>
      <c r="AF9" s="6"/>
      <c r="AG9" s="6" t="e">
        <f>Q9/I9</f>
        <v>#DIV/0!</v>
      </c>
      <c r="AH9" s="6">
        <f>AA9/J9</f>
        <v>1.2672176308539944</v>
      </c>
      <c r="AI9" s="6">
        <f t="shared" si="3"/>
        <v>1.303030303030303</v>
      </c>
      <c r="AJ9" s="4">
        <f>IFERROR(ROUND($AA9*M9/$J9,0),"-")</f>
        <v>416</v>
      </c>
      <c r="AK9" s="4">
        <f>IF(N9="","-",N9)</f>
        <v>10</v>
      </c>
      <c r="AL9" s="4">
        <f>IF(O9="","-",O9)</f>
        <v>99999</v>
      </c>
      <c r="AM9" s="4" t="s">
        <v>56</v>
      </c>
      <c r="AN9" s="4" t="s">
        <v>95</v>
      </c>
      <c r="AO9" s="4"/>
      <c r="AP9" s="4"/>
      <c r="AQ9" s="4" t="s">
        <v>89</v>
      </c>
      <c r="AR9" s="4">
        <v>354</v>
      </c>
      <c r="AS9" s="4">
        <f t="shared" si="13"/>
        <v>354</v>
      </c>
      <c r="AT9" s="19">
        <v>4</v>
      </c>
      <c r="AU9" s="19">
        <v>1</v>
      </c>
      <c r="AV9" s="16">
        <v>6</v>
      </c>
      <c r="AY9" s="4" t="s">
        <v>79</v>
      </c>
    </row>
    <row r="10" spans="1:51" x14ac:dyDescent="0.4">
      <c r="A10" s="3">
        <v>7</v>
      </c>
      <c r="B10" s="4">
        <v>672656</v>
      </c>
      <c r="C10" s="4" t="str">
        <f t="shared" si="5"/>
        <v>672656</v>
      </c>
      <c r="D10" s="4">
        <v>672656</v>
      </c>
      <c r="E10" s="4" t="s">
        <v>64</v>
      </c>
      <c r="F10" s="5">
        <v>4901490401178</v>
      </c>
      <c r="G10" s="5">
        <v>1</v>
      </c>
      <c r="H10" s="5">
        <v>1</v>
      </c>
      <c r="I10" s="4">
        <v>0</v>
      </c>
      <c r="J10" s="4">
        <v>527</v>
      </c>
      <c r="K10" s="4">
        <v>369.5</v>
      </c>
      <c r="L10" s="6">
        <f t="shared" si="0"/>
        <v>0.2988614800759013</v>
      </c>
      <c r="M10" s="4" t="s">
        <v>73</v>
      </c>
      <c r="N10" s="4" t="s">
        <v>73</v>
      </c>
      <c r="O10" s="4" t="s">
        <v>73</v>
      </c>
      <c r="P10" s="4">
        <v>0</v>
      </c>
      <c r="Q10" s="4">
        <f t="shared" si="6"/>
        <v>0</v>
      </c>
      <c r="R10" s="4">
        <v>412</v>
      </c>
      <c r="S10" s="4">
        <f t="shared" si="7"/>
        <v>412</v>
      </c>
      <c r="T10" s="4"/>
      <c r="U10" s="21">
        <f>ROUND(J10*AI10,0)</f>
        <v>588</v>
      </c>
      <c r="V10" s="6">
        <f t="shared" si="11"/>
        <v>0.29931972789115646</v>
      </c>
      <c r="W10" s="4">
        <f t="shared" si="9"/>
        <v>451</v>
      </c>
      <c r="X10" s="6">
        <f t="shared" si="12"/>
        <v>8.6474501108647406E-2</v>
      </c>
      <c r="Y10" s="33">
        <v>24.5</v>
      </c>
      <c r="Z10" s="33">
        <f t="shared" si="10"/>
        <v>502.87415426251687</v>
      </c>
      <c r="AA10" s="7">
        <v>580</v>
      </c>
      <c r="AB10" s="6">
        <f>1-S10/AA10</f>
        <v>0.28965517241379313</v>
      </c>
      <c r="AC10" s="4">
        <f>AA10-S10</f>
        <v>168</v>
      </c>
      <c r="AD10" s="28"/>
      <c r="AE10" s="6"/>
      <c r="AF10" s="6"/>
      <c r="AG10" s="6" t="e">
        <f>Q10/I10</f>
        <v>#DIV/0!</v>
      </c>
      <c r="AH10" s="6">
        <f>AA10/J10</f>
        <v>1.1005692599620494</v>
      </c>
      <c r="AI10" s="6">
        <f t="shared" si="3"/>
        <v>1.115020297699594</v>
      </c>
      <c r="AJ10" s="4" t="str">
        <f>IFERROR(ROUND($AA10*M10/$J10,0),"-")</f>
        <v>-</v>
      </c>
      <c r="AK10" s="4" t="str">
        <f>IF(N10="","-",N10)</f>
        <v>-</v>
      </c>
      <c r="AL10" s="4" t="str">
        <f>IF(O10="","-",O10)</f>
        <v>-</v>
      </c>
      <c r="AM10" s="4" t="s">
        <v>56</v>
      </c>
      <c r="AN10" s="4" t="s">
        <v>96</v>
      </c>
      <c r="AO10" s="4"/>
      <c r="AP10" s="4"/>
      <c r="AQ10" s="4" t="s">
        <v>89</v>
      </c>
      <c r="AR10" s="4">
        <v>451</v>
      </c>
      <c r="AS10" s="4">
        <f t="shared" si="13"/>
        <v>451</v>
      </c>
      <c r="AT10" s="19">
        <v>4</v>
      </c>
      <c r="AU10" s="19">
        <v>1</v>
      </c>
      <c r="AV10" s="16">
        <v>6</v>
      </c>
      <c r="AY10" s="4" t="s">
        <v>80</v>
      </c>
    </row>
    <row r="11" spans="1:51" x14ac:dyDescent="0.4">
      <c r="A11" s="3">
        <v>8</v>
      </c>
      <c r="B11" s="4">
        <v>621996</v>
      </c>
      <c r="C11" s="4" t="str">
        <f t="shared" si="5"/>
        <v>621996</v>
      </c>
      <c r="D11" s="4">
        <v>621996</v>
      </c>
      <c r="E11" s="4" t="s">
        <v>65</v>
      </c>
      <c r="F11" s="5">
        <v>4901490130412</v>
      </c>
      <c r="G11" s="5">
        <v>1</v>
      </c>
      <c r="H11" s="5">
        <v>1</v>
      </c>
      <c r="I11" s="4">
        <v>0</v>
      </c>
      <c r="J11" s="4">
        <v>530</v>
      </c>
      <c r="K11" s="4">
        <v>420</v>
      </c>
      <c r="L11" s="6">
        <f t="shared" si="0"/>
        <v>0.20754716981132071</v>
      </c>
      <c r="M11" s="4">
        <v>493</v>
      </c>
      <c r="N11" s="4">
        <v>10</v>
      </c>
      <c r="O11" s="4">
        <v>99999</v>
      </c>
      <c r="P11" s="4">
        <v>0</v>
      </c>
      <c r="Q11" s="4">
        <f t="shared" si="6"/>
        <v>0</v>
      </c>
      <c r="R11" s="4">
        <v>546</v>
      </c>
      <c r="S11" s="4">
        <f t="shared" si="7"/>
        <v>546</v>
      </c>
      <c r="T11" s="4"/>
      <c r="U11" s="21">
        <f>ROUND(J11*AI11,0)</f>
        <v>689</v>
      </c>
      <c r="V11" s="6">
        <f t="shared" si="11"/>
        <v>0.20754716981132071</v>
      </c>
      <c r="W11" s="4">
        <f t="shared" si="9"/>
        <v>530</v>
      </c>
      <c r="X11" s="6">
        <f t="shared" si="12"/>
        <v>-3.0188679245283012E-2</v>
      </c>
      <c r="Y11" s="33">
        <v>34.75</v>
      </c>
      <c r="Z11" s="33">
        <f t="shared" si="10"/>
        <v>689</v>
      </c>
      <c r="AA11" s="7">
        <v>700</v>
      </c>
      <c r="AB11" s="6">
        <f>1-S11/AA11</f>
        <v>0.21999999999999997</v>
      </c>
      <c r="AC11" s="4">
        <f>AA11-S11</f>
        <v>154</v>
      </c>
      <c r="AD11" s="28"/>
      <c r="AE11" s="6"/>
      <c r="AF11" s="6"/>
      <c r="AG11" s="6" t="e">
        <f>Q11/I11</f>
        <v>#DIV/0!</v>
      </c>
      <c r="AH11" s="6">
        <f>AA11/J11</f>
        <v>1.320754716981132</v>
      </c>
      <c r="AI11" s="6">
        <f t="shared" si="3"/>
        <v>1.3</v>
      </c>
      <c r="AJ11" s="4">
        <f>IFERROR(ROUND($AA11*M11/$J11,0),"-")</f>
        <v>651</v>
      </c>
      <c r="AK11" s="4">
        <f>IF(N11="","-",N11)</f>
        <v>10</v>
      </c>
      <c r="AL11" s="4">
        <f>IF(O11="","-",O11)</f>
        <v>99999</v>
      </c>
      <c r="AM11" s="4" t="s">
        <v>57</v>
      </c>
      <c r="AN11" s="4" t="s">
        <v>97</v>
      </c>
      <c r="AO11" s="4"/>
      <c r="AP11" s="4"/>
      <c r="AQ11" s="4" t="s">
        <v>89</v>
      </c>
      <c r="AR11" s="4">
        <v>530</v>
      </c>
      <c r="AS11" s="4">
        <f t="shared" si="13"/>
        <v>530</v>
      </c>
      <c r="AT11" s="19">
        <v>4</v>
      </c>
      <c r="AU11" s="19">
        <v>1</v>
      </c>
      <c r="AV11" s="16">
        <v>6</v>
      </c>
      <c r="AY11" s="4" t="s">
        <v>81</v>
      </c>
    </row>
    <row r="12" spans="1:51" x14ac:dyDescent="0.4">
      <c r="A12" s="3">
        <v>9</v>
      </c>
      <c r="B12" s="4">
        <v>628290</v>
      </c>
      <c r="C12" s="4" t="str">
        <f t="shared" si="5"/>
        <v>628290</v>
      </c>
      <c r="D12" s="4">
        <v>628290</v>
      </c>
      <c r="E12" s="4" t="s">
        <v>66</v>
      </c>
      <c r="F12" s="5">
        <v>4901490115419</v>
      </c>
      <c r="G12" s="5">
        <v>1</v>
      </c>
      <c r="H12" s="5">
        <v>1</v>
      </c>
      <c r="I12" s="4">
        <v>0</v>
      </c>
      <c r="J12" s="4">
        <v>688</v>
      </c>
      <c r="K12" s="4">
        <v>420</v>
      </c>
      <c r="L12" s="6">
        <f t="shared" si="0"/>
        <v>0.38953488372093026</v>
      </c>
      <c r="M12" s="4" t="s">
        <v>73</v>
      </c>
      <c r="N12" s="4" t="s">
        <v>73</v>
      </c>
      <c r="O12" s="4" t="s">
        <v>73</v>
      </c>
      <c r="P12" s="4">
        <v>0</v>
      </c>
      <c r="Q12" s="4">
        <f t="shared" si="6"/>
        <v>0</v>
      </c>
      <c r="R12" s="4">
        <v>572</v>
      </c>
      <c r="S12" s="4">
        <f t="shared" si="7"/>
        <v>572</v>
      </c>
      <c r="T12" s="4"/>
      <c r="U12" s="21">
        <f>ROUND(J12*AI12,0)</f>
        <v>937</v>
      </c>
      <c r="V12" s="6">
        <f t="shared" si="11"/>
        <v>0.38954108858057634</v>
      </c>
      <c r="W12" s="4" t="str">
        <f t="shared" si="9"/>
        <v>-</v>
      </c>
      <c r="X12" s="6" t="e">
        <f t="shared" si="12"/>
        <v>#VALUE!</v>
      </c>
      <c r="Y12" s="33">
        <v>2.25</v>
      </c>
      <c r="Z12" s="33" t="e">
        <f t="shared" si="10"/>
        <v>#VALUE!</v>
      </c>
      <c r="AA12" s="7">
        <v>880</v>
      </c>
      <c r="AB12" s="6">
        <f>1-S12/AA12</f>
        <v>0.35</v>
      </c>
      <c r="AC12" s="4">
        <f>AA12-S12</f>
        <v>308</v>
      </c>
      <c r="AD12" s="28"/>
      <c r="AE12" s="6"/>
      <c r="AF12" s="6"/>
      <c r="AG12" s="6" t="e">
        <f>Q12/I12</f>
        <v>#DIV/0!</v>
      </c>
      <c r="AH12" s="6">
        <f>AA12/J12</f>
        <v>1.2790697674418605</v>
      </c>
      <c r="AI12" s="6">
        <f t="shared" si="3"/>
        <v>1.361904761904762</v>
      </c>
      <c r="AJ12" s="4" t="str">
        <f>IFERROR(ROUND($AA12*M12/$J12,0),"-")</f>
        <v>-</v>
      </c>
      <c r="AK12" s="4" t="str">
        <f>IF(N12="","-",N12)</f>
        <v>-</v>
      </c>
      <c r="AL12" s="4" t="str">
        <f>IF(O12="","-",O12)</f>
        <v>-</v>
      </c>
      <c r="AM12" s="4">
        <v>0</v>
      </c>
      <c r="AN12" s="4" t="s">
        <v>73</v>
      </c>
      <c r="AO12" s="4"/>
      <c r="AP12" s="4"/>
      <c r="AQ12" s="4" t="s">
        <v>73</v>
      </c>
      <c r="AR12" s="4" t="s">
        <v>73</v>
      </c>
      <c r="AS12" s="4" t="str">
        <f t="shared" si="13"/>
        <v>-</v>
      </c>
      <c r="AT12" s="19">
        <v>4</v>
      </c>
      <c r="AU12" s="19">
        <v>1</v>
      </c>
      <c r="AV12" s="16">
        <v>6</v>
      </c>
      <c r="AY12" s="4" t="s">
        <v>73</v>
      </c>
    </row>
    <row r="13" spans="1:51" x14ac:dyDescent="0.4">
      <c r="A13" s="3">
        <v>10</v>
      </c>
      <c r="B13" s="4">
        <v>696584</v>
      </c>
      <c r="C13" s="4" t="str">
        <f t="shared" si="5"/>
        <v>696584</v>
      </c>
      <c r="D13" s="4">
        <v>696584</v>
      </c>
      <c r="E13" s="4" t="s">
        <v>67</v>
      </c>
      <c r="F13" s="5">
        <v>4901490143757</v>
      </c>
      <c r="G13" s="5">
        <v>1</v>
      </c>
      <c r="H13" s="5">
        <v>1</v>
      </c>
      <c r="I13" s="4">
        <v>0</v>
      </c>
      <c r="J13" s="4">
        <v>862</v>
      </c>
      <c r="K13" s="4">
        <v>522.5</v>
      </c>
      <c r="L13" s="6">
        <f t="shared" si="0"/>
        <v>0.39385150812064962</v>
      </c>
      <c r="M13" s="4" t="s">
        <v>73</v>
      </c>
      <c r="N13" s="4" t="s">
        <v>73</v>
      </c>
      <c r="O13" s="4" t="s">
        <v>73</v>
      </c>
      <c r="P13" s="4">
        <v>0</v>
      </c>
      <c r="Q13" s="4">
        <f t="shared" si="6"/>
        <v>0</v>
      </c>
      <c r="R13" s="4">
        <v>676</v>
      </c>
      <c r="S13" s="4">
        <f t="shared" si="7"/>
        <v>676</v>
      </c>
      <c r="T13" s="4"/>
      <c r="U13" s="21">
        <f>ROUND(J13*AI13,0)</f>
        <v>1115</v>
      </c>
      <c r="V13" s="6">
        <f t="shared" si="11"/>
        <v>0.39372197309417045</v>
      </c>
      <c r="W13" s="4">
        <f t="shared" si="9"/>
        <v>1036.4000000000001</v>
      </c>
      <c r="X13" s="6">
        <f t="shared" si="12"/>
        <v>0.34774218448475502</v>
      </c>
      <c r="Y13" s="33">
        <v>2.5</v>
      </c>
      <c r="Z13" s="33">
        <f t="shared" si="10"/>
        <v>1340.8734928229667</v>
      </c>
      <c r="AA13" s="7">
        <v>1100</v>
      </c>
      <c r="AB13" s="6">
        <f>1-S13/AA13</f>
        <v>0.38545454545454549</v>
      </c>
      <c r="AC13" s="4">
        <f>AA13-S13</f>
        <v>424</v>
      </c>
      <c r="AD13" s="28"/>
      <c r="AE13" s="6"/>
      <c r="AF13" s="6"/>
      <c r="AG13" s="6" t="e">
        <f>Q13/I13</f>
        <v>#DIV/0!</v>
      </c>
      <c r="AH13" s="6">
        <f>AA13/J13</f>
        <v>1.2761020881670533</v>
      </c>
      <c r="AI13" s="6">
        <f t="shared" si="3"/>
        <v>1.2937799043062201</v>
      </c>
      <c r="AJ13" s="4" t="str">
        <f>IFERROR(ROUND($AA13*M13/$J13,0),"-")</f>
        <v>-</v>
      </c>
      <c r="AK13" s="4" t="str">
        <f>IF(N13="","-",N13)</f>
        <v>-</v>
      </c>
      <c r="AL13" s="4" t="str">
        <f>IF(O13="","-",O13)</f>
        <v>-</v>
      </c>
      <c r="AM13" s="4">
        <v>0</v>
      </c>
      <c r="AN13" s="4" t="s">
        <v>98</v>
      </c>
      <c r="AO13" s="4">
        <v>1</v>
      </c>
      <c r="AP13" s="4">
        <v>10</v>
      </c>
      <c r="AQ13" s="4" t="s">
        <v>99</v>
      </c>
      <c r="AR13" s="4">
        <v>10364</v>
      </c>
      <c r="AS13" s="4">
        <f t="shared" si="13"/>
        <v>1036.4000000000001</v>
      </c>
      <c r="AT13" s="19">
        <v>4</v>
      </c>
      <c r="AU13" s="19">
        <v>1</v>
      </c>
      <c r="AV13" s="16">
        <v>6</v>
      </c>
      <c r="AY13" s="4" t="s">
        <v>82</v>
      </c>
    </row>
    <row r="14" spans="1:51" x14ac:dyDescent="0.4">
      <c r="A14" s="3">
        <v>11</v>
      </c>
      <c r="B14" s="4">
        <v>621997</v>
      </c>
      <c r="C14" s="4" t="str">
        <f t="shared" ref="C14:C18" si="14">TEXT(B14,"000000")</f>
        <v>621997</v>
      </c>
      <c r="D14" s="4">
        <v>621997</v>
      </c>
      <c r="E14" s="4" t="s">
        <v>68</v>
      </c>
      <c r="F14" s="5">
        <v>4901490401673</v>
      </c>
      <c r="G14" s="5">
        <v>1</v>
      </c>
      <c r="H14" s="5">
        <v>1</v>
      </c>
      <c r="I14" s="4">
        <v>0</v>
      </c>
      <c r="J14" s="4">
        <v>767</v>
      </c>
      <c r="K14" s="4">
        <v>554</v>
      </c>
      <c r="L14" s="6">
        <f t="shared" ref="L14:L18" si="15">1-K14/J14</f>
        <v>0.27770534550195569</v>
      </c>
      <c r="M14" s="4" t="s">
        <v>73</v>
      </c>
      <c r="N14" s="4" t="s">
        <v>73</v>
      </c>
      <c r="O14" s="4" t="s">
        <v>73</v>
      </c>
      <c r="P14" s="4">
        <v>0</v>
      </c>
      <c r="Q14" s="4">
        <f t="shared" ref="Q14:Q18" si="16">IF(T14="",P14,P14*T14)</f>
        <v>0</v>
      </c>
      <c r="R14" s="4">
        <v>620</v>
      </c>
      <c r="S14" s="4">
        <f t="shared" ref="S14:S18" si="17">IF(T14="",R14,R14*T14)</f>
        <v>620</v>
      </c>
      <c r="T14" s="4"/>
      <c r="U14" s="21">
        <f>ROUND(J14*AI14,0)</f>
        <v>858</v>
      </c>
      <c r="V14" s="6">
        <f t="shared" ref="V14:V18" si="18">1-S14/U14</f>
        <v>0.27738927738927743</v>
      </c>
      <c r="W14" s="4">
        <f t="shared" ref="W14:W18" si="19">AS14</f>
        <v>745</v>
      </c>
      <c r="X14" s="6">
        <f t="shared" ref="X14:X18" si="20">1-S14/W14</f>
        <v>0.16778523489932884</v>
      </c>
      <c r="Y14" s="33">
        <v>8.75</v>
      </c>
      <c r="Z14" s="33">
        <f t="shared" si="10"/>
        <v>833.754512635379</v>
      </c>
      <c r="AA14" s="7">
        <v>850</v>
      </c>
      <c r="AB14" s="6">
        <f>1-S14/AA14</f>
        <v>0.27058823529411768</v>
      </c>
      <c r="AC14" s="4">
        <f>AA14-S14</f>
        <v>230</v>
      </c>
      <c r="AD14" s="28"/>
      <c r="AE14" s="6"/>
      <c r="AF14" s="6"/>
      <c r="AG14" s="6" t="e">
        <f>Q14/I14</f>
        <v>#DIV/0!</v>
      </c>
      <c r="AH14" s="6">
        <f>AA14/J14</f>
        <v>1.1082138200782268</v>
      </c>
      <c r="AI14" s="6">
        <f t="shared" si="3"/>
        <v>1.1191335740072201</v>
      </c>
      <c r="AJ14" s="4" t="str">
        <f>IFERROR(ROUND($AA14*M14/$J14,0),"-")</f>
        <v>-</v>
      </c>
      <c r="AK14" s="4" t="str">
        <f>IF(N14="","-",N14)</f>
        <v>-</v>
      </c>
      <c r="AL14" s="4" t="str">
        <f>IF(O14="","-",O14)</f>
        <v>-</v>
      </c>
      <c r="AM14" s="4" t="s">
        <v>56</v>
      </c>
      <c r="AN14" s="4" t="s">
        <v>100</v>
      </c>
      <c r="AO14" s="4"/>
      <c r="AP14" s="4"/>
      <c r="AQ14" s="4" t="s">
        <v>101</v>
      </c>
      <c r="AR14" s="4">
        <v>745</v>
      </c>
      <c r="AS14" s="4">
        <f t="shared" ref="AS14:AS18" si="21">IF(AO14="",AR14,AO14/AP14*AR14)</f>
        <v>745</v>
      </c>
      <c r="AT14" s="19">
        <v>4</v>
      </c>
      <c r="AU14" s="19">
        <v>1</v>
      </c>
      <c r="AV14" s="16">
        <v>6</v>
      </c>
      <c r="AY14" s="4" t="s">
        <v>83</v>
      </c>
    </row>
    <row r="15" spans="1:51" x14ac:dyDescent="0.4">
      <c r="A15" s="3">
        <v>12</v>
      </c>
      <c r="B15" s="4">
        <v>640306</v>
      </c>
      <c r="C15" s="4" t="str">
        <f t="shared" si="14"/>
        <v>640306</v>
      </c>
      <c r="D15" s="4">
        <v>640306</v>
      </c>
      <c r="E15" s="4" t="s">
        <v>69</v>
      </c>
      <c r="F15" s="5">
        <v>4901490162314</v>
      </c>
      <c r="G15" s="5">
        <v>1</v>
      </c>
      <c r="H15" s="5">
        <v>1</v>
      </c>
      <c r="I15" s="4">
        <v>0</v>
      </c>
      <c r="J15" s="4">
        <v>942</v>
      </c>
      <c r="K15" s="4">
        <v>577.5</v>
      </c>
      <c r="L15" s="6">
        <f t="shared" si="15"/>
        <v>0.38694267515923564</v>
      </c>
      <c r="M15" s="4" t="s">
        <v>73</v>
      </c>
      <c r="N15" s="4" t="s">
        <v>73</v>
      </c>
      <c r="O15" s="4" t="s">
        <v>73</v>
      </c>
      <c r="P15" s="4">
        <v>0</v>
      </c>
      <c r="Q15" s="4">
        <f t="shared" si="16"/>
        <v>0</v>
      </c>
      <c r="R15" s="4">
        <v>694</v>
      </c>
      <c r="S15" s="4">
        <f t="shared" si="17"/>
        <v>694</v>
      </c>
      <c r="T15" s="4"/>
      <c r="U15" s="21">
        <f>ROUND(J15*AI15,0)</f>
        <v>1132</v>
      </c>
      <c r="V15" s="6">
        <f t="shared" si="18"/>
        <v>0.38692579505300351</v>
      </c>
      <c r="W15" s="4">
        <f t="shared" si="19"/>
        <v>1154.6000000000001</v>
      </c>
      <c r="X15" s="6">
        <f t="shared" si="20"/>
        <v>0.39892603499047297</v>
      </c>
      <c r="Y15" s="33">
        <v>2.25</v>
      </c>
      <c r="Z15" s="33">
        <f t="shared" si="10"/>
        <v>1387.5193073593075</v>
      </c>
      <c r="AA15" s="7">
        <v>1100</v>
      </c>
      <c r="AB15" s="6">
        <f>1-S15/AA15</f>
        <v>0.36909090909090914</v>
      </c>
      <c r="AC15" s="4">
        <f>AA15-S15</f>
        <v>406</v>
      </c>
      <c r="AD15" s="28"/>
      <c r="AE15" s="6"/>
      <c r="AF15" s="6"/>
      <c r="AG15" s="6" t="e">
        <f>Q15/I15</f>
        <v>#DIV/0!</v>
      </c>
      <c r="AH15" s="6">
        <f>AA15/J15</f>
        <v>1.167728237791932</v>
      </c>
      <c r="AI15" s="6">
        <f t="shared" si="3"/>
        <v>1.2017316017316018</v>
      </c>
      <c r="AJ15" s="4" t="str">
        <f>IFERROR(ROUND($AA15*M15/$J15,0),"-")</f>
        <v>-</v>
      </c>
      <c r="AK15" s="4" t="str">
        <f>IF(N15="","-",N15)</f>
        <v>-</v>
      </c>
      <c r="AL15" s="4" t="str">
        <f>IF(O15="","-",O15)</f>
        <v>-</v>
      </c>
      <c r="AM15" s="4">
        <v>0</v>
      </c>
      <c r="AN15" s="4" t="s">
        <v>102</v>
      </c>
      <c r="AO15" s="4">
        <v>1</v>
      </c>
      <c r="AP15" s="4">
        <v>10</v>
      </c>
      <c r="AQ15" s="4" t="s">
        <v>99</v>
      </c>
      <c r="AR15" s="4">
        <v>11546</v>
      </c>
      <c r="AS15" s="4">
        <f t="shared" si="21"/>
        <v>1154.6000000000001</v>
      </c>
      <c r="AT15" s="19">
        <v>4</v>
      </c>
      <c r="AU15" s="19">
        <v>1</v>
      </c>
      <c r="AV15" s="16">
        <v>6</v>
      </c>
      <c r="AY15" s="4" t="s">
        <v>84</v>
      </c>
    </row>
    <row r="16" spans="1:51" x14ac:dyDescent="0.4">
      <c r="A16" s="3">
        <v>13</v>
      </c>
      <c r="B16" s="4">
        <v>678862</v>
      </c>
      <c r="C16" s="4" t="str">
        <f t="shared" si="14"/>
        <v>678862</v>
      </c>
      <c r="D16" s="4">
        <v>678862</v>
      </c>
      <c r="E16" s="4" t="s">
        <v>70</v>
      </c>
      <c r="F16" s="5">
        <v>4901490161317</v>
      </c>
      <c r="G16" s="5">
        <v>1</v>
      </c>
      <c r="H16" s="5">
        <v>1</v>
      </c>
      <c r="I16" s="4">
        <v>0</v>
      </c>
      <c r="J16" s="4">
        <v>974</v>
      </c>
      <c r="K16" s="4">
        <v>577.5</v>
      </c>
      <c r="L16" s="6">
        <f t="shared" si="15"/>
        <v>0.40708418891170428</v>
      </c>
      <c r="M16" s="4" t="s">
        <v>73</v>
      </c>
      <c r="N16" s="4" t="s">
        <v>73</v>
      </c>
      <c r="O16" s="4" t="s">
        <v>73</v>
      </c>
      <c r="P16" s="4">
        <v>0</v>
      </c>
      <c r="Q16" s="4">
        <f t="shared" si="16"/>
        <v>0</v>
      </c>
      <c r="R16" s="4">
        <v>694</v>
      </c>
      <c r="S16" s="4">
        <f t="shared" si="17"/>
        <v>694</v>
      </c>
      <c r="T16" s="4"/>
      <c r="U16" s="21">
        <f>ROUND(J16*AI16,0)</f>
        <v>1170</v>
      </c>
      <c r="V16" s="6">
        <f t="shared" si="18"/>
        <v>0.40683760683760684</v>
      </c>
      <c r="W16" s="4">
        <f t="shared" si="19"/>
        <v>1154.6000000000001</v>
      </c>
      <c r="X16" s="6">
        <f t="shared" si="20"/>
        <v>0.39892603499047297</v>
      </c>
      <c r="Y16" s="33">
        <v>1</v>
      </c>
      <c r="Z16" s="33">
        <f t="shared" si="10"/>
        <v>1387.5193073593075</v>
      </c>
      <c r="AA16" s="7">
        <v>1100</v>
      </c>
      <c r="AB16" s="6">
        <f>1-S16/AA16</f>
        <v>0.36909090909090914</v>
      </c>
      <c r="AC16" s="4">
        <f>AA16-S16</f>
        <v>406</v>
      </c>
      <c r="AD16" s="28"/>
      <c r="AE16" s="6"/>
      <c r="AF16" s="6"/>
      <c r="AG16" s="6" t="e">
        <f>Q16/I16</f>
        <v>#DIV/0!</v>
      </c>
      <c r="AH16" s="6">
        <f>AA16/J16</f>
        <v>1.1293634496919918</v>
      </c>
      <c r="AI16" s="6">
        <f t="shared" si="3"/>
        <v>1.2017316017316018</v>
      </c>
      <c r="AJ16" s="4" t="str">
        <f>IFERROR(ROUND($AA16*M16/$J16,0),"-")</f>
        <v>-</v>
      </c>
      <c r="AK16" s="4" t="str">
        <f>IF(N16="","-",N16)</f>
        <v>-</v>
      </c>
      <c r="AL16" s="4" t="str">
        <f>IF(O16="","-",O16)</f>
        <v>-</v>
      </c>
      <c r="AM16" s="4">
        <v>0</v>
      </c>
      <c r="AN16" s="4" t="s">
        <v>103</v>
      </c>
      <c r="AO16" s="4">
        <v>1</v>
      </c>
      <c r="AP16" s="4">
        <v>10</v>
      </c>
      <c r="AQ16" s="4" t="s">
        <v>99</v>
      </c>
      <c r="AR16" s="4">
        <v>11546</v>
      </c>
      <c r="AS16" s="4">
        <f t="shared" si="21"/>
        <v>1154.6000000000001</v>
      </c>
      <c r="AT16" s="19">
        <v>4</v>
      </c>
      <c r="AU16" s="19">
        <v>1</v>
      </c>
      <c r="AV16" s="16">
        <v>6</v>
      </c>
      <c r="AY16" s="4" t="s">
        <v>85</v>
      </c>
    </row>
    <row r="17" spans="1:51" x14ac:dyDescent="0.4">
      <c r="A17" s="3">
        <v>14</v>
      </c>
      <c r="B17" s="4" t="s">
        <v>54</v>
      </c>
      <c r="C17" s="4" t="str">
        <f t="shared" si="14"/>
        <v>J8305X</v>
      </c>
      <c r="D17" s="4" t="s">
        <v>54</v>
      </c>
      <c r="E17" s="4" t="s">
        <v>71</v>
      </c>
      <c r="F17" s="5">
        <v>4901490105441</v>
      </c>
      <c r="G17" s="5">
        <v>1</v>
      </c>
      <c r="H17" s="5">
        <v>1</v>
      </c>
      <c r="I17" s="4">
        <v>0</v>
      </c>
      <c r="J17" s="4">
        <v>337</v>
      </c>
      <c r="K17" s="4">
        <v>195</v>
      </c>
      <c r="L17" s="6">
        <f t="shared" si="15"/>
        <v>0.42136498516320475</v>
      </c>
      <c r="M17" s="4" t="s">
        <v>73</v>
      </c>
      <c r="N17" s="4" t="s">
        <v>73</v>
      </c>
      <c r="O17" s="4" t="s">
        <v>73</v>
      </c>
      <c r="P17" s="4">
        <v>0</v>
      </c>
      <c r="Q17" s="4">
        <f t="shared" si="16"/>
        <v>0</v>
      </c>
      <c r="R17" s="4">
        <v>256</v>
      </c>
      <c r="S17" s="4">
        <f t="shared" si="17"/>
        <v>256</v>
      </c>
      <c r="T17" s="4"/>
      <c r="U17" s="21">
        <f>ROUND(J17*AI17,0)</f>
        <v>442</v>
      </c>
      <c r="V17" s="6">
        <f t="shared" si="18"/>
        <v>0.420814479638009</v>
      </c>
      <c r="W17" s="4">
        <f t="shared" si="19"/>
        <v>399</v>
      </c>
      <c r="X17" s="6">
        <f t="shared" si="20"/>
        <v>0.35839598997493738</v>
      </c>
      <c r="Y17" s="33">
        <v>0.5</v>
      </c>
      <c r="Z17" s="33">
        <f t="shared" si="10"/>
        <v>523.81538461538457</v>
      </c>
      <c r="AA17" s="7">
        <v>440</v>
      </c>
      <c r="AB17" s="6">
        <f>1-S17/AA17</f>
        <v>0.41818181818181821</v>
      </c>
      <c r="AC17" s="4">
        <f>AA17-S17</f>
        <v>184</v>
      </c>
      <c r="AD17" s="28"/>
      <c r="AE17" s="6"/>
      <c r="AF17" s="6"/>
      <c r="AG17" s="6" t="e">
        <f>Q17/I17</f>
        <v>#DIV/0!</v>
      </c>
      <c r="AH17" s="6">
        <f>AA17/J17</f>
        <v>1.3056379821958457</v>
      </c>
      <c r="AI17" s="6">
        <f t="shared" si="3"/>
        <v>1.3128205128205128</v>
      </c>
      <c r="AJ17" s="4" t="str">
        <f>IFERROR(ROUND($AA17*M17/$J17,0),"-")</f>
        <v>-</v>
      </c>
      <c r="AK17" s="4" t="str">
        <f>IF(N17="","-",N17)</f>
        <v>-</v>
      </c>
      <c r="AL17" s="4" t="str">
        <f>IF(O17="","-",O17)</f>
        <v>-</v>
      </c>
      <c r="AM17" s="4">
        <v>0</v>
      </c>
      <c r="AN17" s="4" t="s">
        <v>104</v>
      </c>
      <c r="AO17" s="4"/>
      <c r="AP17" s="4"/>
      <c r="AQ17" s="4" t="s">
        <v>105</v>
      </c>
      <c r="AR17" s="4">
        <v>399</v>
      </c>
      <c r="AS17" s="4">
        <f t="shared" si="21"/>
        <v>399</v>
      </c>
      <c r="AT17" s="19">
        <v>4</v>
      </c>
      <c r="AU17" s="19">
        <v>1</v>
      </c>
      <c r="AV17" s="16">
        <v>17</v>
      </c>
      <c r="AY17" s="4" t="s">
        <v>86</v>
      </c>
    </row>
    <row r="18" spans="1:51" x14ac:dyDescent="0.4">
      <c r="A18" s="3">
        <v>15</v>
      </c>
      <c r="B18" s="4">
        <v>430832</v>
      </c>
      <c r="C18" s="4" t="str">
        <f t="shared" si="14"/>
        <v>430832</v>
      </c>
      <c r="D18" s="4">
        <v>430832</v>
      </c>
      <c r="E18" s="4" t="s">
        <v>72</v>
      </c>
      <c r="F18" s="5">
        <v>4901490403004</v>
      </c>
      <c r="G18" s="37">
        <v>2</v>
      </c>
      <c r="H18" s="5">
        <v>1</v>
      </c>
      <c r="I18" s="4">
        <v>0</v>
      </c>
      <c r="J18" s="4">
        <v>9600</v>
      </c>
      <c r="K18" s="4">
        <v>6950</v>
      </c>
      <c r="L18" s="6">
        <f t="shared" si="15"/>
        <v>0.27604166666666663</v>
      </c>
      <c r="M18" s="4" t="s">
        <v>73</v>
      </c>
      <c r="N18" s="4" t="s">
        <v>73</v>
      </c>
      <c r="O18" s="4" t="s">
        <v>73</v>
      </c>
      <c r="P18" s="4">
        <v>0</v>
      </c>
      <c r="Q18" s="4">
        <f t="shared" si="16"/>
        <v>0</v>
      </c>
      <c r="R18" s="4">
        <v>758</v>
      </c>
      <c r="S18" s="4">
        <f t="shared" si="17"/>
        <v>7580</v>
      </c>
      <c r="T18" s="4">
        <v>10</v>
      </c>
      <c r="U18" s="21">
        <f>ROUND(J18*AI18,0)</f>
        <v>10470</v>
      </c>
      <c r="V18" s="6">
        <f t="shared" si="18"/>
        <v>0.27602674307545372</v>
      </c>
      <c r="W18" s="4">
        <f t="shared" si="19"/>
        <v>10000</v>
      </c>
      <c r="X18" s="6">
        <f t="shared" si="20"/>
        <v>0.24199999999999999</v>
      </c>
      <c r="Y18" s="33">
        <v>0</v>
      </c>
      <c r="Z18" s="33">
        <f t="shared" si="10"/>
        <v>10906.474820143885</v>
      </c>
      <c r="AA18" s="7">
        <v>10500</v>
      </c>
      <c r="AB18" s="6">
        <f>1-S18/AA18</f>
        <v>0.27809523809523806</v>
      </c>
      <c r="AC18" s="4">
        <f>AA18-S18</f>
        <v>2920</v>
      </c>
      <c r="AD18" s="28"/>
      <c r="AE18" s="6"/>
      <c r="AF18" s="6"/>
      <c r="AG18" s="6" t="e">
        <f>Q18/I18</f>
        <v>#DIV/0!</v>
      </c>
      <c r="AH18" s="6">
        <f>AA18/J18</f>
        <v>1.09375</v>
      </c>
      <c r="AI18" s="6">
        <f t="shared" si="3"/>
        <v>1.0906474820143885</v>
      </c>
      <c r="AJ18" s="4" t="str">
        <f>IFERROR(ROUND($AA18*M18/$J18,0),"-")</f>
        <v>-</v>
      </c>
      <c r="AK18" s="4" t="str">
        <f>IF(N18="","-",N18)</f>
        <v>-</v>
      </c>
      <c r="AL18" s="4" t="str">
        <f>IF(O18="","-",O18)</f>
        <v>-</v>
      </c>
      <c r="AM18" s="4">
        <v>0</v>
      </c>
      <c r="AN18" s="4" t="s">
        <v>106</v>
      </c>
      <c r="AO18" s="4">
        <v>10</v>
      </c>
      <c r="AP18" s="4">
        <v>1</v>
      </c>
      <c r="AQ18" s="4" t="s">
        <v>89</v>
      </c>
      <c r="AR18" s="4">
        <v>1000</v>
      </c>
      <c r="AS18" s="4">
        <f t="shared" si="21"/>
        <v>10000</v>
      </c>
      <c r="AT18" s="19">
        <v>8</v>
      </c>
      <c r="AU18" s="19">
        <v>8</v>
      </c>
      <c r="AV18" s="16">
        <v>17</v>
      </c>
      <c r="AY18" s="4" t="s">
        <v>87</v>
      </c>
    </row>
  </sheetData>
  <autoFilter ref="A3:AY3" xr:uid="{7A1660CF-9003-4B2D-B659-7F339ED5B476}"/>
  <mergeCells count="3">
    <mergeCell ref="I2:L2"/>
    <mergeCell ref="G2:H2"/>
    <mergeCell ref="P1:S1"/>
  </mergeCells>
  <phoneticPr fontId="2"/>
  <conditionalFormatting sqref="W4:W18">
    <cfRule type="cellIs" dxfId="4" priority="3" operator="lessThan">
      <formula>$U4</formula>
    </cfRule>
  </conditionalFormatting>
  <conditionalFormatting sqref="AA4:AA18">
    <cfRule type="cellIs" dxfId="3" priority="2" operator="greaterThan">
      <formula>$Q4</formula>
    </cfRule>
  </conditionalFormatting>
  <conditionalFormatting sqref="Z4:Z18">
    <cfRule type="cellIs" dxfId="0" priority="1" operator="lessThan">
      <formula>$AA4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2026-04-20T08:59:53Z</dcterms:modified>
</cp:coreProperties>
</file>