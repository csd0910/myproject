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frt-nas\01_全社共有\商品部\個人フォルダ\須永\価格改定\2026年6月1日改定\"/>
    </mc:Choice>
  </mc:AlternateContent>
  <xr:revisionPtr revIDLastSave="0" documentId="13_ncr:1_{9BB1DA6B-8E19-4FB9-8C53-87AFF5DB6FEB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>Sheet1!$A$3:$BD$3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B8" i="1" l="1"/>
  <c r="BA5" i="1"/>
  <c r="BA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4" i="1"/>
  <c r="AV17" i="1"/>
  <c r="AA17" i="1" s="1"/>
  <c r="AV19" i="1"/>
  <c r="AA19" i="1" s="1"/>
  <c r="AV20" i="1"/>
  <c r="AA20" i="1" s="1"/>
  <c r="AV21" i="1"/>
  <c r="AA21" i="1" s="1"/>
  <c r="AM5" i="1"/>
  <c r="AN5" i="1"/>
  <c r="AO5" i="1"/>
  <c r="AM6" i="1"/>
  <c r="AN6" i="1"/>
  <c r="AO6" i="1"/>
  <c r="AM7" i="1"/>
  <c r="AN7" i="1"/>
  <c r="AO7" i="1"/>
  <c r="AM8" i="1"/>
  <c r="AN8" i="1"/>
  <c r="AO8" i="1"/>
  <c r="AM9" i="1"/>
  <c r="AN9" i="1"/>
  <c r="AO9" i="1"/>
  <c r="AM10" i="1"/>
  <c r="AN10" i="1"/>
  <c r="AO10" i="1"/>
  <c r="AM11" i="1"/>
  <c r="AN11" i="1"/>
  <c r="AO11" i="1"/>
  <c r="AM12" i="1"/>
  <c r="AN12" i="1"/>
  <c r="AO12" i="1"/>
  <c r="AM13" i="1"/>
  <c r="AN13" i="1"/>
  <c r="AO13" i="1"/>
  <c r="AM14" i="1"/>
  <c r="AN14" i="1"/>
  <c r="AO14" i="1"/>
  <c r="AM15" i="1"/>
  <c r="AN15" i="1"/>
  <c r="AO15" i="1"/>
  <c r="AM16" i="1"/>
  <c r="AN16" i="1"/>
  <c r="AO16" i="1"/>
  <c r="AM17" i="1"/>
  <c r="AN17" i="1"/>
  <c r="AO17" i="1"/>
  <c r="AM18" i="1"/>
  <c r="AN18" i="1"/>
  <c r="AO18" i="1"/>
  <c r="AM19" i="1"/>
  <c r="AN19" i="1"/>
  <c r="AO19" i="1"/>
  <c r="AM20" i="1"/>
  <c r="AN20" i="1"/>
  <c r="AO20" i="1"/>
  <c r="AM21" i="1"/>
  <c r="AN21" i="1"/>
  <c r="AO21" i="1"/>
  <c r="AO4" i="1"/>
  <c r="AN4" i="1"/>
  <c r="AM4" i="1"/>
  <c r="O18" i="1"/>
  <c r="O20" i="1"/>
  <c r="AK21" i="1"/>
  <c r="O21" i="1"/>
  <c r="V21" i="1"/>
  <c r="AF21" i="1" s="1"/>
  <c r="T21" i="1"/>
  <c r="D21" i="1"/>
  <c r="V20" i="1"/>
  <c r="T20" i="1"/>
  <c r="D20" i="1"/>
  <c r="AK19" i="1"/>
  <c r="V19" i="1"/>
  <c r="AF19" i="1" s="1"/>
  <c r="T19" i="1"/>
  <c r="AJ19" i="1" s="1"/>
  <c r="O19" i="1"/>
  <c r="D19" i="1"/>
  <c r="AV18" i="1"/>
  <c r="AA18" i="1" s="1"/>
  <c r="AK18" i="1"/>
  <c r="V18" i="1"/>
  <c r="AE18" i="1" s="1"/>
  <c r="T18" i="1"/>
  <c r="AJ18" i="1" s="1"/>
  <c r="D18" i="1"/>
  <c r="AK17" i="1"/>
  <c r="V17" i="1"/>
  <c r="AE17" i="1" s="1"/>
  <c r="T17" i="1"/>
  <c r="O17" i="1"/>
  <c r="D17" i="1"/>
  <c r="AV16" i="1"/>
  <c r="AA16" i="1" s="1"/>
  <c r="AK16" i="1"/>
  <c r="V16" i="1"/>
  <c r="AF16" i="1" s="1"/>
  <c r="T16" i="1"/>
  <c r="AJ16" i="1" s="1"/>
  <c r="O16" i="1"/>
  <c r="D16" i="1"/>
  <c r="AV15" i="1"/>
  <c r="AA15" i="1" s="1"/>
  <c r="AK15" i="1"/>
  <c r="V15" i="1"/>
  <c r="AF15" i="1" s="1"/>
  <c r="T15" i="1"/>
  <c r="AJ15" i="1" s="1"/>
  <c r="O15" i="1"/>
  <c r="D15" i="1"/>
  <c r="AV14" i="1"/>
  <c r="AA14" i="1" s="1"/>
  <c r="AK14" i="1"/>
  <c r="V14" i="1"/>
  <c r="AL14" i="1" s="1"/>
  <c r="X14" i="1" s="1"/>
  <c r="Y14" i="1" s="1"/>
  <c r="T14" i="1"/>
  <c r="AJ14" i="1" s="1"/>
  <c r="O14" i="1"/>
  <c r="D14" i="1"/>
  <c r="BC14" i="1" l="1"/>
  <c r="AK20" i="1"/>
  <c r="AJ17" i="1"/>
  <c r="AJ21" i="1"/>
  <c r="AJ20" i="1"/>
  <c r="AB14" i="1"/>
  <c r="AC14" i="1" s="1"/>
  <c r="AL19" i="1"/>
  <c r="AL21" i="1"/>
  <c r="AE21" i="1"/>
  <c r="AE14" i="1"/>
  <c r="AE15" i="1"/>
  <c r="AF14" i="1"/>
  <c r="AF18" i="1"/>
  <c r="AE16" i="1"/>
  <c r="AF17" i="1"/>
  <c r="AL20" i="1"/>
  <c r="AL18" i="1"/>
  <c r="AL16" i="1"/>
  <c r="AE20" i="1"/>
  <c r="AL17" i="1"/>
  <c r="AL15" i="1"/>
  <c r="AE19" i="1"/>
  <c r="AF20" i="1"/>
  <c r="X20" i="1" l="1"/>
  <c r="Y20" i="1" s="1"/>
  <c r="BC20" i="1"/>
  <c r="X19" i="1"/>
  <c r="Y19" i="1" s="1"/>
  <c r="BC19" i="1"/>
  <c r="X17" i="1"/>
  <c r="Y17" i="1" s="1"/>
  <c r="BC17" i="1"/>
  <c r="X18" i="1"/>
  <c r="Y18" i="1" s="1"/>
  <c r="BC18" i="1"/>
  <c r="X21" i="1"/>
  <c r="Y21" i="1" s="1"/>
  <c r="BC21" i="1"/>
  <c r="X15" i="1"/>
  <c r="Y15" i="1" s="1"/>
  <c r="BC15" i="1"/>
  <c r="X16" i="1"/>
  <c r="Y16" i="1" s="1"/>
  <c r="BC16" i="1"/>
  <c r="AB18" i="1"/>
  <c r="AC18" i="1" s="1"/>
  <c r="AB19" i="1"/>
  <c r="AC19" i="1" s="1"/>
  <c r="AB17" i="1"/>
  <c r="AC17" i="1" s="1"/>
  <c r="AB21" i="1"/>
  <c r="AC21" i="1" s="1"/>
  <c r="AB20" i="1"/>
  <c r="AC20" i="1" s="1"/>
  <c r="AB15" i="1"/>
  <c r="AC15" i="1" s="1"/>
  <c r="AB16" i="1"/>
  <c r="AC16" i="1" s="1"/>
  <c r="AV5" i="1"/>
  <c r="AA5" i="1" s="1"/>
  <c r="AV6" i="1"/>
  <c r="AA6" i="1" s="1"/>
  <c r="AV7" i="1"/>
  <c r="AA7" i="1" s="1"/>
  <c r="AV9" i="1"/>
  <c r="AA9" i="1" s="1"/>
  <c r="AV10" i="1"/>
  <c r="AA10" i="1" s="1"/>
  <c r="AV11" i="1"/>
  <c r="AA11" i="1" s="1"/>
  <c r="AV12" i="1"/>
  <c r="AA12" i="1" s="1"/>
  <c r="AV13" i="1"/>
  <c r="AA13" i="1" s="1"/>
  <c r="AV4" i="1"/>
  <c r="AA4" i="1" s="1"/>
  <c r="V5" i="1"/>
  <c r="V6" i="1"/>
  <c r="V7" i="1"/>
  <c r="V8" i="1"/>
  <c r="V9" i="1"/>
  <c r="V10" i="1"/>
  <c r="V11" i="1"/>
  <c r="V12" i="1"/>
  <c r="V13" i="1"/>
  <c r="T5" i="1"/>
  <c r="AJ5" i="1" s="1"/>
  <c r="T6" i="1"/>
  <c r="AJ6" i="1" s="1"/>
  <c r="T7" i="1"/>
  <c r="AJ7" i="1" s="1"/>
  <c r="T8" i="1"/>
  <c r="AJ8" i="1" s="1"/>
  <c r="T9" i="1"/>
  <c r="AJ9" i="1" s="1"/>
  <c r="T10" i="1"/>
  <c r="AJ10" i="1" s="1"/>
  <c r="T11" i="1"/>
  <c r="AJ11" i="1" s="1"/>
  <c r="T12" i="1"/>
  <c r="AJ12" i="1" s="1"/>
  <c r="T13" i="1"/>
  <c r="AJ13" i="1" s="1"/>
  <c r="D5" i="1"/>
  <c r="D6" i="1"/>
  <c r="D7" i="1"/>
  <c r="D8" i="1"/>
  <c r="D9" i="1"/>
  <c r="D10" i="1"/>
  <c r="D11" i="1"/>
  <c r="D12" i="1"/>
  <c r="D13" i="1"/>
  <c r="D4" i="1"/>
  <c r="V4" i="1"/>
  <c r="T4" i="1"/>
  <c r="AJ4" i="1" s="1"/>
  <c r="AK13" i="1"/>
  <c r="O13" i="1"/>
  <c r="AK12" i="1"/>
  <c r="O12" i="1"/>
  <c r="AK11" i="1"/>
  <c r="O11" i="1"/>
  <c r="AK10" i="1"/>
  <c r="O10" i="1"/>
  <c r="AK4" i="1"/>
  <c r="AK9" i="1"/>
  <c r="O9" i="1"/>
  <c r="AV8" i="1"/>
  <c r="AA8" i="1" s="1"/>
  <c r="AK8" i="1"/>
  <c r="O8" i="1"/>
  <c r="AK7" i="1"/>
  <c r="O7" i="1"/>
  <c r="AK6" i="1"/>
  <c r="O6" i="1"/>
  <c r="AL5" i="1"/>
  <c r="AK5" i="1"/>
  <c r="O5" i="1"/>
  <c r="O4" i="1"/>
  <c r="X5" i="1" l="1"/>
  <c r="Y5" i="1" s="1"/>
  <c r="BC5" i="1"/>
  <c r="AE13" i="1"/>
  <c r="AE5" i="1"/>
  <c r="AE12" i="1"/>
  <c r="AF10" i="1"/>
  <c r="AE4" i="1"/>
  <c r="AE9" i="1"/>
  <c r="AF8" i="1"/>
  <c r="AF11" i="1"/>
  <c r="AF7" i="1"/>
  <c r="AL6" i="1"/>
  <c r="AB5" i="1"/>
  <c r="AC5" i="1" s="1"/>
  <c r="AL10" i="1"/>
  <c r="AL12" i="1"/>
  <c r="AL8" i="1"/>
  <c r="AF6" i="1"/>
  <c r="AL13" i="1"/>
  <c r="AE11" i="1"/>
  <c r="AE10" i="1"/>
  <c r="AE8" i="1"/>
  <c r="AL11" i="1"/>
  <c r="AF9" i="1"/>
  <c r="AL9" i="1"/>
  <c r="AE7" i="1"/>
  <c r="AF13" i="1"/>
  <c r="AF5" i="1"/>
  <c r="AL7" i="1"/>
  <c r="AE6" i="1"/>
  <c r="AF12" i="1"/>
  <c r="AH4" i="1"/>
  <c r="AI4" i="1"/>
  <c r="AF4" i="1"/>
  <c r="AL4" i="1"/>
  <c r="X9" i="1" l="1"/>
  <c r="Y9" i="1" s="1"/>
  <c r="BC9" i="1"/>
  <c r="X8" i="1"/>
  <c r="Y8" i="1" s="1"/>
  <c r="BC8" i="1"/>
  <c r="X7" i="1"/>
  <c r="Y7" i="1" s="1"/>
  <c r="BC7" i="1"/>
  <c r="X6" i="1"/>
  <c r="Y6" i="1" s="1"/>
  <c r="BC6" i="1"/>
  <c r="X12" i="1"/>
  <c r="Y12" i="1" s="1"/>
  <c r="BC12" i="1"/>
  <c r="X11" i="1"/>
  <c r="Y11" i="1" s="1"/>
  <c r="BC11" i="1"/>
  <c r="X10" i="1"/>
  <c r="Y10" i="1" s="1"/>
  <c r="BC10" i="1"/>
  <c r="X4" i="1"/>
  <c r="Y4" i="1" s="1"/>
  <c r="BC4" i="1"/>
  <c r="X13" i="1"/>
  <c r="Y13" i="1" s="1"/>
  <c r="BC13" i="1"/>
  <c r="AB7" i="1"/>
  <c r="AC7" i="1" s="1"/>
  <c r="AB9" i="1"/>
  <c r="AC9" i="1" s="1"/>
  <c r="AB12" i="1"/>
  <c r="AC12" i="1" s="1"/>
  <c r="AB6" i="1"/>
  <c r="AC6" i="1" s="1"/>
  <c r="AB13" i="1"/>
  <c r="AC13" i="1" s="1"/>
  <c r="AB4" i="1"/>
  <c r="AC4" i="1" s="1"/>
  <c r="AB10" i="1"/>
  <c r="AC10" i="1" s="1"/>
  <c r="AB11" i="1"/>
  <c r="AC11" i="1" s="1"/>
  <c r="AC8" i="1"/>
</calcChain>
</file>

<file path=xl/sharedStrings.xml><?xml version="1.0" encoding="utf-8"?>
<sst xmlns="http://schemas.openxmlformats.org/spreadsheetml/2006/main" count="231" uniqueCount="120">
  <si>
    <t>商品名</t>
    <rPh sb="0" eb="3">
      <t>ショウヒンメイ</t>
    </rPh>
    <phoneticPr fontId="1"/>
  </si>
  <si>
    <t>小売価格
(税抜）</t>
    <rPh sb="6" eb="8">
      <t>ゼイヌ</t>
    </rPh>
    <phoneticPr fontId="1"/>
  </si>
  <si>
    <t>現行</t>
    <rPh sb="0" eb="2">
      <t>ゲンコウ</t>
    </rPh>
    <phoneticPr fontId="2"/>
  </si>
  <si>
    <t>小売価格
(税抜)</t>
    <rPh sb="6" eb="8">
      <t>ゼイヌ</t>
    </rPh>
    <phoneticPr fontId="1"/>
  </si>
  <si>
    <t>品目CD</t>
    <rPh sb="0" eb="2">
      <t>ヒンモク</t>
    </rPh>
    <phoneticPr fontId="1"/>
  </si>
  <si>
    <t>仕切り</t>
    <rPh sb="0" eb="2">
      <t>シキ</t>
    </rPh>
    <phoneticPr fontId="2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</si>
  <si>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</si>
  <si>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</si>
  <si>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</si>
  <si>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</si>
  <si>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</si>
  <si>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</si>
  <si>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</si>
  <si>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</si>
  <si>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</si>
  <si>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</si>
  <si>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</si>
  <si>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</si>
  <si>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</si>
  <si>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</si>
  <si>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</si>
  <si>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</si>
  <si>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小売価格
(税抜)
換算</t>
    <rPh sb="6" eb="8">
      <t>ゼイヌ</t>
    </rPh>
    <rPh sb="10" eb="12">
      <t>カンザン</t>
    </rPh>
    <phoneticPr fontId="1"/>
  </si>
  <si>
    <t>仕切り
換算</t>
    <rPh sb="0" eb="2">
      <t>シキ</t>
    </rPh>
    <rPh sb="4" eb="6">
      <t>カンザン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</si>
  <si>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</si>
  <si>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</si>
  <si>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</si>
  <si>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</si>
  <si>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</si>
  <si>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</si>
  <si>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</si>
  <si>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</si>
  <si>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</si>
  <si>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</si>
  <si>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</si>
  <si>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</si>
  <si>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</si>
  <si>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</si>
  <si>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</si>
  <si>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アスクル
換算売価</t>
    <rPh sb="5" eb="7">
      <t>カンザン</t>
    </rPh>
    <rPh sb="7" eb="9">
      <t>バイカ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</si>
  <si>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</si>
  <si>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</si>
  <si>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</si>
  <si>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</si>
  <si>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</si>
  <si>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</si>
  <si>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</si>
  <si>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たのめーる</t>
    <phoneticPr fontId="2"/>
  </si>
  <si>
    <t>カウネット</t>
    <phoneticPr fontId="2"/>
  </si>
  <si>
    <t>VD2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</si>
  <si>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</si>
  <si>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</si>
  <si>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</si>
  <si>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</si>
  <si>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</si>
  <si>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</si>
  <si>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5月売価</t>
    <rPh sb="1" eb="2">
      <t>ガツ</t>
    </rPh>
    <rPh sb="2" eb="4">
      <t>バイカ</t>
    </rPh>
    <phoneticPr fontId="2"/>
  </si>
  <si>
    <t>新No.</t>
    <rPh sb="0" eb="1">
      <t>シン</t>
    </rPh>
    <phoneticPr fontId="2"/>
  </si>
  <si>
    <t>5158AK</t>
  </si>
  <si>
    <t>6221AM</t>
  </si>
  <si>
    <t>6222AM</t>
  </si>
  <si>
    <t>6223AM</t>
  </si>
  <si>
    <t>6220AM</t>
  </si>
  <si>
    <t>6224AM</t>
  </si>
  <si>
    <t>J492WK</t>
  </si>
  <si>
    <t>34/320</t>
  </si>
  <si>
    <t>27/252</t>
  </si>
  <si>
    <t>34/87</t>
  </si>
  <si>
    <t>ｻﾝｺｰﾌﾟﾗｽﾁｯｸ/ﾌﾗﾝｸﾊﾞｽｹｯﾄ No.3 ﾎﾜｲﾄ/43096</t>
  </si>
  <si>
    <t>ｻﾝｺｰﾌﾟﾗｽﾁｯｸ/ｴﾙﾋﾟｽ ﾄﾚｰ AW ﾎﾜｲﾄ</t>
  </si>
  <si>
    <t>ｻﾝｺｰﾌﾟﾗｽﾁｯｸ/ｴﾙﾋﾟｽ A-412 ﾎﾜｲﾄ</t>
  </si>
  <si>
    <t>ｻﾝｺｰﾌﾟﾗｽﾁｯｸ/ｴﾙﾋﾟｽ A-430 ﾎﾜｲﾄ</t>
  </si>
  <si>
    <t>ｻﾝｺｰﾌﾟﾗｽﾁｯｸ/ｴﾙﾋﾟｽ AW-403 ﾎﾜｲﾄ</t>
  </si>
  <si>
    <t>ｻﾝｺｰﾌﾟﾗｽﾁｯｸ/ｴﾙﾋﾟｽ A-403 ﾎﾜｲﾄ</t>
  </si>
  <si>
    <t>ｻﾝｺｰﾌﾟﾗｽﾁｯｸ/A4ﾚﾀｰｹｰｽ深型1段 ｼﾙｷｰ410 ﾋﾟﾝｸ</t>
  </si>
  <si>
    <t>ｻﾝｺｰﾌﾟﾗｽﾁｯｸ/A4ﾚﾀｰｹｰｽ深型1段 ｼﾙｷｰ410 ﾌﾞﾙｰ</t>
  </si>
  <si>
    <t>ｻﾝｺｰﾌﾟﾗｽﾁｯｸ/ｽﾄｯｷｰ 浅型3段/SA-403 W</t>
  </si>
  <si>
    <t>ｻﾝｺｰﾌﾟﾗｽﾁｯｸ/ｽﾄｯｷｰ 浅型2段・深型1段/SA-412 W</t>
  </si>
  <si>
    <t>ｻﾝｺｰﾌﾟﾗｽﾁｯｸ/A4ﾚﾀｰｹｰｽ浅型3段 ｼﾙｷｰ403 ﾋﾟﾝｸ</t>
  </si>
  <si>
    <t>ｻﾝｺｰﾌﾟﾗｽﾁｯｸ/A4ﾚﾀｰｹｰｽ浅型3段 ｼﾙｷｰ403 ﾌﾞﾙｰ</t>
  </si>
  <si>
    <t>ｻﾝｺｰﾌﾟﾗｽﾁｯｸ/A4ﾚﾀｰｹｰｽ浅型3段 ｼﾙｷｰ403 ｸﾞﾘｰﾝ</t>
  </si>
  <si>
    <t>ｻﾝｺｰﾌﾟﾗｽﾁｯｸ/A4ﾚﾀｰｹｰｽ浅型3段 ｼﾙｷｰ403 ﾎﾜｲﾄ</t>
  </si>
  <si>
    <t>ｻﾝｺｰﾌﾟﾗｽﾁｯｸ/A4ﾚﾀｰｹｰｽ浅型3段 ｼﾙｷｰ403 ﾌﾞﾗｳﾝ</t>
  </si>
  <si>
    <t>ｻﾝｺｰﾌﾟﾗｽﾁｯｸ/ｱﾙｶ No.170/NO170</t>
  </si>
  <si>
    <t>ｻﾝｺｰﾌﾟﾗｽﾁｯｸ/ｽﾄｯｷｰ 深型4段/SA-440</t>
  </si>
  <si>
    <t>ｻﾝｺｰﾌﾟﾗｽﾁｯｸ/ｴﾙﾋﾟｽ B-605 ﾎﾜｲﾄ/16986</t>
  </si>
  <si>
    <t>-</t>
  </si>
  <si>
    <t>XJ58305</t>
  </si>
  <si>
    <t>1個</t>
  </si>
  <si>
    <t>HK86375</t>
  </si>
  <si>
    <t>HN02837</t>
  </si>
  <si>
    <t>NX74049</t>
  </si>
  <si>
    <t>1台</t>
  </si>
  <si>
    <t>2895007</t>
  </si>
  <si>
    <t>AEX6995</t>
  </si>
  <si>
    <t>HK56782</t>
  </si>
  <si>
    <t>1セット（5個）</t>
  </si>
  <si>
    <t>HK56783</t>
  </si>
  <si>
    <t>AEX6997</t>
  </si>
  <si>
    <t>HK56823</t>
  </si>
  <si>
    <t>AEX6999</t>
  </si>
  <si>
    <t>XA62891</t>
  </si>
  <si>
    <t>RX16209</t>
  </si>
  <si>
    <t>HK56788</t>
  </si>
  <si>
    <t>KU79670</t>
  </si>
  <si>
    <t>サンコープラスチック フランクバスケット NO3 4973230430960 1個</t>
  </si>
  <si>
    <t>サンコープラスチック エルピス 小物入れ A-412 4973230287168 1個</t>
  </si>
  <si>
    <t>サンコープラスチック レターケース 幅25×奥行35×高さ41cm A4 3段 深型 収納ケース 269088 1個</t>
  </si>
  <si>
    <t>サンコープラスチック エルピス AW-403 4973230172761 1台</t>
  </si>
  <si>
    <t>サンコープラスチック　エルピス　A4浅型3段クリア　A4　A-403　W</t>
  </si>
  <si>
    <t>サンコープラスチック レターケース A4 幅26×奥行35×高さ15cm 深型 1段 収納ケース ピンク 269094 1個（直送品）</t>
  </si>
  <si>
    <t>サンコープラスチック ストッキー SA-403 ホワイト(セット販売:5個) 4973230427762 1セット(5個)（直送品）</t>
  </si>
  <si>
    <t>サンコープラスチック SA-412 ストッキー 引出ケース A4タイプ ホワイト(セット販売：5個) 4973230427861（直送品）</t>
  </si>
  <si>
    <t>サンコープラスチック レターケース A4 幅26×奥行35×高さ28cm 3段 収納ケース ピンク 269101 1個（直送品）</t>
  </si>
  <si>
    <t>サンコープラスチック Silky 引出しケース A4タイプ 3段 403 ブルー(セット販売：5個) 4973230431752（直送品）</t>
  </si>
  <si>
    <t>サンコープラスチック レターケース A4 幅26×奥行35×高さ28cm 3段 収納ケース グリーン 269102 1個（直送品）</t>
  </si>
  <si>
    <t>サンコープラスチック シルキー 403 WH 1個</t>
  </si>
  <si>
    <t>サンコープラスチック シルキー 403 BR 1個（直送品）</t>
  </si>
  <si>
    <t>サンコープラスチック ストッキー SA-440 ホワイト(セット販売:5個) 4973230427960 1セット(5個)（直送品）</t>
  </si>
  <si>
    <t>サンコープラスチック エルピス B-605 4973230169860 1台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</si>
</sst>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</cellXfs>
  <cellStyles count="1">
    <cellStyle name="標準" xfId="0" builtinId="0"/>
  </cellStyles>
  <dxfs count="2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D21"/>
  <sheetViews>
    <sheetView tabSelected="1" zoomScale="90" zoomScaleNormal="90" workbookViewId="0">
      <pane xSplit="7" ySplit="5" topLeftCell="U6" activePane="bottomRight" state="frozen"/>
      <selection pane="topRight" activeCell="G1" sqref="G1"/>
      <selection pane="bottomLeft" activeCell="A5" sqref="A5"/>
      <selection pane="bottomRight" activeCell="AK8" sqref="AK8"/>
    </sheetView>
  </sheetViews>
  <sheetFormatPr defaultRowHeight="18.75" outlineLevelCol="1" x14ac:dyDescent="0.4"/>
  <cols>
    <col min="1" max="1" width="4.625" customWidth="1"/>
    <col min="2" max="2" width="5" customWidth="1"/>
    <col min="6" max="6" width="43.75" customWidth="1"/>
    <col min="7" max="7" width="15.5" bestFit="1" customWidth="1"/>
    <col min="8" max="11" width="7.5" hidden="1" customWidth="1" outlineLevel="1"/>
    <col min="12" max="12" width="7.625" customWidth="1" collapsed="1"/>
    <col min="13" max="15" width="7.625" customWidth="1"/>
    <col min="16" max="16" width="6.25" customWidth="1"/>
    <col min="17" max="18" width="6.25" customWidth="1" outlineLevel="1"/>
    <col min="19" max="20" width="6.125" customWidth="1"/>
    <col min="21" max="22" width="7.625" customWidth="1"/>
    <col min="23" max="23" width="3.875" customWidth="1" collapsed="1"/>
    <col min="24" max="24" width="6.25" customWidth="1"/>
    <col min="25" max="31" width="7.625" customWidth="1"/>
    <col min="32" max="32" width="6.125" customWidth="1"/>
    <col min="33" max="35" width="7.625" hidden="1" customWidth="1" outlineLevel="1"/>
    <col min="36" max="36" width="7.625" customWidth="1" collapsed="1"/>
    <col min="37" max="38" width="7.625" customWidth="1"/>
    <col min="39" max="41" width="7.625" customWidth="1" outlineLevel="1"/>
    <col min="42" max="55" width="7.625" customWidth="1"/>
  </cols>
  <sheetData>
    <row r="1" spans="1:56" x14ac:dyDescent="0.4">
      <c r="C1" s="29" t="s">
        <v>43</v>
      </c>
      <c r="S1" s="36" t="s">
        <v>40</v>
      </c>
      <c r="T1" s="37"/>
      <c r="U1" s="37"/>
      <c r="V1" s="38"/>
    </row>
    <row r="2" spans="1:56" x14ac:dyDescent="0.4">
      <c r="C2" s="8" t="s">
        <v>27</v>
      </c>
      <c r="D2" s="9" t="s">
        <v>28</v>
      </c>
      <c r="E2" s="9" t="s">
        <v>29</v>
      </c>
      <c r="F2" s="10"/>
      <c r="G2" s="10"/>
      <c r="H2" s="32"/>
      <c r="I2" s="32"/>
      <c r="J2" s="33" t="s">
        <v>30</v>
      </c>
      <c r="K2" s="35"/>
      <c r="L2" s="33" t="s">
        <v>2</v>
      </c>
      <c r="M2" s="34"/>
      <c r="N2" s="34"/>
      <c r="O2" s="35"/>
      <c r="P2" s="11"/>
      <c r="Q2" s="31"/>
      <c r="R2" s="31"/>
      <c r="S2" s="23"/>
      <c r="T2" s="24" t="s">
        <v>33</v>
      </c>
      <c r="U2" s="24"/>
      <c r="V2" s="25" t="s">
        <v>33</v>
      </c>
      <c r="W2" s="10"/>
      <c r="X2" s="9" t="s">
        <v>38</v>
      </c>
      <c r="Y2" s="11"/>
      <c r="Z2" s="11"/>
      <c r="AA2" s="11"/>
      <c r="AB2" s="11"/>
      <c r="AC2" s="11"/>
      <c r="AD2" s="22" t="s">
        <v>41</v>
      </c>
      <c r="AE2" s="11"/>
      <c r="AF2" s="11"/>
      <c r="AG2" s="27"/>
      <c r="AH2" s="11"/>
      <c r="AI2" s="11"/>
      <c r="AJ2" s="11"/>
      <c r="AK2" s="11"/>
      <c r="AL2" s="11"/>
      <c r="AM2" s="11"/>
      <c r="AN2" s="11"/>
      <c r="AO2" s="11"/>
      <c r="AP2">
        <v>51</v>
      </c>
      <c r="AW2">
        <v>14</v>
      </c>
      <c r="AX2">
        <v>28</v>
      </c>
    </row>
    <row r="3" spans="1:56" ht="75" x14ac:dyDescent="0.4">
      <c r="A3" s="1" t="s">
        <v>51</v>
      </c>
      <c r="B3" s="1" t="s">
        <v>57</v>
      </c>
      <c r="C3" s="2" t="s">
        <v>4</v>
      </c>
      <c r="D3" s="2" t="s">
        <v>9</v>
      </c>
      <c r="E3" s="2" t="s">
        <v>10</v>
      </c>
      <c r="F3" s="2" t="s">
        <v>0</v>
      </c>
      <c r="G3" s="12" t="s">
        <v>7</v>
      </c>
      <c r="H3" s="12" t="s">
        <v>53</v>
      </c>
      <c r="I3" s="12" t="s">
        <v>54</v>
      </c>
      <c r="J3" s="12" t="s">
        <v>24</v>
      </c>
      <c r="K3" s="12" t="s">
        <v>25</v>
      </c>
      <c r="L3" s="12" t="s">
        <v>1</v>
      </c>
      <c r="M3" s="2" t="s">
        <v>8</v>
      </c>
      <c r="N3" s="2" t="s">
        <v>5</v>
      </c>
      <c r="O3" s="2" t="s">
        <v>16</v>
      </c>
      <c r="P3" s="12" t="s">
        <v>49</v>
      </c>
      <c r="Q3" s="12" t="s">
        <v>20</v>
      </c>
      <c r="R3" s="12" t="s">
        <v>21</v>
      </c>
      <c r="S3" s="12" t="s">
        <v>3</v>
      </c>
      <c r="T3" s="12" t="s">
        <v>22</v>
      </c>
      <c r="U3" s="2" t="s">
        <v>5</v>
      </c>
      <c r="V3" s="12" t="s">
        <v>23</v>
      </c>
      <c r="W3" s="14" t="s">
        <v>6</v>
      </c>
      <c r="X3" s="20" t="s">
        <v>17</v>
      </c>
      <c r="Y3" s="2" t="s">
        <v>16</v>
      </c>
      <c r="Z3" s="2" t="s">
        <v>44</v>
      </c>
      <c r="AA3" s="12" t="s">
        <v>39</v>
      </c>
      <c r="AB3" s="12" t="s">
        <v>55</v>
      </c>
      <c r="AC3" s="2" t="s">
        <v>16</v>
      </c>
      <c r="AD3" s="13" t="s">
        <v>31</v>
      </c>
      <c r="AE3" s="2" t="s">
        <v>16</v>
      </c>
      <c r="AF3" s="2" t="s">
        <v>32</v>
      </c>
      <c r="AG3" s="26" t="s">
        <v>34</v>
      </c>
      <c r="AH3" s="12" t="s">
        <v>35</v>
      </c>
      <c r="AI3" s="12" t="s">
        <v>36</v>
      </c>
      <c r="AJ3" s="12" t="s">
        <v>26</v>
      </c>
      <c r="AK3" s="12" t="s">
        <v>37</v>
      </c>
      <c r="AL3" s="12" t="s">
        <v>18</v>
      </c>
      <c r="AM3" s="12" t="s">
        <v>19</v>
      </c>
      <c r="AN3" s="12" t="s">
        <v>20</v>
      </c>
      <c r="AO3" s="12" t="s">
        <v>21</v>
      </c>
      <c r="AP3" s="2" t="s">
        <v>11</v>
      </c>
      <c r="AQ3" s="2" t="s">
        <v>12</v>
      </c>
      <c r="AR3" s="2" t="s">
        <v>13</v>
      </c>
      <c r="AS3" s="2" t="s">
        <v>14</v>
      </c>
      <c r="AT3" s="12" t="s">
        <v>42</v>
      </c>
      <c r="AU3" s="2" t="s">
        <v>56</v>
      </c>
      <c r="AV3" s="2" t="s">
        <v>15</v>
      </c>
      <c r="AW3" s="18" t="s">
        <v>45</v>
      </c>
      <c r="AX3" s="18" t="s">
        <v>46</v>
      </c>
      <c r="AY3" s="15" t="s">
        <v>52</v>
      </c>
      <c r="AZ3" s="30" t="s">
        <v>47</v>
      </c>
      <c r="BB3" t="s">
        <v>48</v>
      </c>
      <c r="BD3" t="s">
        <v>50</v>
      </c>
    </row>
    <row r="4" spans="1:56" x14ac:dyDescent="0.4">
      <c r="A4" s="3">
        <v>1</v>
      </c>
      <c r="B4" s="3">
        <v>1</v>
      </c>
      <c r="C4" s="4" t="s">
        <v>58</v>
      </c>
      <c r="D4" s="4" t="str">
        <f>TEXT(C4,"000000")</f>
        <v>5158AK</v>
      </c>
      <c r="E4" s="4" t="s">
        <v>58</v>
      </c>
      <c r="F4" s="4" t="s">
        <v>68</v>
      </c>
      <c r="G4" s="5">
        <v>4973230430960</v>
      </c>
      <c r="H4" s="5"/>
      <c r="I4" s="5"/>
      <c r="J4" s="5">
        <v>1</v>
      </c>
      <c r="K4" s="5">
        <v>1</v>
      </c>
      <c r="L4" s="4">
        <v>0</v>
      </c>
      <c r="M4" s="4">
        <v>234</v>
      </c>
      <c r="N4" s="4">
        <v>120</v>
      </c>
      <c r="O4" s="6">
        <f t="shared" ref="O4:O13" si="0">1-N4/M4</f>
        <v>0.48717948717948723</v>
      </c>
      <c r="P4" s="4" t="s">
        <v>86</v>
      </c>
      <c r="Q4" s="4" t="s">
        <v>86</v>
      </c>
      <c r="R4" s="4" t="s">
        <v>86</v>
      </c>
      <c r="S4" s="4">
        <v>0</v>
      </c>
      <c r="T4" s="4">
        <f>IF(W4="",S4,S4*W4)</f>
        <v>0</v>
      </c>
      <c r="U4" s="4">
        <v>175</v>
      </c>
      <c r="V4" s="4">
        <f>IF(W4="",U4,U4*W4)</f>
        <v>175</v>
      </c>
      <c r="W4" s="4"/>
      <c r="X4" s="21">
        <f t="shared" ref="X4:X21" si="1">ROUND(M4*AL4,0)</f>
        <v>341</v>
      </c>
      <c r="Y4" s="6">
        <f t="shared" ref="Y4" si="2">1-V4/X4</f>
        <v>0.48680351906158359</v>
      </c>
      <c r="Z4" s="4">
        <v>38.75</v>
      </c>
      <c r="AA4" s="4">
        <f>AV4</f>
        <v>214</v>
      </c>
      <c r="AB4" s="4">
        <f t="shared" ref="AB4:AB21" si="3">AA4*AL4</f>
        <v>312.08333333333331</v>
      </c>
      <c r="AC4" s="6">
        <f t="shared" ref="AC4:AC21" si="4">1-V4/AB4</f>
        <v>0.43925233644859807</v>
      </c>
      <c r="AD4" s="7">
        <v>340</v>
      </c>
      <c r="AE4" s="6">
        <f t="shared" ref="AE4:AE21" si="5">1-V4/AD4</f>
        <v>0.48529411764705888</v>
      </c>
      <c r="AF4" s="4">
        <f t="shared" ref="AF4:AF21" si="6">AD4-V4</f>
        <v>165</v>
      </c>
      <c r="AG4" s="28"/>
      <c r="AH4" s="6" t="e">
        <f>1-V4/AG4</f>
        <v>#DIV/0!</v>
      </c>
      <c r="AI4" s="4">
        <f>AG4-V4</f>
        <v>-175</v>
      </c>
      <c r="AJ4" s="6" t="e">
        <f t="shared" ref="AJ4:AJ21" si="7">T4/L4</f>
        <v>#DIV/0!</v>
      </c>
      <c r="AK4" s="6">
        <f t="shared" ref="AK4:AK21" si="8">AD4/M4</f>
        <v>1.4529914529914529</v>
      </c>
      <c r="AL4" s="6">
        <f t="shared" ref="AL4:AL21" si="9">V4/N4</f>
        <v>1.4583333333333333</v>
      </c>
      <c r="AM4" s="4" t="str">
        <f>IFERROR(ROUND($AD4*P4/$M4,0),"-")</f>
        <v>-</v>
      </c>
      <c r="AN4" s="4" t="str">
        <f>IF(Q4="","-",Q4)</f>
        <v>-</v>
      </c>
      <c r="AO4" s="4" t="str">
        <f>IF(R4="","-",R4)</f>
        <v>-</v>
      </c>
      <c r="AP4" s="4">
        <v>0</v>
      </c>
      <c r="AQ4" s="4" t="s">
        <v>87</v>
      </c>
      <c r="AR4" s="4"/>
      <c r="AS4" s="4"/>
      <c r="AT4" s="4" t="s">
        <v>88</v>
      </c>
      <c r="AU4" s="4">
        <v>214</v>
      </c>
      <c r="AV4" s="4">
        <f t="shared" ref="AV4:AV5" si="10">IF(AR4="",AU4,AR4/AS4*AU4)</f>
        <v>214</v>
      </c>
      <c r="AW4" s="19">
        <v>4</v>
      </c>
      <c r="AX4" s="19">
        <v>1</v>
      </c>
      <c r="AY4" s="16">
        <v>6</v>
      </c>
      <c r="AZ4" t="s">
        <v>86</v>
      </c>
      <c r="BA4" t="e">
        <f>AZ4*AL4</f>
        <v>#VALUE!</v>
      </c>
      <c r="BB4">
        <v>238</v>
      </c>
      <c r="BC4">
        <f>BB4*AL4</f>
        <v>347.08333333333331</v>
      </c>
      <c r="BD4" t="s">
        <v>105</v>
      </c>
    </row>
    <row r="5" spans="1:56" x14ac:dyDescent="0.4">
      <c r="A5" s="3">
        <v>2</v>
      </c>
      <c r="B5" s="3">
        <v>2</v>
      </c>
      <c r="C5" s="4" t="s">
        <v>59</v>
      </c>
      <c r="D5" s="4" t="str">
        <f t="shared" ref="D5:D13" si="11">TEXT(C5,"000000")</f>
        <v>6221AM</v>
      </c>
      <c r="E5" s="4" t="s">
        <v>59</v>
      </c>
      <c r="F5" s="4" t="s">
        <v>69</v>
      </c>
      <c r="G5" s="5">
        <v>4973230413772</v>
      </c>
      <c r="H5" s="5"/>
      <c r="I5" s="5"/>
      <c r="J5" s="5">
        <v>1</v>
      </c>
      <c r="K5" s="5">
        <v>1</v>
      </c>
      <c r="L5" s="4">
        <v>0</v>
      </c>
      <c r="M5" s="4">
        <v>631</v>
      </c>
      <c r="N5" s="4">
        <v>380</v>
      </c>
      <c r="O5" s="6">
        <f t="shared" si="0"/>
        <v>0.3977812995245642</v>
      </c>
      <c r="P5" s="4" t="s">
        <v>86</v>
      </c>
      <c r="Q5" s="4" t="s">
        <v>86</v>
      </c>
      <c r="R5" s="4" t="s">
        <v>86</v>
      </c>
      <c r="S5" s="4">
        <v>0</v>
      </c>
      <c r="T5" s="4">
        <f t="shared" ref="T5:T13" si="12">IF(W5="",S5,S5*W5)</f>
        <v>0</v>
      </c>
      <c r="U5" s="4">
        <v>500</v>
      </c>
      <c r="V5" s="4">
        <f t="shared" ref="V5:V13" si="13">IF(W5="",U5,U5*W5)</f>
        <v>500</v>
      </c>
      <c r="W5" s="4"/>
      <c r="X5" s="21">
        <f t="shared" si="1"/>
        <v>830</v>
      </c>
      <c r="Y5" s="6">
        <f t="shared" ref="Y5" si="14">1-V5/X5</f>
        <v>0.39759036144578308</v>
      </c>
      <c r="Z5" s="4">
        <v>3.5000000000000004</v>
      </c>
      <c r="AA5" s="4" t="str">
        <f t="shared" ref="AA5:AA13" si="15">AV5</f>
        <v>-</v>
      </c>
      <c r="AB5" s="4" t="e">
        <f t="shared" si="3"/>
        <v>#VALUE!</v>
      </c>
      <c r="AC5" s="6" t="e">
        <f t="shared" si="4"/>
        <v>#VALUE!</v>
      </c>
      <c r="AD5" s="7">
        <v>730</v>
      </c>
      <c r="AE5" s="6">
        <f t="shared" si="5"/>
        <v>0.31506849315068497</v>
      </c>
      <c r="AF5" s="4">
        <f t="shared" si="6"/>
        <v>230</v>
      </c>
      <c r="AG5" s="28"/>
      <c r="AH5" s="6"/>
      <c r="AI5" s="6"/>
      <c r="AJ5" s="6" t="e">
        <f t="shared" si="7"/>
        <v>#DIV/0!</v>
      </c>
      <c r="AK5" s="6">
        <f t="shared" si="8"/>
        <v>1.1568938193343898</v>
      </c>
      <c r="AL5" s="6">
        <f t="shared" si="9"/>
        <v>1.3157894736842106</v>
      </c>
      <c r="AM5" s="4" t="str">
        <f t="shared" ref="AM5:AM21" si="16">IFERROR(ROUND($AD5*P5/$M5,0),"-")</f>
        <v>-</v>
      </c>
      <c r="AN5" s="4" t="str">
        <f t="shared" ref="AN5:AN21" si="17">IF(Q5="","-",Q5)</f>
        <v>-</v>
      </c>
      <c r="AO5" s="4" t="str">
        <f t="shared" ref="AO5:AO21" si="18">IF(R5="","-",R5)</f>
        <v>-</v>
      </c>
      <c r="AP5" s="4">
        <v>0</v>
      </c>
      <c r="AQ5" s="4" t="s">
        <v>86</v>
      </c>
      <c r="AR5" s="4"/>
      <c r="AS5" s="4"/>
      <c r="AT5" s="4" t="s">
        <v>86</v>
      </c>
      <c r="AU5" s="4" t="s">
        <v>86</v>
      </c>
      <c r="AV5" s="4" t="str">
        <f t="shared" si="10"/>
        <v>-</v>
      </c>
      <c r="AW5" s="19">
        <v>4</v>
      </c>
      <c r="AX5" s="19">
        <v>1</v>
      </c>
      <c r="AY5" s="16">
        <v>6</v>
      </c>
      <c r="AZ5" t="s">
        <v>86</v>
      </c>
      <c r="BA5" t="e">
        <f t="shared" ref="BA5:BA21" si="19">AZ5*AL5</f>
        <v>#VALUE!</v>
      </c>
      <c r="BB5">
        <v>556</v>
      </c>
      <c r="BC5">
        <f t="shared" ref="BC5:BC21" si="20">BB5*AL5</f>
        <v>731.57894736842115</v>
      </c>
      <c r="BD5" t="s">
        <v>86</v>
      </c>
    </row>
    <row r="6" spans="1:56" x14ac:dyDescent="0.4">
      <c r="A6" s="3">
        <v>3</v>
      </c>
      <c r="B6" s="3">
        <v>3</v>
      </c>
      <c r="C6" s="17" t="s">
        <v>60</v>
      </c>
      <c r="D6" s="4" t="str">
        <f t="shared" si="11"/>
        <v>6222AM</v>
      </c>
      <c r="E6" s="4" t="s">
        <v>60</v>
      </c>
      <c r="F6" s="4" t="s">
        <v>70</v>
      </c>
      <c r="G6" s="5">
        <v>4973230287168</v>
      </c>
      <c r="H6" s="5"/>
      <c r="I6" s="5"/>
      <c r="J6" s="5">
        <v>1</v>
      </c>
      <c r="K6" s="5">
        <v>1</v>
      </c>
      <c r="L6" s="4">
        <v>0</v>
      </c>
      <c r="M6" s="4">
        <v>3000</v>
      </c>
      <c r="N6" s="4">
        <v>1150</v>
      </c>
      <c r="O6" s="6">
        <f t="shared" si="0"/>
        <v>0.6166666666666667</v>
      </c>
      <c r="P6" s="4" t="s">
        <v>86</v>
      </c>
      <c r="Q6" s="4" t="s">
        <v>86</v>
      </c>
      <c r="R6" s="4" t="s">
        <v>86</v>
      </c>
      <c r="S6" s="4">
        <v>0</v>
      </c>
      <c r="T6" s="4">
        <f t="shared" si="12"/>
        <v>0</v>
      </c>
      <c r="U6" s="4">
        <v>1520</v>
      </c>
      <c r="V6" s="4">
        <f t="shared" si="13"/>
        <v>1520</v>
      </c>
      <c r="W6" s="4"/>
      <c r="X6" s="21">
        <f t="shared" si="1"/>
        <v>3965</v>
      </c>
      <c r="Y6" s="6">
        <f t="shared" ref="Y6:Y13" si="21">1-V6/X6</f>
        <v>0.61664564943253475</v>
      </c>
      <c r="Z6" s="4">
        <v>0.25</v>
      </c>
      <c r="AA6" s="4">
        <f t="shared" si="15"/>
        <v>3000</v>
      </c>
      <c r="AB6" s="4">
        <f t="shared" si="3"/>
        <v>3965.2173913043475</v>
      </c>
      <c r="AC6" s="6">
        <f t="shared" si="4"/>
        <v>0.6166666666666667</v>
      </c>
      <c r="AD6" s="7">
        <v>3000</v>
      </c>
      <c r="AE6" s="6">
        <f t="shared" si="5"/>
        <v>0.49333333333333329</v>
      </c>
      <c r="AF6" s="4">
        <f t="shared" si="6"/>
        <v>1480</v>
      </c>
      <c r="AG6" s="28"/>
      <c r="AH6" s="6"/>
      <c r="AI6" s="6"/>
      <c r="AJ6" s="6" t="e">
        <f t="shared" si="7"/>
        <v>#DIV/0!</v>
      </c>
      <c r="AK6" s="6">
        <f t="shared" si="8"/>
        <v>1</v>
      </c>
      <c r="AL6" s="6">
        <f t="shared" si="9"/>
        <v>1.3217391304347825</v>
      </c>
      <c r="AM6" s="4" t="str">
        <f t="shared" si="16"/>
        <v>-</v>
      </c>
      <c r="AN6" s="4" t="str">
        <f t="shared" si="17"/>
        <v>-</v>
      </c>
      <c r="AO6" s="4" t="str">
        <f t="shared" si="18"/>
        <v>-</v>
      </c>
      <c r="AP6" s="4">
        <v>0</v>
      </c>
      <c r="AQ6" s="4" t="s">
        <v>89</v>
      </c>
      <c r="AR6" s="4"/>
      <c r="AS6" s="4"/>
      <c r="AT6" s="4" t="s">
        <v>88</v>
      </c>
      <c r="AU6" s="4">
        <v>3000</v>
      </c>
      <c r="AV6" s="4">
        <f t="shared" ref="AV6:AV13" si="22">IF(AR6="",AU6,AR6/AS6*AU6)</f>
        <v>3000</v>
      </c>
      <c r="AW6" s="19">
        <v>4</v>
      </c>
      <c r="AX6" s="19">
        <v>1</v>
      </c>
      <c r="AY6" s="16">
        <v>3</v>
      </c>
      <c r="AZ6">
        <v>1851</v>
      </c>
      <c r="BA6">
        <f t="shared" si="19"/>
        <v>2446.5391304347822</v>
      </c>
      <c r="BB6">
        <v>2200</v>
      </c>
      <c r="BC6">
        <f t="shared" si="20"/>
        <v>2907.8260869565215</v>
      </c>
      <c r="BD6" t="s">
        <v>106</v>
      </c>
    </row>
    <row r="7" spans="1:56" x14ac:dyDescent="0.4">
      <c r="A7" s="3">
        <v>4</v>
      </c>
      <c r="B7" s="3">
        <v>4</v>
      </c>
      <c r="C7" s="17" t="s">
        <v>61</v>
      </c>
      <c r="D7" s="4" t="str">
        <f t="shared" si="11"/>
        <v>6223AM</v>
      </c>
      <c r="E7" s="4" t="s">
        <v>61</v>
      </c>
      <c r="F7" s="4" t="s">
        <v>71</v>
      </c>
      <c r="G7" s="5">
        <v>4973230286260</v>
      </c>
      <c r="H7" s="5"/>
      <c r="I7" s="5"/>
      <c r="J7" s="5">
        <v>1</v>
      </c>
      <c r="K7" s="5">
        <v>1</v>
      </c>
      <c r="L7" s="4">
        <v>0</v>
      </c>
      <c r="M7" s="4">
        <v>2562</v>
      </c>
      <c r="N7" s="4">
        <v>1360</v>
      </c>
      <c r="O7" s="6">
        <f t="shared" si="0"/>
        <v>0.46916471506635438</v>
      </c>
      <c r="P7" s="4" t="s">
        <v>86</v>
      </c>
      <c r="Q7" s="4" t="s">
        <v>86</v>
      </c>
      <c r="R7" s="4" t="s">
        <v>86</v>
      </c>
      <c r="S7" s="4">
        <v>0</v>
      </c>
      <c r="T7" s="4">
        <f t="shared" si="12"/>
        <v>0</v>
      </c>
      <c r="U7" s="4">
        <v>1800</v>
      </c>
      <c r="V7" s="4">
        <f t="shared" si="13"/>
        <v>1800</v>
      </c>
      <c r="W7" s="4"/>
      <c r="X7" s="21">
        <f t="shared" si="1"/>
        <v>3391</v>
      </c>
      <c r="Y7" s="6">
        <f t="shared" si="21"/>
        <v>0.46918313181952231</v>
      </c>
      <c r="Z7" s="4">
        <v>0.25</v>
      </c>
      <c r="AA7" s="4">
        <f t="shared" si="15"/>
        <v>2562</v>
      </c>
      <c r="AB7" s="4">
        <f t="shared" si="3"/>
        <v>3390.8823529411766</v>
      </c>
      <c r="AC7" s="6">
        <f t="shared" si="4"/>
        <v>0.46916471506635438</v>
      </c>
      <c r="AD7" s="7">
        <v>3380</v>
      </c>
      <c r="AE7" s="6">
        <f t="shared" si="5"/>
        <v>0.46745562130177509</v>
      </c>
      <c r="AF7" s="4">
        <f t="shared" si="6"/>
        <v>1580</v>
      </c>
      <c r="AG7" s="28"/>
      <c r="AH7" s="6"/>
      <c r="AI7" s="6"/>
      <c r="AJ7" s="6" t="e">
        <f t="shared" si="7"/>
        <v>#DIV/0!</v>
      </c>
      <c r="AK7" s="6">
        <f t="shared" si="8"/>
        <v>1.3192818110850897</v>
      </c>
      <c r="AL7" s="6">
        <f t="shared" si="9"/>
        <v>1.3235294117647058</v>
      </c>
      <c r="AM7" s="4" t="str">
        <f t="shared" si="16"/>
        <v>-</v>
      </c>
      <c r="AN7" s="4" t="str">
        <f t="shared" si="17"/>
        <v>-</v>
      </c>
      <c r="AO7" s="4" t="str">
        <f t="shared" si="18"/>
        <v>-</v>
      </c>
      <c r="AP7" s="4">
        <v>0</v>
      </c>
      <c r="AQ7" s="4" t="s">
        <v>90</v>
      </c>
      <c r="AR7" s="4"/>
      <c r="AS7" s="4"/>
      <c r="AT7" s="4" t="s">
        <v>88</v>
      </c>
      <c r="AU7" s="4">
        <v>2562</v>
      </c>
      <c r="AV7" s="4">
        <f t="shared" si="22"/>
        <v>2562</v>
      </c>
      <c r="AW7" s="19">
        <v>4</v>
      </c>
      <c r="AX7" s="19">
        <v>1</v>
      </c>
      <c r="AY7" s="16">
        <v>3</v>
      </c>
      <c r="AZ7">
        <v>2440</v>
      </c>
      <c r="BA7">
        <f t="shared" si="19"/>
        <v>3229.4117647058824</v>
      </c>
      <c r="BB7">
        <v>2534</v>
      </c>
      <c r="BC7">
        <f t="shared" si="20"/>
        <v>3353.8235294117644</v>
      </c>
      <c r="BD7" t="s">
        <v>107</v>
      </c>
    </row>
    <row r="8" spans="1:56" x14ac:dyDescent="0.4">
      <c r="A8" s="3">
        <v>5</v>
      </c>
      <c r="B8" s="3">
        <v>5</v>
      </c>
      <c r="C8" s="17" t="s">
        <v>62</v>
      </c>
      <c r="D8" s="4" t="str">
        <f t="shared" si="11"/>
        <v>6220AM</v>
      </c>
      <c r="E8" s="4" t="s">
        <v>62</v>
      </c>
      <c r="F8" s="4" t="s">
        <v>72</v>
      </c>
      <c r="G8" s="5">
        <v>4973230172761</v>
      </c>
      <c r="H8" s="5"/>
      <c r="I8" s="5"/>
      <c r="J8" s="5">
        <v>1</v>
      </c>
      <c r="K8" s="5">
        <v>1</v>
      </c>
      <c r="L8" s="4">
        <v>0</v>
      </c>
      <c r="M8" s="4">
        <v>3046</v>
      </c>
      <c r="N8" s="4">
        <v>1150</v>
      </c>
      <c r="O8" s="6">
        <f t="shared" si="0"/>
        <v>0.62245567957977677</v>
      </c>
      <c r="P8" s="4" t="s">
        <v>86</v>
      </c>
      <c r="Q8" s="4" t="s">
        <v>86</v>
      </c>
      <c r="R8" s="4" t="s">
        <v>86</v>
      </c>
      <c r="S8" s="4">
        <v>0</v>
      </c>
      <c r="T8" s="4">
        <f t="shared" si="12"/>
        <v>0</v>
      </c>
      <c r="U8" s="4">
        <v>1520</v>
      </c>
      <c r="V8" s="4">
        <f t="shared" si="13"/>
        <v>1520</v>
      </c>
      <c r="W8" s="4"/>
      <c r="X8" s="21">
        <f t="shared" si="1"/>
        <v>4026</v>
      </c>
      <c r="Y8" s="6">
        <f t="shared" si="21"/>
        <v>0.6224540486835568</v>
      </c>
      <c r="Z8" s="4">
        <v>0.25</v>
      </c>
      <c r="AA8" s="4">
        <f t="shared" si="15"/>
        <v>3046</v>
      </c>
      <c r="AB8" s="4">
        <f>AA8*AL8</f>
        <v>4026.0173913043477</v>
      </c>
      <c r="AC8" s="6">
        <f t="shared" si="4"/>
        <v>0.62245567957977677</v>
      </c>
      <c r="AD8" s="7">
        <v>3050</v>
      </c>
      <c r="AE8" s="6">
        <f t="shared" si="5"/>
        <v>0.50163934426229506</v>
      </c>
      <c r="AF8" s="4">
        <f t="shared" si="6"/>
        <v>1530</v>
      </c>
      <c r="AG8" s="28"/>
      <c r="AH8" s="6"/>
      <c r="AI8" s="6"/>
      <c r="AJ8" s="6" t="e">
        <f t="shared" si="7"/>
        <v>#DIV/0!</v>
      </c>
      <c r="AK8" s="6">
        <f t="shared" si="8"/>
        <v>1.0013131976362442</v>
      </c>
      <c r="AL8" s="6">
        <f t="shared" si="9"/>
        <v>1.3217391304347825</v>
      </c>
      <c r="AM8" s="4" t="str">
        <f t="shared" si="16"/>
        <v>-</v>
      </c>
      <c r="AN8" s="4" t="str">
        <f t="shared" si="17"/>
        <v>-</v>
      </c>
      <c r="AO8" s="4" t="str">
        <f t="shared" si="18"/>
        <v>-</v>
      </c>
      <c r="AP8" s="4">
        <v>0</v>
      </c>
      <c r="AQ8" s="4" t="s">
        <v>91</v>
      </c>
      <c r="AR8" s="4"/>
      <c r="AS8" s="4"/>
      <c r="AT8" s="4" t="s">
        <v>92</v>
      </c>
      <c r="AU8" s="4">
        <v>3046</v>
      </c>
      <c r="AV8" s="4">
        <f t="shared" si="22"/>
        <v>3046</v>
      </c>
      <c r="AW8" s="19">
        <v>4</v>
      </c>
      <c r="AX8" s="19">
        <v>1</v>
      </c>
      <c r="AY8" s="16">
        <v>3</v>
      </c>
      <c r="AZ8" t="s">
        <v>86</v>
      </c>
      <c r="BA8" t="e">
        <f t="shared" si="19"/>
        <v>#VALUE!</v>
      </c>
      <c r="BB8">
        <v>1874</v>
      </c>
      <c r="BC8">
        <f t="shared" si="20"/>
        <v>2476.9391304347823</v>
      </c>
      <c r="BD8" t="s">
        <v>108</v>
      </c>
    </row>
    <row r="9" spans="1:56" x14ac:dyDescent="0.4">
      <c r="A9" s="3">
        <v>6</v>
      </c>
      <c r="B9" s="3">
        <v>6</v>
      </c>
      <c r="C9" s="17" t="s">
        <v>63</v>
      </c>
      <c r="D9" s="4" t="str">
        <f t="shared" si="11"/>
        <v>6224AM</v>
      </c>
      <c r="E9" s="4" t="s">
        <v>63</v>
      </c>
      <c r="F9" s="4" t="s">
        <v>73</v>
      </c>
      <c r="G9" s="5">
        <v>4973230285867</v>
      </c>
      <c r="H9" s="5"/>
      <c r="I9" s="5"/>
      <c r="J9" s="5">
        <v>1</v>
      </c>
      <c r="K9" s="5">
        <v>1</v>
      </c>
      <c r="L9" s="4">
        <v>0</v>
      </c>
      <c r="M9" s="4">
        <v>2132</v>
      </c>
      <c r="N9" s="4">
        <v>1130</v>
      </c>
      <c r="O9" s="6">
        <f t="shared" si="0"/>
        <v>0.46998123827392124</v>
      </c>
      <c r="P9" s="4" t="s">
        <v>86</v>
      </c>
      <c r="Q9" s="4" t="s">
        <v>86</v>
      </c>
      <c r="R9" s="4" t="s">
        <v>86</v>
      </c>
      <c r="S9" s="4">
        <v>0</v>
      </c>
      <c r="T9" s="4">
        <f t="shared" si="12"/>
        <v>0</v>
      </c>
      <c r="U9" s="4">
        <v>1500</v>
      </c>
      <c r="V9" s="4">
        <f t="shared" si="13"/>
        <v>1500</v>
      </c>
      <c r="W9" s="4"/>
      <c r="X9" s="21">
        <f t="shared" si="1"/>
        <v>2830</v>
      </c>
      <c r="Y9" s="6">
        <f t="shared" si="21"/>
        <v>0.46996466431095407</v>
      </c>
      <c r="Z9" s="4">
        <v>0.25</v>
      </c>
      <c r="AA9" s="4">
        <f t="shared" si="15"/>
        <v>1864</v>
      </c>
      <c r="AB9" s="4">
        <f t="shared" si="3"/>
        <v>2474.3362831858408</v>
      </c>
      <c r="AC9" s="6">
        <f t="shared" si="4"/>
        <v>0.39377682403433478</v>
      </c>
      <c r="AD9" s="7">
        <v>2400</v>
      </c>
      <c r="AE9" s="6">
        <f t="shared" si="5"/>
        <v>0.375</v>
      </c>
      <c r="AF9" s="4">
        <f t="shared" si="6"/>
        <v>900</v>
      </c>
      <c r="AG9" s="28"/>
      <c r="AH9" s="6"/>
      <c r="AI9" s="6"/>
      <c r="AJ9" s="6" t="e">
        <f t="shared" si="7"/>
        <v>#DIV/0!</v>
      </c>
      <c r="AK9" s="6">
        <f t="shared" si="8"/>
        <v>1.125703564727955</v>
      </c>
      <c r="AL9" s="6">
        <f t="shared" si="9"/>
        <v>1.3274336283185841</v>
      </c>
      <c r="AM9" s="4" t="str">
        <f t="shared" si="16"/>
        <v>-</v>
      </c>
      <c r="AN9" s="4" t="str">
        <f t="shared" si="17"/>
        <v>-</v>
      </c>
      <c r="AO9" s="4" t="str">
        <f t="shared" si="18"/>
        <v>-</v>
      </c>
      <c r="AP9" s="4">
        <v>0</v>
      </c>
      <c r="AQ9" s="4" t="s">
        <v>93</v>
      </c>
      <c r="AR9" s="4"/>
      <c r="AS9" s="4"/>
      <c r="AT9" s="4" t="s">
        <v>92</v>
      </c>
      <c r="AU9" s="4">
        <v>1864</v>
      </c>
      <c r="AV9" s="4">
        <f t="shared" si="22"/>
        <v>1864</v>
      </c>
      <c r="AW9" s="19">
        <v>4</v>
      </c>
      <c r="AX9" s="19">
        <v>1</v>
      </c>
      <c r="AY9" s="16">
        <v>3</v>
      </c>
      <c r="AZ9">
        <v>1723</v>
      </c>
      <c r="BA9">
        <f t="shared" si="19"/>
        <v>2287.1681415929206</v>
      </c>
      <c r="BB9">
        <v>1782</v>
      </c>
      <c r="BC9">
        <f t="shared" si="20"/>
        <v>2365.4867256637172</v>
      </c>
      <c r="BD9" t="s">
        <v>109</v>
      </c>
    </row>
    <row r="10" spans="1:56" x14ac:dyDescent="0.4">
      <c r="A10" s="3">
        <v>7</v>
      </c>
      <c r="B10" s="3">
        <v>7</v>
      </c>
      <c r="C10" s="4">
        <v>631400</v>
      </c>
      <c r="D10" s="4" t="str">
        <f t="shared" si="11"/>
        <v>631400</v>
      </c>
      <c r="E10" s="4">
        <v>631400</v>
      </c>
      <c r="F10" s="4" t="s">
        <v>74</v>
      </c>
      <c r="G10" s="5">
        <v>4973230431646</v>
      </c>
      <c r="H10" s="5"/>
      <c r="I10" s="5"/>
      <c r="J10" s="5">
        <v>1</v>
      </c>
      <c r="K10" s="5">
        <v>1</v>
      </c>
      <c r="L10" s="4">
        <v>0</v>
      </c>
      <c r="M10" s="4">
        <v>802</v>
      </c>
      <c r="N10" s="4">
        <v>530</v>
      </c>
      <c r="O10" s="6">
        <f t="shared" si="0"/>
        <v>0.3391521197007481</v>
      </c>
      <c r="P10" s="4" t="s">
        <v>86</v>
      </c>
      <c r="Q10" s="4" t="s">
        <v>86</v>
      </c>
      <c r="R10" s="4" t="s">
        <v>86</v>
      </c>
      <c r="S10" s="4">
        <v>0</v>
      </c>
      <c r="T10" s="4">
        <f t="shared" si="12"/>
        <v>0</v>
      </c>
      <c r="U10" s="4">
        <v>700</v>
      </c>
      <c r="V10" s="4">
        <f t="shared" si="13"/>
        <v>700</v>
      </c>
      <c r="W10" s="4"/>
      <c r="X10" s="21">
        <f t="shared" si="1"/>
        <v>1059</v>
      </c>
      <c r="Y10" s="6">
        <f t="shared" si="21"/>
        <v>0.33899905571293676</v>
      </c>
      <c r="Z10" s="4">
        <v>0.5</v>
      </c>
      <c r="AA10" s="4">
        <f t="shared" si="15"/>
        <v>1179</v>
      </c>
      <c r="AB10" s="4">
        <f t="shared" si="3"/>
        <v>1557.1698113207547</v>
      </c>
      <c r="AC10" s="6">
        <f t="shared" si="4"/>
        <v>0.55046649703138251</v>
      </c>
      <c r="AD10" s="7">
        <v>1180</v>
      </c>
      <c r="AE10" s="6">
        <f t="shared" si="5"/>
        <v>0.40677966101694918</v>
      </c>
      <c r="AF10" s="4">
        <f t="shared" si="6"/>
        <v>480</v>
      </c>
      <c r="AG10" s="28"/>
      <c r="AH10" s="6"/>
      <c r="AI10" s="6"/>
      <c r="AJ10" s="6" t="e">
        <f t="shared" si="7"/>
        <v>#DIV/0!</v>
      </c>
      <c r="AK10" s="6">
        <f t="shared" si="8"/>
        <v>1.4713216957605986</v>
      </c>
      <c r="AL10" s="6">
        <f t="shared" si="9"/>
        <v>1.320754716981132</v>
      </c>
      <c r="AM10" s="4" t="str">
        <f t="shared" si="16"/>
        <v>-</v>
      </c>
      <c r="AN10" s="4" t="str">
        <f t="shared" si="17"/>
        <v>-</v>
      </c>
      <c r="AO10" s="4" t="str">
        <f t="shared" si="18"/>
        <v>-</v>
      </c>
      <c r="AP10" s="4">
        <v>0</v>
      </c>
      <c r="AQ10" s="4" t="s">
        <v>94</v>
      </c>
      <c r="AR10" s="4"/>
      <c r="AS10" s="4"/>
      <c r="AT10" s="4" t="s">
        <v>88</v>
      </c>
      <c r="AU10" s="4">
        <v>1179</v>
      </c>
      <c r="AV10" s="4">
        <f t="shared" si="22"/>
        <v>1179</v>
      </c>
      <c r="AW10" s="19">
        <v>4</v>
      </c>
      <c r="AX10" s="19">
        <v>1</v>
      </c>
      <c r="AY10" s="16">
        <v>6</v>
      </c>
      <c r="AZ10" t="s">
        <v>86</v>
      </c>
      <c r="BA10" t="e">
        <f t="shared" si="19"/>
        <v>#VALUE!</v>
      </c>
      <c r="BB10">
        <v>1179</v>
      </c>
      <c r="BC10">
        <f t="shared" si="20"/>
        <v>1557.1698113207547</v>
      </c>
      <c r="BD10" t="s">
        <v>110</v>
      </c>
    </row>
    <row r="11" spans="1:56" x14ac:dyDescent="0.4">
      <c r="A11" s="3">
        <v>8</v>
      </c>
      <c r="B11" s="3">
        <v>8</v>
      </c>
      <c r="C11" s="4">
        <v>631403</v>
      </c>
      <c r="D11" s="4" t="str">
        <f t="shared" si="11"/>
        <v>631403</v>
      </c>
      <c r="E11" s="4">
        <v>631403</v>
      </c>
      <c r="F11" s="4" t="s">
        <v>75</v>
      </c>
      <c r="G11" s="5">
        <v>4973230431653</v>
      </c>
      <c r="H11" s="5"/>
      <c r="I11" s="5"/>
      <c r="J11" s="5">
        <v>1</v>
      </c>
      <c r="K11" s="5">
        <v>1</v>
      </c>
      <c r="L11" s="4">
        <v>0</v>
      </c>
      <c r="M11" s="4">
        <v>1071</v>
      </c>
      <c r="N11" s="4">
        <v>530</v>
      </c>
      <c r="O11" s="6">
        <f t="shared" si="0"/>
        <v>0.50513538748832865</v>
      </c>
      <c r="P11" s="4" t="s">
        <v>86</v>
      </c>
      <c r="Q11" s="4" t="s">
        <v>86</v>
      </c>
      <c r="R11" s="4" t="s">
        <v>86</v>
      </c>
      <c r="S11" s="4">
        <v>0</v>
      </c>
      <c r="T11" s="4">
        <f t="shared" si="12"/>
        <v>0</v>
      </c>
      <c r="U11" s="4">
        <v>700</v>
      </c>
      <c r="V11" s="4">
        <f t="shared" si="13"/>
        <v>700</v>
      </c>
      <c r="W11" s="4"/>
      <c r="X11" s="21">
        <f t="shared" si="1"/>
        <v>1415</v>
      </c>
      <c r="Y11" s="6">
        <f t="shared" si="21"/>
        <v>0.5053003533568905</v>
      </c>
      <c r="Z11" s="4">
        <v>1.5</v>
      </c>
      <c r="AA11" s="4" t="str">
        <f t="shared" si="15"/>
        <v>-</v>
      </c>
      <c r="AB11" s="4" t="e">
        <f t="shared" si="3"/>
        <v>#VALUE!</v>
      </c>
      <c r="AC11" s="6" t="e">
        <f t="shared" si="4"/>
        <v>#VALUE!</v>
      </c>
      <c r="AD11" s="7">
        <v>1180</v>
      </c>
      <c r="AE11" s="6">
        <f t="shared" si="5"/>
        <v>0.40677966101694918</v>
      </c>
      <c r="AF11" s="4">
        <f t="shared" si="6"/>
        <v>480</v>
      </c>
      <c r="AG11" s="28"/>
      <c r="AH11" s="6"/>
      <c r="AI11" s="6"/>
      <c r="AJ11" s="6" t="e">
        <f t="shared" si="7"/>
        <v>#DIV/0!</v>
      </c>
      <c r="AK11" s="6">
        <f t="shared" si="8"/>
        <v>1.1017740429505136</v>
      </c>
      <c r="AL11" s="6">
        <f t="shared" si="9"/>
        <v>1.320754716981132</v>
      </c>
      <c r="AM11" s="4" t="str">
        <f t="shared" si="16"/>
        <v>-</v>
      </c>
      <c r="AN11" s="4" t="str">
        <f t="shared" si="17"/>
        <v>-</v>
      </c>
      <c r="AO11" s="4" t="str">
        <f t="shared" si="18"/>
        <v>-</v>
      </c>
      <c r="AP11" s="4">
        <v>0</v>
      </c>
      <c r="AQ11" s="4" t="s">
        <v>86</v>
      </c>
      <c r="AR11" s="4"/>
      <c r="AS11" s="4"/>
      <c r="AT11" s="4" t="s">
        <v>86</v>
      </c>
      <c r="AU11" s="4" t="s">
        <v>86</v>
      </c>
      <c r="AV11" s="4" t="str">
        <f t="shared" si="22"/>
        <v>-</v>
      </c>
      <c r="AW11" s="19">
        <v>4</v>
      </c>
      <c r="AX11" s="19">
        <v>1</v>
      </c>
      <c r="AY11" s="16">
        <v>6</v>
      </c>
      <c r="AZ11" t="s">
        <v>86</v>
      </c>
      <c r="BA11" t="e">
        <f t="shared" si="19"/>
        <v>#VALUE!</v>
      </c>
      <c r="BB11">
        <v>1179</v>
      </c>
      <c r="BC11">
        <f t="shared" si="20"/>
        <v>1557.1698113207547</v>
      </c>
      <c r="BD11" t="s">
        <v>86</v>
      </c>
    </row>
    <row r="12" spans="1:56" x14ac:dyDescent="0.4">
      <c r="A12" s="3">
        <v>9</v>
      </c>
      <c r="B12" s="3">
        <v>9</v>
      </c>
      <c r="C12" s="4">
        <v>658383</v>
      </c>
      <c r="D12" s="4" t="str">
        <f t="shared" si="11"/>
        <v>658383</v>
      </c>
      <c r="E12" s="4">
        <v>658383</v>
      </c>
      <c r="F12" s="4" t="s">
        <v>76</v>
      </c>
      <c r="G12" s="5">
        <v>4973230427762</v>
      </c>
      <c r="H12" s="5"/>
      <c r="I12" s="5"/>
      <c r="J12" s="5">
        <v>1</v>
      </c>
      <c r="K12" s="5">
        <v>1</v>
      </c>
      <c r="L12" s="4">
        <v>0</v>
      </c>
      <c r="M12" s="4">
        <v>1596</v>
      </c>
      <c r="N12" s="4">
        <v>820</v>
      </c>
      <c r="O12" s="6">
        <f t="shared" si="0"/>
        <v>0.48621553884711777</v>
      </c>
      <c r="P12" s="4">
        <v>1404</v>
      </c>
      <c r="Q12" s="4">
        <v>4</v>
      </c>
      <c r="R12" s="4">
        <v>99999</v>
      </c>
      <c r="S12" s="4">
        <v>0</v>
      </c>
      <c r="T12" s="4">
        <f t="shared" si="12"/>
        <v>0</v>
      </c>
      <c r="U12" s="4">
        <v>1100</v>
      </c>
      <c r="V12" s="4">
        <f t="shared" si="13"/>
        <v>1100</v>
      </c>
      <c r="W12" s="4"/>
      <c r="X12" s="21">
        <f t="shared" si="1"/>
        <v>2141</v>
      </c>
      <c r="Y12" s="6">
        <f t="shared" si="21"/>
        <v>0.48622139187295654</v>
      </c>
      <c r="Z12" s="4">
        <v>29.75</v>
      </c>
      <c r="AA12" s="4">
        <f t="shared" si="15"/>
        <v>1774.8000000000002</v>
      </c>
      <c r="AB12" s="4">
        <f t="shared" si="3"/>
        <v>2380.8292682926835</v>
      </c>
      <c r="AC12" s="6">
        <f t="shared" si="4"/>
        <v>0.53797610998422374</v>
      </c>
      <c r="AD12" s="7">
        <v>2180</v>
      </c>
      <c r="AE12" s="6">
        <f t="shared" si="5"/>
        <v>0.49541284403669728</v>
      </c>
      <c r="AF12" s="4">
        <f t="shared" si="6"/>
        <v>1080</v>
      </c>
      <c r="AG12" s="28"/>
      <c r="AH12" s="6"/>
      <c r="AI12" s="6"/>
      <c r="AJ12" s="6" t="e">
        <f t="shared" si="7"/>
        <v>#DIV/0!</v>
      </c>
      <c r="AK12" s="6">
        <f t="shared" si="8"/>
        <v>1.3659147869674186</v>
      </c>
      <c r="AL12" s="6">
        <f t="shared" si="9"/>
        <v>1.3414634146341464</v>
      </c>
      <c r="AM12" s="4">
        <f t="shared" si="16"/>
        <v>1918</v>
      </c>
      <c r="AN12" s="4">
        <f t="shared" si="17"/>
        <v>4</v>
      </c>
      <c r="AO12" s="4">
        <f t="shared" si="18"/>
        <v>99999</v>
      </c>
      <c r="AP12" s="4" t="s">
        <v>65</v>
      </c>
      <c r="AQ12" s="4" t="s">
        <v>95</v>
      </c>
      <c r="AR12" s="4">
        <v>1</v>
      </c>
      <c r="AS12" s="4">
        <v>5</v>
      </c>
      <c r="AT12" s="4" t="s">
        <v>96</v>
      </c>
      <c r="AU12" s="4">
        <v>8874</v>
      </c>
      <c r="AV12" s="4">
        <f t="shared" si="22"/>
        <v>1774.8000000000002</v>
      </c>
      <c r="AW12" s="19">
        <v>4</v>
      </c>
      <c r="AX12" s="19">
        <v>1</v>
      </c>
      <c r="AY12" s="16">
        <v>6</v>
      </c>
      <c r="AZ12" t="s">
        <v>86</v>
      </c>
      <c r="BA12" t="e">
        <f t="shared" si="19"/>
        <v>#VALUE!</v>
      </c>
      <c r="BB12" t="s">
        <v>86</v>
      </c>
      <c r="BC12" t="e">
        <f t="shared" si="20"/>
        <v>#VALUE!</v>
      </c>
      <c r="BD12" t="s">
        <v>111</v>
      </c>
    </row>
    <row r="13" spans="1:56" x14ac:dyDescent="0.4">
      <c r="A13" s="3">
        <v>10</v>
      </c>
      <c r="B13" s="3">
        <v>10</v>
      </c>
      <c r="C13" s="4">
        <v>658384</v>
      </c>
      <c r="D13" s="4" t="str">
        <f t="shared" si="11"/>
        <v>658384</v>
      </c>
      <c r="E13" s="4">
        <v>658384</v>
      </c>
      <c r="F13" s="4" t="s">
        <v>77</v>
      </c>
      <c r="G13" s="5">
        <v>4973230427861</v>
      </c>
      <c r="H13" s="5"/>
      <c r="I13" s="5"/>
      <c r="J13" s="5">
        <v>1</v>
      </c>
      <c r="K13" s="5">
        <v>1</v>
      </c>
      <c r="L13" s="4">
        <v>0</v>
      </c>
      <c r="M13" s="4">
        <v>1596</v>
      </c>
      <c r="N13" s="4">
        <v>840</v>
      </c>
      <c r="O13" s="6">
        <f t="shared" si="0"/>
        <v>0.47368421052631582</v>
      </c>
      <c r="P13" s="4" t="s">
        <v>86</v>
      </c>
      <c r="Q13" s="4" t="s">
        <v>86</v>
      </c>
      <c r="R13" s="4" t="s">
        <v>86</v>
      </c>
      <c r="S13" s="4">
        <v>0</v>
      </c>
      <c r="T13" s="4">
        <f t="shared" si="12"/>
        <v>0</v>
      </c>
      <c r="U13" s="4">
        <v>1150</v>
      </c>
      <c r="V13" s="4">
        <f t="shared" si="13"/>
        <v>1150</v>
      </c>
      <c r="W13" s="4"/>
      <c r="X13" s="21">
        <f t="shared" si="1"/>
        <v>2185</v>
      </c>
      <c r="Y13" s="6">
        <f t="shared" si="21"/>
        <v>0.47368421052631582</v>
      </c>
      <c r="Z13" s="4">
        <v>6.75</v>
      </c>
      <c r="AA13" s="4">
        <f t="shared" si="15"/>
        <v>1816.6000000000001</v>
      </c>
      <c r="AB13" s="4">
        <f t="shared" si="3"/>
        <v>2487.011904761905</v>
      </c>
      <c r="AC13" s="6">
        <f t="shared" si="4"/>
        <v>0.53759771000770673</v>
      </c>
      <c r="AD13" s="7">
        <v>2190</v>
      </c>
      <c r="AE13" s="6">
        <f t="shared" si="5"/>
        <v>0.47488584474885842</v>
      </c>
      <c r="AF13" s="4">
        <f t="shared" si="6"/>
        <v>1040</v>
      </c>
      <c r="AG13" s="28"/>
      <c r="AH13" s="6"/>
      <c r="AI13" s="6"/>
      <c r="AJ13" s="6" t="e">
        <f t="shared" si="7"/>
        <v>#DIV/0!</v>
      </c>
      <c r="AK13" s="6">
        <f t="shared" si="8"/>
        <v>1.3721804511278195</v>
      </c>
      <c r="AL13" s="6">
        <f t="shared" si="9"/>
        <v>1.3690476190476191</v>
      </c>
      <c r="AM13" s="4" t="str">
        <f t="shared" si="16"/>
        <v>-</v>
      </c>
      <c r="AN13" s="4" t="str">
        <f t="shared" si="17"/>
        <v>-</v>
      </c>
      <c r="AO13" s="4" t="str">
        <f t="shared" si="18"/>
        <v>-</v>
      </c>
      <c r="AP13" s="4" t="s">
        <v>65</v>
      </c>
      <c r="AQ13" s="4" t="s">
        <v>97</v>
      </c>
      <c r="AR13" s="4">
        <v>1</v>
      </c>
      <c r="AS13" s="4">
        <v>5</v>
      </c>
      <c r="AT13" s="4" t="s">
        <v>96</v>
      </c>
      <c r="AU13" s="4">
        <v>9083</v>
      </c>
      <c r="AV13" s="4">
        <f t="shared" si="22"/>
        <v>1816.6000000000001</v>
      </c>
      <c r="AW13" s="19">
        <v>4</v>
      </c>
      <c r="AX13" s="19">
        <v>1</v>
      </c>
      <c r="AY13" s="16">
        <v>6</v>
      </c>
      <c r="AZ13" t="s">
        <v>86</v>
      </c>
      <c r="BA13" t="e">
        <f t="shared" si="19"/>
        <v>#VALUE!</v>
      </c>
      <c r="BB13" t="s">
        <v>86</v>
      </c>
      <c r="BC13" t="e">
        <f t="shared" si="20"/>
        <v>#VALUE!</v>
      </c>
      <c r="BD13" t="s">
        <v>112</v>
      </c>
    </row>
    <row r="14" spans="1:56" x14ac:dyDescent="0.4">
      <c r="A14" s="3">
        <v>11</v>
      </c>
      <c r="B14" s="3">
        <v>11</v>
      </c>
      <c r="C14" s="4">
        <v>668699</v>
      </c>
      <c r="D14" s="4" t="str">
        <f t="shared" ref="D14:D21" si="23">TEXT(C14,"000000")</f>
        <v>668699</v>
      </c>
      <c r="E14" s="4">
        <v>668699</v>
      </c>
      <c r="F14" s="4" t="s">
        <v>78</v>
      </c>
      <c r="G14" s="5">
        <v>4973230431745</v>
      </c>
      <c r="H14" s="5"/>
      <c r="I14" s="5"/>
      <c r="J14" s="5">
        <v>1</v>
      </c>
      <c r="K14" s="5">
        <v>1</v>
      </c>
      <c r="L14" s="4">
        <v>0</v>
      </c>
      <c r="M14" s="4">
        <v>2189</v>
      </c>
      <c r="N14" s="4">
        <v>1200</v>
      </c>
      <c r="O14" s="6">
        <f t="shared" ref="O14:O21" si="24">1-N14/M14</f>
        <v>0.45180447693010506</v>
      </c>
      <c r="P14" s="4" t="s">
        <v>86</v>
      </c>
      <c r="Q14" s="4" t="s">
        <v>86</v>
      </c>
      <c r="R14" s="4" t="s">
        <v>86</v>
      </c>
      <c r="S14" s="4">
        <v>0</v>
      </c>
      <c r="T14" s="4">
        <f t="shared" ref="T14:T21" si="25">IF(W14="",S14,S14*W14)</f>
        <v>0</v>
      </c>
      <c r="U14" s="4">
        <v>1530</v>
      </c>
      <c r="V14" s="4">
        <f t="shared" ref="V14:V21" si="26">IF(W14="",U14,U14*W14)</f>
        <v>1530</v>
      </c>
      <c r="W14" s="4"/>
      <c r="X14" s="21">
        <f t="shared" si="1"/>
        <v>2791</v>
      </c>
      <c r="Y14" s="6">
        <f t="shared" ref="Y14:Y21" si="27">1-V14/X14</f>
        <v>0.4518093873163741</v>
      </c>
      <c r="Z14" s="4">
        <v>0.75</v>
      </c>
      <c r="AA14" s="4">
        <f t="shared" ref="AA14:AA21" si="28">AV14</f>
        <v>2400</v>
      </c>
      <c r="AB14" s="4">
        <f t="shared" si="3"/>
        <v>3060</v>
      </c>
      <c r="AC14" s="6">
        <f t="shared" si="4"/>
        <v>0.5</v>
      </c>
      <c r="AD14" s="7">
        <v>2490</v>
      </c>
      <c r="AE14" s="6">
        <f t="shared" si="5"/>
        <v>0.38554216867469882</v>
      </c>
      <c r="AF14" s="4">
        <f t="shared" si="6"/>
        <v>960</v>
      </c>
      <c r="AG14" s="28"/>
      <c r="AH14" s="6"/>
      <c r="AI14" s="6"/>
      <c r="AJ14" s="6" t="e">
        <f t="shared" si="7"/>
        <v>#DIV/0!</v>
      </c>
      <c r="AK14" s="6">
        <f t="shared" si="8"/>
        <v>1.1375057103700319</v>
      </c>
      <c r="AL14" s="6">
        <f t="shared" si="9"/>
        <v>1.2749999999999999</v>
      </c>
      <c r="AM14" s="4" t="str">
        <f t="shared" si="16"/>
        <v>-</v>
      </c>
      <c r="AN14" s="4" t="str">
        <f t="shared" si="17"/>
        <v>-</v>
      </c>
      <c r="AO14" s="4" t="str">
        <f t="shared" si="18"/>
        <v>-</v>
      </c>
      <c r="AP14" s="4" t="s">
        <v>66</v>
      </c>
      <c r="AQ14" s="4" t="s">
        <v>98</v>
      </c>
      <c r="AR14" s="4"/>
      <c r="AS14" s="4"/>
      <c r="AT14" s="4" t="s">
        <v>88</v>
      </c>
      <c r="AU14" s="4">
        <v>2400</v>
      </c>
      <c r="AV14" s="4">
        <f t="shared" ref="AV14:AV21" si="29">IF(AR14="",AU14,AR14/AS14*AU14)</f>
        <v>2400</v>
      </c>
      <c r="AW14" s="19">
        <v>4</v>
      </c>
      <c r="AX14" s="19">
        <v>1</v>
      </c>
      <c r="AY14" s="16">
        <v>6</v>
      </c>
      <c r="AZ14" t="s">
        <v>86</v>
      </c>
      <c r="BA14" t="e">
        <f t="shared" si="19"/>
        <v>#VALUE!</v>
      </c>
      <c r="BB14">
        <v>2280</v>
      </c>
      <c r="BC14">
        <f t="shared" si="20"/>
        <v>2907</v>
      </c>
      <c r="BD14" t="s">
        <v>113</v>
      </c>
    </row>
    <row r="15" spans="1:56" x14ac:dyDescent="0.4">
      <c r="A15" s="3">
        <v>12</v>
      </c>
      <c r="B15" s="3">
        <v>12</v>
      </c>
      <c r="C15" s="4">
        <v>668700</v>
      </c>
      <c r="D15" s="4" t="str">
        <f t="shared" si="23"/>
        <v>668700</v>
      </c>
      <c r="E15" s="4">
        <v>668700</v>
      </c>
      <c r="F15" s="4" t="s">
        <v>79</v>
      </c>
      <c r="G15" s="5">
        <v>4973230431752</v>
      </c>
      <c r="H15" s="5"/>
      <c r="I15" s="5"/>
      <c r="J15" s="5">
        <v>1</v>
      </c>
      <c r="K15" s="5">
        <v>1</v>
      </c>
      <c r="L15" s="4">
        <v>0</v>
      </c>
      <c r="M15" s="4">
        <v>1596</v>
      </c>
      <c r="N15" s="4">
        <v>1200</v>
      </c>
      <c r="O15" s="6">
        <f t="shared" si="24"/>
        <v>0.24812030075187974</v>
      </c>
      <c r="P15" s="4" t="s">
        <v>86</v>
      </c>
      <c r="Q15" s="4" t="s">
        <v>86</v>
      </c>
      <c r="R15" s="4" t="s">
        <v>86</v>
      </c>
      <c r="S15" s="4">
        <v>0</v>
      </c>
      <c r="T15" s="4">
        <f t="shared" si="25"/>
        <v>0</v>
      </c>
      <c r="U15" s="4">
        <v>1530</v>
      </c>
      <c r="V15" s="4">
        <f t="shared" si="26"/>
        <v>1530</v>
      </c>
      <c r="W15" s="4"/>
      <c r="X15" s="21">
        <f t="shared" si="1"/>
        <v>2035</v>
      </c>
      <c r="Y15" s="6">
        <f t="shared" si="27"/>
        <v>0.24815724815724816</v>
      </c>
      <c r="Z15" s="4">
        <v>0.75</v>
      </c>
      <c r="AA15" s="4">
        <f t="shared" si="28"/>
        <v>2331.2000000000003</v>
      </c>
      <c r="AB15" s="4">
        <f t="shared" si="3"/>
        <v>2972.28</v>
      </c>
      <c r="AC15" s="6">
        <f t="shared" si="4"/>
        <v>0.48524365133836656</v>
      </c>
      <c r="AD15" s="7">
        <v>2490</v>
      </c>
      <c r="AE15" s="6">
        <f t="shared" si="5"/>
        <v>0.38554216867469882</v>
      </c>
      <c r="AF15" s="4">
        <f t="shared" si="6"/>
        <v>960</v>
      </c>
      <c r="AG15" s="28"/>
      <c r="AH15" s="6"/>
      <c r="AI15" s="6"/>
      <c r="AJ15" s="6" t="e">
        <f t="shared" si="7"/>
        <v>#DIV/0!</v>
      </c>
      <c r="AK15" s="6">
        <f t="shared" si="8"/>
        <v>1.5601503759398496</v>
      </c>
      <c r="AL15" s="6">
        <f t="shared" si="9"/>
        <v>1.2749999999999999</v>
      </c>
      <c r="AM15" s="4" t="str">
        <f t="shared" si="16"/>
        <v>-</v>
      </c>
      <c r="AN15" s="4" t="str">
        <f t="shared" si="17"/>
        <v>-</v>
      </c>
      <c r="AO15" s="4" t="str">
        <f t="shared" si="18"/>
        <v>-</v>
      </c>
      <c r="AP15" s="4" t="s">
        <v>66</v>
      </c>
      <c r="AQ15" s="4" t="s">
        <v>99</v>
      </c>
      <c r="AR15" s="4">
        <v>1</v>
      </c>
      <c r="AS15" s="4">
        <v>5</v>
      </c>
      <c r="AT15" s="4" t="s">
        <v>96</v>
      </c>
      <c r="AU15" s="4">
        <v>11656</v>
      </c>
      <c r="AV15" s="4">
        <f t="shared" si="29"/>
        <v>2331.2000000000003</v>
      </c>
      <c r="AW15" s="19">
        <v>4</v>
      </c>
      <c r="AX15" s="19">
        <v>1</v>
      </c>
      <c r="AY15" s="16">
        <v>6</v>
      </c>
      <c r="AZ15" t="s">
        <v>86</v>
      </c>
      <c r="BA15" t="e">
        <f t="shared" si="19"/>
        <v>#VALUE!</v>
      </c>
      <c r="BB15">
        <v>2280</v>
      </c>
      <c r="BC15">
        <f t="shared" si="20"/>
        <v>2907</v>
      </c>
      <c r="BD15" t="s">
        <v>114</v>
      </c>
    </row>
    <row r="16" spans="1:56" x14ac:dyDescent="0.4">
      <c r="A16" s="3">
        <v>13</v>
      </c>
      <c r="B16" s="3">
        <v>13</v>
      </c>
      <c r="C16" s="4">
        <v>668701</v>
      </c>
      <c r="D16" s="4" t="str">
        <f t="shared" si="23"/>
        <v>668701</v>
      </c>
      <c r="E16" s="4">
        <v>668701</v>
      </c>
      <c r="F16" s="4" t="s">
        <v>80</v>
      </c>
      <c r="G16" s="5">
        <v>4973230431721</v>
      </c>
      <c r="H16" s="5"/>
      <c r="I16" s="5"/>
      <c r="J16" s="5">
        <v>1</v>
      </c>
      <c r="K16" s="5">
        <v>1</v>
      </c>
      <c r="L16" s="4">
        <v>0</v>
      </c>
      <c r="M16" s="4">
        <v>1421</v>
      </c>
      <c r="N16" s="4">
        <v>1200</v>
      </c>
      <c r="O16" s="6">
        <f t="shared" si="24"/>
        <v>0.15552427867698804</v>
      </c>
      <c r="P16" s="4" t="s">
        <v>86</v>
      </c>
      <c r="Q16" s="4" t="s">
        <v>86</v>
      </c>
      <c r="R16" s="4" t="s">
        <v>86</v>
      </c>
      <c r="S16" s="4">
        <v>0</v>
      </c>
      <c r="T16" s="4">
        <f t="shared" si="25"/>
        <v>0</v>
      </c>
      <c r="U16" s="4">
        <v>1530</v>
      </c>
      <c r="V16" s="4">
        <f t="shared" si="26"/>
        <v>1530</v>
      </c>
      <c r="W16" s="4"/>
      <c r="X16" s="21">
        <f t="shared" si="1"/>
        <v>1812</v>
      </c>
      <c r="Y16" s="6">
        <f t="shared" si="27"/>
        <v>0.1556291390728477</v>
      </c>
      <c r="Z16" s="4">
        <v>1.5</v>
      </c>
      <c r="AA16" s="4">
        <f t="shared" si="28"/>
        <v>2400</v>
      </c>
      <c r="AB16" s="4">
        <f t="shared" si="3"/>
        <v>3060</v>
      </c>
      <c r="AC16" s="6">
        <f t="shared" si="4"/>
        <v>0.5</v>
      </c>
      <c r="AD16" s="7">
        <v>2490</v>
      </c>
      <c r="AE16" s="6">
        <f t="shared" si="5"/>
        <v>0.38554216867469882</v>
      </c>
      <c r="AF16" s="4">
        <f t="shared" si="6"/>
        <v>960</v>
      </c>
      <c r="AG16" s="28"/>
      <c r="AH16" s="6"/>
      <c r="AI16" s="6"/>
      <c r="AJ16" s="6" t="e">
        <f t="shared" si="7"/>
        <v>#DIV/0!</v>
      </c>
      <c r="AK16" s="6">
        <f t="shared" si="8"/>
        <v>1.7522871217452498</v>
      </c>
      <c r="AL16" s="6">
        <f t="shared" si="9"/>
        <v>1.2749999999999999</v>
      </c>
      <c r="AM16" s="4" t="str">
        <f t="shared" si="16"/>
        <v>-</v>
      </c>
      <c r="AN16" s="4" t="str">
        <f t="shared" si="17"/>
        <v>-</v>
      </c>
      <c r="AO16" s="4" t="str">
        <f t="shared" si="18"/>
        <v>-</v>
      </c>
      <c r="AP16" s="4" t="s">
        <v>66</v>
      </c>
      <c r="AQ16" s="4" t="s">
        <v>100</v>
      </c>
      <c r="AR16" s="4"/>
      <c r="AS16" s="4"/>
      <c r="AT16" s="4" t="s">
        <v>88</v>
      </c>
      <c r="AU16" s="4">
        <v>2400</v>
      </c>
      <c r="AV16" s="4">
        <f t="shared" si="29"/>
        <v>2400</v>
      </c>
      <c r="AW16" s="19">
        <v>4</v>
      </c>
      <c r="AX16" s="19">
        <v>1</v>
      </c>
      <c r="AY16" s="16">
        <v>6</v>
      </c>
      <c r="AZ16" t="s">
        <v>86</v>
      </c>
      <c r="BA16" t="e">
        <f t="shared" si="19"/>
        <v>#VALUE!</v>
      </c>
      <c r="BB16">
        <v>2280</v>
      </c>
      <c r="BC16">
        <f t="shared" si="20"/>
        <v>2907</v>
      </c>
      <c r="BD16" t="s">
        <v>115</v>
      </c>
    </row>
    <row r="17" spans="1:56" x14ac:dyDescent="0.4">
      <c r="A17" s="3">
        <v>14</v>
      </c>
      <c r="B17" s="3">
        <v>14</v>
      </c>
      <c r="C17" s="4">
        <v>668702</v>
      </c>
      <c r="D17" s="4" t="str">
        <f t="shared" si="23"/>
        <v>668702</v>
      </c>
      <c r="E17" s="4">
        <v>668702</v>
      </c>
      <c r="F17" s="4" t="s">
        <v>81</v>
      </c>
      <c r="G17" s="5">
        <v>4973230431769</v>
      </c>
      <c r="H17" s="5"/>
      <c r="I17" s="5"/>
      <c r="J17" s="5">
        <v>1</v>
      </c>
      <c r="K17" s="5">
        <v>1</v>
      </c>
      <c r="L17" s="4">
        <v>0</v>
      </c>
      <c r="M17" s="4">
        <v>2189</v>
      </c>
      <c r="N17" s="4">
        <v>1200</v>
      </c>
      <c r="O17" s="6">
        <f t="shared" si="24"/>
        <v>0.45180447693010506</v>
      </c>
      <c r="P17" s="4" t="s">
        <v>86</v>
      </c>
      <c r="Q17" s="4" t="s">
        <v>86</v>
      </c>
      <c r="R17" s="4" t="s">
        <v>86</v>
      </c>
      <c r="S17" s="4">
        <v>0</v>
      </c>
      <c r="T17" s="4">
        <f t="shared" si="25"/>
        <v>0</v>
      </c>
      <c r="U17" s="4">
        <v>1530</v>
      </c>
      <c r="V17" s="4">
        <f t="shared" si="26"/>
        <v>1530</v>
      </c>
      <c r="W17" s="4"/>
      <c r="X17" s="21">
        <f t="shared" si="1"/>
        <v>2791</v>
      </c>
      <c r="Y17" s="6">
        <f t="shared" si="27"/>
        <v>0.4518093873163741</v>
      </c>
      <c r="Z17" s="4">
        <v>2</v>
      </c>
      <c r="AA17" s="4">
        <f t="shared" si="28"/>
        <v>2155</v>
      </c>
      <c r="AB17" s="4">
        <f t="shared" si="3"/>
        <v>2747.625</v>
      </c>
      <c r="AC17" s="6">
        <f t="shared" si="4"/>
        <v>0.44315545243619492</v>
      </c>
      <c r="AD17" s="7">
        <v>2490</v>
      </c>
      <c r="AE17" s="6">
        <f t="shared" si="5"/>
        <v>0.38554216867469882</v>
      </c>
      <c r="AF17" s="4">
        <f t="shared" si="6"/>
        <v>960</v>
      </c>
      <c r="AG17" s="28"/>
      <c r="AH17" s="6"/>
      <c r="AI17" s="6"/>
      <c r="AJ17" s="6" t="e">
        <f t="shared" si="7"/>
        <v>#DIV/0!</v>
      </c>
      <c r="AK17" s="6">
        <f t="shared" si="8"/>
        <v>1.1375057103700319</v>
      </c>
      <c r="AL17" s="6">
        <f t="shared" si="9"/>
        <v>1.2749999999999999</v>
      </c>
      <c r="AM17" s="4" t="str">
        <f t="shared" si="16"/>
        <v>-</v>
      </c>
      <c r="AN17" s="4" t="str">
        <f t="shared" si="17"/>
        <v>-</v>
      </c>
      <c r="AO17" s="4" t="str">
        <f t="shared" si="18"/>
        <v>-</v>
      </c>
      <c r="AP17" s="4" t="s">
        <v>66</v>
      </c>
      <c r="AQ17" s="4" t="s">
        <v>101</v>
      </c>
      <c r="AR17" s="4"/>
      <c r="AS17" s="4"/>
      <c r="AT17" s="4" t="s">
        <v>88</v>
      </c>
      <c r="AU17" s="4">
        <v>2155</v>
      </c>
      <c r="AV17" s="4">
        <f t="shared" si="29"/>
        <v>2155</v>
      </c>
      <c r="AW17" s="19">
        <v>4</v>
      </c>
      <c r="AX17" s="19">
        <v>1</v>
      </c>
      <c r="AY17" s="16">
        <v>6</v>
      </c>
      <c r="AZ17" t="s">
        <v>86</v>
      </c>
      <c r="BA17" t="e">
        <f t="shared" si="19"/>
        <v>#VALUE!</v>
      </c>
      <c r="BB17">
        <v>2280</v>
      </c>
      <c r="BC17">
        <f t="shared" si="20"/>
        <v>2907</v>
      </c>
      <c r="BD17" t="s">
        <v>116</v>
      </c>
    </row>
    <row r="18" spans="1:56" x14ac:dyDescent="0.4">
      <c r="A18" s="3">
        <v>15</v>
      </c>
      <c r="B18" s="3">
        <v>15</v>
      </c>
      <c r="C18" s="4">
        <v>668703</v>
      </c>
      <c r="D18" s="4" t="str">
        <f t="shared" si="23"/>
        <v>668703</v>
      </c>
      <c r="E18" s="4">
        <v>668703</v>
      </c>
      <c r="F18" s="4" t="s">
        <v>82</v>
      </c>
      <c r="G18" s="5">
        <v>4973230431783</v>
      </c>
      <c r="H18" s="5"/>
      <c r="I18" s="5"/>
      <c r="J18" s="5">
        <v>1</v>
      </c>
      <c r="K18" s="5">
        <v>1</v>
      </c>
      <c r="L18" s="4">
        <v>0</v>
      </c>
      <c r="M18" s="4">
        <v>1773</v>
      </c>
      <c r="N18" s="4">
        <v>1200</v>
      </c>
      <c r="O18" s="6">
        <f t="shared" si="24"/>
        <v>0.32318104906937395</v>
      </c>
      <c r="P18" s="4" t="s">
        <v>86</v>
      </c>
      <c r="Q18" s="4" t="s">
        <v>86</v>
      </c>
      <c r="R18" s="4" t="s">
        <v>86</v>
      </c>
      <c r="S18" s="4">
        <v>0</v>
      </c>
      <c r="T18" s="4">
        <f t="shared" si="25"/>
        <v>0</v>
      </c>
      <c r="U18" s="4">
        <v>1530</v>
      </c>
      <c r="V18" s="4">
        <f t="shared" si="26"/>
        <v>1530</v>
      </c>
      <c r="W18" s="4"/>
      <c r="X18" s="21">
        <f t="shared" si="1"/>
        <v>2261</v>
      </c>
      <c r="Y18" s="6">
        <f t="shared" si="27"/>
        <v>0.32330827067669177</v>
      </c>
      <c r="Z18" s="4">
        <v>1.5</v>
      </c>
      <c r="AA18" s="4">
        <f t="shared" si="28"/>
        <v>1960</v>
      </c>
      <c r="AB18" s="4">
        <f t="shared" si="3"/>
        <v>2499</v>
      </c>
      <c r="AC18" s="6">
        <f t="shared" si="4"/>
        <v>0.38775510204081631</v>
      </c>
      <c r="AD18" s="7">
        <v>2490</v>
      </c>
      <c r="AE18" s="6">
        <f t="shared" si="5"/>
        <v>0.38554216867469882</v>
      </c>
      <c r="AF18" s="4">
        <f t="shared" si="6"/>
        <v>960</v>
      </c>
      <c r="AG18" s="28"/>
      <c r="AH18" s="6"/>
      <c r="AI18" s="6"/>
      <c r="AJ18" s="6" t="e">
        <f t="shared" si="7"/>
        <v>#DIV/0!</v>
      </c>
      <c r="AK18" s="6">
        <f t="shared" si="8"/>
        <v>1.404399323181049</v>
      </c>
      <c r="AL18" s="6">
        <f t="shared" si="9"/>
        <v>1.2749999999999999</v>
      </c>
      <c r="AM18" s="4" t="str">
        <f t="shared" si="16"/>
        <v>-</v>
      </c>
      <c r="AN18" s="4" t="str">
        <f t="shared" si="17"/>
        <v>-</v>
      </c>
      <c r="AO18" s="4" t="str">
        <f t="shared" si="18"/>
        <v>-</v>
      </c>
      <c r="AP18" s="4" t="s">
        <v>66</v>
      </c>
      <c r="AQ18" s="4" t="s">
        <v>102</v>
      </c>
      <c r="AR18" s="4"/>
      <c r="AS18" s="4"/>
      <c r="AT18" s="4" t="s">
        <v>88</v>
      </c>
      <c r="AU18" s="4">
        <v>1960</v>
      </c>
      <c r="AV18" s="4">
        <f t="shared" si="29"/>
        <v>1960</v>
      </c>
      <c r="AW18" s="19">
        <v>4</v>
      </c>
      <c r="AX18" s="19">
        <v>1</v>
      </c>
      <c r="AY18" s="16">
        <v>6</v>
      </c>
      <c r="AZ18" t="s">
        <v>86</v>
      </c>
      <c r="BA18" t="e">
        <f t="shared" si="19"/>
        <v>#VALUE!</v>
      </c>
      <c r="BB18">
        <v>2280</v>
      </c>
      <c r="BC18">
        <f t="shared" si="20"/>
        <v>2907</v>
      </c>
      <c r="BD18" t="s">
        <v>117</v>
      </c>
    </row>
    <row r="19" spans="1:56" x14ac:dyDescent="0.4">
      <c r="A19" s="3">
        <v>16</v>
      </c>
      <c r="B19" s="3">
        <v>16</v>
      </c>
      <c r="C19" s="4">
        <v>668399</v>
      </c>
      <c r="D19" s="4" t="str">
        <f t="shared" si="23"/>
        <v>668399</v>
      </c>
      <c r="E19" s="4">
        <v>668399</v>
      </c>
      <c r="F19" s="4" t="s">
        <v>83</v>
      </c>
      <c r="G19" s="5">
        <v>4973230307705</v>
      </c>
      <c r="H19" s="5"/>
      <c r="I19" s="5"/>
      <c r="J19" s="5">
        <v>1</v>
      </c>
      <c r="K19" s="5">
        <v>1</v>
      </c>
      <c r="L19" s="4">
        <v>0</v>
      </c>
      <c r="M19" s="4">
        <v>602</v>
      </c>
      <c r="N19" s="4">
        <v>340</v>
      </c>
      <c r="O19" s="6">
        <f t="shared" si="24"/>
        <v>0.43521594684385378</v>
      </c>
      <c r="P19" s="4" t="s">
        <v>86</v>
      </c>
      <c r="Q19" s="4" t="s">
        <v>86</v>
      </c>
      <c r="R19" s="4" t="s">
        <v>86</v>
      </c>
      <c r="S19" s="4">
        <v>0</v>
      </c>
      <c r="T19" s="4">
        <f t="shared" si="25"/>
        <v>0</v>
      </c>
      <c r="U19" s="4">
        <v>450</v>
      </c>
      <c r="V19" s="4">
        <f t="shared" si="26"/>
        <v>450</v>
      </c>
      <c r="W19" s="4"/>
      <c r="X19" s="21">
        <f t="shared" si="1"/>
        <v>797</v>
      </c>
      <c r="Y19" s="6">
        <f t="shared" si="27"/>
        <v>0.43538268506900879</v>
      </c>
      <c r="Z19" s="4">
        <v>19.25</v>
      </c>
      <c r="AA19" s="4" t="str">
        <f t="shared" si="28"/>
        <v>-</v>
      </c>
      <c r="AB19" s="4" t="e">
        <f t="shared" si="3"/>
        <v>#VALUE!</v>
      </c>
      <c r="AC19" s="6" t="e">
        <f t="shared" si="4"/>
        <v>#VALUE!</v>
      </c>
      <c r="AD19" s="7">
        <v>798</v>
      </c>
      <c r="AE19" s="6">
        <f t="shared" si="5"/>
        <v>0.43609022556390975</v>
      </c>
      <c r="AF19" s="4">
        <f t="shared" si="6"/>
        <v>348</v>
      </c>
      <c r="AG19" s="28"/>
      <c r="AH19" s="6"/>
      <c r="AI19" s="6"/>
      <c r="AJ19" s="6" t="e">
        <f t="shared" si="7"/>
        <v>#DIV/0!</v>
      </c>
      <c r="AK19" s="6">
        <f t="shared" si="8"/>
        <v>1.3255813953488371</v>
      </c>
      <c r="AL19" s="6">
        <f t="shared" si="9"/>
        <v>1.3235294117647058</v>
      </c>
      <c r="AM19" s="4" t="str">
        <f t="shared" si="16"/>
        <v>-</v>
      </c>
      <c r="AN19" s="4" t="str">
        <f t="shared" si="17"/>
        <v>-</v>
      </c>
      <c r="AO19" s="4" t="str">
        <f t="shared" si="18"/>
        <v>-</v>
      </c>
      <c r="AP19" s="4" t="s">
        <v>67</v>
      </c>
      <c r="AQ19" s="4" t="s">
        <v>86</v>
      </c>
      <c r="AR19" s="4"/>
      <c r="AS19" s="4"/>
      <c r="AT19" s="4" t="s">
        <v>86</v>
      </c>
      <c r="AU19" s="4" t="s">
        <v>86</v>
      </c>
      <c r="AV19" s="4" t="str">
        <f t="shared" si="29"/>
        <v>-</v>
      </c>
      <c r="AW19" s="19">
        <v>4</v>
      </c>
      <c r="AX19" s="19">
        <v>1</v>
      </c>
      <c r="AY19" s="16">
        <v>3</v>
      </c>
      <c r="AZ19" t="s">
        <v>86</v>
      </c>
      <c r="BA19" t="e">
        <f t="shared" si="19"/>
        <v>#VALUE!</v>
      </c>
      <c r="BB19" t="s">
        <v>86</v>
      </c>
      <c r="BC19" t="e">
        <f t="shared" si="20"/>
        <v>#VALUE!</v>
      </c>
      <c r="BD19" t="s">
        <v>86</v>
      </c>
    </row>
    <row r="20" spans="1:56" x14ac:dyDescent="0.4">
      <c r="A20" s="3">
        <v>17</v>
      </c>
      <c r="B20" s="3">
        <v>17</v>
      </c>
      <c r="C20" s="4">
        <v>800113</v>
      </c>
      <c r="D20" s="4" t="str">
        <f t="shared" si="23"/>
        <v>800113</v>
      </c>
      <c r="E20" s="4">
        <v>677887</v>
      </c>
      <c r="F20" s="4" t="s">
        <v>84</v>
      </c>
      <c r="G20" s="5">
        <v>4973230427960</v>
      </c>
      <c r="H20" s="5"/>
      <c r="I20" s="5"/>
      <c r="J20" s="5">
        <v>1</v>
      </c>
      <c r="K20" s="5">
        <v>1</v>
      </c>
      <c r="L20" s="4">
        <v>0</v>
      </c>
      <c r="M20" s="4">
        <v>1900</v>
      </c>
      <c r="N20" s="4">
        <v>1200</v>
      </c>
      <c r="O20" s="6">
        <f t="shared" si="24"/>
        <v>0.36842105263157898</v>
      </c>
      <c r="P20" s="4" t="s">
        <v>86</v>
      </c>
      <c r="Q20" s="4" t="s">
        <v>86</v>
      </c>
      <c r="R20" s="4" t="s">
        <v>86</v>
      </c>
      <c r="S20" s="4">
        <v>0</v>
      </c>
      <c r="T20" s="4">
        <f t="shared" si="25"/>
        <v>0</v>
      </c>
      <c r="U20" s="4">
        <v>1600</v>
      </c>
      <c r="V20" s="4">
        <f t="shared" si="26"/>
        <v>1600</v>
      </c>
      <c r="W20" s="4"/>
      <c r="X20" s="21">
        <f t="shared" si="1"/>
        <v>2533</v>
      </c>
      <c r="Y20" s="6">
        <f t="shared" si="27"/>
        <v>0.36833793920252667</v>
      </c>
      <c r="Z20" s="4">
        <v>18.75</v>
      </c>
      <c r="AA20" s="4">
        <f t="shared" si="28"/>
        <v>2572.8000000000002</v>
      </c>
      <c r="AB20" s="4">
        <f t="shared" si="3"/>
        <v>3430.4</v>
      </c>
      <c r="AC20" s="6">
        <f t="shared" si="4"/>
        <v>0.53358208955223874</v>
      </c>
      <c r="AD20" s="7">
        <v>2580</v>
      </c>
      <c r="AE20" s="6">
        <f t="shared" si="5"/>
        <v>0.37984496124031009</v>
      </c>
      <c r="AF20" s="4">
        <f t="shared" si="6"/>
        <v>980</v>
      </c>
      <c r="AG20" s="28"/>
      <c r="AH20" s="6"/>
      <c r="AI20" s="6"/>
      <c r="AJ20" s="6" t="e">
        <f t="shared" si="7"/>
        <v>#DIV/0!</v>
      </c>
      <c r="AK20" s="6">
        <f t="shared" si="8"/>
        <v>1.3578947368421053</v>
      </c>
      <c r="AL20" s="6">
        <f t="shared" si="9"/>
        <v>1.3333333333333333</v>
      </c>
      <c r="AM20" s="4" t="str">
        <f t="shared" si="16"/>
        <v>-</v>
      </c>
      <c r="AN20" s="4" t="str">
        <f t="shared" si="17"/>
        <v>-</v>
      </c>
      <c r="AO20" s="4" t="str">
        <f t="shared" si="18"/>
        <v>-</v>
      </c>
      <c r="AP20" s="4">
        <v>0</v>
      </c>
      <c r="AQ20" s="4" t="s">
        <v>103</v>
      </c>
      <c r="AR20" s="4">
        <v>1</v>
      </c>
      <c r="AS20" s="4">
        <v>5</v>
      </c>
      <c r="AT20" s="4" t="s">
        <v>96</v>
      </c>
      <c r="AU20" s="4">
        <v>12864</v>
      </c>
      <c r="AV20" s="4">
        <f t="shared" si="29"/>
        <v>2572.8000000000002</v>
      </c>
      <c r="AW20" s="19">
        <v>4</v>
      </c>
      <c r="AX20" s="19">
        <v>1</v>
      </c>
      <c r="AY20" s="16">
        <v>6</v>
      </c>
      <c r="AZ20" t="s">
        <v>86</v>
      </c>
      <c r="BA20" t="e">
        <f t="shared" si="19"/>
        <v>#VALUE!</v>
      </c>
      <c r="BB20" t="s">
        <v>86</v>
      </c>
      <c r="BC20" t="e">
        <f t="shared" si="20"/>
        <v>#VALUE!</v>
      </c>
      <c r="BD20" t="s">
        <v>118</v>
      </c>
    </row>
    <row r="21" spans="1:56" x14ac:dyDescent="0.4">
      <c r="A21" s="3">
        <v>18</v>
      </c>
      <c r="B21" s="3">
        <v>18</v>
      </c>
      <c r="C21" s="4" t="s">
        <v>64</v>
      </c>
      <c r="D21" s="4" t="str">
        <f t="shared" si="23"/>
        <v>J492WK</v>
      </c>
      <c r="E21" s="4" t="s">
        <v>64</v>
      </c>
      <c r="F21" s="4" t="s">
        <v>85</v>
      </c>
      <c r="G21" s="5">
        <v>4973230169860</v>
      </c>
      <c r="H21" s="5"/>
      <c r="I21" s="5"/>
      <c r="J21" s="5">
        <v>1</v>
      </c>
      <c r="K21" s="5">
        <v>1</v>
      </c>
      <c r="L21" s="4">
        <v>0</v>
      </c>
      <c r="M21" s="4">
        <v>1230</v>
      </c>
      <c r="N21" s="4">
        <v>850</v>
      </c>
      <c r="O21" s="6">
        <f t="shared" si="24"/>
        <v>0.30894308943089432</v>
      </c>
      <c r="P21" s="4" t="s">
        <v>86</v>
      </c>
      <c r="Q21" s="4" t="s">
        <v>86</v>
      </c>
      <c r="R21" s="4" t="s">
        <v>86</v>
      </c>
      <c r="S21" s="4">
        <v>0</v>
      </c>
      <c r="T21" s="4">
        <f t="shared" si="25"/>
        <v>0</v>
      </c>
      <c r="U21" s="4">
        <v>1080</v>
      </c>
      <c r="V21" s="4">
        <f t="shared" si="26"/>
        <v>1080</v>
      </c>
      <c r="W21" s="4"/>
      <c r="X21" s="21">
        <f t="shared" si="1"/>
        <v>1563</v>
      </c>
      <c r="Y21" s="6">
        <f t="shared" si="27"/>
        <v>0.30902111324376202</v>
      </c>
      <c r="Z21" s="4">
        <v>1</v>
      </c>
      <c r="AA21" s="4">
        <f t="shared" si="28"/>
        <v>2129</v>
      </c>
      <c r="AB21" s="4">
        <f t="shared" si="3"/>
        <v>2705.0823529411764</v>
      </c>
      <c r="AC21" s="6">
        <f t="shared" si="4"/>
        <v>0.60075152653828079</v>
      </c>
      <c r="AD21" s="7">
        <v>1650</v>
      </c>
      <c r="AE21" s="6">
        <f t="shared" si="5"/>
        <v>0.34545454545454546</v>
      </c>
      <c r="AF21" s="4">
        <f t="shared" si="6"/>
        <v>570</v>
      </c>
      <c r="AG21" s="28"/>
      <c r="AH21" s="6"/>
      <c r="AI21" s="6"/>
      <c r="AJ21" s="6" t="e">
        <f t="shared" si="7"/>
        <v>#DIV/0!</v>
      </c>
      <c r="AK21" s="6">
        <f t="shared" si="8"/>
        <v>1.3414634146341464</v>
      </c>
      <c r="AL21" s="6">
        <f t="shared" si="9"/>
        <v>1.2705882352941176</v>
      </c>
      <c r="AM21" s="4" t="str">
        <f t="shared" si="16"/>
        <v>-</v>
      </c>
      <c r="AN21" s="4" t="str">
        <f t="shared" si="17"/>
        <v>-</v>
      </c>
      <c r="AO21" s="4" t="str">
        <f t="shared" si="18"/>
        <v>-</v>
      </c>
      <c r="AP21" s="4">
        <v>0</v>
      </c>
      <c r="AQ21" s="4" t="s">
        <v>104</v>
      </c>
      <c r="AR21" s="4"/>
      <c r="AS21" s="4"/>
      <c r="AT21" s="4" t="s">
        <v>92</v>
      </c>
      <c r="AU21" s="4">
        <v>2129</v>
      </c>
      <c r="AV21" s="4">
        <f t="shared" si="29"/>
        <v>2129</v>
      </c>
      <c r="AW21" s="19">
        <v>4</v>
      </c>
      <c r="AX21" s="19">
        <v>1</v>
      </c>
      <c r="AY21" s="16">
        <v>6</v>
      </c>
      <c r="AZ21">
        <v>1232</v>
      </c>
      <c r="BA21">
        <f t="shared" si="19"/>
        <v>1565.3647058823528</v>
      </c>
      <c r="BB21">
        <v>1318</v>
      </c>
      <c r="BC21">
        <f t="shared" si="20"/>
        <v>1674.6352941176469</v>
      </c>
      <c r="BD21" t="s">
        <v>119</v>
      </c>
    </row>
  </sheetData>
  <autoFilter ref="A3:BD3" xr:uid="{7A1660CF-9003-4B2D-B659-7F339ED5B476}"/>
  <mergeCells count="3">
    <mergeCell ref="L2:O2"/>
    <mergeCell ref="J2:K2"/>
    <mergeCell ref="S1:V1"/>
  </mergeCells>
  <phoneticPr fontId="2"/>
  <conditionalFormatting sqref="AB4:AB21">
    <cfRule type="cellIs" dxfId="1" priority="1" operator="lessThan">
      <formula>$AD4</formula>
    </cfRule>
  </conditionalFormatting>
  <conditionalFormatting sqref="AD4:AD21">
    <cfRule type="cellIs" dxfId="0" priority="2" operator="greaterThan">
      <formula>$T4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須永 英里子</cp:lastModifiedBy>
  <dcterms:created xsi:type="dcterms:W3CDTF">2022-07-07T00:08:53Z</dcterms:created>
  <dcterms:modified xsi:type="dcterms:W3CDTF">2026-05-13T10:02:39Z</dcterms:modified>
</cp:coreProperties>
</file>