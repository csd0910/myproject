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frt-nas\01_全社共有\商品部\個人フォルダ\須永\価格改定\2026年6月1日改定\"/>
    </mc:Choice>
  </mc:AlternateContent>
  <xr:revisionPtr revIDLastSave="0" documentId="13_ncr:1_{1AEE7106-B655-4EC9-9408-69EE49C8BF02}" xr6:coauthVersionLast="47" xr6:coauthVersionMax="47" xr10:uidLastSave="{00000000-0000-0000-0000-000000000000}"/>
  <bookViews>
    <workbookView xWindow="-120" yWindow="-120" windowWidth="29040" windowHeight="15720" xr2:uid="{CC14108B-38B1-4AF3-A2A8-D32DF8046A97}"/>
  </bookViews>
  <sheets>
    <sheet name="Sheet1" sheetId="1" r:id="rId1"/>
  </sheets>
  <definedNames>
    <definedName name="_xlnm._FilterDatabase" localSheetId="0" hidden="1">Sheet1!$A$3:$BO$3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R4" i="1" l="1"/>
  <c r="AT4" i="1"/>
  <c r="AS4" i="1"/>
  <c r="BH5" i="1" l="1"/>
  <c r="AF5" i="1" s="1"/>
  <c r="BH6" i="1"/>
  <c r="AF6" i="1" s="1"/>
  <c r="BH8" i="1"/>
  <c r="AF8" i="1" s="1"/>
  <c r="BH9" i="1"/>
  <c r="AF9" i="1" s="1"/>
  <c r="BH10" i="1"/>
  <c r="AF10" i="1" s="1"/>
  <c r="BH11" i="1"/>
  <c r="AF11" i="1" s="1"/>
  <c r="BH12" i="1"/>
  <c r="AF12" i="1" s="1"/>
  <c r="BH13" i="1"/>
  <c r="AF13" i="1" s="1"/>
  <c r="BH4" i="1"/>
  <c r="AF4" i="1" s="1"/>
  <c r="AA5" i="1"/>
  <c r="AA6" i="1"/>
  <c r="AA7" i="1"/>
  <c r="AA8" i="1"/>
  <c r="AA9" i="1"/>
  <c r="AA10" i="1"/>
  <c r="AA11" i="1"/>
  <c r="AA12" i="1"/>
  <c r="AA13" i="1"/>
  <c r="Y5" i="1"/>
  <c r="AO5" i="1" s="1"/>
  <c r="Y6" i="1"/>
  <c r="AO6" i="1" s="1"/>
  <c r="Y7" i="1"/>
  <c r="AO7" i="1" s="1"/>
  <c r="Y8" i="1"/>
  <c r="AO8" i="1" s="1"/>
  <c r="Y9" i="1"/>
  <c r="AO9" i="1" s="1"/>
  <c r="Y10" i="1"/>
  <c r="AO10" i="1" s="1"/>
  <c r="Y11" i="1"/>
  <c r="AO11" i="1" s="1"/>
  <c r="Y12" i="1"/>
  <c r="AO12" i="1" s="1"/>
  <c r="Y13" i="1"/>
  <c r="AO13" i="1" s="1"/>
  <c r="C5" i="1"/>
  <c r="C6" i="1"/>
  <c r="C7" i="1"/>
  <c r="C8" i="1"/>
  <c r="C9" i="1"/>
  <c r="C10" i="1"/>
  <c r="C11" i="1"/>
  <c r="C12" i="1"/>
  <c r="C13" i="1"/>
  <c r="C4" i="1"/>
  <c r="AA4" i="1"/>
  <c r="Y4" i="1"/>
  <c r="AO4" i="1" s="1"/>
  <c r="AP13" i="1"/>
  <c r="N13" i="1"/>
  <c r="AP12" i="1"/>
  <c r="N12" i="1"/>
  <c r="AP11" i="1"/>
  <c r="N11" i="1"/>
  <c r="AP10" i="1"/>
  <c r="N10" i="1"/>
  <c r="AP4" i="1"/>
  <c r="AP9" i="1"/>
  <c r="N9" i="1"/>
  <c r="AP8" i="1"/>
  <c r="N8" i="1"/>
  <c r="BH7" i="1"/>
  <c r="AF7" i="1" s="1"/>
  <c r="AP7" i="1"/>
  <c r="N7" i="1"/>
  <c r="AP6" i="1"/>
  <c r="N6" i="1"/>
  <c r="AQ5" i="1"/>
  <c r="AP5" i="1"/>
  <c r="N5" i="1"/>
  <c r="N4" i="1"/>
  <c r="AK10" i="1" l="1"/>
  <c r="AJ4" i="1"/>
  <c r="AJ9" i="1"/>
  <c r="AK8" i="1"/>
  <c r="AK7" i="1"/>
  <c r="AK11" i="1"/>
  <c r="AQ6" i="1"/>
  <c r="AG6" i="1" s="1"/>
  <c r="AH6" i="1" s="1"/>
  <c r="AJ13" i="1"/>
  <c r="AJ5" i="1"/>
  <c r="AJ12" i="1"/>
  <c r="AC5" i="1"/>
  <c r="AD5" i="1" s="1"/>
  <c r="AG5" i="1"/>
  <c r="AH5" i="1" s="1"/>
  <c r="AC6" i="1"/>
  <c r="AD6" i="1" s="1"/>
  <c r="AQ10" i="1"/>
  <c r="AQ12" i="1"/>
  <c r="AQ8" i="1"/>
  <c r="AK6" i="1"/>
  <c r="AQ13" i="1"/>
  <c r="AJ11" i="1"/>
  <c r="AJ10" i="1"/>
  <c r="AJ8" i="1"/>
  <c r="AQ11" i="1"/>
  <c r="AK9" i="1"/>
  <c r="AQ9" i="1"/>
  <c r="AJ7" i="1"/>
  <c r="AK13" i="1"/>
  <c r="AK5" i="1"/>
  <c r="AQ7" i="1"/>
  <c r="AJ6" i="1"/>
  <c r="AK12" i="1"/>
  <c r="AM4" i="1"/>
  <c r="AN4" i="1"/>
  <c r="AK4" i="1"/>
  <c r="AQ4" i="1"/>
  <c r="AC9" i="1" l="1"/>
  <c r="AD9" i="1" s="1"/>
  <c r="AG9" i="1"/>
  <c r="AH9" i="1" s="1"/>
  <c r="AC13" i="1"/>
  <c r="AD13" i="1" s="1"/>
  <c r="AG13" i="1"/>
  <c r="AH13" i="1" s="1"/>
  <c r="AC12" i="1"/>
  <c r="AD12" i="1" s="1"/>
  <c r="AG12" i="1"/>
  <c r="AH12" i="1" s="1"/>
  <c r="AC7" i="1"/>
  <c r="AD7" i="1" s="1"/>
  <c r="AG7" i="1"/>
  <c r="AH7" i="1" s="1"/>
  <c r="AC10" i="1"/>
  <c r="AD10" i="1" s="1"/>
  <c r="AG10" i="1"/>
  <c r="AH10" i="1" s="1"/>
  <c r="AC11" i="1"/>
  <c r="AD11" i="1" s="1"/>
  <c r="AG11" i="1"/>
  <c r="AH11" i="1" s="1"/>
  <c r="AC8" i="1"/>
  <c r="AD8" i="1" s="1"/>
  <c r="AG8" i="1"/>
  <c r="AH8" i="1" s="1"/>
  <c r="AC4" i="1"/>
  <c r="AD4" i="1" s="1"/>
  <c r="AG4" i="1"/>
  <c r="AH4" i="1" s="1"/>
</calcChain>
</file>

<file path=xl/sharedStrings.xml><?xml version="1.0" encoding="utf-8"?>
<sst xmlns="http://schemas.openxmlformats.org/spreadsheetml/2006/main" count="158" uniqueCount="105">
  <si>
    <t>商品名</t>
    <rPh sb="0" eb="3">
      <t>ショウヒンメイ</t>
    </rPh>
    <phoneticPr fontId="1"/>
  </si>
  <si>
    <t>小売価格
(税抜）</t>
    <rPh sb="6" eb="8">
      <t>ゼイヌ</t>
    </rPh>
    <phoneticPr fontId="1"/>
  </si>
  <si>
    <t>現行</t>
    <rPh sb="0" eb="2">
      <t>ゲンコウ</t>
    </rPh>
    <phoneticPr fontId="2"/>
  </si>
  <si>
    <t>小売価格
(税抜)</t>
    <rPh sb="6" eb="8">
      <t>ゼイヌ</t>
    </rPh>
    <phoneticPr fontId="1"/>
  </si>
  <si>
    <t>品目CD</t>
    <rPh sb="0" eb="2">
      <t>ヒンモク</t>
    </rPh>
    <phoneticPr fontId="1"/>
  </si>
  <si>
    <t>仕切り</t>
    <rPh sb="0" eb="2">
      <t>シキ</t>
    </rPh>
    <phoneticPr fontId="2"/>
  </si>
  <si>
    <t>換算</t>
    <rPh sb="0" eb="2">
      <t>カンザン</t>
    </rPh>
    <phoneticPr fontId="2"/>
  </si>
  <si>
    <t>JAN</t>
    <phoneticPr fontId="2"/>
  </si>
  <si>
    <t>売価</t>
    <rPh sb="0" eb="2">
      <t>バイカ</t>
    </rPh>
    <phoneticPr fontId="2"/>
  </si>
  <si>
    <t>品目TEXT</t>
    <rPh sb="0" eb="2">
      <t>ヒンモク</t>
    </rPh>
    <phoneticPr fontId="2"/>
  </si>
  <si>
    <t>注文番号</t>
    <rPh sb="0" eb="2">
      <t>チュウモン</t>
    </rPh>
    <rPh sb="2" eb="4">
      <t>バンゴウ</t>
    </rPh>
    <phoneticPr fontId="2"/>
  </si>
  <si>
    <t>カタログ</t>
    <phoneticPr fontId="2"/>
  </si>
  <si>
    <t>アスクル</t>
    <phoneticPr fontId="2"/>
  </si>
  <si>
    <t>FW入数</t>
    <rPh sb="2" eb="4">
      <t>イリスウ</t>
    </rPh>
    <phoneticPr fontId="2"/>
  </si>
  <si>
    <t>アスクル入数</t>
    <rPh sb="4" eb="6">
      <t>イリスウ</t>
    </rPh>
    <phoneticPr fontId="2"/>
  </si>
  <si>
    <t>換算金額</t>
    <rPh sb="0" eb="2">
      <t>カンザン</t>
    </rPh>
    <rPh sb="2" eb="4">
      <t>キンガク</t>
    </rPh>
    <phoneticPr fontId="2"/>
  </si>
  <si>
    <t>粗利率</t>
    <rPh sb="0" eb="3">
      <t>アラリリツ</t>
    </rPh>
    <phoneticPr fontId="2"/>
  </si>
  <si>
    <t>スライド
売価</t>
    <rPh sb="5" eb="7">
      <t>バイカ</t>
    </rPh>
    <phoneticPr fontId="2"/>
  </si>
  <si>
    <t>原価
値上率</t>
    <rPh sb="0" eb="2">
      <t>ゲンカ</t>
    </rPh>
    <rPh sb="3" eb="5">
      <t>ネアゲ</t>
    </rPh>
    <rPh sb="5" eb="6">
      <t>リツ</t>
    </rPh>
    <phoneticPr fontId="2"/>
  </si>
  <si>
    <t>VD2</t>
    <phoneticPr fontId="2"/>
  </si>
  <si>
    <t>VD2始</t>
    <rPh sb="3" eb="4">
      <t>ハジ</t>
    </rPh>
    <phoneticPr fontId="2"/>
  </si>
  <si>
    <t>VD2終</t>
    <rPh sb="3" eb="4">
      <t>オ</t>
    </rPh>
    <phoneticPr fontId="2"/>
  </si>
  <si>
    <t>VD3</t>
    <phoneticPr fontId="2"/>
  </si>
  <si>
    <t>VD3始</t>
    <rPh sb="3" eb="4">
      <t>ハジ</t>
    </rPh>
    <phoneticPr fontId="2"/>
  </si>
  <si>
    <t>VD3終</t>
    <rPh sb="3" eb="4">
      <t>オワリ</t>
    </rPh>
    <phoneticPr fontId="2"/>
  </si>
  <si>
    <t>VD4</t>
    <phoneticPr fontId="2"/>
  </si>
  <si>
    <t>VD4始</t>
    <rPh sb="3" eb="4">
      <t>ハジ</t>
    </rPh>
    <phoneticPr fontId="2"/>
  </si>
  <si>
    <t>VD4終</t>
    <rPh sb="3" eb="4">
      <t>オワリ</t>
    </rPh>
    <phoneticPr fontId="2"/>
  </si>
  <si>
    <t>小売価格
(税抜)
換算</t>
    <rPh sb="6" eb="8">
      <t>ゼイヌ</t>
    </rPh>
    <rPh sb="10" eb="12">
      <t>カンザン</t>
    </rPh>
    <phoneticPr fontId="1"/>
  </si>
  <si>
    <t>仕切り
換算</t>
    <rPh sb="0" eb="2">
      <t>シキ</t>
    </rPh>
    <rPh sb="4" eb="6">
      <t>カンザン</t>
    </rPh>
    <phoneticPr fontId="2"/>
  </si>
  <si>
    <t>JAN
確認</t>
    <rPh sb="4" eb="6">
      <t>カクニン</t>
    </rPh>
    <phoneticPr fontId="2"/>
  </si>
  <si>
    <t>品目
確認</t>
    <rPh sb="0" eb="2">
      <t>ヒンモク</t>
    </rPh>
    <rPh sb="3" eb="5">
      <t>カクニン</t>
    </rPh>
    <phoneticPr fontId="2"/>
  </si>
  <si>
    <t>定価
値上率</t>
    <rPh sb="0" eb="2">
      <t>テイカ</t>
    </rPh>
    <rPh sb="3" eb="5">
      <t>ネアゲ</t>
    </rPh>
    <rPh sb="5" eb="6">
      <t>リツ</t>
    </rPh>
    <phoneticPr fontId="2"/>
  </si>
  <si>
    <t>原価用</t>
    <rPh sb="0" eb="2">
      <t>ゲンカ</t>
    </rPh>
    <rPh sb="2" eb="3">
      <t>ヨウ</t>
    </rPh>
    <phoneticPr fontId="2"/>
  </si>
  <si>
    <t>売価用</t>
    <rPh sb="0" eb="2">
      <t>バイカ</t>
    </rPh>
    <rPh sb="2" eb="3">
      <t>ヨウ</t>
    </rPh>
    <phoneticPr fontId="2"/>
  </si>
  <si>
    <t>VD用</t>
    <rPh sb="2" eb="3">
      <t>ヨウ</t>
    </rPh>
    <phoneticPr fontId="2"/>
  </si>
  <si>
    <t>箱バラ確認</t>
    <rPh sb="0" eb="1">
      <t>ハコ</t>
    </rPh>
    <rPh sb="3" eb="5">
      <t>カクニン</t>
    </rPh>
    <phoneticPr fontId="2"/>
  </si>
  <si>
    <t>売価1</t>
    <rPh sb="0" eb="2">
      <t>バイカ</t>
    </rPh>
    <phoneticPr fontId="2"/>
  </si>
  <si>
    <t>粗利額</t>
    <rPh sb="0" eb="2">
      <t>アラリ</t>
    </rPh>
    <rPh sb="2" eb="3">
      <t>ガク</t>
    </rPh>
    <phoneticPr fontId="2"/>
  </si>
  <si>
    <t>箱バラ用</t>
    <rPh sb="0" eb="1">
      <t>ハコ</t>
    </rPh>
    <rPh sb="3" eb="4">
      <t>ヨウ</t>
    </rPh>
    <phoneticPr fontId="2"/>
  </si>
  <si>
    <t>売価2</t>
    <rPh sb="0" eb="2">
      <t>バイカ</t>
    </rPh>
    <phoneticPr fontId="2"/>
  </si>
  <si>
    <t>売価2
粗利率</t>
    <rPh sb="0" eb="2">
      <t>バイカ</t>
    </rPh>
    <rPh sb="4" eb="7">
      <t>アラリリツ</t>
    </rPh>
    <phoneticPr fontId="2"/>
  </si>
  <si>
    <t>売価2
粗利額</t>
    <rPh sb="0" eb="2">
      <t>バイカ</t>
    </rPh>
    <rPh sb="4" eb="6">
      <t>アラリ</t>
    </rPh>
    <rPh sb="6" eb="7">
      <t>ガク</t>
    </rPh>
    <phoneticPr fontId="2"/>
  </si>
  <si>
    <t>売価1
値上げ率</t>
    <rPh sb="0" eb="2">
      <t>バイカ</t>
    </rPh>
    <rPh sb="4" eb="6">
      <t>ネア</t>
    </rPh>
    <rPh sb="7" eb="8">
      <t>リツ</t>
    </rPh>
    <phoneticPr fontId="2"/>
  </si>
  <si>
    <t>参考</t>
    <rPh sb="0" eb="2">
      <t>サンコウ</t>
    </rPh>
    <phoneticPr fontId="2"/>
  </si>
  <si>
    <t>アスクル
換算売価</t>
    <rPh sb="5" eb="7">
      <t>カンザン</t>
    </rPh>
    <rPh sb="7" eb="9">
      <t>バイカ</t>
    </rPh>
    <phoneticPr fontId="2"/>
  </si>
  <si>
    <t>改定後</t>
    <rPh sb="0" eb="2">
      <t>カイテイ</t>
    </rPh>
    <rPh sb="2" eb="3">
      <t>ゴ</t>
    </rPh>
    <phoneticPr fontId="2"/>
  </si>
  <si>
    <t>263除く</t>
    <rPh sb="3" eb="4">
      <t>ノゾ</t>
    </rPh>
    <phoneticPr fontId="2"/>
  </si>
  <si>
    <t>税込</t>
    <rPh sb="0" eb="2">
      <t>ゼイコミ</t>
    </rPh>
    <phoneticPr fontId="2"/>
  </si>
  <si>
    <t>品目のオレンジは箱バラ</t>
    <rPh sb="0" eb="2">
      <t>ヒンモク</t>
    </rPh>
    <rPh sb="8" eb="9">
      <t>ハコ</t>
    </rPh>
    <phoneticPr fontId="2"/>
  </si>
  <si>
    <t>月販</t>
    <rPh sb="0" eb="2">
      <t>ゲッパン</t>
    </rPh>
    <phoneticPr fontId="2"/>
  </si>
  <si>
    <t>倉庫</t>
    <rPh sb="0" eb="2">
      <t>ソウコ</t>
    </rPh>
    <phoneticPr fontId="2"/>
  </si>
  <si>
    <t>品目群</t>
    <rPh sb="0" eb="3">
      <t>ヒンモクグン</t>
    </rPh>
    <phoneticPr fontId="2"/>
  </si>
  <si>
    <t>たのめーる</t>
    <phoneticPr fontId="2"/>
  </si>
  <si>
    <t>カウネット</t>
    <phoneticPr fontId="2"/>
  </si>
  <si>
    <t>VD2</t>
  </si>
  <si>
    <t>VD3</t>
  </si>
  <si>
    <t>VD4</t>
  </si>
  <si>
    <t>アスクル商品名</t>
    <rPh sb="4" eb="7">
      <t>ショウヒンメイ</t>
    </rPh>
    <phoneticPr fontId="2"/>
  </si>
  <si>
    <t>No.</t>
    <phoneticPr fontId="2"/>
  </si>
  <si>
    <t>大分類</t>
    <rPh sb="0" eb="3">
      <t>ダイブンルイ</t>
    </rPh>
    <phoneticPr fontId="2"/>
  </si>
  <si>
    <t>4月売価</t>
    <rPh sb="1" eb="2">
      <t>ガツ</t>
    </rPh>
    <rPh sb="2" eb="4">
      <t>バイカ</t>
    </rPh>
    <phoneticPr fontId="2"/>
  </si>
  <si>
    <t>荷姿</t>
    <rPh sb="0" eb="2">
      <t>ニスガタ</t>
    </rPh>
    <phoneticPr fontId="2"/>
  </si>
  <si>
    <t>キー</t>
    <phoneticPr fontId="2"/>
  </si>
  <si>
    <t>ｱｽｸﾙ
ｽﾗｲﾄﾞ</t>
    <phoneticPr fontId="2"/>
  </si>
  <si>
    <t>J887WR</t>
  </si>
  <si>
    <t>J886WR</t>
  </si>
  <si>
    <t>34/568</t>
  </si>
  <si>
    <t>ｵﾙﾃﾞｨ/ﾗﾝﾄﾞﾘｰﾊﾞｯｸﾞ ｴﾝｼﾞ 100枚/LB-LDR-100</t>
  </si>
  <si>
    <t>ｵﾙﾃﾞｨ/ﾗﾝﾄﾞﾘｰﾊﾞｯｸﾞ ｸﾞﾘｰﾝ 100枚/LB-LDG-100</t>
  </si>
  <si>
    <t>日本技研/取っ手付きﾎﾟﾘ袋45L 半透明 厚手 20P/KB452H</t>
  </si>
  <si>
    <t>日本技研/取っ手付きﾎﾟﾘ袋30L 半透明 厚手 20P/KB302H</t>
  </si>
  <si>
    <t>日本技研/業務屋さんﾚｼﾞﾊﾞｯｸﾞ半透明 No.12 100枚</t>
  </si>
  <si>
    <t>日本技研/業務屋さんﾚｼﾞﾊﾞｯｸﾞ乳白ｴﾝﾎﾞｽ加工 LLL 100枚</t>
  </si>
  <si>
    <t>日本技研/業務屋さんﾚｼﾞﾊﾞｯｸﾞ乳白ｴﾝﾎﾞｽ加工 LL 100枚</t>
  </si>
  <si>
    <t>日本技研/業務屋さんﾚｼﾞﾊﾞｯｸﾞ乳白ｴﾝﾎﾞｽ加工 L 100枚</t>
  </si>
  <si>
    <t>日本技研/業務屋さんﾚｼﾞﾊﾞｯｸﾞ乳白ｴﾝﾎﾞｽ加工 M 100枚</t>
  </si>
  <si>
    <t>日本技研/業務屋さんﾚｼﾞﾊﾞｯｸﾞ乳白ｴﾝﾎﾞｽ加工 S 100枚</t>
  </si>
  <si>
    <t>LT変更</t>
    <rPh sb="2" eb="4">
      <t>ヘンコウ</t>
    </rPh>
    <phoneticPr fontId="2"/>
  </si>
  <si>
    <t>１箱（100枚×10冊）</t>
  </si>
  <si>
    <t>-</t>
    <phoneticPr fontId="2"/>
  </si>
  <si>
    <t>AEE5412</t>
  </si>
  <si>
    <t>オルディ ランドリーバッグLDPEエンジ LB-LDR-100 1箱(100枚×10冊)（直送品）</t>
  </si>
  <si>
    <t>オルディ ランドリーバッグ LDPE グリーン LB-LDG-100 1箱(100枚×10冊)（直送品）</t>
  </si>
  <si>
    <t>AEE5409</t>
  </si>
  <si>
    <t>日本技研工業 日本技研 とって付ごみ袋半透明 45L 20枚 KB452H 1パック(20枚)×10（直送品）</t>
  </si>
  <si>
    <t>UH76562</t>
  </si>
  <si>
    <t>1パック（20枚）×10</t>
  </si>
  <si>
    <t>日本技研工業 日本技研 とって付ごみ袋半透明 30L 20枚 KB302H 1パック(20枚)×10（直送品）</t>
  </si>
  <si>
    <t>UH76561</t>
  </si>
  <si>
    <t>AAU8110</t>
  </si>
  <si>
    <t>1セット（1袋（100枚入）×10）</t>
  </si>
  <si>
    <t>日本技研工業 業務屋さん レジ 半乳白エンボスLLL 4904118639984 1セット(1袋(100枚入)×10)（直送品）</t>
  </si>
  <si>
    <t>日本技研工業 業務屋さん レジ 半乳白エンボスLL 4904118639908 1セット(1袋(100枚入)×10)（直送品）</t>
  </si>
  <si>
    <t>AAU8109</t>
  </si>
  <si>
    <t>日本技研工業 業務屋さん レジ 半乳白エンボスL 4904118639892 1セット(1袋(100枚入)×10)（直送品）</t>
  </si>
  <si>
    <t>AAU8107</t>
  </si>
  <si>
    <t>日本技研工業 業務屋さん レジ 半乳白エンボスM 4904118639885 1セット(1袋(100枚入)×20)（直送品）</t>
  </si>
  <si>
    <t>AAU8108</t>
  </si>
  <si>
    <t>1セット（1袋（100枚入）×20）</t>
  </si>
  <si>
    <t>日本技研工業 業務屋さん レジ 半乳白エンボスS 4904118639878 1セット(1袋(100枚入)×20)（直送品）</t>
  </si>
  <si>
    <t>AAU8106</t>
  </si>
  <si>
    <t>-</t>
  </si>
  <si>
    <t>5月売価</t>
    <rPh sb="1" eb="2">
      <t>ガツ</t>
    </rPh>
    <rPh sb="2" eb="4">
      <t>バイカ</t>
    </rPh>
    <phoneticPr fontId="2"/>
  </si>
  <si>
    <t>変更後LTはBI列</t>
    <rPh sb="0" eb="3">
      <t>ヘンコウゴ</t>
    </rPh>
    <rPh sb="8" eb="9">
      <t>レツ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</si>
</sst>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%"/>
  </numFmts>
  <fonts count="4" x14ac:knownFonts="1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176" fontId="0" fillId="0" borderId="4" xfId="0" applyNumberFormat="1" applyBorder="1">
      <alignment vertical="center"/>
    </xf>
    <xf numFmtId="177" fontId="0" fillId="0" borderId="4" xfId="0" applyNumberFormat="1" applyBorder="1">
      <alignment vertical="center"/>
    </xf>
    <xf numFmtId="0" fontId="0" fillId="2" borderId="4" xfId="0" applyFill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2" borderId="2" xfId="0" applyFill="1" applyBorder="1">
      <alignment vertical="center"/>
    </xf>
    <xf numFmtId="0" fontId="0" fillId="3" borderId="2" xfId="0" applyFill="1" applyBorder="1" applyAlignment="1">
      <alignment vertical="center" wrapText="1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4" borderId="2" xfId="0" applyFill="1" applyBorder="1" applyAlignment="1">
      <alignment vertical="center" wrapText="1"/>
    </xf>
    <xf numFmtId="0" fontId="0" fillId="4" borderId="4" xfId="0" applyFill="1" applyBorder="1">
      <alignment vertical="center"/>
    </xf>
    <xf numFmtId="0" fontId="0" fillId="2" borderId="6" xfId="0" applyFill="1" applyBorder="1" applyAlignment="1">
      <alignment horizontal="center" vertical="center"/>
    </xf>
    <xf numFmtId="0" fontId="0" fillId="2" borderId="13" xfId="0" applyFill="1" applyBorder="1">
      <alignment vertical="center"/>
    </xf>
    <xf numFmtId="0" fontId="0" fillId="2" borderId="15" xfId="0" applyFill="1" applyBorder="1">
      <alignment vertical="center"/>
    </xf>
    <xf numFmtId="0" fontId="0" fillId="2" borderId="14" xfId="0" applyFill="1" applyBorder="1">
      <alignment vertical="center"/>
    </xf>
    <xf numFmtId="0" fontId="0" fillId="5" borderId="2" xfId="0" applyFill="1" applyBorder="1">
      <alignment vertical="center"/>
    </xf>
    <xf numFmtId="0" fontId="0" fillId="5" borderId="6" xfId="0" applyFill="1" applyBorder="1" applyAlignment="1">
      <alignment horizontal="center" vertical="center"/>
    </xf>
    <xf numFmtId="0" fontId="0" fillId="5" borderId="4" xfId="0" applyFill="1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>
      <alignment vertical="center"/>
    </xf>
    <xf numFmtId="0" fontId="0" fillId="3" borderId="11" xfId="0" applyFill="1" applyBorder="1">
      <alignment vertical="center"/>
    </xf>
    <xf numFmtId="0" fontId="3" fillId="0" borderId="18" xfId="0" applyFont="1" applyBorder="1">
      <alignment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</cellXfs>
  <cellStyles count="1">
    <cellStyle name="標準" xfId="0" builtinId="0"/>
  </cellStyles>
  <dxfs count="3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660CF-9003-4B2D-B659-7F339ED5B476}">
  <dimension ref="A1:BO14"/>
  <sheetViews>
    <sheetView tabSelected="1" zoomScale="90" zoomScaleNormal="90" workbookViewId="0">
      <pane xSplit="6" ySplit="5" topLeftCell="K6" activePane="bottomRight" state="frozen"/>
      <selection pane="topRight" activeCell="G1" sqref="G1"/>
      <selection pane="bottomLeft" activeCell="A5" sqref="A5"/>
      <selection pane="bottomRight" activeCell="K5" sqref="K5"/>
    </sheetView>
  </sheetViews>
  <sheetFormatPr defaultRowHeight="18.75" outlineLevelCol="1" x14ac:dyDescent="0.4"/>
  <cols>
    <col min="5" max="5" width="48.375" customWidth="1"/>
    <col min="6" max="6" width="15.5" bestFit="1" customWidth="1"/>
    <col min="7" max="10" width="7.5" hidden="1" customWidth="1" outlineLevel="1"/>
    <col min="11" max="11" width="7.625" customWidth="1" collapsed="1"/>
    <col min="12" max="15" width="7.625" customWidth="1"/>
    <col min="16" max="23" width="7.625" hidden="1" customWidth="1" outlineLevel="1"/>
    <col min="24" max="24" width="7.625" customWidth="1" collapsed="1"/>
    <col min="25" max="27" width="7.625" customWidth="1"/>
    <col min="28" max="28" width="4.375" customWidth="1" collapsed="1"/>
    <col min="29" max="37" width="7.625" customWidth="1"/>
    <col min="38" max="40" width="7.625" hidden="1" customWidth="1" outlineLevel="1"/>
    <col min="41" max="41" width="7.625" customWidth="1" collapsed="1"/>
    <col min="42" max="43" width="7.625" customWidth="1"/>
    <col min="44" max="52" width="7.625" hidden="1" customWidth="1" outlineLevel="1"/>
    <col min="53" max="53" width="7.625" customWidth="1" collapsed="1"/>
    <col min="54" max="66" width="7.625" customWidth="1"/>
  </cols>
  <sheetData>
    <row r="1" spans="1:67" x14ac:dyDescent="0.4">
      <c r="B1" s="29" t="s">
        <v>49</v>
      </c>
      <c r="X1" s="38" t="s">
        <v>46</v>
      </c>
      <c r="Y1" s="39"/>
      <c r="Z1" s="39"/>
      <c r="AA1" s="40"/>
    </row>
    <row r="2" spans="1:67" x14ac:dyDescent="0.4">
      <c r="B2" s="8" t="s">
        <v>33</v>
      </c>
      <c r="C2" s="9" t="s">
        <v>34</v>
      </c>
      <c r="D2" s="9" t="s">
        <v>35</v>
      </c>
      <c r="E2" s="10"/>
      <c r="F2" s="10"/>
      <c r="G2" s="32"/>
      <c r="H2" s="32"/>
      <c r="I2" s="35" t="s">
        <v>36</v>
      </c>
      <c r="J2" s="37"/>
      <c r="K2" s="35" t="s">
        <v>2</v>
      </c>
      <c r="L2" s="36"/>
      <c r="M2" s="36"/>
      <c r="N2" s="37"/>
      <c r="O2" s="11"/>
      <c r="P2" s="31"/>
      <c r="Q2" s="31"/>
      <c r="R2" s="31"/>
      <c r="S2" s="31"/>
      <c r="T2" s="31"/>
      <c r="U2" s="31"/>
      <c r="V2" s="31"/>
      <c r="W2" s="31"/>
      <c r="X2" s="23"/>
      <c r="Y2" s="24" t="s">
        <v>39</v>
      </c>
      <c r="Z2" s="24"/>
      <c r="AA2" s="25" t="s">
        <v>39</v>
      </c>
      <c r="AB2" s="10"/>
      <c r="AC2" s="9" t="s">
        <v>44</v>
      </c>
      <c r="AD2" s="11"/>
      <c r="AE2" s="11"/>
      <c r="AF2" s="11"/>
      <c r="AG2" s="11"/>
      <c r="AH2" s="11"/>
      <c r="AI2" s="22" t="s">
        <v>47</v>
      </c>
      <c r="AJ2" s="11"/>
      <c r="AK2" s="11"/>
      <c r="AL2" s="27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>
        <v>51</v>
      </c>
      <c r="BJ2">
        <v>14</v>
      </c>
      <c r="BK2">
        <v>28</v>
      </c>
    </row>
    <row r="3" spans="1:67" ht="75" x14ac:dyDescent="0.4">
      <c r="A3" s="1" t="s">
        <v>59</v>
      </c>
      <c r="B3" s="2" t="s">
        <v>4</v>
      </c>
      <c r="C3" s="2" t="s">
        <v>9</v>
      </c>
      <c r="D3" s="2" t="s">
        <v>10</v>
      </c>
      <c r="E3" s="2" t="s">
        <v>0</v>
      </c>
      <c r="F3" s="12" t="s">
        <v>7</v>
      </c>
      <c r="G3" s="12" t="s">
        <v>62</v>
      </c>
      <c r="H3" s="12" t="s">
        <v>63</v>
      </c>
      <c r="I3" s="12" t="s">
        <v>30</v>
      </c>
      <c r="J3" s="12" t="s">
        <v>31</v>
      </c>
      <c r="K3" s="12" t="s">
        <v>1</v>
      </c>
      <c r="L3" s="2" t="s">
        <v>8</v>
      </c>
      <c r="M3" s="2" t="s">
        <v>5</v>
      </c>
      <c r="N3" s="2" t="s">
        <v>16</v>
      </c>
      <c r="O3" s="12" t="s">
        <v>55</v>
      </c>
      <c r="P3" s="12" t="s">
        <v>20</v>
      </c>
      <c r="Q3" s="12" t="s">
        <v>21</v>
      </c>
      <c r="R3" s="12" t="s">
        <v>56</v>
      </c>
      <c r="S3" s="12" t="s">
        <v>23</v>
      </c>
      <c r="T3" s="12" t="s">
        <v>24</v>
      </c>
      <c r="U3" s="12" t="s">
        <v>57</v>
      </c>
      <c r="V3" s="12" t="s">
        <v>26</v>
      </c>
      <c r="W3" s="12" t="s">
        <v>27</v>
      </c>
      <c r="X3" s="12" t="s">
        <v>3</v>
      </c>
      <c r="Y3" s="12" t="s">
        <v>28</v>
      </c>
      <c r="Z3" s="2" t="s">
        <v>5</v>
      </c>
      <c r="AA3" s="12" t="s">
        <v>29</v>
      </c>
      <c r="AB3" s="14" t="s">
        <v>6</v>
      </c>
      <c r="AC3" s="20" t="s">
        <v>17</v>
      </c>
      <c r="AD3" s="2" t="s">
        <v>16</v>
      </c>
      <c r="AE3" s="2" t="s">
        <v>50</v>
      </c>
      <c r="AF3" s="12" t="s">
        <v>45</v>
      </c>
      <c r="AG3" s="12" t="s">
        <v>64</v>
      </c>
      <c r="AH3" s="2" t="s">
        <v>16</v>
      </c>
      <c r="AI3" s="13" t="s">
        <v>37</v>
      </c>
      <c r="AJ3" s="2" t="s">
        <v>16</v>
      </c>
      <c r="AK3" s="2" t="s">
        <v>38</v>
      </c>
      <c r="AL3" s="26" t="s">
        <v>40</v>
      </c>
      <c r="AM3" s="12" t="s">
        <v>41</v>
      </c>
      <c r="AN3" s="12" t="s">
        <v>42</v>
      </c>
      <c r="AO3" s="12" t="s">
        <v>32</v>
      </c>
      <c r="AP3" s="12" t="s">
        <v>43</v>
      </c>
      <c r="AQ3" s="12" t="s">
        <v>18</v>
      </c>
      <c r="AR3" s="12" t="s">
        <v>19</v>
      </c>
      <c r="AS3" s="12" t="s">
        <v>20</v>
      </c>
      <c r="AT3" s="12" t="s">
        <v>21</v>
      </c>
      <c r="AU3" s="12" t="s">
        <v>22</v>
      </c>
      <c r="AV3" s="12" t="s">
        <v>23</v>
      </c>
      <c r="AW3" s="12" t="s">
        <v>24</v>
      </c>
      <c r="AX3" s="12" t="s">
        <v>25</v>
      </c>
      <c r="AY3" s="12" t="s">
        <v>26</v>
      </c>
      <c r="AZ3" s="12" t="s">
        <v>27</v>
      </c>
      <c r="BA3" s="2" t="s">
        <v>11</v>
      </c>
      <c r="BB3" s="2" t="s">
        <v>12</v>
      </c>
      <c r="BC3" s="2" t="s">
        <v>13</v>
      </c>
      <c r="BD3" s="2" t="s">
        <v>14</v>
      </c>
      <c r="BE3" s="12" t="s">
        <v>48</v>
      </c>
      <c r="BF3" s="12" t="s">
        <v>61</v>
      </c>
      <c r="BG3" s="2" t="s">
        <v>103</v>
      </c>
      <c r="BH3" s="2" t="s">
        <v>15</v>
      </c>
      <c r="BI3" s="33" t="s">
        <v>78</v>
      </c>
      <c r="BJ3" s="18" t="s">
        <v>51</v>
      </c>
      <c r="BK3" s="18" t="s">
        <v>52</v>
      </c>
      <c r="BL3" s="15" t="s">
        <v>60</v>
      </c>
      <c r="BM3" s="30" t="s">
        <v>53</v>
      </c>
      <c r="BN3" t="s">
        <v>54</v>
      </c>
      <c r="BO3" t="s">
        <v>58</v>
      </c>
    </row>
    <row r="4" spans="1:67" x14ac:dyDescent="0.4">
      <c r="A4" s="3">
        <v>1</v>
      </c>
      <c r="B4" s="4">
        <v>392099</v>
      </c>
      <c r="C4" s="4" t="str">
        <f>TEXT(B4,"000000")</f>
        <v>392099</v>
      </c>
      <c r="D4" s="4">
        <v>392099</v>
      </c>
      <c r="E4" s="4" t="s">
        <v>68</v>
      </c>
      <c r="F4" s="5">
        <v>4972759527960</v>
      </c>
      <c r="G4" s="5"/>
      <c r="H4" s="5"/>
      <c r="I4" s="5">
        <v>1</v>
      </c>
      <c r="J4" s="5">
        <v>1</v>
      </c>
      <c r="K4" s="4">
        <v>0</v>
      </c>
      <c r="L4" s="4">
        <v>1410</v>
      </c>
      <c r="M4" s="4">
        <v>1112</v>
      </c>
      <c r="N4" s="6">
        <f t="shared" ref="N4:N13" si="0">1-M4/L4</f>
        <v>0.21134751773049643</v>
      </c>
      <c r="O4" s="4" t="s">
        <v>80</v>
      </c>
      <c r="P4" s="4"/>
      <c r="Q4" s="4"/>
      <c r="R4" s="4"/>
      <c r="S4" s="4"/>
      <c r="T4" s="4"/>
      <c r="U4" s="4"/>
      <c r="V4" s="4"/>
      <c r="W4" s="4"/>
      <c r="X4" s="4">
        <v>0</v>
      </c>
      <c r="Y4" s="4">
        <f>IF(AB4="",X4,X4*AB4)</f>
        <v>0</v>
      </c>
      <c r="Z4" s="4">
        <v>1502</v>
      </c>
      <c r="AA4" s="4">
        <f>IF(AB4="",Z4,Z4*AB4)</f>
        <v>1502</v>
      </c>
      <c r="AB4" s="4"/>
      <c r="AC4" s="21">
        <f t="shared" ref="AC4:AC13" si="1">ROUND(L4*AQ4,0)</f>
        <v>1905</v>
      </c>
      <c r="AD4" s="6">
        <f t="shared" ref="AD4" si="2">1-AA4/AC4</f>
        <v>0.21154855643044623</v>
      </c>
      <c r="AE4" s="4">
        <v>0.5</v>
      </c>
      <c r="AF4" s="4">
        <f>BH4</f>
        <v>3042.4</v>
      </c>
      <c r="AG4" s="4">
        <f t="shared" ref="AG4:AG13" si="3">AF4*AQ4</f>
        <v>4109.4287769784178</v>
      </c>
      <c r="AH4" s="6">
        <f t="shared" ref="AH4:AH13" si="4">1-AA4/AG4</f>
        <v>0.63449907967394159</v>
      </c>
      <c r="AI4" s="7">
        <v>2080</v>
      </c>
      <c r="AJ4" s="6">
        <f t="shared" ref="AJ4:AJ13" si="5">1-AA4/AI4</f>
        <v>0.2778846153846154</v>
      </c>
      <c r="AK4" s="4">
        <f t="shared" ref="AK4:AK13" si="6">AI4-AA4</f>
        <v>578</v>
      </c>
      <c r="AL4" s="28"/>
      <c r="AM4" s="6" t="e">
        <f>1-AA4/AL4</f>
        <v>#DIV/0!</v>
      </c>
      <c r="AN4" s="4">
        <f>AL4-AA4</f>
        <v>-1502</v>
      </c>
      <c r="AO4" s="6" t="e">
        <f t="shared" ref="AO4:AO13" si="7">Y4/K4</f>
        <v>#DIV/0!</v>
      </c>
      <c r="AP4" s="6">
        <f t="shared" ref="AP4:AP13" si="8">AI4/L4</f>
        <v>1.4751773049645389</v>
      </c>
      <c r="AQ4" s="6">
        <f t="shared" ref="AQ4:AQ13" si="9">AA4/M4</f>
        <v>1.3507194244604317</v>
      </c>
      <c r="AR4" s="4" t="str">
        <f>IFERROR(ROUND($AI4*O4/$L4,0),"-")</f>
        <v>-</v>
      </c>
      <c r="AS4" s="4" t="str">
        <f>IF(P4="","-",P4)</f>
        <v>-</v>
      </c>
      <c r="AT4" s="4" t="str">
        <f>IF(Q4="","-",Q4)</f>
        <v>-</v>
      </c>
      <c r="AU4" s="4"/>
      <c r="AV4" s="4"/>
      <c r="AW4" s="4"/>
      <c r="AX4" s="4"/>
      <c r="AY4" s="4"/>
      <c r="AZ4" s="4"/>
      <c r="BA4" s="4">
        <v>0</v>
      </c>
      <c r="BB4" s="4" t="s">
        <v>81</v>
      </c>
      <c r="BC4" s="4">
        <v>1</v>
      </c>
      <c r="BD4" s="4">
        <v>10</v>
      </c>
      <c r="BE4" s="4" t="s">
        <v>79</v>
      </c>
      <c r="BF4" s="4">
        <v>30424</v>
      </c>
      <c r="BG4" s="4">
        <v>30424</v>
      </c>
      <c r="BH4" s="4">
        <f t="shared" ref="BH4:BH5" si="10">IF(BC4="",BG4,BC4/BD4*BG4)</f>
        <v>3042.4</v>
      </c>
      <c r="BI4" s="19">
        <v>7</v>
      </c>
      <c r="BJ4" s="19">
        <v>4</v>
      </c>
      <c r="BK4" s="19">
        <v>1</v>
      </c>
      <c r="BL4" s="16">
        <v>18</v>
      </c>
      <c r="BM4" t="s">
        <v>80</v>
      </c>
      <c r="BN4">
        <v>22895</v>
      </c>
      <c r="BO4" t="s">
        <v>82</v>
      </c>
    </row>
    <row r="5" spans="1:67" x14ac:dyDescent="0.4">
      <c r="A5" s="3">
        <v>2</v>
      </c>
      <c r="B5" s="4">
        <v>392098</v>
      </c>
      <c r="C5" s="4" t="str">
        <f t="shared" ref="C5:C13" si="11">TEXT(B5,"000000")</f>
        <v>392098</v>
      </c>
      <c r="D5" s="4">
        <v>392098</v>
      </c>
      <c r="E5" s="4" t="s">
        <v>69</v>
      </c>
      <c r="F5" s="5">
        <v>4972759527953</v>
      </c>
      <c r="G5" s="5"/>
      <c r="H5" s="5"/>
      <c r="I5" s="5">
        <v>1</v>
      </c>
      <c r="J5" s="5">
        <v>1</v>
      </c>
      <c r="K5" s="4">
        <v>0</v>
      </c>
      <c r="L5" s="4">
        <v>1365</v>
      </c>
      <c r="M5" s="4">
        <v>1112</v>
      </c>
      <c r="N5" s="6">
        <f t="shared" si="0"/>
        <v>0.18534798534798536</v>
      </c>
      <c r="O5" s="4" t="s">
        <v>80</v>
      </c>
      <c r="P5" s="4"/>
      <c r="Q5" s="4"/>
      <c r="R5" s="4"/>
      <c r="S5" s="4"/>
      <c r="T5" s="4"/>
      <c r="U5" s="4"/>
      <c r="V5" s="4"/>
      <c r="W5" s="4"/>
      <c r="X5" s="4">
        <v>0</v>
      </c>
      <c r="Y5" s="4">
        <f t="shared" ref="Y5:Y13" si="12">IF(AB5="",X5,X5*AB5)</f>
        <v>0</v>
      </c>
      <c r="Z5" s="4">
        <v>1502</v>
      </c>
      <c r="AA5" s="4">
        <f t="shared" ref="AA5:AA13" si="13">IF(AB5="",Z5,Z5*AB5)</f>
        <v>1502</v>
      </c>
      <c r="AB5" s="4"/>
      <c r="AC5" s="21">
        <f t="shared" si="1"/>
        <v>1844</v>
      </c>
      <c r="AD5" s="6">
        <f t="shared" ref="AD5" si="14">1-AA5/AC5</f>
        <v>0.18546637744034711</v>
      </c>
      <c r="AE5" s="4">
        <v>3.25</v>
      </c>
      <c r="AF5" s="4">
        <f t="shared" ref="AF5:AF13" si="15">BH5</f>
        <v>3038</v>
      </c>
      <c r="AG5" s="4">
        <f t="shared" si="3"/>
        <v>4103.4856115107914</v>
      </c>
      <c r="AH5" s="6">
        <f t="shared" si="4"/>
        <v>0.63396971691902571</v>
      </c>
      <c r="AI5" s="7">
        <v>2080</v>
      </c>
      <c r="AJ5" s="6">
        <f t="shared" si="5"/>
        <v>0.2778846153846154</v>
      </c>
      <c r="AK5" s="4">
        <f t="shared" si="6"/>
        <v>578</v>
      </c>
      <c r="AL5" s="28"/>
      <c r="AM5" s="6"/>
      <c r="AN5" s="6"/>
      <c r="AO5" s="6" t="e">
        <f t="shared" si="7"/>
        <v>#DIV/0!</v>
      </c>
      <c r="AP5" s="6">
        <f t="shared" si="8"/>
        <v>1.5238095238095237</v>
      </c>
      <c r="AQ5" s="6">
        <f t="shared" si="9"/>
        <v>1.3507194244604317</v>
      </c>
      <c r="AR5" s="4"/>
      <c r="AS5" s="4"/>
      <c r="AT5" s="4"/>
      <c r="AU5" s="4"/>
      <c r="AV5" s="4"/>
      <c r="AW5" s="4"/>
      <c r="AX5" s="4"/>
      <c r="AY5" s="4"/>
      <c r="AZ5" s="4"/>
      <c r="BA5" s="4">
        <v>0</v>
      </c>
      <c r="BB5" s="4" t="s">
        <v>84</v>
      </c>
      <c r="BC5" s="4">
        <v>1</v>
      </c>
      <c r="BD5" s="4">
        <v>10</v>
      </c>
      <c r="BE5" s="4" t="s">
        <v>79</v>
      </c>
      <c r="BF5" s="4">
        <v>30380</v>
      </c>
      <c r="BG5" s="4">
        <v>30380</v>
      </c>
      <c r="BH5" s="4">
        <f t="shared" si="10"/>
        <v>3038</v>
      </c>
      <c r="BI5" s="19">
        <v>7</v>
      </c>
      <c r="BJ5" s="19">
        <v>4</v>
      </c>
      <c r="BK5" s="19">
        <v>1</v>
      </c>
      <c r="BL5" s="16">
        <v>18</v>
      </c>
      <c r="BM5" t="s">
        <v>80</v>
      </c>
      <c r="BN5">
        <v>22895</v>
      </c>
      <c r="BO5" t="s">
        <v>83</v>
      </c>
    </row>
    <row r="6" spans="1:67" x14ac:dyDescent="0.4">
      <c r="A6" s="3">
        <v>3</v>
      </c>
      <c r="B6" s="17" t="s">
        <v>65</v>
      </c>
      <c r="C6" s="4" t="str">
        <f t="shared" si="11"/>
        <v>J887WR</v>
      </c>
      <c r="D6" s="4" t="s">
        <v>65</v>
      </c>
      <c r="E6" s="4" t="s">
        <v>70</v>
      </c>
      <c r="F6" s="5">
        <v>4904118702503</v>
      </c>
      <c r="G6" s="5"/>
      <c r="H6" s="5"/>
      <c r="I6" s="5">
        <v>1</v>
      </c>
      <c r="J6" s="5">
        <v>1</v>
      </c>
      <c r="K6" s="4">
        <v>0</v>
      </c>
      <c r="L6" s="4">
        <v>308</v>
      </c>
      <c r="M6" s="4">
        <v>213</v>
      </c>
      <c r="N6" s="6">
        <f t="shared" si="0"/>
        <v>0.30844155844155841</v>
      </c>
      <c r="O6" s="4" t="s">
        <v>80</v>
      </c>
      <c r="P6" s="4"/>
      <c r="Q6" s="4"/>
      <c r="R6" s="4"/>
      <c r="S6" s="4"/>
      <c r="T6" s="4"/>
      <c r="U6" s="4"/>
      <c r="V6" s="4"/>
      <c r="W6" s="4"/>
      <c r="X6" s="4">
        <v>0</v>
      </c>
      <c r="Y6" s="4">
        <f t="shared" si="12"/>
        <v>0</v>
      </c>
      <c r="Z6" s="4">
        <v>267</v>
      </c>
      <c r="AA6" s="4">
        <f t="shared" si="13"/>
        <v>267</v>
      </c>
      <c r="AB6" s="4"/>
      <c r="AC6" s="21">
        <f t="shared" si="1"/>
        <v>386</v>
      </c>
      <c r="AD6" s="6">
        <f t="shared" ref="AD6:AD13" si="16">1-AA6/AC6</f>
        <v>0.30829015544041449</v>
      </c>
      <c r="AE6" s="4">
        <v>102</v>
      </c>
      <c r="AF6" s="4">
        <f t="shared" si="15"/>
        <v>464.6</v>
      </c>
      <c r="AG6" s="4">
        <f t="shared" si="3"/>
        <v>582.38591549295779</v>
      </c>
      <c r="AH6" s="6">
        <f t="shared" si="4"/>
        <v>0.54154111063280252</v>
      </c>
      <c r="AI6" s="7">
        <v>428</v>
      </c>
      <c r="AJ6" s="6">
        <f t="shared" si="5"/>
        <v>0.37616822429906538</v>
      </c>
      <c r="AK6" s="4">
        <f t="shared" si="6"/>
        <v>161</v>
      </c>
      <c r="AL6" s="28"/>
      <c r="AM6" s="6"/>
      <c r="AN6" s="6"/>
      <c r="AO6" s="6" t="e">
        <f t="shared" si="7"/>
        <v>#DIV/0!</v>
      </c>
      <c r="AP6" s="6">
        <f t="shared" si="8"/>
        <v>1.3896103896103895</v>
      </c>
      <c r="AQ6" s="6">
        <f t="shared" si="9"/>
        <v>1.2535211267605635</v>
      </c>
      <c r="AR6" s="4"/>
      <c r="AS6" s="4"/>
      <c r="AT6" s="4"/>
      <c r="AU6" s="4"/>
      <c r="AV6" s="4"/>
      <c r="AW6" s="4"/>
      <c r="AX6" s="4"/>
      <c r="AY6" s="4"/>
      <c r="AZ6" s="4"/>
      <c r="BA6" s="4">
        <v>0</v>
      </c>
      <c r="BB6" s="4" t="s">
        <v>86</v>
      </c>
      <c r="BC6" s="4">
        <v>1</v>
      </c>
      <c r="BD6" s="4">
        <v>10</v>
      </c>
      <c r="BE6" s="4" t="s">
        <v>87</v>
      </c>
      <c r="BF6" s="4">
        <v>4646</v>
      </c>
      <c r="BG6" s="4">
        <v>4646</v>
      </c>
      <c r="BH6" s="4">
        <f t="shared" ref="BH6:BH13" si="17">IF(BC6="",BG6,BC6/BD6*BG6)</f>
        <v>464.6</v>
      </c>
      <c r="BI6" s="19">
        <v>7</v>
      </c>
      <c r="BJ6" s="19">
        <v>4</v>
      </c>
      <c r="BK6" s="19">
        <v>1</v>
      </c>
      <c r="BL6" s="16">
        <v>18</v>
      </c>
      <c r="BM6" t="s">
        <v>80</v>
      </c>
      <c r="BN6" t="s">
        <v>80</v>
      </c>
      <c r="BO6" t="s">
        <v>85</v>
      </c>
    </row>
    <row r="7" spans="1:67" x14ac:dyDescent="0.4">
      <c r="A7" s="3">
        <v>4</v>
      </c>
      <c r="B7" s="17" t="s">
        <v>66</v>
      </c>
      <c r="C7" s="4" t="str">
        <f t="shared" si="11"/>
        <v>J886WR</v>
      </c>
      <c r="D7" s="4" t="s">
        <v>66</v>
      </c>
      <c r="E7" s="4" t="s">
        <v>71</v>
      </c>
      <c r="F7" s="5">
        <v>4904118702459</v>
      </c>
      <c r="G7" s="5"/>
      <c r="H7" s="5"/>
      <c r="I7" s="5">
        <v>1</v>
      </c>
      <c r="J7" s="5">
        <v>1</v>
      </c>
      <c r="K7" s="4">
        <v>0</v>
      </c>
      <c r="L7" s="4">
        <v>278</v>
      </c>
      <c r="M7" s="4">
        <v>183</v>
      </c>
      <c r="N7" s="6">
        <f t="shared" si="0"/>
        <v>0.34172661870503596</v>
      </c>
      <c r="O7" s="4" t="s">
        <v>80</v>
      </c>
      <c r="P7" s="4"/>
      <c r="Q7" s="4"/>
      <c r="R7" s="4"/>
      <c r="S7" s="4"/>
      <c r="T7" s="4"/>
      <c r="U7" s="4"/>
      <c r="V7" s="4"/>
      <c r="W7" s="4"/>
      <c r="X7" s="4">
        <v>0</v>
      </c>
      <c r="Y7" s="4">
        <f t="shared" si="12"/>
        <v>0</v>
      </c>
      <c r="Z7" s="4">
        <v>229</v>
      </c>
      <c r="AA7" s="4">
        <f t="shared" si="13"/>
        <v>229</v>
      </c>
      <c r="AB7" s="4"/>
      <c r="AC7" s="21">
        <f t="shared" si="1"/>
        <v>348</v>
      </c>
      <c r="AD7" s="6">
        <f t="shared" si="16"/>
        <v>0.34195402298850575</v>
      </c>
      <c r="AE7" s="4">
        <v>104</v>
      </c>
      <c r="AF7" s="4">
        <f t="shared" si="15"/>
        <v>394.6</v>
      </c>
      <c r="AG7" s="4">
        <f t="shared" si="3"/>
        <v>493.78907103825139</v>
      </c>
      <c r="AH7" s="6">
        <f t="shared" si="4"/>
        <v>0.53623922959959458</v>
      </c>
      <c r="AI7" s="7">
        <v>358</v>
      </c>
      <c r="AJ7" s="6">
        <f t="shared" si="5"/>
        <v>0.36033519553072624</v>
      </c>
      <c r="AK7" s="4">
        <f t="shared" si="6"/>
        <v>129</v>
      </c>
      <c r="AL7" s="28"/>
      <c r="AM7" s="6"/>
      <c r="AN7" s="6"/>
      <c r="AO7" s="6" t="e">
        <f t="shared" si="7"/>
        <v>#DIV/0!</v>
      </c>
      <c r="AP7" s="6">
        <f t="shared" si="8"/>
        <v>1.2877697841726619</v>
      </c>
      <c r="AQ7" s="6">
        <f t="shared" si="9"/>
        <v>1.2513661202185793</v>
      </c>
      <c r="AR7" s="4"/>
      <c r="AS7" s="4"/>
      <c r="AT7" s="4"/>
      <c r="AU7" s="4"/>
      <c r="AV7" s="4"/>
      <c r="AW7" s="4"/>
      <c r="AX7" s="4"/>
      <c r="AY7" s="4"/>
      <c r="AZ7" s="4"/>
      <c r="BA7" s="4">
        <v>0</v>
      </c>
      <c r="BB7" s="4" t="s">
        <v>89</v>
      </c>
      <c r="BC7" s="4">
        <v>1</v>
      </c>
      <c r="BD7" s="4">
        <v>10</v>
      </c>
      <c r="BE7" s="4" t="s">
        <v>87</v>
      </c>
      <c r="BF7" s="4">
        <v>3946</v>
      </c>
      <c r="BG7" s="4">
        <v>3946</v>
      </c>
      <c r="BH7" s="4">
        <f t="shared" si="17"/>
        <v>394.6</v>
      </c>
      <c r="BI7" s="19">
        <v>7</v>
      </c>
      <c r="BJ7" s="19">
        <v>4</v>
      </c>
      <c r="BK7" s="19">
        <v>1</v>
      </c>
      <c r="BL7" s="16">
        <v>18</v>
      </c>
      <c r="BM7" t="s">
        <v>80</v>
      </c>
      <c r="BN7" t="s">
        <v>80</v>
      </c>
      <c r="BO7" t="s">
        <v>88</v>
      </c>
    </row>
    <row r="8" spans="1:67" x14ac:dyDescent="0.4">
      <c r="A8" s="3">
        <v>5</v>
      </c>
      <c r="B8" s="17">
        <v>391216</v>
      </c>
      <c r="C8" s="4" t="str">
        <f t="shared" si="11"/>
        <v>391216</v>
      </c>
      <c r="D8" s="4">
        <v>391216</v>
      </c>
      <c r="E8" s="4" t="s">
        <v>72</v>
      </c>
      <c r="F8" s="5">
        <v>4904118646876</v>
      </c>
      <c r="G8" s="5"/>
      <c r="H8" s="5"/>
      <c r="I8" s="5">
        <v>1</v>
      </c>
      <c r="J8" s="5">
        <v>1</v>
      </c>
      <c r="K8" s="4">
        <v>0</v>
      </c>
      <c r="L8" s="4">
        <v>335</v>
      </c>
      <c r="M8" s="4">
        <v>214</v>
      </c>
      <c r="N8" s="6">
        <f t="shared" si="0"/>
        <v>0.36119402985074622</v>
      </c>
      <c r="O8" s="4" t="s">
        <v>80</v>
      </c>
      <c r="P8" s="4"/>
      <c r="Q8" s="4"/>
      <c r="R8" s="4"/>
      <c r="S8" s="4"/>
      <c r="T8" s="4"/>
      <c r="U8" s="4"/>
      <c r="V8" s="4"/>
      <c r="W8" s="4"/>
      <c r="X8" s="4">
        <v>0</v>
      </c>
      <c r="Y8" s="4">
        <f t="shared" si="12"/>
        <v>0</v>
      </c>
      <c r="Z8" s="4">
        <v>279</v>
      </c>
      <c r="AA8" s="4">
        <f t="shared" si="13"/>
        <v>279</v>
      </c>
      <c r="AB8" s="4"/>
      <c r="AC8" s="21">
        <f t="shared" si="1"/>
        <v>437</v>
      </c>
      <c r="AD8" s="6">
        <f t="shared" si="16"/>
        <v>0.36155606407322649</v>
      </c>
      <c r="AE8" s="4">
        <v>1.5</v>
      </c>
      <c r="AF8" s="4" t="str">
        <f t="shared" si="15"/>
        <v>-</v>
      </c>
      <c r="AG8" s="4" t="e">
        <f t="shared" si="3"/>
        <v>#VALUE!</v>
      </c>
      <c r="AH8" s="6" t="e">
        <f t="shared" si="4"/>
        <v>#VALUE!</v>
      </c>
      <c r="AI8" s="7">
        <v>438</v>
      </c>
      <c r="AJ8" s="6">
        <f t="shared" si="5"/>
        <v>0.36301369863013699</v>
      </c>
      <c r="AK8" s="4">
        <f t="shared" si="6"/>
        <v>159</v>
      </c>
      <c r="AL8" s="28"/>
      <c r="AM8" s="6"/>
      <c r="AN8" s="6"/>
      <c r="AO8" s="6" t="e">
        <f t="shared" si="7"/>
        <v>#DIV/0!</v>
      </c>
      <c r="AP8" s="6">
        <f t="shared" si="8"/>
        <v>1.3074626865671641</v>
      </c>
      <c r="AQ8" s="6">
        <f t="shared" si="9"/>
        <v>1.3037383177570094</v>
      </c>
      <c r="AR8" s="4"/>
      <c r="AS8" s="4"/>
      <c r="AT8" s="4"/>
      <c r="AU8" s="4"/>
      <c r="AV8" s="4"/>
      <c r="AW8" s="4"/>
      <c r="AX8" s="4"/>
      <c r="AY8" s="4"/>
      <c r="AZ8" s="4"/>
      <c r="BA8" s="4">
        <v>0</v>
      </c>
      <c r="BB8" s="4" t="s">
        <v>80</v>
      </c>
      <c r="BC8" s="4"/>
      <c r="BD8" s="4"/>
      <c r="BE8" s="4" t="s">
        <v>80</v>
      </c>
      <c r="BF8" s="4" t="s">
        <v>102</v>
      </c>
      <c r="BG8" s="4" t="s">
        <v>102</v>
      </c>
      <c r="BH8" s="4" t="str">
        <f t="shared" si="17"/>
        <v>-</v>
      </c>
      <c r="BI8" s="19">
        <v>7</v>
      </c>
      <c r="BJ8" s="19">
        <v>4</v>
      </c>
      <c r="BK8" s="19">
        <v>1</v>
      </c>
      <c r="BL8" s="16">
        <v>18</v>
      </c>
      <c r="BM8" t="s">
        <v>80</v>
      </c>
      <c r="BN8" t="s">
        <v>80</v>
      </c>
      <c r="BO8" t="s">
        <v>80</v>
      </c>
    </row>
    <row r="9" spans="1:67" x14ac:dyDescent="0.4">
      <c r="A9" s="3">
        <v>6</v>
      </c>
      <c r="B9" s="17">
        <v>391214</v>
      </c>
      <c r="C9" s="4" t="str">
        <f t="shared" si="11"/>
        <v>391214</v>
      </c>
      <c r="D9" s="4">
        <v>391214</v>
      </c>
      <c r="E9" s="4" t="s">
        <v>73</v>
      </c>
      <c r="F9" s="5">
        <v>4904118639984</v>
      </c>
      <c r="G9" s="5"/>
      <c r="H9" s="5"/>
      <c r="I9" s="5">
        <v>1</v>
      </c>
      <c r="J9" s="5">
        <v>1</v>
      </c>
      <c r="K9" s="4">
        <v>0</v>
      </c>
      <c r="L9" s="4">
        <v>920</v>
      </c>
      <c r="M9" s="4">
        <v>543</v>
      </c>
      <c r="N9" s="6">
        <f t="shared" si="0"/>
        <v>0.4097826086956522</v>
      </c>
      <c r="O9" s="4" t="s">
        <v>80</v>
      </c>
      <c r="P9" s="4"/>
      <c r="Q9" s="4"/>
      <c r="R9" s="4"/>
      <c r="S9" s="4"/>
      <c r="T9" s="4"/>
      <c r="U9" s="4"/>
      <c r="V9" s="4"/>
      <c r="W9" s="4"/>
      <c r="X9" s="4">
        <v>0</v>
      </c>
      <c r="Y9" s="4">
        <f t="shared" si="12"/>
        <v>0</v>
      </c>
      <c r="Z9" s="4">
        <v>706</v>
      </c>
      <c r="AA9" s="4">
        <f t="shared" si="13"/>
        <v>706</v>
      </c>
      <c r="AB9" s="4"/>
      <c r="AC9" s="21">
        <f t="shared" si="1"/>
        <v>1196</v>
      </c>
      <c r="AD9" s="6">
        <f t="shared" si="16"/>
        <v>0.40969899665551834</v>
      </c>
      <c r="AE9" s="4">
        <v>16</v>
      </c>
      <c r="AF9" s="4">
        <f t="shared" si="15"/>
        <v>971.90000000000009</v>
      </c>
      <c r="AG9" s="4">
        <f t="shared" si="3"/>
        <v>1263.6489871086558</v>
      </c>
      <c r="AH9" s="6">
        <f t="shared" si="4"/>
        <v>0.44130054532359309</v>
      </c>
      <c r="AI9" s="7">
        <v>1180</v>
      </c>
      <c r="AJ9" s="6">
        <f t="shared" si="5"/>
        <v>0.40169491525423728</v>
      </c>
      <c r="AK9" s="4">
        <f t="shared" si="6"/>
        <v>474</v>
      </c>
      <c r="AL9" s="28"/>
      <c r="AM9" s="6"/>
      <c r="AN9" s="6"/>
      <c r="AO9" s="6" t="e">
        <f t="shared" si="7"/>
        <v>#DIV/0!</v>
      </c>
      <c r="AP9" s="6">
        <f t="shared" si="8"/>
        <v>1.2826086956521738</v>
      </c>
      <c r="AQ9" s="6">
        <f t="shared" si="9"/>
        <v>1.3001841620626151</v>
      </c>
      <c r="AR9" s="4"/>
      <c r="AS9" s="4"/>
      <c r="AT9" s="4"/>
      <c r="AU9" s="4"/>
      <c r="AV9" s="4"/>
      <c r="AW9" s="4"/>
      <c r="AX9" s="4"/>
      <c r="AY9" s="4"/>
      <c r="AZ9" s="4"/>
      <c r="BA9" s="4" t="s">
        <v>67</v>
      </c>
      <c r="BB9" s="4" t="s">
        <v>90</v>
      </c>
      <c r="BC9" s="4">
        <v>1</v>
      </c>
      <c r="BD9" s="4">
        <v>10</v>
      </c>
      <c r="BE9" s="4" t="s">
        <v>91</v>
      </c>
      <c r="BF9" s="4">
        <v>9719</v>
      </c>
      <c r="BG9" s="4">
        <v>9719</v>
      </c>
      <c r="BH9" s="4">
        <f t="shared" si="17"/>
        <v>971.90000000000009</v>
      </c>
      <c r="BI9" s="19">
        <v>7</v>
      </c>
      <c r="BJ9" s="19">
        <v>4</v>
      </c>
      <c r="BK9" s="19">
        <v>1</v>
      </c>
      <c r="BL9" s="16">
        <v>18</v>
      </c>
      <c r="BM9" t="s">
        <v>80</v>
      </c>
      <c r="BN9" t="s">
        <v>80</v>
      </c>
      <c r="BO9" t="s">
        <v>92</v>
      </c>
    </row>
    <row r="10" spans="1:67" x14ac:dyDescent="0.4">
      <c r="A10" s="3">
        <v>7</v>
      </c>
      <c r="B10" s="4">
        <v>391213</v>
      </c>
      <c r="C10" s="4" t="str">
        <f t="shared" si="11"/>
        <v>391213</v>
      </c>
      <c r="D10" s="4">
        <v>391213</v>
      </c>
      <c r="E10" s="4" t="s">
        <v>74</v>
      </c>
      <c r="F10" s="5">
        <v>4904118639908</v>
      </c>
      <c r="G10" s="5"/>
      <c r="H10" s="5"/>
      <c r="I10" s="5">
        <v>1</v>
      </c>
      <c r="J10" s="5">
        <v>1</v>
      </c>
      <c r="K10" s="4">
        <v>0</v>
      </c>
      <c r="L10" s="4">
        <v>543</v>
      </c>
      <c r="M10" s="4">
        <v>405</v>
      </c>
      <c r="N10" s="6">
        <f t="shared" si="0"/>
        <v>0.2541436464088398</v>
      </c>
      <c r="O10" s="4" t="s">
        <v>80</v>
      </c>
      <c r="P10" s="4"/>
      <c r="Q10" s="4"/>
      <c r="R10" s="4"/>
      <c r="S10" s="4"/>
      <c r="T10" s="4"/>
      <c r="U10" s="4"/>
      <c r="V10" s="4"/>
      <c r="W10" s="4"/>
      <c r="X10" s="4">
        <v>0</v>
      </c>
      <c r="Y10" s="4">
        <f t="shared" si="12"/>
        <v>0</v>
      </c>
      <c r="Z10" s="4">
        <v>455</v>
      </c>
      <c r="AA10" s="4">
        <f t="shared" si="13"/>
        <v>455</v>
      </c>
      <c r="AB10" s="4"/>
      <c r="AC10" s="21">
        <f t="shared" si="1"/>
        <v>610</v>
      </c>
      <c r="AD10" s="6">
        <f t="shared" si="16"/>
        <v>0.25409836065573765</v>
      </c>
      <c r="AE10" s="4">
        <v>41.25</v>
      </c>
      <c r="AF10" s="4">
        <f t="shared" si="15"/>
        <v>680.6</v>
      </c>
      <c r="AG10" s="4">
        <f t="shared" si="3"/>
        <v>764.62469135802473</v>
      </c>
      <c r="AH10" s="6">
        <f t="shared" si="4"/>
        <v>0.40493682045254187</v>
      </c>
      <c r="AI10" s="7">
        <v>698</v>
      </c>
      <c r="AJ10" s="6">
        <f t="shared" si="5"/>
        <v>0.34813753581661888</v>
      </c>
      <c r="AK10" s="4">
        <f t="shared" si="6"/>
        <v>243</v>
      </c>
      <c r="AL10" s="28"/>
      <c r="AM10" s="6"/>
      <c r="AN10" s="6"/>
      <c r="AO10" s="6" t="e">
        <f t="shared" si="7"/>
        <v>#DIV/0!</v>
      </c>
      <c r="AP10" s="6">
        <f t="shared" si="8"/>
        <v>1.285451197053407</v>
      </c>
      <c r="AQ10" s="6">
        <f t="shared" si="9"/>
        <v>1.1234567901234569</v>
      </c>
      <c r="AR10" s="4"/>
      <c r="AS10" s="4"/>
      <c r="AT10" s="4"/>
      <c r="AU10" s="4"/>
      <c r="AV10" s="4"/>
      <c r="AW10" s="4"/>
      <c r="AX10" s="4"/>
      <c r="AY10" s="4"/>
      <c r="AZ10" s="4"/>
      <c r="BA10" s="4" t="s">
        <v>67</v>
      </c>
      <c r="BB10" s="4" t="s">
        <v>94</v>
      </c>
      <c r="BC10" s="4">
        <v>1</v>
      </c>
      <c r="BD10" s="4">
        <v>10</v>
      </c>
      <c r="BE10" s="4" t="s">
        <v>91</v>
      </c>
      <c r="BF10" s="4">
        <v>6806</v>
      </c>
      <c r="BG10" s="4">
        <v>6806</v>
      </c>
      <c r="BH10" s="4">
        <f t="shared" si="17"/>
        <v>680.6</v>
      </c>
      <c r="BI10" s="19">
        <v>7</v>
      </c>
      <c r="BJ10" s="19">
        <v>4</v>
      </c>
      <c r="BK10" s="19">
        <v>1</v>
      </c>
      <c r="BL10" s="16">
        <v>18</v>
      </c>
      <c r="BM10" t="s">
        <v>80</v>
      </c>
      <c r="BN10" t="s">
        <v>80</v>
      </c>
      <c r="BO10" t="s">
        <v>93</v>
      </c>
    </row>
    <row r="11" spans="1:67" x14ac:dyDescent="0.4">
      <c r="A11" s="3">
        <v>8</v>
      </c>
      <c r="B11" s="4">
        <v>391210</v>
      </c>
      <c r="C11" s="4" t="str">
        <f t="shared" si="11"/>
        <v>391210</v>
      </c>
      <c r="D11" s="4">
        <v>391210</v>
      </c>
      <c r="E11" s="4" t="s">
        <v>75</v>
      </c>
      <c r="F11" s="5">
        <v>4904118639892</v>
      </c>
      <c r="G11" s="5"/>
      <c r="H11" s="5"/>
      <c r="I11" s="5">
        <v>1</v>
      </c>
      <c r="J11" s="5">
        <v>1</v>
      </c>
      <c r="K11" s="4">
        <v>0</v>
      </c>
      <c r="L11" s="4">
        <v>445</v>
      </c>
      <c r="M11" s="4">
        <v>288</v>
      </c>
      <c r="N11" s="6">
        <f t="shared" si="0"/>
        <v>0.35280898876404498</v>
      </c>
      <c r="O11" s="4" t="s">
        <v>80</v>
      </c>
      <c r="P11" s="4"/>
      <c r="Q11" s="4"/>
      <c r="R11" s="4"/>
      <c r="S11" s="4"/>
      <c r="T11" s="4"/>
      <c r="U11" s="4"/>
      <c r="V11" s="4"/>
      <c r="W11" s="4"/>
      <c r="X11" s="4">
        <v>0</v>
      </c>
      <c r="Y11" s="4">
        <f t="shared" si="12"/>
        <v>0</v>
      </c>
      <c r="Z11" s="4">
        <v>324</v>
      </c>
      <c r="AA11" s="4">
        <f t="shared" si="13"/>
        <v>324</v>
      </c>
      <c r="AB11" s="4"/>
      <c r="AC11" s="21">
        <f t="shared" si="1"/>
        <v>501</v>
      </c>
      <c r="AD11" s="6">
        <f t="shared" si="16"/>
        <v>0.3532934131736527</v>
      </c>
      <c r="AE11" s="4">
        <v>107</v>
      </c>
      <c r="AF11" s="4">
        <f t="shared" si="15"/>
        <v>554</v>
      </c>
      <c r="AG11" s="4">
        <f t="shared" si="3"/>
        <v>623.25</v>
      </c>
      <c r="AH11" s="6">
        <f t="shared" si="4"/>
        <v>0.48014440433213001</v>
      </c>
      <c r="AI11" s="7">
        <v>538</v>
      </c>
      <c r="AJ11" s="6">
        <f t="shared" si="5"/>
        <v>0.39776951672862448</v>
      </c>
      <c r="AK11" s="4">
        <f t="shared" si="6"/>
        <v>214</v>
      </c>
      <c r="AL11" s="28"/>
      <c r="AM11" s="6"/>
      <c r="AN11" s="6"/>
      <c r="AO11" s="6" t="e">
        <f t="shared" si="7"/>
        <v>#DIV/0!</v>
      </c>
      <c r="AP11" s="6">
        <f t="shared" si="8"/>
        <v>1.2089887640449439</v>
      </c>
      <c r="AQ11" s="6">
        <f t="shared" si="9"/>
        <v>1.125</v>
      </c>
      <c r="AR11" s="4"/>
      <c r="AS11" s="4"/>
      <c r="AT11" s="4"/>
      <c r="AU11" s="4"/>
      <c r="AV11" s="4"/>
      <c r="AW11" s="4"/>
      <c r="AX11" s="4"/>
      <c r="AY11" s="4"/>
      <c r="AZ11" s="4"/>
      <c r="BA11" s="4" t="s">
        <v>67</v>
      </c>
      <c r="BB11" s="4" t="s">
        <v>96</v>
      </c>
      <c r="BC11" s="4">
        <v>1</v>
      </c>
      <c r="BD11" s="4">
        <v>10</v>
      </c>
      <c r="BE11" s="4" t="s">
        <v>91</v>
      </c>
      <c r="BF11" s="4">
        <v>5540</v>
      </c>
      <c r="BG11" s="4">
        <v>5540</v>
      </c>
      <c r="BH11" s="4">
        <f t="shared" si="17"/>
        <v>554</v>
      </c>
      <c r="BI11" s="19">
        <v>7</v>
      </c>
      <c r="BJ11" s="19">
        <v>4</v>
      </c>
      <c r="BK11" s="19">
        <v>1</v>
      </c>
      <c r="BL11" s="16">
        <v>18</v>
      </c>
      <c r="BM11" t="s">
        <v>80</v>
      </c>
      <c r="BN11" t="s">
        <v>80</v>
      </c>
      <c r="BO11" t="s">
        <v>95</v>
      </c>
    </row>
    <row r="12" spans="1:67" x14ac:dyDescent="0.4">
      <c r="A12" s="3">
        <v>9</v>
      </c>
      <c r="B12" s="4">
        <v>391209</v>
      </c>
      <c r="C12" s="4" t="str">
        <f t="shared" si="11"/>
        <v>391209</v>
      </c>
      <c r="D12" s="4">
        <v>391209</v>
      </c>
      <c r="E12" s="4" t="s">
        <v>76</v>
      </c>
      <c r="F12" s="5">
        <v>4904118639885</v>
      </c>
      <c r="G12" s="5"/>
      <c r="H12" s="5"/>
      <c r="I12" s="5">
        <v>1</v>
      </c>
      <c r="J12" s="5">
        <v>1</v>
      </c>
      <c r="K12" s="4">
        <v>0</v>
      </c>
      <c r="L12" s="4">
        <v>320</v>
      </c>
      <c r="M12" s="4">
        <v>194</v>
      </c>
      <c r="N12" s="6">
        <f t="shared" si="0"/>
        <v>0.39375000000000004</v>
      </c>
      <c r="O12" s="4" t="s">
        <v>80</v>
      </c>
      <c r="P12" s="4"/>
      <c r="Q12" s="4"/>
      <c r="R12" s="4"/>
      <c r="S12" s="4"/>
      <c r="T12" s="4"/>
      <c r="U12" s="4"/>
      <c r="V12" s="4"/>
      <c r="W12" s="4"/>
      <c r="X12" s="4">
        <v>0</v>
      </c>
      <c r="Y12" s="4">
        <f t="shared" si="12"/>
        <v>0</v>
      </c>
      <c r="Z12" s="4">
        <v>218</v>
      </c>
      <c r="AA12" s="4">
        <f t="shared" si="13"/>
        <v>218</v>
      </c>
      <c r="AB12" s="4"/>
      <c r="AC12" s="21">
        <f t="shared" si="1"/>
        <v>360</v>
      </c>
      <c r="AD12" s="6">
        <f t="shared" si="16"/>
        <v>0.39444444444444449</v>
      </c>
      <c r="AE12" s="4">
        <v>75</v>
      </c>
      <c r="AF12" s="4">
        <f t="shared" si="15"/>
        <v>387.95000000000005</v>
      </c>
      <c r="AG12" s="4">
        <f t="shared" si="3"/>
        <v>435.94381443298977</v>
      </c>
      <c r="AH12" s="6">
        <f t="shared" si="4"/>
        <v>0.49993555870601891</v>
      </c>
      <c r="AI12" s="7">
        <v>360</v>
      </c>
      <c r="AJ12" s="6">
        <f t="shared" si="5"/>
        <v>0.39444444444444449</v>
      </c>
      <c r="AK12" s="4">
        <f t="shared" si="6"/>
        <v>142</v>
      </c>
      <c r="AL12" s="28"/>
      <c r="AM12" s="6"/>
      <c r="AN12" s="6"/>
      <c r="AO12" s="6" t="e">
        <f t="shared" si="7"/>
        <v>#DIV/0!</v>
      </c>
      <c r="AP12" s="6">
        <f t="shared" si="8"/>
        <v>1.125</v>
      </c>
      <c r="AQ12" s="6">
        <f t="shared" si="9"/>
        <v>1.1237113402061856</v>
      </c>
      <c r="AR12" s="4"/>
      <c r="AS12" s="4"/>
      <c r="AT12" s="4"/>
      <c r="AU12" s="4"/>
      <c r="AV12" s="4"/>
      <c r="AW12" s="4"/>
      <c r="AX12" s="4"/>
      <c r="AY12" s="4"/>
      <c r="AZ12" s="4"/>
      <c r="BA12" s="4" t="s">
        <v>67</v>
      </c>
      <c r="BB12" s="4" t="s">
        <v>98</v>
      </c>
      <c r="BC12" s="4">
        <v>1</v>
      </c>
      <c r="BD12" s="4">
        <v>20</v>
      </c>
      <c r="BE12" s="4" t="s">
        <v>99</v>
      </c>
      <c r="BF12" s="4">
        <v>7759</v>
      </c>
      <c r="BG12" s="4">
        <v>7759</v>
      </c>
      <c r="BH12" s="4">
        <f t="shared" si="17"/>
        <v>387.95000000000005</v>
      </c>
      <c r="BI12" s="19">
        <v>7</v>
      </c>
      <c r="BJ12" s="19">
        <v>4</v>
      </c>
      <c r="BK12" s="19">
        <v>1</v>
      </c>
      <c r="BL12" s="16">
        <v>18</v>
      </c>
      <c r="BM12" t="s">
        <v>80</v>
      </c>
      <c r="BN12" t="s">
        <v>80</v>
      </c>
      <c r="BO12" t="s">
        <v>97</v>
      </c>
    </row>
    <row r="13" spans="1:67" x14ac:dyDescent="0.4">
      <c r="A13" s="3">
        <v>10</v>
      </c>
      <c r="B13" s="4">
        <v>391208</v>
      </c>
      <c r="C13" s="4" t="str">
        <f t="shared" si="11"/>
        <v>391208</v>
      </c>
      <c r="D13" s="4">
        <v>391208</v>
      </c>
      <c r="E13" s="4" t="s">
        <v>77</v>
      </c>
      <c r="F13" s="5">
        <v>4904118639878</v>
      </c>
      <c r="G13" s="5"/>
      <c r="H13" s="5"/>
      <c r="I13" s="5">
        <v>1</v>
      </c>
      <c r="J13" s="5">
        <v>1</v>
      </c>
      <c r="K13" s="4">
        <v>0</v>
      </c>
      <c r="L13" s="4">
        <v>240</v>
      </c>
      <c r="M13" s="4">
        <v>152</v>
      </c>
      <c r="N13" s="6">
        <f t="shared" si="0"/>
        <v>0.3666666666666667</v>
      </c>
      <c r="O13" s="4" t="s">
        <v>80</v>
      </c>
      <c r="P13" s="4"/>
      <c r="Q13" s="4"/>
      <c r="R13" s="4"/>
      <c r="S13" s="4"/>
      <c r="T13" s="4"/>
      <c r="U13" s="4"/>
      <c r="V13" s="4"/>
      <c r="W13" s="4"/>
      <c r="X13" s="4">
        <v>0</v>
      </c>
      <c r="Y13" s="4">
        <f t="shared" si="12"/>
        <v>0</v>
      </c>
      <c r="Z13" s="4">
        <v>171</v>
      </c>
      <c r="AA13" s="4">
        <f t="shared" si="13"/>
        <v>171</v>
      </c>
      <c r="AB13" s="4"/>
      <c r="AC13" s="21">
        <f t="shared" si="1"/>
        <v>270</v>
      </c>
      <c r="AD13" s="6">
        <f t="shared" si="16"/>
        <v>0.3666666666666667</v>
      </c>
      <c r="AE13" s="4">
        <v>31.75</v>
      </c>
      <c r="AF13" s="4">
        <f t="shared" si="15"/>
        <v>304.90000000000003</v>
      </c>
      <c r="AG13" s="4">
        <f t="shared" si="3"/>
        <v>343.01250000000005</v>
      </c>
      <c r="AH13" s="6">
        <f t="shared" si="4"/>
        <v>0.50147589373565116</v>
      </c>
      <c r="AI13" s="7">
        <v>278</v>
      </c>
      <c r="AJ13" s="6">
        <f t="shared" si="5"/>
        <v>0.3848920863309353</v>
      </c>
      <c r="AK13" s="4">
        <f t="shared" si="6"/>
        <v>107</v>
      </c>
      <c r="AL13" s="28"/>
      <c r="AM13" s="6"/>
      <c r="AN13" s="6"/>
      <c r="AO13" s="6" t="e">
        <f t="shared" si="7"/>
        <v>#DIV/0!</v>
      </c>
      <c r="AP13" s="6">
        <f t="shared" si="8"/>
        <v>1.1583333333333334</v>
      </c>
      <c r="AQ13" s="6">
        <f t="shared" si="9"/>
        <v>1.125</v>
      </c>
      <c r="AR13" s="4"/>
      <c r="AS13" s="4"/>
      <c r="AT13" s="4"/>
      <c r="AU13" s="4"/>
      <c r="AV13" s="4"/>
      <c r="AW13" s="4"/>
      <c r="AX13" s="4"/>
      <c r="AY13" s="4"/>
      <c r="AZ13" s="4"/>
      <c r="BA13" s="4" t="s">
        <v>67</v>
      </c>
      <c r="BB13" s="4" t="s">
        <v>101</v>
      </c>
      <c r="BC13" s="4">
        <v>1</v>
      </c>
      <c r="BD13" s="4">
        <v>20</v>
      </c>
      <c r="BE13" s="4" t="s">
        <v>99</v>
      </c>
      <c r="BF13" s="4">
        <v>6098</v>
      </c>
      <c r="BG13" s="4">
        <v>6098</v>
      </c>
      <c r="BH13" s="4">
        <f t="shared" si="17"/>
        <v>304.90000000000003</v>
      </c>
      <c r="BI13" s="19">
        <v>7</v>
      </c>
      <c r="BJ13" s="19">
        <v>4</v>
      </c>
      <c r="BK13" s="19">
        <v>1</v>
      </c>
      <c r="BL13" s="16">
        <v>18</v>
      </c>
      <c r="BM13" t="s">
        <v>80</v>
      </c>
      <c r="BN13" t="s">
        <v>80</v>
      </c>
      <c r="BO13" t="s">
        <v>100</v>
      </c>
    </row>
    <row r="14" spans="1:67" x14ac:dyDescent="0.4">
      <c r="E14" s="34" t="s">
        <v>104</v>
      </c>
    </row>
  </sheetData>
  <autoFilter ref="A3:BO3" xr:uid="{7A1660CF-9003-4B2D-B659-7F339ED5B476}"/>
  <mergeCells count="3">
    <mergeCell ref="K2:N2"/>
    <mergeCell ref="I2:J2"/>
    <mergeCell ref="X1:AA1"/>
  </mergeCells>
  <phoneticPr fontId="2"/>
  <conditionalFormatting sqref="AF4:AF13">
    <cfRule type="cellIs" dxfId="2" priority="3" operator="lessThan">
      <formula>$AC4</formula>
    </cfRule>
  </conditionalFormatting>
  <conditionalFormatting sqref="AG4:AG13">
    <cfRule type="cellIs" dxfId="1" priority="1" operator="lessThan">
      <formula>$AI4</formula>
    </cfRule>
  </conditionalFormatting>
  <conditionalFormatting sqref="AI4:AI13">
    <cfRule type="cellIs" dxfId="0" priority="2" operator="greaterThan">
      <formula>$Y4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フォーレスト007</dc:creator>
  <cp:lastModifiedBy>須永 英里子</cp:lastModifiedBy>
  <dcterms:created xsi:type="dcterms:W3CDTF">2022-07-07T00:08:53Z</dcterms:created>
  <dcterms:modified xsi:type="dcterms:W3CDTF">2026-05-13T09:34:20Z</dcterms:modified>
</cp:coreProperties>
</file>