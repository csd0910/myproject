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6月1日改定\"/>
    </mc:Choice>
  </mc:AlternateContent>
  <xr:revisionPtr revIDLastSave="0" documentId="13_ncr:1_{E5CFADDA-6345-41EC-A13F-D5250C1ED573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43" i="1" l="1"/>
  <c r="AD41" i="1"/>
  <c r="AD45" i="1"/>
  <c r="AD39" i="1"/>
  <c r="AD35" i="1"/>
  <c r="AD29" i="1"/>
  <c r="AD27" i="1"/>
  <c r="AD5" i="1"/>
  <c r="AW45" i="1"/>
  <c r="AA45" i="1" s="1"/>
  <c r="AW47" i="1"/>
  <c r="AA47" i="1" s="1"/>
  <c r="AW49" i="1"/>
  <c r="AA49" i="1" s="1"/>
  <c r="AW52" i="1"/>
  <c r="AA52" i="1" s="1"/>
  <c r="AW55" i="1"/>
  <c r="AA55" i="1" s="1"/>
  <c r="AW56" i="1"/>
  <c r="AA56" i="1" s="1"/>
  <c r="AW57" i="1"/>
  <c r="AA57" i="1" s="1"/>
  <c r="AW59" i="1"/>
  <c r="AA59" i="1" s="1"/>
  <c r="AW60" i="1"/>
  <c r="AA60" i="1" s="1"/>
  <c r="AW63" i="1"/>
  <c r="AA63" i="1" s="1"/>
  <c r="AW64" i="1"/>
  <c r="AA64" i="1" s="1"/>
  <c r="AW65" i="1"/>
  <c r="AA65" i="1" s="1"/>
  <c r="AW67" i="1"/>
  <c r="AA67" i="1" s="1"/>
  <c r="AN5" i="1"/>
  <c r="AO5" i="1"/>
  <c r="AP5" i="1"/>
  <c r="AN6" i="1"/>
  <c r="AO6" i="1"/>
  <c r="AP6" i="1"/>
  <c r="AN7" i="1"/>
  <c r="AO7" i="1"/>
  <c r="AP7" i="1"/>
  <c r="AN8" i="1"/>
  <c r="AO8" i="1"/>
  <c r="AP8" i="1"/>
  <c r="AN9" i="1"/>
  <c r="AO9" i="1"/>
  <c r="AP9" i="1"/>
  <c r="AN10" i="1"/>
  <c r="AO10" i="1"/>
  <c r="AP10" i="1"/>
  <c r="AN11" i="1"/>
  <c r="AO11" i="1"/>
  <c r="AP11" i="1"/>
  <c r="AN12" i="1"/>
  <c r="AO12" i="1"/>
  <c r="AP12" i="1"/>
  <c r="AN13" i="1"/>
  <c r="AO13" i="1"/>
  <c r="AP13" i="1"/>
  <c r="AN14" i="1"/>
  <c r="AO14" i="1"/>
  <c r="AP14" i="1"/>
  <c r="AN15" i="1"/>
  <c r="AO15" i="1"/>
  <c r="AP15" i="1"/>
  <c r="AN16" i="1"/>
  <c r="AO16" i="1"/>
  <c r="AP16" i="1"/>
  <c r="AN17" i="1"/>
  <c r="AO17" i="1"/>
  <c r="AP17" i="1"/>
  <c r="AN18" i="1"/>
  <c r="AO18" i="1"/>
  <c r="AP18" i="1"/>
  <c r="AN19" i="1"/>
  <c r="AO19" i="1"/>
  <c r="AP19" i="1"/>
  <c r="AN20" i="1"/>
  <c r="AO20" i="1"/>
  <c r="AP20" i="1"/>
  <c r="AN21" i="1"/>
  <c r="AO21" i="1"/>
  <c r="AP21" i="1"/>
  <c r="AN22" i="1"/>
  <c r="AO22" i="1"/>
  <c r="AP22" i="1"/>
  <c r="AN23" i="1"/>
  <c r="AO23" i="1"/>
  <c r="AP23" i="1"/>
  <c r="AN24" i="1"/>
  <c r="AO24" i="1"/>
  <c r="AP24" i="1"/>
  <c r="AN25" i="1"/>
  <c r="AO25" i="1"/>
  <c r="AP25" i="1"/>
  <c r="AN26" i="1"/>
  <c r="AO26" i="1"/>
  <c r="AP26" i="1"/>
  <c r="AN27" i="1"/>
  <c r="AO27" i="1"/>
  <c r="AP27" i="1"/>
  <c r="AN28" i="1"/>
  <c r="AO28" i="1"/>
  <c r="AP28" i="1"/>
  <c r="AN29" i="1"/>
  <c r="AO29" i="1"/>
  <c r="AP29" i="1"/>
  <c r="AN30" i="1"/>
  <c r="AO30" i="1"/>
  <c r="AP30" i="1"/>
  <c r="AN31" i="1"/>
  <c r="AO31" i="1"/>
  <c r="AP31" i="1"/>
  <c r="AN32" i="1"/>
  <c r="AO32" i="1"/>
  <c r="AP32" i="1"/>
  <c r="AN33" i="1"/>
  <c r="AO33" i="1"/>
  <c r="AP33" i="1"/>
  <c r="AN34" i="1"/>
  <c r="AO34" i="1"/>
  <c r="AP34" i="1"/>
  <c r="AN35" i="1"/>
  <c r="AO35" i="1"/>
  <c r="AP35" i="1"/>
  <c r="AN36" i="1"/>
  <c r="AO36" i="1"/>
  <c r="AP36" i="1"/>
  <c r="AN37" i="1"/>
  <c r="AO37" i="1"/>
  <c r="AP37" i="1"/>
  <c r="AN38" i="1"/>
  <c r="AO38" i="1"/>
  <c r="AP38" i="1"/>
  <c r="AN39" i="1"/>
  <c r="AO39" i="1"/>
  <c r="AP39" i="1"/>
  <c r="AN40" i="1"/>
  <c r="AO40" i="1"/>
  <c r="AP40" i="1"/>
  <c r="AN41" i="1"/>
  <c r="AO41" i="1"/>
  <c r="AP41" i="1"/>
  <c r="AN42" i="1"/>
  <c r="AO42" i="1"/>
  <c r="AP42" i="1"/>
  <c r="AN43" i="1"/>
  <c r="AO43" i="1"/>
  <c r="AP43" i="1"/>
  <c r="AN44" i="1"/>
  <c r="AO44" i="1"/>
  <c r="AP44" i="1"/>
  <c r="AN45" i="1"/>
  <c r="AO45" i="1"/>
  <c r="AP45" i="1"/>
  <c r="AN46" i="1"/>
  <c r="AO46" i="1"/>
  <c r="AP46" i="1"/>
  <c r="AN47" i="1"/>
  <c r="AO47" i="1"/>
  <c r="AP47" i="1"/>
  <c r="AN48" i="1"/>
  <c r="AO48" i="1"/>
  <c r="AP48" i="1"/>
  <c r="AN49" i="1"/>
  <c r="AO49" i="1"/>
  <c r="AP49" i="1"/>
  <c r="AN50" i="1"/>
  <c r="AO50" i="1"/>
  <c r="AP50" i="1"/>
  <c r="AN51" i="1"/>
  <c r="AO51" i="1"/>
  <c r="AP51" i="1"/>
  <c r="AN52" i="1"/>
  <c r="AO52" i="1"/>
  <c r="AP52" i="1"/>
  <c r="AN53" i="1"/>
  <c r="AO53" i="1"/>
  <c r="AP53" i="1"/>
  <c r="AN54" i="1"/>
  <c r="AO54" i="1"/>
  <c r="AP54" i="1"/>
  <c r="AN55" i="1"/>
  <c r="AO55" i="1"/>
  <c r="AP55" i="1"/>
  <c r="AN56" i="1"/>
  <c r="AO56" i="1"/>
  <c r="AP56" i="1"/>
  <c r="AN57" i="1"/>
  <c r="AO57" i="1"/>
  <c r="AP57" i="1"/>
  <c r="AN58" i="1"/>
  <c r="AO58" i="1"/>
  <c r="AP58" i="1"/>
  <c r="AN59" i="1"/>
  <c r="AO59" i="1"/>
  <c r="AP59" i="1"/>
  <c r="AN60" i="1"/>
  <c r="AO60" i="1"/>
  <c r="AP60" i="1"/>
  <c r="AN61" i="1"/>
  <c r="AO61" i="1"/>
  <c r="AP61" i="1"/>
  <c r="AN62" i="1"/>
  <c r="AO62" i="1"/>
  <c r="AP62" i="1"/>
  <c r="AN63" i="1"/>
  <c r="AO63" i="1"/>
  <c r="AP63" i="1"/>
  <c r="AN64" i="1"/>
  <c r="AO64" i="1"/>
  <c r="AP64" i="1"/>
  <c r="AN65" i="1"/>
  <c r="AO65" i="1"/>
  <c r="AP65" i="1"/>
  <c r="AN66" i="1"/>
  <c r="AO66" i="1"/>
  <c r="AP66" i="1"/>
  <c r="AN67" i="1"/>
  <c r="AO67" i="1"/>
  <c r="AP67" i="1"/>
  <c r="AP4" i="1"/>
  <c r="AO4" i="1"/>
  <c r="AN4" i="1"/>
  <c r="O41" i="1"/>
  <c r="AL43" i="1"/>
  <c r="AL45" i="1"/>
  <c r="O45" i="1"/>
  <c r="AL35" i="1"/>
  <c r="V45" i="1"/>
  <c r="T45" i="1"/>
  <c r="D45" i="1"/>
  <c r="AW43" i="1"/>
  <c r="AA43" i="1" s="1"/>
  <c r="V43" i="1"/>
  <c r="T43" i="1"/>
  <c r="AK43" i="1" s="1"/>
  <c r="D43" i="1"/>
  <c r="AW41" i="1"/>
  <c r="AA41" i="1" s="1"/>
  <c r="AL41" i="1"/>
  <c r="V41" i="1"/>
  <c r="T41" i="1"/>
  <c r="AK41" i="1" s="1"/>
  <c r="D41" i="1"/>
  <c r="O33" i="1"/>
  <c r="O36" i="1"/>
  <c r="O37" i="1"/>
  <c r="O5" i="1"/>
  <c r="O46" i="1"/>
  <c r="O47" i="1"/>
  <c r="O48" i="1"/>
  <c r="O49" i="1"/>
  <c r="O50" i="1"/>
  <c r="AL29" i="1"/>
  <c r="O52" i="1"/>
  <c r="AL53" i="1"/>
  <c r="O54" i="1"/>
  <c r="O56" i="1"/>
  <c r="O57" i="1"/>
  <c r="AL59" i="1"/>
  <c r="O60" i="1"/>
  <c r="AL61" i="1"/>
  <c r="O62" i="1"/>
  <c r="O64" i="1"/>
  <c r="O65" i="1"/>
  <c r="AL67" i="1"/>
  <c r="O67" i="1"/>
  <c r="AW39" i="1"/>
  <c r="AA39" i="1" s="1"/>
  <c r="AL39" i="1"/>
  <c r="V39" i="1"/>
  <c r="T39" i="1"/>
  <c r="AK39" i="1" s="1"/>
  <c r="O39" i="1"/>
  <c r="D39" i="1"/>
  <c r="AW35" i="1"/>
  <c r="AA35" i="1" s="1"/>
  <c r="V35" i="1"/>
  <c r="T35" i="1"/>
  <c r="D35" i="1"/>
  <c r="V67" i="1"/>
  <c r="T67" i="1"/>
  <c r="AK67" i="1" s="1"/>
  <c r="D67" i="1"/>
  <c r="AW66" i="1"/>
  <c r="AA66" i="1" s="1"/>
  <c r="AL66" i="1"/>
  <c r="V66" i="1"/>
  <c r="AD66" i="1" s="1"/>
  <c r="T66" i="1"/>
  <c r="AK66" i="1" s="1"/>
  <c r="O66" i="1"/>
  <c r="D66" i="1"/>
  <c r="AL65" i="1"/>
  <c r="V65" i="1"/>
  <c r="AD65" i="1" s="1"/>
  <c r="T65" i="1"/>
  <c r="AK65" i="1" s="1"/>
  <c r="D65" i="1"/>
  <c r="AL64" i="1"/>
  <c r="V64" i="1"/>
  <c r="AD64" i="1" s="1"/>
  <c r="T64" i="1"/>
  <c r="AK64" i="1" s="1"/>
  <c r="D64" i="1"/>
  <c r="AL63" i="1"/>
  <c r="V63" i="1"/>
  <c r="AD63" i="1" s="1"/>
  <c r="T63" i="1"/>
  <c r="AK63" i="1" s="1"/>
  <c r="O63" i="1"/>
  <c r="D63" i="1"/>
  <c r="AW62" i="1"/>
  <c r="AA62" i="1" s="1"/>
  <c r="AL62" i="1"/>
  <c r="V62" i="1"/>
  <c r="AD62" i="1" s="1"/>
  <c r="T62" i="1"/>
  <c r="AK62" i="1" s="1"/>
  <c r="D62" i="1"/>
  <c r="AW61" i="1"/>
  <c r="AA61" i="1" s="1"/>
  <c r="V61" i="1"/>
  <c r="AD61" i="1" s="1"/>
  <c r="T61" i="1"/>
  <c r="AK61" i="1" s="1"/>
  <c r="D61" i="1"/>
  <c r="AL60" i="1"/>
  <c r="V60" i="1"/>
  <c r="AD60" i="1" s="1"/>
  <c r="T60" i="1"/>
  <c r="AK60" i="1" s="1"/>
  <c r="D60" i="1"/>
  <c r="V59" i="1"/>
  <c r="AD59" i="1" s="1"/>
  <c r="T59" i="1"/>
  <c r="AK59" i="1" s="1"/>
  <c r="D59" i="1"/>
  <c r="AW58" i="1"/>
  <c r="AA58" i="1" s="1"/>
  <c r="AL58" i="1"/>
  <c r="V58" i="1"/>
  <c r="AD58" i="1" s="1"/>
  <c r="T58" i="1"/>
  <c r="AK58" i="1" s="1"/>
  <c r="O58" i="1"/>
  <c r="D58" i="1"/>
  <c r="AL57" i="1"/>
  <c r="V57" i="1"/>
  <c r="T57" i="1"/>
  <c r="AK57" i="1" s="1"/>
  <c r="D57" i="1"/>
  <c r="AL56" i="1"/>
  <c r="V56" i="1"/>
  <c r="T56" i="1"/>
  <c r="AK56" i="1" s="1"/>
  <c r="D56" i="1"/>
  <c r="AL55" i="1"/>
  <c r="V55" i="1"/>
  <c r="T55" i="1"/>
  <c r="AK55" i="1" s="1"/>
  <c r="O55" i="1"/>
  <c r="D55" i="1"/>
  <c r="AW54" i="1"/>
  <c r="AA54" i="1" s="1"/>
  <c r="AL54" i="1"/>
  <c r="V54" i="1"/>
  <c r="T54" i="1"/>
  <c r="AK54" i="1" s="1"/>
  <c r="D54" i="1"/>
  <c r="AW53" i="1"/>
  <c r="AA53" i="1" s="1"/>
  <c r="V53" i="1"/>
  <c r="T53" i="1"/>
  <c r="AK53" i="1" s="1"/>
  <c r="D53" i="1"/>
  <c r="AL52" i="1"/>
  <c r="V52" i="1"/>
  <c r="T52" i="1"/>
  <c r="AK52" i="1" s="1"/>
  <c r="D52" i="1"/>
  <c r="AW29" i="1"/>
  <c r="AA29" i="1" s="1"/>
  <c r="V29" i="1"/>
  <c r="T29" i="1"/>
  <c r="AK29" i="1" s="1"/>
  <c r="D29" i="1"/>
  <c r="AW51" i="1"/>
  <c r="AA51" i="1" s="1"/>
  <c r="AL51" i="1"/>
  <c r="V51" i="1"/>
  <c r="T51" i="1"/>
  <c r="AK51" i="1" s="1"/>
  <c r="O51" i="1"/>
  <c r="D51" i="1"/>
  <c r="AW50" i="1"/>
  <c r="AA50" i="1" s="1"/>
  <c r="AL50" i="1"/>
  <c r="V50" i="1"/>
  <c r="T50" i="1"/>
  <c r="AK50" i="1" s="1"/>
  <c r="D50" i="1"/>
  <c r="AL49" i="1"/>
  <c r="V49" i="1"/>
  <c r="T49" i="1"/>
  <c r="AK49" i="1" s="1"/>
  <c r="D49" i="1"/>
  <c r="AW27" i="1"/>
  <c r="AA27" i="1" s="1"/>
  <c r="AL27" i="1"/>
  <c r="V27" i="1"/>
  <c r="T27" i="1"/>
  <c r="AK27" i="1" s="1"/>
  <c r="O27" i="1"/>
  <c r="D27" i="1"/>
  <c r="AW48" i="1"/>
  <c r="AA48" i="1" s="1"/>
  <c r="AL48" i="1"/>
  <c r="V48" i="1"/>
  <c r="T48" i="1"/>
  <c r="AK48" i="1" s="1"/>
  <c r="D48" i="1"/>
  <c r="AL47" i="1"/>
  <c r="V47" i="1"/>
  <c r="T47" i="1"/>
  <c r="AK47" i="1" s="1"/>
  <c r="D47" i="1"/>
  <c r="AW46" i="1"/>
  <c r="AA46" i="1" s="1"/>
  <c r="AL46" i="1"/>
  <c r="V46" i="1"/>
  <c r="T46" i="1"/>
  <c r="AK46" i="1" s="1"/>
  <c r="D46" i="1"/>
  <c r="AW5" i="1"/>
  <c r="AA5" i="1" s="1"/>
  <c r="AL5" i="1"/>
  <c r="AM5" i="1"/>
  <c r="T5" i="1"/>
  <c r="AK5" i="1" s="1"/>
  <c r="D5" i="1"/>
  <c r="AW44" i="1"/>
  <c r="AA44" i="1" s="1"/>
  <c r="AL44" i="1"/>
  <c r="V44" i="1"/>
  <c r="AF44" i="1" s="1"/>
  <c r="T44" i="1"/>
  <c r="AK44" i="1" s="1"/>
  <c r="O44" i="1"/>
  <c r="D44" i="1"/>
  <c r="AW42" i="1"/>
  <c r="AA42" i="1" s="1"/>
  <c r="AL42" i="1"/>
  <c r="V42" i="1"/>
  <c r="AF42" i="1" s="1"/>
  <c r="T42" i="1"/>
  <c r="AK42" i="1" s="1"/>
  <c r="O42" i="1"/>
  <c r="D42" i="1"/>
  <c r="AW40" i="1"/>
  <c r="AA40" i="1" s="1"/>
  <c r="AL40" i="1"/>
  <c r="V40" i="1"/>
  <c r="AF40" i="1" s="1"/>
  <c r="T40" i="1"/>
  <c r="AK40" i="1" s="1"/>
  <c r="O40" i="1"/>
  <c r="D40" i="1"/>
  <c r="AW38" i="1"/>
  <c r="AA38" i="1" s="1"/>
  <c r="AL38" i="1"/>
  <c r="V38" i="1"/>
  <c r="AF38" i="1" s="1"/>
  <c r="T38" i="1"/>
  <c r="AK38" i="1" s="1"/>
  <c r="O38" i="1"/>
  <c r="D38" i="1"/>
  <c r="AW37" i="1"/>
  <c r="AA37" i="1" s="1"/>
  <c r="AL37" i="1"/>
  <c r="V37" i="1"/>
  <c r="AF37" i="1" s="1"/>
  <c r="T37" i="1"/>
  <c r="AK37" i="1" s="1"/>
  <c r="D37" i="1"/>
  <c r="AW36" i="1"/>
  <c r="AA36" i="1" s="1"/>
  <c r="AL36" i="1"/>
  <c r="V36" i="1"/>
  <c r="AF36" i="1" s="1"/>
  <c r="T36" i="1"/>
  <c r="AK36" i="1" s="1"/>
  <c r="D36" i="1"/>
  <c r="AW34" i="1"/>
  <c r="AA34" i="1" s="1"/>
  <c r="AL34" i="1"/>
  <c r="V34" i="1"/>
  <c r="AF34" i="1" s="1"/>
  <c r="T34" i="1"/>
  <c r="AK34" i="1" s="1"/>
  <c r="O34" i="1"/>
  <c r="D34" i="1"/>
  <c r="AW33" i="1"/>
  <c r="AA33" i="1" s="1"/>
  <c r="AL33" i="1"/>
  <c r="V33" i="1"/>
  <c r="T33" i="1"/>
  <c r="AK33" i="1" s="1"/>
  <c r="D33" i="1"/>
  <c r="AW32" i="1"/>
  <c r="AA32" i="1" s="1"/>
  <c r="AL32" i="1"/>
  <c r="V32" i="1"/>
  <c r="T32" i="1"/>
  <c r="AK32" i="1" s="1"/>
  <c r="O32" i="1"/>
  <c r="D32" i="1"/>
  <c r="AW31" i="1"/>
  <c r="AA31" i="1" s="1"/>
  <c r="AL31" i="1"/>
  <c r="O31" i="1"/>
  <c r="D31" i="1"/>
  <c r="AW30" i="1"/>
  <c r="AA30" i="1" s="1"/>
  <c r="AL30" i="1"/>
  <c r="V30" i="1"/>
  <c r="AF30" i="1" s="1"/>
  <c r="T30" i="1"/>
  <c r="AK30" i="1" s="1"/>
  <c r="O30" i="1"/>
  <c r="D30" i="1"/>
  <c r="AW28" i="1"/>
  <c r="AA28" i="1" s="1"/>
  <c r="AL28" i="1"/>
  <c r="V28" i="1"/>
  <c r="AG28" i="1" s="1"/>
  <c r="T28" i="1"/>
  <c r="AK28" i="1" s="1"/>
  <c r="O28" i="1"/>
  <c r="D28" i="1"/>
  <c r="AW26" i="1"/>
  <c r="AA26" i="1" s="1"/>
  <c r="AL26" i="1"/>
  <c r="V26" i="1"/>
  <c r="AM26" i="1" s="1"/>
  <c r="X26" i="1" s="1"/>
  <c r="Y26" i="1" s="1"/>
  <c r="T26" i="1"/>
  <c r="AK26" i="1" s="1"/>
  <c r="O26" i="1"/>
  <c r="D26" i="1"/>
  <c r="AW25" i="1"/>
  <c r="AA25" i="1" s="1"/>
  <c r="AL25" i="1"/>
  <c r="V25" i="1"/>
  <c r="AG25" i="1" s="1"/>
  <c r="T25" i="1"/>
  <c r="AK25" i="1" s="1"/>
  <c r="O25" i="1"/>
  <c r="D25" i="1"/>
  <c r="AW24" i="1"/>
  <c r="AA24" i="1" s="1"/>
  <c r="AL24" i="1"/>
  <c r="V24" i="1"/>
  <c r="AG24" i="1" s="1"/>
  <c r="T24" i="1"/>
  <c r="AK24" i="1" s="1"/>
  <c r="O24" i="1"/>
  <c r="D24" i="1"/>
  <c r="AW23" i="1"/>
  <c r="AA23" i="1" s="1"/>
  <c r="AL23" i="1"/>
  <c r="V23" i="1"/>
  <c r="AM23" i="1" s="1"/>
  <c r="X23" i="1" s="1"/>
  <c r="Y23" i="1" s="1"/>
  <c r="T23" i="1"/>
  <c r="AK23" i="1" s="1"/>
  <c r="O23" i="1"/>
  <c r="D23" i="1"/>
  <c r="AW22" i="1"/>
  <c r="AA22" i="1" s="1"/>
  <c r="AL22" i="1"/>
  <c r="V22" i="1"/>
  <c r="AG22" i="1" s="1"/>
  <c r="T22" i="1"/>
  <c r="AK22" i="1" s="1"/>
  <c r="O22" i="1"/>
  <c r="D22" i="1"/>
  <c r="AW21" i="1"/>
  <c r="AA21" i="1" s="1"/>
  <c r="AL21" i="1"/>
  <c r="V21" i="1"/>
  <c r="T21" i="1"/>
  <c r="AK21" i="1" s="1"/>
  <c r="O21" i="1"/>
  <c r="D21" i="1"/>
  <c r="AW20" i="1"/>
  <c r="AA20" i="1" s="1"/>
  <c r="AL20" i="1"/>
  <c r="V20" i="1"/>
  <c r="AG20" i="1" s="1"/>
  <c r="T20" i="1"/>
  <c r="AK20" i="1" s="1"/>
  <c r="O20" i="1"/>
  <c r="D20" i="1"/>
  <c r="AW19" i="1"/>
  <c r="AA19" i="1" s="1"/>
  <c r="AL19" i="1"/>
  <c r="V19" i="1"/>
  <c r="AF19" i="1" s="1"/>
  <c r="T19" i="1"/>
  <c r="AK19" i="1" s="1"/>
  <c r="O19" i="1"/>
  <c r="D19" i="1"/>
  <c r="AW18" i="1"/>
  <c r="AA18" i="1" s="1"/>
  <c r="AL18" i="1"/>
  <c r="V18" i="1"/>
  <c r="AF18" i="1" s="1"/>
  <c r="T18" i="1"/>
  <c r="AK18" i="1" s="1"/>
  <c r="O18" i="1"/>
  <c r="D18" i="1"/>
  <c r="AW17" i="1"/>
  <c r="AA17" i="1" s="1"/>
  <c r="AL17" i="1"/>
  <c r="V17" i="1"/>
  <c r="AG17" i="1" s="1"/>
  <c r="T17" i="1"/>
  <c r="AK17" i="1" s="1"/>
  <c r="O17" i="1"/>
  <c r="D17" i="1"/>
  <c r="AW16" i="1"/>
  <c r="AA16" i="1" s="1"/>
  <c r="AL16" i="1"/>
  <c r="V16" i="1"/>
  <c r="AG16" i="1" s="1"/>
  <c r="T16" i="1"/>
  <c r="AK16" i="1" s="1"/>
  <c r="O16" i="1"/>
  <c r="D16" i="1"/>
  <c r="AW15" i="1"/>
  <c r="AA15" i="1" s="1"/>
  <c r="AL15" i="1"/>
  <c r="V15" i="1"/>
  <c r="AM15" i="1" s="1"/>
  <c r="X15" i="1" s="1"/>
  <c r="Y15" i="1" s="1"/>
  <c r="T15" i="1"/>
  <c r="AK15" i="1" s="1"/>
  <c r="O15" i="1"/>
  <c r="D15" i="1"/>
  <c r="AB5" i="1" l="1"/>
  <c r="AF32" i="1"/>
  <c r="AD32" i="1"/>
  <c r="AM41" i="1"/>
  <c r="X41" i="1" s="1"/>
  <c r="Y41" i="1" s="1"/>
  <c r="O43" i="1"/>
  <c r="AM45" i="1"/>
  <c r="X45" i="1" s="1"/>
  <c r="Y45" i="1" s="1"/>
  <c r="AK45" i="1"/>
  <c r="AM43" i="1"/>
  <c r="X43" i="1" s="1"/>
  <c r="Y43" i="1" s="1"/>
  <c r="O35" i="1"/>
  <c r="AK35" i="1"/>
  <c r="AG45" i="1"/>
  <c r="AM24" i="1"/>
  <c r="X24" i="1" s="1"/>
  <c r="Y24" i="1" s="1"/>
  <c r="AG41" i="1"/>
  <c r="AF24" i="1"/>
  <c r="AG43" i="1"/>
  <c r="AF41" i="1"/>
  <c r="AF43" i="1"/>
  <c r="AF45" i="1"/>
  <c r="AF26" i="1"/>
  <c r="AF28" i="1"/>
  <c r="AM25" i="1"/>
  <c r="X25" i="1" s="1"/>
  <c r="Y25" i="1" s="1"/>
  <c r="AF25" i="1"/>
  <c r="AB26" i="1"/>
  <c r="AC26" i="1" s="1"/>
  <c r="O29" i="1"/>
  <c r="O53" i="1"/>
  <c r="O59" i="1"/>
  <c r="O61" i="1"/>
  <c r="AM55" i="1"/>
  <c r="X55" i="1" s="1"/>
  <c r="Y55" i="1" s="1"/>
  <c r="AG55" i="1"/>
  <c r="AF55" i="1"/>
  <c r="AM33" i="1"/>
  <c r="X33" i="1" s="1"/>
  <c r="Y33" i="1" s="1"/>
  <c r="AG33" i="1"/>
  <c r="AM30" i="1"/>
  <c r="X30" i="1" s="1"/>
  <c r="Y30" i="1" s="1"/>
  <c r="AG30" i="1"/>
  <c r="AM36" i="1"/>
  <c r="X36" i="1" s="1"/>
  <c r="Y36" i="1" s="1"/>
  <c r="AG36" i="1"/>
  <c r="AM38" i="1"/>
  <c r="X38" i="1" s="1"/>
  <c r="Y38" i="1" s="1"/>
  <c r="AG38" i="1"/>
  <c r="AM42" i="1"/>
  <c r="X42" i="1" s="1"/>
  <c r="Y42" i="1" s="1"/>
  <c r="AG42" i="1"/>
  <c r="AM46" i="1"/>
  <c r="X46" i="1" s="1"/>
  <c r="Y46" i="1" s="1"/>
  <c r="AG46" i="1"/>
  <c r="AF46" i="1"/>
  <c r="AM49" i="1"/>
  <c r="X49" i="1" s="1"/>
  <c r="Y49" i="1" s="1"/>
  <c r="AG49" i="1"/>
  <c r="AF49" i="1"/>
  <c r="AM52" i="1"/>
  <c r="X52" i="1" s="1"/>
  <c r="Y52" i="1" s="1"/>
  <c r="AG52" i="1"/>
  <c r="AF52" i="1"/>
  <c r="AM56" i="1"/>
  <c r="X56" i="1" s="1"/>
  <c r="Y56" i="1" s="1"/>
  <c r="AG56" i="1"/>
  <c r="AF56" i="1"/>
  <c r="AM60" i="1"/>
  <c r="X60" i="1" s="1"/>
  <c r="Y60" i="1" s="1"/>
  <c r="AG60" i="1"/>
  <c r="AF60" i="1"/>
  <c r="AM64" i="1"/>
  <c r="X64" i="1" s="1"/>
  <c r="Y64" i="1" s="1"/>
  <c r="AG64" i="1"/>
  <c r="AF64" i="1"/>
  <c r="AM39" i="1"/>
  <c r="X39" i="1" s="1"/>
  <c r="Y39" i="1" s="1"/>
  <c r="AG39" i="1"/>
  <c r="AF39" i="1"/>
  <c r="AM27" i="1"/>
  <c r="AG27" i="1"/>
  <c r="AF27" i="1"/>
  <c r="AM63" i="1"/>
  <c r="X63" i="1" s="1"/>
  <c r="Y63" i="1" s="1"/>
  <c r="AG63" i="1"/>
  <c r="AF63" i="1"/>
  <c r="AM35" i="1"/>
  <c r="X35" i="1" s="1"/>
  <c r="Y35" i="1" s="1"/>
  <c r="AG35" i="1"/>
  <c r="AF35" i="1"/>
  <c r="AG5" i="1"/>
  <c r="AF5" i="1"/>
  <c r="AM67" i="1"/>
  <c r="X67" i="1" s="1"/>
  <c r="Y67" i="1" s="1"/>
  <c r="AG67" i="1"/>
  <c r="AF67" i="1"/>
  <c r="AG26" i="1"/>
  <c r="AM28" i="1"/>
  <c r="X28" i="1" s="1"/>
  <c r="Y28" i="1" s="1"/>
  <c r="AM32" i="1"/>
  <c r="X32" i="1" s="1"/>
  <c r="Y32" i="1" s="1"/>
  <c r="AG32" i="1"/>
  <c r="AM47" i="1"/>
  <c r="AG47" i="1"/>
  <c r="AF47" i="1"/>
  <c r="AM50" i="1"/>
  <c r="AG50" i="1"/>
  <c r="AF50" i="1"/>
  <c r="AM53" i="1"/>
  <c r="AG53" i="1"/>
  <c r="AF53" i="1"/>
  <c r="AM57" i="1"/>
  <c r="AG57" i="1"/>
  <c r="AF57" i="1"/>
  <c r="AM61" i="1"/>
  <c r="AG61" i="1"/>
  <c r="AF61" i="1"/>
  <c r="AM65" i="1"/>
  <c r="AG65" i="1"/>
  <c r="AF65" i="1"/>
  <c r="AM29" i="1"/>
  <c r="AG29" i="1"/>
  <c r="AF29" i="1"/>
  <c r="AM59" i="1"/>
  <c r="X59" i="1" s="1"/>
  <c r="Y59" i="1" s="1"/>
  <c r="AG59" i="1"/>
  <c r="AF59" i="1"/>
  <c r="AM44" i="1"/>
  <c r="X44" i="1" s="1"/>
  <c r="Y44" i="1" s="1"/>
  <c r="AG44" i="1"/>
  <c r="AF33" i="1"/>
  <c r="AM34" i="1"/>
  <c r="X34" i="1" s="1"/>
  <c r="Y34" i="1" s="1"/>
  <c r="AG34" i="1"/>
  <c r="AM37" i="1"/>
  <c r="X37" i="1" s="1"/>
  <c r="Y37" i="1" s="1"/>
  <c r="AG37" i="1"/>
  <c r="AM40" i="1"/>
  <c r="AG40" i="1"/>
  <c r="AM48" i="1"/>
  <c r="AG48" i="1"/>
  <c r="AF48" i="1"/>
  <c r="AM51" i="1"/>
  <c r="AG51" i="1"/>
  <c r="AF51" i="1"/>
  <c r="AM54" i="1"/>
  <c r="AG54" i="1"/>
  <c r="AF54" i="1"/>
  <c r="AM58" i="1"/>
  <c r="AG58" i="1"/>
  <c r="AF58" i="1"/>
  <c r="AM62" i="1"/>
  <c r="AG62" i="1"/>
  <c r="AF62" i="1"/>
  <c r="AM66" i="1"/>
  <c r="X66" i="1" s="1"/>
  <c r="Y66" i="1" s="1"/>
  <c r="AG66" i="1"/>
  <c r="AF66" i="1"/>
  <c r="AB15" i="1"/>
  <c r="AC15" i="1" s="1"/>
  <c r="AM20" i="1"/>
  <c r="X20" i="1" s="1"/>
  <c r="Y20" i="1" s="1"/>
  <c r="AB23" i="1"/>
  <c r="AC23" i="1" s="1"/>
  <c r="AM22" i="1"/>
  <c r="X22" i="1" s="1"/>
  <c r="Y22" i="1" s="1"/>
  <c r="AF22" i="1"/>
  <c r="AF15" i="1"/>
  <c r="AF16" i="1"/>
  <c r="AG15" i="1"/>
  <c r="AF23" i="1"/>
  <c r="AG23" i="1"/>
  <c r="AG19" i="1"/>
  <c r="AF17" i="1"/>
  <c r="AG18" i="1"/>
  <c r="AM21" i="1"/>
  <c r="X21" i="1" s="1"/>
  <c r="Y21" i="1" s="1"/>
  <c r="AM19" i="1"/>
  <c r="X19" i="1" s="1"/>
  <c r="Y19" i="1" s="1"/>
  <c r="AM17" i="1"/>
  <c r="X17" i="1" s="1"/>
  <c r="Y17" i="1" s="1"/>
  <c r="AF21" i="1"/>
  <c r="AM18" i="1"/>
  <c r="X18" i="1" s="1"/>
  <c r="Y18" i="1" s="1"/>
  <c r="AM16" i="1"/>
  <c r="X16" i="1" s="1"/>
  <c r="Y16" i="1" s="1"/>
  <c r="AF20" i="1"/>
  <c r="AG21" i="1"/>
  <c r="AB45" i="1" l="1"/>
  <c r="AC45" i="1" s="1"/>
  <c r="AB41" i="1"/>
  <c r="AC41" i="1" s="1"/>
  <c r="AB24" i="1"/>
  <c r="AC24" i="1" s="1"/>
  <c r="AB43" i="1"/>
  <c r="AC43" i="1" s="1"/>
  <c r="AB25" i="1"/>
  <c r="AC25" i="1" s="1"/>
  <c r="AB67" i="1"/>
  <c r="AC67" i="1" s="1"/>
  <c r="AB49" i="1"/>
  <c r="AC49" i="1" s="1"/>
  <c r="AB38" i="1"/>
  <c r="AC38" i="1" s="1"/>
  <c r="AB30" i="1"/>
  <c r="AC30" i="1" s="1"/>
  <c r="AB19" i="1"/>
  <c r="AC19" i="1" s="1"/>
  <c r="AB34" i="1"/>
  <c r="AC34" i="1" s="1"/>
  <c r="AB66" i="1"/>
  <c r="AC66" i="1" s="1"/>
  <c r="AB64" i="1"/>
  <c r="AC64" i="1" s="1"/>
  <c r="AB63" i="1"/>
  <c r="AC63" i="1" s="1"/>
  <c r="X54" i="1"/>
  <c r="Y54" i="1" s="1"/>
  <c r="AB54" i="1"/>
  <c r="AC54" i="1" s="1"/>
  <c r="X65" i="1"/>
  <c r="Y65" i="1" s="1"/>
  <c r="AB65" i="1"/>
  <c r="AC65" i="1" s="1"/>
  <c r="X50" i="1"/>
  <c r="Y50" i="1" s="1"/>
  <c r="AB50" i="1"/>
  <c r="AC50" i="1" s="1"/>
  <c r="AB37" i="1"/>
  <c r="AC37" i="1" s="1"/>
  <c r="X48" i="1"/>
  <c r="Y48" i="1" s="1"/>
  <c r="AB48" i="1"/>
  <c r="AC48" i="1" s="1"/>
  <c r="X5" i="1"/>
  <c r="Y5" i="1" s="1"/>
  <c r="AC5" i="1"/>
  <c r="AB44" i="1"/>
  <c r="AC44" i="1" s="1"/>
  <c r="X58" i="1"/>
  <c r="Y58" i="1" s="1"/>
  <c r="AB58" i="1"/>
  <c r="AC58" i="1" s="1"/>
  <c r="AB39" i="1"/>
  <c r="AC39" i="1" s="1"/>
  <c r="AB60" i="1"/>
  <c r="AC60" i="1" s="1"/>
  <c r="AB32" i="1"/>
  <c r="AC32" i="1" s="1"/>
  <c r="X57" i="1"/>
  <c r="Y57" i="1" s="1"/>
  <c r="AB57" i="1"/>
  <c r="AC57" i="1" s="1"/>
  <c r="AB46" i="1"/>
  <c r="AC46" i="1" s="1"/>
  <c r="X53" i="1"/>
  <c r="Y53" i="1" s="1"/>
  <c r="AB53" i="1"/>
  <c r="AC53" i="1" s="1"/>
  <c r="AB35" i="1"/>
  <c r="AC35" i="1" s="1"/>
  <c r="AB42" i="1"/>
  <c r="AC42" i="1" s="1"/>
  <c r="X51" i="1"/>
  <c r="Y51" i="1" s="1"/>
  <c r="AB51" i="1"/>
  <c r="AC51" i="1" s="1"/>
  <c r="AB56" i="1"/>
  <c r="AC56" i="1" s="1"/>
  <c r="AB33" i="1"/>
  <c r="AC33" i="1" s="1"/>
  <c r="X29" i="1"/>
  <c r="Y29" i="1" s="1"/>
  <c r="AB29" i="1"/>
  <c r="AC29" i="1" s="1"/>
  <c r="X61" i="1"/>
  <c r="Y61" i="1" s="1"/>
  <c r="AB61" i="1"/>
  <c r="AC61" i="1" s="1"/>
  <c r="X47" i="1"/>
  <c r="Y47" i="1" s="1"/>
  <c r="AB47" i="1"/>
  <c r="AC47" i="1" s="1"/>
  <c r="AB59" i="1"/>
  <c r="AC59" i="1" s="1"/>
  <c r="X62" i="1"/>
  <c r="Y62" i="1" s="1"/>
  <c r="AB62" i="1"/>
  <c r="AC62" i="1" s="1"/>
  <c r="X40" i="1"/>
  <c r="Y40" i="1" s="1"/>
  <c r="AB40" i="1"/>
  <c r="AC40" i="1" s="1"/>
  <c r="AB36" i="1"/>
  <c r="AC36" i="1" s="1"/>
  <c r="AB55" i="1"/>
  <c r="AC55" i="1" s="1"/>
  <c r="X27" i="1"/>
  <c r="Y27" i="1" s="1"/>
  <c r="AB27" i="1"/>
  <c r="AC27" i="1" s="1"/>
  <c r="AB28" i="1"/>
  <c r="AC28" i="1" s="1"/>
  <c r="AB52" i="1"/>
  <c r="AC52" i="1" s="1"/>
  <c r="AB20" i="1"/>
  <c r="AC20" i="1" s="1"/>
  <c r="AB18" i="1"/>
  <c r="AC18" i="1" s="1"/>
  <c r="AB22" i="1"/>
  <c r="AC22" i="1" s="1"/>
  <c r="AB21" i="1"/>
  <c r="AC21" i="1" s="1"/>
  <c r="AB16" i="1"/>
  <c r="AC16" i="1" s="1"/>
  <c r="AB17" i="1"/>
  <c r="AC17" i="1" s="1"/>
  <c r="AW6" i="1"/>
  <c r="AA6" i="1" s="1"/>
  <c r="AW7" i="1"/>
  <c r="AA7" i="1" s="1"/>
  <c r="AW8" i="1"/>
  <c r="AA8" i="1" s="1"/>
  <c r="AW10" i="1"/>
  <c r="AA10" i="1" s="1"/>
  <c r="AW11" i="1"/>
  <c r="AA11" i="1" s="1"/>
  <c r="AW12" i="1"/>
  <c r="AA12" i="1" s="1"/>
  <c r="AW13" i="1"/>
  <c r="AA13" i="1" s="1"/>
  <c r="AW14" i="1"/>
  <c r="AA14" i="1" s="1"/>
  <c r="AW4" i="1"/>
  <c r="AA4" i="1" s="1"/>
  <c r="V6" i="1"/>
  <c r="V7" i="1"/>
  <c r="V8" i="1"/>
  <c r="V9" i="1"/>
  <c r="AF9" i="1" s="1"/>
  <c r="V10" i="1"/>
  <c r="AF10" i="1" s="1"/>
  <c r="V11" i="1"/>
  <c r="AF11" i="1" s="1"/>
  <c r="V12" i="1"/>
  <c r="AF12" i="1" s="1"/>
  <c r="V13" i="1"/>
  <c r="V14" i="1"/>
  <c r="T6" i="1"/>
  <c r="AK6" i="1" s="1"/>
  <c r="T7" i="1"/>
  <c r="AK7" i="1" s="1"/>
  <c r="T8" i="1"/>
  <c r="AK8" i="1" s="1"/>
  <c r="T9" i="1"/>
  <c r="AK9" i="1" s="1"/>
  <c r="T10" i="1"/>
  <c r="AK10" i="1" s="1"/>
  <c r="T11" i="1"/>
  <c r="AK11" i="1" s="1"/>
  <c r="T12" i="1"/>
  <c r="AK12" i="1" s="1"/>
  <c r="T13" i="1"/>
  <c r="AK13" i="1" s="1"/>
  <c r="T14" i="1"/>
  <c r="AK14" i="1" s="1"/>
  <c r="D6" i="1"/>
  <c r="D7" i="1"/>
  <c r="D8" i="1"/>
  <c r="D9" i="1"/>
  <c r="D10" i="1"/>
  <c r="D11" i="1"/>
  <c r="D12" i="1"/>
  <c r="D13" i="1"/>
  <c r="D14" i="1"/>
  <c r="D4" i="1"/>
  <c r="V4" i="1"/>
  <c r="T4" i="1"/>
  <c r="AK4" i="1" s="1"/>
  <c r="AL14" i="1"/>
  <c r="O14" i="1"/>
  <c r="AL13" i="1"/>
  <c r="O13" i="1"/>
  <c r="AL12" i="1"/>
  <c r="O12" i="1"/>
  <c r="AL11" i="1"/>
  <c r="O11" i="1"/>
  <c r="AL4" i="1"/>
  <c r="AL10" i="1"/>
  <c r="O10" i="1"/>
  <c r="AW9" i="1"/>
  <c r="AA9" i="1" s="1"/>
  <c r="AL9" i="1"/>
  <c r="O9" i="1"/>
  <c r="AL8" i="1"/>
  <c r="O8" i="1"/>
  <c r="AL7" i="1"/>
  <c r="O7" i="1"/>
  <c r="AM6" i="1"/>
  <c r="X6" i="1" s="1"/>
  <c r="Y6" i="1" s="1"/>
  <c r="AL6" i="1"/>
  <c r="O6" i="1"/>
  <c r="O4" i="1"/>
  <c r="AF14" i="1" l="1"/>
  <c r="AF6" i="1"/>
  <c r="AF13" i="1"/>
  <c r="AG11" i="1"/>
  <c r="AF4" i="1"/>
  <c r="AG9" i="1"/>
  <c r="AG12" i="1"/>
  <c r="AG8" i="1"/>
  <c r="AM7" i="1"/>
  <c r="X7" i="1" s="1"/>
  <c r="Y7" i="1" s="1"/>
  <c r="AB6" i="1"/>
  <c r="AC6" i="1" s="1"/>
  <c r="AM11" i="1"/>
  <c r="X11" i="1" s="1"/>
  <c r="Y11" i="1" s="1"/>
  <c r="AM13" i="1"/>
  <c r="X13" i="1" s="1"/>
  <c r="Y13" i="1" s="1"/>
  <c r="AM9" i="1"/>
  <c r="X9" i="1" s="1"/>
  <c r="Y9" i="1" s="1"/>
  <c r="AG7" i="1"/>
  <c r="AM14" i="1"/>
  <c r="X14" i="1" s="1"/>
  <c r="Y14" i="1" s="1"/>
  <c r="AM12" i="1"/>
  <c r="X12" i="1" s="1"/>
  <c r="Y12" i="1" s="1"/>
  <c r="AG10" i="1"/>
  <c r="AM10" i="1"/>
  <c r="X10" i="1" s="1"/>
  <c r="Y10" i="1" s="1"/>
  <c r="AF8" i="1"/>
  <c r="AG14" i="1"/>
  <c r="AG6" i="1"/>
  <c r="AM8" i="1"/>
  <c r="X8" i="1" s="1"/>
  <c r="Y8" i="1" s="1"/>
  <c r="AF7" i="1"/>
  <c r="AG13" i="1"/>
  <c r="AI4" i="1"/>
  <c r="AJ4" i="1"/>
  <c r="AG4" i="1"/>
  <c r="AM4" i="1"/>
  <c r="X4" i="1" s="1"/>
  <c r="Y4" i="1" s="1"/>
  <c r="AB8" i="1" l="1"/>
  <c r="AC8" i="1" s="1"/>
  <c r="AB10" i="1"/>
  <c r="AC10" i="1" s="1"/>
  <c r="AB13" i="1"/>
  <c r="AC13" i="1" s="1"/>
  <c r="AB7" i="1"/>
  <c r="AC7" i="1" s="1"/>
  <c r="AB14" i="1"/>
  <c r="AC14" i="1" s="1"/>
  <c r="AB4" i="1"/>
  <c r="AC4" i="1" s="1"/>
  <c r="AB11" i="1"/>
  <c r="AC11" i="1" s="1"/>
  <c r="AB12" i="1"/>
  <c r="AC12" i="1" s="1"/>
  <c r="AB9" i="1"/>
  <c r="AC9" i="1" s="1"/>
  <c r="T31" i="1" l="1"/>
  <c r="AK31" i="1" s="1"/>
  <c r="V31" i="1"/>
  <c r="AG31" i="1" l="1"/>
  <c r="AD31" i="1"/>
  <c r="AM31" i="1"/>
  <c r="AF31" i="1"/>
  <c r="AB31" i="1" l="1"/>
  <c r="AC31" i="1" s="1"/>
  <c r="X31" i="1"/>
  <c r="Y31" i="1" s="1"/>
</calcChain>
</file>

<file path=xl/sharedStrings.xml><?xml version="1.0" encoding="utf-8"?>
<sst xmlns="http://schemas.openxmlformats.org/spreadsheetml/2006/main" count="766" uniqueCount="280">
  <si>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</si>
  <si>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</si>
  <si>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</si>
  <si>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</si>
  <si>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</si>
  <si>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</si>
  <si>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</si>
  <si>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</si>
  <si>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</si>
  <si>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</si>
  <si>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</si>
  <si>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</si>
  <si>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</si>
  <si>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</si>
  <si>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</si>
  <si>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</si>
  <si>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</si>
  <si>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</si>
  <si>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</si>
  <si>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</si>
  <si>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</si>
  <si>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</si>
  <si>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</si>
  <si>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</si>
  <si>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</si>
  <si>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</si>
  <si>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</si>
  <si>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</si>
  <si>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</si>
  <si>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</si>
  <si>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</si>
  <si>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</si>
  <si>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</si>
  <si>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</si>
  <si>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</si>
  <si>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</si>
  <si>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</si>
  <si>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</si>
  <si>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</si>
  <si>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</si>
  <si>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</si>
  <si>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</si>
  <si>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</si>
  <si>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</si>
  <si>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</si>
  <si>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</si>
  <si>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</si>
  <si>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</si>
  <si>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</si>
  <si>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</si>
  <si>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</si>
  <si>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</si>
  <si>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</si>
  <si>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</si>
  <si>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</si>
  <si>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</si>
  <si>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</si>
  <si>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</si>
  <si>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J067SD</t>
  </si>
  <si>
    <t>J068SD</t>
  </si>
  <si>
    <t>J070SD</t>
  </si>
  <si>
    <t>J069SD</t>
  </si>
  <si>
    <t>J072SD</t>
  </si>
  <si>
    <t>J090SF</t>
  </si>
  <si>
    <t>J071SD</t>
  </si>
  <si>
    <t>J336MP</t>
  </si>
  <si>
    <t>J429MH</t>
  </si>
  <si>
    <t>J341RS</t>
  </si>
  <si>
    <t>J461MG</t>
  </si>
  <si>
    <t>J460MG</t>
  </si>
  <si>
    <t>J462MG</t>
  </si>
  <si>
    <t>J465MG</t>
  </si>
  <si>
    <t>J466MG</t>
  </si>
  <si>
    <t>J463MG</t>
  </si>
  <si>
    <t>J468MG</t>
  </si>
  <si>
    <t>J470MG</t>
  </si>
  <si>
    <t>J471MG</t>
  </si>
  <si>
    <t>J469MG</t>
  </si>
  <si>
    <t>J475MP</t>
  </si>
  <si>
    <t>J474MP</t>
  </si>
  <si>
    <t>J476MP</t>
  </si>
  <si>
    <t>J477MP</t>
  </si>
  <si>
    <t>J478MP</t>
  </si>
  <si>
    <t>J612MG</t>
  </si>
  <si>
    <t>J613MG</t>
  </si>
  <si>
    <t>J615MG</t>
  </si>
  <si>
    <t>J614MG</t>
  </si>
  <si>
    <t>J617MG</t>
  </si>
  <si>
    <t>J616MG</t>
  </si>
  <si>
    <t>J618MG</t>
  </si>
  <si>
    <t>J619MG</t>
  </si>
  <si>
    <t>J620MG</t>
  </si>
  <si>
    <t>J621MG</t>
  </si>
  <si>
    <t>J623MG</t>
  </si>
  <si>
    <t>J622MG</t>
  </si>
  <si>
    <t>J625MG</t>
  </si>
  <si>
    <t>J624MG</t>
  </si>
  <si>
    <t>J627MG</t>
  </si>
  <si>
    <t>J626MG</t>
  </si>
  <si>
    <t>J629MG</t>
  </si>
  <si>
    <t>J630MG</t>
  </si>
  <si>
    <t>J628MG</t>
  </si>
  <si>
    <t>J798WY</t>
  </si>
  <si>
    <t>J430MH</t>
  </si>
  <si>
    <t>J432MH</t>
  </si>
  <si>
    <t>J433MH</t>
  </si>
  <si>
    <t>J431MH</t>
  </si>
  <si>
    <t>ﾌﾟﾗﾁﾅ/ﾊﾚﾊﾟﾈ A3判 3mm厚(片面糊付)×5枚/AA3-3-(5P)</t>
  </si>
  <si>
    <t>34/224</t>
  </si>
  <si>
    <t>34/222</t>
  </si>
  <si>
    <t>34/223</t>
  </si>
  <si>
    <t>ﾌﾟﾗﾁﾅ/ﾊﾚﾊﾟﾈ B2判 5mm厚(片面糊付)×20枚/AB2-5</t>
  </si>
  <si>
    <t>ﾌﾟﾗﾁﾅ/ﾊﾚﾊﾟﾈ B1判 7mm厚(片面糊付)×10枚/AB1-7</t>
  </si>
  <si>
    <t>ﾌﾟﾗﾁﾅ/ﾊﾚﾊﾟﾈ B2判 7mm厚(片面糊付)×20枚/AB2-7</t>
  </si>
  <si>
    <t>ﾌﾟﾗﾁﾅ/ﾌﾟﾚﾊﾟﾈ 透明ﾌｨﾙﾑ付き B3 10枚/APB3-B</t>
  </si>
  <si>
    <t>ﾌﾟﾗﾁﾅ/ﾌﾟﾚﾊﾟﾈ 透明ﾌｨﾙﾑ付き A2 10枚/APA2-B</t>
  </si>
  <si>
    <t>ﾌﾟﾗﾁﾅ/ﾌﾟﾚﾊﾟﾈ 透明ﾌｨﾙﾑ付き B2 10枚/APB2-B</t>
  </si>
  <si>
    <t>ﾌﾟﾗﾁﾅ/ﾌﾟﾚﾊﾟﾈ 透明ﾌｨﾙﾑ付き A1 10枚/APA1-B</t>
  </si>
  <si>
    <t>ﾌﾟﾗﾁﾅ/ﾊﾚﾊﾟﾈ A2判 3mm厚(片面糊付)×20枚/AA2-3</t>
  </si>
  <si>
    <t>G)ﾌﾟﾗﾁﾅ/ｱｹﾊﾟﾈﾗｲﾄ ｼﾙﾊﾞｰ A2/ADA2-S</t>
  </si>
  <si>
    <t>G)ﾌﾟﾗﾁﾅ/ｱｹﾊﾟﾈﾗｲﾄ ｼﾙﾊﾞｰ A3/ADA3-S</t>
  </si>
  <si>
    <t>G)ﾌﾟﾗﾁﾅ/ｱｹﾊﾟﾈﾗｲﾄ ｼﾙﾊﾞｰ B2/ADB2-S</t>
  </si>
  <si>
    <t>G)ﾌﾟﾗﾁﾅ/ｱｹﾊﾟﾈﾗｲﾄ ｼﾙﾊﾞｰ B3/ADB3-S</t>
  </si>
  <si>
    <t>G)ﾌﾟﾗﾁﾅ/ｱｹﾊﾟﾈﾗｲﾄ ｼﾙﾊﾞｰ A1/ADA1-S</t>
  </si>
  <si>
    <t>G)ﾌﾟﾗﾁﾅ/ﾊﾚﾊﾟﾈ 3×6判 7mm厚(片面糊付) 10枚/AK1-7</t>
  </si>
  <si>
    <t>G)ﾌﾟﾗﾁﾅ/ﾊﾚﾊﾟﾈ B0判 7mm厚(片面糊付) 10枚/AB0-7</t>
  </si>
  <si>
    <t>G)ﾌﾟﾗﾁﾅ/黒ﾊﾚﾊﾟﾈ A1判 5mm厚(片面糊付) 10枚/AA1-5-B</t>
  </si>
  <si>
    <t>G)ﾌﾟﾗﾁﾅ/黒ﾊﾚﾊﾟﾈ B1判 5mm厚(片面糊付) 10枚/AB1-5-B</t>
  </si>
  <si>
    <t>G)ﾌﾟﾗﾁﾅ/ﾊﾚﾊﾟﾈ ｿﾗｰｽﾞ B1(L判) 5mm厚(片面糊付) 10枚</t>
  </si>
  <si>
    <t>G)ﾌﾟﾗﾁﾅ/ﾊﾚﾊﾟﾈ 3×6判 5mm厚(片面糊付) 10枚/AK1-5</t>
  </si>
  <si>
    <t>G)ﾌﾟﾗﾁﾅ/ﾊﾚﾊﾟﾈ ｿﾗｰｽﾞ 3×6判 5mm厚(片面糊付) 10枚</t>
  </si>
  <si>
    <t>ﾌﾟﾗﾁﾅ/ﾊﾚﾊﾟﾈ A4判 3mm厚(片面糊付)×5枚/AA4-3-(5P)</t>
  </si>
  <si>
    <t>G)ﾌﾟﾗﾁﾅ/ﾊﾚﾊﾟﾈ A4判 7mm厚(片面糊付)/AA4-7</t>
  </si>
  <si>
    <t>G)ﾌﾟﾗﾁﾅ/ｱｹﾊﾟﾈﾗｲﾄ ｼﾙﾊﾞｰ A4/ADA4-S</t>
  </si>
  <si>
    <t>ﾌﾟﾗﾁﾅ/紙貼りﾊﾟﾈﾙ A2判 5mm厚×20枚/ACA2CP-5</t>
  </si>
  <si>
    <t>ﾌﾟﾗﾁﾅ/紙貼りﾊﾟﾈﾙ A2判 7mm厚×20枚/ACA2CP-7</t>
  </si>
  <si>
    <t>G)ﾌﾟﾗﾁﾅ/ﾊﾟﾈﾙﾗｲﾄ ｴｺ B4判 10枚/ALB4-S</t>
  </si>
  <si>
    <t>G)ﾌﾟﾗﾁﾅ/ﾊﾟﾈﾙﾗｲﾄ ｴｺ B2判/ALB2-S</t>
  </si>
  <si>
    <t>G)ﾌﾟﾗﾁﾅ/ﾊﾟﾈﾙﾗｲﾄ ｴｺ B1判 10枚/ALB1-S</t>
  </si>
  <si>
    <t>G)ﾌﾟﾗﾁﾅ/ﾊﾟﾈﾙﾗｲﾄｴｺ B3判 10枚/ALB3-S</t>
  </si>
  <si>
    <t>G)ﾌﾟﾗﾁﾅ/ﾊﾟﾈﾙﾗｲﾄ ｴｺ A4判/ALA4-S</t>
  </si>
  <si>
    <t>G)ﾌﾟﾗﾁﾅ/ﾊﾟﾈﾙﾗｲﾄ ｴｺ A2判/ALA2-S</t>
  </si>
  <si>
    <t>G)ﾌﾟﾗﾁﾅ/ﾊﾟﾈﾙﾗｲﾄ ｴｺ A1判/ALA1-S</t>
  </si>
  <si>
    <t>G)ﾌﾟﾗﾁﾅ/ﾊﾟﾈﾙﾗｲﾄ ｴｺ A3判/ALA3-S</t>
  </si>
  <si>
    <t>ﾌﾟﾗﾁﾅ/ﾊﾚﾊﾟﾈ A3判 3mm厚(片面糊付)×40枚/AA3-3-(5P)</t>
  </si>
  <si>
    <t>ﾌﾟﾗﾁﾅ/ﾊﾚﾊﾟﾈ B1判 5mm厚(片面糊付)×10枚/AB1-5</t>
  </si>
  <si>
    <t>ﾌﾟﾗﾁﾅ/ﾊﾚﾊﾟﾈ A1判 3mm厚(片面糊付)×10枚/AA1-3</t>
  </si>
  <si>
    <t>ﾌﾟﾗﾁﾅ/ﾊﾚﾊﾟﾈ ｿﾗｰｽﾞ A1判 5mm厚(片面糊付)×10枚</t>
  </si>
  <si>
    <t>ﾌﾟﾗﾁﾅ/ﾊﾚﾊﾟﾈ A4 3mm厚(片面糊付)×80枚/AA4-3-(5P)</t>
  </si>
  <si>
    <t>G)ﾌﾟﾗﾁﾅ/ﾊﾚﾊﾟﾈ A1判 7mm厚(両面糊付)×10枚/AAR1-7</t>
  </si>
  <si>
    <t>G)ﾌﾟﾗﾁﾅ/ﾊﾚﾊﾟﾈ A4判 5mm厚(片面糊付)×80枚/AA4-5</t>
  </si>
  <si>
    <t>G)ﾌﾟﾗﾁﾅ/ﾊﾚﾊﾟﾈ A3判 5mm厚(片面糊付)×40枚/AA3-5</t>
  </si>
  <si>
    <t>G)ﾌﾟﾗﾁﾅ/ﾊﾚﾊﾟﾈ A4判 7mm厚(片面糊付)×80枚/AA4-7</t>
  </si>
  <si>
    <t>G)ﾌﾟﾗﾁﾅ/ﾊﾚﾊﾟﾈ A2判 5mm厚(片面糊付)×20枚/AA2-5</t>
  </si>
  <si>
    <t>G)ﾌﾟﾗﾁﾅ/ﾊﾚﾊﾟﾈ A3判 7mm厚(片面糊付)×40枚/AA3-7</t>
  </si>
  <si>
    <t>G)ﾌﾟﾗﾁﾅ/ﾊﾚﾊﾟﾈ A2判 7mm厚(片面糊付)×20枚/AA2-7</t>
  </si>
  <si>
    <t>G)ﾌﾟﾗﾁﾅ/ﾊﾚﾊﾟﾈ A1判 5mm厚(片面糊付)×10枚/AA1-5</t>
  </si>
  <si>
    <t>G)ﾌﾟﾗﾁﾅ/ﾊﾚﾊﾟﾈ A1判 7mm厚(片面糊付)×10枚/AA1-7</t>
  </si>
  <si>
    <t>G)ﾌﾟﾗﾁﾅ/ﾊﾚﾊﾟﾈ A0判 7mm厚(片面糊付)×10枚/AA0-7</t>
  </si>
  <si>
    <t>ﾌﾟﾗﾁﾅ/紙貼りﾊﾟﾈﾙ B1判 5mm厚×10枚/ACB1CP-5</t>
  </si>
  <si>
    <t>ﾌﾟﾗﾁﾅ/紙貼りﾊﾟﾈﾙ B1判 7mm厚×10枚/ACB1CP-7</t>
  </si>
  <si>
    <t>ﾌﾟﾗﾁﾅ/紙貼りﾊﾟﾈﾙ A1判 7mm厚×10枚/ACA1CP-7</t>
  </si>
  <si>
    <t>ﾌﾟﾗﾁﾅ/紙貼りﾊﾟﾈﾙ B1判 3mm厚×10枚/ACB1CP-3</t>
  </si>
  <si>
    <t>ﾌﾟﾗﾁﾅ/紙貼りﾊﾟﾈﾙ A1判 3mm厚×10枚/ACA1CP-3</t>
  </si>
  <si>
    <t>ﾌﾟﾗﾁﾅ/紙貼りﾊﾟﾈﾙ A1判 5mm厚×10枚/ACA1CP-5</t>
  </si>
  <si>
    <t>ﾌﾟﾗﾁﾅ/紙貼りﾊﾟﾈﾙ B2判 5mm厚×20枚/ACB2CP-5</t>
  </si>
  <si>
    <t>ﾌﾟﾗﾁﾅ/紙貼りﾊﾟﾈﾙ B2判 3mm厚×20枚/ACB2CP-3</t>
  </si>
  <si>
    <t>ﾌﾟﾗﾁﾅ/紙貼りﾊﾟﾈﾙ B2判 7mm厚×20枚/ACB2CP-7</t>
  </si>
  <si>
    <t>ﾌﾟﾗﾁﾅ万年筆/ﾊﾟﾈﾙﾗｲﾄｴｺ A0判 10枚/ALA0-S</t>
  </si>
  <si>
    <t>J464MG</t>
  </si>
  <si>
    <t>G)ﾌﾟﾗﾁﾅ/ﾊﾟﾈﾙﾗｲﾄ ｴｺ B2判 10枚/ALB2-S</t>
  </si>
  <si>
    <t>G)ﾌﾟﾗﾁﾅ/ﾊﾟﾈﾙﾗｲﾄ ｴｺ A4判 10枚/ALA4-S</t>
  </si>
  <si>
    <t>G)ﾌﾟﾗﾁﾅ/ﾊﾟﾈﾙﾗｲﾄ ｴｺ A2判 10枚/ALA2-S</t>
  </si>
  <si>
    <t>G)ﾌﾟﾗﾁﾅ/ﾊﾟﾈﾙﾗｲﾄ ｴｺ A1判 10枚/ALA1-S</t>
  </si>
  <si>
    <t>G)ﾌﾟﾗﾁﾅ/ﾊﾟﾈﾙﾗｲﾄ ｴｺ A3判 10枚/ALA3-S</t>
  </si>
  <si>
    <t>-</t>
  </si>
  <si>
    <t>プラチナ万年筆 ハレパネ 厚さ3mm A3 AA3-3 1箱(40枚入)</t>
  </si>
  <si>
    <t>プラチナ万年筆 ハレパネ 厚さ5mm B2 AB2-5 1箱（20枚入）</t>
  </si>
  <si>
    <t>プラチナ万年筆 ハレパネ 厚さ7mm B1 AB1-7 1箱(10枚入)</t>
  </si>
  <si>
    <t>プラチナ万年筆 ハレパネ 厚さ7mm B2 AB2-7 1箱(20枚入)</t>
  </si>
  <si>
    <t>プラチナ万年筆株式会社 プレパネ　黒　B3 APB3-B 1箱(10枚入)（直送品）</t>
  </si>
  <si>
    <t>プラチナ万年筆株式会社 プレパネ　黒　A2 APA2-B 1箱(10枚入)（直送品）</t>
  </si>
  <si>
    <t>プラチナ万年筆株式会社 プレパネ　黒　B2 APB2-B 1箱(10枚入)（直送品）</t>
  </si>
  <si>
    <t>プラチナ万年筆株式会社 プレパネ　黒　A1 APA1-B 1箱(10枚入)（直送品）</t>
  </si>
  <si>
    <t>プラチナ万年筆 ハレパネ 厚さ3mm A2 AA2-3 1箱(20枚入)</t>
  </si>
  <si>
    <t>プラチナ万年筆 ハレパネ 厚さ7mm 3×6判 AK1-7 1箱(10枚入)</t>
  </si>
  <si>
    <t>プラチナ万年筆株式会社 ハレパネ　厚さ7mm　B0 AB0-7 1箱(10枚入)（直送品）</t>
  </si>
  <si>
    <t>プラチナ万年筆 黒ハレパネ 厚さ5mm A1 AA1-5-B 1箱(10枚入)</t>
  </si>
  <si>
    <t>プラチナ万年筆 黒ハレパネ 厚さ5mm B1 AB1-5-B 1箱(10枚入)</t>
  </si>
  <si>
    <t>プラチナ万年筆株式会社 ハレパネ ソラーズ　厚さ5mm　B1(L判) ASRL1-5 1箱(10枚入)（直送品）</t>
  </si>
  <si>
    <t>プラチナ万年筆 ハレパネ 厚さ5mm 3×6判 AK1-5 1箱(10枚入)</t>
  </si>
  <si>
    <t>プラチナ万年筆 ハレパネ ソラーズ 厚さ5mm 3×6判 ASRK1-5 1箱(10枚入)</t>
  </si>
  <si>
    <t>プラチナ万年筆株式会社 ハレパネ　厚さ3mm　A4 AA4-3 1箱(80枚入)（直送品）</t>
  </si>
  <si>
    <t>プラチナ万年筆 ハレパネ 厚さ7mm A4 AA4-7 1箱（80枚入）</t>
  </si>
  <si>
    <t>プラチナ万年筆株式会社 スチレンボード　厚さ5mm　A2 ACA2CP-5 20枚（直送品）</t>
  </si>
  <si>
    <t>プラチナ万年筆株式会社 スチレンボード　厚さ7mm　A2 ACA2CP-7 20枚（直送品）</t>
  </si>
  <si>
    <t>プラチナ万年筆株式会社 パネルライトエコ　B4 ALB4-S 1箱(10枚入)（直送品）</t>
  </si>
  <si>
    <t>プラチナ万年筆株式会社 パネルライトエコ　B2 ALB2-S 1箱(10枚入)（直送品）</t>
  </si>
  <si>
    <t>プラチナ万年筆株式会社 パネルライトエコ　B3 ALB3-S 1箱(10枚入)（直送品）</t>
  </si>
  <si>
    <t>プラチナ万年筆株式会社 パネルライトエコ　A4 ALA4-S 1箱(10枚入)（直送品）</t>
  </si>
  <si>
    <t>プラチナ万年筆株式会社 パネルライトエコ　A2 ALA2-S 1箱(10枚入)（直送品）</t>
  </si>
  <si>
    <t>プラチナ万年筆株式会社 パネルライトエコ　A1 ALA1-S 1箱(10枚入)（直送品）</t>
  </si>
  <si>
    <t>プラチナ万年筆 パネルライトエコ A3 ALA3-S 1箱(10枚入)</t>
  </si>
  <si>
    <t>プラチナ万年筆 ハレパネ 厚さ5mm B1 AB1-5 1箱(10枚入)</t>
  </si>
  <si>
    <t>プラチナ万年筆 ハレパネ 厚さ3mm A1 AA1-3 1箱(10枚入)</t>
  </si>
  <si>
    <t>プラチナ万年筆 ハレパネ 両面糊付 厚さ7mm A1 AAR1-7 1箱(10枚入)</t>
  </si>
  <si>
    <t>プラチナ万年筆株式会社 ハレパネ　厚さ5mm　A4 AA4-5 1箱(80枚入)（直送品）</t>
  </si>
  <si>
    <t>プラチナ万年筆 ハレパネ 厚さ5mm A3 AA3-5 1箱(40枚入)</t>
  </si>
  <si>
    <t>プラチナ万年筆 ハレパネ 厚さ5mm A2 AA2-5 1箱(20枚入)</t>
  </si>
  <si>
    <t>プラチナ万年筆 ハレパネ 厚さ7mm A3 AA3-7 1箱(40枚入)</t>
  </si>
  <si>
    <t>プラチナ万年筆 ハレパネ 厚さ7mm A2 AA2-7 1箱(20枚入)</t>
  </si>
  <si>
    <t>プラチナ万年筆 ハレパネ 厚さ5mm A1 AA1-5 1箱(10枚入)</t>
  </si>
  <si>
    <t>プラチナ万年筆 ハレパネ 厚さ7mm A1 AA1-7 1箱(10枚入)</t>
  </si>
  <si>
    <t>プラチナ万年筆 スチレンボード 厚さ5mm L判(B1) ACB1CP-5 1箱(10枚入)</t>
  </si>
  <si>
    <t>プラチナ万年筆 スチレンボード 厚さ7mm L判(B1) ACB1CP-7 1箱(10枚入)</t>
  </si>
  <si>
    <t>プラチナ万年筆株式会社 スチレンボード　厚さ7mm　A1 ACA1CP-7 10枚（直送品）</t>
  </si>
  <si>
    <t>プラチナ万年筆株式会社 スチレンボード　厚さ3mm　B1 ACB1CP-3 10枚（直送品）</t>
  </si>
  <si>
    <t>プラチナ万年筆株式会社 スチレンボード　厚さ3mm　A1 ACA1CP-3 10枚（直送品）</t>
  </si>
  <si>
    <t>プラチナ万年筆 スチレンボード 厚さ5mm A1 ACA1CP-5 1箱(10枚入)</t>
  </si>
  <si>
    <t>プラチナ万年筆 スチレンボード 厚さ5mm B2 ACB2CP-5 1箱(10枚入)</t>
  </si>
  <si>
    <t>プラチナ万年筆 スチレンボード 厚さ3mm B2 ACB2CP-3 1箱（10枚入）</t>
  </si>
  <si>
    <t>プラチナ万年筆株式会社 スチレンボード　厚さ7mm　B2　ACB2CP-7 20枚（直送品）</t>
  </si>
  <si>
    <t>プラチナ万年筆株式会社 パネルライトエコ　A0 ALA0-S 1箱(10枚入)（直送品）</t>
  </si>
  <si>
    <t>NR72738</t>
  </si>
  <si>
    <t>1箱（40枚入）</t>
  </si>
  <si>
    <t>NR72731</t>
  </si>
  <si>
    <t>1箱（20枚入）</t>
  </si>
  <si>
    <t>NR72737</t>
  </si>
  <si>
    <t>1箱（10枚入）</t>
  </si>
  <si>
    <t>NR72728</t>
  </si>
  <si>
    <t>EP52906</t>
  </si>
  <si>
    <t>EP52904</t>
  </si>
  <si>
    <t>EP52901</t>
  </si>
  <si>
    <t>EP52891</t>
  </si>
  <si>
    <t>NR72729</t>
  </si>
  <si>
    <t>NR72725</t>
  </si>
  <si>
    <t>EP52893</t>
  </si>
  <si>
    <t>NR72727</t>
  </si>
  <si>
    <t>NR72726</t>
  </si>
  <si>
    <t>EP52890</t>
  </si>
  <si>
    <t>NR72723</t>
  </si>
  <si>
    <t>NR72716</t>
  </si>
  <si>
    <t>EP52887</t>
  </si>
  <si>
    <t>1箱（80枚入）</t>
  </si>
  <si>
    <t>NR72719</t>
  </si>
  <si>
    <t>EP52910</t>
  </si>
  <si>
    <t>1セット(20枚)</t>
  </si>
  <si>
    <t>EP52905</t>
  </si>
  <si>
    <t>EP52895</t>
  </si>
  <si>
    <t>EP52912</t>
  </si>
  <si>
    <t>EP52900</t>
  </si>
  <si>
    <t>EP52903</t>
  </si>
  <si>
    <t>EP52897</t>
  </si>
  <si>
    <t>EP52894</t>
  </si>
  <si>
    <t>HK57019</t>
  </si>
  <si>
    <t>NR72724</t>
  </si>
  <si>
    <t>NR72735</t>
  </si>
  <si>
    <t>NR72739</t>
  </si>
  <si>
    <t>EP52902</t>
  </si>
  <si>
    <t>EP52896</t>
  </si>
  <si>
    <t>NR72720</t>
  </si>
  <si>
    <t>NR72715</t>
  </si>
  <si>
    <t>NR72740</t>
  </si>
  <si>
    <t>NR72733</t>
  </si>
  <si>
    <t>NR72718</t>
  </si>
  <si>
    <t>NR72722</t>
  </si>
  <si>
    <t>NR72732</t>
  </si>
  <si>
    <t>EP52886</t>
  </si>
  <si>
    <t>1セット(10枚)</t>
  </si>
  <si>
    <t>EP52913</t>
  </si>
  <si>
    <t>EP52888</t>
  </si>
  <si>
    <t>NR72734</t>
  </si>
  <si>
    <t>NR72721</t>
  </si>
  <si>
    <t>NR72736</t>
  </si>
  <si>
    <t>EP52909</t>
  </si>
  <si>
    <t>EP52898</t>
  </si>
  <si>
    <t>J475MP</t>
    <phoneticPr fontId="2"/>
  </si>
  <si>
    <t>済○</t>
    <rPh sb="0" eb="1">
      <t>スミ</t>
    </rPh>
    <phoneticPr fontId="2"/>
  </si>
  <si>
    <t>○</t>
    <phoneticPr fontId="2"/>
  </si>
  <si>
    <t>確認</t>
    <rPh sb="0" eb="2">
      <t>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</si>
</sst>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3" borderId="4" xfId="0" applyFill="1" applyBorder="1">
      <alignment vertical="center"/>
    </xf>
    <xf numFmtId="0" fontId="0" fillId="6" borderId="3" xfId="0" applyFill="1" applyBorder="1">
      <alignment vertical="center"/>
    </xf>
    <xf numFmtId="0" fontId="0" fillId="7" borderId="3" xfId="0" applyFill="1" applyBorder="1">
      <alignment vertical="center"/>
    </xf>
    <xf numFmtId="0" fontId="0" fillId="8" borderId="4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2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D67"/>
  <sheetViews>
    <sheetView tabSelected="1" zoomScale="90" zoomScaleNormal="90" workbookViewId="0">
      <pane xSplit="7" ySplit="5" topLeftCell="L6" activePane="bottomRight" state="frozen"/>
      <selection pane="topRight" activeCell="G1" sqref="G1"/>
      <selection pane="bottomLeft" activeCell="A5" sqref="A5"/>
      <selection pane="bottomRight" activeCell="L4" sqref="L4"/>
    </sheetView>
  </sheetViews>
  <sheetFormatPr defaultRowHeight="18.75" outlineLevelCol="1" x14ac:dyDescent="0.4"/>
  <cols>
    <col min="1" max="1" width="4.625" customWidth="1"/>
    <col min="2" max="2" width="6" customWidth="1"/>
    <col min="3" max="5" width="8.5" customWidth="1"/>
    <col min="6" max="6" width="48.375" customWidth="1"/>
    <col min="7" max="7" width="7.25" customWidth="1"/>
    <col min="8" max="11" width="7.5" hidden="1" customWidth="1" outlineLevel="1"/>
    <col min="12" max="12" width="7.625" customWidth="1" collapsed="1"/>
    <col min="13" max="15" width="7.625" customWidth="1"/>
    <col min="16" max="16" width="6.625" customWidth="1"/>
    <col min="17" max="18" width="7.625" hidden="1" customWidth="1" outlineLevel="1"/>
    <col min="19" max="19" width="7.625" customWidth="1" collapsed="1"/>
    <col min="20" max="22" width="7.625" customWidth="1"/>
    <col min="23" max="23" width="4.375" customWidth="1" collapsed="1"/>
    <col min="24" max="29" width="7.625" customWidth="1"/>
    <col min="30" max="30" width="6.5" customWidth="1"/>
    <col min="31" max="33" width="7.625" customWidth="1"/>
    <col min="34" max="36" width="7.625" hidden="1" customWidth="1" outlineLevel="1"/>
    <col min="37" max="37" width="7.625" customWidth="1" collapsed="1"/>
    <col min="38" max="39" width="7.625" customWidth="1"/>
    <col min="40" max="42" width="7.625" hidden="1" customWidth="1" outlineLevel="1"/>
    <col min="43" max="43" width="7.625" customWidth="1" collapsed="1"/>
    <col min="44" max="54" width="7.625" customWidth="1"/>
  </cols>
  <sheetData>
    <row r="1" spans="1:56" x14ac:dyDescent="0.4">
      <c r="C1" s="29" t="s">
        <v>43</v>
      </c>
      <c r="S1" s="40" t="s">
        <v>40</v>
      </c>
      <c r="T1" s="41"/>
      <c r="U1" s="41"/>
      <c r="V1" s="42"/>
    </row>
    <row r="2" spans="1:56" x14ac:dyDescent="0.4">
      <c r="C2" s="8" t="s">
        <v>27</v>
      </c>
      <c r="D2" s="9" t="s">
        <v>28</v>
      </c>
      <c r="E2" s="9" t="s">
        <v>29</v>
      </c>
      <c r="F2" s="10"/>
      <c r="G2" s="10"/>
      <c r="H2" s="32"/>
      <c r="I2" s="32"/>
      <c r="J2" s="37" t="s">
        <v>30</v>
      </c>
      <c r="K2" s="39"/>
      <c r="L2" s="37" t="s">
        <v>2</v>
      </c>
      <c r="M2" s="38"/>
      <c r="N2" s="38"/>
      <c r="O2" s="39"/>
      <c r="P2" s="11"/>
      <c r="Q2" s="31"/>
      <c r="R2" s="31"/>
      <c r="S2" s="23"/>
      <c r="T2" s="24" t="s">
        <v>33</v>
      </c>
      <c r="U2" s="24"/>
      <c r="V2" s="25" t="s">
        <v>33</v>
      </c>
      <c r="W2" s="10"/>
      <c r="X2" s="9" t="s">
        <v>38</v>
      </c>
      <c r="Y2" s="11"/>
      <c r="Z2" s="11"/>
      <c r="AA2" s="11"/>
      <c r="AB2" s="11"/>
      <c r="AC2" s="11"/>
      <c r="AD2" s="11"/>
      <c r="AE2" s="22" t="s">
        <v>41</v>
      </c>
      <c r="AF2" s="11"/>
      <c r="AG2" s="11"/>
      <c r="AH2" s="27"/>
      <c r="AI2" s="11"/>
      <c r="AJ2" s="11"/>
      <c r="AK2" s="11"/>
      <c r="AL2" s="11"/>
      <c r="AM2" s="11"/>
      <c r="AN2" s="11"/>
      <c r="AO2" s="11"/>
      <c r="AP2" s="11"/>
      <c r="AQ2">
        <v>51</v>
      </c>
      <c r="AX2">
        <v>14</v>
      </c>
      <c r="AY2">
        <v>28</v>
      </c>
    </row>
    <row r="3" spans="1:56" ht="75" x14ac:dyDescent="0.4">
      <c r="A3" s="1" t="s">
        <v>51</v>
      </c>
      <c r="B3" s="1" t="s">
        <v>57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53</v>
      </c>
      <c r="I3" s="12" t="s">
        <v>54</v>
      </c>
      <c r="J3" s="12" t="s">
        <v>24</v>
      </c>
      <c r="K3" s="12" t="s">
        <v>25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49</v>
      </c>
      <c r="Q3" s="12" t="s">
        <v>20</v>
      </c>
      <c r="R3" s="12" t="s">
        <v>21</v>
      </c>
      <c r="S3" s="12" t="s">
        <v>3</v>
      </c>
      <c r="T3" s="12" t="s">
        <v>22</v>
      </c>
      <c r="U3" s="2" t="s">
        <v>5</v>
      </c>
      <c r="V3" s="12" t="s">
        <v>23</v>
      </c>
      <c r="W3" s="14" t="s">
        <v>6</v>
      </c>
      <c r="X3" s="20" t="s">
        <v>17</v>
      </c>
      <c r="Y3" s="2" t="s">
        <v>16</v>
      </c>
      <c r="Z3" s="2" t="s">
        <v>44</v>
      </c>
      <c r="AA3" s="12" t="s">
        <v>39</v>
      </c>
      <c r="AB3" s="12" t="s">
        <v>55</v>
      </c>
      <c r="AC3" s="2" t="s">
        <v>16</v>
      </c>
      <c r="AD3" s="2"/>
      <c r="AE3" s="13" t="s">
        <v>31</v>
      </c>
      <c r="AF3" s="2" t="s">
        <v>16</v>
      </c>
      <c r="AG3" s="2" t="s">
        <v>32</v>
      </c>
      <c r="AH3" s="26" t="s">
        <v>34</v>
      </c>
      <c r="AI3" s="12" t="s">
        <v>35</v>
      </c>
      <c r="AJ3" s="12" t="s">
        <v>36</v>
      </c>
      <c r="AK3" s="12" t="s">
        <v>26</v>
      </c>
      <c r="AL3" s="12" t="s">
        <v>37</v>
      </c>
      <c r="AM3" s="12" t="s">
        <v>18</v>
      </c>
      <c r="AN3" s="12" t="s">
        <v>19</v>
      </c>
      <c r="AO3" s="12" t="s">
        <v>20</v>
      </c>
      <c r="AP3" s="12" t="s">
        <v>21</v>
      </c>
      <c r="AQ3" s="2" t="s">
        <v>11</v>
      </c>
      <c r="AR3" s="2" t="s">
        <v>12</v>
      </c>
      <c r="AS3" s="2" t="s">
        <v>13</v>
      </c>
      <c r="AT3" s="2" t="s">
        <v>14</v>
      </c>
      <c r="AU3" s="12" t="s">
        <v>42</v>
      </c>
      <c r="AV3" s="2" t="s">
        <v>56</v>
      </c>
      <c r="AW3" s="2" t="s">
        <v>15</v>
      </c>
      <c r="AX3" s="18" t="s">
        <v>45</v>
      </c>
      <c r="AY3" s="18" t="s">
        <v>46</v>
      </c>
      <c r="AZ3" s="15" t="s">
        <v>52</v>
      </c>
      <c r="BA3" s="30" t="s">
        <v>47</v>
      </c>
      <c r="BB3" t="s">
        <v>48</v>
      </c>
      <c r="BC3" t="s">
        <v>50</v>
      </c>
      <c r="BD3" t="s">
        <v>277</v>
      </c>
    </row>
    <row r="4" spans="1:56" x14ac:dyDescent="0.4">
      <c r="A4" s="34">
        <v>1</v>
      </c>
      <c r="B4" s="3">
        <v>1</v>
      </c>
      <c r="C4" s="33">
        <v>172160</v>
      </c>
      <c r="D4" s="4" t="str">
        <f t="shared" ref="D4:D35" si="0">TEXT(C4,"000000")</f>
        <v>172160</v>
      </c>
      <c r="E4" s="4">
        <v>172160</v>
      </c>
      <c r="F4" s="4" t="s">
        <v>107</v>
      </c>
      <c r="G4" s="5">
        <v>4977114800375</v>
      </c>
      <c r="H4" s="5"/>
      <c r="I4" s="5"/>
      <c r="J4" s="5">
        <v>2</v>
      </c>
      <c r="K4" s="5">
        <v>1</v>
      </c>
      <c r="L4" s="4">
        <v>2100</v>
      </c>
      <c r="M4" s="4">
        <v>1480</v>
      </c>
      <c r="N4" s="4">
        <v>987</v>
      </c>
      <c r="O4" s="6">
        <f t="shared" ref="O4:O35" si="1">1-N4/M4</f>
        <v>0.33310810810810809</v>
      </c>
      <c r="P4" s="4" t="s">
        <v>175</v>
      </c>
      <c r="Q4" s="4" t="s">
        <v>175</v>
      </c>
      <c r="R4" s="4" t="s">
        <v>175</v>
      </c>
      <c r="S4" s="4">
        <v>2700</v>
      </c>
      <c r="T4" s="4">
        <f t="shared" ref="T4:T35" si="2">IF(W4="",S4,S4*W4)</f>
        <v>2700</v>
      </c>
      <c r="U4" s="4">
        <v>1269</v>
      </c>
      <c r="V4" s="36">
        <f t="shared" ref="V4:V35" si="3">IF(W4="",U4,U4*W4)</f>
        <v>1269</v>
      </c>
      <c r="W4" s="4"/>
      <c r="X4" s="21">
        <f t="shared" ref="X4:X35" si="4">ROUND(M4*AM4,0)</f>
        <v>1903</v>
      </c>
      <c r="Y4" s="6">
        <f t="shared" ref="Y4:Y35" si="5">1-V4/X4</f>
        <v>0.33315817130846037</v>
      </c>
      <c r="Z4" s="4">
        <v>33.5</v>
      </c>
      <c r="AA4" s="4">
        <f t="shared" ref="AA4:AA35" si="6">AW4</f>
        <v>1234.6000000000001</v>
      </c>
      <c r="AB4" s="4">
        <f t="shared" ref="AB4:AB35" si="7">AA4*AM4</f>
        <v>1587.3428571428574</v>
      </c>
      <c r="AC4" s="6">
        <f t="shared" ref="AC4:AC35" si="8">1-V4/AB4</f>
        <v>0.20055078567957241</v>
      </c>
      <c r="AD4" s="4"/>
      <c r="AE4" s="7">
        <v>1980</v>
      </c>
      <c r="AF4" s="6">
        <f t="shared" ref="AF4:AF35" si="9">1-V4/AE4</f>
        <v>0.35909090909090913</v>
      </c>
      <c r="AG4" s="4">
        <f t="shared" ref="AG4:AG35" si="10">AE4-V4</f>
        <v>711</v>
      </c>
      <c r="AH4" s="28"/>
      <c r="AI4" s="6" t="e">
        <f>1-V4/AH4</f>
        <v>#DIV/0!</v>
      </c>
      <c r="AJ4" s="4">
        <f>AH4-V4</f>
        <v>-1269</v>
      </c>
      <c r="AK4" s="6">
        <f t="shared" ref="AK4:AK35" si="11">T4/L4</f>
        <v>1.2857142857142858</v>
      </c>
      <c r="AL4" s="6">
        <f t="shared" ref="AL4:AL35" si="12">AE4/M4</f>
        <v>1.3378378378378379</v>
      </c>
      <c r="AM4" s="6">
        <f t="shared" ref="AM4:AM35" si="13">V4/N4</f>
        <v>1.2857142857142858</v>
      </c>
      <c r="AN4" s="4" t="str">
        <f>IFERROR(ROUND($AE4*P4/$M4,0),"-")</f>
        <v>-</v>
      </c>
      <c r="AO4" s="4" t="str">
        <f>IF(Q4="","-",Q4)</f>
        <v>-</v>
      </c>
      <c r="AP4" s="4" t="str">
        <f>IF(R4="","-",R4)</f>
        <v>-</v>
      </c>
      <c r="AQ4" s="4" t="s">
        <v>108</v>
      </c>
      <c r="AR4" s="4" t="s">
        <v>223</v>
      </c>
      <c r="AS4" s="4">
        <v>4</v>
      </c>
      <c r="AT4" s="4">
        <v>40</v>
      </c>
      <c r="AU4" s="4" t="s">
        <v>224</v>
      </c>
      <c r="AV4" s="4">
        <v>12346</v>
      </c>
      <c r="AW4" s="4">
        <f t="shared" ref="AW4:AW35" si="14">IF(AS4="",AV4,AS4/AT4*AV4)</f>
        <v>1234.6000000000001</v>
      </c>
      <c r="AX4" s="19">
        <v>2</v>
      </c>
      <c r="AY4" s="19">
        <v>1</v>
      </c>
      <c r="AZ4" s="16">
        <v>19</v>
      </c>
      <c r="BA4">
        <v>1365</v>
      </c>
      <c r="BB4">
        <v>1454</v>
      </c>
      <c r="BC4" t="s">
        <v>176</v>
      </c>
      <c r="BD4" t="s">
        <v>279</v>
      </c>
    </row>
    <row r="5" spans="1:56" x14ac:dyDescent="0.4">
      <c r="A5" s="34">
        <v>35</v>
      </c>
      <c r="B5" s="3">
        <v>1</v>
      </c>
      <c r="C5" s="33" t="s">
        <v>78</v>
      </c>
      <c r="D5" s="4" t="str">
        <f t="shared" si="0"/>
        <v>J475MP</v>
      </c>
      <c r="E5" s="4" t="s">
        <v>276</v>
      </c>
      <c r="F5" s="4" t="s">
        <v>144</v>
      </c>
      <c r="G5" s="5">
        <v>4977114800375</v>
      </c>
      <c r="H5" s="5"/>
      <c r="I5" s="5"/>
      <c r="J5" s="5">
        <v>2</v>
      </c>
      <c r="K5" s="5">
        <v>1</v>
      </c>
      <c r="L5" s="4">
        <v>16800</v>
      </c>
      <c r="M5" s="4">
        <v>12568</v>
      </c>
      <c r="N5" s="4">
        <v>7896</v>
      </c>
      <c r="O5" s="6">
        <f t="shared" si="1"/>
        <v>0.37173774665817949</v>
      </c>
      <c r="P5" s="4" t="s">
        <v>175</v>
      </c>
      <c r="Q5" s="4" t="s">
        <v>175</v>
      </c>
      <c r="R5" s="4" t="s">
        <v>175</v>
      </c>
      <c r="S5" s="4">
        <v>27000</v>
      </c>
      <c r="T5" s="4">
        <f t="shared" si="2"/>
        <v>27000</v>
      </c>
      <c r="U5" s="4">
        <v>10152</v>
      </c>
      <c r="V5" s="36">
        <v>10152</v>
      </c>
      <c r="W5" s="4"/>
      <c r="X5" s="21">
        <f t="shared" si="4"/>
        <v>16159</v>
      </c>
      <c r="Y5" s="6">
        <f t="shared" si="5"/>
        <v>0.37174330094684072</v>
      </c>
      <c r="Z5" s="4">
        <v>11.5</v>
      </c>
      <c r="AA5" s="4">
        <f t="shared" si="6"/>
        <v>12346</v>
      </c>
      <c r="AB5" s="4">
        <f>AA5*AM5</f>
        <v>15873.428571428572</v>
      </c>
      <c r="AC5" s="6">
        <f t="shared" si="8"/>
        <v>0.36044062854365788</v>
      </c>
      <c r="AD5" s="4">
        <f>ROUNDDOWN(AE4*8*0.95,0)</f>
        <v>15048</v>
      </c>
      <c r="AE5" s="36">
        <v>15000</v>
      </c>
      <c r="AF5" s="6">
        <f t="shared" si="9"/>
        <v>0.32320000000000004</v>
      </c>
      <c r="AG5" s="4">
        <f t="shared" si="10"/>
        <v>4848</v>
      </c>
      <c r="AH5" s="28"/>
      <c r="AI5" s="6"/>
      <c r="AJ5" s="6"/>
      <c r="AK5" s="6">
        <f t="shared" si="11"/>
        <v>1.6071428571428572</v>
      </c>
      <c r="AL5" s="6">
        <f t="shared" si="12"/>
        <v>1.1935073201782305</v>
      </c>
      <c r="AM5" s="6">
        <f t="shared" si="13"/>
        <v>1.2857142857142858</v>
      </c>
      <c r="AN5" s="4" t="str">
        <f t="shared" ref="AN5:AN67" si="15">IFERROR(ROUND($AE5*P5/$M5,0),"-")</f>
        <v>-</v>
      </c>
      <c r="AO5" s="4" t="str">
        <f t="shared" ref="AO5:AO67" si="16">IF(Q5="","-",Q5)</f>
        <v>-</v>
      </c>
      <c r="AP5" s="4" t="str">
        <f t="shared" ref="AP5:AP67" si="17">IF(R5="","-",R5)</f>
        <v>-</v>
      </c>
      <c r="AQ5" s="4" t="s">
        <v>108</v>
      </c>
      <c r="AR5" s="4" t="s">
        <v>223</v>
      </c>
      <c r="AS5" s="4"/>
      <c r="AT5" s="4"/>
      <c r="AU5" s="4" t="s">
        <v>224</v>
      </c>
      <c r="AV5" s="4">
        <v>12346</v>
      </c>
      <c r="AW5" s="4">
        <f t="shared" si="14"/>
        <v>12346</v>
      </c>
      <c r="AX5" s="19">
        <v>2</v>
      </c>
      <c r="AY5" s="19">
        <v>1</v>
      </c>
      <c r="AZ5" s="16">
        <v>19</v>
      </c>
      <c r="BA5">
        <v>1365</v>
      </c>
      <c r="BB5">
        <v>1454</v>
      </c>
      <c r="BC5" t="s">
        <v>176</v>
      </c>
      <c r="BD5" t="s">
        <v>279</v>
      </c>
    </row>
    <row r="6" spans="1:56" x14ac:dyDescent="0.4">
      <c r="A6" s="34">
        <v>2</v>
      </c>
      <c r="B6" s="3">
        <v>2</v>
      </c>
      <c r="C6" s="17">
        <v>172161</v>
      </c>
      <c r="D6" s="4" t="str">
        <f t="shared" si="0"/>
        <v>172161</v>
      </c>
      <c r="E6" s="4">
        <v>172161</v>
      </c>
      <c r="F6" s="4" t="s">
        <v>111</v>
      </c>
      <c r="G6" s="5">
        <v>4977114800436</v>
      </c>
      <c r="H6" s="5"/>
      <c r="I6" s="5"/>
      <c r="J6" s="5">
        <v>1</v>
      </c>
      <c r="K6" s="5">
        <v>1</v>
      </c>
      <c r="L6" s="4">
        <v>22000</v>
      </c>
      <c r="M6" s="4">
        <v>15246</v>
      </c>
      <c r="N6" s="4">
        <v>10340</v>
      </c>
      <c r="O6" s="6">
        <f t="shared" si="1"/>
        <v>0.32178932178932174</v>
      </c>
      <c r="P6" s="4">
        <v>14300</v>
      </c>
      <c r="Q6" s="4">
        <v>3</v>
      </c>
      <c r="R6" s="4">
        <v>99999</v>
      </c>
      <c r="S6" s="4">
        <v>28000</v>
      </c>
      <c r="T6" s="4">
        <f t="shared" si="2"/>
        <v>28000</v>
      </c>
      <c r="U6" s="4">
        <v>13160</v>
      </c>
      <c r="V6" s="4">
        <f t="shared" si="3"/>
        <v>13160</v>
      </c>
      <c r="W6" s="4"/>
      <c r="X6" s="21">
        <f t="shared" si="4"/>
        <v>19404</v>
      </c>
      <c r="Y6" s="6">
        <f t="shared" si="5"/>
        <v>0.32178932178932174</v>
      </c>
      <c r="Z6" s="4">
        <v>0.25</v>
      </c>
      <c r="AA6" s="4">
        <f t="shared" si="6"/>
        <v>14982</v>
      </c>
      <c r="AB6" s="4">
        <f t="shared" si="7"/>
        <v>19068</v>
      </c>
      <c r="AC6" s="6">
        <f t="shared" si="8"/>
        <v>0.30983847283406751</v>
      </c>
      <c r="AD6" s="4"/>
      <c r="AE6" s="7">
        <v>19000</v>
      </c>
      <c r="AF6" s="6">
        <f t="shared" si="9"/>
        <v>0.30736842105263162</v>
      </c>
      <c r="AG6" s="4">
        <f t="shared" si="10"/>
        <v>5840</v>
      </c>
      <c r="AH6" s="28"/>
      <c r="AI6" s="6"/>
      <c r="AJ6" s="6"/>
      <c r="AK6" s="6">
        <f t="shared" si="11"/>
        <v>1.2727272727272727</v>
      </c>
      <c r="AL6" s="6">
        <f t="shared" si="12"/>
        <v>1.2462285189557918</v>
      </c>
      <c r="AM6" s="6">
        <f t="shared" si="13"/>
        <v>1.2727272727272727</v>
      </c>
      <c r="AN6" s="4">
        <f t="shared" si="15"/>
        <v>17821</v>
      </c>
      <c r="AO6" s="4">
        <f t="shared" si="16"/>
        <v>3</v>
      </c>
      <c r="AP6" s="4">
        <f t="shared" si="17"/>
        <v>99999</v>
      </c>
      <c r="AQ6" s="4" t="s">
        <v>108</v>
      </c>
      <c r="AR6" s="4" t="s">
        <v>225</v>
      </c>
      <c r="AS6" s="4"/>
      <c r="AT6" s="4"/>
      <c r="AU6" s="4" t="s">
        <v>226</v>
      </c>
      <c r="AV6" s="4">
        <v>14982</v>
      </c>
      <c r="AW6" s="4">
        <f t="shared" si="14"/>
        <v>14982</v>
      </c>
      <c r="AX6" s="19">
        <v>2</v>
      </c>
      <c r="AY6" s="19">
        <v>1</v>
      </c>
      <c r="AZ6" s="16">
        <v>19</v>
      </c>
      <c r="BA6">
        <v>14300</v>
      </c>
      <c r="BB6">
        <v>15383</v>
      </c>
      <c r="BC6" t="s">
        <v>177</v>
      </c>
      <c r="BD6" t="s">
        <v>278</v>
      </c>
    </row>
    <row r="7" spans="1:56" x14ac:dyDescent="0.4">
      <c r="A7" s="35">
        <v>3</v>
      </c>
      <c r="B7" s="3">
        <v>3</v>
      </c>
      <c r="C7" s="17">
        <v>172163</v>
      </c>
      <c r="D7" s="4" t="str">
        <f t="shared" si="0"/>
        <v>172163</v>
      </c>
      <c r="E7" s="4">
        <v>172163</v>
      </c>
      <c r="F7" s="4" t="s">
        <v>112</v>
      </c>
      <c r="G7" s="5">
        <v>4977114800467</v>
      </c>
      <c r="H7" s="5"/>
      <c r="I7" s="5"/>
      <c r="J7" s="5">
        <v>1</v>
      </c>
      <c r="K7" s="5">
        <v>1</v>
      </c>
      <c r="L7" s="4">
        <v>26000</v>
      </c>
      <c r="M7" s="4">
        <v>18604</v>
      </c>
      <c r="N7" s="4">
        <v>12220</v>
      </c>
      <c r="O7" s="6">
        <f t="shared" si="1"/>
        <v>0.34315201032036124</v>
      </c>
      <c r="P7" s="4">
        <v>17640</v>
      </c>
      <c r="Q7" s="4">
        <v>3</v>
      </c>
      <c r="R7" s="4">
        <v>99999</v>
      </c>
      <c r="S7" s="4">
        <v>33000</v>
      </c>
      <c r="T7" s="4">
        <f t="shared" si="2"/>
        <v>33000</v>
      </c>
      <c r="U7" s="4">
        <v>15510</v>
      </c>
      <c r="V7" s="4">
        <f t="shared" si="3"/>
        <v>15510</v>
      </c>
      <c r="W7" s="4"/>
      <c r="X7" s="21">
        <f t="shared" si="4"/>
        <v>23613</v>
      </c>
      <c r="Y7" s="6">
        <f t="shared" si="5"/>
        <v>0.34315842967856691</v>
      </c>
      <c r="Z7" s="4">
        <v>0</v>
      </c>
      <c r="AA7" s="4">
        <f t="shared" si="6"/>
        <v>17619</v>
      </c>
      <c r="AB7" s="4">
        <f t="shared" si="7"/>
        <v>22362.576923076922</v>
      </c>
      <c r="AC7" s="6">
        <f t="shared" si="8"/>
        <v>0.30643055792042673</v>
      </c>
      <c r="AD7" s="4"/>
      <c r="AE7" s="7">
        <v>22400</v>
      </c>
      <c r="AF7" s="6">
        <f t="shared" si="9"/>
        <v>0.30758928571428568</v>
      </c>
      <c r="AG7" s="4">
        <f t="shared" si="10"/>
        <v>6890</v>
      </c>
      <c r="AH7" s="28"/>
      <c r="AI7" s="6"/>
      <c r="AJ7" s="6"/>
      <c r="AK7" s="6">
        <f t="shared" si="11"/>
        <v>1.2692307692307692</v>
      </c>
      <c r="AL7" s="6">
        <f t="shared" si="12"/>
        <v>1.2040421414749516</v>
      </c>
      <c r="AM7" s="6">
        <f t="shared" si="13"/>
        <v>1.2692307692307692</v>
      </c>
      <c r="AN7" s="4">
        <f t="shared" si="15"/>
        <v>21239</v>
      </c>
      <c r="AO7" s="4">
        <f t="shared" si="16"/>
        <v>3</v>
      </c>
      <c r="AP7" s="4">
        <f t="shared" si="17"/>
        <v>99999</v>
      </c>
      <c r="AQ7" s="4" t="s">
        <v>108</v>
      </c>
      <c r="AR7" s="4" t="s">
        <v>227</v>
      </c>
      <c r="AS7" s="4"/>
      <c r="AT7" s="4"/>
      <c r="AU7" s="4" t="s">
        <v>228</v>
      </c>
      <c r="AV7" s="4">
        <v>17619</v>
      </c>
      <c r="AW7" s="4">
        <f t="shared" si="14"/>
        <v>17619</v>
      </c>
      <c r="AX7" s="19">
        <v>4</v>
      </c>
      <c r="AY7" s="19">
        <v>9</v>
      </c>
      <c r="AZ7" s="16">
        <v>19</v>
      </c>
      <c r="BA7">
        <v>16900</v>
      </c>
      <c r="BB7">
        <v>17799</v>
      </c>
      <c r="BC7" t="s">
        <v>178</v>
      </c>
      <c r="BD7" t="s">
        <v>278</v>
      </c>
    </row>
    <row r="8" spans="1:56" x14ac:dyDescent="0.4">
      <c r="A8" s="34">
        <v>4</v>
      </c>
      <c r="B8" s="3">
        <v>4</v>
      </c>
      <c r="C8" s="17">
        <v>172165</v>
      </c>
      <c r="D8" s="4" t="str">
        <f t="shared" si="0"/>
        <v>172165</v>
      </c>
      <c r="E8" s="4">
        <v>172165</v>
      </c>
      <c r="F8" s="4" t="s">
        <v>113</v>
      </c>
      <c r="G8" s="5">
        <v>4977114800443</v>
      </c>
      <c r="H8" s="5"/>
      <c r="I8" s="5"/>
      <c r="J8" s="5">
        <v>1</v>
      </c>
      <c r="K8" s="5">
        <v>1</v>
      </c>
      <c r="L8" s="4">
        <v>26000</v>
      </c>
      <c r="M8" s="4">
        <v>17328</v>
      </c>
      <c r="N8" s="4">
        <v>12220</v>
      </c>
      <c r="O8" s="6">
        <f t="shared" si="1"/>
        <v>0.29478301015697139</v>
      </c>
      <c r="P8" s="4" t="s">
        <v>175</v>
      </c>
      <c r="Q8" s="4" t="s">
        <v>175</v>
      </c>
      <c r="R8" s="4" t="s">
        <v>175</v>
      </c>
      <c r="S8" s="4">
        <v>34000</v>
      </c>
      <c r="T8" s="4">
        <f t="shared" si="2"/>
        <v>34000</v>
      </c>
      <c r="U8" s="4">
        <v>15980</v>
      </c>
      <c r="V8" s="4">
        <f t="shared" si="3"/>
        <v>15980</v>
      </c>
      <c r="W8" s="4"/>
      <c r="X8" s="21">
        <f t="shared" si="4"/>
        <v>22660</v>
      </c>
      <c r="Y8" s="6">
        <f t="shared" si="5"/>
        <v>0.29479258605472203</v>
      </c>
      <c r="Z8" s="4">
        <v>0.25</v>
      </c>
      <c r="AA8" s="4">
        <f t="shared" si="6"/>
        <v>17619</v>
      </c>
      <c r="AB8" s="4">
        <f t="shared" si="7"/>
        <v>23040.23076923077</v>
      </c>
      <c r="AC8" s="6">
        <f t="shared" si="8"/>
        <v>0.30643055792042684</v>
      </c>
      <c r="AD8" s="4"/>
      <c r="AE8" s="7">
        <v>23000</v>
      </c>
      <c r="AF8" s="6">
        <f t="shared" si="9"/>
        <v>0.30521739130434777</v>
      </c>
      <c r="AG8" s="4">
        <f t="shared" si="10"/>
        <v>7020</v>
      </c>
      <c r="AH8" s="28"/>
      <c r="AI8" s="6"/>
      <c r="AJ8" s="6"/>
      <c r="AK8" s="6">
        <f t="shared" si="11"/>
        <v>1.3076923076923077</v>
      </c>
      <c r="AL8" s="6">
        <f t="shared" si="12"/>
        <v>1.3273314866112651</v>
      </c>
      <c r="AM8" s="6">
        <f t="shared" si="13"/>
        <v>1.3076923076923077</v>
      </c>
      <c r="AN8" s="4" t="str">
        <f t="shared" si="15"/>
        <v>-</v>
      </c>
      <c r="AO8" s="4" t="str">
        <f t="shared" si="16"/>
        <v>-</v>
      </c>
      <c r="AP8" s="4" t="str">
        <f t="shared" si="17"/>
        <v>-</v>
      </c>
      <c r="AQ8" s="4" t="s">
        <v>108</v>
      </c>
      <c r="AR8" s="4" t="s">
        <v>229</v>
      </c>
      <c r="AS8" s="4"/>
      <c r="AT8" s="4"/>
      <c r="AU8" s="4" t="s">
        <v>226</v>
      </c>
      <c r="AV8" s="4">
        <v>17619</v>
      </c>
      <c r="AW8" s="4">
        <f t="shared" si="14"/>
        <v>17619</v>
      </c>
      <c r="AX8" s="19">
        <v>2</v>
      </c>
      <c r="AY8" s="19">
        <v>1</v>
      </c>
      <c r="AZ8" s="16">
        <v>19</v>
      </c>
      <c r="BA8">
        <v>16900</v>
      </c>
      <c r="BB8">
        <v>17799</v>
      </c>
      <c r="BC8" t="s">
        <v>179</v>
      </c>
      <c r="BD8" t="s">
        <v>278</v>
      </c>
    </row>
    <row r="9" spans="1:56" x14ac:dyDescent="0.4">
      <c r="A9" s="34">
        <v>5</v>
      </c>
      <c r="B9" s="3">
        <v>5</v>
      </c>
      <c r="C9" s="17">
        <v>172166</v>
      </c>
      <c r="D9" s="4" t="str">
        <f t="shared" si="0"/>
        <v>172166</v>
      </c>
      <c r="E9" s="4">
        <v>172166</v>
      </c>
      <c r="F9" s="4" t="s">
        <v>114</v>
      </c>
      <c r="G9" s="5">
        <v>4977114800269</v>
      </c>
      <c r="H9" s="5"/>
      <c r="I9" s="5"/>
      <c r="J9" s="5">
        <v>1</v>
      </c>
      <c r="K9" s="5">
        <v>1</v>
      </c>
      <c r="L9" s="4">
        <v>17000</v>
      </c>
      <c r="M9" s="4">
        <v>11400</v>
      </c>
      <c r="N9" s="4">
        <v>7990</v>
      </c>
      <c r="O9" s="6">
        <f t="shared" si="1"/>
        <v>0.2991228070175439</v>
      </c>
      <c r="P9" s="4" t="s">
        <v>175</v>
      </c>
      <c r="Q9" s="4" t="s">
        <v>175</v>
      </c>
      <c r="R9" s="4" t="s">
        <v>175</v>
      </c>
      <c r="S9" s="4">
        <v>22000</v>
      </c>
      <c r="T9" s="4">
        <f t="shared" si="2"/>
        <v>22000</v>
      </c>
      <c r="U9" s="4">
        <v>10340</v>
      </c>
      <c r="V9" s="4">
        <f t="shared" si="3"/>
        <v>10340</v>
      </c>
      <c r="W9" s="4"/>
      <c r="X9" s="21">
        <f t="shared" si="4"/>
        <v>14753</v>
      </c>
      <c r="Y9" s="6">
        <f t="shared" si="5"/>
        <v>0.29912560157256152</v>
      </c>
      <c r="Z9" s="4">
        <v>0.25</v>
      </c>
      <c r="AA9" s="4">
        <f t="shared" si="6"/>
        <v>10500</v>
      </c>
      <c r="AB9" s="4">
        <f t="shared" si="7"/>
        <v>13588.235294117647</v>
      </c>
      <c r="AC9" s="6">
        <f t="shared" si="8"/>
        <v>0.23904761904761906</v>
      </c>
      <c r="AD9" s="4"/>
      <c r="AE9" s="7">
        <v>13600</v>
      </c>
      <c r="AF9" s="6">
        <f t="shared" si="9"/>
        <v>0.23970588235294121</v>
      </c>
      <c r="AG9" s="4">
        <f t="shared" si="10"/>
        <v>3260</v>
      </c>
      <c r="AH9" s="28"/>
      <c r="AI9" s="6"/>
      <c r="AJ9" s="6"/>
      <c r="AK9" s="6">
        <f t="shared" si="11"/>
        <v>1.2941176470588236</v>
      </c>
      <c r="AL9" s="6">
        <f t="shared" si="12"/>
        <v>1.1929824561403508</v>
      </c>
      <c r="AM9" s="6">
        <f t="shared" si="13"/>
        <v>1.2941176470588236</v>
      </c>
      <c r="AN9" s="4" t="str">
        <f t="shared" si="15"/>
        <v>-</v>
      </c>
      <c r="AO9" s="4" t="str">
        <f t="shared" si="16"/>
        <v>-</v>
      </c>
      <c r="AP9" s="4" t="str">
        <f t="shared" si="17"/>
        <v>-</v>
      </c>
      <c r="AQ9" s="4" t="s">
        <v>108</v>
      </c>
      <c r="AR9" s="4" t="s">
        <v>230</v>
      </c>
      <c r="AS9" s="4"/>
      <c r="AT9" s="4"/>
      <c r="AU9" s="4" t="s">
        <v>228</v>
      </c>
      <c r="AV9" s="4">
        <v>10500</v>
      </c>
      <c r="AW9" s="4">
        <f t="shared" si="14"/>
        <v>10500</v>
      </c>
      <c r="AX9" s="19">
        <v>2</v>
      </c>
      <c r="AY9" s="19">
        <v>8</v>
      </c>
      <c r="AZ9" s="16">
        <v>19</v>
      </c>
      <c r="BA9">
        <v>13600</v>
      </c>
      <c r="BB9" t="s">
        <v>175</v>
      </c>
      <c r="BC9" t="s">
        <v>180</v>
      </c>
      <c r="BD9" t="s">
        <v>278</v>
      </c>
    </row>
    <row r="10" spans="1:56" x14ac:dyDescent="0.4">
      <c r="A10" s="34">
        <v>6</v>
      </c>
      <c r="B10" s="3">
        <v>6</v>
      </c>
      <c r="C10" s="4">
        <v>172168</v>
      </c>
      <c r="D10" s="4" t="str">
        <f t="shared" si="0"/>
        <v>172168</v>
      </c>
      <c r="E10" s="4">
        <v>172168</v>
      </c>
      <c r="F10" s="4" t="s">
        <v>115</v>
      </c>
      <c r="G10" s="5">
        <v>4977114800283</v>
      </c>
      <c r="H10" s="5"/>
      <c r="I10" s="5"/>
      <c r="J10" s="5">
        <v>1</v>
      </c>
      <c r="K10" s="5">
        <v>1</v>
      </c>
      <c r="L10" s="4">
        <v>24000</v>
      </c>
      <c r="M10" s="4">
        <v>16000</v>
      </c>
      <c r="N10" s="4">
        <v>11280</v>
      </c>
      <c r="O10" s="6">
        <f t="shared" si="1"/>
        <v>0.29500000000000004</v>
      </c>
      <c r="P10" s="4" t="s">
        <v>175</v>
      </c>
      <c r="Q10" s="4" t="s">
        <v>175</v>
      </c>
      <c r="R10" s="4" t="s">
        <v>175</v>
      </c>
      <c r="S10" s="4">
        <v>30000</v>
      </c>
      <c r="T10" s="4">
        <f t="shared" si="2"/>
        <v>30000</v>
      </c>
      <c r="U10" s="4">
        <v>14100</v>
      </c>
      <c r="V10" s="4">
        <f t="shared" si="3"/>
        <v>14100</v>
      </c>
      <c r="W10" s="4"/>
      <c r="X10" s="21">
        <f t="shared" si="4"/>
        <v>20000</v>
      </c>
      <c r="Y10" s="6">
        <f t="shared" si="5"/>
        <v>0.29500000000000004</v>
      </c>
      <c r="Z10" s="4">
        <v>0.25</v>
      </c>
      <c r="AA10" s="4">
        <f t="shared" si="6"/>
        <v>15500</v>
      </c>
      <c r="AB10" s="4">
        <f t="shared" si="7"/>
        <v>19375</v>
      </c>
      <c r="AC10" s="6">
        <f t="shared" si="8"/>
        <v>0.27225806451612899</v>
      </c>
      <c r="AD10" s="4"/>
      <c r="AE10" s="7">
        <v>19300</v>
      </c>
      <c r="AF10" s="6">
        <f t="shared" si="9"/>
        <v>0.26943005181347146</v>
      </c>
      <c r="AG10" s="4">
        <f t="shared" si="10"/>
        <v>5200</v>
      </c>
      <c r="AH10" s="28"/>
      <c r="AI10" s="6"/>
      <c r="AJ10" s="6"/>
      <c r="AK10" s="6">
        <f t="shared" si="11"/>
        <v>1.25</v>
      </c>
      <c r="AL10" s="6">
        <f t="shared" si="12"/>
        <v>1.20625</v>
      </c>
      <c r="AM10" s="6">
        <f t="shared" si="13"/>
        <v>1.25</v>
      </c>
      <c r="AN10" s="4" t="str">
        <f t="shared" si="15"/>
        <v>-</v>
      </c>
      <c r="AO10" s="4" t="str">
        <f t="shared" si="16"/>
        <v>-</v>
      </c>
      <c r="AP10" s="4" t="str">
        <f t="shared" si="17"/>
        <v>-</v>
      </c>
      <c r="AQ10" s="4" t="s">
        <v>108</v>
      </c>
      <c r="AR10" s="4" t="s">
        <v>231</v>
      </c>
      <c r="AS10" s="4"/>
      <c r="AT10" s="4"/>
      <c r="AU10" s="4" t="s">
        <v>228</v>
      </c>
      <c r="AV10" s="4">
        <v>15500</v>
      </c>
      <c r="AW10" s="4">
        <f t="shared" si="14"/>
        <v>15500</v>
      </c>
      <c r="AX10" s="19">
        <v>2</v>
      </c>
      <c r="AY10" s="19">
        <v>8</v>
      </c>
      <c r="AZ10" s="16">
        <v>19</v>
      </c>
      <c r="BA10">
        <v>19200</v>
      </c>
      <c r="BB10" t="s">
        <v>175</v>
      </c>
      <c r="BC10" t="s">
        <v>181</v>
      </c>
      <c r="BD10" t="s">
        <v>278</v>
      </c>
    </row>
    <row r="11" spans="1:56" x14ac:dyDescent="0.4">
      <c r="A11" s="34">
        <v>7</v>
      </c>
      <c r="B11" s="3">
        <v>7</v>
      </c>
      <c r="C11" s="4">
        <v>172169</v>
      </c>
      <c r="D11" s="4" t="str">
        <f t="shared" si="0"/>
        <v>172169</v>
      </c>
      <c r="E11" s="4">
        <v>172169</v>
      </c>
      <c r="F11" s="4" t="s">
        <v>116</v>
      </c>
      <c r="G11" s="5">
        <v>4977114800276</v>
      </c>
      <c r="H11" s="5"/>
      <c r="I11" s="5"/>
      <c r="J11" s="5">
        <v>1</v>
      </c>
      <c r="K11" s="5">
        <v>1</v>
      </c>
      <c r="L11" s="4">
        <v>30000</v>
      </c>
      <c r="M11" s="4">
        <v>20000</v>
      </c>
      <c r="N11" s="4">
        <v>14100</v>
      </c>
      <c r="O11" s="6">
        <f t="shared" si="1"/>
        <v>0.29500000000000004</v>
      </c>
      <c r="P11" s="4" t="s">
        <v>175</v>
      </c>
      <c r="Q11" s="4" t="s">
        <v>175</v>
      </c>
      <c r="R11" s="4" t="s">
        <v>175</v>
      </c>
      <c r="S11" s="4">
        <v>38000</v>
      </c>
      <c r="T11" s="4">
        <f t="shared" si="2"/>
        <v>38000</v>
      </c>
      <c r="U11" s="4">
        <v>17860</v>
      </c>
      <c r="V11" s="4">
        <f t="shared" si="3"/>
        <v>17860</v>
      </c>
      <c r="W11" s="4"/>
      <c r="X11" s="21">
        <f t="shared" si="4"/>
        <v>25333</v>
      </c>
      <c r="Y11" s="6">
        <f t="shared" si="5"/>
        <v>0.29499072356215217</v>
      </c>
      <c r="Z11" s="4">
        <v>0.5</v>
      </c>
      <c r="AA11" s="4">
        <f t="shared" si="6"/>
        <v>19500</v>
      </c>
      <c r="AB11" s="4">
        <f t="shared" si="7"/>
        <v>24700</v>
      </c>
      <c r="AC11" s="6">
        <f t="shared" si="8"/>
        <v>0.27692307692307694</v>
      </c>
      <c r="AD11" s="4"/>
      <c r="AE11" s="7">
        <v>24700</v>
      </c>
      <c r="AF11" s="6">
        <f t="shared" si="9"/>
        <v>0.27692307692307694</v>
      </c>
      <c r="AG11" s="4">
        <f t="shared" si="10"/>
        <v>6840</v>
      </c>
      <c r="AH11" s="28"/>
      <c r="AI11" s="6"/>
      <c r="AJ11" s="6"/>
      <c r="AK11" s="6">
        <f t="shared" si="11"/>
        <v>1.2666666666666666</v>
      </c>
      <c r="AL11" s="6">
        <f t="shared" si="12"/>
        <v>1.2350000000000001</v>
      </c>
      <c r="AM11" s="6">
        <f t="shared" si="13"/>
        <v>1.2666666666666666</v>
      </c>
      <c r="AN11" s="4" t="str">
        <f t="shared" si="15"/>
        <v>-</v>
      </c>
      <c r="AO11" s="4" t="str">
        <f t="shared" si="16"/>
        <v>-</v>
      </c>
      <c r="AP11" s="4" t="str">
        <f t="shared" si="17"/>
        <v>-</v>
      </c>
      <c r="AQ11" s="4" t="s">
        <v>108</v>
      </c>
      <c r="AR11" s="4" t="s">
        <v>232</v>
      </c>
      <c r="AS11" s="4"/>
      <c r="AT11" s="4"/>
      <c r="AU11" s="4" t="s">
        <v>228</v>
      </c>
      <c r="AV11" s="4">
        <v>19500</v>
      </c>
      <c r="AW11" s="4">
        <f t="shared" si="14"/>
        <v>19500</v>
      </c>
      <c r="AX11" s="19">
        <v>2</v>
      </c>
      <c r="AY11" s="19">
        <v>8</v>
      </c>
      <c r="AZ11" s="16">
        <v>19</v>
      </c>
      <c r="BA11" t="s">
        <v>175</v>
      </c>
      <c r="BB11" t="s">
        <v>175</v>
      </c>
      <c r="BC11" t="s">
        <v>182</v>
      </c>
      <c r="BD11" t="s">
        <v>278</v>
      </c>
    </row>
    <row r="12" spans="1:56" x14ac:dyDescent="0.4">
      <c r="A12" s="34">
        <v>8</v>
      </c>
      <c r="B12" s="3">
        <v>8</v>
      </c>
      <c r="C12" s="4">
        <v>172175</v>
      </c>
      <c r="D12" s="4" t="str">
        <f t="shared" si="0"/>
        <v>172175</v>
      </c>
      <c r="E12" s="4">
        <v>172175</v>
      </c>
      <c r="F12" s="4" t="s">
        <v>117</v>
      </c>
      <c r="G12" s="5">
        <v>4977114800290</v>
      </c>
      <c r="H12" s="5"/>
      <c r="I12" s="5"/>
      <c r="J12" s="5">
        <v>1</v>
      </c>
      <c r="K12" s="5">
        <v>1</v>
      </c>
      <c r="L12" s="4">
        <v>43000</v>
      </c>
      <c r="M12" s="4">
        <v>29000</v>
      </c>
      <c r="N12" s="4">
        <v>20210</v>
      </c>
      <c r="O12" s="6">
        <f t="shared" si="1"/>
        <v>0.30310344827586211</v>
      </c>
      <c r="P12" s="4" t="s">
        <v>175</v>
      </c>
      <c r="Q12" s="4" t="s">
        <v>175</v>
      </c>
      <c r="R12" s="4" t="s">
        <v>175</v>
      </c>
      <c r="S12" s="4">
        <v>54000</v>
      </c>
      <c r="T12" s="4">
        <f t="shared" si="2"/>
        <v>54000</v>
      </c>
      <c r="U12" s="4">
        <v>25380</v>
      </c>
      <c r="V12" s="4">
        <f t="shared" si="3"/>
        <v>25380</v>
      </c>
      <c r="W12" s="4"/>
      <c r="X12" s="21">
        <f t="shared" si="4"/>
        <v>36419</v>
      </c>
      <c r="Y12" s="6">
        <f t="shared" si="5"/>
        <v>0.30311101348197367</v>
      </c>
      <c r="Z12" s="4">
        <v>0</v>
      </c>
      <c r="AA12" s="4">
        <f t="shared" si="6"/>
        <v>28500</v>
      </c>
      <c r="AB12" s="4">
        <f t="shared" si="7"/>
        <v>35790.697674418603</v>
      </c>
      <c r="AC12" s="6">
        <f t="shared" si="8"/>
        <v>0.29087719298245607</v>
      </c>
      <c r="AD12" s="4"/>
      <c r="AE12" s="7">
        <v>35700</v>
      </c>
      <c r="AF12" s="6">
        <f t="shared" si="9"/>
        <v>0.28907563025210081</v>
      </c>
      <c r="AG12" s="4">
        <f t="shared" si="10"/>
        <v>10320</v>
      </c>
      <c r="AH12" s="28"/>
      <c r="AI12" s="6"/>
      <c r="AJ12" s="6"/>
      <c r="AK12" s="6">
        <f t="shared" si="11"/>
        <v>1.2558139534883721</v>
      </c>
      <c r="AL12" s="6">
        <f t="shared" si="12"/>
        <v>1.2310344827586206</v>
      </c>
      <c r="AM12" s="6">
        <f t="shared" si="13"/>
        <v>1.2558139534883721</v>
      </c>
      <c r="AN12" s="4" t="str">
        <f t="shared" si="15"/>
        <v>-</v>
      </c>
      <c r="AO12" s="4" t="str">
        <f t="shared" si="16"/>
        <v>-</v>
      </c>
      <c r="AP12" s="4" t="str">
        <f t="shared" si="17"/>
        <v>-</v>
      </c>
      <c r="AQ12" s="4" t="s">
        <v>108</v>
      </c>
      <c r="AR12" s="4" t="s">
        <v>233</v>
      </c>
      <c r="AS12" s="4"/>
      <c r="AT12" s="4"/>
      <c r="AU12" s="4" t="s">
        <v>228</v>
      </c>
      <c r="AV12" s="4">
        <v>28500</v>
      </c>
      <c r="AW12" s="4">
        <f t="shared" si="14"/>
        <v>28500</v>
      </c>
      <c r="AX12" s="19">
        <v>2</v>
      </c>
      <c r="AY12" s="19">
        <v>8</v>
      </c>
      <c r="AZ12" s="16">
        <v>19</v>
      </c>
      <c r="BA12">
        <v>34400</v>
      </c>
      <c r="BB12" t="s">
        <v>175</v>
      </c>
      <c r="BC12" t="s">
        <v>183</v>
      </c>
      <c r="BD12" t="s">
        <v>278</v>
      </c>
    </row>
    <row r="13" spans="1:56" x14ac:dyDescent="0.4">
      <c r="A13" s="34">
        <v>9</v>
      </c>
      <c r="B13" s="3">
        <v>9</v>
      </c>
      <c r="C13" s="4">
        <v>172176</v>
      </c>
      <c r="D13" s="4" t="str">
        <f t="shared" si="0"/>
        <v>172176</v>
      </c>
      <c r="E13" s="4">
        <v>172176</v>
      </c>
      <c r="F13" s="4" t="s">
        <v>118</v>
      </c>
      <c r="G13" s="5">
        <v>4977114800382</v>
      </c>
      <c r="H13" s="5"/>
      <c r="I13" s="5"/>
      <c r="J13" s="5">
        <v>1</v>
      </c>
      <c r="K13" s="5">
        <v>1</v>
      </c>
      <c r="L13" s="4">
        <v>16000</v>
      </c>
      <c r="M13" s="4">
        <v>10710</v>
      </c>
      <c r="N13" s="4">
        <v>7520</v>
      </c>
      <c r="O13" s="6">
        <f t="shared" si="1"/>
        <v>0.29785247432306261</v>
      </c>
      <c r="P13" s="4" t="s">
        <v>175</v>
      </c>
      <c r="Q13" s="4" t="s">
        <v>175</v>
      </c>
      <c r="R13" s="4" t="s">
        <v>175</v>
      </c>
      <c r="S13" s="4">
        <v>20000</v>
      </c>
      <c r="T13" s="4">
        <f t="shared" si="2"/>
        <v>20000</v>
      </c>
      <c r="U13" s="4">
        <v>9400</v>
      </c>
      <c r="V13" s="4">
        <f t="shared" si="3"/>
        <v>9400</v>
      </c>
      <c r="W13" s="4"/>
      <c r="X13" s="21">
        <f t="shared" si="4"/>
        <v>13388</v>
      </c>
      <c r="Y13" s="6">
        <f t="shared" si="5"/>
        <v>0.29787869734090233</v>
      </c>
      <c r="Z13" s="4">
        <v>0.5</v>
      </c>
      <c r="AA13" s="4">
        <f t="shared" si="6"/>
        <v>10528</v>
      </c>
      <c r="AB13" s="4">
        <f t="shared" si="7"/>
        <v>13160</v>
      </c>
      <c r="AC13" s="6">
        <f t="shared" si="8"/>
        <v>0.2857142857142857</v>
      </c>
      <c r="AD13" s="4"/>
      <c r="AE13" s="7">
        <v>13100</v>
      </c>
      <c r="AF13" s="6">
        <f t="shared" si="9"/>
        <v>0.28244274809160308</v>
      </c>
      <c r="AG13" s="4">
        <f t="shared" si="10"/>
        <v>3700</v>
      </c>
      <c r="AH13" s="28"/>
      <c r="AI13" s="6"/>
      <c r="AJ13" s="6"/>
      <c r="AK13" s="6">
        <f t="shared" si="11"/>
        <v>1.25</v>
      </c>
      <c r="AL13" s="6">
        <f t="shared" si="12"/>
        <v>1.2231559290382821</v>
      </c>
      <c r="AM13" s="6">
        <f t="shared" si="13"/>
        <v>1.25</v>
      </c>
      <c r="AN13" s="4" t="str">
        <f t="shared" si="15"/>
        <v>-</v>
      </c>
      <c r="AO13" s="4" t="str">
        <f t="shared" si="16"/>
        <v>-</v>
      </c>
      <c r="AP13" s="4" t="str">
        <f t="shared" si="17"/>
        <v>-</v>
      </c>
      <c r="AQ13" s="4" t="s">
        <v>108</v>
      </c>
      <c r="AR13" s="4" t="s">
        <v>234</v>
      </c>
      <c r="AS13" s="4"/>
      <c r="AT13" s="4"/>
      <c r="AU13" s="4" t="s">
        <v>226</v>
      </c>
      <c r="AV13" s="4">
        <v>10528</v>
      </c>
      <c r="AW13" s="4">
        <f t="shared" si="14"/>
        <v>10528</v>
      </c>
      <c r="AX13" s="19">
        <v>2</v>
      </c>
      <c r="AY13" s="19">
        <v>1</v>
      </c>
      <c r="AZ13" s="16">
        <v>19</v>
      </c>
      <c r="BA13">
        <v>10400</v>
      </c>
      <c r="BB13">
        <v>11199</v>
      </c>
      <c r="BC13" t="s">
        <v>184</v>
      </c>
      <c r="BD13" t="s">
        <v>278</v>
      </c>
    </row>
    <row r="14" spans="1:56" x14ac:dyDescent="0.4">
      <c r="A14" s="34">
        <v>10</v>
      </c>
      <c r="B14" s="3">
        <v>10</v>
      </c>
      <c r="C14" s="4">
        <v>651035</v>
      </c>
      <c r="D14" s="4" t="str">
        <f t="shared" si="0"/>
        <v>651035</v>
      </c>
      <c r="E14" s="4">
        <v>651035</v>
      </c>
      <c r="F14" s="4" t="s">
        <v>119</v>
      </c>
      <c r="G14" s="5">
        <v>4977114816055</v>
      </c>
      <c r="H14" s="5"/>
      <c r="I14" s="5"/>
      <c r="J14" s="5">
        <v>1</v>
      </c>
      <c r="K14" s="5">
        <v>1</v>
      </c>
      <c r="L14" s="4">
        <v>2500</v>
      </c>
      <c r="M14" s="4">
        <v>1815</v>
      </c>
      <c r="N14" s="4">
        <v>1175</v>
      </c>
      <c r="O14" s="6">
        <f t="shared" si="1"/>
        <v>0.35261707988980717</v>
      </c>
      <c r="P14" s="4" t="s">
        <v>175</v>
      </c>
      <c r="Q14" s="4" t="s">
        <v>175</v>
      </c>
      <c r="R14" s="4" t="s">
        <v>175</v>
      </c>
      <c r="S14" s="4">
        <v>3200</v>
      </c>
      <c r="T14" s="4">
        <f t="shared" si="2"/>
        <v>3200</v>
      </c>
      <c r="U14" s="4">
        <v>1504</v>
      </c>
      <c r="V14" s="4">
        <f t="shared" si="3"/>
        <v>1504</v>
      </c>
      <c r="W14" s="4"/>
      <c r="X14" s="21">
        <f t="shared" si="4"/>
        <v>2323</v>
      </c>
      <c r="Y14" s="6">
        <f t="shared" si="5"/>
        <v>0.35256134309083087</v>
      </c>
      <c r="Z14" s="4">
        <v>1</v>
      </c>
      <c r="AA14" s="4" t="str">
        <f t="shared" si="6"/>
        <v>-</v>
      </c>
      <c r="AB14" s="4" t="e">
        <f t="shared" si="7"/>
        <v>#VALUE!</v>
      </c>
      <c r="AC14" s="6" t="e">
        <f t="shared" si="8"/>
        <v>#VALUE!</v>
      </c>
      <c r="AD14" s="4"/>
      <c r="AE14" s="7">
        <v>2480</v>
      </c>
      <c r="AF14" s="6">
        <f t="shared" si="9"/>
        <v>0.3935483870967742</v>
      </c>
      <c r="AG14" s="4">
        <f t="shared" si="10"/>
        <v>976</v>
      </c>
      <c r="AH14" s="28"/>
      <c r="AI14" s="6"/>
      <c r="AJ14" s="6"/>
      <c r="AK14" s="6">
        <f t="shared" si="11"/>
        <v>1.28</v>
      </c>
      <c r="AL14" s="6">
        <f t="shared" si="12"/>
        <v>1.3663911845730028</v>
      </c>
      <c r="AM14" s="6">
        <f t="shared" si="13"/>
        <v>1.28</v>
      </c>
      <c r="AN14" s="4" t="str">
        <f t="shared" si="15"/>
        <v>-</v>
      </c>
      <c r="AO14" s="4" t="str">
        <f t="shared" si="16"/>
        <v>-</v>
      </c>
      <c r="AP14" s="4" t="str">
        <f t="shared" si="17"/>
        <v>-</v>
      </c>
      <c r="AQ14" s="4" t="s">
        <v>109</v>
      </c>
      <c r="AR14" s="4" t="s">
        <v>175</v>
      </c>
      <c r="AS14" s="4"/>
      <c r="AT14" s="4"/>
      <c r="AU14" s="4" t="s">
        <v>175</v>
      </c>
      <c r="AV14" s="4" t="s">
        <v>175</v>
      </c>
      <c r="AW14" s="4" t="str">
        <f t="shared" si="14"/>
        <v>-</v>
      </c>
      <c r="AX14" s="19">
        <v>2</v>
      </c>
      <c r="AY14" s="19">
        <v>1</v>
      </c>
      <c r="AZ14" s="16">
        <v>19</v>
      </c>
      <c r="BA14" t="s">
        <v>175</v>
      </c>
      <c r="BB14">
        <v>2500</v>
      </c>
      <c r="BC14" t="s">
        <v>175</v>
      </c>
      <c r="BD14" t="s">
        <v>278</v>
      </c>
    </row>
    <row r="15" spans="1:56" x14ac:dyDescent="0.4">
      <c r="A15" s="3">
        <v>11</v>
      </c>
      <c r="B15" s="3">
        <v>11</v>
      </c>
      <c r="C15" s="4">
        <v>651036</v>
      </c>
      <c r="D15" s="4" t="str">
        <f t="shared" si="0"/>
        <v>651036</v>
      </c>
      <c r="E15" s="4">
        <v>651036</v>
      </c>
      <c r="F15" s="4" t="s">
        <v>120</v>
      </c>
      <c r="G15" s="5">
        <v>4977114816093</v>
      </c>
      <c r="H15" s="5"/>
      <c r="I15" s="5"/>
      <c r="J15" s="5">
        <v>1</v>
      </c>
      <c r="K15" s="5">
        <v>1</v>
      </c>
      <c r="L15" s="4">
        <v>1600</v>
      </c>
      <c r="M15" s="4">
        <v>1202</v>
      </c>
      <c r="N15" s="4">
        <v>752</v>
      </c>
      <c r="O15" s="6">
        <f t="shared" si="1"/>
        <v>0.37437603993344426</v>
      </c>
      <c r="P15" s="4" t="s">
        <v>175</v>
      </c>
      <c r="Q15" s="4" t="s">
        <v>175</v>
      </c>
      <c r="R15" s="4" t="s">
        <v>175</v>
      </c>
      <c r="S15" s="4">
        <v>2000</v>
      </c>
      <c r="T15" s="4">
        <f t="shared" si="2"/>
        <v>2000</v>
      </c>
      <c r="U15" s="4">
        <v>940</v>
      </c>
      <c r="V15" s="4">
        <f t="shared" si="3"/>
        <v>940</v>
      </c>
      <c r="W15" s="4"/>
      <c r="X15" s="21">
        <f t="shared" si="4"/>
        <v>1503</v>
      </c>
      <c r="Y15" s="6">
        <f t="shared" si="5"/>
        <v>0.3745841650033267</v>
      </c>
      <c r="Z15" s="4">
        <v>3.5000000000000004</v>
      </c>
      <c r="AA15" s="4" t="str">
        <f t="shared" si="6"/>
        <v>-</v>
      </c>
      <c r="AB15" s="4" t="e">
        <f t="shared" si="7"/>
        <v>#VALUE!</v>
      </c>
      <c r="AC15" s="6" t="e">
        <f t="shared" si="8"/>
        <v>#VALUE!</v>
      </c>
      <c r="AD15" s="4"/>
      <c r="AE15" s="7">
        <v>1580</v>
      </c>
      <c r="AF15" s="6">
        <f t="shared" si="9"/>
        <v>0.40506329113924056</v>
      </c>
      <c r="AG15" s="4">
        <f t="shared" si="10"/>
        <v>640</v>
      </c>
      <c r="AH15" s="28"/>
      <c r="AI15" s="6"/>
      <c r="AJ15" s="6"/>
      <c r="AK15" s="6">
        <f t="shared" si="11"/>
        <v>1.25</v>
      </c>
      <c r="AL15" s="6">
        <f t="shared" si="12"/>
        <v>1.3144758735440931</v>
      </c>
      <c r="AM15" s="6">
        <f t="shared" si="13"/>
        <v>1.25</v>
      </c>
      <c r="AN15" s="4" t="str">
        <f t="shared" si="15"/>
        <v>-</v>
      </c>
      <c r="AO15" s="4" t="str">
        <f t="shared" si="16"/>
        <v>-</v>
      </c>
      <c r="AP15" s="4" t="str">
        <f t="shared" si="17"/>
        <v>-</v>
      </c>
      <c r="AQ15" s="4" t="s">
        <v>109</v>
      </c>
      <c r="AR15" s="4" t="s">
        <v>175</v>
      </c>
      <c r="AS15" s="4"/>
      <c r="AT15" s="4"/>
      <c r="AU15" s="4" t="s">
        <v>175</v>
      </c>
      <c r="AV15" s="4" t="s">
        <v>175</v>
      </c>
      <c r="AW15" s="4" t="str">
        <f t="shared" si="14"/>
        <v>-</v>
      </c>
      <c r="AX15" s="19">
        <v>4</v>
      </c>
      <c r="AY15" s="19">
        <v>1</v>
      </c>
      <c r="AZ15" s="16">
        <v>19</v>
      </c>
      <c r="BA15" t="s">
        <v>175</v>
      </c>
      <c r="BB15">
        <v>1600</v>
      </c>
      <c r="BC15" t="s">
        <v>175</v>
      </c>
      <c r="BD15" t="s">
        <v>278</v>
      </c>
    </row>
    <row r="16" spans="1:56" x14ac:dyDescent="0.4">
      <c r="A16" s="34">
        <v>12</v>
      </c>
      <c r="B16" s="3">
        <v>12</v>
      </c>
      <c r="C16" s="4">
        <v>651038</v>
      </c>
      <c r="D16" s="4" t="str">
        <f t="shared" si="0"/>
        <v>651038</v>
      </c>
      <c r="E16" s="4">
        <v>651038</v>
      </c>
      <c r="F16" s="4" t="s">
        <v>121</v>
      </c>
      <c r="G16" s="5">
        <v>4977114816185</v>
      </c>
      <c r="H16" s="5"/>
      <c r="I16" s="5"/>
      <c r="J16" s="5">
        <v>1</v>
      </c>
      <c r="K16" s="5">
        <v>1</v>
      </c>
      <c r="L16" s="4">
        <v>2800</v>
      </c>
      <c r="M16" s="4">
        <v>2143</v>
      </c>
      <c r="N16" s="4">
        <v>1316</v>
      </c>
      <c r="O16" s="6">
        <f t="shared" si="1"/>
        <v>0.38590760615958941</v>
      </c>
      <c r="P16" s="4" t="s">
        <v>175</v>
      </c>
      <c r="Q16" s="4" t="s">
        <v>175</v>
      </c>
      <c r="R16" s="4" t="s">
        <v>175</v>
      </c>
      <c r="S16" s="4">
        <v>3500</v>
      </c>
      <c r="T16" s="4">
        <f t="shared" si="2"/>
        <v>3500</v>
      </c>
      <c r="U16" s="4">
        <v>1645</v>
      </c>
      <c r="V16" s="4">
        <f t="shared" si="3"/>
        <v>1645</v>
      </c>
      <c r="W16" s="4"/>
      <c r="X16" s="21">
        <f t="shared" si="4"/>
        <v>2679</v>
      </c>
      <c r="Y16" s="6">
        <f t="shared" si="5"/>
        <v>0.38596491228070173</v>
      </c>
      <c r="Z16" s="4">
        <v>5.25</v>
      </c>
      <c r="AA16" s="4" t="str">
        <f t="shared" si="6"/>
        <v>-</v>
      </c>
      <c r="AB16" s="4" t="e">
        <f t="shared" si="7"/>
        <v>#VALUE!</v>
      </c>
      <c r="AC16" s="6" t="e">
        <f t="shared" si="8"/>
        <v>#VALUE!</v>
      </c>
      <c r="AD16" s="4"/>
      <c r="AE16" s="7">
        <v>2680</v>
      </c>
      <c r="AF16" s="6">
        <f t="shared" si="9"/>
        <v>0.38619402985074625</v>
      </c>
      <c r="AG16" s="4">
        <f t="shared" si="10"/>
        <v>1035</v>
      </c>
      <c r="AH16" s="28"/>
      <c r="AI16" s="6"/>
      <c r="AJ16" s="6"/>
      <c r="AK16" s="6">
        <f t="shared" si="11"/>
        <v>1.25</v>
      </c>
      <c r="AL16" s="6">
        <f t="shared" si="12"/>
        <v>1.250583294447037</v>
      </c>
      <c r="AM16" s="6">
        <f t="shared" si="13"/>
        <v>1.25</v>
      </c>
      <c r="AN16" s="4" t="str">
        <f t="shared" si="15"/>
        <v>-</v>
      </c>
      <c r="AO16" s="4" t="str">
        <f t="shared" si="16"/>
        <v>-</v>
      </c>
      <c r="AP16" s="4" t="str">
        <f t="shared" si="17"/>
        <v>-</v>
      </c>
      <c r="AQ16" s="4" t="s">
        <v>109</v>
      </c>
      <c r="AR16" s="4" t="s">
        <v>175</v>
      </c>
      <c r="AS16" s="4"/>
      <c r="AT16" s="4"/>
      <c r="AU16" s="4" t="s">
        <v>175</v>
      </c>
      <c r="AV16" s="4" t="s">
        <v>175</v>
      </c>
      <c r="AW16" s="4" t="str">
        <f t="shared" si="14"/>
        <v>-</v>
      </c>
      <c r="AX16" s="19">
        <v>2</v>
      </c>
      <c r="AY16" s="19">
        <v>1</v>
      </c>
      <c r="AZ16" s="16">
        <v>19</v>
      </c>
      <c r="BA16" t="s">
        <v>175</v>
      </c>
      <c r="BB16">
        <v>2800</v>
      </c>
      <c r="BC16" t="s">
        <v>175</v>
      </c>
      <c r="BD16" t="s">
        <v>278</v>
      </c>
    </row>
    <row r="17" spans="1:56" x14ac:dyDescent="0.4">
      <c r="A17" s="3">
        <v>13</v>
      </c>
      <c r="B17" s="3">
        <v>13</v>
      </c>
      <c r="C17" s="4">
        <v>651039</v>
      </c>
      <c r="D17" s="4" t="str">
        <f t="shared" si="0"/>
        <v>651039</v>
      </c>
      <c r="E17" s="4">
        <v>651039</v>
      </c>
      <c r="F17" s="4" t="s">
        <v>122</v>
      </c>
      <c r="G17" s="5">
        <v>4977114816222</v>
      </c>
      <c r="H17" s="5"/>
      <c r="I17" s="5"/>
      <c r="J17" s="5">
        <v>1</v>
      </c>
      <c r="K17" s="5">
        <v>1</v>
      </c>
      <c r="L17" s="4">
        <v>2000</v>
      </c>
      <c r="M17" s="4">
        <v>1524</v>
      </c>
      <c r="N17" s="4">
        <v>940</v>
      </c>
      <c r="O17" s="6">
        <f t="shared" si="1"/>
        <v>0.38320209973753283</v>
      </c>
      <c r="P17" s="4" t="s">
        <v>175</v>
      </c>
      <c r="Q17" s="4" t="s">
        <v>175</v>
      </c>
      <c r="R17" s="4" t="s">
        <v>175</v>
      </c>
      <c r="S17" s="4">
        <v>2500</v>
      </c>
      <c r="T17" s="4">
        <f t="shared" si="2"/>
        <v>2500</v>
      </c>
      <c r="U17" s="4">
        <v>1175</v>
      </c>
      <c r="V17" s="4">
        <f t="shared" si="3"/>
        <v>1175</v>
      </c>
      <c r="W17" s="4"/>
      <c r="X17" s="21">
        <f t="shared" si="4"/>
        <v>1905</v>
      </c>
      <c r="Y17" s="6">
        <f t="shared" si="5"/>
        <v>0.38320209973753283</v>
      </c>
      <c r="Z17" s="4">
        <v>1.5</v>
      </c>
      <c r="AA17" s="4" t="str">
        <f t="shared" si="6"/>
        <v>-</v>
      </c>
      <c r="AB17" s="4" t="e">
        <f t="shared" si="7"/>
        <v>#VALUE!</v>
      </c>
      <c r="AC17" s="6" t="e">
        <f t="shared" si="8"/>
        <v>#VALUE!</v>
      </c>
      <c r="AD17" s="4"/>
      <c r="AE17" s="7">
        <v>1980</v>
      </c>
      <c r="AF17" s="6">
        <f t="shared" si="9"/>
        <v>0.40656565656565657</v>
      </c>
      <c r="AG17" s="4">
        <f t="shared" si="10"/>
        <v>805</v>
      </c>
      <c r="AH17" s="28"/>
      <c r="AI17" s="6"/>
      <c r="AJ17" s="6"/>
      <c r="AK17" s="6">
        <f t="shared" si="11"/>
        <v>1.25</v>
      </c>
      <c r="AL17" s="6">
        <f t="shared" si="12"/>
        <v>1.2992125984251968</v>
      </c>
      <c r="AM17" s="6">
        <f t="shared" si="13"/>
        <v>1.25</v>
      </c>
      <c r="AN17" s="4" t="str">
        <f t="shared" si="15"/>
        <v>-</v>
      </c>
      <c r="AO17" s="4" t="str">
        <f t="shared" si="16"/>
        <v>-</v>
      </c>
      <c r="AP17" s="4" t="str">
        <f t="shared" si="17"/>
        <v>-</v>
      </c>
      <c r="AQ17" s="4" t="s">
        <v>109</v>
      </c>
      <c r="AR17" s="4" t="s">
        <v>175</v>
      </c>
      <c r="AS17" s="4"/>
      <c r="AT17" s="4"/>
      <c r="AU17" s="4" t="s">
        <v>175</v>
      </c>
      <c r="AV17" s="4" t="s">
        <v>175</v>
      </c>
      <c r="AW17" s="4" t="str">
        <f t="shared" si="14"/>
        <v>-</v>
      </c>
      <c r="AX17" s="19">
        <v>4</v>
      </c>
      <c r="AY17" s="19">
        <v>1</v>
      </c>
      <c r="AZ17" s="16">
        <v>19</v>
      </c>
      <c r="BA17" t="s">
        <v>175</v>
      </c>
      <c r="BB17">
        <v>2000</v>
      </c>
      <c r="BC17" t="s">
        <v>175</v>
      </c>
      <c r="BD17" t="s">
        <v>278</v>
      </c>
    </row>
    <row r="18" spans="1:56" x14ac:dyDescent="0.4">
      <c r="A18" s="34">
        <v>14</v>
      </c>
      <c r="B18" s="3">
        <v>14</v>
      </c>
      <c r="C18" s="4">
        <v>675041</v>
      </c>
      <c r="D18" s="4" t="str">
        <f t="shared" si="0"/>
        <v>675041</v>
      </c>
      <c r="E18" s="4">
        <v>675041</v>
      </c>
      <c r="F18" s="4" t="s">
        <v>123</v>
      </c>
      <c r="G18" s="5">
        <v>4977114816017</v>
      </c>
      <c r="H18" s="5"/>
      <c r="I18" s="5"/>
      <c r="J18" s="5">
        <v>1</v>
      </c>
      <c r="K18" s="5">
        <v>1</v>
      </c>
      <c r="L18" s="4">
        <v>3500</v>
      </c>
      <c r="M18" s="4">
        <v>2658</v>
      </c>
      <c r="N18" s="4">
        <v>1645</v>
      </c>
      <c r="O18" s="6">
        <f t="shared" si="1"/>
        <v>0.38111361926260345</v>
      </c>
      <c r="P18" s="4" t="s">
        <v>175</v>
      </c>
      <c r="Q18" s="4" t="s">
        <v>175</v>
      </c>
      <c r="R18" s="4" t="s">
        <v>175</v>
      </c>
      <c r="S18" s="4">
        <v>4400</v>
      </c>
      <c r="T18" s="4">
        <f t="shared" si="2"/>
        <v>4400</v>
      </c>
      <c r="U18" s="4">
        <v>2068</v>
      </c>
      <c r="V18" s="4">
        <f t="shared" si="3"/>
        <v>2068</v>
      </c>
      <c r="W18" s="4"/>
      <c r="X18" s="21">
        <f t="shared" si="4"/>
        <v>3341</v>
      </c>
      <c r="Y18" s="6">
        <f t="shared" si="5"/>
        <v>0.38102364561508528</v>
      </c>
      <c r="Z18" s="4">
        <v>7.5</v>
      </c>
      <c r="AA18" s="4" t="str">
        <f t="shared" si="6"/>
        <v>-</v>
      </c>
      <c r="AB18" s="4" t="e">
        <f t="shared" si="7"/>
        <v>#VALUE!</v>
      </c>
      <c r="AC18" s="6" t="e">
        <f t="shared" si="8"/>
        <v>#VALUE!</v>
      </c>
      <c r="AD18" s="4"/>
      <c r="AE18" s="7">
        <v>3380</v>
      </c>
      <c r="AF18" s="6">
        <f t="shared" si="9"/>
        <v>0.38816568047337274</v>
      </c>
      <c r="AG18" s="4">
        <f t="shared" si="10"/>
        <v>1312</v>
      </c>
      <c r="AH18" s="28"/>
      <c r="AI18" s="6"/>
      <c r="AJ18" s="6"/>
      <c r="AK18" s="6">
        <f t="shared" si="11"/>
        <v>1.2571428571428571</v>
      </c>
      <c r="AL18" s="6">
        <f t="shared" si="12"/>
        <v>1.2716328066215199</v>
      </c>
      <c r="AM18" s="6">
        <f t="shared" si="13"/>
        <v>1.2571428571428571</v>
      </c>
      <c r="AN18" s="4" t="str">
        <f t="shared" si="15"/>
        <v>-</v>
      </c>
      <c r="AO18" s="4" t="str">
        <f t="shared" si="16"/>
        <v>-</v>
      </c>
      <c r="AP18" s="4" t="str">
        <f t="shared" si="17"/>
        <v>-</v>
      </c>
      <c r="AQ18" s="4" t="s">
        <v>109</v>
      </c>
      <c r="AR18" s="4" t="s">
        <v>175</v>
      </c>
      <c r="AS18" s="4"/>
      <c r="AT18" s="4"/>
      <c r="AU18" s="4" t="s">
        <v>175</v>
      </c>
      <c r="AV18" s="4" t="s">
        <v>175</v>
      </c>
      <c r="AW18" s="4" t="str">
        <f t="shared" si="14"/>
        <v>-</v>
      </c>
      <c r="AX18" s="19">
        <v>2</v>
      </c>
      <c r="AY18" s="19">
        <v>1</v>
      </c>
      <c r="AZ18" s="16">
        <v>19</v>
      </c>
      <c r="BA18" t="s">
        <v>175</v>
      </c>
      <c r="BB18">
        <v>3500</v>
      </c>
      <c r="BC18" t="s">
        <v>175</v>
      </c>
      <c r="BD18" t="s">
        <v>278</v>
      </c>
    </row>
    <row r="19" spans="1:56" x14ac:dyDescent="0.4">
      <c r="A19" s="35">
        <v>15</v>
      </c>
      <c r="B19" s="3">
        <v>15</v>
      </c>
      <c r="C19" s="4" t="s">
        <v>58</v>
      </c>
      <c r="D19" s="4" t="str">
        <f t="shared" si="0"/>
        <v>J067SD</v>
      </c>
      <c r="E19" s="4" t="s">
        <v>58</v>
      </c>
      <c r="F19" s="4" t="s">
        <v>124</v>
      </c>
      <c r="G19" s="5">
        <v>4977114800412</v>
      </c>
      <c r="H19" s="5"/>
      <c r="I19" s="5"/>
      <c r="J19" s="5">
        <v>1</v>
      </c>
      <c r="K19" s="5">
        <v>1</v>
      </c>
      <c r="L19" s="4">
        <v>52000</v>
      </c>
      <c r="M19" s="4">
        <v>33060</v>
      </c>
      <c r="N19" s="4">
        <v>24440</v>
      </c>
      <c r="O19" s="6">
        <f t="shared" si="1"/>
        <v>0.26073805202661826</v>
      </c>
      <c r="P19" s="4" t="s">
        <v>175</v>
      </c>
      <c r="Q19" s="4" t="s">
        <v>175</v>
      </c>
      <c r="R19" s="4" t="s">
        <v>175</v>
      </c>
      <c r="S19" s="4">
        <v>65000</v>
      </c>
      <c r="T19" s="4">
        <f t="shared" si="2"/>
        <v>65000</v>
      </c>
      <c r="U19" s="4">
        <v>30550</v>
      </c>
      <c r="V19" s="4">
        <f t="shared" si="3"/>
        <v>30550</v>
      </c>
      <c r="W19" s="4"/>
      <c r="X19" s="21">
        <f t="shared" si="4"/>
        <v>41325</v>
      </c>
      <c r="Y19" s="6">
        <f t="shared" si="5"/>
        <v>0.26073805202661826</v>
      </c>
      <c r="Z19" s="4">
        <v>0</v>
      </c>
      <c r="AA19" s="4">
        <f t="shared" si="6"/>
        <v>38346</v>
      </c>
      <c r="AB19" s="4">
        <f t="shared" si="7"/>
        <v>47932.5</v>
      </c>
      <c r="AC19" s="6">
        <f t="shared" si="8"/>
        <v>0.36264538674177227</v>
      </c>
      <c r="AD19" s="4"/>
      <c r="AE19" s="7">
        <v>42800</v>
      </c>
      <c r="AF19" s="6">
        <f t="shared" si="9"/>
        <v>0.28621495327102808</v>
      </c>
      <c r="AG19" s="4">
        <f t="shared" si="10"/>
        <v>12250</v>
      </c>
      <c r="AH19" s="28"/>
      <c r="AI19" s="6"/>
      <c r="AJ19" s="6"/>
      <c r="AK19" s="6">
        <f t="shared" si="11"/>
        <v>1.25</v>
      </c>
      <c r="AL19" s="6">
        <f t="shared" si="12"/>
        <v>1.294615849969752</v>
      </c>
      <c r="AM19" s="6">
        <f t="shared" si="13"/>
        <v>1.25</v>
      </c>
      <c r="AN19" s="4" t="str">
        <f t="shared" si="15"/>
        <v>-</v>
      </c>
      <c r="AO19" s="4" t="str">
        <f t="shared" si="16"/>
        <v>-</v>
      </c>
      <c r="AP19" s="4" t="str">
        <f t="shared" si="17"/>
        <v>-</v>
      </c>
      <c r="AQ19" s="4" t="s">
        <v>108</v>
      </c>
      <c r="AR19" s="4" t="s">
        <v>235</v>
      </c>
      <c r="AS19" s="4"/>
      <c r="AT19" s="4"/>
      <c r="AU19" s="4" t="s">
        <v>228</v>
      </c>
      <c r="AV19" s="4">
        <v>38346</v>
      </c>
      <c r="AW19" s="4">
        <f t="shared" si="14"/>
        <v>38346</v>
      </c>
      <c r="AX19" s="19">
        <v>4</v>
      </c>
      <c r="AY19" s="19">
        <v>9</v>
      </c>
      <c r="AZ19" s="16">
        <v>19</v>
      </c>
      <c r="BA19">
        <v>39000</v>
      </c>
      <c r="BB19">
        <v>38903</v>
      </c>
      <c r="BC19" t="s">
        <v>185</v>
      </c>
      <c r="BD19" t="s">
        <v>278</v>
      </c>
    </row>
    <row r="20" spans="1:56" x14ac:dyDescent="0.4">
      <c r="A20" s="35">
        <v>16</v>
      </c>
      <c r="B20" s="3">
        <v>16</v>
      </c>
      <c r="C20" s="4" t="s">
        <v>59</v>
      </c>
      <c r="D20" s="4" t="str">
        <f t="shared" si="0"/>
        <v>J068SD</v>
      </c>
      <c r="E20" s="4" t="s">
        <v>59</v>
      </c>
      <c r="F20" s="4" t="s">
        <v>125</v>
      </c>
      <c r="G20" s="5">
        <v>4977114800474</v>
      </c>
      <c r="H20" s="5"/>
      <c r="I20" s="5"/>
      <c r="J20" s="5">
        <v>1</v>
      </c>
      <c r="K20" s="5">
        <v>1</v>
      </c>
      <c r="L20" s="4">
        <v>52000</v>
      </c>
      <c r="M20" s="4">
        <v>33060</v>
      </c>
      <c r="N20" s="4">
        <v>24440</v>
      </c>
      <c r="O20" s="6">
        <f t="shared" si="1"/>
        <v>0.26073805202661826</v>
      </c>
      <c r="P20" s="4" t="s">
        <v>175</v>
      </c>
      <c r="Q20" s="4" t="s">
        <v>175</v>
      </c>
      <c r="R20" s="4" t="s">
        <v>175</v>
      </c>
      <c r="S20" s="4">
        <v>65000</v>
      </c>
      <c r="T20" s="4">
        <f t="shared" si="2"/>
        <v>65000</v>
      </c>
      <c r="U20" s="4">
        <v>30550</v>
      </c>
      <c r="V20" s="4">
        <f t="shared" si="3"/>
        <v>30550</v>
      </c>
      <c r="W20" s="4"/>
      <c r="X20" s="21">
        <f t="shared" si="4"/>
        <v>41325</v>
      </c>
      <c r="Y20" s="6">
        <f t="shared" si="5"/>
        <v>0.26073805202661826</v>
      </c>
      <c r="Z20" s="4">
        <v>0</v>
      </c>
      <c r="AA20" s="4">
        <f t="shared" si="6"/>
        <v>50637</v>
      </c>
      <c r="AB20" s="4">
        <f t="shared" si="7"/>
        <v>63296.25</v>
      </c>
      <c r="AC20" s="6">
        <f t="shared" si="8"/>
        <v>0.51734897407034386</v>
      </c>
      <c r="AD20" s="4"/>
      <c r="AE20" s="7">
        <v>41800</v>
      </c>
      <c r="AF20" s="6">
        <f t="shared" si="9"/>
        <v>0.26913875598086123</v>
      </c>
      <c r="AG20" s="4">
        <f t="shared" si="10"/>
        <v>11250</v>
      </c>
      <c r="AH20" s="28"/>
      <c r="AI20" s="6"/>
      <c r="AJ20" s="6"/>
      <c r="AK20" s="6">
        <f t="shared" si="11"/>
        <v>1.25</v>
      </c>
      <c r="AL20" s="6">
        <f t="shared" si="12"/>
        <v>1.264367816091954</v>
      </c>
      <c r="AM20" s="6">
        <f t="shared" si="13"/>
        <v>1.25</v>
      </c>
      <c r="AN20" s="4" t="str">
        <f t="shared" si="15"/>
        <v>-</v>
      </c>
      <c r="AO20" s="4" t="str">
        <f t="shared" si="16"/>
        <v>-</v>
      </c>
      <c r="AP20" s="4" t="str">
        <f t="shared" si="17"/>
        <v>-</v>
      </c>
      <c r="AQ20" s="4" t="s">
        <v>108</v>
      </c>
      <c r="AR20" s="4" t="s">
        <v>236</v>
      </c>
      <c r="AS20" s="4"/>
      <c r="AT20" s="4"/>
      <c r="AU20" s="4" t="s">
        <v>228</v>
      </c>
      <c r="AV20" s="4">
        <v>50637</v>
      </c>
      <c r="AW20" s="4">
        <f t="shared" si="14"/>
        <v>50637</v>
      </c>
      <c r="AX20" s="19">
        <v>4</v>
      </c>
      <c r="AY20" s="19">
        <v>9</v>
      </c>
      <c r="AZ20" s="16">
        <v>19</v>
      </c>
      <c r="BA20">
        <v>39000</v>
      </c>
      <c r="BB20" t="s">
        <v>175</v>
      </c>
      <c r="BC20" t="s">
        <v>186</v>
      </c>
      <c r="BD20" t="s">
        <v>278</v>
      </c>
    </row>
    <row r="21" spans="1:56" x14ac:dyDescent="0.4">
      <c r="A21" s="34">
        <v>17</v>
      </c>
      <c r="B21" s="3">
        <v>17</v>
      </c>
      <c r="C21" s="4" t="s">
        <v>60</v>
      </c>
      <c r="D21" s="4" t="str">
        <f t="shared" si="0"/>
        <v>J070SD</v>
      </c>
      <c r="E21" s="4" t="s">
        <v>60</v>
      </c>
      <c r="F21" s="4" t="s">
        <v>126</v>
      </c>
      <c r="G21" s="5">
        <v>4977114800153</v>
      </c>
      <c r="H21" s="5"/>
      <c r="I21" s="5"/>
      <c r="J21" s="5">
        <v>1</v>
      </c>
      <c r="K21" s="5">
        <v>1</v>
      </c>
      <c r="L21" s="4">
        <v>21000</v>
      </c>
      <c r="M21" s="4">
        <v>14000</v>
      </c>
      <c r="N21" s="4">
        <v>9870</v>
      </c>
      <c r="O21" s="6">
        <f t="shared" si="1"/>
        <v>0.29500000000000004</v>
      </c>
      <c r="P21" s="4" t="s">
        <v>175</v>
      </c>
      <c r="Q21" s="4" t="s">
        <v>175</v>
      </c>
      <c r="R21" s="4" t="s">
        <v>175</v>
      </c>
      <c r="S21" s="4">
        <v>27000</v>
      </c>
      <c r="T21" s="4">
        <f t="shared" si="2"/>
        <v>27000</v>
      </c>
      <c r="U21" s="4">
        <v>12690</v>
      </c>
      <c r="V21" s="4">
        <f t="shared" si="3"/>
        <v>12690</v>
      </c>
      <c r="W21" s="4"/>
      <c r="X21" s="21">
        <f t="shared" si="4"/>
        <v>18000</v>
      </c>
      <c r="Y21" s="6">
        <f t="shared" si="5"/>
        <v>0.29500000000000004</v>
      </c>
      <c r="Z21" s="4">
        <v>0.5</v>
      </c>
      <c r="AA21" s="4">
        <f t="shared" si="6"/>
        <v>12546</v>
      </c>
      <c r="AB21" s="4">
        <f t="shared" si="7"/>
        <v>16130.571428571429</v>
      </c>
      <c r="AC21" s="6">
        <f t="shared" si="8"/>
        <v>0.21329507412721194</v>
      </c>
      <c r="AD21" s="4"/>
      <c r="AE21" s="7">
        <v>18000</v>
      </c>
      <c r="AF21" s="6">
        <f t="shared" si="9"/>
        <v>0.29500000000000004</v>
      </c>
      <c r="AG21" s="4">
        <f t="shared" si="10"/>
        <v>5310</v>
      </c>
      <c r="AH21" s="28"/>
      <c r="AI21" s="6"/>
      <c r="AJ21" s="6"/>
      <c r="AK21" s="6">
        <f t="shared" si="11"/>
        <v>1.2857142857142858</v>
      </c>
      <c r="AL21" s="6">
        <f t="shared" si="12"/>
        <v>1.2857142857142858</v>
      </c>
      <c r="AM21" s="6">
        <f t="shared" si="13"/>
        <v>1.2857142857142858</v>
      </c>
      <c r="AN21" s="4" t="str">
        <f t="shared" si="15"/>
        <v>-</v>
      </c>
      <c r="AO21" s="4" t="str">
        <f t="shared" si="16"/>
        <v>-</v>
      </c>
      <c r="AP21" s="4" t="str">
        <f t="shared" si="17"/>
        <v>-</v>
      </c>
      <c r="AQ21" s="4" t="s">
        <v>108</v>
      </c>
      <c r="AR21" s="4" t="s">
        <v>237</v>
      </c>
      <c r="AS21" s="4"/>
      <c r="AT21" s="4"/>
      <c r="AU21" s="4" t="s">
        <v>228</v>
      </c>
      <c r="AV21" s="4">
        <v>12546</v>
      </c>
      <c r="AW21" s="4">
        <f t="shared" si="14"/>
        <v>12546</v>
      </c>
      <c r="AX21" s="19">
        <v>2</v>
      </c>
      <c r="AY21" s="19">
        <v>1</v>
      </c>
      <c r="AZ21" s="16">
        <v>19</v>
      </c>
      <c r="BA21">
        <v>21000</v>
      </c>
      <c r="BB21">
        <v>14525</v>
      </c>
      <c r="BC21" t="s">
        <v>187</v>
      </c>
      <c r="BD21" t="s">
        <v>278</v>
      </c>
    </row>
    <row r="22" spans="1:56" x14ac:dyDescent="0.4">
      <c r="A22" s="35">
        <v>18</v>
      </c>
      <c r="B22" s="3">
        <v>18</v>
      </c>
      <c r="C22" s="4" t="s">
        <v>61</v>
      </c>
      <c r="D22" s="4" t="str">
        <f t="shared" si="0"/>
        <v>J069SD</v>
      </c>
      <c r="E22" s="4" t="s">
        <v>61</v>
      </c>
      <c r="F22" s="4" t="s">
        <v>127</v>
      </c>
      <c r="G22" s="5">
        <v>4977114800146</v>
      </c>
      <c r="H22" s="5"/>
      <c r="I22" s="5"/>
      <c r="J22" s="5">
        <v>1</v>
      </c>
      <c r="K22" s="5">
        <v>1</v>
      </c>
      <c r="L22" s="4">
        <v>30000</v>
      </c>
      <c r="M22" s="4">
        <v>20000</v>
      </c>
      <c r="N22" s="4">
        <v>14100</v>
      </c>
      <c r="O22" s="6">
        <f t="shared" si="1"/>
        <v>0.29500000000000004</v>
      </c>
      <c r="P22" s="4" t="s">
        <v>175</v>
      </c>
      <c r="Q22" s="4" t="s">
        <v>175</v>
      </c>
      <c r="R22" s="4" t="s">
        <v>175</v>
      </c>
      <c r="S22" s="4">
        <v>38000</v>
      </c>
      <c r="T22" s="4">
        <f t="shared" si="2"/>
        <v>38000</v>
      </c>
      <c r="U22" s="4">
        <v>17860</v>
      </c>
      <c r="V22" s="4">
        <f t="shared" si="3"/>
        <v>17860</v>
      </c>
      <c r="W22" s="4"/>
      <c r="X22" s="21">
        <f t="shared" si="4"/>
        <v>25333</v>
      </c>
      <c r="Y22" s="6">
        <f t="shared" si="5"/>
        <v>0.29499072356215217</v>
      </c>
      <c r="Z22" s="4">
        <v>0</v>
      </c>
      <c r="AA22" s="4">
        <f t="shared" si="6"/>
        <v>17619</v>
      </c>
      <c r="AB22" s="4">
        <f t="shared" si="7"/>
        <v>22317.399999999998</v>
      </c>
      <c r="AC22" s="6">
        <f t="shared" si="8"/>
        <v>0.19972756683126158</v>
      </c>
      <c r="AD22" s="4"/>
      <c r="AE22" s="7">
        <v>25000</v>
      </c>
      <c r="AF22" s="6">
        <f t="shared" si="9"/>
        <v>0.28559999999999997</v>
      </c>
      <c r="AG22" s="4">
        <f t="shared" si="10"/>
        <v>7140</v>
      </c>
      <c r="AH22" s="28"/>
      <c r="AI22" s="6"/>
      <c r="AJ22" s="6"/>
      <c r="AK22" s="6">
        <f t="shared" si="11"/>
        <v>1.2666666666666666</v>
      </c>
      <c r="AL22" s="6">
        <f t="shared" si="12"/>
        <v>1.25</v>
      </c>
      <c r="AM22" s="6">
        <f t="shared" si="13"/>
        <v>1.2666666666666666</v>
      </c>
      <c r="AN22" s="4" t="str">
        <f t="shared" si="15"/>
        <v>-</v>
      </c>
      <c r="AO22" s="4" t="str">
        <f t="shared" si="16"/>
        <v>-</v>
      </c>
      <c r="AP22" s="4" t="str">
        <f t="shared" si="17"/>
        <v>-</v>
      </c>
      <c r="AQ22" s="4" t="s">
        <v>108</v>
      </c>
      <c r="AR22" s="4" t="s">
        <v>238</v>
      </c>
      <c r="AS22" s="4"/>
      <c r="AT22" s="4"/>
      <c r="AU22" s="4" t="s">
        <v>228</v>
      </c>
      <c r="AV22" s="4">
        <v>17619</v>
      </c>
      <c r="AW22" s="4">
        <f t="shared" si="14"/>
        <v>17619</v>
      </c>
      <c r="AX22" s="19">
        <v>4</v>
      </c>
      <c r="AY22" s="19">
        <v>9</v>
      </c>
      <c r="AZ22" s="16">
        <v>19</v>
      </c>
      <c r="BA22">
        <v>19500</v>
      </c>
      <c r="BB22">
        <v>19910</v>
      </c>
      <c r="BC22" t="s">
        <v>188</v>
      </c>
      <c r="BD22" t="s">
        <v>278</v>
      </c>
    </row>
    <row r="23" spans="1:56" x14ac:dyDescent="0.4">
      <c r="A23" s="35">
        <v>19</v>
      </c>
      <c r="B23" s="3">
        <v>19</v>
      </c>
      <c r="C23" s="4" t="s">
        <v>62</v>
      </c>
      <c r="D23" s="4" t="str">
        <f t="shared" si="0"/>
        <v>J072SD</v>
      </c>
      <c r="E23" s="4" t="s">
        <v>62</v>
      </c>
      <c r="F23" s="4" t="s">
        <v>128</v>
      </c>
      <c r="G23" s="5">
        <v>4977114800313</v>
      </c>
      <c r="H23" s="5"/>
      <c r="I23" s="5"/>
      <c r="J23" s="5">
        <v>1</v>
      </c>
      <c r="K23" s="5">
        <v>1</v>
      </c>
      <c r="L23" s="4">
        <v>27000</v>
      </c>
      <c r="M23" s="4">
        <v>16720</v>
      </c>
      <c r="N23" s="4">
        <v>12690</v>
      </c>
      <c r="O23" s="6">
        <f t="shared" si="1"/>
        <v>0.24102870813397126</v>
      </c>
      <c r="P23" s="4" t="s">
        <v>175</v>
      </c>
      <c r="Q23" s="4" t="s">
        <v>175</v>
      </c>
      <c r="R23" s="4" t="s">
        <v>175</v>
      </c>
      <c r="S23" s="4">
        <v>34000</v>
      </c>
      <c r="T23" s="4">
        <f t="shared" si="2"/>
        <v>34000</v>
      </c>
      <c r="U23" s="4">
        <v>15980</v>
      </c>
      <c r="V23" s="4">
        <f t="shared" si="3"/>
        <v>15980</v>
      </c>
      <c r="W23" s="4"/>
      <c r="X23" s="21">
        <f t="shared" si="4"/>
        <v>21055</v>
      </c>
      <c r="Y23" s="6">
        <f t="shared" si="5"/>
        <v>0.24103538351935405</v>
      </c>
      <c r="Z23" s="4">
        <v>0</v>
      </c>
      <c r="AA23" s="4">
        <f t="shared" si="6"/>
        <v>25500</v>
      </c>
      <c r="AB23" s="4">
        <f t="shared" si="7"/>
        <v>32111.111111111113</v>
      </c>
      <c r="AC23" s="6">
        <f t="shared" si="8"/>
        <v>0.50235294117647067</v>
      </c>
      <c r="AD23" s="4"/>
      <c r="AE23" s="7">
        <v>21800</v>
      </c>
      <c r="AF23" s="6">
        <f t="shared" si="9"/>
        <v>0.26697247706422023</v>
      </c>
      <c r="AG23" s="4">
        <f t="shared" si="10"/>
        <v>5820</v>
      </c>
      <c r="AH23" s="28"/>
      <c r="AI23" s="6"/>
      <c r="AJ23" s="6"/>
      <c r="AK23" s="6">
        <f t="shared" si="11"/>
        <v>1.2592592592592593</v>
      </c>
      <c r="AL23" s="6">
        <f t="shared" si="12"/>
        <v>1.3038277511961722</v>
      </c>
      <c r="AM23" s="6">
        <f t="shared" si="13"/>
        <v>1.2592592592592593</v>
      </c>
      <c r="AN23" s="4" t="str">
        <f t="shared" si="15"/>
        <v>-</v>
      </c>
      <c r="AO23" s="4" t="str">
        <f t="shared" si="16"/>
        <v>-</v>
      </c>
      <c r="AP23" s="4" t="str">
        <f t="shared" si="17"/>
        <v>-</v>
      </c>
      <c r="AQ23" s="4" t="s">
        <v>110</v>
      </c>
      <c r="AR23" s="4" t="s">
        <v>239</v>
      </c>
      <c r="AS23" s="4"/>
      <c r="AT23" s="4"/>
      <c r="AU23" s="4" t="s">
        <v>228</v>
      </c>
      <c r="AV23" s="4">
        <v>25500</v>
      </c>
      <c r="AW23" s="4">
        <f t="shared" si="14"/>
        <v>25500</v>
      </c>
      <c r="AX23" s="19">
        <v>4</v>
      </c>
      <c r="AY23" s="19">
        <v>9</v>
      </c>
      <c r="AZ23" s="16">
        <v>19</v>
      </c>
      <c r="BA23">
        <v>17550</v>
      </c>
      <c r="BB23" t="s">
        <v>175</v>
      </c>
      <c r="BC23" t="s">
        <v>189</v>
      </c>
      <c r="BD23" t="s">
        <v>278</v>
      </c>
    </row>
    <row r="24" spans="1:56" x14ac:dyDescent="0.4">
      <c r="A24" s="35">
        <v>20</v>
      </c>
      <c r="B24" s="3">
        <v>20</v>
      </c>
      <c r="C24" s="4" t="s">
        <v>63</v>
      </c>
      <c r="D24" s="4" t="str">
        <f t="shared" si="0"/>
        <v>J090SF</v>
      </c>
      <c r="E24" s="4" t="s">
        <v>63</v>
      </c>
      <c r="F24" s="4" t="s">
        <v>129</v>
      </c>
      <c r="G24" s="5">
        <v>4977114800405</v>
      </c>
      <c r="H24" s="5"/>
      <c r="I24" s="5"/>
      <c r="J24" s="5">
        <v>1</v>
      </c>
      <c r="K24" s="5">
        <v>1</v>
      </c>
      <c r="L24" s="4">
        <v>42000</v>
      </c>
      <c r="M24" s="4">
        <v>27930</v>
      </c>
      <c r="N24" s="4">
        <v>19740</v>
      </c>
      <c r="O24" s="6">
        <f t="shared" si="1"/>
        <v>0.29323308270676696</v>
      </c>
      <c r="P24" s="4" t="s">
        <v>175</v>
      </c>
      <c r="Q24" s="4" t="s">
        <v>175</v>
      </c>
      <c r="R24" s="4" t="s">
        <v>175</v>
      </c>
      <c r="S24" s="4">
        <v>53000</v>
      </c>
      <c r="T24" s="4">
        <f t="shared" si="2"/>
        <v>53000</v>
      </c>
      <c r="U24" s="4">
        <v>24910</v>
      </c>
      <c r="V24" s="4">
        <f t="shared" si="3"/>
        <v>24910</v>
      </c>
      <c r="W24" s="4"/>
      <c r="X24" s="21">
        <f t="shared" si="4"/>
        <v>35245</v>
      </c>
      <c r="Y24" s="6">
        <f t="shared" si="5"/>
        <v>0.29323308270676696</v>
      </c>
      <c r="Z24" s="4">
        <v>0</v>
      </c>
      <c r="AA24" s="4">
        <f t="shared" si="6"/>
        <v>29982</v>
      </c>
      <c r="AB24" s="4">
        <f t="shared" si="7"/>
        <v>37834.428571428572</v>
      </c>
      <c r="AC24" s="6">
        <f t="shared" si="8"/>
        <v>0.34160496297778664</v>
      </c>
      <c r="AD24" s="4"/>
      <c r="AE24" s="7">
        <v>35800</v>
      </c>
      <c r="AF24" s="6">
        <f t="shared" si="9"/>
        <v>0.30418994413407818</v>
      </c>
      <c r="AG24" s="4">
        <f t="shared" si="10"/>
        <v>10890</v>
      </c>
      <c r="AH24" s="28"/>
      <c r="AI24" s="6"/>
      <c r="AJ24" s="6"/>
      <c r="AK24" s="6">
        <f t="shared" si="11"/>
        <v>1.2619047619047619</v>
      </c>
      <c r="AL24" s="6">
        <f t="shared" si="12"/>
        <v>1.2817758682420337</v>
      </c>
      <c r="AM24" s="6">
        <f t="shared" si="13"/>
        <v>1.2619047619047619</v>
      </c>
      <c r="AN24" s="4" t="str">
        <f t="shared" si="15"/>
        <v>-</v>
      </c>
      <c r="AO24" s="4" t="str">
        <f t="shared" si="16"/>
        <v>-</v>
      </c>
      <c r="AP24" s="4" t="str">
        <f t="shared" si="17"/>
        <v>-</v>
      </c>
      <c r="AQ24" s="4">
        <v>0</v>
      </c>
      <c r="AR24" s="4" t="s">
        <v>240</v>
      </c>
      <c r="AS24" s="4"/>
      <c r="AT24" s="4"/>
      <c r="AU24" s="4" t="s">
        <v>228</v>
      </c>
      <c r="AV24" s="4">
        <v>29982</v>
      </c>
      <c r="AW24" s="4">
        <f t="shared" si="14"/>
        <v>29982</v>
      </c>
      <c r="AX24" s="19">
        <v>4</v>
      </c>
      <c r="AY24" s="19">
        <v>9</v>
      </c>
      <c r="AZ24" s="16">
        <v>19</v>
      </c>
      <c r="BA24">
        <v>31500</v>
      </c>
      <c r="BB24">
        <v>31506</v>
      </c>
      <c r="BC24" t="s">
        <v>190</v>
      </c>
      <c r="BD24" t="s">
        <v>278</v>
      </c>
    </row>
    <row r="25" spans="1:56" x14ac:dyDescent="0.4">
      <c r="A25" s="35">
        <v>21</v>
      </c>
      <c r="B25" s="3">
        <v>21</v>
      </c>
      <c r="C25" s="4" t="s">
        <v>64</v>
      </c>
      <c r="D25" s="4" t="str">
        <f t="shared" si="0"/>
        <v>J071SD</v>
      </c>
      <c r="E25" s="4" t="s">
        <v>64</v>
      </c>
      <c r="F25" s="4" t="s">
        <v>130</v>
      </c>
      <c r="G25" s="5">
        <v>4977114800320</v>
      </c>
      <c r="H25" s="5"/>
      <c r="I25" s="5"/>
      <c r="J25" s="5">
        <v>1</v>
      </c>
      <c r="K25" s="5">
        <v>1</v>
      </c>
      <c r="L25" s="4">
        <v>54000</v>
      </c>
      <c r="M25" s="4">
        <v>33345</v>
      </c>
      <c r="N25" s="4">
        <v>25380</v>
      </c>
      <c r="O25" s="6">
        <f t="shared" si="1"/>
        <v>0.23886639676113364</v>
      </c>
      <c r="P25" s="4" t="s">
        <v>175</v>
      </c>
      <c r="Q25" s="4" t="s">
        <v>175</v>
      </c>
      <c r="R25" s="4" t="s">
        <v>175</v>
      </c>
      <c r="S25" s="4">
        <v>68000</v>
      </c>
      <c r="T25" s="4">
        <f t="shared" si="2"/>
        <v>68000</v>
      </c>
      <c r="U25" s="4">
        <v>31960</v>
      </c>
      <c r="V25" s="4">
        <f t="shared" si="3"/>
        <v>31960</v>
      </c>
      <c r="W25" s="4"/>
      <c r="X25" s="21">
        <f t="shared" si="4"/>
        <v>41990</v>
      </c>
      <c r="Y25" s="6">
        <f t="shared" si="5"/>
        <v>0.23886639676113364</v>
      </c>
      <c r="Z25" s="4">
        <v>0</v>
      </c>
      <c r="AA25" s="4">
        <f t="shared" si="6"/>
        <v>38546</v>
      </c>
      <c r="AB25" s="4">
        <f t="shared" si="7"/>
        <v>48539.407407407409</v>
      </c>
      <c r="AC25" s="6">
        <f t="shared" si="8"/>
        <v>0.34156592123696361</v>
      </c>
      <c r="AD25" s="4"/>
      <c r="AE25" s="7">
        <v>42800</v>
      </c>
      <c r="AF25" s="6">
        <f t="shared" si="9"/>
        <v>0.25327102803738322</v>
      </c>
      <c r="AG25" s="4">
        <f t="shared" si="10"/>
        <v>10840</v>
      </c>
      <c r="AH25" s="28"/>
      <c r="AI25" s="6"/>
      <c r="AJ25" s="6"/>
      <c r="AK25" s="6">
        <f t="shared" si="11"/>
        <v>1.2592592592592593</v>
      </c>
      <c r="AL25" s="6">
        <f t="shared" si="12"/>
        <v>1.2835507572349678</v>
      </c>
      <c r="AM25" s="6">
        <f t="shared" si="13"/>
        <v>1.2592592592592593</v>
      </c>
      <c r="AN25" s="4" t="str">
        <f t="shared" si="15"/>
        <v>-</v>
      </c>
      <c r="AO25" s="4" t="str">
        <f t="shared" si="16"/>
        <v>-</v>
      </c>
      <c r="AP25" s="4" t="str">
        <f t="shared" si="17"/>
        <v>-</v>
      </c>
      <c r="AQ25" s="4" t="s">
        <v>110</v>
      </c>
      <c r="AR25" s="4" t="s">
        <v>241</v>
      </c>
      <c r="AS25" s="4"/>
      <c r="AT25" s="4"/>
      <c r="AU25" s="4" t="s">
        <v>228</v>
      </c>
      <c r="AV25" s="4">
        <v>38546</v>
      </c>
      <c r="AW25" s="4">
        <f t="shared" si="14"/>
        <v>38546</v>
      </c>
      <c r="AX25" s="19">
        <v>4</v>
      </c>
      <c r="AY25" s="19">
        <v>9</v>
      </c>
      <c r="AZ25" s="16">
        <v>19</v>
      </c>
      <c r="BA25">
        <v>35100</v>
      </c>
      <c r="BB25" t="s">
        <v>175</v>
      </c>
      <c r="BC25" t="s">
        <v>191</v>
      </c>
      <c r="BD25" t="s">
        <v>278</v>
      </c>
    </row>
    <row r="26" spans="1:56" x14ac:dyDescent="0.4">
      <c r="A26" s="34">
        <v>22</v>
      </c>
      <c r="B26" s="3">
        <v>22</v>
      </c>
      <c r="C26" s="33" t="s">
        <v>65</v>
      </c>
      <c r="D26" s="4" t="str">
        <f t="shared" si="0"/>
        <v>J336MP</v>
      </c>
      <c r="E26" s="4" t="s">
        <v>65</v>
      </c>
      <c r="F26" s="4" t="s">
        <v>131</v>
      </c>
      <c r="G26" s="5">
        <v>4977114800368</v>
      </c>
      <c r="H26" s="5"/>
      <c r="I26" s="5"/>
      <c r="J26" s="5">
        <v>2</v>
      </c>
      <c r="K26" s="5">
        <v>1</v>
      </c>
      <c r="L26" s="4">
        <v>1400</v>
      </c>
      <c r="M26" s="4">
        <v>1180</v>
      </c>
      <c r="N26" s="4">
        <v>658</v>
      </c>
      <c r="O26" s="6">
        <f t="shared" si="1"/>
        <v>0.44237288135593222</v>
      </c>
      <c r="P26" s="4" t="s">
        <v>175</v>
      </c>
      <c r="Q26" s="4" t="s">
        <v>175</v>
      </c>
      <c r="R26" s="4" t="s">
        <v>175</v>
      </c>
      <c r="S26" s="4">
        <v>1800</v>
      </c>
      <c r="T26" s="4">
        <f t="shared" si="2"/>
        <v>1800</v>
      </c>
      <c r="U26" s="4">
        <v>846</v>
      </c>
      <c r="V26" s="4">
        <f t="shared" si="3"/>
        <v>846</v>
      </c>
      <c r="W26" s="4"/>
      <c r="X26" s="21">
        <f t="shared" si="4"/>
        <v>1517</v>
      </c>
      <c r="Y26" s="6">
        <f t="shared" si="5"/>
        <v>0.44232036914963746</v>
      </c>
      <c r="Z26" s="4">
        <v>16.75</v>
      </c>
      <c r="AA26" s="4">
        <f t="shared" si="6"/>
        <v>1306.25</v>
      </c>
      <c r="AB26" s="4">
        <f t="shared" si="7"/>
        <v>1679.4642857142858</v>
      </c>
      <c r="AC26" s="6">
        <f t="shared" si="8"/>
        <v>0.49626794258373208</v>
      </c>
      <c r="AD26" s="4"/>
      <c r="AE26" s="7">
        <v>1580</v>
      </c>
      <c r="AF26" s="6">
        <f t="shared" si="9"/>
        <v>0.46455696202531649</v>
      </c>
      <c r="AG26" s="4">
        <f t="shared" si="10"/>
        <v>734</v>
      </c>
      <c r="AH26" s="28"/>
      <c r="AI26" s="6"/>
      <c r="AJ26" s="6"/>
      <c r="AK26" s="6">
        <f t="shared" si="11"/>
        <v>1.2857142857142858</v>
      </c>
      <c r="AL26" s="6">
        <f t="shared" si="12"/>
        <v>1.3389830508474576</v>
      </c>
      <c r="AM26" s="6">
        <f t="shared" si="13"/>
        <v>1.2857142857142858</v>
      </c>
      <c r="AN26" s="4" t="str">
        <f t="shared" si="15"/>
        <v>-</v>
      </c>
      <c r="AO26" s="4" t="str">
        <f t="shared" si="16"/>
        <v>-</v>
      </c>
      <c r="AP26" s="4" t="str">
        <f t="shared" si="17"/>
        <v>-</v>
      </c>
      <c r="AQ26" s="4">
        <v>0</v>
      </c>
      <c r="AR26" s="4" t="s">
        <v>242</v>
      </c>
      <c r="AS26" s="4">
        <v>5</v>
      </c>
      <c r="AT26" s="4">
        <v>80</v>
      </c>
      <c r="AU26" s="4" t="s">
        <v>243</v>
      </c>
      <c r="AV26" s="4">
        <v>20900</v>
      </c>
      <c r="AW26" s="4">
        <f t="shared" si="14"/>
        <v>1306.25</v>
      </c>
      <c r="AX26" s="19">
        <v>2</v>
      </c>
      <c r="AY26" s="19">
        <v>1</v>
      </c>
      <c r="AZ26" s="16">
        <v>19</v>
      </c>
      <c r="BA26">
        <v>910</v>
      </c>
      <c r="BB26">
        <v>1098</v>
      </c>
      <c r="BC26" t="s">
        <v>192</v>
      </c>
      <c r="BD26" t="s">
        <v>278</v>
      </c>
    </row>
    <row r="27" spans="1:56" x14ac:dyDescent="0.4">
      <c r="A27" s="34">
        <v>39</v>
      </c>
      <c r="B27" s="3">
        <v>22</v>
      </c>
      <c r="C27" s="33" t="s">
        <v>82</v>
      </c>
      <c r="D27" s="4" t="str">
        <f t="shared" si="0"/>
        <v>J478MP</v>
      </c>
      <c r="E27" s="4" t="s">
        <v>82</v>
      </c>
      <c r="F27" s="4" t="s">
        <v>148</v>
      </c>
      <c r="G27" s="5">
        <v>4977114800368</v>
      </c>
      <c r="H27" s="5"/>
      <c r="I27" s="5"/>
      <c r="J27" s="5">
        <v>2</v>
      </c>
      <c r="K27" s="5">
        <v>1</v>
      </c>
      <c r="L27" s="4">
        <v>22400</v>
      </c>
      <c r="M27" s="4">
        <v>12636</v>
      </c>
      <c r="N27" s="4">
        <v>10528</v>
      </c>
      <c r="O27" s="6">
        <f t="shared" si="1"/>
        <v>0.16682494460272235</v>
      </c>
      <c r="P27" s="4" t="s">
        <v>175</v>
      </c>
      <c r="Q27" s="4" t="s">
        <v>175</v>
      </c>
      <c r="R27" s="4" t="s">
        <v>175</v>
      </c>
      <c r="S27" s="4">
        <v>28800</v>
      </c>
      <c r="T27" s="4">
        <f t="shared" si="2"/>
        <v>28800</v>
      </c>
      <c r="U27" s="4">
        <v>13536</v>
      </c>
      <c r="V27" s="4">
        <f t="shared" si="3"/>
        <v>13536</v>
      </c>
      <c r="W27" s="4"/>
      <c r="X27" s="21">
        <f t="shared" si="4"/>
        <v>16246</v>
      </c>
      <c r="Y27" s="6">
        <f t="shared" si="5"/>
        <v>0.16681029176412654</v>
      </c>
      <c r="Z27" s="4">
        <v>1</v>
      </c>
      <c r="AA27" s="4">
        <f t="shared" si="6"/>
        <v>20900</v>
      </c>
      <c r="AB27" s="4">
        <f t="shared" si="7"/>
        <v>26871.428571428572</v>
      </c>
      <c r="AC27" s="6">
        <f t="shared" si="8"/>
        <v>0.49626794258373208</v>
      </c>
      <c r="AD27" s="4">
        <f>ROUNDDOWN(AE26*16*0.95,0)</f>
        <v>24016</v>
      </c>
      <c r="AE27" s="7">
        <v>22800</v>
      </c>
      <c r="AF27" s="6">
        <f t="shared" si="9"/>
        <v>0.40631578947368419</v>
      </c>
      <c r="AG27" s="4">
        <f t="shared" si="10"/>
        <v>9264</v>
      </c>
      <c r="AH27" s="28"/>
      <c r="AI27" s="6"/>
      <c r="AJ27" s="6"/>
      <c r="AK27" s="6">
        <f t="shared" si="11"/>
        <v>1.2857142857142858</v>
      </c>
      <c r="AL27" s="6">
        <f t="shared" si="12"/>
        <v>1.8043684710351378</v>
      </c>
      <c r="AM27" s="6">
        <f t="shared" si="13"/>
        <v>1.2857142857142858</v>
      </c>
      <c r="AN27" s="4" t="str">
        <f t="shared" si="15"/>
        <v>-</v>
      </c>
      <c r="AO27" s="4" t="str">
        <f t="shared" si="16"/>
        <v>-</v>
      </c>
      <c r="AP27" s="4" t="str">
        <f t="shared" si="17"/>
        <v>-</v>
      </c>
      <c r="AQ27" s="4">
        <v>0</v>
      </c>
      <c r="AR27" s="4" t="s">
        <v>242</v>
      </c>
      <c r="AS27" s="4"/>
      <c r="AT27" s="4"/>
      <c r="AU27" s="4" t="s">
        <v>243</v>
      </c>
      <c r="AV27" s="4">
        <v>20900</v>
      </c>
      <c r="AW27" s="4">
        <f t="shared" si="14"/>
        <v>20900</v>
      </c>
      <c r="AX27" s="19">
        <v>2</v>
      </c>
      <c r="AY27" s="19">
        <v>1</v>
      </c>
      <c r="AZ27" s="16">
        <v>19</v>
      </c>
      <c r="BA27">
        <v>910</v>
      </c>
      <c r="BB27">
        <v>1098</v>
      </c>
      <c r="BC27" t="s">
        <v>192</v>
      </c>
      <c r="BD27" t="s">
        <v>278</v>
      </c>
    </row>
    <row r="28" spans="1:56" x14ac:dyDescent="0.4">
      <c r="A28" s="3">
        <v>23</v>
      </c>
      <c r="B28" s="3">
        <v>23</v>
      </c>
      <c r="C28" s="33" t="s">
        <v>66</v>
      </c>
      <c r="D28" s="4" t="str">
        <f t="shared" si="0"/>
        <v>J429MH</v>
      </c>
      <c r="E28" s="4" t="s">
        <v>66</v>
      </c>
      <c r="F28" s="4" t="s">
        <v>132</v>
      </c>
      <c r="G28" s="5">
        <v>4977114800504</v>
      </c>
      <c r="H28" s="5"/>
      <c r="I28" s="5"/>
      <c r="J28" s="5">
        <v>2</v>
      </c>
      <c r="K28" s="5">
        <v>1</v>
      </c>
      <c r="L28" s="4">
        <v>400</v>
      </c>
      <c r="M28" s="4">
        <v>276</v>
      </c>
      <c r="N28" s="4">
        <v>188</v>
      </c>
      <c r="O28" s="6">
        <f t="shared" si="1"/>
        <v>0.3188405797101449</v>
      </c>
      <c r="P28" s="4" t="s">
        <v>175</v>
      </c>
      <c r="Q28" s="4" t="s">
        <v>175</v>
      </c>
      <c r="R28" s="4" t="s">
        <v>175</v>
      </c>
      <c r="S28" s="4">
        <v>40000</v>
      </c>
      <c r="T28" s="4">
        <f t="shared" si="2"/>
        <v>500</v>
      </c>
      <c r="U28" s="4">
        <v>18800</v>
      </c>
      <c r="V28" s="4">
        <f t="shared" si="3"/>
        <v>235</v>
      </c>
      <c r="W28" s="4">
        <v>1.2500000000000001E-2</v>
      </c>
      <c r="X28" s="21">
        <f t="shared" si="4"/>
        <v>345</v>
      </c>
      <c r="Y28" s="6">
        <f t="shared" si="5"/>
        <v>0.3188405797101449</v>
      </c>
      <c r="Z28" s="4">
        <v>20.75</v>
      </c>
      <c r="AA28" s="4">
        <f t="shared" si="6"/>
        <v>260</v>
      </c>
      <c r="AB28" s="4">
        <f t="shared" si="7"/>
        <v>325</v>
      </c>
      <c r="AC28" s="6">
        <f t="shared" si="8"/>
        <v>0.27692307692307694</v>
      </c>
      <c r="AD28" s="4"/>
      <c r="AE28" s="7">
        <v>325</v>
      </c>
      <c r="AF28" s="6">
        <f t="shared" si="9"/>
        <v>0.27692307692307694</v>
      </c>
      <c r="AG28" s="4">
        <f t="shared" si="10"/>
        <v>90</v>
      </c>
      <c r="AH28" s="28"/>
      <c r="AI28" s="6"/>
      <c r="AJ28" s="6"/>
      <c r="AK28" s="6">
        <f t="shared" si="11"/>
        <v>1.25</v>
      </c>
      <c r="AL28" s="6">
        <f t="shared" si="12"/>
        <v>1.1775362318840579</v>
      </c>
      <c r="AM28" s="6">
        <f t="shared" si="13"/>
        <v>1.25</v>
      </c>
      <c r="AN28" s="4" t="str">
        <f t="shared" si="15"/>
        <v>-</v>
      </c>
      <c r="AO28" s="4" t="str">
        <f t="shared" si="16"/>
        <v>-</v>
      </c>
      <c r="AP28" s="4" t="str">
        <f t="shared" si="17"/>
        <v>-</v>
      </c>
      <c r="AQ28" s="4">
        <v>0</v>
      </c>
      <c r="AR28" s="4" t="s">
        <v>244</v>
      </c>
      <c r="AS28" s="4">
        <v>1</v>
      </c>
      <c r="AT28" s="4">
        <v>80</v>
      </c>
      <c r="AU28" s="4" t="s">
        <v>243</v>
      </c>
      <c r="AV28" s="4">
        <v>20800</v>
      </c>
      <c r="AW28" s="4">
        <f t="shared" si="14"/>
        <v>260</v>
      </c>
      <c r="AX28" s="19">
        <v>4</v>
      </c>
      <c r="AY28" s="19">
        <v>1</v>
      </c>
      <c r="AZ28" s="16">
        <v>19</v>
      </c>
      <c r="BA28">
        <v>20800</v>
      </c>
      <c r="BB28" t="s">
        <v>175</v>
      </c>
      <c r="BC28" t="s">
        <v>193</v>
      </c>
      <c r="BD28" t="s">
        <v>278</v>
      </c>
    </row>
    <row r="29" spans="1:56" x14ac:dyDescent="0.4">
      <c r="A29" s="34">
        <v>43</v>
      </c>
      <c r="B29" s="3">
        <v>23</v>
      </c>
      <c r="C29" s="33" t="s">
        <v>86</v>
      </c>
      <c r="D29" s="4" t="str">
        <f t="shared" si="0"/>
        <v>J614MG</v>
      </c>
      <c r="E29" s="4" t="s">
        <v>86</v>
      </c>
      <c r="F29" s="4" t="s">
        <v>152</v>
      </c>
      <c r="G29" s="5">
        <v>4977114800504</v>
      </c>
      <c r="H29" s="5"/>
      <c r="I29" s="5"/>
      <c r="J29" s="5">
        <v>2</v>
      </c>
      <c r="K29" s="5">
        <v>1</v>
      </c>
      <c r="L29" s="4">
        <v>32000</v>
      </c>
      <c r="M29" s="4">
        <v>16850</v>
      </c>
      <c r="N29" s="4">
        <v>15040</v>
      </c>
      <c r="O29" s="6">
        <f t="shared" si="1"/>
        <v>0.10741839762611272</v>
      </c>
      <c r="P29" s="4" t="s">
        <v>175</v>
      </c>
      <c r="Q29" s="4" t="s">
        <v>175</v>
      </c>
      <c r="R29" s="4" t="s">
        <v>175</v>
      </c>
      <c r="S29" s="4">
        <v>40000</v>
      </c>
      <c r="T29" s="4">
        <f t="shared" si="2"/>
        <v>40000</v>
      </c>
      <c r="U29" s="4">
        <v>18800</v>
      </c>
      <c r="V29" s="4">
        <f t="shared" si="3"/>
        <v>18800</v>
      </c>
      <c r="W29" s="4"/>
      <c r="X29" s="21">
        <f t="shared" si="4"/>
        <v>21063</v>
      </c>
      <c r="Y29" s="6">
        <f t="shared" si="5"/>
        <v>0.10743958600389303</v>
      </c>
      <c r="Z29" s="4">
        <v>0</v>
      </c>
      <c r="AA29" s="4">
        <f t="shared" si="6"/>
        <v>20800</v>
      </c>
      <c r="AB29" s="4">
        <f t="shared" si="7"/>
        <v>26000</v>
      </c>
      <c r="AC29" s="6">
        <f t="shared" si="8"/>
        <v>0.27692307692307694</v>
      </c>
      <c r="AD29" s="4">
        <f>ROUNDDOWN(AE28*80*0.95,0)</f>
        <v>24700</v>
      </c>
      <c r="AE29" s="7">
        <v>23800</v>
      </c>
      <c r="AF29" s="6">
        <f t="shared" si="9"/>
        <v>0.21008403361344541</v>
      </c>
      <c r="AG29" s="4">
        <f t="shared" si="10"/>
        <v>5000</v>
      </c>
      <c r="AH29" s="28"/>
      <c r="AI29" s="6"/>
      <c r="AJ29" s="6"/>
      <c r="AK29" s="6">
        <f t="shared" si="11"/>
        <v>1.25</v>
      </c>
      <c r="AL29" s="6">
        <f t="shared" si="12"/>
        <v>1.4124629080118694</v>
      </c>
      <c r="AM29" s="6">
        <f t="shared" si="13"/>
        <v>1.25</v>
      </c>
      <c r="AN29" s="4" t="str">
        <f t="shared" si="15"/>
        <v>-</v>
      </c>
      <c r="AO29" s="4" t="str">
        <f t="shared" si="16"/>
        <v>-</v>
      </c>
      <c r="AP29" s="4" t="str">
        <f t="shared" si="17"/>
        <v>-</v>
      </c>
      <c r="AQ29" s="4">
        <v>0</v>
      </c>
      <c r="AR29" s="4" t="s">
        <v>244</v>
      </c>
      <c r="AS29" s="4"/>
      <c r="AT29" s="4"/>
      <c r="AU29" s="4" t="s">
        <v>243</v>
      </c>
      <c r="AV29" s="4">
        <v>20800</v>
      </c>
      <c r="AW29" s="4">
        <f t="shared" si="14"/>
        <v>20800</v>
      </c>
      <c r="AX29" s="19">
        <v>2</v>
      </c>
      <c r="AY29" s="19">
        <v>8</v>
      </c>
      <c r="AZ29" s="16">
        <v>19</v>
      </c>
      <c r="BA29">
        <v>20800</v>
      </c>
      <c r="BB29" t="s">
        <v>175</v>
      </c>
      <c r="BC29" t="s">
        <v>193</v>
      </c>
      <c r="BD29" t="s">
        <v>278</v>
      </c>
    </row>
    <row r="30" spans="1:56" x14ac:dyDescent="0.4">
      <c r="A30" s="3">
        <v>24</v>
      </c>
      <c r="B30" s="3">
        <v>24</v>
      </c>
      <c r="C30" s="4" t="s">
        <v>67</v>
      </c>
      <c r="D30" s="4" t="str">
        <f t="shared" si="0"/>
        <v>J341RS</v>
      </c>
      <c r="E30" s="4" t="s">
        <v>67</v>
      </c>
      <c r="F30" s="4" t="s">
        <v>133</v>
      </c>
      <c r="G30" s="5">
        <v>4977114816130</v>
      </c>
      <c r="H30" s="5"/>
      <c r="I30" s="5"/>
      <c r="J30" s="5">
        <v>1</v>
      </c>
      <c r="K30" s="5">
        <v>1</v>
      </c>
      <c r="L30" s="4">
        <v>1300</v>
      </c>
      <c r="M30" s="4">
        <v>950</v>
      </c>
      <c r="N30" s="4">
        <v>611</v>
      </c>
      <c r="O30" s="6">
        <f t="shared" si="1"/>
        <v>0.35684210526315785</v>
      </c>
      <c r="P30" s="4" t="s">
        <v>175</v>
      </c>
      <c r="Q30" s="4" t="s">
        <v>175</v>
      </c>
      <c r="R30" s="4" t="s">
        <v>175</v>
      </c>
      <c r="S30" s="4">
        <v>1700</v>
      </c>
      <c r="T30" s="4">
        <f t="shared" si="2"/>
        <v>1700</v>
      </c>
      <c r="U30" s="4">
        <v>799</v>
      </c>
      <c r="V30" s="4">
        <f t="shared" si="3"/>
        <v>799</v>
      </c>
      <c r="W30" s="4"/>
      <c r="X30" s="21">
        <f t="shared" si="4"/>
        <v>1242</v>
      </c>
      <c r="Y30" s="6">
        <f t="shared" si="5"/>
        <v>0.35668276972624802</v>
      </c>
      <c r="Z30" s="4">
        <v>0.75</v>
      </c>
      <c r="AA30" s="4" t="str">
        <f t="shared" si="6"/>
        <v>-</v>
      </c>
      <c r="AB30" s="4" t="e">
        <f t="shared" si="7"/>
        <v>#VALUE!</v>
      </c>
      <c r="AC30" s="6" t="e">
        <f t="shared" si="8"/>
        <v>#VALUE!</v>
      </c>
      <c r="AD30" s="4"/>
      <c r="AE30" s="7">
        <v>1270</v>
      </c>
      <c r="AF30" s="6">
        <f t="shared" si="9"/>
        <v>0.37086614173228349</v>
      </c>
      <c r="AG30" s="4">
        <f t="shared" si="10"/>
        <v>471</v>
      </c>
      <c r="AH30" s="28"/>
      <c r="AI30" s="6"/>
      <c r="AJ30" s="6"/>
      <c r="AK30" s="6">
        <f t="shared" si="11"/>
        <v>1.3076923076923077</v>
      </c>
      <c r="AL30" s="6">
        <f t="shared" si="12"/>
        <v>1.3368421052631578</v>
      </c>
      <c r="AM30" s="6">
        <f t="shared" si="13"/>
        <v>1.3076923076923077</v>
      </c>
      <c r="AN30" s="4" t="str">
        <f t="shared" si="15"/>
        <v>-</v>
      </c>
      <c r="AO30" s="4" t="str">
        <f t="shared" si="16"/>
        <v>-</v>
      </c>
      <c r="AP30" s="4" t="str">
        <f t="shared" si="17"/>
        <v>-</v>
      </c>
      <c r="AQ30" s="4">
        <v>0</v>
      </c>
      <c r="AR30" s="4" t="s">
        <v>175</v>
      </c>
      <c r="AS30" s="4"/>
      <c r="AT30" s="4"/>
      <c r="AU30" s="4" t="s">
        <v>175</v>
      </c>
      <c r="AV30" s="4" t="s">
        <v>175</v>
      </c>
      <c r="AW30" s="4" t="str">
        <f t="shared" si="14"/>
        <v>-</v>
      </c>
      <c r="AX30" s="19">
        <v>4</v>
      </c>
      <c r="AY30" s="19">
        <v>1</v>
      </c>
      <c r="AZ30" s="16">
        <v>19</v>
      </c>
      <c r="BA30" t="s">
        <v>175</v>
      </c>
      <c r="BB30">
        <v>975</v>
      </c>
      <c r="BC30" t="s">
        <v>175</v>
      </c>
      <c r="BD30" t="s">
        <v>278</v>
      </c>
    </row>
    <row r="31" spans="1:56" x14ac:dyDescent="0.4">
      <c r="A31" s="34">
        <v>25</v>
      </c>
      <c r="B31" s="3">
        <v>25</v>
      </c>
      <c r="C31" s="4" t="s">
        <v>68</v>
      </c>
      <c r="D31" s="4" t="str">
        <f t="shared" si="0"/>
        <v>J461MG</v>
      </c>
      <c r="E31" s="4" t="s">
        <v>68</v>
      </c>
      <c r="F31" s="4" t="s">
        <v>134</v>
      </c>
      <c r="G31" s="5">
        <v>4977114800689</v>
      </c>
      <c r="H31" s="5"/>
      <c r="I31" s="5"/>
      <c r="J31" s="5">
        <v>1</v>
      </c>
      <c r="K31" s="5">
        <v>1</v>
      </c>
      <c r="L31" s="4">
        <v>12000</v>
      </c>
      <c r="M31" s="4">
        <v>8000</v>
      </c>
      <c r="N31" s="4">
        <v>5640</v>
      </c>
      <c r="O31" s="6">
        <f t="shared" si="1"/>
        <v>0.29500000000000004</v>
      </c>
      <c r="P31" s="4" t="s">
        <v>175</v>
      </c>
      <c r="Q31" s="4" t="s">
        <v>175</v>
      </c>
      <c r="R31" s="4" t="s">
        <v>175</v>
      </c>
      <c r="S31" s="4">
        <v>16000</v>
      </c>
      <c r="T31" s="4">
        <f t="shared" si="2"/>
        <v>16000</v>
      </c>
      <c r="U31" s="4">
        <v>7520</v>
      </c>
      <c r="V31" s="4">
        <f t="shared" si="3"/>
        <v>7520</v>
      </c>
      <c r="W31" s="4"/>
      <c r="X31" s="21">
        <f t="shared" si="4"/>
        <v>10667</v>
      </c>
      <c r="Y31" s="6">
        <f t="shared" si="5"/>
        <v>0.29502203056154497</v>
      </c>
      <c r="Z31" s="4">
        <v>0.25</v>
      </c>
      <c r="AA31" s="4">
        <f t="shared" si="6"/>
        <v>8500</v>
      </c>
      <c r="AB31" s="4">
        <f t="shared" si="7"/>
        <v>11333.333333333332</v>
      </c>
      <c r="AC31" s="6">
        <f t="shared" si="8"/>
        <v>0.33647058823529408</v>
      </c>
      <c r="AD31" s="4">
        <f>V31/20</f>
        <v>376</v>
      </c>
      <c r="AE31" s="7">
        <v>11300</v>
      </c>
      <c r="AF31" s="6">
        <f t="shared" si="9"/>
        <v>0.3345132743362832</v>
      </c>
      <c r="AG31" s="4">
        <f t="shared" si="10"/>
        <v>3780</v>
      </c>
      <c r="AH31" s="28"/>
      <c r="AI31" s="6"/>
      <c r="AJ31" s="6"/>
      <c r="AK31" s="6">
        <f t="shared" si="11"/>
        <v>1.3333333333333333</v>
      </c>
      <c r="AL31" s="6">
        <f t="shared" si="12"/>
        <v>1.4125000000000001</v>
      </c>
      <c r="AM31" s="6">
        <f t="shared" si="13"/>
        <v>1.3333333333333333</v>
      </c>
      <c r="AN31" s="4" t="str">
        <f t="shared" si="15"/>
        <v>-</v>
      </c>
      <c r="AO31" s="4" t="str">
        <f t="shared" si="16"/>
        <v>-</v>
      </c>
      <c r="AP31" s="4" t="str">
        <f t="shared" si="17"/>
        <v>-</v>
      </c>
      <c r="AQ31" s="4">
        <v>0</v>
      </c>
      <c r="AR31" s="4" t="s">
        <v>245</v>
      </c>
      <c r="AS31" s="4"/>
      <c r="AT31" s="4"/>
      <c r="AU31" s="4" t="s">
        <v>246</v>
      </c>
      <c r="AV31" s="4">
        <v>8500</v>
      </c>
      <c r="AW31" s="4">
        <f t="shared" si="14"/>
        <v>8500</v>
      </c>
      <c r="AX31" s="19">
        <v>2</v>
      </c>
      <c r="AY31" s="19">
        <v>8</v>
      </c>
      <c r="AZ31" s="16">
        <v>19</v>
      </c>
      <c r="BA31" t="s">
        <v>175</v>
      </c>
      <c r="BB31" t="s">
        <v>175</v>
      </c>
      <c r="BC31" t="s">
        <v>194</v>
      </c>
      <c r="BD31" t="s">
        <v>278</v>
      </c>
    </row>
    <row r="32" spans="1:56" x14ac:dyDescent="0.4">
      <c r="A32" s="34">
        <v>26</v>
      </c>
      <c r="B32" s="3">
        <v>26</v>
      </c>
      <c r="C32" s="4" t="s">
        <v>69</v>
      </c>
      <c r="D32" s="4" t="str">
        <f t="shared" si="0"/>
        <v>J460MG</v>
      </c>
      <c r="E32" s="4" t="s">
        <v>69</v>
      </c>
      <c r="F32" s="4" t="s">
        <v>135</v>
      </c>
      <c r="G32" s="5">
        <v>4977114800672</v>
      </c>
      <c r="H32" s="5"/>
      <c r="I32" s="5"/>
      <c r="J32" s="5">
        <v>1</v>
      </c>
      <c r="K32" s="5">
        <v>1</v>
      </c>
      <c r="L32" s="4">
        <v>16000</v>
      </c>
      <c r="M32" s="4">
        <v>10800</v>
      </c>
      <c r="N32" s="4">
        <v>7520</v>
      </c>
      <c r="O32" s="6">
        <f t="shared" si="1"/>
        <v>0.3037037037037037</v>
      </c>
      <c r="P32" s="4" t="s">
        <v>175</v>
      </c>
      <c r="Q32" s="4" t="s">
        <v>175</v>
      </c>
      <c r="R32" s="4" t="s">
        <v>175</v>
      </c>
      <c r="S32" s="4">
        <v>20000</v>
      </c>
      <c r="T32" s="4">
        <f t="shared" si="2"/>
        <v>20000</v>
      </c>
      <c r="U32" s="4">
        <v>9400</v>
      </c>
      <c r="V32" s="4">
        <f t="shared" si="3"/>
        <v>9400</v>
      </c>
      <c r="W32" s="4"/>
      <c r="X32" s="21">
        <f t="shared" si="4"/>
        <v>13500</v>
      </c>
      <c r="Y32" s="6">
        <f t="shared" si="5"/>
        <v>0.3037037037037037</v>
      </c>
      <c r="Z32" s="4">
        <v>0</v>
      </c>
      <c r="AA32" s="4">
        <f t="shared" si="6"/>
        <v>10500</v>
      </c>
      <c r="AB32" s="4">
        <f t="shared" si="7"/>
        <v>13125</v>
      </c>
      <c r="AC32" s="6">
        <f t="shared" si="8"/>
        <v>0.28380952380952384</v>
      </c>
      <c r="AD32" s="4">
        <f>V32/20</f>
        <v>470</v>
      </c>
      <c r="AE32" s="7">
        <v>13800</v>
      </c>
      <c r="AF32" s="6">
        <f t="shared" si="9"/>
        <v>0.3188405797101449</v>
      </c>
      <c r="AG32" s="4">
        <f t="shared" si="10"/>
        <v>4400</v>
      </c>
      <c r="AH32" s="28"/>
      <c r="AI32" s="6"/>
      <c r="AJ32" s="6"/>
      <c r="AK32" s="6">
        <f t="shared" si="11"/>
        <v>1.25</v>
      </c>
      <c r="AL32" s="6">
        <f t="shared" si="12"/>
        <v>1.2777777777777777</v>
      </c>
      <c r="AM32" s="6">
        <f t="shared" si="13"/>
        <v>1.25</v>
      </c>
      <c r="AN32" s="4" t="str">
        <f t="shared" si="15"/>
        <v>-</v>
      </c>
      <c r="AO32" s="4" t="str">
        <f t="shared" si="16"/>
        <v>-</v>
      </c>
      <c r="AP32" s="4" t="str">
        <f t="shared" si="17"/>
        <v>-</v>
      </c>
      <c r="AQ32" s="4">
        <v>0</v>
      </c>
      <c r="AR32" s="4" t="s">
        <v>247</v>
      </c>
      <c r="AS32" s="4"/>
      <c r="AT32" s="4"/>
      <c r="AU32" s="4" t="s">
        <v>246</v>
      </c>
      <c r="AV32" s="4">
        <v>10500</v>
      </c>
      <c r="AW32" s="4">
        <f t="shared" si="14"/>
        <v>10500</v>
      </c>
      <c r="AX32" s="19">
        <v>2</v>
      </c>
      <c r="AY32" s="19">
        <v>8</v>
      </c>
      <c r="AZ32" s="16">
        <v>19</v>
      </c>
      <c r="BA32" t="s">
        <v>175</v>
      </c>
      <c r="BB32" t="s">
        <v>175</v>
      </c>
      <c r="BC32" t="s">
        <v>195</v>
      </c>
      <c r="BD32" t="s">
        <v>278</v>
      </c>
    </row>
    <row r="33" spans="1:56" x14ac:dyDescent="0.4">
      <c r="A33" s="3">
        <v>27</v>
      </c>
      <c r="B33" s="3">
        <v>27</v>
      </c>
      <c r="C33" s="4" t="s">
        <v>70</v>
      </c>
      <c r="D33" s="4" t="str">
        <f t="shared" si="0"/>
        <v>J462MG</v>
      </c>
      <c r="E33" s="4" t="s">
        <v>70</v>
      </c>
      <c r="F33" s="4" t="s">
        <v>136</v>
      </c>
      <c r="G33" s="5">
        <v>4977114800160</v>
      </c>
      <c r="H33" s="5"/>
      <c r="I33" s="5"/>
      <c r="J33" s="5">
        <v>1</v>
      </c>
      <c r="K33" s="5">
        <v>1</v>
      </c>
      <c r="L33" s="4">
        <v>17000</v>
      </c>
      <c r="M33" s="4">
        <v>11182</v>
      </c>
      <c r="N33" s="4">
        <v>7990</v>
      </c>
      <c r="O33" s="6">
        <f t="shared" si="1"/>
        <v>0.28545877302808087</v>
      </c>
      <c r="P33" s="4" t="s">
        <v>175</v>
      </c>
      <c r="Q33" s="4" t="s">
        <v>175</v>
      </c>
      <c r="R33" s="4" t="s">
        <v>175</v>
      </c>
      <c r="S33" s="4">
        <v>20000</v>
      </c>
      <c r="T33" s="4">
        <f t="shared" si="2"/>
        <v>20000</v>
      </c>
      <c r="U33" s="4">
        <v>9400</v>
      </c>
      <c r="V33" s="4">
        <f t="shared" si="3"/>
        <v>9400</v>
      </c>
      <c r="W33" s="4"/>
      <c r="X33" s="21">
        <f t="shared" si="4"/>
        <v>13155</v>
      </c>
      <c r="Y33" s="6">
        <f t="shared" si="5"/>
        <v>0.28544279741543144</v>
      </c>
      <c r="Z33" s="4">
        <v>0</v>
      </c>
      <c r="AA33" s="4">
        <f t="shared" si="6"/>
        <v>15500</v>
      </c>
      <c r="AB33" s="4">
        <f t="shared" si="7"/>
        <v>18235.294117647059</v>
      </c>
      <c r="AC33" s="6">
        <f t="shared" si="8"/>
        <v>0.48451612903225805</v>
      </c>
      <c r="AD33" s="4"/>
      <c r="AE33" s="7">
        <v>13800</v>
      </c>
      <c r="AF33" s="6">
        <f t="shared" si="9"/>
        <v>0.3188405797101449</v>
      </c>
      <c r="AG33" s="4">
        <f t="shared" si="10"/>
        <v>4400</v>
      </c>
      <c r="AH33" s="28"/>
      <c r="AI33" s="6"/>
      <c r="AJ33" s="6"/>
      <c r="AK33" s="6">
        <f t="shared" si="11"/>
        <v>1.1764705882352942</v>
      </c>
      <c r="AL33" s="6">
        <f t="shared" si="12"/>
        <v>1.2341262743695225</v>
      </c>
      <c r="AM33" s="6">
        <f t="shared" si="13"/>
        <v>1.1764705882352942</v>
      </c>
      <c r="AN33" s="4" t="str">
        <f t="shared" si="15"/>
        <v>-</v>
      </c>
      <c r="AO33" s="4" t="str">
        <f t="shared" si="16"/>
        <v>-</v>
      </c>
      <c r="AP33" s="4" t="str">
        <f t="shared" si="17"/>
        <v>-</v>
      </c>
      <c r="AQ33" s="4" t="s">
        <v>109</v>
      </c>
      <c r="AR33" s="4" t="s">
        <v>248</v>
      </c>
      <c r="AS33" s="4"/>
      <c r="AT33" s="4"/>
      <c r="AU33" s="4" t="s">
        <v>228</v>
      </c>
      <c r="AV33" s="4">
        <v>15500</v>
      </c>
      <c r="AW33" s="4">
        <f t="shared" si="14"/>
        <v>15500</v>
      </c>
      <c r="AX33" s="19">
        <v>4</v>
      </c>
      <c r="AY33" s="19">
        <v>8</v>
      </c>
      <c r="AZ33" s="16">
        <v>19</v>
      </c>
      <c r="BA33" t="s">
        <v>175</v>
      </c>
      <c r="BB33" t="s">
        <v>175</v>
      </c>
      <c r="BC33" t="s">
        <v>196</v>
      </c>
      <c r="BD33" t="s">
        <v>278</v>
      </c>
    </row>
    <row r="34" spans="1:56" x14ac:dyDescent="0.4">
      <c r="A34" s="34">
        <v>28</v>
      </c>
      <c r="B34" s="3">
        <v>28</v>
      </c>
      <c r="C34" s="33" t="s">
        <v>71</v>
      </c>
      <c r="D34" s="4" t="str">
        <f t="shared" si="0"/>
        <v>J465MG</v>
      </c>
      <c r="E34" s="4" t="s">
        <v>71</v>
      </c>
      <c r="F34" s="4" t="s">
        <v>137</v>
      </c>
      <c r="G34" s="5">
        <v>4977114800184</v>
      </c>
      <c r="H34" s="5"/>
      <c r="I34" s="5"/>
      <c r="J34" s="5">
        <v>2</v>
      </c>
      <c r="K34" s="5">
        <v>2</v>
      </c>
      <c r="L34" s="4">
        <v>2900</v>
      </c>
      <c r="M34" s="4">
        <v>2369</v>
      </c>
      <c r="N34" s="4">
        <v>1363</v>
      </c>
      <c r="O34" s="6">
        <f t="shared" si="1"/>
        <v>0.42465175179400594</v>
      </c>
      <c r="P34" s="4" t="s">
        <v>175</v>
      </c>
      <c r="Q34" s="4" t="s">
        <v>175</v>
      </c>
      <c r="R34" s="4" t="s">
        <v>175</v>
      </c>
      <c r="S34" s="4">
        <v>37000</v>
      </c>
      <c r="T34" s="4">
        <f t="shared" si="2"/>
        <v>3700</v>
      </c>
      <c r="U34" s="4">
        <v>17390</v>
      </c>
      <c r="V34" s="4">
        <f t="shared" si="3"/>
        <v>1739</v>
      </c>
      <c r="W34" s="4">
        <v>0.1</v>
      </c>
      <c r="X34" s="21">
        <f t="shared" si="4"/>
        <v>3023</v>
      </c>
      <c r="Y34" s="6">
        <f t="shared" si="5"/>
        <v>0.42474363215348987</v>
      </c>
      <c r="Z34" s="4">
        <v>5.75</v>
      </c>
      <c r="AA34" s="4">
        <f t="shared" si="6"/>
        <v>2750</v>
      </c>
      <c r="AB34" s="4">
        <f t="shared" si="7"/>
        <v>3508.6206896551726</v>
      </c>
      <c r="AC34" s="6">
        <f t="shared" si="8"/>
        <v>0.50436363636363635</v>
      </c>
      <c r="AD34" s="4"/>
      <c r="AE34" s="7">
        <v>3100</v>
      </c>
      <c r="AF34" s="6">
        <f t="shared" si="9"/>
        <v>0.43903225806451618</v>
      </c>
      <c r="AG34" s="4">
        <f t="shared" si="10"/>
        <v>1361</v>
      </c>
      <c r="AH34" s="28"/>
      <c r="AI34" s="6"/>
      <c r="AJ34" s="6"/>
      <c r="AK34" s="6">
        <f t="shared" si="11"/>
        <v>1.2758620689655173</v>
      </c>
      <c r="AL34" s="6">
        <f t="shared" si="12"/>
        <v>1.3085690164626425</v>
      </c>
      <c r="AM34" s="6">
        <f t="shared" si="13"/>
        <v>1.2758620689655173</v>
      </c>
      <c r="AN34" s="4" t="str">
        <f t="shared" si="15"/>
        <v>-</v>
      </c>
      <c r="AO34" s="4" t="str">
        <f t="shared" si="16"/>
        <v>-</v>
      </c>
      <c r="AP34" s="4" t="str">
        <f t="shared" si="17"/>
        <v>-</v>
      </c>
      <c r="AQ34" s="4" t="s">
        <v>109</v>
      </c>
      <c r="AR34" s="4" t="s">
        <v>249</v>
      </c>
      <c r="AS34" s="4">
        <v>1</v>
      </c>
      <c r="AT34" s="4">
        <v>10</v>
      </c>
      <c r="AU34" s="4" t="s">
        <v>228</v>
      </c>
      <c r="AV34" s="4">
        <v>27500</v>
      </c>
      <c r="AW34" s="4">
        <f t="shared" si="14"/>
        <v>2750</v>
      </c>
      <c r="AX34" s="19">
        <v>2</v>
      </c>
      <c r="AY34" s="19">
        <v>1</v>
      </c>
      <c r="AZ34" s="16">
        <v>19</v>
      </c>
      <c r="BA34">
        <v>1972</v>
      </c>
      <c r="BB34">
        <v>2755</v>
      </c>
      <c r="BC34" t="s">
        <v>197</v>
      </c>
      <c r="BD34" t="s">
        <v>278</v>
      </c>
    </row>
    <row r="35" spans="1:56" x14ac:dyDescent="0.4">
      <c r="A35" s="34">
        <v>60</v>
      </c>
      <c r="B35" s="3">
        <v>28</v>
      </c>
      <c r="C35" s="33" t="s">
        <v>71</v>
      </c>
      <c r="D35" s="4" t="str">
        <f t="shared" si="0"/>
        <v>J465MG</v>
      </c>
      <c r="E35" s="4" t="s">
        <v>169</v>
      </c>
      <c r="F35" s="4" t="s">
        <v>170</v>
      </c>
      <c r="G35" s="5">
        <v>4977114800184</v>
      </c>
      <c r="H35" s="5"/>
      <c r="I35" s="5"/>
      <c r="J35" s="5"/>
      <c r="K35" s="5"/>
      <c r="L35" s="4">
        <v>29000</v>
      </c>
      <c r="M35" s="4">
        <v>20058</v>
      </c>
      <c r="N35" s="4">
        <v>13630</v>
      </c>
      <c r="O35" s="6">
        <f t="shared" si="1"/>
        <v>0.32047063515804164</v>
      </c>
      <c r="P35" s="4" t="s">
        <v>175</v>
      </c>
      <c r="Q35" s="4" t="s">
        <v>175</v>
      </c>
      <c r="R35" s="4" t="s">
        <v>175</v>
      </c>
      <c r="S35" s="4">
        <v>37000</v>
      </c>
      <c r="T35" s="4">
        <f t="shared" si="2"/>
        <v>37000</v>
      </c>
      <c r="U35" s="4">
        <v>17390</v>
      </c>
      <c r="V35" s="4">
        <f t="shared" si="3"/>
        <v>17390</v>
      </c>
      <c r="W35" s="4"/>
      <c r="X35" s="21">
        <f t="shared" si="4"/>
        <v>25591</v>
      </c>
      <c r="Y35" s="6">
        <f t="shared" si="5"/>
        <v>0.32046422570434918</v>
      </c>
      <c r="Z35" s="4">
        <v>5.75</v>
      </c>
      <c r="AA35" s="4">
        <f t="shared" si="6"/>
        <v>27500</v>
      </c>
      <c r="AB35" s="4">
        <f t="shared" si="7"/>
        <v>35086.206896551725</v>
      </c>
      <c r="AC35" s="6">
        <f t="shared" si="8"/>
        <v>0.50436363636363635</v>
      </c>
      <c r="AD35" s="4">
        <f>ROUNDDOWN(AE34*10*0.95,0)</f>
        <v>29450</v>
      </c>
      <c r="AE35" s="7">
        <v>25800</v>
      </c>
      <c r="AF35" s="6">
        <f t="shared" si="9"/>
        <v>0.32596899224806197</v>
      </c>
      <c r="AG35" s="4">
        <f t="shared" si="10"/>
        <v>8410</v>
      </c>
      <c r="AH35" s="28"/>
      <c r="AI35" s="6"/>
      <c r="AJ35" s="6"/>
      <c r="AK35" s="6">
        <f t="shared" si="11"/>
        <v>1.2758620689655173</v>
      </c>
      <c r="AL35" s="6">
        <f t="shared" si="12"/>
        <v>1.2862698175291654</v>
      </c>
      <c r="AM35" s="6">
        <f t="shared" si="13"/>
        <v>1.2758620689655173</v>
      </c>
      <c r="AN35" s="4" t="str">
        <f t="shared" si="15"/>
        <v>-</v>
      </c>
      <c r="AO35" s="4" t="str">
        <f t="shared" si="16"/>
        <v>-</v>
      </c>
      <c r="AP35" s="4" t="str">
        <f t="shared" si="17"/>
        <v>-</v>
      </c>
      <c r="AQ35" s="4" t="s">
        <v>109</v>
      </c>
      <c r="AR35" s="4" t="s">
        <v>249</v>
      </c>
      <c r="AS35" s="4"/>
      <c r="AT35" s="4"/>
      <c r="AU35" s="4" t="s">
        <v>228</v>
      </c>
      <c r="AV35" s="4">
        <v>27500</v>
      </c>
      <c r="AW35" s="4">
        <f t="shared" si="14"/>
        <v>27500</v>
      </c>
      <c r="AX35" s="19">
        <v>2</v>
      </c>
      <c r="AY35" s="19">
        <v>1</v>
      </c>
      <c r="AZ35" s="16">
        <v>19</v>
      </c>
      <c r="BA35">
        <v>1972</v>
      </c>
      <c r="BB35">
        <v>2755</v>
      </c>
      <c r="BC35" t="s">
        <v>197</v>
      </c>
      <c r="BD35" t="s">
        <v>278</v>
      </c>
    </row>
    <row r="36" spans="1:56" x14ac:dyDescent="0.4">
      <c r="A36" s="35">
        <v>29</v>
      </c>
      <c r="B36" s="3">
        <v>29</v>
      </c>
      <c r="C36" s="4" t="s">
        <v>72</v>
      </c>
      <c r="D36" s="4" t="str">
        <f t="shared" ref="D36:D67" si="18">TEXT(C36,"000000")</f>
        <v>J466MG</v>
      </c>
      <c r="E36" s="4" t="s">
        <v>72</v>
      </c>
      <c r="F36" s="4" t="s">
        <v>138</v>
      </c>
      <c r="G36" s="5">
        <v>4977114800191</v>
      </c>
      <c r="H36" s="5"/>
      <c r="I36" s="5"/>
      <c r="J36" s="5">
        <v>1</v>
      </c>
      <c r="K36" s="5">
        <v>1</v>
      </c>
      <c r="L36" s="4">
        <v>46000</v>
      </c>
      <c r="M36" s="4">
        <v>31507</v>
      </c>
      <c r="N36" s="4">
        <v>21620</v>
      </c>
      <c r="O36" s="6">
        <f t="shared" ref="O36:O67" si="19">1-N36/M36</f>
        <v>0.3138032818103913</v>
      </c>
      <c r="P36" s="4" t="s">
        <v>175</v>
      </c>
      <c r="Q36" s="4" t="s">
        <v>175</v>
      </c>
      <c r="R36" s="4" t="s">
        <v>175</v>
      </c>
      <c r="S36" s="4">
        <v>58000</v>
      </c>
      <c r="T36" s="4">
        <f t="shared" ref="T36:T67" si="20">IF(W36="",S36,S36*W36)</f>
        <v>58000</v>
      </c>
      <c r="U36" s="4">
        <v>27260</v>
      </c>
      <c r="V36" s="4">
        <f t="shared" ref="V36:V67" si="21">IF(W36="",U36,U36*W36)</f>
        <v>27260</v>
      </c>
      <c r="W36" s="4"/>
      <c r="X36" s="21">
        <f t="shared" ref="X36:X67" si="22">ROUND(M36*AM36,0)</f>
        <v>39726</v>
      </c>
      <c r="Y36" s="6">
        <f t="shared" ref="Y36:Y67" si="23">1-V36/X36</f>
        <v>0.31379952675829437</v>
      </c>
      <c r="Z36" s="4">
        <v>0</v>
      </c>
      <c r="AA36" s="4" t="str">
        <f t="shared" ref="AA36:AA67" si="24">AW36</f>
        <v>-</v>
      </c>
      <c r="AB36" s="4" t="e">
        <f t="shared" ref="AB36:AB67" si="25">AA36*AM36</f>
        <v>#VALUE!</v>
      </c>
      <c r="AC36" s="6" t="e">
        <f t="shared" ref="AC36:AC67" si="26">1-V36/AB36</f>
        <v>#VALUE!</v>
      </c>
      <c r="AD36" s="4"/>
      <c r="AE36" s="7">
        <v>39720</v>
      </c>
      <c r="AF36" s="6">
        <f t="shared" ref="AF36:AF67" si="27">1-V36/AE36</f>
        <v>0.31369587109768382</v>
      </c>
      <c r="AG36" s="4">
        <f t="shared" ref="AG36:AG67" si="28">AE36-V36</f>
        <v>12460</v>
      </c>
      <c r="AH36" s="28"/>
      <c r="AI36" s="6"/>
      <c r="AJ36" s="6"/>
      <c r="AK36" s="6">
        <f t="shared" ref="AK36:AK67" si="29">T36/L36</f>
        <v>1.2608695652173914</v>
      </c>
      <c r="AL36" s="6">
        <f t="shared" ref="AL36:AL67" si="30">AE36/M36</f>
        <v>1.2606722315675882</v>
      </c>
      <c r="AM36" s="6">
        <f t="shared" ref="AM36:AM67" si="31">V36/N36</f>
        <v>1.2608695652173914</v>
      </c>
      <c r="AN36" s="4" t="str">
        <f t="shared" si="15"/>
        <v>-</v>
      </c>
      <c r="AO36" s="4" t="str">
        <f t="shared" si="16"/>
        <v>-</v>
      </c>
      <c r="AP36" s="4" t="str">
        <f t="shared" si="17"/>
        <v>-</v>
      </c>
      <c r="AQ36" s="4" t="s">
        <v>109</v>
      </c>
      <c r="AR36" s="4" t="s">
        <v>175</v>
      </c>
      <c r="AS36" s="4"/>
      <c r="AT36" s="4"/>
      <c r="AU36" s="4" t="s">
        <v>175</v>
      </c>
      <c r="AV36" s="4" t="s">
        <v>175</v>
      </c>
      <c r="AW36" s="4" t="str">
        <f t="shared" ref="AW36:AW67" si="32">IF(AS36="",AV36,AS36/AT36*AV36)</f>
        <v>-</v>
      </c>
      <c r="AX36" s="19">
        <v>4</v>
      </c>
      <c r="AY36" s="19">
        <v>9</v>
      </c>
      <c r="AZ36" s="16">
        <v>19</v>
      </c>
      <c r="BA36">
        <v>3128</v>
      </c>
      <c r="BB36">
        <v>4370</v>
      </c>
      <c r="BC36" t="s">
        <v>175</v>
      </c>
      <c r="BD36" t="s">
        <v>278</v>
      </c>
    </row>
    <row r="37" spans="1:56" x14ac:dyDescent="0.4">
      <c r="A37" s="3">
        <v>30</v>
      </c>
      <c r="B37" s="3">
        <v>30</v>
      </c>
      <c r="C37" s="4" t="s">
        <v>73</v>
      </c>
      <c r="D37" s="4" t="str">
        <f t="shared" si="18"/>
        <v>J463MG</v>
      </c>
      <c r="E37" s="4" t="s">
        <v>73</v>
      </c>
      <c r="F37" s="4" t="s">
        <v>139</v>
      </c>
      <c r="G37" s="5">
        <v>4977114800177</v>
      </c>
      <c r="H37" s="5"/>
      <c r="I37" s="5"/>
      <c r="J37" s="5">
        <v>1</v>
      </c>
      <c r="K37" s="5">
        <v>1</v>
      </c>
      <c r="L37" s="4">
        <v>20000</v>
      </c>
      <c r="M37" s="4">
        <v>12759</v>
      </c>
      <c r="N37" s="4">
        <v>9400</v>
      </c>
      <c r="O37" s="6">
        <f t="shared" si="19"/>
        <v>0.26326514617133001</v>
      </c>
      <c r="P37" s="4" t="s">
        <v>175</v>
      </c>
      <c r="Q37" s="4" t="s">
        <v>175</v>
      </c>
      <c r="R37" s="4" t="s">
        <v>175</v>
      </c>
      <c r="S37" s="4">
        <v>25000</v>
      </c>
      <c r="T37" s="4">
        <f t="shared" si="20"/>
        <v>25000</v>
      </c>
      <c r="U37" s="4">
        <v>11750</v>
      </c>
      <c r="V37" s="4">
        <f t="shared" si="21"/>
        <v>11750</v>
      </c>
      <c r="W37" s="4"/>
      <c r="X37" s="21">
        <f t="shared" si="22"/>
        <v>15949</v>
      </c>
      <c r="Y37" s="6">
        <f t="shared" si="23"/>
        <v>0.26327669446360269</v>
      </c>
      <c r="Z37" s="4">
        <v>0</v>
      </c>
      <c r="AA37" s="4">
        <f t="shared" si="24"/>
        <v>18500</v>
      </c>
      <c r="AB37" s="4">
        <f t="shared" si="25"/>
        <v>23125</v>
      </c>
      <c r="AC37" s="6">
        <f t="shared" si="26"/>
        <v>0.49189189189189186</v>
      </c>
      <c r="AD37" s="4"/>
      <c r="AE37" s="7">
        <v>16800</v>
      </c>
      <c r="AF37" s="6">
        <f t="shared" si="27"/>
        <v>0.30059523809523814</v>
      </c>
      <c r="AG37" s="4">
        <f t="shared" si="28"/>
        <v>5050</v>
      </c>
      <c r="AH37" s="28"/>
      <c r="AI37" s="6"/>
      <c r="AJ37" s="6"/>
      <c r="AK37" s="6">
        <f t="shared" si="29"/>
        <v>1.25</v>
      </c>
      <c r="AL37" s="6">
        <f t="shared" si="30"/>
        <v>1.3167176110980485</v>
      </c>
      <c r="AM37" s="6">
        <f t="shared" si="31"/>
        <v>1.25</v>
      </c>
      <c r="AN37" s="4" t="str">
        <f t="shared" si="15"/>
        <v>-</v>
      </c>
      <c r="AO37" s="4" t="str">
        <f t="shared" si="16"/>
        <v>-</v>
      </c>
      <c r="AP37" s="4" t="str">
        <f t="shared" si="17"/>
        <v>-</v>
      </c>
      <c r="AQ37" s="4" t="s">
        <v>109</v>
      </c>
      <c r="AR37" s="4" t="s">
        <v>250</v>
      </c>
      <c r="AS37" s="4"/>
      <c r="AT37" s="4"/>
      <c r="AU37" s="4" t="s">
        <v>228</v>
      </c>
      <c r="AV37" s="4">
        <v>18500</v>
      </c>
      <c r="AW37" s="4">
        <f t="shared" si="32"/>
        <v>18500</v>
      </c>
      <c r="AX37" s="19">
        <v>4</v>
      </c>
      <c r="AY37" s="19">
        <v>8</v>
      </c>
      <c r="AZ37" s="16">
        <v>19</v>
      </c>
      <c r="BA37" t="s">
        <v>175</v>
      </c>
      <c r="BB37">
        <v>1900</v>
      </c>
      <c r="BC37" t="s">
        <v>198</v>
      </c>
      <c r="BD37" t="s">
        <v>278</v>
      </c>
    </row>
    <row r="38" spans="1:56" x14ac:dyDescent="0.4">
      <c r="A38" s="3">
        <v>31</v>
      </c>
      <c r="B38" s="3">
        <v>31</v>
      </c>
      <c r="C38" s="33" t="s">
        <v>74</v>
      </c>
      <c r="D38" s="4" t="str">
        <f t="shared" si="18"/>
        <v>J468MG</v>
      </c>
      <c r="E38" s="4" t="s">
        <v>103</v>
      </c>
      <c r="F38" s="4" t="s">
        <v>140</v>
      </c>
      <c r="G38" s="5">
        <v>4977114800214</v>
      </c>
      <c r="H38" s="5"/>
      <c r="I38" s="5"/>
      <c r="J38" s="5">
        <v>2</v>
      </c>
      <c r="K38" s="5">
        <v>2</v>
      </c>
      <c r="L38" s="4">
        <v>1400</v>
      </c>
      <c r="M38" s="4">
        <v>979</v>
      </c>
      <c r="N38" s="4">
        <v>658</v>
      </c>
      <c r="O38" s="6">
        <f t="shared" si="19"/>
        <v>0.32788559754851887</v>
      </c>
      <c r="P38" s="4" t="s">
        <v>175</v>
      </c>
      <c r="Q38" s="4" t="s">
        <v>175</v>
      </c>
      <c r="R38" s="4" t="s">
        <v>175</v>
      </c>
      <c r="S38" s="4">
        <v>14000</v>
      </c>
      <c r="T38" s="4">
        <f t="shared" si="20"/>
        <v>1400</v>
      </c>
      <c r="U38" s="4">
        <v>6580</v>
      </c>
      <c r="V38" s="4">
        <f t="shared" si="21"/>
        <v>658</v>
      </c>
      <c r="W38" s="4">
        <v>0.1</v>
      </c>
      <c r="X38" s="21">
        <f t="shared" si="22"/>
        <v>979</v>
      </c>
      <c r="Y38" s="6">
        <f t="shared" si="23"/>
        <v>0.32788559754851887</v>
      </c>
      <c r="Z38" s="4">
        <v>1</v>
      </c>
      <c r="AA38" s="4">
        <f t="shared" si="24"/>
        <v>1250</v>
      </c>
      <c r="AB38" s="4">
        <f t="shared" si="25"/>
        <v>1250</v>
      </c>
      <c r="AC38" s="6">
        <f t="shared" si="26"/>
        <v>0.47360000000000002</v>
      </c>
      <c r="AD38" s="4"/>
      <c r="AE38" s="7">
        <v>1080</v>
      </c>
      <c r="AF38" s="6">
        <f t="shared" si="27"/>
        <v>0.39074074074074072</v>
      </c>
      <c r="AG38" s="4">
        <f t="shared" si="28"/>
        <v>422</v>
      </c>
      <c r="AH38" s="28"/>
      <c r="AI38" s="6"/>
      <c r="AJ38" s="6"/>
      <c r="AK38" s="6">
        <f t="shared" si="29"/>
        <v>1</v>
      </c>
      <c r="AL38" s="6">
        <f t="shared" si="30"/>
        <v>1.1031664964249235</v>
      </c>
      <c r="AM38" s="6">
        <f t="shared" si="31"/>
        <v>1</v>
      </c>
      <c r="AN38" s="4" t="str">
        <f t="shared" si="15"/>
        <v>-</v>
      </c>
      <c r="AO38" s="4" t="str">
        <f t="shared" si="16"/>
        <v>-</v>
      </c>
      <c r="AP38" s="4" t="str">
        <f t="shared" si="17"/>
        <v>-</v>
      </c>
      <c r="AQ38" s="4" t="s">
        <v>109</v>
      </c>
      <c r="AR38" s="4" t="s">
        <v>251</v>
      </c>
      <c r="AS38" s="4">
        <v>1</v>
      </c>
      <c r="AT38" s="4">
        <v>10</v>
      </c>
      <c r="AU38" s="4" t="s">
        <v>228</v>
      </c>
      <c r="AV38" s="4">
        <v>12500</v>
      </c>
      <c r="AW38" s="4">
        <f t="shared" si="32"/>
        <v>1250</v>
      </c>
      <c r="AX38" s="19">
        <v>4</v>
      </c>
      <c r="AY38" s="19">
        <v>1</v>
      </c>
      <c r="AZ38" s="16">
        <v>19</v>
      </c>
      <c r="BA38" t="s">
        <v>175</v>
      </c>
      <c r="BB38" t="s">
        <v>175</v>
      </c>
      <c r="BC38" t="s">
        <v>199</v>
      </c>
      <c r="BD38" t="s">
        <v>278</v>
      </c>
    </row>
    <row r="39" spans="1:56" x14ac:dyDescent="0.4">
      <c r="A39" s="3">
        <v>61</v>
      </c>
      <c r="B39" s="3">
        <v>31</v>
      </c>
      <c r="C39" s="33" t="s">
        <v>74</v>
      </c>
      <c r="D39" s="4" t="str">
        <f t="shared" si="18"/>
        <v>J468MG</v>
      </c>
      <c r="E39" s="4" t="s">
        <v>74</v>
      </c>
      <c r="F39" s="4" t="s">
        <v>171</v>
      </c>
      <c r="G39" s="5">
        <v>4977114800214</v>
      </c>
      <c r="H39" s="5"/>
      <c r="I39" s="5"/>
      <c r="J39" s="5"/>
      <c r="K39" s="5"/>
      <c r="L39" s="4">
        <v>14000</v>
      </c>
      <c r="M39" s="4">
        <v>9494</v>
      </c>
      <c r="N39" s="4">
        <v>6580</v>
      </c>
      <c r="O39" s="6">
        <f t="shared" si="19"/>
        <v>0.30693069306930698</v>
      </c>
      <c r="P39" s="4" t="s">
        <v>175</v>
      </c>
      <c r="Q39" s="4" t="s">
        <v>175</v>
      </c>
      <c r="R39" s="4" t="s">
        <v>175</v>
      </c>
      <c r="S39" s="4">
        <v>14000</v>
      </c>
      <c r="T39" s="4">
        <f t="shared" si="20"/>
        <v>14000</v>
      </c>
      <c r="U39" s="4">
        <v>6580</v>
      </c>
      <c r="V39" s="4">
        <f t="shared" si="21"/>
        <v>6580</v>
      </c>
      <c r="W39" s="4"/>
      <c r="X39" s="21">
        <f t="shared" si="22"/>
        <v>9494</v>
      </c>
      <c r="Y39" s="6">
        <f t="shared" si="23"/>
        <v>0.30693069306930698</v>
      </c>
      <c r="Z39" s="4">
        <v>1</v>
      </c>
      <c r="AA39" s="4">
        <f t="shared" si="24"/>
        <v>12500</v>
      </c>
      <c r="AB39" s="4">
        <f t="shared" si="25"/>
        <v>12500</v>
      </c>
      <c r="AC39" s="6">
        <f t="shared" si="26"/>
        <v>0.47360000000000002</v>
      </c>
      <c r="AD39" s="4">
        <f>ROUNDDOWN(AE38*10*0.95,0)</f>
        <v>10260</v>
      </c>
      <c r="AE39" s="7">
        <v>10200</v>
      </c>
      <c r="AF39" s="6">
        <f t="shared" si="27"/>
        <v>0.35490196078431369</v>
      </c>
      <c r="AG39" s="4">
        <f t="shared" si="28"/>
        <v>3620</v>
      </c>
      <c r="AH39" s="28"/>
      <c r="AI39" s="6"/>
      <c r="AJ39" s="6"/>
      <c r="AK39" s="6">
        <f t="shared" si="29"/>
        <v>1</v>
      </c>
      <c r="AL39" s="6">
        <f t="shared" si="30"/>
        <v>1.0743627554244786</v>
      </c>
      <c r="AM39" s="6">
        <f t="shared" si="31"/>
        <v>1</v>
      </c>
      <c r="AN39" s="4" t="str">
        <f t="shared" si="15"/>
        <v>-</v>
      </c>
      <c r="AO39" s="4" t="str">
        <f t="shared" si="16"/>
        <v>-</v>
      </c>
      <c r="AP39" s="4" t="str">
        <f t="shared" si="17"/>
        <v>-</v>
      </c>
      <c r="AQ39" s="4" t="s">
        <v>109</v>
      </c>
      <c r="AR39" s="4" t="s">
        <v>251</v>
      </c>
      <c r="AS39" s="4"/>
      <c r="AT39" s="4"/>
      <c r="AU39" s="4" t="s">
        <v>228</v>
      </c>
      <c r="AV39" s="4">
        <v>12500</v>
      </c>
      <c r="AW39" s="4">
        <f t="shared" si="32"/>
        <v>12500</v>
      </c>
      <c r="AX39" s="19">
        <v>4</v>
      </c>
      <c r="AY39" s="19">
        <v>1</v>
      </c>
      <c r="AZ39" s="16">
        <v>19</v>
      </c>
      <c r="BA39" t="s">
        <v>175</v>
      </c>
      <c r="BB39" t="s">
        <v>175</v>
      </c>
      <c r="BC39" t="s">
        <v>199</v>
      </c>
      <c r="BD39" t="s">
        <v>278</v>
      </c>
    </row>
    <row r="40" spans="1:56" x14ac:dyDescent="0.4">
      <c r="A40" s="34">
        <v>32</v>
      </c>
      <c r="B40" s="3">
        <v>32</v>
      </c>
      <c r="C40" s="33" t="s">
        <v>75</v>
      </c>
      <c r="D40" s="4" t="str">
        <f t="shared" si="18"/>
        <v>J470MG</v>
      </c>
      <c r="E40" s="4" t="s">
        <v>104</v>
      </c>
      <c r="F40" s="4" t="s">
        <v>141</v>
      </c>
      <c r="G40" s="5">
        <v>4977114800238</v>
      </c>
      <c r="H40" s="5"/>
      <c r="I40" s="5"/>
      <c r="J40" s="5">
        <v>2</v>
      </c>
      <c r="K40" s="5">
        <v>2</v>
      </c>
      <c r="L40" s="4">
        <v>2300</v>
      </c>
      <c r="M40" s="4">
        <v>2000</v>
      </c>
      <c r="N40" s="4">
        <v>1081</v>
      </c>
      <c r="O40" s="6">
        <f t="shared" si="19"/>
        <v>0.45950000000000002</v>
      </c>
      <c r="P40" s="4" t="s">
        <v>175</v>
      </c>
      <c r="Q40" s="4" t="s">
        <v>175</v>
      </c>
      <c r="R40" s="4" t="s">
        <v>175</v>
      </c>
      <c r="S40" s="4">
        <v>29000</v>
      </c>
      <c r="T40" s="4">
        <f t="shared" si="20"/>
        <v>2900</v>
      </c>
      <c r="U40" s="4">
        <v>13630</v>
      </c>
      <c r="V40" s="4">
        <f t="shared" si="21"/>
        <v>1363</v>
      </c>
      <c r="W40" s="4">
        <v>0.1</v>
      </c>
      <c r="X40" s="21">
        <f t="shared" si="22"/>
        <v>2522</v>
      </c>
      <c r="Y40" s="6">
        <f t="shared" si="23"/>
        <v>0.45955590800951629</v>
      </c>
      <c r="Z40" s="4">
        <v>8.5</v>
      </c>
      <c r="AA40" s="4">
        <f t="shared" si="24"/>
        <v>2150</v>
      </c>
      <c r="AB40" s="4">
        <f t="shared" si="25"/>
        <v>2710.8695652173915</v>
      </c>
      <c r="AC40" s="6">
        <f t="shared" si="26"/>
        <v>0.49720930232558147</v>
      </c>
      <c r="AD40" s="4"/>
      <c r="AE40" s="7">
        <v>2580</v>
      </c>
      <c r="AF40" s="6">
        <f t="shared" si="27"/>
        <v>0.47170542635658919</v>
      </c>
      <c r="AG40" s="4">
        <f t="shared" si="28"/>
        <v>1217</v>
      </c>
      <c r="AH40" s="28"/>
      <c r="AI40" s="6"/>
      <c r="AJ40" s="6"/>
      <c r="AK40" s="6">
        <f t="shared" si="29"/>
        <v>1.2608695652173914</v>
      </c>
      <c r="AL40" s="6">
        <f t="shared" si="30"/>
        <v>1.29</v>
      </c>
      <c r="AM40" s="6">
        <f t="shared" si="31"/>
        <v>1.2608695652173914</v>
      </c>
      <c r="AN40" s="4" t="str">
        <f t="shared" si="15"/>
        <v>-</v>
      </c>
      <c r="AO40" s="4" t="str">
        <f t="shared" si="16"/>
        <v>-</v>
      </c>
      <c r="AP40" s="4" t="str">
        <f t="shared" si="17"/>
        <v>-</v>
      </c>
      <c r="AQ40" s="4" t="s">
        <v>109</v>
      </c>
      <c r="AR40" s="4" t="s">
        <v>252</v>
      </c>
      <c r="AS40" s="4">
        <v>1</v>
      </c>
      <c r="AT40" s="4">
        <v>10</v>
      </c>
      <c r="AU40" s="4" t="s">
        <v>228</v>
      </c>
      <c r="AV40" s="4">
        <v>21500</v>
      </c>
      <c r="AW40" s="4">
        <f t="shared" si="32"/>
        <v>2150</v>
      </c>
      <c r="AX40" s="19">
        <v>2</v>
      </c>
      <c r="AY40" s="19">
        <v>1</v>
      </c>
      <c r="AZ40" s="16">
        <v>19</v>
      </c>
      <c r="BA40">
        <v>1564</v>
      </c>
      <c r="BB40">
        <v>2185</v>
      </c>
      <c r="BC40" t="s">
        <v>200</v>
      </c>
      <c r="BD40" t="s">
        <v>278</v>
      </c>
    </row>
    <row r="41" spans="1:56" x14ac:dyDescent="0.4">
      <c r="A41" s="34">
        <v>62</v>
      </c>
      <c r="B41" s="3">
        <v>32</v>
      </c>
      <c r="C41" s="33" t="s">
        <v>75</v>
      </c>
      <c r="D41" s="4" t="str">
        <f t="shared" si="18"/>
        <v>J470MG</v>
      </c>
      <c r="E41" s="4" t="s">
        <v>75</v>
      </c>
      <c r="F41" s="4" t="s">
        <v>172</v>
      </c>
      <c r="G41" s="5">
        <v>4977114800238</v>
      </c>
      <c r="H41" s="5"/>
      <c r="I41" s="5"/>
      <c r="J41" s="5"/>
      <c r="K41" s="5"/>
      <c r="L41" s="4">
        <v>23000</v>
      </c>
      <c r="M41" s="4">
        <v>17307</v>
      </c>
      <c r="N41" s="4">
        <v>10810</v>
      </c>
      <c r="O41" s="6">
        <f t="shared" si="19"/>
        <v>0.37539723811174674</v>
      </c>
      <c r="P41" s="4">
        <v>15800</v>
      </c>
      <c r="Q41" s="4">
        <v>10</v>
      </c>
      <c r="R41" s="4">
        <v>99999</v>
      </c>
      <c r="S41" s="4">
        <v>29000</v>
      </c>
      <c r="T41" s="4">
        <f t="shared" si="20"/>
        <v>29000</v>
      </c>
      <c r="U41" s="4">
        <v>13630</v>
      </c>
      <c r="V41" s="4">
        <f t="shared" si="21"/>
        <v>13630</v>
      </c>
      <c r="W41" s="4"/>
      <c r="X41" s="21">
        <f t="shared" si="22"/>
        <v>21822</v>
      </c>
      <c r="Y41" s="6">
        <f t="shared" si="23"/>
        <v>0.37540097149665475</v>
      </c>
      <c r="Z41" s="4">
        <v>8.5</v>
      </c>
      <c r="AA41" s="4">
        <f t="shared" si="24"/>
        <v>21500</v>
      </c>
      <c r="AB41" s="4">
        <f t="shared" si="25"/>
        <v>27108.695652173916</v>
      </c>
      <c r="AC41" s="6">
        <f t="shared" si="26"/>
        <v>0.49720930232558147</v>
      </c>
      <c r="AD41" s="4">
        <f>ROUNDDOWN(AE40*10*0.95,0)</f>
        <v>24510</v>
      </c>
      <c r="AE41" s="7">
        <v>23800</v>
      </c>
      <c r="AF41" s="6">
        <f t="shared" si="27"/>
        <v>0.42731092436974794</v>
      </c>
      <c r="AG41" s="4">
        <f t="shared" si="28"/>
        <v>10170</v>
      </c>
      <c r="AH41" s="28"/>
      <c r="AI41" s="6"/>
      <c r="AJ41" s="6"/>
      <c r="AK41" s="6">
        <f t="shared" si="29"/>
        <v>1.2608695652173914</v>
      </c>
      <c r="AL41" s="6">
        <f t="shared" si="30"/>
        <v>1.3751661177558214</v>
      </c>
      <c r="AM41" s="6">
        <f t="shared" si="31"/>
        <v>1.2608695652173914</v>
      </c>
      <c r="AN41" s="4">
        <f t="shared" si="15"/>
        <v>21728</v>
      </c>
      <c r="AO41" s="4">
        <f t="shared" si="16"/>
        <v>10</v>
      </c>
      <c r="AP41" s="4">
        <f t="shared" si="17"/>
        <v>99999</v>
      </c>
      <c r="AQ41" s="4" t="s">
        <v>109</v>
      </c>
      <c r="AR41" s="4" t="s">
        <v>252</v>
      </c>
      <c r="AS41" s="4"/>
      <c r="AT41" s="4"/>
      <c r="AU41" s="4" t="s">
        <v>228</v>
      </c>
      <c r="AV41" s="4">
        <v>21500</v>
      </c>
      <c r="AW41" s="4">
        <f t="shared" si="32"/>
        <v>21500</v>
      </c>
      <c r="AX41" s="19">
        <v>2</v>
      </c>
      <c r="AY41" s="19">
        <v>1</v>
      </c>
      <c r="AZ41" s="16">
        <v>19</v>
      </c>
      <c r="BA41">
        <v>1564</v>
      </c>
      <c r="BB41">
        <v>2185</v>
      </c>
      <c r="BC41" t="s">
        <v>200</v>
      </c>
      <c r="BD41" t="s">
        <v>278</v>
      </c>
    </row>
    <row r="42" spans="1:56" x14ac:dyDescent="0.4">
      <c r="A42" s="34">
        <v>33</v>
      </c>
      <c r="B42" s="3">
        <v>33</v>
      </c>
      <c r="C42" s="33" t="s">
        <v>76</v>
      </c>
      <c r="D42" s="4" t="str">
        <f t="shared" si="18"/>
        <v>J471MG</v>
      </c>
      <c r="E42" s="4" t="s">
        <v>105</v>
      </c>
      <c r="F42" s="4" t="s">
        <v>142</v>
      </c>
      <c r="G42" s="5">
        <v>4977114800245</v>
      </c>
      <c r="H42" s="5"/>
      <c r="I42" s="5"/>
      <c r="J42" s="5">
        <v>2</v>
      </c>
      <c r="K42" s="5">
        <v>2</v>
      </c>
      <c r="L42" s="4">
        <v>3600</v>
      </c>
      <c r="M42" s="4">
        <v>2781</v>
      </c>
      <c r="N42" s="4">
        <v>1692</v>
      </c>
      <c r="O42" s="6">
        <f t="shared" si="19"/>
        <v>0.39158576051779936</v>
      </c>
      <c r="P42" s="4" t="s">
        <v>175</v>
      </c>
      <c r="Q42" s="4" t="s">
        <v>175</v>
      </c>
      <c r="R42" s="4" t="s">
        <v>175</v>
      </c>
      <c r="S42" s="4">
        <v>45000</v>
      </c>
      <c r="T42" s="4">
        <f t="shared" si="20"/>
        <v>4500</v>
      </c>
      <c r="U42" s="4">
        <v>21150</v>
      </c>
      <c r="V42" s="4">
        <f t="shared" si="21"/>
        <v>2115</v>
      </c>
      <c r="W42" s="4">
        <v>0.1</v>
      </c>
      <c r="X42" s="21">
        <f t="shared" si="22"/>
        <v>3476</v>
      </c>
      <c r="Y42" s="6">
        <f t="shared" si="23"/>
        <v>0.39154200230149594</v>
      </c>
      <c r="Z42" s="4">
        <v>34.25</v>
      </c>
      <c r="AA42" s="4">
        <f t="shared" si="24"/>
        <v>3463.7000000000003</v>
      </c>
      <c r="AB42" s="4">
        <f t="shared" si="25"/>
        <v>4329.625</v>
      </c>
      <c r="AC42" s="6">
        <f t="shared" si="26"/>
        <v>0.51150503796518176</v>
      </c>
      <c r="AD42" s="4"/>
      <c r="AE42" s="7">
        <v>3480</v>
      </c>
      <c r="AF42" s="6">
        <f t="shared" si="27"/>
        <v>0.39224137931034486</v>
      </c>
      <c r="AG42" s="4">
        <f t="shared" si="28"/>
        <v>1365</v>
      </c>
      <c r="AH42" s="28"/>
      <c r="AI42" s="6"/>
      <c r="AJ42" s="6"/>
      <c r="AK42" s="6">
        <f t="shared" si="29"/>
        <v>1.25</v>
      </c>
      <c r="AL42" s="6">
        <f t="shared" si="30"/>
        <v>1.2513484358144553</v>
      </c>
      <c r="AM42" s="6">
        <f t="shared" si="31"/>
        <v>1.25</v>
      </c>
      <c r="AN42" s="4" t="str">
        <f t="shared" si="15"/>
        <v>-</v>
      </c>
      <c r="AO42" s="4" t="str">
        <f t="shared" si="16"/>
        <v>-</v>
      </c>
      <c r="AP42" s="4" t="str">
        <f t="shared" si="17"/>
        <v>-</v>
      </c>
      <c r="AQ42" s="4" t="s">
        <v>109</v>
      </c>
      <c r="AR42" s="4" t="s">
        <v>253</v>
      </c>
      <c r="AS42" s="4">
        <v>1</v>
      </c>
      <c r="AT42" s="4">
        <v>10</v>
      </c>
      <c r="AU42" s="4" t="s">
        <v>228</v>
      </c>
      <c r="AV42" s="4">
        <v>34637</v>
      </c>
      <c r="AW42" s="4">
        <f t="shared" si="32"/>
        <v>3463.7000000000003</v>
      </c>
      <c r="AX42" s="19">
        <v>2</v>
      </c>
      <c r="AY42" s="19">
        <v>1</v>
      </c>
      <c r="AZ42" s="16">
        <v>19</v>
      </c>
      <c r="BA42">
        <v>2448</v>
      </c>
      <c r="BB42">
        <v>3420</v>
      </c>
      <c r="BC42" t="s">
        <v>201</v>
      </c>
      <c r="BD42" t="s">
        <v>278</v>
      </c>
    </row>
    <row r="43" spans="1:56" x14ac:dyDescent="0.4">
      <c r="A43" s="34">
        <v>63</v>
      </c>
      <c r="B43" s="3">
        <v>33</v>
      </c>
      <c r="C43" s="33" t="s">
        <v>76</v>
      </c>
      <c r="D43" s="4" t="str">
        <f t="shared" si="18"/>
        <v>J471MG</v>
      </c>
      <c r="E43" s="4" t="s">
        <v>76</v>
      </c>
      <c r="F43" s="4" t="s">
        <v>173</v>
      </c>
      <c r="G43" s="5">
        <v>4977114800245</v>
      </c>
      <c r="H43" s="5"/>
      <c r="I43" s="5"/>
      <c r="J43" s="5"/>
      <c r="K43" s="5"/>
      <c r="L43" s="4">
        <v>36000</v>
      </c>
      <c r="M43" s="4">
        <v>24724</v>
      </c>
      <c r="N43" s="4">
        <v>16920</v>
      </c>
      <c r="O43" s="6">
        <f t="shared" si="19"/>
        <v>0.31564471768322278</v>
      </c>
      <c r="P43" s="4" t="s">
        <v>175</v>
      </c>
      <c r="Q43" s="4" t="s">
        <v>175</v>
      </c>
      <c r="R43" s="4" t="s">
        <v>175</v>
      </c>
      <c r="S43" s="4">
        <v>45000</v>
      </c>
      <c r="T43" s="4">
        <f t="shared" si="20"/>
        <v>45000</v>
      </c>
      <c r="U43" s="4">
        <v>21150</v>
      </c>
      <c r="V43" s="4">
        <f t="shared" si="21"/>
        <v>21150</v>
      </c>
      <c r="W43" s="4"/>
      <c r="X43" s="21">
        <f t="shared" si="22"/>
        <v>30905</v>
      </c>
      <c r="Y43" s="6">
        <f t="shared" si="23"/>
        <v>0.31564471768322278</v>
      </c>
      <c r="Z43" s="4">
        <v>34.25</v>
      </c>
      <c r="AA43" s="4">
        <f t="shared" si="24"/>
        <v>34637</v>
      </c>
      <c r="AB43" s="4">
        <f t="shared" si="25"/>
        <v>43296.25</v>
      </c>
      <c r="AC43" s="6">
        <f t="shared" si="26"/>
        <v>0.51150503796518176</v>
      </c>
      <c r="AD43" s="4">
        <f>ROUNDDOWN(AE42*10*0.95,0)</f>
        <v>33060</v>
      </c>
      <c r="AE43" s="7">
        <v>33000</v>
      </c>
      <c r="AF43" s="6">
        <f t="shared" si="27"/>
        <v>0.35909090909090913</v>
      </c>
      <c r="AG43" s="4">
        <f t="shared" si="28"/>
        <v>11850</v>
      </c>
      <c r="AH43" s="28"/>
      <c r="AI43" s="6"/>
      <c r="AJ43" s="6"/>
      <c r="AK43" s="6">
        <f t="shared" si="29"/>
        <v>1.25</v>
      </c>
      <c r="AL43" s="6">
        <f t="shared" si="30"/>
        <v>1.3347354796958422</v>
      </c>
      <c r="AM43" s="6">
        <f t="shared" si="31"/>
        <v>1.25</v>
      </c>
      <c r="AN43" s="4" t="str">
        <f t="shared" si="15"/>
        <v>-</v>
      </c>
      <c r="AO43" s="4" t="str">
        <f t="shared" si="16"/>
        <v>-</v>
      </c>
      <c r="AP43" s="4" t="str">
        <f t="shared" si="17"/>
        <v>-</v>
      </c>
      <c r="AQ43" s="4" t="s">
        <v>109</v>
      </c>
      <c r="AR43" s="4" t="s">
        <v>253</v>
      </c>
      <c r="AS43" s="4"/>
      <c r="AT43" s="4"/>
      <c r="AU43" s="4" t="s">
        <v>228</v>
      </c>
      <c r="AV43" s="4">
        <v>34637</v>
      </c>
      <c r="AW43" s="4">
        <f t="shared" si="32"/>
        <v>34637</v>
      </c>
      <c r="AX43" s="19">
        <v>2</v>
      </c>
      <c r="AY43" s="19">
        <v>1</v>
      </c>
      <c r="AZ43" s="16">
        <v>19</v>
      </c>
      <c r="BA43">
        <v>2448</v>
      </c>
      <c r="BB43">
        <v>3420</v>
      </c>
      <c r="BC43" t="s">
        <v>201</v>
      </c>
      <c r="BD43" t="s">
        <v>278</v>
      </c>
    </row>
    <row r="44" spans="1:56" x14ac:dyDescent="0.4">
      <c r="A44" s="3">
        <v>34</v>
      </c>
      <c r="B44" s="3">
        <v>34</v>
      </c>
      <c r="C44" s="33" t="s">
        <v>77</v>
      </c>
      <c r="D44" s="4" t="str">
        <f t="shared" si="18"/>
        <v>J469MG</v>
      </c>
      <c r="E44" s="4" t="s">
        <v>106</v>
      </c>
      <c r="F44" s="4" t="s">
        <v>143</v>
      </c>
      <c r="G44" s="5">
        <v>4977114800221</v>
      </c>
      <c r="H44" s="5"/>
      <c r="I44" s="5"/>
      <c r="J44" s="5">
        <v>2</v>
      </c>
      <c r="K44" s="5">
        <v>2</v>
      </c>
      <c r="L44" s="4">
        <v>1800</v>
      </c>
      <c r="M44" s="4">
        <v>1277</v>
      </c>
      <c r="N44" s="4">
        <v>846</v>
      </c>
      <c r="O44" s="6">
        <f t="shared" si="19"/>
        <v>0.33750978856695379</v>
      </c>
      <c r="P44" s="4" t="s">
        <v>175</v>
      </c>
      <c r="Q44" s="4" t="s">
        <v>175</v>
      </c>
      <c r="R44" s="4" t="s">
        <v>175</v>
      </c>
      <c r="S44" s="4">
        <v>23000</v>
      </c>
      <c r="T44" s="4">
        <f t="shared" si="20"/>
        <v>2300</v>
      </c>
      <c r="U44" s="4">
        <v>10810</v>
      </c>
      <c r="V44" s="4">
        <f t="shared" si="21"/>
        <v>1081</v>
      </c>
      <c r="W44" s="4">
        <v>0.1</v>
      </c>
      <c r="X44" s="21">
        <f t="shared" si="22"/>
        <v>1632</v>
      </c>
      <c r="Y44" s="6">
        <f t="shared" si="23"/>
        <v>0.33762254901960786</v>
      </c>
      <c r="Z44" s="4">
        <v>1.5</v>
      </c>
      <c r="AA44" s="4">
        <f t="shared" si="24"/>
        <v>1198.2</v>
      </c>
      <c r="AB44" s="4">
        <f t="shared" si="25"/>
        <v>1531.0333333333333</v>
      </c>
      <c r="AC44" s="6">
        <f t="shared" si="26"/>
        <v>0.29394091136705058</v>
      </c>
      <c r="AD44" s="4"/>
      <c r="AE44" s="7">
        <v>1640</v>
      </c>
      <c r="AF44" s="6">
        <f t="shared" si="27"/>
        <v>0.34085365853658534</v>
      </c>
      <c r="AG44" s="4">
        <f t="shared" si="28"/>
        <v>559</v>
      </c>
      <c r="AH44" s="28"/>
      <c r="AI44" s="6"/>
      <c r="AJ44" s="6"/>
      <c r="AK44" s="6">
        <f t="shared" si="29"/>
        <v>1.2777777777777777</v>
      </c>
      <c r="AL44" s="6">
        <f t="shared" si="30"/>
        <v>1.2842599843382929</v>
      </c>
      <c r="AM44" s="6">
        <f t="shared" si="31"/>
        <v>1.2777777777777777</v>
      </c>
      <c r="AN44" s="4" t="str">
        <f t="shared" si="15"/>
        <v>-</v>
      </c>
      <c r="AO44" s="4" t="str">
        <f t="shared" si="16"/>
        <v>-</v>
      </c>
      <c r="AP44" s="4" t="str">
        <f t="shared" si="17"/>
        <v>-</v>
      </c>
      <c r="AQ44" s="4" t="s">
        <v>109</v>
      </c>
      <c r="AR44" s="4" t="s">
        <v>254</v>
      </c>
      <c r="AS44" s="4">
        <v>1</v>
      </c>
      <c r="AT44" s="4">
        <v>10</v>
      </c>
      <c r="AU44" s="4" t="s">
        <v>228</v>
      </c>
      <c r="AV44" s="4">
        <v>11982</v>
      </c>
      <c r="AW44" s="4">
        <f t="shared" si="32"/>
        <v>1198.2</v>
      </c>
      <c r="AX44" s="19">
        <v>4</v>
      </c>
      <c r="AY44" s="19">
        <v>1</v>
      </c>
      <c r="AZ44" s="16">
        <v>19</v>
      </c>
      <c r="BA44">
        <v>1224</v>
      </c>
      <c r="BB44">
        <v>1710</v>
      </c>
      <c r="BC44" t="s">
        <v>202</v>
      </c>
      <c r="BD44" t="s">
        <v>278</v>
      </c>
    </row>
    <row r="45" spans="1:56" x14ac:dyDescent="0.4">
      <c r="A45" s="3">
        <v>64</v>
      </c>
      <c r="B45" s="3">
        <v>34</v>
      </c>
      <c r="C45" s="33" t="s">
        <v>77</v>
      </c>
      <c r="D45" s="4" t="str">
        <f t="shared" si="18"/>
        <v>J469MG</v>
      </c>
      <c r="E45" s="4" t="s">
        <v>77</v>
      </c>
      <c r="F45" s="4" t="s">
        <v>174</v>
      </c>
      <c r="G45" s="5">
        <v>4977114800221</v>
      </c>
      <c r="H45" s="5"/>
      <c r="I45" s="5"/>
      <c r="J45" s="5"/>
      <c r="K45" s="5"/>
      <c r="L45" s="4">
        <v>18000</v>
      </c>
      <c r="M45" s="4">
        <v>12342</v>
      </c>
      <c r="N45" s="4">
        <v>8460</v>
      </c>
      <c r="O45" s="6">
        <f t="shared" si="19"/>
        <v>0.31453573164803106</v>
      </c>
      <c r="P45" s="4" t="s">
        <v>175</v>
      </c>
      <c r="Q45" s="4" t="s">
        <v>175</v>
      </c>
      <c r="R45" s="4" t="s">
        <v>175</v>
      </c>
      <c r="S45" s="4">
        <v>23000</v>
      </c>
      <c r="T45" s="4">
        <f t="shared" si="20"/>
        <v>23000</v>
      </c>
      <c r="U45" s="4">
        <v>10810</v>
      </c>
      <c r="V45" s="4">
        <f t="shared" si="21"/>
        <v>10810</v>
      </c>
      <c r="W45" s="4"/>
      <c r="X45" s="21">
        <f t="shared" si="22"/>
        <v>15770</v>
      </c>
      <c r="Y45" s="6">
        <f t="shared" si="23"/>
        <v>0.31452124286620164</v>
      </c>
      <c r="Z45" s="4">
        <v>1.5</v>
      </c>
      <c r="AA45" s="4">
        <f t="shared" si="24"/>
        <v>11982</v>
      </c>
      <c r="AB45" s="4">
        <f t="shared" si="25"/>
        <v>15310.333333333332</v>
      </c>
      <c r="AC45" s="6">
        <f t="shared" si="26"/>
        <v>0.29394091136705047</v>
      </c>
      <c r="AD45" s="4">
        <f>ROUNDDOWN(AE44*10*0.95,0)</f>
        <v>15580</v>
      </c>
      <c r="AE45" s="7">
        <v>15300</v>
      </c>
      <c r="AF45" s="6">
        <f t="shared" si="27"/>
        <v>0.29346405228758166</v>
      </c>
      <c r="AG45" s="4">
        <f t="shared" si="28"/>
        <v>4490</v>
      </c>
      <c r="AH45" s="28"/>
      <c r="AI45" s="6"/>
      <c r="AJ45" s="6"/>
      <c r="AK45" s="6">
        <f t="shared" si="29"/>
        <v>1.2777777777777777</v>
      </c>
      <c r="AL45" s="6">
        <f t="shared" si="30"/>
        <v>1.2396694214876034</v>
      </c>
      <c r="AM45" s="6">
        <f t="shared" si="31"/>
        <v>1.2777777777777777</v>
      </c>
      <c r="AN45" s="4" t="str">
        <f t="shared" si="15"/>
        <v>-</v>
      </c>
      <c r="AO45" s="4" t="str">
        <f t="shared" si="16"/>
        <v>-</v>
      </c>
      <c r="AP45" s="4" t="str">
        <f t="shared" si="17"/>
        <v>-</v>
      </c>
      <c r="AQ45" s="4" t="s">
        <v>109</v>
      </c>
      <c r="AR45" s="4" t="s">
        <v>254</v>
      </c>
      <c r="AS45" s="4"/>
      <c r="AT45" s="4"/>
      <c r="AU45" s="4" t="s">
        <v>228</v>
      </c>
      <c r="AV45" s="4">
        <v>11982</v>
      </c>
      <c r="AW45" s="4">
        <f t="shared" si="32"/>
        <v>11982</v>
      </c>
      <c r="AX45" s="19">
        <v>4</v>
      </c>
      <c r="AY45" s="19">
        <v>1</v>
      </c>
      <c r="AZ45" s="16">
        <v>19</v>
      </c>
      <c r="BA45">
        <v>1224</v>
      </c>
      <c r="BB45">
        <v>1710</v>
      </c>
      <c r="BC45" t="s">
        <v>202</v>
      </c>
      <c r="BD45" t="s">
        <v>278</v>
      </c>
    </row>
    <row r="46" spans="1:56" x14ac:dyDescent="0.4">
      <c r="A46" s="35">
        <v>36</v>
      </c>
      <c r="B46" s="3">
        <v>36</v>
      </c>
      <c r="C46" s="4" t="s">
        <v>79</v>
      </c>
      <c r="D46" s="4" t="str">
        <f t="shared" si="18"/>
        <v>J474MP</v>
      </c>
      <c r="E46" s="4" t="s">
        <v>79</v>
      </c>
      <c r="F46" s="4" t="s">
        <v>145</v>
      </c>
      <c r="G46" s="5">
        <v>4977114800450</v>
      </c>
      <c r="H46" s="5"/>
      <c r="I46" s="5"/>
      <c r="J46" s="5">
        <v>1</v>
      </c>
      <c r="K46" s="5">
        <v>1</v>
      </c>
      <c r="L46" s="4">
        <v>22000</v>
      </c>
      <c r="M46" s="4">
        <v>15246</v>
      </c>
      <c r="N46" s="4">
        <v>10340</v>
      </c>
      <c r="O46" s="6">
        <f t="shared" si="19"/>
        <v>0.32178932178932174</v>
      </c>
      <c r="P46" s="4">
        <v>14300</v>
      </c>
      <c r="Q46" s="4">
        <v>3</v>
      </c>
      <c r="R46" s="4">
        <v>99999</v>
      </c>
      <c r="S46" s="4">
        <v>28000</v>
      </c>
      <c r="T46" s="4">
        <f t="shared" si="20"/>
        <v>28000</v>
      </c>
      <c r="U46" s="4">
        <v>13160</v>
      </c>
      <c r="V46" s="4">
        <f t="shared" si="21"/>
        <v>13160</v>
      </c>
      <c r="W46" s="4"/>
      <c r="X46" s="21">
        <f t="shared" si="22"/>
        <v>19404</v>
      </c>
      <c r="Y46" s="6">
        <f t="shared" si="23"/>
        <v>0.32178932178932174</v>
      </c>
      <c r="Z46" s="4">
        <v>0</v>
      </c>
      <c r="AA46" s="4">
        <f t="shared" si="24"/>
        <v>15728</v>
      </c>
      <c r="AB46" s="4">
        <f t="shared" si="25"/>
        <v>20017.454545454544</v>
      </c>
      <c r="AC46" s="6">
        <f t="shared" si="26"/>
        <v>0.34257375381485244</v>
      </c>
      <c r="AD46" s="4"/>
      <c r="AE46" s="7">
        <v>19800</v>
      </c>
      <c r="AF46" s="6">
        <f t="shared" si="27"/>
        <v>0.3353535353535354</v>
      </c>
      <c r="AG46" s="4">
        <f t="shared" si="28"/>
        <v>6640</v>
      </c>
      <c r="AH46" s="28"/>
      <c r="AI46" s="6"/>
      <c r="AJ46" s="6"/>
      <c r="AK46" s="6">
        <f t="shared" si="29"/>
        <v>1.2727272727272727</v>
      </c>
      <c r="AL46" s="6">
        <f t="shared" si="30"/>
        <v>1.2987012987012987</v>
      </c>
      <c r="AM46" s="6">
        <f t="shared" si="31"/>
        <v>1.2727272727272727</v>
      </c>
      <c r="AN46" s="4">
        <f t="shared" si="15"/>
        <v>18571</v>
      </c>
      <c r="AO46" s="4">
        <f t="shared" si="16"/>
        <v>3</v>
      </c>
      <c r="AP46" s="4">
        <f t="shared" si="17"/>
        <v>99999</v>
      </c>
      <c r="AQ46" s="4" t="s">
        <v>108</v>
      </c>
      <c r="AR46" s="4" t="s">
        <v>255</v>
      </c>
      <c r="AS46" s="4"/>
      <c r="AT46" s="4"/>
      <c r="AU46" s="4" t="s">
        <v>228</v>
      </c>
      <c r="AV46" s="4">
        <v>15728</v>
      </c>
      <c r="AW46" s="4">
        <f t="shared" si="32"/>
        <v>15728</v>
      </c>
      <c r="AX46" s="19">
        <v>4</v>
      </c>
      <c r="AY46" s="19">
        <v>9</v>
      </c>
      <c r="AZ46" s="16">
        <v>19</v>
      </c>
      <c r="BA46" t="s">
        <v>175</v>
      </c>
      <c r="BB46">
        <v>15280</v>
      </c>
      <c r="BC46" t="s">
        <v>203</v>
      </c>
      <c r="BD46" t="s">
        <v>278</v>
      </c>
    </row>
    <row r="47" spans="1:56" x14ac:dyDescent="0.4">
      <c r="A47" s="34">
        <v>37</v>
      </c>
      <c r="B47" s="3">
        <v>37</v>
      </c>
      <c r="C47" s="4" t="s">
        <v>80</v>
      </c>
      <c r="D47" s="4" t="str">
        <f t="shared" si="18"/>
        <v>J476MP</v>
      </c>
      <c r="E47" s="4" t="s">
        <v>80</v>
      </c>
      <c r="F47" s="4" t="s">
        <v>146</v>
      </c>
      <c r="G47" s="5">
        <v>4977114800399</v>
      </c>
      <c r="H47" s="5"/>
      <c r="I47" s="5"/>
      <c r="J47" s="5">
        <v>1</v>
      </c>
      <c r="K47" s="5">
        <v>1</v>
      </c>
      <c r="L47" s="4">
        <v>15000</v>
      </c>
      <c r="M47" s="4">
        <v>10450</v>
      </c>
      <c r="N47" s="4">
        <v>7050</v>
      </c>
      <c r="O47" s="6">
        <f t="shared" si="19"/>
        <v>0.32535885167464118</v>
      </c>
      <c r="P47" s="4" t="s">
        <v>175</v>
      </c>
      <c r="Q47" s="4" t="s">
        <v>175</v>
      </c>
      <c r="R47" s="4" t="s">
        <v>175</v>
      </c>
      <c r="S47" s="4">
        <v>19000</v>
      </c>
      <c r="T47" s="4">
        <f t="shared" si="20"/>
        <v>19000</v>
      </c>
      <c r="U47" s="4">
        <v>8930</v>
      </c>
      <c r="V47" s="4">
        <f t="shared" si="21"/>
        <v>8930</v>
      </c>
      <c r="W47" s="4"/>
      <c r="X47" s="21">
        <f t="shared" si="22"/>
        <v>13237</v>
      </c>
      <c r="Y47" s="6">
        <f t="shared" si="23"/>
        <v>0.32537584044723122</v>
      </c>
      <c r="Z47" s="4">
        <v>18.25</v>
      </c>
      <c r="AA47" s="4">
        <f t="shared" si="24"/>
        <v>10455</v>
      </c>
      <c r="AB47" s="4">
        <f t="shared" si="25"/>
        <v>13243</v>
      </c>
      <c r="AC47" s="6">
        <f t="shared" si="26"/>
        <v>0.32568149210903874</v>
      </c>
      <c r="AD47" s="4"/>
      <c r="AE47" s="7">
        <v>13200</v>
      </c>
      <c r="AF47" s="6">
        <f t="shared" si="27"/>
        <v>0.32348484848484849</v>
      </c>
      <c r="AG47" s="4">
        <f t="shared" si="28"/>
        <v>4270</v>
      </c>
      <c r="AH47" s="28"/>
      <c r="AI47" s="6"/>
      <c r="AJ47" s="6"/>
      <c r="AK47" s="6">
        <f t="shared" si="29"/>
        <v>1.2666666666666666</v>
      </c>
      <c r="AL47" s="6">
        <f t="shared" si="30"/>
        <v>1.263157894736842</v>
      </c>
      <c r="AM47" s="6">
        <f t="shared" si="31"/>
        <v>1.2666666666666666</v>
      </c>
      <c r="AN47" s="4" t="str">
        <f t="shared" si="15"/>
        <v>-</v>
      </c>
      <c r="AO47" s="4" t="str">
        <f t="shared" si="16"/>
        <v>-</v>
      </c>
      <c r="AP47" s="4" t="str">
        <f t="shared" si="17"/>
        <v>-</v>
      </c>
      <c r="AQ47" s="4" t="s">
        <v>108</v>
      </c>
      <c r="AR47" s="4" t="s">
        <v>256</v>
      </c>
      <c r="AS47" s="4"/>
      <c r="AT47" s="4"/>
      <c r="AU47" s="4" t="s">
        <v>228</v>
      </c>
      <c r="AV47" s="4">
        <v>10455</v>
      </c>
      <c r="AW47" s="4">
        <f t="shared" si="32"/>
        <v>10455</v>
      </c>
      <c r="AX47" s="19">
        <v>2</v>
      </c>
      <c r="AY47" s="19">
        <v>1</v>
      </c>
      <c r="AZ47" s="16">
        <v>19</v>
      </c>
      <c r="BA47">
        <v>9750</v>
      </c>
      <c r="BB47">
        <v>10492</v>
      </c>
      <c r="BC47" t="s">
        <v>204</v>
      </c>
      <c r="BD47" t="s">
        <v>278</v>
      </c>
    </row>
    <row r="48" spans="1:56" x14ac:dyDescent="0.4">
      <c r="A48" s="34">
        <v>38</v>
      </c>
      <c r="B48" s="3">
        <v>38</v>
      </c>
      <c r="C48" s="4" t="s">
        <v>81</v>
      </c>
      <c r="D48" s="4" t="str">
        <f t="shared" si="18"/>
        <v>J477MP</v>
      </c>
      <c r="E48" s="4" t="s">
        <v>81</v>
      </c>
      <c r="F48" s="4" t="s">
        <v>147</v>
      </c>
      <c r="G48" s="5">
        <v>4977114800344</v>
      </c>
      <c r="H48" s="5"/>
      <c r="I48" s="5"/>
      <c r="J48" s="5">
        <v>1</v>
      </c>
      <c r="K48" s="5">
        <v>1</v>
      </c>
      <c r="L48" s="4">
        <v>20000</v>
      </c>
      <c r="M48" s="4">
        <v>12648</v>
      </c>
      <c r="N48" s="4">
        <v>9400</v>
      </c>
      <c r="O48" s="6">
        <f t="shared" si="19"/>
        <v>0.25679949399114488</v>
      </c>
      <c r="P48" s="4" t="s">
        <v>175</v>
      </c>
      <c r="Q48" s="4" t="s">
        <v>175</v>
      </c>
      <c r="R48" s="4" t="s">
        <v>175</v>
      </c>
      <c r="S48" s="4">
        <v>25000</v>
      </c>
      <c r="T48" s="4">
        <f t="shared" si="20"/>
        <v>25000</v>
      </c>
      <c r="U48" s="4">
        <v>11750</v>
      </c>
      <c r="V48" s="4">
        <f t="shared" si="21"/>
        <v>11750</v>
      </c>
      <c r="W48" s="4"/>
      <c r="X48" s="21">
        <f t="shared" si="22"/>
        <v>15810</v>
      </c>
      <c r="Y48" s="6">
        <f t="shared" si="23"/>
        <v>0.25679949399114488</v>
      </c>
      <c r="Z48" s="4">
        <v>1</v>
      </c>
      <c r="AA48" s="4" t="str">
        <f t="shared" si="24"/>
        <v>-</v>
      </c>
      <c r="AB48" s="4" t="e">
        <f t="shared" si="25"/>
        <v>#VALUE!</v>
      </c>
      <c r="AC48" s="6" t="e">
        <f t="shared" si="26"/>
        <v>#VALUE!</v>
      </c>
      <c r="AD48" s="4"/>
      <c r="AE48" s="7">
        <v>16400</v>
      </c>
      <c r="AF48" s="6">
        <f t="shared" si="27"/>
        <v>0.28353658536585369</v>
      </c>
      <c r="AG48" s="4">
        <f t="shared" si="28"/>
        <v>4650</v>
      </c>
      <c r="AH48" s="28"/>
      <c r="AI48" s="6"/>
      <c r="AJ48" s="6"/>
      <c r="AK48" s="6">
        <f t="shared" si="29"/>
        <v>1.25</v>
      </c>
      <c r="AL48" s="6">
        <f t="shared" si="30"/>
        <v>1.2966476913345983</v>
      </c>
      <c r="AM48" s="6">
        <f t="shared" si="31"/>
        <v>1.25</v>
      </c>
      <c r="AN48" s="4" t="str">
        <f t="shared" si="15"/>
        <v>-</v>
      </c>
      <c r="AO48" s="4" t="str">
        <f t="shared" si="16"/>
        <v>-</v>
      </c>
      <c r="AP48" s="4" t="str">
        <f t="shared" si="17"/>
        <v>-</v>
      </c>
      <c r="AQ48" s="4" t="s">
        <v>110</v>
      </c>
      <c r="AR48" s="4" t="s">
        <v>175</v>
      </c>
      <c r="AS48" s="4"/>
      <c r="AT48" s="4"/>
      <c r="AU48" s="4" t="s">
        <v>175</v>
      </c>
      <c r="AV48" s="4" t="s">
        <v>175</v>
      </c>
      <c r="AW48" s="4" t="str">
        <f t="shared" si="32"/>
        <v>-</v>
      </c>
      <c r="AX48" s="19">
        <v>2</v>
      </c>
      <c r="AY48" s="19">
        <v>8</v>
      </c>
      <c r="AZ48" s="16">
        <v>19</v>
      </c>
      <c r="BA48">
        <v>13000</v>
      </c>
      <c r="BB48" t="s">
        <v>175</v>
      </c>
      <c r="BC48" t="s">
        <v>175</v>
      </c>
      <c r="BD48" t="s">
        <v>278</v>
      </c>
    </row>
    <row r="49" spans="1:56" x14ac:dyDescent="0.4">
      <c r="A49" s="34">
        <v>40</v>
      </c>
      <c r="B49" s="3">
        <v>40</v>
      </c>
      <c r="C49" s="4" t="s">
        <v>83</v>
      </c>
      <c r="D49" s="4" t="str">
        <f t="shared" si="18"/>
        <v>J612MG</v>
      </c>
      <c r="E49" s="4" t="s">
        <v>83</v>
      </c>
      <c r="F49" s="4" t="s">
        <v>149</v>
      </c>
      <c r="G49" s="5">
        <v>4977114800481</v>
      </c>
      <c r="H49" s="5"/>
      <c r="I49" s="5"/>
      <c r="J49" s="5">
        <v>1</v>
      </c>
      <c r="K49" s="5">
        <v>1</v>
      </c>
      <c r="L49" s="4">
        <v>26000</v>
      </c>
      <c r="M49" s="4">
        <v>14589</v>
      </c>
      <c r="N49" s="4">
        <v>12220</v>
      </c>
      <c r="O49" s="6">
        <f t="shared" si="19"/>
        <v>0.16238261704023582</v>
      </c>
      <c r="P49" s="4" t="s">
        <v>175</v>
      </c>
      <c r="Q49" s="4" t="s">
        <v>175</v>
      </c>
      <c r="R49" s="4" t="s">
        <v>175</v>
      </c>
      <c r="S49" s="4">
        <v>33000</v>
      </c>
      <c r="T49" s="4">
        <f t="shared" si="20"/>
        <v>33000</v>
      </c>
      <c r="U49" s="4">
        <v>15510</v>
      </c>
      <c r="V49" s="4">
        <f t="shared" si="21"/>
        <v>15510</v>
      </c>
      <c r="W49" s="4"/>
      <c r="X49" s="21">
        <f t="shared" si="22"/>
        <v>18517</v>
      </c>
      <c r="Y49" s="6">
        <f t="shared" si="23"/>
        <v>0.16239131608791924</v>
      </c>
      <c r="Z49" s="4">
        <v>0.25</v>
      </c>
      <c r="AA49" s="4">
        <f t="shared" si="24"/>
        <v>17619</v>
      </c>
      <c r="AB49" s="4">
        <f t="shared" si="25"/>
        <v>22362.576923076922</v>
      </c>
      <c r="AC49" s="6">
        <f t="shared" si="26"/>
        <v>0.30643055792042673</v>
      </c>
      <c r="AD49" s="4"/>
      <c r="AE49" s="7">
        <v>22000</v>
      </c>
      <c r="AF49" s="6">
        <f t="shared" si="27"/>
        <v>0.29500000000000004</v>
      </c>
      <c r="AG49" s="4">
        <f t="shared" si="28"/>
        <v>6490</v>
      </c>
      <c r="AH49" s="28"/>
      <c r="AI49" s="6"/>
      <c r="AJ49" s="6"/>
      <c r="AK49" s="6">
        <f t="shared" si="29"/>
        <v>1.2692307692307692</v>
      </c>
      <c r="AL49" s="6">
        <f t="shared" si="30"/>
        <v>1.5079854685036671</v>
      </c>
      <c r="AM49" s="6">
        <f t="shared" si="31"/>
        <v>1.2692307692307692</v>
      </c>
      <c r="AN49" s="4" t="str">
        <f t="shared" si="15"/>
        <v>-</v>
      </c>
      <c r="AO49" s="4" t="str">
        <f t="shared" si="16"/>
        <v>-</v>
      </c>
      <c r="AP49" s="4" t="str">
        <f t="shared" si="17"/>
        <v>-</v>
      </c>
      <c r="AQ49" s="4">
        <v>0</v>
      </c>
      <c r="AR49" s="4" t="s">
        <v>257</v>
      </c>
      <c r="AS49" s="4"/>
      <c r="AT49" s="4"/>
      <c r="AU49" s="4" t="s">
        <v>228</v>
      </c>
      <c r="AV49" s="4">
        <v>17619</v>
      </c>
      <c r="AW49" s="4">
        <f t="shared" si="32"/>
        <v>17619</v>
      </c>
      <c r="AX49" s="19">
        <v>2</v>
      </c>
      <c r="AY49" s="19">
        <v>8</v>
      </c>
      <c r="AZ49" s="16">
        <v>19</v>
      </c>
      <c r="BA49" t="s">
        <v>175</v>
      </c>
      <c r="BB49" t="s">
        <v>175</v>
      </c>
      <c r="BC49" t="s">
        <v>205</v>
      </c>
      <c r="BD49" t="s">
        <v>278</v>
      </c>
    </row>
    <row r="50" spans="1:56" x14ac:dyDescent="0.4">
      <c r="A50" s="3">
        <v>41</v>
      </c>
      <c r="B50" s="3">
        <v>41</v>
      </c>
      <c r="C50" s="4" t="s">
        <v>84</v>
      </c>
      <c r="D50" s="4" t="str">
        <f t="shared" si="18"/>
        <v>J613MG</v>
      </c>
      <c r="E50" s="4" t="s">
        <v>84</v>
      </c>
      <c r="F50" s="4" t="s">
        <v>150</v>
      </c>
      <c r="G50" s="5">
        <v>4977114800498</v>
      </c>
      <c r="H50" s="5"/>
      <c r="I50" s="5"/>
      <c r="J50" s="5">
        <v>1</v>
      </c>
      <c r="K50" s="5">
        <v>1</v>
      </c>
      <c r="L50" s="4">
        <v>24000</v>
      </c>
      <c r="M50" s="4">
        <v>16026</v>
      </c>
      <c r="N50" s="4">
        <v>11280</v>
      </c>
      <c r="O50" s="6">
        <f t="shared" si="19"/>
        <v>0.29614376637963313</v>
      </c>
      <c r="P50" s="4" t="s">
        <v>175</v>
      </c>
      <c r="Q50" s="4" t="s">
        <v>175</v>
      </c>
      <c r="R50" s="4" t="s">
        <v>175</v>
      </c>
      <c r="S50" s="4">
        <v>32000</v>
      </c>
      <c r="T50" s="4">
        <f t="shared" si="20"/>
        <v>32000</v>
      </c>
      <c r="U50" s="4">
        <v>15040</v>
      </c>
      <c r="V50" s="4">
        <f t="shared" si="21"/>
        <v>15040</v>
      </c>
      <c r="W50" s="4"/>
      <c r="X50" s="21">
        <f t="shared" si="22"/>
        <v>21368</v>
      </c>
      <c r="Y50" s="6">
        <f t="shared" si="23"/>
        <v>0.29614376637963313</v>
      </c>
      <c r="Z50" s="4">
        <v>4.25</v>
      </c>
      <c r="AA50" s="4">
        <f t="shared" si="24"/>
        <v>22500</v>
      </c>
      <c r="AB50" s="4">
        <f t="shared" si="25"/>
        <v>30000</v>
      </c>
      <c r="AC50" s="6">
        <f t="shared" si="26"/>
        <v>0.4986666666666667</v>
      </c>
      <c r="AD50" s="4"/>
      <c r="AE50" s="7">
        <v>21800</v>
      </c>
      <c r="AF50" s="6">
        <f t="shared" si="27"/>
        <v>0.31009174311926602</v>
      </c>
      <c r="AG50" s="4">
        <f t="shared" si="28"/>
        <v>6760</v>
      </c>
      <c r="AH50" s="28"/>
      <c r="AI50" s="6"/>
      <c r="AJ50" s="6"/>
      <c r="AK50" s="6">
        <f t="shared" si="29"/>
        <v>1.3333333333333333</v>
      </c>
      <c r="AL50" s="6">
        <f t="shared" si="30"/>
        <v>1.360289529514539</v>
      </c>
      <c r="AM50" s="6">
        <f t="shared" si="31"/>
        <v>1.3333333333333333</v>
      </c>
      <c r="AN50" s="4" t="str">
        <f t="shared" si="15"/>
        <v>-</v>
      </c>
      <c r="AO50" s="4" t="str">
        <f t="shared" si="16"/>
        <v>-</v>
      </c>
      <c r="AP50" s="4" t="str">
        <f t="shared" si="17"/>
        <v>-</v>
      </c>
      <c r="AQ50" s="4">
        <v>0</v>
      </c>
      <c r="AR50" s="4" t="s">
        <v>258</v>
      </c>
      <c r="AS50" s="4"/>
      <c r="AT50" s="4"/>
      <c r="AU50" s="4" t="s">
        <v>243</v>
      </c>
      <c r="AV50" s="4">
        <v>22500</v>
      </c>
      <c r="AW50" s="4">
        <f t="shared" si="32"/>
        <v>22500</v>
      </c>
      <c r="AX50" s="19">
        <v>4</v>
      </c>
      <c r="AY50" s="19">
        <v>1</v>
      </c>
      <c r="AZ50" s="16">
        <v>19</v>
      </c>
      <c r="BA50" t="s">
        <v>175</v>
      </c>
      <c r="BB50">
        <v>263</v>
      </c>
      <c r="BC50" t="s">
        <v>206</v>
      </c>
      <c r="BD50" t="s">
        <v>278</v>
      </c>
    </row>
    <row r="51" spans="1:56" x14ac:dyDescent="0.4">
      <c r="A51" s="3">
        <v>42</v>
      </c>
      <c r="B51" s="3">
        <v>42</v>
      </c>
      <c r="C51" s="4" t="s">
        <v>85</v>
      </c>
      <c r="D51" s="4" t="str">
        <f t="shared" si="18"/>
        <v>J615MG</v>
      </c>
      <c r="E51" s="4" t="s">
        <v>85</v>
      </c>
      <c r="F51" s="4" t="s">
        <v>151</v>
      </c>
      <c r="G51" s="5">
        <v>4977114800511</v>
      </c>
      <c r="H51" s="5"/>
      <c r="I51" s="5"/>
      <c r="J51" s="5">
        <v>1</v>
      </c>
      <c r="K51" s="5">
        <v>1</v>
      </c>
      <c r="L51" s="4">
        <v>20000</v>
      </c>
      <c r="M51" s="4">
        <v>14440</v>
      </c>
      <c r="N51" s="4">
        <v>9400</v>
      </c>
      <c r="O51" s="6">
        <f t="shared" si="19"/>
        <v>0.34903047091412742</v>
      </c>
      <c r="P51" s="4" t="s">
        <v>175</v>
      </c>
      <c r="Q51" s="4" t="s">
        <v>175</v>
      </c>
      <c r="R51" s="4" t="s">
        <v>175</v>
      </c>
      <c r="S51" s="4">
        <v>28000</v>
      </c>
      <c r="T51" s="4">
        <f t="shared" si="20"/>
        <v>28000</v>
      </c>
      <c r="U51" s="4">
        <v>13160</v>
      </c>
      <c r="V51" s="4">
        <f t="shared" si="21"/>
        <v>13160</v>
      </c>
      <c r="W51" s="4"/>
      <c r="X51" s="21">
        <f t="shared" si="22"/>
        <v>20216</v>
      </c>
      <c r="Y51" s="6">
        <f t="shared" si="23"/>
        <v>0.34903047091412742</v>
      </c>
      <c r="Z51" s="4">
        <v>4.25</v>
      </c>
      <c r="AA51" s="4">
        <f t="shared" si="24"/>
        <v>14345</v>
      </c>
      <c r="AB51" s="4">
        <f t="shared" si="25"/>
        <v>20083</v>
      </c>
      <c r="AC51" s="6">
        <f t="shared" si="26"/>
        <v>0.344719414430115</v>
      </c>
      <c r="AD51" s="4"/>
      <c r="AE51" s="7">
        <v>20000</v>
      </c>
      <c r="AF51" s="6">
        <f t="shared" si="27"/>
        <v>0.34199999999999997</v>
      </c>
      <c r="AG51" s="4">
        <f t="shared" si="28"/>
        <v>6840</v>
      </c>
      <c r="AH51" s="28"/>
      <c r="AI51" s="6"/>
      <c r="AJ51" s="6"/>
      <c r="AK51" s="6">
        <f t="shared" si="29"/>
        <v>1.4</v>
      </c>
      <c r="AL51" s="6">
        <f t="shared" si="30"/>
        <v>1.3850415512465375</v>
      </c>
      <c r="AM51" s="6">
        <f t="shared" si="31"/>
        <v>1.4</v>
      </c>
      <c r="AN51" s="4" t="str">
        <f t="shared" si="15"/>
        <v>-</v>
      </c>
      <c r="AO51" s="4" t="str">
        <f t="shared" si="16"/>
        <v>-</v>
      </c>
      <c r="AP51" s="4" t="str">
        <f t="shared" si="17"/>
        <v>-</v>
      </c>
      <c r="AQ51" s="4">
        <v>0</v>
      </c>
      <c r="AR51" s="4" t="s">
        <v>259</v>
      </c>
      <c r="AS51" s="4"/>
      <c r="AT51" s="4"/>
      <c r="AU51" s="4" t="s">
        <v>224</v>
      </c>
      <c r="AV51" s="4">
        <v>14345</v>
      </c>
      <c r="AW51" s="4">
        <f t="shared" si="32"/>
        <v>14345</v>
      </c>
      <c r="AX51" s="19">
        <v>4</v>
      </c>
      <c r="AY51" s="19">
        <v>1</v>
      </c>
      <c r="AZ51" s="16">
        <v>19</v>
      </c>
      <c r="BA51" t="s">
        <v>175</v>
      </c>
      <c r="BB51">
        <v>4082</v>
      </c>
      <c r="BC51" t="s">
        <v>207</v>
      </c>
      <c r="BD51" t="s">
        <v>278</v>
      </c>
    </row>
    <row r="52" spans="1:56" x14ac:dyDescent="0.4">
      <c r="A52" s="34">
        <v>44</v>
      </c>
      <c r="B52" s="3">
        <v>44</v>
      </c>
      <c r="C52" s="4" t="s">
        <v>87</v>
      </c>
      <c r="D52" s="4" t="str">
        <f t="shared" si="18"/>
        <v>J617MG</v>
      </c>
      <c r="E52" s="4" t="s">
        <v>87</v>
      </c>
      <c r="F52" s="4" t="s">
        <v>153</v>
      </c>
      <c r="G52" s="5">
        <v>4977114800535</v>
      </c>
      <c r="H52" s="5"/>
      <c r="I52" s="5"/>
      <c r="J52" s="5">
        <v>1</v>
      </c>
      <c r="K52" s="5">
        <v>1</v>
      </c>
      <c r="L52" s="4">
        <v>16000</v>
      </c>
      <c r="M52" s="4">
        <v>10817</v>
      </c>
      <c r="N52" s="4">
        <v>7520</v>
      </c>
      <c r="O52" s="6">
        <f t="shared" si="19"/>
        <v>0.30479800314320049</v>
      </c>
      <c r="P52" s="4" t="s">
        <v>175</v>
      </c>
      <c r="Q52" s="4" t="s">
        <v>175</v>
      </c>
      <c r="R52" s="4" t="s">
        <v>175</v>
      </c>
      <c r="S52" s="4">
        <v>20000</v>
      </c>
      <c r="T52" s="4">
        <f t="shared" si="20"/>
        <v>20000</v>
      </c>
      <c r="U52" s="4">
        <v>9400</v>
      </c>
      <c r="V52" s="4">
        <f t="shared" si="21"/>
        <v>9400</v>
      </c>
      <c r="W52" s="4"/>
      <c r="X52" s="21">
        <f t="shared" si="22"/>
        <v>13521</v>
      </c>
      <c r="Y52" s="6">
        <f t="shared" si="23"/>
        <v>0.30478514902743881</v>
      </c>
      <c r="Z52" s="4">
        <v>5.75</v>
      </c>
      <c r="AA52" s="4">
        <f t="shared" si="24"/>
        <v>10528</v>
      </c>
      <c r="AB52" s="4">
        <f t="shared" si="25"/>
        <v>13160</v>
      </c>
      <c r="AC52" s="6">
        <f t="shared" si="26"/>
        <v>0.2857142857142857</v>
      </c>
      <c r="AD52" s="4"/>
      <c r="AE52" s="7">
        <v>13100</v>
      </c>
      <c r="AF52" s="6">
        <f t="shared" si="27"/>
        <v>0.28244274809160308</v>
      </c>
      <c r="AG52" s="4">
        <f t="shared" si="28"/>
        <v>3700</v>
      </c>
      <c r="AH52" s="28"/>
      <c r="AI52" s="6"/>
      <c r="AJ52" s="6"/>
      <c r="AK52" s="6">
        <f t="shared" si="29"/>
        <v>1.25</v>
      </c>
      <c r="AL52" s="6">
        <f t="shared" si="30"/>
        <v>1.2110566700563927</v>
      </c>
      <c r="AM52" s="6">
        <f t="shared" si="31"/>
        <v>1.25</v>
      </c>
      <c r="AN52" s="4" t="str">
        <f t="shared" si="15"/>
        <v>-</v>
      </c>
      <c r="AO52" s="4" t="str">
        <f t="shared" si="16"/>
        <v>-</v>
      </c>
      <c r="AP52" s="4" t="str">
        <f t="shared" si="17"/>
        <v>-</v>
      </c>
      <c r="AQ52" s="4" t="s">
        <v>108</v>
      </c>
      <c r="AR52" s="4" t="s">
        <v>260</v>
      </c>
      <c r="AS52" s="4"/>
      <c r="AT52" s="4"/>
      <c r="AU52" s="4" t="s">
        <v>226</v>
      </c>
      <c r="AV52" s="4">
        <v>10528</v>
      </c>
      <c r="AW52" s="4">
        <f t="shared" si="32"/>
        <v>10528</v>
      </c>
      <c r="AX52" s="19">
        <v>2</v>
      </c>
      <c r="AY52" s="19">
        <v>1</v>
      </c>
      <c r="AZ52" s="16">
        <v>19</v>
      </c>
      <c r="BA52">
        <v>10400</v>
      </c>
      <c r="BB52">
        <v>11197</v>
      </c>
      <c r="BC52" t="s">
        <v>208</v>
      </c>
      <c r="BD52" t="s">
        <v>278</v>
      </c>
    </row>
    <row r="53" spans="1:56" x14ac:dyDescent="0.4">
      <c r="A53" s="3">
        <v>45</v>
      </c>
      <c r="B53" s="3">
        <v>45</v>
      </c>
      <c r="C53" s="4" t="s">
        <v>88</v>
      </c>
      <c r="D53" s="4" t="str">
        <f t="shared" si="18"/>
        <v>J616MG</v>
      </c>
      <c r="E53" s="4" t="s">
        <v>88</v>
      </c>
      <c r="F53" s="4" t="s">
        <v>154</v>
      </c>
      <c r="G53" s="5">
        <v>4977114800528</v>
      </c>
      <c r="H53" s="5"/>
      <c r="I53" s="5"/>
      <c r="J53" s="5">
        <v>1</v>
      </c>
      <c r="K53" s="5">
        <v>1</v>
      </c>
      <c r="L53" s="4">
        <v>24000</v>
      </c>
      <c r="M53" s="4">
        <v>14636</v>
      </c>
      <c r="N53" s="4">
        <v>11280</v>
      </c>
      <c r="O53" s="6">
        <f t="shared" si="19"/>
        <v>0.22929762230117523</v>
      </c>
      <c r="P53" s="4" t="s">
        <v>175</v>
      </c>
      <c r="Q53" s="4" t="s">
        <v>175</v>
      </c>
      <c r="R53" s="4" t="s">
        <v>175</v>
      </c>
      <c r="S53" s="4">
        <v>32000</v>
      </c>
      <c r="T53" s="4">
        <f t="shared" si="20"/>
        <v>32000</v>
      </c>
      <c r="U53" s="4">
        <v>15040</v>
      </c>
      <c r="V53" s="4">
        <f t="shared" si="21"/>
        <v>15040</v>
      </c>
      <c r="W53" s="4"/>
      <c r="X53" s="21">
        <f t="shared" si="22"/>
        <v>19515</v>
      </c>
      <c r="Y53" s="6">
        <f t="shared" si="23"/>
        <v>0.22931078657442994</v>
      </c>
      <c r="Z53" s="4">
        <v>0.5</v>
      </c>
      <c r="AA53" s="4">
        <f t="shared" si="24"/>
        <v>15600</v>
      </c>
      <c r="AB53" s="4">
        <f t="shared" si="25"/>
        <v>20800</v>
      </c>
      <c r="AC53" s="6">
        <f t="shared" si="26"/>
        <v>0.27692307692307694</v>
      </c>
      <c r="AD53" s="4"/>
      <c r="AE53" s="7">
        <v>20700</v>
      </c>
      <c r="AF53" s="6">
        <f t="shared" si="27"/>
        <v>0.27342995169082129</v>
      </c>
      <c r="AG53" s="4">
        <f t="shared" si="28"/>
        <v>5660</v>
      </c>
      <c r="AH53" s="28"/>
      <c r="AI53" s="6"/>
      <c r="AJ53" s="6"/>
      <c r="AK53" s="6">
        <f t="shared" si="29"/>
        <v>1.3333333333333333</v>
      </c>
      <c r="AL53" s="6">
        <f t="shared" si="30"/>
        <v>1.4143208526919924</v>
      </c>
      <c r="AM53" s="6">
        <f t="shared" si="31"/>
        <v>1.3333333333333333</v>
      </c>
      <c r="AN53" s="4" t="str">
        <f t="shared" si="15"/>
        <v>-</v>
      </c>
      <c r="AO53" s="4" t="str">
        <f t="shared" si="16"/>
        <v>-</v>
      </c>
      <c r="AP53" s="4" t="str">
        <f t="shared" si="17"/>
        <v>-</v>
      </c>
      <c r="AQ53" s="4">
        <v>0</v>
      </c>
      <c r="AR53" s="4" t="s">
        <v>261</v>
      </c>
      <c r="AS53" s="4"/>
      <c r="AT53" s="4"/>
      <c r="AU53" s="4" t="s">
        <v>224</v>
      </c>
      <c r="AV53" s="4">
        <v>15600</v>
      </c>
      <c r="AW53" s="4">
        <f t="shared" si="32"/>
        <v>15600</v>
      </c>
      <c r="AX53" s="19">
        <v>4</v>
      </c>
      <c r="AY53" s="19">
        <v>1</v>
      </c>
      <c r="AZ53" s="16">
        <v>19</v>
      </c>
      <c r="BA53">
        <v>15600</v>
      </c>
      <c r="BB53">
        <v>4125</v>
      </c>
      <c r="BC53" t="s">
        <v>209</v>
      </c>
      <c r="BD53" t="s">
        <v>278</v>
      </c>
    </row>
    <row r="54" spans="1:56" x14ac:dyDescent="0.4">
      <c r="A54" s="34">
        <v>46</v>
      </c>
      <c r="B54" s="3">
        <v>46</v>
      </c>
      <c r="C54" s="4" t="s">
        <v>89</v>
      </c>
      <c r="D54" s="4" t="str">
        <f t="shared" si="18"/>
        <v>J618MG</v>
      </c>
      <c r="E54" s="4" t="s">
        <v>89</v>
      </c>
      <c r="F54" s="4" t="s">
        <v>155</v>
      </c>
      <c r="G54" s="5">
        <v>4977114800542</v>
      </c>
      <c r="H54" s="5"/>
      <c r="I54" s="5"/>
      <c r="J54" s="5">
        <v>1</v>
      </c>
      <c r="K54" s="5">
        <v>1</v>
      </c>
      <c r="L54" s="4">
        <v>20000</v>
      </c>
      <c r="M54" s="4">
        <v>13688</v>
      </c>
      <c r="N54" s="4">
        <v>9400</v>
      </c>
      <c r="O54" s="6">
        <f t="shared" si="19"/>
        <v>0.31326709526592633</v>
      </c>
      <c r="P54" s="4" t="s">
        <v>175</v>
      </c>
      <c r="Q54" s="4" t="s">
        <v>175</v>
      </c>
      <c r="R54" s="4" t="s">
        <v>175</v>
      </c>
      <c r="S54" s="4">
        <v>26000</v>
      </c>
      <c r="T54" s="4">
        <f t="shared" si="20"/>
        <v>26000</v>
      </c>
      <c r="U54" s="4">
        <v>12220</v>
      </c>
      <c r="V54" s="4">
        <f t="shared" si="21"/>
        <v>12220</v>
      </c>
      <c r="W54" s="4"/>
      <c r="X54" s="21">
        <f t="shared" si="22"/>
        <v>17794</v>
      </c>
      <c r="Y54" s="6">
        <f t="shared" si="23"/>
        <v>0.31325165786220077</v>
      </c>
      <c r="Z54" s="4">
        <v>0.5</v>
      </c>
      <c r="AA54" s="4">
        <f t="shared" si="24"/>
        <v>14819</v>
      </c>
      <c r="AB54" s="4">
        <f t="shared" si="25"/>
        <v>19264.7</v>
      </c>
      <c r="AC54" s="6">
        <f t="shared" si="26"/>
        <v>0.36567919562723528</v>
      </c>
      <c r="AD54" s="4"/>
      <c r="AE54" s="7">
        <v>18800</v>
      </c>
      <c r="AF54" s="6">
        <f t="shared" si="27"/>
        <v>0.35</v>
      </c>
      <c r="AG54" s="4">
        <f t="shared" si="28"/>
        <v>6580</v>
      </c>
      <c r="AH54" s="28"/>
      <c r="AI54" s="6"/>
      <c r="AJ54" s="6"/>
      <c r="AK54" s="6">
        <f t="shared" si="29"/>
        <v>1.3</v>
      </c>
      <c r="AL54" s="6">
        <f t="shared" si="30"/>
        <v>1.3734658094681473</v>
      </c>
      <c r="AM54" s="6">
        <f t="shared" si="31"/>
        <v>1.3</v>
      </c>
      <c r="AN54" s="4" t="str">
        <f t="shared" si="15"/>
        <v>-</v>
      </c>
      <c r="AO54" s="4" t="str">
        <f t="shared" si="16"/>
        <v>-</v>
      </c>
      <c r="AP54" s="4" t="str">
        <f t="shared" si="17"/>
        <v>-</v>
      </c>
      <c r="AQ54" s="4">
        <v>0</v>
      </c>
      <c r="AR54" s="4" t="s">
        <v>262</v>
      </c>
      <c r="AS54" s="4"/>
      <c r="AT54" s="4"/>
      <c r="AU54" s="4" t="s">
        <v>226</v>
      </c>
      <c r="AV54" s="4">
        <v>14819</v>
      </c>
      <c r="AW54" s="4">
        <f t="shared" si="32"/>
        <v>14819</v>
      </c>
      <c r="AX54" s="19">
        <v>2</v>
      </c>
      <c r="AY54" s="19">
        <v>1</v>
      </c>
      <c r="AZ54" s="16">
        <v>19</v>
      </c>
      <c r="BA54">
        <v>13000</v>
      </c>
      <c r="BB54">
        <v>13726</v>
      </c>
      <c r="BC54" t="s">
        <v>210</v>
      </c>
      <c r="BD54" t="s">
        <v>278</v>
      </c>
    </row>
    <row r="55" spans="1:56" x14ac:dyDescent="0.4">
      <c r="A55" s="34">
        <v>47</v>
      </c>
      <c r="B55" s="3">
        <v>47</v>
      </c>
      <c r="C55" s="4" t="s">
        <v>90</v>
      </c>
      <c r="D55" s="4" t="str">
        <f t="shared" si="18"/>
        <v>J619MG</v>
      </c>
      <c r="E55" s="4" t="s">
        <v>90</v>
      </c>
      <c r="F55" s="4" t="s">
        <v>156</v>
      </c>
      <c r="G55" s="5">
        <v>4977114800559</v>
      </c>
      <c r="H55" s="5"/>
      <c r="I55" s="5"/>
      <c r="J55" s="5">
        <v>1</v>
      </c>
      <c r="K55" s="5">
        <v>1</v>
      </c>
      <c r="L55" s="4">
        <v>16000</v>
      </c>
      <c r="M55" s="4">
        <v>10800</v>
      </c>
      <c r="N55" s="4">
        <v>7520</v>
      </c>
      <c r="O55" s="6">
        <f t="shared" si="19"/>
        <v>0.3037037037037037</v>
      </c>
      <c r="P55" s="4" t="s">
        <v>175</v>
      </c>
      <c r="Q55" s="4" t="s">
        <v>175</v>
      </c>
      <c r="R55" s="4" t="s">
        <v>175</v>
      </c>
      <c r="S55" s="4">
        <v>20000</v>
      </c>
      <c r="T55" s="4">
        <f t="shared" si="20"/>
        <v>20000</v>
      </c>
      <c r="U55" s="4">
        <v>9400</v>
      </c>
      <c r="V55" s="4">
        <f t="shared" si="21"/>
        <v>9400</v>
      </c>
      <c r="W55" s="4"/>
      <c r="X55" s="21">
        <f t="shared" si="22"/>
        <v>13500</v>
      </c>
      <c r="Y55" s="6">
        <f t="shared" si="23"/>
        <v>0.3037037037037037</v>
      </c>
      <c r="Z55" s="4">
        <v>26.25</v>
      </c>
      <c r="AA55" s="4">
        <f t="shared" si="24"/>
        <v>11091</v>
      </c>
      <c r="AB55" s="4">
        <f t="shared" si="25"/>
        <v>13863.75</v>
      </c>
      <c r="AC55" s="6">
        <f t="shared" si="26"/>
        <v>0.32197277071499419</v>
      </c>
      <c r="AD55" s="4"/>
      <c r="AE55" s="7">
        <v>13800</v>
      </c>
      <c r="AF55" s="6">
        <f t="shared" si="27"/>
        <v>0.3188405797101449</v>
      </c>
      <c r="AG55" s="4">
        <f t="shared" si="28"/>
        <v>4400</v>
      </c>
      <c r="AH55" s="28"/>
      <c r="AI55" s="6"/>
      <c r="AJ55" s="6"/>
      <c r="AK55" s="6">
        <f t="shared" si="29"/>
        <v>1.25</v>
      </c>
      <c r="AL55" s="6">
        <f t="shared" si="30"/>
        <v>1.2777777777777777</v>
      </c>
      <c r="AM55" s="6">
        <f t="shared" si="31"/>
        <v>1.25</v>
      </c>
      <c r="AN55" s="4" t="str">
        <f t="shared" si="15"/>
        <v>-</v>
      </c>
      <c r="AO55" s="4" t="str">
        <f t="shared" si="16"/>
        <v>-</v>
      </c>
      <c r="AP55" s="4" t="str">
        <f t="shared" si="17"/>
        <v>-</v>
      </c>
      <c r="AQ55" s="4" t="s">
        <v>108</v>
      </c>
      <c r="AR55" s="4" t="s">
        <v>263</v>
      </c>
      <c r="AS55" s="4"/>
      <c r="AT55" s="4"/>
      <c r="AU55" s="4" t="s">
        <v>228</v>
      </c>
      <c r="AV55" s="4">
        <v>11091</v>
      </c>
      <c r="AW55" s="4">
        <f t="shared" si="32"/>
        <v>11091</v>
      </c>
      <c r="AX55" s="19">
        <v>2</v>
      </c>
      <c r="AY55" s="19">
        <v>1</v>
      </c>
      <c r="AZ55" s="16">
        <v>19</v>
      </c>
      <c r="BA55" t="s">
        <v>175</v>
      </c>
      <c r="BB55">
        <v>10603</v>
      </c>
      <c r="BC55" t="s">
        <v>211</v>
      </c>
      <c r="BD55" t="s">
        <v>278</v>
      </c>
    </row>
    <row r="56" spans="1:56" x14ac:dyDescent="0.4">
      <c r="A56" s="34">
        <v>48</v>
      </c>
      <c r="B56" s="3">
        <v>48</v>
      </c>
      <c r="C56" s="4" t="s">
        <v>91</v>
      </c>
      <c r="D56" s="4" t="str">
        <f t="shared" si="18"/>
        <v>J620MG</v>
      </c>
      <c r="E56" s="4" t="s">
        <v>91</v>
      </c>
      <c r="F56" s="4" t="s">
        <v>157</v>
      </c>
      <c r="G56" s="5">
        <v>4977114800566</v>
      </c>
      <c r="H56" s="5"/>
      <c r="I56" s="5"/>
      <c r="J56" s="5">
        <v>1</v>
      </c>
      <c r="K56" s="5">
        <v>1</v>
      </c>
      <c r="L56" s="4">
        <v>19000</v>
      </c>
      <c r="M56" s="4">
        <v>14422</v>
      </c>
      <c r="N56" s="4">
        <v>8930</v>
      </c>
      <c r="O56" s="6">
        <f t="shared" si="19"/>
        <v>0.3808071002634863</v>
      </c>
      <c r="P56" s="4" t="s">
        <v>175</v>
      </c>
      <c r="Q56" s="4" t="s">
        <v>175</v>
      </c>
      <c r="R56" s="4" t="s">
        <v>175</v>
      </c>
      <c r="S56" s="4">
        <v>24000</v>
      </c>
      <c r="T56" s="4">
        <f t="shared" si="20"/>
        <v>24000</v>
      </c>
      <c r="U56" s="4">
        <v>11280</v>
      </c>
      <c r="V56" s="4">
        <f t="shared" si="21"/>
        <v>11280</v>
      </c>
      <c r="W56" s="4"/>
      <c r="X56" s="21">
        <f t="shared" si="22"/>
        <v>18217</v>
      </c>
      <c r="Y56" s="6">
        <f t="shared" si="23"/>
        <v>0.38079815556897401</v>
      </c>
      <c r="Z56" s="4">
        <v>4.5</v>
      </c>
      <c r="AA56" s="4">
        <f t="shared" si="24"/>
        <v>12800</v>
      </c>
      <c r="AB56" s="4">
        <f t="shared" si="25"/>
        <v>16168.421052631578</v>
      </c>
      <c r="AC56" s="6">
        <f t="shared" si="26"/>
        <v>0.30234375000000002</v>
      </c>
      <c r="AD56" s="4"/>
      <c r="AE56" s="7">
        <v>16400</v>
      </c>
      <c r="AF56" s="6">
        <f t="shared" si="27"/>
        <v>0.31219512195121957</v>
      </c>
      <c r="AG56" s="4">
        <f t="shared" si="28"/>
        <v>5120</v>
      </c>
      <c r="AH56" s="28"/>
      <c r="AI56" s="6"/>
      <c r="AJ56" s="6"/>
      <c r="AK56" s="6">
        <f t="shared" si="29"/>
        <v>1.263157894736842</v>
      </c>
      <c r="AL56" s="6">
        <f t="shared" si="30"/>
        <v>1.1371515739841909</v>
      </c>
      <c r="AM56" s="6">
        <f t="shared" si="31"/>
        <v>1.263157894736842</v>
      </c>
      <c r="AN56" s="4" t="str">
        <f t="shared" si="15"/>
        <v>-</v>
      </c>
      <c r="AO56" s="4" t="str">
        <f t="shared" si="16"/>
        <v>-</v>
      </c>
      <c r="AP56" s="4" t="str">
        <f t="shared" si="17"/>
        <v>-</v>
      </c>
      <c r="AQ56" s="4" t="s">
        <v>108</v>
      </c>
      <c r="AR56" s="4" t="s">
        <v>264</v>
      </c>
      <c r="AS56" s="4"/>
      <c r="AT56" s="4"/>
      <c r="AU56" s="4" t="s">
        <v>228</v>
      </c>
      <c r="AV56" s="4">
        <v>12800</v>
      </c>
      <c r="AW56" s="4">
        <f t="shared" si="32"/>
        <v>12800</v>
      </c>
      <c r="AX56" s="19">
        <v>2</v>
      </c>
      <c r="AY56" s="19">
        <v>1</v>
      </c>
      <c r="AZ56" s="16">
        <v>19</v>
      </c>
      <c r="BA56">
        <v>12350</v>
      </c>
      <c r="BB56">
        <v>13040</v>
      </c>
      <c r="BC56" t="s">
        <v>212</v>
      </c>
      <c r="BD56" t="s">
        <v>278</v>
      </c>
    </row>
    <row r="57" spans="1:56" x14ac:dyDescent="0.4">
      <c r="A57" s="35">
        <v>49</v>
      </c>
      <c r="B57" s="3">
        <v>49</v>
      </c>
      <c r="C57" s="4" t="s">
        <v>92</v>
      </c>
      <c r="D57" s="4" t="str">
        <f t="shared" si="18"/>
        <v>J621MG</v>
      </c>
      <c r="E57" s="4" t="s">
        <v>92</v>
      </c>
      <c r="F57" s="4" t="s">
        <v>158</v>
      </c>
      <c r="G57" s="5">
        <v>4977114800573</v>
      </c>
      <c r="H57" s="5"/>
      <c r="I57" s="5"/>
      <c r="J57" s="5">
        <v>1</v>
      </c>
      <c r="K57" s="5">
        <v>1</v>
      </c>
      <c r="L57" s="4">
        <v>37000</v>
      </c>
      <c r="M57" s="4">
        <v>24786</v>
      </c>
      <c r="N57" s="4">
        <v>17390</v>
      </c>
      <c r="O57" s="6">
        <f t="shared" si="19"/>
        <v>0.29839425482127002</v>
      </c>
      <c r="P57" s="4" t="s">
        <v>175</v>
      </c>
      <c r="Q57" s="4" t="s">
        <v>175</v>
      </c>
      <c r="R57" s="4" t="s">
        <v>175</v>
      </c>
      <c r="S57" s="4">
        <v>47000</v>
      </c>
      <c r="T57" s="4">
        <f t="shared" si="20"/>
        <v>47000</v>
      </c>
      <c r="U57" s="4">
        <v>22090</v>
      </c>
      <c r="V57" s="4">
        <f t="shared" si="21"/>
        <v>22090</v>
      </c>
      <c r="W57" s="4"/>
      <c r="X57" s="21">
        <f t="shared" si="22"/>
        <v>31485</v>
      </c>
      <c r="Y57" s="6">
        <f t="shared" si="23"/>
        <v>0.29839606161664289</v>
      </c>
      <c r="Z57" s="4">
        <v>0</v>
      </c>
      <c r="AA57" s="4" t="str">
        <f t="shared" si="24"/>
        <v>-</v>
      </c>
      <c r="AB57" s="4" t="e">
        <f t="shared" si="25"/>
        <v>#VALUE!</v>
      </c>
      <c r="AC57" s="6" t="e">
        <f t="shared" si="26"/>
        <v>#VALUE!</v>
      </c>
      <c r="AD57" s="4"/>
      <c r="AE57" s="7">
        <v>31800</v>
      </c>
      <c r="AF57" s="6">
        <f t="shared" si="27"/>
        <v>0.30534591194968552</v>
      </c>
      <c r="AG57" s="4">
        <f t="shared" si="28"/>
        <v>9710</v>
      </c>
      <c r="AH57" s="28"/>
      <c r="AI57" s="6"/>
      <c r="AJ57" s="6"/>
      <c r="AK57" s="6">
        <f t="shared" si="29"/>
        <v>1.2702702702702702</v>
      </c>
      <c r="AL57" s="6">
        <f t="shared" si="30"/>
        <v>1.2829823287339628</v>
      </c>
      <c r="AM57" s="6">
        <f t="shared" si="31"/>
        <v>1.2702702702702702</v>
      </c>
      <c r="AN57" s="4" t="str">
        <f t="shared" si="15"/>
        <v>-</v>
      </c>
      <c r="AO57" s="4" t="str">
        <f t="shared" si="16"/>
        <v>-</v>
      </c>
      <c r="AP57" s="4" t="str">
        <f t="shared" si="17"/>
        <v>-</v>
      </c>
      <c r="AQ57" s="4">
        <v>0</v>
      </c>
      <c r="AR57" s="4" t="s">
        <v>175</v>
      </c>
      <c r="AS57" s="4"/>
      <c r="AT57" s="4"/>
      <c r="AU57" s="4" t="s">
        <v>175</v>
      </c>
      <c r="AV57" s="4" t="s">
        <v>175</v>
      </c>
      <c r="AW57" s="4" t="str">
        <f t="shared" si="32"/>
        <v>-</v>
      </c>
      <c r="AX57" s="19">
        <v>4</v>
      </c>
      <c r="AY57" s="19">
        <v>9</v>
      </c>
      <c r="AZ57" s="16">
        <v>19</v>
      </c>
      <c r="BA57">
        <v>27750</v>
      </c>
      <c r="BB57" t="s">
        <v>175</v>
      </c>
      <c r="BC57" t="s">
        <v>175</v>
      </c>
      <c r="BD57" t="s">
        <v>278</v>
      </c>
    </row>
    <row r="58" spans="1:56" x14ac:dyDescent="0.4">
      <c r="A58" s="35">
        <v>50</v>
      </c>
      <c r="B58" s="3">
        <v>50</v>
      </c>
      <c r="C58" s="4" t="s">
        <v>93</v>
      </c>
      <c r="D58" s="4" t="str">
        <f t="shared" si="18"/>
        <v>J623MG</v>
      </c>
      <c r="E58" s="4" t="s">
        <v>93</v>
      </c>
      <c r="F58" s="4" t="s">
        <v>159</v>
      </c>
      <c r="G58" s="5">
        <v>4977114800597</v>
      </c>
      <c r="H58" s="5"/>
      <c r="I58" s="5"/>
      <c r="J58" s="5">
        <v>1</v>
      </c>
      <c r="K58" s="5">
        <v>1</v>
      </c>
      <c r="L58" s="4">
        <v>16000</v>
      </c>
      <c r="M58" s="4">
        <v>12414</v>
      </c>
      <c r="N58" s="4">
        <v>7520</v>
      </c>
      <c r="O58" s="6">
        <f t="shared" si="19"/>
        <v>0.39423231835024974</v>
      </c>
      <c r="P58" s="4">
        <v>11562</v>
      </c>
      <c r="Q58" s="4">
        <v>5</v>
      </c>
      <c r="R58" s="4">
        <v>99999</v>
      </c>
      <c r="S58" s="4">
        <v>20000</v>
      </c>
      <c r="T58" s="4">
        <f t="shared" si="20"/>
        <v>20000</v>
      </c>
      <c r="U58" s="4">
        <v>9400</v>
      </c>
      <c r="V58" s="4">
        <f t="shared" si="21"/>
        <v>9400</v>
      </c>
      <c r="W58" s="4"/>
      <c r="X58" s="21">
        <f t="shared" si="22"/>
        <v>15518</v>
      </c>
      <c r="Y58" s="6">
        <f t="shared" si="23"/>
        <v>0.39425183657687846</v>
      </c>
      <c r="Z58" s="4">
        <v>0</v>
      </c>
      <c r="AA58" s="4">
        <f t="shared" si="24"/>
        <v>10891</v>
      </c>
      <c r="AB58" s="4">
        <f t="shared" si="25"/>
        <v>13613.75</v>
      </c>
      <c r="AC58" s="6">
        <f t="shared" si="26"/>
        <v>0.30952162335873656</v>
      </c>
      <c r="AD58" s="4">
        <f>V58/10</f>
        <v>940</v>
      </c>
      <c r="AE58" s="7">
        <v>13600</v>
      </c>
      <c r="AF58" s="6">
        <f t="shared" si="27"/>
        <v>0.30882352941176472</v>
      </c>
      <c r="AG58" s="4">
        <f t="shared" si="28"/>
        <v>4200</v>
      </c>
      <c r="AH58" s="28"/>
      <c r="AI58" s="6"/>
      <c r="AJ58" s="6"/>
      <c r="AK58" s="6">
        <f t="shared" si="29"/>
        <v>1.25</v>
      </c>
      <c r="AL58" s="6">
        <f t="shared" si="30"/>
        <v>1.0955372966006123</v>
      </c>
      <c r="AM58" s="6">
        <f t="shared" si="31"/>
        <v>1.25</v>
      </c>
      <c r="AN58" s="4">
        <f t="shared" si="15"/>
        <v>12667</v>
      </c>
      <c r="AO58" s="4">
        <f t="shared" si="16"/>
        <v>5</v>
      </c>
      <c r="AP58" s="4">
        <f t="shared" si="17"/>
        <v>99999</v>
      </c>
      <c r="AQ58" s="4" t="s">
        <v>108</v>
      </c>
      <c r="AR58" s="4" t="s">
        <v>265</v>
      </c>
      <c r="AS58" s="4"/>
      <c r="AT58" s="4"/>
      <c r="AU58" s="4" t="s">
        <v>228</v>
      </c>
      <c r="AV58" s="4">
        <v>10891</v>
      </c>
      <c r="AW58" s="4">
        <f t="shared" si="32"/>
        <v>10891</v>
      </c>
      <c r="AX58" s="19">
        <v>4</v>
      </c>
      <c r="AY58" s="19">
        <v>9</v>
      </c>
      <c r="AZ58" s="16">
        <v>19</v>
      </c>
      <c r="BA58">
        <v>12800</v>
      </c>
      <c r="BB58" t="s">
        <v>175</v>
      </c>
      <c r="BC58" t="s">
        <v>213</v>
      </c>
      <c r="BD58" t="s">
        <v>278</v>
      </c>
    </row>
    <row r="59" spans="1:56" x14ac:dyDescent="0.4">
      <c r="A59" s="35">
        <v>51</v>
      </c>
      <c r="B59" s="3">
        <v>51</v>
      </c>
      <c r="C59" s="4" t="s">
        <v>94</v>
      </c>
      <c r="D59" s="4" t="str">
        <f t="shared" si="18"/>
        <v>J622MG</v>
      </c>
      <c r="E59" s="4" t="s">
        <v>94</v>
      </c>
      <c r="F59" s="4" t="s">
        <v>160</v>
      </c>
      <c r="G59" s="5">
        <v>4977114800580</v>
      </c>
      <c r="H59" s="5"/>
      <c r="I59" s="5"/>
      <c r="J59" s="5">
        <v>1</v>
      </c>
      <c r="K59" s="5">
        <v>1</v>
      </c>
      <c r="L59" s="4">
        <v>17000</v>
      </c>
      <c r="M59" s="4">
        <v>12160</v>
      </c>
      <c r="N59" s="4">
        <v>7990</v>
      </c>
      <c r="O59" s="6">
        <f t="shared" si="19"/>
        <v>0.34292763157894735</v>
      </c>
      <c r="P59" s="4" t="s">
        <v>175</v>
      </c>
      <c r="Q59" s="4" t="s">
        <v>175</v>
      </c>
      <c r="R59" s="4" t="s">
        <v>175</v>
      </c>
      <c r="S59" s="4">
        <v>22000</v>
      </c>
      <c r="T59" s="4">
        <f t="shared" si="20"/>
        <v>22000</v>
      </c>
      <c r="U59" s="4">
        <v>10340</v>
      </c>
      <c r="V59" s="4">
        <f t="shared" si="21"/>
        <v>10340</v>
      </c>
      <c r="W59" s="4"/>
      <c r="X59" s="21">
        <f t="shared" si="22"/>
        <v>15736</v>
      </c>
      <c r="Y59" s="6">
        <f t="shared" si="23"/>
        <v>0.34290798169801728</v>
      </c>
      <c r="Z59" s="4">
        <v>0</v>
      </c>
      <c r="AA59" s="4">
        <f t="shared" si="24"/>
        <v>11800</v>
      </c>
      <c r="AB59" s="4">
        <f t="shared" si="25"/>
        <v>15270.588235294119</v>
      </c>
      <c r="AC59" s="6">
        <f t="shared" si="26"/>
        <v>0.32288135593220346</v>
      </c>
      <c r="AD59" s="4">
        <f t="shared" ref="AD59:AD63" si="33">V59/10</f>
        <v>1034</v>
      </c>
      <c r="AE59" s="7">
        <v>15200</v>
      </c>
      <c r="AF59" s="6">
        <f t="shared" si="27"/>
        <v>0.31973684210526321</v>
      </c>
      <c r="AG59" s="4">
        <f t="shared" si="28"/>
        <v>4860</v>
      </c>
      <c r="AH59" s="28"/>
      <c r="AI59" s="6"/>
      <c r="AJ59" s="6"/>
      <c r="AK59" s="6">
        <f t="shared" si="29"/>
        <v>1.2941176470588236</v>
      </c>
      <c r="AL59" s="6">
        <f t="shared" si="30"/>
        <v>1.25</v>
      </c>
      <c r="AM59" s="6">
        <f t="shared" si="31"/>
        <v>1.2941176470588236</v>
      </c>
      <c r="AN59" s="4" t="str">
        <f t="shared" si="15"/>
        <v>-</v>
      </c>
      <c r="AO59" s="4" t="str">
        <f t="shared" si="16"/>
        <v>-</v>
      </c>
      <c r="AP59" s="4" t="str">
        <f t="shared" si="17"/>
        <v>-</v>
      </c>
      <c r="AQ59" s="4">
        <v>0</v>
      </c>
      <c r="AR59" s="4" t="s">
        <v>266</v>
      </c>
      <c r="AS59" s="4"/>
      <c r="AT59" s="4"/>
      <c r="AU59" s="4" t="s">
        <v>228</v>
      </c>
      <c r="AV59" s="4">
        <v>11800</v>
      </c>
      <c r="AW59" s="4">
        <f t="shared" si="32"/>
        <v>11800</v>
      </c>
      <c r="AX59" s="19">
        <v>4</v>
      </c>
      <c r="AY59" s="19">
        <v>9</v>
      </c>
      <c r="AZ59" s="16">
        <v>19</v>
      </c>
      <c r="BA59" t="s">
        <v>175</v>
      </c>
      <c r="BB59" t="s">
        <v>175</v>
      </c>
      <c r="BC59" t="s">
        <v>214</v>
      </c>
      <c r="BD59" t="s">
        <v>278</v>
      </c>
    </row>
    <row r="60" spans="1:56" x14ac:dyDescent="0.4">
      <c r="A60" s="34">
        <v>52</v>
      </c>
      <c r="B60" s="3">
        <v>52</v>
      </c>
      <c r="C60" s="4" t="s">
        <v>95</v>
      </c>
      <c r="D60" s="4" t="str">
        <f t="shared" si="18"/>
        <v>J625MG</v>
      </c>
      <c r="E60" s="4" t="s">
        <v>95</v>
      </c>
      <c r="F60" s="4" t="s">
        <v>161</v>
      </c>
      <c r="G60" s="5">
        <v>4977114800610</v>
      </c>
      <c r="H60" s="5"/>
      <c r="I60" s="5"/>
      <c r="J60" s="5">
        <v>1</v>
      </c>
      <c r="K60" s="5">
        <v>1</v>
      </c>
      <c r="L60" s="4">
        <v>12000</v>
      </c>
      <c r="M60" s="4">
        <v>7088</v>
      </c>
      <c r="N60" s="4">
        <v>5640</v>
      </c>
      <c r="O60" s="6">
        <f t="shared" si="19"/>
        <v>0.20428893905191869</v>
      </c>
      <c r="P60" s="4" t="s">
        <v>175</v>
      </c>
      <c r="Q60" s="4" t="s">
        <v>175</v>
      </c>
      <c r="R60" s="4" t="s">
        <v>175</v>
      </c>
      <c r="S60" s="4">
        <v>15000</v>
      </c>
      <c r="T60" s="4">
        <f t="shared" si="20"/>
        <v>15000</v>
      </c>
      <c r="U60" s="4">
        <v>7050</v>
      </c>
      <c r="V60" s="4">
        <f t="shared" si="21"/>
        <v>7050</v>
      </c>
      <c r="W60" s="4"/>
      <c r="X60" s="21">
        <f t="shared" si="22"/>
        <v>8860</v>
      </c>
      <c r="Y60" s="6">
        <f t="shared" si="23"/>
        <v>0.20428893905191869</v>
      </c>
      <c r="Z60" s="4">
        <v>0</v>
      </c>
      <c r="AA60" s="4">
        <f t="shared" si="24"/>
        <v>10500</v>
      </c>
      <c r="AB60" s="4">
        <f t="shared" si="25"/>
        <v>13125</v>
      </c>
      <c r="AC60" s="6">
        <f t="shared" si="26"/>
        <v>0.46285714285714286</v>
      </c>
      <c r="AD60" s="4">
        <f t="shared" si="33"/>
        <v>705</v>
      </c>
      <c r="AE60" s="7">
        <v>11000</v>
      </c>
      <c r="AF60" s="6">
        <f t="shared" si="27"/>
        <v>0.35909090909090913</v>
      </c>
      <c r="AG60" s="4">
        <f t="shared" si="28"/>
        <v>3950</v>
      </c>
      <c r="AH60" s="28"/>
      <c r="AI60" s="6"/>
      <c r="AJ60" s="6"/>
      <c r="AK60" s="6">
        <f t="shared" si="29"/>
        <v>1.25</v>
      </c>
      <c r="AL60" s="6">
        <f t="shared" si="30"/>
        <v>1.5519187358916477</v>
      </c>
      <c r="AM60" s="6">
        <f t="shared" si="31"/>
        <v>1.25</v>
      </c>
      <c r="AN60" s="4" t="str">
        <f t="shared" si="15"/>
        <v>-</v>
      </c>
      <c r="AO60" s="4" t="str">
        <f t="shared" si="16"/>
        <v>-</v>
      </c>
      <c r="AP60" s="4" t="str">
        <f t="shared" si="17"/>
        <v>-</v>
      </c>
      <c r="AQ60" s="4">
        <v>0</v>
      </c>
      <c r="AR60" s="4" t="s">
        <v>267</v>
      </c>
      <c r="AS60" s="4"/>
      <c r="AT60" s="4"/>
      <c r="AU60" s="4" t="s">
        <v>268</v>
      </c>
      <c r="AV60" s="4">
        <v>10500</v>
      </c>
      <c r="AW60" s="4">
        <f t="shared" si="32"/>
        <v>10500</v>
      </c>
      <c r="AX60" s="19">
        <v>2</v>
      </c>
      <c r="AY60" s="19">
        <v>8</v>
      </c>
      <c r="AZ60" s="16">
        <v>19</v>
      </c>
      <c r="BA60" t="s">
        <v>175</v>
      </c>
      <c r="BB60" t="s">
        <v>175</v>
      </c>
      <c r="BC60" t="s">
        <v>215</v>
      </c>
      <c r="BD60" t="s">
        <v>278</v>
      </c>
    </row>
    <row r="61" spans="1:56" x14ac:dyDescent="0.4">
      <c r="A61" s="35">
        <v>53</v>
      </c>
      <c r="B61" s="3">
        <v>53</v>
      </c>
      <c r="C61" s="4" t="s">
        <v>96</v>
      </c>
      <c r="D61" s="4" t="str">
        <f t="shared" si="18"/>
        <v>J624MG</v>
      </c>
      <c r="E61" s="4" t="s">
        <v>96</v>
      </c>
      <c r="F61" s="4" t="s">
        <v>162</v>
      </c>
      <c r="G61" s="5">
        <v>4977114800603</v>
      </c>
      <c r="H61" s="5"/>
      <c r="I61" s="5"/>
      <c r="J61" s="5">
        <v>1</v>
      </c>
      <c r="K61" s="5">
        <v>1</v>
      </c>
      <c r="L61" s="4">
        <v>13000</v>
      </c>
      <c r="M61" s="4">
        <v>6830</v>
      </c>
      <c r="N61" s="4">
        <v>6110</v>
      </c>
      <c r="O61" s="6">
        <f t="shared" si="19"/>
        <v>0.10541727672035139</v>
      </c>
      <c r="P61" s="4" t="s">
        <v>175</v>
      </c>
      <c r="Q61" s="4" t="s">
        <v>175</v>
      </c>
      <c r="R61" s="4" t="s">
        <v>175</v>
      </c>
      <c r="S61" s="4">
        <v>17000</v>
      </c>
      <c r="T61" s="4">
        <f t="shared" si="20"/>
        <v>17000</v>
      </c>
      <c r="U61" s="4">
        <v>7990</v>
      </c>
      <c r="V61" s="4">
        <f t="shared" si="21"/>
        <v>7990</v>
      </c>
      <c r="W61" s="4"/>
      <c r="X61" s="21">
        <f t="shared" si="22"/>
        <v>8932</v>
      </c>
      <c r="Y61" s="6">
        <f t="shared" si="23"/>
        <v>0.10546350201522614</v>
      </c>
      <c r="Z61" s="4">
        <v>0</v>
      </c>
      <c r="AA61" s="4">
        <f t="shared" si="24"/>
        <v>11500</v>
      </c>
      <c r="AB61" s="4">
        <f t="shared" si="25"/>
        <v>15038.461538461539</v>
      </c>
      <c r="AC61" s="6">
        <f t="shared" si="26"/>
        <v>0.46869565217391307</v>
      </c>
      <c r="AD61" s="4">
        <f t="shared" si="33"/>
        <v>799</v>
      </c>
      <c r="AE61" s="7">
        <v>11500</v>
      </c>
      <c r="AF61" s="6">
        <f t="shared" si="27"/>
        <v>0.30521739130434777</v>
      </c>
      <c r="AG61" s="4">
        <f t="shared" si="28"/>
        <v>3510</v>
      </c>
      <c r="AH61" s="28"/>
      <c r="AI61" s="6"/>
      <c r="AJ61" s="6"/>
      <c r="AK61" s="6">
        <f t="shared" si="29"/>
        <v>1.3076923076923077</v>
      </c>
      <c r="AL61" s="6">
        <f t="shared" si="30"/>
        <v>1.6837481698389458</v>
      </c>
      <c r="AM61" s="6">
        <f t="shared" si="31"/>
        <v>1.3076923076923077</v>
      </c>
      <c r="AN61" s="4" t="str">
        <f t="shared" si="15"/>
        <v>-</v>
      </c>
      <c r="AO61" s="4" t="str">
        <f t="shared" si="16"/>
        <v>-</v>
      </c>
      <c r="AP61" s="4" t="str">
        <f t="shared" si="17"/>
        <v>-</v>
      </c>
      <c r="AQ61" s="4">
        <v>0</v>
      </c>
      <c r="AR61" s="4" t="s">
        <v>269</v>
      </c>
      <c r="AS61" s="4"/>
      <c r="AT61" s="4"/>
      <c r="AU61" s="4" t="s">
        <v>268</v>
      </c>
      <c r="AV61" s="4">
        <v>11500</v>
      </c>
      <c r="AW61" s="4">
        <f t="shared" si="32"/>
        <v>11500</v>
      </c>
      <c r="AX61" s="19">
        <v>4</v>
      </c>
      <c r="AY61" s="19">
        <v>9</v>
      </c>
      <c r="AZ61" s="16">
        <v>19</v>
      </c>
      <c r="BA61" t="s">
        <v>175</v>
      </c>
      <c r="BB61" t="s">
        <v>175</v>
      </c>
      <c r="BC61" t="s">
        <v>216</v>
      </c>
      <c r="BD61" t="s">
        <v>278</v>
      </c>
    </row>
    <row r="62" spans="1:56" x14ac:dyDescent="0.4">
      <c r="A62" s="34">
        <v>54</v>
      </c>
      <c r="B62" s="3">
        <v>54</v>
      </c>
      <c r="C62" s="4" t="s">
        <v>97</v>
      </c>
      <c r="D62" s="4" t="str">
        <f t="shared" si="18"/>
        <v>J627MG</v>
      </c>
      <c r="E62" s="4" t="s">
        <v>97</v>
      </c>
      <c r="F62" s="4" t="s">
        <v>163</v>
      </c>
      <c r="G62" s="5">
        <v>4977114800634</v>
      </c>
      <c r="H62" s="5"/>
      <c r="I62" s="5"/>
      <c r="J62" s="5">
        <v>1</v>
      </c>
      <c r="K62" s="5">
        <v>1</v>
      </c>
      <c r="L62" s="4">
        <v>12000</v>
      </c>
      <c r="M62" s="4">
        <v>8000</v>
      </c>
      <c r="N62" s="4">
        <v>5640</v>
      </c>
      <c r="O62" s="6">
        <f t="shared" si="19"/>
        <v>0.29500000000000004</v>
      </c>
      <c r="P62" s="4" t="s">
        <v>175</v>
      </c>
      <c r="Q62" s="4" t="s">
        <v>175</v>
      </c>
      <c r="R62" s="4" t="s">
        <v>175</v>
      </c>
      <c r="S62" s="4">
        <v>15000</v>
      </c>
      <c r="T62" s="4">
        <f t="shared" si="20"/>
        <v>15000</v>
      </c>
      <c r="U62" s="4">
        <v>7050</v>
      </c>
      <c r="V62" s="4">
        <f t="shared" si="21"/>
        <v>7050</v>
      </c>
      <c r="W62" s="4"/>
      <c r="X62" s="21">
        <f t="shared" si="22"/>
        <v>10000</v>
      </c>
      <c r="Y62" s="6">
        <f t="shared" si="23"/>
        <v>0.29500000000000004</v>
      </c>
      <c r="Z62" s="4">
        <v>0.25</v>
      </c>
      <c r="AA62" s="4">
        <f t="shared" si="24"/>
        <v>8500</v>
      </c>
      <c r="AB62" s="4">
        <f t="shared" si="25"/>
        <v>10625</v>
      </c>
      <c r="AC62" s="6">
        <f t="shared" si="26"/>
        <v>0.33647058823529408</v>
      </c>
      <c r="AD62" s="4">
        <f t="shared" si="33"/>
        <v>705</v>
      </c>
      <c r="AE62" s="7">
        <v>10500</v>
      </c>
      <c r="AF62" s="6">
        <f t="shared" si="27"/>
        <v>0.32857142857142863</v>
      </c>
      <c r="AG62" s="4">
        <f t="shared" si="28"/>
        <v>3450</v>
      </c>
      <c r="AH62" s="28"/>
      <c r="AI62" s="6"/>
      <c r="AJ62" s="6"/>
      <c r="AK62" s="6">
        <f t="shared" si="29"/>
        <v>1.25</v>
      </c>
      <c r="AL62" s="6">
        <f t="shared" si="30"/>
        <v>1.3125</v>
      </c>
      <c r="AM62" s="6">
        <f t="shared" si="31"/>
        <v>1.25</v>
      </c>
      <c r="AN62" s="4" t="str">
        <f t="shared" si="15"/>
        <v>-</v>
      </c>
      <c r="AO62" s="4" t="str">
        <f t="shared" si="16"/>
        <v>-</v>
      </c>
      <c r="AP62" s="4" t="str">
        <f t="shared" si="17"/>
        <v>-</v>
      </c>
      <c r="AQ62" s="4">
        <v>0</v>
      </c>
      <c r="AR62" s="4" t="s">
        <v>270</v>
      </c>
      <c r="AS62" s="4"/>
      <c r="AT62" s="4"/>
      <c r="AU62" s="4" t="s">
        <v>268</v>
      </c>
      <c r="AV62" s="4">
        <v>8500</v>
      </c>
      <c r="AW62" s="4">
        <f t="shared" si="32"/>
        <v>8500</v>
      </c>
      <c r="AX62" s="19">
        <v>2</v>
      </c>
      <c r="AY62" s="19">
        <v>8</v>
      </c>
      <c r="AZ62" s="16">
        <v>19</v>
      </c>
      <c r="BA62" t="s">
        <v>175</v>
      </c>
      <c r="BB62" t="s">
        <v>175</v>
      </c>
      <c r="BC62" t="s">
        <v>217</v>
      </c>
      <c r="BD62" t="s">
        <v>278</v>
      </c>
    </row>
    <row r="63" spans="1:56" x14ac:dyDescent="0.4">
      <c r="A63" s="34">
        <v>55</v>
      </c>
      <c r="B63" s="3">
        <v>55</v>
      </c>
      <c r="C63" s="4" t="s">
        <v>98</v>
      </c>
      <c r="D63" s="4" t="str">
        <f t="shared" si="18"/>
        <v>J626MG</v>
      </c>
      <c r="E63" s="4" t="s">
        <v>98</v>
      </c>
      <c r="F63" s="4" t="s">
        <v>164</v>
      </c>
      <c r="G63" s="5">
        <v>4977114800627</v>
      </c>
      <c r="H63" s="5"/>
      <c r="I63" s="5"/>
      <c r="J63" s="5">
        <v>1</v>
      </c>
      <c r="K63" s="5">
        <v>1</v>
      </c>
      <c r="L63" s="4">
        <v>10000</v>
      </c>
      <c r="M63" s="4">
        <v>7680</v>
      </c>
      <c r="N63" s="4">
        <v>4700</v>
      </c>
      <c r="O63" s="6">
        <f t="shared" si="19"/>
        <v>0.38802083333333337</v>
      </c>
      <c r="P63" s="4" t="s">
        <v>175</v>
      </c>
      <c r="Q63" s="4" t="s">
        <v>175</v>
      </c>
      <c r="R63" s="4" t="s">
        <v>175</v>
      </c>
      <c r="S63" s="4">
        <v>13000</v>
      </c>
      <c r="T63" s="4">
        <f t="shared" si="20"/>
        <v>13000</v>
      </c>
      <c r="U63" s="4">
        <v>6110</v>
      </c>
      <c r="V63" s="4">
        <f t="shared" si="21"/>
        <v>6110</v>
      </c>
      <c r="W63" s="4"/>
      <c r="X63" s="21">
        <f t="shared" si="22"/>
        <v>9984</v>
      </c>
      <c r="Y63" s="6">
        <f t="shared" si="23"/>
        <v>0.38802083333333337</v>
      </c>
      <c r="Z63" s="4">
        <v>0.75</v>
      </c>
      <c r="AA63" s="4">
        <f t="shared" si="24"/>
        <v>6800</v>
      </c>
      <c r="AB63" s="4">
        <f t="shared" si="25"/>
        <v>8840</v>
      </c>
      <c r="AC63" s="6">
        <f t="shared" si="26"/>
        <v>0.30882352941176472</v>
      </c>
      <c r="AD63" s="4">
        <f t="shared" si="33"/>
        <v>611</v>
      </c>
      <c r="AE63" s="7">
        <v>9900</v>
      </c>
      <c r="AF63" s="6">
        <f t="shared" si="27"/>
        <v>0.38282828282828285</v>
      </c>
      <c r="AG63" s="4">
        <f t="shared" si="28"/>
        <v>3790</v>
      </c>
      <c r="AH63" s="28"/>
      <c r="AI63" s="6"/>
      <c r="AJ63" s="6"/>
      <c r="AK63" s="6">
        <f t="shared" si="29"/>
        <v>1.3</v>
      </c>
      <c r="AL63" s="6">
        <f t="shared" si="30"/>
        <v>1.2890625</v>
      </c>
      <c r="AM63" s="6">
        <f t="shared" si="31"/>
        <v>1.3</v>
      </c>
      <c r="AN63" s="4" t="str">
        <f t="shared" si="15"/>
        <v>-</v>
      </c>
      <c r="AO63" s="4" t="str">
        <f t="shared" si="16"/>
        <v>-</v>
      </c>
      <c r="AP63" s="4" t="str">
        <f t="shared" si="17"/>
        <v>-</v>
      </c>
      <c r="AQ63" s="4">
        <v>0</v>
      </c>
      <c r="AR63" s="4" t="s">
        <v>271</v>
      </c>
      <c r="AS63" s="4"/>
      <c r="AT63" s="4"/>
      <c r="AU63" s="4" t="s">
        <v>228</v>
      </c>
      <c r="AV63" s="4">
        <v>6800</v>
      </c>
      <c r="AW63" s="4">
        <f t="shared" si="32"/>
        <v>6800</v>
      </c>
      <c r="AX63" s="19">
        <v>2</v>
      </c>
      <c r="AY63" s="19">
        <v>1</v>
      </c>
      <c r="AZ63" s="16">
        <v>19</v>
      </c>
      <c r="BA63">
        <v>8000</v>
      </c>
      <c r="BB63" t="s">
        <v>175</v>
      </c>
      <c r="BC63" t="s">
        <v>218</v>
      </c>
      <c r="BD63" t="s">
        <v>278</v>
      </c>
    </row>
    <row r="64" spans="1:56" x14ac:dyDescent="0.4">
      <c r="A64" s="34">
        <v>56</v>
      </c>
      <c r="B64" s="3">
        <v>56</v>
      </c>
      <c r="C64" s="4" t="s">
        <v>99</v>
      </c>
      <c r="D64" s="4" t="str">
        <f t="shared" si="18"/>
        <v>J629MG</v>
      </c>
      <c r="E64" s="4" t="s">
        <v>99</v>
      </c>
      <c r="F64" s="4" t="s">
        <v>165</v>
      </c>
      <c r="G64" s="5">
        <v>4977114800658</v>
      </c>
      <c r="H64" s="5"/>
      <c r="I64" s="5"/>
      <c r="J64" s="5">
        <v>1</v>
      </c>
      <c r="K64" s="5">
        <v>1</v>
      </c>
      <c r="L64" s="4">
        <v>16000</v>
      </c>
      <c r="M64" s="4">
        <v>11448</v>
      </c>
      <c r="N64" s="4">
        <v>7520</v>
      </c>
      <c r="O64" s="6">
        <f t="shared" si="19"/>
        <v>0.34311670160726759</v>
      </c>
      <c r="P64" s="4" t="s">
        <v>175</v>
      </c>
      <c r="Q64" s="4" t="s">
        <v>175</v>
      </c>
      <c r="R64" s="4" t="s">
        <v>175</v>
      </c>
      <c r="S64" s="4">
        <v>20000</v>
      </c>
      <c r="T64" s="4">
        <f t="shared" si="20"/>
        <v>20000</v>
      </c>
      <c r="U64" s="4">
        <v>9400</v>
      </c>
      <c r="V64" s="4">
        <f t="shared" si="21"/>
        <v>9400</v>
      </c>
      <c r="W64" s="4"/>
      <c r="X64" s="21">
        <f t="shared" si="22"/>
        <v>14310</v>
      </c>
      <c r="Y64" s="6">
        <f t="shared" si="23"/>
        <v>0.34311670160726759</v>
      </c>
      <c r="Z64" s="4">
        <v>0</v>
      </c>
      <c r="AA64" s="4">
        <f t="shared" si="24"/>
        <v>10874</v>
      </c>
      <c r="AB64" s="4">
        <f t="shared" si="25"/>
        <v>13592.5</v>
      </c>
      <c r="AC64" s="6">
        <f t="shared" si="26"/>
        <v>0.30844215560051502</v>
      </c>
      <c r="AD64" s="4">
        <f>V64/20</f>
        <v>470</v>
      </c>
      <c r="AE64" s="7">
        <v>14000</v>
      </c>
      <c r="AF64" s="6">
        <f t="shared" si="27"/>
        <v>0.32857142857142863</v>
      </c>
      <c r="AG64" s="4">
        <f t="shared" si="28"/>
        <v>4600</v>
      </c>
      <c r="AH64" s="28"/>
      <c r="AI64" s="6"/>
      <c r="AJ64" s="6"/>
      <c r="AK64" s="6">
        <f t="shared" si="29"/>
        <v>1.25</v>
      </c>
      <c r="AL64" s="6">
        <f t="shared" si="30"/>
        <v>1.2229210342417889</v>
      </c>
      <c r="AM64" s="6">
        <f t="shared" si="31"/>
        <v>1.25</v>
      </c>
      <c r="AN64" s="4" t="str">
        <f t="shared" si="15"/>
        <v>-</v>
      </c>
      <c r="AO64" s="4" t="str">
        <f t="shared" si="16"/>
        <v>-</v>
      </c>
      <c r="AP64" s="4" t="str">
        <f t="shared" si="17"/>
        <v>-</v>
      </c>
      <c r="AQ64" s="4" t="s">
        <v>108</v>
      </c>
      <c r="AR64" s="4" t="s">
        <v>272</v>
      </c>
      <c r="AS64" s="4">
        <v>20</v>
      </c>
      <c r="AT64" s="4">
        <v>10</v>
      </c>
      <c r="AU64" s="4" t="s">
        <v>228</v>
      </c>
      <c r="AV64" s="4">
        <v>5437</v>
      </c>
      <c r="AW64" s="4">
        <f t="shared" si="32"/>
        <v>10874</v>
      </c>
      <c r="AX64" s="19">
        <v>2</v>
      </c>
      <c r="AY64" s="19">
        <v>1</v>
      </c>
      <c r="AZ64" s="16">
        <v>19</v>
      </c>
      <c r="BA64">
        <v>6400</v>
      </c>
      <c r="BB64" t="s">
        <v>175</v>
      </c>
      <c r="BC64" t="s">
        <v>219</v>
      </c>
      <c r="BD64" t="s">
        <v>278</v>
      </c>
    </row>
    <row r="65" spans="1:56" x14ac:dyDescent="0.4">
      <c r="A65" s="34">
        <v>57</v>
      </c>
      <c r="B65" s="3">
        <v>57</v>
      </c>
      <c r="C65" s="4" t="s">
        <v>100</v>
      </c>
      <c r="D65" s="4" t="str">
        <f t="shared" si="18"/>
        <v>J630MG</v>
      </c>
      <c r="E65" s="4" t="s">
        <v>100</v>
      </c>
      <c r="F65" s="4" t="s">
        <v>166</v>
      </c>
      <c r="G65" s="5">
        <v>4977114800665</v>
      </c>
      <c r="H65" s="5"/>
      <c r="I65" s="5"/>
      <c r="J65" s="5">
        <v>1</v>
      </c>
      <c r="K65" s="5">
        <v>1</v>
      </c>
      <c r="L65" s="4">
        <v>18000</v>
      </c>
      <c r="M65" s="4">
        <v>12000</v>
      </c>
      <c r="N65" s="4">
        <v>8460</v>
      </c>
      <c r="O65" s="6">
        <f t="shared" si="19"/>
        <v>0.29500000000000004</v>
      </c>
      <c r="P65" s="4" t="s">
        <v>175</v>
      </c>
      <c r="Q65" s="4" t="s">
        <v>175</v>
      </c>
      <c r="R65" s="4" t="s">
        <v>175</v>
      </c>
      <c r="S65" s="4">
        <v>24000</v>
      </c>
      <c r="T65" s="4">
        <f t="shared" si="20"/>
        <v>24000</v>
      </c>
      <c r="U65" s="4">
        <v>11280</v>
      </c>
      <c r="V65" s="4">
        <f t="shared" si="21"/>
        <v>11280</v>
      </c>
      <c r="W65" s="4"/>
      <c r="X65" s="21">
        <f t="shared" si="22"/>
        <v>16000</v>
      </c>
      <c r="Y65" s="6">
        <f t="shared" si="23"/>
        <v>0.29500000000000004</v>
      </c>
      <c r="Z65" s="4">
        <v>0.25</v>
      </c>
      <c r="AA65" s="4">
        <f t="shared" si="24"/>
        <v>9420</v>
      </c>
      <c r="AB65" s="4">
        <f t="shared" si="25"/>
        <v>12560</v>
      </c>
      <c r="AC65" s="6">
        <f t="shared" si="26"/>
        <v>0.10191082802547768</v>
      </c>
      <c r="AD65" s="4">
        <f t="shared" ref="AD65:AD66" si="34">V65/20</f>
        <v>564</v>
      </c>
      <c r="AE65" s="7">
        <v>16500</v>
      </c>
      <c r="AF65" s="6">
        <f t="shared" si="27"/>
        <v>0.3163636363636364</v>
      </c>
      <c r="AG65" s="4">
        <f t="shared" si="28"/>
        <v>5220</v>
      </c>
      <c r="AH65" s="28"/>
      <c r="AI65" s="6"/>
      <c r="AJ65" s="6"/>
      <c r="AK65" s="6">
        <f t="shared" si="29"/>
        <v>1.3333333333333333</v>
      </c>
      <c r="AL65" s="6">
        <f t="shared" si="30"/>
        <v>1.375</v>
      </c>
      <c r="AM65" s="6">
        <f t="shared" si="31"/>
        <v>1.3333333333333333</v>
      </c>
      <c r="AN65" s="4" t="str">
        <f t="shared" si="15"/>
        <v>-</v>
      </c>
      <c r="AO65" s="4" t="str">
        <f t="shared" si="16"/>
        <v>-</v>
      </c>
      <c r="AP65" s="4" t="str">
        <f t="shared" si="17"/>
        <v>-</v>
      </c>
      <c r="AQ65" s="4" t="s">
        <v>108</v>
      </c>
      <c r="AR65" s="4" t="s">
        <v>273</v>
      </c>
      <c r="AS65" s="4">
        <v>20</v>
      </c>
      <c r="AT65" s="4">
        <v>10</v>
      </c>
      <c r="AU65" s="4" t="s">
        <v>228</v>
      </c>
      <c r="AV65" s="4">
        <v>4710</v>
      </c>
      <c r="AW65" s="4">
        <f t="shared" si="32"/>
        <v>9420</v>
      </c>
      <c r="AX65" s="19">
        <v>2</v>
      </c>
      <c r="AY65" s="19">
        <v>1</v>
      </c>
      <c r="AZ65" s="16">
        <v>19</v>
      </c>
      <c r="BA65">
        <v>7200</v>
      </c>
      <c r="BB65" t="s">
        <v>175</v>
      </c>
      <c r="BC65" t="s">
        <v>220</v>
      </c>
      <c r="BD65" t="s">
        <v>278</v>
      </c>
    </row>
    <row r="66" spans="1:56" x14ac:dyDescent="0.4">
      <c r="A66" s="34">
        <v>58</v>
      </c>
      <c r="B66" s="3">
        <v>58</v>
      </c>
      <c r="C66" s="4" t="s">
        <v>101</v>
      </c>
      <c r="D66" s="4" t="str">
        <f t="shared" si="18"/>
        <v>J628MG</v>
      </c>
      <c r="E66" s="4" t="s">
        <v>101</v>
      </c>
      <c r="F66" s="4" t="s">
        <v>167</v>
      </c>
      <c r="G66" s="5">
        <v>4977114800641</v>
      </c>
      <c r="H66" s="5"/>
      <c r="I66" s="5"/>
      <c r="J66" s="5">
        <v>1</v>
      </c>
      <c r="K66" s="5">
        <v>1</v>
      </c>
      <c r="L66" s="4">
        <v>24000</v>
      </c>
      <c r="M66" s="4">
        <v>16000</v>
      </c>
      <c r="N66" s="4">
        <v>11280</v>
      </c>
      <c r="O66" s="6">
        <f t="shared" si="19"/>
        <v>0.29500000000000004</v>
      </c>
      <c r="P66" s="4" t="s">
        <v>175</v>
      </c>
      <c r="Q66" s="4" t="s">
        <v>175</v>
      </c>
      <c r="R66" s="4" t="s">
        <v>175</v>
      </c>
      <c r="S66" s="4">
        <v>30000</v>
      </c>
      <c r="T66" s="4">
        <f t="shared" si="20"/>
        <v>30000</v>
      </c>
      <c r="U66" s="4">
        <v>14100</v>
      </c>
      <c r="V66" s="4">
        <f t="shared" si="21"/>
        <v>14100</v>
      </c>
      <c r="W66" s="4"/>
      <c r="X66" s="21">
        <f t="shared" si="22"/>
        <v>20000</v>
      </c>
      <c r="Y66" s="6">
        <f t="shared" si="23"/>
        <v>0.29500000000000004</v>
      </c>
      <c r="Z66" s="4">
        <v>0</v>
      </c>
      <c r="AA66" s="4">
        <f t="shared" si="24"/>
        <v>33000</v>
      </c>
      <c r="AB66" s="4">
        <f t="shared" si="25"/>
        <v>41250</v>
      </c>
      <c r="AC66" s="6">
        <f t="shared" si="26"/>
        <v>0.6581818181818182</v>
      </c>
      <c r="AD66" s="4">
        <f t="shared" si="34"/>
        <v>705</v>
      </c>
      <c r="AE66" s="7">
        <v>20800</v>
      </c>
      <c r="AF66" s="6">
        <f t="shared" si="27"/>
        <v>0.32211538461538458</v>
      </c>
      <c r="AG66" s="4">
        <f t="shared" si="28"/>
        <v>6700</v>
      </c>
      <c r="AH66" s="28"/>
      <c r="AI66" s="6"/>
      <c r="AJ66" s="6"/>
      <c r="AK66" s="6">
        <f t="shared" si="29"/>
        <v>1.25</v>
      </c>
      <c r="AL66" s="6">
        <f t="shared" si="30"/>
        <v>1.3</v>
      </c>
      <c r="AM66" s="6">
        <f t="shared" si="31"/>
        <v>1.25</v>
      </c>
      <c r="AN66" s="4" t="str">
        <f t="shared" si="15"/>
        <v>-</v>
      </c>
      <c r="AO66" s="4" t="str">
        <f t="shared" si="16"/>
        <v>-</v>
      </c>
      <c r="AP66" s="4" t="str">
        <f t="shared" si="17"/>
        <v>-</v>
      </c>
      <c r="AQ66" s="4">
        <v>0</v>
      </c>
      <c r="AR66" s="4" t="s">
        <v>274</v>
      </c>
      <c r="AS66" s="4">
        <v>20</v>
      </c>
      <c r="AT66" s="4">
        <v>10</v>
      </c>
      <c r="AU66" s="4" t="s">
        <v>246</v>
      </c>
      <c r="AV66" s="4">
        <v>16500</v>
      </c>
      <c r="AW66" s="4">
        <f t="shared" si="32"/>
        <v>33000</v>
      </c>
      <c r="AX66" s="19">
        <v>2</v>
      </c>
      <c r="AY66" s="19">
        <v>8</v>
      </c>
      <c r="AZ66" s="16">
        <v>19</v>
      </c>
      <c r="BA66" t="s">
        <v>175</v>
      </c>
      <c r="BB66" t="s">
        <v>175</v>
      </c>
      <c r="BC66" t="s">
        <v>221</v>
      </c>
      <c r="BD66" t="s">
        <v>278</v>
      </c>
    </row>
    <row r="67" spans="1:56" x14ac:dyDescent="0.4">
      <c r="A67" s="35">
        <v>59</v>
      </c>
      <c r="B67" s="3">
        <v>59</v>
      </c>
      <c r="C67" s="4" t="s">
        <v>102</v>
      </c>
      <c r="D67" s="4" t="str">
        <f t="shared" si="18"/>
        <v>J798WY</v>
      </c>
      <c r="E67" s="4" t="s">
        <v>102</v>
      </c>
      <c r="F67" s="4" t="s">
        <v>168</v>
      </c>
      <c r="G67" s="5">
        <v>4977114800252</v>
      </c>
      <c r="H67" s="5"/>
      <c r="I67" s="5"/>
      <c r="J67" s="5">
        <v>1</v>
      </c>
      <c r="K67" s="5">
        <v>1</v>
      </c>
      <c r="L67" s="4">
        <v>180000</v>
      </c>
      <c r="M67" s="4">
        <v>120000</v>
      </c>
      <c r="N67" s="4">
        <v>84600</v>
      </c>
      <c r="O67" s="6">
        <f t="shared" si="19"/>
        <v>0.29500000000000004</v>
      </c>
      <c r="P67" s="4" t="s">
        <v>175</v>
      </c>
      <c r="Q67" s="4" t="s">
        <v>175</v>
      </c>
      <c r="R67" s="4" t="s">
        <v>175</v>
      </c>
      <c r="S67" s="4">
        <v>225000</v>
      </c>
      <c r="T67" s="4">
        <f t="shared" si="20"/>
        <v>225000</v>
      </c>
      <c r="U67" s="4">
        <v>105750</v>
      </c>
      <c r="V67" s="4">
        <f t="shared" si="21"/>
        <v>105750</v>
      </c>
      <c r="W67" s="4"/>
      <c r="X67" s="21">
        <f t="shared" si="22"/>
        <v>150000</v>
      </c>
      <c r="Y67" s="6">
        <f t="shared" si="23"/>
        <v>0.29500000000000004</v>
      </c>
      <c r="Z67" s="4">
        <v>0</v>
      </c>
      <c r="AA67" s="4">
        <f t="shared" si="24"/>
        <v>158637</v>
      </c>
      <c r="AB67" s="4">
        <f t="shared" si="25"/>
        <v>198296.25</v>
      </c>
      <c r="AC67" s="6">
        <f t="shared" si="26"/>
        <v>0.46670701034437112</v>
      </c>
      <c r="AD67" s="4"/>
      <c r="AE67" s="7">
        <v>150000</v>
      </c>
      <c r="AF67" s="6">
        <f t="shared" si="27"/>
        <v>0.29500000000000004</v>
      </c>
      <c r="AG67" s="4">
        <f t="shared" si="28"/>
        <v>44250</v>
      </c>
      <c r="AH67" s="28"/>
      <c r="AI67" s="6"/>
      <c r="AJ67" s="6"/>
      <c r="AK67" s="6">
        <f t="shared" si="29"/>
        <v>1.25</v>
      </c>
      <c r="AL67" s="6">
        <f t="shared" si="30"/>
        <v>1.25</v>
      </c>
      <c r="AM67" s="6">
        <f t="shared" si="31"/>
        <v>1.25</v>
      </c>
      <c r="AN67" s="4" t="str">
        <f t="shared" si="15"/>
        <v>-</v>
      </c>
      <c r="AO67" s="4" t="str">
        <f t="shared" si="16"/>
        <v>-</v>
      </c>
      <c r="AP67" s="4" t="str">
        <f t="shared" si="17"/>
        <v>-</v>
      </c>
      <c r="AQ67" s="4">
        <v>0</v>
      </c>
      <c r="AR67" s="4" t="s">
        <v>275</v>
      </c>
      <c r="AS67" s="4"/>
      <c r="AT67" s="4"/>
      <c r="AU67" s="4" t="s">
        <v>228</v>
      </c>
      <c r="AV67" s="4">
        <v>158637</v>
      </c>
      <c r="AW67" s="4">
        <f t="shared" si="32"/>
        <v>158637</v>
      </c>
      <c r="AX67" s="19">
        <v>4</v>
      </c>
      <c r="AY67" s="19">
        <v>9</v>
      </c>
      <c r="AZ67" s="16">
        <v>19</v>
      </c>
      <c r="BA67" t="s">
        <v>175</v>
      </c>
      <c r="BB67" t="s">
        <v>175</v>
      </c>
      <c r="BC67" t="s">
        <v>222</v>
      </c>
      <c r="BD67" t="s">
        <v>278</v>
      </c>
    </row>
  </sheetData>
  <mergeCells count="3">
    <mergeCell ref="L2:O2"/>
    <mergeCell ref="J2:K2"/>
    <mergeCell ref="S1:V1"/>
  </mergeCells>
  <phoneticPr fontId="2"/>
  <conditionalFormatting sqref="AB4:AB67">
    <cfRule type="cellIs" dxfId="1" priority="1" operator="lessThan">
      <formula>$AE4</formula>
    </cfRule>
  </conditionalFormatting>
  <conditionalFormatting sqref="AE4:AE67">
    <cfRule type="cellIs" dxfId="0" priority="2" operator="greaterThan">
      <formula>$T4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2026-05-15T07:56:38Z</dcterms:modified>
</cp:coreProperties>
</file>