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6月1日改定\"/>
    </mc:Choice>
  </mc:AlternateContent>
  <xr:revisionPtr revIDLastSave="0" documentId="13_ncr:1_{D56A3D7A-AD7E-4FEE-BAC9-6FEB4B9301CF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J5" i="1" l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4" i="1"/>
  <c r="BI14" i="1"/>
  <c r="AG14" i="1" s="1"/>
  <c r="BI15" i="1"/>
  <c r="AG15" i="1" s="1"/>
  <c r="BI17" i="1"/>
  <c r="AG17" i="1" s="1"/>
  <c r="BI21" i="1"/>
  <c r="AG21" i="1" s="1"/>
  <c r="AT4" i="1"/>
  <c r="O14" i="1"/>
  <c r="AR19" i="1"/>
  <c r="O19" i="1"/>
  <c r="O20" i="1"/>
  <c r="O21" i="1"/>
  <c r="AB21" i="1"/>
  <c r="AM21" i="1" s="1"/>
  <c r="Z21" i="1"/>
  <c r="D21" i="1"/>
  <c r="BI20" i="1"/>
  <c r="AG20" i="1" s="1"/>
  <c r="AR20" i="1"/>
  <c r="AB20" i="1"/>
  <c r="Z20" i="1"/>
  <c r="AQ20" i="1" s="1"/>
  <c r="D20" i="1"/>
  <c r="BI19" i="1"/>
  <c r="AG19" i="1" s="1"/>
  <c r="AB19" i="1"/>
  <c r="AM19" i="1" s="1"/>
  <c r="Z19" i="1"/>
  <c r="AQ19" i="1" s="1"/>
  <c r="D19" i="1"/>
  <c r="BI18" i="1"/>
  <c r="AG18" i="1" s="1"/>
  <c r="AR18" i="1"/>
  <c r="AB18" i="1"/>
  <c r="AL18" i="1" s="1"/>
  <c r="Z18" i="1"/>
  <c r="AQ18" i="1" s="1"/>
  <c r="O18" i="1"/>
  <c r="D18" i="1"/>
  <c r="AR17" i="1"/>
  <c r="AB17" i="1"/>
  <c r="AL17" i="1" s="1"/>
  <c r="Z17" i="1"/>
  <c r="AQ17" i="1" s="1"/>
  <c r="O17" i="1"/>
  <c r="D17" i="1"/>
  <c r="BI16" i="1"/>
  <c r="AG16" i="1" s="1"/>
  <c r="AR16" i="1"/>
  <c r="AB16" i="1"/>
  <c r="AM16" i="1" s="1"/>
  <c r="Z16" i="1"/>
  <c r="O16" i="1"/>
  <c r="D16" i="1"/>
  <c r="AR15" i="1"/>
  <c r="AB15" i="1"/>
  <c r="AM15" i="1" s="1"/>
  <c r="Z15" i="1"/>
  <c r="AQ15" i="1" s="1"/>
  <c r="O15" i="1"/>
  <c r="D15" i="1"/>
  <c r="AR14" i="1"/>
  <c r="AB14" i="1"/>
  <c r="Z14" i="1"/>
  <c r="AQ14" i="1" s="1"/>
  <c r="D14" i="1"/>
  <c r="AV4" i="1"/>
  <c r="AU4" i="1"/>
  <c r="AQ16" i="1" l="1"/>
  <c r="AR21" i="1"/>
  <c r="AS14" i="1"/>
  <c r="AQ21" i="1"/>
  <c r="AS19" i="1"/>
  <c r="AS21" i="1"/>
  <c r="AL21" i="1"/>
  <c r="AL14" i="1"/>
  <c r="AL15" i="1"/>
  <c r="AM14" i="1"/>
  <c r="AM18" i="1"/>
  <c r="AL16" i="1"/>
  <c r="AM17" i="1"/>
  <c r="AS20" i="1"/>
  <c r="AS18" i="1"/>
  <c r="AS16" i="1"/>
  <c r="AL20" i="1"/>
  <c r="AS17" i="1"/>
  <c r="AS15" i="1"/>
  <c r="AL19" i="1"/>
  <c r="AM20" i="1"/>
  <c r="AD18" i="1" l="1"/>
  <c r="AE18" i="1" s="1"/>
  <c r="BO18" i="1"/>
  <c r="AD17" i="1"/>
  <c r="AE17" i="1" s="1"/>
  <c r="BO17" i="1"/>
  <c r="AD20" i="1"/>
  <c r="AE20" i="1" s="1"/>
  <c r="BO20" i="1"/>
  <c r="AD21" i="1"/>
  <c r="AE21" i="1" s="1"/>
  <c r="BO21" i="1"/>
  <c r="AD19" i="1"/>
  <c r="AE19" i="1" s="1"/>
  <c r="BO19" i="1"/>
  <c r="AD15" i="1"/>
  <c r="AE15" i="1" s="1"/>
  <c r="BO15" i="1"/>
  <c r="AD14" i="1"/>
  <c r="AE14" i="1" s="1"/>
  <c r="BO14" i="1"/>
  <c r="AD16" i="1"/>
  <c r="AE16" i="1" s="1"/>
  <c r="BO16" i="1"/>
  <c r="AH18" i="1"/>
  <c r="AI18" i="1" s="1"/>
  <c r="AH14" i="1"/>
  <c r="AI14" i="1" s="1"/>
  <c r="AH19" i="1"/>
  <c r="AI19" i="1" s="1"/>
  <c r="AH17" i="1"/>
  <c r="AI17" i="1" s="1"/>
  <c r="AH21" i="1"/>
  <c r="AI21" i="1" s="1"/>
  <c r="AH20" i="1"/>
  <c r="AI20" i="1" s="1"/>
  <c r="AH15" i="1"/>
  <c r="AI15" i="1" s="1"/>
  <c r="AH16" i="1"/>
  <c r="AI16" i="1" s="1"/>
  <c r="BI5" i="1"/>
  <c r="AG5" i="1" s="1"/>
  <c r="BI6" i="1"/>
  <c r="AG6" i="1" s="1"/>
  <c r="BI7" i="1"/>
  <c r="AG7" i="1" s="1"/>
  <c r="BI9" i="1"/>
  <c r="AG9" i="1" s="1"/>
  <c r="BI10" i="1"/>
  <c r="AG10" i="1" s="1"/>
  <c r="BI11" i="1"/>
  <c r="AG11" i="1" s="1"/>
  <c r="BI12" i="1"/>
  <c r="AG12" i="1" s="1"/>
  <c r="BI13" i="1"/>
  <c r="AG13" i="1" s="1"/>
  <c r="BI4" i="1"/>
  <c r="AG4" i="1" s="1"/>
  <c r="AB5" i="1"/>
  <c r="AB6" i="1"/>
  <c r="AB7" i="1"/>
  <c r="AB8" i="1"/>
  <c r="AB9" i="1"/>
  <c r="AB10" i="1"/>
  <c r="AB11" i="1"/>
  <c r="AB12" i="1"/>
  <c r="AB13" i="1"/>
  <c r="Z5" i="1"/>
  <c r="AQ5" i="1" s="1"/>
  <c r="Z6" i="1"/>
  <c r="AQ6" i="1" s="1"/>
  <c r="Z7" i="1"/>
  <c r="AQ7" i="1" s="1"/>
  <c r="Z8" i="1"/>
  <c r="AQ8" i="1" s="1"/>
  <c r="Z9" i="1"/>
  <c r="AQ9" i="1" s="1"/>
  <c r="Z10" i="1"/>
  <c r="AQ10" i="1" s="1"/>
  <c r="Z11" i="1"/>
  <c r="AQ11" i="1" s="1"/>
  <c r="Z12" i="1"/>
  <c r="AQ12" i="1" s="1"/>
  <c r="Z13" i="1"/>
  <c r="AQ13" i="1" s="1"/>
  <c r="D5" i="1"/>
  <c r="D6" i="1"/>
  <c r="D7" i="1"/>
  <c r="D8" i="1"/>
  <c r="D9" i="1"/>
  <c r="D10" i="1"/>
  <c r="D11" i="1"/>
  <c r="D12" i="1"/>
  <c r="D13" i="1"/>
  <c r="D4" i="1"/>
  <c r="AB4" i="1"/>
  <c r="Z4" i="1"/>
  <c r="AQ4" i="1" s="1"/>
  <c r="AR13" i="1"/>
  <c r="O13" i="1"/>
  <c r="AR12" i="1"/>
  <c r="O12" i="1"/>
  <c r="AR11" i="1"/>
  <c r="O11" i="1"/>
  <c r="AR10" i="1"/>
  <c r="O10" i="1"/>
  <c r="AR4" i="1"/>
  <c r="AR9" i="1"/>
  <c r="O9" i="1"/>
  <c r="BI8" i="1"/>
  <c r="AG8" i="1" s="1"/>
  <c r="AR8" i="1"/>
  <c r="O8" i="1"/>
  <c r="AR7" i="1"/>
  <c r="O7" i="1"/>
  <c r="AR6" i="1"/>
  <c r="O6" i="1"/>
  <c r="AS5" i="1"/>
  <c r="AR5" i="1"/>
  <c r="O5" i="1"/>
  <c r="O4" i="1"/>
  <c r="AD5" i="1" l="1"/>
  <c r="AE5" i="1" s="1"/>
  <c r="BO5" i="1"/>
  <c r="AL13" i="1"/>
  <c r="AL5" i="1"/>
  <c r="AL12" i="1"/>
  <c r="AM10" i="1"/>
  <c r="AL4" i="1"/>
  <c r="AL9" i="1"/>
  <c r="AM8" i="1"/>
  <c r="AM11" i="1"/>
  <c r="AM7" i="1"/>
  <c r="AS6" i="1"/>
  <c r="AH5" i="1"/>
  <c r="AI5" i="1" s="1"/>
  <c r="AS10" i="1"/>
  <c r="AS12" i="1"/>
  <c r="AS8" i="1"/>
  <c r="AM6" i="1"/>
  <c r="AS13" i="1"/>
  <c r="AL11" i="1"/>
  <c r="AL10" i="1"/>
  <c r="AL8" i="1"/>
  <c r="AS11" i="1"/>
  <c r="AM9" i="1"/>
  <c r="AS9" i="1"/>
  <c r="AL7" i="1"/>
  <c r="AM13" i="1"/>
  <c r="AM5" i="1"/>
  <c r="AS7" i="1"/>
  <c r="AL6" i="1"/>
  <c r="AM12" i="1"/>
  <c r="AO4" i="1"/>
  <c r="AP4" i="1"/>
  <c r="AM4" i="1"/>
  <c r="AS4" i="1"/>
  <c r="AD4" i="1" l="1"/>
  <c r="AE4" i="1" s="1"/>
  <c r="BO4" i="1"/>
  <c r="AD12" i="1"/>
  <c r="AE12" i="1" s="1"/>
  <c r="BO12" i="1"/>
  <c r="AD13" i="1"/>
  <c r="AE13" i="1" s="1"/>
  <c r="BO13" i="1"/>
  <c r="AD9" i="1"/>
  <c r="AE9" i="1" s="1"/>
  <c r="BO9" i="1"/>
  <c r="AD8" i="1"/>
  <c r="AE8" i="1" s="1"/>
  <c r="BO8" i="1"/>
  <c r="AD11" i="1"/>
  <c r="AE11" i="1" s="1"/>
  <c r="BO11" i="1"/>
  <c r="AD10" i="1"/>
  <c r="AE10" i="1" s="1"/>
  <c r="BO10" i="1"/>
  <c r="AD7" i="1"/>
  <c r="AE7" i="1" s="1"/>
  <c r="BO7" i="1"/>
  <c r="AD6" i="1"/>
  <c r="AE6" i="1" s="1"/>
  <c r="BO6" i="1"/>
  <c r="AH7" i="1"/>
  <c r="AI7" i="1" s="1"/>
  <c r="AH9" i="1"/>
  <c r="AI9" i="1" s="1"/>
  <c r="AH12" i="1"/>
  <c r="AI12" i="1" s="1"/>
  <c r="AH6" i="1"/>
  <c r="AI6" i="1" s="1"/>
  <c r="AH13" i="1"/>
  <c r="AI13" i="1" s="1"/>
  <c r="AH4" i="1"/>
  <c r="AI4" i="1" s="1"/>
  <c r="AH10" i="1"/>
  <c r="AI10" i="1" s="1"/>
  <c r="AH11" i="1"/>
  <c r="AI11" i="1" s="1"/>
  <c r="AH8" i="1"/>
  <c r="AI8" i="1" s="1"/>
</calcChain>
</file>

<file path=xl/sharedStrings.xml><?xml version="1.0" encoding="utf-8"?>
<sst xmlns="http://schemas.openxmlformats.org/spreadsheetml/2006/main" count="185" uniqueCount="131">
  <si>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</si>
  <si>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</si>
  <si>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</si>
  <si>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</si>
  <si>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</si>
  <si>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</si>
  <si>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</si>
  <si>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</si>
  <si>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</si>
  <si>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</si>
  <si>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</si>
  <si>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</si>
  <si>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</si>
  <si>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</si>
  <si>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</si>
  <si>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</si>
  <si>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</si>
  <si>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</si>
  <si>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</si>
  <si>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</si>
  <si>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</si>
  <si>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</si>
  <si>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</si>
  <si>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</si>
  <si>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</si>
  <si>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</si>
  <si>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</si>
  <si>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</si>
  <si>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</si>
  <si>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</si>
  <si>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</si>
  <si>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</si>
  <si>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</si>
  <si>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</si>
  <si>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</si>
  <si>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</si>
  <si>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</si>
  <si>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</si>
  <si>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</si>
  <si>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</si>
  <si>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</si>
  <si>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</si>
  <si>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</si>
  <si>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</si>
  <si>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</si>
  <si>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</si>
  <si>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</si>
  <si>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</si>
  <si>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</si>
  <si>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</si>
  <si>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</si>
  <si>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</si>
  <si>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</si>
  <si>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</si>
  <si>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</si>
  <si>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</si>
  <si>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</si>
  <si>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</si>
  <si>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</si>
  <si>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</si>
  <si>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</si>
  <si>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</si>
  <si>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</si>
  <si>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</si>
  <si>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</si>
  <si>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</si>
  <si>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34/603</t>
  </si>
  <si>
    <t>34/170</t>
  </si>
  <si>
    <t>34/602</t>
  </si>
  <si>
    <t>ｾﾒﾀﾞｲﾝ/木工用速乾 50ml/CA-236</t>
  </si>
  <si>
    <t>ｾﾒﾀﾞｲﾝ/ｾﾒﾀﾞｲﾝC 工作用(透明/速乾) 20ml/CA-112</t>
  </si>
  <si>
    <t>ｾﾒﾀﾞｲﾝ/ｾﾒﾀﾞｲﾝ写真用 ｾﾞﾘｰ状 20ml/CA-141</t>
  </si>
  <si>
    <t>ｾﾒﾀﾞｲﾝ/木工用 180ml/CA-225</t>
  </si>
  <si>
    <t>ｾﾒﾀﾞｲﾝ/木工用速乾 180ml/CA-238</t>
  </si>
  <si>
    <t>ｾﾒﾀﾞｲﾝ/工作用速乾ｸﾘｱ 20ml/AX-016</t>
  </si>
  <si>
    <t>ｾﾒﾀﾞｲﾝ/ｽｰﾊﾟｰX ﾌﾞﾗｯｸ 20ml/AX-035</t>
  </si>
  <si>
    <t>ｾﾒﾀﾞｲﾝ/ｽｰﾊﾟｰX2 ｸﾘｱ 20ml/AX-067</t>
  </si>
  <si>
    <t>ｾﾒﾀﾞｲﾝ/BBX 貼ってはがせる弾性粘着剤 20ml/NA-007</t>
  </si>
  <si>
    <t>ｾﾒﾀﾞｲﾝ/多用途型 ｽｰﾊﾟｰXｺﾞｰﾙﾄﾞ P20ml/AX-014</t>
  </si>
  <si>
    <t>ｾﾒﾀﾞｲﾝ/ﾊｲｽｰﾊﾟｰ30 15gｾｯﾄ/CA-191</t>
  </si>
  <si>
    <t>ｾﾒﾀﾞｲﾝ/ﾊｲｽｰﾊﾟｰ5 15g/CA-184</t>
  </si>
  <si>
    <t>●ｾﾒﾀﾞｲﾝ/CA-186(10ｾｯﾄ)/ﾊｲｽｰﾊﾟｰ5 80gｾｯﾄ</t>
  </si>
  <si>
    <t>ｾﾒﾀﾞｲﾝ/ﾊｲｽｰﾊﾟｰ30 80gｾｯﾄ/CA-193</t>
  </si>
  <si>
    <t>ｾﾒﾀﾞｲﾝ/ｺﾝｸﾘｰﾄ･金属･木材用ｾﾒﾀﾞｲﾝ PM165-R HI/RE-535</t>
  </si>
  <si>
    <t>ｾﾒﾀﾞｲﾝ/ｸｯｼｮﾝﾌﾛｱｰ用接着剤 CL-7N 1kg/LX-121</t>
  </si>
  <si>
    <t>ｾﾒﾀﾞｲﾝ/ｽｰﾊﾟｰX ｸﾘｱ 135ml/AX-041</t>
  </si>
  <si>
    <t>ｾﾒﾀﾞｲﾝ/ｽｰﾊﾟｰX ﾎﾜｲﾄ 135ml/AX-039</t>
  </si>
  <si>
    <t>-</t>
  </si>
  <si>
    <t>-</t>
    <phoneticPr fontId="2"/>
  </si>
  <si>
    <t>セメダイン 木工用接着剤 木工用速乾 50ml CA-236 1本</t>
  </si>
  <si>
    <t>セメダイン 接着剤セメダインC 20ml箱 CA-112 1セット(20本)（直送品）</t>
  </si>
  <si>
    <t>セメダイン 写真用セメダイン 20ml CA-141 1セット(20本)（直送品）</t>
  </si>
  <si>
    <t>セメダイン 木工用セメダイン CA-225 180ml 1本（直送品）</t>
  </si>
  <si>
    <t>セメダイン 木工用接着剤 木工用速乾 180ml CA-238 1本</t>
  </si>
  <si>
    <t>セメダイン 工作用接着剤 工作用速乾クリア 20ml AX-016 100個（直送品）</t>
  </si>
  <si>
    <t>セメダイン 多用途接着剤 スーパーX ブラック 20ml AX-035 1本</t>
  </si>
  <si>
    <t>セメダイン スーパーX2 クリア P20ml AX-067 1個</t>
  </si>
  <si>
    <t>セメダイン BBX クリア 20ml (弾性粘着剤) NAー007 1本 447-5178（直送品）</t>
  </si>
  <si>
    <t>セメダイン 多用途接着剤(高透明速硬化) スーパーXゴールド クリア 20ml AX-014 1本</t>
  </si>
  <si>
    <t>セメダイン ハイスーパー30 15gセット CAー191 1セット(3セット) 341-9479（直送品）</t>
  </si>
  <si>
    <t>セメダイン ハイスーパー5 15gセット CAー184 1セット(3セット) 309-0680（直送品）</t>
  </si>
  <si>
    <t>セメダイン ハイスーパー5 80gセット CAー186 1セット 309-0701（直送品）</t>
  </si>
  <si>
    <t>セメダイン ハイスーパー30 80gセット CAー193 1セット 341-9487（直送品）</t>
  </si>
  <si>
    <t>セメダイン コンクリート・金属・木材用接着剤 PM165R-HI 170ml RE-535 1本</t>
  </si>
  <si>
    <t>セメダイン クッションフロアー用接着剤 CL-7N 1kg LX-121 1缶</t>
  </si>
  <si>
    <t>セメダイン 多用途接着剤 スーパーX クリア 135ml AX-041 1本</t>
  </si>
  <si>
    <t>セメダイン スーパーXホワイト 135ml AX-039 1個</t>
  </si>
  <si>
    <t>8921632</t>
  </si>
  <si>
    <t>1本</t>
  </si>
  <si>
    <t>WW47437</t>
  </si>
  <si>
    <t>1セット(20本)</t>
  </si>
  <si>
    <t>WW47438</t>
  </si>
  <si>
    <t>AX33265</t>
  </si>
  <si>
    <t>NN16503</t>
  </si>
  <si>
    <t>X165365</t>
  </si>
  <si>
    <t>1セット（1個×100）</t>
  </si>
  <si>
    <t>1743682</t>
  </si>
  <si>
    <t>JW64994</t>
  </si>
  <si>
    <t>1個</t>
  </si>
  <si>
    <t>K798259</t>
  </si>
  <si>
    <t>8921679</t>
  </si>
  <si>
    <t>N009056</t>
  </si>
  <si>
    <t>1セット(3セット)</t>
  </si>
  <si>
    <t>N009057</t>
  </si>
  <si>
    <t>6841425</t>
  </si>
  <si>
    <t>1セット</t>
  </si>
  <si>
    <t>6841416</t>
  </si>
  <si>
    <t>9547435</t>
  </si>
  <si>
    <t>9547417</t>
  </si>
  <si>
    <t>1643140</t>
  </si>
  <si>
    <t>AW64066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</si>
</sst>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P21"/>
  <sheetViews>
    <sheetView tabSelected="1" zoomScale="90" zoomScaleNormal="90" workbookViewId="0">
      <pane xSplit="7" ySplit="5" topLeftCell="N6" activePane="bottomRight" state="frozen"/>
      <selection pane="topRight" activeCell="G1" sqref="G1"/>
      <selection pane="bottomLeft" activeCell="A5" sqref="A5"/>
      <selection pane="bottomRight" activeCell="Z19" sqref="Z19"/>
    </sheetView>
  </sheetViews>
  <sheetFormatPr defaultRowHeight="18.75" outlineLevelCol="1" x14ac:dyDescent="0.4"/>
  <cols>
    <col min="1" max="1" width="4.625" customWidth="1"/>
    <col min="2" max="2" width="5.25" customWidth="1"/>
    <col min="3" max="5" width="8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5" width="7.625" customWidth="1"/>
    <col min="16" max="16" width="4.375" customWidth="1"/>
    <col min="17" max="24" width="7.625" hidden="1" customWidth="1" outlineLevel="1"/>
    <col min="25" max="25" width="7.625" customWidth="1" collapsed="1"/>
    <col min="26" max="28" width="7.625" customWidth="1"/>
    <col min="29" max="29" width="4.375" customWidth="1" collapsed="1"/>
    <col min="30" max="30" width="6.25" customWidth="1"/>
    <col min="31" max="31" width="7.625" customWidth="1"/>
    <col min="32" max="32" width="7.25" customWidth="1"/>
    <col min="33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58" width="7.625" customWidth="1"/>
    <col min="59" max="59" width="8.75" customWidth="1"/>
    <col min="60" max="67" width="7.625" customWidth="1"/>
  </cols>
  <sheetData>
    <row r="1" spans="1:68" x14ac:dyDescent="0.4">
      <c r="C1" s="29" t="s">
        <v>49</v>
      </c>
      <c r="Y1" s="36" t="s">
        <v>46</v>
      </c>
      <c r="Z1" s="37"/>
      <c r="AA1" s="37"/>
      <c r="AB1" s="38"/>
    </row>
    <row r="2" spans="1:68" x14ac:dyDescent="0.4">
      <c r="C2" s="8" t="s">
        <v>33</v>
      </c>
      <c r="D2" s="9" t="s">
        <v>34</v>
      </c>
      <c r="E2" s="9" t="s">
        <v>35</v>
      </c>
      <c r="F2" s="10"/>
      <c r="G2" s="10"/>
      <c r="H2" s="32"/>
      <c r="I2" s="32"/>
      <c r="J2" s="33" t="s">
        <v>36</v>
      </c>
      <c r="K2" s="35"/>
      <c r="L2" s="33" t="s">
        <v>2</v>
      </c>
      <c r="M2" s="34"/>
      <c r="N2" s="34"/>
      <c r="O2" s="35"/>
      <c r="P2" s="11"/>
      <c r="Q2" s="31"/>
      <c r="R2" s="31"/>
      <c r="S2" s="31"/>
      <c r="T2" s="31"/>
      <c r="U2" s="31"/>
      <c r="V2" s="31"/>
      <c r="W2" s="31"/>
      <c r="X2" s="31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11"/>
      <c r="AG2" s="11"/>
      <c r="AH2" s="11"/>
      <c r="AI2" s="11"/>
      <c r="AJ2" s="11"/>
      <c r="AK2" s="22" t="s">
        <v>47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J2">
        <v>14</v>
      </c>
      <c r="BK2">
        <v>28</v>
      </c>
    </row>
    <row r="3" spans="1:68" ht="75" x14ac:dyDescent="0.4">
      <c r="A3" s="1" t="s">
        <v>59</v>
      </c>
      <c r="B3" s="1" t="s">
        <v>65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61</v>
      </c>
      <c r="I3" s="12" t="s">
        <v>62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55</v>
      </c>
      <c r="Q3" s="12" t="s">
        <v>20</v>
      </c>
      <c r="R3" s="12" t="s">
        <v>21</v>
      </c>
      <c r="S3" s="12" t="s">
        <v>56</v>
      </c>
      <c r="T3" s="12" t="s">
        <v>23</v>
      </c>
      <c r="U3" s="12" t="s">
        <v>24</v>
      </c>
      <c r="V3" s="12" t="s">
        <v>57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2" t="s">
        <v>50</v>
      </c>
      <c r="AG3" s="12" t="s">
        <v>45</v>
      </c>
      <c r="AH3" s="12" t="s">
        <v>63</v>
      </c>
      <c r="AI3" s="2" t="s">
        <v>16</v>
      </c>
      <c r="AJ3" s="2"/>
      <c r="AK3" s="13" t="s">
        <v>37</v>
      </c>
      <c r="AL3" s="2" t="s">
        <v>16</v>
      </c>
      <c r="AM3" s="2" t="s">
        <v>38</v>
      </c>
      <c r="AN3" s="26" t="s">
        <v>40</v>
      </c>
      <c r="AO3" s="12" t="s">
        <v>41</v>
      </c>
      <c r="AP3" s="12" t="s">
        <v>42</v>
      </c>
      <c r="AQ3" s="12" t="s">
        <v>32</v>
      </c>
      <c r="AR3" s="12" t="s">
        <v>43</v>
      </c>
      <c r="AS3" s="12" t="s">
        <v>18</v>
      </c>
      <c r="AT3" s="12" t="s">
        <v>19</v>
      </c>
      <c r="AU3" s="12" t="s">
        <v>20</v>
      </c>
      <c r="AV3" s="12" t="s">
        <v>21</v>
      </c>
      <c r="AW3" s="12" t="s">
        <v>22</v>
      </c>
      <c r="AX3" s="12" t="s">
        <v>23</v>
      </c>
      <c r="AY3" s="12" t="s">
        <v>24</v>
      </c>
      <c r="AZ3" s="12" t="s">
        <v>25</v>
      </c>
      <c r="BA3" s="12" t="s">
        <v>26</v>
      </c>
      <c r="BB3" s="12" t="s">
        <v>27</v>
      </c>
      <c r="BC3" s="2" t="s">
        <v>11</v>
      </c>
      <c r="BD3" s="2" t="s">
        <v>12</v>
      </c>
      <c r="BE3" s="2" t="s">
        <v>13</v>
      </c>
      <c r="BF3" s="2" t="s">
        <v>14</v>
      </c>
      <c r="BG3" s="12" t="s">
        <v>48</v>
      </c>
      <c r="BH3" s="2" t="s">
        <v>64</v>
      </c>
      <c r="BI3" s="2" t="s">
        <v>15</v>
      </c>
      <c r="BJ3" s="18" t="s">
        <v>51</v>
      </c>
      <c r="BK3" s="18" t="s">
        <v>52</v>
      </c>
      <c r="BL3" s="15" t="s">
        <v>60</v>
      </c>
      <c r="BM3" s="30" t="s">
        <v>53</v>
      </c>
      <c r="BN3" t="s">
        <v>54</v>
      </c>
      <c r="BP3" t="s">
        <v>58</v>
      </c>
    </row>
    <row r="4" spans="1:68" x14ac:dyDescent="0.4">
      <c r="A4" s="3">
        <v>1</v>
      </c>
      <c r="B4" s="3">
        <v>1</v>
      </c>
      <c r="C4" s="4">
        <v>697713</v>
      </c>
      <c r="D4" s="4" t="str">
        <f>TEXT(C4,"000000")</f>
        <v>697713</v>
      </c>
      <c r="E4" s="4">
        <v>697713</v>
      </c>
      <c r="F4" s="4" t="s">
        <v>69</v>
      </c>
      <c r="G4" s="5">
        <v>4901761146296</v>
      </c>
      <c r="H4" s="5"/>
      <c r="I4" s="5"/>
      <c r="J4" s="5">
        <v>1</v>
      </c>
      <c r="K4" s="5">
        <v>1</v>
      </c>
      <c r="L4" s="4">
        <v>0</v>
      </c>
      <c r="M4" s="4">
        <v>158</v>
      </c>
      <c r="N4" s="4">
        <v>99</v>
      </c>
      <c r="O4" s="6">
        <f t="shared" ref="O4:O13" si="0">1-N4/M4</f>
        <v>0.37341772151898733</v>
      </c>
      <c r="P4" s="4" t="s">
        <v>88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133</v>
      </c>
      <c r="AB4" s="4">
        <f>IF(AC4="",AA4,AA4*AC4)</f>
        <v>133</v>
      </c>
      <c r="AC4" s="4"/>
      <c r="AD4" s="21">
        <f t="shared" ref="AD4:AD21" si="1">ROUND(M4*AS4,0)</f>
        <v>212</v>
      </c>
      <c r="AE4" s="6">
        <f t="shared" ref="AE4" si="2">1-AB4/AD4</f>
        <v>0.37264150943396224</v>
      </c>
      <c r="AF4" s="4">
        <v>11</v>
      </c>
      <c r="AG4" s="4">
        <f>BI4</f>
        <v>177</v>
      </c>
      <c r="AH4" s="4">
        <f t="shared" ref="AH4:AH21" si="3">AG4*AS4</f>
        <v>237.78787878787878</v>
      </c>
      <c r="AI4" s="6">
        <f t="shared" ref="AI4:AI21" si="4">1-AB4/AH4</f>
        <v>0.44067796610169485</v>
      </c>
      <c r="AJ4" s="4">
        <f>AB4/0.6</f>
        <v>221.66666666666669</v>
      </c>
      <c r="AK4" s="7">
        <v>220</v>
      </c>
      <c r="AL4" s="6">
        <f t="shared" ref="AL4:AL21" si="5">1-AB4/AK4</f>
        <v>0.3954545454545455</v>
      </c>
      <c r="AM4" s="4">
        <f t="shared" ref="AM4:AM21" si="6">AK4-AB4</f>
        <v>87</v>
      </c>
      <c r="AN4" s="28"/>
      <c r="AO4" s="6" t="e">
        <f>1-AB4/AN4</f>
        <v>#DIV/0!</v>
      </c>
      <c r="AP4" s="4">
        <f>AN4-AB4</f>
        <v>-133</v>
      </c>
      <c r="AQ4" s="6" t="e">
        <f t="shared" ref="AQ4:AQ21" si="7">Z4/L4</f>
        <v>#DIV/0!</v>
      </c>
      <c r="AR4" s="6">
        <f t="shared" ref="AR4:AR21" si="8">AK4/M4</f>
        <v>1.3924050632911393</v>
      </c>
      <c r="AS4" s="6">
        <f t="shared" ref="AS4:AS21" si="9">AB4/N4</f>
        <v>1.3434343434343434</v>
      </c>
      <c r="AT4" s="4" t="str">
        <f>IFERROR(ROUND($AK4*P4/$M4,0),"-")</f>
        <v>-</v>
      </c>
      <c r="AU4" s="4" t="str">
        <f>IF(Q4="","-",Q4)</f>
        <v>-</v>
      </c>
      <c r="AV4" s="4" t="str">
        <f>IF(R4="","-",R4)</f>
        <v>-</v>
      </c>
      <c r="AW4" s="4"/>
      <c r="AX4" s="4"/>
      <c r="AY4" s="4"/>
      <c r="AZ4" s="4"/>
      <c r="BA4" s="4"/>
      <c r="BB4" s="4"/>
      <c r="BC4" s="4">
        <v>0</v>
      </c>
      <c r="BD4" s="4" t="s">
        <v>107</v>
      </c>
      <c r="BE4" s="4"/>
      <c r="BF4" s="4"/>
      <c r="BG4" s="4" t="s">
        <v>108</v>
      </c>
      <c r="BH4" s="4">
        <v>177</v>
      </c>
      <c r="BI4" s="4">
        <f t="shared" ref="BI4:BI5" si="10">IF(BE4="",BH4,BE4/BF4*BH4)</f>
        <v>177</v>
      </c>
      <c r="BJ4" s="19">
        <v>4</v>
      </c>
      <c r="BK4" s="19">
        <v>1</v>
      </c>
      <c r="BL4" s="16">
        <v>6</v>
      </c>
      <c r="BM4" t="s">
        <v>87</v>
      </c>
      <c r="BN4">
        <v>236</v>
      </c>
      <c r="BO4">
        <f>BN4*AS4</f>
        <v>317.05050505050502</v>
      </c>
      <c r="BP4" t="s">
        <v>89</v>
      </c>
    </row>
    <row r="5" spans="1:68" x14ac:dyDescent="0.4">
      <c r="A5" s="3">
        <v>2</v>
      </c>
      <c r="B5" s="3">
        <v>2</v>
      </c>
      <c r="C5" s="4">
        <v>127291</v>
      </c>
      <c r="D5" s="4" t="str">
        <f t="shared" ref="D5:D13" si="11">TEXT(C5,"000000")</f>
        <v>127291</v>
      </c>
      <c r="E5" s="4">
        <v>127291</v>
      </c>
      <c r="F5" s="4" t="s">
        <v>70</v>
      </c>
      <c r="G5" s="5">
        <v>4901761100069</v>
      </c>
      <c r="H5" s="5"/>
      <c r="I5" s="5"/>
      <c r="J5" s="5">
        <v>1</v>
      </c>
      <c r="K5" s="5">
        <v>1</v>
      </c>
      <c r="L5" s="4">
        <v>220</v>
      </c>
      <c r="M5" s="4">
        <v>183</v>
      </c>
      <c r="N5" s="4">
        <v>104.5</v>
      </c>
      <c r="O5" s="6">
        <f t="shared" si="0"/>
        <v>0.42896174863387981</v>
      </c>
      <c r="P5" s="4" t="s">
        <v>88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:Z13" si="12">IF(AC5="",Y5,Y5*AC5)</f>
        <v>0</v>
      </c>
      <c r="AA5" s="4">
        <v>142.5</v>
      </c>
      <c r="AB5" s="4">
        <f t="shared" ref="AB5:AB13" si="13">IF(AC5="",AA5,AA5*AC5)</f>
        <v>142.5</v>
      </c>
      <c r="AC5" s="4"/>
      <c r="AD5" s="21">
        <f t="shared" si="1"/>
        <v>250</v>
      </c>
      <c r="AE5" s="6">
        <f t="shared" ref="AE5" si="14">1-AB5/AD5</f>
        <v>0.43000000000000005</v>
      </c>
      <c r="AF5" s="4">
        <v>395.25</v>
      </c>
      <c r="AG5" s="4">
        <f t="shared" ref="AG5:AG13" si="15">BI5</f>
        <v>220</v>
      </c>
      <c r="AH5" s="4">
        <f t="shared" si="3"/>
        <v>300</v>
      </c>
      <c r="AI5" s="6">
        <f t="shared" si="4"/>
        <v>0.52500000000000002</v>
      </c>
      <c r="AJ5" s="4">
        <f t="shared" ref="AJ5:AJ21" si="16">AB5/0.6</f>
        <v>237.5</v>
      </c>
      <c r="AK5" s="7">
        <v>250</v>
      </c>
      <c r="AL5" s="6">
        <f t="shared" si="5"/>
        <v>0.43000000000000005</v>
      </c>
      <c r="AM5" s="4">
        <f t="shared" si="6"/>
        <v>107.5</v>
      </c>
      <c r="AN5" s="28"/>
      <c r="AO5" s="6"/>
      <c r="AP5" s="6"/>
      <c r="AQ5" s="6">
        <f t="shared" si="7"/>
        <v>0</v>
      </c>
      <c r="AR5" s="6">
        <f t="shared" si="8"/>
        <v>1.3661202185792349</v>
      </c>
      <c r="AS5" s="6">
        <f t="shared" si="9"/>
        <v>1.3636363636363635</v>
      </c>
      <c r="AT5" s="4"/>
      <c r="AU5" s="4"/>
      <c r="AV5" s="4"/>
      <c r="AW5" s="4"/>
      <c r="AX5" s="4"/>
      <c r="AY5" s="4"/>
      <c r="AZ5" s="4"/>
      <c r="BA5" s="4"/>
      <c r="BB5" s="4"/>
      <c r="BC5" s="4" t="s">
        <v>66</v>
      </c>
      <c r="BD5" s="4" t="s">
        <v>109</v>
      </c>
      <c r="BE5" s="4">
        <v>1</v>
      </c>
      <c r="BF5" s="4">
        <v>20</v>
      </c>
      <c r="BG5" s="4" t="s">
        <v>110</v>
      </c>
      <c r="BH5" s="4">
        <v>4400</v>
      </c>
      <c r="BI5" s="4">
        <f t="shared" si="10"/>
        <v>220</v>
      </c>
      <c r="BJ5" s="19">
        <v>4</v>
      </c>
      <c r="BK5" s="19">
        <v>1</v>
      </c>
      <c r="BL5" s="16">
        <v>6</v>
      </c>
      <c r="BM5">
        <v>3620</v>
      </c>
      <c r="BN5">
        <v>213</v>
      </c>
      <c r="BO5">
        <f t="shared" ref="BO5:BO21" si="17">BN5*AS5</f>
        <v>290.45454545454544</v>
      </c>
      <c r="BP5" t="s">
        <v>90</v>
      </c>
    </row>
    <row r="6" spans="1:68" x14ac:dyDescent="0.4">
      <c r="A6" s="3">
        <v>3</v>
      </c>
      <c r="B6" s="3">
        <v>3</v>
      </c>
      <c r="C6" s="17">
        <v>112616</v>
      </c>
      <c r="D6" s="4" t="str">
        <f t="shared" si="11"/>
        <v>112616</v>
      </c>
      <c r="E6" s="4">
        <v>112616</v>
      </c>
      <c r="F6" s="4" t="s">
        <v>71</v>
      </c>
      <c r="G6" s="5">
        <v>4901761101127</v>
      </c>
      <c r="H6" s="5"/>
      <c r="I6" s="5"/>
      <c r="J6" s="5">
        <v>1</v>
      </c>
      <c r="K6" s="5">
        <v>1</v>
      </c>
      <c r="L6" s="4">
        <v>260</v>
      </c>
      <c r="M6" s="4">
        <v>194</v>
      </c>
      <c r="N6" s="4">
        <v>123.5</v>
      </c>
      <c r="O6" s="6">
        <f t="shared" si="0"/>
        <v>0.36340206185567014</v>
      </c>
      <c r="P6" s="4" t="s">
        <v>88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si="12"/>
        <v>0</v>
      </c>
      <c r="AA6" s="4">
        <v>161.5</v>
      </c>
      <c r="AB6" s="4">
        <f t="shared" si="13"/>
        <v>161.5</v>
      </c>
      <c r="AC6" s="4"/>
      <c r="AD6" s="21">
        <f t="shared" si="1"/>
        <v>254</v>
      </c>
      <c r="AE6" s="6">
        <f t="shared" ref="AE6:AE13" si="18">1-AB6/AD6</f>
        <v>0.36417322834645671</v>
      </c>
      <c r="AF6" s="4">
        <v>2.25</v>
      </c>
      <c r="AG6" s="4">
        <f t="shared" si="15"/>
        <v>260</v>
      </c>
      <c r="AH6" s="4">
        <f t="shared" si="3"/>
        <v>340</v>
      </c>
      <c r="AI6" s="6">
        <f t="shared" si="4"/>
        <v>0.52500000000000002</v>
      </c>
      <c r="AJ6" s="4">
        <f t="shared" si="16"/>
        <v>269.16666666666669</v>
      </c>
      <c r="AK6" s="7">
        <v>270</v>
      </c>
      <c r="AL6" s="6">
        <f t="shared" si="5"/>
        <v>0.4018518518518519</v>
      </c>
      <c r="AM6" s="4">
        <f t="shared" si="6"/>
        <v>108.5</v>
      </c>
      <c r="AN6" s="28"/>
      <c r="AO6" s="6"/>
      <c r="AP6" s="6"/>
      <c r="AQ6" s="6">
        <f t="shared" si="7"/>
        <v>0</v>
      </c>
      <c r="AR6" s="6">
        <f t="shared" si="8"/>
        <v>1.3917525773195876</v>
      </c>
      <c r="AS6" s="6">
        <f t="shared" si="9"/>
        <v>1.3076923076923077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111</v>
      </c>
      <c r="BE6" s="4">
        <v>1</v>
      </c>
      <c r="BF6" s="4">
        <v>20</v>
      </c>
      <c r="BG6" s="4" t="s">
        <v>110</v>
      </c>
      <c r="BH6" s="4">
        <v>5200</v>
      </c>
      <c r="BI6" s="4">
        <f t="shared" ref="BI6:BI13" si="19">IF(BE6="",BH6,BE6/BF6*BH6)</f>
        <v>260</v>
      </c>
      <c r="BJ6" s="19">
        <v>4</v>
      </c>
      <c r="BK6" s="19">
        <v>1</v>
      </c>
      <c r="BL6" s="16">
        <v>6</v>
      </c>
      <c r="BM6" t="s">
        <v>87</v>
      </c>
      <c r="BN6">
        <v>247</v>
      </c>
      <c r="BO6">
        <f t="shared" si="17"/>
        <v>323</v>
      </c>
      <c r="BP6" t="s">
        <v>91</v>
      </c>
    </row>
    <row r="7" spans="1:68" x14ac:dyDescent="0.4">
      <c r="A7" s="3">
        <v>4</v>
      </c>
      <c r="B7" s="3">
        <v>4</v>
      </c>
      <c r="C7" s="17">
        <v>640259</v>
      </c>
      <c r="D7" s="4" t="str">
        <f t="shared" si="11"/>
        <v>640259</v>
      </c>
      <c r="E7" s="4">
        <v>640259</v>
      </c>
      <c r="F7" s="4" t="s">
        <v>72</v>
      </c>
      <c r="G7" s="5">
        <v>4901761100199</v>
      </c>
      <c r="H7" s="5"/>
      <c r="I7" s="5"/>
      <c r="J7" s="5">
        <v>1</v>
      </c>
      <c r="K7" s="5">
        <v>1</v>
      </c>
      <c r="L7" s="4">
        <v>0</v>
      </c>
      <c r="M7" s="4">
        <v>264</v>
      </c>
      <c r="N7" s="4">
        <v>164</v>
      </c>
      <c r="O7" s="6">
        <f t="shared" si="0"/>
        <v>0.37878787878787878</v>
      </c>
      <c r="P7" s="4" t="s">
        <v>88</v>
      </c>
      <c r="Q7" s="4"/>
      <c r="R7" s="4"/>
      <c r="S7" s="4"/>
      <c r="T7" s="4"/>
      <c r="U7" s="4"/>
      <c r="V7" s="4"/>
      <c r="W7" s="4"/>
      <c r="X7" s="4"/>
      <c r="Y7" s="4">
        <v>0</v>
      </c>
      <c r="Z7" s="4">
        <f t="shared" si="12"/>
        <v>0</v>
      </c>
      <c r="AA7" s="4">
        <v>218</v>
      </c>
      <c r="AB7" s="4">
        <f t="shared" si="13"/>
        <v>218</v>
      </c>
      <c r="AC7" s="4"/>
      <c r="AD7" s="21">
        <f t="shared" si="1"/>
        <v>351</v>
      </c>
      <c r="AE7" s="6">
        <f t="shared" si="18"/>
        <v>0.37891737891737887</v>
      </c>
      <c r="AF7" s="4">
        <v>5.25</v>
      </c>
      <c r="AG7" s="4">
        <f t="shared" si="15"/>
        <v>418</v>
      </c>
      <c r="AH7" s="4">
        <f t="shared" si="3"/>
        <v>555.63414634146341</v>
      </c>
      <c r="AI7" s="6">
        <f t="shared" si="4"/>
        <v>0.60765550239234445</v>
      </c>
      <c r="AJ7" s="4">
        <f t="shared" si="16"/>
        <v>363.33333333333337</v>
      </c>
      <c r="AK7" s="7">
        <v>365</v>
      </c>
      <c r="AL7" s="6">
        <f t="shared" si="5"/>
        <v>0.40273972602739727</v>
      </c>
      <c r="AM7" s="4">
        <f t="shared" si="6"/>
        <v>147</v>
      </c>
      <c r="AN7" s="28"/>
      <c r="AO7" s="6"/>
      <c r="AP7" s="6"/>
      <c r="AQ7" s="6" t="e">
        <f t="shared" si="7"/>
        <v>#DIV/0!</v>
      </c>
      <c r="AR7" s="6">
        <f t="shared" si="8"/>
        <v>1.3825757575757576</v>
      </c>
      <c r="AS7" s="6">
        <f t="shared" si="9"/>
        <v>1.3292682926829269</v>
      </c>
      <c r="AT7" s="4"/>
      <c r="AU7" s="4"/>
      <c r="AV7" s="4"/>
      <c r="AW7" s="4"/>
      <c r="AX7" s="4"/>
      <c r="AY7" s="4"/>
      <c r="AZ7" s="4"/>
      <c r="BA7" s="4"/>
      <c r="BB7" s="4"/>
      <c r="BC7" s="4">
        <v>0</v>
      </c>
      <c r="BD7" s="4" t="s">
        <v>112</v>
      </c>
      <c r="BE7" s="4"/>
      <c r="BF7" s="4"/>
      <c r="BG7" s="4" t="s">
        <v>108</v>
      </c>
      <c r="BH7" s="4">
        <v>418</v>
      </c>
      <c r="BI7" s="4">
        <f t="shared" si="19"/>
        <v>418</v>
      </c>
      <c r="BJ7" s="19">
        <v>4</v>
      </c>
      <c r="BK7" s="19">
        <v>1</v>
      </c>
      <c r="BL7" s="16">
        <v>6</v>
      </c>
      <c r="BM7" t="s">
        <v>87</v>
      </c>
      <c r="BN7">
        <v>391</v>
      </c>
      <c r="BO7">
        <f t="shared" si="17"/>
        <v>519.7439024390244</v>
      </c>
      <c r="BP7" t="s">
        <v>92</v>
      </c>
    </row>
    <row r="8" spans="1:68" x14ac:dyDescent="0.4">
      <c r="A8" s="3">
        <v>5</v>
      </c>
      <c r="B8" s="3">
        <v>5</v>
      </c>
      <c r="C8" s="17">
        <v>949831</v>
      </c>
      <c r="D8" s="4" t="str">
        <f t="shared" si="11"/>
        <v>949831</v>
      </c>
      <c r="E8" s="4">
        <v>949831</v>
      </c>
      <c r="F8" s="4" t="s">
        <v>73</v>
      </c>
      <c r="G8" s="5">
        <v>4901761144476</v>
      </c>
      <c r="H8" s="5"/>
      <c r="I8" s="5"/>
      <c r="J8" s="5">
        <v>1</v>
      </c>
      <c r="K8" s="5">
        <v>1</v>
      </c>
      <c r="L8" s="4">
        <v>0</v>
      </c>
      <c r="M8" s="4">
        <v>345</v>
      </c>
      <c r="N8" s="4">
        <v>197</v>
      </c>
      <c r="O8" s="6">
        <f t="shared" si="0"/>
        <v>0.42898550724637685</v>
      </c>
      <c r="P8" s="4" t="s">
        <v>88</v>
      </c>
      <c r="Q8" s="4"/>
      <c r="R8" s="4"/>
      <c r="S8" s="4"/>
      <c r="T8" s="4"/>
      <c r="U8" s="4"/>
      <c r="V8" s="4"/>
      <c r="W8" s="4"/>
      <c r="X8" s="4"/>
      <c r="Y8" s="4">
        <v>0</v>
      </c>
      <c r="Z8" s="4">
        <f t="shared" si="12"/>
        <v>0</v>
      </c>
      <c r="AA8" s="4">
        <v>256</v>
      </c>
      <c r="AB8" s="4">
        <f t="shared" si="13"/>
        <v>256</v>
      </c>
      <c r="AC8" s="4"/>
      <c r="AD8" s="21">
        <f t="shared" si="1"/>
        <v>448</v>
      </c>
      <c r="AE8" s="6">
        <f t="shared" si="18"/>
        <v>0.4285714285714286</v>
      </c>
      <c r="AF8" s="4">
        <v>7.75</v>
      </c>
      <c r="AG8" s="4">
        <f t="shared" si="15"/>
        <v>519</v>
      </c>
      <c r="AH8" s="4">
        <f t="shared" si="3"/>
        <v>674.4365482233502</v>
      </c>
      <c r="AI8" s="6">
        <f t="shared" si="4"/>
        <v>0.62042389210019266</v>
      </c>
      <c r="AJ8" s="4">
        <f t="shared" si="16"/>
        <v>426.66666666666669</v>
      </c>
      <c r="AK8" s="7">
        <v>450</v>
      </c>
      <c r="AL8" s="6">
        <f t="shared" si="5"/>
        <v>0.43111111111111111</v>
      </c>
      <c r="AM8" s="4">
        <f t="shared" si="6"/>
        <v>194</v>
      </c>
      <c r="AN8" s="28"/>
      <c r="AO8" s="6"/>
      <c r="AP8" s="6"/>
      <c r="AQ8" s="6" t="e">
        <f t="shared" si="7"/>
        <v>#DIV/0!</v>
      </c>
      <c r="AR8" s="6">
        <f t="shared" si="8"/>
        <v>1.3043478260869565</v>
      </c>
      <c r="AS8" s="6">
        <f t="shared" si="9"/>
        <v>1.2994923857868019</v>
      </c>
      <c r="AT8" s="4"/>
      <c r="AU8" s="4"/>
      <c r="AV8" s="4"/>
      <c r="AW8" s="4"/>
      <c r="AX8" s="4"/>
      <c r="AY8" s="4"/>
      <c r="AZ8" s="4"/>
      <c r="BA8" s="4"/>
      <c r="BB8" s="4"/>
      <c r="BC8" s="4">
        <v>0</v>
      </c>
      <c r="BD8" s="4" t="s">
        <v>113</v>
      </c>
      <c r="BE8" s="4"/>
      <c r="BF8" s="4"/>
      <c r="BG8" s="4" t="s">
        <v>108</v>
      </c>
      <c r="BH8" s="4">
        <v>519</v>
      </c>
      <c r="BI8" s="4">
        <f t="shared" si="19"/>
        <v>519</v>
      </c>
      <c r="BJ8" s="19">
        <v>4</v>
      </c>
      <c r="BK8" s="19">
        <v>1</v>
      </c>
      <c r="BL8" s="16">
        <v>6</v>
      </c>
      <c r="BM8" t="s">
        <v>87</v>
      </c>
      <c r="BN8">
        <v>432</v>
      </c>
      <c r="BO8">
        <f t="shared" si="17"/>
        <v>561.38071065989845</v>
      </c>
      <c r="BP8" t="s">
        <v>93</v>
      </c>
    </row>
    <row r="9" spans="1:68" x14ac:dyDescent="0.4">
      <c r="A9" s="3">
        <v>6</v>
      </c>
      <c r="B9" s="3">
        <v>6</v>
      </c>
      <c r="C9" s="17">
        <v>355147</v>
      </c>
      <c r="D9" s="4" t="str">
        <f t="shared" si="11"/>
        <v>355147</v>
      </c>
      <c r="E9" s="4">
        <v>355147</v>
      </c>
      <c r="F9" s="4" t="s">
        <v>74</v>
      </c>
      <c r="G9" s="5">
        <v>4901761183949</v>
      </c>
      <c r="H9" s="5"/>
      <c r="I9" s="5"/>
      <c r="J9" s="5">
        <v>1</v>
      </c>
      <c r="K9" s="5">
        <v>1</v>
      </c>
      <c r="L9" s="4">
        <v>530</v>
      </c>
      <c r="M9" s="4">
        <v>324</v>
      </c>
      <c r="N9" s="4">
        <v>254</v>
      </c>
      <c r="O9" s="6">
        <f t="shared" si="0"/>
        <v>0.21604938271604934</v>
      </c>
      <c r="P9" s="4" t="s">
        <v>88</v>
      </c>
      <c r="Q9" s="4"/>
      <c r="R9" s="4"/>
      <c r="S9" s="4"/>
      <c r="T9" s="4"/>
      <c r="U9" s="4"/>
      <c r="V9" s="4"/>
      <c r="W9" s="4"/>
      <c r="X9" s="4"/>
      <c r="Y9" s="4">
        <v>0</v>
      </c>
      <c r="Z9" s="4">
        <f t="shared" si="12"/>
        <v>0</v>
      </c>
      <c r="AA9" s="4">
        <v>307</v>
      </c>
      <c r="AB9" s="4">
        <f t="shared" si="13"/>
        <v>307</v>
      </c>
      <c r="AC9" s="4"/>
      <c r="AD9" s="21">
        <f t="shared" si="1"/>
        <v>392</v>
      </c>
      <c r="AE9" s="6">
        <f t="shared" si="18"/>
        <v>0.21683673469387754</v>
      </c>
      <c r="AF9" s="4">
        <v>3.75</v>
      </c>
      <c r="AG9" s="4">
        <f t="shared" si="15"/>
        <v>405.02</v>
      </c>
      <c r="AH9" s="4">
        <f t="shared" si="3"/>
        <v>489.53204724409449</v>
      </c>
      <c r="AI9" s="6">
        <f t="shared" si="4"/>
        <v>0.37287047553207253</v>
      </c>
      <c r="AJ9" s="4">
        <f t="shared" si="16"/>
        <v>511.66666666666669</v>
      </c>
      <c r="AK9" s="7">
        <v>470</v>
      </c>
      <c r="AL9" s="6">
        <f t="shared" si="5"/>
        <v>0.34680851063829787</v>
      </c>
      <c r="AM9" s="4">
        <f t="shared" si="6"/>
        <v>163</v>
      </c>
      <c r="AN9" s="28"/>
      <c r="AO9" s="6"/>
      <c r="AP9" s="6"/>
      <c r="AQ9" s="6">
        <f t="shared" si="7"/>
        <v>0</v>
      </c>
      <c r="AR9" s="6">
        <f t="shared" si="8"/>
        <v>1.4506172839506173</v>
      </c>
      <c r="AS9" s="6">
        <f t="shared" si="9"/>
        <v>1.2086614173228347</v>
      </c>
      <c r="AT9" s="4"/>
      <c r="AU9" s="4"/>
      <c r="AV9" s="4"/>
      <c r="AW9" s="4"/>
      <c r="AX9" s="4"/>
      <c r="AY9" s="4"/>
      <c r="AZ9" s="4"/>
      <c r="BA9" s="4"/>
      <c r="BB9" s="4"/>
      <c r="BC9" s="4">
        <v>0</v>
      </c>
      <c r="BD9" s="4" t="s">
        <v>114</v>
      </c>
      <c r="BE9" s="4">
        <v>1</v>
      </c>
      <c r="BF9" s="4">
        <v>100</v>
      </c>
      <c r="BG9" s="4" t="s">
        <v>115</v>
      </c>
      <c r="BH9" s="4">
        <v>40502</v>
      </c>
      <c r="BI9" s="4">
        <f t="shared" si="19"/>
        <v>405.02</v>
      </c>
      <c r="BJ9" s="19">
        <v>4</v>
      </c>
      <c r="BK9" s="19">
        <v>1</v>
      </c>
      <c r="BL9" s="16">
        <v>6</v>
      </c>
      <c r="BM9" t="s">
        <v>87</v>
      </c>
      <c r="BN9">
        <v>504</v>
      </c>
      <c r="BO9">
        <f t="shared" si="17"/>
        <v>609.16535433070874</v>
      </c>
      <c r="BP9" t="s">
        <v>94</v>
      </c>
    </row>
    <row r="10" spans="1:68" x14ac:dyDescent="0.4">
      <c r="A10" s="3">
        <v>7</v>
      </c>
      <c r="B10" s="3">
        <v>7</v>
      </c>
      <c r="C10" s="4">
        <v>696568</v>
      </c>
      <c r="D10" s="4" t="str">
        <f t="shared" si="11"/>
        <v>696568</v>
      </c>
      <c r="E10" s="4">
        <v>696568</v>
      </c>
      <c r="F10" s="4" t="s">
        <v>75</v>
      </c>
      <c r="G10" s="5">
        <v>4901761159470</v>
      </c>
      <c r="H10" s="5"/>
      <c r="I10" s="5"/>
      <c r="J10" s="5">
        <v>1</v>
      </c>
      <c r="K10" s="5">
        <v>1</v>
      </c>
      <c r="L10" s="4">
        <v>600</v>
      </c>
      <c r="M10" s="4">
        <v>545</v>
      </c>
      <c r="N10" s="4">
        <v>286.5</v>
      </c>
      <c r="O10" s="6">
        <f t="shared" si="0"/>
        <v>0.47431192660550459</v>
      </c>
      <c r="P10" s="4" t="s">
        <v>88</v>
      </c>
      <c r="Q10" s="4"/>
      <c r="R10" s="4"/>
      <c r="S10" s="4"/>
      <c r="T10" s="4"/>
      <c r="U10" s="4"/>
      <c r="V10" s="4"/>
      <c r="W10" s="4"/>
      <c r="X10" s="4"/>
      <c r="Y10" s="4">
        <v>0</v>
      </c>
      <c r="Z10" s="4">
        <f t="shared" si="12"/>
        <v>0</v>
      </c>
      <c r="AA10" s="4">
        <v>344</v>
      </c>
      <c r="AB10" s="4">
        <f t="shared" si="13"/>
        <v>344</v>
      </c>
      <c r="AC10" s="4"/>
      <c r="AD10" s="21">
        <f t="shared" si="1"/>
        <v>654</v>
      </c>
      <c r="AE10" s="6">
        <f t="shared" si="18"/>
        <v>0.47400611620795108</v>
      </c>
      <c r="AF10" s="4">
        <v>2.5</v>
      </c>
      <c r="AG10" s="4">
        <f t="shared" si="15"/>
        <v>520</v>
      </c>
      <c r="AH10" s="4">
        <f t="shared" si="3"/>
        <v>624.36300174520079</v>
      </c>
      <c r="AI10" s="6">
        <f t="shared" si="4"/>
        <v>0.44903846153846161</v>
      </c>
      <c r="AJ10" s="4">
        <f t="shared" si="16"/>
        <v>573.33333333333337</v>
      </c>
      <c r="AK10" s="7">
        <v>555</v>
      </c>
      <c r="AL10" s="6">
        <f t="shared" si="5"/>
        <v>0.38018018018018018</v>
      </c>
      <c r="AM10" s="4">
        <f t="shared" si="6"/>
        <v>211</v>
      </c>
      <c r="AN10" s="28"/>
      <c r="AO10" s="6"/>
      <c r="AP10" s="6"/>
      <c r="AQ10" s="6">
        <f t="shared" si="7"/>
        <v>0</v>
      </c>
      <c r="AR10" s="6">
        <f t="shared" si="8"/>
        <v>1.0183486238532109</v>
      </c>
      <c r="AS10" s="6">
        <f t="shared" si="9"/>
        <v>1.2006980802792322</v>
      </c>
      <c r="AT10" s="4"/>
      <c r="AU10" s="4"/>
      <c r="AV10" s="4"/>
      <c r="AW10" s="4"/>
      <c r="AX10" s="4"/>
      <c r="AY10" s="4"/>
      <c r="AZ10" s="4"/>
      <c r="BA10" s="4"/>
      <c r="BB10" s="4"/>
      <c r="BC10" s="4">
        <v>0</v>
      </c>
      <c r="BD10" s="4" t="s">
        <v>116</v>
      </c>
      <c r="BE10" s="4"/>
      <c r="BF10" s="4"/>
      <c r="BG10" s="4" t="s">
        <v>108</v>
      </c>
      <c r="BH10" s="4">
        <v>520</v>
      </c>
      <c r="BI10" s="4">
        <f t="shared" si="19"/>
        <v>520</v>
      </c>
      <c r="BJ10" s="19">
        <v>4</v>
      </c>
      <c r="BK10" s="19">
        <v>1</v>
      </c>
      <c r="BL10" s="16">
        <v>6</v>
      </c>
      <c r="BM10" t="s">
        <v>87</v>
      </c>
      <c r="BN10">
        <v>462</v>
      </c>
      <c r="BO10">
        <f t="shared" si="17"/>
        <v>554.72251308900525</v>
      </c>
      <c r="BP10" t="s">
        <v>95</v>
      </c>
    </row>
    <row r="11" spans="1:68" x14ac:dyDescent="0.4">
      <c r="A11" s="3">
        <v>8</v>
      </c>
      <c r="B11" s="3">
        <v>8</v>
      </c>
      <c r="C11" s="4">
        <v>651174</v>
      </c>
      <c r="D11" s="4" t="str">
        <f t="shared" si="11"/>
        <v>651174</v>
      </c>
      <c r="E11" s="4">
        <v>653947</v>
      </c>
      <c r="F11" s="4" t="s">
        <v>76</v>
      </c>
      <c r="G11" s="5">
        <v>4901761169776</v>
      </c>
      <c r="H11" s="5"/>
      <c r="I11" s="5"/>
      <c r="J11" s="5">
        <v>1</v>
      </c>
      <c r="K11" s="5">
        <v>1</v>
      </c>
      <c r="L11" s="4">
        <v>670</v>
      </c>
      <c r="M11" s="4">
        <v>603</v>
      </c>
      <c r="N11" s="4">
        <v>319</v>
      </c>
      <c r="O11" s="6">
        <f t="shared" si="0"/>
        <v>0.47097844112769482</v>
      </c>
      <c r="P11" s="4" t="s">
        <v>88</v>
      </c>
      <c r="Q11" s="4"/>
      <c r="R11" s="4"/>
      <c r="S11" s="4"/>
      <c r="T11" s="4"/>
      <c r="U11" s="4"/>
      <c r="V11" s="4"/>
      <c r="W11" s="4"/>
      <c r="X11" s="4"/>
      <c r="Y11" s="4">
        <v>0</v>
      </c>
      <c r="Z11" s="4">
        <f t="shared" si="12"/>
        <v>0</v>
      </c>
      <c r="AA11" s="4">
        <v>388</v>
      </c>
      <c r="AB11" s="4">
        <f t="shared" si="13"/>
        <v>388</v>
      </c>
      <c r="AC11" s="4"/>
      <c r="AD11" s="21">
        <f t="shared" si="1"/>
        <v>733</v>
      </c>
      <c r="AE11" s="6">
        <f t="shared" si="18"/>
        <v>0.47066848567530695</v>
      </c>
      <c r="AF11" s="4">
        <v>9.75</v>
      </c>
      <c r="AG11" s="4">
        <f t="shared" si="15"/>
        <v>663</v>
      </c>
      <c r="AH11" s="4">
        <f t="shared" si="3"/>
        <v>806.40752351097171</v>
      </c>
      <c r="AI11" s="6">
        <f t="shared" si="4"/>
        <v>0.51885369532428349</v>
      </c>
      <c r="AJ11" s="4">
        <f t="shared" si="16"/>
        <v>646.66666666666674</v>
      </c>
      <c r="AK11" s="7">
        <v>615</v>
      </c>
      <c r="AL11" s="6">
        <f t="shared" si="5"/>
        <v>0.3691056910569106</v>
      </c>
      <c r="AM11" s="4">
        <f t="shared" si="6"/>
        <v>227</v>
      </c>
      <c r="AN11" s="28"/>
      <c r="AO11" s="6"/>
      <c r="AP11" s="6"/>
      <c r="AQ11" s="6">
        <f t="shared" si="7"/>
        <v>0</v>
      </c>
      <c r="AR11" s="6">
        <f t="shared" si="8"/>
        <v>1.0199004975124377</v>
      </c>
      <c r="AS11" s="6">
        <f t="shared" si="9"/>
        <v>1.2163009404388714</v>
      </c>
      <c r="AT11" s="4"/>
      <c r="AU11" s="4"/>
      <c r="AV11" s="4"/>
      <c r="AW11" s="4"/>
      <c r="AX11" s="4"/>
      <c r="AY11" s="4"/>
      <c r="AZ11" s="4"/>
      <c r="BA11" s="4"/>
      <c r="BB11" s="4"/>
      <c r="BC11" s="4" t="s">
        <v>66</v>
      </c>
      <c r="BD11" s="4" t="s">
        <v>117</v>
      </c>
      <c r="BE11" s="4"/>
      <c r="BF11" s="4"/>
      <c r="BG11" s="4" t="s">
        <v>118</v>
      </c>
      <c r="BH11" s="4">
        <v>663</v>
      </c>
      <c r="BI11" s="4">
        <f t="shared" si="19"/>
        <v>663</v>
      </c>
      <c r="BJ11" s="19">
        <v>4</v>
      </c>
      <c r="BK11" s="19">
        <v>1</v>
      </c>
      <c r="BL11" s="16">
        <v>6</v>
      </c>
      <c r="BM11" t="s">
        <v>87</v>
      </c>
      <c r="BN11">
        <v>506</v>
      </c>
      <c r="BO11">
        <f t="shared" si="17"/>
        <v>615.44827586206895</v>
      </c>
      <c r="BP11" t="s">
        <v>96</v>
      </c>
    </row>
    <row r="12" spans="1:68" x14ac:dyDescent="0.4">
      <c r="A12" s="3">
        <v>9</v>
      </c>
      <c r="B12" s="3">
        <v>9</v>
      </c>
      <c r="C12" s="4">
        <v>698125</v>
      </c>
      <c r="D12" s="4" t="str">
        <f t="shared" si="11"/>
        <v>698125</v>
      </c>
      <c r="E12" s="4">
        <v>698125</v>
      </c>
      <c r="F12" s="4" t="s">
        <v>77</v>
      </c>
      <c r="G12" s="5">
        <v>4901761510608</v>
      </c>
      <c r="H12" s="5"/>
      <c r="I12" s="5"/>
      <c r="J12" s="5">
        <v>1</v>
      </c>
      <c r="K12" s="5">
        <v>1</v>
      </c>
      <c r="L12" s="4">
        <v>680</v>
      </c>
      <c r="M12" s="4">
        <v>448</v>
      </c>
      <c r="N12" s="4">
        <v>315.5</v>
      </c>
      <c r="O12" s="6">
        <f t="shared" si="0"/>
        <v>0.2957589285714286</v>
      </c>
      <c r="P12" s="4" t="s">
        <v>88</v>
      </c>
      <c r="Q12" s="4"/>
      <c r="R12" s="4"/>
      <c r="S12" s="4"/>
      <c r="T12" s="4"/>
      <c r="U12" s="4"/>
      <c r="V12" s="4"/>
      <c r="W12" s="4"/>
      <c r="X12" s="4"/>
      <c r="Y12" s="4">
        <v>0</v>
      </c>
      <c r="Z12" s="4">
        <f t="shared" si="12"/>
        <v>0</v>
      </c>
      <c r="AA12" s="4">
        <v>390</v>
      </c>
      <c r="AB12" s="4">
        <f t="shared" si="13"/>
        <v>390</v>
      </c>
      <c r="AC12" s="4"/>
      <c r="AD12" s="21">
        <f t="shared" si="1"/>
        <v>554</v>
      </c>
      <c r="AE12" s="6">
        <f t="shared" si="18"/>
        <v>0.29602888086642598</v>
      </c>
      <c r="AF12" s="4">
        <v>11.25</v>
      </c>
      <c r="AG12" s="4">
        <f t="shared" si="15"/>
        <v>582</v>
      </c>
      <c r="AH12" s="4">
        <f t="shared" si="3"/>
        <v>719.42947702060223</v>
      </c>
      <c r="AI12" s="6">
        <f t="shared" si="4"/>
        <v>0.45790378006872856</v>
      </c>
      <c r="AJ12" s="4">
        <f t="shared" si="16"/>
        <v>650</v>
      </c>
      <c r="AK12" s="7">
        <v>630</v>
      </c>
      <c r="AL12" s="6">
        <f t="shared" si="5"/>
        <v>0.38095238095238093</v>
      </c>
      <c r="AM12" s="4">
        <f t="shared" si="6"/>
        <v>240</v>
      </c>
      <c r="AN12" s="28"/>
      <c r="AO12" s="6"/>
      <c r="AP12" s="6"/>
      <c r="AQ12" s="6">
        <f t="shared" si="7"/>
        <v>0</v>
      </c>
      <c r="AR12" s="6">
        <f t="shared" si="8"/>
        <v>1.40625</v>
      </c>
      <c r="AS12" s="6">
        <f t="shared" si="9"/>
        <v>1.2361331220285261</v>
      </c>
      <c r="AT12" s="4"/>
      <c r="AU12" s="4"/>
      <c r="AV12" s="4"/>
      <c r="AW12" s="4"/>
      <c r="AX12" s="4"/>
      <c r="AY12" s="4"/>
      <c r="AZ12" s="4"/>
      <c r="BA12" s="4"/>
      <c r="BB12" s="4"/>
      <c r="BC12" s="4">
        <v>0</v>
      </c>
      <c r="BD12" s="4" t="s">
        <v>119</v>
      </c>
      <c r="BE12" s="4"/>
      <c r="BF12" s="4"/>
      <c r="BG12" s="4" t="s">
        <v>108</v>
      </c>
      <c r="BH12" s="4">
        <v>582</v>
      </c>
      <c r="BI12" s="4">
        <f t="shared" si="19"/>
        <v>582</v>
      </c>
      <c r="BJ12" s="19">
        <v>4</v>
      </c>
      <c r="BK12" s="19">
        <v>1</v>
      </c>
      <c r="BL12" s="16">
        <v>6</v>
      </c>
      <c r="BM12" t="s">
        <v>87</v>
      </c>
      <c r="BN12">
        <v>630</v>
      </c>
      <c r="BO12">
        <f t="shared" si="17"/>
        <v>778.7638668779714</v>
      </c>
      <c r="BP12" t="s">
        <v>97</v>
      </c>
    </row>
    <row r="13" spans="1:68" x14ac:dyDescent="0.4">
      <c r="A13" s="3">
        <v>10</v>
      </c>
      <c r="B13" s="3">
        <v>10</v>
      </c>
      <c r="C13" s="4">
        <v>631861</v>
      </c>
      <c r="D13" s="4" t="str">
        <f t="shared" si="11"/>
        <v>631861</v>
      </c>
      <c r="E13" s="4">
        <v>631861</v>
      </c>
      <c r="F13" s="4" t="s">
        <v>78</v>
      </c>
      <c r="G13" s="5">
        <v>4901761183543</v>
      </c>
      <c r="H13" s="5"/>
      <c r="I13" s="5"/>
      <c r="J13" s="5">
        <v>1</v>
      </c>
      <c r="K13" s="5">
        <v>1</v>
      </c>
      <c r="L13" s="4">
        <v>730</v>
      </c>
      <c r="M13" s="4">
        <v>613</v>
      </c>
      <c r="N13" s="4">
        <v>349</v>
      </c>
      <c r="O13" s="6">
        <f t="shared" si="0"/>
        <v>0.43066884176182707</v>
      </c>
      <c r="P13" s="4" t="s">
        <v>88</v>
      </c>
      <c r="Q13" s="4"/>
      <c r="R13" s="4"/>
      <c r="S13" s="4"/>
      <c r="T13" s="4"/>
      <c r="U13" s="4"/>
      <c r="V13" s="4"/>
      <c r="W13" s="4"/>
      <c r="X13" s="4"/>
      <c r="Y13" s="4">
        <v>0</v>
      </c>
      <c r="Z13" s="4">
        <f t="shared" si="12"/>
        <v>0</v>
      </c>
      <c r="AA13" s="4">
        <v>419</v>
      </c>
      <c r="AB13" s="4">
        <f t="shared" si="13"/>
        <v>419</v>
      </c>
      <c r="AC13" s="4"/>
      <c r="AD13" s="21">
        <f t="shared" si="1"/>
        <v>736</v>
      </c>
      <c r="AE13" s="6">
        <f t="shared" si="18"/>
        <v>0.43070652173913049</v>
      </c>
      <c r="AF13" s="4">
        <v>13</v>
      </c>
      <c r="AG13" s="4">
        <f t="shared" si="15"/>
        <v>678</v>
      </c>
      <c r="AH13" s="4">
        <f t="shared" si="3"/>
        <v>813.9885386819484</v>
      </c>
      <c r="AI13" s="6">
        <f t="shared" si="4"/>
        <v>0.48525073746312686</v>
      </c>
      <c r="AJ13" s="4">
        <f t="shared" si="16"/>
        <v>698.33333333333337</v>
      </c>
      <c r="AK13" s="7">
        <v>687</v>
      </c>
      <c r="AL13" s="6">
        <f t="shared" si="5"/>
        <v>0.39010189228529835</v>
      </c>
      <c r="AM13" s="4">
        <f t="shared" si="6"/>
        <v>268</v>
      </c>
      <c r="AN13" s="28"/>
      <c r="AO13" s="6"/>
      <c r="AP13" s="6"/>
      <c r="AQ13" s="6">
        <f t="shared" si="7"/>
        <v>0</v>
      </c>
      <c r="AR13" s="6">
        <f t="shared" si="8"/>
        <v>1.1207177814029363</v>
      </c>
      <c r="AS13" s="6">
        <f t="shared" si="9"/>
        <v>1.2005730659025788</v>
      </c>
      <c r="AT13" s="4"/>
      <c r="AU13" s="4"/>
      <c r="AV13" s="4"/>
      <c r="AW13" s="4"/>
      <c r="AX13" s="4"/>
      <c r="AY13" s="4"/>
      <c r="AZ13" s="4"/>
      <c r="BA13" s="4"/>
      <c r="BB13" s="4"/>
      <c r="BC13" s="4" t="s">
        <v>67</v>
      </c>
      <c r="BD13" s="4" t="s">
        <v>120</v>
      </c>
      <c r="BE13" s="4"/>
      <c r="BF13" s="4"/>
      <c r="BG13" s="4" t="s">
        <v>108</v>
      </c>
      <c r="BH13" s="4">
        <v>678</v>
      </c>
      <c r="BI13" s="4">
        <f t="shared" si="19"/>
        <v>678</v>
      </c>
      <c r="BJ13" s="19">
        <v>4</v>
      </c>
      <c r="BK13" s="19">
        <v>1</v>
      </c>
      <c r="BL13" s="16">
        <v>6</v>
      </c>
      <c r="BM13">
        <v>580</v>
      </c>
      <c r="BN13">
        <v>573</v>
      </c>
      <c r="BO13">
        <f t="shared" si="17"/>
        <v>687.92836676217769</v>
      </c>
      <c r="BP13" t="s">
        <v>98</v>
      </c>
    </row>
    <row r="14" spans="1:68" x14ac:dyDescent="0.4">
      <c r="A14" s="3">
        <v>11</v>
      </c>
      <c r="B14" s="3">
        <v>11</v>
      </c>
      <c r="C14" s="4">
        <v>645987</v>
      </c>
      <c r="D14" s="4" t="str">
        <f t="shared" ref="D14:D21" si="20">TEXT(C14,"000000")</f>
        <v>645987</v>
      </c>
      <c r="E14" s="4">
        <v>645987</v>
      </c>
      <c r="F14" s="4" t="s">
        <v>79</v>
      </c>
      <c r="G14" s="5">
        <v>4901761100601</v>
      </c>
      <c r="H14" s="5"/>
      <c r="I14" s="5"/>
      <c r="J14" s="5">
        <v>1</v>
      </c>
      <c r="K14" s="5">
        <v>1</v>
      </c>
      <c r="L14" s="4">
        <v>840</v>
      </c>
      <c r="M14" s="4">
        <v>761</v>
      </c>
      <c r="N14" s="4">
        <v>400</v>
      </c>
      <c r="O14" s="6">
        <f t="shared" ref="O14:O21" si="21">1-N14/M14</f>
        <v>0.47437582128777922</v>
      </c>
      <c r="P14" s="4" t="s">
        <v>88</v>
      </c>
      <c r="Q14" s="4"/>
      <c r="R14" s="4"/>
      <c r="S14" s="4"/>
      <c r="T14" s="4"/>
      <c r="U14" s="4"/>
      <c r="V14" s="4"/>
      <c r="W14" s="4"/>
      <c r="X14" s="4"/>
      <c r="Y14" s="4">
        <v>0</v>
      </c>
      <c r="Z14" s="4">
        <f t="shared" ref="Z14:Z21" si="22">IF(AC14="",Y14,Y14*AC14)</f>
        <v>0</v>
      </c>
      <c r="AA14" s="4">
        <v>484</v>
      </c>
      <c r="AB14" s="4">
        <f t="shared" ref="AB14:AB21" si="23">IF(AC14="",AA14,AA14*AC14)</f>
        <v>484</v>
      </c>
      <c r="AC14" s="4"/>
      <c r="AD14" s="21">
        <f t="shared" si="1"/>
        <v>921</v>
      </c>
      <c r="AE14" s="6">
        <f t="shared" ref="AE14:AE21" si="24">1-AB14/AD14</f>
        <v>0.47448425624321389</v>
      </c>
      <c r="AF14" s="4">
        <v>2</v>
      </c>
      <c r="AG14" s="4">
        <f t="shared" ref="AG14:AG21" si="25">BI14</f>
        <v>675.66666666666663</v>
      </c>
      <c r="AH14" s="4">
        <f t="shared" si="3"/>
        <v>817.55666666666662</v>
      </c>
      <c r="AI14" s="6">
        <f t="shared" si="4"/>
        <v>0.40799210656142082</v>
      </c>
      <c r="AJ14" s="4">
        <f t="shared" si="16"/>
        <v>806.66666666666674</v>
      </c>
      <c r="AK14" s="7">
        <v>815</v>
      </c>
      <c r="AL14" s="6">
        <f t="shared" si="5"/>
        <v>0.40613496932515336</v>
      </c>
      <c r="AM14" s="4">
        <f t="shared" si="6"/>
        <v>331</v>
      </c>
      <c r="AN14" s="28"/>
      <c r="AO14" s="6"/>
      <c r="AP14" s="6"/>
      <c r="AQ14" s="6">
        <f t="shared" si="7"/>
        <v>0</v>
      </c>
      <c r="AR14" s="6">
        <f t="shared" si="8"/>
        <v>1.0709592641261498</v>
      </c>
      <c r="AS14" s="6">
        <f t="shared" si="9"/>
        <v>1.21</v>
      </c>
      <c r="AT14" s="4"/>
      <c r="AU14" s="4"/>
      <c r="AV14" s="4"/>
      <c r="AW14" s="4"/>
      <c r="AX14" s="4"/>
      <c r="AY14" s="4"/>
      <c r="AZ14" s="4"/>
      <c r="BA14" s="4"/>
      <c r="BB14" s="4"/>
      <c r="BC14" s="4">
        <v>0</v>
      </c>
      <c r="BD14" s="4" t="s">
        <v>121</v>
      </c>
      <c r="BE14" s="4">
        <v>1</v>
      </c>
      <c r="BF14" s="4">
        <v>3</v>
      </c>
      <c r="BG14" s="4" t="s">
        <v>122</v>
      </c>
      <c r="BH14" s="4">
        <v>2027</v>
      </c>
      <c r="BI14" s="4">
        <f t="shared" ref="BI14:BI21" si="26">IF(BE14="",BH14,BE14/BF14*BH14)</f>
        <v>675.66666666666663</v>
      </c>
      <c r="BJ14" s="19">
        <v>4</v>
      </c>
      <c r="BK14" s="19">
        <v>1</v>
      </c>
      <c r="BL14" s="16">
        <v>6</v>
      </c>
      <c r="BM14" t="s">
        <v>87</v>
      </c>
      <c r="BN14">
        <v>780</v>
      </c>
      <c r="BO14">
        <f t="shared" si="17"/>
        <v>943.8</v>
      </c>
      <c r="BP14" t="s">
        <v>99</v>
      </c>
    </row>
    <row r="15" spans="1:68" x14ac:dyDescent="0.4">
      <c r="A15" s="3">
        <v>12</v>
      </c>
      <c r="B15" s="3">
        <v>12</v>
      </c>
      <c r="C15" s="4">
        <v>657819</v>
      </c>
      <c r="D15" s="4" t="str">
        <f t="shared" si="20"/>
        <v>657819</v>
      </c>
      <c r="E15" s="4">
        <v>657819</v>
      </c>
      <c r="F15" s="4" t="s">
        <v>80</v>
      </c>
      <c r="G15" s="5">
        <v>4901761100526</v>
      </c>
      <c r="H15" s="5"/>
      <c r="I15" s="5"/>
      <c r="J15" s="5">
        <v>1</v>
      </c>
      <c r="K15" s="5">
        <v>1</v>
      </c>
      <c r="L15" s="4">
        <v>840</v>
      </c>
      <c r="M15" s="4">
        <v>571</v>
      </c>
      <c r="N15" s="4">
        <v>402</v>
      </c>
      <c r="O15" s="6">
        <f t="shared" si="21"/>
        <v>0.29597197898423822</v>
      </c>
      <c r="P15" s="4" t="s">
        <v>88</v>
      </c>
      <c r="Q15" s="4"/>
      <c r="R15" s="4"/>
      <c r="S15" s="4"/>
      <c r="T15" s="4"/>
      <c r="U15" s="4"/>
      <c r="V15" s="4"/>
      <c r="W15" s="4"/>
      <c r="X15" s="4"/>
      <c r="Y15" s="4">
        <v>0</v>
      </c>
      <c r="Z15" s="4">
        <f t="shared" si="22"/>
        <v>0</v>
      </c>
      <c r="AA15" s="4">
        <v>486</v>
      </c>
      <c r="AB15" s="4">
        <f t="shared" si="23"/>
        <v>486</v>
      </c>
      <c r="AC15" s="4"/>
      <c r="AD15" s="21">
        <f t="shared" si="1"/>
        <v>690</v>
      </c>
      <c r="AE15" s="6">
        <f t="shared" si="24"/>
        <v>0.29565217391304344</v>
      </c>
      <c r="AF15" s="4">
        <v>1</v>
      </c>
      <c r="AG15" s="4">
        <f t="shared" si="25"/>
        <v>675.66666666666663</v>
      </c>
      <c r="AH15" s="4">
        <f t="shared" si="3"/>
        <v>816.85074626865662</v>
      </c>
      <c r="AI15" s="6">
        <f t="shared" si="4"/>
        <v>0.4050320670942279</v>
      </c>
      <c r="AJ15" s="4">
        <f t="shared" si="16"/>
        <v>810</v>
      </c>
      <c r="AK15" s="7">
        <v>815</v>
      </c>
      <c r="AL15" s="6">
        <f t="shared" si="5"/>
        <v>0.40368098159509203</v>
      </c>
      <c r="AM15" s="4">
        <f t="shared" si="6"/>
        <v>329</v>
      </c>
      <c r="AN15" s="28"/>
      <c r="AO15" s="6"/>
      <c r="AP15" s="6"/>
      <c r="AQ15" s="6">
        <f t="shared" si="7"/>
        <v>0</v>
      </c>
      <c r="AR15" s="6">
        <f t="shared" si="8"/>
        <v>1.4273204903677759</v>
      </c>
      <c r="AS15" s="6">
        <f t="shared" si="9"/>
        <v>1.208955223880597</v>
      </c>
      <c r="AT15" s="4"/>
      <c r="AU15" s="4"/>
      <c r="AV15" s="4"/>
      <c r="AW15" s="4"/>
      <c r="AX15" s="4"/>
      <c r="AY15" s="4"/>
      <c r="AZ15" s="4"/>
      <c r="BA15" s="4"/>
      <c r="BB15" s="4"/>
      <c r="BC15" s="4">
        <v>0</v>
      </c>
      <c r="BD15" s="4" t="s">
        <v>123</v>
      </c>
      <c r="BE15" s="4">
        <v>1</v>
      </c>
      <c r="BF15" s="4">
        <v>3</v>
      </c>
      <c r="BG15" s="4" t="s">
        <v>122</v>
      </c>
      <c r="BH15" s="4">
        <v>2027</v>
      </c>
      <c r="BI15" s="4">
        <f t="shared" si="26"/>
        <v>675.66666666666663</v>
      </c>
      <c r="BJ15" s="19">
        <v>4</v>
      </c>
      <c r="BK15" s="19">
        <v>1</v>
      </c>
      <c r="BL15" s="16">
        <v>6</v>
      </c>
      <c r="BM15">
        <v>735</v>
      </c>
      <c r="BN15">
        <v>780</v>
      </c>
      <c r="BO15">
        <f t="shared" si="17"/>
        <v>942.98507462686564</v>
      </c>
      <c r="BP15" t="s">
        <v>100</v>
      </c>
    </row>
    <row r="16" spans="1:68" x14ac:dyDescent="0.4">
      <c r="A16" s="3">
        <v>13</v>
      </c>
      <c r="B16" s="3">
        <v>13</v>
      </c>
      <c r="C16" s="4">
        <v>416658</v>
      </c>
      <c r="D16" s="4" t="str">
        <f t="shared" si="20"/>
        <v>416658</v>
      </c>
      <c r="E16" s="4">
        <v>416658</v>
      </c>
      <c r="F16" s="4" t="s">
        <v>81</v>
      </c>
      <c r="G16" s="5">
        <v>4901761100571</v>
      </c>
      <c r="H16" s="5"/>
      <c r="I16" s="5"/>
      <c r="J16" s="5">
        <v>1</v>
      </c>
      <c r="K16" s="5">
        <v>1</v>
      </c>
      <c r="L16" s="4">
        <v>12300</v>
      </c>
      <c r="M16" s="4">
        <v>10149</v>
      </c>
      <c r="N16" s="4">
        <v>5880</v>
      </c>
      <c r="O16" s="6">
        <f t="shared" si="21"/>
        <v>0.42063257463789538</v>
      </c>
      <c r="P16" s="4" t="s">
        <v>88</v>
      </c>
      <c r="Q16" s="4"/>
      <c r="R16" s="4"/>
      <c r="S16" s="4"/>
      <c r="T16" s="4"/>
      <c r="U16" s="4"/>
      <c r="V16" s="4"/>
      <c r="W16" s="4"/>
      <c r="X16" s="4"/>
      <c r="Y16" s="4">
        <v>0</v>
      </c>
      <c r="Z16" s="4">
        <f t="shared" si="22"/>
        <v>0</v>
      </c>
      <c r="AA16" s="4">
        <v>706</v>
      </c>
      <c r="AB16" s="4">
        <f t="shared" si="23"/>
        <v>7060</v>
      </c>
      <c r="AC16" s="4">
        <v>10</v>
      </c>
      <c r="AD16" s="21">
        <f t="shared" si="1"/>
        <v>12186</v>
      </c>
      <c r="AE16" s="6">
        <f t="shared" si="24"/>
        <v>0.42064664368947968</v>
      </c>
      <c r="AF16" s="4">
        <v>0</v>
      </c>
      <c r="AG16" s="4">
        <f t="shared" si="25"/>
        <v>9930</v>
      </c>
      <c r="AH16" s="4">
        <f t="shared" si="3"/>
        <v>11922.755102040815</v>
      </c>
      <c r="AI16" s="6">
        <f t="shared" si="4"/>
        <v>0.40785498489425975</v>
      </c>
      <c r="AJ16" s="4">
        <f t="shared" si="16"/>
        <v>11766.666666666668</v>
      </c>
      <c r="AK16" s="7">
        <v>11920</v>
      </c>
      <c r="AL16" s="6">
        <f t="shared" si="5"/>
        <v>0.40771812080536918</v>
      </c>
      <c r="AM16" s="4">
        <f t="shared" si="6"/>
        <v>4860</v>
      </c>
      <c r="AN16" s="28"/>
      <c r="AO16" s="6"/>
      <c r="AP16" s="6"/>
      <c r="AQ16" s="6">
        <f t="shared" si="7"/>
        <v>0</v>
      </c>
      <c r="AR16" s="6">
        <f t="shared" si="8"/>
        <v>1.1744999507340625</v>
      </c>
      <c r="AS16" s="6">
        <f t="shared" si="9"/>
        <v>1.2006802721088434</v>
      </c>
      <c r="AT16" s="4"/>
      <c r="AU16" s="4"/>
      <c r="AV16" s="4"/>
      <c r="AW16" s="4"/>
      <c r="AX16" s="4"/>
      <c r="AY16" s="4"/>
      <c r="AZ16" s="4"/>
      <c r="BA16" s="4"/>
      <c r="BB16" s="4"/>
      <c r="BC16" s="4">
        <v>0</v>
      </c>
      <c r="BD16" s="4" t="s">
        <v>124</v>
      </c>
      <c r="BE16" s="4">
        <v>10</v>
      </c>
      <c r="BF16" s="4">
        <v>1</v>
      </c>
      <c r="BG16" s="4" t="s">
        <v>125</v>
      </c>
      <c r="BH16" s="4">
        <v>993</v>
      </c>
      <c r="BI16" s="4">
        <f t="shared" si="26"/>
        <v>9930</v>
      </c>
      <c r="BJ16" s="19">
        <v>4</v>
      </c>
      <c r="BK16" s="19">
        <v>8</v>
      </c>
      <c r="BL16" s="16">
        <v>6</v>
      </c>
      <c r="BM16" t="s">
        <v>87</v>
      </c>
      <c r="BN16">
        <v>1122</v>
      </c>
      <c r="BO16">
        <f t="shared" si="17"/>
        <v>1347.1632653061224</v>
      </c>
      <c r="BP16" t="s">
        <v>101</v>
      </c>
    </row>
    <row r="17" spans="1:68" x14ac:dyDescent="0.4">
      <c r="A17" s="3">
        <v>14</v>
      </c>
      <c r="B17" s="3">
        <v>14</v>
      </c>
      <c r="C17" s="4">
        <v>677067</v>
      </c>
      <c r="D17" s="4" t="str">
        <f t="shared" si="20"/>
        <v>677067</v>
      </c>
      <c r="E17" s="4">
        <v>677067</v>
      </c>
      <c r="F17" s="4" t="s">
        <v>82</v>
      </c>
      <c r="G17" s="5">
        <v>4901761100632</v>
      </c>
      <c r="H17" s="5"/>
      <c r="I17" s="5"/>
      <c r="J17" s="5">
        <v>1</v>
      </c>
      <c r="K17" s="5">
        <v>1</v>
      </c>
      <c r="L17" s="4">
        <v>1230</v>
      </c>
      <c r="M17" s="4">
        <v>836</v>
      </c>
      <c r="N17" s="4">
        <v>588</v>
      </c>
      <c r="O17" s="6">
        <f t="shared" si="21"/>
        <v>0.29665071770334928</v>
      </c>
      <c r="P17" s="4" t="s">
        <v>88</v>
      </c>
      <c r="Q17" s="4"/>
      <c r="R17" s="4"/>
      <c r="S17" s="4"/>
      <c r="T17" s="4"/>
      <c r="U17" s="4"/>
      <c r="V17" s="4"/>
      <c r="W17" s="4"/>
      <c r="X17" s="4"/>
      <c r="Y17" s="4">
        <v>0</v>
      </c>
      <c r="Z17" s="4">
        <f t="shared" si="22"/>
        <v>0</v>
      </c>
      <c r="AA17" s="4">
        <v>706</v>
      </c>
      <c r="AB17" s="4">
        <f t="shared" si="23"/>
        <v>706</v>
      </c>
      <c r="AC17" s="4"/>
      <c r="AD17" s="21">
        <f t="shared" si="1"/>
        <v>1004</v>
      </c>
      <c r="AE17" s="6">
        <f t="shared" si="24"/>
        <v>0.29681274900398402</v>
      </c>
      <c r="AF17" s="4">
        <v>8.25</v>
      </c>
      <c r="AG17" s="4">
        <f t="shared" si="25"/>
        <v>993</v>
      </c>
      <c r="AH17" s="4">
        <f t="shared" si="3"/>
        <v>1192.2755102040815</v>
      </c>
      <c r="AI17" s="6">
        <f t="shared" si="4"/>
        <v>0.40785498489425975</v>
      </c>
      <c r="AJ17" s="4">
        <f t="shared" si="16"/>
        <v>1176.6666666666667</v>
      </c>
      <c r="AK17" s="7">
        <v>1180</v>
      </c>
      <c r="AL17" s="6">
        <f t="shared" si="5"/>
        <v>0.40169491525423728</v>
      </c>
      <c r="AM17" s="4">
        <f t="shared" si="6"/>
        <v>474</v>
      </c>
      <c r="AN17" s="28"/>
      <c r="AO17" s="6"/>
      <c r="AP17" s="6"/>
      <c r="AQ17" s="6">
        <f t="shared" si="7"/>
        <v>0</v>
      </c>
      <c r="AR17" s="6">
        <f t="shared" si="8"/>
        <v>1.4114832535885167</v>
      </c>
      <c r="AS17" s="6">
        <f t="shared" si="9"/>
        <v>1.2006802721088434</v>
      </c>
      <c r="AT17" s="4"/>
      <c r="AU17" s="4"/>
      <c r="AV17" s="4"/>
      <c r="AW17" s="4"/>
      <c r="AX17" s="4"/>
      <c r="AY17" s="4"/>
      <c r="AZ17" s="4"/>
      <c r="BA17" s="4"/>
      <c r="BB17" s="4"/>
      <c r="BC17" s="4">
        <v>0</v>
      </c>
      <c r="BD17" s="4" t="s">
        <v>126</v>
      </c>
      <c r="BE17" s="4"/>
      <c r="BF17" s="4"/>
      <c r="BG17" s="4" t="s">
        <v>125</v>
      </c>
      <c r="BH17" s="4">
        <v>993</v>
      </c>
      <c r="BI17" s="4">
        <f t="shared" si="26"/>
        <v>993</v>
      </c>
      <c r="BJ17" s="19">
        <v>4</v>
      </c>
      <c r="BK17" s="19">
        <v>1</v>
      </c>
      <c r="BL17" s="16">
        <v>6</v>
      </c>
      <c r="BM17" t="s">
        <v>87</v>
      </c>
      <c r="BN17">
        <v>1076</v>
      </c>
      <c r="BO17">
        <f t="shared" si="17"/>
        <v>1291.9319727891154</v>
      </c>
      <c r="BP17" t="s">
        <v>102</v>
      </c>
    </row>
    <row r="18" spans="1:68" x14ac:dyDescent="0.4">
      <c r="A18" s="3">
        <v>15</v>
      </c>
      <c r="B18" s="3">
        <v>15</v>
      </c>
      <c r="C18" s="4">
        <v>937078</v>
      </c>
      <c r="D18" s="4" t="str">
        <f t="shared" si="20"/>
        <v>937078</v>
      </c>
      <c r="E18" s="4">
        <v>937078</v>
      </c>
      <c r="F18" s="4" t="s">
        <v>83</v>
      </c>
      <c r="G18" s="5">
        <v>4901761160773</v>
      </c>
      <c r="H18" s="5"/>
      <c r="I18" s="5"/>
      <c r="J18" s="5">
        <v>1</v>
      </c>
      <c r="K18" s="5">
        <v>1</v>
      </c>
      <c r="L18" s="4">
        <v>1310</v>
      </c>
      <c r="M18" s="4">
        <v>1236</v>
      </c>
      <c r="N18" s="4">
        <v>796</v>
      </c>
      <c r="O18" s="6">
        <f t="shared" si="21"/>
        <v>0.35598705501618122</v>
      </c>
      <c r="P18" s="4" t="s">
        <v>88</v>
      </c>
      <c r="Q18" s="4"/>
      <c r="R18" s="4"/>
      <c r="S18" s="4"/>
      <c r="T18" s="4"/>
      <c r="U18" s="4"/>
      <c r="V18" s="4"/>
      <c r="W18" s="4"/>
      <c r="X18" s="4"/>
      <c r="Y18" s="4">
        <v>1579</v>
      </c>
      <c r="Z18" s="4">
        <f t="shared" si="22"/>
        <v>1579</v>
      </c>
      <c r="AA18" s="4">
        <v>838</v>
      </c>
      <c r="AB18" s="4">
        <f t="shared" si="23"/>
        <v>838</v>
      </c>
      <c r="AC18" s="4"/>
      <c r="AD18" s="21">
        <f t="shared" si="1"/>
        <v>1301</v>
      </c>
      <c r="AE18" s="6">
        <f t="shared" si="24"/>
        <v>0.355880092236741</v>
      </c>
      <c r="AF18" s="4">
        <v>2</v>
      </c>
      <c r="AG18" s="4">
        <f t="shared" si="25"/>
        <v>1363</v>
      </c>
      <c r="AH18" s="4">
        <f t="shared" si="3"/>
        <v>1434.9170854271356</v>
      </c>
      <c r="AI18" s="6">
        <f t="shared" si="4"/>
        <v>0.41599413059427726</v>
      </c>
      <c r="AJ18" s="4">
        <f t="shared" si="16"/>
        <v>1396.6666666666667</v>
      </c>
      <c r="AK18" s="7">
        <v>1400</v>
      </c>
      <c r="AL18" s="6">
        <f t="shared" si="5"/>
        <v>0.40142857142857147</v>
      </c>
      <c r="AM18" s="4">
        <f t="shared" si="6"/>
        <v>562</v>
      </c>
      <c r="AN18" s="28"/>
      <c r="AO18" s="6"/>
      <c r="AP18" s="6"/>
      <c r="AQ18" s="6">
        <f t="shared" si="7"/>
        <v>1.2053435114503817</v>
      </c>
      <c r="AR18" s="6">
        <f t="shared" si="8"/>
        <v>1.1326860841423949</v>
      </c>
      <c r="AS18" s="6">
        <f t="shared" si="9"/>
        <v>1.0527638190954773</v>
      </c>
      <c r="AT18" s="4"/>
      <c r="AU18" s="4"/>
      <c r="AV18" s="4"/>
      <c r="AW18" s="4"/>
      <c r="AX18" s="4"/>
      <c r="AY18" s="4"/>
      <c r="AZ18" s="4"/>
      <c r="BA18" s="4"/>
      <c r="BB18" s="4"/>
      <c r="BC18" s="4" t="s">
        <v>68</v>
      </c>
      <c r="BD18" s="4" t="s">
        <v>127</v>
      </c>
      <c r="BE18" s="4"/>
      <c r="BF18" s="4"/>
      <c r="BG18" s="4" t="s">
        <v>108</v>
      </c>
      <c r="BH18" s="4">
        <v>1363</v>
      </c>
      <c r="BI18" s="4">
        <f t="shared" si="26"/>
        <v>1363</v>
      </c>
      <c r="BJ18" s="19">
        <v>4</v>
      </c>
      <c r="BK18" s="19">
        <v>1</v>
      </c>
      <c r="BL18" s="16">
        <v>6</v>
      </c>
      <c r="BM18" t="s">
        <v>87</v>
      </c>
      <c r="BN18">
        <v>1375</v>
      </c>
      <c r="BO18">
        <f t="shared" si="17"/>
        <v>1447.5502512562814</v>
      </c>
      <c r="BP18" t="s">
        <v>103</v>
      </c>
    </row>
    <row r="19" spans="1:68" x14ac:dyDescent="0.4">
      <c r="A19" s="3">
        <v>16</v>
      </c>
      <c r="B19" s="3">
        <v>16</v>
      </c>
      <c r="C19" s="4">
        <v>667044</v>
      </c>
      <c r="D19" s="4" t="str">
        <f t="shared" si="20"/>
        <v>667044</v>
      </c>
      <c r="E19" s="4">
        <v>667044</v>
      </c>
      <c r="F19" s="4" t="s">
        <v>84</v>
      </c>
      <c r="G19" s="5">
        <v>4901761336994</v>
      </c>
      <c r="H19" s="5"/>
      <c r="I19" s="5"/>
      <c r="J19" s="5">
        <v>1</v>
      </c>
      <c r="K19" s="5">
        <v>1</v>
      </c>
      <c r="L19" s="4">
        <v>0</v>
      </c>
      <c r="M19" s="4">
        <v>1049</v>
      </c>
      <c r="N19" s="4">
        <v>845</v>
      </c>
      <c r="O19" s="6">
        <f t="shared" si="21"/>
        <v>0.19447092469018112</v>
      </c>
      <c r="P19" s="4" t="s">
        <v>88</v>
      </c>
      <c r="Q19" s="4"/>
      <c r="R19" s="4"/>
      <c r="S19" s="4"/>
      <c r="T19" s="4"/>
      <c r="U19" s="4"/>
      <c r="V19" s="4"/>
      <c r="W19" s="4"/>
      <c r="X19" s="4"/>
      <c r="Y19" s="4">
        <v>0</v>
      </c>
      <c r="Z19" s="4">
        <f t="shared" si="22"/>
        <v>0</v>
      </c>
      <c r="AA19" s="4">
        <v>930</v>
      </c>
      <c r="AB19" s="4">
        <f t="shared" si="23"/>
        <v>930</v>
      </c>
      <c r="AC19" s="4"/>
      <c r="AD19" s="21">
        <f t="shared" si="1"/>
        <v>1155</v>
      </c>
      <c r="AE19" s="6">
        <f t="shared" si="24"/>
        <v>0.19480519480519476</v>
      </c>
      <c r="AF19" s="4">
        <v>0.25</v>
      </c>
      <c r="AG19" s="4">
        <f t="shared" si="25"/>
        <v>1049</v>
      </c>
      <c r="AH19" s="4">
        <f t="shared" si="3"/>
        <v>1154.5207100591717</v>
      </c>
      <c r="AI19" s="6">
        <f t="shared" si="4"/>
        <v>0.19447092469018123</v>
      </c>
      <c r="AJ19" s="4">
        <f t="shared" si="16"/>
        <v>1550</v>
      </c>
      <c r="AK19" s="7">
        <v>1298</v>
      </c>
      <c r="AL19" s="6">
        <f t="shared" si="5"/>
        <v>0.28351309707241912</v>
      </c>
      <c r="AM19" s="4">
        <f t="shared" si="6"/>
        <v>368</v>
      </c>
      <c r="AN19" s="28"/>
      <c r="AO19" s="6"/>
      <c r="AP19" s="6"/>
      <c r="AQ19" s="6" t="e">
        <f t="shared" si="7"/>
        <v>#DIV/0!</v>
      </c>
      <c r="AR19" s="6">
        <f t="shared" si="8"/>
        <v>1.2373689227836033</v>
      </c>
      <c r="AS19" s="6">
        <f t="shared" si="9"/>
        <v>1.1005917159763314</v>
      </c>
      <c r="AT19" s="4"/>
      <c r="AU19" s="4"/>
      <c r="AV19" s="4"/>
      <c r="AW19" s="4"/>
      <c r="AX19" s="4"/>
      <c r="AY19" s="4"/>
      <c r="AZ19" s="4"/>
      <c r="BA19" s="4"/>
      <c r="BB19" s="4"/>
      <c r="BC19" s="4">
        <v>0</v>
      </c>
      <c r="BD19" s="4" t="s">
        <v>128</v>
      </c>
      <c r="BE19" s="4"/>
      <c r="BF19" s="4"/>
      <c r="BG19" s="4" t="s">
        <v>118</v>
      </c>
      <c r="BH19" s="4">
        <v>1049</v>
      </c>
      <c r="BI19" s="4">
        <f t="shared" si="26"/>
        <v>1049</v>
      </c>
      <c r="BJ19" s="19">
        <v>4</v>
      </c>
      <c r="BK19" s="19">
        <v>8</v>
      </c>
      <c r="BL19" s="16">
        <v>6</v>
      </c>
      <c r="BM19" t="s">
        <v>87</v>
      </c>
      <c r="BN19">
        <v>1180</v>
      </c>
      <c r="BO19">
        <f t="shared" si="17"/>
        <v>1298.698224852071</v>
      </c>
      <c r="BP19" t="s">
        <v>104</v>
      </c>
    </row>
    <row r="20" spans="1:68" x14ac:dyDescent="0.4">
      <c r="A20" s="3">
        <v>17</v>
      </c>
      <c r="B20" s="3">
        <v>17</v>
      </c>
      <c r="C20" s="4">
        <v>677237</v>
      </c>
      <c r="D20" s="4" t="str">
        <f t="shared" si="20"/>
        <v>677237</v>
      </c>
      <c r="E20" s="4">
        <v>677237</v>
      </c>
      <c r="F20" s="4" t="s">
        <v>85</v>
      </c>
      <c r="G20" s="5">
        <v>4901761160254</v>
      </c>
      <c r="H20" s="5"/>
      <c r="I20" s="5"/>
      <c r="J20" s="5">
        <v>1</v>
      </c>
      <c r="K20" s="5">
        <v>1</v>
      </c>
      <c r="L20" s="4">
        <v>1950</v>
      </c>
      <c r="M20" s="4">
        <v>1576</v>
      </c>
      <c r="N20" s="4">
        <v>873.5</v>
      </c>
      <c r="O20" s="6">
        <f t="shared" si="21"/>
        <v>0.44574873096446699</v>
      </c>
      <c r="P20" s="4" t="s">
        <v>88</v>
      </c>
      <c r="Q20" s="4"/>
      <c r="R20" s="4"/>
      <c r="S20" s="4"/>
      <c r="T20" s="4"/>
      <c r="U20" s="4"/>
      <c r="V20" s="4"/>
      <c r="W20" s="4"/>
      <c r="X20" s="4"/>
      <c r="Y20" s="4">
        <v>0</v>
      </c>
      <c r="Z20" s="4">
        <f t="shared" si="22"/>
        <v>0</v>
      </c>
      <c r="AA20" s="4">
        <v>1049</v>
      </c>
      <c r="AB20" s="4">
        <f t="shared" si="23"/>
        <v>1049</v>
      </c>
      <c r="AC20" s="4"/>
      <c r="AD20" s="21">
        <f t="shared" si="1"/>
        <v>1893</v>
      </c>
      <c r="AE20" s="6">
        <f t="shared" si="24"/>
        <v>0.44585314315900682</v>
      </c>
      <c r="AF20" s="4">
        <v>30.5</v>
      </c>
      <c r="AG20" s="4">
        <f t="shared" si="25"/>
        <v>1191</v>
      </c>
      <c r="AH20" s="4">
        <f t="shared" si="3"/>
        <v>1430.2907842014881</v>
      </c>
      <c r="AI20" s="6">
        <f t="shared" si="4"/>
        <v>0.26658270361041136</v>
      </c>
      <c r="AJ20" s="4">
        <f t="shared" si="16"/>
        <v>1748.3333333333335</v>
      </c>
      <c r="AK20" s="7">
        <v>1800</v>
      </c>
      <c r="AL20" s="6">
        <f t="shared" si="5"/>
        <v>0.41722222222222227</v>
      </c>
      <c r="AM20" s="4">
        <f t="shared" si="6"/>
        <v>751</v>
      </c>
      <c r="AN20" s="28"/>
      <c r="AO20" s="6"/>
      <c r="AP20" s="6"/>
      <c r="AQ20" s="6">
        <f t="shared" si="7"/>
        <v>0</v>
      </c>
      <c r="AR20" s="6">
        <f t="shared" si="8"/>
        <v>1.1421319796954315</v>
      </c>
      <c r="AS20" s="6">
        <f t="shared" si="9"/>
        <v>1.2009158557527189</v>
      </c>
      <c r="AT20" s="4"/>
      <c r="AU20" s="4"/>
      <c r="AV20" s="4"/>
      <c r="AW20" s="4"/>
      <c r="AX20" s="4"/>
      <c r="AY20" s="4"/>
      <c r="AZ20" s="4"/>
      <c r="BA20" s="4"/>
      <c r="BB20" s="4"/>
      <c r="BC20" s="4">
        <v>0</v>
      </c>
      <c r="BD20" s="4" t="s">
        <v>129</v>
      </c>
      <c r="BE20" s="4"/>
      <c r="BF20" s="4"/>
      <c r="BG20" s="4" t="s">
        <v>108</v>
      </c>
      <c r="BH20" s="4">
        <v>1191</v>
      </c>
      <c r="BI20" s="4">
        <f t="shared" si="26"/>
        <v>1191</v>
      </c>
      <c r="BJ20" s="19">
        <v>4</v>
      </c>
      <c r="BK20" s="19">
        <v>1</v>
      </c>
      <c r="BL20" s="16">
        <v>6</v>
      </c>
      <c r="BM20">
        <v>1407</v>
      </c>
      <c r="BN20">
        <v>1339</v>
      </c>
      <c r="BO20">
        <f t="shared" si="17"/>
        <v>1608.0263308528906</v>
      </c>
      <c r="BP20" t="s">
        <v>105</v>
      </c>
    </row>
    <row r="21" spans="1:68" x14ac:dyDescent="0.4">
      <c r="A21" s="3">
        <v>18</v>
      </c>
      <c r="B21" s="3">
        <v>18</v>
      </c>
      <c r="C21" s="4">
        <v>677236</v>
      </c>
      <c r="D21" s="4" t="str">
        <f t="shared" si="20"/>
        <v>677236</v>
      </c>
      <c r="E21" s="4">
        <v>677236</v>
      </c>
      <c r="F21" s="4" t="s">
        <v>86</v>
      </c>
      <c r="G21" s="5">
        <v>4901761160230</v>
      </c>
      <c r="H21" s="5"/>
      <c r="I21" s="5"/>
      <c r="J21" s="5">
        <v>1</v>
      </c>
      <c r="K21" s="5">
        <v>1</v>
      </c>
      <c r="L21" s="4">
        <v>1950</v>
      </c>
      <c r="M21" s="4">
        <v>1529</v>
      </c>
      <c r="N21" s="4">
        <v>930</v>
      </c>
      <c r="O21" s="6">
        <f t="shared" si="21"/>
        <v>0.39175931981687373</v>
      </c>
      <c r="P21" s="4" t="s">
        <v>88</v>
      </c>
      <c r="Q21" s="4"/>
      <c r="R21" s="4"/>
      <c r="S21" s="4"/>
      <c r="T21" s="4"/>
      <c r="U21" s="4"/>
      <c r="V21" s="4"/>
      <c r="W21" s="4"/>
      <c r="X21" s="4"/>
      <c r="Y21" s="4">
        <v>0</v>
      </c>
      <c r="Z21" s="4">
        <f t="shared" si="22"/>
        <v>0</v>
      </c>
      <c r="AA21" s="4">
        <v>1046</v>
      </c>
      <c r="AB21" s="4">
        <f t="shared" si="23"/>
        <v>1046</v>
      </c>
      <c r="AC21" s="4"/>
      <c r="AD21" s="21">
        <f t="shared" si="1"/>
        <v>1720</v>
      </c>
      <c r="AE21" s="6">
        <f t="shared" si="24"/>
        <v>0.39186046511627903</v>
      </c>
      <c r="AF21" s="4">
        <v>6</v>
      </c>
      <c r="AG21" s="4">
        <f t="shared" si="25"/>
        <v>1672</v>
      </c>
      <c r="AH21" s="4">
        <f t="shared" si="3"/>
        <v>1880.5505376344086</v>
      </c>
      <c r="AI21" s="6">
        <f t="shared" si="4"/>
        <v>0.44377990430622005</v>
      </c>
      <c r="AJ21" s="4">
        <f t="shared" si="16"/>
        <v>1743.3333333333335</v>
      </c>
      <c r="AK21" s="7">
        <v>1740</v>
      </c>
      <c r="AL21" s="6">
        <f t="shared" si="5"/>
        <v>0.39885057471264362</v>
      </c>
      <c r="AM21" s="4">
        <f t="shared" si="6"/>
        <v>694</v>
      </c>
      <c r="AN21" s="28"/>
      <c r="AO21" s="6"/>
      <c r="AP21" s="6"/>
      <c r="AQ21" s="6">
        <f t="shared" si="7"/>
        <v>0</v>
      </c>
      <c r="AR21" s="6">
        <f t="shared" si="8"/>
        <v>1.1379986919555265</v>
      </c>
      <c r="AS21" s="6">
        <f t="shared" si="9"/>
        <v>1.1247311827956989</v>
      </c>
      <c r="AT21" s="4"/>
      <c r="AU21" s="4"/>
      <c r="AV21" s="4"/>
      <c r="AW21" s="4"/>
      <c r="AX21" s="4"/>
      <c r="AY21" s="4"/>
      <c r="AZ21" s="4"/>
      <c r="BA21" s="4"/>
      <c r="BB21" s="4"/>
      <c r="BC21" s="4">
        <v>0</v>
      </c>
      <c r="BD21" s="4" t="s">
        <v>130</v>
      </c>
      <c r="BE21" s="4"/>
      <c r="BF21" s="4"/>
      <c r="BG21" s="4" t="s">
        <v>118</v>
      </c>
      <c r="BH21" s="4">
        <v>1672</v>
      </c>
      <c r="BI21" s="4">
        <f t="shared" si="26"/>
        <v>1672</v>
      </c>
      <c r="BJ21" s="19">
        <v>4</v>
      </c>
      <c r="BK21" s="19">
        <v>1</v>
      </c>
      <c r="BL21" s="16">
        <v>6</v>
      </c>
      <c r="BM21" t="s">
        <v>87</v>
      </c>
      <c r="BN21">
        <v>1639</v>
      </c>
      <c r="BO21">
        <f t="shared" si="17"/>
        <v>1843.4344086021506</v>
      </c>
      <c r="BP21" t="s">
        <v>106</v>
      </c>
    </row>
  </sheetData>
  <autoFilter ref="A3:BP3" xr:uid="{7A1660CF-9003-4B2D-B659-7F339ED5B476}"/>
  <mergeCells count="3">
    <mergeCell ref="L2:O2"/>
    <mergeCell ref="J2:K2"/>
    <mergeCell ref="Y1:AB1"/>
  </mergeCells>
  <phoneticPr fontId="2"/>
  <conditionalFormatting sqref="AH4:AH21">
    <cfRule type="cellIs" dxfId="1" priority="1" operator="lessThan">
      <formula>$AK4</formula>
    </cfRule>
  </conditionalFormatting>
  <conditionalFormatting sqref="AK4:AK21">
    <cfRule type="cellIs" dxfId="0" priority="2" operator="greaterThan">
      <formula>$Z4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2026-05-14T09:00:06Z</dcterms:modified>
</cp:coreProperties>
</file>