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ｻ_桜井_037\価格改定\20260424_5月末\"/>
    </mc:Choice>
  </mc:AlternateContent>
  <xr:revisionPtr revIDLastSave="0" documentId="13_ncr:1_{3834E1EF-3D05-4BBF-8BF9-063F05B208D7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R4" i="1" l="1"/>
  <c r="AT4" i="1"/>
  <c r="AS4" i="1"/>
  <c r="BH5" i="1" l="1"/>
  <c r="AF5" i="1" s="1"/>
  <c r="BH6" i="1"/>
  <c r="AF6" i="1" s="1"/>
  <c r="BH7" i="1"/>
  <c r="AF7" i="1" s="1"/>
  <c r="BH9" i="1"/>
  <c r="AF9" i="1" s="1"/>
  <c r="BH4" i="1"/>
  <c r="AF4" i="1" s="1"/>
  <c r="AA5" i="1"/>
  <c r="AA6" i="1"/>
  <c r="AA7" i="1"/>
  <c r="AA8" i="1"/>
  <c r="AA9" i="1"/>
  <c r="Y5" i="1"/>
  <c r="AO5" i="1" s="1"/>
  <c r="Y6" i="1"/>
  <c r="AO6" i="1" s="1"/>
  <c r="Y7" i="1"/>
  <c r="AO7" i="1" s="1"/>
  <c r="Y8" i="1"/>
  <c r="AO8" i="1" s="1"/>
  <c r="Y9" i="1"/>
  <c r="AO9" i="1" s="1"/>
  <c r="C5" i="1"/>
  <c r="C6" i="1"/>
  <c r="C7" i="1"/>
  <c r="C8" i="1"/>
  <c r="C9" i="1"/>
  <c r="C4" i="1"/>
  <c r="AA4" i="1"/>
  <c r="Y4" i="1"/>
  <c r="AO4" i="1" s="1"/>
  <c r="AP4" i="1"/>
  <c r="AP9" i="1"/>
  <c r="N9" i="1"/>
  <c r="BH8" i="1"/>
  <c r="AF8" i="1" s="1"/>
  <c r="AP8" i="1"/>
  <c r="N8" i="1"/>
  <c r="AP7" i="1"/>
  <c r="N7" i="1"/>
  <c r="AP6" i="1"/>
  <c r="N6" i="1"/>
  <c r="AQ5" i="1"/>
  <c r="AC5" i="1" s="1"/>
  <c r="AD5" i="1" s="1"/>
  <c r="AP5" i="1"/>
  <c r="N5" i="1"/>
  <c r="N4" i="1"/>
  <c r="AJ9" i="1" l="1"/>
  <c r="AK7" i="1"/>
  <c r="AQ6" i="1"/>
  <c r="AC6" i="1" s="1"/>
  <c r="AD6" i="1" s="1"/>
  <c r="AJ4" i="1"/>
  <c r="AJ5" i="1"/>
  <c r="AK8" i="1"/>
  <c r="AG6" i="1"/>
  <c r="AH6" i="1" s="1"/>
  <c r="AG5" i="1"/>
  <c r="AH5" i="1" s="1"/>
  <c r="AQ8" i="1"/>
  <c r="AC8" i="1" s="1"/>
  <c r="AD8" i="1" s="1"/>
  <c r="AK6" i="1"/>
  <c r="AJ8" i="1"/>
  <c r="AK9" i="1"/>
  <c r="AQ9" i="1"/>
  <c r="AC9" i="1" s="1"/>
  <c r="AD9" i="1" s="1"/>
  <c r="AJ7" i="1"/>
  <c r="AK5" i="1"/>
  <c r="AQ7" i="1"/>
  <c r="AC7" i="1" s="1"/>
  <c r="AD7" i="1" s="1"/>
  <c r="AJ6" i="1"/>
  <c r="AM4" i="1"/>
  <c r="AN4" i="1"/>
  <c r="AK4" i="1"/>
  <c r="AQ4" i="1"/>
  <c r="AC4" i="1" s="1"/>
  <c r="AD4" i="1" s="1"/>
  <c r="AG7" i="1" l="1"/>
  <c r="AH7" i="1" s="1"/>
  <c r="AG8" i="1"/>
  <c r="AH8" i="1" s="1"/>
  <c r="AG4" i="1"/>
  <c r="AH4" i="1" s="1"/>
  <c r="AG9" i="1"/>
  <c r="AH9" i="1" s="1"/>
</calcChain>
</file>

<file path=xl/sharedStrings.xml><?xml version="1.0" encoding="utf-8"?>
<sst xmlns="http://schemas.openxmlformats.org/spreadsheetml/2006/main" count="114" uniqueCount="78">
  <si>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</si>
  <si>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</si>
  <si>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</si>
  <si>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</si>
  <si>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</si>
  <si>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</si>
  <si>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</si>
  <si>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</si>
  <si>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</si>
  <si>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</si>
  <si>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</si>
  <si>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</si>
  <si>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</si>
  <si>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</si>
  <si>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</si>
  <si>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</si>
  <si>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</si>
  <si>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</si>
  <si>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</si>
  <si>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</si>
  <si>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</si>
  <si>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</si>
  <si>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</si>
  <si>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</si>
  <si>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</si>
  <si>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</si>
  <si>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</si>
  <si>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</si>
  <si>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</si>
  <si>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</si>
  <si>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</si>
  <si>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</si>
  <si>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</si>
  <si>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</si>
  <si>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</si>
  <si>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</si>
  <si>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</si>
  <si>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</si>
  <si>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</si>
  <si>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</si>
  <si>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</si>
  <si>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</si>
  <si>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</si>
  <si>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</si>
  <si>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</si>
  <si>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</si>
  <si>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</si>
  <si>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</si>
  <si>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</si>
  <si>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</si>
  <si>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</si>
  <si>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</si>
  <si>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</si>
  <si>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</si>
  <si>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</si>
  <si>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</si>
  <si>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</si>
  <si>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</si>
  <si>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</si>
  <si>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</si>
  <si>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</si>
  <si>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</si>
  <si>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荷姿</t>
    <rPh sb="0" eb="2">
      <t>ニスガタ</t>
    </rPh>
    <phoneticPr fontId="2"/>
  </si>
  <si>
    <t>キー</t>
    <phoneticPr fontId="2"/>
  </si>
  <si>
    <t>●桜井/ｸﾘﾝﾎﾙﾀﾞｰ Uﾀｲﾌﾟ A2 100枚/CHA2</t>
  </si>
  <si>
    <t>桜井/ｸﾘﾝﾎﾙﾀﾞｰ Uﾀｲﾌﾟ A3 100枚/CHA3</t>
  </si>
  <si>
    <t>桜井/ｸﾘﾝﾎﾙﾀﾞｰ Uﾀｲﾌﾟ A4 100枚/CHA4</t>
  </si>
  <si>
    <t>●桜井/SCPR[10冊入]/ﾆｭｰｽﾀｸﾘﾝRCﾎﾟｹｯﾄ</t>
  </si>
  <si>
    <t>●ｻｸﾗｲ/SNA45BR[32枚*10冊入]ﾆｭｰｽﾀｸﾘﾝRCﾉｰﾄA4 5mm方眼</t>
  </si>
  <si>
    <t>●桜井/SNB512R[10冊入]/ﾆｭｰｽﾀｸﾘﾝRCﾉｰﾄ</t>
  </si>
  <si>
    <t>-</t>
    <phoneticPr fontId="2"/>
  </si>
  <si>
    <t>【クリーンペーパー】 桜井 ニュースタクリン スタクリンRCノート A4 5mm方眼 32枚綴り ブルー 1箱（10冊）</t>
  </si>
  <si>
    <t>1箱（10冊）</t>
  </si>
  <si>
    <t>J105291</t>
  </si>
  <si>
    <t>桜井 ニュースタクリンRCノート B5 横罫 (10冊入) SNB512R 1箱(10冊) 816-2702</t>
  </si>
  <si>
    <t>ｱｽｸﾙ
ｽﾗｲﾄﾞ</t>
    <phoneticPr fontId="2"/>
  </si>
  <si>
    <t>-</t>
  </si>
  <si>
    <t>5月売価</t>
    <rPh sb="1" eb="2">
      <t>ガツ</t>
    </rPh>
    <rPh sb="2" eb="4">
      <t>バイカ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</si>
</sst>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176" fontId="0" fillId="4" borderId="4" xfId="0" applyNumberFormat="1" applyFill="1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N9"/>
  <sheetViews>
    <sheetView tabSelected="1" zoomScale="90" zoomScaleNormal="90" workbookViewId="0">
      <pane xSplit="6" ySplit="5" topLeftCell="G6" activePane="bottomRight" state="frozen"/>
      <selection pane="topRight" activeCell="G1" sqref="G1"/>
      <selection pane="bottomLeft" activeCell="A5" sqref="A5"/>
      <selection pane="bottomRight" activeCell="AD18" sqref="AD18"/>
    </sheetView>
  </sheetViews>
  <sheetFormatPr defaultRowHeight="18.75" outlineLevelCol="1" x14ac:dyDescent="0.4"/>
  <cols>
    <col min="5" max="5" width="48.375" customWidth="1"/>
    <col min="6" max="6" width="15.5" bestFit="1" customWidth="1"/>
    <col min="7" max="8" width="7.5" bestFit="1" customWidth="1"/>
    <col min="9" max="10" width="7.5" hidden="1" customWidth="1" outlineLevel="1"/>
    <col min="11" max="11" width="7.625" customWidth="1" collapsed="1"/>
    <col min="12" max="15" width="7.625" customWidth="1"/>
    <col min="16" max="23" width="7.625" hidden="1" customWidth="1" outlineLevel="1"/>
    <col min="24" max="24" width="7.625" customWidth="1" collapsed="1"/>
    <col min="25" max="27" width="7.625" customWidth="1"/>
    <col min="28" max="28" width="4.375" customWidth="1" collapsed="1"/>
    <col min="29" max="30" width="7.625" customWidth="1"/>
    <col min="31" max="31" width="7.625" style="30" customWidth="1"/>
    <col min="32" max="32" width="7.625" customWidth="1"/>
    <col min="33" max="33" width="7.625" style="30" customWidth="1"/>
    <col min="34" max="37" width="7.625" customWidth="1"/>
    <col min="38" max="40" width="7.625" hidden="1" customWidth="1" outlineLevel="1"/>
    <col min="41" max="41" width="7.625" customWidth="1" collapsed="1"/>
    <col min="42" max="43" width="7.625" customWidth="1"/>
    <col min="44" max="52" width="7.625" hidden="1" customWidth="1" outlineLevel="1"/>
    <col min="53" max="53" width="7.625" customWidth="1" collapsed="1"/>
    <col min="54" max="65" width="7.625" customWidth="1"/>
  </cols>
  <sheetData>
    <row r="1" spans="1:66" x14ac:dyDescent="0.4">
      <c r="B1" s="29" t="s">
        <v>49</v>
      </c>
      <c r="X1" s="43" t="s">
        <v>46</v>
      </c>
      <c r="Y1" s="44"/>
      <c r="Z1" s="44"/>
      <c r="AA1" s="45"/>
    </row>
    <row r="2" spans="1:66" x14ac:dyDescent="0.4">
      <c r="B2" s="8" t="s">
        <v>33</v>
      </c>
      <c r="C2" s="9" t="s">
        <v>34</v>
      </c>
      <c r="D2" s="9" t="s">
        <v>35</v>
      </c>
      <c r="E2" s="10"/>
      <c r="F2" s="10"/>
      <c r="G2" s="37"/>
      <c r="H2" s="37"/>
      <c r="I2" s="40" t="s">
        <v>36</v>
      </c>
      <c r="J2" s="42"/>
      <c r="K2" s="40" t="s">
        <v>2</v>
      </c>
      <c r="L2" s="41"/>
      <c r="M2" s="41"/>
      <c r="N2" s="42"/>
      <c r="O2" s="11"/>
      <c r="P2" s="36"/>
      <c r="Q2" s="36"/>
      <c r="R2" s="36"/>
      <c r="S2" s="36"/>
      <c r="T2" s="36"/>
      <c r="U2" s="36"/>
      <c r="V2" s="36"/>
      <c r="W2" s="36"/>
      <c r="X2" s="23"/>
      <c r="Y2" s="24" t="s">
        <v>39</v>
      </c>
      <c r="Z2" s="24"/>
      <c r="AA2" s="25" t="s">
        <v>39</v>
      </c>
      <c r="AB2" s="10"/>
      <c r="AC2" s="9" t="s">
        <v>44</v>
      </c>
      <c r="AD2" s="11"/>
      <c r="AE2" s="31"/>
      <c r="AF2" s="11"/>
      <c r="AG2" s="31"/>
      <c r="AH2" s="11"/>
      <c r="AI2" s="22" t="s">
        <v>47</v>
      </c>
      <c r="AJ2" s="11"/>
      <c r="AK2" s="11"/>
      <c r="AL2" s="27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>
        <v>51</v>
      </c>
      <c r="BI2">
        <v>14</v>
      </c>
      <c r="BJ2">
        <v>28</v>
      </c>
    </row>
    <row r="3" spans="1:66" ht="75" x14ac:dyDescent="0.4">
      <c r="A3" s="1" t="s">
        <v>59</v>
      </c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62</v>
      </c>
      <c r="H3" s="12" t="s">
        <v>63</v>
      </c>
      <c r="I3" s="12" t="s">
        <v>30</v>
      </c>
      <c r="J3" s="12" t="s">
        <v>31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55</v>
      </c>
      <c r="P3" s="12" t="s">
        <v>20</v>
      </c>
      <c r="Q3" s="12" t="s">
        <v>21</v>
      </c>
      <c r="R3" s="12" t="s">
        <v>56</v>
      </c>
      <c r="S3" s="12" t="s">
        <v>23</v>
      </c>
      <c r="T3" s="12" t="s">
        <v>24</v>
      </c>
      <c r="U3" s="12" t="s">
        <v>57</v>
      </c>
      <c r="V3" s="12" t="s">
        <v>26</v>
      </c>
      <c r="W3" s="12" t="s">
        <v>27</v>
      </c>
      <c r="X3" s="12" t="s">
        <v>3</v>
      </c>
      <c r="Y3" s="12" t="s">
        <v>28</v>
      </c>
      <c r="Z3" s="2" t="s">
        <v>5</v>
      </c>
      <c r="AA3" s="12" t="s">
        <v>29</v>
      </c>
      <c r="AB3" s="14" t="s">
        <v>6</v>
      </c>
      <c r="AC3" s="20" t="s">
        <v>17</v>
      </c>
      <c r="AD3" s="2" t="s">
        <v>16</v>
      </c>
      <c r="AE3" s="32" t="s">
        <v>50</v>
      </c>
      <c r="AF3" s="12" t="s">
        <v>45</v>
      </c>
      <c r="AG3" s="39" t="s">
        <v>75</v>
      </c>
      <c r="AH3" s="2" t="s">
        <v>16</v>
      </c>
      <c r="AI3" s="13" t="s">
        <v>37</v>
      </c>
      <c r="AJ3" s="2" t="s">
        <v>16</v>
      </c>
      <c r="AK3" s="2" t="s">
        <v>38</v>
      </c>
      <c r="AL3" s="26" t="s">
        <v>40</v>
      </c>
      <c r="AM3" s="12" t="s">
        <v>41</v>
      </c>
      <c r="AN3" s="12" t="s">
        <v>42</v>
      </c>
      <c r="AO3" s="12" t="s">
        <v>32</v>
      </c>
      <c r="AP3" s="12" t="s">
        <v>43</v>
      </c>
      <c r="AQ3" s="12" t="s">
        <v>18</v>
      </c>
      <c r="AR3" s="12" t="s">
        <v>19</v>
      </c>
      <c r="AS3" s="12" t="s">
        <v>20</v>
      </c>
      <c r="AT3" s="12" t="s">
        <v>21</v>
      </c>
      <c r="AU3" s="12" t="s">
        <v>22</v>
      </c>
      <c r="AV3" s="12" t="s">
        <v>23</v>
      </c>
      <c r="AW3" s="12" t="s">
        <v>24</v>
      </c>
      <c r="AX3" s="12" t="s">
        <v>25</v>
      </c>
      <c r="AY3" s="12" t="s">
        <v>26</v>
      </c>
      <c r="AZ3" s="12" t="s">
        <v>27</v>
      </c>
      <c r="BA3" s="2" t="s">
        <v>11</v>
      </c>
      <c r="BB3" s="2" t="s">
        <v>12</v>
      </c>
      <c r="BC3" s="2" t="s">
        <v>13</v>
      </c>
      <c r="BD3" s="2" t="s">
        <v>14</v>
      </c>
      <c r="BE3" s="12" t="s">
        <v>48</v>
      </c>
      <c r="BF3" s="12" t="s">
        <v>61</v>
      </c>
      <c r="BG3" s="2" t="s">
        <v>77</v>
      </c>
      <c r="BH3" s="2" t="s">
        <v>15</v>
      </c>
      <c r="BI3" s="18" t="s">
        <v>51</v>
      </c>
      <c r="BJ3" s="18" t="s">
        <v>52</v>
      </c>
      <c r="BK3" s="15" t="s">
        <v>60</v>
      </c>
      <c r="BL3" s="34" t="s">
        <v>53</v>
      </c>
      <c r="BM3" s="35" t="s">
        <v>54</v>
      </c>
      <c r="BN3" s="35" t="s">
        <v>58</v>
      </c>
    </row>
    <row r="4" spans="1:66" x14ac:dyDescent="0.4">
      <c r="A4" s="3">
        <v>1</v>
      </c>
      <c r="B4" s="4">
        <v>115522</v>
      </c>
      <c r="C4" s="4" t="str">
        <f>TEXT(B4,"000000")</f>
        <v>115522</v>
      </c>
      <c r="D4" s="4">
        <v>115522</v>
      </c>
      <c r="E4" s="4" t="s">
        <v>64</v>
      </c>
      <c r="F4" s="5">
        <v>4955888531817</v>
      </c>
      <c r="G4" s="5"/>
      <c r="H4" s="5"/>
      <c r="I4" s="5">
        <v>1</v>
      </c>
      <c r="J4" s="5">
        <v>1</v>
      </c>
      <c r="K4" s="4">
        <v>7500</v>
      </c>
      <c r="L4" s="4">
        <v>6750</v>
      </c>
      <c r="M4" s="4">
        <v>4500</v>
      </c>
      <c r="N4" s="6">
        <f t="shared" ref="N4:N9" si="0">1-M4/L4</f>
        <v>0.33333333333333337</v>
      </c>
      <c r="O4" s="4" t="s">
        <v>70</v>
      </c>
      <c r="P4" s="4"/>
      <c r="Q4" s="4"/>
      <c r="R4" s="4"/>
      <c r="S4" s="4"/>
      <c r="T4" s="4"/>
      <c r="U4" s="4"/>
      <c r="V4" s="4"/>
      <c r="W4" s="4"/>
      <c r="X4" s="4">
        <v>8300</v>
      </c>
      <c r="Y4" s="4">
        <f>IF(AB4="",X4,X4*AB4)</f>
        <v>8300</v>
      </c>
      <c r="Z4" s="4">
        <v>4980</v>
      </c>
      <c r="AA4" s="4">
        <f>IF(AB4="",Z4,Z4*AB4)</f>
        <v>4980</v>
      </c>
      <c r="AB4" s="4"/>
      <c r="AC4" s="21">
        <f>ROUND(L4*AQ4,0)</f>
        <v>7470</v>
      </c>
      <c r="AD4" s="6">
        <f t="shared" ref="AD4" si="1">1-AA4/AC4</f>
        <v>0.33333333333333337</v>
      </c>
      <c r="AE4" s="33">
        <v>0</v>
      </c>
      <c r="AF4" s="4" t="str">
        <f>BH4</f>
        <v>-</v>
      </c>
      <c r="AG4" s="33" t="e">
        <f>AF4*AQ4</f>
        <v>#VALUE!</v>
      </c>
      <c r="AH4" s="6" t="e">
        <f>1-AA4/AG4</f>
        <v>#VALUE!</v>
      </c>
      <c r="AI4" s="7">
        <v>7470</v>
      </c>
      <c r="AJ4" s="6">
        <f>1-AA4/AI4</f>
        <v>0.33333333333333337</v>
      </c>
      <c r="AK4" s="4">
        <f>AI4-AA4</f>
        <v>2490</v>
      </c>
      <c r="AL4" s="28"/>
      <c r="AM4" s="6" t="e">
        <f>1-AA4/AL4</f>
        <v>#DIV/0!</v>
      </c>
      <c r="AN4" s="4">
        <f>AL4-AA4</f>
        <v>-4980</v>
      </c>
      <c r="AO4" s="6">
        <f>Y4/K4</f>
        <v>1.1066666666666667</v>
      </c>
      <c r="AP4" s="6">
        <f>AI4/L4</f>
        <v>1.1066666666666667</v>
      </c>
      <c r="AQ4" s="6">
        <f>AA4/M4</f>
        <v>1.1066666666666667</v>
      </c>
      <c r="AR4" s="4" t="str">
        <f>IFERROR(ROUND($AI4*O4/$L4,0),"-")</f>
        <v>-</v>
      </c>
      <c r="AS4" s="4" t="str">
        <f>IF(P4="","-",P4)</f>
        <v>-</v>
      </c>
      <c r="AT4" s="4" t="str">
        <f>IF(Q4="","-",Q4)</f>
        <v>-</v>
      </c>
      <c r="AU4" s="4"/>
      <c r="AV4" s="4"/>
      <c r="AW4" s="4"/>
      <c r="AX4" s="4"/>
      <c r="AY4" s="4"/>
      <c r="AZ4" s="4"/>
      <c r="BA4" s="4">
        <v>0</v>
      </c>
      <c r="BB4" s="4" t="s">
        <v>70</v>
      </c>
      <c r="BC4" s="4"/>
      <c r="BD4" s="4"/>
      <c r="BE4" s="4" t="s">
        <v>70</v>
      </c>
      <c r="BF4" s="4" t="s">
        <v>76</v>
      </c>
      <c r="BG4" s="4" t="s">
        <v>76</v>
      </c>
      <c r="BH4" s="4" t="str">
        <f t="shared" ref="BH4:BH5" si="2">IF(BC4="",BG4,BC4/BD4*BG4)</f>
        <v>-</v>
      </c>
      <c r="BI4" s="19">
        <v>8</v>
      </c>
      <c r="BJ4" s="19">
        <v>8</v>
      </c>
      <c r="BK4" s="16">
        <v>3</v>
      </c>
      <c r="BN4" t="s">
        <v>70</v>
      </c>
    </row>
    <row r="5" spans="1:66" x14ac:dyDescent="0.4">
      <c r="A5" s="3">
        <v>2</v>
      </c>
      <c r="B5" s="4">
        <v>21332</v>
      </c>
      <c r="C5" s="4" t="str">
        <f t="shared" ref="C5:C9" si="3">TEXT(B5,"000000")</f>
        <v>021332</v>
      </c>
      <c r="D5" s="4">
        <v>21332</v>
      </c>
      <c r="E5" s="4" t="s">
        <v>65</v>
      </c>
      <c r="F5" s="5">
        <v>4955888531824</v>
      </c>
      <c r="G5" s="5"/>
      <c r="H5" s="5"/>
      <c r="I5" s="38">
        <v>2</v>
      </c>
      <c r="J5" s="38">
        <v>2</v>
      </c>
      <c r="K5" s="4">
        <v>3900</v>
      </c>
      <c r="L5" s="4">
        <v>3615</v>
      </c>
      <c r="M5" s="4">
        <v>2340</v>
      </c>
      <c r="N5" s="6">
        <f t="shared" si="0"/>
        <v>0.35269709543568462</v>
      </c>
      <c r="O5" s="4" t="s">
        <v>70</v>
      </c>
      <c r="P5" s="4"/>
      <c r="Q5" s="4"/>
      <c r="R5" s="4"/>
      <c r="S5" s="4"/>
      <c r="T5" s="4"/>
      <c r="U5" s="4"/>
      <c r="V5" s="4"/>
      <c r="W5" s="4"/>
      <c r="X5" s="4">
        <v>4400</v>
      </c>
      <c r="Y5" s="4">
        <f t="shared" ref="Y5:Y9" si="4">IF(AB5="",X5,X5*AB5)</f>
        <v>4400</v>
      </c>
      <c r="Z5" s="4">
        <v>2640</v>
      </c>
      <c r="AA5" s="4">
        <f t="shared" ref="AA5:AA9" si="5">IF(AB5="",Z5,Z5*AB5)</f>
        <v>2640</v>
      </c>
      <c r="AB5" s="4"/>
      <c r="AC5" s="21">
        <f>ROUND(L5*AQ5,0)</f>
        <v>4078</v>
      </c>
      <c r="AD5" s="6">
        <f t="shared" ref="AD5" si="6">1-AA5/AC5</f>
        <v>0.35262383521333984</v>
      </c>
      <c r="AE5" s="33">
        <v>0.5</v>
      </c>
      <c r="AF5" s="4" t="str">
        <f t="shared" ref="AF5:AF9" si="7">BH5</f>
        <v>-</v>
      </c>
      <c r="AG5" s="33" t="e">
        <f>AF5*AQ5</f>
        <v>#VALUE!</v>
      </c>
      <c r="AH5" s="6" t="e">
        <f>1-AA5/AG5</f>
        <v>#VALUE!</v>
      </c>
      <c r="AI5" s="7">
        <v>4080</v>
      </c>
      <c r="AJ5" s="6">
        <f>1-AA5/AI5</f>
        <v>0.3529411764705882</v>
      </c>
      <c r="AK5" s="4">
        <f>AI5-AA5</f>
        <v>1440</v>
      </c>
      <c r="AL5" s="28"/>
      <c r="AM5" s="6"/>
      <c r="AN5" s="6"/>
      <c r="AO5" s="6">
        <f>Y5/K5</f>
        <v>1.1282051282051282</v>
      </c>
      <c r="AP5" s="6">
        <f>AI5/L5</f>
        <v>1.1286307053941909</v>
      </c>
      <c r="AQ5" s="6">
        <f>AA5/M5</f>
        <v>1.1282051282051282</v>
      </c>
      <c r="AR5" s="4"/>
      <c r="AS5" s="4"/>
      <c r="AT5" s="4"/>
      <c r="AU5" s="4"/>
      <c r="AV5" s="4"/>
      <c r="AW5" s="4"/>
      <c r="AX5" s="4"/>
      <c r="AY5" s="4"/>
      <c r="AZ5" s="4"/>
      <c r="BA5" s="4">
        <v>0</v>
      </c>
      <c r="BB5" s="4" t="s">
        <v>70</v>
      </c>
      <c r="BC5" s="4"/>
      <c r="BD5" s="4"/>
      <c r="BE5" s="4" t="s">
        <v>70</v>
      </c>
      <c r="BF5" s="4" t="s">
        <v>76</v>
      </c>
      <c r="BG5" s="4" t="s">
        <v>76</v>
      </c>
      <c r="BH5" s="4" t="str">
        <f t="shared" si="2"/>
        <v>-</v>
      </c>
      <c r="BI5" s="19">
        <v>4</v>
      </c>
      <c r="BJ5" s="19">
        <v>1</v>
      </c>
      <c r="BK5" s="16">
        <v>3</v>
      </c>
      <c r="BN5" t="s">
        <v>70</v>
      </c>
    </row>
    <row r="6" spans="1:66" x14ac:dyDescent="0.4">
      <c r="A6" s="3">
        <v>3</v>
      </c>
      <c r="B6" s="17">
        <v>683731</v>
      </c>
      <c r="C6" s="4" t="str">
        <f t="shared" si="3"/>
        <v>683731</v>
      </c>
      <c r="D6" s="4">
        <v>683731</v>
      </c>
      <c r="E6" s="4" t="s">
        <v>66</v>
      </c>
      <c r="F6" s="5">
        <v>4955888531831</v>
      </c>
      <c r="G6" s="5"/>
      <c r="H6" s="5"/>
      <c r="I6" s="5">
        <v>1</v>
      </c>
      <c r="J6" s="5">
        <v>1</v>
      </c>
      <c r="K6" s="4">
        <v>2200</v>
      </c>
      <c r="L6" s="4">
        <v>1964</v>
      </c>
      <c r="M6" s="4">
        <v>1320</v>
      </c>
      <c r="N6" s="6">
        <f t="shared" si="0"/>
        <v>0.32790224032586557</v>
      </c>
      <c r="O6" s="4" t="s">
        <v>70</v>
      </c>
      <c r="P6" s="4"/>
      <c r="Q6" s="4"/>
      <c r="R6" s="4"/>
      <c r="S6" s="4"/>
      <c r="T6" s="4"/>
      <c r="U6" s="4"/>
      <c r="V6" s="4"/>
      <c r="W6" s="4"/>
      <c r="X6" s="4">
        <v>2600</v>
      </c>
      <c r="Y6" s="4">
        <f t="shared" si="4"/>
        <v>2600</v>
      </c>
      <c r="Z6" s="4">
        <v>1560</v>
      </c>
      <c r="AA6" s="4">
        <f t="shared" si="5"/>
        <v>1560</v>
      </c>
      <c r="AB6" s="4"/>
      <c r="AC6" s="21">
        <f>ROUND(L6*AQ6,0)</f>
        <v>2321</v>
      </c>
      <c r="AD6" s="6">
        <f t="shared" ref="AD6:AD9" si="8">1-AA6/AC6</f>
        <v>0.32787591555364071</v>
      </c>
      <c r="AE6" s="33">
        <v>6.5</v>
      </c>
      <c r="AF6" s="4" t="str">
        <f t="shared" si="7"/>
        <v>-</v>
      </c>
      <c r="AG6" s="33" t="e">
        <f>AF6*AQ6</f>
        <v>#VALUE!</v>
      </c>
      <c r="AH6" s="6" t="e">
        <f>1-AA6/AG6</f>
        <v>#VALUE!</v>
      </c>
      <c r="AI6" s="7">
        <v>2380</v>
      </c>
      <c r="AJ6" s="6">
        <f>1-AA6/AI6</f>
        <v>0.34453781512605042</v>
      </c>
      <c r="AK6" s="4">
        <f>AI6-AA6</f>
        <v>820</v>
      </c>
      <c r="AL6" s="28"/>
      <c r="AM6" s="6"/>
      <c r="AN6" s="6"/>
      <c r="AO6" s="6">
        <f>Y6/K6</f>
        <v>1.1818181818181819</v>
      </c>
      <c r="AP6" s="6">
        <f>AI6/L6</f>
        <v>1.2118126272912424</v>
      </c>
      <c r="AQ6" s="6">
        <f>AA6/M6</f>
        <v>1.1818181818181819</v>
      </c>
      <c r="AR6" s="4"/>
      <c r="AS6" s="4"/>
      <c r="AT6" s="4"/>
      <c r="AU6" s="4"/>
      <c r="AV6" s="4"/>
      <c r="AW6" s="4"/>
      <c r="AX6" s="4"/>
      <c r="AY6" s="4"/>
      <c r="AZ6" s="4"/>
      <c r="BA6" s="4">
        <v>0</v>
      </c>
      <c r="BB6" s="4" t="s">
        <v>70</v>
      </c>
      <c r="BC6" s="4"/>
      <c r="BD6" s="4"/>
      <c r="BE6" s="4" t="s">
        <v>70</v>
      </c>
      <c r="BF6" s="4" t="s">
        <v>76</v>
      </c>
      <c r="BG6" s="4" t="s">
        <v>76</v>
      </c>
      <c r="BH6" s="4" t="str">
        <f t="shared" ref="BH6:BH9" si="9">IF(BC6="",BG6,BC6/BD6*BG6)</f>
        <v>-</v>
      </c>
      <c r="BI6" s="19">
        <v>4</v>
      </c>
      <c r="BJ6" s="19">
        <v>1</v>
      </c>
      <c r="BK6" s="16">
        <v>3</v>
      </c>
      <c r="BN6" t="s">
        <v>70</v>
      </c>
    </row>
    <row r="7" spans="1:66" x14ac:dyDescent="0.4">
      <c r="A7" s="3">
        <v>4</v>
      </c>
      <c r="B7" s="17">
        <v>432760</v>
      </c>
      <c r="C7" s="4" t="str">
        <f t="shared" si="3"/>
        <v>432760</v>
      </c>
      <c r="D7" s="4">
        <v>432760</v>
      </c>
      <c r="E7" s="4" t="s">
        <v>67</v>
      </c>
      <c r="F7" s="5">
        <v>2001234758680</v>
      </c>
      <c r="G7" s="5"/>
      <c r="H7" s="5"/>
      <c r="I7" s="5">
        <v>1</v>
      </c>
      <c r="J7" s="5">
        <v>1</v>
      </c>
      <c r="K7" s="4">
        <v>4600</v>
      </c>
      <c r="L7" s="4">
        <v>4600</v>
      </c>
      <c r="M7" s="4">
        <v>2990</v>
      </c>
      <c r="N7" s="6">
        <f t="shared" si="0"/>
        <v>0.35</v>
      </c>
      <c r="O7" s="4" t="s">
        <v>70</v>
      </c>
      <c r="P7" s="4"/>
      <c r="Q7" s="4"/>
      <c r="R7" s="4"/>
      <c r="S7" s="4"/>
      <c r="T7" s="4"/>
      <c r="U7" s="4"/>
      <c r="V7" s="4"/>
      <c r="W7" s="4"/>
      <c r="X7" s="4">
        <v>5100</v>
      </c>
      <c r="Y7" s="4">
        <f t="shared" si="4"/>
        <v>5100</v>
      </c>
      <c r="Z7" s="4">
        <v>3315</v>
      </c>
      <c r="AA7" s="4">
        <f t="shared" si="5"/>
        <v>3315</v>
      </c>
      <c r="AB7" s="4"/>
      <c r="AC7" s="21">
        <f>ROUND(L7*AQ7,0)</f>
        <v>5100</v>
      </c>
      <c r="AD7" s="6">
        <f t="shared" si="8"/>
        <v>0.35</v>
      </c>
      <c r="AE7" s="33">
        <v>0</v>
      </c>
      <c r="AF7" s="4" t="str">
        <f t="shared" si="7"/>
        <v>-</v>
      </c>
      <c r="AG7" s="33" t="e">
        <f>AF7*AQ7</f>
        <v>#VALUE!</v>
      </c>
      <c r="AH7" s="6" t="e">
        <f>1-AA7/AG7</f>
        <v>#VALUE!</v>
      </c>
      <c r="AI7" s="7">
        <v>5100</v>
      </c>
      <c r="AJ7" s="6">
        <f>1-AA7/AI7</f>
        <v>0.35</v>
      </c>
      <c r="AK7" s="4">
        <f>AI7-AA7</f>
        <v>1785</v>
      </c>
      <c r="AL7" s="28"/>
      <c r="AM7" s="6"/>
      <c r="AN7" s="6"/>
      <c r="AO7" s="6">
        <f>Y7/K7</f>
        <v>1.1086956521739131</v>
      </c>
      <c r="AP7" s="6">
        <f>AI7/L7</f>
        <v>1.1086956521739131</v>
      </c>
      <c r="AQ7" s="6">
        <f>AA7/M7</f>
        <v>1.1086956521739131</v>
      </c>
      <c r="AR7" s="4"/>
      <c r="AS7" s="4"/>
      <c r="AT7" s="4"/>
      <c r="AU7" s="4"/>
      <c r="AV7" s="4"/>
      <c r="AW7" s="4"/>
      <c r="AX7" s="4"/>
      <c r="AY7" s="4"/>
      <c r="AZ7" s="4"/>
      <c r="BA7" s="4">
        <v>0</v>
      </c>
      <c r="BB7" s="4" t="s">
        <v>70</v>
      </c>
      <c r="BC7" s="4"/>
      <c r="BD7" s="4"/>
      <c r="BE7" s="4" t="s">
        <v>70</v>
      </c>
      <c r="BF7" s="4" t="s">
        <v>76</v>
      </c>
      <c r="BG7" s="4" t="s">
        <v>76</v>
      </c>
      <c r="BH7" s="4" t="str">
        <f t="shared" si="9"/>
        <v>-</v>
      </c>
      <c r="BI7" s="19">
        <v>4</v>
      </c>
      <c r="BJ7" s="19">
        <v>8</v>
      </c>
      <c r="BK7" s="16">
        <v>4</v>
      </c>
      <c r="BN7" t="s">
        <v>70</v>
      </c>
    </row>
    <row r="8" spans="1:66" x14ac:dyDescent="0.4">
      <c r="A8" s="3">
        <v>5</v>
      </c>
      <c r="B8" s="17">
        <v>432701</v>
      </c>
      <c r="C8" s="4" t="str">
        <f t="shared" si="3"/>
        <v>432701</v>
      </c>
      <c r="D8" s="4">
        <v>432701</v>
      </c>
      <c r="E8" s="4" t="s">
        <v>68</v>
      </c>
      <c r="F8" s="5">
        <v>4955888625523</v>
      </c>
      <c r="G8" s="5"/>
      <c r="H8" s="5"/>
      <c r="I8" s="5">
        <v>1</v>
      </c>
      <c r="J8" s="5">
        <v>1</v>
      </c>
      <c r="K8" s="4">
        <v>9800</v>
      </c>
      <c r="L8" s="4">
        <v>8330</v>
      </c>
      <c r="M8" s="4">
        <v>6370</v>
      </c>
      <c r="N8" s="6">
        <f t="shared" si="0"/>
        <v>0.23529411764705888</v>
      </c>
      <c r="O8" s="4" t="s">
        <v>70</v>
      </c>
      <c r="P8" s="4"/>
      <c r="Q8" s="4"/>
      <c r="R8" s="4"/>
      <c r="S8" s="4"/>
      <c r="T8" s="4"/>
      <c r="U8" s="4"/>
      <c r="V8" s="4"/>
      <c r="W8" s="4"/>
      <c r="X8" s="4">
        <v>10800</v>
      </c>
      <c r="Y8" s="4">
        <f t="shared" si="4"/>
        <v>10800</v>
      </c>
      <c r="Z8" s="4">
        <v>7020</v>
      </c>
      <c r="AA8" s="4">
        <f t="shared" si="5"/>
        <v>7020</v>
      </c>
      <c r="AB8" s="4"/>
      <c r="AC8" s="21">
        <f>ROUND(L8*AQ8,0)</f>
        <v>9180</v>
      </c>
      <c r="AD8" s="6">
        <f t="shared" si="8"/>
        <v>0.23529411764705888</v>
      </c>
      <c r="AE8" s="33">
        <v>0</v>
      </c>
      <c r="AF8" s="4">
        <f t="shared" si="7"/>
        <v>8037</v>
      </c>
      <c r="AG8" s="33">
        <f>AF8*AQ8</f>
        <v>8857.1020408163258</v>
      </c>
      <c r="AH8" s="6">
        <f>1-AA8/AG8</f>
        <v>0.20741570237650864</v>
      </c>
      <c r="AI8" s="7">
        <v>9180</v>
      </c>
      <c r="AJ8" s="6">
        <f>1-AA8/AI8</f>
        <v>0.23529411764705888</v>
      </c>
      <c r="AK8" s="4">
        <f>AI8-AA8</f>
        <v>2160</v>
      </c>
      <c r="AL8" s="28"/>
      <c r="AM8" s="6"/>
      <c r="AN8" s="6"/>
      <c r="AO8" s="6">
        <f>Y8/K8</f>
        <v>1.1020408163265305</v>
      </c>
      <c r="AP8" s="6">
        <f>AI8/L8</f>
        <v>1.1020408163265305</v>
      </c>
      <c r="AQ8" s="6">
        <f>AA8/M8</f>
        <v>1.1020408163265305</v>
      </c>
      <c r="AR8" s="4"/>
      <c r="AS8" s="4"/>
      <c r="AT8" s="4"/>
      <c r="AU8" s="4"/>
      <c r="AV8" s="4"/>
      <c r="AW8" s="4"/>
      <c r="AX8" s="4"/>
      <c r="AY8" s="4"/>
      <c r="AZ8" s="4"/>
      <c r="BA8" s="4">
        <v>0</v>
      </c>
      <c r="BB8" s="4">
        <v>9877412</v>
      </c>
      <c r="BC8" s="4"/>
      <c r="BD8" s="4"/>
      <c r="BE8" s="4" t="s">
        <v>72</v>
      </c>
      <c r="BF8" s="4">
        <v>8037</v>
      </c>
      <c r="BG8" s="4">
        <v>8037</v>
      </c>
      <c r="BH8" s="4">
        <f t="shared" si="9"/>
        <v>8037</v>
      </c>
      <c r="BI8" s="19">
        <v>4</v>
      </c>
      <c r="BJ8" s="19">
        <v>8</v>
      </c>
      <c r="BK8" s="16">
        <v>4</v>
      </c>
      <c r="BN8" t="s">
        <v>71</v>
      </c>
    </row>
    <row r="9" spans="1:66" x14ac:dyDescent="0.4">
      <c r="A9" s="3">
        <v>6</v>
      </c>
      <c r="B9" s="17">
        <v>432759</v>
      </c>
      <c r="C9" s="4" t="str">
        <f t="shared" si="3"/>
        <v>432759</v>
      </c>
      <c r="D9" s="4">
        <v>432759</v>
      </c>
      <c r="E9" s="4" t="s">
        <v>69</v>
      </c>
      <c r="F9" s="5">
        <v>4955888625554</v>
      </c>
      <c r="G9" s="5"/>
      <c r="H9" s="5"/>
      <c r="I9" s="5">
        <v>1</v>
      </c>
      <c r="J9" s="5">
        <v>1</v>
      </c>
      <c r="K9" s="4">
        <v>9800</v>
      </c>
      <c r="L9" s="4">
        <v>9310</v>
      </c>
      <c r="M9" s="4">
        <v>6370</v>
      </c>
      <c r="N9" s="6">
        <f t="shared" si="0"/>
        <v>0.31578947368421051</v>
      </c>
      <c r="O9" s="4" t="s">
        <v>70</v>
      </c>
      <c r="P9" s="4"/>
      <c r="Q9" s="4"/>
      <c r="R9" s="4"/>
      <c r="S9" s="4"/>
      <c r="T9" s="4"/>
      <c r="U9" s="4"/>
      <c r="V9" s="4"/>
      <c r="W9" s="4"/>
      <c r="X9" s="4">
        <v>10800</v>
      </c>
      <c r="Y9" s="4">
        <f t="shared" si="4"/>
        <v>10800</v>
      </c>
      <c r="Z9" s="4">
        <v>7020</v>
      </c>
      <c r="AA9" s="4">
        <f t="shared" si="5"/>
        <v>7020</v>
      </c>
      <c r="AB9" s="4"/>
      <c r="AC9" s="21">
        <f>ROUND(L9*AQ9,0)</f>
        <v>10260</v>
      </c>
      <c r="AD9" s="6">
        <f t="shared" si="8"/>
        <v>0.31578947368421051</v>
      </c>
      <c r="AE9" s="33">
        <v>0</v>
      </c>
      <c r="AF9" s="4">
        <f t="shared" si="7"/>
        <v>7960</v>
      </c>
      <c r="AG9" s="33">
        <f>AF9*AQ9</f>
        <v>8772.2448979591827</v>
      </c>
      <c r="AH9" s="6">
        <f>1-AA9/AG9</f>
        <v>0.19974874371859286</v>
      </c>
      <c r="AI9" s="7">
        <v>10260</v>
      </c>
      <c r="AJ9" s="6">
        <f>1-AA9/AI9</f>
        <v>0.31578947368421051</v>
      </c>
      <c r="AK9" s="4">
        <f>AI9-AA9</f>
        <v>3240</v>
      </c>
      <c r="AL9" s="28"/>
      <c r="AM9" s="6"/>
      <c r="AN9" s="6"/>
      <c r="AO9" s="6">
        <f>Y9/K9</f>
        <v>1.1020408163265305</v>
      </c>
      <c r="AP9" s="6">
        <f>AI9/L9</f>
        <v>1.1020408163265305</v>
      </c>
      <c r="AQ9" s="6">
        <f>AA9/M9</f>
        <v>1.1020408163265305</v>
      </c>
      <c r="AR9" s="4"/>
      <c r="AS9" s="4"/>
      <c r="AT9" s="4"/>
      <c r="AU9" s="4"/>
      <c r="AV9" s="4"/>
      <c r="AW9" s="4"/>
      <c r="AX9" s="4"/>
      <c r="AY9" s="4"/>
      <c r="AZ9" s="4"/>
      <c r="BA9" s="4">
        <v>0</v>
      </c>
      <c r="BB9" s="4" t="s">
        <v>73</v>
      </c>
      <c r="BC9" s="4"/>
      <c r="BD9" s="4"/>
      <c r="BE9" s="4" t="s">
        <v>72</v>
      </c>
      <c r="BF9" s="4">
        <v>7960</v>
      </c>
      <c r="BG9" s="4">
        <v>7960</v>
      </c>
      <c r="BH9" s="4">
        <f t="shared" si="9"/>
        <v>7960</v>
      </c>
      <c r="BI9" s="19">
        <v>4</v>
      </c>
      <c r="BJ9" s="19">
        <v>8</v>
      </c>
      <c r="BK9" s="16">
        <v>4</v>
      </c>
      <c r="BN9" t="s">
        <v>74</v>
      </c>
    </row>
  </sheetData>
  <autoFilter ref="A3:BN3" xr:uid="{7A1660CF-9003-4B2D-B659-7F339ED5B476}"/>
  <mergeCells count="3">
    <mergeCell ref="K2:N2"/>
    <mergeCell ref="I2:J2"/>
    <mergeCell ref="X1:AA1"/>
  </mergeCells>
  <phoneticPr fontId="2"/>
  <conditionalFormatting sqref="AF4:AF9">
    <cfRule type="cellIs" dxfId="4" priority="3" operator="lessThan">
      <formula>$AC4</formula>
    </cfRule>
  </conditionalFormatting>
  <conditionalFormatting sqref="AI4:AI9">
    <cfRule type="cellIs" dxfId="3" priority="2" operator="greaterThan">
      <formula>$Y4</formula>
    </cfRule>
  </conditionalFormatting>
  <conditionalFormatting sqref="AG4:AG9">
    <cfRule type="cellIs" dxfId="0" priority="1" operator="lessThan">
      <formula>$AI4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2026-05-01T02:43:13Z</dcterms:modified>
</cp:coreProperties>
</file>