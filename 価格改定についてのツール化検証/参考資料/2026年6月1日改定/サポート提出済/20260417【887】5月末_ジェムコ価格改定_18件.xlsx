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ﾞ_ジェムコ_887\価格改定\20260417_5月末\"/>
    </mc:Choice>
  </mc:AlternateContent>
  <xr:revisionPtr revIDLastSave="0" documentId="13_ncr:1_{01CC431C-7B39-4458-BD00-B381E5EF9168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14" i="1" l="1"/>
  <c r="AD14" i="1" s="1"/>
  <c r="BF19" i="1"/>
  <c r="AD19" i="1" s="1"/>
  <c r="BF20" i="1"/>
  <c r="AD20" i="1" s="1"/>
  <c r="BF21" i="1"/>
  <c r="AD21" i="1" s="1"/>
  <c r="AP4" i="1"/>
  <c r="BF17" i="1"/>
  <c r="AD17" i="1" s="1"/>
  <c r="AN19" i="1"/>
  <c r="L19" i="1"/>
  <c r="AN21" i="1"/>
  <c r="L21" i="1"/>
  <c r="Y21" i="1"/>
  <c r="AI21" i="1" s="1"/>
  <c r="W21" i="1"/>
  <c r="AM21" i="1" s="1"/>
  <c r="C21" i="1"/>
  <c r="AN20" i="1"/>
  <c r="Y20" i="1"/>
  <c r="W20" i="1"/>
  <c r="L20" i="1"/>
  <c r="C20" i="1"/>
  <c r="Y19" i="1"/>
  <c r="AI19" i="1" s="1"/>
  <c r="W19" i="1"/>
  <c r="C19" i="1"/>
  <c r="BF18" i="1"/>
  <c r="AD18" i="1" s="1"/>
  <c r="AN18" i="1"/>
  <c r="Y18" i="1"/>
  <c r="AH18" i="1" s="1"/>
  <c r="W18" i="1"/>
  <c r="AM18" i="1" s="1"/>
  <c r="L18" i="1"/>
  <c r="C18" i="1"/>
  <c r="AN17" i="1"/>
  <c r="Y17" i="1"/>
  <c r="AH17" i="1" s="1"/>
  <c r="W17" i="1"/>
  <c r="AM17" i="1" s="1"/>
  <c r="L17" i="1"/>
  <c r="C17" i="1"/>
  <c r="BF16" i="1"/>
  <c r="AD16" i="1" s="1"/>
  <c r="AN16" i="1"/>
  <c r="Y16" i="1"/>
  <c r="AI16" i="1" s="1"/>
  <c r="W16" i="1"/>
  <c r="AM16" i="1" s="1"/>
  <c r="L16" i="1"/>
  <c r="C16" i="1"/>
  <c r="BF15" i="1"/>
  <c r="AD15" i="1" s="1"/>
  <c r="AN15" i="1"/>
  <c r="Y15" i="1"/>
  <c r="AI15" i="1" s="1"/>
  <c r="W15" i="1"/>
  <c r="AM15" i="1" s="1"/>
  <c r="L15" i="1"/>
  <c r="C15" i="1"/>
  <c r="AN14" i="1"/>
  <c r="Y14" i="1"/>
  <c r="AO14" i="1" s="1"/>
  <c r="AA14" i="1" s="1"/>
  <c r="AB14" i="1" s="1"/>
  <c r="W14" i="1"/>
  <c r="AM14" i="1" s="1"/>
  <c r="L14" i="1"/>
  <c r="C14" i="1"/>
  <c r="AR4" i="1"/>
  <c r="AQ4" i="1"/>
  <c r="AE14" i="1" l="1"/>
  <c r="AF14" i="1"/>
  <c r="AO19" i="1"/>
  <c r="AE19" i="1" s="1"/>
  <c r="AF19" i="1" s="1"/>
  <c r="AM20" i="1"/>
  <c r="AM19" i="1"/>
  <c r="AA19" i="1"/>
  <c r="AB19" i="1" s="1"/>
  <c r="AO21" i="1"/>
  <c r="AA21" i="1" s="1"/>
  <c r="AB21" i="1" s="1"/>
  <c r="AH21" i="1"/>
  <c r="AH14" i="1"/>
  <c r="AH15" i="1"/>
  <c r="AI14" i="1"/>
  <c r="AI18" i="1"/>
  <c r="AH16" i="1"/>
  <c r="AI17" i="1"/>
  <c r="AO20" i="1"/>
  <c r="AA20" i="1" s="1"/>
  <c r="AB20" i="1" s="1"/>
  <c r="AO18" i="1"/>
  <c r="AA18" i="1" s="1"/>
  <c r="AB18" i="1" s="1"/>
  <c r="AO16" i="1"/>
  <c r="AA16" i="1" s="1"/>
  <c r="AB16" i="1" s="1"/>
  <c r="AH20" i="1"/>
  <c r="AO17" i="1"/>
  <c r="AO15" i="1"/>
  <c r="AA15" i="1" s="1"/>
  <c r="AB15" i="1" s="1"/>
  <c r="AH19" i="1"/>
  <c r="AI20" i="1"/>
  <c r="AE21" i="1" l="1"/>
  <c r="AF21" i="1" s="1"/>
  <c r="AE16" i="1"/>
  <c r="AF16" i="1" s="1"/>
  <c r="AA17" i="1"/>
  <c r="AB17" i="1" s="1"/>
  <c r="AE17" i="1"/>
  <c r="AF17" i="1" s="1"/>
  <c r="AE20" i="1"/>
  <c r="AF20" i="1" s="1"/>
  <c r="AE18" i="1"/>
  <c r="AF18" i="1" s="1"/>
  <c r="AE15" i="1"/>
  <c r="AF15" i="1" s="1"/>
  <c r="BF5" i="1"/>
  <c r="AD5" i="1" s="1"/>
  <c r="BF6" i="1"/>
  <c r="AD6" i="1" s="1"/>
  <c r="BF9" i="1"/>
  <c r="AD9" i="1" s="1"/>
  <c r="BF10" i="1"/>
  <c r="AD10" i="1" s="1"/>
  <c r="BF11" i="1"/>
  <c r="AD11" i="1" s="1"/>
  <c r="BF12" i="1"/>
  <c r="AD12" i="1" s="1"/>
  <c r="BF13" i="1"/>
  <c r="AD13" i="1" s="1"/>
  <c r="BF4" i="1"/>
  <c r="AD4" i="1" s="1"/>
  <c r="Y5" i="1"/>
  <c r="Y6" i="1"/>
  <c r="Y7" i="1"/>
  <c r="Y8" i="1"/>
  <c r="Y9" i="1"/>
  <c r="Y10" i="1"/>
  <c r="Y11" i="1"/>
  <c r="Y12" i="1"/>
  <c r="Y13" i="1"/>
  <c r="W5" i="1"/>
  <c r="AM5" i="1" s="1"/>
  <c r="W6" i="1"/>
  <c r="AM6" i="1" s="1"/>
  <c r="W7" i="1"/>
  <c r="AM7" i="1" s="1"/>
  <c r="W8" i="1"/>
  <c r="AM8" i="1" s="1"/>
  <c r="W9" i="1"/>
  <c r="AM9" i="1" s="1"/>
  <c r="W10" i="1"/>
  <c r="AM10" i="1" s="1"/>
  <c r="W11" i="1"/>
  <c r="AM11" i="1" s="1"/>
  <c r="W12" i="1"/>
  <c r="AM12" i="1" s="1"/>
  <c r="W13" i="1"/>
  <c r="AM13" i="1" s="1"/>
  <c r="C5" i="1"/>
  <c r="C6" i="1"/>
  <c r="C7" i="1"/>
  <c r="C8" i="1"/>
  <c r="C9" i="1"/>
  <c r="C10" i="1"/>
  <c r="C11" i="1"/>
  <c r="C12" i="1"/>
  <c r="C13" i="1"/>
  <c r="C4" i="1"/>
  <c r="Y4" i="1"/>
  <c r="W4" i="1"/>
  <c r="AM4" i="1" s="1"/>
  <c r="AN13" i="1"/>
  <c r="L13" i="1"/>
  <c r="AN12" i="1"/>
  <c r="L12" i="1"/>
  <c r="AN11" i="1"/>
  <c r="L11" i="1"/>
  <c r="AN10" i="1"/>
  <c r="L10" i="1"/>
  <c r="AN4" i="1"/>
  <c r="AN9" i="1"/>
  <c r="L9" i="1"/>
  <c r="BF8" i="1"/>
  <c r="AD8" i="1" s="1"/>
  <c r="AN8" i="1"/>
  <c r="L8" i="1"/>
  <c r="BF7" i="1"/>
  <c r="AD7" i="1" s="1"/>
  <c r="AN7" i="1"/>
  <c r="L7" i="1"/>
  <c r="AN6" i="1"/>
  <c r="L6" i="1"/>
  <c r="AN5" i="1"/>
  <c r="L5" i="1"/>
  <c r="L4" i="1"/>
  <c r="AI10" i="1" l="1"/>
  <c r="AH4" i="1"/>
  <c r="AH9" i="1"/>
  <c r="AH13" i="1"/>
  <c r="AI11" i="1"/>
  <c r="AI8" i="1"/>
  <c r="AH12" i="1"/>
  <c r="AI7" i="1"/>
  <c r="AH5" i="1"/>
  <c r="AO5" i="1"/>
  <c r="AA5" i="1" s="1"/>
  <c r="AB5" i="1" s="1"/>
  <c r="AO6" i="1"/>
  <c r="AA6" i="1" s="1"/>
  <c r="AB6" i="1" s="1"/>
  <c r="AE6" i="1"/>
  <c r="AF6" i="1" s="1"/>
  <c r="AE10" i="1"/>
  <c r="AF10" i="1" s="1"/>
  <c r="AO10" i="1"/>
  <c r="AA10" i="1" s="1"/>
  <c r="AB10" i="1" s="1"/>
  <c r="AO12" i="1"/>
  <c r="AA12" i="1" s="1"/>
  <c r="AB12" i="1" s="1"/>
  <c r="AO8" i="1"/>
  <c r="AA8" i="1" s="1"/>
  <c r="AB8" i="1" s="1"/>
  <c r="AI6" i="1"/>
  <c r="AO13" i="1"/>
  <c r="AA13" i="1" s="1"/>
  <c r="AB13" i="1" s="1"/>
  <c r="AH11" i="1"/>
  <c r="AH10" i="1"/>
  <c r="AH8" i="1"/>
  <c r="AO11" i="1"/>
  <c r="AA11" i="1" s="1"/>
  <c r="AB11" i="1" s="1"/>
  <c r="AI9" i="1"/>
  <c r="AO9" i="1"/>
  <c r="AA9" i="1" s="1"/>
  <c r="AB9" i="1" s="1"/>
  <c r="AH7" i="1"/>
  <c r="AI13" i="1"/>
  <c r="AI5" i="1"/>
  <c r="AO7" i="1"/>
  <c r="AA7" i="1" s="1"/>
  <c r="AB7" i="1" s="1"/>
  <c r="AH6" i="1"/>
  <c r="AI12" i="1"/>
  <c r="AK4" i="1"/>
  <c r="AL4" i="1"/>
  <c r="AI4" i="1"/>
  <c r="AO4" i="1"/>
  <c r="AA4" i="1" s="1"/>
  <c r="AB4" i="1" s="1"/>
  <c r="AE5" i="1" l="1"/>
  <c r="AF5" i="1" s="1"/>
  <c r="AE8" i="1"/>
  <c r="AF8" i="1" s="1"/>
  <c r="AE9" i="1"/>
  <c r="AF9" i="1" s="1"/>
  <c r="AE12" i="1"/>
  <c r="AF12" i="1" s="1"/>
  <c r="AE13" i="1"/>
  <c r="AF13" i="1" s="1"/>
  <c r="AE11" i="1"/>
  <c r="AF11" i="1" s="1"/>
  <c r="AE7" i="1"/>
  <c r="AF7" i="1" s="1"/>
  <c r="AE4" i="1"/>
  <c r="AF4" i="1" s="1"/>
</calcChain>
</file>

<file path=xl/sharedStrings.xml><?xml version="1.0" encoding="utf-8"?>
<sst xmlns="http://schemas.openxmlformats.org/spreadsheetml/2006/main" count="229" uniqueCount="153">
  <si>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</si>
  <si>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</si>
  <si>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</si>
  <si>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</si>
  <si>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</si>
  <si>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</si>
  <si>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</si>
  <si>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</si>
  <si>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</si>
  <si>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</si>
  <si>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</si>
  <si>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</si>
  <si>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FW入数</t>
    <rPh sb="2" eb="4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</si>
  <si>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</si>
  <si>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</si>
  <si>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</si>
  <si>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</si>
  <si>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</si>
  <si>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</si>
  <si>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</si>
  <si>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</si>
  <si>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</si>
  <si>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</si>
  <si>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</si>
  <si>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</si>
  <si>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</si>
  <si>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</si>
  <si>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</si>
  <si>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</si>
  <si>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</si>
  <si>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</si>
  <si>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</si>
  <si>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</si>
  <si>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</si>
  <si>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</si>
  <si>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</si>
  <si>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</si>
  <si>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</si>
  <si>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</si>
  <si>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</si>
  <si>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</si>
  <si>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</si>
  <si>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</si>
  <si>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</si>
  <si>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</si>
  <si>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</si>
  <si>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</si>
  <si>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</si>
  <si>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</si>
  <si>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</si>
  <si>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</si>
  <si>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</si>
  <si>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</si>
  <si>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</si>
  <si>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</si>
  <si>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</si>
  <si>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</si>
  <si>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</si>
  <si>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J920MH</t>
  </si>
  <si>
    <t>J919MH</t>
  </si>
  <si>
    <t>J918MH</t>
  </si>
  <si>
    <t>J88837</t>
  </si>
  <si>
    <t>J88839</t>
  </si>
  <si>
    <t>J88841</t>
  </si>
  <si>
    <t>J88845</t>
  </si>
  <si>
    <t>J88846</t>
  </si>
  <si>
    <t>J88847</t>
  </si>
  <si>
    <t>J88848</t>
  </si>
  <si>
    <t>J3519N</t>
  </si>
  <si>
    <t>J3520N</t>
  </si>
  <si>
    <t>J3521N</t>
  </si>
  <si>
    <t>J2266S</t>
  </si>
  <si>
    <t>J2267S</t>
  </si>
  <si>
    <t>J2268S</t>
  </si>
  <si>
    <t>J8998W</t>
  </si>
  <si>
    <t>J617WK</t>
  </si>
  <si>
    <t>ﾈｸｽﾀ/手提げﾎﾟﾘ袋 15L 10枚 ﾌﾗﾜｰ柄 黄色</t>
  </si>
  <si>
    <t>ﾈｸｽﾀ/手提げﾎﾟﾘ袋 15L 10枚 ﾌﾗﾜｰ柄 青色</t>
  </si>
  <si>
    <t>ﾈｸｽﾀ/手提げﾎﾟﾘ袋 10L 14枚 ﾏﾘﾝ柄</t>
  </si>
  <si>
    <t>日本技研/ﾁｬｯｸつきﾎﾟﾘ袋 0.04×50×70mm 80枚/A-4S</t>
  </si>
  <si>
    <t>日本技研/ﾁｬｯｸつきﾎﾟﾘ袋 0.04×70×100mm 50枚/C-4S</t>
  </si>
  <si>
    <t>日本技研/ﾁｬｯｸつきﾎﾟﾘ袋 0.04×100×140mm 30枚/E-4S</t>
  </si>
  <si>
    <t>日本技研/ﾁｬｯｸつきﾎﾟﾘ袋 0.04×200×280mm 10枚/I-4S</t>
  </si>
  <si>
    <t>日本技研/ﾁｬｯｸつきﾎﾟﾘ袋 0.04×240×340mm 8枚/J-4S</t>
  </si>
  <si>
    <t>日本技研/ﾁｬｯｸつきﾎﾟﾘ袋 0.04×280×400mm 6枚/K-4S</t>
  </si>
  <si>
    <t>日本技研/ﾁｬｯｸつきﾎﾟﾘ袋 0.04×340×480mm 5枚/L-4S</t>
  </si>
  <si>
    <t>日本技研工業/ﾘﾋﾞﾌﾟﾗC 半透明 ﾚｼﾞ袋 M 50枚/LP-CRM</t>
  </si>
  <si>
    <t>日本技研工業/ﾘﾋﾞﾌﾟﾗC 半透明 ﾚｼﾞ袋 L 50枚/LP-CRL</t>
  </si>
  <si>
    <t>日本技研工業/ﾘﾋﾞﾌﾟﾗC 半透明 ﾚｼﾞ袋 LL 50枚/LP-CR5</t>
  </si>
  <si>
    <t>ｵﾙﾃﾞｨ/ｴﾌﾟﾛﾝｽｰﾊﾟｰﾗｲﾄ ひも付 S 30号 乳白 100枚</t>
  </si>
  <si>
    <t>ｵﾙﾃﾞｨ/ｴﾌﾟﾛﾝｽｰﾊﾟｰﾗｲﾄ ひも付 M 35号 乳白 100枚</t>
  </si>
  <si>
    <t>ｵﾙﾃﾞｨ/ｴﾌﾟﾛﾝｽｰﾊﾟｰﾗｲﾄ ひも付 L 40号 乳白 100枚</t>
  </si>
  <si>
    <t>ｵﾙﾃﾞｨ/ﾁｮｲｽ ｼﾞｯﾊﾟｰ袋 L 20枚入 CH-ZLD05&amp;06-20</t>
  </si>
  <si>
    <t>ｵﾙﾃﾞｨ/ﾌﾟﾗｽﾌﾟﾗｽ ﾃﾞｻﾞｲﾝｼﾞｯﾊﾟｰﾊﾞｯｸﾞ ML 15枚</t>
  </si>
  <si>
    <t>ネクスタ 【EFP】手提げポリ袋 15L用 フラワー柄黄色 4903652002339 1個(10枚)</t>
  </si>
  <si>
    <t>ネクスタ 【EFP】手提げポリ袋 15L用 10枚 フラワー柄青色 4903652002346 1個(10枚)（直送品）</t>
  </si>
  <si>
    <t>ネクスタ 手提げポリ袋 10L用 14枚 マリン柄 4903652002360 1個(14枚)（直送品）</t>
  </si>
  <si>
    <t>日本技研工業 業務屋さん チャック付ポリ袋 Aー4S 4904118647033 1セット(1袋(80枚入)×200)（直送品）</t>
  </si>
  <si>
    <t>日本技研工業 業務屋さん チャック付ポリ袋 Cー4S 4904118647057 1セット(1袋(50枚入)×200)（直送品）</t>
  </si>
  <si>
    <t>日本技研工業 業務屋さん チャック付ポリ袋 Eー4S 4904118647071 1セット(1袋(30枚入)×160)（直送品）</t>
  </si>
  <si>
    <t>日本技研工業 業務屋さん チャック付ポリ袋 Iー4S 4904118647118 1セット(1袋(10枚入)×120)（直送品）</t>
  </si>
  <si>
    <t>日本技研工業 業務屋さん チャック付ポリ袋 Jー4S 4904118647125 1セット(1袋(8枚入)×120)（直送品）</t>
  </si>
  <si>
    <t>日本技研工業 業務屋さん チャック付ポリ袋 Kー4S 4904118647132 1セット(1袋(6枚入)×120)（直送品）</t>
  </si>
  <si>
    <t>日本技研工業 業務屋さん チャック付ポリ袋 Lー4S 4904118647149 1セット(1袋(5枚入)×100)（直送品）</t>
  </si>
  <si>
    <t>日本技研工業 リビプラ カーボンオフセット レジ袋M50枚 4904118700301 1セット(1冊入×50束 合計50冊)（直送品）</t>
  </si>
  <si>
    <t>日本技研工業 リビプラ カーボンオフセット レジ袋L50枚 4904118700318 1セット(1冊入×50束 合計50冊)（直送品）</t>
  </si>
  <si>
    <t>日本技研工業 リビプラ カーボンオフセット レジ袋LL50枚 4904118700325 1セット(1冊入×50束 合計50冊)（直送品）</t>
  </si>
  <si>
    <t>オルディ エプロンスーパーライトひも付 S/30号 乳白100P ESLH-W30-100 1セット(3000枚:100枚×30冊)（直送品）</t>
  </si>
  <si>
    <t>オルディ エプロンスーパーライトひも付 M/35号 乳白100P ESLH-W35-100 1セット(2000枚:100枚×20冊)（直送品）</t>
  </si>
  <si>
    <t>オルディ エプロンスーパーライトひも付 L/40号 乳白100P ESLH-W40-100 1セット(2000枚:100枚×20冊)（直送品）</t>
  </si>
  <si>
    <t>オルディ 保存袋 チョイスジッパー袋 L 20枚入 373353 1個（直送品）</t>
  </si>
  <si>
    <t>プラスプラス デザインジッパーバッグ ML 25×28cm ライン柄 保存袋 冷凍・レンジ解凍可 1箱（15枚入）オルディ</t>
  </si>
  <si>
    <t>EK40384</t>
  </si>
  <si>
    <t>1個（10枚）</t>
  </si>
  <si>
    <t>AWA4064</t>
  </si>
  <si>
    <t>1個(10枚)</t>
  </si>
  <si>
    <t>AWA4066</t>
  </si>
  <si>
    <t>1個(14枚)</t>
  </si>
  <si>
    <t>AAU8142</t>
  </si>
  <si>
    <t>1セット（1袋（80枚入）×200）</t>
  </si>
  <si>
    <t>AAU8152</t>
  </si>
  <si>
    <t>1セット（1袋（50枚入）×200）</t>
  </si>
  <si>
    <t>AAU8154</t>
  </si>
  <si>
    <t>1セット（1袋（30枚入）×160）</t>
  </si>
  <si>
    <t>AAU8146</t>
  </si>
  <si>
    <t>1セット（1袋（10枚入）×120）</t>
  </si>
  <si>
    <t>AAU8147</t>
  </si>
  <si>
    <t>1セット（1袋（8枚入）×120）</t>
  </si>
  <si>
    <t>AAU8151</t>
  </si>
  <si>
    <t>1セット（1袋（6枚入）×120）</t>
  </si>
  <si>
    <t>AAU8164</t>
  </si>
  <si>
    <t>1セット（1袋（5枚入）×100）</t>
  </si>
  <si>
    <t>XN38371</t>
  </si>
  <si>
    <t>1セット（1冊入×50束 合計50冊）</t>
  </si>
  <si>
    <t>XN38370</t>
  </si>
  <si>
    <t>XN38372</t>
  </si>
  <si>
    <t>XJ92762</t>
  </si>
  <si>
    <t>1セット(3000枚:100枚×30冊)</t>
  </si>
  <si>
    <t>XJ92760</t>
  </si>
  <si>
    <t>1セット(2000枚:100枚×20冊)</t>
  </si>
  <si>
    <t>XJ92761</t>
  </si>
  <si>
    <t>HN04183</t>
  </si>
  <si>
    <t>1個</t>
  </si>
  <si>
    <t>UK70532</t>
  </si>
  <si>
    <t>1箱（15枚入）</t>
  </si>
  <si>
    <t>-</t>
  </si>
  <si>
    <t>-</t>
    <phoneticPr fontId="2"/>
  </si>
  <si>
    <t>ｱｽｸﾙ
換算売価</t>
    <rPh sb="5" eb="7">
      <t>カンザン</t>
    </rPh>
    <rPh sb="7" eb="9">
      <t>バイカ</t>
    </rPh>
    <phoneticPr fontId="2"/>
  </si>
  <si>
    <t>ｱｽｸﾙ</t>
  </si>
  <si>
    <t>ｱｽｸﾙ入数</t>
    <rPh sb="4" eb="6">
      <t>イリスウ</t>
    </rPh>
    <phoneticPr fontId="2"/>
  </si>
  <si>
    <t>ｱｽｸﾙ商品名</t>
    <rPh sb="4" eb="7">
      <t>ショウヒンメイ</t>
    </rPh>
    <phoneticPr fontId="2"/>
  </si>
  <si>
    <t>5月売価</t>
    <rPh sb="1" eb="2">
      <t>ガツ</t>
    </rPh>
    <rPh sb="2" eb="4">
      <t>バイカ</t>
    </rPh>
    <phoneticPr fontId="2"/>
  </si>
  <si>
    <t>ｱｽｸﾙ
ｽﾗｲﾄﾞ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</si>
</sst>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176" fontId="0" fillId="6" borderId="4" xfId="0" applyNumberFormat="1" applyFill="1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L21"/>
  <sheetViews>
    <sheetView tabSelected="1" zoomScale="90" zoomScaleNormal="90" workbookViewId="0">
      <pane xSplit="6" ySplit="5" topLeftCell="I6" activePane="bottomRight" state="frozen"/>
      <selection pane="topRight" activeCell="G1" sqref="G1"/>
      <selection pane="bottomLeft" activeCell="A5" sqref="A5"/>
      <selection pane="bottomRight" activeCell="AF4" sqref="AF4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8" width="7.5" hidden="1" customWidth="1" outlineLevel="1"/>
    <col min="9" max="9" width="7.625" customWidth="1" collapsed="1"/>
    <col min="10" max="13" width="7.625" customWidth="1"/>
    <col min="14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28" width="7.625" customWidth="1"/>
    <col min="29" max="29" width="7.625" style="30" customWidth="1"/>
    <col min="30" max="30" width="7.625" customWidth="1"/>
    <col min="31" max="31" width="7.625" style="30" customWidth="1"/>
    <col min="32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50" width="7.625" hidden="1" customWidth="1" outlineLevel="1"/>
    <col min="51" max="51" width="7.625" customWidth="1" collapsed="1"/>
    <col min="52" max="54" width="7.625" customWidth="1"/>
    <col min="55" max="55" width="29.375" customWidth="1"/>
    <col min="56" max="56" width="8.25" customWidth="1"/>
    <col min="57" max="63" width="7.625" customWidth="1"/>
  </cols>
  <sheetData>
    <row r="1" spans="1:64" x14ac:dyDescent="0.4">
      <c r="B1" s="29" t="s">
        <v>46</v>
      </c>
      <c r="V1" s="42" t="s">
        <v>43</v>
      </c>
      <c r="W1" s="43"/>
      <c r="X1" s="43"/>
      <c r="Y1" s="44"/>
    </row>
    <row r="2" spans="1:64" x14ac:dyDescent="0.4">
      <c r="B2" s="8" t="s">
        <v>31</v>
      </c>
      <c r="C2" s="9" t="s">
        <v>32</v>
      </c>
      <c r="D2" s="9" t="s">
        <v>33</v>
      </c>
      <c r="E2" s="10"/>
      <c r="F2" s="10"/>
      <c r="G2" s="39" t="s">
        <v>34</v>
      </c>
      <c r="H2" s="41"/>
      <c r="I2" s="39" t="s">
        <v>2</v>
      </c>
      <c r="J2" s="40"/>
      <c r="K2" s="40"/>
      <c r="L2" s="41"/>
      <c r="M2" s="11"/>
      <c r="N2" s="36"/>
      <c r="O2" s="36"/>
      <c r="P2" s="36"/>
      <c r="Q2" s="36"/>
      <c r="R2" s="36"/>
      <c r="S2" s="36"/>
      <c r="T2" s="36"/>
      <c r="U2" s="36"/>
      <c r="V2" s="23"/>
      <c r="W2" s="24" t="s">
        <v>37</v>
      </c>
      <c r="X2" s="24"/>
      <c r="Y2" s="25" t="s">
        <v>37</v>
      </c>
      <c r="Z2" s="10"/>
      <c r="AA2" s="9" t="s">
        <v>42</v>
      </c>
      <c r="AB2" s="11"/>
      <c r="AC2" s="31"/>
      <c r="AD2" s="11"/>
      <c r="AE2" s="31"/>
      <c r="AF2" s="11"/>
      <c r="AG2" s="22" t="s">
        <v>44</v>
      </c>
      <c r="AH2" s="11"/>
      <c r="AI2" s="11"/>
      <c r="AJ2" s="27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>
        <v>51</v>
      </c>
      <c r="BG2">
        <v>14</v>
      </c>
      <c r="BH2">
        <v>28</v>
      </c>
    </row>
    <row r="3" spans="1:64" ht="75" x14ac:dyDescent="0.4">
      <c r="A3" s="1" t="s">
        <v>55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28</v>
      </c>
      <c r="H3" s="12" t="s">
        <v>29</v>
      </c>
      <c r="I3" s="12" t="s">
        <v>1</v>
      </c>
      <c r="J3" s="2" t="s">
        <v>8</v>
      </c>
      <c r="K3" s="2" t="s">
        <v>5</v>
      </c>
      <c r="L3" s="2" t="s">
        <v>14</v>
      </c>
      <c r="M3" s="12" t="s">
        <v>52</v>
      </c>
      <c r="N3" s="12" t="s">
        <v>18</v>
      </c>
      <c r="O3" s="12" t="s">
        <v>19</v>
      </c>
      <c r="P3" s="12" t="s">
        <v>53</v>
      </c>
      <c r="Q3" s="12" t="s">
        <v>21</v>
      </c>
      <c r="R3" s="12" t="s">
        <v>22</v>
      </c>
      <c r="S3" s="12" t="s">
        <v>54</v>
      </c>
      <c r="T3" s="12" t="s">
        <v>24</v>
      </c>
      <c r="U3" s="12" t="s">
        <v>25</v>
      </c>
      <c r="V3" s="12" t="s">
        <v>3</v>
      </c>
      <c r="W3" s="12" t="s">
        <v>26</v>
      </c>
      <c r="X3" s="2" t="s">
        <v>5</v>
      </c>
      <c r="Y3" s="12" t="s">
        <v>27</v>
      </c>
      <c r="Z3" s="14" t="s">
        <v>6</v>
      </c>
      <c r="AA3" s="20" t="s">
        <v>15</v>
      </c>
      <c r="AB3" s="2" t="s">
        <v>14</v>
      </c>
      <c r="AC3" s="32" t="s">
        <v>47</v>
      </c>
      <c r="AD3" s="12" t="s">
        <v>147</v>
      </c>
      <c r="AE3" s="38" t="s">
        <v>152</v>
      </c>
      <c r="AF3" s="2" t="s">
        <v>14</v>
      </c>
      <c r="AG3" s="13" t="s">
        <v>35</v>
      </c>
      <c r="AH3" s="2" t="s">
        <v>14</v>
      </c>
      <c r="AI3" s="2" t="s">
        <v>36</v>
      </c>
      <c r="AJ3" s="26" t="s">
        <v>38</v>
      </c>
      <c r="AK3" s="12" t="s">
        <v>39</v>
      </c>
      <c r="AL3" s="12" t="s">
        <v>40</v>
      </c>
      <c r="AM3" s="12" t="s">
        <v>30</v>
      </c>
      <c r="AN3" s="12" t="s">
        <v>41</v>
      </c>
      <c r="AO3" s="12" t="s">
        <v>16</v>
      </c>
      <c r="AP3" s="12" t="s">
        <v>17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2" t="s">
        <v>11</v>
      </c>
      <c r="AZ3" s="2" t="s">
        <v>148</v>
      </c>
      <c r="BA3" s="2" t="s">
        <v>12</v>
      </c>
      <c r="BB3" s="2" t="s">
        <v>149</v>
      </c>
      <c r="BC3" s="12" t="s">
        <v>45</v>
      </c>
      <c r="BD3" s="12" t="s">
        <v>57</v>
      </c>
      <c r="BE3" s="2" t="s">
        <v>151</v>
      </c>
      <c r="BF3" s="2" t="s">
        <v>13</v>
      </c>
      <c r="BG3" s="18" t="s">
        <v>48</v>
      </c>
      <c r="BH3" s="18" t="s">
        <v>49</v>
      </c>
      <c r="BI3" s="15" t="s">
        <v>56</v>
      </c>
      <c r="BJ3" s="34" t="s">
        <v>50</v>
      </c>
      <c r="BK3" s="35" t="s">
        <v>51</v>
      </c>
      <c r="BL3" s="35" t="s">
        <v>150</v>
      </c>
    </row>
    <row r="4" spans="1:64" x14ac:dyDescent="0.4">
      <c r="A4" s="3">
        <v>1</v>
      </c>
      <c r="B4" s="4" t="s">
        <v>58</v>
      </c>
      <c r="C4" s="4" t="str">
        <f>TEXT(B4,"000000")</f>
        <v>J920MH</v>
      </c>
      <c r="D4" s="4" t="s">
        <v>58</v>
      </c>
      <c r="E4" s="4" t="s">
        <v>76</v>
      </c>
      <c r="F4" s="5">
        <v>4903652002339</v>
      </c>
      <c r="G4" s="5">
        <v>1</v>
      </c>
      <c r="H4" s="5">
        <v>1</v>
      </c>
      <c r="I4" s="4">
        <v>0</v>
      </c>
      <c r="J4" s="4">
        <v>105</v>
      </c>
      <c r="K4" s="4">
        <v>66</v>
      </c>
      <c r="L4" s="6">
        <f t="shared" ref="L4:L13" si="0">1-K4/J4</f>
        <v>0.37142857142857144</v>
      </c>
      <c r="M4" s="4" t="s">
        <v>146</v>
      </c>
      <c r="N4" s="4"/>
      <c r="O4" s="4"/>
      <c r="P4" s="4"/>
      <c r="Q4" s="4"/>
      <c r="R4" s="4"/>
      <c r="S4" s="4"/>
      <c r="T4" s="4"/>
      <c r="U4" s="4"/>
      <c r="V4" s="4">
        <v>0</v>
      </c>
      <c r="W4" s="4">
        <f>IF(Z4="",V4,V4*Z4)</f>
        <v>0</v>
      </c>
      <c r="X4" s="4">
        <v>84</v>
      </c>
      <c r="Y4" s="4">
        <f>IF(Z4="",X4,X4*Z4)</f>
        <v>84</v>
      </c>
      <c r="Z4" s="4"/>
      <c r="AA4" s="21">
        <f>ROUND(J4*AO4,0)</f>
        <v>134</v>
      </c>
      <c r="AB4" s="6">
        <f t="shared" ref="AB4" si="1">1-Y4/AA4</f>
        <v>0.37313432835820892</v>
      </c>
      <c r="AC4" s="33">
        <v>2.5</v>
      </c>
      <c r="AD4" s="4">
        <f>BF4</f>
        <v>126</v>
      </c>
      <c r="AE4" s="33">
        <f>AD4*AO4</f>
        <v>160.36363636363637</v>
      </c>
      <c r="AF4" s="6">
        <f>1-Y4/AE4</f>
        <v>0.47619047619047628</v>
      </c>
      <c r="AG4" s="7">
        <v>134</v>
      </c>
      <c r="AH4" s="6">
        <f>1-Y4/AG4</f>
        <v>0.37313432835820892</v>
      </c>
      <c r="AI4" s="4">
        <f>AG4-Y4</f>
        <v>50</v>
      </c>
      <c r="AJ4" s="28"/>
      <c r="AK4" s="6" t="e">
        <f>1-Y4/AJ4</f>
        <v>#DIV/0!</v>
      </c>
      <c r="AL4" s="4">
        <f>AJ4-Y4</f>
        <v>-84</v>
      </c>
      <c r="AM4" s="6" t="e">
        <f>W4/I4</f>
        <v>#DIV/0!</v>
      </c>
      <c r="AN4" s="6">
        <f>AG4/J4</f>
        <v>1.2761904761904761</v>
      </c>
      <c r="AO4" s="6">
        <f>Y4/K4</f>
        <v>1.2727272727272727</v>
      </c>
      <c r="AP4" s="4" t="str">
        <f>IFERROR(ROUND($AG4*M4/$J4,0),"-")</f>
        <v>-</v>
      </c>
      <c r="AQ4" s="4" t="str">
        <f>IF(N4="","-",N4)</f>
        <v>-</v>
      </c>
      <c r="AR4" s="4" t="str">
        <f>IF(O4="","-",O4)</f>
        <v>-</v>
      </c>
      <c r="AS4" s="4"/>
      <c r="AT4" s="4"/>
      <c r="AU4" s="4"/>
      <c r="AV4" s="4"/>
      <c r="AW4" s="4"/>
      <c r="AX4" s="4"/>
      <c r="AY4" s="4">
        <v>0</v>
      </c>
      <c r="AZ4" s="4" t="s">
        <v>112</v>
      </c>
      <c r="BA4" s="4"/>
      <c r="BB4" s="4"/>
      <c r="BC4" s="4" t="s">
        <v>113</v>
      </c>
      <c r="BD4" s="4">
        <v>126</v>
      </c>
      <c r="BE4" s="4">
        <v>126</v>
      </c>
      <c r="BF4" s="4">
        <f t="shared" ref="BF4:BF5" si="2">IF(BA4="",BE4,BA4/BB4*BE4)</f>
        <v>126</v>
      </c>
      <c r="BG4" s="19">
        <v>4</v>
      </c>
      <c r="BH4" s="19">
        <v>1</v>
      </c>
      <c r="BI4" s="16"/>
      <c r="BJ4" t="s">
        <v>146</v>
      </c>
      <c r="BK4" t="s">
        <v>145</v>
      </c>
      <c r="BL4" t="s">
        <v>94</v>
      </c>
    </row>
    <row r="5" spans="1:64" x14ac:dyDescent="0.4">
      <c r="A5" s="3">
        <v>2</v>
      </c>
      <c r="B5" s="4" t="s">
        <v>59</v>
      </c>
      <c r="C5" s="4" t="str">
        <f t="shared" ref="C5:C13" si="3">TEXT(B5,"000000")</f>
        <v>J919MH</v>
      </c>
      <c r="D5" s="4" t="s">
        <v>59</v>
      </c>
      <c r="E5" s="4" t="s">
        <v>77</v>
      </c>
      <c r="F5" s="5">
        <v>4903652002346</v>
      </c>
      <c r="G5" s="5">
        <v>1</v>
      </c>
      <c r="H5" s="5">
        <v>1</v>
      </c>
      <c r="I5" s="4">
        <v>0</v>
      </c>
      <c r="J5" s="4">
        <v>103</v>
      </c>
      <c r="K5" s="4">
        <v>65</v>
      </c>
      <c r="L5" s="6">
        <f t="shared" si="0"/>
        <v>0.3689320388349514</v>
      </c>
      <c r="M5" s="4" t="s">
        <v>146</v>
      </c>
      <c r="N5" s="4"/>
      <c r="O5" s="4"/>
      <c r="P5" s="4"/>
      <c r="Q5" s="4"/>
      <c r="R5" s="4"/>
      <c r="S5" s="4"/>
      <c r="T5" s="4"/>
      <c r="U5" s="4"/>
      <c r="V5" s="4">
        <v>0</v>
      </c>
      <c r="W5" s="4">
        <f t="shared" ref="W5:W13" si="4">IF(Z5="",V5,V5*Z5)</f>
        <v>0</v>
      </c>
      <c r="X5" s="4">
        <v>84</v>
      </c>
      <c r="Y5" s="4">
        <f t="shared" ref="Y5:Y13" si="5">IF(Z5="",X5,X5*Z5)</f>
        <v>84</v>
      </c>
      <c r="Z5" s="4"/>
      <c r="AA5" s="21">
        <f>ROUND(J5*AO5,0)</f>
        <v>133</v>
      </c>
      <c r="AB5" s="6">
        <f t="shared" ref="AB5" si="6">1-Y5/AA5</f>
        <v>0.36842105263157898</v>
      </c>
      <c r="AC5" s="33">
        <v>10.25</v>
      </c>
      <c r="AD5" s="4">
        <f t="shared" ref="AD5:AD13" si="7">BF5</f>
        <v>118</v>
      </c>
      <c r="AE5" s="33">
        <f>AD5*AO5</f>
        <v>152.49230769230769</v>
      </c>
      <c r="AF5" s="6">
        <f>1-Y5/AE5</f>
        <v>0.44915254237288138</v>
      </c>
      <c r="AG5" s="7">
        <v>134</v>
      </c>
      <c r="AH5" s="6">
        <f>1-Y5/AG5</f>
        <v>0.37313432835820892</v>
      </c>
      <c r="AI5" s="4">
        <f>AG5-Y5</f>
        <v>50</v>
      </c>
      <c r="AJ5" s="28"/>
      <c r="AK5" s="6"/>
      <c r="AL5" s="6"/>
      <c r="AM5" s="6" t="e">
        <f>W5/I5</f>
        <v>#DIV/0!</v>
      </c>
      <c r="AN5" s="6">
        <f>AG5/J5</f>
        <v>1.3009708737864079</v>
      </c>
      <c r="AO5" s="6">
        <f>Y5/K5</f>
        <v>1.2923076923076924</v>
      </c>
      <c r="AP5" s="4"/>
      <c r="AQ5" s="4"/>
      <c r="AR5" s="4"/>
      <c r="AS5" s="4"/>
      <c r="AT5" s="4"/>
      <c r="AU5" s="4"/>
      <c r="AV5" s="4"/>
      <c r="AW5" s="4"/>
      <c r="AX5" s="4"/>
      <c r="AY5" s="4">
        <v>0</v>
      </c>
      <c r="AZ5" s="4" t="s">
        <v>114</v>
      </c>
      <c r="BA5" s="4"/>
      <c r="BB5" s="4"/>
      <c r="BC5" s="4" t="s">
        <v>115</v>
      </c>
      <c r="BD5" s="4">
        <v>118</v>
      </c>
      <c r="BE5" s="4">
        <v>118</v>
      </c>
      <c r="BF5" s="4">
        <f t="shared" si="2"/>
        <v>118</v>
      </c>
      <c r="BG5" s="19">
        <v>4</v>
      </c>
      <c r="BH5" s="19">
        <v>1</v>
      </c>
      <c r="BI5" s="16"/>
      <c r="BJ5" t="s">
        <v>146</v>
      </c>
      <c r="BK5">
        <v>120</v>
      </c>
      <c r="BL5" t="s">
        <v>95</v>
      </c>
    </row>
    <row r="6" spans="1:64" x14ac:dyDescent="0.4">
      <c r="A6" s="3">
        <v>3</v>
      </c>
      <c r="B6" s="17" t="s">
        <v>60</v>
      </c>
      <c r="C6" s="4" t="str">
        <f t="shared" si="3"/>
        <v>J918MH</v>
      </c>
      <c r="D6" s="4" t="s">
        <v>60</v>
      </c>
      <c r="E6" s="4" t="s">
        <v>78</v>
      </c>
      <c r="F6" s="5">
        <v>4903652002360</v>
      </c>
      <c r="G6" s="5">
        <v>1</v>
      </c>
      <c r="H6" s="5">
        <v>1</v>
      </c>
      <c r="I6" s="4">
        <v>0</v>
      </c>
      <c r="J6" s="4">
        <v>103</v>
      </c>
      <c r="K6" s="4">
        <v>65</v>
      </c>
      <c r="L6" s="6">
        <f t="shared" si="0"/>
        <v>0.3689320388349514</v>
      </c>
      <c r="M6" s="4" t="s">
        <v>146</v>
      </c>
      <c r="N6" s="4"/>
      <c r="O6" s="4"/>
      <c r="P6" s="4"/>
      <c r="Q6" s="4"/>
      <c r="R6" s="4"/>
      <c r="S6" s="4"/>
      <c r="T6" s="4"/>
      <c r="U6" s="4"/>
      <c r="V6" s="4">
        <v>0</v>
      </c>
      <c r="W6" s="4">
        <f t="shared" si="4"/>
        <v>0</v>
      </c>
      <c r="X6" s="4">
        <v>84</v>
      </c>
      <c r="Y6" s="4">
        <f t="shared" si="5"/>
        <v>84</v>
      </c>
      <c r="Z6" s="4"/>
      <c r="AA6" s="21">
        <f>ROUND(J6*AO6,0)</f>
        <v>133</v>
      </c>
      <c r="AB6" s="6">
        <f t="shared" ref="AB6:AB13" si="8">1-Y6/AA6</f>
        <v>0.36842105263157898</v>
      </c>
      <c r="AC6" s="33">
        <v>9</v>
      </c>
      <c r="AD6" s="4">
        <f t="shared" si="7"/>
        <v>118</v>
      </c>
      <c r="AE6" s="33">
        <f>AD6*AO6</f>
        <v>152.49230769230769</v>
      </c>
      <c r="AF6" s="6">
        <f>1-Y6/AE6</f>
        <v>0.44915254237288138</v>
      </c>
      <c r="AG6" s="7">
        <v>134</v>
      </c>
      <c r="AH6" s="6">
        <f>1-Y6/AG6</f>
        <v>0.37313432835820892</v>
      </c>
      <c r="AI6" s="4">
        <f>AG6-Y6</f>
        <v>50</v>
      </c>
      <c r="AJ6" s="28"/>
      <c r="AK6" s="6"/>
      <c r="AL6" s="6"/>
      <c r="AM6" s="6" t="e">
        <f>W6/I6</f>
        <v>#DIV/0!</v>
      </c>
      <c r="AN6" s="6">
        <f>AG6/J6</f>
        <v>1.3009708737864079</v>
      </c>
      <c r="AO6" s="6">
        <f>Y6/K6</f>
        <v>1.2923076923076924</v>
      </c>
      <c r="AP6" s="4"/>
      <c r="AQ6" s="4"/>
      <c r="AR6" s="4"/>
      <c r="AS6" s="4"/>
      <c r="AT6" s="4"/>
      <c r="AU6" s="4"/>
      <c r="AV6" s="4"/>
      <c r="AW6" s="4"/>
      <c r="AX6" s="4"/>
      <c r="AY6" s="4">
        <v>0</v>
      </c>
      <c r="AZ6" s="4" t="s">
        <v>116</v>
      </c>
      <c r="BA6" s="4"/>
      <c r="BB6" s="4"/>
      <c r="BC6" s="4" t="s">
        <v>117</v>
      </c>
      <c r="BD6" s="4">
        <v>118</v>
      </c>
      <c r="BE6" s="4">
        <v>118</v>
      </c>
      <c r="BF6" s="4">
        <f t="shared" ref="BF6:BF13" si="9">IF(BA6="",BE6,BA6/BB6*BE6)</f>
        <v>118</v>
      </c>
      <c r="BG6" s="19">
        <v>4</v>
      </c>
      <c r="BH6" s="19">
        <v>1</v>
      </c>
      <c r="BI6" s="16"/>
      <c r="BJ6" t="s">
        <v>146</v>
      </c>
      <c r="BK6">
        <v>130</v>
      </c>
      <c r="BL6" t="s">
        <v>96</v>
      </c>
    </row>
    <row r="7" spans="1:64" x14ac:dyDescent="0.4">
      <c r="A7" s="3">
        <v>4</v>
      </c>
      <c r="B7" s="17" t="s">
        <v>61</v>
      </c>
      <c r="C7" s="4" t="str">
        <f t="shared" si="3"/>
        <v>J88837</v>
      </c>
      <c r="D7" s="4" t="s">
        <v>61</v>
      </c>
      <c r="E7" s="4" t="s">
        <v>79</v>
      </c>
      <c r="F7" s="5">
        <v>4904118647033</v>
      </c>
      <c r="G7" s="5">
        <v>1</v>
      </c>
      <c r="H7" s="5">
        <v>1</v>
      </c>
      <c r="I7" s="4">
        <v>0</v>
      </c>
      <c r="J7" s="4">
        <v>163</v>
      </c>
      <c r="K7" s="4">
        <v>121</v>
      </c>
      <c r="L7" s="6">
        <f t="shared" si="0"/>
        <v>0.25766871165644167</v>
      </c>
      <c r="M7" s="4" t="s">
        <v>146</v>
      </c>
      <c r="N7" s="4"/>
      <c r="O7" s="4"/>
      <c r="P7" s="4"/>
      <c r="Q7" s="4"/>
      <c r="R7" s="4"/>
      <c r="S7" s="4"/>
      <c r="T7" s="4"/>
      <c r="U7" s="4"/>
      <c r="V7" s="4">
        <v>0</v>
      </c>
      <c r="W7" s="4">
        <f t="shared" si="4"/>
        <v>0</v>
      </c>
      <c r="X7" s="4">
        <v>161</v>
      </c>
      <c r="Y7" s="4">
        <f t="shared" si="5"/>
        <v>161</v>
      </c>
      <c r="Z7" s="4"/>
      <c r="AA7" s="21">
        <f>ROUND(J7*AO7,0)</f>
        <v>217</v>
      </c>
      <c r="AB7" s="6">
        <f t="shared" si="8"/>
        <v>0.25806451612903225</v>
      </c>
      <c r="AC7" s="33">
        <v>1</v>
      </c>
      <c r="AD7" s="4">
        <f t="shared" si="7"/>
        <v>113.79</v>
      </c>
      <c r="AE7" s="33">
        <f>AD7*AO7</f>
        <v>151.40652892561985</v>
      </c>
      <c r="AF7" s="6">
        <f>1-Y7/AE7</f>
        <v>-6.3362334124263953E-2</v>
      </c>
      <c r="AG7" s="7">
        <v>230</v>
      </c>
      <c r="AH7" s="6">
        <f>1-Y7/AG7</f>
        <v>0.30000000000000004</v>
      </c>
      <c r="AI7" s="4">
        <f>AG7-Y7</f>
        <v>69</v>
      </c>
      <c r="AJ7" s="28"/>
      <c r="AK7" s="6"/>
      <c r="AL7" s="6"/>
      <c r="AM7" s="6" t="e">
        <f>W7/I7</f>
        <v>#DIV/0!</v>
      </c>
      <c r="AN7" s="6">
        <f>AG7/J7</f>
        <v>1.4110429447852761</v>
      </c>
      <c r="AO7" s="6">
        <f>Y7/K7</f>
        <v>1.3305785123966942</v>
      </c>
      <c r="AP7" s="4"/>
      <c r="AQ7" s="4"/>
      <c r="AR7" s="4"/>
      <c r="AS7" s="4"/>
      <c r="AT7" s="4"/>
      <c r="AU7" s="4"/>
      <c r="AV7" s="4"/>
      <c r="AW7" s="4"/>
      <c r="AX7" s="4"/>
      <c r="AY7" s="4">
        <v>0</v>
      </c>
      <c r="AZ7" s="4" t="s">
        <v>118</v>
      </c>
      <c r="BA7" s="4">
        <v>1</v>
      </c>
      <c r="BB7" s="4">
        <v>200</v>
      </c>
      <c r="BC7" s="4" t="s">
        <v>119</v>
      </c>
      <c r="BD7" s="4">
        <v>22758</v>
      </c>
      <c r="BE7" s="4">
        <v>22758</v>
      </c>
      <c r="BF7" s="4">
        <f t="shared" si="9"/>
        <v>113.79</v>
      </c>
      <c r="BG7" s="19">
        <v>4</v>
      </c>
      <c r="BH7" s="19">
        <v>8</v>
      </c>
      <c r="BI7" s="16"/>
      <c r="BJ7" t="s">
        <v>146</v>
      </c>
      <c r="BK7" t="s">
        <v>145</v>
      </c>
      <c r="BL7" t="s">
        <v>97</v>
      </c>
    </row>
    <row r="8" spans="1:64" x14ac:dyDescent="0.4">
      <c r="A8" s="3">
        <v>5</v>
      </c>
      <c r="B8" s="17" t="s">
        <v>62</v>
      </c>
      <c r="C8" s="4" t="str">
        <f t="shared" si="3"/>
        <v>J88839</v>
      </c>
      <c r="D8" s="4" t="s">
        <v>62</v>
      </c>
      <c r="E8" s="4" t="s">
        <v>80</v>
      </c>
      <c r="F8" s="5">
        <v>4904118647057</v>
      </c>
      <c r="G8" s="5">
        <v>1</v>
      </c>
      <c r="H8" s="5">
        <v>1</v>
      </c>
      <c r="I8" s="4">
        <v>0</v>
      </c>
      <c r="J8" s="4">
        <v>163</v>
      </c>
      <c r="K8" s="4">
        <v>121</v>
      </c>
      <c r="L8" s="6">
        <f t="shared" si="0"/>
        <v>0.25766871165644167</v>
      </c>
      <c r="M8" s="4" t="s">
        <v>146</v>
      </c>
      <c r="N8" s="4"/>
      <c r="O8" s="4"/>
      <c r="P8" s="4"/>
      <c r="Q8" s="4"/>
      <c r="R8" s="4"/>
      <c r="S8" s="4"/>
      <c r="T8" s="4"/>
      <c r="U8" s="4"/>
      <c r="V8" s="4">
        <v>0</v>
      </c>
      <c r="W8" s="4">
        <f t="shared" si="4"/>
        <v>0</v>
      </c>
      <c r="X8" s="4">
        <v>161</v>
      </c>
      <c r="Y8" s="4">
        <f t="shared" si="5"/>
        <v>161</v>
      </c>
      <c r="Z8" s="4"/>
      <c r="AA8" s="21">
        <f>ROUND(J8*AO8,0)</f>
        <v>217</v>
      </c>
      <c r="AB8" s="6">
        <f t="shared" si="8"/>
        <v>0.25806451612903225</v>
      </c>
      <c r="AC8" s="33">
        <v>2</v>
      </c>
      <c r="AD8" s="4">
        <f t="shared" si="7"/>
        <v>130.85499999999999</v>
      </c>
      <c r="AE8" s="33">
        <f>AD8*AO8</f>
        <v>174.1128512396694</v>
      </c>
      <c r="AF8" s="6">
        <f>1-Y8/AE8</f>
        <v>7.5312368652324935E-2</v>
      </c>
      <c r="AG8" s="7">
        <v>230</v>
      </c>
      <c r="AH8" s="6">
        <f>1-Y8/AG8</f>
        <v>0.30000000000000004</v>
      </c>
      <c r="AI8" s="4">
        <f>AG8-Y8</f>
        <v>69</v>
      </c>
      <c r="AJ8" s="28"/>
      <c r="AK8" s="6"/>
      <c r="AL8" s="6"/>
      <c r="AM8" s="6" t="e">
        <f>W8/I8</f>
        <v>#DIV/0!</v>
      </c>
      <c r="AN8" s="6">
        <f>AG8/J8</f>
        <v>1.4110429447852761</v>
      </c>
      <c r="AO8" s="6">
        <f>Y8/K8</f>
        <v>1.3305785123966942</v>
      </c>
      <c r="AP8" s="4"/>
      <c r="AQ8" s="4"/>
      <c r="AR8" s="4"/>
      <c r="AS8" s="4"/>
      <c r="AT8" s="4"/>
      <c r="AU8" s="4"/>
      <c r="AV8" s="4"/>
      <c r="AW8" s="4"/>
      <c r="AX8" s="4"/>
      <c r="AY8" s="4">
        <v>0</v>
      </c>
      <c r="AZ8" s="4" t="s">
        <v>120</v>
      </c>
      <c r="BA8" s="4">
        <v>1</v>
      </c>
      <c r="BB8" s="4">
        <v>200</v>
      </c>
      <c r="BC8" s="4" t="s">
        <v>121</v>
      </c>
      <c r="BD8" s="4">
        <v>26171</v>
      </c>
      <c r="BE8" s="4">
        <v>26171</v>
      </c>
      <c r="BF8" s="4">
        <f t="shared" si="9"/>
        <v>130.85499999999999</v>
      </c>
      <c r="BG8" s="19">
        <v>4</v>
      </c>
      <c r="BH8" s="19">
        <v>8</v>
      </c>
      <c r="BI8" s="16"/>
      <c r="BJ8" t="s">
        <v>146</v>
      </c>
      <c r="BK8" t="s">
        <v>145</v>
      </c>
      <c r="BL8" t="s">
        <v>98</v>
      </c>
    </row>
    <row r="9" spans="1:64" x14ac:dyDescent="0.4">
      <c r="A9" s="3">
        <v>6</v>
      </c>
      <c r="B9" s="17" t="s">
        <v>63</v>
      </c>
      <c r="C9" s="4" t="str">
        <f t="shared" si="3"/>
        <v>J88841</v>
      </c>
      <c r="D9" s="4" t="s">
        <v>63</v>
      </c>
      <c r="E9" s="4" t="s">
        <v>81</v>
      </c>
      <c r="F9" s="5">
        <v>4904118647071</v>
      </c>
      <c r="G9" s="5">
        <v>1</v>
      </c>
      <c r="H9" s="5">
        <v>1</v>
      </c>
      <c r="I9" s="4">
        <v>0</v>
      </c>
      <c r="J9" s="4">
        <v>163</v>
      </c>
      <c r="K9" s="4">
        <v>121</v>
      </c>
      <c r="L9" s="6">
        <f t="shared" si="0"/>
        <v>0.25766871165644167</v>
      </c>
      <c r="M9" s="4" t="s">
        <v>146</v>
      </c>
      <c r="N9" s="4"/>
      <c r="O9" s="4"/>
      <c r="P9" s="4"/>
      <c r="Q9" s="4"/>
      <c r="R9" s="4"/>
      <c r="S9" s="4"/>
      <c r="T9" s="4"/>
      <c r="U9" s="4"/>
      <c r="V9" s="4">
        <v>0</v>
      </c>
      <c r="W9" s="4">
        <f t="shared" si="4"/>
        <v>0</v>
      </c>
      <c r="X9" s="4">
        <v>161</v>
      </c>
      <c r="Y9" s="4">
        <f t="shared" si="5"/>
        <v>161</v>
      </c>
      <c r="Z9" s="4"/>
      <c r="AA9" s="21">
        <f>ROUND(J9*AO9,0)</f>
        <v>217</v>
      </c>
      <c r="AB9" s="6">
        <f t="shared" si="8"/>
        <v>0.25806451612903225</v>
      </c>
      <c r="AC9" s="33">
        <v>0.5</v>
      </c>
      <c r="AD9" s="4">
        <f t="shared" si="7"/>
        <v>145.07500000000002</v>
      </c>
      <c r="AE9" s="33">
        <f>AD9*AO9</f>
        <v>193.03367768595044</v>
      </c>
      <c r="AF9" s="6">
        <f>1-Y9/AE9</f>
        <v>0.16594864725142178</v>
      </c>
      <c r="AG9" s="7">
        <v>230</v>
      </c>
      <c r="AH9" s="6">
        <f>1-Y9/AG9</f>
        <v>0.30000000000000004</v>
      </c>
      <c r="AI9" s="4">
        <f>AG9-Y9</f>
        <v>69</v>
      </c>
      <c r="AJ9" s="28"/>
      <c r="AK9" s="6"/>
      <c r="AL9" s="6"/>
      <c r="AM9" s="6" t="e">
        <f>W9/I9</f>
        <v>#DIV/0!</v>
      </c>
      <c r="AN9" s="6">
        <f>AG9/J9</f>
        <v>1.4110429447852761</v>
      </c>
      <c r="AO9" s="6">
        <f>Y9/K9</f>
        <v>1.3305785123966942</v>
      </c>
      <c r="AP9" s="4"/>
      <c r="AQ9" s="4"/>
      <c r="AR9" s="4"/>
      <c r="AS9" s="4"/>
      <c r="AT9" s="4"/>
      <c r="AU9" s="4"/>
      <c r="AV9" s="4"/>
      <c r="AW9" s="4"/>
      <c r="AX9" s="4"/>
      <c r="AY9" s="4">
        <v>0</v>
      </c>
      <c r="AZ9" s="4" t="s">
        <v>122</v>
      </c>
      <c r="BA9" s="4">
        <v>1</v>
      </c>
      <c r="BB9" s="4">
        <v>160</v>
      </c>
      <c r="BC9" s="4" t="s">
        <v>123</v>
      </c>
      <c r="BD9" s="4">
        <v>23212</v>
      </c>
      <c r="BE9" s="4">
        <v>23212</v>
      </c>
      <c r="BF9" s="4">
        <f t="shared" si="9"/>
        <v>145.07500000000002</v>
      </c>
      <c r="BG9" s="19">
        <v>4</v>
      </c>
      <c r="BH9" s="19">
        <v>1</v>
      </c>
      <c r="BI9" s="16"/>
      <c r="BJ9" t="s">
        <v>146</v>
      </c>
      <c r="BK9" t="s">
        <v>145</v>
      </c>
      <c r="BL9" t="s">
        <v>99</v>
      </c>
    </row>
    <row r="10" spans="1:64" x14ac:dyDescent="0.4">
      <c r="A10" s="3">
        <v>7</v>
      </c>
      <c r="B10" s="4" t="s">
        <v>64</v>
      </c>
      <c r="C10" s="4" t="str">
        <f t="shared" si="3"/>
        <v>J88845</v>
      </c>
      <c r="D10" s="4" t="s">
        <v>64</v>
      </c>
      <c r="E10" s="4" t="s">
        <v>82</v>
      </c>
      <c r="F10" s="5">
        <v>4904118647118</v>
      </c>
      <c r="G10" s="5">
        <v>1</v>
      </c>
      <c r="H10" s="5">
        <v>1</v>
      </c>
      <c r="I10" s="4">
        <v>0</v>
      </c>
      <c r="J10" s="4">
        <v>161</v>
      </c>
      <c r="K10" s="4">
        <v>121</v>
      </c>
      <c r="L10" s="6">
        <f t="shared" si="0"/>
        <v>0.24844720496894412</v>
      </c>
      <c r="M10" s="4" t="s">
        <v>146</v>
      </c>
      <c r="N10" s="4"/>
      <c r="O10" s="4"/>
      <c r="P10" s="4"/>
      <c r="Q10" s="4"/>
      <c r="R10" s="4"/>
      <c r="S10" s="4"/>
      <c r="T10" s="4"/>
      <c r="U10" s="4"/>
      <c r="V10" s="4">
        <v>0</v>
      </c>
      <c r="W10" s="4">
        <f t="shared" si="4"/>
        <v>0</v>
      </c>
      <c r="X10" s="4">
        <v>161</v>
      </c>
      <c r="Y10" s="4">
        <f t="shared" si="5"/>
        <v>161</v>
      </c>
      <c r="Z10" s="4"/>
      <c r="AA10" s="21">
        <f>ROUND(J10*AO10,0)</f>
        <v>214</v>
      </c>
      <c r="AB10" s="6">
        <f t="shared" si="8"/>
        <v>0.24766355140186913</v>
      </c>
      <c r="AC10" s="33">
        <v>0.25</v>
      </c>
      <c r="AD10" s="4">
        <f t="shared" si="7"/>
        <v>142.24166666666667</v>
      </c>
      <c r="AE10" s="33">
        <f>AD10*AO10</f>
        <v>189.2637052341598</v>
      </c>
      <c r="AF10" s="6">
        <f>1-Y10/AE10</f>
        <v>0.14933505184838025</v>
      </c>
      <c r="AG10" s="7">
        <v>230</v>
      </c>
      <c r="AH10" s="6">
        <f>1-Y10/AG10</f>
        <v>0.30000000000000004</v>
      </c>
      <c r="AI10" s="4">
        <f>AG10-Y10</f>
        <v>69</v>
      </c>
      <c r="AJ10" s="28"/>
      <c r="AK10" s="6"/>
      <c r="AL10" s="6"/>
      <c r="AM10" s="6" t="e">
        <f>W10/I10</f>
        <v>#DIV/0!</v>
      </c>
      <c r="AN10" s="6">
        <f>AG10/J10</f>
        <v>1.4285714285714286</v>
      </c>
      <c r="AO10" s="6">
        <f>Y10/K10</f>
        <v>1.3305785123966942</v>
      </c>
      <c r="AP10" s="4"/>
      <c r="AQ10" s="4"/>
      <c r="AR10" s="4"/>
      <c r="AS10" s="4"/>
      <c r="AT10" s="4"/>
      <c r="AU10" s="4"/>
      <c r="AV10" s="4"/>
      <c r="AW10" s="4"/>
      <c r="AX10" s="4"/>
      <c r="AY10" s="4">
        <v>0</v>
      </c>
      <c r="AZ10" s="4" t="s">
        <v>124</v>
      </c>
      <c r="BA10" s="4">
        <v>1</v>
      </c>
      <c r="BB10" s="4">
        <v>120</v>
      </c>
      <c r="BC10" s="4" t="s">
        <v>125</v>
      </c>
      <c r="BD10" s="4">
        <v>17069</v>
      </c>
      <c r="BE10" s="4">
        <v>17069</v>
      </c>
      <c r="BF10" s="4">
        <f t="shared" si="9"/>
        <v>142.24166666666667</v>
      </c>
      <c r="BG10" s="19">
        <v>4</v>
      </c>
      <c r="BH10" s="19">
        <v>8</v>
      </c>
      <c r="BI10" s="16"/>
      <c r="BJ10" t="s">
        <v>146</v>
      </c>
      <c r="BK10" t="s">
        <v>145</v>
      </c>
      <c r="BL10" t="s">
        <v>100</v>
      </c>
    </row>
    <row r="11" spans="1:64" x14ac:dyDescent="0.4">
      <c r="A11" s="3">
        <v>8</v>
      </c>
      <c r="B11" s="4" t="s">
        <v>65</v>
      </c>
      <c r="C11" s="4" t="str">
        <f t="shared" si="3"/>
        <v>J88846</v>
      </c>
      <c r="D11" s="4" t="s">
        <v>65</v>
      </c>
      <c r="E11" s="4" t="s">
        <v>83</v>
      </c>
      <c r="F11" s="5">
        <v>4904118647125</v>
      </c>
      <c r="G11" s="5">
        <v>1</v>
      </c>
      <c r="H11" s="5">
        <v>1</v>
      </c>
      <c r="I11" s="4">
        <v>0</v>
      </c>
      <c r="J11" s="4">
        <v>161</v>
      </c>
      <c r="K11" s="4">
        <v>121</v>
      </c>
      <c r="L11" s="6">
        <f t="shared" si="0"/>
        <v>0.24844720496894412</v>
      </c>
      <c r="M11" s="4" t="s">
        <v>146</v>
      </c>
      <c r="N11" s="4"/>
      <c r="O11" s="4"/>
      <c r="P11" s="4"/>
      <c r="Q11" s="4"/>
      <c r="R11" s="4"/>
      <c r="S11" s="4"/>
      <c r="T11" s="4"/>
      <c r="U11" s="4"/>
      <c r="V11" s="4">
        <v>0</v>
      </c>
      <c r="W11" s="4">
        <f t="shared" si="4"/>
        <v>0</v>
      </c>
      <c r="X11" s="4">
        <v>161</v>
      </c>
      <c r="Y11" s="4">
        <f t="shared" si="5"/>
        <v>161</v>
      </c>
      <c r="Z11" s="4"/>
      <c r="AA11" s="21">
        <f>ROUND(J11*AO11,0)</f>
        <v>214</v>
      </c>
      <c r="AB11" s="6">
        <f t="shared" si="8"/>
        <v>0.24766355140186913</v>
      </c>
      <c r="AC11" s="33">
        <v>0.5</v>
      </c>
      <c r="AD11" s="4">
        <f t="shared" si="7"/>
        <v>166.41666666666666</v>
      </c>
      <c r="AE11" s="33">
        <f>AD11*AO11</f>
        <v>221.43044077134985</v>
      </c>
      <c r="AF11" s="6">
        <f>1-Y11/AE11</f>
        <v>0.27290936404606903</v>
      </c>
      <c r="AG11" s="7">
        <v>230</v>
      </c>
      <c r="AH11" s="6">
        <f>1-Y11/AG11</f>
        <v>0.30000000000000004</v>
      </c>
      <c r="AI11" s="4">
        <f>AG11-Y11</f>
        <v>69</v>
      </c>
      <c r="AJ11" s="28"/>
      <c r="AK11" s="6"/>
      <c r="AL11" s="6"/>
      <c r="AM11" s="6" t="e">
        <f>W11/I11</f>
        <v>#DIV/0!</v>
      </c>
      <c r="AN11" s="6">
        <f>AG11/J11</f>
        <v>1.4285714285714286</v>
      </c>
      <c r="AO11" s="6">
        <f>Y11/K11</f>
        <v>1.3305785123966942</v>
      </c>
      <c r="AP11" s="4"/>
      <c r="AQ11" s="4"/>
      <c r="AR11" s="4"/>
      <c r="AS11" s="4"/>
      <c r="AT11" s="4"/>
      <c r="AU11" s="4"/>
      <c r="AV11" s="4"/>
      <c r="AW11" s="4"/>
      <c r="AX11" s="4"/>
      <c r="AY11" s="4">
        <v>0</v>
      </c>
      <c r="AZ11" s="4" t="s">
        <v>126</v>
      </c>
      <c r="BA11" s="4">
        <v>1</v>
      </c>
      <c r="BB11" s="4">
        <v>120</v>
      </c>
      <c r="BC11" s="4" t="s">
        <v>127</v>
      </c>
      <c r="BD11" s="4">
        <v>19970</v>
      </c>
      <c r="BE11" s="4">
        <v>19970</v>
      </c>
      <c r="BF11" s="4">
        <f t="shared" si="9"/>
        <v>166.41666666666666</v>
      </c>
      <c r="BG11" s="19">
        <v>4</v>
      </c>
      <c r="BH11" s="19">
        <v>8</v>
      </c>
      <c r="BI11" s="16"/>
      <c r="BJ11" t="s">
        <v>146</v>
      </c>
      <c r="BK11" t="s">
        <v>145</v>
      </c>
      <c r="BL11" t="s">
        <v>101</v>
      </c>
    </row>
    <row r="12" spans="1:64" x14ac:dyDescent="0.4">
      <c r="A12" s="3">
        <v>9</v>
      </c>
      <c r="B12" s="4" t="s">
        <v>66</v>
      </c>
      <c r="C12" s="4" t="str">
        <f t="shared" si="3"/>
        <v>J88847</v>
      </c>
      <c r="D12" s="4" t="s">
        <v>66</v>
      </c>
      <c r="E12" s="4" t="s">
        <v>84</v>
      </c>
      <c r="F12" s="5">
        <v>4904118647132</v>
      </c>
      <c r="G12" s="5">
        <v>1</v>
      </c>
      <c r="H12" s="5">
        <v>1</v>
      </c>
      <c r="I12" s="4">
        <v>0</v>
      </c>
      <c r="J12" s="4">
        <v>161</v>
      </c>
      <c r="K12" s="4">
        <v>121</v>
      </c>
      <c r="L12" s="6">
        <f t="shared" si="0"/>
        <v>0.24844720496894412</v>
      </c>
      <c r="M12" s="4" t="s">
        <v>146</v>
      </c>
      <c r="N12" s="4"/>
      <c r="O12" s="4"/>
      <c r="P12" s="4"/>
      <c r="Q12" s="4"/>
      <c r="R12" s="4"/>
      <c r="S12" s="4"/>
      <c r="T12" s="4"/>
      <c r="U12" s="4"/>
      <c r="V12" s="4">
        <v>0</v>
      </c>
      <c r="W12" s="4">
        <f t="shared" si="4"/>
        <v>0</v>
      </c>
      <c r="X12" s="4">
        <v>161</v>
      </c>
      <c r="Y12" s="4">
        <f t="shared" si="5"/>
        <v>161</v>
      </c>
      <c r="Z12" s="4"/>
      <c r="AA12" s="21">
        <f>ROUND(J12*AO12,0)</f>
        <v>214</v>
      </c>
      <c r="AB12" s="6">
        <f t="shared" si="8"/>
        <v>0.24766355140186913</v>
      </c>
      <c r="AC12" s="33">
        <v>0</v>
      </c>
      <c r="AD12" s="4">
        <f t="shared" si="7"/>
        <v>177.79166666666666</v>
      </c>
      <c r="AE12" s="33">
        <f>AD12*AO12</f>
        <v>236.56577134986225</v>
      </c>
      <c r="AF12" s="6">
        <f>1-Y12/AE12</f>
        <v>0.31942816967424414</v>
      </c>
      <c r="AG12" s="7">
        <v>230</v>
      </c>
      <c r="AH12" s="6">
        <f>1-Y12/AG12</f>
        <v>0.30000000000000004</v>
      </c>
      <c r="AI12" s="4">
        <f>AG12-Y12</f>
        <v>69</v>
      </c>
      <c r="AJ12" s="28"/>
      <c r="AK12" s="6"/>
      <c r="AL12" s="6"/>
      <c r="AM12" s="6" t="e">
        <f>W12/I12</f>
        <v>#DIV/0!</v>
      </c>
      <c r="AN12" s="6">
        <f>AG12/J12</f>
        <v>1.4285714285714286</v>
      </c>
      <c r="AO12" s="6">
        <f>Y12/K12</f>
        <v>1.3305785123966942</v>
      </c>
      <c r="AP12" s="4"/>
      <c r="AQ12" s="4"/>
      <c r="AR12" s="4"/>
      <c r="AS12" s="4"/>
      <c r="AT12" s="4"/>
      <c r="AU12" s="4"/>
      <c r="AV12" s="4"/>
      <c r="AW12" s="4"/>
      <c r="AX12" s="4"/>
      <c r="AY12" s="4">
        <v>0</v>
      </c>
      <c r="AZ12" s="4" t="s">
        <v>128</v>
      </c>
      <c r="BA12" s="4">
        <v>1</v>
      </c>
      <c r="BB12" s="4">
        <v>120</v>
      </c>
      <c r="BC12" s="4" t="s">
        <v>129</v>
      </c>
      <c r="BD12" s="4">
        <v>21335</v>
      </c>
      <c r="BE12" s="4">
        <v>21335</v>
      </c>
      <c r="BF12" s="4">
        <f t="shared" si="9"/>
        <v>177.79166666666666</v>
      </c>
      <c r="BG12" s="19">
        <v>4</v>
      </c>
      <c r="BH12" s="19">
        <v>8</v>
      </c>
      <c r="BI12" s="16"/>
      <c r="BJ12" t="s">
        <v>146</v>
      </c>
      <c r="BK12" t="s">
        <v>145</v>
      </c>
      <c r="BL12" t="s">
        <v>102</v>
      </c>
    </row>
    <row r="13" spans="1:64" x14ac:dyDescent="0.4">
      <c r="A13" s="3">
        <v>10</v>
      </c>
      <c r="B13" s="4" t="s">
        <v>67</v>
      </c>
      <c r="C13" s="4" t="str">
        <f t="shared" si="3"/>
        <v>J88848</v>
      </c>
      <c r="D13" s="4" t="s">
        <v>67</v>
      </c>
      <c r="E13" s="4" t="s">
        <v>85</v>
      </c>
      <c r="F13" s="5">
        <v>4904118647149</v>
      </c>
      <c r="G13" s="5">
        <v>1</v>
      </c>
      <c r="H13" s="5">
        <v>1</v>
      </c>
      <c r="I13" s="4">
        <v>0</v>
      </c>
      <c r="J13" s="4">
        <v>161</v>
      </c>
      <c r="K13" s="4">
        <v>121</v>
      </c>
      <c r="L13" s="6">
        <f t="shared" si="0"/>
        <v>0.24844720496894412</v>
      </c>
      <c r="M13" s="4" t="s">
        <v>146</v>
      </c>
      <c r="N13" s="4"/>
      <c r="O13" s="4"/>
      <c r="P13" s="4"/>
      <c r="Q13" s="4"/>
      <c r="R13" s="4"/>
      <c r="S13" s="4"/>
      <c r="T13" s="4"/>
      <c r="U13" s="4"/>
      <c r="V13" s="4">
        <v>0</v>
      </c>
      <c r="W13" s="4">
        <f t="shared" si="4"/>
        <v>0</v>
      </c>
      <c r="X13" s="4">
        <v>161</v>
      </c>
      <c r="Y13" s="4">
        <f t="shared" si="5"/>
        <v>161</v>
      </c>
      <c r="Z13" s="4"/>
      <c r="AA13" s="21">
        <f>ROUND(J13*AO13,0)</f>
        <v>214</v>
      </c>
      <c r="AB13" s="6">
        <f t="shared" si="8"/>
        <v>0.24766355140186913</v>
      </c>
      <c r="AC13" s="33">
        <v>2</v>
      </c>
      <c r="AD13" s="4">
        <f t="shared" si="7"/>
        <v>4267</v>
      </c>
      <c r="AE13" s="33">
        <f>AD13*AO13</f>
        <v>5677.5785123966944</v>
      </c>
      <c r="AF13" s="6">
        <f>1-Y13/AE13</f>
        <v>0.97164284040309346</v>
      </c>
      <c r="AG13" s="7">
        <v>230</v>
      </c>
      <c r="AH13" s="6">
        <f>1-Y13/AG13</f>
        <v>0.30000000000000004</v>
      </c>
      <c r="AI13" s="4">
        <f>AG13-Y13</f>
        <v>69</v>
      </c>
      <c r="AJ13" s="28"/>
      <c r="AK13" s="6"/>
      <c r="AL13" s="6"/>
      <c r="AM13" s="6" t="e">
        <f>W13/I13</f>
        <v>#DIV/0!</v>
      </c>
      <c r="AN13" s="6">
        <f>AG13/J13</f>
        <v>1.4285714285714286</v>
      </c>
      <c r="AO13" s="6">
        <f>Y13/K13</f>
        <v>1.3305785123966942</v>
      </c>
      <c r="AP13" s="4"/>
      <c r="AQ13" s="4"/>
      <c r="AR13" s="4"/>
      <c r="AS13" s="4"/>
      <c r="AT13" s="4"/>
      <c r="AU13" s="4"/>
      <c r="AV13" s="4"/>
      <c r="AW13" s="4"/>
      <c r="AX13" s="4"/>
      <c r="AY13" s="4">
        <v>0</v>
      </c>
      <c r="AZ13" s="4" t="s">
        <v>130</v>
      </c>
      <c r="BA13" s="4">
        <v>1</v>
      </c>
      <c r="BB13" s="4">
        <v>5</v>
      </c>
      <c r="BC13" s="4" t="s">
        <v>131</v>
      </c>
      <c r="BD13" s="4">
        <v>21335</v>
      </c>
      <c r="BE13" s="4">
        <v>21335</v>
      </c>
      <c r="BF13" s="4">
        <f t="shared" si="9"/>
        <v>4267</v>
      </c>
      <c r="BG13" s="19">
        <v>4</v>
      </c>
      <c r="BH13" s="19">
        <v>8</v>
      </c>
      <c r="BI13" s="16"/>
      <c r="BJ13" t="s">
        <v>146</v>
      </c>
      <c r="BK13" t="s">
        <v>145</v>
      </c>
      <c r="BL13" t="s">
        <v>103</v>
      </c>
    </row>
    <row r="14" spans="1:64" x14ac:dyDescent="0.4">
      <c r="A14" s="3">
        <v>11</v>
      </c>
      <c r="B14" s="4" t="s">
        <v>68</v>
      </c>
      <c r="C14" s="4" t="str">
        <f t="shared" ref="C14:C21" si="10">TEXT(B14,"000000")</f>
        <v>J3519N</v>
      </c>
      <c r="D14" s="4" t="s">
        <v>68</v>
      </c>
      <c r="E14" s="4" t="s">
        <v>86</v>
      </c>
      <c r="F14" s="5">
        <v>4904118700301</v>
      </c>
      <c r="G14" s="5">
        <v>1</v>
      </c>
      <c r="H14" s="5">
        <v>1</v>
      </c>
      <c r="I14" s="4">
        <v>0</v>
      </c>
      <c r="J14" s="4">
        <v>183</v>
      </c>
      <c r="K14" s="4">
        <v>114</v>
      </c>
      <c r="L14" s="6">
        <f t="shared" ref="L14:L21" si="11">1-K14/J14</f>
        <v>0.37704918032786883</v>
      </c>
      <c r="M14" s="4" t="s">
        <v>146</v>
      </c>
      <c r="N14" s="4"/>
      <c r="O14" s="4"/>
      <c r="P14" s="4"/>
      <c r="Q14" s="4"/>
      <c r="R14" s="4"/>
      <c r="S14" s="4"/>
      <c r="T14" s="4"/>
      <c r="U14" s="4"/>
      <c r="V14" s="4">
        <v>0</v>
      </c>
      <c r="W14" s="4">
        <f t="shared" ref="W14:W21" si="12">IF(Z14="",V14,V14*Z14)</f>
        <v>0</v>
      </c>
      <c r="X14" s="4">
        <v>149</v>
      </c>
      <c r="Y14" s="4">
        <f t="shared" ref="Y14:Y21" si="13">IF(Z14="",X14,X14*Z14)</f>
        <v>149</v>
      </c>
      <c r="Z14" s="4"/>
      <c r="AA14" s="21">
        <f>ROUND(J14*AO14,0)</f>
        <v>239</v>
      </c>
      <c r="AB14" s="6">
        <f t="shared" ref="AB14:AB21" si="14">1-Y14/AA14</f>
        <v>0.37656903765690375</v>
      </c>
      <c r="AC14" s="33">
        <v>0.25</v>
      </c>
      <c r="AD14" s="4">
        <f t="shared" ref="AD14:AD21" si="15">BF14</f>
        <v>233.64000000000001</v>
      </c>
      <c r="AE14" s="33">
        <f>AD14*AO14</f>
        <v>305.37157894736845</v>
      </c>
      <c r="AF14" s="6">
        <f>1-Y14/AE14</f>
        <v>0.51206985105290193</v>
      </c>
      <c r="AG14" s="7">
        <v>240</v>
      </c>
      <c r="AH14" s="6">
        <f>1-Y14/AG14</f>
        <v>0.37916666666666665</v>
      </c>
      <c r="AI14" s="4">
        <f>AG14-Y14</f>
        <v>91</v>
      </c>
      <c r="AJ14" s="28"/>
      <c r="AK14" s="6"/>
      <c r="AL14" s="6"/>
      <c r="AM14" s="6" t="e">
        <f>W14/I14</f>
        <v>#DIV/0!</v>
      </c>
      <c r="AN14" s="6">
        <f>AG14/J14</f>
        <v>1.3114754098360655</v>
      </c>
      <c r="AO14" s="6">
        <f>Y14/K14</f>
        <v>1.3070175438596492</v>
      </c>
      <c r="AP14" s="4"/>
      <c r="AQ14" s="4"/>
      <c r="AR14" s="4"/>
      <c r="AS14" s="4"/>
      <c r="AT14" s="4"/>
      <c r="AU14" s="4"/>
      <c r="AV14" s="4"/>
      <c r="AW14" s="4"/>
      <c r="AX14" s="4"/>
      <c r="AY14" s="4">
        <v>0</v>
      </c>
      <c r="AZ14" s="4" t="s">
        <v>132</v>
      </c>
      <c r="BA14" s="4">
        <v>1</v>
      </c>
      <c r="BB14" s="4">
        <v>50</v>
      </c>
      <c r="BC14" s="4" t="s">
        <v>133</v>
      </c>
      <c r="BD14" s="4">
        <v>11682</v>
      </c>
      <c r="BE14" s="4">
        <v>11682</v>
      </c>
      <c r="BF14" s="4">
        <f t="shared" ref="BF14:BF21" si="16">IF(BA14="",BE14,BA14/BB14*BE14)</f>
        <v>233.64000000000001</v>
      </c>
      <c r="BG14" s="19">
        <v>4</v>
      </c>
      <c r="BH14" s="19">
        <v>8</v>
      </c>
      <c r="BI14" s="16"/>
      <c r="BJ14" t="s">
        <v>146</v>
      </c>
      <c r="BK14">
        <v>13500</v>
      </c>
      <c r="BL14" t="s">
        <v>104</v>
      </c>
    </row>
    <row r="15" spans="1:64" x14ac:dyDescent="0.4">
      <c r="A15" s="3">
        <v>12</v>
      </c>
      <c r="B15" s="4" t="s">
        <v>69</v>
      </c>
      <c r="C15" s="4" t="str">
        <f t="shared" si="10"/>
        <v>J3520N</v>
      </c>
      <c r="D15" s="4" t="s">
        <v>69</v>
      </c>
      <c r="E15" s="4" t="s">
        <v>87</v>
      </c>
      <c r="F15" s="5">
        <v>4904118700318</v>
      </c>
      <c r="G15" s="5">
        <v>1</v>
      </c>
      <c r="H15" s="5">
        <v>1</v>
      </c>
      <c r="I15" s="4">
        <v>0</v>
      </c>
      <c r="J15" s="4">
        <v>234</v>
      </c>
      <c r="K15" s="4">
        <v>148</v>
      </c>
      <c r="L15" s="6">
        <f t="shared" si="11"/>
        <v>0.36752136752136755</v>
      </c>
      <c r="M15" s="4" t="s">
        <v>146</v>
      </c>
      <c r="N15" s="4"/>
      <c r="O15" s="4"/>
      <c r="P15" s="4"/>
      <c r="Q15" s="4"/>
      <c r="R15" s="4"/>
      <c r="S15" s="4"/>
      <c r="T15" s="4"/>
      <c r="U15" s="4"/>
      <c r="V15" s="4">
        <v>0</v>
      </c>
      <c r="W15" s="4">
        <f t="shared" si="12"/>
        <v>0</v>
      </c>
      <c r="X15" s="4">
        <v>193</v>
      </c>
      <c r="Y15" s="4">
        <f t="shared" si="13"/>
        <v>193</v>
      </c>
      <c r="Z15" s="4"/>
      <c r="AA15" s="21">
        <f>ROUND(J15*AO15,0)</f>
        <v>305</v>
      </c>
      <c r="AB15" s="6">
        <f t="shared" si="14"/>
        <v>0.36721311475409835</v>
      </c>
      <c r="AC15" s="33">
        <v>0.75</v>
      </c>
      <c r="AD15" s="4">
        <f t="shared" si="15"/>
        <v>298.2</v>
      </c>
      <c r="AE15" s="33">
        <f>AD15*AO15</f>
        <v>388.86891891891889</v>
      </c>
      <c r="AF15" s="6">
        <f>1-Y15/AE15</f>
        <v>0.50368879946344736</v>
      </c>
      <c r="AG15" s="7">
        <v>300</v>
      </c>
      <c r="AH15" s="6">
        <f>1-Y15/AG15</f>
        <v>0.35666666666666669</v>
      </c>
      <c r="AI15" s="4">
        <f>AG15-Y15</f>
        <v>107</v>
      </c>
      <c r="AJ15" s="28"/>
      <c r="AK15" s="6"/>
      <c r="AL15" s="6"/>
      <c r="AM15" s="6" t="e">
        <f>W15/I15</f>
        <v>#DIV/0!</v>
      </c>
      <c r="AN15" s="6">
        <f>AG15/J15</f>
        <v>1.2820512820512822</v>
      </c>
      <c r="AO15" s="6">
        <f>Y15/K15</f>
        <v>1.3040540540540539</v>
      </c>
      <c r="AP15" s="4"/>
      <c r="AQ15" s="4"/>
      <c r="AR15" s="4"/>
      <c r="AS15" s="4"/>
      <c r="AT15" s="4"/>
      <c r="AU15" s="4"/>
      <c r="AV15" s="4"/>
      <c r="AW15" s="4"/>
      <c r="AX15" s="4"/>
      <c r="AY15" s="4">
        <v>0</v>
      </c>
      <c r="AZ15" s="4" t="s">
        <v>134</v>
      </c>
      <c r="BA15" s="4">
        <v>1</v>
      </c>
      <c r="BB15" s="4">
        <v>50</v>
      </c>
      <c r="BC15" s="4" t="s">
        <v>133</v>
      </c>
      <c r="BD15" s="4">
        <v>14910</v>
      </c>
      <c r="BE15" s="4">
        <v>14910</v>
      </c>
      <c r="BF15" s="4">
        <f t="shared" si="16"/>
        <v>298.2</v>
      </c>
      <c r="BG15" s="19">
        <v>4</v>
      </c>
      <c r="BH15" s="19">
        <v>8</v>
      </c>
      <c r="BI15" s="16"/>
      <c r="BJ15" t="s">
        <v>146</v>
      </c>
      <c r="BK15">
        <v>16929</v>
      </c>
      <c r="BL15" t="s">
        <v>105</v>
      </c>
    </row>
    <row r="16" spans="1:64" x14ac:dyDescent="0.4">
      <c r="A16" s="3">
        <v>13</v>
      </c>
      <c r="B16" s="4" t="s">
        <v>70</v>
      </c>
      <c r="C16" s="4" t="str">
        <f t="shared" si="10"/>
        <v>J3521N</v>
      </c>
      <c r="D16" s="4" t="s">
        <v>70</v>
      </c>
      <c r="E16" s="4" t="s">
        <v>88</v>
      </c>
      <c r="F16" s="5">
        <v>4904118700325</v>
      </c>
      <c r="G16" s="5">
        <v>1</v>
      </c>
      <c r="H16" s="5">
        <v>1</v>
      </c>
      <c r="I16" s="4">
        <v>0</v>
      </c>
      <c r="J16" s="4">
        <v>265</v>
      </c>
      <c r="K16" s="4">
        <v>178</v>
      </c>
      <c r="L16" s="6">
        <f t="shared" si="11"/>
        <v>0.32830188679245287</v>
      </c>
      <c r="M16" s="4" t="s">
        <v>146</v>
      </c>
      <c r="N16" s="4"/>
      <c r="O16" s="4"/>
      <c r="P16" s="4"/>
      <c r="Q16" s="4"/>
      <c r="R16" s="4"/>
      <c r="S16" s="4"/>
      <c r="T16" s="4"/>
      <c r="U16" s="4"/>
      <c r="V16" s="4">
        <v>0</v>
      </c>
      <c r="W16" s="4">
        <f t="shared" si="12"/>
        <v>0</v>
      </c>
      <c r="X16" s="4">
        <v>232</v>
      </c>
      <c r="Y16" s="4">
        <f t="shared" si="13"/>
        <v>232</v>
      </c>
      <c r="Z16" s="4"/>
      <c r="AA16" s="21">
        <f>ROUND(J16*AO16,0)</f>
        <v>345</v>
      </c>
      <c r="AB16" s="6">
        <f t="shared" si="14"/>
        <v>0.327536231884058</v>
      </c>
      <c r="AC16" s="33">
        <v>1.7500000000000002</v>
      </c>
      <c r="AD16" s="4">
        <f t="shared" si="15"/>
        <v>362.74</v>
      </c>
      <c r="AE16" s="33">
        <f>AD16*AO16</f>
        <v>472.78471910112364</v>
      </c>
      <c r="AF16" s="6">
        <f>1-Y16/AE16</f>
        <v>0.50929040083806587</v>
      </c>
      <c r="AG16" s="7">
        <v>360</v>
      </c>
      <c r="AH16" s="6">
        <f>1-Y16/AG16</f>
        <v>0.35555555555555551</v>
      </c>
      <c r="AI16" s="4">
        <f>AG16-Y16</f>
        <v>128</v>
      </c>
      <c r="AJ16" s="28"/>
      <c r="AK16" s="6"/>
      <c r="AL16" s="6"/>
      <c r="AM16" s="6" t="e">
        <f>W16/I16</f>
        <v>#DIV/0!</v>
      </c>
      <c r="AN16" s="6">
        <f>AG16/J16</f>
        <v>1.3584905660377358</v>
      </c>
      <c r="AO16" s="6">
        <f>Y16/K16</f>
        <v>1.303370786516854</v>
      </c>
      <c r="AP16" s="4"/>
      <c r="AQ16" s="4"/>
      <c r="AR16" s="4"/>
      <c r="AS16" s="4"/>
      <c r="AT16" s="4"/>
      <c r="AU16" s="4"/>
      <c r="AV16" s="4"/>
      <c r="AW16" s="4"/>
      <c r="AX16" s="4"/>
      <c r="AY16" s="4">
        <v>0</v>
      </c>
      <c r="AZ16" s="4" t="s">
        <v>135</v>
      </c>
      <c r="BA16" s="4">
        <v>1</v>
      </c>
      <c r="BB16" s="4">
        <v>50</v>
      </c>
      <c r="BC16" s="4" t="s">
        <v>133</v>
      </c>
      <c r="BD16" s="4">
        <v>18137</v>
      </c>
      <c r="BE16" s="4">
        <v>18137</v>
      </c>
      <c r="BF16" s="4">
        <f t="shared" si="16"/>
        <v>362.74</v>
      </c>
      <c r="BG16" s="19">
        <v>4</v>
      </c>
      <c r="BH16" s="19">
        <v>1</v>
      </c>
      <c r="BI16" s="16"/>
      <c r="BJ16" t="s">
        <v>146</v>
      </c>
      <c r="BK16">
        <v>20286</v>
      </c>
      <c r="BL16" t="s">
        <v>106</v>
      </c>
    </row>
    <row r="17" spans="1:64" x14ac:dyDescent="0.4">
      <c r="A17" s="3">
        <v>14</v>
      </c>
      <c r="B17" s="4" t="s">
        <v>71</v>
      </c>
      <c r="C17" s="4" t="str">
        <f t="shared" si="10"/>
        <v>J2266S</v>
      </c>
      <c r="D17" s="4" t="s">
        <v>71</v>
      </c>
      <c r="E17" s="4" t="s">
        <v>89</v>
      </c>
      <c r="F17" s="5">
        <v>4972759530076</v>
      </c>
      <c r="G17" s="5">
        <v>1</v>
      </c>
      <c r="H17" s="5">
        <v>1</v>
      </c>
      <c r="I17" s="4">
        <v>0</v>
      </c>
      <c r="J17" s="4">
        <v>224</v>
      </c>
      <c r="K17" s="4">
        <v>138</v>
      </c>
      <c r="L17" s="6">
        <f t="shared" si="11"/>
        <v>0.3839285714285714</v>
      </c>
      <c r="M17" s="4" t="s">
        <v>146</v>
      </c>
      <c r="N17" s="4"/>
      <c r="O17" s="4"/>
      <c r="P17" s="4"/>
      <c r="Q17" s="4"/>
      <c r="R17" s="4"/>
      <c r="S17" s="4"/>
      <c r="T17" s="4"/>
      <c r="U17" s="4"/>
      <c r="V17" s="4">
        <v>0</v>
      </c>
      <c r="W17" s="4">
        <f t="shared" si="12"/>
        <v>0</v>
      </c>
      <c r="X17" s="4">
        <v>184</v>
      </c>
      <c r="Y17" s="4">
        <f t="shared" si="13"/>
        <v>184</v>
      </c>
      <c r="Z17" s="4"/>
      <c r="AA17" s="21">
        <f>ROUND(J17*AO17,0)</f>
        <v>299</v>
      </c>
      <c r="AB17" s="6">
        <f t="shared" si="14"/>
        <v>0.38461538461538458</v>
      </c>
      <c r="AC17" s="33">
        <v>3.75</v>
      </c>
      <c r="AD17" s="4">
        <f t="shared" si="15"/>
        <v>321.83333333333331</v>
      </c>
      <c r="AE17" s="33">
        <f>AD17*AO17</f>
        <v>429.11111111111109</v>
      </c>
      <c r="AF17" s="6">
        <f>1-Y17/AE17</f>
        <v>0.57120662868979799</v>
      </c>
      <c r="AG17" s="7">
        <v>298</v>
      </c>
      <c r="AH17" s="6">
        <f>1-Y17/AG17</f>
        <v>0.3825503355704698</v>
      </c>
      <c r="AI17" s="4">
        <f>AG17-Y17</f>
        <v>114</v>
      </c>
      <c r="AJ17" s="28"/>
      <c r="AK17" s="6"/>
      <c r="AL17" s="6"/>
      <c r="AM17" s="6" t="e">
        <f>W17/I17</f>
        <v>#DIV/0!</v>
      </c>
      <c r="AN17" s="6">
        <f>AG17/J17</f>
        <v>1.3303571428571428</v>
      </c>
      <c r="AO17" s="6">
        <f>Y17/K17</f>
        <v>1.3333333333333333</v>
      </c>
      <c r="AP17" s="4"/>
      <c r="AQ17" s="4"/>
      <c r="AR17" s="4"/>
      <c r="AS17" s="4"/>
      <c r="AT17" s="4"/>
      <c r="AU17" s="4"/>
      <c r="AV17" s="4"/>
      <c r="AW17" s="4"/>
      <c r="AX17" s="4"/>
      <c r="AY17" s="4">
        <v>0</v>
      </c>
      <c r="AZ17" s="4" t="s">
        <v>136</v>
      </c>
      <c r="BA17" s="4">
        <v>1</v>
      </c>
      <c r="BB17" s="4">
        <v>30</v>
      </c>
      <c r="BC17" s="4" t="s">
        <v>137</v>
      </c>
      <c r="BD17" s="4">
        <v>9655</v>
      </c>
      <c r="BE17" s="4">
        <v>9655</v>
      </c>
      <c r="BF17" s="4">
        <f t="shared" si="16"/>
        <v>321.83333333333331</v>
      </c>
      <c r="BG17" s="19">
        <v>4</v>
      </c>
      <c r="BH17" s="19">
        <v>1</v>
      </c>
      <c r="BI17" s="16"/>
      <c r="BJ17" t="s">
        <v>146</v>
      </c>
      <c r="BK17" t="s">
        <v>145</v>
      </c>
      <c r="BL17" t="s">
        <v>107</v>
      </c>
    </row>
    <row r="18" spans="1:64" x14ac:dyDescent="0.4">
      <c r="A18" s="3">
        <v>15</v>
      </c>
      <c r="B18" s="4" t="s">
        <v>72</v>
      </c>
      <c r="C18" s="4" t="str">
        <f t="shared" si="10"/>
        <v>J2267S</v>
      </c>
      <c r="D18" s="4" t="s">
        <v>72</v>
      </c>
      <c r="E18" s="4" t="s">
        <v>90</v>
      </c>
      <c r="F18" s="5">
        <v>4972759530083</v>
      </c>
      <c r="G18" s="37">
        <v>2</v>
      </c>
      <c r="H18" s="5">
        <v>1</v>
      </c>
      <c r="I18" s="4">
        <v>0</v>
      </c>
      <c r="J18" s="4">
        <v>329</v>
      </c>
      <c r="K18" s="4">
        <v>207</v>
      </c>
      <c r="L18" s="6">
        <f t="shared" si="11"/>
        <v>0.37082066869300911</v>
      </c>
      <c r="M18" s="4" t="s">
        <v>146</v>
      </c>
      <c r="N18" s="4"/>
      <c r="O18" s="4"/>
      <c r="P18" s="4"/>
      <c r="Q18" s="4"/>
      <c r="R18" s="4"/>
      <c r="S18" s="4"/>
      <c r="T18" s="4"/>
      <c r="U18" s="4"/>
      <c r="V18" s="4">
        <v>0</v>
      </c>
      <c r="W18" s="4">
        <f t="shared" si="12"/>
        <v>0</v>
      </c>
      <c r="X18" s="4">
        <v>269</v>
      </c>
      <c r="Y18" s="4">
        <f t="shared" si="13"/>
        <v>269</v>
      </c>
      <c r="Z18" s="4"/>
      <c r="AA18" s="21">
        <f>ROUND(J18*AO18,0)</f>
        <v>428</v>
      </c>
      <c r="AB18" s="6">
        <f t="shared" si="14"/>
        <v>0.37149532710280375</v>
      </c>
      <c r="AC18" s="33">
        <v>0.5</v>
      </c>
      <c r="AD18" s="4">
        <f t="shared" si="15"/>
        <v>470</v>
      </c>
      <c r="AE18" s="33">
        <f>AD18*AO18</f>
        <v>610.77294685990341</v>
      </c>
      <c r="AF18" s="6">
        <f>1-Y18/AE18</f>
        <v>0.55957446808510647</v>
      </c>
      <c r="AG18" s="7">
        <v>430</v>
      </c>
      <c r="AH18" s="6">
        <f>1-Y18/AG18</f>
        <v>0.37441860465116283</v>
      </c>
      <c r="AI18" s="4">
        <f>AG18-Y18</f>
        <v>161</v>
      </c>
      <c r="AJ18" s="28"/>
      <c r="AK18" s="6"/>
      <c r="AL18" s="6"/>
      <c r="AM18" s="6" t="e">
        <f>W18/I18</f>
        <v>#DIV/0!</v>
      </c>
      <c r="AN18" s="6">
        <f>AG18/J18</f>
        <v>1.3069908814589666</v>
      </c>
      <c r="AO18" s="6">
        <f>Y18/K18</f>
        <v>1.2995169082125604</v>
      </c>
      <c r="AP18" s="4"/>
      <c r="AQ18" s="4"/>
      <c r="AR18" s="4"/>
      <c r="AS18" s="4"/>
      <c r="AT18" s="4"/>
      <c r="AU18" s="4"/>
      <c r="AV18" s="4"/>
      <c r="AW18" s="4"/>
      <c r="AX18" s="4"/>
      <c r="AY18" s="4">
        <v>0</v>
      </c>
      <c r="AZ18" s="4" t="s">
        <v>138</v>
      </c>
      <c r="BA18" s="4">
        <v>1</v>
      </c>
      <c r="BB18" s="4">
        <v>20</v>
      </c>
      <c r="BC18" s="4" t="s">
        <v>139</v>
      </c>
      <c r="BD18" s="4">
        <v>9400</v>
      </c>
      <c r="BE18" s="4">
        <v>9400</v>
      </c>
      <c r="BF18" s="4">
        <f t="shared" si="16"/>
        <v>470</v>
      </c>
      <c r="BG18" s="19">
        <v>4</v>
      </c>
      <c r="BH18" s="19">
        <v>8</v>
      </c>
      <c r="BI18" s="16"/>
      <c r="BJ18" t="s">
        <v>146</v>
      </c>
      <c r="BK18" t="s">
        <v>145</v>
      </c>
      <c r="BL18" t="s">
        <v>108</v>
      </c>
    </row>
    <row r="19" spans="1:64" x14ac:dyDescent="0.4">
      <c r="A19" s="3">
        <v>16</v>
      </c>
      <c r="B19" s="4" t="s">
        <v>73</v>
      </c>
      <c r="C19" s="4" t="str">
        <f t="shared" si="10"/>
        <v>J2268S</v>
      </c>
      <c r="D19" s="4" t="s">
        <v>73</v>
      </c>
      <c r="E19" s="4" t="s">
        <v>91</v>
      </c>
      <c r="F19" s="5">
        <v>4972759530830</v>
      </c>
      <c r="G19" s="5">
        <v>2</v>
      </c>
      <c r="H19" s="5">
        <v>1</v>
      </c>
      <c r="I19" s="4">
        <v>0</v>
      </c>
      <c r="J19" s="4">
        <v>442</v>
      </c>
      <c r="K19" s="4">
        <v>288</v>
      </c>
      <c r="L19" s="6">
        <f t="shared" si="11"/>
        <v>0.34841628959276016</v>
      </c>
      <c r="M19" s="4" t="s">
        <v>146</v>
      </c>
      <c r="N19" s="4"/>
      <c r="O19" s="4"/>
      <c r="P19" s="4"/>
      <c r="Q19" s="4"/>
      <c r="R19" s="4"/>
      <c r="S19" s="4"/>
      <c r="T19" s="4"/>
      <c r="U19" s="4"/>
      <c r="V19" s="4">
        <v>0</v>
      </c>
      <c r="W19" s="4">
        <f t="shared" si="12"/>
        <v>0</v>
      </c>
      <c r="X19" s="4">
        <v>374</v>
      </c>
      <c r="Y19" s="4">
        <f t="shared" si="13"/>
        <v>374</v>
      </c>
      <c r="Z19" s="4"/>
      <c r="AA19" s="21">
        <f>ROUND(J19*AO19,0)</f>
        <v>574</v>
      </c>
      <c r="AB19" s="6">
        <f t="shared" si="14"/>
        <v>0.34843205574912894</v>
      </c>
      <c r="AC19" s="33">
        <v>1.25</v>
      </c>
      <c r="AD19" s="4">
        <f t="shared" si="15"/>
        <v>645.5</v>
      </c>
      <c r="AE19" s="33">
        <f>AD19*AO19</f>
        <v>838.25347222222229</v>
      </c>
      <c r="AF19" s="6">
        <f>1-Y19/AE19</f>
        <v>0.55383423702556156</v>
      </c>
      <c r="AG19" s="7">
        <v>580</v>
      </c>
      <c r="AH19" s="6">
        <f>1-Y19/AG19</f>
        <v>0.35517241379310349</v>
      </c>
      <c r="AI19" s="4">
        <f>AG19-Y19</f>
        <v>206</v>
      </c>
      <c r="AJ19" s="28"/>
      <c r="AK19" s="6"/>
      <c r="AL19" s="6"/>
      <c r="AM19" s="6" t="e">
        <f>W19/I19</f>
        <v>#DIV/0!</v>
      </c>
      <c r="AN19" s="6">
        <f>AG19/J19</f>
        <v>1.3122171945701357</v>
      </c>
      <c r="AO19" s="6">
        <f>Y19/K19</f>
        <v>1.2986111111111112</v>
      </c>
      <c r="AP19" s="4"/>
      <c r="AQ19" s="4"/>
      <c r="AR19" s="4"/>
      <c r="AS19" s="4"/>
      <c r="AT19" s="4"/>
      <c r="AU19" s="4"/>
      <c r="AV19" s="4"/>
      <c r="AW19" s="4"/>
      <c r="AX19" s="4"/>
      <c r="AY19" s="4">
        <v>0</v>
      </c>
      <c r="AZ19" s="4" t="s">
        <v>140</v>
      </c>
      <c r="BA19" s="4">
        <v>1</v>
      </c>
      <c r="BB19" s="4">
        <v>20</v>
      </c>
      <c r="BC19" s="4" t="s">
        <v>139</v>
      </c>
      <c r="BD19" s="4">
        <v>12910</v>
      </c>
      <c r="BE19" s="4">
        <v>12910</v>
      </c>
      <c r="BF19" s="4">
        <f t="shared" si="16"/>
        <v>645.5</v>
      </c>
      <c r="BG19" s="19">
        <v>4</v>
      </c>
      <c r="BH19" s="19">
        <v>8</v>
      </c>
      <c r="BI19" s="16"/>
      <c r="BJ19" t="s">
        <v>146</v>
      </c>
      <c r="BK19">
        <v>10830</v>
      </c>
      <c r="BL19" t="s">
        <v>109</v>
      </c>
    </row>
    <row r="20" spans="1:64" x14ac:dyDescent="0.4">
      <c r="A20" s="3">
        <v>17</v>
      </c>
      <c r="B20" s="4" t="s">
        <v>74</v>
      </c>
      <c r="C20" s="4" t="str">
        <f t="shared" si="10"/>
        <v>J8998W</v>
      </c>
      <c r="D20" s="4" t="s">
        <v>74</v>
      </c>
      <c r="E20" s="4" t="s">
        <v>92</v>
      </c>
      <c r="F20" s="5">
        <v>4972759532810</v>
      </c>
      <c r="G20" s="5">
        <v>1</v>
      </c>
      <c r="H20" s="5">
        <v>1</v>
      </c>
      <c r="I20" s="4">
        <v>0</v>
      </c>
      <c r="J20" s="4">
        <v>425</v>
      </c>
      <c r="K20" s="4">
        <v>289</v>
      </c>
      <c r="L20" s="6">
        <f t="shared" si="11"/>
        <v>0.31999999999999995</v>
      </c>
      <c r="M20" s="4" t="s">
        <v>146</v>
      </c>
      <c r="N20" s="4"/>
      <c r="O20" s="4"/>
      <c r="P20" s="4"/>
      <c r="Q20" s="4"/>
      <c r="R20" s="4"/>
      <c r="S20" s="4"/>
      <c r="T20" s="4"/>
      <c r="U20" s="4"/>
      <c r="V20" s="4">
        <v>0</v>
      </c>
      <c r="W20" s="4">
        <f t="shared" si="12"/>
        <v>0</v>
      </c>
      <c r="X20" s="4">
        <v>374</v>
      </c>
      <c r="Y20" s="4">
        <f t="shared" si="13"/>
        <v>374</v>
      </c>
      <c r="Z20" s="4"/>
      <c r="AA20" s="21">
        <f>ROUND(J20*AO20,0)</f>
        <v>550</v>
      </c>
      <c r="AB20" s="6">
        <f t="shared" si="14"/>
        <v>0.31999999999999995</v>
      </c>
      <c r="AC20" s="33">
        <v>0.5</v>
      </c>
      <c r="AD20" s="4">
        <f t="shared" si="15"/>
        <v>555</v>
      </c>
      <c r="AE20" s="33">
        <f>AD20*AO20</f>
        <v>718.23529411764707</v>
      </c>
      <c r="AF20" s="6">
        <f>1-Y20/AE20</f>
        <v>0.47927927927927927</v>
      </c>
      <c r="AG20" s="7">
        <v>580</v>
      </c>
      <c r="AH20" s="6">
        <f>1-Y20/AG20</f>
        <v>0.35517241379310349</v>
      </c>
      <c r="AI20" s="4">
        <f>AG20-Y20</f>
        <v>206</v>
      </c>
      <c r="AJ20" s="28"/>
      <c r="AK20" s="6"/>
      <c r="AL20" s="6"/>
      <c r="AM20" s="6" t="e">
        <f>W20/I20</f>
        <v>#DIV/0!</v>
      </c>
      <c r="AN20" s="6">
        <f>AG20/J20</f>
        <v>1.3647058823529412</v>
      </c>
      <c r="AO20" s="6">
        <f>Y20/K20</f>
        <v>1.2941176470588236</v>
      </c>
      <c r="AP20" s="4"/>
      <c r="AQ20" s="4"/>
      <c r="AR20" s="4"/>
      <c r="AS20" s="4"/>
      <c r="AT20" s="4"/>
      <c r="AU20" s="4"/>
      <c r="AV20" s="4"/>
      <c r="AW20" s="4"/>
      <c r="AX20" s="4"/>
      <c r="AY20" s="4">
        <v>0</v>
      </c>
      <c r="AZ20" s="4" t="s">
        <v>141</v>
      </c>
      <c r="BA20" s="4"/>
      <c r="BB20" s="4"/>
      <c r="BC20" s="4" t="s">
        <v>142</v>
      </c>
      <c r="BD20" s="4">
        <v>555</v>
      </c>
      <c r="BE20" s="4">
        <v>555</v>
      </c>
      <c r="BF20" s="4">
        <f t="shared" si="16"/>
        <v>555</v>
      </c>
      <c r="BG20" s="19">
        <v>4</v>
      </c>
      <c r="BH20" s="19">
        <v>8</v>
      </c>
      <c r="BI20" s="16"/>
      <c r="BJ20" t="s">
        <v>146</v>
      </c>
      <c r="BK20">
        <v>589</v>
      </c>
      <c r="BL20" t="s">
        <v>110</v>
      </c>
    </row>
    <row r="21" spans="1:64" x14ac:dyDescent="0.4">
      <c r="A21" s="3">
        <v>18</v>
      </c>
      <c r="B21" s="4" t="s">
        <v>75</v>
      </c>
      <c r="C21" s="4" t="str">
        <f t="shared" si="10"/>
        <v>J617WK</v>
      </c>
      <c r="D21" s="4" t="s">
        <v>75</v>
      </c>
      <c r="E21" s="4" t="s">
        <v>93</v>
      </c>
      <c r="F21" s="5">
        <v>4972759536511</v>
      </c>
      <c r="G21" s="5">
        <v>1</v>
      </c>
      <c r="H21" s="5">
        <v>1</v>
      </c>
      <c r="I21" s="4">
        <v>0</v>
      </c>
      <c r="J21" s="4">
        <v>196</v>
      </c>
      <c r="K21" s="4">
        <v>137</v>
      </c>
      <c r="L21" s="6">
        <f t="shared" si="11"/>
        <v>0.30102040816326525</v>
      </c>
      <c r="M21" s="4" t="s">
        <v>146</v>
      </c>
      <c r="N21" s="4"/>
      <c r="O21" s="4"/>
      <c r="P21" s="4"/>
      <c r="Q21" s="4"/>
      <c r="R21" s="4"/>
      <c r="S21" s="4"/>
      <c r="T21" s="4"/>
      <c r="U21" s="4"/>
      <c r="V21" s="4">
        <v>0</v>
      </c>
      <c r="W21" s="4">
        <f t="shared" si="12"/>
        <v>0</v>
      </c>
      <c r="X21" s="4">
        <v>182</v>
      </c>
      <c r="Y21" s="4">
        <f t="shared" si="13"/>
        <v>182</v>
      </c>
      <c r="Z21" s="4"/>
      <c r="AA21" s="21">
        <f>ROUND(J21*AO21,0)</f>
        <v>260</v>
      </c>
      <c r="AB21" s="6">
        <f t="shared" si="14"/>
        <v>0.30000000000000004</v>
      </c>
      <c r="AC21" s="33">
        <v>0</v>
      </c>
      <c r="AD21" s="4">
        <f t="shared" si="15"/>
        <v>310</v>
      </c>
      <c r="AE21" s="33">
        <f>AD21*AO21</f>
        <v>411.82481751824815</v>
      </c>
      <c r="AF21" s="6">
        <f>1-Y21/AE21</f>
        <v>0.5580645161290323</v>
      </c>
      <c r="AG21" s="7">
        <v>280</v>
      </c>
      <c r="AH21" s="6">
        <f>1-Y21/AG21</f>
        <v>0.35</v>
      </c>
      <c r="AI21" s="4">
        <f>AG21-Y21</f>
        <v>98</v>
      </c>
      <c r="AJ21" s="28"/>
      <c r="AK21" s="6"/>
      <c r="AL21" s="6"/>
      <c r="AM21" s="6" t="e">
        <f>W21/I21</f>
        <v>#DIV/0!</v>
      </c>
      <c r="AN21" s="6">
        <f>AG21/J21</f>
        <v>1.4285714285714286</v>
      </c>
      <c r="AO21" s="6">
        <f>Y21/K21</f>
        <v>1.3284671532846715</v>
      </c>
      <c r="AP21" s="4"/>
      <c r="AQ21" s="4"/>
      <c r="AR21" s="4"/>
      <c r="AS21" s="4"/>
      <c r="AT21" s="4"/>
      <c r="AU21" s="4"/>
      <c r="AV21" s="4"/>
      <c r="AW21" s="4"/>
      <c r="AX21" s="4"/>
      <c r="AY21" s="4">
        <v>0</v>
      </c>
      <c r="AZ21" s="4" t="s">
        <v>143</v>
      </c>
      <c r="BA21" s="4"/>
      <c r="BB21" s="4"/>
      <c r="BC21" s="4" t="s">
        <v>144</v>
      </c>
      <c r="BD21" s="4">
        <v>310</v>
      </c>
      <c r="BE21" s="4">
        <v>310</v>
      </c>
      <c r="BF21" s="4">
        <f t="shared" si="16"/>
        <v>310</v>
      </c>
      <c r="BG21" s="19">
        <v>4</v>
      </c>
      <c r="BH21" s="19">
        <v>8</v>
      </c>
      <c r="BI21" s="16"/>
      <c r="BJ21" t="s">
        <v>146</v>
      </c>
      <c r="BK21">
        <v>219</v>
      </c>
      <c r="BL21" t="s">
        <v>111</v>
      </c>
    </row>
  </sheetData>
  <autoFilter ref="A3:BL3" xr:uid="{7A1660CF-9003-4B2D-B659-7F339ED5B476}"/>
  <mergeCells count="3">
    <mergeCell ref="I2:L2"/>
    <mergeCell ref="G2:H2"/>
    <mergeCell ref="V1:Y1"/>
  </mergeCells>
  <phoneticPr fontId="2"/>
  <conditionalFormatting sqref="AD4:AD21">
    <cfRule type="cellIs" dxfId="2" priority="3" operator="lessThan">
      <formula>$AA4</formula>
    </cfRule>
  </conditionalFormatting>
  <conditionalFormatting sqref="AG4:AG21">
    <cfRule type="cellIs" dxfId="1" priority="2" operator="greaterThan">
      <formula>$W4</formula>
    </cfRule>
  </conditionalFormatting>
  <conditionalFormatting sqref="BE4:BE21">
    <cfRule type="cellIs" dxfId="0" priority="1" operator="notEqual">
      <formula>$BD4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2026-05-01T02:23:50Z</dcterms:modified>
</cp:coreProperties>
</file>