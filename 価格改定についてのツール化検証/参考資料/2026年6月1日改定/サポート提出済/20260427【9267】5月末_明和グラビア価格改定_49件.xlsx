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ﾒ_明和グラビア_9267\価格改定\20260427_5月末\"/>
    </mc:Choice>
  </mc:AlternateContent>
  <xr:revisionPtr revIDLastSave="0" documentId="13_ncr:1_{37FED440-22B2-4F8F-895F-1111BF94E1F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19" i="1" l="1"/>
  <c r="AF19" i="1" s="1"/>
  <c r="BI21" i="1"/>
  <c r="AF21" i="1" s="1"/>
  <c r="BI27" i="1"/>
  <c r="AF27" i="1" s="1"/>
  <c r="BI29" i="1"/>
  <c r="AF29" i="1" s="1"/>
  <c r="BI35" i="1"/>
  <c r="AF35" i="1" s="1"/>
  <c r="BI37" i="1"/>
  <c r="AF37" i="1" s="1"/>
  <c r="BI39" i="1"/>
  <c r="AF39" i="1" s="1"/>
  <c r="BI43" i="1"/>
  <c r="AF43" i="1" s="1"/>
  <c r="BI44" i="1"/>
  <c r="AF44" i="1" s="1"/>
  <c r="BI45" i="1"/>
  <c r="AF45" i="1" s="1"/>
  <c r="BI47" i="1"/>
  <c r="AF47" i="1" s="1"/>
  <c r="BI48" i="1"/>
  <c r="AF48" i="1" s="1"/>
  <c r="BI49" i="1"/>
  <c r="AF49" i="1" s="1"/>
  <c r="BI50" i="1"/>
  <c r="AF50" i="1" s="1"/>
  <c r="BI51" i="1"/>
  <c r="AF51" i="1" s="1"/>
  <c r="BI52" i="1"/>
  <c r="AF52" i="1" s="1"/>
  <c r="BI33" i="1"/>
  <c r="AF33" i="1" s="1"/>
  <c r="BI46" i="1"/>
  <c r="AF46" i="1" s="1"/>
  <c r="AS4" i="1"/>
  <c r="AQ29" i="1"/>
  <c r="N29" i="1"/>
  <c r="N30" i="1"/>
  <c r="AQ32" i="1"/>
  <c r="N32" i="1"/>
  <c r="AQ33" i="1"/>
  <c r="AQ34" i="1"/>
  <c r="AQ35" i="1"/>
  <c r="N36" i="1"/>
  <c r="AQ37" i="1"/>
  <c r="N37" i="1"/>
  <c r="N38" i="1"/>
  <c r="AQ40" i="1"/>
  <c r="N40" i="1"/>
  <c r="AQ41" i="1"/>
  <c r="AQ42" i="1"/>
  <c r="AQ43" i="1"/>
  <c r="N44" i="1"/>
  <c r="AQ45" i="1"/>
  <c r="N45" i="1"/>
  <c r="N46" i="1"/>
  <c r="AQ48" i="1"/>
  <c r="N48" i="1"/>
  <c r="AQ49" i="1"/>
  <c r="AQ50" i="1"/>
  <c r="AQ51" i="1"/>
  <c r="N52" i="1"/>
  <c r="AQ52" i="1"/>
  <c r="AA52" i="1"/>
  <c r="AR52" i="1" s="1"/>
  <c r="AC52" i="1" s="1"/>
  <c r="Y52" i="1"/>
  <c r="AP52" i="1" s="1"/>
  <c r="C52" i="1"/>
  <c r="AA51" i="1"/>
  <c r="AR51" i="1" s="1"/>
  <c r="AC51" i="1" s="1"/>
  <c r="Y51" i="1"/>
  <c r="AP51" i="1" s="1"/>
  <c r="N51" i="1"/>
  <c r="C51" i="1"/>
  <c r="AA50" i="1"/>
  <c r="AR50" i="1" s="1"/>
  <c r="Y50" i="1"/>
  <c r="AP50" i="1" s="1"/>
  <c r="C50" i="1"/>
  <c r="AA49" i="1"/>
  <c r="AR49" i="1" s="1"/>
  <c r="AC49" i="1" s="1"/>
  <c r="Y49" i="1"/>
  <c r="AP49" i="1" s="1"/>
  <c r="N49" i="1"/>
  <c r="C49" i="1"/>
  <c r="AA48" i="1"/>
  <c r="Y48" i="1"/>
  <c r="AP48" i="1" s="1"/>
  <c r="C48" i="1"/>
  <c r="AQ47" i="1"/>
  <c r="AA47" i="1"/>
  <c r="AR47" i="1" s="1"/>
  <c r="AC47" i="1" s="1"/>
  <c r="Y47" i="1"/>
  <c r="AP47" i="1" s="1"/>
  <c r="N47" i="1"/>
  <c r="C47" i="1"/>
  <c r="AQ46" i="1"/>
  <c r="AA46" i="1"/>
  <c r="AI46" i="1" s="1"/>
  <c r="Y46" i="1"/>
  <c r="AP46" i="1" s="1"/>
  <c r="C46" i="1"/>
  <c r="AA45" i="1"/>
  <c r="AR45" i="1" s="1"/>
  <c r="AC45" i="1" s="1"/>
  <c r="Y45" i="1"/>
  <c r="AP45" i="1" s="1"/>
  <c r="C45" i="1"/>
  <c r="AQ44" i="1"/>
  <c r="AA44" i="1"/>
  <c r="AR44" i="1" s="1"/>
  <c r="AC44" i="1" s="1"/>
  <c r="Y44" i="1"/>
  <c r="AP44" i="1" s="1"/>
  <c r="C44" i="1"/>
  <c r="AA43" i="1"/>
  <c r="AR43" i="1" s="1"/>
  <c r="AC43" i="1" s="1"/>
  <c r="Y43" i="1"/>
  <c r="AP43" i="1" s="1"/>
  <c r="N43" i="1"/>
  <c r="C43" i="1"/>
  <c r="BI42" i="1"/>
  <c r="AF42" i="1" s="1"/>
  <c r="AA42" i="1"/>
  <c r="AI42" i="1" s="1"/>
  <c r="Y42" i="1"/>
  <c r="AP42" i="1" s="1"/>
  <c r="C42" i="1"/>
  <c r="BI41" i="1"/>
  <c r="AF41" i="1" s="1"/>
  <c r="AA41" i="1"/>
  <c r="AI41" i="1" s="1"/>
  <c r="Y41" i="1"/>
  <c r="AP41" i="1" s="1"/>
  <c r="N41" i="1"/>
  <c r="C41" i="1"/>
  <c r="BI40" i="1"/>
  <c r="AF40" i="1" s="1"/>
  <c r="AA40" i="1"/>
  <c r="AI40" i="1" s="1"/>
  <c r="Y40" i="1"/>
  <c r="AP40" i="1" s="1"/>
  <c r="C40" i="1"/>
  <c r="AQ39" i="1"/>
  <c r="AA39" i="1"/>
  <c r="AI39" i="1" s="1"/>
  <c r="Y39" i="1"/>
  <c r="AP39" i="1" s="1"/>
  <c r="N39" i="1"/>
  <c r="C39" i="1"/>
  <c r="BI38" i="1"/>
  <c r="AF38" i="1" s="1"/>
  <c r="AQ38" i="1"/>
  <c r="AA38" i="1"/>
  <c r="AI38" i="1" s="1"/>
  <c r="Y38" i="1"/>
  <c r="AP38" i="1" s="1"/>
  <c r="C38" i="1"/>
  <c r="AA37" i="1"/>
  <c r="AI37" i="1" s="1"/>
  <c r="Y37" i="1"/>
  <c r="AP37" i="1" s="1"/>
  <c r="C37" i="1"/>
  <c r="BI36" i="1"/>
  <c r="AF36" i="1" s="1"/>
  <c r="AQ36" i="1"/>
  <c r="AA36" i="1"/>
  <c r="Y36" i="1"/>
  <c r="AP36" i="1" s="1"/>
  <c r="C36" i="1"/>
  <c r="AA35" i="1"/>
  <c r="AI35" i="1" s="1"/>
  <c r="Y35" i="1"/>
  <c r="AP35" i="1" s="1"/>
  <c r="N35" i="1"/>
  <c r="C35" i="1"/>
  <c r="BI34" i="1"/>
  <c r="AF34" i="1" s="1"/>
  <c r="AA34" i="1"/>
  <c r="AI34" i="1" s="1"/>
  <c r="Y34" i="1"/>
  <c r="AP34" i="1" s="1"/>
  <c r="C34" i="1"/>
  <c r="AA33" i="1"/>
  <c r="AI33" i="1" s="1"/>
  <c r="Y33" i="1"/>
  <c r="AP33" i="1" s="1"/>
  <c r="N33" i="1"/>
  <c r="C33" i="1"/>
  <c r="BI32" i="1"/>
  <c r="AF32" i="1" s="1"/>
  <c r="AA32" i="1"/>
  <c r="AI32" i="1" s="1"/>
  <c r="Y32" i="1"/>
  <c r="AP32" i="1" s="1"/>
  <c r="C32" i="1"/>
  <c r="BI31" i="1"/>
  <c r="AF31" i="1" s="1"/>
  <c r="AQ31" i="1"/>
  <c r="AA31" i="1"/>
  <c r="AI31" i="1" s="1"/>
  <c r="Y31" i="1"/>
  <c r="AP31" i="1" s="1"/>
  <c r="N31" i="1"/>
  <c r="C31" i="1"/>
  <c r="BI30" i="1"/>
  <c r="AF30" i="1" s="1"/>
  <c r="AQ30" i="1"/>
  <c r="AA30" i="1"/>
  <c r="Y30" i="1"/>
  <c r="AP30" i="1" s="1"/>
  <c r="C30" i="1"/>
  <c r="AA29" i="1"/>
  <c r="AI29" i="1" s="1"/>
  <c r="Y29" i="1"/>
  <c r="AP29" i="1" s="1"/>
  <c r="C29" i="1"/>
  <c r="BI28" i="1"/>
  <c r="AF28" i="1" s="1"/>
  <c r="AQ28" i="1"/>
  <c r="AA28" i="1"/>
  <c r="AI28" i="1" s="1"/>
  <c r="Y28" i="1"/>
  <c r="AP28" i="1" s="1"/>
  <c r="N28" i="1"/>
  <c r="C28" i="1"/>
  <c r="AQ27" i="1"/>
  <c r="AA27" i="1"/>
  <c r="AI27" i="1" s="1"/>
  <c r="Y27" i="1"/>
  <c r="AP27" i="1" s="1"/>
  <c r="N27" i="1"/>
  <c r="C27" i="1"/>
  <c r="BI26" i="1"/>
  <c r="AF26" i="1" s="1"/>
  <c r="AQ26" i="1"/>
  <c r="AA26" i="1"/>
  <c r="AI26" i="1" s="1"/>
  <c r="Y26" i="1"/>
  <c r="AP26" i="1" s="1"/>
  <c r="N26" i="1"/>
  <c r="C26" i="1"/>
  <c r="BI25" i="1"/>
  <c r="AF25" i="1" s="1"/>
  <c r="AQ25" i="1"/>
  <c r="AA25" i="1"/>
  <c r="AI25" i="1" s="1"/>
  <c r="Y25" i="1"/>
  <c r="AP25" i="1" s="1"/>
  <c r="N25" i="1"/>
  <c r="C25" i="1"/>
  <c r="BI24" i="1"/>
  <c r="AF24" i="1" s="1"/>
  <c r="AQ24" i="1"/>
  <c r="AA24" i="1"/>
  <c r="AI24" i="1" s="1"/>
  <c r="Y24" i="1"/>
  <c r="AP24" i="1" s="1"/>
  <c r="N24" i="1"/>
  <c r="C24" i="1"/>
  <c r="BI23" i="1"/>
  <c r="AF23" i="1" s="1"/>
  <c r="AQ23" i="1"/>
  <c r="AA23" i="1"/>
  <c r="AI23" i="1" s="1"/>
  <c r="Y23" i="1"/>
  <c r="AP23" i="1" s="1"/>
  <c r="N23" i="1"/>
  <c r="C23" i="1"/>
  <c r="BI22" i="1"/>
  <c r="AF22" i="1" s="1"/>
  <c r="AQ22" i="1"/>
  <c r="AA22" i="1"/>
  <c r="AR22" i="1" s="1"/>
  <c r="AC22" i="1" s="1"/>
  <c r="AD22" i="1" s="1"/>
  <c r="Y22" i="1"/>
  <c r="AP22" i="1" s="1"/>
  <c r="N22" i="1"/>
  <c r="C22" i="1"/>
  <c r="AQ21" i="1"/>
  <c r="AA21" i="1"/>
  <c r="AL21" i="1" s="1"/>
  <c r="Y21" i="1"/>
  <c r="AP21" i="1" s="1"/>
  <c r="N21" i="1"/>
  <c r="C21" i="1"/>
  <c r="BI20" i="1"/>
  <c r="AF20" i="1" s="1"/>
  <c r="AQ20" i="1"/>
  <c r="AA20" i="1"/>
  <c r="AI20" i="1" s="1"/>
  <c r="Y20" i="1"/>
  <c r="AP20" i="1" s="1"/>
  <c r="N20" i="1"/>
  <c r="C20" i="1"/>
  <c r="AQ19" i="1"/>
  <c r="AA19" i="1"/>
  <c r="AL19" i="1" s="1"/>
  <c r="Y19" i="1"/>
  <c r="AP19" i="1" s="1"/>
  <c r="N19" i="1"/>
  <c r="C19" i="1"/>
  <c r="BI18" i="1"/>
  <c r="AF18" i="1" s="1"/>
  <c r="AQ18" i="1"/>
  <c r="AA18" i="1"/>
  <c r="AK18" i="1" s="1"/>
  <c r="Y18" i="1"/>
  <c r="AP18" i="1" s="1"/>
  <c r="N18" i="1"/>
  <c r="C18" i="1"/>
  <c r="BI17" i="1"/>
  <c r="AF17" i="1" s="1"/>
  <c r="AQ17" i="1"/>
  <c r="AA17" i="1"/>
  <c r="AK17" i="1" s="1"/>
  <c r="Y17" i="1"/>
  <c r="AP17" i="1" s="1"/>
  <c r="N17" i="1"/>
  <c r="C17" i="1"/>
  <c r="BI16" i="1"/>
  <c r="AF16" i="1" s="1"/>
  <c r="AQ16" i="1"/>
  <c r="AA16" i="1"/>
  <c r="AL16" i="1" s="1"/>
  <c r="Y16" i="1"/>
  <c r="AP16" i="1" s="1"/>
  <c r="N16" i="1"/>
  <c r="C16" i="1"/>
  <c r="BI15" i="1"/>
  <c r="AF15" i="1" s="1"/>
  <c r="AQ15" i="1"/>
  <c r="AA15" i="1"/>
  <c r="AL15" i="1" s="1"/>
  <c r="Y15" i="1"/>
  <c r="AP15" i="1" s="1"/>
  <c r="N15" i="1"/>
  <c r="C15" i="1"/>
  <c r="BI14" i="1"/>
  <c r="AF14" i="1" s="1"/>
  <c r="AQ14" i="1"/>
  <c r="AA14" i="1"/>
  <c r="AR14" i="1" s="1"/>
  <c r="AC14" i="1" s="1"/>
  <c r="AD14" i="1" s="1"/>
  <c r="Y14" i="1"/>
  <c r="AP14" i="1" s="1"/>
  <c r="N14" i="1"/>
  <c r="C14" i="1"/>
  <c r="AU4" i="1"/>
  <c r="AT4" i="1"/>
  <c r="AI52" i="1" l="1"/>
  <c r="AI48" i="1"/>
  <c r="AI36" i="1"/>
  <c r="AH45" i="1"/>
  <c r="AI51" i="1"/>
  <c r="AI43" i="1"/>
  <c r="AI19" i="1"/>
  <c r="AI50" i="1"/>
  <c r="AI18" i="1"/>
  <c r="AI49" i="1"/>
  <c r="AI17" i="1"/>
  <c r="AI16" i="1"/>
  <c r="AI44" i="1"/>
  <c r="AI47" i="1"/>
  <c r="AI15" i="1"/>
  <c r="AI30" i="1"/>
  <c r="AI22" i="1"/>
  <c r="AI14" i="1"/>
  <c r="AI45" i="1"/>
  <c r="AI21" i="1"/>
  <c r="AR19" i="1"/>
  <c r="AC19" i="1" s="1"/>
  <c r="AD19" i="1" s="1"/>
  <c r="AR21" i="1"/>
  <c r="AC21" i="1" s="1"/>
  <c r="AD21" i="1" s="1"/>
  <c r="N34" i="1"/>
  <c r="N42" i="1"/>
  <c r="N50" i="1"/>
  <c r="AC50" i="1"/>
  <c r="AD50" i="1" s="1"/>
  <c r="AR48" i="1"/>
  <c r="AC48" i="1" s="1"/>
  <c r="AR46" i="1"/>
  <c r="AC46" i="1" s="1"/>
  <c r="AD46" i="1" s="1"/>
  <c r="AG49" i="1"/>
  <c r="AH49" i="1" s="1"/>
  <c r="AG47" i="1"/>
  <c r="AH47" i="1" s="1"/>
  <c r="AG45" i="1"/>
  <c r="AG44" i="1"/>
  <c r="AH44" i="1" s="1"/>
  <c r="AG52" i="1"/>
  <c r="AH52" i="1" s="1"/>
  <c r="AG50" i="1"/>
  <c r="AH50" i="1" s="1"/>
  <c r="AG43" i="1"/>
  <c r="AH43" i="1" s="1"/>
  <c r="AG51" i="1"/>
  <c r="AH51" i="1" s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K21" i="1"/>
  <c r="AR23" i="1"/>
  <c r="AC23" i="1" s="1"/>
  <c r="AD23" i="1" s="1"/>
  <c r="AR24" i="1"/>
  <c r="AC24" i="1" s="1"/>
  <c r="AD24" i="1" s="1"/>
  <c r="AR25" i="1"/>
  <c r="AC25" i="1" s="1"/>
  <c r="AD25" i="1" s="1"/>
  <c r="AR26" i="1"/>
  <c r="AC26" i="1" s="1"/>
  <c r="AD26" i="1" s="1"/>
  <c r="AR27" i="1"/>
  <c r="AC27" i="1" s="1"/>
  <c r="AD27" i="1" s="1"/>
  <c r="AR28" i="1"/>
  <c r="AC28" i="1" s="1"/>
  <c r="AD28" i="1" s="1"/>
  <c r="AR29" i="1"/>
  <c r="AC29" i="1" s="1"/>
  <c r="AD29" i="1" s="1"/>
  <c r="AR30" i="1"/>
  <c r="AC30" i="1" s="1"/>
  <c r="AD30" i="1" s="1"/>
  <c r="AR31" i="1"/>
  <c r="AC31" i="1" s="1"/>
  <c r="AD31" i="1" s="1"/>
  <c r="AR32" i="1"/>
  <c r="AC32" i="1" s="1"/>
  <c r="AD32" i="1" s="1"/>
  <c r="AR33" i="1"/>
  <c r="AC33" i="1" s="1"/>
  <c r="AD33" i="1" s="1"/>
  <c r="AR34" i="1"/>
  <c r="AC34" i="1" s="1"/>
  <c r="AD34" i="1" s="1"/>
  <c r="AR35" i="1"/>
  <c r="AC35" i="1" s="1"/>
  <c r="AD35" i="1" s="1"/>
  <c r="AR36" i="1"/>
  <c r="AC36" i="1" s="1"/>
  <c r="AD36" i="1" s="1"/>
  <c r="AR37" i="1"/>
  <c r="AC37" i="1" s="1"/>
  <c r="AD37" i="1" s="1"/>
  <c r="AR38" i="1"/>
  <c r="AC38" i="1" s="1"/>
  <c r="AD38" i="1" s="1"/>
  <c r="AR39" i="1"/>
  <c r="AC39" i="1" s="1"/>
  <c r="AD39" i="1" s="1"/>
  <c r="AR40" i="1"/>
  <c r="AC40" i="1" s="1"/>
  <c r="AD40" i="1" s="1"/>
  <c r="AR41" i="1"/>
  <c r="AC41" i="1" s="1"/>
  <c r="AD41" i="1" s="1"/>
  <c r="AR42" i="1"/>
  <c r="AC42" i="1" s="1"/>
  <c r="AD42" i="1" s="1"/>
  <c r="AD43" i="1"/>
  <c r="AD44" i="1"/>
  <c r="AD45" i="1"/>
  <c r="AD47" i="1"/>
  <c r="AD48" i="1"/>
  <c r="AD49" i="1"/>
  <c r="AD51" i="1"/>
  <c r="AD52" i="1"/>
  <c r="AG22" i="1"/>
  <c r="AH22" i="1" s="1"/>
  <c r="AG14" i="1"/>
  <c r="AH14" i="1" s="1"/>
  <c r="AK14" i="1"/>
  <c r="AK15" i="1"/>
  <c r="AL14" i="1"/>
  <c r="AK22" i="1"/>
  <c r="AL22" i="1"/>
  <c r="AL18" i="1"/>
  <c r="AK16" i="1"/>
  <c r="AL17" i="1"/>
  <c r="AR20" i="1"/>
  <c r="AR18" i="1"/>
  <c r="AC18" i="1" s="1"/>
  <c r="AD18" i="1" s="1"/>
  <c r="AR16" i="1"/>
  <c r="AC16" i="1" s="1"/>
  <c r="AD16" i="1" s="1"/>
  <c r="AK20" i="1"/>
  <c r="AR17" i="1"/>
  <c r="AC17" i="1" s="1"/>
  <c r="AD17" i="1" s="1"/>
  <c r="AR15" i="1"/>
  <c r="AC15" i="1" s="1"/>
  <c r="AD15" i="1" s="1"/>
  <c r="AK19" i="1"/>
  <c r="AL20" i="1"/>
  <c r="AG21" i="1" l="1"/>
  <c r="AH21" i="1" s="1"/>
  <c r="AG48" i="1"/>
  <c r="AH48" i="1" s="1"/>
  <c r="AG23" i="1"/>
  <c r="AH23" i="1" s="1"/>
  <c r="AG19" i="1"/>
  <c r="AH19" i="1" s="1"/>
  <c r="AG16" i="1"/>
  <c r="AH16" i="1" s="1"/>
  <c r="AG46" i="1"/>
  <c r="AH46" i="1" s="1"/>
  <c r="AG39" i="1"/>
  <c r="AH39" i="1" s="1"/>
  <c r="AG25" i="1"/>
  <c r="AH25" i="1" s="1"/>
  <c r="AG33" i="1"/>
  <c r="AH33" i="1" s="1"/>
  <c r="AG36" i="1"/>
  <c r="AH36" i="1" s="1"/>
  <c r="AG27" i="1"/>
  <c r="AH27" i="1" s="1"/>
  <c r="AG28" i="1"/>
  <c r="AH28" i="1" s="1"/>
  <c r="AG29" i="1"/>
  <c r="AH29" i="1" s="1"/>
  <c r="AG38" i="1"/>
  <c r="AH38" i="1" s="1"/>
  <c r="AG18" i="1"/>
  <c r="AH18" i="1" s="1"/>
  <c r="AG42" i="1"/>
  <c r="AH42" i="1" s="1"/>
  <c r="AG40" i="1"/>
  <c r="AH40" i="1" s="1"/>
  <c r="AG30" i="1"/>
  <c r="AH30" i="1" s="1"/>
  <c r="AG17" i="1"/>
  <c r="AH17" i="1" s="1"/>
  <c r="AC20" i="1"/>
  <c r="AD20" i="1" s="1"/>
  <c r="AG20" i="1"/>
  <c r="AH20" i="1" s="1"/>
  <c r="AG35" i="1"/>
  <c r="AH35" i="1" s="1"/>
  <c r="AG31" i="1"/>
  <c r="AH31" i="1" s="1"/>
  <c r="AG26" i="1"/>
  <c r="AH26" i="1" s="1"/>
  <c r="AG34" i="1"/>
  <c r="AH34" i="1" s="1"/>
  <c r="AG32" i="1"/>
  <c r="AH32" i="1" s="1"/>
  <c r="AG24" i="1"/>
  <c r="AH24" i="1" s="1"/>
  <c r="AG37" i="1"/>
  <c r="AH37" i="1" s="1"/>
  <c r="AG41" i="1"/>
  <c r="AH41" i="1" s="1"/>
  <c r="AG15" i="1"/>
  <c r="AH15" i="1" s="1"/>
  <c r="BI5" i="1"/>
  <c r="AF5" i="1" s="1"/>
  <c r="BI6" i="1"/>
  <c r="AF6" i="1" s="1"/>
  <c r="BI9" i="1"/>
  <c r="AF9" i="1" s="1"/>
  <c r="BI10" i="1"/>
  <c r="AF10" i="1" s="1"/>
  <c r="BI11" i="1"/>
  <c r="AF11" i="1" s="1"/>
  <c r="BI12" i="1"/>
  <c r="AF12" i="1" s="1"/>
  <c r="BI13" i="1"/>
  <c r="AF13" i="1" s="1"/>
  <c r="BI4" i="1"/>
  <c r="AF4" i="1" s="1"/>
  <c r="AA5" i="1"/>
  <c r="AA6" i="1"/>
  <c r="AA7" i="1"/>
  <c r="AA8" i="1"/>
  <c r="AA9" i="1"/>
  <c r="AA10" i="1"/>
  <c r="AA11" i="1"/>
  <c r="AA12" i="1"/>
  <c r="AA13" i="1"/>
  <c r="Y5" i="1"/>
  <c r="AP5" i="1" s="1"/>
  <c r="Y6" i="1"/>
  <c r="AP6" i="1" s="1"/>
  <c r="Y7" i="1"/>
  <c r="AP7" i="1" s="1"/>
  <c r="Y8" i="1"/>
  <c r="AP8" i="1" s="1"/>
  <c r="Y9" i="1"/>
  <c r="AP9" i="1" s="1"/>
  <c r="Y10" i="1"/>
  <c r="AP10" i="1" s="1"/>
  <c r="Y11" i="1"/>
  <c r="AP11" i="1" s="1"/>
  <c r="Y12" i="1"/>
  <c r="AP12" i="1" s="1"/>
  <c r="Y13" i="1"/>
  <c r="AP13" i="1" s="1"/>
  <c r="C5" i="1"/>
  <c r="C6" i="1"/>
  <c r="C7" i="1"/>
  <c r="C8" i="1"/>
  <c r="C9" i="1"/>
  <c r="C10" i="1"/>
  <c r="C11" i="1"/>
  <c r="C12" i="1"/>
  <c r="C13" i="1"/>
  <c r="C4" i="1"/>
  <c r="AA4" i="1"/>
  <c r="Y4" i="1"/>
  <c r="AP4" i="1" s="1"/>
  <c r="AQ13" i="1"/>
  <c r="N13" i="1"/>
  <c r="AQ12" i="1"/>
  <c r="N12" i="1"/>
  <c r="AQ11" i="1"/>
  <c r="N11" i="1"/>
  <c r="AQ10" i="1"/>
  <c r="N10" i="1"/>
  <c r="AQ4" i="1"/>
  <c r="AQ9" i="1"/>
  <c r="N9" i="1"/>
  <c r="BI8" i="1"/>
  <c r="AF8" i="1" s="1"/>
  <c r="AQ8" i="1"/>
  <c r="N8" i="1"/>
  <c r="BI7" i="1"/>
  <c r="AF7" i="1" s="1"/>
  <c r="AQ7" i="1"/>
  <c r="N7" i="1"/>
  <c r="AQ6" i="1"/>
  <c r="N6" i="1"/>
  <c r="AR5" i="1"/>
  <c r="AC5" i="1" s="1"/>
  <c r="AD5" i="1" s="1"/>
  <c r="AQ5" i="1"/>
  <c r="N5" i="1"/>
  <c r="N4" i="1"/>
  <c r="AR6" i="1" l="1"/>
  <c r="AC6" i="1" s="1"/>
  <c r="AD6" i="1" s="1"/>
  <c r="AI6" i="1"/>
  <c r="AK13" i="1"/>
  <c r="AI13" i="1"/>
  <c r="AK5" i="1"/>
  <c r="AI5" i="1"/>
  <c r="AL8" i="1"/>
  <c r="AI8" i="1"/>
  <c r="AL11" i="1"/>
  <c r="AI11" i="1"/>
  <c r="AL7" i="1"/>
  <c r="AI7" i="1"/>
  <c r="AL10" i="1"/>
  <c r="AI10" i="1"/>
  <c r="AK12" i="1"/>
  <c r="AI12" i="1"/>
  <c r="AK4" i="1"/>
  <c r="AI4" i="1"/>
  <c r="AK9" i="1"/>
  <c r="AI9" i="1"/>
  <c r="AG5" i="1"/>
  <c r="AH5" i="1" s="1"/>
  <c r="AR10" i="1"/>
  <c r="AC10" i="1" s="1"/>
  <c r="AD10" i="1" s="1"/>
  <c r="AR12" i="1"/>
  <c r="AC12" i="1" s="1"/>
  <c r="AD12" i="1" s="1"/>
  <c r="AR8" i="1"/>
  <c r="AC8" i="1" s="1"/>
  <c r="AD8" i="1" s="1"/>
  <c r="AL6" i="1"/>
  <c r="AR13" i="1"/>
  <c r="AC13" i="1" s="1"/>
  <c r="AD13" i="1" s="1"/>
  <c r="AK11" i="1"/>
  <c r="AK10" i="1"/>
  <c r="AK8" i="1"/>
  <c r="AR11" i="1"/>
  <c r="AC11" i="1" s="1"/>
  <c r="AD11" i="1" s="1"/>
  <c r="AL9" i="1"/>
  <c r="AR9" i="1"/>
  <c r="AC9" i="1" s="1"/>
  <c r="AD9" i="1" s="1"/>
  <c r="AK7" i="1"/>
  <c r="AL13" i="1"/>
  <c r="AL5" i="1"/>
  <c r="AR7" i="1"/>
  <c r="AC7" i="1" s="1"/>
  <c r="AD7" i="1" s="1"/>
  <c r="AK6" i="1"/>
  <c r="AL12" i="1"/>
  <c r="AN4" i="1"/>
  <c r="AO4" i="1"/>
  <c r="AL4" i="1"/>
  <c r="AR4" i="1"/>
  <c r="AC4" i="1" s="1"/>
  <c r="AD4" i="1" s="1"/>
  <c r="AG6" i="1" l="1"/>
  <c r="AH6" i="1" s="1"/>
  <c r="AG9" i="1"/>
  <c r="AH9" i="1" s="1"/>
  <c r="AG12" i="1"/>
  <c r="AH12" i="1" s="1"/>
  <c r="AG13" i="1"/>
  <c r="AH13" i="1" s="1"/>
  <c r="AG4" i="1"/>
  <c r="AH4" i="1" s="1"/>
  <c r="AG8" i="1"/>
  <c r="AH8" i="1" s="1"/>
  <c r="AG10" i="1"/>
  <c r="AH10" i="1" s="1"/>
  <c r="AG7" i="1"/>
  <c r="AH7" i="1" s="1"/>
  <c r="AG11" i="1"/>
  <c r="AH11" i="1" s="1"/>
</calcChain>
</file>

<file path=xl/sharedStrings.xml><?xml version="1.0" encoding="utf-8"?>
<sst xmlns="http://schemas.openxmlformats.org/spreadsheetml/2006/main" count="467" uniqueCount="257">
  <si>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</si>
  <si>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</si>
  <si>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</si>
  <si>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</si>
  <si>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</si>
  <si>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</si>
  <si>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</si>
  <si>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</si>
  <si>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</si>
  <si>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</si>
  <si>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</si>
  <si>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</si>
  <si>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</si>
  <si>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</si>
  <si>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</si>
  <si>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</si>
  <si>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</si>
  <si>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</si>
  <si>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</si>
  <si>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</si>
  <si>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</si>
  <si>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</si>
  <si>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</si>
  <si>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</si>
  <si>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</si>
  <si>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</si>
  <si>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</si>
  <si>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</si>
  <si>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</si>
  <si>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</si>
  <si>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</si>
  <si>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</si>
  <si>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</si>
  <si>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</si>
  <si>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</si>
  <si>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</si>
  <si>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</si>
  <si>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</si>
  <si>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</si>
  <si>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</si>
  <si>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</si>
  <si>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</si>
  <si>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</si>
  <si>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</si>
  <si>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</si>
  <si>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</si>
  <si>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</si>
  <si>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</si>
  <si>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</si>
  <si>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</si>
  <si>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</si>
  <si>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</si>
  <si>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</si>
  <si>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</si>
  <si>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</si>
  <si>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</si>
  <si>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</si>
  <si>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</si>
  <si>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</si>
  <si>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</si>
  <si>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</si>
  <si>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</si>
  <si>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</si>
  <si>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</si>
  <si>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</si>
  <si>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J465MV</t>
  </si>
  <si>
    <t>J467MV</t>
  </si>
  <si>
    <t>J466MV</t>
  </si>
  <si>
    <t>J469MV</t>
  </si>
  <si>
    <t>J468MV</t>
  </si>
  <si>
    <t>J471MV</t>
  </si>
  <si>
    <t>J470MV</t>
  </si>
  <si>
    <t>J630MC</t>
  </si>
  <si>
    <t>J631MC</t>
  </si>
  <si>
    <t>J632MC</t>
  </si>
  <si>
    <t>J633MC</t>
  </si>
  <si>
    <t>J635MC</t>
  </si>
  <si>
    <t>J634MC</t>
  </si>
  <si>
    <t>J637MC</t>
  </si>
  <si>
    <t>J636MC</t>
  </si>
  <si>
    <t>J638MC</t>
  </si>
  <si>
    <t>J639MC</t>
  </si>
  <si>
    <t>J641MC</t>
  </si>
  <si>
    <t>J640MC</t>
  </si>
  <si>
    <t>J643MC</t>
  </si>
  <si>
    <t>J642MC</t>
  </si>
  <si>
    <t>J645MC</t>
  </si>
  <si>
    <t>J646MC</t>
  </si>
  <si>
    <t>J647MC</t>
  </si>
  <si>
    <t>J644MC</t>
  </si>
  <si>
    <t>J648MC</t>
  </si>
  <si>
    <t>J650MC</t>
  </si>
  <si>
    <t>J651MC</t>
  </si>
  <si>
    <t>J649MC</t>
  </si>
  <si>
    <t>J652MC</t>
  </si>
  <si>
    <t>J653MC</t>
  </si>
  <si>
    <t>J654MC</t>
  </si>
  <si>
    <t>J655MC</t>
  </si>
  <si>
    <t>J657MC</t>
  </si>
  <si>
    <t>J658MC</t>
  </si>
  <si>
    <t>J659MC</t>
  </si>
  <si>
    <t>J656MC</t>
  </si>
  <si>
    <t>J660MC</t>
  </si>
  <si>
    <t>J661MC</t>
  </si>
  <si>
    <t>J662MC</t>
  </si>
  <si>
    <t>J664MC</t>
  </si>
  <si>
    <t>J665MC</t>
  </si>
  <si>
    <t>J663MC</t>
  </si>
  <si>
    <t>J666MC</t>
  </si>
  <si>
    <t>J667MC</t>
  </si>
  <si>
    <t>J669MC</t>
  </si>
  <si>
    <t>J668MC</t>
  </si>
  <si>
    <t>J670MC</t>
  </si>
  <si>
    <t>J744PW</t>
  </si>
  <si>
    <t>明和ｸﾞﾗﾋﾞｱ/3点機能透明ﾋﾞﾆｰﾙｼｰﾄ 45cm×10m 1.0mm厚</t>
  </si>
  <si>
    <t>明和ｸﾞﾗﾋﾞｱ/3点機能透明ﾋﾞﾆｰﾙｼｰﾄ 91cm×10m 1.0mm厚</t>
  </si>
  <si>
    <t>明和ｸﾞﾗﾋﾞｱ/3点機能透明ﾋﾞﾆｰﾙｼｰﾄ 75cm×10m 1.0mm厚</t>
  </si>
  <si>
    <t>明和ｸﾞﾗﾋﾞｱ/透明ﾋﾞﾆｰﾙｼｰﾄ 92cm×10m×2.0mm厚</t>
  </si>
  <si>
    <t>明和ｸﾞﾗﾋﾞｱ/3点機能透明ﾋﾞﾆｰﾙｼｰﾄ 120cm×10m 1.0mm厚</t>
  </si>
  <si>
    <t>明和ｸﾞﾗﾋﾞｱ/透明ﾋﾞﾆｰﾙｼｰﾄ 120cm×10m×1.0mm厚</t>
  </si>
  <si>
    <t>明和ｸﾞﾗﾋﾞｱ/透明ﾋﾞﾆｰﾙｼｰﾄ 92cm×10m×1.0mm厚</t>
  </si>
  <si>
    <t>明和ｸﾞﾗﾋﾞｱ/5点機能透明ﾋﾞﾆｰﾙｼｰﾄ 30cm×10m 1.0mm厚</t>
  </si>
  <si>
    <t>明和ｸﾞﾗﾋﾞｱ/5点機能透明ﾋﾞﾆｰﾙｼｰﾄ 40cm×10m 1.0mm厚</t>
  </si>
  <si>
    <t>明和ｸﾞﾗﾋﾞｱ/5点機能透明ﾋﾞﾆｰﾙｼｰﾄ 45cm×10m 1.0mm厚</t>
  </si>
  <si>
    <t>明和ｸﾞﾗﾋﾞｱ/5点機能透明ﾋﾞﾆｰﾙｼｰﾄ 75cm×10m 1.0mm厚</t>
  </si>
  <si>
    <t>明和ｸﾞﾗﾋﾞｱ/5点機能透明ﾋﾞﾆｰﾙｼｰﾄ 90cm×10m 1.5mm厚</t>
  </si>
  <si>
    <t>明和ｸﾞﾗﾋﾞｱ/5点機能透明ﾋﾞﾆｰﾙｼｰﾄ 90cm×10m 1.0mm厚</t>
  </si>
  <si>
    <t>明和ｸﾞﾗﾋﾞｱ/5点機能透明ﾋﾞﾆｰﾙｼｰﾄ 120cm×50m 0.18mm厚</t>
  </si>
  <si>
    <t>明和ｸﾞﾗﾋﾞｱ/5点機能透明ﾋﾞﾆｰﾙｼｰﾄ 90cm×10m 2.0mm厚</t>
  </si>
  <si>
    <t>明和ｸﾞﾗﾋﾞｱ/5点機能透明ﾋﾞﾆｰﾙｼｰﾄ 120cm×20m 0.45mm厚</t>
  </si>
  <si>
    <t>明和ｸﾞﾗﾋﾞｱ/5点機能透明ﾋﾞﾆｰﾙｼｰﾄ 120cm×10m 1.0mm厚</t>
  </si>
  <si>
    <t>明和ｸﾞﾗﾋﾞｱ/5点機能透明ﾋﾞﾆｰﾙｼｰﾄ 130cm×30m 0.25mm厚</t>
  </si>
  <si>
    <t>明和ｸﾞﾗﾋﾞｱ/5点機能透明ﾋﾞﾆｰﾙｼｰﾄ 120cm×30m 0.25mm厚</t>
  </si>
  <si>
    <t>明和ｸﾞﾗﾋﾞｱ/5点機能透明ﾋﾞﾆｰﾙｼｰﾄ 130cm×20m 0.45mm厚</t>
  </si>
  <si>
    <t>明和ｸﾞﾗﾋﾞｱ/3点機能透明ﾋﾞﾆｰﾙｼｰﾄ 60cm×10m 1.0mm厚</t>
  </si>
  <si>
    <t>明和ｸﾞﾗﾋﾞｱ/3点機能透明ﾋﾞﾆｰﾙｼｰﾄ 90cm×10m 2.0mm厚</t>
  </si>
  <si>
    <t>明和ｸﾞﾗﾋﾞｱ/3点機能透明ﾋﾞﾆｰﾙｼｰﾄ 90cm×10m 1.5mm厚</t>
  </si>
  <si>
    <t>明和ｸﾞﾗﾋﾞｱ/3点機能透明ﾋﾞﾆｰﾙｼｰﾄ 40cm×10m 1.0mm厚</t>
  </si>
  <si>
    <t>明和ｸﾞﾗﾋﾞｱ/3点機能透明ﾋﾞﾆｰﾙｼｰﾄ 100cm×10m 2.0mm厚</t>
  </si>
  <si>
    <t>明和ｸﾞﾗﾋﾞｱ/3点機能透明ﾋﾞﾆｰﾙｼｰﾄ 120cm×20m 0.45mm厚</t>
  </si>
  <si>
    <t>明和ｸﾞﾗﾋﾞｱ/3点機能透明ﾋﾞﾆｰﾙｼｰﾄ 120cm×10m 2.0mm厚</t>
  </si>
  <si>
    <t>明和ｸﾞﾗﾋﾞｱ/3点機能透明ﾋﾞﾆｰﾙｼｰﾄ 120cm×50m 0.18mm厚</t>
  </si>
  <si>
    <t>明和ｸﾞﾗﾋﾞｱ/3点機能透明ﾋﾞﾆｰﾙｼｰﾄ 130cm×20m 0.45mm厚</t>
  </si>
  <si>
    <t>明和ｸﾞﾗﾋﾞｱ/3点機能透明ﾋﾞﾆｰﾙｼｰﾄ 130cm×30m 0.25mm厚</t>
  </si>
  <si>
    <t>明和ｸﾞﾗﾋﾞｱ/3点機能透明ﾋﾞﾆｰﾙｼｰﾄ 180cm×50m 0.2mm厚</t>
  </si>
  <si>
    <t>明和ｸﾞﾗﾋﾞｱ/3点機能透明ﾋﾞﾆｰﾙｼｰﾄ 180cm×30m 0.3mm厚</t>
  </si>
  <si>
    <t>明和ｸﾞﾗﾋﾞｱ/透明ﾋﾞﾆｰﾙｼｰﾄ 92cm×6m×3.0mm厚</t>
  </si>
  <si>
    <t>明和ｸﾞﾗﾋﾞｱ/透明ﾋﾞﾆｰﾙｼｰﾄ 120cm×20m×0.5mm厚</t>
  </si>
  <si>
    <t>明和ｸﾞﾗﾋﾞｱ/透明ﾋﾞﾆｰﾙｼｰﾄ 120cm×50m×0.15mm厚</t>
  </si>
  <si>
    <t>明和ｸﾞﾗﾋﾞｱ/透明ﾋﾞﾆｰﾙｼｰﾄ 91.5cm×10m×1.5mm厚</t>
  </si>
  <si>
    <t>明和ｸﾞﾗﾋﾞｱ/透明ﾋﾞﾆｰﾙｼｰﾄ 120cm×50m×0.2mm厚</t>
  </si>
  <si>
    <t>明和ｸﾞﾗﾋﾞｱ/透明ﾋﾞﾆｰﾙｼｰﾄ 120cm×10m×2.0mm厚</t>
  </si>
  <si>
    <t>明和ｸﾞﾗﾋﾞｱ/透明ﾋﾞﾆｰﾙｼｰﾄ 120cm×30m×0.3mm厚</t>
  </si>
  <si>
    <t>明和ｸﾞﾗﾋﾞｱ/透明ﾋﾞﾆｰﾙｼｰﾄ 135cm×50m×0.2mm厚</t>
  </si>
  <si>
    <t>明和ｸﾞﾗﾋﾞｱ/透明ﾋﾞﾆｰﾙｼｰﾄ 135cm×30m×0.3mm厚</t>
  </si>
  <si>
    <t>明和ｸﾞﾗﾋﾞｱ/透明ﾋﾞﾆｰﾙｼｰﾄ 120cm×6m×3.0mm厚</t>
  </si>
  <si>
    <t>明和ｸﾞﾗﾋﾞｱ/透明ﾋﾞﾆｰﾙｼｰﾄ 160cm×30m×0.3mm厚</t>
  </si>
  <si>
    <t>明和ｸﾞﾗﾋﾞｱ/透明ﾋﾞﾆｰﾙｼｰﾄ 183cm×50m×0.1mm厚</t>
  </si>
  <si>
    <t>明和ｸﾞﾗﾋﾞｱ/透明ﾋﾞﾆｰﾙｼｰﾄ 183cm×30m×0.3mm厚</t>
  </si>
  <si>
    <t>明和ｸﾞﾗﾋﾞｱ/透明ﾋﾞﾆｰﾙｼｰﾄ 183cm×30m×0.2mm厚</t>
  </si>
  <si>
    <t>明和ｸﾞﾗﾋﾞｱ/透明ﾋﾞﾆｰﾙｼｰﾄ 183cm×20m×0.5mm厚</t>
  </si>
  <si>
    <t>明和ｸﾞﾗﾋﾞｱ/5点機能透明ﾋﾞﾆｰﾙｼｰﾄ 40cm×10m 2.0mm厚</t>
  </si>
  <si>
    <t>-</t>
  </si>
  <si>
    <t>-</t>
    <phoneticPr fontId="2"/>
  </si>
  <si>
    <t>明和グラビア 3点機能付透明フィルム MGK-4510 450mm×10m×1.0mm（直送品）</t>
  </si>
  <si>
    <t>明和グラビア 3点機能付透明フィルム MGK-9110 910mm×10m×1.0mm（直送品）</t>
  </si>
  <si>
    <t>明和グラビア 3点機能付透明フィルム MGK-7510 750mm×10m×1.0mm（直送品）</t>
  </si>
  <si>
    <t>明和グラビア MG透明フィルム 920mm×10m×2.0mm MG-001 1本</t>
  </si>
  <si>
    <t>明和グラビア 3点機能付透明フィルム MGK-1210 1200mm×10m×1.0mm（直送品）</t>
  </si>
  <si>
    <t>明和グラビア MG-030 1本</t>
  </si>
  <si>
    <t>明和グラビア MG-004 1本</t>
  </si>
  <si>
    <t>明和グラビア MGKVB-301 1本</t>
  </si>
  <si>
    <t>明和グラビア 5点機能付透明フィルム MGKVB-4510 450mm×10m×1.0mm（直送品）</t>
  </si>
  <si>
    <t>明和グラビア MGKVB-7510 1反（直送品）</t>
  </si>
  <si>
    <t>明和グラビア 5点機能付透明フィルム 900mm×10m×1.0mm MGKVB-9010 1本</t>
  </si>
  <si>
    <t>明和グラビア 5点機能付透明フィルム 1200mm×50m×0.18m MGKVB-180 1本</t>
  </si>
  <si>
    <t>明和グラビア 5点機能付透明フィルム MGKVB-9020 900mm×10m×2.0mm（直送品）</t>
  </si>
  <si>
    <t>明和グラビア 5点機能透明フィルム MGKVB-1245 2反（直送品）</t>
  </si>
  <si>
    <t>明和グラビア MGKVB-1210 1本</t>
  </si>
  <si>
    <t>明和グラビア MGKVB-250 1反（直送品）</t>
  </si>
  <si>
    <t>明和グラビア 5点機能付透明フィルム 1200mm×30m×0.25mm MGKVB-1225 1本</t>
  </si>
  <si>
    <t>明和グラビア 3点機能付透明フィルム MGK-301 300mm×10m×1.0mm（直送品）</t>
  </si>
  <si>
    <t>明和グラビア 5点機能付透明フィルム MGKVB-450 1300mm×20m×0.45mm（直送品）</t>
  </si>
  <si>
    <t>明和グラビア 3点機能付透明フィルム MGK-6010 600mm×10m×1.0mm（直送品）</t>
  </si>
  <si>
    <t>明和グラビア 3点機能付透明フィルム MGK-9020 900mm×10m×2.0mm（直送品）</t>
  </si>
  <si>
    <t>明和グラビア 3点機能付透明フィルム MGK-9015 900mm×10m×1.5mm（直送品）</t>
  </si>
  <si>
    <t>明和グラビア 3点機能付透明フィルム MGK-401 400mm×10m×1.0mm（直送品）</t>
  </si>
  <si>
    <t>明和グラビア 3点機能付透明フィルム MGK-1020 1000mm×10m×2.0mm（直送品）</t>
  </si>
  <si>
    <t>明和グラビア 3点機能付透明フィルム MGK-1245 1200mm×20m×0.45mm（直送品）</t>
  </si>
  <si>
    <t>明和グラビア 3点機能付透明フィルム MGK-1220 1200mm×10m×2.0mm（直送品）</t>
  </si>
  <si>
    <t>明和グラビア MGK-450 1本</t>
  </si>
  <si>
    <t>明和グラビア 3点機能付透明フィルム MGK-250 1300mm×30m×0.25mm（直送品）</t>
  </si>
  <si>
    <t>明和グラビア 3点機能付透明フィルム MGK-1820 1800mm×50m×0.2mm（直送品）</t>
  </si>
  <si>
    <t>明和グラビア 3点機能付透明フィルム MGK-1830 1800mm×30m×0.3mm（直送品）</t>
  </si>
  <si>
    <t>明和グラビア MG-300 1本</t>
  </si>
  <si>
    <t>明和グラビア MG-027 1本</t>
  </si>
  <si>
    <t>明和グラビア MG透明フィルム 915mm×10m×1.5mm MG-3615 1本</t>
  </si>
  <si>
    <t>明和グラビア MG透明フィルム MG-033 1200mm×50m×0.2mm（直送品）</t>
  </si>
  <si>
    <t>明和グラビア MG透明フィルム MG-009 1200mm×10m×2.0mm（直送品）</t>
  </si>
  <si>
    <t>明和グラビア MG透明フィルム MG-055 1200mm×30m×0.3mm（直送品）</t>
  </si>
  <si>
    <t>明和グラビア MG透明フィルム MG-053 1350mm×50m×0.2mm（直送品）</t>
  </si>
  <si>
    <t>明和グラビア MG透明フィルム MG-056 1350mm×30m×0.3mm（直送品）</t>
  </si>
  <si>
    <t>明和グラビア MG透明フィルム MG-3120 1200mm×6m×3.0mm（直送品）</t>
  </si>
  <si>
    <t>明和グラビア MG透明フィルム MG-6303 1600mm×30m×0.3mm（直送品）</t>
  </si>
  <si>
    <t>明和グラビア MG透明フィルム MG-1810 1830mm×50m×0.1mm（直送品）</t>
  </si>
  <si>
    <t>明和グラビア MG透明フィルム MG-1830 1830mm×30m×0.3mm（直送品）</t>
  </si>
  <si>
    <t>明和グラビア MG透明フィルム MG-1820 1830mm×30m×0.2mm（直送品）</t>
  </si>
  <si>
    <t>明和グラビア MG透明フィルム MG-1850 1830mm×20m×0.5mm（直送品）</t>
  </si>
  <si>
    <t>P292728</t>
  </si>
  <si>
    <t>1本</t>
  </si>
  <si>
    <t>P292730</t>
  </si>
  <si>
    <t>P292729</t>
  </si>
  <si>
    <t>P292722</t>
  </si>
  <si>
    <t>P292726</t>
  </si>
  <si>
    <t>P292725</t>
  </si>
  <si>
    <t>P292723</t>
  </si>
  <si>
    <t>P292318</t>
  </si>
  <si>
    <t>P292321</t>
  </si>
  <si>
    <t>EJ59617</t>
  </si>
  <si>
    <t>1反</t>
  </si>
  <si>
    <t>P292323</t>
  </si>
  <si>
    <t>P292316</t>
  </si>
  <si>
    <t>P292325</t>
  </si>
  <si>
    <t>EK71929</t>
  </si>
  <si>
    <t>2反</t>
  </si>
  <si>
    <t>P292313</t>
  </si>
  <si>
    <t>EJ59616</t>
  </si>
  <si>
    <t>P292314</t>
  </si>
  <si>
    <t>P292300</t>
  </si>
  <si>
    <t>P292320</t>
  </si>
  <si>
    <t>P292308</t>
  </si>
  <si>
    <t>P292312</t>
  </si>
  <si>
    <t>P292311</t>
  </si>
  <si>
    <t>P292302</t>
  </si>
  <si>
    <t>P292290</t>
  </si>
  <si>
    <t>P292294</t>
  </si>
  <si>
    <t>P292292</t>
  </si>
  <si>
    <t>P292305</t>
  </si>
  <si>
    <t>P292298</t>
  </si>
  <si>
    <t>P292296</t>
  </si>
  <si>
    <t>P292297</t>
  </si>
  <si>
    <t>P292285</t>
  </si>
  <si>
    <t>P292275</t>
  </si>
  <si>
    <t>P292287</t>
  </si>
  <si>
    <t>P292277</t>
  </si>
  <si>
    <t>P292724</t>
  </si>
  <si>
    <t>P292279</t>
  </si>
  <si>
    <t>P292278</t>
  </si>
  <si>
    <t>P292280</t>
  </si>
  <si>
    <t>P292286</t>
  </si>
  <si>
    <t>P292289</t>
  </si>
  <si>
    <t>P292281</t>
  </si>
  <si>
    <t>P292283</t>
  </si>
  <si>
    <t>P292282</t>
  </si>
  <si>
    <t>P292284</t>
  </si>
  <si>
    <t>5月売価</t>
    <rPh sb="1" eb="2">
      <t>ガツ</t>
    </rPh>
    <rPh sb="2" eb="4">
      <t>バイカ</t>
    </rPh>
    <phoneticPr fontId="2"/>
  </si>
  <si>
    <t>A列ミドリは直送品</t>
    <rPh sb="1" eb="2">
      <t>レツ</t>
    </rPh>
    <rPh sb="6" eb="9">
      <t>チョクソウヒン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</si>
</sst>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O52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AJ2" sqref="AJ2"/>
    </sheetView>
  </sheetViews>
  <sheetFormatPr defaultRowHeight="18.75" outlineLevelCol="1" x14ac:dyDescent="0.4"/>
  <cols>
    <col min="1" max="1" width="4.375" customWidth="1"/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0" width="7.625" customWidth="1"/>
    <col min="31" max="31" width="7.625" style="29" customWidth="1"/>
    <col min="32" max="32" width="7.625" customWidth="1"/>
    <col min="33" max="33" width="7.625" style="29" customWidth="1"/>
    <col min="34" max="34" width="7.625" customWidth="1"/>
    <col min="35" max="35" width="7.625" style="29" customWidth="1"/>
    <col min="36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55" width="7.625" customWidth="1"/>
    <col min="56" max="56" width="4.375" customWidth="1"/>
    <col min="57" max="57" width="4.875" customWidth="1"/>
    <col min="58" max="66" width="7.625" customWidth="1"/>
  </cols>
  <sheetData>
    <row r="1" spans="1:67" x14ac:dyDescent="0.4">
      <c r="B1" s="28" t="s">
        <v>49</v>
      </c>
      <c r="X1" s="42" t="s">
        <v>46</v>
      </c>
      <c r="Y1" s="43"/>
      <c r="Z1" s="43"/>
      <c r="AA1" s="44"/>
      <c r="AJ1" t="s">
        <v>256</v>
      </c>
    </row>
    <row r="2" spans="1:67" x14ac:dyDescent="0.4">
      <c r="B2" s="7" t="s">
        <v>33</v>
      </c>
      <c r="C2" s="8" t="s">
        <v>34</v>
      </c>
      <c r="D2" s="8" t="s">
        <v>35</v>
      </c>
      <c r="E2" s="9"/>
      <c r="F2" s="9"/>
      <c r="G2" s="36"/>
      <c r="H2" s="36"/>
      <c r="I2" s="39" t="s">
        <v>36</v>
      </c>
      <c r="J2" s="41"/>
      <c r="K2" s="39" t="s">
        <v>2</v>
      </c>
      <c r="L2" s="40"/>
      <c r="M2" s="40"/>
      <c r="N2" s="41"/>
      <c r="O2" s="10"/>
      <c r="P2" s="35"/>
      <c r="Q2" s="35"/>
      <c r="R2" s="35"/>
      <c r="S2" s="35"/>
      <c r="T2" s="35"/>
      <c r="U2" s="35"/>
      <c r="V2" s="35"/>
      <c r="W2" s="35"/>
      <c r="X2" s="22"/>
      <c r="Y2" s="23" t="s">
        <v>39</v>
      </c>
      <c r="Z2" s="23"/>
      <c r="AA2" s="24" t="s">
        <v>39</v>
      </c>
      <c r="AB2" s="9"/>
      <c r="AC2" s="8" t="s">
        <v>44</v>
      </c>
      <c r="AD2" s="10"/>
      <c r="AE2" s="30"/>
      <c r="AF2" s="10"/>
      <c r="AG2" s="30"/>
      <c r="AH2" s="10"/>
      <c r="AI2" s="30"/>
      <c r="AJ2" s="21" t="s">
        <v>47</v>
      </c>
      <c r="AK2" s="10"/>
      <c r="AL2" s="10"/>
      <c r="AM2" s="26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>
        <v>51</v>
      </c>
      <c r="BJ2">
        <v>14</v>
      </c>
      <c r="BK2">
        <v>28</v>
      </c>
    </row>
    <row r="3" spans="1:67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1" t="s">
        <v>7</v>
      </c>
      <c r="G3" s="11" t="s">
        <v>62</v>
      </c>
      <c r="H3" s="11" t="s">
        <v>63</v>
      </c>
      <c r="I3" s="11" t="s">
        <v>30</v>
      </c>
      <c r="J3" s="11" t="s">
        <v>31</v>
      </c>
      <c r="K3" s="11" t="s">
        <v>1</v>
      </c>
      <c r="L3" s="2" t="s">
        <v>8</v>
      </c>
      <c r="M3" s="2" t="s">
        <v>5</v>
      </c>
      <c r="N3" s="2" t="s">
        <v>16</v>
      </c>
      <c r="O3" s="11" t="s">
        <v>55</v>
      </c>
      <c r="P3" s="11" t="s">
        <v>20</v>
      </c>
      <c r="Q3" s="11" t="s">
        <v>21</v>
      </c>
      <c r="R3" s="11" t="s">
        <v>56</v>
      </c>
      <c r="S3" s="11" t="s">
        <v>23</v>
      </c>
      <c r="T3" s="11" t="s">
        <v>24</v>
      </c>
      <c r="U3" s="11" t="s">
        <v>57</v>
      </c>
      <c r="V3" s="11" t="s">
        <v>26</v>
      </c>
      <c r="W3" s="11" t="s">
        <v>27</v>
      </c>
      <c r="X3" s="11" t="s">
        <v>3</v>
      </c>
      <c r="Y3" s="11" t="s">
        <v>28</v>
      </c>
      <c r="Z3" s="2" t="s">
        <v>5</v>
      </c>
      <c r="AA3" s="11" t="s">
        <v>29</v>
      </c>
      <c r="AB3" s="13" t="s">
        <v>6</v>
      </c>
      <c r="AC3" s="19" t="s">
        <v>17</v>
      </c>
      <c r="AD3" s="2" t="s">
        <v>16</v>
      </c>
      <c r="AE3" s="31" t="s">
        <v>50</v>
      </c>
      <c r="AF3" s="11" t="s">
        <v>45</v>
      </c>
      <c r="AG3" s="37" t="s">
        <v>64</v>
      </c>
      <c r="AH3" s="2" t="s">
        <v>16</v>
      </c>
      <c r="AI3" s="37"/>
      <c r="AJ3" s="12" t="s">
        <v>37</v>
      </c>
      <c r="AK3" s="2" t="s">
        <v>16</v>
      </c>
      <c r="AL3" s="2" t="s">
        <v>38</v>
      </c>
      <c r="AM3" s="25" t="s">
        <v>40</v>
      </c>
      <c r="AN3" s="11" t="s">
        <v>41</v>
      </c>
      <c r="AO3" s="11" t="s">
        <v>42</v>
      </c>
      <c r="AP3" s="11" t="s">
        <v>32</v>
      </c>
      <c r="AQ3" s="11" t="s">
        <v>43</v>
      </c>
      <c r="AR3" s="11" t="s">
        <v>18</v>
      </c>
      <c r="AS3" s="11" t="s">
        <v>19</v>
      </c>
      <c r="AT3" s="11" t="s">
        <v>20</v>
      </c>
      <c r="AU3" s="11" t="s">
        <v>21</v>
      </c>
      <c r="AV3" s="11" t="s">
        <v>22</v>
      </c>
      <c r="AW3" s="11" t="s">
        <v>23</v>
      </c>
      <c r="AX3" s="11" t="s">
        <v>24</v>
      </c>
      <c r="AY3" s="11" t="s">
        <v>25</v>
      </c>
      <c r="AZ3" s="11" t="s">
        <v>26</v>
      </c>
      <c r="BA3" s="11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1" t="s">
        <v>48</v>
      </c>
      <c r="BG3" s="11" t="s">
        <v>61</v>
      </c>
      <c r="BH3" s="2" t="s">
        <v>255</v>
      </c>
      <c r="BI3" s="2" t="s">
        <v>15</v>
      </c>
      <c r="BJ3" s="17" t="s">
        <v>51</v>
      </c>
      <c r="BK3" s="17" t="s">
        <v>52</v>
      </c>
      <c r="BL3" s="14" t="s">
        <v>60</v>
      </c>
      <c r="BM3" s="33" t="s">
        <v>53</v>
      </c>
      <c r="BN3" s="34" t="s">
        <v>54</v>
      </c>
      <c r="BO3" s="34" t="s">
        <v>58</v>
      </c>
    </row>
    <row r="4" spans="1:67" x14ac:dyDescent="0.4">
      <c r="A4" s="38">
        <v>1</v>
      </c>
      <c r="B4" s="3" t="s">
        <v>65</v>
      </c>
      <c r="C4" s="3" t="str">
        <f>TEXT(B4,"000000")</f>
        <v>J465MV</v>
      </c>
      <c r="D4" s="3" t="s">
        <v>65</v>
      </c>
      <c r="E4" s="3" t="s">
        <v>114</v>
      </c>
      <c r="F4" s="4">
        <v>4977932115101</v>
      </c>
      <c r="G4" s="4"/>
      <c r="H4" s="4"/>
      <c r="I4" s="4">
        <v>1</v>
      </c>
      <c r="J4" s="4">
        <v>1</v>
      </c>
      <c r="K4" s="3">
        <v>10446</v>
      </c>
      <c r="L4" s="3">
        <v>9424</v>
      </c>
      <c r="M4" s="3">
        <v>6966</v>
      </c>
      <c r="N4" s="5">
        <f t="shared" ref="N4:N13" si="0">1-M4/L4</f>
        <v>0.26082342954159587</v>
      </c>
      <c r="O4" s="3" t="s">
        <v>163</v>
      </c>
      <c r="P4" s="3"/>
      <c r="Q4" s="3"/>
      <c r="R4" s="3"/>
      <c r="S4" s="3"/>
      <c r="T4" s="3"/>
      <c r="U4" s="3"/>
      <c r="V4" s="3"/>
      <c r="W4" s="3"/>
      <c r="X4" s="3">
        <v>13790</v>
      </c>
      <c r="Y4" s="3">
        <f>IF(AB4="",X4,X4*AB4)</f>
        <v>13790</v>
      </c>
      <c r="Z4" s="3">
        <v>8360</v>
      </c>
      <c r="AA4" s="3">
        <f>IF(AB4="",Z4,Z4*AB4)</f>
        <v>8360</v>
      </c>
      <c r="AB4" s="3"/>
      <c r="AC4" s="20">
        <f>ROUND(L4*AR4,0)</f>
        <v>11310</v>
      </c>
      <c r="AD4" s="5">
        <f t="shared" ref="AD4" si="1">1-AA4/AC4</f>
        <v>0.26083112290008836</v>
      </c>
      <c r="AE4" s="32">
        <v>0</v>
      </c>
      <c r="AF4" s="3">
        <f>BI4</f>
        <v>10862</v>
      </c>
      <c r="AG4" s="32">
        <f>AF4*AR4</f>
        <v>13035.647430376113</v>
      </c>
      <c r="AH4" s="5">
        <f>1-AA4/AG4</f>
        <v>0.3586816424231265</v>
      </c>
      <c r="AI4" s="32">
        <f>ROUND(AA4/0.7,0)</f>
        <v>11943</v>
      </c>
      <c r="AJ4" s="6">
        <v>11800</v>
      </c>
      <c r="AK4" s="5">
        <f>1-AA4/AJ4</f>
        <v>0.29152542372881352</v>
      </c>
      <c r="AL4" s="3">
        <f>AJ4-AA4</f>
        <v>3440</v>
      </c>
      <c r="AM4" s="27"/>
      <c r="AN4" s="5" t="e">
        <f>1-AA4/AM4</f>
        <v>#DIV/0!</v>
      </c>
      <c r="AO4" s="3">
        <f>AM4-AA4</f>
        <v>-8360</v>
      </c>
      <c r="AP4" s="5">
        <f>Y4/K4</f>
        <v>1.3201225349416044</v>
      </c>
      <c r="AQ4" s="5">
        <f>AJ4/L4</f>
        <v>1.2521222410865875</v>
      </c>
      <c r="AR4" s="5">
        <f>AA4/M4</f>
        <v>1.2001148435256963</v>
      </c>
      <c r="AS4" s="3" t="str">
        <f>IFERROR(ROUND($AJ4*O4/$L4,0),"-")</f>
        <v>-</v>
      </c>
      <c r="AT4" s="3" t="str">
        <f>IF(P4="","-",P4)</f>
        <v>-</v>
      </c>
      <c r="AU4" s="3" t="str">
        <f>IF(Q4="","-",Q4)</f>
        <v>-</v>
      </c>
      <c r="AV4" s="3"/>
      <c r="AW4" s="3"/>
      <c r="AX4" s="3"/>
      <c r="AY4" s="3"/>
      <c r="AZ4" s="3"/>
      <c r="BA4" s="3"/>
      <c r="BB4" s="3">
        <v>0</v>
      </c>
      <c r="BC4" s="3" t="s">
        <v>208</v>
      </c>
      <c r="BD4" s="3"/>
      <c r="BE4" s="3"/>
      <c r="BF4" s="3" t="s">
        <v>209</v>
      </c>
      <c r="BG4" s="3">
        <v>10862</v>
      </c>
      <c r="BH4" s="3">
        <v>10862</v>
      </c>
      <c r="BI4" s="3">
        <f t="shared" ref="BI4:BI5" si="2">IF(BD4="",BH4,BD4/BE4*BH4)</f>
        <v>10862</v>
      </c>
      <c r="BJ4" s="18">
        <v>4</v>
      </c>
      <c r="BK4" s="18">
        <v>9</v>
      </c>
      <c r="BL4" s="15">
        <v>19</v>
      </c>
      <c r="BM4">
        <v>12800</v>
      </c>
      <c r="BN4">
        <v>15771</v>
      </c>
      <c r="BO4" t="s">
        <v>164</v>
      </c>
    </row>
    <row r="5" spans="1:67" x14ac:dyDescent="0.4">
      <c r="A5" s="38">
        <v>2</v>
      </c>
      <c r="B5" s="3" t="s">
        <v>66</v>
      </c>
      <c r="C5" s="3" t="str">
        <f t="shared" ref="C5:C13" si="3">TEXT(B5,"000000")</f>
        <v>J467MV</v>
      </c>
      <c r="D5" s="3" t="s">
        <v>66</v>
      </c>
      <c r="E5" s="3" t="s">
        <v>115</v>
      </c>
      <c r="F5" s="4">
        <v>4977932074293</v>
      </c>
      <c r="G5" s="4"/>
      <c r="H5" s="4"/>
      <c r="I5" s="4">
        <v>1</v>
      </c>
      <c r="J5" s="4">
        <v>1</v>
      </c>
      <c r="K5" s="3">
        <v>22537</v>
      </c>
      <c r="L5" s="3">
        <v>18480</v>
      </c>
      <c r="M5" s="3">
        <v>14516</v>
      </c>
      <c r="N5" s="5">
        <f t="shared" si="0"/>
        <v>0.21450216450216453</v>
      </c>
      <c r="O5" s="3" t="s">
        <v>163</v>
      </c>
      <c r="P5" s="3"/>
      <c r="Q5" s="3"/>
      <c r="R5" s="3"/>
      <c r="S5" s="3"/>
      <c r="T5" s="3"/>
      <c r="U5" s="3"/>
      <c r="V5" s="3"/>
      <c r="W5" s="3"/>
      <c r="X5" s="3">
        <v>29750</v>
      </c>
      <c r="Y5" s="3">
        <f t="shared" ref="Y5:Y13" si="4">IF(AB5="",X5,X5*AB5)</f>
        <v>29750</v>
      </c>
      <c r="Z5" s="3">
        <v>17420</v>
      </c>
      <c r="AA5" s="3">
        <f t="shared" ref="AA5:AA13" si="5">IF(AB5="",Z5,Z5*AB5)</f>
        <v>17420</v>
      </c>
      <c r="AB5" s="3"/>
      <c r="AC5" s="20">
        <f>ROUND(L5*AR5,0)</f>
        <v>22177</v>
      </c>
      <c r="AD5" s="5">
        <f t="shared" ref="AD5" si="6">1-AA5/AC5</f>
        <v>0.21450151057401812</v>
      </c>
      <c r="AE5" s="32">
        <v>0</v>
      </c>
      <c r="AF5" s="3">
        <f t="shared" ref="AF5:AF13" si="7">BI5</f>
        <v>23954</v>
      </c>
      <c r="AG5" s="32">
        <f>AF5*AR5</f>
        <v>28746.120143290165</v>
      </c>
      <c r="AH5" s="5">
        <f>1-AA5/AG5</f>
        <v>0.39400517658846124</v>
      </c>
      <c r="AI5" s="32">
        <f>ROUND(AA5/0.7,0)</f>
        <v>24886</v>
      </c>
      <c r="AJ5" s="6">
        <v>24800</v>
      </c>
      <c r="AK5" s="5">
        <f>1-AA5/AJ5</f>
        <v>0.29758064516129035</v>
      </c>
      <c r="AL5" s="3">
        <f>AJ5-AA5</f>
        <v>7380</v>
      </c>
      <c r="AM5" s="27"/>
      <c r="AN5" s="5"/>
      <c r="AO5" s="5"/>
      <c r="AP5" s="5">
        <f>Y5/K5</f>
        <v>1.3200514709144962</v>
      </c>
      <c r="AQ5" s="5">
        <f>AJ5/L5</f>
        <v>1.3419913419913421</v>
      </c>
      <c r="AR5" s="5">
        <f>AA5/M5</f>
        <v>1.2000551116009921</v>
      </c>
      <c r="AS5" s="3"/>
      <c r="AT5" s="3"/>
      <c r="AU5" s="3"/>
      <c r="AV5" s="3"/>
      <c r="AW5" s="3"/>
      <c r="AX5" s="3"/>
      <c r="AY5" s="3"/>
      <c r="AZ5" s="3"/>
      <c r="BA5" s="3"/>
      <c r="BB5" s="3">
        <v>0</v>
      </c>
      <c r="BC5" s="3" t="s">
        <v>210</v>
      </c>
      <c r="BD5" s="3"/>
      <c r="BE5" s="3"/>
      <c r="BF5" s="3" t="s">
        <v>209</v>
      </c>
      <c r="BG5" s="3">
        <v>23954</v>
      </c>
      <c r="BH5" s="3">
        <v>23954</v>
      </c>
      <c r="BI5" s="3">
        <f t="shared" si="2"/>
        <v>23954</v>
      </c>
      <c r="BJ5" s="18">
        <v>4</v>
      </c>
      <c r="BK5" s="18">
        <v>9</v>
      </c>
      <c r="BL5" s="15">
        <v>19</v>
      </c>
      <c r="BM5">
        <v>39086</v>
      </c>
      <c r="BN5">
        <v>22230</v>
      </c>
      <c r="BO5" t="s">
        <v>165</v>
      </c>
    </row>
    <row r="6" spans="1:67" x14ac:dyDescent="0.4">
      <c r="A6" s="38">
        <v>3</v>
      </c>
      <c r="B6" s="16" t="s">
        <v>67</v>
      </c>
      <c r="C6" s="3" t="str">
        <f t="shared" si="3"/>
        <v>J466MV</v>
      </c>
      <c r="D6" s="3" t="s">
        <v>67</v>
      </c>
      <c r="E6" s="3" t="s">
        <v>116</v>
      </c>
      <c r="F6" s="4">
        <v>4977932115118</v>
      </c>
      <c r="G6" s="4"/>
      <c r="H6" s="4"/>
      <c r="I6" s="4">
        <v>1</v>
      </c>
      <c r="J6" s="4">
        <v>1</v>
      </c>
      <c r="K6" s="3">
        <v>20655</v>
      </c>
      <c r="L6" s="3">
        <v>17745</v>
      </c>
      <c r="M6" s="3">
        <v>13434</v>
      </c>
      <c r="N6" s="5">
        <f t="shared" si="0"/>
        <v>0.24294167371090447</v>
      </c>
      <c r="O6" s="3" t="s">
        <v>163</v>
      </c>
      <c r="P6" s="3"/>
      <c r="Q6" s="3"/>
      <c r="R6" s="3"/>
      <c r="S6" s="3"/>
      <c r="T6" s="3"/>
      <c r="U6" s="3"/>
      <c r="V6" s="3"/>
      <c r="W6" s="3"/>
      <c r="X6" s="3">
        <v>27270</v>
      </c>
      <c r="Y6" s="3">
        <f t="shared" si="4"/>
        <v>27270</v>
      </c>
      <c r="Z6" s="3">
        <v>16124</v>
      </c>
      <c r="AA6" s="3">
        <f t="shared" si="5"/>
        <v>16124</v>
      </c>
      <c r="AB6" s="3"/>
      <c r="AC6" s="20">
        <f>ROUND(L6*AR6,0)</f>
        <v>21298</v>
      </c>
      <c r="AD6" s="5">
        <f t="shared" ref="AD6:AD13" si="8">1-AA6/AC6</f>
        <v>0.24293360878955772</v>
      </c>
      <c r="AE6" s="32">
        <v>0</v>
      </c>
      <c r="AF6" s="3">
        <f t="shared" si="7"/>
        <v>23832</v>
      </c>
      <c r="AG6" s="32">
        <f>AF6*AR6</f>
        <v>28604.076820008933</v>
      </c>
      <c r="AH6" s="5">
        <f>1-AA6/AG6</f>
        <v>0.43630412890231618</v>
      </c>
      <c r="AI6" s="32">
        <f>ROUND(AA6/0.7,0)</f>
        <v>23034</v>
      </c>
      <c r="AJ6" s="6">
        <v>22800</v>
      </c>
      <c r="AK6" s="5">
        <f>1-AA6/AJ6</f>
        <v>0.29280701754385963</v>
      </c>
      <c r="AL6" s="3">
        <f>AJ6-AA6</f>
        <v>6676</v>
      </c>
      <c r="AM6" s="27"/>
      <c r="AN6" s="5"/>
      <c r="AO6" s="5"/>
      <c r="AP6" s="5">
        <f>Y6/K6</f>
        <v>1.3202614379084967</v>
      </c>
      <c r="AQ6" s="5">
        <f>AJ6/L6</f>
        <v>1.2848689771766695</v>
      </c>
      <c r="AR6" s="5">
        <f>AA6/M6</f>
        <v>1.2002382015780855</v>
      </c>
      <c r="AS6" s="3"/>
      <c r="AT6" s="3"/>
      <c r="AU6" s="3"/>
      <c r="AV6" s="3"/>
      <c r="AW6" s="3"/>
      <c r="AX6" s="3"/>
      <c r="AY6" s="3"/>
      <c r="AZ6" s="3"/>
      <c r="BA6" s="3"/>
      <c r="BB6" s="3">
        <v>0</v>
      </c>
      <c r="BC6" s="3" t="s">
        <v>211</v>
      </c>
      <c r="BD6" s="3"/>
      <c r="BE6" s="3"/>
      <c r="BF6" s="3" t="s">
        <v>209</v>
      </c>
      <c r="BG6" s="3">
        <v>23832</v>
      </c>
      <c r="BH6" s="3">
        <v>23832</v>
      </c>
      <c r="BI6" s="3">
        <f t="shared" ref="BI6:BI13" si="9">IF(BD6="",BH6,BD6/BE6*BH6)</f>
        <v>23832</v>
      </c>
      <c r="BJ6" s="18">
        <v>4</v>
      </c>
      <c r="BK6" s="18">
        <v>9</v>
      </c>
      <c r="BL6" s="15">
        <v>19</v>
      </c>
      <c r="BM6">
        <v>34114</v>
      </c>
      <c r="BN6">
        <v>20330</v>
      </c>
      <c r="BO6" t="s">
        <v>166</v>
      </c>
    </row>
    <row r="7" spans="1:67" x14ac:dyDescent="0.4">
      <c r="A7" s="38">
        <v>4</v>
      </c>
      <c r="B7" s="16" t="s">
        <v>68</v>
      </c>
      <c r="C7" s="3" t="str">
        <f t="shared" si="3"/>
        <v>J469MV</v>
      </c>
      <c r="D7" s="3" t="s">
        <v>68</v>
      </c>
      <c r="E7" s="3" t="s">
        <v>117</v>
      </c>
      <c r="F7" s="4">
        <v>4977932013513</v>
      </c>
      <c r="G7" s="4"/>
      <c r="H7" s="4"/>
      <c r="I7" s="4">
        <v>1</v>
      </c>
      <c r="J7" s="4">
        <v>1</v>
      </c>
      <c r="K7" s="3">
        <v>27173</v>
      </c>
      <c r="L7" s="3">
        <v>25010</v>
      </c>
      <c r="M7" s="3">
        <v>16138</v>
      </c>
      <c r="N7" s="5">
        <f t="shared" si="0"/>
        <v>0.35473810475809675</v>
      </c>
      <c r="O7" s="3" t="s">
        <v>163</v>
      </c>
      <c r="P7" s="3"/>
      <c r="Q7" s="3"/>
      <c r="R7" s="3"/>
      <c r="S7" s="3"/>
      <c r="T7" s="3"/>
      <c r="U7" s="3"/>
      <c r="V7" s="3"/>
      <c r="W7" s="3"/>
      <c r="X7" s="3">
        <v>35870</v>
      </c>
      <c r="Y7" s="3">
        <f t="shared" si="4"/>
        <v>35870</v>
      </c>
      <c r="Z7" s="3">
        <v>19367</v>
      </c>
      <c r="AA7" s="3">
        <f t="shared" si="5"/>
        <v>19367</v>
      </c>
      <c r="AB7" s="3"/>
      <c r="AC7" s="20">
        <f>ROUND(L7*AR7,0)</f>
        <v>30014</v>
      </c>
      <c r="AD7" s="5">
        <f t="shared" si="8"/>
        <v>0.35473445725328179</v>
      </c>
      <c r="AE7" s="32">
        <v>0</v>
      </c>
      <c r="AF7" s="3">
        <f t="shared" si="7"/>
        <v>26840</v>
      </c>
      <c r="AG7" s="32">
        <f>AF7*AR7</f>
        <v>32210.328417399927</v>
      </c>
      <c r="AH7" s="5">
        <f>1-AA7/AG7</f>
        <v>0.39873323397913563</v>
      </c>
      <c r="AI7" s="32">
        <f>ROUND(AA7/0.7,0)</f>
        <v>27667</v>
      </c>
      <c r="AJ7" s="6">
        <v>29800</v>
      </c>
      <c r="AK7" s="5">
        <f>1-AA7/AJ7</f>
        <v>0.35010067114093957</v>
      </c>
      <c r="AL7" s="3">
        <f>AJ7-AA7</f>
        <v>10433</v>
      </c>
      <c r="AM7" s="27"/>
      <c r="AN7" s="5"/>
      <c r="AO7" s="5"/>
      <c r="AP7" s="5">
        <f>Y7/K7</f>
        <v>1.3200603540278952</v>
      </c>
      <c r="AQ7" s="5">
        <f>AJ7/L7</f>
        <v>1.1915233906437426</v>
      </c>
      <c r="AR7" s="5">
        <f>AA7/M7</f>
        <v>1.2000867517660181</v>
      </c>
      <c r="AS7" s="3"/>
      <c r="AT7" s="3"/>
      <c r="AU7" s="3"/>
      <c r="AV7" s="3"/>
      <c r="AW7" s="3"/>
      <c r="AX7" s="3"/>
      <c r="AY7" s="3"/>
      <c r="AZ7" s="3"/>
      <c r="BA7" s="3"/>
      <c r="BB7" s="3">
        <v>0</v>
      </c>
      <c r="BC7" s="3" t="s">
        <v>212</v>
      </c>
      <c r="BD7" s="3"/>
      <c r="BE7" s="3"/>
      <c r="BF7" s="3" t="s">
        <v>209</v>
      </c>
      <c r="BG7" s="3">
        <v>26840</v>
      </c>
      <c r="BH7" s="3">
        <v>26840</v>
      </c>
      <c r="BI7" s="3">
        <f t="shared" si="9"/>
        <v>26840</v>
      </c>
      <c r="BJ7" s="18">
        <v>4</v>
      </c>
      <c r="BK7" s="18">
        <v>9</v>
      </c>
      <c r="BL7" s="15">
        <v>19</v>
      </c>
      <c r="BM7">
        <v>39343</v>
      </c>
      <c r="BN7">
        <v>26695</v>
      </c>
      <c r="BO7" t="s">
        <v>167</v>
      </c>
    </row>
    <row r="8" spans="1:67" x14ac:dyDescent="0.4">
      <c r="A8" s="38">
        <v>5</v>
      </c>
      <c r="B8" s="16" t="s">
        <v>69</v>
      </c>
      <c r="C8" s="3" t="str">
        <f t="shared" si="3"/>
        <v>J468MV</v>
      </c>
      <c r="D8" s="3" t="s">
        <v>69</v>
      </c>
      <c r="E8" s="3" t="s">
        <v>118</v>
      </c>
      <c r="F8" s="4">
        <v>4977932074309</v>
      </c>
      <c r="G8" s="4"/>
      <c r="H8" s="4"/>
      <c r="I8" s="4">
        <v>1</v>
      </c>
      <c r="J8" s="4">
        <v>1</v>
      </c>
      <c r="K8" s="3">
        <v>24410</v>
      </c>
      <c r="L8" s="3">
        <v>20774</v>
      </c>
      <c r="M8" s="3">
        <v>15598</v>
      </c>
      <c r="N8" s="5">
        <f t="shared" si="0"/>
        <v>0.24915760084721283</v>
      </c>
      <c r="O8" s="3" t="s">
        <v>163</v>
      </c>
      <c r="P8" s="3"/>
      <c r="Q8" s="3"/>
      <c r="R8" s="3"/>
      <c r="S8" s="3"/>
      <c r="T8" s="3"/>
      <c r="U8" s="3"/>
      <c r="V8" s="3"/>
      <c r="W8" s="3"/>
      <c r="X8" s="3">
        <v>32220</v>
      </c>
      <c r="Y8" s="3">
        <f t="shared" si="4"/>
        <v>32220</v>
      </c>
      <c r="Z8" s="3">
        <v>18718</v>
      </c>
      <c r="AA8" s="3">
        <f t="shared" si="5"/>
        <v>18718</v>
      </c>
      <c r="AB8" s="3"/>
      <c r="AC8" s="20">
        <f>ROUND(L8*AR8,0)</f>
        <v>24929</v>
      </c>
      <c r="AD8" s="5">
        <f t="shared" si="8"/>
        <v>0.24914757912471419</v>
      </c>
      <c r="AE8" s="32">
        <v>0</v>
      </c>
      <c r="AF8" s="3">
        <f t="shared" si="7"/>
        <v>28183</v>
      </c>
      <c r="AG8" s="32">
        <f>AF8*AR8</f>
        <v>33820.322733683803</v>
      </c>
      <c r="AH8" s="5">
        <f>1-AA8/AG8</f>
        <v>0.4465457900152574</v>
      </c>
      <c r="AI8" s="32">
        <f>ROUND(AA8/0.7,0)</f>
        <v>26740</v>
      </c>
      <c r="AJ8" s="6">
        <v>26800</v>
      </c>
      <c r="AK8" s="5">
        <f>1-AA8/AJ8</f>
        <v>0.30156716417910445</v>
      </c>
      <c r="AL8" s="3">
        <f>AJ8-AA8</f>
        <v>8082</v>
      </c>
      <c r="AM8" s="27"/>
      <c r="AN8" s="5"/>
      <c r="AO8" s="5"/>
      <c r="AP8" s="5">
        <f>Y8/K8</f>
        <v>1.3199508398197459</v>
      </c>
      <c r="AQ8" s="5">
        <f>AJ8/L8</f>
        <v>1.2900741311254453</v>
      </c>
      <c r="AR8" s="5">
        <f>AA8/M8</f>
        <v>1.2000256443133734</v>
      </c>
      <c r="AS8" s="3"/>
      <c r="AT8" s="3"/>
      <c r="AU8" s="3"/>
      <c r="AV8" s="3"/>
      <c r="AW8" s="3"/>
      <c r="AX8" s="3"/>
      <c r="AY8" s="3"/>
      <c r="AZ8" s="3"/>
      <c r="BA8" s="3"/>
      <c r="BB8" s="3">
        <v>0</v>
      </c>
      <c r="BC8" s="3" t="s">
        <v>213</v>
      </c>
      <c r="BD8" s="3"/>
      <c r="BE8" s="3"/>
      <c r="BF8" s="3" t="s">
        <v>209</v>
      </c>
      <c r="BG8" s="3">
        <v>28183</v>
      </c>
      <c r="BH8" s="3">
        <v>28183</v>
      </c>
      <c r="BI8" s="3">
        <f t="shared" si="9"/>
        <v>28183</v>
      </c>
      <c r="BJ8" s="18">
        <v>4</v>
      </c>
      <c r="BK8" s="18">
        <v>9</v>
      </c>
      <c r="BL8" s="15">
        <v>19</v>
      </c>
      <c r="BM8">
        <v>42257</v>
      </c>
      <c r="BN8">
        <v>42257</v>
      </c>
      <c r="BO8" t="s">
        <v>168</v>
      </c>
    </row>
    <row r="9" spans="1:67" x14ac:dyDescent="0.4">
      <c r="A9" s="38">
        <v>6</v>
      </c>
      <c r="B9" s="16" t="s">
        <v>70</v>
      </c>
      <c r="C9" s="3" t="str">
        <f t="shared" si="3"/>
        <v>J471MV</v>
      </c>
      <c r="D9" s="3" t="s">
        <v>70</v>
      </c>
      <c r="E9" s="3" t="s">
        <v>119</v>
      </c>
      <c r="F9" s="4">
        <v>4977932467514</v>
      </c>
      <c r="G9" s="4"/>
      <c r="H9" s="4"/>
      <c r="I9" s="4">
        <v>1</v>
      </c>
      <c r="J9" s="4">
        <v>1</v>
      </c>
      <c r="K9" s="3">
        <v>16464</v>
      </c>
      <c r="L9" s="3">
        <v>13494</v>
      </c>
      <c r="M9" s="3">
        <v>10190</v>
      </c>
      <c r="N9" s="5">
        <f t="shared" si="0"/>
        <v>0.2448495627686379</v>
      </c>
      <c r="O9" s="3" t="s">
        <v>163</v>
      </c>
      <c r="P9" s="3"/>
      <c r="Q9" s="3"/>
      <c r="R9" s="3"/>
      <c r="S9" s="3"/>
      <c r="T9" s="3"/>
      <c r="U9" s="3"/>
      <c r="V9" s="3"/>
      <c r="W9" s="3"/>
      <c r="X9" s="3">
        <v>21740</v>
      </c>
      <c r="Y9" s="3">
        <f t="shared" si="4"/>
        <v>21740</v>
      </c>
      <c r="Z9" s="3">
        <v>12233</v>
      </c>
      <c r="AA9" s="3">
        <f t="shared" si="5"/>
        <v>12233</v>
      </c>
      <c r="AB9" s="3"/>
      <c r="AC9" s="20">
        <f>ROUND(L9*AR9,0)</f>
        <v>16199</v>
      </c>
      <c r="AD9" s="5">
        <f t="shared" si="8"/>
        <v>0.24482992777331936</v>
      </c>
      <c r="AE9" s="32">
        <v>0</v>
      </c>
      <c r="AF9" s="3">
        <f t="shared" si="7"/>
        <v>19864</v>
      </c>
      <c r="AG9" s="32">
        <f>AF9*AR9</f>
        <v>23846.546810598626</v>
      </c>
      <c r="AH9" s="5">
        <f>1-AA9/AG9</f>
        <v>0.48701167942005641</v>
      </c>
      <c r="AI9" s="32">
        <f>ROUND(AA9/0.7,0)</f>
        <v>17476</v>
      </c>
      <c r="AJ9" s="6">
        <v>17800</v>
      </c>
      <c r="AK9" s="5">
        <f>1-AA9/AJ9</f>
        <v>0.31275280898876401</v>
      </c>
      <c r="AL9" s="3">
        <f>AJ9-AA9</f>
        <v>5567</v>
      </c>
      <c r="AM9" s="27"/>
      <c r="AN9" s="5"/>
      <c r="AO9" s="5"/>
      <c r="AP9" s="5">
        <f>Y9/K9</f>
        <v>1.3204567541302235</v>
      </c>
      <c r="AQ9" s="5">
        <f>AJ9/L9</f>
        <v>1.3191047873128798</v>
      </c>
      <c r="AR9" s="5">
        <f>AA9/M9</f>
        <v>1.2004906771344455</v>
      </c>
      <c r="AS9" s="3"/>
      <c r="AT9" s="3"/>
      <c r="AU9" s="3"/>
      <c r="AV9" s="3"/>
      <c r="AW9" s="3"/>
      <c r="AX9" s="3"/>
      <c r="AY9" s="3"/>
      <c r="AZ9" s="3"/>
      <c r="BA9" s="3"/>
      <c r="BB9" s="3">
        <v>0</v>
      </c>
      <c r="BC9" s="3" t="s">
        <v>214</v>
      </c>
      <c r="BD9" s="3"/>
      <c r="BE9" s="3"/>
      <c r="BF9" s="3" t="s">
        <v>209</v>
      </c>
      <c r="BG9" s="3">
        <v>19864</v>
      </c>
      <c r="BH9" s="3">
        <v>19864</v>
      </c>
      <c r="BI9" s="3">
        <f t="shared" si="9"/>
        <v>19864</v>
      </c>
      <c r="BJ9" s="18">
        <v>4</v>
      </c>
      <c r="BK9" s="18">
        <v>9</v>
      </c>
      <c r="BL9" s="15">
        <v>19</v>
      </c>
      <c r="BM9">
        <v>21100</v>
      </c>
      <c r="BN9">
        <v>16245</v>
      </c>
      <c r="BO9" t="s">
        <v>169</v>
      </c>
    </row>
    <row r="10" spans="1:67" x14ac:dyDescent="0.4">
      <c r="A10" s="38">
        <v>7</v>
      </c>
      <c r="B10" s="3" t="s">
        <v>71</v>
      </c>
      <c r="C10" s="3" t="str">
        <f t="shared" si="3"/>
        <v>J470MV</v>
      </c>
      <c r="D10" s="3" t="s">
        <v>71</v>
      </c>
      <c r="E10" s="3" t="s">
        <v>120</v>
      </c>
      <c r="F10" s="4">
        <v>4977932471825</v>
      </c>
      <c r="G10" s="4"/>
      <c r="H10" s="4"/>
      <c r="I10" s="4">
        <v>1</v>
      </c>
      <c r="J10" s="4">
        <v>1</v>
      </c>
      <c r="K10" s="3">
        <v>13519</v>
      </c>
      <c r="L10" s="3">
        <v>13227</v>
      </c>
      <c r="M10" s="3">
        <v>8047</v>
      </c>
      <c r="N10" s="5">
        <f t="shared" si="0"/>
        <v>0.39162319497996523</v>
      </c>
      <c r="O10" s="3" t="s">
        <v>163</v>
      </c>
      <c r="P10" s="3"/>
      <c r="Q10" s="3"/>
      <c r="R10" s="3"/>
      <c r="S10" s="3"/>
      <c r="T10" s="3"/>
      <c r="U10" s="3"/>
      <c r="V10" s="3"/>
      <c r="W10" s="3"/>
      <c r="X10" s="3">
        <v>17850</v>
      </c>
      <c r="Y10" s="3">
        <f t="shared" si="4"/>
        <v>17850</v>
      </c>
      <c r="Z10" s="3">
        <v>9660</v>
      </c>
      <c r="AA10" s="3">
        <f t="shared" si="5"/>
        <v>9660</v>
      </c>
      <c r="AB10" s="3"/>
      <c r="AC10" s="20">
        <f>ROUND(L10*AR10,0)</f>
        <v>15878</v>
      </c>
      <c r="AD10" s="5">
        <f t="shared" si="8"/>
        <v>0.39161103413528153</v>
      </c>
      <c r="AE10" s="32">
        <v>0</v>
      </c>
      <c r="AF10" s="3">
        <f t="shared" si="7"/>
        <v>16843</v>
      </c>
      <c r="AG10" s="32">
        <f>AF10*AR10</f>
        <v>20219.135081396795</v>
      </c>
      <c r="AH10" s="5">
        <f>1-AA10/AG10</f>
        <v>0.52223475627857274</v>
      </c>
      <c r="AI10" s="32">
        <f>ROUND(AA10/0.7,0)</f>
        <v>13800</v>
      </c>
      <c r="AJ10" s="6">
        <v>15800</v>
      </c>
      <c r="AK10" s="5">
        <f>1-AA10/AJ10</f>
        <v>0.38860759493670882</v>
      </c>
      <c r="AL10" s="3">
        <f>AJ10-AA10</f>
        <v>6140</v>
      </c>
      <c r="AM10" s="27"/>
      <c r="AN10" s="5"/>
      <c r="AO10" s="5"/>
      <c r="AP10" s="5">
        <f>Y10/K10</f>
        <v>1.3203639322435092</v>
      </c>
      <c r="AQ10" s="5">
        <f>AJ10/L10</f>
        <v>1.1945263476222878</v>
      </c>
      <c r="AR10" s="5">
        <f>AA10/M10</f>
        <v>1.2004473716913135</v>
      </c>
      <c r="AS10" s="3"/>
      <c r="AT10" s="3"/>
      <c r="AU10" s="3"/>
      <c r="AV10" s="3"/>
      <c r="AW10" s="3"/>
      <c r="AX10" s="3"/>
      <c r="AY10" s="3"/>
      <c r="AZ10" s="3"/>
      <c r="BA10" s="3"/>
      <c r="BB10" s="3">
        <v>0</v>
      </c>
      <c r="BC10" s="3" t="s">
        <v>215</v>
      </c>
      <c r="BD10" s="3"/>
      <c r="BE10" s="3"/>
      <c r="BF10" s="3" t="s">
        <v>209</v>
      </c>
      <c r="BG10" s="3">
        <v>16843</v>
      </c>
      <c r="BH10" s="3">
        <v>16843</v>
      </c>
      <c r="BI10" s="3">
        <f t="shared" si="9"/>
        <v>16843</v>
      </c>
      <c r="BJ10" s="18">
        <v>4</v>
      </c>
      <c r="BK10" s="18">
        <v>9</v>
      </c>
      <c r="BL10" s="15">
        <v>19</v>
      </c>
      <c r="BM10">
        <v>16843</v>
      </c>
      <c r="BN10">
        <v>20347</v>
      </c>
      <c r="BO10" t="s">
        <v>170</v>
      </c>
    </row>
    <row r="11" spans="1:67" x14ac:dyDescent="0.4">
      <c r="A11" s="38">
        <v>8</v>
      </c>
      <c r="B11" s="3" t="s">
        <v>72</v>
      </c>
      <c r="C11" s="3" t="str">
        <f t="shared" si="3"/>
        <v>J630MC</v>
      </c>
      <c r="D11" s="3" t="s">
        <v>72</v>
      </c>
      <c r="E11" s="3" t="s">
        <v>121</v>
      </c>
      <c r="F11" s="4">
        <v>4977932193338</v>
      </c>
      <c r="G11" s="4"/>
      <c r="H11" s="4"/>
      <c r="I11" s="4">
        <v>1</v>
      </c>
      <c r="J11" s="4">
        <v>1</v>
      </c>
      <c r="K11" s="3">
        <v>8510</v>
      </c>
      <c r="L11" s="3">
        <v>7035</v>
      </c>
      <c r="M11" s="3">
        <v>5967</v>
      </c>
      <c r="N11" s="5">
        <f t="shared" si="0"/>
        <v>0.1518123667377399</v>
      </c>
      <c r="O11" s="3" t="s">
        <v>163</v>
      </c>
      <c r="P11" s="3"/>
      <c r="Q11" s="3"/>
      <c r="R11" s="3"/>
      <c r="S11" s="3"/>
      <c r="T11" s="3"/>
      <c r="U11" s="3"/>
      <c r="V11" s="3"/>
      <c r="W11" s="3"/>
      <c r="X11" s="3">
        <v>11240</v>
      </c>
      <c r="Y11" s="3">
        <f t="shared" si="4"/>
        <v>11240</v>
      </c>
      <c r="Z11" s="3">
        <v>7166</v>
      </c>
      <c r="AA11" s="3">
        <f t="shared" si="5"/>
        <v>7166</v>
      </c>
      <c r="AB11" s="3"/>
      <c r="AC11" s="20">
        <f>ROUND(L11*AR11,0)</f>
        <v>8449</v>
      </c>
      <c r="AD11" s="5">
        <f t="shared" si="8"/>
        <v>0.15185229021185942</v>
      </c>
      <c r="AE11" s="32">
        <v>0</v>
      </c>
      <c r="AF11" s="3">
        <f t="shared" si="7"/>
        <v>8510</v>
      </c>
      <c r="AG11" s="32">
        <f>AF11*AR11</f>
        <v>10219.986592927769</v>
      </c>
      <c r="AH11" s="5">
        <f>1-AA11/AG11</f>
        <v>0.29882491186839011</v>
      </c>
      <c r="AI11" s="32">
        <f>ROUND(AA11/0.7,0)</f>
        <v>10237</v>
      </c>
      <c r="AJ11" s="6">
        <v>9800</v>
      </c>
      <c r="AK11" s="5">
        <f>1-AA11/AJ11</f>
        <v>0.26877551020408164</v>
      </c>
      <c r="AL11" s="3">
        <f>AJ11-AA11</f>
        <v>2634</v>
      </c>
      <c r="AM11" s="27"/>
      <c r="AN11" s="5"/>
      <c r="AO11" s="5"/>
      <c r="AP11" s="5">
        <f>Y11/K11</f>
        <v>1.3207990599294948</v>
      </c>
      <c r="AQ11" s="5">
        <f>AJ11/L11</f>
        <v>1.3930348258706469</v>
      </c>
      <c r="AR11" s="5">
        <f>AA11/M11</f>
        <v>1.2009384950561421</v>
      </c>
      <c r="AS11" s="3"/>
      <c r="AT11" s="3"/>
      <c r="AU11" s="3"/>
      <c r="AV11" s="3"/>
      <c r="AW11" s="3"/>
      <c r="AX11" s="3"/>
      <c r="AY11" s="3"/>
      <c r="AZ11" s="3"/>
      <c r="BA11" s="3"/>
      <c r="BB11" s="3">
        <v>0</v>
      </c>
      <c r="BC11" s="3" t="s">
        <v>216</v>
      </c>
      <c r="BD11" s="3"/>
      <c r="BE11" s="3"/>
      <c r="BF11" s="3" t="s">
        <v>209</v>
      </c>
      <c r="BG11" s="3">
        <v>8510</v>
      </c>
      <c r="BH11" s="3">
        <v>8510</v>
      </c>
      <c r="BI11" s="3">
        <f t="shared" si="9"/>
        <v>8510</v>
      </c>
      <c r="BJ11" s="18">
        <v>4</v>
      </c>
      <c r="BK11" s="18">
        <v>9</v>
      </c>
      <c r="BL11" s="15">
        <v>19</v>
      </c>
      <c r="BM11" t="s">
        <v>162</v>
      </c>
      <c r="BN11">
        <v>8455</v>
      </c>
      <c r="BO11" t="s">
        <v>171</v>
      </c>
    </row>
    <row r="12" spans="1:67" x14ac:dyDescent="0.4">
      <c r="A12" s="38">
        <v>9</v>
      </c>
      <c r="B12" s="3" t="s">
        <v>73</v>
      </c>
      <c r="C12" s="3" t="str">
        <f t="shared" si="3"/>
        <v>J631MC</v>
      </c>
      <c r="D12" s="3" t="s">
        <v>73</v>
      </c>
      <c r="E12" s="3" t="s">
        <v>122</v>
      </c>
      <c r="F12" s="4">
        <v>4977932193345</v>
      </c>
      <c r="G12" s="4"/>
      <c r="H12" s="4"/>
      <c r="I12" s="4">
        <v>1</v>
      </c>
      <c r="J12" s="4">
        <v>1</v>
      </c>
      <c r="K12" s="3">
        <v>9164</v>
      </c>
      <c r="L12" s="3">
        <v>7759</v>
      </c>
      <c r="M12" s="3">
        <v>6362</v>
      </c>
      <c r="N12" s="5">
        <f t="shared" si="0"/>
        <v>0.18004897538342568</v>
      </c>
      <c r="O12" s="3" t="s">
        <v>163</v>
      </c>
      <c r="P12" s="3"/>
      <c r="Q12" s="3"/>
      <c r="R12" s="3"/>
      <c r="S12" s="3"/>
      <c r="T12" s="3"/>
      <c r="U12" s="3"/>
      <c r="V12" s="3"/>
      <c r="W12" s="3"/>
      <c r="X12" s="3">
        <v>12100</v>
      </c>
      <c r="Y12" s="3">
        <f t="shared" si="4"/>
        <v>12100</v>
      </c>
      <c r="Z12" s="3">
        <v>7637</v>
      </c>
      <c r="AA12" s="3">
        <f t="shared" si="5"/>
        <v>7637</v>
      </c>
      <c r="AB12" s="3"/>
      <c r="AC12" s="20">
        <f>ROUND(L12*AR12,0)</f>
        <v>9314</v>
      </c>
      <c r="AD12" s="5">
        <f t="shared" si="8"/>
        <v>0.18005153532316942</v>
      </c>
      <c r="AE12" s="32">
        <v>0</v>
      </c>
      <c r="AF12" s="3" t="str">
        <f t="shared" si="7"/>
        <v>-</v>
      </c>
      <c r="AG12" s="32" t="e">
        <f>AF12*AR12</f>
        <v>#VALUE!</v>
      </c>
      <c r="AH12" s="5" t="e">
        <f>1-AA12/AG12</f>
        <v>#VALUE!</v>
      </c>
      <c r="AI12" s="32">
        <f>ROUND(AA12/0.7,0)</f>
        <v>10910</v>
      </c>
      <c r="AJ12" s="6">
        <v>10500</v>
      </c>
      <c r="AK12" s="5">
        <f>1-AA12/AJ12</f>
        <v>0.27266666666666661</v>
      </c>
      <c r="AL12" s="3">
        <f>AJ12-AA12</f>
        <v>2863</v>
      </c>
      <c r="AM12" s="27"/>
      <c r="AN12" s="5"/>
      <c r="AO12" s="5"/>
      <c r="AP12" s="5">
        <f>Y12/K12</f>
        <v>1.3203841117415975</v>
      </c>
      <c r="AQ12" s="5">
        <f>AJ12/L12</f>
        <v>1.3532671736048461</v>
      </c>
      <c r="AR12" s="5">
        <f>AA12/M12</f>
        <v>1.2004086765168187</v>
      </c>
      <c r="AS12" s="3"/>
      <c r="AT12" s="3"/>
      <c r="AU12" s="3"/>
      <c r="AV12" s="3"/>
      <c r="AW12" s="3"/>
      <c r="AX12" s="3"/>
      <c r="AY12" s="3"/>
      <c r="AZ12" s="3"/>
      <c r="BA12" s="3"/>
      <c r="BB12" s="3">
        <v>0</v>
      </c>
      <c r="BC12" s="3" t="s">
        <v>162</v>
      </c>
      <c r="BD12" s="3"/>
      <c r="BE12" s="3"/>
      <c r="BF12" s="3" t="s">
        <v>162</v>
      </c>
      <c r="BG12" s="3" t="s">
        <v>162</v>
      </c>
      <c r="BH12" s="3" t="s">
        <v>162</v>
      </c>
      <c r="BI12" s="3" t="str">
        <f t="shared" si="9"/>
        <v>-</v>
      </c>
      <c r="BJ12" s="18">
        <v>4</v>
      </c>
      <c r="BK12" s="18">
        <v>9</v>
      </c>
      <c r="BL12" s="15">
        <v>19</v>
      </c>
      <c r="BM12" t="s">
        <v>162</v>
      </c>
      <c r="BN12">
        <v>9025</v>
      </c>
      <c r="BO12" t="s">
        <v>162</v>
      </c>
    </row>
    <row r="13" spans="1:67" x14ac:dyDescent="0.4">
      <c r="A13" s="38">
        <v>10</v>
      </c>
      <c r="B13" s="3" t="s">
        <v>74</v>
      </c>
      <c r="C13" s="3" t="str">
        <f t="shared" si="3"/>
        <v>J632MC</v>
      </c>
      <c r="D13" s="3" t="s">
        <v>74</v>
      </c>
      <c r="E13" s="3" t="s">
        <v>123</v>
      </c>
      <c r="F13" s="4">
        <v>4977932193352</v>
      </c>
      <c r="G13" s="4"/>
      <c r="H13" s="4"/>
      <c r="I13" s="4">
        <v>1</v>
      </c>
      <c r="J13" s="4">
        <v>1</v>
      </c>
      <c r="K13" s="3">
        <v>11128</v>
      </c>
      <c r="L13" s="3">
        <v>10042</v>
      </c>
      <c r="M13" s="3">
        <v>7548</v>
      </c>
      <c r="N13" s="5">
        <f t="shared" si="0"/>
        <v>0.24835690101573393</v>
      </c>
      <c r="O13" s="3" t="s">
        <v>163</v>
      </c>
      <c r="P13" s="3"/>
      <c r="Q13" s="3"/>
      <c r="R13" s="3"/>
      <c r="S13" s="3"/>
      <c r="T13" s="3"/>
      <c r="U13" s="3"/>
      <c r="V13" s="3"/>
      <c r="W13" s="3"/>
      <c r="X13" s="3">
        <v>14690</v>
      </c>
      <c r="Y13" s="3">
        <f t="shared" si="4"/>
        <v>14690</v>
      </c>
      <c r="Z13" s="3">
        <v>9059</v>
      </c>
      <c r="AA13" s="3">
        <f t="shared" si="5"/>
        <v>9059</v>
      </c>
      <c r="AB13" s="3"/>
      <c r="AC13" s="20">
        <f>ROUND(L13*AR13,0)</f>
        <v>12052</v>
      </c>
      <c r="AD13" s="5">
        <f t="shared" si="8"/>
        <v>0.24834052439429144</v>
      </c>
      <c r="AE13" s="32">
        <v>0</v>
      </c>
      <c r="AF13" s="3">
        <f t="shared" si="7"/>
        <v>12860</v>
      </c>
      <c r="AG13" s="32">
        <f>AF13*AR13</f>
        <v>15434.385267620561</v>
      </c>
      <c r="AH13" s="5">
        <f>1-AA13/AG13</f>
        <v>0.41306376360808705</v>
      </c>
      <c r="AI13" s="32">
        <f>ROUND(AA13/0.7,0)</f>
        <v>12941</v>
      </c>
      <c r="AJ13" s="6">
        <v>12800</v>
      </c>
      <c r="AK13" s="5">
        <f>1-AA13/AJ13</f>
        <v>0.29226562499999997</v>
      </c>
      <c r="AL13" s="3">
        <f>AJ13-AA13</f>
        <v>3741</v>
      </c>
      <c r="AM13" s="27"/>
      <c r="AN13" s="5"/>
      <c r="AO13" s="5"/>
      <c r="AP13" s="5">
        <f>Y13/K13</f>
        <v>1.3200934579439252</v>
      </c>
      <c r="AQ13" s="5">
        <f>AJ13/L13</f>
        <v>1.2746464847639913</v>
      </c>
      <c r="AR13" s="5">
        <f>AA13/M13</f>
        <v>1.2001854795972442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0</v>
      </c>
      <c r="BC13" s="3" t="s">
        <v>217</v>
      </c>
      <c r="BD13" s="3"/>
      <c r="BE13" s="3"/>
      <c r="BF13" s="3" t="s">
        <v>209</v>
      </c>
      <c r="BG13" s="3">
        <v>12860</v>
      </c>
      <c r="BH13" s="3">
        <v>12860</v>
      </c>
      <c r="BI13" s="3">
        <f t="shared" si="9"/>
        <v>12860</v>
      </c>
      <c r="BJ13" s="18">
        <v>4</v>
      </c>
      <c r="BK13" s="18">
        <v>9</v>
      </c>
      <c r="BL13" s="15">
        <v>19</v>
      </c>
      <c r="BM13" t="s">
        <v>162</v>
      </c>
      <c r="BN13">
        <v>10925</v>
      </c>
      <c r="BO13" t="s">
        <v>172</v>
      </c>
    </row>
    <row r="14" spans="1:67" x14ac:dyDescent="0.4">
      <c r="A14" s="38">
        <v>11</v>
      </c>
      <c r="B14" s="3" t="s">
        <v>75</v>
      </c>
      <c r="C14" s="3" t="str">
        <f t="shared" ref="C14:C22" si="10">TEXT(B14,"000000")</f>
        <v>J633MC</v>
      </c>
      <c r="D14" s="3" t="s">
        <v>75</v>
      </c>
      <c r="E14" s="3" t="s">
        <v>124</v>
      </c>
      <c r="F14" s="4">
        <v>4977932193369</v>
      </c>
      <c r="G14" s="4"/>
      <c r="H14" s="4"/>
      <c r="I14" s="4">
        <v>1</v>
      </c>
      <c r="J14" s="4">
        <v>1</v>
      </c>
      <c r="K14" s="3">
        <v>22537</v>
      </c>
      <c r="L14" s="3">
        <v>19776</v>
      </c>
      <c r="M14" s="3">
        <v>15057</v>
      </c>
      <c r="N14" s="5">
        <f t="shared" ref="N14:N22" si="11">1-M14/L14</f>
        <v>0.23862257281553401</v>
      </c>
      <c r="O14" s="3" t="s">
        <v>163</v>
      </c>
      <c r="P14" s="3"/>
      <c r="Q14" s="3"/>
      <c r="R14" s="3"/>
      <c r="S14" s="3"/>
      <c r="T14" s="3"/>
      <c r="U14" s="3"/>
      <c r="V14" s="3"/>
      <c r="W14" s="3"/>
      <c r="X14" s="3">
        <v>29750</v>
      </c>
      <c r="Y14" s="3">
        <f t="shared" ref="Y14:Y22" si="12">IF(AB14="",X14,X14*AB14)</f>
        <v>29750</v>
      </c>
      <c r="Z14" s="3">
        <v>18070</v>
      </c>
      <c r="AA14" s="3">
        <f t="shared" ref="AA14:AA22" si="13">IF(AB14="",Z14,Z14*AB14)</f>
        <v>18070</v>
      </c>
      <c r="AB14" s="3"/>
      <c r="AC14" s="20">
        <f>ROUND(L14*AR14,0)</f>
        <v>23733</v>
      </c>
      <c r="AD14" s="5">
        <f t="shared" ref="AD14:AD22" si="14">1-AA14/AC14</f>
        <v>0.23861290186659923</v>
      </c>
      <c r="AE14" s="32">
        <v>0</v>
      </c>
      <c r="AF14" s="3">
        <f t="shared" ref="AF14:AF22" si="15">BI14</f>
        <v>26790</v>
      </c>
      <c r="AG14" s="32">
        <f>AF14*AR14</f>
        <v>32150.846782227538</v>
      </c>
      <c r="AH14" s="5">
        <f>1-AA14/AG14</f>
        <v>0.43796192609182538</v>
      </c>
      <c r="AI14" s="32">
        <f>ROUND(AA14/0.7,0)</f>
        <v>25814</v>
      </c>
      <c r="AJ14" s="6">
        <v>24800</v>
      </c>
      <c r="AK14" s="5">
        <f>1-AA14/AJ14</f>
        <v>0.27137096774193548</v>
      </c>
      <c r="AL14" s="3">
        <f>AJ14-AA14</f>
        <v>6730</v>
      </c>
      <c r="AM14" s="27"/>
      <c r="AN14" s="5"/>
      <c r="AO14" s="5"/>
      <c r="AP14" s="5">
        <f>Y14/K14</f>
        <v>1.3200514709144962</v>
      </c>
      <c r="AQ14" s="5">
        <f>AJ14/L14</f>
        <v>1.2540453074433657</v>
      </c>
      <c r="AR14" s="5">
        <f>AA14/M14</f>
        <v>1.2001062628677692</v>
      </c>
      <c r="AS14" s="3"/>
      <c r="AT14" s="3"/>
      <c r="AU14" s="3"/>
      <c r="AV14" s="3"/>
      <c r="AW14" s="3"/>
      <c r="AX14" s="3"/>
      <c r="AY14" s="3"/>
      <c r="AZ14" s="3"/>
      <c r="BA14" s="3"/>
      <c r="BB14" s="3">
        <v>0</v>
      </c>
      <c r="BC14" s="3" t="s">
        <v>218</v>
      </c>
      <c r="BD14" s="3"/>
      <c r="BE14" s="3"/>
      <c r="BF14" s="3" t="s">
        <v>219</v>
      </c>
      <c r="BG14" s="3">
        <v>26790</v>
      </c>
      <c r="BH14" s="3">
        <v>26790</v>
      </c>
      <c r="BI14" s="3">
        <f t="shared" ref="BI14:BI22" si="16">IF(BD14="",BH14,BD14/BE14*BH14)</f>
        <v>26790</v>
      </c>
      <c r="BJ14" s="18">
        <v>4</v>
      </c>
      <c r="BK14" s="18">
        <v>9</v>
      </c>
      <c r="BL14" s="15">
        <v>19</v>
      </c>
      <c r="BM14" t="s">
        <v>162</v>
      </c>
      <c r="BN14">
        <v>28673</v>
      </c>
      <c r="BO14" t="s">
        <v>173</v>
      </c>
    </row>
    <row r="15" spans="1:67" x14ac:dyDescent="0.4">
      <c r="A15" s="38">
        <v>12</v>
      </c>
      <c r="B15" s="3" t="s">
        <v>76</v>
      </c>
      <c r="C15" s="3" t="str">
        <f t="shared" si="10"/>
        <v>J635MC</v>
      </c>
      <c r="D15" s="3" t="s">
        <v>76</v>
      </c>
      <c r="E15" s="3" t="s">
        <v>125</v>
      </c>
      <c r="F15" s="4">
        <v>4977932193390</v>
      </c>
      <c r="G15" s="4"/>
      <c r="H15" s="4"/>
      <c r="I15" s="4">
        <v>1</v>
      </c>
      <c r="J15" s="4">
        <v>1</v>
      </c>
      <c r="K15" s="3">
        <v>36928</v>
      </c>
      <c r="L15" s="3">
        <v>31677</v>
      </c>
      <c r="M15" s="3">
        <v>24146</v>
      </c>
      <c r="N15" s="5">
        <f t="shared" si="11"/>
        <v>0.23774347318243516</v>
      </c>
      <c r="O15" s="3" t="s">
        <v>163</v>
      </c>
      <c r="P15" s="3"/>
      <c r="Q15" s="3"/>
      <c r="R15" s="3"/>
      <c r="S15" s="3"/>
      <c r="T15" s="3"/>
      <c r="U15" s="3"/>
      <c r="V15" s="3"/>
      <c r="W15" s="3"/>
      <c r="X15" s="3">
        <v>48750</v>
      </c>
      <c r="Y15" s="3">
        <f t="shared" si="12"/>
        <v>48750</v>
      </c>
      <c r="Z15" s="3">
        <v>28979</v>
      </c>
      <c r="AA15" s="3">
        <f t="shared" si="13"/>
        <v>28979</v>
      </c>
      <c r="AB15" s="3"/>
      <c r="AC15" s="20">
        <f>ROUND(L15*AR15,0)</f>
        <v>38017</v>
      </c>
      <c r="AD15" s="5">
        <f t="shared" si="14"/>
        <v>0.23773574979614387</v>
      </c>
      <c r="AE15" s="32">
        <v>0</v>
      </c>
      <c r="AF15" s="3" t="str">
        <f t="shared" si="15"/>
        <v>-</v>
      </c>
      <c r="AG15" s="32" t="e">
        <f>AF15*AR15</f>
        <v>#VALUE!</v>
      </c>
      <c r="AH15" s="5" t="e">
        <f>1-AA15/AG15</f>
        <v>#VALUE!</v>
      </c>
      <c r="AI15" s="32">
        <f>ROUND(AA15/0.7,0)</f>
        <v>41399</v>
      </c>
      <c r="AJ15" s="6">
        <v>39800</v>
      </c>
      <c r="AK15" s="5">
        <f>1-AA15/AJ15</f>
        <v>0.27188442211055275</v>
      </c>
      <c r="AL15" s="3">
        <f>AJ15-AA15</f>
        <v>10821</v>
      </c>
      <c r="AM15" s="27"/>
      <c r="AN15" s="5"/>
      <c r="AO15" s="5"/>
      <c r="AP15" s="5">
        <f>Y15/K15</f>
        <v>1.3201364818024264</v>
      </c>
      <c r="AQ15" s="5">
        <f>AJ15/L15</f>
        <v>1.2564321116267323</v>
      </c>
      <c r="AR15" s="5">
        <f>AA15/M15</f>
        <v>1.2001573759628925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0</v>
      </c>
      <c r="BC15" s="3" t="s">
        <v>162</v>
      </c>
      <c r="BD15" s="3"/>
      <c r="BE15" s="3"/>
      <c r="BF15" s="3" t="s">
        <v>162</v>
      </c>
      <c r="BG15" s="3" t="s">
        <v>162</v>
      </c>
      <c r="BH15" s="3" t="s">
        <v>162</v>
      </c>
      <c r="BI15" s="3" t="str">
        <f t="shared" si="16"/>
        <v>-</v>
      </c>
      <c r="BJ15" s="18">
        <v>4</v>
      </c>
      <c r="BK15" s="18">
        <v>9</v>
      </c>
      <c r="BL15" s="15">
        <v>19</v>
      </c>
      <c r="BM15" t="s">
        <v>162</v>
      </c>
      <c r="BN15">
        <v>50730</v>
      </c>
      <c r="BO15" t="s">
        <v>162</v>
      </c>
    </row>
    <row r="16" spans="1:67" x14ac:dyDescent="0.4">
      <c r="A16" s="38">
        <v>13</v>
      </c>
      <c r="B16" s="3" t="s">
        <v>77</v>
      </c>
      <c r="C16" s="3" t="str">
        <f t="shared" si="10"/>
        <v>J634MC</v>
      </c>
      <c r="D16" s="3" t="s">
        <v>77</v>
      </c>
      <c r="E16" s="3" t="s">
        <v>126</v>
      </c>
      <c r="F16" s="4">
        <v>4977932193376</v>
      </c>
      <c r="G16" s="4"/>
      <c r="H16" s="4"/>
      <c r="I16" s="4">
        <v>1</v>
      </c>
      <c r="J16" s="4">
        <v>1</v>
      </c>
      <c r="K16" s="3">
        <v>23782</v>
      </c>
      <c r="L16" s="3">
        <v>19929</v>
      </c>
      <c r="M16" s="3">
        <v>15847</v>
      </c>
      <c r="N16" s="5">
        <f t="shared" si="11"/>
        <v>0.20482713633398564</v>
      </c>
      <c r="O16" s="3" t="s">
        <v>163</v>
      </c>
      <c r="P16" s="3"/>
      <c r="Q16" s="3"/>
      <c r="R16" s="3"/>
      <c r="S16" s="3"/>
      <c r="T16" s="3"/>
      <c r="U16" s="3"/>
      <c r="V16" s="3"/>
      <c r="W16" s="3"/>
      <c r="X16" s="3">
        <v>31400</v>
      </c>
      <c r="Y16" s="3">
        <f t="shared" si="12"/>
        <v>31400</v>
      </c>
      <c r="Z16" s="3">
        <v>19021</v>
      </c>
      <c r="AA16" s="3">
        <f t="shared" si="13"/>
        <v>19021</v>
      </c>
      <c r="AB16" s="3"/>
      <c r="AC16" s="20">
        <f>ROUND(L16*AR16,0)</f>
        <v>23921</v>
      </c>
      <c r="AD16" s="5">
        <f t="shared" si="14"/>
        <v>0.20484093474353082</v>
      </c>
      <c r="AE16" s="32">
        <v>0</v>
      </c>
      <c r="AF16" s="3">
        <f t="shared" si="15"/>
        <v>29539</v>
      </c>
      <c r="AG16" s="32">
        <f>AF16*AR16</f>
        <v>35455.374455732941</v>
      </c>
      <c r="AH16" s="5">
        <f>1-AA16/AG16</f>
        <v>0.46352280036561821</v>
      </c>
      <c r="AI16" s="32">
        <f>ROUND(AA16/0.7,0)</f>
        <v>27173</v>
      </c>
      <c r="AJ16" s="6">
        <v>25800</v>
      </c>
      <c r="AK16" s="5">
        <f>1-AA16/AJ16</f>
        <v>0.26275193798449614</v>
      </c>
      <c r="AL16" s="3">
        <f>AJ16-AA16</f>
        <v>6779</v>
      </c>
      <c r="AM16" s="27"/>
      <c r="AN16" s="5"/>
      <c r="AO16" s="5"/>
      <c r="AP16" s="5">
        <f>Y16/K16</f>
        <v>1.3203262971995626</v>
      </c>
      <c r="AQ16" s="5">
        <f>AJ16/L16</f>
        <v>1.2945958151437604</v>
      </c>
      <c r="AR16" s="5">
        <f>AA16/M16</f>
        <v>1.2002902757619738</v>
      </c>
      <c r="AS16" s="3"/>
      <c r="AT16" s="3"/>
      <c r="AU16" s="3"/>
      <c r="AV16" s="3"/>
      <c r="AW16" s="3"/>
      <c r="AX16" s="3"/>
      <c r="AY16" s="3"/>
      <c r="AZ16" s="3"/>
      <c r="BA16" s="3"/>
      <c r="BB16" s="3">
        <v>0</v>
      </c>
      <c r="BC16" s="3" t="s">
        <v>220</v>
      </c>
      <c r="BD16" s="3"/>
      <c r="BE16" s="3"/>
      <c r="BF16" s="3" t="s">
        <v>209</v>
      </c>
      <c r="BG16" s="3">
        <v>29539</v>
      </c>
      <c r="BH16" s="3">
        <v>29539</v>
      </c>
      <c r="BI16" s="3">
        <f t="shared" si="16"/>
        <v>29539</v>
      </c>
      <c r="BJ16" s="18">
        <v>4</v>
      </c>
      <c r="BK16" s="18">
        <v>9</v>
      </c>
      <c r="BL16" s="15">
        <v>19</v>
      </c>
      <c r="BM16" t="s">
        <v>162</v>
      </c>
      <c r="BN16">
        <v>23370</v>
      </c>
      <c r="BO16" t="s">
        <v>174</v>
      </c>
    </row>
    <row r="17" spans="1:67" x14ac:dyDescent="0.4">
      <c r="A17" s="38">
        <v>14</v>
      </c>
      <c r="B17" s="3" t="s">
        <v>78</v>
      </c>
      <c r="C17" s="3" t="str">
        <f t="shared" si="10"/>
        <v>J637MC</v>
      </c>
      <c r="D17" s="3" t="s">
        <v>78</v>
      </c>
      <c r="E17" s="3" t="s">
        <v>127</v>
      </c>
      <c r="F17" s="4">
        <v>4977932193291</v>
      </c>
      <c r="G17" s="4"/>
      <c r="H17" s="4"/>
      <c r="I17" s="4">
        <v>1</v>
      </c>
      <c r="J17" s="4">
        <v>1</v>
      </c>
      <c r="K17" s="3">
        <v>28164</v>
      </c>
      <c r="L17" s="3">
        <v>23813</v>
      </c>
      <c r="M17" s="3">
        <v>18614</v>
      </c>
      <c r="N17" s="5">
        <f t="shared" si="11"/>
        <v>0.21832612438583965</v>
      </c>
      <c r="O17" s="3" t="s">
        <v>163</v>
      </c>
      <c r="P17" s="3"/>
      <c r="Q17" s="3"/>
      <c r="R17" s="3"/>
      <c r="S17" s="3"/>
      <c r="T17" s="3"/>
      <c r="U17" s="3"/>
      <c r="V17" s="3"/>
      <c r="W17" s="3"/>
      <c r="X17" s="3">
        <v>37180</v>
      </c>
      <c r="Y17" s="3">
        <f t="shared" si="12"/>
        <v>37180</v>
      </c>
      <c r="Z17" s="3">
        <v>22339</v>
      </c>
      <c r="AA17" s="3">
        <f t="shared" si="13"/>
        <v>22339</v>
      </c>
      <c r="AB17" s="3"/>
      <c r="AC17" s="20">
        <f>ROUND(L17*AR17,0)</f>
        <v>28578</v>
      </c>
      <c r="AD17" s="5">
        <f t="shared" si="14"/>
        <v>0.21831478759885226</v>
      </c>
      <c r="AE17" s="32">
        <v>0</v>
      </c>
      <c r="AF17" s="3">
        <f t="shared" si="15"/>
        <v>32536</v>
      </c>
      <c r="AG17" s="32">
        <f>AF17*AR17</f>
        <v>39047.045449661542</v>
      </c>
      <c r="AH17" s="5">
        <f>1-AA17/AG17</f>
        <v>0.42789525448733701</v>
      </c>
      <c r="AI17" s="32">
        <f>ROUND(AA17/0.7,0)</f>
        <v>31913</v>
      </c>
      <c r="AJ17" s="6">
        <v>29800</v>
      </c>
      <c r="AK17" s="5">
        <f>1-AA17/AJ17</f>
        <v>0.25036912751677853</v>
      </c>
      <c r="AL17" s="3">
        <f>AJ17-AA17</f>
        <v>7461</v>
      </c>
      <c r="AM17" s="27"/>
      <c r="AN17" s="5"/>
      <c r="AO17" s="5"/>
      <c r="AP17" s="5">
        <f>Y17/K17</f>
        <v>1.3201249822468399</v>
      </c>
      <c r="AQ17" s="5">
        <f>AJ17/L17</f>
        <v>1.251417293075211</v>
      </c>
      <c r="AR17" s="5">
        <f>AA17/M17</f>
        <v>1.2001181906092189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0</v>
      </c>
      <c r="BC17" s="3" t="s">
        <v>221</v>
      </c>
      <c r="BD17" s="3"/>
      <c r="BE17" s="3"/>
      <c r="BF17" s="3" t="s">
        <v>209</v>
      </c>
      <c r="BG17" s="3">
        <v>32536</v>
      </c>
      <c r="BH17" s="3">
        <v>32536</v>
      </c>
      <c r="BI17" s="3">
        <f t="shared" si="16"/>
        <v>32536</v>
      </c>
      <c r="BJ17" s="18">
        <v>4</v>
      </c>
      <c r="BK17" s="18">
        <v>9</v>
      </c>
      <c r="BL17" s="15">
        <v>19</v>
      </c>
      <c r="BM17">
        <v>34067</v>
      </c>
      <c r="BN17">
        <v>27788</v>
      </c>
      <c r="BO17" t="s">
        <v>175</v>
      </c>
    </row>
    <row r="18" spans="1:67" x14ac:dyDescent="0.4">
      <c r="A18" s="38">
        <v>15</v>
      </c>
      <c r="B18" s="3" t="s">
        <v>79</v>
      </c>
      <c r="C18" s="3" t="str">
        <f t="shared" si="10"/>
        <v>J636MC</v>
      </c>
      <c r="D18" s="3" t="s">
        <v>79</v>
      </c>
      <c r="E18" s="3" t="s">
        <v>128</v>
      </c>
      <c r="F18" s="4">
        <v>4977932193406</v>
      </c>
      <c r="G18" s="4"/>
      <c r="H18" s="4"/>
      <c r="I18" s="4">
        <v>1</v>
      </c>
      <c r="J18" s="4">
        <v>1</v>
      </c>
      <c r="K18" s="3">
        <v>48200</v>
      </c>
      <c r="L18" s="3">
        <v>41030</v>
      </c>
      <c r="M18" s="3">
        <v>31468</v>
      </c>
      <c r="N18" s="5">
        <f t="shared" si="11"/>
        <v>0.23304898854496714</v>
      </c>
      <c r="O18" s="3" t="s">
        <v>163</v>
      </c>
      <c r="P18" s="3"/>
      <c r="Q18" s="3"/>
      <c r="R18" s="3"/>
      <c r="S18" s="3"/>
      <c r="T18" s="3"/>
      <c r="U18" s="3"/>
      <c r="V18" s="3"/>
      <c r="W18" s="3"/>
      <c r="X18" s="3">
        <v>63630</v>
      </c>
      <c r="Y18" s="3">
        <f t="shared" si="12"/>
        <v>63630</v>
      </c>
      <c r="Z18" s="3">
        <v>37765</v>
      </c>
      <c r="AA18" s="3">
        <f t="shared" si="13"/>
        <v>37765</v>
      </c>
      <c r="AB18" s="3"/>
      <c r="AC18" s="20">
        <f>ROUND(L18*AR18,0)</f>
        <v>49240</v>
      </c>
      <c r="AD18" s="5">
        <f t="shared" si="14"/>
        <v>0.23304224207961011</v>
      </c>
      <c r="AE18" s="32">
        <v>0</v>
      </c>
      <c r="AF18" s="3">
        <f t="shared" si="15"/>
        <v>43358</v>
      </c>
      <c r="AG18" s="32">
        <f>AF18*AR18</f>
        <v>52034.284670141096</v>
      </c>
      <c r="AH18" s="5">
        <f>1-AA18/AG18</f>
        <v>0.27422851607546472</v>
      </c>
      <c r="AI18" s="32">
        <f>ROUND(AA18/0.7,0)</f>
        <v>53950</v>
      </c>
      <c r="AJ18" s="6">
        <v>51800</v>
      </c>
      <c r="AK18" s="5">
        <f>1-AA18/AJ18</f>
        <v>0.2709459459459459</v>
      </c>
      <c r="AL18" s="3">
        <f>AJ18-AA18</f>
        <v>14035</v>
      </c>
      <c r="AM18" s="27"/>
      <c r="AN18" s="5"/>
      <c r="AO18" s="5"/>
      <c r="AP18" s="5">
        <f>Y18/K18</f>
        <v>1.3201244813278008</v>
      </c>
      <c r="AQ18" s="5">
        <f>AJ18/L18</f>
        <v>1.2624908603460883</v>
      </c>
      <c r="AR18" s="5">
        <f>AA18/M18</f>
        <v>1.200108046269226</v>
      </c>
      <c r="AS18" s="3"/>
      <c r="AT18" s="3"/>
      <c r="AU18" s="3"/>
      <c r="AV18" s="3"/>
      <c r="AW18" s="3"/>
      <c r="AX18" s="3"/>
      <c r="AY18" s="3"/>
      <c r="AZ18" s="3"/>
      <c r="BA18" s="3"/>
      <c r="BB18" s="3">
        <v>0</v>
      </c>
      <c r="BC18" s="3" t="s">
        <v>222</v>
      </c>
      <c r="BD18" s="3"/>
      <c r="BE18" s="3"/>
      <c r="BF18" s="3" t="s">
        <v>209</v>
      </c>
      <c r="BG18" s="3">
        <v>43358</v>
      </c>
      <c r="BH18" s="3">
        <v>43358</v>
      </c>
      <c r="BI18" s="3">
        <f t="shared" si="16"/>
        <v>43358</v>
      </c>
      <c r="BJ18" s="18">
        <v>4</v>
      </c>
      <c r="BK18" s="18">
        <v>9</v>
      </c>
      <c r="BL18" s="15">
        <v>19</v>
      </c>
      <c r="BM18" t="s">
        <v>162</v>
      </c>
      <c r="BN18">
        <v>47215</v>
      </c>
      <c r="BO18" t="s">
        <v>176</v>
      </c>
    </row>
    <row r="19" spans="1:67" x14ac:dyDescent="0.4">
      <c r="A19" s="38">
        <v>16</v>
      </c>
      <c r="B19" s="3" t="s">
        <v>80</v>
      </c>
      <c r="C19" s="3" t="str">
        <f t="shared" si="10"/>
        <v>J638MC</v>
      </c>
      <c r="D19" s="3" t="s">
        <v>80</v>
      </c>
      <c r="E19" s="3" t="s">
        <v>129</v>
      </c>
      <c r="F19" s="4">
        <v>4977932193314</v>
      </c>
      <c r="G19" s="4"/>
      <c r="H19" s="4"/>
      <c r="I19" s="4">
        <v>1</v>
      </c>
      <c r="J19" s="4">
        <v>1</v>
      </c>
      <c r="K19" s="3">
        <v>21282</v>
      </c>
      <c r="L19" s="3">
        <v>19029</v>
      </c>
      <c r="M19" s="3">
        <v>14266</v>
      </c>
      <c r="N19" s="5">
        <f t="shared" si="11"/>
        <v>0.25030217037153812</v>
      </c>
      <c r="O19" s="3" t="s">
        <v>163</v>
      </c>
      <c r="P19" s="3"/>
      <c r="Q19" s="3"/>
      <c r="R19" s="3"/>
      <c r="S19" s="3"/>
      <c r="T19" s="3"/>
      <c r="U19" s="3"/>
      <c r="V19" s="3"/>
      <c r="W19" s="3"/>
      <c r="X19" s="3">
        <v>28100</v>
      </c>
      <c r="Y19" s="3">
        <f t="shared" si="12"/>
        <v>28100</v>
      </c>
      <c r="Z19" s="3">
        <v>17124</v>
      </c>
      <c r="AA19" s="3">
        <f t="shared" si="13"/>
        <v>17124</v>
      </c>
      <c r="AB19" s="3"/>
      <c r="AC19" s="20">
        <f>ROUND(L19*AR19,0)</f>
        <v>22841</v>
      </c>
      <c r="AD19" s="5">
        <f t="shared" si="14"/>
        <v>0.25029552121185583</v>
      </c>
      <c r="AE19" s="32">
        <v>0</v>
      </c>
      <c r="AF19" s="3">
        <f t="shared" si="15"/>
        <v>19855.5</v>
      </c>
      <c r="AG19" s="32">
        <f>AF19*AR19</f>
        <v>23833.280667320902</v>
      </c>
      <c r="AH19" s="5">
        <f>1-AA19/AG19</f>
        <v>0.28150890181561783</v>
      </c>
      <c r="AI19" s="32">
        <f>ROUND(AA19/0.7,0)</f>
        <v>24463</v>
      </c>
      <c r="AJ19" s="6">
        <v>23800</v>
      </c>
      <c r="AK19" s="5">
        <f>1-AA19/AJ19</f>
        <v>0.28050420168067225</v>
      </c>
      <c r="AL19" s="3">
        <f>AJ19-AA19</f>
        <v>6676</v>
      </c>
      <c r="AM19" s="27"/>
      <c r="AN19" s="5"/>
      <c r="AO19" s="5"/>
      <c r="AP19" s="5">
        <f>Y19/K19</f>
        <v>1.3203646273846443</v>
      </c>
      <c r="AQ19" s="5">
        <f>AJ19/L19</f>
        <v>1.2507225813232434</v>
      </c>
      <c r="AR19" s="5">
        <f>AA19/M19</f>
        <v>1.2003364643207626</v>
      </c>
      <c r="AS19" s="3"/>
      <c r="AT19" s="3"/>
      <c r="AU19" s="3"/>
      <c r="AV19" s="3"/>
      <c r="AW19" s="3"/>
      <c r="AX19" s="3"/>
      <c r="AY19" s="3"/>
      <c r="AZ19" s="3"/>
      <c r="BA19" s="3"/>
      <c r="BB19" s="3">
        <v>0</v>
      </c>
      <c r="BC19" s="3" t="s">
        <v>223</v>
      </c>
      <c r="BD19" s="3">
        <v>1</v>
      </c>
      <c r="BE19" s="3">
        <v>2</v>
      </c>
      <c r="BF19" s="3" t="s">
        <v>224</v>
      </c>
      <c r="BG19" s="3">
        <v>39711</v>
      </c>
      <c r="BH19" s="3">
        <v>39711</v>
      </c>
      <c r="BI19" s="3">
        <f t="shared" si="16"/>
        <v>19855.5</v>
      </c>
      <c r="BJ19" s="18">
        <v>4</v>
      </c>
      <c r="BK19" s="18">
        <v>9</v>
      </c>
      <c r="BL19" s="15">
        <v>19</v>
      </c>
      <c r="BM19">
        <v>26498</v>
      </c>
      <c r="BN19">
        <v>20900</v>
      </c>
      <c r="BO19" t="s">
        <v>177</v>
      </c>
    </row>
    <row r="20" spans="1:67" x14ac:dyDescent="0.4">
      <c r="A20" s="38">
        <v>17</v>
      </c>
      <c r="B20" s="3" t="s">
        <v>81</v>
      </c>
      <c r="C20" s="3" t="str">
        <f t="shared" si="10"/>
        <v>J639MC</v>
      </c>
      <c r="D20" s="3" t="s">
        <v>81</v>
      </c>
      <c r="E20" s="3" t="s">
        <v>130</v>
      </c>
      <c r="F20" s="4">
        <v>4977932193383</v>
      </c>
      <c r="G20" s="4"/>
      <c r="H20" s="4"/>
      <c r="I20" s="4">
        <v>1</v>
      </c>
      <c r="J20" s="4">
        <v>1</v>
      </c>
      <c r="K20" s="3">
        <v>27546</v>
      </c>
      <c r="L20" s="3">
        <v>26693</v>
      </c>
      <c r="M20" s="3">
        <v>18218</v>
      </c>
      <c r="N20" s="5">
        <f t="shared" si="11"/>
        <v>0.3174989697673547</v>
      </c>
      <c r="O20" s="3" t="s">
        <v>163</v>
      </c>
      <c r="P20" s="3"/>
      <c r="Q20" s="3"/>
      <c r="R20" s="3"/>
      <c r="S20" s="3"/>
      <c r="T20" s="3"/>
      <c r="U20" s="3"/>
      <c r="V20" s="3"/>
      <c r="W20" s="3"/>
      <c r="X20" s="3">
        <v>36360</v>
      </c>
      <c r="Y20" s="3">
        <f t="shared" si="12"/>
        <v>36360</v>
      </c>
      <c r="Z20" s="3">
        <v>21862</v>
      </c>
      <c r="AA20" s="3">
        <f t="shared" si="13"/>
        <v>21862</v>
      </c>
      <c r="AB20" s="3"/>
      <c r="AC20" s="20">
        <f>ROUND(L20*AR20,0)</f>
        <v>32032</v>
      </c>
      <c r="AD20" s="5">
        <f t="shared" si="14"/>
        <v>0.31749500499500505</v>
      </c>
      <c r="AE20" s="32">
        <v>0</v>
      </c>
      <c r="AF20" s="3">
        <f t="shared" si="15"/>
        <v>27484</v>
      </c>
      <c r="AG20" s="32">
        <f>AF20*AR20</f>
        <v>32981.40344714019</v>
      </c>
      <c r="AH20" s="5">
        <f>1-AA20/AG20</f>
        <v>0.33714160966380435</v>
      </c>
      <c r="AI20" s="32">
        <f>ROUND(AA20/0.7,0)</f>
        <v>31231</v>
      </c>
      <c r="AJ20" s="6">
        <v>31800</v>
      </c>
      <c r="AK20" s="5">
        <f>1-AA20/AJ20</f>
        <v>0.3125157232704403</v>
      </c>
      <c r="AL20" s="3">
        <f>AJ20-AA20</f>
        <v>9938</v>
      </c>
      <c r="AM20" s="27"/>
      <c r="AN20" s="5"/>
      <c r="AO20" s="5"/>
      <c r="AP20" s="5">
        <f>Y20/K20</f>
        <v>1.3199738619037247</v>
      </c>
      <c r="AQ20" s="5">
        <f>AJ20/L20</f>
        <v>1.191323567976623</v>
      </c>
      <c r="AR20" s="5">
        <f>AA20/M20</f>
        <v>1.2000219563069492</v>
      </c>
      <c r="AS20" s="3"/>
      <c r="AT20" s="3"/>
      <c r="AU20" s="3"/>
      <c r="AV20" s="3"/>
      <c r="AW20" s="3"/>
      <c r="AX20" s="3"/>
      <c r="AY20" s="3"/>
      <c r="AZ20" s="3"/>
      <c r="BA20" s="3"/>
      <c r="BB20" s="3">
        <v>0</v>
      </c>
      <c r="BC20" s="3" t="s">
        <v>225</v>
      </c>
      <c r="BD20" s="3"/>
      <c r="BE20" s="3"/>
      <c r="BF20" s="3" t="s">
        <v>209</v>
      </c>
      <c r="BG20" s="3">
        <v>27484</v>
      </c>
      <c r="BH20" s="3">
        <v>27484</v>
      </c>
      <c r="BI20" s="3">
        <f t="shared" si="16"/>
        <v>27484</v>
      </c>
      <c r="BJ20" s="18">
        <v>4</v>
      </c>
      <c r="BK20" s="18">
        <v>9</v>
      </c>
      <c r="BL20" s="15">
        <v>19</v>
      </c>
      <c r="BM20">
        <v>33488</v>
      </c>
      <c r="BN20">
        <v>26980</v>
      </c>
      <c r="BO20" t="s">
        <v>178</v>
      </c>
    </row>
    <row r="21" spans="1:67" x14ac:dyDescent="0.4">
      <c r="A21" s="38">
        <v>18</v>
      </c>
      <c r="B21" s="3" t="s">
        <v>82</v>
      </c>
      <c r="C21" s="3" t="str">
        <f t="shared" si="10"/>
        <v>J641MC</v>
      </c>
      <c r="D21" s="3" t="s">
        <v>82</v>
      </c>
      <c r="E21" s="3" t="s">
        <v>131</v>
      </c>
      <c r="F21" s="4">
        <v>4977932193307</v>
      </c>
      <c r="G21" s="4"/>
      <c r="H21" s="4"/>
      <c r="I21" s="4">
        <v>1</v>
      </c>
      <c r="J21" s="4">
        <v>1</v>
      </c>
      <c r="K21" s="3">
        <v>24410</v>
      </c>
      <c r="L21" s="3">
        <v>20970</v>
      </c>
      <c r="M21" s="3">
        <v>16242</v>
      </c>
      <c r="N21" s="5">
        <f t="shared" si="11"/>
        <v>0.22546494992846922</v>
      </c>
      <c r="O21" s="3" t="s">
        <v>163</v>
      </c>
      <c r="P21" s="3"/>
      <c r="Q21" s="3"/>
      <c r="R21" s="3"/>
      <c r="S21" s="3"/>
      <c r="T21" s="3"/>
      <c r="U21" s="3"/>
      <c r="V21" s="3"/>
      <c r="W21" s="3"/>
      <c r="X21" s="3">
        <v>32220</v>
      </c>
      <c r="Y21" s="3">
        <f t="shared" si="12"/>
        <v>32220</v>
      </c>
      <c r="Z21" s="3">
        <v>19490</v>
      </c>
      <c r="AA21" s="3">
        <f t="shared" si="13"/>
        <v>19490</v>
      </c>
      <c r="AB21" s="3"/>
      <c r="AC21" s="20">
        <f>ROUND(L21*AR21,0)</f>
        <v>25163</v>
      </c>
      <c r="AD21" s="5">
        <f t="shared" si="14"/>
        <v>0.2254500655724675</v>
      </c>
      <c r="AE21" s="32">
        <v>0</v>
      </c>
      <c r="AF21" s="3">
        <f t="shared" si="15"/>
        <v>27220</v>
      </c>
      <c r="AG21" s="32">
        <f>AF21*AR21</f>
        <v>32663.329639206993</v>
      </c>
      <c r="AH21" s="5">
        <f>1-AA21/AG21</f>
        <v>0.40330639235855992</v>
      </c>
      <c r="AI21" s="32">
        <f>ROUND(AA21/0.7,0)</f>
        <v>27843</v>
      </c>
      <c r="AJ21" s="6">
        <v>26800</v>
      </c>
      <c r="AK21" s="5">
        <f>1-AA21/AJ21</f>
        <v>0.27276119402985077</v>
      </c>
      <c r="AL21" s="3">
        <f>AJ21-AA21</f>
        <v>7310</v>
      </c>
      <c r="AM21" s="27"/>
      <c r="AN21" s="5"/>
      <c r="AO21" s="5"/>
      <c r="AP21" s="5">
        <f>Y21/K21</f>
        <v>1.3199508398197459</v>
      </c>
      <c r="AQ21" s="5">
        <f>AJ21/L21</f>
        <v>1.2780162136385311</v>
      </c>
      <c r="AR21" s="5">
        <f>AA21/M21</f>
        <v>1.1999753724910724</v>
      </c>
      <c r="AS21" s="3"/>
      <c r="AT21" s="3"/>
      <c r="AU21" s="3"/>
      <c r="AV21" s="3"/>
      <c r="AW21" s="3"/>
      <c r="AX21" s="3"/>
      <c r="AY21" s="3"/>
      <c r="AZ21" s="3"/>
      <c r="BA21" s="3"/>
      <c r="BB21" s="3">
        <v>0</v>
      </c>
      <c r="BC21" s="3" t="s">
        <v>226</v>
      </c>
      <c r="BD21" s="3"/>
      <c r="BE21" s="3"/>
      <c r="BF21" s="3" t="s">
        <v>219</v>
      </c>
      <c r="BG21" s="3">
        <v>27220</v>
      </c>
      <c r="BH21" s="3">
        <v>27220</v>
      </c>
      <c r="BI21" s="3">
        <f t="shared" si="16"/>
        <v>27220</v>
      </c>
      <c r="BJ21" s="18">
        <v>4</v>
      </c>
      <c r="BK21" s="18">
        <v>9</v>
      </c>
      <c r="BL21" s="15">
        <v>19</v>
      </c>
      <c r="BM21">
        <v>29994</v>
      </c>
      <c r="BN21">
        <v>23940</v>
      </c>
      <c r="BO21" t="s">
        <v>179</v>
      </c>
    </row>
    <row r="22" spans="1:67" x14ac:dyDescent="0.4">
      <c r="A22" s="38">
        <v>19</v>
      </c>
      <c r="B22" s="3" t="s">
        <v>83</v>
      </c>
      <c r="C22" s="3" t="str">
        <f t="shared" si="10"/>
        <v>J640MC</v>
      </c>
      <c r="D22" s="3" t="s">
        <v>83</v>
      </c>
      <c r="E22" s="3" t="s">
        <v>132</v>
      </c>
      <c r="F22" s="4">
        <v>4977932196353</v>
      </c>
      <c r="G22" s="4"/>
      <c r="H22" s="4"/>
      <c r="I22" s="4">
        <v>1</v>
      </c>
      <c r="J22" s="4">
        <v>1</v>
      </c>
      <c r="K22" s="3">
        <v>22537</v>
      </c>
      <c r="L22" s="3">
        <v>20340</v>
      </c>
      <c r="M22" s="3">
        <v>15057</v>
      </c>
      <c r="N22" s="5">
        <f t="shared" si="11"/>
        <v>0.25973451327433628</v>
      </c>
      <c r="O22" s="3" t="s">
        <v>163</v>
      </c>
      <c r="P22" s="3"/>
      <c r="Q22" s="3"/>
      <c r="R22" s="3"/>
      <c r="S22" s="3"/>
      <c r="T22" s="3"/>
      <c r="U22" s="3"/>
      <c r="V22" s="3"/>
      <c r="W22" s="3"/>
      <c r="X22" s="3">
        <v>29750</v>
      </c>
      <c r="Y22" s="3">
        <f t="shared" si="12"/>
        <v>29750</v>
      </c>
      <c r="Z22" s="3">
        <v>18070</v>
      </c>
      <c r="AA22" s="3">
        <f t="shared" si="13"/>
        <v>18070</v>
      </c>
      <c r="AB22" s="3"/>
      <c r="AC22" s="20">
        <f>ROUND(L22*AR22,0)</f>
        <v>24410</v>
      </c>
      <c r="AD22" s="5">
        <f t="shared" si="14"/>
        <v>0.25972961900860303</v>
      </c>
      <c r="AE22" s="32">
        <v>0</v>
      </c>
      <c r="AF22" s="3">
        <f t="shared" si="15"/>
        <v>26419</v>
      </c>
      <c r="AG22" s="32">
        <f>AF22*AR22</f>
        <v>31705.607358703593</v>
      </c>
      <c r="AH22" s="5">
        <f>1-AA22/AG22</f>
        <v>0.43006926832961123</v>
      </c>
      <c r="AI22" s="32">
        <f>ROUND(AA22/0.7,0)</f>
        <v>25814</v>
      </c>
      <c r="AJ22" s="6">
        <v>24800</v>
      </c>
      <c r="AK22" s="5">
        <f>1-AA22/AJ22</f>
        <v>0.27137096774193548</v>
      </c>
      <c r="AL22" s="3">
        <f>AJ22-AA22</f>
        <v>6730</v>
      </c>
      <c r="AM22" s="27"/>
      <c r="AN22" s="5"/>
      <c r="AO22" s="5"/>
      <c r="AP22" s="5">
        <f>Y22/K22</f>
        <v>1.3200514709144962</v>
      </c>
      <c r="AQ22" s="5">
        <f>AJ22/L22</f>
        <v>1.2192723697148475</v>
      </c>
      <c r="AR22" s="5">
        <f>AA22/M22</f>
        <v>1.2001062628677692</v>
      </c>
      <c r="AS22" s="3"/>
      <c r="AT22" s="3"/>
      <c r="AU22" s="3"/>
      <c r="AV22" s="3"/>
      <c r="AW22" s="3"/>
      <c r="AX22" s="3"/>
      <c r="AY22" s="3"/>
      <c r="AZ22" s="3"/>
      <c r="BA22" s="3"/>
      <c r="BB22" s="3">
        <v>0</v>
      </c>
      <c r="BC22" s="3" t="s">
        <v>227</v>
      </c>
      <c r="BD22" s="3"/>
      <c r="BE22" s="3"/>
      <c r="BF22" s="3" t="s">
        <v>209</v>
      </c>
      <c r="BG22" s="3">
        <v>26419</v>
      </c>
      <c r="BH22" s="3">
        <v>26419</v>
      </c>
      <c r="BI22" s="3">
        <f t="shared" si="16"/>
        <v>26419</v>
      </c>
      <c r="BJ22" s="18">
        <v>4</v>
      </c>
      <c r="BK22" s="18">
        <v>9</v>
      </c>
      <c r="BL22" s="15">
        <v>19</v>
      </c>
      <c r="BM22">
        <v>28018</v>
      </c>
      <c r="BN22">
        <v>22135</v>
      </c>
      <c r="BO22" t="s">
        <v>180</v>
      </c>
    </row>
    <row r="23" spans="1:67" x14ac:dyDescent="0.4">
      <c r="A23" s="38">
        <v>20</v>
      </c>
      <c r="B23" s="3" t="s">
        <v>84</v>
      </c>
      <c r="C23" s="3" t="str">
        <f t="shared" ref="C23:C52" si="17">TEXT(B23,"000000")</f>
        <v>J643MC</v>
      </c>
      <c r="D23" s="3" t="s">
        <v>84</v>
      </c>
      <c r="E23" s="3" t="s">
        <v>121</v>
      </c>
      <c r="F23" s="4">
        <v>4977932103825</v>
      </c>
      <c r="G23" s="4"/>
      <c r="H23" s="4"/>
      <c r="I23" s="4">
        <v>1</v>
      </c>
      <c r="J23" s="4">
        <v>1</v>
      </c>
      <c r="K23" s="3">
        <v>7755</v>
      </c>
      <c r="L23" s="3">
        <v>7002</v>
      </c>
      <c r="M23" s="3">
        <v>5374</v>
      </c>
      <c r="N23" s="5">
        <f t="shared" ref="N23:N52" si="18">1-M23/L23</f>
        <v>0.2325049985718366</v>
      </c>
      <c r="O23" s="3" t="s">
        <v>163</v>
      </c>
      <c r="P23" s="3"/>
      <c r="Q23" s="3"/>
      <c r="R23" s="3"/>
      <c r="S23" s="3"/>
      <c r="T23" s="3"/>
      <c r="U23" s="3"/>
      <c r="V23" s="3"/>
      <c r="W23" s="3"/>
      <c r="X23" s="3">
        <v>10240</v>
      </c>
      <c r="Y23" s="3">
        <f t="shared" ref="Y23:Y52" si="19">IF(AB23="",X23,X23*AB23)</f>
        <v>10240</v>
      </c>
      <c r="Z23" s="3">
        <v>6451</v>
      </c>
      <c r="AA23" s="3">
        <f t="shared" ref="AA23:AA52" si="20">IF(AB23="",Z23,Z23*AB23)</f>
        <v>6451</v>
      </c>
      <c r="AB23" s="3"/>
      <c r="AC23" s="20">
        <f>ROUND(L23*AR23,0)</f>
        <v>8405</v>
      </c>
      <c r="AD23" s="5">
        <f t="shared" ref="AD23:AD52" si="21">1-AA23/AC23</f>
        <v>0.23248066627007735</v>
      </c>
      <c r="AE23" s="32">
        <v>0</v>
      </c>
      <c r="AF23" s="3">
        <f t="shared" ref="AF23:AF52" si="22">BI23</f>
        <v>8961</v>
      </c>
      <c r="AG23" s="32">
        <f>AF23*AR23</f>
        <v>10756.868440640119</v>
      </c>
      <c r="AH23" s="5">
        <f>1-AA23/AG23</f>
        <v>0.40029014618904135</v>
      </c>
      <c r="AI23" s="32">
        <f>ROUND(AA23/0.7,0)</f>
        <v>9216</v>
      </c>
      <c r="AJ23" s="6">
        <v>8980</v>
      </c>
      <c r="AK23" s="5">
        <f>1-AA23/AJ23</f>
        <v>0.28162583518930961</v>
      </c>
      <c r="AL23" s="3">
        <f>AJ23-AA23</f>
        <v>2529</v>
      </c>
      <c r="AM23" s="27"/>
      <c r="AN23" s="5"/>
      <c r="AO23" s="5"/>
      <c r="AP23" s="5">
        <f>Y23/K23</f>
        <v>1.3204384268214056</v>
      </c>
      <c r="AQ23" s="5">
        <f>AJ23/L23</f>
        <v>1.2824907169380177</v>
      </c>
      <c r="AR23" s="5">
        <f>AA23/M23</f>
        <v>1.2004093784890213</v>
      </c>
      <c r="AS23" s="3"/>
      <c r="AT23" s="3"/>
      <c r="AU23" s="3"/>
      <c r="AV23" s="3"/>
      <c r="AW23" s="3"/>
      <c r="AX23" s="3"/>
      <c r="AY23" s="3"/>
      <c r="AZ23" s="3"/>
      <c r="BA23" s="3"/>
      <c r="BB23" s="3">
        <v>0</v>
      </c>
      <c r="BC23" s="3" t="s">
        <v>228</v>
      </c>
      <c r="BD23" s="3"/>
      <c r="BE23" s="3"/>
      <c r="BF23" s="3" t="s">
        <v>209</v>
      </c>
      <c r="BG23" s="3">
        <v>8961</v>
      </c>
      <c r="BH23" s="3">
        <v>8961</v>
      </c>
      <c r="BI23" s="3">
        <f t="shared" ref="BI23:BI52" si="23">IF(BD23="",BH23,BD23/BE23*BH23)</f>
        <v>8961</v>
      </c>
      <c r="BJ23" s="18">
        <v>4</v>
      </c>
      <c r="BK23" s="18">
        <v>9</v>
      </c>
      <c r="BL23" s="15">
        <v>19</v>
      </c>
      <c r="BM23" t="s">
        <v>162</v>
      </c>
      <c r="BN23">
        <v>11218</v>
      </c>
      <c r="BO23" t="s">
        <v>181</v>
      </c>
    </row>
    <row r="24" spans="1:67" x14ac:dyDescent="0.4">
      <c r="A24" s="38">
        <v>21</v>
      </c>
      <c r="B24" s="3" t="s">
        <v>85</v>
      </c>
      <c r="C24" s="3" t="str">
        <f t="shared" si="17"/>
        <v>J642MC</v>
      </c>
      <c r="D24" s="3" t="s">
        <v>85</v>
      </c>
      <c r="E24" s="3" t="s">
        <v>133</v>
      </c>
      <c r="F24" s="4">
        <v>4977932193321</v>
      </c>
      <c r="G24" s="4"/>
      <c r="H24" s="4"/>
      <c r="I24" s="4">
        <v>1</v>
      </c>
      <c r="J24" s="4">
        <v>1</v>
      </c>
      <c r="K24" s="3">
        <v>30046</v>
      </c>
      <c r="L24" s="3">
        <v>25859</v>
      </c>
      <c r="M24" s="3">
        <v>19799</v>
      </c>
      <c r="N24" s="5">
        <f t="shared" si="18"/>
        <v>0.23434780927336707</v>
      </c>
      <c r="O24" s="3" t="s">
        <v>163</v>
      </c>
      <c r="P24" s="3"/>
      <c r="Q24" s="3"/>
      <c r="R24" s="3"/>
      <c r="S24" s="3"/>
      <c r="T24" s="3"/>
      <c r="U24" s="3"/>
      <c r="V24" s="3"/>
      <c r="W24" s="3"/>
      <c r="X24" s="3">
        <v>39660</v>
      </c>
      <c r="Y24" s="3">
        <f t="shared" si="19"/>
        <v>39660</v>
      </c>
      <c r="Z24" s="3">
        <v>23759</v>
      </c>
      <c r="AA24" s="3">
        <f t="shared" si="20"/>
        <v>23759</v>
      </c>
      <c r="AB24" s="3"/>
      <c r="AC24" s="20">
        <f>ROUND(L24*AR24,0)</f>
        <v>31031</v>
      </c>
      <c r="AD24" s="5">
        <f t="shared" si="21"/>
        <v>0.23434629886242786</v>
      </c>
      <c r="AE24" s="32">
        <v>0</v>
      </c>
      <c r="AF24" s="3">
        <f t="shared" si="22"/>
        <v>30661</v>
      </c>
      <c r="AG24" s="32">
        <f>AF24*AR24</f>
        <v>36793.509722713272</v>
      </c>
      <c r="AH24" s="5">
        <f>1-AA24/AG24</f>
        <v>0.35426111346661893</v>
      </c>
      <c r="AI24" s="32">
        <f>ROUND(AA24/0.7,0)</f>
        <v>33941</v>
      </c>
      <c r="AJ24" s="6">
        <v>32800</v>
      </c>
      <c r="AK24" s="5">
        <f>1-AA24/AJ24</f>
        <v>0.27564024390243902</v>
      </c>
      <c r="AL24" s="3">
        <f>AJ24-AA24</f>
        <v>9041</v>
      </c>
      <c r="AM24" s="27"/>
      <c r="AN24" s="5"/>
      <c r="AO24" s="5"/>
      <c r="AP24" s="5">
        <f>Y24/K24</f>
        <v>1.3199760367436597</v>
      </c>
      <c r="AQ24" s="5">
        <f>AJ24/L24</f>
        <v>1.2684171855060133</v>
      </c>
      <c r="AR24" s="5">
        <f>AA24/M24</f>
        <v>1.2000101015202789</v>
      </c>
      <c r="AS24" s="3"/>
      <c r="AT24" s="3"/>
      <c r="AU24" s="3"/>
      <c r="AV24" s="3"/>
      <c r="AW24" s="3"/>
      <c r="AX24" s="3"/>
      <c r="AY24" s="3"/>
      <c r="AZ24" s="3"/>
      <c r="BA24" s="3"/>
      <c r="BB24" s="3">
        <v>0</v>
      </c>
      <c r="BC24" s="3" t="s">
        <v>229</v>
      </c>
      <c r="BD24" s="3"/>
      <c r="BE24" s="3"/>
      <c r="BF24" s="3" t="s">
        <v>209</v>
      </c>
      <c r="BG24" s="3">
        <v>30661</v>
      </c>
      <c r="BH24" s="3">
        <v>30661</v>
      </c>
      <c r="BI24" s="3">
        <f t="shared" si="23"/>
        <v>30661</v>
      </c>
      <c r="BJ24" s="18">
        <v>4</v>
      </c>
      <c r="BK24" s="18">
        <v>9</v>
      </c>
      <c r="BL24" s="15">
        <v>19</v>
      </c>
      <c r="BM24">
        <v>35800</v>
      </c>
      <c r="BN24">
        <v>29450</v>
      </c>
      <c r="BO24" t="s">
        <v>182</v>
      </c>
    </row>
    <row r="25" spans="1:67" x14ac:dyDescent="0.4">
      <c r="A25" s="38">
        <v>22</v>
      </c>
      <c r="B25" s="3" t="s">
        <v>86</v>
      </c>
      <c r="C25" s="3" t="str">
        <f t="shared" si="17"/>
        <v>J645MC</v>
      </c>
      <c r="D25" s="3" t="s">
        <v>86</v>
      </c>
      <c r="E25" s="3" t="s">
        <v>134</v>
      </c>
      <c r="F25" s="4">
        <v>4977932116696</v>
      </c>
      <c r="G25" s="4"/>
      <c r="H25" s="4"/>
      <c r="I25" s="4">
        <v>1</v>
      </c>
      <c r="J25" s="4">
        <v>1</v>
      </c>
      <c r="K25" s="3">
        <v>15646</v>
      </c>
      <c r="L25" s="3">
        <v>15009</v>
      </c>
      <c r="M25" s="3">
        <v>10710</v>
      </c>
      <c r="N25" s="5">
        <f t="shared" si="18"/>
        <v>0.28642814311413156</v>
      </c>
      <c r="O25" s="3" t="s">
        <v>163</v>
      </c>
      <c r="P25" s="3"/>
      <c r="Q25" s="3"/>
      <c r="R25" s="3"/>
      <c r="S25" s="3"/>
      <c r="T25" s="3"/>
      <c r="U25" s="3"/>
      <c r="V25" s="3"/>
      <c r="W25" s="3"/>
      <c r="X25" s="3">
        <v>20660</v>
      </c>
      <c r="Y25" s="3">
        <f t="shared" si="19"/>
        <v>20660</v>
      </c>
      <c r="Z25" s="3">
        <v>12857</v>
      </c>
      <c r="AA25" s="3">
        <f t="shared" si="20"/>
        <v>12857</v>
      </c>
      <c r="AB25" s="3"/>
      <c r="AC25" s="20">
        <f>ROUND(L25*AR25,0)</f>
        <v>18018</v>
      </c>
      <c r="AD25" s="5">
        <f t="shared" si="21"/>
        <v>0.28643578643578649</v>
      </c>
      <c r="AE25" s="32">
        <v>0</v>
      </c>
      <c r="AF25" s="3">
        <f t="shared" si="22"/>
        <v>18073</v>
      </c>
      <c r="AG25" s="32">
        <f>AF25*AR25</f>
        <v>21696.037441643322</v>
      </c>
      <c r="AH25" s="5">
        <f>1-AA25/AG25</f>
        <v>0.40740330880318698</v>
      </c>
      <c r="AI25" s="32">
        <f>ROUND(AA25/0.7,0)</f>
        <v>18367</v>
      </c>
      <c r="AJ25" s="6">
        <v>17800</v>
      </c>
      <c r="AK25" s="5">
        <f>1-AA25/AJ25</f>
        <v>0.27769662921348315</v>
      </c>
      <c r="AL25" s="3">
        <f>AJ25-AA25</f>
        <v>4943</v>
      </c>
      <c r="AM25" s="27"/>
      <c r="AN25" s="5"/>
      <c r="AO25" s="5"/>
      <c r="AP25" s="5">
        <f>Y25/K25</f>
        <v>1.3204652946439985</v>
      </c>
      <c r="AQ25" s="5">
        <f>AJ25/L25</f>
        <v>1.1859550936105003</v>
      </c>
      <c r="AR25" s="5">
        <f>AA25/M25</f>
        <v>1.2004668534080298</v>
      </c>
      <c r="AS25" s="3"/>
      <c r="AT25" s="3"/>
      <c r="AU25" s="3"/>
      <c r="AV25" s="3"/>
      <c r="AW25" s="3"/>
      <c r="AX25" s="3"/>
      <c r="AY25" s="3"/>
      <c r="AZ25" s="3"/>
      <c r="BA25" s="3"/>
      <c r="BB25" s="3">
        <v>0</v>
      </c>
      <c r="BC25" s="3" t="s">
        <v>230</v>
      </c>
      <c r="BD25" s="3"/>
      <c r="BE25" s="3"/>
      <c r="BF25" s="3" t="s">
        <v>209</v>
      </c>
      <c r="BG25" s="3">
        <v>18073</v>
      </c>
      <c r="BH25" s="3">
        <v>18073</v>
      </c>
      <c r="BI25" s="3">
        <f t="shared" si="23"/>
        <v>18073</v>
      </c>
      <c r="BJ25" s="18">
        <v>4</v>
      </c>
      <c r="BK25" s="18">
        <v>9</v>
      </c>
      <c r="BL25" s="15">
        <v>19</v>
      </c>
      <c r="BM25" t="s">
        <v>162</v>
      </c>
      <c r="BN25">
        <v>15390</v>
      </c>
      <c r="BO25" t="s">
        <v>183</v>
      </c>
    </row>
    <row r="26" spans="1:67" x14ac:dyDescent="0.4">
      <c r="A26" s="38">
        <v>23</v>
      </c>
      <c r="B26" s="3" t="s">
        <v>87</v>
      </c>
      <c r="C26" s="3" t="str">
        <f t="shared" si="17"/>
        <v>J646MC</v>
      </c>
      <c r="D26" s="3" t="s">
        <v>87</v>
      </c>
      <c r="E26" s="3" t="s">
        <v>135</v>
      </c>
      <c r="F26" s="4">
        <v>4977932106246</v>
      </c>
      <c r="G26" s="4"/>
      <c r="H26" s="4"/>
      <c r="I26" s="4">
        <v>1</v>
      </c>
      <c r="J26" s="4">
        <v>1</v>
      </c>
      <c r="K26" s="3">
        <v>44446</v>
      </c>
      <c r="L26" s="3">
        <v>37851</v>
      </c>
      <c r="M26" s="3">
        <v>29097</v>
      </c>
      <c r="N26" s="5">
        <f t="shared" si="18"/>
        <v>0.23127526353332806</v>
      </c>
      <c r="O26" s="3" t="s">
        <v>163</v>
      </c>
      <c r="P26" s="3"/>
      <c r="Q26" s="3"/>
      <c r="R26" s="3"/>
      <c r="S26" s="3"/>
      <c r="T26" s="3"/>
      <c r="U26" s="3"/>
      <c r="V26" s="3"/>
      <c r="W26" s="3"/>
      <c r="X26" s="3">
        <v>58670</v>
      </c>
      <c r="Y26" s="3">
        <f t="shared" si="19"/>
        <v>58670</v>
      </c>
      <c r="Z26" s="3">
        <v>34918</v>
      </c>
      <c r="AA26" s="3">
        <f t="shared" si="20"/>
        <v>34918</v>
      </c>
      <c r="AB26" s="3"/>
      <c r="AC26" s="20">
        <f>ROUND(L26*AR26,0)</f>
        <v>45423</v>
      </c>
      <c r="AD26" s="5">
        <f t="shared" si="21"/>
        <v>0.23127050172819941</v>
      </c>
      <c r="AE26" s="32">
        <v>0</v>
      </c>
      <c r="AF26" s="3">
        <f t="shared" si="22"/>
        <v>40088</v>
      </c>
      <c r="AG26" s="32">
        <f>AF26*AR26</f>
        <v>48107.804378458255</v>
      </c>
      <c r="AH26" s="5">
        <f>1-AA26/AG26</f>
        <v>0.27417182199161838</v>
      </c>
      <c r="AI26" s="32">
        <f>ROUND(AA26/0.7,0)</f>
        <v>49883</v>
      </c>
      <c r="AJ26" s="6">
        <v>47800</v>
      </c>
      <c r="AK26" s="5">
        <f>1-AA26/AJ26</f>
        <v>0.26949790794979078</v>
      </c>
      <c r="AL26" s="3">
        <f>AJ26-AA26</f>
        <v>12882</v>
      </c>
      <c r="AM26" s="27"/>
      <c r="AN26" s="5"/>
      <c r="AO26" s="5"/>
      <c r="AP26" s="5">
        <f>Y26/K26</f>
        <v>1.3200287989920352</v>
      </c>
      <c r="AQ26" s="5">
        <f>AJ26/L26</f>
        <v>1.2628464241367467</v>
      </c>
      <c r="AR26" s="5">
        <f>AA26/M26</f>
        <v>1.2000549884867855</v>
      </c>
      <c r="AS26" s="3"/>
      <c r="AT26" s="3"/>
      <c r="AU26" s="3"/>
      <c r="AV26" s="3"/>
      <c r="AW26" s="3"/>
      <c r="AX26" s="3"/>
      <c r="AY26" s="3"/>
      <c r="AZ26" s="3"/>
      <c r="BA26" s="3"/>
      <c r="BB26" s="3">
        <v>0</v>
      </c>
      <c r="BC26" s="3" t="s">
        <v>231</v>
      </c>
      <c r="BD26" s="3"/>
      <c r="BE26" s="3"/>
      <c r="BF26" s="3" t="s">
        <v>209</v>
      </c>
      <c r="BG26" s="3">
        <v>40088</v>
      </c>
      <c r="BH26" s="3">
        <v>40088</v>
      </c>
      <c r="BI26" s="3">
        <f t="shared" si="23"/>
        <v>40088</v>
      </c>
      <c r="BJ26" s="18">
        <v>4</v>
      </c>
      <c r="BK26" s="18">
        <v>9</v>
      </c>
      <c r="BL26" s="15">
        <v>19</v>
      </c>
      <c r="BM26" t="s">
        <v>162</v>
      </c>
      <c r="BN26">
        <v>43605</v>
      </c>
      <c r="BO26" t="s">
        <v>184</v>
      </c>
    </row>
    <row r="27" spans="1:67" x14ac:dyDescent="0.4">
      <c r="A27" s="38">
        <v>24</v>
      </c>
      <c r="B27" s="3" t="s">
        <v>88</v>
      </c>
      <c r="C27" s="3" t="str">
        <f t="shared" si="17"/>
        <v>J647MC</v>
      </c>
      <c r="D27" s="3" t="s">
        <v>88</v>
      </c>
      <c r="E27" s="3" t="s">
        <v>136</v>
      </c>
      <c r="F27" s="4">
        <v>4977932103818</v>
      </c>
      <c r="G27" s="4"/>
      <c r="H27" s="4"/>
      <c r="I27" s="4">
        <v>1</v>
      </c>
      <c r="J27" s="4">
        <v>1</v>
      </c>
      <c r="K27" s="3">
        <v>33800</v>
      </c>
      <c r="L27" s="3">
        <v>29032</v>
      </c>
      <c r="M27" s="3">
        <v>22170</v>
      </c>
      <c r="N27" s="5">
        <f t="shared" si="18"/>
        <v>0.23635987875447784</v>
      </c>
      <c r="O27" s="3" t="s">
        <v>163</v>
      </c>
      <c r="P27" s="3"/>
      <c r="Q27" s="3"/>
      <c r="R27" s="3"/>
      <c r="S27" s="3"/>
      <c r="T27" s="3"/>
      <c r="U27" s="3"/>
      <c r="V27" s="3"/>
      <c r="W27" s="3"/>
      <c r="X27" s="3">
        <v>44620</v>
      </c>
      <c r="Y27" s="3">
        <f t="shared" si="19"/>
        <v>44620</v>
      </c>
      <c r="Z27" s="3">
        <v>26606</v>
      </c>
      <c r="AA27" s="3">
        <f t="shared" si="20"/>
        <v>26606</v>
      </c>
      <c r="AB27" s="3"/>
      <c r="AC27" s="20">
        <f>ROUND(L27*AR27,0)</f>
        <v>34841</v>
      </c>
      <c r="AD27" s="5">
        <f t="shared" si="21"/>
        <v>0.23635946155391641</v>
      </c>
      <c r="AE27" s="32">
        <v>0</v>
      </c>
      <c r="AF27" s="3">
        <f t="shared" si="22"/>
        <v>34340</v>
      </c>
      <c r="AG27" s="32">
        <f>AF27*AR27</f>
        <v>41211.097880018046</v>
      </c>
      <c r="AH27" s="5">
        <f>1-AA27/AG27</f>
        <v>0.35439720442632505</v>
      </c>
      <c r="AI27" s="32">
        <f>ROUND(AA27/0.7,0)</f>
        <v>38009</v>
      </c>
      <c r="AJ27" s="6">
        <v>36800</v>
      </c>
      <c r="AK27" s="5">
        <f>1-AA27/AJ27</f>
        <v>0.27701086956521737</v>
      </c>
      <c r="AL27" s="3">
        <f>AJ27-AA27</f>
        <v>10194</v>
      </c>
      <c r="AM27" s="27"/>
      <c r="AN27" s="5"/>
      <c r="AO27" s="5"/>
      <c r="AP27" s="5">
        <f>Y27/K27</f>
        <v>1.3201183431952663</v>
      </c>
      <c r="AQ27" s="5">
        <f>AJ27/L27</f>
        <v>1.2675668228162029</v>
      </c>
      <c r="AR27" s="5">
        <f>AA27/M27</f>
        <v>1.2000902119981958</v>
      </c>
      <c r="AS27" s="3"/>
      <c r="AT27" s="3"/>
      <c r="AU27" s="3"/>
      <c r="AV27" s="3"/>
      <c r="AW27" s="3"/>
      <c r="AX27" s="3"/>
      <c r="AY27" s="3"/>
      <c r="AZ27" s="3"/>
      <c r="BA27" s="3"/>
      <c r="BB27" s="3">
        <v>0</v>
      </c>
      <c r="BC27" s="3" t="s">
        <v>232</v>
      </c>
      <c r="BD27" s="3"/>
      <c r="BE27" s="3"/>
      <c r="BF27" s="3" t="s">
        <v>209</v>
      </c>
      <c r="BG27" s="3">
        <v>34340</v>
      </c>
      <c r="BH27" s="3">
        <v>34340</v>
      </c>
      <c r="BI27" s="3">
        <f t="shared" si="23"/>
        <v>34340</v>
      </c>
      <c r="BJ27" s="18">
        <v>4</v>
      </c>
      <c r="BK27" s="18">
        <v>9</v>
      </c>
      <c r="BL27" s="15">
        <v>19</v>
      </c>
      <c r="BM27" t="s">
        <v>162</v>
      </c>
      <c r="BN27">
        <v>33155</v>
      </c>
      <c r="BO27" t="s">
        <v>185</v>
      </c>
    </row>
    <row r="28" spans="1:67" x14ac:dyDescent="0.4">
      <c r="A28" s="38">
        <v>25</v>
      </c>
      <c r="B28" s="3" t="s">
        <v>89</v>
      </c>
      <c r="C28" s="3" t="str">
        <f t="shared" si="17"/>
        <v>J644MC</v>
      </c>
      <c r="D28" s="3" t="s">
        <v>89</v>
      </c>
      <c r="E28" s="3" t="s">
        <v>137</v>
      </c>
      <c r="F28" s="4">
        <v>4977932103832</v>
      </c>
      <c r="G28" s="4"/>
      <c r="H28" s="4"/>
      <c r="I28" s="4">
        <v>1</v>
      </c>
      <c r="J28" s="4">
        <v>1</v>
      </c>
      <c r="K28" s="3">
        <v>9100</v>
      </c>
      <c r="L28" s="3">
        <v>7494</v>
      </c>
      <c r="M28" s="3">
        <v>6165</v>
      </c>
      <c r="N28" s="5">
        <f t="shared" si="18"/>
        <v>0.17734187349879904</v>
      </c>
      <c r="O28" s="3" t="s">
        <v>163</v>
      </c>
      <c r="P28" s="3"/>
      <c r="Q28" s="3"/>
      <c r="R28" s="3"/>
      <c r="S28" s="3"/>
      <c r="T28" s="3"/>
      <c r="U28" s="3"/>
      <c r="V28" s="3"/>
      <c r="W28" s="3"/>
      <c r="X28" s="3">
        <v>12020</v>
      </c>
      <c r="Y28" s="3">
        <f t="shared" si="19"/>
        <v>12020</v>
      </c>
      <c r="Z28" s="3">
        <v>7403</v>
      </c>
      <c r="AA28" s="3">
        <f t="shared" si="20"/>
        <v>7403</v>
      </c>
      <c r="AB28" s="3"/>
      <c r="AC28" s="20">
        <f>ROUND(L28*AR28,0)</f>
        <v>8999</v>
      </c>
      <c r="AD28" s="5">
        <f t="shared" si="21"/>
        <v>0.17735303922658074</v>
      </c>
      <c r="AE28" s="32">
        <v>0</v>
      </c>
      <c r="AF28" s="3">
        <f t="shared" si="22"/>
        <v>8881</v>
      </c>
      <c r="AG28" s="32">
        <f>AF28*AR28</f>
        <v>10664.402757502028</v>
      </c>
      <c r="AH28" s="5">
        <f>1-AA28/AG28</f>
        <v>0.30582141650715011</v>
      </c>
      <c r="AI28" s="32">
        <f>ROUND(AA28/0.7,0)</f>
        <v>10576</v>
      </c>
      <c r="AJ28" s="6">
        <v>10200</v>
      </c>
      <c r="AK28" s="5">
        <f>1-AA28/AJ28</f>
        <v>0.27421568627450976</v>
      </c>
      <c r="AL28" s="3">
        <f>AJ28-AA28</f>
        <v>2797</v>
      </c>
      <c r="AM28" s="27"/>
      <c r="AN28" s="5"/>
      <c r="AO28" s="5"/>
      <c r="AP28" s="5">
        <f>Y28/K28</f>
        <v>1.3208791208791208</v>
      </c>
      <c r="AQ28" s="5">
        <f>AJ28/L28</f>
        <v>1.3610888710968776</v>
      </c>
      <c r="AR28" s="5">
        <f>AA28/M28</f>
        <v>1.2008110300081103</v>
      </c>
      <c r="AS28" s="3"/>
      <c r="AT28" s="3"/>
      <c r="AU28" s="3"/>
      <c r="AV28" s="3"/>
      <c r="AW28" s="3"/>
      <c r="AX28" s="3"/>
      <c r="AY28" s="3"/>
      <c r="AZ28" s="3"/>
      <c r="BA28" s="3"/>
      <c r="BB28" s="3">
        <v>0</v>
      </c>
      <c r="BC28" s="3" t="s">
        <v>233</v>
      </c>
      <c r="BD28" s="3"/>
      <c r="BE28" s="3"/>
      <c r="BF28" s="3" t="s">
        <v>209</v>
      </c>
      <c r="BG28" s="3">
        <v>8881</v>
      </c>
      <c r="BH28" s="3">
        <v>8881</v>
      </c>
      <c r="BI28" s="3">
        <f t="shared" si="23"/>
        <v>8881</v>
      </c>
      <c r="BJ28" s="18">
        <v>4</v>
      </c>
      <c r="BK28" s="18">
        <v>9</v>
      </c>
      <c r="BL28" s="15">
        <v>19</v>
      </c>
      <c r="BM28" t="s">
        <v>162</v>
      </c>
      <c r="BN28">
        <v>8930</v>
      </c>
      <c r="BO28" t="s">
        <v>186</v>
      </c>
    </row>
    <row r="29" spans="1:67" x14ac:dyDescent="0.4">
      <c r="A29" s="38">
        <v>26</v>
      </c>
      <c r="B29" s="3" t="s">
        <v>90</v>
      </c>
      <c r="C29" s="3" t="str">
        <f t="shared" si="17"/>
        <v>J648MC</v>
      </c>
      <c r="D29" s="3" t="s">
        <v>90</v>
      </c>
      <c r="E29" s="3" t="s">
        <v>138</v>
      </c>
      <c r="F29" s="4">
        <v>4977932114043</v>
      </c>
      <c r="G29" s="4"/>
      <c r="H29" s="4"/>
      <c r="I29" s="4">
        <v>1</v>
      </c>
      <c r="J29" s="4">
        <v>1</v>
      </c>
      <c r="K29" s="3">
        <v>48819</v>
      </c>
      <c r="L29" s="3">
        <v>41559</v>
      </c>
      <c r="M29" s="3">
        <v>31863</v>
      </c>
      <c r="N29" s="5">
        <f t="shared" si="18"/>
        <v>0.23330686493900243</v>
      </c>
      <c r="O29" s="3" t="s">
        <v>163</v>
      </c>
      <c r="P29" s="3"/>
      <c r="Q29" s="3"/>
      <c r="R29" s="3"/>
      <c r="S29" s="3"/>
      <c r="T29" s="3"/>
      <c r="U29" s="3"/>
      <c r="V29" s="3"/>
      <c r="W29" s="3"/>
      <c r="X29" s="3">
        <v>64440</v>
      </c>
      <c r="Y29" s="3">
        <f t="shared" si="19"/>
        <v>64440</v>
      </c>
      <c r="Z29" s="3">
        <v>38236</v>
      </c>
      <c r="AA29" s="3">
        <f t="shared" si="20"/>
        <v>38236</v>
      </c>
      <c r="AB29" s="3"/>
      <c r="AC29" s="20">
        <f>ROUND(L29*AR29,0)</f>
        <v>49871</v>
      </c>
      <c r="AD29" s="5">
        <f t="shared" si="21"/>
        <v>0.23330191895089325</v>
      </c>
      <c r="AE29" s="32">
        <v>0</v>
      </c>
      <c r="AF29" s="3">
        <f t="shared" si="22"/>
        <v>43858</v>
      </c>
      <c r="AG29" s="32">
        <f>AF29*AR29</f>
        <v>52630.150582179951</v>
      </c>
      <c r="AH29" s="5">
        <f>1-AA29/AG29</f>
        <v>0.27349628346025801</v>
      </c>
      <c r="AI29" s="32">
        <f>ROUND(AA29/0.7,0)</f>
        <v>54623</v>
      </c>
      <c r="AJ29" s="6">
        <v>51800</v>
      </c>
      <c r="AK29" s="5">
        <f>1-AA29/AJ29</f>
        <v>0.26185328185328183</v>
      </c>
      <c r="AL29" s="3">
        <f>AJ29-AA29</f>
        <v>13564</v>
      </c>
      <c r="AM29" s="27"/>
      <c r="AN29" s="5"/>
      <c r="AO29" s="5"/>
      <c r="AP29" s="5">
        <f>Y29/K29</f>
        <v>1.3199778774657407</v>
      </c>
      <c r="AQ29" s="5">
        <f>AJ29/L29</f>
        <v>1.2464207512211554</v>
      </c>
      <c r="AR29" s="5">
        <f>AA29/M29</f>
        <v>1.2000125537457238</v>
      </c>
      <c r="AS29" s="3"/>
      <c r="AT29" s="3"/>
      <c r="AU29" s="3"/>
      <c r="AV29" s="3"/>
      <c r="AW29" s="3"/>
      <c r="AX29" s="3"/>
      <c r="AY29" s="3"/>
      <c r="AZ29" s="3"/>
      <c r="BA29" s="3"/>
      <c r="BB29" s="3">
        <v>0</v>
      </c>
      <c r="BC29" s="3" t="s">
        <v>234</v>
      </c>
      <c r="BD29" s="3"/>
      <c r="BE29" s="3"/>
      <c r="BF29" s="3" t="s">
        <v>209</v>
      </c>
      <c r="BG29" s="3">
        <v>43858</v>
      </c>
      <c r="BH29" s="3">
        <v>43858</v>
      </c>
      <c r="BI29" s="3">
        <f t="shared" si="23"/>
        <v>43858</v>
      </c>
      <c r="BJ29" s="18">
        <v>4</v>
      </c>
      <c r="BK29" s="18">
        <v>9</v>
      </c>
      <c r="BL29" s="15">
        <v>19</v>
      </c>
      <c r="BM29" t="s">
        <v>162</v>
      </c>
      <c r="BN29">
        <v>47880</v>
      </c>
      <c r="BO29" t="s">
        <v>187</v>
      </c>
    </row>
    <row r="30" spans="1:67" x14ac:dyDescent="0.4">
      <c r="A30" s="38">
        <v>27</v>
      </c>
      <c r="B30" s="3" t="s">
        <v>91</v>
      </c>
      <c r="C30" s="3" t="str">
        <f t="shared" si="17"/>
        <v>J650MC</v>
      </c>
      <c r="D30" s="3" t="s">
        <v>91</v>
      </c>
      <c r="E30" s="3" t="s">
        <v>139</v>
      </c>
      <c r="F30" s="4">
        <v>4977932073609</v>
      </c>
      <c r="G30" s="4"/>
      <c r="H30" s="4"/>
      <c r="I30" s="4">
        <v>1</v>
      </c>
      <c r="J30" s="4">
        <v>1</v>
      </c>
      <c r="K30" s="3">
        <v>21910</v>
      </c>
      <c r="L30" s="3">
        <v>17968</v>
      </c>
      <c r="M30" s="3">
        <v>14662</v>
      </c>
      <c r="N30" s="5">
        <f t="shared" si="18"/>
        <v>0.18399376669634904</v>
      </c>
      <c r="O30" s="3" t="s">
        <v>163</v>
      </c>
      <c r="P30" s="3"/>
      <c r="Q30" s="3"/>
      <c r="R30" s="3"/>
      <c r="S30" s="3"/>
      <c r="T30" s="3"/>
      <c r="U30" s="3"/>
      <c r="V30" s="3"/>
      <c r="W30" s="3"/>
      <c r="X30" s="3">
        <v>28920</v>
      </c>
      <c r="Y30" s="3">
        <f t="shared" si="19"/>
        <v>28920</v>
      </c>
      <c r="Z30" s="3">
        <v>17594</v>
      </c>
      <c r="AA30" s="3">
        <f t="shared" si="20"/>
        <v>17594</v>
      </c>
      <c r="AB30" s="3"/>
      <c r="AC30" s="20">
        <f>ROUND(L30*AR30,0)</f>
        <v>21561</v>
      </c>
      <c r="AD30" s="5">
        <f t="shared" si="21"/>
        <v>0.18398961087148091</v>
      </c>
      <c r="AE30" s="32">
        <v>0</v>
      </c>
      <c r="AF30" s="3">
        <f t="shared" si="22"/>
        <v>22270</v>
      </c>
      <c r="AG30" s="32">
        <f>AF30*AR30</f>
        <v>26723.392443050059</v>
      </c>
      <c r="AH30" s="5">
        <f>1-AA30/AG30</f>
        <v>0.34162550516389756</v>
      </c>
      <c r="AI30" s="32">
        <f>ROUND(AA30/0.7,0)</f>
        <v>25134</v>
      </c>
      <c r="AJ30" s="6">
        <v>23800</v>
      </c>
      <c r="AK30" s="5">
        <f>1-AA30/AJ30</f>
        <v>0.26075630252100845</v>
      </c>
      <c r="AL30" s="3">
        <f>AJ30-AA30</f>
        <v>6206</v>
      </c>
      <c r="AM30" s="27"/>
      <c r="AN30" s="5"/>
      <c r="AO30" s="5"/>
      <c r="AP30" s="5">
        <f>Y30/K30</f>
        <v>1.3199452304883614</v>
      </c>
      <c r="AQ30" s="5">
        <f>AJ30/L30</f>
        <v>1.3245770258236866</v>
      </c>
      <c r="AR30" s="5">
        <f>AA30/M30</f>
        <v>1.1999727185922793</v>
      </c>
      <c r="AS30" s="3"/>
      <c r="AT30" s="3"/>
      <c r="AU30" s="3"/>
      <c r="AV30" s="3"/>
      <c r="AW30" s="3"/>
      <c r="AX30" s="3"/>
      <c r="AY30" s="3"/>
      <c r="AZ30" s="3"/>
      <c r="BA30" s="3"/>
      <c r="BB30" s="3">
        <v>0</v>
      </c>
      <c r="BC30" s="3" t="s">
        <v>235</v>
      </c>
      <c r="BD30" s="3"/>
      <c r="BE30" s="3"/>
      <c r="BF30" s="3" t="s">
        <v>209</v>
      </c>
      <c r="BG30" s="3">
        <v>22270</v>
      </c>
      <c r="BH30" s="3">
        <v>22270</v>
      </c>
      <c r="BI30" s="3">
        <f t="shared" si="23"/>
        <v>22270</v>
      </c>
      <c r="BJ30" s="18">
        <v>4</v>
      </c>
      <c r="BK30" s="18">
        <v>9</v>
      </c>
      <c r="BL30" s="15">
        <v>19</v>
      </c>
      <c r="BM30" t="s">
        <v>162</v>
      </c>
      <c r="BN30">
        <v>30763</v>
      </c>
      <c r="BO30" t="s">
        <v>188</v>
      </c>
    </row>
    <row r="31" spans="1:67" x14ac:dyDescent="0.4">
      <c r="A31" s="38">
        <v>28</v>
      </c>
      <c r="B31" s="3" t="s">
        <v>92</v>
      </c>
      <c r="C31" s="3" t="str">
        <f t="shared" si="17"/>
        <v>J651MC</v>
      </c>
      <c r="D31" s="3" t="s">
        <v>92</v>
      </c>
      <c r="E31" s="3" t="s">
        <v>140</v>
      </c>
      <c r="F31" s="4">
        <v>4977932109926</v>
      </c>
      <c r="G31" s="4"/>
      <c r="H31" s="4"/>
      <c r="I31" s="4">
        <v>1</v>
      </c>
      <c r="J31" s="4">
        <v>1</v>
      </c>
      <c r="K31" s="3">
        <v>57582</v>
      </c>
      <c r="L31" s="3">
        <v>48968</v>
      </c>
      <c r="M31" s="3">
        <v>37396</v>
      </c>
      <c r="N31" s="5">
        <f t="shared" si="18"/>
        <v>0.23631759516418882</v>
      </c>
      <c r="O31" s="3" t="s">
        <v>163</v>
      </c>
      <c r="P31" s="3"/>
      <c r="Q31" s="3"/>
      <c r="R31" s="3"/>
      <c r="S31" s="3"/>
      <c r="T31" s="3"/>
      <c r="U31" s="3"/>
      <c r="V31" s="3"/>
      <c r="W31" s="3"/>
      <c r="X31" s="3">
        <v>76010</v>
      </c>
      <c r="Y31" s="3">
        <f t="shared" si="19"/>
        <v>76010</v>
      </c>
      <c r="Z31" s="3">
        <v>44876</v>
      </c>
      <c r="AA31" s="3">
        <f t="shared" si="20"/>
        <v>44876</v>
      </c>
      <c r="AB31" s="3"/>
      <c r="AC31" s="20">
        <f>ROUND(L31*AR31,0)</f>
        <v>58763</v>
      </c>
      <c r="AD31" s="5">
        <f t="shared" si="21"/>
        <v>0.23632217551860868</v>
      </c>
      <c r="AE31" s="32">
        <v>0</v>
      </c>
      <c r="AF31" s="3">
        <f t="shared" si="22"/>
        <v>55221</v>
      </c>
      <c r="AG31" s="32">
        <f>AF31*AR31</f>
        <v>66266.381324205795</v>
      </c>
      <c r="AH31" s="5">
        <f>1-AA31/AG31</f>
        <v>0.32279386465294002</v>
      </c>
      <c r="AI31" s="32">
        <f>ROUND(AA31/0.7,0)</f>
        <v>64109</v>
      </c>
      <c r="AJ31" s="6">
        <v>60800</v>
      </c>
      <c r="AK31" s="5">
        <f>1-AA31/AJ31</f>
        <v>0.26190789473684206</v>
      </c>
      <c r="AL31" s="3">
        <f>AJ31-AA31</f>
        <v>15924</v>
      </c>
      <c r="AM31" s="27"/>
      <c r="AN31" s="5"/>
      <c r="AO31" s="5"/>
      <c r="AP31" s="5">
        <f>Y31/K31</f>
        <v>1.3200305651071516</v>
      </c>
      <c r="AQ31" s="5">
        <f>AJ31/L31</f>
        <v>1.2416271851004739</v>
      </c>
      <c r="AR31" s="5">
        <f>AA31/M31</f>
        <v>1.2000213926623169</v>
      </c>
      <c r="AS31" s="3"/>
      <c r="AT31" s="3"/>
      <c r="AU31" s="3"/>
      <c r="AV31" s="3"/>
      <c r="AW31" s="3"/>
      <c r="AX31" s="3"/>
      <c r="AY31" s="3"/>
      <c r="AZ31" s="3"/>
      <c r="BA31" s="3"/>
      <c r="BB31" s="3">
        <v>0</v>
      </c>
      <c r="BC31" s="3" t="s">
        <v>236</v>
      </c>
      <c r="BD31" s="3"/>
      <c r="BE31" s="3"/>
      <c r="BF31" s="3" t="s">
        <v>209</v>
      </c>
      <c r="BG31" s="3">
        <v>55221</v>
      </c>
      <c r="BH31" s="3">
        <v>55221</v>
      </c>
      <c r="BI31" s="3">
        <f t="shared" si="23"/>
        <v>55221</v>
      </c>
      <c r="BJ31" s="18">
        <v>4</v>
      </c>
      <c r="BK31" s="18">
        <v>9</v>
      </c>
      <c r="BL31" s="15">
        <v>19</v>
      </c>
      <c r="BM31" t="s">
        <v>162</v>
      </c>
      <c r="BN31">
        <v>94050</v>
      </c>
      <c r="BO31" t="s">
        <v>189</v>
      </c>
    </row>
    <row r="32" spans="1:67" x14ac:dyDescent="0.4">
      <c r="A32" s="38">
        <v>29</v>
      </c>
      <c r="B32" s="3" t="s">
        <v>93</v>
      </c>
      <c r="C32" s="3" t="str">
        <f t="shared" si="17"/>
        <v>J649MC</v>
      </c>
      <c r="D32" s="3" t="s">
        <v>93</v>
      </c>
      <c r="E32" s="3" t="s">
        <v>141</v>
      </c>
      <c r="F32" s="4">
        <v>4977932072770</v>
      </c>
      <c r="G32" s="4"/>
      <c r="H32" s="4"/>
      <c r="I32" s="4">
        <v>1</v>
      </c>
      <c r="J32" s="4">
        <v>1</v>
      </c>
      <c r="K32" s="3">
        <v>23473</v>
      </c>
      <c r="L32" s="3">
        <v>20096</v>
      </c>
      <c r="M32" s="3">
        <v>15650</v>
      </c>
      <c r="N32" s="5">
        <f t="shared" si="18"/>
        <v>0.22123805732484081</v>
      </c>
      <c r="O32" s="3" t="s">
        <v>163</v>
      </c>
      <c r="P32" s="3"/>
      <c r="Q32" s="3"/>
      <c r="R32" s="3"/>
      <c r="S32" s="3"/>
      <c r="T32" s="3"/>
      <c r="U32" s="3"/>
      <c r="V32" s="3"/>
      <c r="W32" s="3"/>
      <c r="X32" s="3">
        <v>30990</v>
      </c>
      <c r="Y32" s="3">
        <f t="shared" si="19"/>
        <v>30990</v>
      </c>
      <c r="Z32" s="3">
        <v>18784</v>
      </c>
      <c r="AA32" s="3">
        <f t="shared" si="20"/>
        <v>18784</v>
      </c>
      <c r="AB32" s="3"/>
      <c r="AC32" s="20">
        <f>ROUND(L32*AR32,0)</f>
        <v>24120</v>
      </c>
      <c r="AD32" s="5">
        <f t="shared" si="21"/>
        <v>0.22122719734660035</v>
      </c>
      <c r="AE32" s="32">
        <v>0</v>
      </c>
      <c r="AF32" s="3" t="str">
        <f t="shared" si="22"/>
        <v>-</v>
      </c>
      <c r="AG32" s="32" t="e">
        <f>AF32*AR32</f>
        <v>#VALUE!</v>
      </c>
      <c r="AH32" s="5" t="e">
        <f>1-AA32/AG32</f>
        <v>#VALUE!</v>
      </c>
      <c r="AI32" s="32">
        <f>ROUND(AA32/0.7,0)</f>
        <v>26834</v>
      </c>
      <c r="AJ32" s="6">
        <v>25800</v>
      </c>
      <c r="AK32" s="5">
        <f>1-AA32/AJ32</f>
        <v>0.27193798449612405</v>
      </c>
      <c r="AL32" s="3">
        <f>AJ32-AA32</f>
        <v>7016</v>
      </c>
      <c r="AM32" s="27"/>
      <c r="AN32" s="5"/>
      <c r="AO32" s="5"/>
      <c r="AP32" s="5">
        <f>Y32/K32</f>
        <v>1.3202402760618583</v>
      </c>
      <c r="AQ32" s="5">
        <f>AJ32/L32</f>
        <v>1.2838375796178343</v>
      </c>
      <c r="AR32" s="5">
        <f>AA32/M32</f>
        <v>1.2002555910543131</v>
      </c>
      <c r="AS32" s="3"/>
      <c r="AT32" s="3"/>
      <c r="AU32" s="3"/>
      <c r="AV32" s="3"/>
      <c r="AW32" s="3"/>
      <c r="AX32" s="3"/>
      <c r="AY32" s="3"/>
      <c r="AZ32" s="3"/>
      <c r="BA32" s="3"/>
      <c r="BB32" s="3">
        <v>0</v>
      </c>
      <c r="BC32" s="3" t="s">
        <v>162</v>
      </c>
      <c r="BD32" s="3"/>
      <c r="BE32" s="3"/>
      <c r="BF32" s="3" t="s">
        <v>162</v>
      </c>
      <c r="BG32" s="3" t="s">
        <v>162</v>
      </c>
      <c r="BH32" s="3" t="s">
        <v>162</v>
      </c>
      <c r="BI32" s="3" t="str">
        <f t="shared" si="23"/>
        <v>-</v>
      </c>
      <c r="BJ32" s="18">
        <v>4</v>
      </c>
      <c r="BK32" s="18">
        <v>9</v>
      </c>
      <c r="BL32" s="15">
        <v>19</v>
      </c>
      <c r="BM32" t="s">
        <v>162</v>
      </c>
      <c r="BN32">
        <v>29800</v>
      </c>
      <c r="BO32" t="s">
        <v>162</v>
      </c>
    </row>
    <row r="33" spans="1:67" x14ac:dyDescent="0.4">
      <c r="A33" s="38">
        <v>30</v>
      </c>
      <c r="B33" s="3" t="s">
        <v>94</v>
      </c>
      <c r="C33" s="3" t="str">
        <f t="shared" si="17"/>
        <v>J652MC</v>
      </c>
      <c r="D33" s="3" t="s">
        <v>94</v>
      </c>
      <c r="E33" s="3" t="s">
        <v>142</v>
      </c>
      <c r="F33" s="4">
        <v>4977932069596</v>
      </c>
      <c r="G33" s="4"/>
      <c r="H33" s="4"/>
      <c r="I33" s="4">
        <v>1</v>
      </c>
      <c r="J33" s="4">
        <v>1</v>
      </c>
      <c r="K33" s="3">
        <v>25037</v>
      </c>
      <c r="L33" s="3">
        <v>21624</v>
      </c>
      <c r="M33" s="3">
        <v>16638</v>
      </c>
      <c r="N33" s="5">
        <f t="shared" si="18"/>
        <v>0.23057713651498335</v>
      </c>
      <c r="O33" s="3" t="s">
        <v>163</v>
      </c>
      <c r="P33" s="3"/>
      <c r="Q33" s="3"/>
      <c r="R33" s="3"/>
      <c r="S33" s="3"/>
      <c r="T33" s="3"/>
      <c r="U33" s="3"/>
      <c r="V33" s="3"/>
      <c r="W33" s="3"/>
      <c r="X33" s="3">
        <v>33050</v>
      </c>
      <c r="Y33" s="3">
        <f t="shared" si="19"/>
        <v>33050</v>
      </c>
      <c r="Z33" s="3">
        <v>19967</v>
      </c>
      <c r="AA33" s="3">
        <f t="shared" si="20"/>
        <v>19967</v>
      </c>
      <c r="AB33" s="3"/>
      <c r="AC33" s="20">
        <f>ROUND(L33*AR33,0)</f>
        <v>25951</v>
      </c>
      <c r="AD33" s="5">
        <f t="shared" si="21"/>
        <v>0.23058841663134366</v>
      </c>
      <c r="AE33" s="32">
        <v>0</v>
      </c>
      <c r="AF33" s="3">
        <f t="shared" si="22"/>
        <v>23600</v>
      </c>
      <c r="AG33" s="32">
        <f>AF33*AR33</f>
        <v>28321.985815602839</v>
      </c>
      <c r="AH33" s="5">
        <f>1-AA33/AG33</f>
        <v>0.29500000000000004</v>
      </c>
      <c r="AI33" s="32">
        <f>ROUND(AA33/0.7,0)</f>
        <v>28524</v>
      </c>
      <c r="AJ33" s="6">
        <v>27800</v>
      </c>
      <c r="AK33" s="5">
        <f>1-AA33/AJ33</f>
        <v>0.28176258992805758</v>
      </c>
      <c r="AL33" s="3">
        <f>AJ33-AA33</f>
        <v>7833</v>
      </c>
      <c r="AM33" s="27"/>
      <c r="AN33" s="5"/>
      <c r="AO33" s="5"/>
      <c r="AP33" s="5">
        <f>Y33/K33</f>
        <v>1.3200463314294844</v>
      </c>
      <c r="AQ33" s="5">
        <f>AJ33/L33</f>
        <v>1.2856085830558639</v>
      </c>
      <c r="AR33" s="5">
        <f>AA33/M33</f>
        <v>1.2000841447289339</v>
      </c>
      <c r="AS33" s="3"/>
      <c r="AT33" s="3"/>
      <c r="AU33" s="3"/>
      <c r="AV33" s="3"/>
      <c r="AW33" s="3"/>
      <c r="AX33" s="3"/>
      <c r="AY33" s="3"/>
      <c r="AZ33" s="3"/>
      <c r="BA33" s="3"/>
      <c r="BB33" s="3">
        <v>0</v>
      </c>
      <c r="BC33" s="3" t="s">
        <v>237</v>
      </c>
      <c r="BD33" s="3"/>
      <c r="BE33" s="3"/>
      <c r="BF33" s="3" t="s">
        <v>209</v>
      </c>
      <c r="BG33" s="3">
        <v>23600</v>
      </c>
      <c r="BH33" s="3">
        <v>23600</v>
      </c>
      <c r="BI33" s="3">
        <f t="shared" si="23"/>
        <v>23600</v>
      </c>
      <c r="BJ33" s="18">
        <v>4</v>
      </c>
      <c r="BK33" s="18">
        <v>9</v>
      </c>
      <c r="BL33" s="15">
        <v>19</v>
      </c>
      <c r="BM33" t="s">
        <v>162</v>
      </c>
      <c r="BN33">
        <v>34909</v>
      </c>
      <c r="BO33" t="s">
        <v>190</v>
      </c>
    </row>
    <row r="34" spans="1:67" x14ac:dyDescent="0.4">
      <c r="A34" s="38">
        <v>31</v>
      </c>
      <c r="B34" s="3" t="s">
        <v>95</v>
      </c>
      <c r="C34" s="3" t="str">
        <f t="shared" si="17"/>
        <v>J653MC</v>
      </c>
      <c r="D34" s="3" t="s">
        <v>95</v>
      </c>
      <c r="E34" s="3" t="s">
        <v>143</v>
      </c>
      <c r="F34" s="4">
        <v>4977932046139</v>
      </c>
      <c r="G34" s="4"/>
      <c r="H34" s="4"/>
      <c r="I34" s="4">
        <v>1</v>
      </c>
      <c r="J34" s="4">
        <v>1</v>
      </c>
      <c r="K34" s="3">
        <v>22537</v>
      </c>
      <c r="L34" s="3">
        <v>19299</v>
      </c>
      <c r="M34" s="3">
        <v>15057</v>
      </c>
      <c r="N34" s="5">
        <f t="shared" si="18"/>
        <v>0.21980413492927098</v>
      </c>
      <c r="O34" s="3" t="s">
        <v>163</v>
      </c>
      <c r="P34" s="3"/>
      <c r="Q34" s="3"/>
      <c r="R34" s="3"/>
      <c r="S34" s="3"/>
      <c r="T34" s="3"/>
      <c r="U34" s="3"/>
      <c r="V34" s="3"/>
      <c r="W34" s="3"/>
      <c r="X34" s="3">
        <v>29750</v>
      </c>
      <c r="Y34" s="3">
        <f t="shared" si="19"/>
        <v>29750</v>
      </c>
      <c r="Z34" s="3">
        <v>18070</v>
      </c>
      <c r="AA34" s="3">
        <f t="shared" si="20"/>
        <v>18070</v>
      </c>
      <c r="AB34" s="3"/>
      <c r="AC34" s="20">
        <f>ROUND(L34*AR34,0)</f>
        <v>23161</v>
      </c>
      <c r="AD34" s="5">
        <f t="shared" si="21"/>
        <v>0.21980916195328348</v>
      </c>
      <c r="AE34" s="32">
        <v>0</v>
      </c>
      <c r="AF34" s="3">
        <f t="shared" si="22"/>
        <v>23291</v>
      </c>
      <c r="AG34" s="32">
        <f>AF34*AR34</f>
        <v>27951.674968453211</v>
      </c>
      <c r="AH34" s="5">
        <f>1-AA34/AG34</f>
        <v>0.35352711347730881</v>
      </c>
      <c r="AI34" s="32">
        <f>ROUND(AA34/0.7,0)</f>
        <v>25814</v>
      </c>
      <c r="AJ34" s="6">
        <v>24800</v>
      </c>
      <c r="AK34" s="5">
        <f>1-AA34/AJ34</f>
        <v>0.27137096774193548</v>
      </c>
      <c r="AL34" s="3">
        <f>AJ34-AA34</f>
        <v>6730</v>
      </c>
      <c r="AM34" s="27"/>
      <c r="AN34" s="5"/>
      <c r="AO34" s="5"/>
      <c r="AP34" s="5">
        <f>Y34/K34</f>
        <v>1.3200514709144962</v>
      </c>
      <c r="AQ34" s="5">
        <f>AJ34/L34</f>
        <v>1.2850406756826778</v>
      </c>
      <c r="AR34" s="5">
        <f>AA34/M34</f>
        <v>1.2001062628677692</v>
      </c>
      <c r="AS34" s="3"/>
      <c r="AT34" s="3"/>
      <c r="AU34" s="3"/>
      <c r="AV34" s="3"/>
      <c r="AW34" s="3"/>
      <c r="AX34" s="3"/>
      <c r="AY34" s="3"/>
      <c r="AZ34" s="3"/>
      <c r="BA34" s="3"/>
      <c r="BB34" s="3">
        <v>0</v>
      </c>
      <c r="BC34" s="3" t="s">
        <v>238</v>
      </c>
      <c r="BD34" s="3"/>
      <c r="BE34" s="3"/>
      <c r="BF34" s="3" t="s">
        <v>209</v>
      </c>
      <c r="BG34" s="3">
        <v>23291</v>
      </c>
      <c r="BH34" s="3">
        <v>23291</v>
      </c>
      <c r="BI34" s="3">
        <f t="shared" si="23"/>
        <v>23291</v>
      </c>
      <c r="BJ34" s="18">
        <v>4</v>
      </c>
      <c r="BK34" s="18">
        <v>9</v>
      </c>
      <c r="BL34" s="15">
        <v>19</v>
      </c>
      <c r="BM34" t="s">
        <v>162</v>
      </c>
      <c r="BN34">
        <v>37050</v>
      </c>
      <c r="BO34" t="s">
        <v>191</v>
      </c>
    </row>
    <row r="35" spans="1:67" x14ac:dyDescent="0.4">
      <c r="A35" s="38">
        <v>32</v>
      </c>
      <c r="B35" s="3" t="s">
        <v>96</v>
      </c>
      <c r="C35" s="3" t="str">
        <f t="shared" si="17"/>
        <v>J654MC</v>
      </c>
      <c r="D35" s="3" t="s">
        <v>96</v>
      </c>
      <c r="E35" s="3" t="s">
        <v>144</v>
      </c>
      <c r="F35" s="4">
        <v>4977932129672</v>
      </c>
      <c r="G35" s="4"/>
      <c r="H35" s="4"/>
      <c r="I35" s="4">
        <v>1</v>
      </c>
      <c r="J35" s="4">
        <v>1</v>
      </c>
      <c r="K35" s="3">
        <v>61028</v>
      </c>
      <c r="L35" s="3">
        <v>50474</v>
      </c>
      <c r="M35" s="3">
        <v>39570</v>
      </c>
      <c r="N35" s="5">
        <f t="shared" si="18"/>
        <v>0.21603201648373416</v>
      </c>
      <c r="O35" s="3" t="s">
        <v>163</v>
      </c>
      <c r="P35" s="3"/>
      <c r="Q35" s="3"/>
      <c r="R35" s="3"/>
      <c r="S35" s="3"/>
      <c r="T35" s="3"/>
      <c r="U35" s="3"/>
      <c r="V35" s="3"/>
      <c r="W35" s="3"/>
      <c r="X35" s="3">
        <v>80560</v>
      </c>
      <c r="Y35" s="3">
        <f t="shared" si="19"/>
        <v>80560</v>
      </c>
      <c r="Z35" s="3">
        <v>47486</v>
      </c>
      <c r="AA35" s="3">
        <f t="shared" si="20"/>
        <v>47486</v>
      </c>
      <c r="AB35" s="3"/>
      <c r="AC35" s="20">
        <f>ROUND(L35*AR35,0)</f>
        <v>60571</v>
      </c>
      <c r="AD35" s="5">
        <f t="shared" si="21"/>
        <v>0.21602747189248983</v>
      </c>
      <c r="AE35" s="32">
        <v>0</v>
      </c>
      <c r="AF35" s="3">
        <f t="shared" si="22"/>
        <v>58374</v>
      </c>
      <c r="AG35" s="32">
        <f>AF35*AR35</f>
        <v>70051.750416982555</v>
      </c>
      <c r="AH35" s="5">
        <f>1-AA35/AG35</f>
        <v>0.32212971528420176</v>
      </c>
      <c r="AI35" s="32">
        <f>ROUND(AA35/0.7,0)</f>
        <v>67837</v>
      </c>
      <c r="AJ35" s="6">
        <v>64800</v>
      </c>
      <c r="AK35" s="5">
        <f>1-AA35/AJ35</f>
        <v>0.26719135802469141</v>
      </c>
      <c r="AL35" s="3">
        <f>AJ35-AA35</f>
        <v>17314</v>
      </c>
      <c r="AM35" s="27"/>
      <c r="AN35" s="5"/>
      <c r="AO35" s="5"/>
      <c r="AP35" s="5">
        <f>Y35/K35</f>
        <v>1.3200498132004981</v>
      </c>
      <c r="AQ35" s="5">
        <f>AJ35/L35</f>
        <v>1.2838292982525656</v>
      </c>
      <c r="AR35" s="5">
        <f>AA35/M35</f>
        <v>1.2000505433409148</v>
      </c>
      <c r="AS35" s="3"/>
      <c r="AT35" s="3"/>
      <c r="AU35" s="3"/>
      <c r="AV35" s="3"/>
      <c r="AW35" s="3"/>
      <c r="AX35" s="3"/>
      <c r="AY35" s="3"/>
      <c r="AZ35" s="3"/>
      <c r="BA35" s="3"/>
      <c r="BB35" s="3">
        <v>0</v>
      </c>
      <c r="BC35" s="3" t="s">
        <v>239</v>
      </c>
      <c r="BD35" s="3"/>
      <c r="BE35" s="3"/>
      <c r="BF35" s="3" t="s">
        <v>209</v>
      </c>
      <c r="BG35" s="3">
        <v>58374</v>
      </c>
      <c r="BH35" s="3">
        <v>58374</v>
      </c>
      <c r="BI35" s="3">
        <f t="shared" si="23"/>
        <v>58374</v>
      </c>
      <c r="BJ35" s="18">
        <v>4</v>
      </c>
      <c r="BK35" s="18">
        <v>9</v>
      </c>
      <c r="BL35" s="15">
        <v>19</v>
      </c>
      <c r="BM35" t="s">
        <v>162</v>
      </c>
      <c r="BN35">
        <v>99750</v>
      </c>
      <c r="BO35" t="s">
        <v>192</v>
      </c>
    </row>
    <row r="36" spans="1:67" x14ac:dyDescent="0.4">
      <c r="A36" s="38">
        <v>33</v>
      </c>
      <c r="B36" s="3" t="s">
        <v>97</v>
      </c>
      <c r="C36" s="3" t="str">
        <f t="shared" si="17"/>
        <v>J655MC</v>
      </c>
      <c r="D36" s="3" t="s">
        <v>97</v>
      </c>
      <c r="E36" s="3" t="s">
        <v>145</v>
      </c>
      <c r="F36" s="4">
        <v>4977932129689</v>
      </c>
      <c r="G36" s="4"/>
      <c r="H36" s="4"/>
      <c r="I36" s="4">
        <v>1</v>
      </c>
      <c r="J36" s="4">
        <v>1</v>
      </c>
      <c r="K36" s="3">
        <v>53519</v>
      </c>
      <c r="L36" s="3">
        <v>44935</v>
      </c>
      <c r="M36" s="3">
        <v>34827</v>
      </c>
      <c r="N36" s="5">
        <f t="shared" si="18"/>
        <v>0.22494714587737841</v>
      </c>
      <c r="O36" s="3" t="s">
        <v>163</v>
      </c>
      <c r="P36" s="3"/>
      <c r="Q36" s="3"/>
      <c r="R36" s="3"/>
      <c r="S36" s="3"/>
      <c r="T36" s="3"/>
      <c r="U36" s="3"/>
      <c r="V36" s="3"/>
      <c r="W36" s="3"/>
      <c r="X36" s="3">
        <v>70650</v>
      </c>
      <c r="Y36" s="3">
        <f t="shared" si="19"/>
        <v>70650</v>
      </c>
      <c r="Z36" s="3">
        <v>41796</v>
      </c>
      <c r="AA36" s="3">
        <f t="shared" si="20"/>
        <v>41796</v>
      </c>
      <c r="AB36" s="3"/>
      <c r="AC36" s="20">
        <f>ROUND(L36*AR36,0)</f>
        <v>53927</v>
      </c>
      <c r="AD36" s="5">
        <f t="shared" si="21"/>
        <v>0.22495225026424615</v>
      </c>
      <c r="AE36" s="32">
        <v>0</v>
      </c>
      <c r="AF36" s="3">
        <f t="shared" si="22"/>
        <v>48000</v>
      </c>
      <c r="AG36" s="32">
        <f>AF36*AR36</f>
        <v>57604.961667671632</v>
      </c>
      <c r="AH36" s="5">
        <f>1-AA36/AG36</f>
        <v>0.2744375</v>
      </c>
      <c r="AI36" s="32">
        <f>ROUND(AA36/0.7,0)</f>
        <v>59709</v>
      </c>
      <c r="AJ36" s="6">
        <v>56800</v>
      </c>
      <c r="AK36" s="5">
        <f>1-AA36/AJ36</f>
        <v>0.26415492957746478</v>
      </c>
      <c r="AL36" s="3">
        <f>AJ36-AA36</f>
        <v>15004</v>
      </c>
      <c r="AM36" s="27"/>
      <c r="AN36" s="5"/>
      <c r="AO36" s="5"/>
      <c r="AP36" s="5">
        <f>Y36/K36</f>
        <v>1.3200919299687961</v>
      </c>
      <c r="AQ36" s="5">
        <f>AJ36/L36</f>
        <v>1.2640480694336262</v>
      </c>
      <c r="AR36" s="5">
        <f>AA36/M36</f>
        <v>1.2001033680764923</v>
      </c>
      <c r="AS36" s="3"/>
      <c r="AT36" s="3"/>
      <c r="AU36" s="3"/>
      <c r="AV36" s="3"/>
      <c r="AW36" s="3"/>
      <c r="AX36" s="3"/>
      <c r="AY36" s="3"/>
      <c r="AZ36" s="3"/>
      <c r="BA36" s="3"/>
      <c r="BB36" s="3">
        <v>0</v>
      </c>
      <c r="BC36" s="3" t="s">
        <v>240</v>
      </c>
      <c r="BD36" s="3"/>
      <c r="BE36" s="3"/>
      <c r="BF36" s="3" t="s">
        <v>209</v>
      </c>
      <c r="BG36" s="3">
        <v>48000</v>
      </c>
      <c r="BH36" s="3">
        <v>48000</v>
      </c>
      <c r="BI36" s="3">
        <f t="shared" si="23"/>
        <v>48000</v>
      </c>
      <c r="BJ36" s="18">
        <v>4</v>
      </c>
      <c r="BK36" s="18">
        <v>9</v>
      </c>
      <c r="BL36" s="15">
        <v>19</v>
      </c>
      <c r="BM36" t="s">
        <v>162</v>
      </c>
      <c r="BN36">
        <v>87400</v>
      </c>
      <c r="BO36" t="s">
        <v>193</v>
      </c>
    </row>
    <row r="37" spans="1:67" x14ac:dyDescent="0.4">
      <c r="A37" s="38">
        <v>34</v>
      </c>
      <c r="B37" s="3" t="s">
        <v>98</v>
      </c>
      <c r="C37" s="3" t="str">
        <f t="shared" si="17"/>
        <v>J657MC</v>
      </c>
      <c r="D37" s="3" t="s">
        <v>98</v>
      </c>
      <c r="E37" s="3" t="s">
        <v>146</v>
      </c>
      <c r="F37" s="4">
        <v>4977932029064</v>
      </c>
      <c r="G37" s="4"/>
      <c r="H37" s="4"/>
      <c r="I37" s="4">
        <v>1</v>
      </c>
      <c r="J37" s="4">
        <v>1</v>
      </c>
      <c r="K37" s="3">
        <v>24537</v>
      </c>
      <c r="L37" s="3">
        <v>20345</v>
      </c>
      <c r="M37" s="3">
        <v>14984</v>
      </c>
      <c r="N37" s="5">
        <f t="shared" si="18"/>
        <v>0.26350454657163924</v>
      </c>
      <c r="O37" s="3" t="s">
        <v>163</v>
      </c>
      <c r="P37" s="3"/>
      <c r="Q37" s="3"/>
      <c r="R37" s="3"/>
      <c r="S37" s="3"/>
      <c r="T37" s="3"/>
      <c r="U37" s="3"/>
      <c r="V37" s="3"/>
      <c r="W37" s="3"/>
      <c r="X37" s="3">
        <v>32390</v>
      </c>
      <c r="Y37" s="3">
        <f t="shared" si="19"/>
        <v>32390</v>
      </c>
      <c r="Z37" s="3">
        <v>17982</v>
      </c>
      <c r="AA37" s="3">
        <f t="shared" si="20"/>
        <v>17982</v>
      </c>
      <c r="AB37" s="3"/>
      <c r="AC37" s="20">
        <f>ROUND(L37*AR37,0)</f>
        <v>24416</v>
      </c>
      <c r="AD37" s="5">
        <f t="shared" si="21"/>
        <v>0.26351572739187423</v>
      </c>
      <c r="AE37" s="32">
        <v>0</v>
      </c>
      <c r="AF37" s="3">
        <f t="shared" si="22"/>
        <v>25412</v>
      </c>
      <c r="AG37" s="32">
        <f>AF37*AR37</f>
        <v>30496.435130806192</v>
      </c>
      <c r="AH37" s="5">
        <f>1-AA37/AG37</f>
        <v>0.41035731150637489</v>
      </c>
      <c r="AI37" s="32">
        <f>ROUND(AA37/0.7,0)</f>
        <v>25689</v>
      </c>
      <c r="AJ37" s="6">
        <v>24800</v>
      </c>
      <c r="AK37" s="5">
        <f>1-AA37/AJ37</f>
        <v>0.27491935483870966</v>
      </c>
      <c r="AL37" s="3">
        <f>AJ37-AA37</f>
        <v>6818</v>
      </c>
      <c r="AM37" s="27"/>
      <c r="AN37" s="5"/>
      <c r="AO37" s="5"/>
      <c r="AP37" s="5">
        <f>Y37/K37</f>
        <v>1.3200472755430575</v>
      </c>
      <c r="AQ37" s="5">
        <f>AJ37/L37</f>
        <v>1.2189727205701646</v>
      </c>
      <c r="AR37" s="5">
        <f>AA37/M37</f>
        <v>1.2000800854244527</v>
      </c>
      <c r="AS37" s="3"/>
      <c r="AT37" s="3"/>
      <c r="AU37" s="3"/>
      <c r="AV37" s="3"/>
      <c r="AW37" s="3"/>
      <c r="AX37" s="3"/>
      <c r="AY37" s="3"/>
      <c r="AZ37" s="3"/>
      <c r="BA37" s="3"/>
      <c r="BB37" s="3">
        <v>0</v>
      </c>
      <c r="BC37" s="3" t="s">
        <v>241</v>
      </c>
      <c r="BD37" s="3"/>
      <c r="BE37" s="3"/>
      <c r="BF37" s="3" t="s">
        <v>209</v>
      </c>
      <c r="BG37" s="3">
        <v>25412</v>
      </c>
      <c r="BH37" s="3">
        <v>25412</v>
      </c>
      <c r="BI37" s="3">
        <f t="shared" si="23"/>
        <v>25412</v>
      </c>
      <c r="BJ37" s="18">
        <v>4</v>
      </c>
      <c r="BK37" s="18">
        <v>9</v>
      </c>
      <c r="BL37" s="15">
        <v>19</v>
      </c>
      <c r="BM37" t="s">
        <v>162</v>
      </c>
      <c r="BN37">
        <v>24130</v>
      </c>
      <c r="BO37" t="s">
        <v>194</v>
      </c>
    </row>
    <row r="38" spans="1:67" x14ac:dyDescent="0.4">
      <c r="A38" s="38">
        <v>35</v>
      </c>
      <c r="B38" s="3" t="s">
        <v>99</v>
      </c>
      <c r="C38" s="3" t="str">
        <f t="shared" si="17"/>
        <v>J658MC</v>
      </c>
      <c r="D38" s="3" t="s">
        <v>99</v>
      </c>
      <c r="E38" s="3" t="s">
        <v>147</v>
      </c>
      <c r="F38" s="4">
        <v>4977932014114</v>
      </c>
      <c r="G38" s="4"/>
      <c r="H38" s="4"/>
      <c r="I38" s="4">
        <v>1</v>
      </c>
      <c r="J38" s="4">
        <v>1</v>
      </c>
      <c r="K38" s="3">
        <v>13719</v>
      </c>
      <c r="L38" s="3">
        <v>13290</v>
      </c>
      <c r="M38" s="3">
        <v>8630</v>
      </c>
      <c r="N38" s="5">
        <f t="shared" si="18"/>
        <v>0.35063957863054929</v>
      </c>
      <c r="O38" s="3" t="s">
        <v>163</v>
      </c>
      <c r="P38" s="3"/>
      <c r="Q38" s="3"/>
      <c r="R38" s="3"/>
      <c r="S38" s="3"/>
      <c r="T38" s="3"/>
      <c r="U38" s="3"/>
      <c r="V38" s="3"/>
      <c r="W38" s="3"/>
      <c r="X38" s="3">
        <v>18110</v>
      </c>
      <c r="Y38" s="3">
        <f t="shared" si="19"/>
        <v>18110</v>
      </c>
      <c r="Z38" s="3">
        <v>10357</v>
      </c>
      <c r="AA38" s="3">
        <f t="shared" si="20"/>
        <v>10357</v>
      </c>
      <c r="AB38" s="3"/>
      <c r="AC38" s="20">
        <f>ROUND(L38*AR38,0)</f>
        <v>15950</v>
      </c>
      <c r="AD38" s="5">
        <f t="shared" si="21"/>
        <v>0.35065830721003133</v>
      </c>
      <c r="AE38" s="32">
        <v>0</v>
      </c>
      <c r="AF38" s="3">
        <f t="shared" si="22"/>
        <v>15776</v>
      </c>
      <c r="AG38" s="32">
        <f>AF38*AR38</f>
        <v>18933.028041714948</v>
      </c>
      <c r="AH38" s="5">
        <f>1-AA38/AG38</f>
        <v>0.4529665314401623</v>
      </c>
      <c r="AI38" s="32">
        <f>ROUND(AA38/0.7,0)</f>
        <v>14796</v>
      </c>
      <c r="AJ38" s="6">
        <v>14800</v>
      </c>
      <c r="AK38" s="5">
        <f>1-AA38/AJ38</f>
        <v>0.30020270270270266</v>
      </c>
      <c r="AL38" s="3">
        <f>AJ38-AA38</f>
        <v>4443</v>
      </c>
      <c r="AM38" s="27"/>
      <c r="AN38" s="5"/>
      <c r="AO38" s="5"/>
      <c r="AP38" s="5">
        <f>Y38/K38</f>
        <v>1.3200670602813616</v>
      </c>
      <c r="AQ38" s="5">
        <f>AJ38/L38</f>
        <v>1.1136192626034613</v>
      </c>
      <c r="AR38" s="5">
        <f>AA38/M38</f>
        <v>1.2001158748551564</v>
      </c>
      <c r="AS38" s="3"/>
      <c r="AT38" s="3"/>
      <c r="AU38" s="3"/>
      <c r="AV38" s="3"/>
      <c r="AW38" s="3"/>
      <c r="AX38" s="3"/>
      <c r="AY38" s="3"/>
      <c r="AZ38" s="3"/>
      <c r="BA38" s="3"/>
      <c r="BB38" s="3">
        <v>0</v>
      </c>
      <c r="BC38" s="3" t="s">
        <v>242</v>
      </c>
      <c r="BD38" s="3"/>
      <c r="BE38" s="3"/>
      <c r="BF38" s="3" t="s">
        <v>209</v>
      </c>
      <c r="BG38" s="3">
        <v>15776</v>
      </c>
      <c r="BH38" s="3">
        <v>15776</v>
      </c>
      <c r="BI38" s="3">
        <f t="shared" si="23"/>
        <v>15776</v>
      </c>
      <c r="BJ38" s="18">
        <v>4</v>
      </c>
      <c r="BK38" s="18">
        <v>9</v>
      </c>
      <c r="BL38" s="15">
        <v>19</v>
      </c>
      <c r="BM38" t="s">
        <v>162</v>
      </c>
      <c r="BN38">
        <v>13490</v>
      </c>
      <c r="BO38" t="s">
        <v>195</v>
      </c>
    </row>
    <row r="39" spans="1:67" x14ac:dyDescent="0.4">
      <c r="A39" s="38">
        <v>36</v>
      </c>
      <c r="B39" s="3" t="s">
        <v>100</v>
      </c>
      <c r="C39" s="3" t="str">
        <f t="shared" si="17"/>
        <v>J659MC</v>
      </c>
      <c r="D39" s="3" t="s">
        <v>100</v>
      </c>
      <c r="E39" s="3" t="s">
        <v>148</v>
      </c>
      <c r="F39" s="4">
        <v>4977932467675</v>
      </c>
      <c r="G39" s="4"/>
      <c r="H39" s="4"/>
      <c r="I39" s="4">
        <v>1</v>
      </c>
      <c r="J39" s="4">
        <v>1</v>
      </c>
      <c r="K39" s="3">
        <v>16464</v>
      </c>
      <c r="L39" s="3">
        <v>12311</v>
      </c>
      <c r="M39" s="3">
        <v>10190</v>
      </c>
      <c r="N39" s="5">
        <f t="shared" si="18"/>
        <v>0.17228494842011211</v>
      </c>
      <c r="O39" s="3" t="s">
        <v>163</v>
      </c>
      <c r="P39" s="3"/>
      <c r="Q39" s="3"/>
      <c r="R39" s="3"/>
      <c r="S39" s="3"/>
      <c r="T39" s="3"/>
      <c r="U39" s="3"/>
      <c r="V39" s="3"/>
      <c r="W39" s="3"/>
      <c r="X39" s="3">
        <v>21740</v>
      </c>
      <c r="Y39" s="3">
        <f t="shared" si="19"/>
        <v>21740</v>
      </c>
      <c r="Z39" s="3">
        <v>12233</v>
      </c>
      <c r="AA39" s="3">
        <f t="shared" si="20"/>
        <v>12233</v>
      </c>
      <c r="AB39" s="3"/>
      <c r="AC39" s="20">
        <f>ROUND(L39*AR39,0)</f>
        <v>14779</v>
      </c>
      <c r="AD39" s="5">
        <f t="shared" si="21"/>
        <v>0.17227146626970702</v>
      </c>
      <c r="AE39" s="32">
        <v>0</v>
      </c>
      <c r="AF39" s="3" t="str">
        <f t="shared" si="22"/>
        <v>-</v>
      </c>
      <c r="AG39" s="32" t="e">
        <f>AF39*AR39</f>
        <v>#VALUE!</v>
      </c>
      <c r="AH39" s="5" t="e">
        <f>1-AA39/AG39</f>
        <v>#VALUE!</v>
      </c>
      <c r="AI39" s="32">
        <f>ROUND(AA39/0.7,0)</f>
        <v>17476</v>
      </c>
      <c r="AJ39" s="6">
        <v>16800</v>
      </c>
      <c r="AK39" s="5">
        <f>1-AA39/AJ39</f>
        <v>0.27184523809523808</v>
      </c>
      <c r="AL39" s="3">
        <f>AJ39-AA39</f>
        <v>4567</v>
      </c>
      <c r="AM39" s="27"/>
      <c r="AN39" s="5"/>
      <c r="AO39" s="5"/>
      <c r="AP39" s="5">
        <f>Y39/K39</f>
        <v>1.3204567541302235</v>
      </c>
      <c r="AQ39" s="5">
        <f>AJ39/L39</f>
        <v>1.3646332548127691</v>
      </c>
      <c r="AR39" s="5">
        <f>AA39/M39</f>
        <v>1.2004906771344455</v>
      </c>
      <c r="AS39" s="3"/>
      <c r="AT39" s="3"/>
      <c r="AU39" s="3"/>
      <c r="AV39" s="3"/>
      <c r="AW39" s="3"/>
      <c r="AX39" s="3"/>
      <c r="AY39" s="3"/>
      <c r="AZ39" s="3"/>
      <c r="BA39" s="3"/>
      <c r="BB39" s="3">
        <v>0</v>
      </c>
      <c r="BC39" s="3" t="s">
        <v>162</v>
      </c>
      <c r="BD39" s="3"/>
      <c r="BE39" s="3"/>
      <c r="BF39" s="3" t="s">
        <v>162</v>
      </c>
      <c r="BG39" s="3" t="s">
        <v>162</v>
      </c>
      <c r="BH39" s="3" t="s">
        <v>162</v>
      </c>
      <c r="BI39" s="3" t="str">
        <f t="shared" si="23"/>
        <v>-</v>
      </c>
      <c r="BJ39" s="18">
        <v>4</v>
      </c>
      <c r="BK39" s="18">
        <v>9</v>
      </c>
      <c r="BL39" s="15">
        <v>19</v>
      </c>
      <c r="BM39" t="s">
        <v>162</v>
      </c>
      <c r="BN39">
        <v>19383</v>
      </c>
      <c r="BO39" t="s">
        <v>162</v>
      </c>
    </row>
    <row r="40" spans="1:67" x14ac:dyDescent="0.4">
      <c r="A40" s="38">
        <v>37</v>
      </c>
      <c r="B40" s="3" t="s">
        <v>101</v>
      </c>
      <c r="C40" s="3" t="str">
        <f t="shared" si="17"/>
        <v>J656MC</v>
      </c>
      <c r="D40" s="3" t="s">
        <v>101</v>
      </c>
      <c r="E40" s="3" t="s">
        <v>149</v>
      </c>
      <c r="F40" s="4">
        <v>4977932057920</v>
      </c>
      <c r="G40" s="4"/>
      <c r="H40" s="4"/>
      <c r="I40" s="4">
        <v>1</v>
      </c>
      <c r="J40" s="4">
        <v>1</v>
      </c>
      <c r="K40" s="3">
        <v>21410</v>
      </c>
      <c r="L40" s="3">
        <v>17685</v>
      </c>
      <c r="M40" s="3">
        <v>12998</v>
      </c>
      <c r="N40" s="5">
        <f t="shared" si="18"/>
        <v>0.26502685891998867</v>
      </c>
      <c r="O40" s="3" t="s">
        <v>163</v>
      </c>
      <c r="P40" s="3"/>
      <c r="Q40" s="3"/>
      <c r="R40" s="3"/>
      <c r="S40" s="3"/>
      <c r="T40" s="3"/>
      <c r="U40" s="3"/>
      <c r="V40" s="3"/>
      <c r="W40" s="3"/>
      <c r="X40" s="3">
        <v>28260</v>
      </c>
      <c r="Y40" s="3">
        <f t="shared" si="19"/>
        <v>28260</v>
      </c>
      <c r="Z40" s="3">
        <v>15598</v>
      </c>
      <c r="AA40" s="3">
        <f t="shared" si="20"/>
        <v>15598</v>
      </c>
      <c r="AB40" s="3"/>
      <c r="AC40" s="20">
        <f>ROUND(L40*AR40,0)</f>
        <v>21223</v>
      </c>
      <c r="AD40" s="5">
        <f t="shared" si="21"/>
        <v>0.26504264241624653</v>
      </c>
      <c r="AE40" s="32">
        <v>0</v>
      </c>
      <c r="AF40" s="3">
        <f t="shared" si="22"/>
        <v>23284</v>
      </c>
      <c r="AG40" s="32">
        <f>AF40*AR40</f>
        <v>27941.516541006309</v>
      </c>
      <c r="AH40" s="5">
        <f>1-AA40/AG40</f>
        <v>0.44176258374849686</v>
      </c>
      <c r="AI40" s="32">
        <f>ROUND(AA40/0.7,0)</f>
        <v>22283</v>
      </c>
      <c r="AJ40" s="6">
        <v>21800</v>
      </c>
      <c r="AK40" s="5">
        <f>1-AA40/AJ40</f>
        <v>0.28449541284403668</v>
      </c>
      <c r="AL40" s="3">
        <f>AJ40-AA40</f>
        <v>6202</v>
      </c>
      <c r="AM40" s="27"/>
      <c r="AN40" s="5"/>
      <c r="AO40" s="5"/>
      <c r="AP40" s="5">
        <f>Y40/K40</f>
        <v>1.3199439514245679</v>
      </c>
      <c r="AQ40" s="5">
        <f>AJ40/L40</f>
        <v>1.2326830647441334</v>
      </c>
      <c r="AR40" s="5">
        <f>AA40/M40</f>
        <v>1.2000307739652254</v>
      </c>
      <c r="AS40" s="3"/>
      <c r="AT40" s="3"/>
      <c r="AU40" s="3"/>
      <c r="AV40" s="3"/>
      <c r="AW40" s="3"/>
      <c r="AX40" s="3"/>
      <c r="AY40" s="3"/>
      <c r="AZ40" s="3"/>
      <c r="BA40" s="3"/>
      <c r="BB40" s="3">
        <v>0</v>
      </c>
      <c r="BC40" s="3" t="s">
        <v>243</v>
      </c>
      <c r="BD40" s="3"/>
      <c r="BE40" s="3"/>
      <c r="BF40" s="3" t="s">
        <v>209</v>
      </c>
      <c r="BG40" s="3">
        <v>23284</v>
      </c>
      <c r="BH40" s="3">
        <v>23284</v>
      </c>
      <c r="BI40" s="3">
        <f t="shared" si="23"/>
        <v>23284</v>
      </c>
      <c r="BJ40" s="18">
        <v>4</v>
      </c>
      <c r="BK40" s="18">
        <v>9</v>
      </c>
      <c r="BL40" s="15">
        <v>19</v>
      </c>
      <c r="BM40" t="s">
        <v>162</v>
      </c>
      <c r="BN40">
        <v>20995</v>
      </c>
      <c r="BO40" t="s">
        <v>196</v>
      </c>
    </row>
    <row r="41" spans="1:67" x14ac:dyDescent="0.4">
      <c r="A41" s="38">
        <v>38</v>
      </c>
      <c r="B41" s="3" t="s">
        <v>102</v>
      </c>
      <c r="C41" s="3" t="str">
        <f t="shared" si="17"/>
        <v>J660MC</v>
      </c>
      <c r="D41" s="3" t="s">
        <v>102</v>
      </c>
      <c r="E41" s="3" t="s">
        <v>150</v>
      </c>
      <c r="F41" s="4">
        <v>4977932467682</v>
      </c>
      <c r="G41" s="4"/>
      <c r="H41" s="4"/>
      <c r="I41" s="4">
        <v>1</v>
      </c>
      <c r="J41" s="4">
        <v>1</v>
      </c>
      <c r="K41" s="3">
        <v>19210</v>
      </c>
      <c r="L41" s="3">
        <v>15088</v>
      </c>
      <c r="M41" s="3">
        <v>11750</v>
      </c>
      <c r="N41" s="5">
        <f t="shared" si="18"/>
        <v>0.2212354188759279</v>
      </c>
      <c r="O41" s="3" t="s">
        <v>163</v>
      </c>
      <c r="P41" s="3"/>
      <c r="Q41" s="3"/>
      <c r="R41" s="3"/>
      <c r="S41" s="3"/>
      <c r="T41" s="3"/>
      <c r="U41" s="3"/>
      <c r="V41" s="3"/>
      <c r="W41" s="3"/>
      <c r="X41" s="3">
        <v>25360</v>
      </c>
      <c r="Y41" s="3">
        <f t="shared" si="19"/>
        <v>25360</v>
      </c>
      <c r="Z41" s="3">
        <v>14102</v>
      </c>
      <c r="AA41" s="3">
        <f t="shared" si="20"/>
        <v>14102</v>
      </c>
      <c r="AB41" s="3"/>
      <c r="AC41" s="20">
        <f>ROUND(L41*AR41,0)</f>
        <v>18108</v>
      </c>
      <c r="AD41" s="5">
        <f t="shared" si="21"/>
        <v>0.22122818643693398</v>
      </c>
      <c r="AE41" s="32">
        <v>0</v>
      </c>
      <c r="AF41" s="3">
        <f t="shared" si="22"/>
        <v>20179</v>
      </c>
      <c r="AG41" s="32">
        <f>AF41*AR41</f>
        <v>24218.234723404257</v>
      </c>
      <c r="AH41" s="5">
        <f>1-AA41/AG41</f>
        <v>0.41771148223400567</v>
      </c>
      <c r="AI41" s="32">
        <f>ROUND(AA41/0.7,0)</f>
        <v>20146</v>
      </c>
      <c r="AJ41" s="6">
        <v>19800</v>
      </c>
      <c r="AK41" s="5">
        <f>1-AA41/AJ41</f>
        <v>0.2877777777777778</v>
      </c>
      <c r="AL41" s="3">
        <f>AJ41-AA41</f>
        <v>5698</v>
      </c>
      <c r="AM41" s="27"/>
      <c r="AN41" s="5"/>
      <c r="AO41" s="5"/>
      <c r="AP41" s="5">
        <f>Y41/K41</f>
        <v>1.3201457574180115</v>
      </c>
      <c r="AQ41" s="5">
        <f>AJ41/L41</f>
        <v>1.3123011664899258</v>
      </c>
      <c r="AR41" s="5">
        <f>AA41/M41</f>
        <v>1.2001702127659575</v>
      </c>
      <c r="AS41" s="3"/>
      <c r="AT41" s="3"/>
      <c r="AU41" s="3"/>
      <c r="AV41" s="3"/>
      <c r="AW41" s="3"/>
      <c r="AX41" s="3"/>
      <c r="AY41" s="3"/>
      <c r="AZ41" s="3"/>
      <c r="BA41" s="3"/>
      <c r="BB41" s="3">
        <v>0</v>
      </c>
      <c r="BC41" s="3" t="s">
        <v>244</v>
      </c>
      <c r="BD41" s="3"/>
      <c r="BE41" s="3"/>
      <c r="BF41" s="3" t="s">
        <v>209</v>
      </c>
      <c r="BG41" s="3">
        <v>20179</v>
      </c>
      <c r="BH41" s="3">
        <v>20179</v>
      </c>
      <c r="BI41" s="3">
        <f t="shared" si="23"/>
        <v>20179</v>
      </c>
      <c r="BJ41" s="18">
        <v>4</v>
      </c>
      <c r="BK41" s="18">
        <v>9</v>
      </c>
      <c r="BL41" s="15">
        <v>19</v>
      </c>
      <c r="BM41" t="s">
        <v>162</v>
      </c>
      <c r="BN41">
        <v>24637</v>
      </c>
      <c r="BO41" t="s">
        <v>197</v>
      </c>
    </row>
    <row r="42" spans="1:67" x14ac:dyDescent="0.4">
      <c r="A42" s="38">
        <v>39</v>
      </c>
      <c r="B42" s="3" t="s">
        <v>103</v>
      </c>
      <c r="C42" s="3" t="str">
        <f t="shared" si="17"/>
        <v>J661MC</v>
      </c>
      <c r="D42" s="3" t="s">
        <v>103</v>
      </c>
      <c r="E42" s="3" t="s">
        <v>151</v>
      </c>
      <c r="F42" s="4">
        <v>4977932520615</v>
      </c>
      <c r="G42" s="4"/>
      <c r="H42" s="4"/>
      <c r="I42" s="4">
        <v>1</v>
      </c>
      <c r="J42" s="4">
        <v>1</v>
      </c>
      <c r="K42" s="3">
        <v>33537</v>
      </c>
      <c r="L42" s="3">
        <v>25275</v>
      </c>
      <c r="M42" s="3">
        <v>18090</v>
      </c>
      <c r="N42" s="5">
        <f t="shared" si="18"/>
        <v>0.28427299703264097</v>
      </c>
      <c r="O42" s="3" t="s">
        <v>163</v>
      </c>
      <c r="P42" s="3"/>
      <c r="Q42" s="3"/>
      <c r="R42" s="3"/>
      <c r="S42" s="3"/>
      <c r="T42" s="3"/>
      <c r="U42" s="3"/>
      <c r="V42" s="3"/>
      <c r="W42" s="3"/>
      <c r="X42" s="3">
        <v>44270</v>
      </c>
      <c r="Y42" s="3">
        <f t="shared" si="19"/>
        <v>44270</v>
      </c>
      <c r="Z42" s="3">
        <v>21709</v>
      </c>
      <c r="AA42" s="3">
        <f t="shared" si="20"/>
        <v>21709</v>
      </c>
      <c r="AB42" s="3"/>
      <c r="AC42" s="20">
        <f>ROUND(L42*AR42,0)</f>
        <v>30331</v>
      </c>
      <c r="AD42" s="5">
        <f t="shared" si="21"/>
        <v>0.28426362467442545</v>
      </c>
      <c r="AE42" s="32">
        <v>0</v>
      </c>
      <c r="AF42" s="3">
        <f t="shared" si="22"/>
        <v>29526</v>
      </c>
      <c r="AG42" s="32">
        <f>AF42*AR42</f>
        <v>35432.832172470975</v>
      </c>
      <c r="AH42" s="5">
        <f>1-AA42/AG42</f>
        <v>0.38731965047754513</v>
      </c>
      <c r="AI42" s="32">
        <f>ROUND(AA42/0.7,0)</f>
        <v>31013</v>
      </c>
      <c r="AJ42" s="6">
        <v>30800</v>
      </c>
      <c r="AK42" s="5">
        <f>1-AA42/AJ42</f>
        <v>0.29516233766233768</v>
      </c>
      <c r="AL42" s="3">
        <f>AJ42-AA42</f>
        <v>9091</v>
      </c>
      <c r="AM42" s="27"/>
      <c r="AN42" s="5"/>
      <c r="AO42" s="5"/>
      <c r="AP42" s="5">
        <f>Y42/K42</f>
        <v>1.3200345886632674</v>
      </c>
      <c r="AQ42" s="5">
        <f>AJ42/L42</f>
        <v>1.218595450049456</v>
      </c>
      <c r="AR42" s="5">
        <f>AA42/M42</f>
        <v>1.2000552791597567</v>
      </c>
      <c r="AS42" s="3"/>
      <c r="AT42" s="3"/>
      <c r="AU42" s="3"/>
      <c r="AV42" s="3"/>
      <c r="AW42" s="3"/>
      <c r="AX42" s="3"/>
      <c r="AY42" s="3"/>
      <c r="AZ42" s="3"/>
      <c r="BA42" s="3"/>
      <c r="BB42" s="3">
        <v>0</v>
      </c>
      <c r="BC42" s="3" t="s">
        <v>245</v>
      </c>
      <c r="BD42" s="3"/>
      <c r="BE42" s="3"/>
      <c r="BF42" s="3" t="s">
        <v>209</v>
      </c>
      <c r="BG42" s="3">
        <v>29526</v>
      </c>
      <c r="BH42" s="3">
        <v>29526</v>
      </c>
      <c r="BI42" s="3">
        <f t="shared" si="23"/>
        <v>29526</v>
      </c>
      <c r="BJ42" s="18">
        <v>4</v>
      </c>
      <c r="BK42" s="18">
        <v>9</v>
      </c>
      <c r="BL42" s="15">
        <v>19</v>
      </c>
      <c r="BM42">
        <v>51171</v>
      </c>
      <c r="BN42">
        <v>32965</v>
      </c>
      <c r="BO42" t="s">
        <v>198</v>
      </c>
    </row>
    <row r="43" spans="1:67" x14ac:dyDescent="0.4">
      <c r="A43" s="38">
        <v>40</v>
      </c>
      <c r="B43" s="3" t="s">
        <v>104</v>
      </c>
      <c r="C43" s="3" t="str">
        <f t="shared" si="17"/>
        <v>J662MC</v>
      </c>
      <c r="D43" s="3" t="s">
        <v>104</v>
      </c>
      <c r="E43" s="3" t="s">
        <v>152</v>
      </c>
      <c r="F43" s="4">
        <v>4977932539365</v>
      </c>
      <c r="G43" s="4"/>
      <c r="H43" s="4"/>
      <c r="I43" s="4">
        <v>1</v>
      </c>
      <c r="J43" s="4">
        <v>1</v>
      </c>
      <c r="K43" s="3">
        <v>17291</v>
      </c>
      <c r="L43" s="3">
        <v>13451</v>
      </c>
      <c r="M43" s="3">
        <v>10658</v>
      </c>
      <c r="N43" s="5">
        <f t="shared" si="18"/>
        <v>0.20764255445691771</v>
      </c>
      <c r="O43" s="3" t="s">
        <v>163</v>
      </c>
      <c r="P43" s="3"/>
      <c r="Q43" s="3"/>
      <c r="R43" s="3"/>
      <c r="S43" s="3"/>
      <c r="T43" s="3"/>
      <c r="U43" s="3"/>
      <c r="V43" s="3"/>
      <c r="W43" s="3"/>
      <c r="X43" s="3">
        <v>22830</v>
      </c>
      <c r="Y43" s="3">
        <f t="shared" si="19"/>
        <v>22830</v>
      </c>
      <c r="Z43" s="3">
        <v>12793</v>
      </c>
      <c r="AA43" s="3">
        <f t="shared" si="20"/>
        <v>12793</v>
      </c>
      <c r="AB43" s="3"/>
      <c r="AC43" s="20">
        <f>ROUND(L43*AR43,0)</f>
        <v>16145</v>
      </c>
      <c r="AD43" s="5">
        <f t="shared" si="21"/>
        <v>0.20761845772685039</v>
      </c>
      <c r="AE43" s="32">
        <v>0</v>
      </c>
      <c r="AF43" s="3">
        <f t="shared" si="22"/>
        <v>19974</v>
      </c>
      <c r="AG43" s="32">
        <f>AF43*AR43</f>
        <v>23975.171889660349</v>
      </c>
      <c r="AH43" s="5">
        <f>1-AA43/AG43</f>
        <v>0.4664063282266947</v>
      </c>
      <c r="AI43" s="32">
        <f>ROUND(AA43/0.7,0)</f>
        <v>18276</v>
      </c>
      <c r="AJ43" s="6">
        <v>17800</v>
      </c>
      <c r="AK43" s="5">
        <f>1-AA43/AJ43</f>
        <v>0.28129213483146065</v>
      </c>
      <c r="AL43" s="3">
        <f>AJ43-AA43</f>
        <v>5007</v>
      </c>
      <c r="AM43" s="27"/>
      <c r="AN43" s="5"/>
      <c r="AO43" s="5"/>
      <c r="AP43" s="5">
        <f>Y43/K43</f>
        <v>1.3203400613035683</v>
      </c>
      <c r="AQ43" s="5">
        <f>AJ43/L43</f>
        <v>1.323321686119991</v>
      </c>
      <c r="AR43" s="5">
        <f>AA43/M43</f>
        <v>1.2003190091949709</v>
      </c>
      <c r="AS43" s="3"/>
      <c r="AT43" s="3"/>
      <c r="AU43" s="3"/>
      <c r="AV43" s="3"/>
      <c r="AW43" s="3"/>
      <c r="AX43" s="3"/>
      <c r="AY43" s="3"/>
      <c r="AZ43" s="3"/>
      <c r="BA43" s="3"/>
      <c r="BB43" s="3">
        <v>0</v>
      </c>
      <c r="BC43" s="3" t="s">
        <v>246</v>
      </c>
      <c r="BD43" s="3"/>
      <c r="BE43" s="3"/>
      <c r="BF43" s="3" t="s">
        <v>209</v>
      </c>
      <c r="BG43" s="3">
        <v>19974</v>
      </c>
      <c r="BH43" s="3">
        <v>19974</v>
      </c>
      <c r="BI43" s="3">
        <f t="shared" si="23"/>
        <v>19974</v>
      </c>
      <c r="BJ43" s="18">
        <v>4</v>
      </c>
      <c r="BK43" s="18">
        <v>9</v>
      </c>
      <c r="BL43" s="15">
        <v>19</v>
      </c>
      <c r="BM43" t="s">
        <v>162</v>
      </c>
      <c r="BN43">
        <v>16910</v>
      </c>
      <c r="BO43" t="s">
        <v>199</v>
      </c>
    </row>
    <row r="44" spans="1:67" x14ac:dyDescent="0.4">
      <c r="A44" s="38">
        <v>41</v>
      </c>
      <c r="B44" s="3" t="s">
        <v>105</v>
      </c>
      <c r="C44" s="3" t="str">
        <f t="shared" si="17"/>
        <v>J664MC</v>
      </c>
      <c r="D44" s="3" t="s">
        <v>105</v>
      </c>
      <c r="E44" s="3" t="s">
        <v>153</v>
      </c>
      <c r="F44" s="4">
        <v>4977932467668</v>
      </c>
      <c r="G44" s="4"/>
      <c r="H44" s="4"/>
      <c r="I44" s="4">
        <v>1</v>
      </c>
      <c r="J44" s="4">
        <v>1</v>
      </c>
      <c r="K44" s="3">
        <v>21955</v>
      </c>
      <c r="L44" s="3">
        <v>18065</v>
      </c>
      <c r="M44" s="3">
        <v>13310</v>
      </c>
      <c r="N44" s="5">
        <f t="shared" si="18"/>
        <v>0.26321616385275393</v>
      </c>
      <c r="O44" s="3" t="s">
        <v>163</v>
      </c>
      <c r="P44" s="3"/>
      <c r="Q44" s="3"/>
      <c r="R44" s="3"/>
      <c r="S44" s="3"/>
      <c r="T44" s="3"/>
      <c r="U44" s="3"/>
      <c r="V44" s="3"/>
      <c r="W44" s="3"/>
      <c r="X44" s="3">
        <v>28980</v>
      </c>
      <c r="Y44" s="3">
        <f t="shared" si="19"/>
        <v>28980</v>
      </c>
      <c r="Z44" s="3">
        <v>15972</v>
      </c>
      <c r="AA44" s="3">
        <f t="shared" si="20"/>
        <v>15972</v>
      </c>
      <c r="AB44" s="3"/>
      <c r="AC44" s="20">
        <f>ROUND(L44*AR44,0)</f>
        <v>21678</v>
      </c>
      <c r="AD44" s="5">
        <f t="shared" si="21"/>
        <v>0.26321616385275393</v>
      </c>
      <c r="AE44" s="32">
        <v>0</v>
      </c>
      <c r="AF44" s="3">
        <f t="shared" si="22"/>
        <v>18316</v>
      </c>
      <c r="AG44" s="32">
        <f>AF44*AR44</f>
        <v>21979.200000000001</v>
      </c>
      <c r="AH44" s="5">
        <f>1-AA44/AG44</f>
        <v>0.27331295042585724</v>
      </c>
      <c r="AI44" s="32">
        <f>ROUND(AA44/0.7,0)</f>
        <v>22817</v>
      </c>
      <c r="AJ44" s="6">
        <v>21800</v>
      </c>
      <c r="AK44" s="5">
        <f>1-AA44/AJ44</f>
        <v>0.26733944954128441</v>
      </c>
      <c r="AL44" s="3">
        <f>AJ44-AA44</f>
        <v>5828</v>
      </c>
      <c r="AM44" s="27"/>
      <c r="AN44" s="5"/>
      <c r="AO44" s="5"/>
      <c r="AP44" s="5">
        <f>Y44/K44</f>
        <v>1.3199726713732636</v>
      </c>
      <c r="AQ44" s="5">
        <f>AJ44/L44</f>
        <v>1.2067533905341821</v>
      </c>
      <c r="AR44" s="5">
        <f>AA44/M44</f>
        <v>1.2</v>
      </c>
      <c r="AS44" s="3"/>
      <c r="AT44" s="3"/>
      <c r="AU44" s="3"/>
      <c r="AV44" s="3"/>
      <c r="AW44" s="3"/>
      <c r="AX44" s="3"/>
      <c r="AY44" s="3"/>
      <c r="AZ44" s="3"/>
      <c r="BA44" s="3"/>
      <c r="BB44" s="3">
        <v>0</v>
      </c>
      <c r="BC44" s="3" t="s">
        <v>247</v>
      </c>
      <c r="BD44" s="3"/>
      <c r="BE44" s="3"/>
      <c r="BF44" s="3" t="s">
        <v>209</v>
      </c>
      <c r="BG44" s="3">
        <v>18316</v>
      </c>
      <c r="BH44" s="3">
        <v>18316</v>
      </c>
      <c r="BI44" s="3">
        <f t="shared" si="23"/>
        <v>18316</v>
      </c>
      <c r="BJ44" s="18">
        <v>4</v>
      </c>
      <c r="BK44" s="18">
        <v>9</v>
      </c>
      <c r="BL44" s="15">
        <v>19</v>
      </c>
      <c r="BM44" t="s">
        <v>162</v>
      </c>
      <c r="BN44">
        <v>21613</v>
      </c>
      <c r="BO44" t="s">
        <v>200</v>
      </c>
    </row>
    <row r="45" spans="1:67" x14ac:dyDescent="0.4">
      <c r="A45" s="38">
        <v>42</v>
      </c>
      <c r="B45" s="3" t="s">
        <v>106</v>
      </c>
      <c r="C45" s="3" t="str">
        <f t="shared" si="17"/>
        <v>J665MC</v>
      </c>
      <c r="D45" s="3" t="s">
        <v>106</v>
      </c>
      <c r="E45" s="3" t="s">
        <v>154</v>
      </c>
      <c r="F45" s="4">
        <v>4977932573376</v>
      </c>
      <c r="G45" s="4"/>
      <c r="H45" s="4"/>
      <c r="I45" s="4">
        <v>1</v>
      </c>
      <c r="J45" s="4">
        <v>1</v>
      </c>
      <c r="K45" s="3">
        <v>18937</v>
      </c>
      <c r="L45" s="3">
        <v>15405</v>
      </c>
      <c r="M45" s="3">
        <v>11130</v>
      </c>
      <c r="N45" s="5">
        <f t="shared" si="18"/>
        <v>0.27750730282375857</v>
      </c>
      <c r="O45" s="3" t="s">
        <v>163</v>
      </c>
      <c r="P45" s="3"/>
      <c r="Q45" s="3"/>
      <c r="R45" s="3"/>
      <c r="S45" s="3"/>
      <c r="T45" s="3"/>
      <c r="U45" s="3"/>
      <c r="V45" s="3"/>
      <c r="W45" s="3"/>
      <c r="X45" s="3">
        <v>25000</v>
      </c>
      <c r="Y45" s="3">
        <f t="shared" si="19"/>
        <v>25000</v>
      </c>
      <c r="Z45" s="3">
        <v>13358</v>
      </c>
      <c r="AA45" s="3">
        <f t="shared" si="20"/>
        <v>13358</v>
      </c>
      <c r="AB45" s="3"/>
      <c r="AC45" s="20">
        <f>ROUND(L45*AR45,0)</f>
        <v>18489</v>
      </c>
      <c r="AD45" s="5">
        <f t="shared" si="21"/>
        <v>0.27751636107956079</v>
      </c>
      <c r="AE45" s="32">
        <v>0</v>
      </c>
      <c r="AF45" s="3">
        <f t="shared" si="22"/>
        <v>17550</v>
      </c>
      <c r="AG45" s="32">
        <f>AF45*AR45</f>
        <v>21063.153638814016</v>
      </c>
      <c r="AH45" s="5">
        <f>1-AA45/AG45</f>
        <v>0.36581196581196584</v>
      </c>
      <c r="AI45" s="32">
        <f>ROUND(AA45/0.7,0)</f>
        <v>19083</v>
      </c>
      <c r="AJ45" s="6">
        <v>18800</v>
      </c>
      <c r="AK45" s="5">
        <f>1-AA45/AJ45</f>
        <v>0.289468085106383</v>
      </c>
      <c r="AL45" s="3">
        <f>AJ45-AA45</f>
        <v>5442</v>
      </c>
      <c r="AM45" s="27"/>
      <c r="AN45" s="5"/>
      <c r="AO45" s="5"/>
      <c r="AP45" s="5">
        <f>Y45/K45</f>
        <v>1.3201668690922532</v>
      </c>
      <c r="AQ45" s="5">
        <f>AJ45/L45</f>
        <v>1.2203829925348912</v>
      </c>
      <c r="AR45" s="5">
        <f>AA45/M45</f>
        <v>1.2001796945193171</v>
      </c>
      <c r="AS45" s="3"/>
      <c r="AT45" s="3"/>
      <c r="AU45" s="3"/>
      <c r="AV45" s="3"/>
      <c r="AW45" s="3"/>
      <c r="AX45" s="3"/>
      <c r="AY45" s="3"/>
      <c r="AZ45" s="3"/>
      <c r="BA45" s="3"/>
      <c r="BB45" s="3">
        <v>0</v>
      </c>
      <c r="BC45" s="3" t="s">
        <v>248</v>
      </c>
      <c r="BD45" s="3"/>
      <c r="BE45" s="3"/>
      <c r="BF45" s="3" t="s">
        <v>209</v>
      </c>
      <c r="BG45" s="3">
        <v>17550</v>
      </c>
      <c r="BH45" s="3">
        <v>17550</v>
      </c>
      <c r="BI45" s="3">
        <f t="shared" si="23"/>
        <v>17550</v>
      </c>
      <c r="BJ45" s="18">
        <v>4</v>
      </c>
      <c r="BK45" s="18">
        <v>9</v>
      </c>
      <c r="BL45" s="15">
        <v>19</v>
      </c>
      <c r="BM45" t="s">
        <v>162</v>
      </c>
      <c r="BN45">
        <v>18620</v>
      </c>
      <c r="BO45" t="s">
        <v>201</v>
      </c>
    </row>
    <row r="46" spans="1:67" x14ac:dyDescent="0.4">
      <c r="A46" s="38">
        <v>43</v>
      </c>
      <c r="B46" s="3" t="s">
        <v>107</v>
      </c>
      <c r="C46" s="3" t="str">
        <f t="shared" si="17"/>
        <v>J663MC</v>
      </c>
      <c r="D46" s="3" t="s">
        <v>107</v>
      </c>
      <c r="E46" s="3" t="s">
        <v>155</v>
      </c>
      <c r="F46" s="4">
        <v>4977932116726</v>
      </c>
      <c r="G46" s="4"/>
      <c r="H46" s="4"/>
      <c r="I46" s="4">
        <v>1</v>
      </c>
      <c r="J46" s="4">
        <v>1</v>
      </c>
      <c r="K46" s="3">
        <v>25691</v>
      </c>
      <c r="L46" s="3">
        <v>23056</v>
      </c>
      <c r="M46" s="3">
        <v>15639</v>
      </c>
      <c r="N46" s="5">
        <f t="shared" si="18"/>
        <v>0.32169500346981261</v>
      </c>
      <c r="O46" s="3" t="s">
        <v>163</v>
      </c>
      <c r="P46" s="3"/>
      <c r="Q46" s="3"/>
      <c r="R46" s="3"/>
      <c r="S46" s="3"/>
      <c r="T46" s="3"/>
      <c r="U46" s="3"/>
      <c r="V46" s="3"/>
      <c r="W46" s="3"/>
      <c r="X46" s="3">
        <v>33920</v>
      </c>
      <c r="Y46" s="3">
        <f t="shared" si="19"/>
        <v>33920</v>
      </c>
      <c r="Z46" s="3">
        <v>18771</v>
      </c>
      <c r="AA46" s="3">
        <f t="shared" si="20"/>
        <v>18771</v>
      </c>
      <c r="AB46" s="3"/>
      <c r="AC46" s="20">
        <f>ROUND(L46*AR46,0)</f>
        <v>27673</v>
      </c>
      <c r="AD46" s="5">
        <f t="shared" si="21"/>
        <v>0.32168539731868606</v>
      </c>
      <c r="AE46" s="32">
        <v>0</v>
      </c>
      <c r="AF46" s="3">
        <f t="shared" si="22"/>
        <v>29644</v>
      </c>
      <c r="AG46" s="32">
        <f>AF46*AR46</f>
        <v>35580.76117398811</v>
      </c>
      <c r="AH46" s="5">
        <f>1-AA46/AG46</f>
        <v>0.47243961678585888</v>
      </c>
      <c r="AI46" s="32">
        <f>ROUND(AA46/0.7,0)</f>
        <v>26816</v>
      </c>
      <c r="AJ46" s="6">
        <v>26800</v>
      </c>
      <c r="AK46" s="5">
        <f>1-AA46/AJ46</f>
        <v>0.29958955223880601</v>
      </c>
      <c r="AL46" s="3">
        <f>AJ46-AA46</f>
        <v>8029</v>
      </c>
      <c r="AM46" s="27"/>
      <c r="AN46" s="5"/>
      <c r="AO46" s="5"/>
      <c r="AP46" s="5">
        <f>Y46/K46</f>
        <v>1.3203067221984353</v>
      </c>
      <c r="AQ46" s="5">
        <f>AJ46/L46</f>
        <v>1.1623872310895211</v>
      </c>
      <c r="AR46" s="5">
        <f>AA46/M46</f>
        <v>1.2002685593708038</v>
      </c>
      <c r="AS46" s="3"/>
      <c r="AT46" s="3"/>
      <c r="AU46" s="3"/>
      <c r="AV46" s="3"/>
      <c r="AW46" s="3"/>
      <c r="AX46" s="3"/>
      <c r="AY46" s="3"/>
      <c r="AZ46" s="3"/>
      <c r="BA46" s="3"/>
      <c r="BB46" s="3">
        <v>0</v>
      </c>
      <c r="BC46" s="3" t="s">
        <v>249</v>
      </c>
      <c r="BD46" s="3"/>
      <c r="BE46" s="3"/>
      <c r="BF46" s="3" t="s">
        <v>209</v>
      </c>
      <c r="BG46" s="3">
        <v>29644</v>
      </c>
      <c r="BH46" s="3">
        <v>29644</v>
      </c>
      <c r="BI46" s="3">
        <f t="shared" si="23"/>
        <v>29644</v>
      </c>
      <c r="BJ46" s="18">
        <v>4</v>
      </c>
      <c r="BK46" s="18">
        <v>9</v>
      </c>
      <c r="BL46" s="15">
        <v>19</v>
      </c>
      <c r="BM46" t="s">
        <v>162</v>
      </c>
      <c r="BN46">
        <v>25175</v>
      </c>
      <c r="BO46" t="s">
        <v>202</v>
      </c>
    </row>
    <row r="47" spans="1:67" x14ac:dyDescent="0.4">
      <c r="A47" s="38">
        <v>44</v>
      </c>
      <c r="B47" s="3" t="s">
        <v>108</v>
      </c>
      <c r="C47" s="3" t="str">
        <f t="shared" si="17"/>
        <v>J666MC</v>
      </c>
      <c r="D47" s="3" t="s">
        <v>108</v>
      </c>
      <c r="E47" s="3" t="s">
        <v>156</v>
      </c>
      <c r="F47" s="4">
        <v>4977932116702</v>
      </c>
      <c r="G47" s="4"/>
      <c r="H47" s="4"/>
      <c r="I47" s="4">
        <v>1</v>
      </c>
      <c r="J47" s="4">
        <v>1</v>
      </c>
      <c r="K47" s="3">
        <v>21410</v>
      </c>
      <c r="L47" s="3">
        <v>19323</v>
      </c>
      <c r="M47" s="3">
        <v>12998</v>
      </c>
      <c r="N47" s="5">
        <f t="shared" si="18"/>
        <v>0.32733012472183409</v>
      </c>
      <c r="O47" s="3" t="s">
        <v>163</v>
      </c>
      <c r="P47" s="3"/>
      <c r="Q47" s="3"/>
      <c r="R47" s="3"/>
      <c r="S47" s="3"/>
      <c r="T47" s="3"/>
      <c r="U47" s="3"/>
      <c r="V47" s="3"/>
      <c r="W47" s="3"/>
      <c r="X47" s="3">
        <v>28260</v>
      </c>
      <c r="Y47" s="3">
        <f t="shared" si="19"/>
        <v>28260</v>
      </c>
      <c r="Z47" s="3">
        <v>15598</v>
      </c>
      <c r="AA47" s="3">
        <f t="shared" si="20"/>
        <v>15598</v>
      </c>
      <c r="AB47" s="3"/>
      <c r="AC47" s="20">
        <f>ROUND(L47*AR47,0)</f>
        <v>23188</v>
      </c>
      <c r="AD47" s="5">
        <f t="shared" si="21"/>
        <v>0.32732447817836807</v>
      </c>
      <c r="AE47" s="32">
        <v>0</v>
      </c>
      <c r="AF47" s="3">
        <f t="shared" si="22"/>
        <v>17866</v>
      </c>
      <c r="AG47" s="32">
        <f>AF47*AR47</f>
        <v>21439.749807662716</v>
      </c>
      <c r="AH47" s="5">
        <f>1-AA47/AG47</f>
        <v>0.27247285346468153</v>
      </c>
      <c r="AI47" s="32">
        <f>ROUND(AA47/0.7,0)</f>
        <v>22283</v>
      </c>
      <c r="AJ47" s="6">
        <v>21400</v>
      </c>
      <c r="AK47" s="5">
        <f>1-AA47/AJ47</f>
        <v>0.27112149532710283</v>
      </c>
      <c r="AL47" s="3">
        <f>AJ47-AA47</f>
        <v>5802</v>
      </c>
      <c r="AM47" s="27"/>
      <c r="AN47" s="5"/>
      <c r="AO47" s="5"/>
      <c r="AP47" s="5">
        <f>Y47/K47</f>
        <v>1.3199439514245679</v>
      </c>
      <c r="AQ47" s="5">
        <f>AJ47/L47</f>
        <v>1.1074884852248617</v>
      </c>
      <c r="AR47" s="5">
        <f>AA47/M47</f>
        <v>1.2000307739652254</v>
      </c>
      <c r="AS47" s="3"/>
      <c r="AT47" s="3"/>
      <c r="AU47" s="3"/>
      <c r="AV47" s="3"/>
      <c r="AW47" s="3"/>
      <c r="AX47" s="3"/>
      <c r="AY47" s="3"/>
      <c r="AZ47" s="3"/>
      <c r="BA47" s="3"/>
      <c r="BB47" s="3">
        <v>0</v>
      </c>
      <c r="BC47" s="3" t="s">
        <v>250</v>
      </c>
      <c r="BD47" s="3"/>
      <c r="BE47" s="3"/>
      <c r="BF47" s="3" t="s">
        <v>209</v>
      </c>
      <c r="BG47" s="3">
        <v>17866</v>
      </c>
      <c r="BH47" s="3">
        <v>17866</v>
      </c>
      <c r="BI47" s="3">
        <f t="shared" si="23"/>
        <v>17866</v>
      </c>
      <c r="BJ47" s="18">
        <v>4</v>
      </c>
      <c r="BK47" s="18">
        <v>9</v>
      </c>
      <c r="BL47" s="15">
        <v>19</v>
      </c>
      <c r="BM47" t="s">
        <v>162</v>
      </c>
      <c r="BN47">
        <v>20995</v>
      </c>
      <c r="BO47" t="s">
        <v>203</v>
      </c>
    </row>
    <row r="48" spans="1:67" x14ac:dyDescent="0.4">
      <c r="A48" s="38">
        <v>45</v>
      </c>
      <c r="B48" s="3" t="s">
        <v>109</v>
      </c>
      <c r="C48" s="3" t="str">
        <f t="shared" si="17"/>
        <v>J667MC</v>
      </c>
      <c r="D48" s="3" t="s">
        <v>109</v>
      </c>
      <c r="E48" s="3" t="s">
        <v>157</v>
      </c>
      <c r="F48" s="4">
        <v>4977932115958</v>
      </c>
      <c r="G48" s="4"/>
      <c r="H48" s="4"/>
      <c r="I48" s="4">
        <v>1</v>
      </c>
      <c r="J48" s="4">
        <v>1</v>
      </c>
      <c r="K48" s="3">
        <v>17837</v>
      </c>
      <c r="L48" s="3">
        <v>14481</v>
      </c>
      <c r="M48" s="3">
        <v>10970</v>
      </c>
      <c r="N48" s="5">
        <f t="shared" si="18"/>
        <v>0.24245563151716043</v>
      </c>
      <c r="O48" s="3" t="s">
        <v>163</v>
      </c>
      <c r="P48" s="3"/>
      <c r="Q48" s="3"/>
      <c r="R48" s="3"/>
      <c r="S48" s="3"/>
      <c r="T48" s="3"/>
      <c r="U48" s="3"/>
      <c r="V48" s="3"/>
      <c r="W48" s="3"/>
      <c r="X48" s="3">
        <v>23550</v>
      </c>
      <c r="Y48" s="3">
        <f t="shared" si="19"/>
        <v>23550</v>
      </c>
      <c r="Z48" s="3">
        <v>13167</v>
      </c>
      <c r="AA48" s="3">
        <f t="shared" si="20"/>
        <v>13167</v>
      </c>
      <c r="AB48" s="3"/>
      <c r="AC48" s="20">
        <f>ROUND(L48*AR48,0)</f>
        <v>17381</v>
      </c>
      <c r="AD48" s="5">
        <f t="shared" si="21"/>
        <v>0.24244865082561418</v>
      </c>
      <c r="AE48" s="32">
        <v>0</v>
      </c>
      <c r="AF48" s="3">
        <f t="shared" si="22"/>
        <v>20592</v>
      </c>
      <c r="AG48" s="32">
        <f>AF48*AR48</f>
        <v>24716.031358249773</v>
      </c>
      <c r="AH48" s="5">
        <f>1-AA48/AG48</f>
        <v>0.46726884226884224</v>
      </c>
      <c r="AI48" s="32">
        <f>ROUND(AA48/0.7,0)</f>
        <v>18810</v>
      </c>
      <c r="AJ48" s="6">
        <v>18800</v>
      </c>
      <c r="AK48" s="5">
        <f>1-AA48/AJ48</f>
        <v>0.29962765957446813</v>
      </c>
      <c r="AL48" s="3">
        <f>AJ48-AA48</f>
        <v>5633</v>
      </c>
      <c r="AM48" s="27"/>
      <c r="AN48" s="5"/>
      <c r="AO48" s="5"/>
      <c r="AP48" s="5">
        <f>Y48/K48</f>
        <v>1.3202892863149633</v>
      </c>
      <c r="AQ48" s="5">
        <f>AJ48/L48</f>
        <v>1.2982528830881845</v>
      </c>
      <c r="AR48" s="5">
        <f>AA48/M48</f>
        <v>1.2002734731084777</v>
      </c>
      <c r="AS48" s="3"/>
      <c r="AT48" s="3"/>
      <c r="AU48" s="3"/>
      <c r="AV48" s="3"/>
      <c r="AW48" s="3"/>
      <c r="AX48" s="3"/>
      <c r="AY48" s="3"/>
      <c r="AZ48" s="3"/>
      <c r="BA48" s="3"/>
      <c r="BB48" s="3">
        <v>0</v>
      </c>
      <c r="BC48" s="3" t="s">
        <v>251</v>
      </c>
      <c r="BD48" s="3"/>
      <c r="BE48" s="3"/>
      <c r="BF48" s="3" t="s">
        <v>209</v>
      </c>
      <c r="BG48" s="3">
        <v>20592</v>
      </c>
      <c r="BH48" s="3">
        <v>20592</v>
      </c>
      <c r="BI48" s="3">
        <f t="shared" si="23"/>
        <v>20592</v>
      </c>
      <c r="BJ48" s="18">
        <v>4</v>
      </c>
      <c r="BK48" s="18">
        <v>9</v>
      </c>
      <c r="BL48" s="15">
        <v>19</v>
      </c>
      <c r="BM48" t="s">
        <v>162</v>
      </c>
      <c r="BN48">
        <v>17575</v>
      </c>
      <c r="BO48" t="s">
        <v>204</v>
      </c>
    </row>
    <row r="49" spans="1:67" x14ac:dyDescent="0.4">
      <c r="A49" s="38">
        <v>46</v>
      </c>
      <c r="B49" s="3" t="s">
        <v>110</v>
      </c>
      <c r="C49" s="3" t="str">
        <f t="shared" si="17"/>
        <v>J669MC</v>
      </c>
      <c r="D49" s="3" t="s">
        <v>110</v>
      </c>
      <c r="E49" s="3" t="s">
        <v>158</v>
      </c>
      <c r="F49" s="4">
        <v>4977932115972</v>
      </c>
      <c r="G49" s="4"/>
      <c r="H49" s="4"/>
      <c r="I49" s="4">
        <v>1</v>
      </c>
      <c r="J49" s="4">
        <v>1</v>
      </c>
      <c r="K49" s="3">
        <v>23055</v>
      </c>
      <c r="L49" s="3">
        <v>20805</v>
      </c>
      <c r="M49" s="3">
        <v>14142</v>
      </c>
      <c r="N49" s="5">
        <f t="shared" si="18"/>
        <v>0.32025955299206921</v>
      </c>
      <c r="O49" s="3" t="s">
        <v>163</v>
      </c>
      <c r="P49" s="3"/>
      <c r="Q49" s="3"/>
      <c r="R49" s="3"/>
      <c r="S49" s="3"/>
      <c r="T49" s="3"/>
      <c r="U49" s="3"/>
      <c r="V49" s="3"/>
      <c r="W49" s="3"/>
      <c r="X49" s="3">
        <v>30440</v>
      </c>
      <c r="Y49" s="3">
        <f t="shared" si="19"/>
        <v>30440</v>
      </c>
      <c r="Z49" s="3">
        <v>16975</v>
      </c>
      <c r="AA49" s="3">
        <f t="shared" si="20"/>
        <v>16975</v>
      </c>
      <c r="AB49" s="3"/>
      <c r="AC49" s="20">
        <f>ROUND(L49*AR49,0)</f>
        <v>24973</v>
      </c>
      <c r="AD49" s="5">
        <f t="shared" si="21"/>
        <v>0.32026588715813076</v>
      </c>
      <c r="AE49" s="32">
        <v>0</v>
      </c>
      <c r="AF49" s="3">
        <f t="shared" si="22"/>
        <v>21336</v>
      </c>
      <c r="AG49" s="32">
        <f>AF49*AR49</f>
        <v>25610.140008485359</v>
      </c>
      <c r="AH49" s="5">
        <f>1-AA49/AG49</f>
        <v>0.33717660292463436</v>
      </c>
      <c r="AI49" s="32">
        <f>ROUND(AA49/0.7,0)</f>
        <v>24250</v>
      </c>
      <c r="AJ49" s="6">
        <v>24800</v>
      </c>
      <c r="AK49" s="5">
        <f>1-AA49/AJ49</f>
        <v>0.31552419354838712</v>
      </c>
      <c r="AL49" s="3">
        <f>AJ49-AA49</f>
        <v>7825</v>
      </c>
      <c r="AM49" s="27"/>
      <c r="AN49" s="5"/>
      <c r="AO49" s="5"/>
      <c r="AP49" s="5">
        <f>Y49/K49</f>
        <v>1.3203209715896769</v>
      </c>
      <c r="AQ49" s="5">
        <f>AJ49/L49</f>
        <v>1.1920211487623167</v>
      </c>
      <c r="AR49" s="5">
        <f>AA49/M49</f>
        <v>1.2003252722387214</v>
      </c>
      <c r="AS49" s="3"/>
      <c r="AT49" s="3"/>
      <c r="AU49" s="3"/>
      <c r="AV49" s="3"/>
      <c r="AW49" s="3"/>
      <c r="AX49" s="3"/>
      <c r="AY49" s="3"/>
      <c r="AZ49" s="3"/>
      <c r="BA49" s="3"/>
      <c r="BB49" s="3">
        <v>0</v>
      </c>
      <c r="BC49" s="3" t="s">
        <v>252</v>
      </c>
      <c r="BD49" s="3"/>
      <c r="BE49" s="3"/>
      <c r="BF49" s="3" t="s">
        <v>209</v>
      </c>
      <c r="BG49" s="3">
        <v>21336</v>
      </c>
      <c r="BH49" s="3">
        <v>21336</v>
      </c>
      <c r="BI49" s="3">
        <f t="shared" si="23"/>
        <v>21336</v>
      </c>
      <c r="BJ49" s="18">
        <v>4</v>
      </c>
      <c r="BK49" s="18">
        <v>9</v>
      </c>
      <c r="BL49" s="15">
        <v>19</v>
      </c>
      <c r="BM49" t="s">
        <v>162</v>
      </c>
      <c r="BN49">
        <v>22610</v>
      </c>
      <c r="BO49" t="s">
        <v>205</v>
      </c>
    </row>
    <row r="50" spans="1:67" x14ac:dyDescent="0.4">
      <c r="A50" s="38">
        <v>47</v>
      </c>
      <c r="B50" s="3" t="s">
        <v>111</v>
      </c>
      <c r="C50" s="3" t="str">
        <f t="shared" si="17"/>
        <v>J668MC</v>
      </c>
      <c r="D50" s="3" t="s">
        <v>111</v>
      </c>
      <c r="E50" s="3" t="s">
        <v>159</v>
      </c>
      <c r="F50" s="4">
        <v>4977932115965</v>
      </c>
      <c r="G50" s="4"/>
      <c r="H50" s="4"/>
      <c r="I50" s="4">
        <v>1</v>
      </c>
      <c r="J50" s="4">
        <v>1</v>
      </c>
      <c r="K50" s="3">
        <v>15646</v>
      </c>
      <c r="L50" s="3">
        <v>13558</v>
      </c>
      <c r="M50" s="3">
        <v>9722</v>
      </c>
      <c r="N50" s="5">
        <f t="shared" si="18"/>
        <v>0.28293258592712789</v>
      </c>
      <c r="O50" s="3" t="s">
        <v>163</v>
      </c>
      <c r="P50" s="3"/>
      <c r="Q50" s="3"/>
      <c r="R50" s="3"/>
      <c r="S50" s="3"/>
      <c r="T50" s="3"/>
      <c r="U50" s="3"/>
      <c r="V50" s="3"/>
      <c r="W50" s="3"/>
      <c r="X50" s="3">
        <v>20660</v>
      </c>
      <c r="Y50" s="3">
        <f t="shared" si="19"/>
        <v>20660</v>
      </c>
      <c r="Z50" s="3">
        <v>11671</v>
      </c>
      <c r="AA50" s="3">
        <f t="shared" si="20"/>
        <v>11671</v>
      </c>
      <c r="AB50" s="3"/>
      <c r="AC50" s="20">
        <f>ROUND(L50*AR50,0)</f>
        <v>16276</v>
      </c>
      <c r="AD50" s="5">
        <f t="shared" si="21"/>
        <v>0.28293192430572622</v>
      </c>
      <c r="AE50" s="32">
        <v>0</v>
      </c>
      <c r="AF50" s="3">
        <f t="shared" si="22"/>
        <v>18050</v>
      </c>
      <c r="AG50" s="32">
        <f>AF50*AR50</f>
        <v>21668.540423781113</v>
      </c>
      <c r="AH50" s="5">
        <f>1-AA50/AG50</f>
        <v>0.46138504155124649</v>
      </c>
      <c r="AI50" s="32">
        <f>ROUND(AA50/0.7,0)</f>
        <v>16673</v>
      </c>
      <c r="AJ50" s="6">
        <v>16800</v>
      </c>
      <c r="AK50" s="5">
        <f>1-AA50/AJ50</f>
        <v>0.3052976190476191</v>
      </c>
      <c r="AL50" s="3">
        <f>AJ50-AA50</f>
        <v>5129</v>
      </c>
      <c r="AM50" s="27"/>
      <c r="AN50" s="5"/>
      <c r="AO50" s="5"/>
      <c r="AP50" s="5">
        <f>Y50/K50</f>
        <v>1.3204652946439985</v>
      </c>
      <c r="AQ50" s="5">
        <f>AJ50/L50</f>
        <v>1.2391208142793921</v>
      </c>
      <c r="AR50" s="5">
        <f>AA50/M50</f>
        <v>1.2004731536720838</v>
      </c>
      <c r="AS50" s="3"/>
      <c r="AT50" s="3"/>
      <c r="AU50" s="3"/>
      <c r="AV50" s="3"/>
      <c r="AW50" s="3"/>
      <c r="AX50" s="3"/>
      <c r="AY50" s="3"/>
      <c r="AZ50" s="3"/>
      <c r="BA50" s="3"/>
      <c r="BB50" s="3">
        <v>0</v>
      </c>
      <c r="BC50" s="3" t="s">
        <v>253</v>
      </c>
      <c r="BD50" s="3"/>
      <c r="BE50" s="3"/>
      <c r="BF50" s="3" t="s">
        <v>209</v>
      </c>
      <c r="BG50" s="3">
        <v>18050</v>
      </c>
      <c r="BH50" s="3">
        <v>18050</v>
      </c>
      <c r="BI50" s="3">
        <f t="shared" si="23"/>
        <v>18050</v>
      </c>
      <c r="BJ50" s="18">
        <v>4</v>
      </c>
      <c r="BK50" s="18">
        <v>9</v>
      </c>
      <c r="BL50" s="15">
        <v>19</v>
      </c>
      <c r="BM50" t="s">
        <v>162</v>
      </c>
      <c r="BN50">
        <v>15390</v>
      </c>
      <c r="BO50" t="s">
        <v>206</v>
      </c>
    </row>
    <row r="51" spans="1:67" x14ac:dyDescent="0.4">
      <c r="A51" s="38">
        <v>48</v>
      </c>
      <c r="B51" s="3" t="s">
        <v>112</v>
      </c>
      <c r="C51" s="3" t="str">
        <f t="shared" si="17"/>
        <v>J670MC</v>
      </c>
      <c r="D51" s="3" t="s">
        <v>112</v>
      </c>
      <c r="E51" s="3" t="s">
        <v>160</v>
      </c>
      <c r="F51" s="4">
        <v>4977932115989</v>
      </c>
      <c r="G51" s="4"/>
      <c r="H51" s="4"/>
      <c r="I51" s="4">
        <v>1</v>
      </c>
      <c r="J51" s="4">
        <v>1</v>
      </c>
      <c r="K51" s="3">
        <v>18664</v>
      </c>
      <c r="L51" s="3">
        <v>16844</v>
      </c>
      <c r="M51" s="3">
        <v>11646</v>
      </c>
      <c r="N51" s="5">
        <f t="shared" si="18"/>
        <v>0.30859653289004985</v>
      </c>
      <c r="O51" s="3" t="s">
        <v>163</v>
      </c>
      <c r="P51" s="3"/>
      <c r="Q51" s="3"/>
      <c r="R51" s="3"/>
      <c r="S51" s="3"/>
      <c r="T51" s="3"/>
      <c r="U51" s="3"/>
      <c r="V51" s="3"/>
      <c r="W51" s="3"/>
      <c r="X51" s="3">
        <v>24640</v>
      </c>
      <c r="Y51" s="3">
        <f t="shared" si="19"/>
        <v>24640</v>
      </c>
      <c r="Z51" s="3">
        <v>13977</v>
      </c>
      <c r="AA51" s="3">
        <f t="shared" si="20"/>
        <v>13977</v>
      </c>
      <c r="AB51" s="3"/>
      <c r="AC51" s="20">
        <f>ROUND(L51*AR51,0)</f>
        <v>20215</v>
      </c>
      <c r="AD51" s="5">
        <f t="shared" si="21"/>
        <v>0.30858273559238192</v>
      </c>
      <c r="AE51" s="32">
        <v>0</v>
      </c>
      <c r="AF51" s="3">
        <f t="shared" si="22"/>
        <v>21554</v>
      </c>
      <c r="AG51" s="32">
        <f>AF51*AR51</f>
        <v>25868.131375579596</v>
      </c>
      <c r="AH51" s="5">
        <f>1-AA51/AG51</f>
        <v>0.45968265751136672</v>
      </c>
      <c r="AI51" s="32">
        <f>ROUND(AA51/0.7,0)</f>
        <v>19967</v>
      </c>
      <c r="AJ51" s="6">
        <v>19800</v>
      </c>
      <c r="AK51" s="5">
        <f>1-AA51/AJ51</f>
        <v>0.29409090909090907</v>
      </c>
      <c r="AL51" s="3">
        <f>AJ51-AA51</f>
        <v>5823</v>
      </c>
      <c r="AM51" s="27"/>
      <c r="AN51" s="5"/>
      <c r="AO51" s="5"/>
      <c r="AP51" s="5">
        <f>Y51/K51</f>
        <v>1.3201885983711958</v>
      </c>
      <c r="AQ51" s="5">
        <f>AJ51/L51</f>
        <v>1.1754927570648301</v>
      </c>
      <c r="AR51" s="5">
        <f>AA51/M51</f>
        <v>1.2001545595054095</v>
      </c>
      <c r="AS51" s="3"/>
      <c r="AT51" s="3"/>
      <c r="AU51" s="3"/>
      <c r="AV51" s="3"/>
      <c r="AW51" s="3"/>
      <c r="AX51" s="3"/>
      <c r="AY51" s="3"/>
      <c r="AZ51" s="3"/>
      <c r="BA51" s="3"/>
      <c r="BB51" s="3">
        <v>0</v>
      </c>
      <c r="BC51" s="3" t="s">
        <v>254</v>
      </c>
      <c r="BD51" s="3"/>
      <c r="BE51" s="3"/>
      <c r="BF51" s="3" t="s">
        <v>209</v>
      </c>
      <c r="BG51" s="3">
        <v>21554</v>
      </c>
      <c r="BH51" s="3">
        <v>21554</v>
      </c>
      <c r="BI51" s="3">
        <f t="shared" si="23"/>
        <v>21554</v>
      </c>
      <c r="BJ51" s="18">
        <v>4</v>
      </c>
      <c r="BK51" s="18">
        <v>9</v>
      </c>
      <c r="BL51" s="15">
        <v>19</v>
      </c>
      <c r="BM51" t="s">
        <v>162</v>
      </c>
      <c r="BN51">
        <v>18335</v>
      </c>
      <c r="BO51" t="s">
        <v>207</v>
      </c>
    </row>
    <row r="52" spans="1:67" x14ac:dyDescent="0.4">
      <c r="A52" s="38">
        <v>49</v>
      </c>
      <c r="B52" s="3" t="s">
        <v>113</v>
      </c>
      <c r="C52" s="3" t="str">
        <f t="shared" si="17"/>
        <v>J744PW</v>
      </c>
      <c r="D52" s="3" t="s">
        <v>113</v>
      </c>
      <c r="E52" s="3" t="s">
        <v>161</v>
      </c>
      <c r="F52" s="4">
        <v>4977932254060</v>
      </c>
      <c r="G52" s="4"/>
      <c r="H52" s="4"/>
      <c r="I52" s="4">
        <v>1</v>
      </c>
      <c r="J52" s="4">
        <v>1</v>
      </c>
      <c r="K52" s="3">
        <v>18636</v>
      </c>
      <c r="L52" s="3">
        <v>14870</v>
      </c>
      <c r="M52" s="3">
        <v>13045</v>
      </c>
      <c r="N52" s="5">
        <f t="shared" si="18"/>
        <v>0.1227303295225286</v>
      </c>
      <c r="O52" s="3" t="s">
        <v>163</v>
      </c>
      <c r="P52" s="3"/>
      <c r="Q52" s="3"/>
      <c r="R52" s="3"/>
      <c r="S52" s="3"/>
      <c r="T52" s="3"/>
      <c r="U52" s="3"/>
      <c r="V52" s="3"/>
      <c r="W52" s="3"/>
      <c r="X52" s="3">
        <v>36400</v>
      </c>
      <c r="Y52" s="3">
        <f t="shared" si="19"/>
        <v>36400</v>
      </c>
      <c r="Z52" s="3">
        <v>15654</v>
      </c>
      <c r="AA52" s="3">
        <f t="shared" si="20"/>
        <v>15654</v>
      </c>
      <c r="AB52" s="3"/>
      <c r="AC52" s="20">
        <f>ROUND(L52*AR52,0)</f>
        <v>17844</v>
      </c>
      <c r="AD52" s="5">
        <f t="shared" si="21"/>
        <v>0.1227303295225286</v>
      </c>
      <c r="AE52" s="32">
        <v>0</v>
      </c>
      <c r="AF52" s="3" t="str">
        <f t="shared" si="22"/>
        <v>-</v>
      </c>
      <c r="AG52" s="32" t="e">
        <f>AF52*AR52</f>
        <v>#VALUE!</v>
      </c>
      <c r="AH52" s="5" t="e">
        <f>1-AA52/AG52</f>
        <v>#VALUE!</v>
      </c>
      <c r="AI52" s="32">
        <f>ROUND(AA52/0.7,0)</f>
        <v>22363</v>
      </c>
      <c r="AJ52" s="6">
        <v>20800</v>
      </c>
      <c r="AK52" s="5">
        <f>1-AA52/AJ52</f>
        <v>0.24740384615384614</v>
      </c>
      <c r="AL52" s="3">
        <f>AJ52-AA52</f>
        <v>5146</v>
      </c>
      <c r="AM52" s="27"/>
      <c r="AN52" s="5"/>
      <c r="AO52" s="5"/>
      <c r="AP52" s="5">
        <f>Y52/K52</f>
        <v>1.9532088430993775</v>
      </c>
      <c r="AQ52" s="5">
        <f>AJ52/L52</f>
        <v>1.3987895090786819</v>
      </c>
      <c r="AR52" s="5">
        <f>AA52/M52</f>
        <v>1.2</v>
      </c>
      <c r="AS52" s="3"/>
      <c r="AT52" s="3"/>
      <c r="AU52" s="3"/>
      <c r="AV52" s="3"/>
      <c r="AW52" s="3"/>
      <c r="AX52" s="3"/>
      <c r="AY52" s="3"/>
      <c r="AZ52" s="3"/>
      <c r="BA52" s="3"/>
      <c r="BB52" s="3">
        <v>0</v>
      </c>
      <c r="BC52" s="3" t="s">
        <v>162</v>
      </c>
      <c r="BD52" s="3"/>
      <c r="BE52" s="3"/>
      <c r="BF52" s="3" t="s">
        <v>162</v>
      </c>
      <c r="BG52" s="3" t="s">
        <v>162</v>
      </c>
      <c r="BH52" s="3" t="s">
        <v>162</v>
      </c>
      <c r="BI52" s="3" t="str">
        <f t="shared" si="23"/>
        <v>-</v>
      </c>
      <c r="BJ52" s="18">
        <v>4</v>
      </c>
      <c r="BK52" s="18">
        <v>9</v>
      </c>
      <c r="BL52" s="15">
        <v>19</v>
      </c>
      <c r="BM52" t="s">
        <v>162</v>
      </c>
      <c r="BN52" t="s">
        <v>162</v>
      </c>
      <c r="BO52" t="s">
        <v>162</v>
      </c>
    </row>
  </sheetData>
  <autoFilter ref="A3:BO3" xr:uid="{7A1660CF-9003-4B2D-B659-7F339ED5B476}"/>
  <mergeCells count="3">
    <mergeCell ref="K2:N2"/>
    <mergeCell ref="I2:J2"/>
    <mergeCell ref="X1:AA1"/>
  </mergeCells>
  <phoneticPr fontId="2"/>
  <conditionalFormatting sqref="AF4:AF52">
    <cfRule type="cellIs" dxfId="6" priority="4" operator="lessThan">
      <formula>$AC4</formula>
    </cfRule>
  </conditionalFormatting>
  <conditionalFormatting sqref="AJ4:AJ52">
    <cfRule type="cellIs" dxfId="5" priority="3" operator="greaterThan">
      <formula>$Y4</formula>
    </cfRule>
  </conditionalFormatting>
  <conditionalFormatting sqref="BH4:BH52">
    <cfRule type="cellIs" dxfId="4" priority="2" operator="notEqual">
      <formula>$BG4</formula>
    </cfRule>
  </conditionalFormatting>
  <conditionalFormatting sqref="AG4:AG52">
    <cfRule type="cellIs" dxfId="0" priority="1" operator="lessThan">
      <formula>$AJ4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2026-05-01T02:49:36Z</dcterms:modified>
</cp:coreProperties>
</file>