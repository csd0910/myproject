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ﾀﾞ_ダイヤモンド_9337\価格改定\20260722_8月末\"/>
    </mc:Choice>
  </mc:AlternateContent>
  <xr:revisionPtr revIDLastSave="0" documentId="13_ncr:1_{AA99C818-81F1-44D9-A141-A8170BFB070D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Sheet1!$A$3:$BR$3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Q5" i="1" l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AR24" i="1"/>
  <c r="P24" i="1"/>
  <c r="AR25" i="1"/>
  <c r="P26" i="1"/>
  <c r="P27" i="1"/>
  <c r="AR4" i="1"/>
  <c r="BJ27" i="1"/>
  <c r="AH27" i="1" s="1"/>
  <c r="AR27" i="1"/>
  <c r="AC27" i="1"/>
  <c r="AA27" i="1"/>
  <c r="AQ27" i="1" s="1"/>
  <c r="D27" i="1"/>
  <c r="F27" i="1" s="1"/>
  <c r="BJ26" i="1"/>
  <c r="AH26" i="1" s="1"/>
  <c r="AC26" i="1"/>
  <c r="AS26" i="1" s="1"/>
  <c r="AA26" i="1"/>
  <c r="AQ26" i="1" s="1"/>
  <c r="D26" i="1"/>
  <c r="F26" i="1" s="1"/>
  <c r="BJ25" i="1"/>
  <c r="AH25" i="1" s="1"/>
  <c r="AC25" i="1"/>
  <c r="AA25" i="1"/>
  <c r="AQ25" i="1" s="1"/>
  <c r="P25" i="1"/>
  <c r="D25" i="1"/>
  <c r="F25" i="1" s="1"/>
  <c r="BJ24" i="1"/>
  <c r="AH24" i="1" s="1"/>
  <c r="AC24" i="1"/>
  <c r="AA24" i="1"/>
  <c r="AQ24" i="1" s="1"/>
  <c r="D24" i="1"/>
  <c r="F24" i="1" s="1"/>
  <c r="BJ23" i="1"/>
  <c r="AH23" i="1" s="1"/>
  <c r="AR23" i="1"/>
  <c r="AC23" i="1"/>
  <c r="AS23" i="1" s="1"/>
  <c r="AE23" i="1" s="1"/>
  <c r="AA23" i="1"/>
  <c r="AQ23" i="1" s="1"/>
  <c r="P23" i="1"/>
  <c r="D23" i="1"/>
  <c r="F23" i="1" s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BJ22" i="1"/>
  <c r="AH22" i="1" s="1"/>
  <c r="AC22" i="1"/>
  <c r="AA22" i="1"/>
  <c r="AQ22" i="1" s="1"/>
  <c r="D22" i="1"/>
  <c r="F22" i="1" s="1"/>
  <c r="BJ21" i="1"/>
  <c r="AH21" i="1" s="1"/>
  <c r="AC21" i="1"/>
  <c r="AM21" i="1" s="1"/>
  <c r="AA21" i="1"/>
  <c r="AQ21" i="1" s="1"/>
  <c r="D21" i="1"/>
  <c r="F21" i="1" s="1"/>
  <c r="BJ20" i="1"/>
  <c r="AH20" i="1" s="1"/>
  <c r="AC20" i="1"/>
  <c r="AA20" i="1"/>
  <c r="AQ20" i="1" s="1"/>
  <c r="D20" i="1"/>
  <c r="F20" i="1" s="1"/>
  <c r="BJ19" i="1"/>
  <c r="AH19" i="1" s="1"/>
  <c r="AC19" i="1"/>
  <c r="AM19" i="1" s="1"/>
  <c r="AA19" i="1"/>
  <c r="AQ19" i="1" s="1"/>
  <c r="D19" i="1"/>
  <c r="F19" i="1" s="1"/>
  <c r="BJ18" i="1"/>
  <c r="AH18" i="1" s="1"/>
  <c r="AC18" i="1"/>
  <c r="AL18" i="1" s="1"/>
  <c r="AA18" i="1"/>
  <c r="AQ18" i="1" s="1"/>
  <c r="D18" i="1"/>
  <c r="F18" i="1" s="1"/>
  <c r="BJ17" i="1"/>
  <c r="AH17" i="1" s="1"/>
  <c r="AC17" i="1"/>
  <c r="AL17" i="1" s="1"/>
  <c r="AA17" i="1"/>
  <c r="AQ17" i="1" s="1"/>
  <c r="D17" i="1"/>
  <c r="F17" i="1" s="1"/>
  <c r="BJ16" i="1"/>
  <c r="AH16" i="1" s="1"/>
  <c r="AC16" i="1"/>
  <c r="AM16" i="1" s="1"/>
  <c r="AA16" i="1"/>
  <c r="AQ16" i="1" s="1"/>
  <c r="D16" i="1"/>
  <c r="F16" i="1" s="1"/>
  <c r="BJ15" i="1"/>
  <c r="AH15" i="1" s="1"/>
  <c r="AC15" i="1"/>
  <c r="AM15" i="1" s="1"/>
  <c r="AA15" i="1"/>
  <c r="AQ15" i="1" s="1"/>
  <c r="D15" i="1"/>
  <c r="F15" i="1" s="1"/>
  <c r="BJ14" i="1"/>
  <c r="AH14" i="1" s="1"/>
  <c r="AC14" i="1"/>
  <c r="AA14" i="1"/>
  <c r="AQ14" i="1" s="1"/>
  <c r="D14" i="1"/>
  <c r="F14" i="1" s="1"/>
  <c r="AW4" i="1"/>
  <c r="AV4" i="1"/>
  <c r="AI23" i="1" l="1"/>
  <c r="AJ23" i="1" s="1"/>
  <c r="AS24" i="1"/>
  <c r="AE24" i="1" s="1"/>
  <c r="AF24" i="1" s="1"/>
  <c r="AR26" i="1"/>
  <c r="AS25" i="1"/>
  <c r="AE25" i="1" s="1"/>
  <c r="AE26" i="1"/>
  <c r="AF26" i="1" s="1"/>
  <c r="AS27" i="1"/>
  <c r="AE27" i="1" s="1"/>
  <c r="AF27" i="1" s="1"/>
  <c r="P4" i="1"/>
  <c r="AU4" i="1"/>
  <c r="AI26" i="1"/>
  <c r="AJ26" i="1" s="1"/>
  <c r="AL23" i="1"/>
  <c r="AL24" i="1"/>
  <c r="AL25" i="1"/>
  <c r="AL26" i="1"/>
  <c r="AL27" i="1"/>
  <c r="AM23" i="1"/>
  <c r="AM24" i="1"/>
  <c r="AM25" i="1"/>
  <c r="AM26" i="1"/>
  <c r="AM27" i="1"/>
  <c r="AF23" i="1"/>
  <c r="AF25" i="1"/>
  <c r="AS17" i="1"/>
  <c r="AI17" i="1" s="1"/>
  <c r="AJ17" i="1" s="1"/>
  <c r="AS20" i="1"/>
  <c r="AI20" i="1" s="1"/>
  <c r="AJ20" i="1" s="1"/>
  <c r="AS22" i="1"/>
  <c r="AE22" i="1" s="1"/>
  <c r="AF22" i="1" s="1"/>
  <c r="AS14" i="1"/>
  <c r="AI14" i="1" s="1"/>
  <c r="AJ14" i="1" s="1"/>
  <c r="AS19" i="1"/>
  <c r="AI19" i="1" s="1"/>
  <c r="AJ19" i="1" s="1"/>
  <c r="AS16" i="1"/>
  <c r="AE16" i="1" s="1"/>
  <c r="AF16" i="1" s="1"/>
  <c r="AS21" i="1"/>
  <c r="AI21" i="1" s="1"/>
  <c r="AJ21" i="1" s="1"/>
  <c r="AS18" i="1"/>
  <c r="AI18" i="1" s="1"/>
  <c r="AJ18" i="1" s="1"/>
  <c r="AS15" i="1"/>
  <c r="AI15" i="1" s="1"/>
  <c r="AJ15" i="1" s="1"/>
  <c r="AL21" i="1"/>
  <c r="AL14" i="1"/>
  <c r="AL15" i="1"/>
  <c r="AM14" i="1"/>
  <c r="AL22" i="1"/>
  <c r="AM22" i="1"/>
  <c r="AM18" i="1"/>
  <c r="AL16" i="1"/>
  <c r="AM17" i="1"/>
  <c r="AL20" i="1"/>
  <c r="AL19" i="1"/>
  <c r="AM20" i="1"/>
  <c r="AE17" i="1" l="1"/>
  <c r="AF17" i="1" s="1"/>
  <c r="AE18" i="1"/>
  <c r="AF18" i="1" s="1"/>
  <c r="AI25" i="1"/>
  <c r="AJ25" i="1" s="1"/>
  <c r="AI27" i="1"/>
  <c r="AJ27" i="1" s="1"/>
  <c r="AI24" i="1"/>
  <c r="AJ24" i="1" s="1"/>
  <c r="AE20" i="1"/>
  <c r="AF20" i="1" s="1"/>
  <c r="AI22" i="1"/>
  <c r="AJ22" i="1" s="1"/>
  <c r="AE14" i="1"/>
  <c r="AF14" i="1" s="1"/>
  <c r="AE19" i="1"/>
  <c r="AF19" i="1" s="1"/>
  <c r="AI16" i="1"/>
  <c r="AJ16" i="1" s="1"/>
  <c r="AE15" i="1"/>
  <c r="AF15" i="1" s="1"/>
  <c r="AE21" i="1"/>
  <c r="AF21" i="1" s="1"/>
  <c r="BJ5" i="1"/>
  <c r="AH5" i="1" s="1"/>
  <c r="BJ6" i="1"/>
  <c r="AH6" i="1" s="1"/>
  <c r="BJ7" i="1"/>
  <c r="AH7" i="1" s="1"/>
  <c r="BJ8" i="1"/>
  <c r="AH8" i="1" s="1"/>
  <c r="BJ9" i="1"/>
  <c r="AH9" i="1" s="1"/>
  <c r="BJ10" i="1"/>
  <c r="AH10" i="1" s="1"/>
  <c r="BJ11" i="1"/>
  <c r="AH11" i="1" s="1"/>
  <c r="BJ12" i="1"/>
  <c r="AH12" i="1" s="1"/>
  <c r="BJ13" i="1"/>
  <c r="AH13" i="1" s="1"/>
  <c r="BJ4" i="1"/>
  <c r="AH4" i="1" s="1"/>
  <c r="AC5" i="1"/>
  <c r="AC6" i="1"/>
  <c r="AC7" i="1"/>
  <c r="AC8" i="1"/>
  <c r="AC9" i="1"/>
  <c r="AC10" i="1"/>
  <c r="AC11" i="1"/>
  <c r="AC12" i="1"/>
  <c r="AC13" i="1"/>
  <c r="AA5" i="1"/>
  <c r="AQ5" i="1" s="1"/>
  <c r="AA6" i="1"/>
  <c r="AQ6" i="1" s="1"/>
  <c r="AA7" i="1"/>
  <c r="AQ7" i="1" s="1"/>
  <c r="AA8" i="1"/>
  <c r="AQ8" i="1" s="1"/>
  <c r="AA9" i="1"/>
  <c r="AQ9" i="1" s="1"/>
  <c r="AA10" i="1"/>
  <c r="AQ10" i="1" s="1"/>
  <c r="AA11" i="1"/>
  <c r="AQ11" i="1" s="1"/>
  <c r="AA12" i="1"/>
  <c r="AQ12" i="1" s="1"/>
  <c r="AA13" i="1"/>
  <c r="AQ13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4" i="1"/>
  <c r="F4" i="1" s="1"/>
  <c r="AC4" i="1"/>
  <c r="AT4" i="1" s="1"/>
  <c r="AA4" i="1"/>
  <c r="AQ4" i="1" s="1"/>
  <c r="AS7" i="1" l="1"/>
  <c r="AE7" i="1" s="1"/>
  <c r="AF7" i="1" s="1"/>
  <c r="AS6" i="1"/>
  <c r="AI6" i="1" s="1"/>
  <c r="AJ6" i="1" s="1"/>
  <c r="AS12" i="1"/>
  <c r="AI12" i="1" s="1"/>
  <c r="AJ12" i="1" s="1"/>
  <c r="AS8" i="1"/>
  <c r="AI8" i="1" s="1"/>
  <c r="AJ8" i="1" s="1"/>
  <c r="AS13" i="1"/>
  <c r="AI13" i="1" s="1"/>
  <c r="AJ13" i="1" s="1"/>
  <c r="AS5" i="1"/>
  <c r="AS11" i="1"/>
  <c r="AI11" i="1" s="1"/>
  <c r="AJ11" i="1" s="1"/>
  <c r="AS10" i="1"/>
  <c r="AI10" i="1" s="1"/>
  <c r="AJ10" i="1" s="1"/>
  <c r="AS4" i="1"/>
  <c r="AE4" i="1" s="1"/>
  <c r="AF4" i="1" s="1"/>
  <c r="AS9" i="1"/>
  <c r="AE9" i="1" s="1"/>
  <c r="AF9" i="1" s="1"/>
  <c r="AL13" i="1"/>
  <c r="AL5" i="1"/>
  <c r="AL12" i="1"/>
  <c r="AM10" i="1"/>
  <c r="AL4" i="1"/>
  <c r="AL9" i="1"/>
  <c r="AM8" i="1"/>
  <c r="AM11" i="1"/>
  <c r="AM7" i="1"/>
  <c r="AE12" i="1"/>
  <c r="AF12" i="1" s="1"/>
  <c r="AM6" i="1"/>
  <c r="AL11" i="1"/>
  <c r="AL10" i="1"/>
  <c r="AL8" i="1"/>
  <c r="AM9" i="1"/>
  <c r="AL7" i="1"/>
  <c r="AM13" i="1"/>
  <c r="AM5" i="1"/>
  <c r="AL6" i="1"/>
  <c r="AM12" i="1"/>
  <c r="AO4" i="1"/>
  <c r="AP4" i="1"/>
  <c r="AM4" i="1"/>
  <c r="AE6" i="1" l="1"/>
  <c r="AF6" i="1" s="1"/>
  <c r="AI7" i="1"/>
  <c r="AJ7" i="1" s="1"/>
  <c r="AE11" i="1"/>
  <c r="AF11" i="1" s="1"/>
  <c r="AE10" i="1"/>
  <c r="AF10" i="1" s="1"/>
  <c r="AI4" i="1"/>
  <c r="AJ4" i="1" s="1"/>
  <c r="BO4" i="1"/>
  <c r="BQ4" i="1"/>
  <c r="AE13" i="1"/>
  <c r="AF13" i="1" s="1"/>
  <c r="AI9" i="1"/>
  <c r="AJ9" i="1" s="1"/>
  <c r="AE8" i="1"/>
  <c r="AF8" i="1" s="1"/>
  <c r="AI5" i="1"/>
  <c r="AJ5" i="1" s="1"/>
  <c r="AE5" i="1"/>
  <c r="AF5" i="1" s="1"/>
</calcChain>
</file>

<file path=xl/sharedStrings.xml><?xml version="1.0" encoding="utf-8"?>
<sst xmlns="http://schemas.openxmlformats.org/spreadsheetml/2006/main" count="301" uniqueCount="124">
  <si>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</si>
  <si>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</si>
  <si>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</si>
  <si>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</si>
  <si>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</si>
  <si>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</si>
  <si>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</si>
  <si>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</si>
  <si>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</si>
  <si>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</si>
  <si>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</si>
  <si>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</si>
  <si>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</si>
  <si>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</si>
  <si>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</si>
  <si>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</si>
  <si>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</si>
  <si>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</si>
  <si>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</si>
  <si>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</si>
  <si>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</si>
  <si>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</si>
  <si>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</si>
  <si>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</si>
  <si>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</si>
  <si>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</si>
  <si>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</si>
  <si>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</si>
  <si>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</si>
  <si>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</si>
  <si>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</si>
  <si>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</si>
  <si>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</si>
  <si>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</si>
  <si>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</si>
  <si>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</si>
  <si>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</si>
  <si>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</si>
  <si>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</si>
  <si>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</si>
  <si>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</si>
  <si>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</si>
  <si>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</si>
  <si>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</si>
  <si>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</si>
  <si>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</si>
  <si>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</si>
  <si>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</si>
  <si>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</si>
  <si>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</si>
  <si>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</si>
  <si>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</si>
  <si>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</si>
  <si>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</si>
  <si>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</si>
  <si>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</si>
  <si>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</si>
  <si>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</si>
  <si>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</si>
  <si>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</si>
  <si>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</si>
  <si>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</si>
  <si>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</si>
  <si>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</si>
  <si>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</si>
  <si>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</si>
  <si>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VDあり</t>
    <phoneticPr fontId="2"/>
  </si>
  <si>
    <t>直送</t>
    <rPh sb="0" eb="2">
      <t>チョクソウ</t>
    </rPh>
    <phoneticPr fontId="2"/>
  </si>
  <si>
    <t>2倉庫</t>
    <rPh sb="1" eb="3">
      <t>ソウコ</t>
    </rPh>
    <phoneticPr fontId="2"/>
  </si>
  <si>
    <t>VD粗利率</t>
    <rPh sb="2" eb="5">
      <t>アラリリツ</t>
    </rPh>
    <phoneticPr fontId="2"/>
  </si>
  <si>
    <t>J151TB</t>
  </si>
  <si>
    <t>J153TB</t>
  </si>
  <si>
    <t>J154TB</t>
  </si>
  <si>
    <t>J152TB</t>
  </si>
  <si>
    <t>J155TB</t>
  </si>
  <si>
    <t>J156TB</t>
  </si>
  <si>
    <t>J157TB</t>
  </si>
  <si>
    <t>J161TB</t>
  </si>
  <si>
    <t>J162TB</t>
  </si>
  <si>
    <t>J164TB</t>
  </si>
  <si>
    <t>J165TB</t>
  </si>
  <si>
    <t>J166TB</t>
  </si>
  <si>
    <t>J167TB</t>
  </si>
  <si>
    <t>J168TB</t>
  </si>
  <si>
    <t>J169TB</t>
  </si>
  <si>
    <t>J170TB</t>
  </si>
  <si>
    <t>J174TB</t>
  </si>
  <si>
    <t>J177TB</t>
  </si>
  <si>
    <t>J182TB</t>
  </si>
  <si>
    <t>J184TB</t>
  </si>
  <si>
    <t>J185TB</t>
  </si>
  <si>
    <t>J187TB</t>
  </si>
  <si>
    <t>J186TB</t>
  </si>
  <si>
    <t>J197TB</t>
  </si>
  <si>
    <t>ﾌｨｯｼｬｰ/ﾎﾞｰﾙﾍﾟﾝ ﾌﾞﾗｯｸﾁﾀﾝ/EF400-BTN</t>
  </si>
  <si>
    <t>ﾌｨｯｼｬｰ/ﾎﾞｰﾙﾍﾟﾝ ﾌﾞﾗｯｸ/EF-400B</t>
  </si>
  <si>
    <t>ﾌｨｯｼｬｰ/ﾎﾞｰﾙﾍﾟﾝ ｺﾞｰﾙﾄﾞ/EF-400G</t>
  </si>
  <si>
    <t>ﾌｨｯｼｬｰ/ﾎﾞｰﾙﾍﾟﾝ ｸﾛｰﾑ/EF-400</t>
  </si>
  <si>
    <t>ﾌｨｯｼｬｰ/ﾎﾞｰﾙﾍﾟﾝ ｱﾒﾘｶﾝﾌﾗｯｸﾞ/AF-600</t>
  </si>
  <si>
    <t>ﾌｨｯｼｬｰ/ﾎﾞｰﾙﾍﾟﾝ ｽﾍﾟｰｽｼｬﾄﾙ/SH-600</t>
  </si>
  <si>
    <t>ﾌｨｯｼｬｰ/ﾎﾞｰﾙﾍﾟﾝ ｽﾍﾟｰｽｼｬﾄﾙ/SH-600B</t>
  </si>
  <si>
    <t>ﾌｨｯｼｬｰ/ﾎﾞｰﾙﾍﾟﾝ ﾌﾞﾗｯｸﾁｪﾘｰ/400H-319</t>
  </si>
  <si>
    <t>ﾌｨｯｼｬｰ/ﾎﾞｰﾙﾍﾟﾝ ﾀﾝｸﾞｽﾃﾝ/400H-237</t>
  </si>
  <si>
    <t>ﾌｨｯｼｬｰ/ﾎﾞｰﾙﾍﾟﾝ ﾚｲﾝﾎﾞｰ/400RB</t>
  </si>
  <si>
    <t>ﾌｨｯｼｬｰ/ﾎﾞｰﾙﾍﾟﾝ ﾌﾞﾙｰﾍﾞﾘｰ/400BB</t>
  </si>
  <si>
    <t>ﾌｨｯｼｬｰ/ﾎﾞｰﾙﾍﾟﾝ ﾗｲﾑｸﾞﾘｰﾝ/400LG</t>
  </si>
  <si>
    <t>ﾌｨｯｼｬｰ/ﾎﾞｰﾙﾍﾟﾝ ﾊﾟｰﾌﾟﾙﾊﾟｯｼｮﾝ/400PP</t>
  </si>
  <si>
    <t>ﾌｨｯｼｬｰ/ﾎﾞｰﾙﾍﾟﾝ ｱﾙﾃﾐｽ/400B-ART</t>
  </si>
  <si>
    <t>ﾌｨｯｼｬｰ/ﾎﾞｰﾙﾍﾟﾝ ｸﾛｰﾑ/400 WCCL</t>
  </si>
  <si>
    <t>ﾌｨｯｼｬｰ/ﾎﾞｰﾙﾍﾟﾝ ﾌﾞﾗｯｸ/400B WCBCL</t>
  </si>
  <si>
    <t>ﾌｨｯｼｬｰ/ﾎﾞｰﾙﾍﾟﾝ ﾌﾞﾗｯｸﾁﾀﾝ/AG-7 BTN</t>
  </si>
  <si>
    <t>ﾌｨｯｼｬｰ/ﾎﾞｰﾙﾍﾟﾝ ﾌﾞﾗｯｸ/CH4BC</t>
  </si>
  <si>
    <t>ﾌｨｯｼｬｰ/ﾎﾞｰﾙﾍﾟﾝ ｱﾙﾃﾐｽ ﾎﾜｲﾄ/775-W-ART</t>
  </si>
  <si>
    <t>ﾌｨｯｼｬｰ/ﾎﾞｰﾙﾍﾟﾝ ｽﾍﾟｰｽｼｬﾄﾙ/S-294</t>
  </si>
  <si>
    <t>ﾌｨｯｼｬｰ/ﾎﾞｰﾙﾍﾟﾝ M4CSH ｽﾍﾟｰｽｼｬﾄﾙ ｸﾛｰﾑ/M4CSH</t>
  </si>
  <si>
    <t>ﾌｨｯｼｬｰ/ﾎﾞｰﾙﾍﾟﾝ ｸﾛｰﾑ/M4C</t>
  </si>
  <si>
    <t>ﾌｨｯｼｬｰ/ﾎﾞｰﾙﾍﾟﾝ ｺﾞｰﾙﾄﾞ/M4G</t>
  </si>
  <si>
    <t>ﾌｨｯｼｬｰ/ﾎﾞｰﾙﾍﾟﾝ ｸﾛｰﾑ/CH-4</t>
  </si>
  <si>
    <t>-</t>
  </si>
  <si>
    <t>-</t>
    <phoneticPr fontId="2"/>
  </si>
  <si>
    <t>7月
カウ</t>
    <rPh sb="1" eb="2">
      <t>ガツ</t>
    </rPh>
    <phoneticPr fontId="2"/>
  </si>
  <si>
    <t>7月
たの</t>
    <rPh sb="1" eb="2">
      <t>ガツ</t>
    </rPh>
    <phoneticPr fontId="2"/>
  </si>
  <si>
    <t>7月売価</t>
    <rPh sb="1" eb="2">
      <t>ガツ</t>
    </rPh>
    <rPh sb="2" eb="4">
      <t>バイカ</t>
    </rPh>
    <phoneticPr fontId="2"/>
  </si>
  <si>
    <t>VDなし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</si>
</sst>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7" borderId="0" xfId="0" applyFill="1">
      <alignment vertical="center"/>
    </xf>
    <xf numFmtId="0" fontId="0" fillId="6" borderId="0" xfId="0" applyFill="1">
      <alignment vertical="center"/>
    </xf>
    <xf numFmtId="0" fontId="0" fillId="8" borderId="0" xfId="0" applyFill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R27"/>
  <sheetViews>
    <sheetView tabSelected="1" zoomScale="90" zoomScaleNormal="90" workbookViewId="0">
      <pane xSplit="8" ySplit="5" topLeftCell="N7" activePane="bottomRight" state="frozen"/>
      <selection pane="topRight" activeCell="G1" sqref="G1"/>
      <selection pane="bottomLeft" activeCell="A5" sqref="A5"/>
      <selection pane="bottomRight" activeCell="AS2" sqref="AS2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30" customWidth="1"/>
    <col min="34" max="34" width="7.625" customWidth="1"/>
    <col min="35" max="35" width="7.625" style="30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5" width="7.625" hidden="1" customWidth="1" outlineLevel="1"/>
    <col min="56" max="56" width="7.625" customWidth="1" collapsed="1"/>
    <col min="57" max="69" width="7.625" customWidth="1"/>
  </cols>
  <sheetData>
    <row r="1" spans="1:70" x14ac:dyDescent="0.4">
      <c r="C1" s="29" t="s">
        <v>43</v>
      </c>
      <c r="Z1" s="47" t="s">
        <v>40</v>
      </c>
      <c r="AA1" s="48"/>
      <c r="AB1" s="48"/>
      <c r="AC1" s="49"/>
      <c r="AL1" s="42" t="s">
        <v>67</v>
      </c>
      <c r="AM1" s="43" t="s">
        <v>68</v>
      </c>
      <c r="AQ1" s="41" t="s">
        <v>66</v>
      </c>
      <c r="AS1" t="s">
        <v>123</v>
      </c>
    </row>
    <row r="2" spans="1:70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6"/>
      <c r="J2" s="36"/>
      <c r="K2" s="44" t="s">
        <v>31</v>
      </c>
      <c r="L2" s="46"/>
      <c r="M2" s="44" t="s">
        <v>1</v>
      </c>
      <c r="N2" s="45"/>
      <c r="O2" s="45"/>
      <c r="P2" s="46"/>
      <c r="Q2" s="11"/>
      <c r="R2" s="35"/>
      <c r="S2" s="35"/>
      <c r="T2" s="35"/>
      <c r="U2" s="35"/>
      <c r="V2" s="35"/>
      <c r="W2" s="35"/>
      <c r="X2" s="35"/>
      <c r="Y2" s="35"/>
      <c r="Z2" s="23"/>
      <c r="AA2" s="24" t="s">
        <v>34</v>
      </c>
      <c r="AB2" s="24"/>
      <c r="AC2" s="25" t="s">
        <v>34</v>
      </c>
      <c r="AD2" s="10"/>
      <c r="AE2" s="9" t="s">
        <v>39</v>
      </c>
      <c r="AF2" s="11"/>
      <c r="AG2" s="31"/>
      <c r="AH2" s="11"/>
      <c r="AI2" s="31"/>
      <c r="AJ2" s="11"/>
      <c r="AK2" s="22" t="s">
        <v>41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>
        <v>51</v>
      </c>
      <c r="BK2">
        <v>14</v>
      </c>
      <c r="BL2">
        <v>28</v>
      </c>
    </row>
    <row r="3" spans="1:70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40" t="s">
        <v>65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63</v>
      </c>
      <c r="N3" s="2" t="s">
        <v>5</v>
      </c>
      <c r="O3" s="2" t="s">
        <v>61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59</v>
      </c>
      <c r="AA3" s="12" t="s">
        <v>60</v>
      </c>
      <c r="AB3" s="2" t="s">
        <v>61</v>
      </c>
      <c r="AC3" s="12" t="s">
        <v>62</v>
      </c>
      <c r="AD3" s="14" t="s">
        <v>3</v>
      </c>
      <c r="AE3" s="20" t="s">
        <v>14</v>
      </c>
      <c r="AF3" s="2" t="s">
        <v>13</v>
      </c>
      <c r="AG3" s="32" t="s">
        <v>44</v>
      </c>
      <c r="AH3" s="12" t="s">
        <v>64</v>
      </c>
      <c r="AI3" s="37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6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69</v>
      </c>
      <c r="AU3" s="12" t="s">
        <v>16</v>
      </c>
      <c r="AV3" s="12" t="s">
        <v>17</v>
      </c>
      <c r="AW3" s="12" t="s">
        <v>18</v>
      </c>
      <c r="AX3" s="12" t="s">
        <v>19</v>
      </c>
      <c r="AY3" s="12" t="s">
        <v>20</v>
      </c>
      <c r="AZ3" s="12" t="s">
        <v>21</v>
      </c>
      <c r="BA3" s="12" t="s">
        <v>22</v>
      </c>
      <c r="BB3" s="12" t="s">
        <v>23</v>
      </c>
      <c r="BC3" s="12" t="s">
        <v>24</v>
      </c>
      <c r="BD3" s="2" t="s">
        <v>8</v>
      </c>
      <c r="BE3" s="2" t="s">
        <v>9</v>
      </c>
      <c r="BF3" s="2" t="s">
        <v>10</v>
      </c>
      <c r="BG3" s="2" t="s">
        <v>11</v>
      </c>
      <c r="BH3" s="12" t="s">
        <v>42</v>
      </c>
      <c r="BI3" s="2" t="s">
        <v>122</v>
      </c>
      <c r="BJ3" s="2" t="s">
        <v>12</v>
      </c>
      <c r="BK3" s="18" t="s">
        <v>45</v>
      </c>
      <c r="BL3" s="18" t="s">
        <v>46</v>
      </c>
      <c r="BM3" s="15" t="s">
        <v>52</v>
      </c>
      <c r="BN3" s="38" t="s">
        <v>121</v>
      </c>
      <c r="BO3" s="39" t="s">
        <v>57</v>
      </c>
      <c r="BP3" s="39" t="s">
        <v>120</v>
      </c>
      <c r="BQ3" s="39" t="s">
        <v>58</v>
      </c>
      <c r="BR3" s="34" t="s">
        <v>50</v>
      </c>
    </row>
    <row r="4" spans="1:70" x14ac:dyDescent="0.4">
      <c r="A4" s="3">
        <v>1</v>
      </c>
      <c r="B4" s="3">
        <v>1</v>
      </c>
      <c r="C4" s="4" t="s">
        <v>70</v>
      </c>
      <c r="D4" s="4" t="str">
        <f>TEXT(C4,"000000")</f>
        <v>J151TB</v>
      </c>
      <c r="E4" s="4" t="s">
        <v>70</v>
      </c>
      <c r="F4" s="4" t="str">
        <f>D4&amp;I4</f>
        <v>J151TB5</v>
      </c>
      <c r="G4" s="4" t="s">
        <v>94</v>
      </c>
      <c r="H4" s="5">
        <v>747609844047</v>
      </c>
      <c r="I4" s="33">
        <v>5</v>
      </c>
      <c r="J4" s="5"/>
      <c r="K4" s="5">
        <v>1</v>
      </c>
      <c r="L4" s="5">
        <v>1</v>
      </c>
      <c r="M4" s="4">
        <v>15000</v>
      </c>
      <c r="N4" s="4">
        <v>14250</v>
      </c>
      <c r="O4" s="4">
        <v>9000</v>
      </c>
      <c r="P4" s="6">
        <f>IFERROR(1-O4/N4,"-")</f>
        <v>0.36842105263157898</v>
      </c>
      <c r="Q4" s="4" t="s">
        <v>119</v>
      </c>
      <c r="R4" s="4"/>
      <c r="S4" s="4"/>
      <c r="T4" s="4"/>
      <c r="U4" s="4"/>
      <c r="V4" s="4"/>
      <c r="W4" s="4"/>
      <c r="X4" s="4"/>
      <c r="Y4" s="4"/>
      <c r="Z4" s="33">
        <v>16000</v>
      </c>
      <c r="AA4" s="4">
        <f>IF(AD4="",Z4,Z4*AD4)</f>
        <v>16000</v>
      </c>
      <c r="AB4" s="33">
        <v>9600</v>
      </c>
      <c r="AC4" s="4">
        <f>IF(AD4="",AB4,AB4*AD4)</f>
        <v>9600</v>
      </c>
      <c r="AD4" s="4"/>
      <c r="AE4" s="21">
        <f t="shared" ref="AE4:AE22" si="0">ROUND(N4*AS4,0)</f>
        <v>15200</v>
      </c>
      <c r="AF4" s="6">
        <f>IFERROR(1-AC4/AE4,"-")</f>
        <v>0.36842105263157898</v>
      </c>
      <c r="AG4" s="33">
        <v>0</v>
      </c>
      <c r="AH4" s="4" t="str">
        <f>BJ4</f>
        <v>-</v>
      </c>
      <c r="AI4" s="33" t="str">
        <f>IFERROR(AH4*AS4,"-")</f>
        <v>-</v>
      </c>
      <c r="AJ4" s="6" t="str">
        <f>IFERROR(1-AC4/AI4,"-")</f>
        <v>-</v>
      </c>
      <c r="AK4" s="7">
        <v>15200</v>
      </c>
      <c r="AL4" s="6">
        <f t="shared" ref="AL4:AL22" si="1">1-AC4/AK4</f>
        <v>0.36842105263157898</v>
      </c>
      <c r="AM4" s="4">
        <f t="shared" ref="AM4:AM22" si="2">AK4-AC4</f>
        <v>5600</v>
      </c>
      <c r="AN4" s="28"/>
      <c r="AO4" s="6" t="e">
        <f>1-AC4/AN4</f>
        <v>#DIV/0!</v>
      </c>
      <c r="AP4" s="4">
        <f>AN4-AC4</f>
        <v>-9600</v>
      </c>
      <c r="AQ4" s="6">
        <f>IFERROR(AA4/M4,"-")</f>
        <v>1.0666666666666667</v>
      </c>
      <c r="AR4" s="6">
        <f>IFERROR(AK4/N4,"-")</f>
        <v>1.0666666666666667</v>
      </c>
      <c r="AS4" s="6">
        <f>IFERROR(AC4/O4,"-")</f>
        <v>1.0666666666666667</v>
      </c>
      <c r="AT4" s="6" t="str">
        <f>IFERROR(1-AC4/AU4,"-")</f>
        <v>-</v>
      </c>
      <c r="AU4" s="4" t="str">
        <f>IFERROR(ROUND($AK4*Q4/$N4,0),"-")</f>
        <v>-</v>
      </c>
      <c r="AV4" s="4" t="str">
        <f>IF(R4="","-",R4)</f>
        <v>-</v>
      </c>
      <c r="AW4" s="4" t="str">
        <f>IF(S4="","-",S4)</f>
        <v>-</v>
      </c>
      <c r="AX4" s="4"/>
      <c r="AY4" s="4"/>
      <c r="AZ4" s="4"/>
      <c r="BA4" s="4"/>
      <c r="BB4" s="4"/>
      <c r="BC4" s="4"/>
      <c r="BD4" s="4">
        <v>0</v>
      </c>
      <c r="BE4" s="4" t="s">
        <v>119</v>
      </c>
      <c r="BF4" s="4"/>
      <c r="BG4" s="4"/>
      <c r="BH4" s="4" t="s">
        <v>118</v>
      </c>
      <c r="BI4" s="4" t="s">
        <v>118</v>
      </c>
      <c r="BJ4" s="4" t="str">
        <f t="shared" ref="BJ4:BJ5" si="3">IF(BF4="",BI4,BF4/BG4*BI4)</f>
        <v>-</v>
      </c>
      <c r="BK4" s="19">
        <v>4</v>
      </c>
      <c r="BL4" s="19">
        <v>8</v>
      </c>
      <c r="BM4" s="16">
        <v>5</v>
      </c>
      <c r="BN4" t="s">
        <v>118</v>
      </c>
      <c r="BO4" t="str">
        <f>IFERROR(BN4*AS4,"-")</f>
        <v>-</v>
      </c>
      <c r="BP4" t="s">
        <v>118</v>
      </c>
      <c r="BQ4" t="str">
        <f>IFERROR(BP4*AS4,"-")</f>
        <v>-</v>
      </c>
    </row>
    <row r="5" spans="1:70" x14ac:dyDescent="0.4">
      <c r="A5" s="3">
        <v>2</v>
      </c>
      <c r="B5" s="3">
        <v>2</v>
      </c>
      <c r="C5" s="4" t="s">
        <v>71</v>
      </c>
      <c r="D5" s="4" t="str">
        <f t="shared" ref="D5:D13" si="4">TEXT(C5,"000000")</f>
        <v>J153TB</v>
      </c>
      <c r="E5" s="4" t="s">
        <v>71</v>
      </c>
      <c r="F5" s="4" t="str">
        <f t="shared" ref="F5:F27" si="5">D5&amp;I5</f>
        <v>J153TB5</v>
      </c>
      <c r="G5" s="4" t="s">
        <v>95</v>
      </c>
      <c r="H5" s="5">
        <v>747609844443</v>
      </c>
      <c r="I5" s="33">
        <v>5</v>
      </c>
      <c r="J5" s="5"/>
      <c r="K5" s="5">
        <v>1</v>
      </c>
      <c r="L5" s="5">
        <v>1</v>
      </c>
      <c r="M5" s="4">
        <v>7000</v>
      </c>
      <c r="N5" s="4">
        <v>6650</v>
      </c>
      <c r="O5" s="4">
        <v>4200</v>
      </c>
      <c r="P5" s="6">
        <f t="shared" ref="P5:P22" si="6">IFERROR(1-O5/N5,"-")</f>
        <v>0.36842105263157898</v>
      </c>
      <c r="Q5" s="4" t="s">
        <v>119</v>
      </c>
      <c r="R5" s="4"/>
      <c r="S5" s="4"/>
      <c r="T5" s="4"/>
      <c r="U5" s="4"/>
      <c r="V5" s="4"/>
      <c r="W5" s="4"/>
      <c r="X5" s="4"/>
      <c r="Y5" s="4"/>
      <c r="Z5" s="33">
        <v>8000</v>
      </c>
      <c r="AA5" s="4">
        <f t="shared" ref="AA5:AA13" si="7">IF(AD5="",Z5,Z5*AD5)</f>
        <v>8000</v>
      </c>
      <c r="AB5" s="33">
        <v>4800</v>
      </c>
      <c r="AC5" s="4">
        <f t="shared" ref="AC5:AC13" si="8">IF(AD5="",AB5,AB5*AD5)</f>
        <v>4800</v>
      </c>
      <c r="AD5" s="4"/>
      <c r="AE5" s="21">
        <f t="shared" si="0"/>
        <v>7600</v>
      </c>
      <c r="AF5" s="6">
        <f t="shared" ref="AF5:AF22" si="9">IFERROR(1-AC5/AE5,"-")</f>
        <v>0.36842105263157898</v>
      </c>
      <c r="AG5" s="33">
        <v>0</v>
      </c>
      <c r="AH5" s="4" t="str">
        <f t="shared" ref="AH5:AH13" si="10">BJ5</f>
        <v>-</v>
      </c>
      <c r="AI5" s="33" t="str">
        <f t="shared" ref="AI5:AI22" si="11">IFERROR(AH5*AS5,"-")</f>
        <v>-</v>
      </c>
      <c r="AJ5" s="6" t="str">
        <f t="shared" ref="AJ5:AJ22" si="12">IFERROR(1-AC5/AI5,"-")</f>
        <v>-</v>
      </c>
      <c r="AK5" s="7">
        <v>7600</v>
      </c>
      <c r="AL5" s="6">
        <f t="shared" si="1"/>
        <v>0.36842105263157898</v>
      </c>
      <c r="AM5" s="4">
        <f t="shared" si="2"/>
        <v>2800</v>
      </c>
      <c r="AN5" s="28"/>
      <c r="AO5" s="6"/>
      <c r="AP5" s="6"/>
      <c r="AQ5" s="6">
        <f t="shared" ref="AQ5:AQ22" si="13">IFERROR(AA5/M5,"-")</f>
        <v>1.1428571428571428</v>
      </c>
      <c r="AR5" s="6">
        <f t="shared" ref="AR5:AR22" si="14">IFERROR(AK5/N5,"-")</f>
        <v>1.1428571428571428</v>
      </c>
      <c r="AS5" s="6">
        <f t="shared" ref="AS5:AS22" si="15">IFERROR(AC5/O5,"-")</f>
        <v>1.1428571428571428</v>
      </c>
      <c r="AT5" s="6"/>
      <c r="AU5" s="4"/>
      <c r="AV5" s="4"/>
      <c r="AW5" s="4"/>
      <c r="AX5" s="4"/>
      <c r="AY5" s="4"/>
      <c r="AZ5" s="4"/>
      <c r="BA5" s="4"/>
      <c r="BB5" s="4"/>
      <c r="BC5" s="4"/>
      <c r="BD5" s="4">
        <v>0</v>
      </c>
      <c r="BE5" s="4" t="s">
        <v>119</v>
      </c>
      <c r="BF5" s="4"/>
      <c r="BG5" s="4"/>
      <c r="BH5" s="4" t="s">
        <v>118</v>
      </c>
      <c r="BI5" s="4" t="s">
        <v>118</v>
      </c>
      <c r="BJ5" s="4" t="str">
        <f t="shared" si="3"/>
        <v>-</v>
      </c>
      <c r="BK5" s="19">
        <v>4</v>
      </c>
      <c r="BL5" s="19">
        <v>8</v>
      </c>
      <c r="BM5" s="16">
        <v>5</v>
      </c>
      <c r="BN5" t="s">
        <v>118</v>
      </c>
      <c r="BO5" t="str">
        <f t="shared" ref="BO5:BO27" si="16">IFERROR(BN5*AS5,"-")</f>
        <v>-</v>
      </c>
      <c r="BP5" t="s">
        <v>118</v>
      </c>
      <c r="BQ5" t="str">
        <f t="shared" ref="BQ5:BQ27" si="17">IFERROR(BP5*AS5,"-")</f>
        <v>-</v>
      </c>
    </row>
    <row r="6" spans="1:70" x14ac:dyDescent="0.4">
      <c r="A6" s="3">
        <v>3</v>
      </c>
      <c r="B6" s="3">
        <v>3</v>
      </c>
      <c r="C6" s="17" t="s">
        <v>72</v>
      </c>
      <c r="D6" s="4" t="str">
        <f t="shared" si="4"/>
        <v>J154TB</v>
      </c>
      <c r="E6" s="4" t="s">
        <v>72</v>
      </c>
      <c r="F6" s="4" t="str">
        <f t="shared" si="5"/>
        <v>J154TB5</v>
      </c>
      <c r="G6" s="4" t="s">
        <v>96</v>
      </c>
      <c r="H6" s="5">
        <v>747609843088</v>
      </c>
      <c r="I6" s="33">
        <v>5</v>
      </c>
      <c r="J6" s="5"/>
      <c r="K6" s="5">
        <v>1</v>
      </c>
      <c r="L6" s="5">
        <v>1</v>
      </c>
      <c r="M6" s="4">
        <v>8000</v>
      </c>
      <c r="N6" s="4">
        <v>7600</v>
      </c>
      <c r="O6" s="4">
        <v>4800</v>
      </c>
      <c r="P6" s="6">
        <f t="shared" si="6"/>
        <v>0.36842105263157898</v>
      </c>
      <c r="Q6" s="4" t="s">
        <v>119</v>
      </c>
      <c r="R6" s="4"/>
      <c r="S6" s="4"/>
      <c r="T6" s="4"/>
      <c r="U6" s="4"/>
      <c r="V6" s="4"/>
      <c r="W6" s="4"/>
      <c r="X6" s="4"/>
      <c r="Y6" s="4"/>
      <c r="Z6" s="33">
        <v>9000</v>
      </c>
      <c r="AA6" s="4">
        <f t="shared" si="7"/>
        <v>9000</v>
      </c>
      <c r="AB6" s="33">
        <v>5400</v>
      </c>
      <c r="AC6" s="4">
        <f t="shared" si="8"/>
        <v>5400</v>
      </c>
      <c r="AD6" s="4"/>
      <c r="AE6" s="21">
        <f t="shared" si="0"/>
        <v>8550</v>
      </c>
      <c r="AF6" s="6">
        <f t="shared" si="9"/>
        <v>0.36842105263157898</v>
      </c>
      <c r="AG6" s="33">
        <v>0</v>
      </c>
      <c r="AH6" s="4" t="str">
        <f t="shared" si="10"/>
        <v>-</v>
      </c>
      <c r="AI6" s="33" t="str">
        <f t="shared" si="11"/>
        <v>-</v>
      </c>
      <c r="AJ6" s="6" t="str">
        <f t="shared" si="12"/>
        <v>-</v>
      </c>
      <c r="AK6" s="7">
        <v>8550</v>
      </c>
      <c r="AL6" s="6">
        <f t="shared" si="1"/>
        <v>0.36842105263157898</v>
      </c>
      <c r="AM6" s="4">
        <f t="shared" si="2"/>
        <v>3150</v>
      </c>
      <c r="AN6" s="28"/>
      <c r="AO6" s="6"/>
      <c r="AP6" s="6"/>
      <c r="AQ6" s="6">
        <f t="shared" si="13"/>
        <v>1.125</v>
      </c>
      <c r="AR6" s="6">
        <f t="shared" si="14"/>
        <v>1.125</v>
      </c>
      <c r="AS6" s="6">
        <f t="shared" si="15"/>
        <v>1.125</v>
      </c>
      <c r="AT6" s="6"/>
      <c r="AU6" s="4"/>
      <c r="AV6" s="4"/>
      <c r="AW6" s="4"/>
      <c r="AX6" s="4"/>
      <c r="AY6" s="4"/>
      <c r="AZ6" s="4"/>
      <c r="BA6" s="4"/>
      <c r="BB6" s="4"/>
      <c r="BC6" s="4"/>
      <c r="BD6" s="4">
        <v>0</v>
      </c>
      <c r="BE6" s="4" t="s">
        <v>119</v>
      </c>
      <c r="BF6" s="4"/>
      <c r="BG6" s="4"/>
      <c r="BH6" s="4" t="s">
        <v>118</v>
      </c>
      <c r="BI6" s="4" t="s">
        <v>118</v>
      </c>
      <c r="BJ6" s="4" t="str">
        <f t="shared" ref="BJ6:BJ13" si="18">IF(BF6="",BI6,BF6/BG6*BI6)</f>
        <v>-</v>
      </c>
      <c r="BK6" s="19">
        <v>4</v>
      </c>
      <c r="BL6" s="19">
        <v>8</v>
      </c>
      <c r="BM6" s="16">
        <v>5</v>
      </c>
      <c r="BN6" t="s">
        <v>118</v>
      </c>
      <c r="BO6" t="str">
        <f t="shared" si="16"/>
        <v>-</v>
      </c>
      <c r="BP6" t="s">
        <v>118</v>
      </c>
      <c r="BQ6" t="str">
        <f t="shared" si="17"/>
        <v>-</v>
      </c>
    </row>
    <row r="7" spans="1:70" x14ac:dyDescent="0.4">
      <c r="A7" s="3">
        <v>4</v>
      </c>
      <c r="B7" s="3">
        <v>4</v>
      </c>
      <c r="C7" s="17" t="s">
        <v>73</v>
      </c>
      <c r="D7" s="4" t="str">
        <f t="shared" si="4"/>
        <v>J152TB</v>
      </c>
      <c r="E7" s="4" t="s">
        <v>73</v>
      </c>
      <c r="F7" s="4" t="str">
        <f t="shared" si="5"/>
        <v>J152TB5</v>
      </c>
      <c r="G7" s="4" t="s">
        <v>97</v>
      </c>
      <c r="H7" s="5">
        <v>747609841145</v>
      </c>
      <c r="I7" s="33">
        <v>5</v>
      </c>
      <c r="J7" s="5"/>
      <c r="K7" s="5">
        <v>1</v>
      </c>
      <c r="L7" s="5">
        <v>1</v>
      </c>
      <c r="M7" s="4">
        <v>7000</v>
      </c>
      <c r="N7" s="4">
        <v>6650</v>
      </c>
      <c r="O7" s="4">
        <v>4200</v>
      </c>
      <c r="P7" s="6">
        <f t="shared" si="6"/>
        <v>0.36842105263157898</v>
      </c>
      <c r="Q7" s="4" t="s">
        <v>119</v>
      </c>
      <c r="R7" s="4"/>
      <c r="S7" s="4"/>
      <c r="T7" s="4"/>
      <c r="U7" s="4"/>
      <c r="V7" s="4"/>
      <c r="W7" s="4"/>
      <c r="X7" s="4"/>
      <c r="Y7" s="4"/>
      <c r="Z7" s="33">
        <v>8000</v>
      </c>
      <c r="AA7" s="4">
        <f t="shared" si="7"/>
        <v>8000</v>
      </c>
      <c r="AB7" s="33">
        <v>4800</v>
      </c>
      <c r="AC7" s="4">
        <f t="shared" si="8"/>
        <v>4800</v>
      </c>
      <c r="AD7" s="4"/>
      <c r="AE7" s="21">
        <f t="shared" si="0"/>
        <v>7600</v>
      </c>
      <c r="AF7" s="6">
        <f t="shared" si="9"/>
        <v>0.36842105263157898</v>
      </c>
      <c r="AG7" s="33">
        <v>0</v>
      </c>
      <c r="AH7" s="4" t="str">
        <f t="shared" si="10"/>
        <v>-</v>
      </c>
      <c r="AI7" s="33" t="str">
        <f t="shared" si="11"/>
        <v>-</v>
      </c>
      <c r="AJ7" s="6" t="str">
        <f t="shared" si="12"/>
        <v>-</v>
      </c>
      <c r="AK7" s="7">
        <v>7600</v>
      </c>
      <c r="AL7" s="6">
        <f t="shared" si="1"/>
        <v>0.36842105263157898</v>
      </c>
      <c r="AM7" s="4">
        <f t="shared" si="2"/>
        <v>2800</v>
      </c>
      <c r="AN7" s="28"/>
      <c r="AO7" s="6"/>
      <c r="AP7" s="6"/>
      <c r="AQ7" s="6">
        <f t="shared" si="13"/>
        <v>1.1428571428571428</v>
      </c>
      <c r="AR7" s="6">
        <f t="shared" si="14"/>
        <v>1.1428571428571428</v>
      </c>
      <c r="AS7" s="6">
        <f t="shared" si="15"/>
        <v>1.1428571428571428</v>
      </c>
      <c r="AT7" s="6"/>
      <c r="AU7" s="4"/>
      <c r="AV7" s="4"/>
      <c r="AW7" s="4"/>
      <c r="AX7" s="4"/>
      <c r="AY7" s="4"/>
      <c r="AZ7" s="4"/>
      <c r="BA7" s="4"/>
      <c r="BB7" s="4"/>
      <c r="BC7" s="4"/>
      <c r="BD7" s="4">
        <v>0</v>
      </c>
      <c r="BE7" s="4" t="s">
        <v>119</v>
      </c>
      <c r="BF7" s="4"/>
      <c r="BG7" s="4"/>
      <c r="BH7" s="4" t="s">
        <v>118</v>
      </c>
      <c r="BI7" s="4" t="s">
        <v>118</v>
      </c>
      <c r="BJ7" s="4" t="str">
        <f t="shared" si="18"/>
        <v>-</v>
      </c>
      <c r="BK7" s="19">
        <v>4</v>
      </c>
      <c r="BL7" s="19">
        <v>8</v>
      </c>
      <c r="BM7" s="16">
        <v>5</v>
      </c>
      <c r="BN7" t="s">
        <v>118</v>
      </c>
      <c r="BO7" t="str">
        <f t="shared" si="16"/>
        <v>-</v>
      </c>
      <c r="BP7" t="s">
        <v>118</v>
      </c>
      <c r="BQ7" t="str">
        <f t="shared" si="17"/>
        <v>-</v>
      </c>
    </row>
    <row r="8" spans="1:70" x14ac:dyDescent="0.4">
      <c r="A8" s="3">
        <v>5</v>
      </c>
      <c r="B8" s="3">
        <v>5</v>
      </c>
      <c r="C8" s="17" t="s">
        <v>74</v>
      </c>
      <c r="D8" s="4" t="str">
        <f t="shared" si="4"/>
        <v>J155TB</v>
      </c>
      <c r="E8" s="4" t="s">
        <v>74</v>
      </c>
      <c r="F8" s="4" t="str">
        <f t="shared" si="5"/>
        <v>J155TB5</v>
      </c>
      <c r="G8" s="4" t="s">
        <v>98</v>
      </c>
      <c r="H8" s="5">
        <v>747609841251</v>
      </c>
      <c r="I8" s="33">
        <v>5</v>
      </c>
      <c r="J8" s="5"/>
      <c r="K8" s="5">
        <v>1</v>
      </c>
      <c r="L8" s="5">
        <v>1</v>
      </c>
      <c r="M8" s="4">
        <v>9000</v>
      </c>
      <c r="N8" s="4">
        <v>8550</v>
      </c>
      <c r="O8" s="4">
        <v>5400</v>
      </c>
      <c r="P8" s="6">
        <f t="shared" si="6"/>
        <v>0.36842105263157898</v>
      </c>
      <c r="Q8" s="4" t="s">
        <v>119</v>
      </c>
      <c r="R8" s="4"/>
      <c r="S8" s="4"/>
      <c r="T8" s="4"/>
      <c r="U8" s="4"/>
      <c r="V8" s="4"/>
      <c r="W8" s="4"/>
      <c r="X8" s="4"/>
      <c r="Y8" s="4"/>
      <c r="Z8" s="33">
        <v>10000</v>
      </c>
      <c r="AA8" s="4">
        <f t="shared" si="7"/>
        <v>10000</v>
      </c>
      <c r="AB8" s="33">
        <v>6000</v>
      </c>
      <c r="AC8" s="4">
        <f t="shared" si="8"/>
        <v>6000</v>
      </c>
      <c r="AD8" s="4"/>
      <c r="AE8" s="21">
        <f t="shared" si="0"/>
        <v>9500</v>
      </c>
      <c r="AF8" s="6">
        <f t="shared" si="9"/>
        <v>0.36842105263157898</v>
      </c>
      <c r="AG8" s="33">
        <v>0</v>
      </c>
      <c r="AH8" s="4" t="str">
        <f t="shared" si="10"/>
        <v>-</v>
      </c>
      <c r="AI8" s="33" t="str">
        <f t="shared" si="11"/>
        <v>-</v>
      </c>
      <c r="AJ8" s="6" t="str">
        <f t="shared" si="12"/>
        <v>-</v>
      </c>
      <c r="AK8" s="7">
        <v>9500</v>
      </c>
      <c r="AL8" s="6">
        <f t="shared" si="1"/>
        <v>0.36842105263157898</v>
      </c>
      <c r="AM8" s="4">
        <f t="shared" si="2"/>
        <v>3500</v>
      </c>
      <c r="AN8" s="28"/>
      <c r="AO8" s="6"/>
      <c r="AP8" s="6"/>
      <c r="AQ8" s="6">
        <f t="shared" si="13"/>
        <v>1.1111111111111112</v>
      </c>
      <c r="AR8" s="6">
        <f t="shared" si="14"/>
        <v>1.1111111111111112</v>
      </c>
      <c r="AS8" s="6">
        <f t="shared" si="15"/>
        <v>1.1111111111111112</v>
      </c>
      <c r="AT8" s="6"/>
      <c r="AU8" s="4"/>
      <c r="AV8" s="4"/>
      <c r="AW8" s="4"/>
      <c r="AX8" s="4"/>
      <c r="AY8" s="4"/>
      <c r="AZ8" s="4"/>
      <c r="BA8" s="4"/>
      <c r="BB8" s="4"/>
      <c r="BC8" s="4"/>
      <c r="BD8" s="4">
        <v>0</v>
      </c>
      <c r="BE8" s="4" t="s">
        <v>119</v>
      </c>
      <c r="BF8" s="4"/>
      <c r="BG8" s="4"/>
      <c r="BH8" s="4" t="s">
        <v>118</v>
      </c>
      <c r="BI8" s="4" t="s">
        <v>118</v>
      </c>
      <c r="BJ8" s="4" t="str">
        <f t="shared" si="18"/>
        <v>-</v>
      </c>
      <c r="BK8" s="19">
        <v>4</v>
      </c>
      <c r="BL8" s="19">
        <v>8</v>
      </c>
      <c r="BM8" s="16">
        <v>5</v>
      </c>
      <c r="BN8" t="s">
        <v>118</v>
      </c>
      <c r="BO8" t="str">
        <f t="shared" si="16"/>
        <v>-</v>
      </c>
      <c r="BP8" t="s">
        <v>118</v>
      </c>
      <c r="BQ8" t="str">
        <f t="shared" si="17"/>
        <v>-</v>
      </c>
    </row>
    <row r="9" spans="1:70" x14ac:dyDescent="0.4">
      <c r="A9" s="3">
        <v>6</v>
      </c>
      <c r="B9" s="3">
        <v>6</v>
      </c>
      <c r="C9" s="17" t="s">
        <v>75</v>
      </c>
      <c r="D9" s="4" t="str">
        <f t="shared" si="4"/>
        <v>J156TB</v>
      </c>
      <c r="E9" s="4" t="s">
        <v>75</v>
      </c>
      <c r="F9" s="4" t="str">
        <f t="shared" si="5"/>
        <v>J156TB5</v>
      </c>
      <c r="G9" s="4" t="s">
        <v>99</v>
      </c>
      <c r="H9" s="5">
        <v>747609841244</v>
      </c>
      <c r="I9" s="33">
        <v>5</v>
      </c>
      <c r="J9" s="5"/>
      <c r="K9" s="5">
        <v>1</v>
      </c>
      <c r="L9" s="5">
        <v>1</v>
      </c>
      <c r="M9" s="4">
        <v>9000</v>
      </c>
      <c r="N9" s="4">
        <v>8550</v>
      </c>
      <c r="O9" s="4">
        <v>5400</v>
      </c>
      <c r="P9" s="6">
        <f t="shared" si="6"/>
        <v>0.36842105263157898</v>
      </c>
      <c r="Q9" s="4" t="s">
        <v>119</v>
      </c>
      <c r="R9" s="4"/>
      <c r="S9" s="4"/>
      <c r="T9" s="4"/>
      <c r="U9" s="4"/>
      <c r="V9" s="4"/>
      <c r="W9" s="4"/>
      <c r="X9" s="4"/>
      <c r="Y9" s="4"/>
      <c r="Z9" s="33">
        <v>10000</v>
      </c>
      <c r="AA9" s="4">
        <f t="shared" si="7"/>
        <v>10000</v>
      </c>
      <c r="AB9" s="33">
        <v>6000</v>
      </c>
      <c r="AC9" s="4">
        <f t="shared" si="8"/>
        <v>6000</v>
      </c>
      <c r="AD9" s="4"/>
      <c r="AE9" s="21">
        <f t="shared" si="0"/>
        <v>9500</v>
      </c>
      <c r="AF9" s="6">
        <f t="shared" si="9"/>
        <v>0.36842105263157898</v>
      </c>
      <c r="AG9" s="33">
        <v>0</v>
      </c>
      <c r="AH9" s="4" t="str">
        <f t="shared" si="10"/>
        <v>-</v>
      </c>
      <c r="AI9" s="33" t="str">
        <f t="shared" si="11"/>
        <v>-</v>
      </c>
      <c r="AJ9" s="6" t="str">
        <f t="shared" si="12"/>
        <v>-</v>
      </c>
      <c r="AK9" s="7">
        <v>9500</v>
      </c>
      <c r="AL9" s="6">
        <f t="shared" si="1"/>
        <v>0.36842105263157898</v>
      </c>
      <c r="AM9" s="4">
        <f t="shared" si="2"/>
        <v>3500</v>
      </c>
      <c r="AN9" s="28"/>
      <c r="AO9" s="6"/>
      <c r="AP9" s="6"/>
      <c r="AQ9" s="6">
        <f t="shared" si="13"/>
        <v>1.1111111111111112</v>
      </c>
      <c r="AR9" s="6">
        <f t="shared" si="14"/>
        <v>1.1111111111111112</v>
      </c>
      <c r="AS9" s="6">
        <f t="shared" si="15"/>
        <v>1.1111111111111112</v>
      </c>
      <c r="AT9" s="6"/>
      <c r="AU9" s="4"/>
      <c r="AV9" s="4"/>
      <c r="AW9" s="4"/>
      <c r="AX9" s="4"/>
      <c r="AY9" s="4"/>
      <c r="AZ9" s="4"/>
      <c r="BA9" s="4"/>
      <c r="BB9" s="4"/>
      <c r="BC9" s="4"/>
      <c r="BD9" s="4">
        <v>0</v>
      </c>
      <c r="BE9" s="4" t="s">
        <v>119</v>
      </c>
      <c r="BF9" s="4"/>
      <c r="BG9" s="4"/>
      <c r="BH9" s="4" t="s">
        <v>118</v>
      </c>
      <c r="BI9" s="4" t="s">
        <v>118</v>
      </c>
      <c r="BJ9" s="4" t="str">
        <f t="shared" si="18"/>
        <v>-</v>
      </c>
      <c r="BK9" s="19">
        <v>4</v>
      </c>
      <c r="BL9" s="19">
        <v>8</v>
      </c>
      <c r="BM9" s="16">
        <v>5</v>
      </c>
      <c r="BN9" t="s">
        <v>118</v>
      </c>
      <c r="BO9" t="str">
        <f t="shared" si="16"/>
        <v>-</v>
      </c>
      <c r="BP9" t="s">
        <v>118</v>
      </c>
      <c r="BQ9" t="str">
        <f t="shared" si="17"/>
        <v>-</v>
      </c>
    </row>
    <row r="10" spans="1:70" x14ac:dyDescent="0.4">
      <c r="A10" s="3">
        <v>7</v>
      </c>
      <c r="B10" s="3">
        <v>7</v>
      </c>
      <c r="C10" s="4" t="s">
        <v>76</v>
      </c>
      <c r="D10" s="4" t="str">
        <f t="shared" si="4"/>
        <v>J157TB</v>
      </c>
      <c r="E10" s="4" t="s">
        <v>76</v>
      </c>
      <c r="F10" s="4" t="str">
        <f t="shared" si="5"/>
        <v>J157TB5</v>
      </c>
      <c r="G10" s="4" t="s">
        <v>100</v>
      </c>
      <c r="H10" s="5">
        <v>747609844245</v>
      </c>
      <c r="I10" s="33">
        <v>5</v>
      </c>
      <c r="J10" s="5"/>
      <c r="K10" s="5">
        <v>1</v>
      </c>
      <c r="L10" s="5">
        <v>1</v>
      </c>
      <c r="M10" s="4">
        <v>9000</v>
      </c>
      <c r="N10" s="4">
        <v>8550</v>
      </c>
      <c r="O10" s="4">
        <v>5400</v>
      </c>
      <c r="P10" s="6">
        <f t="shared" si="6"/>
        <v>0.36842105263157898</v>
      </c>
      <c r="Q10" s="4" t="s">
        <v>119</v>
      </c>
      <c r="R10" s="4"/>
      <c r="S10" s="4"/>
      <c r="T10" s="4"/>
      <c r="U10" s="4"/>
      <c r="V10" s="4"/>
      <c r="W10" s="4"/>
      <c r="X10" s="4"/>
      <c r="Y10" s="4"/>
      <c r="Z10" s="33">
        <v>10000</v>
      </c>
      <c r="AA10" s="4">
        <f t="shared" si="7"/>
        <v>10000</v>
      </c>
      <c r="AB10" s="33">
        <v>6000</v>
      </c>
      <c r="AC10" s="4">
        <f t="shared" si="8"/>
        <v>6000</v>
      </c>
      <c r="AD10" s="4"/>
      <c r="AE10" s="21">
        <f t="shared" si="0"/>
        <v>9500</v>
      </c>
      <c r="AF10" s="6">
        <f t="shared" si="9"/>
        <v>0.36842105263157898</v>
      </c>
      <c r="AG10" s="33">
        <v>0</v>
      </c>
      <c r="AH10" s="4" t="str">
        <f t="shared" si="10"/>
        <v>-</v>
      </c>
      <c r="AI10" s="33" t="str">
        <f t="shared" si="11"/>
        <v>-</v>
      </c>
      <c r="AJ10" s="6" t="str">
        <f t="shared" si="12"/>
        <v>-</v>
      </c>
      <c r="AK10" s="7">
        <v>9500</v>
      </c>
      <c r="AL10" s="6">
        <f t="shared" si="1"/>
        <v>0.36842105263157898</v>
      </c>
      <c r="AM10" s="4">
        <f t="shared" si="2"/>
        <v>3500</v>
      </c>
      <c r="AN10" s="28"/>
      <c r="AO10" s="6"/>
      <c r="AP10" s="6"/>
      <c r="AQ10" s="6">
        <f t="shared" si="13"/>
        <v>1.1111111111111112</v>
      </c>
      <c r="AR10" s="6">
        <f t="shared" si="14"/>
        <v>1.1111111111111112</v>
      </c>
      <c r="AS10" s="6">
        <f t="shared" si="15"/>
        <v>1.1111111111111112</v>
      </c>
      <c r="AT10" s="6"/>
      <c r="AU10" s="4"/>
      <c r="AV10" s="4"/>
      <c r="AW10" s="4"/>
      <c r="AX10" s="4"/>
      <c r="AY10" s="4"/>
      <c r="AZ10" s="4"/>
      <c r="BA10" s="4"/>
      <c r="BB10" s="4"/>
      <c r="BC10" s="4"/>
      <c r="BD10" s="4">
        <v>0</v>
      </c>
      <c r="BE10" s="4" t="s">
        <v>119</v>
      </c>
      <c r="BF10" s="4"/>
      <c r="BG10" s="4"/>
      <c r="BH10" s="4" t="s">
        <v>118</v>
      </c>
      <c r="BI10" s="4" t="s">
        <v>118</v>
      </c>
      <c r="BJ10" s="4" t="str">
        <f t="shared" si="18"/>
        <v>-</v>
      </c>
      <c r="BK10" s="19">
        <v>4</v>
      </c>
      <c r="BL10" s="19">
        <v>8</v>
      </c>
      <c r="BM10" s="16">
        <v>5</v>
      </c>
      <c r="BN10" t="s">
        <v>118</v>
      </c>
      <c r="BO10" t="str">
        <f t="shared" si="16"/>
        <v>-</v>
      </c>
      <c r="BP10" t="s">
        <v>118</v>
      </c>
      <c r="BQ10" t="str">
        <f t="shared" si="17"/>
        <v>-</v>
      </c>
    </row>
    <row r="11" spans="1:70" x14ac:dyDescent="0.4">
      <c r="A11" s="3">
        <v>8</v>
      </c>
      <c r="B11" s="3">
        <v>8</v>
      </c>
      <c r="C11" s="4" t="s">
        <v>77</v>
      </c>
      <c r="D11" s="4" t="str">
        <f t="shared" si="4"/>
        <v>J161TB</v>
      </c>
      <c r="E11" s="4" t="s">
        <v>77</v>
      </c>
      <c r="F11" s="4" t="str">
        <f t="shared" si="5"/>
        <v>J161TB5</v>
      </c>
      <c r="G11" s="4" t="s">
        <v>101</v>
      </c>
      <c r="H11" s="5">
        <v>747609004212</v>
      </c>
      <c r="I11" s="33">
        <v>5</v>
      </c>
      <c r="J11" s="5"/>
      <c r="K11" s="5">
        <v>1</v>
      </c>
      <c r="L11" s="5">
        <v>1</v>
      </c>
      <c r="M11" s="4">
        <v>8000</v>
      </c>
      <c r="N11" s="4">
        <v>7600</v>
      </c>
      <c r="O11" s="4">
        <v>4800</v>
      </c>
      <c r="P11" s="6">
        <f t="shared" si="6"/>
        <v>0.36842105263157898</v>
      </c>
      <c r="Q11" s="4" t="s">
        <v>119</v>
      </c>
      <c r="R11" s="4"/>
      <c r="S11" s="4"/>
      <c r="T11" s="4"/>
      <c r="U11" s="4"/>
      <c r="V11" s="4"/>
      <c r="W11" s="4"/>
      <c r="X11" s="4"/>
      <c r="Y11" s="4"/>
      <c r="Z11" s="33">
        <v>9000</v>
      </c>
      <c r="AA11" s="4">
        <f t="shared" si="7"/>
        <v>9000</v>
      </c>
      <c r="AB11" s="33">
        <v>5400</v>
      </c>
      <c r="AC11" s="4">
        <f t="shared" si="8"/>
        <v>5400</v>
      </c>
      <c r="AD11" s="4"/>
      <c r="AE11" s="21">
        <f t="shared" si="0"/>
        <v>8550</v>
      </c>
      <c r="AF11" s="6">
        <f t="shared" si="9"/>
        <v>0.36842105263157898</v>
      </c>
      <c r="AG11" s="33">
        <v>0</v>
      </c>
      <c r="AH11" s="4" t="str">
        <f t="shared" si="10"/>
        <v>-</v>
      </c>
      <c r="AI11" s="33" t="str">
        <f t="shared" si="11"/>
        <v>-</v>
      </c>
      <c r="AJ11" s="6" t="str">
        <f t="shared" si="12"/>
        <v>-</v>
      </c>
      <c r="AK11" s="7">
        <v>8550</v>
      </c>
      <c r="AL11" s="6">
        <f t="shared" si="1"/>
        <v>0.36842105263157898</v>
      </c>
      <c r="AM11" s="4">
        <f t="shared" si="2"/>
        <v>3150</v>
      </c>
      <c r="AN11" s="28"/>
      <c r="AO11" s="6"/>
      <c r="AP11" s="6"/>
      <c r="AQ11" s="6">
        <f t="shared" si="13"/>
        <v>1.125</v>
      </c>
      <c r="AR11" s="6">
        <f t="shared" si="14"/>
        <v>1.125</v>
      </c>
      <c r="AS11" s="6">
        <f t="shared" si="15"/>
        <v>1.125</v>
      </c>
      <c r="AT11" s="6"/>
      <c r="AU11" s="4"/>
      <c r="AV11" s="4"/>
      <c r="AW11" s="4"/>
      <c r="AX11" s="4"/>
      <c r="AY11" s="4"/>
      <c r="AZ11" s="4"/>
      <c r="BA11" s="4"/>
      <c r="BB11" s="4"/>
      <c r="BC11" s="4"/>
      <c r="BD11" s="4">
        <v>0</v>
      </c>
      <c r="BE11" s="4" t="s">
        <v>119</v>
      </c>
      <c r="BF11" s="4"/>
      <c r="BG11" s="4"/>
      <c r="BH11" s="4" t="s">
        <v>118</v>
      </c>
      <c r="BI11" s="4" t="s">
        <v>118</v>
      </c>
      <c r="BJ11" s="4" t="str">
        <f t="shared" si="18"/>
        <v>-</v>
      </c>
      <c r="BK11" s="19">
        <v>4</v>
      </c>
      <c r="BL11" s="19">
        <v>8</v>
      </c>
      <c r="BM11" s="16">
        <v>5</v>
      </c>
      <c r="BN11" t="s">
        <v>118</v>
      </c>
      <c r="BO11" t="str">
        <f t="shared" si="16"/>
        <v>-</v>
      </c>
      <c r="BP11" t="s">
        <v>118</v>
      </c>
      <c r="BQ11" t="str">
        <f t="shared" si="17"/>
        <v>-</v>
      </c>
    </row>
    <row r="12" spans="1:70" x14ac:dyDescent="0.4">
      <c r="A12" s="3">
        <v>9</v>
      </c>
      <c r="B12" s="3">
        <v>9</v>
      </c>
      <c r="C12" s="4" t="s">
        <v>78</v>
      </c>
      <c r="D12" s="4" t="str">
        <f t="shared" si="4"/>
        <v>J162TB</v>
      </c>
      <c r="E12" s="4" t="s">
        <v>78</v>
      </c>
      <c r="F12" s="4" t="str">
        <f t="shared" si="5"/>
        <v>J162TB5</v>
      </c>
      <c r="G12" s="4" t="s">
        <v>102</v>
      </c>
      <c r="H12" s="5">
        <v>747609003772</v>
      </c>
      <c r="I12" s="33">
        <v>5</v>
      </c>
      <c r="J12" s="5"/>
      <c r="K12" s="5">
        <v>1</v>
      </c>
      <c r="L12" s="5">
        <v>1</v>
      </c>
      <c r="M12" s="4">
        <v>8000</v>
      </c>
      <c r="N12" s="4">
        <v>7600</v>
      </c>
      <c r="O12" s="4">
        <v>4800</v>
      </c>
      <c r="P12" s="6">
        <f t="shared" si="6"/>
        <v>0.36842105263157898</v>
      </c>
      <c r="Q12" s="4" t="s">
        <v>119</v>
      </c>
      <c r="R12" s="4"/>
      <c r="S12" s="4"/>
      <c r="T12" s="4"/>
      <c r="U12" s="4"/>
      <c r="V12" s="4"/>
      <c r="W12" s="4"/>
      <c r="X12" s="4"/>
      <c r="Y12" s="4"/>
      <c r="Z12" s="33">
        <v>9000</v>
      </c>
      <c r="AA12" s="4">
        <f t="shared" si="7"/>
        <v>9000</v>
      </c>
      <c r="AB12" s="33">
        <v>5400</v>
      </c>
      <c r="AC12" s="4">
        <f t="shared" si="8"/>
        <v>5400</v>
      </c>
      <c r="AD12" s="4"/>
      <c r="AE12" s="21">
        <f t="shared" si="0"/>
        <v>8550</v>
      </c>
      <c r="AF12" s="6">
        <f t="shared" si="9"/>
        <v>0.36842105263157898</v>
      </c>
      <c r="AG12" s="33">
        <v>0</v>
      </c>
      <c r="AH12" s="4" t="str">
        <f t="shared" si="10"/>
        <v>-</v>
      </c>
      <c r="AI12" s="33" t="str">
        <f t="shared" si="11"/>
        <v>-</v>
      </c>
      <c r="AJ12" s="6" t="str">
        <f t="shared" si="12"/>
        <v>-</v>
      </c>
      <c r="AK12" s="7">
        <v>8550</v>
      </c>
      <c r="AL12" s="6">
        <f t="shared" si="1"/>
        <v>0.36842105263157898</v>
      </c>
      <c r="AM12" s="4">
        <f t="shared" si="2"/>
        <v>3150</v>
      </c>
      <c r="AN12" s="28"/>
      <c r="AO12" s="6"/>
      <c r="AP12" s="6"/>
      <c r="AQ12" s="6">
        <f t="shared" si="13"/>
        <v>1.125</v>
      </c>
      <c r="AR12" s="6">
        <f t="shared" si="14"/>
        <v>1.125</v>
      </c>
      <c r="AS12" s="6">
        <f t="shared" si="15"/>
        <v>1.125</v>
      </c>
      <c r="AT12" s="6"/>
      <c r="AU12" s="4"/>
      <c r="AV12" s="4"/>
      <c r="AW12" s="4"/>
      <c r="AX12" s="4"/>
      <c r="AY12" s="4"/>
      <c r="AZ12" s="4"/>
      <c r="BA12" s="4"/>
      <c r="BB12" s="4"/>
      <c r="BC12" s="4"/>
      <c r="BD12" s="4">
        <v>0</v>
      </c>
      <c r="BE12" s="4" t="s">
        <v>119</v>
      </c>
      <c r="BF12" s="4"/>
      <c r="BG12" s="4"/>
      <c r="BH12" s="4" t="s">
        <v>118</v>
      </c>
      <c r="BI12" s="4" t="s">
        <v>118</v>
      </c>
      <c r="BJ12" s="4" t="str">
        <f t="shared" si="18"/>
        <v>-</v>
      </c>
      <c r="BK12" s="19">
        <v>4</v>
      </c>
      <c r="BL12" s="19">
        <v>8</v>
      </c>
      <c r="BM12" s="16">
        <v>5</v>
      </c>
      <c r="BN12" t="s">
        <v>118</v>
      </c>
      <c r="BO12" t="str">
        <f t="shared" si="16"/>
        <v>-</v>
      </c>
      <c r="BP12" t="s">
        <v>118</v>
      </c>
      <c r="BQ12" t="str">
        <f t="shared" si="17"/>
        <v>-</v>
      </c>
    </row>
    <row r="13" spans="1:70" x14ac:dyDescent="0.4">
      <c r="A13" s="3">
        <v>10</v>
      </c>
      <c r="B13" s="3">
        <v>10</v>
      </c>
      <c r="C13" s="4" t="s">
        <v>79</v>
      </c>
      <c r="D13" s="4" t="str">
        <f t="shared" si="4"/>
        <v>J164TB</v>
      </c>
      <c r="E13" s="4" t="s">
        <v>79</v>
      </c>
      <c r="F13" s="4" t="str">
        <f t="shared" si="5"/>
        <v>J164TB5</v>
      </c>
      <c r="G13" s="4" t="s">
        <v>103</v>
      </c>
      <c r="H13" s="5">
        <v>747609842449</v>
      </c>
      <c r="I13" s="33">
        <v>5</v>
      </c>
      <c r="J13" s="5"/>
      <c r="K13" s="5">
        <v>1</v>
      </c>
      <c r="L13" s="5">
        <v>1</v>
      </c>
      <c r="M13" s="4">
        <v>14000</v>
      </c>
      <c r="N13" s="4">
        <v>13300</v>
      </c>
      <c r="O13" s="4">
        <v>8400</v>
      </c>
      <c r="P13" s="6">
        <f t="shared" si="6"/>
        <v>0.36842105263157898</v>
      </c>
      <c r="Q13" s="4" t="s">
        <v>119</v>
      </c>
      <c r="R13" s="4"/>
      <c r="S13" s="4"/>
      <c r="T13" s="4"/>
      <c r="U13" s="4"/>
      <c r="V13" s="4"/>
      <c r="W13" s="4"/>
      <c r="X13" s="4"/>
      <c r="Y13" s="4"/>
      <c r="Z13" s="33">
        <v>16000</v>
      </c>
      <c r="AA13" s="4">
        <f t="shared" si="7"/>
        <v>16000</v>
      </c>
      <c r="AB13" s="33">
        <v>9600</v>
      </c>
      <c r="AC13" s="4">
        <f t="shared" si="8"/>
        <v>9600</v>
      </c>
      <c r="AD13" s="4"/>
      <c r="AE13" s="21">
        <f t="shared" si="0"/>
        <v>15200</v>
      </c>
      <c r="AF13" s="6">
        <f t="shared" si="9"/>
        <v>0.36842105263157898</v>
      </c>
      <c r="AG13" s="33">
        <v>0</v>
      </c>
      <c r="AH13" s="4" t="str">
        <f t="shared" si="10"/>
        <v>-</v>
      </c>
      <c r="AI13" s="33" t="str">
        <f t="shared" si="11"/>
        <v>-</v>
      </c>
      <c r="AJ13" s="6" t="str">
        <f t="shared" si="12"/>
        <v>-</v>
      </c>
      <c r="AK13" s="7">
        <v>15200</v>
      </c>
      <c r="AL13" s="6">
        <f t="shared" si="1"/>
        <v>0.36842105263157898</v>
      </c>
      <c r="AM13" s="4">
        <f t="shared" si="2"/>
        <v>5600</v>
      </c>
      <c r="AN13" s="28"/>
      <c r="AO13" s="6"/>
      <c r="AP13" s="6"/>
      <c r="AQ13" s="6">
        <f t="shared" si="13"/>
        <v>1.1428571428571428</v>
      </c>
      <c r="AR13" s="6">
        <f t="shared" si="14"/>
        <v>1.1428571428571428</v>
      </c>
      <c r="AS13" s="6">
        <f t="shared" si="15"/>
        <v>1.1428571428571428</v>
      </c>
      <c r="AT13" s="6"/>
      <c r="AU13" s="4"/>
      <c r="AV13" s="4"/>
      <c r="AW13" s="4"/>
      <c r="AX13" s="4"/>
      <c r="AY13" s="4"/>
      <c r="AZ13" s="4"/>
      <c r="BA13" s="4"/>
      <c r="BB13" s="4"/>
      <c r="BC13" s="4"/>
      <c r="BD13" s="4">
        <v>0</v>
      </c>
      <c r="BE13" s="4" t="s">
        <v>119</v>
      </c>
      <c r="BF13" s="4"/>
      <c r="BG13" s="4"/>
      <c r="BH13" s="4" t="s">
        <v>118</v>
      </c>
      <c r="BI13" s="4" t="s">
        <v>118</v>
      </c>
      <c r="BJ13" s="4" t="str">
        <f t="shared" si="18"/>
        <v>-</v>
      </c>
      <c r="BK13" s="19">
        <v>4</v>
      </c>
      <c r="BL13" s="19">
        <v>8</v>
      </c>
      <c r="BM13" s="16">
        <v>5</v>
      </c>
      <c r="BN13" t="s">
        <v>118</v>
      </c>
      <c r="BO13" t="str">
        <f t="shared" si="16"/>
        <v>-</v>
      </c>
      <c r="BP13" t="s">
        <v>118</v>
      </c>
      <c r="BQ13" t="str">
        <f t="shared" si="17"/>
        <v>-</v>
      </c>
    </row>
    <row r="14" spans="1:70" x14ac:dyDescent="0.4">
      <c r="A14" s="3">
        <v>11</v>
      </c>
      <c r="B14" s="3">
        <v>11</v>
      </c>
      <c r="C14" s="4" t="s">
        <v>80</v>
      </c>
      <c r="D14" s="4" t="str">
        <f t="shared" ref="D14:D22" si="19">TEXT(C14,"000000")</f>
        <v>J165TB</v>
      </c>
      <c r="E14" s="4" t="s">
        <v>80</v>
      </c>
      <c r="F14" s="4" t="str">
        <f t="shared" si="5"/>
        <v>J165TB5</v>
      </c>
      <c r="G14" s="4" t="s">
        <v>104</v>
      </c>
      <c r="H14" s="5">
        <v>747609842609</v>
      </c>
      <c r="I14" s="33">
        <v>5</v>
      </c>
      <c r="J14" s="5"/>
      <c r="K14" s="5">
        <v>1</v>
      </c>
      <c r="L14" s="5">
        <v>1</v>
      </c>
      <c r="M14" s="4">
        <v>9000</v>
      </c>
      <c r="N14" s="4">
        <v>8550</v>
      </c>
      <c r="O14" s="4">
        <v>5400</v>
      </c>
      <c r="P14" s="6">
        <f t="shared" si="6"/>
        <v>0.36842105263157898</v>
      </c>
      <c r="Q14" s="4" t="s">
        <v>119</v>
      </c>
      <c r="R14" s="4"/>
      <c r="S14" s="4"/>
      <c r="T14" s="4"/>
      <c r="U14" s="4"/>
      <c r="V14" s="4"/>
      <c r="W14" s="4"/>
      <c r="X14" s="4"/>
      <c r="Y14" s="4"/>
      <c r="Z14" s="33">
        <v>10000</v>
      </c>
      <c r="AA14" s="4">
        <f t="shared" ref="AA14:AA22" si="20">IF(AD14="",Z14,Z14*AD14)</f>
        <v>10000</v>
      </c>
      <c r="AB14" s="33">
        <v>6000</v>
      </c>
      <c r="AC14" s="4">
        <f t="shared" ref="AC14:AC22" si="21">IF(AD14="",AB14,AB14*AD14)</f>
        <v>6000</v>
      </c>
      <c r="AD14" s="4"/>
      <c r="AE14" s="21">
        <f t="shared" si="0"/>
        <v>9500</v>
      </c>
      <c r="AF14" s="6">
        <f t="shared" si="9"/>
        <v>0.36842105263157898</v>
      </c>
      <c r="AG14" s="33">
        <v>0</v>
      </c>
      <c r="AH14" s="4" t="str">
        <f t="shared" ref="AH14:AH22" si="22">BJ14</f>
        <v>-</v>
      </c>
      <c r="AI14" s="33" t="str">
        <f t="shared" si="11"/>
        <v>-</v>
      </c>
      <c r="AJ14" s="6" t="str">
        <f t="shared" si="12"/>
        <v>-</v>
      </c>
      <c r="AK14" s="7">
        <v>9500</v>
      </c>
      <c r="AL14" s="6">
        <f t="shared" si="1"/>
        <v>0.36842105263157898</v>
      </c>
      <c r="AM14" s="4">
        <f t="shared" si="2"/>
        <v>3500</v>
      </c>
      <c r="AN14" s="28"/>
      <c r="AO14" s="6"/>
      <c r="AP14" s="6"/>
      <c r="AQ14" s="6">
        <f t="shared" si="13"/>
        <v>1.1111111111111112</v>
      </c>
      <c r="AR14" s="6">
        <f t="shared" si="14"/>
        <v>1.1111111111111112</v>
      </c>
      <c r="AS14" s="6">
        <f t="shared" si="15"/>
        <v>1.1111111111111112</v>
      </c>
      <c r="AT14" s="6"/>
      <c r="AU14" s="4"/>
      <c r="AV14" s="4"/>
      <c r="AW14" s="4"/>
      <c r="AX14" s="4"/>
      <c r="AY14" s="4"/>
      <c r="AZ14" s="4"/>
      <c r="BA14" s="4"/>
      <c r="BB14" s="4"/>
      <c r="BC14" s="4"/>
      <c r="BD14" s="4">
        <v>0</v>
      </c>
      <c r="BE14" s="4" t="s">
        <v>119</v>
      </c>
      <c r="BF14" s="4"/>
      <c r="BG14" s="4"/>
      <c r="BH14" s="4" t="s">
        <v>118</v>
      </c>
      <c r="BI14" s="4" t="s">
        <v>118</v>
      </c>
      <c r="BJ14" s="4" t="str">
        <f t="shared" ref="BJ14:BJ22" si="23">IF(BF14="",BI14,BF14/BG14*BI14)</f>
        <v>-</v>
      </c>
      <c r="BK14" s="19">
        <v>4</v>
      </c>
      <c r="BL14" s="19">
        <v>8</v>
      </c>
      <c r="BM14" s="16">
        <v>5</v>
      </c>
      <c r="BN14" t="s">
        <v>118</v>
      </c>
      <c r="BO14" t="str">
        <f t="shared" si="16"/>
        <v>-</v>
      </c>
      <c r="BP14" t="s">
        <v>118</v>
      </c>
      <c r="BQ14" t="str">
        <f t="shared" si="17"/>
        <v>-</v>
      </c>
    </row>
    <row r="15" spans="1:70" x14ac:dyDescent="0.4">
      <c r="A15" s="3">
        <v>12</v>
      </c>
      <c r="B15" s="3">
        <v>12</v>
      </c>
      <c r="C15" s="4" t="s">
        <v>81</v>
      </c>
      <c r="D15" s="4" t="str">
        <f t="shared" si="19"/>
        <v>J166TB</v>
      </c>
      <c r="E15" s="4" t="s">
        <v>81</v>
      </c>
      <c r="F15" s="4" t="str">
        <f t="shared" si="5"/>
        <v>J166TB5</v>
      </c>
      <c r="G15" s="4" t="s">
        <v>105</v>
      </c>
      <c r="H15" s="5">
        <v>747609842630</v>
      </c>
      <c r="I15" s="33">
        <v>5</v>
      </c>
      <c r="J15" s="5"/>
      <c r="K15" s="5">
        <v>1</v>
      </c>
      <c r="L15" s="5">
        <v>1</v>
      </c>
      <c r="M15" s="4">
        <v>9000</v>
      </c>
      <c r="N15" s="4">
        <v>8550</v>
      </c>
      <c r="O15" s="4">
        <v>5400</v>
      </c>
      <c r="P15" s="6">
        <f t="shared" si="6"/>
        <v>0.36842105263157898</v>
      </c>
      <c r="Q15" s="4" t="s">
        <v>119</v>
      </c>
      <c r="R15" s="4"/>
      <c r="S15" s="4"/>
      <c r="T15" s="4"/>
      <c r="U15" s="4"/>
      <c r="V15" s="4"/>
      <c r="W15" s="4"/>
      <c r="X15" s="4"/>
      <c r="Y15" s="4"/>
      <c r="Z15" s="33">
        <v>10000</v>
      </c>
      <c r="AA15" s="4">
        <f t="shared" si="20"/>
        <v>10000</v>
      </c>
      <c r="AB15" s="33">
        <v>6000</v>
      </c>
      <c r="AC15" s="4">
        <f t="shared" si="21"/>
        <v>6000</v>
      </c>
      <c r="AD15" s="4"/>
      <c r="AE15" s="21">
        <f t="shared" si="0"/>
        <v>9500</v>
      </c>
      <c r="AF15" s="6">
        <f t="shared" si="9"/>
        <v>0.36842105263157898</v>
      </c>
      <c r="AG15" s="33">
        <v>0</v>
      </c>
      <c r="AH15" s="4" t="str">
        <f t="shared" si="22"/>
        <v>-</v>
      </c>
      <c r="AI15" s="33" t="str">
        <f t="shared" si="11"/>
        <v>-</v>
      </c>
      <c r="AJ15" s="6" t="str">
        <f t="shared" si="12"/>
        <v>-</v>
      </c>
      <c r="AK15" s="7">
        <v>9500</v>
      </c>
      <c r="AL15" s="6">
        <f t="shared" si="1"/>
        <v>0.36842105263157898</v>
      </c>
      <c r="AM15" s="4">
        <f t="shared" si="2"/>
        <v>3500</v>
      </c>
      <c r="AN15" s="28"/>
      <c r="AO15" s="6"/>
      <c r="AP15" s="6"/>
      <c r="AQ15" s="6">
        <f t="shared" si="13"/>
        <v>1.1111111111111112</v>
      </c>
      <c r="AR15" s="6">
        <f t="shared" si="14"/>
        <v>1.1111111111111112</v>
      </c>
      <c r="AS15" s="6">
        <f t="shared" si="15"/>
        <v>1.1111111111111112</v>
      </c>
      <c r="AT15" s="6"/>
      <c r="AU15" s="4"/>
      <c r="AV15" s="4"/>
      <c r="AW15" s="4"/>
      <c r="AX15" s="4"/>
      <c r="AY15" s="4"/>
      <c r="AZ15" s="4"/>
      <c r="BA15" s="4"/>
      <c r="BB15" s="4"/>
      <c r="BC15" s="4"/>
      <c r="BD15" s="4">
        <v>0</v>
      </c>
      <c r="BE15" s="4" t="s">
        <v>119</v>
      </c>
      <c r="BF15" s="4"/>
      <c r="BG15" s="4"/>
      <c r="BH15" s="4" t="s">
        <v>118</v>
      </c>
      <c r="BI15" s="4" t="s">
        <v>118</v>
      </c>
      <c r="BJ15" s="4" t="str">
        <f t="shared" si="23"/>
        <v>-</v>
      </c>
      <c r="BK15" s="19">
        <v>4</v>
      </c>
      <c r="BL15" s="19">
        <v>8</v>
      </c>
      <c r="BM15" s="16">
        <v>5</v>
      </c>
      <c r="BN15" t="s">
        <v>118</v>
      </c>
      <c r="BO15" t="str">
        <f t="shared" si="16"/>
        <v>-</v>
      </c>
      <c r="BP15" t="s">
        <v>118</v>
      </c>
      <c r="BQ15" t="str">
        <f t="shared" si="17"/>
        <v>-</v>
      </c>
    </row>
    <row r="16" spans="1:70" x14ac:dyDescent="0.4">
      <c r="A16" s="3">
        <v>13</v>
      </c>
      <c r="B16" s="3">
        <v>13</v>
      </c>
      <c r="C16" s="4" t="s">
        <v>82</v>
      </c>
      <c r="D16" s="4" t="str">
        <f t="shared" si="19"/>
        <v>J167TB</v>
      </c>
      <c r="E16" s="4" t="s">
        <v>82</v>
      </c>
      <c r="F16" s="4" t="str">
        <f t="shared" si="5"/>
        <v>J167TB5</v>
      </c>
      <c r="G16" s="4" t="s">
        <v>106</v>
      </c>
      <c r="H16" s="5">
        <v>747609842685</v>
      </c>
      <c r="I16" s="33">
        <v>5</v>
      </c>
      <c r="J16" s="5"/>
      <c r="K16" s="5">
        <v>1</v>
      </c>
      <c r="L16" s="5">
        <v>1</v>
      </c>
      <c r="M16" s="4">
        <v>9000</v>
      </c>
      <c r="N16" s="4">
        <v>8550</v>
      </c>
      <c r="O16" s="4">
        <v>5400</v>
      </c>
      <c r="P16" s="6">
        <f t="shared" si="6"/>
        <v>0.36842105263157898</v>
      </c>
      <c r="Q16" s="4" t="s">
        <v>119</v>
      </c>
      <c r="R16" s="4"/>
      <c r="S16" s="4"/>
      <c r="T16" s="4"/>
      <c r="U16" s="4"/>
      <c r="V16" s="4"/>
      <c r="W16" s="4"/>
      <c r="X16" s="4"/>
      <c r="Y16" s="4"/>
      <c r="Z16" s="33">
        <v>10000</v>
      </c>
      <c r="AA16" s="4">
        <f t="shared" si="20"/>
        <v>10000</v>
      </c>
      <c r="AB16" s="33">
        <v>6000</v>
      </c>
      <c r="AC16" s="4">
        <f t="shared" si="21"/>
        <v>6000</v>
      </c>
      <c r="AD16" s="4"/>
      <c r="AE16" s="21">
        <f t="shared" si="0"/>
        <v>9500</v>
      </c>
      <c r="AF16" s="6">
        <f t="shared" si="9"/>
        <v>0.36842105263157898</v>
      </c>
      <c r="AG16" s="33">
        <v>0</v>
      </c>
      <c r="AH16" s="4" t="str">
        <f t="shared" si="22"/>
        <v>-</v>
      </c>
      <c r="AI16" s="33" t="str">
        <f t="shared" si="11"/>
        <v>-</v>
      </c>
      <c r="AJ16" s="6" t="str">
        <f t="shared" si="12"/>
        <v>-</v>
      </c>
      <c r="AK16" s="7">
        <v>9500</v>
      </c>
      <c r="AL16" s="6">
        <f t="shared" si="1"/>
        <v>0.36842105263157898</v>
      </c>
      <c r="AM16" s="4">
        <f t="shared" si="2"/>
        <v>3500</v>
      </c>
      <c r="AN16" s="28"/>
      <c r="AO16" s="6"/>
      <c r="AP16" s="6"/>
      <c r="AQ16" s="6">
        <f t="shared" si="13"/>
        <v>1.1111111111111112</v>
      </c>
      <c r="AR16" s="6">
        <f t="shared" si="14"/>
        <v>1.1111111111111112</v>
      </c>
      <c r="AS16" s="6">
        <f t="shared" si="15"/>
        <v>1.1111111111111112</v>
      </c>
      <c r="AT16" s="6"/>
      <c r="AU16" s="4"/>
      <c r="AV16" s="4"/>
      <c r="AW16" s="4"/>
      <c r="AX16" s="4"/>
      <c r="AY16" s="4"/>
      <c r="AZ16" s="4"/>
      <c r="BA16" s="4"/>
      <c r="BB16" s="4"/>
      <c r="BC16" s="4"/>
      <c r="BD16" s="4">
        <v>0</v>
      </c>
      <c r="BE16" s="4" t="s">
        <v>119</v>
      </c>
      <c r="BF16" s="4"/>
      <c r="BG16" s="4"/>
      <c r="BH16" s="4" t="s">
        <v>118</v>
      </c>
      <c r="BI16" s="4" t="s">
        <v>118</v>
      </c>
      <c r="BJ16" s="4" t="str">
        <f t="shared" si="23"/>
        <v>-</v>
      </c>
      <c r="BK16" s="19">
        <v>4</v>
      </c>
      <c r="BL16" s="19">
        <v>8</v>
      </c>
      <c r="BM16" s="16">
        <v>5</v>
      </c>
      <c r="BN16" t="s">
        <v>118</v>
      </c>
      <c r="BO16" t="str">
        <f t="shared" si="16"/>
        <v>-</v>
      </c>
      <c r="BP16" t="s">
        <v>118</v>
      </c>
      <c r="BQ16" t="str">
        <f t="shared" si="17"/>
        <v>-</v>
      </c>
    </row>
    <row r="17" spans="1:69" x14ac:dyDescent="0.4">
      <c r="A17" s="3">
        <v>14</v>
      </c>
      <c r="B17" s="3">
        <v>14</v>
      </c>
      <c r="C17" s="4" t="s">
        <v>83</v>
      </c>
      <c r="D17" s="4" t="str">
        <f t="shared" si="19"/>
        <v>J168TB</v>
      </c>
      <c r="E17" s="4" t="s">
        <v>83</v>
      </c>
      <c r="F17" s="4" t="str">
        <f t="shared" si="5"/>
        <v>J168TB5</v>
      </c>
      <c r="G17" s="4" t="s">
        <v>107</v>
      </c>
      <c r="H17" s="5">
        <v>747609001815</v>
      </c>
      <c r="I17" s="33">
        <v>5</v>
      </c>
      <c r="J17" s="5"/>
      <c r="K17" s="5">
        <v>1</v>
      </c>
      <c r="L17" s="5">
        <v>1</v>
      </c>
      <c r="M17" s="4">
        <v>7000</v>
      </c>
      <c r="N17" s="4">
        <v>6650</v>
      </c>
      <c r="O17" s="4">
        <v>4200</v>
      </c>
      <c r="P17" s="6">
        <f t="shared" si="6"/>
        <v>0.36842105263157898</v>
      </c>
      <c r="Q17" s="4" t="s">
        <v>119</v>
      </c>
      <c r="R17" s="4"/>
      <c r="S17" s="4"/>
      <c r="T17" s="4"/>
      <c r="U17" s="4"/>
      <c r="V17" s="4"/>
      <c r="W17" s="4"/>
      <c r="X17" s="4"/>
      <c r="Y17" s="4"/>
      <c r="Z17" s="33">
        <v>8000</v>
      </c>
      <c r="AA17" s="4">
        <f t="shared" si="20"/>
        <v>8000</v>
      </c>
      <c r="AB17" s="33">
        <v>4800</v>
      </c>
      <c r="AC17" s="4">
        <f t="shared" si="21"/>
        <v>4800</v>
      </c>
      <c r="AD17" s="4"/>
      <c r="AE17" s="21">
        <f t="shared" si="0"/>
        <v>7600</v>
      </c>
      <c r="AF17" s="6">
        <f t="shared" si="9"/>
        <v>0.36842105263157898</v>
      </c>
      <c r="AG17" s="33">
        <v>0</v>
      </c>
      <c r="AH17" s="4" t="str">
        <f t="shared" si="22"/>
        <v>-</v>
      </c>
      <c r="AI17" s="33" t="str">
        <f t="shared" si="11"/>
        <v>-</v>
      </c>
      <c r="AJ17" s="6" t="str">
        <f t="shared" si="12"/>
        <v>-</v>
      </c>
      <c r="AK17" s="7">
        <v>7600</v>
      </c>
      <c r="AL17" s="6">
        <f t="shared" si="1"/>
        <v>0.36842105263157898</v>
      </c>
      <c r="AM17" s="4">
        <f t="shared" si="2"/>
        <v>2800</v>
      </c>
      <c r="AN17" s="28"/>
      <c r="AO17" s="6"/>
      <c r="AP17" s="6"/>
      <c r="AQ17" s="6">
        <f t="shared" si="13"/>
        <v>1.1428571428571428</v>
      </c>
      <c r="AR17" s="6">
        <f t="shared" si="14"/>
        <v>1.1428571428571428</v>
      </c>
      <c r="AS17" s="6">
        <f t="shared" si="15"/>
        <v>1.1428571428571428</v>
      </c>
      <c r="AT17" s="6"/>
      <c r="AU17" s="4"/>
      <c r="AV17" s="4"/>
      <c r="AW17" s="4"/>
      <c r="AX17" s="4"/>
      <c r="AY17" s="4"/>
      <c r="AZ17" s="4"/>
      <c r="BA17" s="4"/>
      <c r="BB17" s="4"/>
      <c r="BC17" s="4"/>
      <c r="BD17" s="4">
        <v>0</v>
      </c>
      <c r="BE17" s="4" t="s">
        <v>119</v>
      </c>
      <c r="BF17" s="4"/>
      <c r="BG17" s="4"/>
      <c r="BH17" s="4" t="s">
        <v>118</v>
      </c>
      <c r="BI17" s="4" t="s">
        <v>118</v>
      </c>
      <c r="BJ17" s="4" t="str">
        <f t="shared" si="23"/>
        <v>-</v>
      </c>
      <c r="BK17" s="19">
        <v>4</v>
      </c>
      <c r="BL17" s="19">
        <v>8</v>
      </c>
      <c r="BM17" s="16">
        <v>5</v>
      </c>
      <c r="BN17" t="s">
        <v>118</v>
      </c>
      <c r="BO17" t="str">
        <f t="shared" si="16"/>
        <v>-</v>
      </c>
      <c r="BP17" t="s">
        <v>118</v>
      </c>
      <c r="BQ17" t="str">
        <f t="shared" si="17"/>
        <v>-</v>
      </c>
    </row>
    <row r="18" spans="1:69" x14ac:dyDescent="0.4">
      <c r="A18" s="3">
        <v>15</v>
      </c>
      <c r="B18" s="3">
        <v>15</v>
      </c>
      <c r="C18" s="4" t="s">
        <v>84</v>
      </c>
      <c r="D18" s="4" t="str">
        <f t="shared" si="19"/>
        <v>J169TB</v>
      </c>
      <c r="E18" s="4" t="s">
        <v>84</v>
      </c>
      <c r="F18" s="4" t="str">
        <f t="shared" si="5"/>
        <v>J169TB5</v>
      </c>
      <c r="G18" s="4" t="s">
        <v>108</v>
      </c>
      <c r="H18" s="5">
        <v>747609780000</v>
      </c>
      <c r="I18" s="33">
        <v>5</v>
      </c>
      <c r="J18" s="5"/>
      <c r="K18" s="5">
        <v>1</v>
      </c>
      <c r="L18" s="5">
        <v>1</v>
      </c>
      <c r="M18" s="4">
        <v>8000</v>
      </c>
      <c r="N18" s="4">
        <v>7600</v>
      </c>
      <c r="O18" s="4">
        <v>4800</v>
      </c>
      <c r="P18" s="6">
        <f t="shared" si="6"/>
        <v>0.36842105263157898</v>
      </c>
      <c r="Q18" s="4" t="s">
        <v>119</v>
      </c>
      <c r="R18" s="4"/>
      <c r="S18" s="4"/>
      <c r="T18" s="4"/>
      <c r="U18" s="4"/>
      <c r="V18" s="4"/>
      <c r="W18" s="4"/>
      <c r="X18" s="4"/>
      <c r="Y18" s="4"/>
      <c r="Z18" s="33">
        <v>9000</v>
      </c>
      <c r="AA18" s="4">
        <f t="shared" si="20"/>
        <v>9000</v>
      </c>
      <c r="AB18" s="33">
        <v>5400</v>
      </c>
      <c r="AC18" s="4">
        <f t="shared" si="21"/>
        <v>5400</v>
      </c>
      <c r="AD18" s="4"/>
      <c r="AE18" s="21">
        <f t="shared" si="0"/>
        <v>8550</v>
      </c>
      <c r="AF18" s="6">
        <f t="shared" si="9"/>
        <v>0.36842105263157898</v>
      </c>
      <c r="AG18" s="33">
        <v>0</v>
      </c>
      <c r="AH18" s="4" t="str">
        <f t="shared" si="22"/>
        <v>-</v>
      </c>
      <c r="AI18" s="33" t="str">
        <f t="shared" si="11"/>
        <v>-</v>
      </c>
      <c r="AJ18" s="6" t="str">
        <f t="shared" si="12"/>
        <v>-</v>
      </c>
      <c r="AK18" s="7">
        <v>8550</v>
      </c>
      <c r="AL18" s="6">
        <f t="shared" si="1"/>
        <v>0.36842105263157898</v>
      </c>
      <c r="AM18" s="4">
        <f t="shared" si="2"/>
        <v>3150</v>
      </c>
      <c r="AN18" s="28"/>
      <c r="AO18" s="6"/>
      <c r="AP18" s="6"/>
      <c r="AQ18" s="6">
        <f t="shared" si="13"/>
        <v>1.125</v>
      </c>
      <c r="AR18" s="6">
        <f t="shared" si="14"/>
        <v>1.125</v>
      </c>
      <c r="AS18" s="6">
        <f t="shared" si="15"/>
        <v>1.125</v>
      </c>
      <c r="AT18" s="6"/>
      <c r="AU18" s="4"/>
      <c r="AV18" s="4"/>
      <c r="AW18" s="4"/>
      <c r="AX18" s="4"/>
      <c r="AY18" s="4"/>
      <c r="AZ18" s="4"/>
      <c r="BA18" s="4"/>
      <c r="BB18" s="4"/>
      <c r="BC18" s="4"/>
      <c r="BD18" s="4">
        <v>0</v>
      </c>
      <c r="BE18" s="4" t="s">
        <v>119</v>
      </c>
      <c r="BF18" s="4"/>
      <c r="BG18" s="4"/>
      <c r="BH18" s="4" t="s">
        <v>118</v>
      </c>
      <c r="BI18" s="4" t="s">
        <v>118</v>
      </c>
      <c r="BJ18" s="4" t="str">
        <f t="shared" si="23"/>
        <v>-</v>
      </c>
      <c r="BK18" s="19">
        <v>4</v>
      </c>
      <c r="BL18" s="19">
        <v>8</v>
      </c>
      <c r="BM18" s="16">
        <v>5</v>
      </c>
      <c r="BN18" t="s">
        <v>118</v>
      </c>
      <c r="BO18" t="str">
        <f t="shared" si="16"/>
        <v>-</v>
      </c>
      <c r="BP18" t="s">
        <v>118</v>
      </c>
      <c r="BQ18" t="str">
        <f t="shared" si="17"/>
        <v>-</v>
      </c>
    </row>
    <row r="19" spans="1:69" x14ac:dyDescent="0.4">
      <c r="A19" s="3">
        <v>16</v>
      </c>
      <c r="B19" s="3">
        <v>16</v>
      </c>
      <c r="C19" s="4" t="s">
        <v>85</v>
      </c>
      <c r="D19" s="4" t="str">
        <f t="shared" si="19"/>
        <v>J170TB</v>
      </c>
      <c r="E19" s="4" t="s">
        <v>85</v>
      </c>
      <c r="F19" s="4" t="str">
        <f t="shared" si="5"/>
        <v>J170TB5</v>
      </c>
      <c r="G19" s="4" t="s">
        <v>109</v>
      </c>
      <c r="H19" s="5">
        <v>747609780017</v>
      </c>
      <c r="I19" s="33">
        <v>5</v>
      </c>
      <c r="J19" s="5"/>
      <c r="K19" s="5">
        <v>1</v>
      </c>
      <c r="L19" s="5">
        <v>1</v>
      </c>
      <c r="M19" s="4">
        <v>8000</v>
      </c>
      <c r="N19" s="4">
        <v>7600</v>
      </c>
      <c r="O19" s="4">
        <v>4800</v>
      </c>
      <c r="P19" s="6">
        <f t="shared" si="6"/>
        <v>0.36842105263157898</v>
      </c>
      <c r="Q19" s="4" t="s">
        <v>119</v>
      </c>
      <c r="R19" s="4"/>
      <c r="S19" s="4"/>
      <c r="T19" s="4"/>
      <c r="U19" s="4"/>
      <c r="V19" s="4"/>
      <c r="W19" s="4"/>
      <c r="X19" s="4"/>
      <c r="Y19" s="4"/>
      <c r="Z19" s="33">
        <v>9000</v>
      </c>
      <c r="AA19" s="4">
        <f t="shared" si="20"/>
        <v>9000</v>
      </c>
      <c r="AB19" s="33">
        <v>5400</v>
      </c>
      <c r="AC19" s="4">
        <f t="shared" si="21"/>
        <v>5400</v>
      </c>
      <c r="AD19" s="4"/>
      <c r="AE19" s="21">
        <f t="shared" si="0"/>
        <v>8550</v>
      </c>
      <c r="AF19" s="6">
        <f t="shared" si="9"/>
        <v>0.36842105263157898</v>
      </c>
      <c r="AG19" s="33">
        <v>0</v>
      </c>
      <c r="AH19" s="4" t="str">
        <f t="shared" si="22"/>
        <v>-</v>
      </c>
      <c r="AI19" s="33" t="str">
        <f t="shared" si="11"/>
        <v>-</v>
      </c>
      <c r="AJ19" s="6" t="str">
        <f t="shared" si="12"/>
        <v>-</v>
      </c>
      <c r="AK19" s="7">
        <v>8550</v>
      </c>
      <c r="AL19" s="6">
        <f t="shared" si="1"/>
        <v>0.36842105263157898</v>
      </c>
      <c r="AM19" s="4">
        <f t="shared" si="2"/>
        <v>3150</v>
      </c>
      <c r="AN19" s="28"/>
      <c r="AO19" s="6"/>
      <c r="AP19" s="6"/>
      <c r="AQ19" s="6">
        <f t="shared" si="13"/>
        <v>1.125</v>
      </c>
      <c r="AR19" s="6">
        <f t="shared" si="14"/>
        <v>1.125</v>
      </c>
      <c r="AS19" s="6">
        <f t="shared" si="15"/>
        <v>1.125</v>
      </c>
      <c r="AT19" s="6"/>
      <c r="AU19" s="4"/>
      <c r="AV19" s="4"/>
      <c r="AW19" s="4"/>
      <c r="AX19" s="4"/>
      <c r="AY19" s="4"/>
      <c r="AZ19" s="4"/>
      <c r="BA19" s="4"/>
      <c r="BB19" s="4"/>
      <c r="BC19" s="4"/>
      <c r="BD19" s="4">
        <v>0</v>
      </c>
      <c r="BE19" s="4" t="s">
        <v>119</v>
      </c>
      <c r="BF19" s="4"/>
      <c r="BG19" s="4"/>
      <c r="BH19" s="4" t="s">
        <v>118</v>
      </c>
      <c r="BI19" s="4" t="s">
        <v>118</v>
      </c>
      <c r="BJ19" s="4" t="str">
        <f t="shared" si="23"/>
        <v>-</v>
      </c>
      <c r="BK19" s="19">
        <v>4</v>
      </c>
      <c r="BL19" s="19">
        <v>8</v>
      </c>
      <c r="BM19" s="16">
        <v>5</v>
      </c>
      <c r="BN19" t="s">
        <v>118</v>
      </c>
      <c r="BO19" t="str">
        <f t="shared" si="16"/>
        <v>-</v>
      </c>
      <c r="BP19" t="s">
        <v>118</v>
      </c>
      <c r="BQ19" t="str">
        <f t="shared" si="17"/>
        <v>-</v>
      </c>
    </row>
    <row r="20" spans="1:69" x14ac:dyDescent="0.4">
      <c r="A20" s="3">
        <v>17</v>
      </c>
      <c r="B20" s="3">
        <v>17</v>
      </c>
      <c r="C20" s="4" t="s">
        <v>86</v>
      </c>
      <c r="D20" s="4" t="str">
        <f t="shared" si="19"/>
        <v>J174TB</v>
      </c>
      <c r="E20" s="4" t="s">
        <v>86</v>
      </c>
      <c r="F20" s="4" t="str">
        <f t="shared" si="5"/>
        <v>J174TB5</v>
      </c>
      <c r="G20" s="4" t="s">
        <v>110</v>
      </c>
      <c r="H20" s="5">
        <v>747609960006</v>
      </c>
      <c r="I20" s="33">
        <v>5</v>
      </c>
      <c r="J20" s="5"/>
      <c r="K20" s="5">
        <v>1</v>
      </c>
      <c r="L20" s="5">
        <v>1</v>
      </c>
      <c r="M20" s="4">
        <v>22000</v>
      </c>
      <c r="N20" s="4">
        <v>20900</v>
      </c>
      <c r="O20" s="4">
        <v>13200</v>
      </c>
      <c r="P20" s="6">
        <f t="shared" si="6"/>
        <v>0.36842105263157898</v>
      </c>
      <c r="Q20" s="4" t="s">
        <v>119</v>
      </c>
      <c r="R20" s="4"/>
      <c r="S20" s="4"/>
      <c r="T20" s="4"/>
      <c r="U20" s="4"/>
      <c r="V20" s="4"/>
      <c r="W20" s="4"/>
      <c r="X20" s="4"/>
      <c r="Y20" s="4"/>
      <c r="Z20" s="33">
        <v>23000</v>
      </c>
      <c r="AA20" s="4">
        <f t="shared" si="20"/>
        <v>23000</v>
      </c>
      <c r="AB20" s="33">
        <v>13800</v>
      </c>
      <c r="AC20" s="4">
        <f t="shared" si="21"/>
        <v>13800</v>
      </c>
      <c r="AD20" s="4"/>
      <c r="AE20" s="21">
        <f t="shared" si="0"/>
        <v>21850</v>
      </c>
      <c r="AF20" s="6">
        <f t="shared" si="9"/>
        <v>0.36842105263157898</v>
      </c>
      <c r="AG20" s="33">
        <v>0</v>
      </c>
      <c r="AH20" s="4" t="str">
        <f t="shared" si="22"/>
        <v>-</v>
      </c>
      <c r="AI20" s="33" t="str">
        <f t="shared" si="11"/>
        <v>-</v>
      </c>
      <c r="AJ20" s="6" t="str">
        <f t="shared" si="12"/>
        <v>-</v>
      </c>
      <c r="AK20" s="7">
        <v>21850</v>
      </c>
      <c r="AL20" s="6">
        <f t="shared" si="1"/>
        <v>0.36842105263157898</v>
      </c>
      <c r="AM20" s="4">
        <f t="shared" si="2"/>
        <v>8050</v>
      </c>
      <c r="AN20" s="28"/>
      <c r="AO20" s="6"/>
      <c r="AP20" s="6"/>
      <c r="AQ20" s="6">
        <f t="shared" si="13"/>
        <v>1.0454545454545454</v>
      </c>
      <c r="AR20" s="6">
        <f t="shared" si="14"/>
        <v>1.0454545454545454</v>
      </c>
      <c r="AS20" s="6">
        <f t="shared" si="15"/>
        <v>1.0454545454545454</v>
      </c>
      <c r="AT20" s="6"/>
      <c r="AU20" s="4"/>
      <c r="AV20" s="4"/>
      <c r="AW20" s="4"/>
      <c r="AX20" s="4"/>
      <c r="AY20" s="4"/>
      <c r="AZ20" s="4"/>
      <c r="BA20" s="4"/>
      <c r="BB20" s="4"/>
      <c r="BC20" s="4"/>
      <c r="BD20" s="4">
        <v>0</v>
      </c>
      <c r="BE20" s="4" t="s">
        <v>119</v>
      </c>
      <c r="BF20" s="4"/>
      <c r="BG20" s="4"/>
      <c r="BH20" s="4" t="s">
        <v>118</v>
      </c>
      <c r="BI20" s="4" t="s">
        <v>118</v>
      </c>
      <c r="BJ20" s="4" t="str">
        <f t="shared" si="23"/>
        <v>-</v>
      </c>
      <c r="BK20" s="19">
        <v>4</v>
      </c>
      <c r="BL20" s="19">
        <v>8</v>
      </c>
      <c r="BM20" s="16">
        <v>5</v>
      </c>
      <c r="BN20" t="s">
        <v>118</v>
      </c>
      <c r="BO20" t="str">
        <f t="shared" si="16"/>
        <v>-</v>
      </c>
      <c r="BP20" t="s">
        <v>118</v>
      </c>
      <c r="BQ20" t="str">
        <f t="shared" si="17"/>
        <v>-</v>
      </c>
    </row>
    <row r="21" spans="1:69" x14ac:dyDescent="0.4">
      <c r="A21" s="3">
        <v>18</v>
      </c>
      <c r="B21" s="3">
        <v>18</v>
      </c>
      <c r="C21" s="4" t="s">
        <v>87</v>
      </c>
      <c r="D21" s="4" t="str">
        <f t="shared" si="19"/>
        <v>J177TB</v>
      </c>
      <c r="E21" s="4" t="s">
        <v>87</v>
      </c>
      <c r="F21" s="4" t="str">
        <f t="shared" si="5"/>
        <v>J177TB5</v>
      </c>
      <c r="G21" s="4" t="s">
        <v>111</v>
      </c>
      <c r="H21" s="5">
        <v>747609122428</v>
      </c>
      <c r="I21" s="33">
        <v>5</v>
      </c>
      <c r="J21" s="5"/>
      <c r="K21" s="5">
        <v>1</v>
      </c>
      <c r="L21" s="5">
        <v>1</v>
      </c>
      <c r="M21" s="4">
        <v>13000</v>
      </c>
      <c r="N21" s="4">
        <v>12350</v>
      </c>
      <c r="O21" s="4">
        <v>7800</v>
      </c>
      <c r="P21" s="6">
        <f t="shared" si="6"/>
        <v>0.36842105263157898</v>
      </c>
      <c r="Q21" s="4" t="s">
        <v>119</v>
      </c>
      <c r="R21" s="4"/>
      <c r="S21" s="4"/>
      <c r="T21" s="4"/>
      <c r="U21" s="4"/>
      <c r="V21" s="4"/>
      <c r="W21" s="4"/>
      <c r="X21" s="4"/>
      <c r="Y21" s="4"/>
      <c r="Z21" s="33">
        <v>14000</v>
      </c>
      <c r="AA21" s="4">
        <f t="shared" si="20"/>
        <v>14000</v>
      </c>
      <c r="AB21" s="33">
        <v>8400</v>
      </c>
      <c r="AC21" s="4">
        <f t="shared" si="21"/>
        <v>8400</v>
      </c>
      <c r="AD21" s="4"/>
      <c r="AE21" s="21">
        <f t="shared" si="0"/>
        <v>13300</v>
      </c>
      <c r="AF21" s="6">
        <f t="shared" si="9"/>
        <v>0.36842105263157898</v>
      </c>
      <c r="AG21" s="33">
        <v>0</v>
      </c>
      <c r="AH21" s="4" t="str">
        <f t="shared" si="22"/>
        <v>-</v>
      </c>
      <c r="AI21" s="33" t="str">
        <f t="shared" si="11"/>
        <v>-</v>
      </c>
      <c r="AJ21" s="6" t="str">
        <f t="shared" si="12"/>
        <v>-</v>
      </c>
      <c r="AK21" s="7">
        <v>13300</v>
      </c>
      <c r="AL21" s="6">
        <f t="shared" si="1"/>
        <v>0.36842105263157898</v>
      </c>
      <c r="AM21" s="4">
        <f t="shared" si="2"/>
        <v>4900</v>
      </c>
      <c r="AN21" s="28"/>
      <c r="AO21" s="6"/>
      <c r="AP21" s="6"/>
      <c r="AQ21" s="6">
        <f t="shared" si="13"/>
        <v>1.0769230769230769</v>
      </c>
      <c r="AR21" s="6">
        <f t="shared" si="14"/>
        <v>1.0769230769230769</v>
      </c>
      <c r="AS21" s="6">
        <f t="shared" si="15"/>
        <v>1.0769230769230769</v>
      </c>
      <c r="AT21" s="6"/>
      <c r="AU21" s="4"/>
      <c r="AV21" s="4"/>
      <c r="AW21" s="4"/>
      <c r="AX21" s="4"/>
      <c r="AY21" s="4"/>
      <c r="AZ21" s="4"/>
      <c r="BA21" s="4"/>
      <c r="BB21" s="4"/>
      <c r="BC21" s="4"/>
      <c r="BD21" s="4">
        <v>0</v>
      </c>
      <c r="BE21" s="4" t="s">
        <v>119</v>
      </c>
      <c r="BF21" s="4"/>
      <c r="BG21" s="4"/>
      <c r="BH21" s="4" t="s">
        <v>118</v>
      </c>
      <c r="BI21" s="4" t="s">
        <v>118</v>
      </c>
      <c r="BJ21" s="4" t="str">
        <f t="shared" si="23"/>
        <v>-</v>
      </c>
      <c r="BK21" s="19">
        <v>4</v>
      </c>
      <c r="BL21" s="19">
        <v>8</v>
      </c>
      <c r="BM21" s="16">
        <v>5</v>
      </c>
      <c r="BN21" t="s">
        <v>118</v>
      </c>
      <c r="BO21" t="str">
        <f t="shared" si="16"/>
        <v>-</v>
      </c>
      <c r="BP21" t="s">
        <v>118</v>
      </c>
      <c r="BQ21" t="str">
        <f t="shared" si="17"/>
        <v>-</v>
      </c>
    </row>
    <row r="22" spans="1:69" x14ac:dyDescent="0.4">
      <c r="A22" s="3">
        <v>19</v>
      </c>
      <c r="B22" s="3">
        <v>19</v>
      </c>
      <c r="C22" s="4" t="s">
        <v>88</v>
      </c>
      <c r="D22" s="4" t="str">
        <f t="shared" si="19"/>
        <v>J182TB</v>
      </c>
      <c r="E22" s="4" t="s">
        <v>88</v>
      </c>
      <c r="F22" s="4" t="str">
        <f t="shared" si="5"/>
        <v>J182TB5</v>
      </c>
      <c r="G22" s="4" t="s">
        <v>112</v>
      </c>
      <c r="H22" s="5">
        <v>747609001792</v>
      </c>
      <c r="I22" s="33">
        <v>5</v>
      </c>
      <c r="J22" s="5"/>
      <c r="K22" s="5">
        <v>1</v>
      </c>
      <c r="L22" s="5">
        <v>1</v>
      </c>
      <c r="M22" s="4">
        <v>4000</v>
      </c>
      <c r="N22" s="4">
        <v>3800</v>
      </c>
      <c r="O22" s="4">
        <v>2400</v>
      </c>
      <c r="P22" s="6">
        <f t="shared" si="6"/>
        <v>0.36842105263157898</v>
      </c>
      <c r="Q22" s="4" t="s">
        <v>119</v>
      </c>
      <c r="R22" s="4"/>
      <c r="S22" s="4"/>
      <c r="T22" s="4"/>
      <c r="U22" s="4"/>
      <c r="V22" s="4"/>
      <c r="W22" s="4"/>
      <c r="X22" s="4"/>
      <c r="Y22" s="4"/>
      <c r="Z22" s="33">
        <v>5000</v>
      </c>
      <c r="AA22" s="4">
        <f t="shared" si="20"/>
        <v>5000</v>
      </c>
      <c r="AB22" s="33">
        <v>3000</v>
      </c>
      <c r="AC22" s="4">
        <f t="shared" si="21"/>
        <v>3000</v>
      </c>
      <c r="AD22" s="4"/>
      <c r="AE22" s="21">
        <f t="shared" si="0"/>
        <v>4750</v>
      </c>
      <c r="AF22" s="6">
        <f t="shared" si="9"/>
        <v>0.36842105263157898</v>
      </c>
      <c r="AG22" s="33">
        <v>0</v>
      </c>
      <c r="AH22" s="4" t="str">
        <f t="shared" si="22"/>
        <v>-</v>
      </c>
      <c r="AI22" s="33" t="str">
        <f t="shared" si="11"/>
        <v>-</v>
      </c>
      <c r="AJ22" s="6" t="str">
        <f t="shared" si="12"/>
        <v>-</v>
      </c>
      <c r="AK22" s="7">
        <v>4750</v>
      </c>
      <c r="AL22" s="6">
        <f t="shared" si="1"/>
        <v>0.36842105263157898</v>
      </c>
      <c r="AM22" s="4">
        <f t="shared" si="2"/>
        <v>1750</v>
      </c>
      <c r="AN22" s="28"/>
      <c r="AO22" s="6"/>
      <c r="AP22" s="6"/>
      <c r="AQ22" s="6">
        <f t="shared" si="13"/>
        <v>1.25</v>
      </c>
      <c r="AR22" s="6">
        <f t="shared" si="14"/>
        <v>1.25</v>
      </c>
      <c r="AS22" s="6">
        <f t="shared" si="15"/>
        <v>1.25</v>
      </c>
      <c r="AT22" s="6"/>
      <c r="AU22" s="4"/>
      <c r="AV22" s="4"/>
      <c r="AW22" s="4"/>
      <c r="AX22" s="4"/>
      <c r="AY22" s="4"/>
      <c r="AZ22" s="4"/>
      <c r="BA22" s="4"/>
      <c r="BB22" s="4"/>
      <c r="BC22" s="4"/>
      <c r="BD22" s="4">
        <v>0</v>
      </c>
      <c r="BE22" s="4" t="s">
        <v>119</v>
      </c>
      <c r="BF22" s="4"/>
      <c r="BG22" s="4"/>
      <c r="BH22" s="4" t="s">
        <v>118</v>
      </c>
      <c r="BI22" s="4" t="s">
        <v>118</v>
      </c>
      <c r="BJ22" s="4" t="str">
        <f t="shared" si="23"/>
        <v>-</v>
      </c>
      <c r="BK22" s="19">
        <v>4</v>
      </c>
      <c r="BL22" s="19">
        <v>8</v>
      </c>
      <c r="BM22" s="16">
        <v>5</v>
      </c>
      <c r="BN22" t="s">
        <v>118</v>
      </c>
      <c r="BO22" t="str">
        <f t="shared" si="16"/>
        <v>-</v>
      </c>
      <c r="BP22" t="s">
        <v>118</v>
      </c>
      <c r="BQ22" t="str">
        <f t="shared" si="17"/>
        <v>-</v>
      </c>
    </row>
    <row r="23" spans="1:69" x14ac:dyDescent="0.4">
      <c r="A23" s="3">
        <v>20</v>
      </c>
      <c r="B23" s="3">
        <v>20</v>
      </c>
      <c r="C23" s="4" t="s">
        <v>89</v>
      </c>
      <c r="D23" s="4" t="str">
        <f t="shared" ref="D23:D27" si="24">TEXT(C23,"000000")</f>
        <v>J184TB</v>
      </c>
      <c r="E23" s="4" t="s">
        <v>89</v>
      </c>
      <c r="F23" s="4" t="str">
        <f t="shared" si="5"/>
        <v>J184TB5</v>
      </c>
      <c r="G23" s="4" t="s">
        <v>113</v>
      </c>
      <c r="H23" s="5">
        <v>747609514018</v>
      </c>
      <c r="I23" s="33">
        <v>5</v>
      </c>
      <c r="J23" s="5"/>
      <c r="K23" s="5">
        <v>1</v>
      </c>
      <c r="L23" s="5">
        <v>1</v>
      </c>
      <c r="M23" s="4">
        <v>3300</v>
      </c>
      <c r="N23" s="4">
        <v>3135</v>
      </c>
      <c r="O23" s="4">
        <v>1980</v>
      </c>
      <c r="P23" s="6">
        <f t="shared" ref="P23:P27" si="25">IFERROR(1-O23/N23,"-")</f>
        <v>0.36842105263157898</v>
      </c>
      <c r="Q23" s="4" t="s">
        <v>119</v>
      </c>
      <c r="R23" s="4"/>
      <c r="S23" s="4"/>
      <c r="T23" s="4"/>
      <c r="U23" s="4"/>
      <c r="V23" s="4"/>
      <c r="W23" s="4"/>
      <c r="X23" s="4"/>
      <c r="Y23" s="4"/>
      <c r="Z23" s="33">
        <v>3500</v>
      </c>
      <c r="AA23" s="4">
        <f t="shared" ref="AA23:AA27" si="26">IF(AD23="",Z23,Z23*AD23)</f>
        <v>3500</v>
      </c>
      <c r="AB23" s="33">
        <v>2100</v>
      </c>
      <c r="AC23" s="4">
        <f t="shared" ref="AC23:AC27" si="27">IF(AD23="",AB23,AB23*AD23)</f>
        <v>2100</v>
      </c>
      <c r="AD23" s="4"/>
      <c r="AE23" s="21">
        <f t="shared" ref="AE23:AE27" si="28">ROUND(N23*AS23,0)</f>
        <v>3325</v>
      </c>
      <c r="AF23" s="6">
        <f t="shared" ref="AF23:AF27" si="29">IFERROR(1-AC23/AE23,"-")</f>
        <v>0.36842105263157898</v>
      </c>
      <c r="AG23" s="33">
        <v>0</v>
      </c>
      <c r="AH23" s="4" t="str">
        <f t="shared" ref="AH23:AH27" si="30">BJ23</f>
        <v>-</v>
      </c>
      <c r="AI23" s="33" t="str">
        <f t="shared" ref="AI23:AI27" si="31">IFERROR(AH23*AS23,"-")</f>
        <v>-</v>
      </c>
      <c r="AJ23" s="6" t="str">
        <f t="shared" ref="AJ23:AJ27" si="32">IFERROR(1-AC23/AI23,"-")</f>
        <v>-</v>
      </c>
      <c r="AK23" s="7">
        <v>3325</v>
      </c>
      <c r="AL23" s="6">
        <f t="shared" ref="AL23:AL27" si="33">1-AC23/AK23</f>
        <v>0.36842105263157898</v>
      </c>
      <c r="AM23" s="4">
        <f t="shared" ref="AM23:AM27" si="34">AK23-AC23</f>
        <v>1225</v>
      </c>
      <c r="AN23" s="28"/>
      <c r="AO23" s="6"/>
      <c r="AP23" s="6"/>
      <c r="AQ23" s="6">
        <f t="shared" ref="AQ23:AQ27" si="35">IFERROR(AA23/M23,"-")</f>
        <v>1.0606060606060606</v>
      </c>
      <c r="AR23" s="6">
        <f t="shared" ref="AR23:AR27" si="36">IFERROR(AK23/N23,"-")</f>
        <v>1.0606060606060606</v>
      </c>
      <c r="AS23" s="6">
        <f t="shared" ref="AS23:AS27" si="37">IFERROR(AC23/O23,"-")</f>
        <v>1.0606060606060606</v>
      </c>
      <c r="AT23" s="6"/>
      <c r="AU23" s="4"/>
      <c r="AV23" s="4"/>
      <c r="AW23" s="4"/>
      <c r="AX23" s="4"/>
      <c r="AY23" s="4"/>
      <c r="AZ23" s="4"/>
      <c r="BA23" s="4"/>
      <c r="BB23" s="4"/>
      <c r="BC23" s="4"/>
      <c r="BD23" s="4">
        <v>0</v>
      </c>
      <c r="BE23" s="4" t="s">
        <v>119</v>
      </c>
      <c r="BF23" s="4"/>
      <c r="BG23" s="4"/>
      <c r="BH23" s="4" t="s">
        <v>118</v>
      </c>
      <c r="BI23" s="4" t="s">
        <v>118</v>
      </c>
      <c r="BJ23" s="4" t="str">
        <f t="shared" ref="BJ23:BJ27" si="38">IF(BF23="",BI23,BF23/BG23*BI23)</f>
        <v>-</v>
      </c>
      <c r="BK23" s="19">
        <v>4</v>
      </c>
      <c r="BL23" s="19">
        <v>8</v>
      </c>
      <c r="BM23" s="16">
        <v>5</v>
      </c>
      <c r="BN23" t="s">
        <v>118</v>
      </c>
      <c r="BO23" t="str">
        <f t="shared" si="16"/>
        <v>-</v>
      </c>
      <c r="BP23" t="s">
        <v>118</v>
      </c>
      <c r="BQ23" t="str">
        <f t="shared" si="17"/>
        <v>-</v>
      </c>
    </row>
    <row r="24" spans="1:69" x14ac:dyDescent="0.4">
      <c r="A24" s="3">
        <v>21</v>
      </c>
      <c r="B24" s="3">
        <v>21</v>
      </c>
      <c r="C24" s="4" t="s">
        <v>90</v>
      </c>
      <c r="D24" s="4" t="str">
        <f t="shared" si="24"/>
        <v>J185TB</v>
      </c>
      <c r="E24" s="4" t="s">
        <v>90</v>
      </c>
      <c r="F24" s="4" t="str">
        <f t="shared" si="5"/>
        <v>J185TB5</v>
      </c>
      <c r="G24" s="4" t="s">
        <v>114</v>
      </c>
      <c r="H24" s="5">
        <v>747609851267</v>
      </c>
      <c r="I24" s="33">
        <v>5</v>
      </c>
      <c r="J24" s="5"/>
      <c r="K24" s="5">
        <v>1</v>
      </c>
      <c r="L24" s="5">
        <v>1</v>
      </c>
      <c r="M24" s="4">
        <v>9000</v>
      </c>
      <c r="N24" s="4">
        <v>8550</v>
      </c>
      <c r="O24" s="4">
        <v>5400</v>
      </c>
      <c r="P24" s="6">
        <f t="shared" si="25"/>
        <v>0.36842105263157898</v>
      </c>
      <c r="Q24" s="4" t="s">
        <v>119</v>
      </c>
      <c r="R24" s="4"/>
      <c r="S24" s="4"/>
      <c r="T24" s="4"/>
      <c r="U24" s="4"/>
      <c r="V24" s="4"/>
      <c r="W24" s="4"/>
      <c r="X24" s="4"/>
      <c r="Y24" s="4"/>
      <c r="Z24" s="33">
        <v>10000</v>
      </c>
      <c r="AA24" s="4">
        <f t="shared" si="26"/>
        <v>10000</v>
      </c>
      <c r="AB24" s="33">
        <v>6000</v>
      </c>
      <c r="AC24" s="4">
        <f t="shared" si="27"/>
        <v>6000</v>
      </c>
      <c r="AD24" s="4"/>
      <c r="AE24" s="21">
        <f t="shared" si="28"/>
        <v>9500</v>
      </c>
      <c r="AF24" s="6">
        <f t="shared" si="29"/>
        <v>0.36842105263157898</v>
      </c>
      <c r="AG24" s="33">
        <v>0</v>
      </c>
      <c r="AH24" s="4" t="str">
        <f t="shared" si="30"/>
        <v>-</v>
      </c>
      <c r="AI24" s="33" t="str">
        <f t="shared" si="31"/>
        <v>-</v>
      </c>
      <c r="AJ24" s="6" t="str">
        <f t="shared" si="32"/>
        <v>-</v>
      </c>
      <c r="AK24" s="7">
        <v>9500</v>
      </c>
      <c r="AL24" s="6">
        <f t="shared" si="33"/>
        <v>0.36842105263157898</v>
      </c>
      <c r="AM24" s="4">
        <f t="shared" si="34"/>
        <v>3500</v>
      </c>
      <c r="AN24" s="28"/>
      <c r="AO24" s="6"/>
      <c r="AP24" s="6"/>
      <c r="AQ24" s="6">
        <f t="shared" si="35"/>
        <v>1.1111111111111112</v>
      </c>
      <c r="AR24" s="6">
        <f t="shared" si="36"/>
        <v>1.1111111111111112</v>
      </c>
      <c r="AS24" s="6">
        <f t="shared" si="37"/>
        <v>1.1111111111111112</v>
      </c>
      <c r="AT24" s="6"/>
      <c r="AU24" s="4"/>
      <c r="AV24" s="4"/>
      <c r="AW24" s="4"/>
      <c r="AX24" s="4"/>
      <c r="AY24" s="4"/>
      <c r="AZ24" s="4"/>
      <c r="BA24" s="4"/>
      <c r="BB24" s="4"/>
      <c r="BC24" s="4"/>
      <c r="BD24" s="4">
        <v>0</v>
      </c>
      <c r="BE24" s="4" t="s">
        <v>119</v>
      </c>
      <c r="BF24" s="4"/>
      <c r="BG24" s="4"/>
      <c r="BH24" s="4" t="s">
        <v>118</v>
      </c>
      <c r="BI24" s="4" t="s">
        <v>118</v>
      </c>
      <c r="BJ24" s="4" t="str">
        <f t="shared" si="38"/>
        <v>-</v>
      </c>
      <c r="BK24" s="19">
        <v>4</v>
      </c>
      <c r="BL24" s="19">
        <v>8</v>
      </c>
      <c r="BM24" s="16">
        <v>5</v>
      </c>
      <c r="BN24" t="s">
        <v>118</v>
      </c>
      <c r="BO24" t="str">
        <f t="shared" si="16"/>
        <v>-</v>
      </c>
      <c r="BP24" t="s">
        <v>118</v>
      </c>
      <c r="BQ24" t="str">
        <f t="shared" si="17"/>
        <v>-</v>
      </c>
    </row>
    <row r="25" spans="1:69" x14ac:dyDescent="0.4">
      <c r="A25" s="3">
        <v>22</v>
      </c>
      <c r="B25" s="3">
        <v>22</v>
      </c>
      <c r="C25" s="4" t="s">
        <v>91</v>
      </c>
      <c r="D25" s="4" t="str">
        <f t="shared" si="24"/>
        <v>J187TB</v>
      </c>
      <c r="E25" s="4" t="s">
        <v>91</v>
      </c>
      <c r="F25" s="4" t="str">
        <f t="shared" si="5"/>
        <v>J187TB5</v>
      </c>
      <c r="G25" s="4" t="s">
        <v>115</v>
      </c>
      <c r="H25" s="5">
        <v>747609851243</v>
      </c>
      <c r="I25" s="33">
        <v>5</v>
      </c>
      <c r="J25" s="5"/>
      <c r="K25" s="5">
        <v>1</v>
      </c>
      <c r="L25" s="5">
        <v>1</v>
      </c>
      <c r="M25" s="4">
        <v>7000</v>
      </c>
      <c r="N25" s="4">
        <v>6650</v>
      </c>
      <c r="O25" s="4">
        <v>4200</v>
      </c>
      <c r="P25" s="6">
        <f t="shared" si="25"/>
        <v>0.36842105263157898</v>
      </c>
      <c r="Q25" s="4" t="s">
        <v>119</v>
      </c>
      <c r="R25" s="4"/>
      <c r="S25" s="4"/>
      <c r="T25" s="4"/>
      <c r="U25" s="4"/>
      <c r="V25" s="4"/>
      <c r="W25" s="4"/>
      <c r="X25" s="4"/>
      <c r="Y25" s="4"/>
      <c r="Z25" s="33">
        <v>8000</v>
      </c>
      <c r="AA25" s="4">
        <f t="shared" si="26"/>
        <v>8000</v>
      </c>
      <c r="AB25" s="33">
        <v>4800</v>
      </c>
      <c r="AC25" s="4">
        <f t="shared" si="27"/>
        <v>4800</v>
      </c>
      <c r="AD25" s="4"/>
      <c r="AE25" s="21">
        <f t="shared" si="28"/>
        <v>7600</v>
      </c>
      <c r="AF25" s="6">
        <f t="shared" si="29"/>
        <v>0.36842105263157898</v>
      </c>
      <c r="AG25" s="33">
        <v>0</v>
      </c>
      <c r="AH25" s="4" t="str">
        <f t="shared" si="30"/>
        <v>-</v>
      </c>
      <c r="AI25" s="33" t="str">
        <f t="shared" si="31"/>
        <v>-</v>
      </c>
      <c r="AJ25" s="6" t="str">
        <f t="shared" si="32"/>
        <v>-</v>
      </c>
      <c r="AK25" s="7">
        <v>7600</v>
      </c>
      <c r="AL25" s="6">
        <f t="shared" si="33"/>
        <v>0.36842105263157898</v>
      </c>
      <c r="AM25" s="4">
        <f t="shared" si="34"/>
        <v>2800</v>
      </c>
      <c r="AN25" s="28"/>
      <c r="AO25" s="6"/>
      <c r="AP25" s="6"/>
      <c r="AQ25" s="6">
        <f t="shared" si="35"/>
        <v>1.1428571428571428</v>
      </c>
      <c r="AR25" s="6">
        <f t="shared" si="36"/>
        <v>1.1428571428571428</v>
      </c>
      <c r="AS25" s="6">
        <f t="shared" si="37"/>
        <v>1.1428571428571428</v>
      </c>
      <c r="AT25" s="6"/>
      <c r="AU25" s="4"/>
      <c r="AV25" s="4"/>
      <c r="AW25" s="4"/>
      <c r="AX25" s="4"/>
      <c r="AY25" s="4"/>
      <c r="AZ25" s="4"/>
      <c r="BA25" s="4"/>
      <c r="BB25" s="4"/>
      <c r="BC25" s="4"/>
      <c r="BD25" s="4">
        <v>0</v>
      </c>
      <c r="BE25" s="4" t="s">
        <v>119</v>
      </c>
      <c r="BF25" s="4"/>
      <c r="BG25" s="4"/>
      <c r="BH25" s="4" t="s">
        <v>118</v>
      </c>
      <c r="BI25" s="4" t="s">
        <v>118</v>
      </c>
      <c r="BJ25" s="4" t="str">
        <f t="shared" si="38"/>
        <v>-</v>
      </c>
      <c r="BK25" s="19">
        <v>4</v>
      </c>
      <c r="BL25" s="19">
        <v>8</v>
      </c>
      <c r="BM25" s="16">
        <v>5</v>
      </c>
      <c r="BN25" t="s">
        <v>118</v>
      </c>
      <c r="BO25" t="str">
        <f t="shared" si="16"/>
        <v>-</v>
      </c>
      <c r="BP25" t="s">
        <v>118</v>
      </c>
      <c r="BQ25" t="str">
        <f t="shared" si="17"/>
        <v>-</v>
      </c>
    </row>
    <row r="26" spans="1:69" x14ac:dyDescent="0.4">
      <c r="A26" s="3">
        <v>23</v>
      </c>
      <c r="B26" s="3">
        <v>23</v>
      </c>
      <c r="C26" s="4" t="s">
        <v>92</v>
      </c>
      <c r="D26" s="4" t="str">
        <f t="shared" si="24"/>
        <v>J186TB</v>
      </c>
      <c r="E26" s="4" t="s">
        <v>92</v>
      </c>
      <c r="F26" s="4" t="str">
        <f t="shared" si="5"/>
        <v>J186TB5</v>
      </c>
      <c r="G26" s="4" t="s">
        <v>116</v>
      </c>
      <c r="H26" s="5">
        <v>747609857344</v>
      </c>
      <c r="I26" s="33">
        <v>5</v>
      </c>
      <c r="J26" s="5"/>
      <c r="K26" s="5">
        <v>1</v>
      </c>
      <c r="L26" s="5">
        <v>1</v>
      </c>
      <c r="M26" s="4">
        <v>7000</v>
      </c>
      <c r="N26" s="4">
        <v>6650</v>
      </c>
      <c r="O26" s="4">
        <v>4200</v>
      </c>
      <c r="P26" s="6">
        <f t="shared" si="25"/>
        <v>0.36842105263157898</v>
      </c>
      <c r="Q26" s="4" t="s">
        <v>119</v>
      </c>
      <c r="R26" s="4"/>
      <c r="S26" s="4"/>
      <c r="T26" s="4"/>
      <c r="U26" s="4"/>
      <c r="V26" s="4"/>
      <c r="W26" s="4"/>
      <c r="X26" s="4"/>
      <c r="Y26" s="4"/>
      <c r="Z26" s="33">
        <v>8000</v>
      </c>
      <c r="AA26" s="4">
        <f t="shared" si="26"/>
        <v>8000</v>
      </c>
      <c r="AB26" s="33">
        <v>4800</v>
      </c>
      <c r="AC26" s="4">
        <f t="shared" si="27"/>
        <v>4800</v>
      </c>
      <c r="AD26" s="4"/>
      <c r="AE26" s="21">
        <f t="shared" si="28"/>
        <v>7600</v>
      </c>
      <c r="AF26" s="6">
        <f t="shared" si="29"/>
        <v>0.36842105263157898</v>
      </c>
      <c r="AG26" s="33">
        <v>0</v>
      </c>
      <c r="AH26" s="4" t="str">
        <f t="shared" si="30"/>
        <v>-</v>
      </c>
      <c r="AI26" s="33" t="str">
        <f t="shared" si="31"/>
        <v>-</v>
      </c>
      <c r="AJ26" s="6" t="str">
        <f t="shared" si="32"/>
        <v>-</v>
      </c>
      <c r="AK26" s="7">
        <v>7600</v>
      </c>
      <c r="AL26" s="6">
        <f t="shared" si="33"/>
        <v>0.36842105263157898</v>
      </c>
      <c r="AM26" s="4">
        <f t="shared" si="34"/>
        <v>2800</v>
      </c>
      <c r="AN26" s="28"/>
      <c r="AO26" s="6"/>
      <c r="AP26" s="6"/>
      <c r="AQ26" s="6">
        <f t="shared" si="35"/>
        <v>1.1428571428571428</v>
      </c>
      <c r="AR26" s="6">
        <f t="shared" si="36"/>
        <v>1.1428571428571428</v>
      </c>
      <c r="AS26" s="6">
        <f t="shared" si="37"/>
        <v>1.1428571428571428</v>
      </c>
      <c r="AT26" s="6"/>
      <c r="AU26" s="4"/>
      <c r="AV26" s="4"/>
      <c r="AW26" s="4"/>
      <c r="AX26" s="4"/>
      <c r="AY26" s="4"/>
      <c r="AZ26" s="4"/>
      <c r="BA26" s="4"/>
      <c r="BB26" s="4"/>
      <c r="BC26" s="4"/>
      <c r="BD26" s="4">
        <v>0</v>
      </c>
      <c r="BE26" s="4" t="s">
        <v>119</v>
      </c>
      <c r="BF26" s="4"/>
      <c r="BG26" s="4"/>
      <c r="BH26" s="4" t="s">
        <v>118</v>
      </c>
      <c r="BI26" s="4" t="s">
        <v>118</v>
      </c>
      <c r="BJ26" s="4" t="str">
        <f t="shared" si="38"/>
        <v>-</v>
      </c>
      <c r="BK26" s="19">
        <v>4</v>
      </c>
      <c r="BL26" s="19">
        <v>8</v>
      </c>
      <c r="BM26" s="16">
        <v>5</v>
      </c>
      <c r="BN26" t="s">
        <v>118</v>
      </c>
      <c r="BO26" t="str">
        <f t="shared" si="16"/>
        <v>-</v>
      </c>
      <c r="BP26" t="s">
        <v>118</v>
      </c>
      <c r="BQ26" t="str">
        <f t="shared" si="17"/>
        <v>-</v>
      </c>
    </row>
    <row r="27" spans="1:69" x14ac:dyDescent="0.4">
      <c r="A27" s="3">
        <v>24</v>
      </c>
      <c r="B27" s="3">
        <v>24</v>
      </c>
      <c r="C27" s="4" t="s">
        <v>93</v>
      </c>
      <c r="D27" s="4" t="str">
        <f t="shared" si="24"/>
        <v>J197TB</v>
      </c>
      <c r="E27" s="4" t="s">
        <v>93</v>
      </c>
      <c r="F27" s="4" t="str">
        <f t="shared" si="5"/>
        <v>J197TB5</v>
      </c>
      <c r="G27" s="4" t="s">
        <v>117</v>
      </c>
      <c r="H27" s="5">
        <v>747609831146</v>
      </c>
      <c r="I27" s="33">
        <v>5</v>
      </c>
      <c r="J27" s="5"/>
      <c r="K27" s="5">
        <v>1</v>
      </c>
      <c r="L27" s="5">
        <v>1</v>
      </c>
      <c r="M27" s="4">
        <v>13000</v>
      </c>
      <c r="N27" s="4">
        <v>12350</v>
      </c>
      <c r="O27" s="4">
        <v>7800</v>
      </c>
      <c r="P27" s="6">
        <f t="shared" si="25"/>
        <v>0.36842105263157898</v>
      </c>
      <c r="Q27" s="4" t="s">
        <v>119</v>
      </c>
      <c r="R27" s="4"/>
      <c r="S27" s="4"/>
      <c r="T27" s="4"/>
      <c r="U27" s="4"/>
      <c r="V27" s="4"/>
      <c r="W27" s="4"/>
      <c r="X27" s="4"/>
      <c r="Y27" s="4"/>
      <c r="Z27" s="33">
        <v>14000</v>
      </c>
      <c r="AA27" s="4">
        <f t="shared" si="26"/>
        <v>14000</v>
      </c>
      <c r="AB27" s="33">
        <v>8400</v>
      </c>
      <c r="AC27" s="4">
        <f t="shared" si="27"/>
        <v>8400</v>
      </c>
      <c r="AD27" s="4"/>
      <c r="AE27" s="21">
        <f t="shared" si="28"/>
        <v>13300</v>
      </c>
      <c r="AF27" s="6">
        <f t="shared" si="29"/>
        <v>0.36842105263157898</v>
      </c>
      <c r="AG27" s="33">
        <v>0</v>
      </c>
      <c r="AH27" s="4" t="str">
        <f t="shared" si="30"/>
        <v>-</v>
      </c>
      <c r="AI27" s="33" t="str">
        <f t="shared" si="31"/>
        <v>-</v>
      </c>
      <c r="AJ27" s="6" t="str">
        <f t="shared" si="32"/>
        <v>-</v>
      </c>
      <c r="AK27" s="7">
        <v>13300</v>
      </c>
      <c r="AL27" s="6">
        <f t="shared" si="33"/>
        <v>0.36842105263157898</v>
      </c>
      <c r="AM27" s="4">
        <f t="shared" si="34"/>
        <v>4900</v>
      </c>
      <c r="AN27" s="28"/>
      <c r="AO27" s="6"/>
      <c r="AP27" s="6"/>
      <c r="AQ27" s="6">
        <f t="shared" si="35"/>
        <v>1.0769230769230769</v>
      </c>
      <c r="AR27" s="6">
        <f t="shared" si="36"/>
        <v>1.0769230769230769</v>
      </c>
      <c r="AS27" s="6">
        <f t="shared" si="37"/>
        <v>1.0769230769230769</v>
      </c>
      <c r="AT27" s="6"/>
      <c r="AU27" s="4"/>
      <c r="AV27" s="4"/>
      <c r="AW27" s="4"/>
      <c r="AX27" s="4"/>
      <c r="AY27" s="4"/>
      <c r="AZ27" s="4"/>
      <c r="BA27" s="4"/>
      <c r="BB27" s="4"/>
      <c r="BC27" s="4"/>
      <c r="BD27" s="4">
        <v>0</v>
      </c>
      <c r="BE27" s="4" t="s">
        <v>119</v>
      </c>
      <c r="BF27" s="4"/>
      <c r="BG27" s="4"/>
      <c r="BH27" s="4" t="s">
        <v>118</v>
      </c>
      <c r="BI27" s="4" t="s">
        <v>118</v>
      </c>
      <c r="BJ27" s="4" t="str">
        <f t="shared" si="38"/>
        <v>-</v>
      </c>
      <c r="BK27" s="19">
        <v>4</v>
      </c>
      <c r="BL27" s="19">
        <v>8</v>
      </c>
      <c r="BM27" s="16">
        <v>5</v>
      </c>
      <c r="BN27" t="s">
        <v>118</v>
      </c>
      <c r="BO27" t="str">
        <f t="shared" si="16"/>
        <v>-</v>
      </c>
      <c r="BP27" t="s">
        <v>118</v>
      </c>
      <c r="BQ27" t="str">
        <f t="shared" si="17"/>
        <v>-</v>
      </c>
    </row>
  </sheetData>
  <autoFilter ref="A3:BR3" xr:uid="{7A1660CF-9003-4B2D-B659-7F339ED5B476}"/>
  <mergeCells count="3">
    <mergeCell ref="M2:P2"/>
    <mergeCell ref="K2:L2"/>
    <mergeCell ref="Z1:AC1"/>
  </mergeCells>
  <phoneticPr fontId="2"/>
  <conditionalFormatting sqref="AK4:AK27">
    <cfRule type="cellIs" dxfId="2" priority="4" operator="greaterThan">
      <formula>$AA4</formula>
    </cfRule>
  </conditionalFormatting>
  <conditionalFormatting sqref="AI4:AI27">
    <cfRule type="cellIs" dxfId="1" priority="2" operator="lessThan">
      <formula>$AK4</formula>
    </cfRule>
  </conditionalFormatting>
  <conditionalFormatting sqref="AL4:AL27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2026-07-22T02:45:29Z</dcterms:modified>
</cp:coreProperties>
</file>