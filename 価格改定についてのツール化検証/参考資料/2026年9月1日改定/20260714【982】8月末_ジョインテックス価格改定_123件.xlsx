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ｼﾞｮ_JTX_982\価格改定\20260714_8月末\"/>
    </mc:Choice>
  </mc:AlternateContent>
  <xr:revisionPtr revIDLastSave="0" documentId="13_ncr:1_{3C797E9E-291D-4D10-8C93-7A87CD2963BD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Sheet1!$A$3:$BF$126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67" i="1" l="1"/>
  <c r="AP67" i="1"/>
  <c r="AQ67" i="1"/>
  <c r="AO19" i="1"/>
  <c r="AP19" i="1"/>
  <c r="AQ19" i="1"/>
  <c r="AO20" i="1"/>
  <c r="AP20" i="1"/>
  <c r="AQ20" i="1"/>
  <c r="AO21" i="1"/>
  <c r="AP21" i="1"/>
  <c r="AQ21" i="1"/>
  <c r="AO22" i="1"/>
  <c r="AP22" i="1"/>
  <c r="AQ22" i="1"/>
  <c r="AO41" i="1"/>
  <c r="AP41" i="1"/>
  <c r="AQ41" i="1"/>
  <c r="AO40" i="1"/>
  <c r="AP40" i="1"/>
  <c r="AQ40" i="1"/>
  <c r="AO23" i="1"/>
  <c r="AP23" i="1"/>
  <c r="AQ23" i="1"/>
  <c r="AO36" i="1"/>
  <c r="AP36" i="1"/>
  <c r="AQ36" i="1"/>
  <c r="AO39" i="1"/>
  <c r="AP39" i="1"/>
  <c r="AQ39" i="1"/>
  <c r="AO37" i="1"/>
  <c r="AP37" i="1"/>
  <c r="AQ37" i="1"/>
  <c r="AO50" i="1"/>
  <c r="AP50" i="1"/>
  <c r="AQ50" i="1"/>
  <c r="AO38" i="1"/>
  <c r="AP38" i="1"/>
  <c r="AQ38" i="1"/>
  <c r="AO54" i="1"/>
  <c r="AP54" i="1"/>
  <c r="AQ54" i="1"/>
  <c r="AO57" i="1"/>
  <c r="AP57" i="1"/>
  <c r="AQ57" i="1"/>
  <c r="AO84" i="1"/>
  <c r="AP84" i="1"/>
  <c r="AQ84" i="1"/>
  <c r="AO12" i="1"/>
  <c r="AP12" i="1"/>
  <c r="AQ12" i="1"/>
  <c r="AO13" i="1"/>
  <c r="AP13" i="1"/>
  <c r="AQ13" i="1"/>
  <c r="AO14" i="1"/>
  <c r="AP14" i="1"/>
  <c r="AQ14" i="1"/>
  <c r="AO15" i="1"/>
  <c r="AP15" i="1"/>
  <c r="AQ15" i="1"/>
  <c r="AO16" i="1"/>
  <c r="AP16" i="1"/>
  <c r="AQ16" i="1"/>
  <c r="AO17" i="1"/>
  <c r="AP17" i="1"/>
  <c r="AQ17" i="1"/>
  <c r="AO18" i="1"/>
  <c r="AP18" i="1"/>
  <c r="AQ18" i="1"/>
  <c r="AO58" i="1"/>
  <c r="AP58" i="1"/>
  <c r="AQ58" i="1"/>
  <c r="AO68" i="1"/>
  <c r="AP68" i="1"/>
  <c r="AQ68" i="1"/>
  <c r="AO65" i="1"/>
  <c r="AP65" i="1"/>
  <c r="AQ65" i="1"/>
  <c r="AO64" i="1"/>
  <c r="AP64" i="1"/>
  <c r="AQ64" i="1"/>
  <c r="AO60" i="1"/>
  <c r="AP60" i="1"/>
  <c r="AQ60" i="1"/>
  <c r="AO61" i="1"/>
  <c r="AP61" i="1"/>
  <c r="AQ61" i="1"/>
  <c r="AO63" i="1"/>
  <c r="AP63" i="1"/>
  <c r="AQ63" i="1"/>
  <c r="AO62" i="1"/>
  <c r="AP62" i="1"/>
  <c r="AQ62" i="1"/>
  <c r="AO88" i="1"/>
  <c r="AP88" i="1"/>
  <c r="AQ88" i="1"/>
  <c r="AO86" i="1"/>
  <c r="AP86" i="1"/>
  <c r="AQ86" i="1"/>
  <c r="AO87" i="1"/>
  <c r="AP87" i="1"/>
  <c r="AQ87" i="1"/>
  <c r="AO85" i="1"/>
  <c r="AP85" i="1"/>
  <c r="AQ85" i="1"/>
  <c r="AO89" i="1"/>
  <c r="AP89" i="1"/>
  <c r="AQ89" i="1"/>
  <c r="AO90" i="1"/>
  <c r="AP90" i="1"/>
  <c r="AQ90" i="1"/>
  <c r="AO91" i="1"/>
  <c r="AP91" i="1"/>
  <c r="AQ91" i="1"/>
  <c r="AO94" i="1"/>
  <c r="AP94" i="1"/>
  <c r="AQ94" i="1"/>
  <c r="AO98" i="1"/>
  <c r="AP98" i="1"/>
  <c r="AQ98" i="1"/>
  <c r="AO92" i="1"/>
  <c r="AP92" i="1"/>
  <c r="AQ92" i="1"/>
  <c r="AO95" i="1"/>
  <c r="AP95" i="1"/>
  <c r="AQ95" i="1"/>
  <c r="AO97" i="1"/>
  <c r="AP97" i="1"/>
  <c r="AQ97" i="1"/>
  <c r="AO99" i="1"/>
  <c r="AP99" i="1"/>
  <c r="AQ99" i="1"/>
  <c r="AO96" i="1"/>
  <c r="AP96" i="1"/>
  <c r="AQ96" i="1"/>
  <c r="AO108" i="1"/>
  <c r="AP108" i="1"/>
  <c r="AQ108" i="1"/>
  <c r="AO59" i="1"/>
  <c r="AP59" i="1"/>
  <c r="AQ59" i="1"/>
  <c r="AO83" i="1"/>
  <c r="AP83" i="1"/>
  <c r="AQ83" i="1"/>
  <c r="AO93" i="1"/>
  <c r="AP93" i="1"/>
  <c r="AQ93" i="1"/>
  <c r="AO24" i="1"/>
  <c r="AP24" i="1"/>
  <c r="AQ24" i="1"/>
  <c r="AO25" i="1"/>
  <c r="AP25" i="1"/>
  <c r="AQ25" i="1"/>
  <c r="AO26" i="1"/>
  <c r="AP26" i="1"/>
  <c r="AQ26" i="1"/>
  <c r="AO27" i="1"/>
  <c r="AP27" i="1"/>
  <c r="AQ27" i="1"/>
  <c r="AO28" i="1"/>
  <c r="AP28" i="1"/>
  <c r="AQ28" i="1"/>
  <c r="AO29" i="1"/>
  <c r="AP29" i="1"/>
  <c r="AQ29" i="1"/>
  <c r="AO30" i="1"/>
  <c r="AP30" i="1"/>
  <c r="AQ30" i="1"/>
  <c r="AO31" i="1"/>
  <c r="AP31" i="1"/>
  <c r="AQ31" i="1"/>
  <c r="AO32" i="1"/>
  <c r="AP32" i="1"/>
  <c r="AQ32" i="1"/>
  <c r="AO33" i="1"/>
  <c r="AP33" i="1"/>
  <c r="AQ33" i="1"/>
  <c r="AO4" i="1"/>
  <c r="AP4" i="1"/>
  <c r="AQ4" i="1"/>
  <c r="AO11" i="1"/>
  <c r="AP11" i="1"/>
  <c r="AQ11" i="1"/>
  <c r="AO8" i="1"/>
  <c r="AP8" i="1"/>
  <c r="AQ8" i="1"/>
  <c r="AO7" i="1"/>
  <c r="AP7" i="1"/>
  <c r="AQ7" i="1"/>
  <c r="AO9" i="1"/>
  <c r="AP9" i="1"/>
  <c r="AQ9" i="1"/>
  <c r="AO6" i="1"/>
  <c r="AP6" i="1"/>
  <c r="AQ6" i="1"/>
  <c r="AO5" i="1"/>
  <c r="AP5" i="1"/>
  <c r="AQ5" i="1"/>
  <c r="AO10" i="1"/>
  <c r="AP10" i="1"/>
  <c r="AQ10" i="1"/>
  <c r="AO52" i="1"/>
  <c r="AP52" i="1"/>
  <c r="AQ52" i="1"/>
  <c r="AO55" i="1"/>
  <c r="AP55" i="1"/>
  <c r="AQ55" i="1"/>
  <c r="AO53" i="1"/>
  <c r="AP53" i="1"/>
  <c r="AQ53" i="1"/>
  <c r="AO56" i="1"/>
  <c r="AP56" i="1"/>
  <c r="AQ56" i="1"/>
  <c r="AO51" i="1"/>
  <c r="AP51" i="1"/>
  <c r="AQ51" i="1"/>
  <c r="AO42" i="1"/>
  <c r="AP42" i="1"/>
  <c r="AQ42" i="1"/>
  <c r="AO47" i="1"/>
  <c r="AP47" i="1"/>
  <c r="AQ47" i="1"/>
  <c r="AO69" i="1"/>
  <c r="AP69" i="1"/>
  <c r="AQ69" i="1"/>
  <c r="AO70" i="1"/>
  <c r="AP70" i="1"/>
  <c r="AQ70" i="1"/>
  <c r="AO80" i="1"/>
  <c r="AP80" i="1"/>
  <c r="AQ80" i="1"/>
  <c r="AO81" i="1"/>
  <c r="AP81" i="1"/>
  <c r="AQ81" i="1"/>
  <c r="AO71" i="1"/>
  <c r="AP71" i="1"/>
  <c r="AQ71" i="1"/>
  <c r="AO72" i="1"/>
  <c r="AP72" i="1"/>
  <c r="AQ72" i="1"/>
  <c r="AO73" i="1"/>
  <c r="AP73" i="1"/>
  <c r="AQ73" i="1"/>
  <c r="AO74" i="1"/>
  <c r="AP74" i="1"/>
  <c r="AQ74" i="1"/>
  <c r="AO75" i="1"/>
  <c r="AP75" i="1"/>
  <c r="AQ75" i="1"/>
  <c r="AO82" i="1"/>
  <c r="AP82" i="1"/>
  <c r="AQ82" i="1"/>
  <c r="AO76" i="1"/>
  <c r="AP76" i="1"/>
  <c r="AQ76" i="1"/>
  <c r="AO77" i="1"/>
  <c r="AP77" i="1"/>
  <c r="AQ77" i="1"/>
  <c r="AO78" i="1"/>
  <c r="AP78" i="1"/>
  <c r="AQ78" i="1"/>
  <c r="AO79" i="1"/>
  <c r="AP79" i="1"/>
  <c r="AQ79" i="1"/>
  <c r="AO43" i="1"/>
  <c r="AP43" i="1"/>
  <c r="AQ43" i="1"/>
  <c r="AO34" i="1"/>
  <c r="AP34" i="1"/>
  <c r="AQ34" i="1"/>
  <c r="AO49" i="1"/>
  <c r="AP49" i="1"/>
  <c r="AQ49" i="1"/>
  <c r="AO48" i="1"/>
  <c r="AP48" i="1"/>
  <c r="AQ48" i="1"/>
  <c r="AO45" i="1"/>
  <c r="AP45" i="1"/>
  <c r="AQ45" i="1"/>
  <c r="AO44" i="1"/>
  <c r="AP44" i="1"/>
  <c r="AQ44" i="1"/>
  <c r="AO46" i="1"/>
  <c r="AP46" i="1"/>
  <c r="AQ46" i="1"/>
  <c r="AO35" i="1"/>
  <c r="AP35" i="1"/>
  <c r="AQ35" i="1"/>
  <c r="AO123" i="1"/>
  <c r="AP123" i="1"/>
  <c r="AQ123" i="1"/>
  <c r="AO124" i="1"/>
  <c r="AP124" i="1"/>
  <c r="AQ124" i="1"/>
  <c r="AO125" i="1"/>
  <c r="AP125" i="1"/>
  <c r="AQ125" i="1"/>
  <c r="AO126" i="1"/>
  <c r="AP126" i="1"/>
  <c r="AQ126" i="1"/>
  <c r="AO101" i="1"/>
  <c r="AP101" i="1"/>
  <c r="AQ101" i="1"/>
  <c r="AO102" i="1"/>
  <c r="AP102" i="1"/>
  <c r="AQ102" i="1"/>
  <c r="AP100" i="1"/>
  <c r="AQ100" i="1"/>
  <c r="AO103" i="1"/>
  <c r="AP103" i="1"/>
  <c r="AQ103" i="1"/>
  <c r="AO106" i="1"/>
  <c r="AP106" i="1"/>
  <c r="AQ106" i="1"/>
  <c r="AO105" i="1"/>
  <c r="AP105" i="1"/>
  <c r="AQ105" i="1"/>
  <c r="AO107" i="1"/>
  <c r="AP107" i="1"/>
  <c r="AQ107" i="1"/>
  <c r="AO104" i="1"/>
  <c r="AP104" i="1"/>
  <c r="AQ104" i="1"/>
  <c r="AO121" i="1"/>
  <c r="AP121" i="1"/>
  <c r="AQ121" i="1"/>
  <c r="AO119" i="1"/>
  <c r="AP119" i="1"/>
  <c r="AQ119" i="1"/>
  <c r="AO122" i="1"/>
  <c r="AP122" i="1"/>
  <c r="AQ122" i="1"/>
  <c r="AO120" i="1"/>
  <c r="AP120" i="1"/>
  <c r="AQ120" i="1"/>
  <c r="AO109" i="1"/>
  <c r="AP109" i="1"/>
  <c r="AQ109" i="1"/>
  <c r="AO110" i="1"/>
  <c r="AP110" i="1"/>
  <c r="AQ110" i="1"/>
  <c r="AO111" i="1"/>
  <c r="AP111" i="1"/>
  <c r="AQ111" i="1"/>
  <c r="AO112" i="1"/>
  <c r="AP112" i="1"/>
  <c r="AQ112" i="1"/>
  <c r="AO113" i="1"/>
  <c r="AP113" i="1"/>
  <c r="AQ113" i="1"/>
  <c r="AO114" i="1"/>
  <c r="AP114" i="1"/>
  <c r="AQ114" i="1"/>
  <c r="AO115" i="1"/>
  <c r="AP115" i="1"/>
  <c r="AQ115" i="1"/>
  <c r="AO116" i="1"/>
  <c r="AP116" i="1"/>
  <c r="AQ116" i="1"/>
  <c r="AO117" i="1"/>
  <c r="AP117" i="1"/>
  <c r="AQ117" i="1"/>
  <c r="AO118" i="1"/>
  <c r="AP118" i="1"/>
  <c r="AQ118" i="1"/>
  <c r="AQ66" i="1"/>
  <c r="AP66" i="1"/>
  <c r="AO66" i="1"/>
  <c r="AL49" i="1"/>
  <c r="AL45" i="1"/>
  <c r="AL123" i="1"/>
  <c r="P123" i="1"/>
  <c r="AL124" i="1"/>
  <c r="AL125" i="1"/>
  <c r="P101" i="1"/>
  <c r="P102" i="1"/>
  <c r="AL103" i="1"/>
  <c r="P105" i="1"/>
  <c r="AL107" i="1"/>
  <c r="P107" i="1"/>
  <c r="AL121" i="1"/>
  <c r="P121" i="1"/>
  <c r="P119" i="1"/>
  <c r="AL120" i="1"/>
  <c r="P120" i="1"/>
  <c r="P110" i="1"/>
  <c r="P111" i="1"/>
  <c r="P112" i="1"/>
  <c r="AL113" i="1"/>
  <c r="P113" i="1"/>
  <c r="P114" i="1"/>
  <c r="P116" i="1"/>
  <c r="P117" i="1"/>
  <c r="P118" i="1"/>
  <c r="AX118" i="1"/>
  <c r="AB118" i="1" s="1"/>
  <c r="AL118" i="1"/>
  <c r="W118" i="1"/>
  <c r="U118" i="1"/>
  <c r="AK118" i="1" s="1"/>
  <c r="D118" i="1"/>
  <c r="F118" i="1" s="1"/>
  <c r="AX117" i="1"/>
  <c r="AB117" i="1" s="1"/>
  <c r="AL117" i="1"/>
  <c r="W117" i="1"/>
  <c r="U117" i="1"/>
  <c r="AK117" i="1" s="1"/>
  <c r="D117" i="1"/>
  <c r="F117" i="1" s="1"/>
  <c r="AX116" i="1"/>
  <c r="AB116" i="1" s="1"/>
  <c r="AL116" i="1"/>
  <c r="W116" i="1"/>
  <c r="U116" i="1"/>
  <c r="AK116" i="1" s="1"/>
  <c r="D116" i="1"/>
  <c r="F116" i="1" s="1"/>
  <c r="AX115" i="1"/>
  <c r="AB115" i="1" s="1"/>
  <c r="AL115" i="1"/>
  <c r="W115" i="1"/>
  <c r="U115" i="1"/>
  <c r="AK115" i="1" s="1"/>
  <c r="P115" i="1"/>
  <c r="D115" i="1"/>
  <c r="F115" i="1" s="1"/>
  <c r="AX114" i="1"/>
  <c r="AB114" i="1" s="1"/>
  <c r="AL114" i="1"/>
  <c r="W114" i="1"/>
  <c r="U114" i="1"/>
  <c r="AK114" i="1" s="1"/>
  <c r="D114" i="1"/>
  <c r="F114" i="1" s="1"/>
  <c r="AX113" i="1"/>
  <c r="AB113" i="1" s="1"/>
  <c r="W113" i="1"/>
  <c r="U113" i="1"/>
  <c r="AK113" i="1" s="1"/>
  <c r="D113" i="1"/>
  <c r="F113" i="1" s="1"/>
  <c r="AX112" i="1"/>
  <c r="AB112" i="1" s="1"/>
  <c r="AL112" i="1"/>
  <c r="W112" i="1"/>
  <c r="U112" i="1"/>
  <c r="AK112" i="1" s="1"/>
  <c r="D112" i="1"/>
  <c r="F112" i="1" s="1"/>
  <c r="AX111" i="1"/>
  <c r="AB111" i="1" s="1"/>
  <c r="AL111" i="1"/>
  <c r="W111" i="1"/>
  <c r="U111" i="1"/>
  <c r="AK111" i="1" s="1"/>
  <c r="D111" i="1"/>
  <c r="F111" i="1" s="1"/>
  <c r="AX110" i="1"/>
  <c r="AB110" i="1" s="1"/>
  <c r="AL110" i="1"/>
  <c r="W110" i="1"/>
  <c r="AN110" i="1" s="1"/>
  <c r="U110" i="1"/>
  <c r="AK110" i="1" s="1"/>
  <c r="D110" i="1"/>
  <c r="F110" i="1" s="1"/>
  <c r="AX109" i="1"/>
  <c r="AB109" i="1" s="1"/>
  <c r="AL109" i="1"/>
  <c r="W109" i="1"/>
  <c r="U109" i="1"/>
  <c r="AK109" i="1" s="1"/>
  <c r="P109" i="1"/>
  <c r="D109" i="1"/>
  <c r="F109" i="1" s="1"/>
  <c r="AX120" i="1"/>
  <c r="AB120" i="1" s="1"/>
  <c r="W120" i="1"/>
  <c r="U120" i="1"/>
  <c r="AK120" i="1" s="1"/>
  <c r="D120" i="1"/>
  <c r="F120" i="1" s="1"/>
  <c r="AX122" i="1"/>
  <c r="AB122" i="1" s="1"/>
  <c r="AL122" i="1"/>
  <c r="W122" i="1"/>
  <c r="U122" i="1"/>
  <c r="AK122" i="1" s="1"/>
  <c r="P122" i="1"/>
  <c r="D122" i="1"/>
  <c r="F122" i="1" s="1"/>
  <c r="AX119" i="1"/>
  <c r="AB119" i="1" s="1"/>
  <c r="AL119" i="1"/>
  <c r="W119" i="1"/>
  <c r="AF119" i="1" s="1"/>
  <c r="U119" i="1"/>
  <c r="AK119" i="1" s="1"/>
  <c r="D119" i="1"/>
  <c r="F119" i="1" s="1"/>
  <c r="AX121" i="1"/>
  <c r="AB121" i="1" s="1"/>
  <c r="W121" i="1"/>
  <c r="U121" i="1"/>
  <c r="AK121" i="1" s="1"/>
  <c r="D121" i="1"/>
  <c r="F121" i="1" s="1"/>
  <c r="AX104" i="1"/>
  <c r="AB104" i="1" s="1"/>
  <c r="AL104" i="1"/>
  <c r="W104" i="1"/>
  <c r="U104" i="1"/>
  <c r="AK104" i="1" s="1"/>
  <c r="P104" i="1"/>
  <c r="D104" i="1"/>
  <c r="F104" i="1" s="1"/>
  <c r="AX107" i="1"/>
  <c r="AB107" i="1" s="1"/>
  <c r="W107" i="1"/>
  <c r="AF107" i="1" s="1"/>
  <c r="U107" i="1"/>
  <c r="AK107" i="1" s="1"/>
  <c r="D107" i="1"/>
  <c r="F107" i="1" s="1"/>
  <c r="AX105" i="1"/>
  <c r="AB105" i="1" s="1"/>
  <c r="AL105" i="1"/>
  <c r="W105" i="1"/>
  <c r="AF105" i="1" s="1"/>
  <c r="U105" i="1"/>
  <c r="AK105" i="1" s="1"/>
  <c r="D105" i="1"/>
  <c r="F105" i="1" s="1"/>
  <c r="AX106" i="1"/>
  <c r="AB106" i="1" s="1"/>
  <c r="AL106" i="1"/>
  <c r="W106" i="1"/>
  <c r="AF106" i="1" s="1"/>
  <c r="U106" i="1"/>
  <c r="AK106" i="1" s="1"/>
  <c r="P106" i="1"/>
  <c r="D106" i="1"/>
  <c r="F106" i="1" s="1"/>
  <c r="AX103" i="1"/>
  <c r="AB103" i="1" s="1"/>
  <c r="W103" i="1"/>
  <c r="U103" i="1"/>
  <c r="AK103" i="1" s="1"/>
  <c r="P103" i="1"/>
  <c r="D103" i="1"/>
  <c r="F103" i="1" s="1"/>
  <c r="AX100" i="1"/>
  <c r="AB100" i="1" s="1"/>
  <c r="AL100" i="1"/>
  <c r="W100" i="1"/>
  <c r="AF100" i="1" s="1"/>
  <c r="U100" i="1"/>
  <c r="AK100" i="1" s="1"/>
  <c r="P100" i="1"/>
  <c r="D100" i="1"/>
  <c r="F100" i="1" s="1"/>
  <c r="AX102" i="1"/>
  <c r="AB102" i="1" s="1"/>
  <c r="AL102" i="1"/>
  <c r="W102" i="1"/>
  <c r="AF102" i="1" s="1"/>
  <c r="U102" i="1"/>
  <c r="AK102" i="1" s="1"/>
  <c r="D102" i="1"/>
  <c r="F102" i="1" s="1"/>
  <c r="AX101" i="1"/>
  <c r="AB101" i="1" s="1"/>
  <c r="W101" i="1"/>
  <c r="U101" i="1"/>
  <c r="AK101" i="1" s="1"/>
  <c r="D101" i="1"/>
  <c r="F101" i="1" s="1"/>
  <c r="AX126" i="1"/>
  <c r="AB126" i="1" s="1"/>
  <c r="AL126" i="1"/>
  <c r="W126" i="1"/>
  <c r="AF126" i="1" s="1"/>
  <c r="U126" i="1"/>
  <c r="AK126" i="1" s="1"/>
  <c r="P126" i="1"/>
  <c r="D126" i="1"/>
  <c r="F126" i="1" s="1"/>
  <c r="AX125" i="1"/>
  <c r="AB125" i="1" s="1"/>
  <c r="W125" i="1"/>
  <c r="AG125" i="1" s="1"/>
  <c r="U125" i="1"/>
  <c r="AK125" i="1" s="1"/>
  <c r="P125" i="1"/>
  <c r="D125" i="1"/>
  <c r="F125" i="1" s="1"/>
  <c r="AX124" i="1"/>
  <c r="AB124" i="1" s="1"/>
  <c r="W124" i="1"/>
  <c r="U124" i="1"/>
  <c r="P124" i="1"/>
  <c r="D124" i="1"/>
  <c r="F124" i="1" s="1"/>
  <c r="AX123" i="1"/>
  <c r="AB123" i="1" s="1"/>
  <c r="W123" i="1"/>
  <c r="AG123" i="1" s="1"/>
  <c r="U123" i="1"/>
  <c r="D123" i="1"/>
  <c r="F123" i="1" s="1"/>
  <c r="AX35" i="1"/>
  <c r="AB35" i="1" s="1"/>
  <c r="AL35" i="1"/>
  <c r="W35" i="1"/>
  <c r="AF35" i="1" s="1"/>
  <c r="U35" i="1"/>
  <c r="AK35" i="1" s="1"/>
  <c r="P35" i="1"/>
  <c r="D35" i="1"/>
  <c r="F35" i="1" s="1"/>
  <c r="AX46" i="1"/>
  <c r="AB46" i="1" s="1"/>
  <c r="AL46" i="1"/>
  <c r="W46" i="1"/>
  <c r="AF46" i="1" s="1"/>
  <c r="U46" i="1"/>
  <c r="AK46" i="1" s="1"/>
  <c r="P46" i="1"/>
  <c r="D46" i="1"/>
  <c r="F46" i="1" s="1"/>
  <c r="AX44" i="1"/>
  <c r="AB44" i="1" s="1"/>
  <c r="AL44" i="1"/>
  <c r="W44" i="1"/>
  <c r="U44" i="1"/>
  <c r="AK44" i="1" s="1"/>
  <c r="P44" i="1"/>
  <c r="D44" i="1"/>
  <c r="F44" i="1" s="1"/>
  <c r="AX45" i="1"/>
  <c r="AB45" i="1" s="1"/>
  <c r="W45" i="1"/>
  <c r="AF45" i="1" s="1"/>
  <c r="U45" i="1"/>
  <c r="AK45" i="1" s="1"/>
  <c r="P45" i="1"/>
  <c r="D45" i="1"/>
  <c r="F45" i="1" s="1"/>
  <c r="AX48" i="1"/>
  <c r="AB48" i="1" s="1"/>
  <c r="AL48" i="1"/>
  <c r="W48" i="1"/>
  <c r="AF48" i="1" s="1"/>
  <c r="U48" i="1"/>
  <c r="AK48" i="1" s="1"/>
  <c r="P48" i="1"/>
  <c r="D48" i="1"/>
  <c r="F48" i="1" s="1"/>
  <c r="AX49" i="1"/>
  <c r="AB49" i="1" s="1"/>
  <c r="W49" i="1"/>
  <c r="AF49" i="1" s="1"/>
  <c r="U49" i="1"/>
  <c r="AK49" i="1" s="1"/>
  <c r="P49" i="1"/>
  <c r="D49" i="1"/>
  <c r="F49" i="1" s="1"/>
  <c r="AX34" i="1"/>
  <c r="AB34" i="1" s="1"/>
  <c r="AL34" i="1"/>
  <c r="W34" i="1"/>
  <c r="U34" i="1"/>
  <c r="P34" i="1"/>
  <c r="D34" i="1"/>
  <c r="F34" i="1" s="1"/>
  <c r="AX43" i="1"/>
  <c r="AB43" i="1" s="1"/>
  <c r="AL43" i="1"/>
  <c r="W43" i="1"/>
  <c r="AG43" i="1" s="1"/>
  <c r="U43" i="1"/>
  <c r="AK43" i="1" s="1"/>
  <c r="P43" i="1"/>
  <c r="D43" i="1"/>
  <c r="F43" i="1" s="1"/>
  <c r="AX79" i="1"/>
  <c r="AB79" i="1" s="1"/>
  <c r="AL79" i="1"/>
  <c r="W79" i="1"/>
  <c r="U79" i="1"/>
  <c r="AK79" i="1" s="1"/>
  <c r="P79" i="1"/>
  <c r="D79" i="1"/>
  <c r="F79" i="1" s="1"/>
  <c r="AX78" i="1"/>
  <c r="AB78" i="1" s="1"/>
  <c r="AL78" i="1"/>
  <c r="W78" i="1"/>
  <c r="AM78" i="1" s="1"/>
  <c r="U78" i="1"/>
  <c r="AK78" i="1" s="1"/>
  <c r="P78" i="1"/>
  <c r="D78" i="1"/>
  <c r="F78" i="1" s="1"/>
  <c r="AX77" i="1"/>
  <c r="AB77" i="1" s="1"/>
  <c r="AL77" i="1"/>
  <c r="W77" i="1"/>
  <c r="AF77" i="1" s="1"/>
  <c r="U77" i="1"/>
  <c r="AK77" i="1" s="1"/>
  <c r="P77" i="1"/>
  <c r="D77" i="1"/>
  <c r="F77" i="1" s="1"/>
  <c r="AX76" i="1"/>
  <c r="AB76" i="1" s="1"/>
  <c r="AL76" i="1"/>
  <c r="W76" i="1"/>
  <c r="AF76" i="1" s="1"/>
  <c r="U76" i="1"/>
  <c r="AK76" i="1" s="1"/>
  <c r="P76" i="1"/>
  <c r="D76" i="1"/>
  <c r="F76" i="1" s="1"/>
  <c r="AX82" i="1"/>
  <c r="AB82" i="1" s="1"/>
  <c r="AL82" i="1"/>
  <c r="W82" i="1"/>
  <c r="AF82" i="1" s="1"/>
  <c r="U82" i="1"/>
  <c r="AK82" i="1" s="1"/>
  <c r="P82" i="1"/>
  <c r="D82" i="1"/>
  <c r="F82" i="1" s="1"/>
  <c r="AX75" i="1"/>
  <c r="AB75" i="1" s="1"/>
  <c r="AL75" i="1"/>
  <c r="W75" i="1"/>
  <c r="AF75" i="1" s="1"/>
  <c r="U75" i="1"/>
  <c r="AK75" i="1" s="1"/>
  <c r="P75" i="1"/>
  <c r="D75" i="1"/>
  <c r="F75" i="1" s="1"/>
  <c r="AX74" i="1"/>
  <c r="AB74" i="1" s="1"/>
  <c r="AL74" i="1"/>
  <c r="W74" i="1"/>
  <c r="AF74" i="1" s="1"/>
  <c r="U74" i="1"/>
  <c r="AK74" i="1" s="1"/>
  <c r="P74" i="1"/>
  <c r="D74" i="1"/>
  <c r="F74" i="1" s="1"/>
  <c r="AX73" i="1"/>
  <c r="AB73" i="1" s="1"/>
  <c r="AL73" i="1"/>
  <c r="W73" i="1"/>
  <c r="AF73" i="1" s="1"/>
  <c r="U73" i="1"/>
  <c r="AK73" i="1" s="1"/>
  <c r="P73" i="1"/>
  <c r="D73" i="1"/>
  <c r="F73" i="1" s="1"/>
  <c r="AX72" i="1"/>
  <c r="AB72" i="1" s="1"/>
  <c r="AL72" i="1"/>
  <c r="W72" i="1"/>
  <c r="AM72" i="1" s="1"/>
  <c r="U72" i="1"/>
  <c r="AK72" i="1" s="1"/>
  <c r="P72" i="1"/>
  <c r="D72" i="1"/>
  <c r="F72" i="1" s="1"/>
  <c r="AX71" i="1"/>
  <c r="AB71" i="1" s="1"/>
  <c r="AL71" i="1"/>
  <c r="W71" i="1"/>
  <c r="AG71" i="1" s="1"/>
  <c r="U71" i="1"/>
  <c r="AK71" i="1" s="1"/>
  <c r="P71" i="1"/>
  <c r="D71" i="1"/>
  <c r="F71" i="1" s="1"/>
  <c r="AX81" i="1"/>
  <c r="AB81" i="1" s="1"/>
  <c r="AL81" i="1"/>
  <c r="W81" i="1"/>
  <c r="AF81" i="1" s="1"/>
  <c r="U81" i="1"/>
  <c r="AK81" i="1" s="1"/>
  <c r="P81" i="1"/>
  <c r="D81" i="1"/>
  <c r="F81" i="1" s="1"/>
  <c r="AX80" i="1"/>
  <c r="AB80" i="1" s="1"/>
  <c r="AL80" i="1"/>
  <c r="W80" i="1"/>
  <c r="AG80" i="1" s="1"/>
  <c r="U80" i="1"/>
  <c r="AK80" i="1" s="1"/>
  <c r="P80" i="1"/>
  <c r="D80" i="1"/>
  <c r="F80" i="1" s="1"/>
  <c r="AX70" i="1"/>
  <c r="AB70" i="1" s="1"/>
  <c r="AL70" i="1"/>
  <c r="W70" i="1"/>
  <c r="AM70" i="1" s="1"/>
  <c r="U70" i="1"/>
  <c r="AK70" i="1" s="1"/>
  <c r="P70" i="1"/>
  <c r="D70" i="1"/>
  <c r="F70" i="1" s="1"/>
  <c r="AX69" i="1"/>
  <c r="AB69" i="1" s="1"/>
  <c r="AL69" i="1"/>
  <c r="W69" i="1"/>
  <c r="AG69" i="1" s="1"/>
  <c r="U69" i="1"/>
  <c r="AK69" i="1" s="1"/>
  <c r="P69" i="1"/>
  <c r="D69" i="1"/>
  <c r="F69" i="1" s="1"/>
  <c r="AX47" i="1"/>
  <c r="AB47" i="1" s="1"/>
  <c r="AL47" i="1"/>
  <c r="W47" i="1"/>
  <c r="AG47" i="1" s="1"/>
  <c r="U47" i="1"/>
  <c r="AK47" i="1" s="1"/>
  <c r="P47" i="1"/>
  <c r="D47" i="1"/>
  <c r="F47" i="1" s="1"/>
  <c r="AX42" i="1"/>
  <c r="AB42" i="1" s="1"/>
  <c r="AL42" i="1"/>
  <c r="W42" i="1"/>
  <c r="AM42" i="1" s="1"/>
  <c r="U42" i="1"/>
  <c r="AK42" i="1" s="1"/>
  <c r="P42" i="1"/>
  <c r="D42" i="1"/>
  <c r="F42" i="1" s="1"/>
  <c r="AX51" i="1"/>
  <c r="AB51" i="1" s="1"/>
  <c r="AL51" i="1"/>
  <c r="W51" i="1"/>
  <c r="AM51" i="1" s="1"/>
  <c r="U51" i="1"/>
  <c r="AK51" i="1" s="1"/>
  <c r="P51" i="1"/>
  <c r="D51" i="1"/>
  <c r="F51" i="1" s="1"/>
  <c r="AX56" i="1"/>
  <c r="AB56" i="1" s="1"/>
  <c r="AL56" i="1"/>
  <c r="W56" i="1"/>
  <c r="AG56" i="1" s="1"/>
  <c r="U56" i="1"/>
  <c r="AK56" i="1" s="1"/>
  <c r="P56" i="1"/>
  <c r="D56" i="1"/>
  <c r="F56" i="1" s="1"/>
  <c r="AX53" i="1"/>
  <c r="AB53" i="1" s="1"/>
  <c r="AL53" i="1"/>
  <c r="W53" i="1"/>
  <c r="AG53" i="1" s="1"/>
  <c r="U53" i="1"/>
  <c r="AK53" i="1" s="1"/>
  <c r="P53" i="1"/>
  <c r="D53" i="1"/>
  <c r="F53" i="1" s="1"/>
  <c r="AX55" i="1"/>
  <c r="AB55" i="1" s="1"/>
  <c r="AL55" i="1"/>
  <c r="W55" i="1"/>
  <c r="AM55" i="1" s="1"/>
  <c r="U55" i="1"/>
  <c r="AK55" i="1" s="1"/>
  <c r="P55" i="1"/>
  <c r="D55" i="1"/>
  <c r="F55" i="1" s="1"/>
  <c r="AX52" i="1"/>
  <c r="AB52" i="1" s="1"/>
  <c r="AL52" i="1"/>
  <c r="W52" i="1"/>
  <c r="AM52" i="1" s="1"/>
  <c r="U52" i="1"/>
  <c r="AK52" i="1" s="1"/>
  <c r="P52" i="1"/>
  <c r="D52" i="1"/>
  <c r="F52" i="1" s="1"/>
  <c r="AX10" i="1"/>
  <c r="AB10" i="1" s="1"/>
  <c r="AL10" i="1"/>
  <c r="W10" i="1"/>
  <c r="AM10" i="1" s="1"/>
  <c r="U10" i="1"/>
  <c r="AK10" i="1" s="1"/>
  <c r="P10" i="1"/>
  <c r="D10" i="1"/>
  <c r="F10" i="1" s="1"/>
  <c r="AX5" i="1"/>
  <c r="AB5" i="1" s="1"/>
  <c r="AL5" i="1"/>
  <c r="W5" i="1"/>
  <c r="AF5" i="1" s="1"/>
  <c r="U5" i="1"/>
  <c r="AK5" i="1" s="1"/>
  <c r="P5" i="1"/>
  <c r="D5" i="1"/>
  <c r="F5" i="1" s="1"/>
  <c r="AX6" i="1"/>
  <c r="AB6" i="1" s="1"/>
  <c r="AL6" i="1"/>
  <c r="W6" i="1"/>
  <c r="AG6" i="1" s="1"/>
  <c r="U6" i="1"/>
  <c r="AK6" i="1" s="1"/>
  <c r="P6" i="1"/>
  <c r="D6" i="1"/>
  <c r="F6" i="1" s="1"/>
  <c r="AX9" i="1"/>
  <c r="AB9" i="1" s="1"/>
  <c r="AL9" i="1"/>
  <c r="W9" i="1"/>
  <c r="AM9" i="1" s="1"/>
  <c r="U9" i="1"/>
  <c r="AK9" i="1" s="1"/>
  <c r="P9" i="1"/>
  <c r="D9" i="1"/>
  <c r="F9" i="1" s="1"/>
  <c r="AX7" i="1"/>
  <c r="AB7" i="1" s="1"/>
  <c r="AL7" i="1"/>
  <c r="W7" i="1"/>
  <c r="AM7" i="1" s="1"/>
  <c r="U7" i="1"/>
  <c r="AK7" i="1" s="1"/>
  <c r="P7" i="1"/>
  <c r="D7" i="1"/>
  <c r="F7" i="1" s="1"/>
  <c r="AX8" i="1"/>
  <c r="AB8" i="1" s="1"/>
  <c r="AL8" i="1"/>
  <c r="W8" i="1"/>
  <c r="AM8" i="1" s="1"/>
  <c r="U8" i="1"/>
  <c r="AK8" i="1" s="1"/>
  <c r="P8" i="1"/>
  <c r="D8" i="1"/>
  <c r="F8" i="1" s="1"/>
  <c r="AX11" i="1"/>
  <c r="AB11" i="1" s="1"/>
  <c r="AL11" i="1"/>
  <c r="W11" i="1"/>
  <c r="AF11" i="1" s="1"/>
  <c r="U11" i="1"/>
  <c r="AK11" i="1" s="1"/>
  <c r="P11" i="1"/>
  <c r="D11" i="1"/>
  <c r="F11" i="1" s="1"/>
  <c r="AX4" i="1"/>
  <c r="AB4" i="1" s="1"/>
  <c r="AL4" i="1"/>
  <c r="W4" i="1"/>
  <c r="AG4" i="1" s="1"/>
  <c r="U4" i="1"/>
  <c r="AK4" i="1" s="1"/>
  <c r="P4" i="1"/>
  <c r="D4" i="1"/>
  <c r="F4" i="1" s="1"/>
  <c r="AX33" i="1"/>
  <c r="AB33" i="1" s="1"/>
  <c r="AL33" i="1"/>
  <c r="W33" i="1"/>
  <c r="AM33" i="1" s="1"/>
  <c r="U33" i="1"/>
  <c r="AK33" i="1" s="1"/>
  <c r="P33" i="1"/>
  <c r="D33" i="1"/>
  <c r="F33" i="1" s="1"/>
  <c r="AX32" i="1"/>
  <c r="AB32" i="1" s="1"/>
  <c r="AL32" i="1"/>
  <c r="W32" i="1"/>
  <c r="AM32" i="1" s="1"/>
  <c r="U32" i="1"/>
  <c r="AK32" i="1" s="1"/>
  <c r="P32" i="1"/>
  <c r="D32" i="1"/>
  <c r="F32" i="1" s="1"/>
  <c r="AX31" i="1"/>
  <c r="AB31" i="1" s="1"/>
  <c r="AL31" i="1"/>
  <c r="W31" i="1"/>
  <c r="AF31" i="1" s="1"/>
  <c r="U31" i="1"/>
  <c r="AK31" i="1" s="1"/>
  <c r="P31" i="1"/>
  <c r="D31" i="1"/>
  <c r="F31" i="1" s="1"/>
  <c r="AX30" i="1"/>
  <c r="AB30" i="1" s="1"/>
  <c r="AL30" i="1"/>
  <c r="W30" i="1"/>
  <c r="AF30" i="1" s="1"/>
  <c r="U30" i="1"/>
  <c r="AK30" i="1" s="1"/>
  <c r="P30" i="1"/>
  <c r="D30" i="1"/>
  <c r="F30" i="1" s="1"/>
  <c r="AX29" i="1"/>
  <c r="AB29" i="1" s="1"/>
  <c r="AL29" i="1"/>
  <c r="W29" i="1"/>
  <c r="AM29" i="1" s="1"/>
  <c r="U29" i="1"/>
  <c r="AK29" i="1" s="1"/>
  <c r="P29" i="1"/>
  <c r="D29" i="1"/>
  <c r="F29" i="1" s="1"/>
  <c r="AX28" i="1"/>
  <c r="AB28" i="1" s="1"/>
  <c r="AL28" i="1"/>
  <c r="W28" i="1"/>
  <c r="AM28" i="1" s="1"/>
  <c r="U28" i="1"/>
  <c r="AK28" i="1" s="1"/>
  <c r="P28" i="1"/>
  <c r="D28" i="1"/>
  <c r="F28" i="1" s="1"/>
  <c r="AX27" i="1"/>
  <c r="AB27" i="1" s="1"/>
  <c r="AL27" i="1"/>
  <c r="W27" i="1"/>
  <c r="AM27" i="1" s="1"/>
  <c r="U27" i="1"/>
  <c r="AK27" i="1" s="1"/>
  <c r="P27" i="1"/>
  <c r="D27" i="1"/>
  <c r="F27" i="1" s="1"/>
  <c r="AX26" i="1"/>
  <c r="AB26" i="1" s="1"/>
  <c r="AL26" i="1"/>
  <c r="W26" i="1"/>
  <c r="AF26" i="1" s="1"/>
  <c r="U26" i="1"/>
  <c r="AK26" i="1" s="1"/>
  <c r="P26" i="1"/>
  <c r="D26" i="1"/>
  <c r="F26" i="1" s="1"/>
  <c r="AX25" i="1"/>
  <c r="AB25" i="1" s="1"/>
  <c r="AL25" i="1"/>
  <c r="W25" i="1"/>
  <c r="AM25" i="1" s="1"/>
  <c r="U25" i="1"/>
  <c r="AK25" i="1" s="1"/>
  <c r="P25" i="1"/>
  <c r="D25" i="1"/>
  <c r="F25" i="1" s="1"/>
  <c r="AX24" i="1"/>
  <c r="AB24" i="1" s="1"/>
  <c r="AL24" i="1"/>
  <c r="W24" i="1"/>
  <c r="AG24" i="1" s="1"/>
  <c r="U24" i="1"/>
  <c r="AK24" i="1" s="1"/>
  <c r="P24" i="1"/>
  <c r="D24" i="1"/>
  <c r="F24" i="1" s="1"/>
  <c r="AX93" i="1"/>
  <c r="AB93" i="1" s="1"/>
  <c r="AL93" i="1"/>
  <c r="W93" i="1"/>
  <c r="AF93" i="1" s="1"/>
  <c r="U93" i="1"/>
  <c r="AK93" i="1" s="1"/>
  <c r="P93" i="1"/>
  <c r="D93" i="1"/>
  <c r="F93" i="1" s="1"/>
  <c r="AX83" i="1"/>
  <c r="AB83" i="1" s="1"/>
  <c r="AL83" i="1"/>
  <c r="W83" i="1"/>
  <c r="AG83" i="1" s="1"/>
  <c r="U83" i="1"/>
  <c r="AK83" i="1" s="1"/>
  <c r="P83" i="1"/>
  <c r="D83" i="1"/>
  <c r="F83" i="1" s="1"/>
  <c r="AX59" i="1"/>
  <c r="AB59" i="1" s="1"/>
  <c r="AL59" i="1"/>
  <c r="W59" i="1"/>
  <c r="U59" i="1"/>
  <c r="AK59" i="1" s="1"/>
  <c r="P59" i="1"/>
  <c r="D59" i="1"/>
  <c r="F59" i="1" s="1"/>
  <c r="AX108" i="1"/>
  <c r="AB108" i="1" s="1"/>
  <c r="AL108" i="1"/>
  <c r="W108" i="1"/>
  <c r="AG108" i="1" s="1"/>
  <c r="U108" i="1"/>
  <c r="AK108" i="1" s="1"/>
  <c r="P108" i="1"/>
  <c r="D108" i="1"/>
  <c r="F108" i="1" s="1"/>
  <c r="AX96" i="1"/>
  <c r="AB96" i="1" s="1"/>
  <c r="AL96" i="1"/>
  <c r="W96" i="1"/>
  <c r="AF96" i="1" s="1"/>
  <c r="U96" i="1"/>
  <c r="AK96" i="1" s="1"/>
  <c r="P96" i="1"/>
  <c r="D96" i="1"/>
  <c r="F96" i="1" s="1"/>
  <c r="AX99" i="1"/>
  <c r="AB99" i="1" s="1"/>
  <c r="AL99" i="1"/>
  <c r="W99" i="1"/>
  <c r="AM99" i="1" s="1"/>
  <c r="U99" i="1"/>
  <c r="AK99" i="1" s="1"/>
  <c r="P99" i="1"/>
  <c r="D99" i="1"/>
  <c r="F99" i="1" s="1"/>
  <c r="AX97" i="1"/>
  <c r="AB97" i="1" s="1"/>
  <c r="AL97" i="1"/>
  <c r="W97" i="1"/>
  <c r="AM97" i="1" s="1"/>
  <c r="U97" i="1"/>
  <c r="AK97" i="1" s="1"/>
  <c r="P97" i="1"/>
  <c r="D97" i="1"/>
  <c r="F97" i="1" s="1"/>
  <c r="AX95" i="1"/>
  <c r="AB95" i="1" s="1"/>
  <c r="AL95" i="1"/>
  <c r="W95" i="1"/>
  <c r="AM95" i="1" s="1"/>
  <c r="U95" i="1"/>
  <c r="AK95" i="1" s="1"/>
  <c r="P95" i="1"/>
  <c r="D95" i="1"/>
  <c r="F95" i="1" s="1"/>
  <c r="AX92" i="1"/>
  <c r="AB92" i="1" s="1"/>
  <c r="AL92" i="1"/>
  <c r="W92" i="1"/>
  <c r="AF92" i="1" s="1"/>
  <c r="U92" i="1"/>
  <c r="AK92" i="1" s="1"/>
  <c r="P92" i="1"/>
  <c r="D92" i="1"/>
  <c r="F92" i="1" s="1"/>
  <c r="AX98" i="1"/>
  <c r="AB98" i="1" s="1"/>
  <c r="AL98" i="1"/>
  <c r="W98" i="1"/>
  <c r="AG98" i="1" s="1"/>
  <c r="U98" i="1"/>
  <c r="AK98" i="1" s="1"/>
  <c r="P98" i="1"/>
  <c r="D98" i="1"/>
  <c r="F98" i="1" s="1"/>
  <c r="AX94" i="1"/>
  <c r="AB94" i="1" s="1"/>
  <c r="AL94" i="1"/>
  <c r="W94" i="1"/>
  <c r="U94" i="1"/>
  <c r="AK94" i="1" s="1"/>
  <c r="P94" i="1"/>
  <c r="D94" i="1"/>
  <c r="F94" i="1" s="1"/>
  <c r="AX91" i="1"/>
  <c r="AB91" i="1" s="1"/>
  <c r="AL91" i="1"/>
  <c r="W91" i="1"/>
  <c r="AG91" i="1" s="1"/>
  <c r="U91" i="1"/>
  <c r="AK91" i="1" s="1"/>
  <c r="P91" i="1"/>
  <c r="D91" i="1"/>
  <c r="F91" i="1" s="1"/>
  <c r="AX90" i="1"/>
  <c r="AB90" i="1" s="1"/>
  <c r="AL90" i="1"/>
  <c r="W90" i="1"/>
  <c r="AG90" i="1" s="1"/>
  <c r="U90" i="1"/>
  <c r="AK90" i="1" s="1"/>
  <c r="P90" i="1"/>
  <c r="D90" i="1"/>
  <c r="F90" i="1" s="1"/>
  <c r="AX89" i="1"/>
  <c r="AB89" i="1" s="1"/>
  <c r="AL89" i="1"/>
  <c r="W89" i="1"/>
  <c r="AM89" i="1" s="1"/>
  <c r="U89" i="1"/>
  <c r="AK89" i="1" s="1"/>
  <c r="P89" i="1"/>
  <c r="D89" i="1"/>
  <c r="F89" i="1" s="1"/>
  <c r="AX85" i="1"/>
  <c r="AB85" i="1" s="1"/>
  <c r="AL85" i="1"/>
  <c r="W85" i="1"/>
  <c r="AM85" i="1" s="1"/>
  <c r="U85" i="1"/>
  <c r="AK85" i="1" s="1"/>
  <c r="P85" i="1"/>
  <c r="D85" i="1"/>
  <c r="F85" i="1" s="1"/>
  <c r="AX87" i="1"/>
  <c r="AB87" i="1" s="1"/>
  <c r="AL87" i="1"/>
  <c r="W87" i="1"/>
  <c r="AM87" i="1" s="1"/>
  <c r="U87" i="1"/>
  <c r="AK87" i="1" s="1"/>
  <c r="P87" i="1"/>
  <c r="D87" i="1"/>
  <c r="F87" i="1" s="1"/>
  <c r="AX86" i="1"/>
  <c r="AB86" i="1" s="1"/>
  <c r="AL86" i="1"/>
  <c r="W86" i="1"/>
  <c r="AM86" i="1" s="1"/>
  <c r="U86" i="1"/>
  <c r="AK86" i="1" s="1"/>
  <c r="P86" i="1"/>
  <c r="D86" i="1"/>
  <c r="F86" i="1" s="1"/>
  <c r="AX88" i="1"/>
  <c r="AB88" i="1" s="1"/>
  <c r="AL88" i="1"/>
  <c r="W88" i="1"/>
  <c r="AM88" i="1" s="1"/>
  <c r="U88" i="1"/>
  <c r="AK88" i="1" s="1"/>
  <c r="P88" i="1"/>
  <c r="D88" i="1"/>
  <c r="F88" i="1" s="1"/>
  <c r="AX62" i="1"/>
  <c r="AB62" i="1" s="1"/>
  <c r="AL62" i="1"/>
  <c r="W62" i="1"/>
  <c r="AM62" i="1" s="1"/>
  <c r="U62" i="1"/>
  <c r="AK62" i="1" s="1"/>
  <c r="P62" i="1"/>
  <c r="D62" i="1"/>
  <c r="F62" i="1" s="1"/>
  <c r="AX63" i="1"/>
  <c r="AB63" i="1" s="1"/>
  <c r="AL63" i="1"/>
  <c r="W63" i="1"/>
  <c r="AM63" i="1" s="1"/>
  <c r="U63" i="1"/>
  <c r="AK63" i="1" s="1"/>
  <c r="P63" i="1"/>
  <c r="D63" i="1"/>
  <c r="F63" i="1" s="1"/>
  <c r="AX61" i="1"/>
  <c r="AB61" i="1" s="1"/>
  <c r="AL61" i="1"/>
  <c r="W61" i="1"/>
  <c r="AM61" i="1" s="1"/>
  <c r="U61" i="1"/>
  <c r="AK61" i="1" s="1"/>
  <c r="P61" i="1"/>
  <c r="D61" i="1"/>
  <c r="F61" i="1" s="1"/>
  <c r="AX60" i="1"/>
  <c r="AB60" i="1" s="1"/>
  <c r="AL60" i="1"/>
  <c r="W60" i="1"/>
  <c r="AM60" i="1" s="1"/>
  <c r="U60" i="1"/>
  <c r="AK60" i="1" s="1"/>
  <c r="P60" i="1"/>
  <c r="D60" i="1"/>
  <c r="F60" i="1" s="1"/>
  <c r="AX64" i="1"/>
  <c r="AB64" i="1" s="1"/>
  <c r="AL64" i="1"/>
  <c r="W64" i="1"/>
  <c r="AM64" i="1" s="1"/>
  <c r="U64" i="1"/>
  <c r="AK64" i="1" s="1"/>
  <c r="P64" i="1"/>
  <c r="D64" i="1"/>
  <c r="F64" i="1" s="1"/>
  <c r="AX65" i="1"/>
  <c r="AB65" i="1" s="1"/>
  <c r="AL65" i="1"/>
  <c r="W65" i="1"/>
  <c r="AM65" i="1" s="1"/>
  <c r="U65" i="1"/>
  <c r="AK65" i="1" s="1"/>
  <c r="P65" i="1"/>
  <c r="D65" i="1"/>
  <c r="F65" i="1" s="1"/>
  <c r="AX68" i="1"/>
  <c r="AB68" i="1" s="1"/>
  <c r="AL68" i="1"/>
  <c r="W68" i="1"/>
  <c r="AM68" i="1" s="1"/>
  <c r="U68" i="1"/>
  <c r="AK68" i="1" s="1"/>
  <c r="P68" i="1"/>
  <c r="D68" i="1"/>
  <c r="F68" i="1" s="1"/>
  <c r="AX58" i="1"/>
  <c r="AB58" i="1" s="1"/>
  <c r="AL58" i="1"/>
  <c r="W58" i="1"/>
  <c r="AM58" i="1" s="1"/>
  <c r="U58" i="1"/>
  <c r="AK58" i="1" s="1"/>
  <c r="P58" i="1"/>
  <c r="D58" i="1"/>
  <c r="F58" i="1" s="1"/>
  <c r="AX18" i="1"/>
  <c r="AB18" i="1" s="1"/>
  <c r="AL18" i="1"/>
  <c r="W18" i="1"/>
  <c r="AM18" i="1" s="1"/>
  <c r="U18" i="1"/>
  <c r="AK18" i="1" s="1"/>
  <c r="P18" i="1"/>
  <c r="D18" i="1"/>
  <c r="F18" i="1" s="1"/>
  <c r="AX17" i="1"/>
  <c r="AB17" i="1" s="1"/>
  <c r="AL17" i="1"/>
  <c r="W17" i="1"/>
  <c r="AM17" i="1" s="1"/>
  <c r="U17" i="1"/>
  <c r="AK17" i="1" s="1"/>
  <c r="P17" i="1"/>
  <c r="D17" i="1"/>
  <c r="F17" i="1" s="1"/>
  <c r="AX16" i="1"/>
  <c r="AB16" i="1" s="1"/>
  <c r="AL16" i="1"/>
  <c r="W16" i="1"/>
  <c r="AM16" i="1" s="1"/>
  <c r="U16" i="1"/>
  <c r="AK16" i="1" s="1"/>
  <c r="P16" i="1"/>
  <c r="D16" i="1"/>
  <c r="F16" i="1" s="1"/>
  <c r="AX15" i="1"/>
  <c r="AB15" i="1" s="1"/>
  <c r="AL15" i="1"/>
  <c r="W15" i="1"/>
  <c r="AM15" i="1" s="1"/>
  <c r="U15" i="1"/>
  <c r="AK15" i="1" s="1"/>
  <c r="P15" i="1"/>
  <c r="D15" i="1"/>
  <c r="F15" i="1" s="1"/>
  <c r="AX14" i="1"/>
  <c r="AB14" i="1" s="1"/>
  <c r="AL14" i="1"/>
  <c r="W14" i="1"/>
  <c r="AM14" i="1" s="1"/>
  <c r="U14" i="1"/>
  <c r="AK14" i="1" s="1"/>
  <c r="P14" i="1"/>
  <c r="D14" i="1"/>
  <c r="F14" i="1" s="1"/>
  <c r="P67" i="1"/>
  <c r="P19" i="1"/>
  <c r="P20" i="1"/>
  <c r="P21" i="1"/>
  <c r="P22" i="1"/>
  <c r="P41" i="1"/>
  <c r="P40" i="1"/>
  <c r="P23" i="1"/>
  <c r="P36" i="1"/>
  <c r="P39" i="1"/>
  <c r="P37" i="1"/>
  <c r="P50" i="1"/>
  <c r="P38" i="1"/>
  <c r="P54" i="1"/>
  <c r="P57" i="1"/>
  <c r="P84" i="1"/>
  <c r="P12" i="1"/>
  <c r="P13" i="1"/>
  <c r="AL67" i="1"/>
  <c r="AL19" i="1"/>
  <c r="AL20" i="1"/>
  <c r="AL21" i="1"/>
  <c r="AL22" i="1"/>
  <c r="AL41" i="1"/>
  <c r="AL40" i="1"/>
  <c r="AL23" i="1"/>
  <c r="AL36" i="1"/>
  <c r="AL39" i="1"/>
  <c r="AL37" i="1"/>
  <c r="AL50" i="1"/>
  <c r="AL38" i="1"/>
  <c r="AL54" i="1"/>
  <c r="AL57" i="1"/>
  <c r="AL84" i="1"/>
  <c r="AL12" i="1"/>
  <c r="AL13" i="1"/>
  <c r="AX13" i="1"/>
  <c r="AB13" i="1" s="1"/>
  <c r="W13" i="1"/>
  <c r="AN13" i="1" s="1"/>
  <c r="U13" i="1"/>
  <c r="AK13" i="1" s="1"/>
  <c r="D13" i="1"/>
  <c r="F13" i="1" s="1"/>
  <c r="AX12" i="1"/>
  <c r="AB12" i="1" s="1"/>
  <c r="W12" i="1"/>
  <c r="AG12" i="1" s="1"/>
  <c r="U12" i="1"/>
  <c r="AK12" i="1" s="1"/>
  <c r="D12" i="1"/>
  <c r="F12" i="1" s="1"/>
  <c r="AX84" i="1"/>
  <c r="AB84" i="1" s="1"/>
  <c r="W84" i="1"/>
  <c r="AN84" i="1" s="1"/>
  <c r="U84" i="1"/>
  <c r="AK84" i="1" s="1"/>
  <c r="D84" i="1"/>
  <c r="F84" i="1" s="1"/>
  <c r="AX57" i="1"/>
  <c r="AB57" i="1" s="1"/>
  <c r="W57" i="1"/>
  <c r="AG57" i="1" s="1"/>
  <c r="U57" i="1"/>
  <c r="AK57" i="1" s="1"/>
  <c r="D57" i="1"/>
  <c r="F57" i="1" s="1"/>
  <c r="AX54" i="1"/>
  <c r="AB54" i="1" s="1"/>
  <c r="W54" i="1"/>
  <c r="AF54" i="1" s="1"/>
  <c r="U54" i="1"/>
  <c r="AK54" i="1" s="1"/>
  <c r="D54" i="1"/>
  <c r="F54" i="1" s="1"/>
  <c r="AX38" i="1"/>
  <c r="AB38" i="1" s="1"/>
  <c r="W38" i="1"/>
  <c r="U38" i="1"/>
  <c r="AK38" i="1" s="1"/>
  <c r="D38" i="1"/>
  <c r="F38" i="1" s="1"/>
  <c r="AX50" i="1"/>
  <c r="AB50" i="1" s="1"/>
  <c r="W50" i="1"/>
  <c r="AG50" i="1" s="1"/>
  <c r="U50" i="1"/>
  <c r="AK50" i="1" s="1"/>
  <c r="D50" i="1"/>
  <c r="F50" i="1" s="1"/>
  <c r="AX37" i="1"/>
  <c r="AB37" i="1" s="1"/>
  <c r="W37" i="1"/>
  <c r="AG37" i="1" s="1"/>
  <c r="U37" i="1"/>
  <c r="AK37" i="1" s="1"/>
  <c r="D37" i="1"/>
  <c r="F37" i="1" s="1"/>
  <c r="AX39" i="1"/>
  <c r="AB39" i="1" s="1"/>
  <c r="W39" i="1"/>
  <c r="U39" i="1"/>
  <c r="AK39" i="1" s="1"/>
  <c r="D39" i="1"/>
  <c r="F39" i="1" s="1"/>
  <c r="AN122" i="1" l="1"/>
  <c r="AN115" i="1"/>
  <c r="AN94" i="1"/>
  <c r="AN111" i="1"/>
  <c r="AN59" i="1"/>
  <c r="AN39" i="1"/>
  <c r="AN118" i="1"/>
  <c r="AN109" i="1"/>
  <c r="AN117" i="1"/>
  <c r="AN44" i="1"/>
  <c r="AN101" i="1"/>
  <c r="AN45" i="1"/>
  <c r="AN96" i="1"/>
  <c r="AN90" i="1"/>
  <c r="AN61" i="1"/>
  <c r="Y15" i="1"/>
  <c r="Z15" i="1" s="1"/>
  <c r="BE15" i="1"/>
  <c r="BC15" i="1"/>
  <c r="Y58" i="1"/>
  <c r="Z58" i="1" s="1"/>
  <c r="BC58" i="1"/>
  <c r="BE58" i="1"/>
  <c r="Y60" i="1"/>
  <c r="Z60" i="1" s="1"/>
  <c r="BE60" i="1"/>
  <c r="BC60" i="1"/>
  <c r="Y88" i="1"/>
  <c r="Z88" i="1" s="1"/>
  <c r="BC88" i="1"/>
  <c r="BE88" i="1"/>
  <c r="Y89" i="1"/>
  <c r="Z89" i="1" s="1"/>
  <c r="BE89" i="1"/>
  <c r="BC89" i="1"/>
  <c r="Y99" i="1"/>
  <c r="Z99" i="1" s="1"/>
  <c r="BE99" i="1"/>
  <c r="BC99" i="1"/>
  <c r="Y9" i="1"/>
  <c r="Z9" i="1" s="1"/>
  <c r="BC9" i="1"/>
  <c r="BE9" i="1"/>
  <c r="Y52" i="1"/>
  <c r="Z52" i="1" s="1"/>
  <c r="BE52" i="1"/>
  <c r="BC52" i="1"/>
  <c r="Y51" i="1"/>
  <c r="Z51" i="1" s="1"/>
  <c r="BC51" i="1"/>
  <c r="BE51" i="1"/>
  <c r="Y70" i="1"/>
  <c r="BE70" i="1"/>
  <c r="BC70" i="1"/>
  <c r="Y72" i="1"/>
  <c r="Z72" i="1" s="1"/>
  <c r="BC72" i="1"/>
  <c r="BE72" i="1"/>
  <c r="AN116" i="1"/>
  <c r="AN35" i="1"/>
  <c r="AN79" i="1"/>
  <c r="AN72" i="1"/>
  <c r="AN51" i="1"/>
  <c r="AN9" i="1"/>
  <c r="AN30" i="1"/>
  <c r="AN83" i="1"/>
  <c r="AN98" i="1"/>
  <c r="AN88" i="1"/>
  <c r="AN58" i="1"/>
  <c r="Y14" i="1"/>
  <c r="Z14" i="1" s="1"/>
  <c r="BE14" i="1"/>
  <c r="BC14" i="1"/>
  <c r="Y64" i="1"/>
  <c r="Z64" i="1" s="1"/>
  <c r="BE64" i="1"/>
  <c r="BC64" i="1"/>
  <c r="Y62" i="1"/>
  <c r="Z62" i="1" s="1"/>
  <c r="BE62" i="1"/>
  <c r="BC62" i="1"/>
  <c r="Y97" i="1"/>
  <c r="BE97" i="1"/>
  <c r="BC97" i="1"/>
  <c r="BE33" i="1"/>
  <c r="BC33" i="1"/>
  <c r="Y10" i="1"/>
  <c r="Z10" i="1" s="1"/>
  <c r="BE10" i="1"/>
  <c r="BC10" i="1"/>
  <c r="Y78" i="1"/>
  <c r="Z78" i="1" s="1"/>
  <c r="BE78" i="1"/>
  <c r="BC78" i="1"/>
  <c r="Y17" i="1"/>
  <c r="Z17" i="1" s="1"/>
  <c r="BE17" i="1"/>
  <c r="BC17" i="1"/>
  <c r="Y65" i="1"/>
  <c r="BE65" i="1"/>
  <c r="BC65" i="1"/>
  <c r="Y63" i="1"/>
  <c r="BE63" i="1"/>
  <c r="BC63" i="1"/>
  <c r="Y87" i="1"/>
  <c r="Z87" i="1" s="1"/>
  <c r="BE87" i="1"/>
  <c r="BC87" i="1"/>
  <c r="Y95" i="1"/>
  <c r="Z95" i="1" s="1"/>
  <c r="BE95" i="1"/>
  <c r="BC95" i="1"/>
  <c r="Y28" i="1"/>
  <c r="Z28" i="1" s="1"/>
  <c r="BE28" i="1"/>
  <c r="BC28" i="1"/>
  <c r="Y32" i="1"/>
  <c r="Z32" i="1" s="1"/>
  <c r="BE32" i="1"/>
  <c r="BC32" i="1"/>
  <c r="Y8" i="1"/>
  <c r="Z8" i="1" s="1"/>
  <c r="BE8" i="1"/>
  <c r="BC8" i="1"/>
  <c r="Y18" i="1"/>
  <c r="Z18" i="1" s="1"/>
  <c r="BC18" i="1"/>
  <c r="BE18" i="1"/>
  <c r="Y25" i="1"/>
  <c r="Z25" i="1" s="1"/>
  <c r="BE25" i="1"/>
  <c r="BC25" i="1"/>
  <c r="BE29" i="1"/>
  <c r="BC29" i="1"/>
  <c r="AN38" i="1"/>
  <c r="Y85" i="1"/>
  <c r="Z85" i="1" s="1"/>
  <c r="BE85" i="1"/>
  <c r="BC85" i="1"/>
  <c r="BE7" i="1"/>
  <c r="BC7" i="1"/>
  <c r="Y16" i="1"/>
  <c r="Z16" i="1" s="1"/>
  <c r="BE16" i="1"/>
  <c r="BC16" i="1"/>
  <c r="Y68" i="1"/>
  <c r="Z68" i="1" s="1"/>
  <c r="BE68" i="1"/>
  <c r="BC68" i="1"/>
  <c r="Y61" i="1"/>
  <c r="Z61" i="1" s="1"/>
  <c r="BE61" i="1"/>
  <c r="BC61" i="1"/>
  <c r="Y86" i="1"/>
  <c r="Z86" i="1" s="1"/>
  <c r="BE86" i="1"/>
  <c r="BC86" i="1"/>
  <c r="Y27" i="1"/>
  <c r="Z27" i="1" s="1"/>
  <c r="BE27" i="1"/>
  <c r="BC27" i="1"/>
  <c r="Y55" i="1"/>
  <c r="Z55" i="1" s="1"/>
  <c r="BE55" i="1"/>
  <c r="BC55" i="1"/>
  <c r="Y42" i="1"/>
  <c r="Z42" i="1" s="1"/>
  <c r="BE42" i="1"/>
  <c r="BC42" i="1"/>
  <c r="AN106" i="1"/>
  <c r="AN104" i="1"/>
  <c r="AN112" i="1"/>
  <c r="AN114" i="1"/>
  <c r="AN34" i="1"/>
  <c r="AN46" i="1"/>
  <c r="AN76" i="1"/>
  <c r="AN16" i="1"/>
  <c r="AN80" i="1"/>
  <c r="AN55" i="1"/>
  <c r="AN103" i="1"/>
  <c r="AN120" i="1"/>
  <c r="AN11" i="1"/>
  <c r="AN124" i="1"/>
  <c r="AN121" i="1"/>
  <c r="AN113" i="1"/>
  <c r="AN27" i="1"/>
  <c r="AN78" i="1"/>
  <c r="AN71" i="1"/>
  <c r="AN56" i="1"/>
  <c r="AN7" i="1"/>
  <c r="AN29" i="1"/>
  <c r="AN62" i="1"/>
  <c r="AN18" i="1"/>
  <c r="AN57" i="1"/>
  <c r="AN102" i="1"/>
  <c r="AN77" i="1"/>
  <c r="AN81" i="1"/>
  <c r="AN53" i="1"/>
  <c r="AN8" i="1"/>
  <c r="AN28" i="1"/>
  <c r="AN108" i="1"/>
  <c r="AN91" i="1"/>
  <c r="AN63" i="1"/>
  <c r="AN17" i="1"/>
  <c r="AN54" i="1"/>
  <c r="AN126" i="1"/>
  <c r="AN48" i="1"/>
  <c r="AN82" i="1"/>
  <c r="AN70" i="1"/>
  <c r="AN52" i="1"/>
  <c r="AN4" i="1"/>
  <c r="AN26" i="1"/>
  <c r="AN99" i="1"/>
  <c r="AN89" i="1"/>
  <c r="AN60" i="1"/>
  <c r="AN15" i="1"/>
  <c r="AN50" i="1"/>
  <c r="AN119" i="1"/>
  <c r="AN125" i="1"/>
  <c r="AN49" i="1"/>
  <c r="AN75" i="1"/>
  <c r="AN69" i="1"/>
  <c r="AN10" i="1"/>
  <c r="AN33" i="1"/>
  <c r="AN25" i="1"/>
  <c r="AN97" i="1"/>
  <c r="AN85" i="1"/>
  <c r="AN64" i="1"/>
  <c r="AN14" i="1"/>
  <c r="AN37" i="1"/>
  <c r="AN100" i="1"/>
  <c r="AN107" i="1"/>
  <c r="AN74" i="1"/>
  <c r="AN47" i="1"/>
  <c r="AN5" i="1"/>
  <c r="AN32" i="1"/>
  <c r="AN24" i="1"/>
  <c r="AN95" i="1"/>
  <c r="AN87" i="1"/>
  <c r="AN65" i="1"/>
  <c r="AN105" i="1"/>
  <c r="AN123" i="1"/>
  <c r="AN43" i="1"/>
  <c r="AN73" i="1"/>
  <c r="AN42" i="1"/>
  <c r="AN6" i="1"/>
  <c r="AN31" i="1"/>
  <c r="AN93" i="1"/>
  <c r="AN92" i="1"/>
  <c r="AN86" i="1"/>
  <c r="AN68" i="1"/>
  <c r="AN12" i="1"/>
  <c r="AM53" i="1"/>
  <c r="AG11" i="1"/>
  <c r="AM30" i="1"/>
  <c r="AG52" i="1"/>
  <c r="AM24" i="1"/>
  <c r="AM47" i="1"/>
  <c r="AM56" i="1"/>
  <c r="AM80" i="1"/>
  <c r="AF10" i="1"/>
  <c r="AG10" i="1"/>
  <c r="AM69" i="1"/>
  <c r="AG27" i="1"/>
  <c r="AM26" i="1"/>
  <c r="AC26" i="1" s="1"/>
  <c r="AD26" i="1" s="1"/>
  <c r="AF8" i="1"/>
  <c r="AF56" i="1"/>
  <c r="AF69" i="1"/>
  <c r="AG45" i="1"/>
  <c r="AF80" i="1"/>
  <c r="AM6" i="1"/>
  <c r="AG31" i="1"/>
  <c r="AF32" i="1"/>
  <c r="AG8" i="1"/>
  <c r="AG7" i="1"/>
  <c r="AM98" i="1"/>
  <c r="AG32" i="1"/>
  <c r="AM4" i="1"/>
  <c r="AM11" i="1"/>
  <c r="AG46" i="1"/>
  <c r="AM31" i="1"/>
  <c r="AG26" i="1"/>
  <c r="AF27" i="1"/>
  <c r="AM93" i="1"/>
  <c r="AM5" i="1"/>
  <c r="AC10" i="1"/>
  <c r="AD10" i="1" s="1"/>
  <c r="AM71" i="1"/>
  <c r="AG72" i="1"/>
  <c r="AF90" i="1"/>
  <c r="AG96" i="1"/>
  <c r="AF52" i="1"/>
  <c r="AG81" i="1"/>
  <c r="AM81" i="1"/>
  <c r="AF71" i="1"/>
  <c r="AF98" i="1"/>
  <c r="AF83" i="1"/>
  <c r="AF25" i="1"/>
  <c r="AG30" i="1"/>
  <c r="AG5" i="1"/>
  <c r="AF72" i="1"/>
  <c r="Y7" i="1"/>
  <c r="Z7" i="1" s="1"/>
  <c r="AC7" i="1"/>
  <c r="AD7" i="1" s="1"/>
  <c r="Y33" i="1"/>
  <c r="Z33" i="1" s="1"/>
  <c r="AC33" i="1"/>
  <c r="AD33" i="1" s="1"/>
  <c r="Y29" i="1"/>
  <c r="Z29" i="1" s="1"/>
  <c r="AC29" i="1"/>
  <c r="AD29" i="1" s="1"/>
  <c r="AF89" i="1"/>
  <c r="AF51" i="1"/>
  <c r="AG89" i="1"/>
  <c r="AG92" i="1"/>
  <c r="AF95" i="1"/>
  <c r="AG28" i="1"/>
  <c r="AF7" i="1"/>
  <c r="AG51" i="1"/>
  <c r="AF70" i="1"/>
  <c r="AF43" i="1"/>
  <c r="AG49" i="1"/>
  <c r="AF125" i="1"/>
  <c r="AF28" i="1"/>
  <c r="AF33" i="1"/>
  <c r="AF42" i="1"/>
  <c r="AG70" i="1"/>
  <c r="Z70" i="1"/>
  <c r="AG95" i="1"/>
  <c r="AM92" i="1"/>
  <c r="AF97" i="1"/>
  <c r="AF99" i="1"/>
  <c r="AF29" i="1"/>
  <c r="AG33" i="1"/>
  <c r="AF9" i="1"/>
  <c r="AF55" i="1"/>
  <c r="AG42" i="1"/>
  <c r="AG73" i="1"/>
  <c r="AG74" i="1"/>
  <c r="AG75" i="1"/>
  <c r="AG82" i="1"/>
  <c r="AG76" i="1"/>
  <c r="AG77" i="1"/>
  <c r="AG78" i="1"/>
  <c r="AG99" i="1"/>
  <c r="AM83" i="1"/>
  <c r="AG93" i="1"/>
  <c r="AF24" i="1"/>
  <c r="AC28" i="1"/>
  <c r="AD28" i="1" s="1"/>
  <c r="AG29" i="1"/>
  <c r="AF4" i="1"/>
  <c r="AG9" i="1"/>
  <c r="AF6" i="1"/>
  <c r="AG55" i="1"/>
  <c r="AF53" i="1"/>
  <c r="AF47" i="1"/>
  <c r="AF123" i="1"/>
  <c r="AF85" i="1"/>
  <c r="AC89" i="1"/>
  <c r="AD89" i="1" s="1"/>
  <c r="AM73" i="1"/>
  <c r="AM74" i="1"/>
  <c r="AM75" i="1"/>
  <c r="AM82" i="1"/>
  <c r="AM76" i="1"/>
  <c r="AM77" i="1"/>
  <c r="AC78" i="1"/>
  <c r="AD78" i="1" s="1"/>
  <c r="AC99" i="1"/>
  <c r="AD99" i="1" s="1"/>
  <c r="AC25" i="1"/>
  <c r="AD25" i="1" s="1"/>
  <c r="AC8" i="1"/>
  <c r="AD8" i="1" s="1"/>
  <c r="AC55" i="1"/>
  <c r="AD55" i="1" s="1"/>
  <c r="AC51" i="1"/>
  <c r="AD51" i="1" s="1"/>
  <c r="AK124" i="1"/>
  <c r="AL101" i="1"/>
  <c r="AC97" i="1"/>
  <c r="AD97" i="1" s="1"/>
  <c r="AK34" i="1"/>
  <c r="AC16" i="1"/>
  <c r="AD16" i="1" s="1"/>
  <c r="AC17" i="1"/>
  <c r="AD17" i="1" s="1"/>
  <c r="AC68" i="1"/>
  <c r="AD68" i="1" s="1"/>
  <c r="AC65" i="1"/>
  <c r="AD65" i="1" s="1"/>
  <c r="AC61" i="1"/>
  <c r="AD61" i="1" s="1"/>
  <c r="AC63" i="1"/>
  <c r="AD63" i="1" s="1"/>
  <c r="AC87" i="1"/>
  <c r="AD87" i="1" s="1"/>
  <c r="AC85" i="1"/>
  <c r="AD85" i="1" s="1"/>
  <c r="AC95" i="1"/>
  <c r="AD95" i="1" s="1"/>
  <c r="AC27" i="1"/>
  <c r="AD27" i="1" s="1"/>
  <c r="AC70" i="1"/>
  <c r="AD70" i="1" s="1"/>
  <c r="AC9" i="1"/>
  <c r="AD9" i="1" s="1"/>
  <c r="AC72" i="1"/>
  <c r="AD72" i="1" s="1"/>
  <c r="AK123" i="1"/>
  <c r="AC32" i="1"/>
  <c r="AD32" i="1" s="1"/>
  <c r="AC52" i="1"/>
  <c r="AD52" i="1" s="1"/>
  <c r="P66" i="1"/>
  <c r="AL66" i="1"/>
  <c r="AC15" i="1"/>
  <c r="AD15" i="1" s="1"/>
  <c r="AC58" i="1"/>
  <c r="AD58" i="1" s="1"/>
  <c r="AC60" i="1"/>
  <c r="AD60" i="1" s="1"/>
  <c r="AC88" i="1"/>
  <c r="AD88" i="1" s="1"/>
  <c r="AF38" i="1"/>
  <c r="AM38" i="1"/>
  <c r="AM104" i="1"/>
  <c r="AG104" i="1"/>
  <c r="AF104" i="1"/>
  <c r="AM103" i="1"/>
  <c r="AG103" i="1"/>
  <c r="AF103" i="1"/>
  <c r="AM114" i="1"/>
  <c r="AG114" i="1"/>
  <c r="AF114" i="1"/>
  <c r="AC86" i="1"/>
  <c r="AD86" i="1" s="1"/>
  <c r="AC14" i="1"/>
  <c r="AD14" i="1" s="1"/>
  <c r="AC18" i="1"/>
  <c r="AD18" i="1" s="1"/>
  <c r="AC64" i="1"/>
  <c r="AD64" i="1" s="1"/>
  <c r="AC62" i="1"/>
  <c r="AD62" i="1" s="1"/>
  <c r="AM94" i="1"/>
  <c r="AG94" i="1"/>
  <c r="AF94" i="1"/>
  <c r="AM34" i="1"/>
  <c r="AG34" i="1"/>
  <c r="AF34" i="1"/>
  <c r="AG59" i="1"/>
  <c r="AF59" i="1"/>
  <c r="AM59" i="1"/>
  <c r="AM101" i="1"/>
  <c r="AG101" i="1"/>
  <c r="AF101" i="1"/>
  <c r="AF15" i="1"/>
  <c r="AF16" i="1"/>
  <c r="AF18" i="1"/>
  <c r="AF65" i="1"/>
  <c r="AF64" i="1"/>
  <c r="AF63" i="1"/>
  <c r="AF62" i="1"/>
  <c r="AF88" i="1"/>
  <c r="AF87" i="1"/>
  <c r="AG85" i="1"/>
  <c r="AM91" i="1"/>
  <c r="AG97" i="1"/>
  <c r="AM108" i="1"/>
  <c r="AG25" i="1"/>
  <c r="AM124" i="1"/>
  <c r="AG124" i="1"/>
  <c r="AF124" i="1"/>
  <c r="AM121" i="1"/>
  <c r="AG121" i="1"/>
  <c r="AF121" i="1"/>
  <c r="AM110" i="1"/>
  <c r="AG110" i="1"/>
  <c r="AF110" i="1"/>
  <c r="AM44" i="1"/>
  <c r="AG44" i="1"/>
  <c r="AF44" i="1"/>
  <c r="AF14" i="1"/>
  <c r="AF17" i="1"/>
  <c r="AF58" i="1"/>
  <c r="AF68" i="1"/>
  <c r="AF60" i="1"/>
  <c r="AF61" i="1"/>
  <c r="AF86" i="1"/>
  <c r="AG14" i="1"/>
  <c r="AG15" i="1"/>
  <c r="AG16" i="1"/>
  <c r="AG17" i="1"/>
  <c r="AG18" i="1"/>
  <c r="AG58" i="1"/>
  <c r="AG68" i="1"/>
  <c r="AG65" i="1"/>
  <c r="AG64" i="1"/>
  <c r="AG60" i="1"/>
  <c r="AG61" i="1"/>
  <c r="AG63" i="1"/>
  <c r="AG62" i="1"/>
  <c r="AG88" i="1"/>
  <c r="AG86" i="1"/>
  <c r="AG87" i="1"/>
  <c r="AM90" i="1"/>
  <c r="AM96" i="1"/>
  <c r="AC42" i="1"/>
  <c r="AD42" i="1" s="1"/>
  <c r="AM79" i="1"/>
  <c r="AG79" i="1"/>
  <c r="AM117" i="1"/>
  <c r="AG117" i="1"/>
  <c r="AF117" i="1"/>
  <c r="Z97" i="1"/>
  <c r="AM48" i="1"/>
  <c r="AG48" i="1"/>
  <c r="AM107" i="1"/>
  <c r="AG107" i="1"/>
  <c r="AM112" i="1"/>
  <c r="AG112" i="1"/>
  <c r="AF112" i="1"/>
  <c r="Z65" i="1"/>
  <c r="Z63" i="1"/>
  <c r="AF91" i="1"/>
  <c r="AF108" i="1"/>
  <c r="AM35" i="1"/>
  <c r="AG35" i="1"/>
  <c r="AF79" i="1"/>
  <c r="AM126" i="1"/>
  <c r="AG126" i="1"/>
  <c r="AM120" i="1"/>
  <c r="AG120" i="1"/>
  <c r="AF120" i="1"/>
  <c r="AM43" i="1"/>
  <c r="AM45" i="1"/>
  <c r="AM123" i="1"/>
  <c r="AM105" i="1"/>
  <c r="AG105" i="1"/>
  <c r="AM115" i="1"/>
  <c r="AG115" i="1"/>
  <c r="AF115" i="1"/>
  <c r="AF78" i="1"/>
  <c r="AM100" i="1"/>
  <c r="AG100" i="1"/>
  <c r="AM122" i="1"/>
  <c r="AG122" i="1"/>
  <c r="AF122" i="1"/>
  <c r="AM109" i="1"/>
  <c r="AG109" i="1"/>
  <c r="AF109" i="1"/>
  <c r="AM111" i="1"/>
  <c r="AG111" i="1"/>
  <c r="AF111" i="1"/>
  <c r="AM113" i="1"/>
  <c r="AG113" i="1"/>
  <c r="AF113" i="1"/>
  <c r="AM118" i="1"/>
  <c r="AG118" i="1"/>
  <c r="AF118" i="1"/>
  <c r="AM106" i="1"/>
  <c r="AG106" i="1"/>
  <c r="AM116" i="1"/>
  <c r="AG116" i="1"/>
  <c r="AF116" i="1"/>
  <c r="AM49" i="1"/>
  <c r="AM46" i="1"/>
  <c r="AM125" i="1"/>
  <c r="AM102" i="1"/>
  <c r="AG102" i="1"/>
  <c r="AM119" i="1"/>
  <c r="AG119" i="1"/>
  <c r="AM84" i="1"/>
  <c r="AM13" i="1"/>
  <c r="AM39" i="1"/>
  <c r="AM57" i="1"/>
  <c r="AM50" i="1"/>
  <c r="AM12" i="1"/>
  <c r="AM54" i="1"/>
  <c r="AM37" i="1"/>
  <c r="AF12" i="1"/>
  <c r="AF39" i="1"/>
  <c r="AF37" i="1"/>
  <c r="AG39" i="1"/>
  <c r="AF13" i="1"/>
  <c r="AG13" i="1"/>
  <c r="AG54" i="1"/>
  <c r="AF50" i="1"/>
  <c r="AG38" i="1"/>
  <c r="AF84" i="1"/>
  <c r="AF57" i="1"/>
  <c r="AG84" i="1"/>
  <c r="Y122" i="1" l="1"/>
  <c r="Z122" i="1" s="1"/>
  <c r="BE122" i="1"/>
  <c r="BC122" i="1"/>
  <c r="Y4" i="1"/>
  <c r="Z4" i="1" s="1"/>
  <c r="BE4" i="1"/>
  <c r="BC4" i="1"/>
  <c r="Y50" i="1"/>
  <c r="Z50" i="1" s="1"/>
  <c r="BE50" i="1"/>
  <c r="BC50" i="1"/>
  <c r="Y106" i="1"/>
  <c r="Z106" i="1" s="1"/>
  <c r="BC106" i="1"/>
  <c r="BE106" i="1"/>
  <c r="Y44" i="1"/>
  <c r="Z44" i="1" s="1"/>
  <c r="BE44" i="1"/>
  <c r="BC44" i="1"/>
  <c r="Y34" i="1"/>
  <c r="Z34" i="1" s="1"/>
  <c r="BE34" i="1"/>
  <c r="BC34" i="1"/>
  <c r="Y75" i="1"/>
  <c r="Z75" i="1" s="1"/>
  <c r="BE75" i="1"/>
  <c r="BC75" i="1"/>
  <c r="Y83" i="1"/>
  <c r="Z83" i="1" s="1"/>
  <c r="BC83" i="1"/>
  <c r="BE83" i="1"/>
  <c r="Y92" i="1"/>
  <c r="Z92" i="1" s="1"/>
  <c r="BE92" i="1"/>
  <c r="BC92" i="1"/>
  <c r="Y81" i="1"/>
  <c r="Z81" i="1" s="1"/>
  <c r="BC81" i="1"/>
  <c r="BE81" i="1"/>
  <c r="Y5" i="1"/>
  <c r="Z5" i="1" s="1"/>
  <c r="BE5" i="1"/>
  <c r="BC5" i="1"/>
  <c r="Y53" i="1"/>
  <c r="Z53" i="1" s="1"/>
  <c r="BE53" i="1"/>
  <c r="BC53" i="1"/>
  <c r="AC12" i="1"/>
  <c r="AD12" i="1" s="1"/>
  <c r="BE12" i="1"/>
  <c r="BC12" i="1"/>
  <c r="Y105" i="1"/>
  <c r="Z105" i="1" s="1"/>
  <c r="BC105" i="1"/>
  <c r="BE105" i="1"/>
  <c r="Y102" i="1"/>
  <c r="Z102" i="1" s="1"/>
  <c r="BE102" i="1"/>
  <c r="BC102" i="1"/>
  <c r="Y123" i="1"/>
  <c r="Z123" i="1" s="1"/>
  <c r="BC123" i="1"/>
  <c r="BE123" i="1"/>
  <c r="AC57" i="1"/>
  <c r="AD57" i="1" s="1"/>
  <c r="BC57" i="1"/>
  <c r="BE57" i="1"/>
  <c r="Y125" i="1"/>
  <c r="Z125" i="1" s="1"/>
  <c r="BC125" i="1"/>
  <c r="BE125" i="1"/>
  <c r="Y111" i="1"/>
  <c r="Z111" i="1" s="1"/>
  <c r="BC111" i="1"/>
  <c r="BE111" i="1"/>
  <c r="Y100" i="1"/>
  <c r="Z100" i="1" s="1"/>
  <c r="BE100" i="1"/>
  <c r="BC100" i="1"/>
  <c r="Y45" i="1"/>
  <c r="Z45" i="1" s="1"/>
  <c r="BE45" i="1"/>
  <c r="BC45" i="1"/>
  <c r="Y107" i="1"/>
  <c r="Z107" i="1" s="1"/>
  <c r="BE107" i="1"/>
  <c r="BC107" i="1"/>
  <c r="Y117" i="1"/>
  <c r="Z117" i="1" s="1"/>
  <c r="BC117" i="1"/>
  <c r="BE117" i="1"/>
  <c r="Y124" i="1"/>
  <c r="Z124" i="1" s="1"/>
  <c r="BC124" i="1"/>
  <c r="BE124" i="1"/>
  <c r="BE104" i="1"/>
  <c r="BC104" i="1"/>
  <c r="Y74" i="1"/>
  <c r="Z74" i="1" s="1"/>
  <c r="BE74" i="1"/>
  <c r="BC74" i="1"/>
  <c r="Y93" i="1"/>
  <c r="Z93" i="1" s="1"/>
  <c r="BE93" i="1"/>
  <c r="BC93" i="1"/>
  <c r="Y98" i="1"/>
  <c r="Z98" i="1" s="1"/>
  <c r="BC98" i="1"/>
  <c r="BE98" i="1"/>
  <c r="Y80" i="1"/>
  <c r="Z80" i="1" s="1"/>
  <c r="BE80" i="1"/>
  <c r="BC80" i="1"/>
  <c r="BC126" i="1"/>
  <c r="BE126" i="1"/>
  <c r="Y82" i="1"/>
  <c r="Z82" i="1" s="1"/>
  <c r="BE82" i="1"/>
  <c r="BC82" i="1"/>
  <c r="AC13" i="1"/>
  <c r="AD13" i="1" s="1"/>
  <c r="BE13" i="1"/>
  <c r="BC13" i="1"/>
  <c r="Y49" i="1"/>
  <c r="Z49" i="1" s="1"/>
  <c r="BC49" i="1"/>
  <c r="BE49" i="1"/>
  <c r="Y118" i="1"/>
  <c r="Z118" i="1" s="1"/>
  <c r="BE118" i="1"/>
  <c r="BC118" i="1"/>
  <c r="Y48" i="1"/>
  <c r="Z48" i="1" s="1"/>
  <c r="BC48" i="1"/>
  <c r="BE48" i="1"/>
  <c r="Y79" i="1"/>
  <c r="Z79" i="1" s="1"/>
  <c r="BC79" i="1"/>
  <c r="BE79" i="1"/>
  <c r="Y110" i="1"/>
  <c r="Z110" i="1" s="1"/>
  <c r="BE110" i="1"/>
  <c r="BC110" i="1"/>
  <c r="Y108" i="1"/>
  <c r="Z108" i="1" s="1"/>
  <c r="BE108" i="1"/>
  <c r="BC108" i="1"/>
  <c r="Y59" i="1"/>
  <c r="Z59" i="1" s="1"/>
  <c r="BE59" i="1"/>
  <c r="BC59" i="1"/>
  <c r="Y94" i="1"/>
  <c r="Z94" i="1" s="1"/>
  <c r="BE94" i="1"/>
  <c r="BC94" i="1"/>
  <c r="Y114" i="1"/>
  <c r="Z114" i="1" s="1"/>
  <c r="BE114" i="1"/>
  <c r="BC114" i="1"/>
  <c r="Y47" i="1"/>
  <c r="Z47" i="1" s="1"/>
  <c r="BE47" i="1"/>
  <c r="BC47" i="1"/>
  <c r="AC38" i="1"/>
  <c r="AD38" i="1" s="1"/>
  <c r="BE38" i="1"/>
  <c r="BC38" i="1"/>
  <c r="Y56" i="1"/>
  <c r="Z56" i="1" s="1"/>
  <c r="BC56" i="1"/>
  <c r="BE56" i="1"/>
  <c r="Y31" i="1"/>
  <c r="Z31" i="1" s="1"/>
  <c r="BE31" i="1"/>
  <c r="BC31" i="1"/>
  <c r="Y26" i="1"/>
  <c r="Z26" i="1" s="1"/>
  <c r="BE26" i="1"/>
  <c r="BC26" i="1"/>
  <c r="Y24" i="1"/>
  <c r="Z24" i="1" s="1"/>
  <c r="BE24" i="1"/>
  <c r="BC24" i="1"/>
  <c r="Y46" i="1"/>
  <c r="Z46" i="1" s="1"/>
  <c r="BE46" i="1"/>
  <c r="BC46" i="1"/>
  <c r="BC35" i="1"/>
  <c r="BE35" i="1"/>
  <c r="BC101" i="1"/>
  <c r="BE101" i="1"/>
  <c r="AC84" i="1"/>
  <c r="AD84" i="1" s="1"/>
  <c r="BC84" i="1"/>
  <c r="BE84" i="1"/>
  <c r="Y109" i="1"/>
  <c r="Z109" i="1" s="1"/>
  <c r="BC109" i="1"/>
  <c r="BE109" i="1"/>
  <c r="Y115" i="1"/>
  <c r="Z115" i="1" s="1"/>
  <c r="BE115" i="1"/>
  <c r="BC115" i="1"/>
  <c r="Y91" i="1"/>
  <c r="Z91" i="1" s="1"/>
  <c r="BE91" i="1"/>
  <c r="BC91" i="1"/>
  <c r="Y77" i="1"/>
  <c r="Z77" i="1" s="1"/>
  <c r="BE77" i="1"/>
  <c r="BC77" i="1"/>
  <c r="Y112" i="1"/>
  <c r="Z112" i="1" s="1"/>
  <c r="BC112" i="1"/>
  <c r="BE112" i="1"/>
  <c r="AC39" i="1"/>
  <c r="AD39" i="1" s="1"/>
  <c r="BE39" i="1"/>
  <c r="BC39" i="1"/>
  <c r="Y43" i="1"/>
  <c r="Z43" i="1" s="1"/>
  <c r="BC43" i="1"/>
  <c r="BE43" i="1"/>
  <c r="Y73" i="1"/>
  <c r="Z73" i="1" s="1"/>
  <c r="BC73" i="1"/>
  <c r="BE73" i="1"/>
  <c r="AC37" i="1"/>
  <c r="AD37" i="1" s="1"/>
  <c r="BE37" i="1"/>
  <c r="BC37" i="1"/>
  <c r="Y120" i="1"/>
  <c r="Z120" i="1" s="1"/>
  <c r="BC120" i="1"/>
  <c r="BE120" i="1"/>
  <c r="Y96" i="1"/>
  <c r="Z96" i="1" s="1"/>
  <c r="BE96" i="1"/>
  <c r="BC96" i="1"/>
  <c r="AC54" i="1"/>
  <c r="AD54" i="1" s="1"/>
  <c r="BE54" i="1"/>
  <c r="BC54" i="1"/>
  <c r="Y119" i="1"/>
  <c r="Z119" i="1" s="1"/>
  <c r="BE119" i="1"/>
  <c r="BC119" i="1"/>
  <c r="Y116" i="1"/>
  <c r="Z116" i="1" s="1"/>
  <c r="BC116" i="1"/>
  <c r="BE116" i="1"/>
  <c r="Y113" i="1"/>
  <c r="Z113" i="1" s="1"/>
  <c r="BC113" i="1"/>
  <c r="BE113" i="1"/>
  <c r="Y90" i="1"/>
  <c r="Z90" i="1" s="1"/>
  <c r="BE90" i="1"/>
  <c r="BC90" i="1"/>
  <c r="BE121" i="1"/>
  <c r="BC121" i="1"/>
  <c r="Y103" i="1"/>
  <c r="Z103" i="1" s="1"/>
  <c r="BE103" i="1"/>
  <c r="BC103" i="1"/>
  <c r="Y76" i="1"/>
  <c r="Z76" i="1" s="1"/>
  <c r="BE76" i="1"/>
  <c r="BC76" i="1"/>
  <c r="BC71" i="1"/>
  <c r="BE71" i="1"/>
  <c r="Y11" i="1"/>
  <c r="Z11" i="1" s="1"/>
  <c r="BE11" i="1"/>
  <c r="BC11" i="1"/>
  <c r="Y6" i="1"/>
  <c r="Z6" i="1" s="1"/>
  <c r="BE6" i="1"/>
  <c r="BC6" i="1"/>
  <c r="Y69" i="1"/>
  <c r="Z69" i="1" s="1"/>
  <c r="BE69" i="1"/>
  <c r="BC69" i="1"/>
  <c r="Y30" i="1"/>
  <c r="Z30" i="1" s="1"/>
  <c r="BC30" i="1"/>
  <c r="BE30" i="1"/>
  <c r="AC53" i="1"/>
  <c r="AD53" i="1" s="1"/>
  <c r="AC98" i="1"/>
  <c r="AD98" i="1" s="1"/>
  <c r="AC80" i="1"/>
  <c r="AD80" i="1" s="1"/>
  <c r="AC24" i="1"/>
  <c r="AD24" i="1" s="1"/>
  <c r="AC83" i="1"/>
  <c r="AD83" i="1" s="1"/>
  <c r="AC69" i="1"/>
  <c r="AD69" i="1" s="1"/>
  <c r="AC30" i="1"/>
  <c r="AD30" i="1" s="1"/>
  <c r="AC56" i="1"/>
  <c r="AD56" i="1" s="1"/>
  <c r="AC93" i="1"/>
  <c r="AD93" i="1" s="1"/>
  <c r="AC81" i="1"/>
  <c r="AD81" i="1" s="1"/>
  <c r="AC47" i="1"/>
  <c r="AD47" i="1" s="1"/>
  <c r="AC34" i="1"/>
  <c r="AD34" i="1" s="1"/>
  <c r="AC77" i="1"/>
  <c r="AD77" i="1" s="1"/>
  <c r="AC75" i="1"/>
  <c r="AD75" i="1" s="1"/>
  <c r="AC31" i="1"/>
  <c r="AD31" i="1" s="1"/>
  <c r="AC82" i="1"/>
  <c r="AD82" i="1" s="1"/>
  <c r="AC6" i="1"/>
  <c r="AD6" i="1" s="1"/>
  <c r="AC11" i="1"/>
  <c r="AD11" i="1" s="1"/>
  <c r="AC4" i="1"/>
  <c r="AD4" i="1" s="1"/>
  <c r="AC5" i="1"/>
  <c r="AD5" i="1" s="1"/>
  <c r="AC76" i="1"/>
  <c r="AD76" i="1" s="1"/>
  <c r="AC48" i="1"/>
  <c r="AD48" i="1" s="1"/>
  <c r="AC74" i="1"/>
  <c r="AD74" i="1" s="1"/>
  <c r="AC92" i="1"/>
  <c r="AD92" i="1" s="1"/>
  <c r="AC73" i="1"/>
  <c r="AD73" i="1" s="1"/>
  <c r="Y71" i="1"/>
  <c r="Z71" i="1" s="1"/>
  <c r="AC71" i="1"/>
  <c r="AD71" i="1" s="1"/>
  <c r="Y57" i="1"/>
  <c r="Z57" i="1" s="1"/>
  <c r="AC59" i="1"/>
  <c r="AD59" i="1" s="1"/>
  <c r="Y54" i="1"/>
  <c r="Z54" i="1" s="1"/>
  <c r="Y38" i="1"/>
  <c r="Z38" i="1" s="1"/>
  <c r="AC111" i="1"/>
  <c r="AD111" i="1" s="1"/>
  <c r="AC91" i="1"/>
  <c r="AD91" i="1" s="1"/>
  <c r="Y84" i="1"/>
  <c r="Z84" i="1" s="1"/>
  <c r="AC109" i="1"/>
  <c r="AD109" i="1" s="1"/>
  <c r="AC105" i="1"/>
  <c r="AD105" i="1" s="1"/>
  <c r="AC49" i="1"/>
  <c r="AD49" i="1" s="1"/>
  <c r="AC106" i="1"/>
  <c r="AD106" i="1" s="1"/>
  <c r="AC96" i="1"/>
  <c r="AD96" i="1" s="1"/>
  <c r="AC44" i="1"/>
  <c r="AD44" i="1" s="1"/>
  <c r="AC124" i="1"/>
  <c r="AD124" i="1" s="1"/>
  <c r="AC122" i="1"/>
  <c r="AD122" i="1" s="1"/>
  <c r="AC90" i="1"/>
  <c r="AD90" i="1" s="1"/>
  <c r="AC43" i="1"/>
  <c r="AD43" i="1" s="1"/>
  <c r="Y13" i="1"/>
  <c r="Z13" i="1" s="1"/>
  <c r="Y39" i="1"/>
  <c r="Z39" i="1" s="1"/>
  <c r="AC113" i="1"/>
  <c r="AD113" i="1" s="1"/>
  <c r="AC46" i="1"/>
  <c r="AD46" i="1" s="1"/>
  <c r="AC112" i="1"/>
  <c r="AD112" i="1" s="1"/>
  <c r="Y126" i="1"/>
  <c r="Z126" i="1" s="1"/>
  <c r="AC126" i="1"/>
  <c r="AD126" i="1" s="1"/>
  <c r="Y35" i="1"/>
  <c r="Z35" i="1" s="1"/>
  <c r="AC35" i="1"/>
  <c r="AD35" i="1" s="1"/>
  <c r="Y121" i="1"/>
  <c r="Z121" i="1" s="1"/>
  <c r="AC121" i="1"/>
  <c r="AD121" i="1" s="1"/>
  <c r="AC110" i="1"/>
  <c r="AD110" i="1" s="1"/>
  <c r="AC119" i="1"/>
  <c r="AD119" i="1" s="1"/>
  <c r="AC116" i="1"/>
  <c r="AD116" i="1" s="1"/>
  <c r="AC79" i="1"/>
  <c r="AD79" i="1" s="1"/>
  <c r="AC100" i="1"/>
  <c r="AD100" i="1" s="1"/>
  <c r="AC114" i="1"/>
  <c r="AD114" i="1" s="1"/>
  <c r="AC117" i="1"/>
  <c r="AD117" i="1" s="1"/>
  <c r="Y104" i="1"/>
  <c r="Z104" i="1" s="1"/>
  <c r="AC104" i="1"/>
  <c r="AD104" i="1" s="1"/>
  <c r="AC108" i="1"/>
  <c r="AD108" i="1" s="1"/>
  <c r="AC115" i="1"/>
  <c r="AD115" i="1" s="1"/>
  <c r="AC94" i="1"/>
  <c r="AD94" i="1" s="1"/>
  <c r="AC120" i="1"/>
  <c r="AD120" i="1" s="1"/>
  <c r="AC45" i="1"/>
  <c r="AD45" i="1" s="1"/>
  <c r="AC107" i="1"/>
  <c r="AD107" i="1" s="1"/>
  <c r="AC123" i="1"/>
  <c r="AD123" i="1" s="1"/>
  <c r="AC103" i="1"/>
  <c r="AD103" i="1" s="1"/>
  <c r="Y101" i="1"/>
  <c r="Z101" i="1" s="1"/>
  <c r="AC101" i="1"/>
  <c r="AD101" i="1" s="1"/>
  <c r="AC118" i="1"/>
  <c r="AD118" i="1" s="1"/>
  <c r="AC102" i="1"/>
  <c r="AD102" i="1" s="1"/>
  <c r="AC125" i="1"/>
  <c r="AD125" i="1" s="1"/>
  <c r="AC50" i="1"/>
  <c r="AD50" i="1" s="1"/>
  <c r="Y37" i="1"/>
  <c r="Z37" i="1" s="1"/>
  <c r="Y12" i="1"/>
  <c r="Z12" i="1" s="1"/>
  <c r="AX67" i="1"/>
  <c r="AB67" i="1" s="1"/>
  <c r="AX19" i="1"/>
  <c r="AB19" i="1" s="1"/>
  <c r="AX20" i="1"/>
  <c r="AB20" i="1" s="1"/>
  <c r="AX21" i="1"/>
  <c r="AB21" i="1" s="1"/>
  <c r="AX22" i="1"/>
  <c r="AB22" i="1" s="1"/>
  <c r="AX41" i="1"/>
  <c r="AB41" i="1" s="1"/>
  <c r="AX40" i="1"/>
  <c r="AB40" i="1" s="1"/>
  <c r="AX23" i="1"/>
  <c r="AB23" i="1" s="1"/>
  <c r="AX36" i="1"/>
  <c r="AB36" i="1" s="1"/>
  <c r="AX66" i="1"/>
  <c r="AB66" i="1" s="1"/>
  <c r="W67" i="1"/>
  <c r="AN67" i="1" s="1"/>
  <c r="W19" i="1"/>
  <c r="AN19" i="1" s="1"/>
  <c r="W20" i="1"/>
  <c r="AN20" i="1" s="1"/>
  <c r="W21" i="1"/>
  <c r="AN21" i="1" s="1"/>
  <c r="W22" i="1"/>
  <c r="AN22" i="1" s="1"/>
  <c r="W41" i="1"/>
  <c r="AN41" i="1" s="1"/>
  <c r="W40" i="1"/>
  <c r="AN40" i="1" s="1"/>
  <c r="W23" i="1"/>
  <c r="AN23" i="1" s="1"/>
  <c r="W36" i="1"/>
  <c r="AN36" i="1" s="1"/>
  <c r="U67" i="1"/>
  <c r="AK67" i="1" s="1"/>
  <c r="U19" i="1"/>
  <c r="AK19" i="1" s="1"/>
  <c r="U20" i="1"/>
  <c r="AK20" i="1" s="1"/>
  <c r="U21" i="1"/>
  <c r="AK21" i="1" s="1"/>
  <c r="U22" i="1"/>
  <c r="AK22" i="1" s="1"/>
  <c r="U41" i="1"/>
  <c r="AK41" i="1" s="1"/>
  <c r="U40" i="1"/>
  <c r="AK40" i="1" s="1"/>
  <c r="U23" i="1"/>
  <c r="AK23" i="1" s="1"/>
  <c r="U36" i="1"/>
  <c r="AK36" i="1" s="1"/>
  <c r="D67" i="1"/>
  <c r="F67" i="1" s="1"/>
  <c r="D19" i="1"/>
  <c r="F19" i="1" s="1"/>
  <c r="D20" i="1"/>
  <c r="F20" i="1" s="1"/>
  <c r="D21" i="1"/>
  <c r="F21" i="1" s="1"/>
  <c r="D22" i="1"/>
  <c r="F22" i="1" s="1"/>
  <c r="D41" i="1"/>
  <c r="F41" i="1" s="1"/>
  <c r="D40" i="1"/>
  <c r="F40" i="1" s="1"/>
  <c r="D23" i="1"/>
  <c r="F23" i="1" s="1"/>
  <c r="D36" i="1"/>
  <c r="F36" i="1" s="1"/>
  <c r="D66" i="1"/>
  <c r="F66" i="1" s="1"/>
  <c r="W66" i="1"/>
  <c r="AN66" i="1" s="1"/>
  <c r="U66" i="1"/>
  <c r="AK66" i="1" s="1"/>
  <c r="AM20" i="1" l="1"/>
  <c r="AM19" i="1"/>
  <c r="AM23" i="1"/>
  <c r="Y23" i="1" s="1"/>
  <c r="Z23" i="1" s="1"/>
  <c r="AM21" i="1"/>
  <c r="AM36" i="1"/>
  <c r="AM67" i="1"/>
  <c r="AM40" i="1"/>
  <c r="AM41" i="1"/>
  <c r="AM66" i="1"/>
  <c r="Y66" i="1" s="1"/>
  <c r="Z66" i="1" s="1"/>
  <c r="AM22" i="1"/>
  <c r="AF36" i="1"/>
  <c r="AF67" i="1"/>
  <c r="AF23" i="1"/>
  <c r="AG41" i="1"/>
  <c r="AF66" i="1"/>
  <c r="AF22" i="1"/>
  <c r="AG21" i="1"/>
  <c r="AG40" i="1"/>
  <c r="AG20" i="1"/>
  <c r="AG19" i="1"/>
  <c r="AF40" i="1"/>
  <c r="AF41" i="1"/>
  <c r="AF21" i="1"/>
  <c r="AG22" i="1"/>
  <c r="AF20" i="1"/>
  <c r="AG36" i="1"/>
  <c r="AG67" i="1"/>
  <c r="AF19" i="1"/>
  <c r="AG23" i="1"/>
  <c r="AI66" i="1"/>
  <c r="AJ66" i="1"/>
  <c r="AG66" i="1"/>
  <c r="AC40" i="1" l="1"/>
  <c r="AD40" i="1" s="1"/>
  <c r="BE40" i="1"/>
  <c r="BC40" i="1"/>
  <c r="BE67" i="1"/>
  <c r="BC67" i="1"/>
  <c r="AC41" i="1"/>
  <c r="AD41" i="1" s="1"/>
  <c r="BE41" i="1"/>
  <c r="BC41" i="1"/>
  <c r="AC21" i="1"/>
  <c r="AD21" i="1" s="1"/>
  <c r="BE21" i="1"/>
  <c r="BC21" i="1"/>
  <c r="AC23" i="1"/>
  <c r="AD23" i="1" s="1"/>
  <c r="BC23" i="1"/>
  <c r="BE23" i="1"/>
  <c r="AC20" i="1"/>
  <c r="AD20" i="1" s="1"/>
  <c r="BE20" i="1"/>
  <c r="BC20" i="1"/>
  <c r="AC36" i="1"/>
  <c r="AD36" i="1" s="1"/>
  <c r="BE36" i="1"/>
  <c r="BC36" i="1"/>
  <c r="Y22" i="1"/>
  <c r="Z22" i="1" s="1"/>
  <c r="BE22" i="1"/>
  <c r="BC22" i="1"/>
  <c r="AC19" i="1"/>
  <c r="AD19" i="1" s="1"/>
  <c r="BE19" i="1"/>
  <c r="BC19" i="1"/>
  <c r="Y20" i="1"/>
  <c r="Z20" i="1" s="1"/>
  <c r="Y19" i="1"/>
  <c r="Z19" i="1" s="1"/>
  <c r="Y40" i="1"/>
  <c r="Z40" i="1" s="1"/>
  <c r="Y41" i="1"/>
  <c r="Z41" i="1" s="1"/>
  <c r="AC66" i="1"/>
  <c r="AD66" i="1" s="1"/>
  <c r="BC66" i="1"/>
  <c r="BE66" i="1"/>
  <c r="Y36" i="1"/>
  <c r="Z36" i="1" s="1"/>
  <c r="AC22" i="1"/>
  <c r="AD22" i="1" s="1"/>
  <c r="Y21" i="1"/>
  <c r="Z21" i="1" s="1"/>
  <c r="AC67" i="1"/>
  <c r="AD67" i="1" s="1"/>
  <c r="Y67" i="1"/>
  <c r="Z67" i="1" s="1"/>
</calcChain>
</file>

<file path=xl/sharedStrings.xml><?xml version="1.0" encoding="utf-8"?>
<sst xmlns="http://schemas.openxmlformats.org/spreadsheetml/2006/main" count="1334" uniqueCount="530">
  <si>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</si>
  <si>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</si>
  <si>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</si>
  <si>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</si>
  <si>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</si>
  <si>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</si>
  <si>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</si>
  <si>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</si>
  <si>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</si>
  <si>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</si>
  <si>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</si>
  <si>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</si>
  <si>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</si>
  <si>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</si>
  <si>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</si>
  <si>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</si>
  <si>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</si>
  <si>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</si>
  <si>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</si>
  <si>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</si>
  <si>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</si>
  <si>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</si>
  <si>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</si>
  <si>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</si>
  <si>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</si>
  <si>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</si>
  <si>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</si>
  <si>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</si>
  <si>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</si>
  <si>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</si>
  <si>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</si>
  <si>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</si>
  <si>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</si>
  <si>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</si>
  <si>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</si>
  <si>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</si>
  <si>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</si>
  <si>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</si>
  <si>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</si>
  <si>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</si>
  <si>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</si>
  <si>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</si>
  <si>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</si>
  <si>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</si>
  <si>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</si>
  <si>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</si>
  <si>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</si>
  <si>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</si>
  <si>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</si>
  <si>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</si>
  <si>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</si>
  <si>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</si>
  <si>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</si>
  <si>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</si>
  <si>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</si>
  <si>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</si>
  <si>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</si>
  <si>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J2179R</t>
  </si>
  <si>
    <t>J2181R</t>
  </si>
  <si>
    <t>J2182R</t>
  </si>
  <si>
    <t>J2183R</t>
  </si>
  <si>
    <t>J2253S</t>
  </si>
  <si>
    <t>J2254S</t>
  </si>
  <si>
    <t>J2180R</t>
  </si>
  <si>
    <t>J2938R</t>
  </si>
  <si>
    <t>J2940R</t>
  </si>
  <si>
    <t>J2939R</t>
  </si>
  <si>
    <t>J3070R</t>
  </si>
  <si>
    <t>J3071R</t>
  </si>
  <si>
    <t>J3072R</t>
  </si>
  <si>
    <t>J3073R</t>
  </si>
  <si>
    <t>J401WE</t>
  </si>
  <si>
    <t>J41728</t>
  </si>
  <si>
    <t>J41729</t>
  </si>
  <si>
    <t>J41730</t>
  </si>
  <si>
    <t>J41731</t>
  </si>
  <si>
    <t>J41732</t>
  </si>
  <si>
    <t>J41733</t>
  </si>
  <si>
    <t>J41734</t>
  </si>
  <si>
    <t>J41836</t>
  </si>
  <si>
    <t>J41888</t>
  </si>
  <si>
    <t>J41890</t>
  </si>
  <si>
    <t>J41892</t>
  </si>
  <si>
    <t>J41922</t>
  </si>
  <si>
    <t>J41923</t>
  </si>
  <si>
    <t>J41894</t>
  </si>
  <si>
    <t>J41924</t>
  </si>
  <si>
    <t>J42144</t>
  </si>
  <si>
    <t>J42145</t>
  </si>
  <si>
    <t>J42146</t>
  </si>
  <si>
    <t>J42147</t>
  </si>
  <si>
    <t>J42148</t>
  </si>
  <si>
    <t>J42149</t>
  </si>
  <si>
    <t>J42151</t>
  </si>
  <si>
    <t>J42152</t>
  </si>
  <si>
    <t>J42154</t>
  </si>
  <si>
    <t>J42156</t>
  </si>
  <si>
    <t>J42158</t>
  </si>
  <si>
    <t>J42159</t>
  </si>
  <si>
    <t>J42160</t>
  </si>
  <si>
    <t>J42161</t>
  </si>
  <si>
    <t>J42162</t>
  </si>
  <si>
    <t>J42946</t>
  </si>
  <si>
    <t>J42877</t>
  </si>
  <si>
    <t>J452WE</t>
  </si>
  <si>
    <t>J45383</t>
  </si>
  <si>
    <t>J45384</t>
  </si>
  <si>
    <t>J45385</t>
  </si>
  <si>
    <t>J45386</t>
  </si>
  <si>
    <t>J45387</t>
  </si>
  <si>
    <t>J45388</t>
  </si>
  <si>
    <t>J45389</t>
  </si>
  <si>
    <t>J45390</t>
  </si>
  <si>
    <t>J45391</t>
  </si>
  <si>
    <t>J45392</t>
  </si>
  <si>
    <t>J45555</t>
  </si>
  <si>
    <t>J45631</t>
  </si>
  <si>
    <t>J45665</t>
  </si>
  <si>
    <t>J45666</t>
  </si>
  <si>
    <t>J45667</t>
  </si>
  <si>
    <t>J45668</t>
  </si>
  <si>
    <t>J45677</t>
  </si>
  <si>
    <t>J45633</t>
  </si>
  <si>
    <t>J45813</t>
  </si>
  <si>
    <t>J45814</t>
  </si>
  <si>
    <t>J45815</t>
  </si>
  <si>
    <t>J45817</t>
  </si>
  <si>
    <t>J45819</t>
  </si>
  <si>
    <t>J45820</t>
  </si>
  <si>
    <t>J45821</t>
  </si>
  <si>
    <t>J491WL</t>
  </si>
  <si>
    <t>J492WL</t>
  </si>
  <si>
    <t>J493WL</t>
  </si>
  <si>
    <t>J494WL</t>
  </si>
  <si>
    <t>J495WL</t>
  </si>
  <si>
    <t>J490WL</t>
  </si>
  <si>
    <t>J497WL</t>
  </si>
  <si>
    <t>J496WL</t>
  </si>
  <si>
    <t>J499WL</t>
  </si>
  <si>
    <t>J498WL</t>
  </si>
  <si>
    <t>J500WL</t>
  </si>
  <si>
    <t>J501WL</t>
  </si>
  <si>
    <t>J502WL</t>
  </si>
  <si>
    <t>J503WL</t>
  </si>
  <si>
    <t>J6350P</t>
  </si>
  <si>
    <t>J6351P</t>
  </si>
  <si>
    <t>J6352P</t>
  </si>
  <si>
    <t>J6348P</t>
  </si>
  <si>
    <t>J6353P</t>
  </si>
  <si>
    <t>J6354P</t>
  </si>
  <si>
    <t>J6349P</t>
  </si>
  <si>
    <t>J6355P</t>
  </si>
  <si>
    <t>J78047</t>
  </si>
  <si>
    <t>J78048</t>
  </si>
  <si>
    <t>J78049</t>
  </si>
  <si>
    <t>J78050</t>
  </si>
  <si>
    <t>J78057</t>
  </si>
  <si>
    <t>J78058</t>
  </si>
  <si>
    <t>J78059</t>
  </si>
  <si>
    <t>J78129</t>
  </si>
  <si>
    <t>J78130</t>
  </si>
  <si>
    <t>J78452</t>
  </si>
  <si>
    <t>J78453</t>
  </si>
  <si>
    <t>J78454</t>
  </si>
  <si>
    <t>J80353</t>
  </si>
  <si>
    <t>J80354</t>
  </si>
  <si>
    <t>J80355</t>
  </si>
  <si>
    <t>J80356</t>
  </si>
  <si>
    <t>J80382</t>
  </si>
  <si>
    <t>J80383</t>
  </si>
  <si>
    <t>J80384</t>
  </si>
  <si>
    <t>J80385</t>
  </si>
  <si>
    <t>J80386</t>
  </si>
  <si>
    <t>J80387</t>
  </si>
  <si>
    <t>J80388</t>
  </si>
  <si>
    <t>J80389</t>
  </si>
  <si>
    <t>J80390</t>
  </si>
  <si>
    <t>J80391</t>
  </si>
  <si>
    <t>G)ｽﾏｰﾄﾊﾞﾘｭｰ/製本ﾃｰﾌﾟ 契印用 袋綴じ 25mm/B346J-WH</t>
  </si>
  <si>
    <t>G)ｽﾏｰﾄﾊﾞﾘｭｰ/製本ﾃｰﾌﾟ 契印用 袋綴じ 35mm/B347J-WH</t>
  </si>
  <si>
    <t>G)ｽﾏｰﾄﾊﾞﾘｭｰ/ｶﾗｰﾗﾍﾞﾙ 丸型 20mm 赤 20片×15ｼｰﾄ</t>
  </si>
  <si>
    <t>G)ｽﾏｰﾄﾊﾞﾘｭｰ/ｶﾗｰﾗﾍﾞﾙ 丸型 20mm 緑 20片×15ｼｰﾄ</t>
  </si>
  <si>
    <t>G)ｽﾏｰﾄﾊﾞﾘｭｰ/ｶﾗｰﾗﾍﾞﾙ 丸型 20mm 青 20片×15ｼｰﾄ</t>
  </si>
  <si>
    <t>G)ｽﾏｰﾄﾊﾞﾘｭｰ/ｶﾗｰﾗﾍﾞﾙ 丸型 20mm 白 20片×15ｼｰﾄ</t>
  </si>
  <si>
    <t>G)ｽﾏｰﾄﾊﾞﾘｭｰ/ふせん38×50mm 黄 100枚×20冊</t>
  </si>
  <si>
    <t>G)ｽﾏｰﾄﾊﾞﾘｭｰ/ふせん38×50mm 混色 100枚×20冊</t>
  </si>
  <si>
    <t>G)ｽﾏｰﾄﾊﾞﾘｭｰ/ｶﾗｰﾗﾍﾞﾙ 丸型 20mm 黄 20片×15ｼｰﾄ</t>
  </si>
  <si>
    <t>G)ｽﾏｰﾄﾊﾞﾘｭｰ/ふせんﾌﾞﾛｯｸﾀｲﾌﾟ 75*25 混色 6冊</t>
  </si>
  <si>
    <t>G)ｽﾏｰﾄﾊﾞﾘｭｰ/ふせんﾌﾞﾛｯｸﾀｲﾌﾟ 75*75 混色 3冊</t>
  </si>
  <si>
    <t>G)ｽﾏｰﾄﾊﾞﾘｭｰ/ふせんﾌﾞﾛｯｸﾀｲﾌﾟ 75*50 混色 3冊</t>
  </si>
  <si>
    <t>G)ｽﾏｰﾄﾊﾞﾘｭｰ/ふせん50×15mm黄 100枚*50冊/P513J-Y-50</t>
  </si>
  <si>
    <t>G)ｽﾏｰﾄﾊﾞﾘｭｰ/ふせん75×127mm黄 100枚*5冊/P515J-Y-5</t>
  </si>
  <si>
    <t>G)ｽﾏｰﾄﾊﾞﾘｭｰ/ふせん75×50mm黄 100枚*20冊/P511J-Y-20</t>
  </si>
  <si>
    <t>G)ｽﾏｰﾄﾊﾞﾘｭｰ/ふせん75×75mm黄 100枚*20冊/P512J-Y-20</t>
  </si>
  <si>
    <t>G)ｽﾏｰﾄﾊﾞﾘｭｰ/ﾊﾟﾝﾁﾗﾍﾞﾙ 乳白色 2800片入/B302J</t>
  </si>
  <si>
    <t>ｽﾏｰﾄﾊﾞﾘｭｰ/白無地ﾗﾍﾞﾙ 強粘着 12×24(360片)/B554J</t>
  </si>
  <si>
    <t>ｽﾏｰﾄﾊﾞﾘｭｰ/白無地ﾗﾍﾞﾙ 強粘着 34×79(45片)/B555J</t>
  </si>
  <si>
    <t>ｽﾏｰﾄﾊﾞﾘｭｰ/白無地ﾗﾍﾞﾙ 強粘着 8×20(525片)/B556J</t>
  </si>
  <si>
    <t>ｽﾏｰﾄﾊﾞﾘｭｰ/白無地ﾗﾍﾞﾙ 強粘着 13×38(210片)/B557J</t>
  </si>
  <si>
    <t>ｽﾏｰﾄﾊﾞﾘｭｰ/白無地ﾗﾍﾞﾙ 強粘着 18×50(120片)/B558J</t>
  </si>
  <si>
    <t>ｽﾏｰﾄﾊﾞﾘｭｰ/白無地ﾗﾍﾞﾙ 強粘着 24×53(90片)/B559J</t>
  </si>
  <si>
    <t>ｽﾏｰﾄﾊﾞﾘｭｰ/白無地ﾗﾍﾞﾙ 強粘着 35×105(30片)/B560J</t>
  </si>
  <si>
    <t>ｽﾏｰﾄﾊﾞﾘｭｰ/消しｺﾞﾑ付鉛筆 HB 12本入/H013J-HB-12P</t>
  </si>
  <si>
    <t>G)ｽﾏｰﾄﾊﾞﾘｭｰ/再生板目表紙 A3 100枚/D150J</t>
  </si>
  <si>
    <t>G)ｽﾏｰﾄﾊﾞﾘｭｰ/再生板目表紙 美濃判 100枚/D151J</t>
  </si>
  <si>
    <t>G)ｽﾏｰﾄﾊﾞﾘｭｰ/再生板目表紙 A4 100枚/D152J</t>
  </si>
  <si>
    <t>ｼﾞｮｲﾝﾃｯｸｽ/ｽﾗｲﾄﾞｸﾘｯﾌﾟ LL 10個/B003J-10</t>
  </si>
  <si>
    <t>ｼﾞｮｲﾝﾃｯｸｽ/ｽﾗｲﾄﾞｸﾘｯﾌﾟ LL 20個/B003J-20</t>
  </si>
  <si>
    <t>G)ｽﾏｰﾄﾊﾞﾘｭｰ/再生板目表紙 B5 100枚/D153J</t>
  </si>
  <si>
    <t>ｼﾞｮｲﾝﾃｯｸｽ/ｽﾗｲﾄﾞｸﾘｯﾌﾟ LL 50個/B003J-50</t>
  </si>
  <si>
    <t>ｼﾞｮｲﾝﾃｯｸｽ/ﾗﾐﾈｰﾄﾌｨﾙﾑ 診察券100枚/K002J</t>
  </si>
  <si>
    <t>ｼﾞｮｲﾝﾃｯｸｽ/ﾗﾐﾈｰﾄﾌｨﾙﾑ 名刺100枚/K001J</t>
  </si>
  <si>
    <t>ｼﾞｮｲﾝﾃｯｸｽ/ﾗﾐﾈｰﾄﾌｨﾙﾑ150 名刺 100枚/K051J</t>
  </si>
  <si>
    <t>ｼﾞｮｲﾝﾃｯｸｽ/ﾗﾐﾈｰﾄﾌｨﾙﾑ75 名刺 100枚/K061J</t>
  </si>
  <si>
    <t>ｼﾞｮｲﾝﾃｯｸｽ/ﾗﾐﾈｰﾄﾌｨﾙﾑ 写真100枚/K030J</t>
  </si>
  <si>
    <t>ｼﾞｮｲﾝﾃｯｸｽ/ﾗﾐﾈｰﾄﾌｨﾙﾑ ﾊｶﾞｷ100枚/K031J</t>
  </si>
  <si>
    <t>ｼﾞｮｲﾝﾃｯｸｽ/ﾗﾐﾈｰﾄﾌｨﾙﾑ B5 100枚/K033J</t>
  </si>
  <si>
    <t>ｼﾞｮｲﾝﾃｯｸｽ/ﾗﾐﾈｰﾄﾌｨﾙﾑ A4 100枚/K003J</t>
  </si>
  <si>
    <t>ｼﾞｮｲﾝﾃｯｸｽ/ﾗﾐﾈｰﾄﾌｨﾙﾑ150 A4 100枚/K052J</t>
  </si>
  <si>
    <t>ｼﾞｮｲﾝﾃｯｸｽ/ﾗﾐﾈｰﾄﾌｨﾙﾑ75 A4 100枚/K062J</t>
  </si>
  <si>
    <t>ｼﾞｮｲﾝﾃｯｸｽ/ﾗﾐﾈｰﾄﾌｨﾙﾑ B4 100枚/K034J</t>
  </si>
  <si>
    <t>ｼﾞｮｲﾝﾃｯｸｽ/ﾗﾐﾈｰﾄﾌｨﾙﾑ A3 100枚/K004J</t>
  </si>
  <si>
    <t>ｼﾞｮｲﾝﾃｯｸｽ/ﾗﾐﾈｰﾄﾌｨﾙﾑ150 A3 50枚/K053J</t>
  </si>
  <si>
    <t>ｼﾞｮｲﾝﾃｯｸｽ/ﾗﾐﾈｰﾄﾌｨﾙﾑ75 A3 100枚/K063J</t>
  </si>
  <si>
    <t>ｼﾞｮｲﾝﾃｯｸｽ/ﾛｰﾙｻｰﾏﾙ紙 20巻/K027J-5880</t>
  </si>
  <si>
    <t>ｽﾏｰﾄﾊﾞﾘｭｰ/消しｺﾞﾑ付鉛筆 2B 12本入/H013J-2B12P</t>
  </si>
  <si>
    <t>ｽﾏｰﾄﾊﾞﾘｭｰ/工作用紙 A3判 100枚/B259J</t>
  </si>
  <si>
    <t>ｼﾞｮｲﾝﾃｯｸｽ/ﾗﾐﾈｰﾄﾌｨﾙﾑ A5 100枚/K032J</t>
  </si>
  <si>
    <t>G)ｽﾏｰﾄﾊﾞﾘｭｰ/ｶﾗｰﾗﾍﾞﾙ 8mm 青/B535J-B</t>
  </si>
  <si>
    <t>G)ｽﾏｰﾄﾊﾞﾘｭｰ/ｶﾗｰﾗﾍﾞﾙ 8mm 緑/B535J-G</t>
  </si>
  <si>
    <t>G)ｽﾏｰﾄﾊﾞﾘｭｰ/ｶﾗｰﾗﾍﾞﾙ 8mm 赤/B535J-R</t>
  </si>
  <si>
    <t>G)ｽﾏｰﾄﾊﾞﾘｭｰ/ｶﾗｰﾗﾍﾞﾙ 8mm 白/B535J-W</t>
  </si>
  <si>
    <t>G)ｽﾏｰﾄﾊﾞﾘｭｰ/ｶﾗｰﾗﾍﾞﾙ 8mm 黄/B535J-Y</t>
  </si>
  <si>
    <t>G)ｽﾏｰﾄﾊﾞﾘｭｰ/ｶﾗｰﾗﾍﾞﾙ 16mm 青/B536J-B</t>
  </si>
  <si>
    <t>G)ｽﾏｰﾄﾊﾞﾘｭｰ/ｶﾗｰﾗﾍﾞﾙ 16mm 緑/B536J-G</t>
  </si>
  <si>
    <t>G)ｽﾏｰﾄﾊﾞﾘｭｰ/ｶﾗｰﾗﾍﾞﾙ 16mm 赤/B536J-R</t>
  </si>
  <si>
    <t>G)ｽﾏｰﾄﾊﾞﾘｭｰ/ｶﾗｰﾗﾍﾞﾙ 16mm 白/B536J-W</t>
  </si>
  <si>
    <t>G)ｽﾏｰﾄﾊﾞﾘｭｰ/ｶﾗｰﾗﾍﾞﾙ 16mm 黄/B536J-Y</t>
  </si>
  <si>
    <t>G)ｽﾏｰﾄﾊﾞﾘｭｰ/PPｲﾝﾃﾞｯｸｽ 厚手 A4ﾀﾃ 2穴 5色5山 1組</t>
  </si>
  <si>
    <t>ｽﾏｰﾄﾊﾞﾘｭｰ/名刺ﾎﾟｹｯﾄﾘﾌｨｰﾙ A4ﾀﾃ 30穴 両面 50枚/D069J</t>
  </si>
  <si>
    <t>ｽﾏｰﾄﾊﾞﾘｭｰ/ｸﾘｱﾎﾟｹｯﾄﾘﾌｨｰﾙ 中紙あり A4ﾀﾃ 30穴 50枚</t>
  </si>
  <si>
    <t>ｽﾏｰﾄﾊﾞﾘｭｰ/ｸﾘｱﾎﾟｹｯﾄﾘﾌｨｰﾙ 中紙あり A4ﾀﾃ 30穴 10枚</t>
  </si>
  <si>
    <t>ｽﾏｰﾄﾊﾞﾘｭｰ/ｸﾘｱﾎﾟｹｯﾄﾘﾌｨｰﾙ 中紙あり A4ﾀﾃ 2穴 50枚</t>
  </si>
  <si>
    <t>ｽﾏｰﾄﾊﾞﾘｭｰ/ｸﾘｱﾎﾟｹｯﾄﾘﾌｨｰﾙ 中紙あり A4ﾀﾃ 2穴 10枚</t>
  </si>
  <si>
    <t>G)ｽﾏｰﾄﾊﾞﾘｭｰ/PPｲﾝﾃﾞｯｸｽ A4ﾀﾃ 2穴 5色5山 10組</t>
  </si>
  <si>
    <t>ｽﾏｰﾄﾊﾞﾘｭｰ/名刺ﾎﾟｹｯﾄﾘﾌｨｰﾙ A4ﾀﾃ 30穴 片面 50枚/D070J</t>
  </si>
  <si>
    <t>G)ｽﾏｰﾄﾊﾞﾘｭｰ/ふせん 75×25mm 混色 100枚×40冊</t>
  </si>
  <si>
    <t>G)ｽﾏｰﾄﾊﾞﾘｭｰ/ふせん 75×25mm 黄 100枚×40冊</t>
  </si>
  <si>
    <t>G)ｽﾏｰﾄﾊﾞﾘｭｰ/ふせん 75×50mm 混色 100枚×20冊</t>
  </si>
  <si>
    <t>G)ｽﾏｰﾄﾊﾞﾘｭｰ/ふせん 75×75mm 混色 100枚×20冊</t>
  </si>
  <si>
    <t>G)ｽﾏｰﾄﾊﾞﾘｭｰ/ふせん 50×15mm 混色 100枚×50冊</t>
  </si>
  <si>
    <t>G)ｽﾏｰﾄﾊﾞﾘｭｰ/ふせん 75×12.5mm 混色 100枚×40冊</t>
  </si>
  <si>
    <t>G)ｽﾏｰﾄﾊﾞﾘｭｰ/ふせん 75×127mm 混色 100枚×10冊</t>
  </si>
  <si>
    <t>G)ｽﾏｰﾄﾊﾞﾘｭｰ/ｶﾗｰﾎﾟﾘ袋 800×650 水 20枚入/N157J-SK</t>
  </si>
  <si>
    <t>G)ｽﾏｰﾄﾊﾞﾘｭｰ/ｶﾗｰﾎﾟﾘ袋 800×650 緑 20枚入/N157J-GR</t>
  </si>
  <si>
    <t>G)ｽﾏｰﾄﾊﾞﾘｭｰ/ｶﾗｰﾎﾟﾘ袋 800×650 黄緑 20枚入/N157J-YG</t>
  </si>
  <si>
    <t>G)ｽﾏｰﾄﾊﾞﾘｭｰ/ｶﾗｰﾎﾟﾘ袋 800×650 黄 20枚入/N157J-Y</t>
  </si>
  <si>
    <t>G)ｽﾏｰﾄﾊﾞﾘｭｰ/ｶﾗｰﾎﾟﾘ袋 800×650 白 20枚入/N157J-WH</t>
  </si>
  <si>
    <t>G)ｽﾏｰﾄﾊﾞﾘｭｰ/ｶﾗｰﾎﾟﾘ袋 800×650 青 20枚入/N157J-BL</t>
  </si>
  <si>
    <t>G)ｽﾏｰﾄﾊﾞﾘｭｰ/ｶﾗｰﾎﾟﾘ袋 800×650 赤 20枚入/N157J-RD</t>
  </si>
  <si>
    <t>G)ｽﾏｰﾄﾊﾞﾘｭｰ/ｶﾗｰﾎﾟﾘ袋 800×650 桃 20枚入/N157J-PK</t>
  </si>
  <si>
    <t>G)ｽﾏｰﾄﾊﾞﾘｭｰ/ｶﾗｰﾎﾟﾘ袋 800×650 茶 20枚入/N157J-BR</t>
  </si>
  <si>
    <t>G)ｽﾏｰﾄﾊﾞﾘｭｰ/ｶﾗｰﾎﾟﾘ袋 800×650 橙 20枚入/N157J-OR</t>
  </si>
  <si>
    <t>G)ｽﾏｰﾄﾊﾞﾘｭｰ/ｶﾗｰﾎﾟﾘ袋 800×650 黒 20枚入/N157J-BK</t>
  </si>
  <si>
    <t>G)ｽﾏｰﾄﾊﾞﾘｭｰ/ｶﾗｰﾎﾟﾘ袋 800×650 金 20枚入/N157J-GO</t>
  </si>
  <si>
    <t>G)ｽﾏｰﾄﾊﾞﾘｭｰ/ｶﾗｰﾎﾟﾘ袋 800×650 銀 20枚入/N157J-SL</t>
  </si>
  <si>
    <t>G)ｽﾏｰﾄﾊﾞﾘｭｰ/ｶﾗｰﾎﾟﾘ袋 800×650 紫 20枚入/N157J-PU</t>
  </si>
  <si>
    <t>G)ｽﾏｰﾄﾊﾞﾘｭｰ/強粘着ふせんﾊﾟｽﾃﾙ75*25 20冊/P612J-P-20</t>
  </si>
  <si>
    <t>G)ｽﾏｰﾄﾊﾞﾘｭｰ/強粘着ふせんﾊﾟｽﾃﾙ50*15 10冊/P613J-P-10</t>
  </si>
  <si>
    <t>ｽﾏｰﾄﾊﾞﾘｭｰ/強粘着ふせんﾋﾞﾋﾞｯﾄﾞ75*75 10冊/P610J-V-10</t>
  </si>
  <si>
    <t>G)ｽﾏｰﾄﾊﾞﾘｭｰ/強粘着ふせんﾊﾟｽﾃﾙ75*75 10冊/P610J-P-10</t>
  </si>
  <si>
    <t>ｽﾏｰﾄﾊﾞﾘｭｰ/強粘着ふせんﾋﾞﾋﾞｯﾄﾞ75*50 10冊/P611J-V-10</t>
  </si>
  <si>
    <t>ｽﾏｰﾄﾊﾞﾘｭｰ/強粘着ふせんﾋﾞﾋﾞｯﾄﾞ75*25 20冊/P612J-V-20</t>
  </si>
  <si>
    <t>G)ｽﾏｰﾄﾊﾞﾘｭｰ/強粘着ふせんﾊﾟｽﾃﾙ75*50 10冊/P611J-P-10</t>
  </si>
  <si>
    <t>ｽﾏｰﾄﾊﾞﾘｭｰ/強粘着ふせんﾋﾞﾋﾞｯﾄﾞ50*15 10冊/P613J-V-10</t>
  </si>
  <si>
    <t>ｼﾝｴｲ/ﾎﾟｽﾀｰｸﾞﾘｯﾌﾟ A3 銀/PG-32R AG/C A3</t>
  </si>
  <si>
    <t>ｼﾝｴｲ/ﾎﾟｽﾀｰｸﾞﾘｯﾌﾟ A2 銀/PG-32R AG/C A2</t>
  </si>
  <si>
    <t>ｼﾝｴｲ/ﾎﾟｽﾀｰｸﾞﾘｯﾌﾟ B2 銀/PG-32R AG/C B2</t>
  </si>
  <si>
    <t>ｼﾝｴｲ/ﾎﾟｽﾀｰｸﾞﾘｯﾌﾟ A1 銀/PG-32R AG/C A1</t>
  </si>
  <si>
    <t>ｸﾘｴｲﾃｨｱ/ﾚｼﾞ用ｻｰﾏﾙ 感熱ﾛｰﾙ紙 5巻/SR45R (5)</t>
  </si>
  <si>
    <t>ｸﾘｴｲﾃｨｱ/ﾚｼﾞ用ｻｰﾏﾙ 感熱ﾛｰﾙ紙 5巻/SR5880 (5)</t>
  </si>
  <si>
    <t>ｸﾘｴｲﾃｨｱ/ﾚｼﾞ用ｻｰﾏﾙ 感熱ﾛｰﾙ紙/SR8080</t>
  </si>
  <si>
    <t>ｸﾘｴｲﾃｨｱ/ﾚｼﾞ用ｻｰﾏﾙ 感熱ﾛｰﾙ紙 中保存 5巻/SR5880-H(5)</t>
  </si>
  <si>
    <t>ｸﾘｴｲﾃｨｱ/ﾚｼﾞ用ｻｰﾏﾙ 感熱ﾛｰﾙ紙 高保存 5巻</t>
  </si>
  <si>
    <t>ｸﾘｴｲﾃｨｱ/ﾚｼﾞ用ﾛｰﾙ紙 普通紙 10巻/NR4575</t>
  </si>
  <si>
    <t>ｸﾘｴｲﾃｨｱ/ﾚｼﾞ用ﾛｰﾙ紙 普通紙 10巻/NR45R</t>
  </si>
  <si>
    <t>ｸﾘｴｲﾃｨｱ/ﾚｼﾞ用ﾛｰﾙ紙 普通紙 10巻/NR5760</t>
  </si>
  <si>
    <t>ﾌﾛﾝﾃｨｱ/梨地ﾘﾎﾞﾝ付き巾着袋 赤 L 20枚/FK2402</t>
  </si>
  <si>
    <t>ﾌﾛﾝﾃｨｱ/梨地ﾘﾎﾞﾝ付き巾着袋 赤 M 20枚/FK2403</t>
  </si>
  <si>
    <t>ﾌﾛﾝﾃｨｱ/梨地ﾘﾎﾞﾝ付き巾着袋 紺 L 20枚/FK2406</t>
  </si>
  <si>
    <t>ﾌﾛﾝﾃｨｱ/梨地ﾘﾎﾞﾝ付き巾着袋 紺 M 20枚/FK2407</t>
  </si>
  <si>
    <t>ﾌﾛﾝﾃｨｱ/ﾁｬｯｸ付PE袋 A9(0.08×70×50mm) 21枚/KJ3121</t>
  </si>
  <si>
    <t>ﾌﾛﾝﾃｨｱ/ﾁｬｯｸ付PE袋 A8(0.08×85×60mm) 18枚/KJ3122</t>
  </si>
  <si>
    <t>ﾌﾛﾝﾃｨｱ/ﾁｬｯｸ付PE袋 B8(0.08×100×70mm) 17枚/KJ3123</t>
  </si>
  <si>
    <t>ﾌﾛﾝﾃｨｱ/ﾁｬｯｸ付PE袋 A7(0.08×120×85mm) 14枚/KJ3124</t>
  </si>
  <si>
    <t>ﾌﾛﾝﾃｨｱ/ﾁｬｯｸ付PE袋 B7(0.08×140×100mm) 11枚/KJ3125</t>
  </si>
  <si>
    <t>ﾌﾛﾝﾃｨｱ/ﾁｬｯｸ付PE袋 A6(0.08×170×120mm) 9枚/KJ3126</t>
  </si>
  <si>
    <t>ﾌﾛﾝﾃｨｱ/ﾁｬｯｸ付PE袋 B6(0.08×200×140mm) 7枚/KJ3127</t>
  </si>
  <si>
    <t>ﾌﾛﾝﾃｨｱ/ﾁｬｯｸ付PE袋 A5(0.08×240×170mm) 5枚/KJ3128</t>
  </si>
  <si>
    <t>ﾌﾛﾝﾃｨｱ/ﾁｬｯｸ付PE袋 B5(0.08×280×200mm) 4枚/KJ3129</t>
  </si>
  <si>
    <t>ﾌﾛﾝﾃｨｱ/ﾁｬｯｸ付PE袋 A4(0.08×340×240mm) 3枚/KJ3130</t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</si>
  <si>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</si>
  <si>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</si>
  <si>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</si>
  <si>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-</t>
  </si>
  <si>
    <t>VDあり</t>
    <phoneticPr fontId="2"/>
  </si>
  <si>
    <t>VD粗利率</t>
    <rPh sb="2" eb="5">
      <t>アラリリツ</t>
    </rPh>
    <phoneticPr fontId="2"/>
  </si>
  <si>
    <t>直送</t>
    <rPh sb="0" eb="2">
      <t>チョクソウ</t>
    </rPh>
    <phoneticPr fontId="2"/>
  </si>
  <si>
    <t>2倉庫</t>
    <rPh sb="1" eb="3">
      <t>ソウコ</t>
    </rPh>
    <phoneticPr fontId="2"/>
  </si>
  <si>
    <t>ジョインテックス 製本テープ 契印用 袋とじ 25mm B346J-WH 1箱</t>
  </si>
  <si>
    <t>ジョインテックス 製本テープ 契印用 袋とじ 35mm B347J-WH 1箱</t>
  </si>
  <si>
    <t>ジョインテックス カラーラベル 20mm 赤 B537J-R 1パック</t>
  </si>
  <si>
    <t>ジョインテックス カラーラベル 20mm 緑 B537J-G 1パック</t>
  </si>
  <si>
    <t>ジョインテックス カラーラベル 20mm 青 B537J-B 1パック</t>
  </si>
  <si>
    <t>ジョインテックス カラーラベル 20mm 白 B537J-W 1パック</t>
  </si>
  <si>
    <t>ジョインテックス カラーラベル 20mm 黄 B537J-Y 1パック</t>
  </si>
  <si>
    <t>ジョインテックス ふせん75×50mm黄 100枚×20冊 P511J-Y-20　10箱（直送品）</t>
  </si>
  <si>
    <t>ジョインテックス ふせん75×75mm黄 100枚×20冊 P512J-Y-20　10箱（直送品）</t>
  </si>
  <si>
    <t>スマートバリュー パンチラベル 乳白色 2800片入 B302J 1セット(5箱)（直送品）</t>
  </si>
  <si>
    <t>ジョインテックス 白無地ラベル 強粘着12×24(360片) B554J 1パック（直送品）</t>
  </si>
  <si>
    <t>ジョインテックス 白無地ラベル 強粘着34×79(45片) B555J 1パック</t>
  </si>
  <si>
    <t>ジョインテックス 白無地ラベル 強粘着8×20(525片) B556J 1パック</t>
  </si>
  <si>
    <t>ジョインテックス 白無地ラベル 強粘着13×38(210片) B557J 1パック（直送品）</t>
  </si>
  <si>
    <t>ジョインテックス 白無地ラベル 強粘着18×50(120片) B558J 1パック（直送品）</t>
  </si>
  <si>
    <t>ジョインテックス 白無地ラベル 強粘着24×53(90片) B559J 1パック（直送品）</t>
  </si>
  <si>
    <t>ジョインテックス 白無地ラベル 強粘着35×105(30片) B560J 1パック</t>
  </si>
  <si>
    <t>ジョインテックス 消ゴム付鉛筆 H013J-HB12P 1箱</t>
  </si>
  <si>
    <t>ジョインテックス 再生板目表紙 A3 100枚 D150J 1包</t>
  </si>
  <si>
    <t>ジョインテックス 再生板目表紙 美濃判 100枚 D151J 1包</t>
  </si>
  <si>
    <t>ジョインテックス 再生板目表紙 A4 100枚 D152J 1包</t>
  </si>
  <si>
    <t>ジョインテックス　スライドクリップ　LLサイズ　シルバー</t>
  </si>
  <si>
    <t>ジョインテックス スライドクリップ LL 20個 B003J-20 1セット(3箱)（直送品）</t>
  </si>
  <si>
    <t>ジョインテックス 再生板目表紙 B5 100枚 D153J 1包</t>
  </si>
  <si>
    <t>ジョインテックス スライドクリップ LL 50個 B003J-50 1箱</t>
  </si>
  <si>
    <t>ジョインテックス ラミネートフィルム 診察券100枚 K002J 1箱</t>
  </si>
  <si>
    <t>ジョインテックス ラミネートフィルム150 名刺 100枚 K051J 1セット(20箱)（直送品）</t>
  </si>
  <si>
    <t>ジョインテックス ラミネートフィルム75 名刺 100枚 K061J 1セット(20箱)（直送品）</t>
  </si>
  <si>
    <t>ジョインテックス ラミネートフィルム 写真100枚 K030J 1セット(5箱)（直送品）</t>
  </si>
  <si>
    <t>ジョインテックス ラミネートフィルム ハガキ100枚 K031J 1セット(5箱)（直送品）</t>
  </si>
  <si>
    <t>ジョインテックス ラミネートフィルム B5 100枚 K033J 1セット(5箱)（直送品）</t>
  </si>
  <si>
    <t>ジョインテックス ラミネートフィルムA4 100枚 K003J 1箱</t>
  </si>
  <si>
    <t>ジョインテックス ラミネートフィルム150 A4 100枚 K052J 1箱</t>
  </si>
  <si>
    <t>ジョインテックス ラミネートフィルム75 A4 100枚 K062J 1セット(3箱)（直送品）</t>
  </si>
  <si>
    <t>ジョインテックス ラミネートフィルム B4 100枚 K034J 1セット(5箱)（直送品）</t>
  </si>
  <si>
    <t>ジョインテックス ラミネートフィルム A3 100枚 K004J 1箱</t>
  </si>
  <si>
    <t>ジョインテックス ラミネートフィルム150 A3 50枚 K053J 1箱（直送品）</t>
  </si>
  <si>
    <t>ジョインテックス ラミネートフィルム75 A3 100枚 K063J 1セット(3箱)（直送品）</t>
  </si>
  <si>
    <t>ジョインテックス ロールサーマル紙 20巻 K027J-5880 1箱</t>
  </si>
  <si>
    <t>ジョインテックス 消ゴム付鉛筆 H013J-2B12P 1箱</t>
  </si>
  <si>
    <t>ジョインテックス 工作用紙A3判100枚 B259J 1セット(3包)（直送品）</t>
  </si>
  <si>
    <t>ジョインテックス ラミネートフィルム A5 100枚 K032J 1箱</t>
  </si>
  <si>
    <t>ジョインテックス カラーラベル 8mm 青 B535J-B 1セット(50パック)（直送品）</t>
  </si>
  <si>
    <t>ジョインテックス カラーラベル 8mm 緑 B535J-G 1セット(50パック)（直送品）</t>
  </si>
  <si>
    <t>ジョインテックス カラーラベル 8mm 赤 B535J-R 1セット(50パック)（直送品）</t>
  </si>
  <si>
    <t>ジョインテックス カラーラベル 8mm 白 B535J-W 1セット(50パック)（直送品）</t>
  </si>
  <si>
    <t>ジョインテックス カラーラベル 8mm 黄 B535J-Y 1セット(50パック)（直送品）</t>
  </si>
  <si>
    <t>ジョインテックス カラーラベル16mm 青 B536J-B 1セット(50パック)（直送品）</t>
  </si>
  <si>
    <t>ジョインテックス カラーラベル16mm 緑 B536J-G 1セット(50パック)（直送品）</t>
  </si>
  <si>
    <t>ジョインテックス カラーラベル16mm 赤 B536J-R 1セット(50パック)（直送品）</t>
  </si>
  <si>
    <t>ジョインテックス カラーラベル16mm 白 B536J-W 1セット(50パック)（直送品）</t>
  </si>
  <si>
    <t>ジョインテックス カラーラベル16mm 黄 B536J-Y 1セット(50パック)（直送品）</t>
  </si>
  <si>
    <t>ジョインテックス 再生PPインデックス0.4mm厚1組 D029J 1パック</t>
  </si>
  <si>
    <t>ジョインテックス 名刺ポケットリフィール両面 50枚 D069J 1パック</t>
  </si>
  <si>
    <t>ジョインテックス OPPクリアポケット 中紙有30穴50枚 D117J 1セット(10パック)（直送品）</t>
  </si>
  <si>
    <t>ジョインテックス OPPクリアポケット 中紙有30穴10枚 D118J　20パック（直送品）</t>
  </si>
  <si>
    <t>ジョインテックス OPPクリアポケット 中紙有2穴50枚 D119J 1パック</t>
  </si>
  <si>
    <t>ジョインテックス OPPクリアポケット 中紙有2穴10枚 D120J 1セット(30パック)（直送品）</t>
  </si>
  <si>
    <t>ジョインテックス PPインデックスA4S2穴5山6枚10組 D142J-10 1パック</t>
  </si>
  <si>
    <t>ジョインテックス 名刺ポケットリフィール片面 50枚 D070J 1セット(10パック)（直送品）</t>
  </si>
  <si>
    <t>ジョインテックス ふせん75×25mm混色 100枚×40冊 P510J-M-40 1箱</t>
  </si>
  <si>
    <t>ジョインテックス ふせん75×25mm黄 100枚×40冊 P510J-Y-40　10箱（直送品）</t>
  </si>
  <si>
    <t>ジョインテックス ふせん75×50mm混色 100枚×20冊 P511J-M-20　10箱（直送品）</t>
  </si>
  <si>
    <t>ジョインテックス ふせん75×75mm混色 100枚×20冊 P512J-M-20 1箱</t>
  </si>
  <si>
    <t>ジョインテックス ふせん50×15mm混色 100枚×50冊 P513J-M-50　10箱（直送品）</t>
  </si>
  <si>
    <t>ジョインテックス ふせん75×12.5mm混色100枚×40冊P514J-M-40　10箱（直送品）</t>
  </si>
  <si>
    <t>ジョインテックス ふせん75×127mm混色 100枚×10冊P515J-M-10　20箱（直送品）</t>
  </si>
  <si>
    <t>ジョインテックス 強粘着ふせんパステル75×25 P612J-P-20　10箱（直送品）</t>
  </si>
  <si>
    <t>ジョインテックス 強粘着ふせんパステル50×15 P613J-P-10　20箱（直送品）</t>
  </si>
  <si>
    <t>ジョインテックス 強粘着ふせんビビッド75×75 P610J-V-10　10箱（直送品）</t>
  </si>
  <si>
    <t>ジョインテックス 強粘着ふせんパステル75×75 P610J-P-10　10箱（直送品）</t>
  </si>
  <si>
    <t>ジョインテックス 強粘着ふせんビビッド75×50 P611J-V-10　10箱（直送品）</t>
  </si>
  <si>
    <t>ジョインテックス 強粘着ふせんビビッド75×25 P612J-V-20　10箱（直送品）</t>
  </si>
  <si>
    <t>ジョインテックス 強粘着ふせんパステル75×50 P611J-P-10　10箱（直送品）</t>
  </si>
  <si>
    <t>ジョインテックス 強粘着ふせんビビッド50×15 P613J-V-10　20箱（直送品）</t>
  </si>
  <si>
    <t>シンエイ ポスターグリップ PG-32R（AG/C）A3（直送品）</t>
  </si>
  <si>
    <t>シンエイ PG-32R屋内用(AG/C)A2 PG-32R(AG/C)A2 1枚（直送品）</t>
  </si>
  <si>
    <t>シンエイ PG-32R屋内用(AG/C)B2 PG-32R(AG/C)B2 1枚（直送品）</t>
  </si>
  <si>
    <t>シンエイ ポスターグリップ A1 銀 PG-32R AG/C A1（直送品）</t>
  </si>
  <si>
    <t>クリエイティア レジ用サーマルロール紙 5巻 SR45R （5）（直送品）</t>
  </si>
  <si>
    <t>クリエイティア レジ用サーマルロール紙 5巻 SR5880 （5）（直送品）</t>
  </si>
  <si>
    <t>クリエイティア レジ用サーマルロール紙 SR8080 3巻（直送品）</t>
  </si>
  <si>
    <t>クリエイティア レジ用サーマル 感熱ロール紙 中保存 5巻 SR5880-H（5）（直送品）</t>
  </si>
  <si>
    <t>クリエイティア レジ用サーマル 感熱ロール紙 高保存 5巻 SR5880-HG（5）（直送品）</t>
  </si>
  <si>
    <t>クリエイティア レジ用ロール紙 普通紙 10巻 NR4575（直送品）</t>
  </si>
  <si>
    <t>クリエイティア レジ用ロール紙 普通紙 10巻 NR45R（直送品）</t>
  </si>
  <si>
    <t>クリエイティア レジ用ロール紙 普通紙 10巻 NR5760（直送品）</t>
  </si>
  <si>
    <t>梨地リボン付き巾着（マチ付き）　L　レッド　1袋（20枚入）　カクケイ</t>
  </si>
  <si>
    <t>梨地リボン付き巾着（マチ付き）　M　レッド　1袋（20枚入）　カクケイ</t>
  </si>
  <si>
    <t>梨地リボン付き巾着（マチ付き）　L　ネイビー　1袋（20枚入）　カクケイ</t>
  </si>
  <si>
    <t>梨地リボン付き巾着（マチ付き）　M　ネイビー　1袋（20枚入）　カクケイ</t>
  </si>
  <si>
    <t>フロンティア チャック付PE袋 A9 21枚 KJ3121 5パック（直送品）</t>
  </si>
  <si>
    <t>フロンティア チャック付PE袋 A8 18枚 KJ3122（直送品）</t>
  </si>
  <si>
    <t>フロンティア チャック付PE袋 B8 17枚 KJ3123 5パック（直送品）</t>
  </si>
  <si>
    <t>フロンティア チャック付PE袋 A7 14枚 KJ3124 5パック（直送品）</t>
  </si>
  <si>
    <t>フロンティア チャック付PE袋 B7 11枚 KJ3125 5パック（直送品）</t>
  </si>
  <si>
    <t>フロンティア チャック付PE袋 A6 9枚 KJ3126 5パック（直送品）</t>
  </si>
  <si>
    <t>フロンティア チャック付PE袋 B6 7枚 KJ3127 5パック（直送品）</t>
  </si>
  <si>
    <t>フロンティア チャック付PE袋 A5 5枚 KJ3128 5パック（直送品）</t>
  </si>
  <si>
    <t>フロンティア チャック付PE袋 B5 4枚 KJ3129（直送品）</t>
  </si>
  <si>
    <t>フロンティア チャック付PE袋 A4 3枚 KJ3130 5パック（直送品）</t>
  </si>
  <si>
    <t>U338274</t>
  </si>
  <si>
    <t>1箱</t>
  </si>
  <si>
    <t>U338271</t>
  </si>
  <si>
    <t>U338296</t>
  </si>
  <si>
    <t>1パック</t>
  </si>
  <si>
    <t>U338294</t>
  </si>
  <si>
    <t>U338295</t>
  </si>
  <si>
    <t>U338297</t>
  </si>
  <si>
    <t>U338298</t>
  </si>
  <si>
    <t>KK94236</t>
  </si>
  <si>
    <t>1セット(10箱)</t>
  </si>
  <si>
    <t>KK94240</t>
  </si>
  <si>
    <t>UH76524</t>
  </si>
  <si>
    <t>1セット(5箱)</t>
  </si>
  <si>
    <t>U338305</t>
  </si>
  <si>
    <t>U338303</t>
  </si>
  <si>
    <t>U338304</t>
  </si>
  <si>
    <t>U338306</t>
  </si>
  <si>
    <t>U338307</t>
  </si>
  <si>
    <t>U338308</t>
  </si>
  <si>
    <t>U338309</t>
  </si>
  <si>
    <t>UK76427</t>
  </si>
  <si>
    <t>U338438</t>
  </si>
  <si>
    <t>1包</t>
  </si>
  <si>
    <t>U338439</t>
  </si>
  <si>
    <t>U338440</t>
  </si>
  <si>
    <t>623231</t>
  </si>
  <si>
    <t>1箱（10個入）</t>
  </si>
  <si>
    <t>KK92800</t>
  </si>
  <si>
    <t>1セット(3箱)</t>
  </si>
  <si>
    <t>U338441</t>
  </si>
  <si>
    <t>KK92802</t>
  </si>
  <si>
    <t>RR49320</t>
  </si>
  <si>
    <t>KK93857</t>
  </si>
  <si>
    <t>1セット(20箱)</t>
  </si>
  <si>
    <t>KK93865</t>
  </si>
  <si>
    <t>KK93837</t>
  </si>
  <si>
    <t>KK93839</t>
  </si>
  <si>
    <t>KK93841</t>
  </si>
  <si>
    <t>RJ10687</t>
  </si>
  <si>
    <t>KK93860</t>
  </si>
  <si>
    <t>KK93864</t>
  </si>
  <si>
    <t>KK93840</t>
  </si>
  <si>
    <t>RP96264</t>
  </si>
  <si>
    <t>KK93862</t>
  </si>
  <si>
    <t>KK93863</t>
  </si>
  <si>
    <t>RR49323</t>
  </si>
  <si>
    <t>RR49313</t>
  </si>
  <si>
    <t>KK93002</t>
  </si>
  <si>
    <t>1セット(3包)</t>
  </si>
  <si>
    <t>RR52442</t>
  </si>
  <si>
    <t>KK93193</t>
  </si>
  <si>
    <t>1セット(50パック)</t>
  </si>
  <si>
    <t>KK93184</t>
  </si>
  <si>
    <t>KK93186</t>
  </si>
  <si>
    <t>KK93191</t>
  </si>
  <si>
    <t>KK93195</t>
  </si>
  <si>
    <t>KK93189</t>
  </si>
  <si>
    <t>KK93192</t>
  </si>
  <si>
    <t>KK93190</t>
  </si>
  <si>
    <t>KK93187</t>
  </si>
  <si>
    <t>KK93188</t>
  </si>
  <si>
    <t>RP96260</t>
  </si>
  <si>
    <t>RN55768</t>
  </si>
  <si>
    <t>KK93563</t>
  </si>
  <si>
    <t>1セット(10パック)</t>
  </si>
  <si>
    <t>KK93565</t>
  </si>
  <si>
    <t>1セット(20パック)</t>
  </si>
  <si>
    <t>RP96258</t>
  </si>
  <si>
    <t>KK93568</t>
  </si>
  <si>
    <t>1セット(30パック)</t>
  </si>
  <si>
    <t>UK76426</t>
  </si>
  <si>
    <t>KK93522</t>
  </si>
  <si>
    <t>RP96268</t>
  </si>
  <si>
    <t>KK94233</t>
  </si>
  <si>
    <t>KK94235</t>
  </si>
  <si>
    <t>RN55778</t>
  </si>
  <si>
    <t>KK94238</t>
  </si>
  <si>
    <t>KK94241</t>
  </si>
  <si>
    <t>KK94239</t>
  </si>
  <si>
    <t>KK94252</t>
  </si>
  <si>
    <t>KK94258</t>
  </si>
  <si>
    <t>KK94248</t>
  </si>
  <si>
    <t>KK94247</t>
  </si>
  <si>
    <t>KK94254</t>
  </si>
  <si>
    <t>KK94255</t>
  </si>
  <si>
    <t>KK94251</t>
  </si>
  <si>
    <t>KK94259</t>
  </si>
  <si>
    <t>P252494</t>
  </si>
  <si>
    <t>1枚</t>
  </si>
  <si>
    <t>WAA5906</t>
  </si>
  <si>
    <t>AUU9791</t>
  </si>
  <si>
    <t>X434666</t>
  </si>
  <si>
    <t>J081155</t>
  </si>
  <si>
    <t>J081156</t>
  </si>
  <si>
    <t>J081158</t>
  </si>
  <si>
    <t>3巻</t>
  </si>
  <si>
    <t>J081157</t>
  </si>
  <si>
    <t>P827574</t>
  </si>
  <si>
    <t>P827044</t>
  </si>
  <si>
    <t>P827043</t>
  </si>
  <si>
    <t>P827045</t>
  </si>
  <si>
    <t>9442059</t>
  </si>
  <si>
    <t>1袋（20枚入）</t>
  </si>
  <si>
    <t>9442077</t>
  </si>
  <si>
    <t>9442120</t>
  </si>
  <si>
    <t>9399252</t>
  </si>
  <si>
    <t>J080961</t>
  </si>
  <si>
    <t>1セット(5パック)</t>
  </si>
  <si>
    <t>P827254</t>
  </si>
  <si>
    <t>J080962</t>
  </si>
  <si>
    <t>J080963</t>
  </si>
  <si>
    <t>J080964</t>
  </si>
  <si>
    <t>J080965</t>
  </si>
  <si>
    <t>J080966</t>
  </si>
  <si>
    <t>J080967</t>
  </si>
  <si>
    <t>P827257</t>
  </si>
  <si>
    <t>J080968</t>
  </si>
  <si>
    <t>-</t>
    <phoneticPr fontId="2"/>
  </si>
  <si>
    <t>中分類</t>
    <rPh sb="0" eb="3">
      <t>チュウブンルイ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</si>
</sst>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76" fontId="0" fillId="4" borderId="4" xfId="0" applyNumberFormat="1" applyFill="1" applyBorder="1">
      <alignment vertical="center"/>
    </xf>
    <xf numFmtId="0" fontId="0" fillId="7" borderId="3" xfId="0" applyFill="1" applyBorder="1">
      <alignment vertical="center"/>
    </xf>
    <xf numFmtId="0" fontId="0" fillId="7" borderId="4" xfId="0" applyFill="1" applyBorder="1">
      <alignment vertical="center"/>
    </xf>
    <xf numFmtId="0" fontId="3" fillId="0" borderId="0" xfId="0" applyFont="1">
      <alignment vertical="center"/>
    </xf>
    <xf numFmtId="177" fontId="0" fillId="8" borderId="4" xfId="0" applyNumberFormat="1" applyFill="1" applyBorder="1">
      <alignment vertical="center"/>
    </xf>
    <xf numFmtId="0" fontId="0" fillId="8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F126"/>
  <sheetViews>
    <sheetView tabSelected="1" zoomScale="90" zoomScaleNormal="90" workbookViewId="0">
      <pane xSplit="8" ySplit="5" topLeftCell="W6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19" width="7.625" hidden="1" customWidth="1" outlineLevel="1"/>
    <col min="20" max="20" width="7.5" customWidth="1" collapsed="1"/>
    <col min="21" max="23" width="7.625" customWidth="1"/>
    <col min="24" max="24" width="4.375" customWidth="1" collapsed="1"/>
    <col min="25" max="26" width="7.625" customWidth="1"/>
    <col min="27" max="27" width="6.125" style="30" customWidth="1"/>
    <col min="28" max="28" width="7.625" customWidth="1"/>
    <col min="29" max="29" width="7.625" style="30" customWidth="1"/>
    <col min="30" max="33" width="7.625" customWidth="1"/>
    <col min="34" max="36" width="7.625" hidden="1" customWidth="1" outlineLevel="1"/>
    <col min="37" max="37" width="7.625" customWidth="1" collapsed="1"/>
    <col min="38" max="39" width="7.625" customWidth="1"/>
    <col min="40" max="43" width="7.625" customWidth="1" outlineLevel="1"/>
    <col min="44" max="44" width="5.875" customWidth="1"/>
    <col min="45" max="47" width="7.625" customWidth="1"/>
    <col min="48" max="48" width="6.75" customWidth="1"/>
    <col min="49" max="57" width="7.625" customWidth="1"/>
  </cols>
  <sheetData>
    <row r="1" spans="1:58" x14ac:dyDescent="0.4">
      <c r="C1" s="29" t="s">
        <v>37</v>
      </c>
      <c r="T1" s="44" t="s">
        <v>34</v>
      </c>
      <c r="U1" s="45"/>
      <c r="V1" s="45"/>
      <c r="W1" s="46"/>
      <c r="AF1" s="53" t="s">
        <v>307</v>
      </c>
      <c r="AG1" s="54" t="s">
        <v>308</v>
      </c>
      <c r="AK1" s="52" t="s">
        <v>305</v>
      </c>
      <c r="AM1" s="50" t="s">
        <v>305</v>
      </c>
      <c r="AN1" s="50"/>
    </row>
    <row r="2" spans="1:58" x14ac:dyDescent="0.4">
      <c r="C2" s="8" t="s">
        <v>22</v>
      </c>
      <c r="D2" s="9" t="s">
        <v>23</v>
      </c>
      <c r="E2" s="9" t="s">
        <v>24</v>
      </c>
      <c r="F2" s="9"/>
      <c r="G2" s="10"/>
      <c r="H2" s="10"/>
      <c r="I2" s="36"/>
      <c r="J2" s="36"/>
      <c r="K2" s="41" t="s">
        <v>25</v>
      </c>
      <c r="L2" s="43"/>
      <c r="M2" s="41" t="s">
        <v>1</v>
      </c>
      <c r="N2" s="42"/>
      <c r="O2" s="42"/>
      <c r="P2" s="43"/>
      <c r="Q2" s="11"/>
      <c r="R2" s="35"/>
      <c r="S2" s="35"/>
      <c r="T2" s="23"/>
      <c r="U2" s="24" t="s">
        <v>28</v>
      </c>
      <c r="V2" s="24"/>
      <c r="W2" s="25" t="s">
        <v>28</v>
      </c>
      <c r="X2" s="10"/>
      <c r="Y2" s="9" t="s">
        <v>33</v>
      </c>
      <c r="Z2" s="11"/>
      <c r="AA2" s="31"/>
      <c r="AB2" s="11"/>
      <c r="AC2" s="31"/>
      <c r="AD2" s="11"/>
      <c r="AE2" s="22" t="s">
        <v>35</v>
      </c>
      <c r="AF2" s="11"/>
      <c r="AG2" s="11"/>
      <c r="AH2" s="27"/>
      <c r="AI2" s="11"/>
      <c r="AJ2" s="11"/>
      <c r="AK2" s="11"/>
      <c r="AL2" s="11"/>
      <c r="AM2" s="11"/>
      <c r="AN2" s="11"/>
      <c r="AO2" s="11"/>
      <c r="AP2" s="11"/>
      <c r="AQ2" s="11"/>
      <c r="AR2">
        <v>51</v>
      </c>
      <c r="AY2">
        <v>14</v>
      </c>
      <c r="AZ2">
        <v>28</v>
      </c>
    </row>
    <row r="3" spans="1:58" ht="75" x14ac:dyDescent="0.4">
      <c r="A3" s="1" t="s">
        <v>43</v>
      </c>
      <c r="B3" s="1" t="s">
        <v>47</v>
      </c>
      <c r="C3" s="2" t="s">
        <v>2</v>
      </c>
      <c r="D3" s="2" t="s">
        <v>6</v>
      </c>
      <c r="E3" s="2" t="s">
        <v>7</v>
      </c>
      <c r="F3" s="40" t="s">
        <v>56</v>
      </c>
      <c r="G3" s="2" t="s">
        <v>0</v>
      </c>
      <c r="H3" s="12" t="s">
        <v>4</v>
      </c>
      <c r="I3" s="12" t="s">
        <v>44</v>
      </c>
      <c r="J3" s="12" t="s">
        <v>45</v>
      </c>
      <c r="K3" s="12" t="s">
        <v>19</v>
      </c>
      <c r="L3" s="12" t="s">
        <v>20</v>
      </c>
      <c r="M3" s="12" t="s">
        <v>54</v>
      </c>
      <c r="N3" s="2" t="s">
        <v>5</v>
      </c>
      <c r="O3" s="2" t="s">
        <v>52</v>
      </c>
      <c r="P3" s="2" t="s">
        <v>13</v>
      </c>
      <c r="Q3" s="12" t="s">
        <v>41</v>
      </c>
      <c r="R3" s="12" t="s">
        <v>17</v>
      </c>
      <c r="S3" s="12" t="s">
        <v>18</v>
      </c>
      <c r="T3" s="12" t="s">
        <v>50</v>
      </c>
      <c r="U3" s="12" t="s">
        <v>51</v>
      </c>
      <c r="V3" s="2" t="s">
        <v>52</v>
      </c>
      <c r="W3" s="12" t="s">
        <v>53</v>
      </c>
      <c r="X3" s="14" t="s">
        <v>3</v>
      </c>
      <c r="Y3" s="20" t="s">
        <v>14</v>
      </c>
      <c r="Z3" s="2" t="s">
        <v>13</v>
      </c>
      <c r="AA3" s="32" t="s">
        <v>38</v>
      </c>
      <c r="AB3" s="12" t="s">
        <v>55</v>
      </c>
      <c r="AC3" s="37" t="s">
        <v>46</v>
      </c>
      <c r="AD3" s="2" t="s">
        <v>13</v>
      </c>
      <c r="AE3" s="13" t="s">
        <v>26</v>
      </c>
      <c r="AF3" s="2" t="s">
        <v>13</v>
      </c>
      <c r="AG3" s="2" t="s">
        <v>27</v>
      </c>
      <c r="AH3" s="26" t="s">
        <v>29</v>
      </c>
      <c r="AI3" s="12" t="s">
        <v>30</v>
      </c>
      <c r="AJ3" s="12" t="s">
        <v>31</v>
      </c>
      <c r="AK3" s="12" t="s">
        <v>21</v>
      </c>
      <c r="AL3" s="12" t="s">
        <v>32</v>
      </c>
      <c r="AM3" s="12" t="s">
        <v>15</v>
      </c>
      <c r="AN3" s="12" t="s">
        <v>306</v>
      </c>
      <c r="AO3" s="12" t="s">
        <v>16</v>
      </c>
      <c r="AP3" s="12" t="s">
        <v>17</v>
      </c>
      <c r="AQ3" s="12" t="s">
        <v>18</v>
      </c>
      <c r="AR3" s="2" t="s">
        <v>8</v>
      </c>
      <c r="AS3" s="2" t="s">
        <v>9</v>
      </c>
      <c r="AT3" s="2" t="s">
        <v>10</v>
      </c>
      <c r="AU3" s="2" t="s">
        <v>11</v>
      </c>
      <c r="AV3" s="12" t="s">
        <v>36</v>
      </c>
      <c r="AW3" s="2" t="s">
        <v>301</v>
      </c>
      <c r="AX3" s="2" t="s">
        <v>12</v>
      </c>
      <c r="AY3" s="18" t="s">
        <v>39</v>
      </c>
      <c r="AZ3" s="18" t="s">
        <v>40</v>
      </c>
      <c r="BA3" s="15" t="s">
        <v>529</v>
      </c>
      <c r="BB3" s="38" t="s">
        <v>302</v>
      </c>
      <c r="BC3" s="39" t="s">
        <v>48</v>
      </c>
      <c r="BD3" s="39" t="s">
        <v>303</v>
      </c>
      <c r="BE3" s="39" t="s">
        <v>49</v>
      </c>
      <c r="BF3" s="34" t="s">
        <v>42</v>
      </c>
    </row>
    <row r="4" spans="1:58" x14ac:dyDescent="0.4">
      <c r="A4" s="3">
        <v>61</v>
      </c>
      <c r="B4" s="3">
        <v>61</v>
      </c>
      <c r="C4" s="4" t="s">
        <v>115</v>
      </c>
      <c r="D4" s="4" t="str">
        <f>TEXT(C4,"000000")</f>
        <v>J45555</v>
      </c>
      <c r="E4" s="4" t="s">
        <v>115</v>
      </c>
      <c r="F4" s="4" t="str">
        <f>D4&amp;I4</f>
        <v>J455555</v>
      </c>
      <c r="G4" s="4" t="s">
        <v>238</v>
      </c>
      <c r="H4" s="5">
        <v>4547345037361</v>
      </c>
      <c r="I4" s="33">
        <v>5</v>
      </c>
      <c r="J4" s="5"/>
      <c r="K4" s="5">
        <v>1</v>
      </c>
      <c r="L4" s="5">
        <v>1</v>
      </c>
      <c r="M4" s="4">
        <v>0</v>
      </c>
      <c r="N4" s="4">
        <v>391</v>
      </c>
      <c r="O4" s="4">
        <v>273</v>
      </c>
      <c r="P4" s="6">
        <f>IFERROR(1-O4/N4,"-")</f>
        <v>0.30179028132992325</v>
      </c>
      <c r="Q4" s="4" t="s">
        <v>304</v>
      </c>
      <c r="R4" s="4" t="s">
        <v>304</v>
      </c>
      <c r="S4" s="4" t="s">
        <v>304</v>
      </c>
      <c r="T4" s="33">
        <v>0</v>
      </c>
      <c r="U4" s="4">
        <f>IF(X4="",T4,T4*X4)</f>
        <v>0</v>
      </c>
      <c r="V4" s="4">
        <v>327</v>
      </c>
      <c r="W4" s="4">
        <f>IF(X4="",V4,V4*X4)</f>
        <v>327</v>
      </c>
      <c r="X4" s="4"/>
      <c r="Y4" s="21">
        <f>ROUND(N4*AM4,0)</f>
        <v>468</v>
      </c>
      <c r="Z4" s="6">
        <f>IFERROR(1-W4/Y4,"-")</f>
        <v>0.30128205128205132</v>
      </c>
      <c r="AA4" s="33">
        <v>6</v>
      </c>
      <c r="AB4" s="4">
        <f>AX4</f>
        <v>360</v>
      </c>
      <c r="AC4" s="33">
        <f>IFERROR(AB4*AM4,"-")</f>
        <v>431.20879120879118</v>
      </c>
      <c r="AD4" s="6">
        <f>IFERROR(1-W4/AC4,"-")</f>
        <v>0.24166666666666659</v>
      </c>
      <c r="AE4" s="7">
        <v>431</v>
      </c>
      <c r="AF4" s="6">
        <f>1-W4/AE4</f>
        <v>0.24129930394431554</v>
      </c>
      <c r="AG4" s="4">
        <f>AE4-W4</f>
        <v>104</v>
      </c>
      <c r="AH4" s="28"/>
      <c r="AI4" s="6"/>
      <c r="AJ4" s="6"/>
      <c r="AK4" s="6" t="str">
        <f>IFERROR(U4/M4,"-")</f>
        <v>-</v>
      </c>
      <c r="AL4" s="6">
        <f>IFERROR(AE4/N4,"-")</f>
        <v>1.1023017902813299</v>
      </c>
      <c r="AM4" s="6">
        <f>IFERROR(W4/O4,"-")</f>
        <v>1.1978021978021978</v>
      </c>
      <c r="AN4" s="6" t="str">
        <f>IFERROR(1-W4/AO4,"-")</f>
        <v>-</v>
      </c>
      <c r="AO4" s="4" t="str">
        <f>IFERROR(ROUND($AE4*Q4/$N4,0),"-")</f>
        <v>-</v>
      </c>
      <c r="AP4" s="4" t="str">
        <f>IF(R4="","-",R4)</f>
        <v>-</v>
      </c>
      <c r="AQ4" s="4" t="str">
        <f>IF(S4="","-",S4)</f>
        <v>-</v>
      </c>
      <c r="AR4" s="4">
        <v>0</v>
      </c>
      <c r="AS4" s="4" t="s">
        <v>472</v>
      </c>
      <c r="AT4" s="4"/>
      <c r="AU4" s="4"/>
      <c r="AV4" s="4" t="s">
        <v>414</v>
      </c>
      <c r="AW4" s="4">
        <v>360</v>
      </c>
      <c r="AX4" s="4">
        <f>IF(AT4="",AW4,AT4/AU4*AW4)</f>
        <v>360</v>
      </c>
      <c r="AY4" s="19">
        <v>4</v>
      </c>
      <c r="AZ4" s="19">
        <v>1</v>
      </c>
      <c r="BA4" s="16">
        <v>325</v>
      </c>
      <c r="BB4" t="s">
        <v>528</v>
      </c>
      <c r="BC4" t="str">
        <f>IFERROR(BB4*AM4,"-")</f>
        <v>-</v>
      </c>
      <c r="BD4">
        <v>390</v>
      </c>
      <c r="BE4">
        <f>IFERROR(BD4*AM4,"-")</f>
        <v>467.14285714285711</v>
      </c>
      <c r="BF4" t="s">
        <v>361</v>
      </c>
    </row>
    <row r="5" spans="1:58" x14ac:dyDescent="0.4">
      <c r="A5" s="3">
        <v>67</v>
      </c>
      <c r="B5" s="3">
        <v>67</v>
      </c>
      <c r="C5" s="4" t="s">
        <v>121</v>
      </c>
      <c r="D5" s="4" t="str">
        <f>TEXT(C5,"000000")</f>
        <v>J45677</v>
      </c>
      <c r="E5" s="4" t="s">
        <v>121</v>
      </c>
      <c r="F5" s="4" t="str">
        <f>D5&amp;I5</f>
        <v>J456775</v>
      </c>
      <c r="G5" s="4" t="s">
        <v>244</v>
      </c>
      <c r="H5" s="5">
        <v>4547345048732</v>
      </c>
      <c r="I5" s="33">
        <v>5</v>
      </c>
      <c r="J5" s="5"/>
      <c r="K5" s="5">
        <v>1</v>
      </c>
      <c r="L5" s="5">
        <v>1</v>
      </c>
      <c r="M5" s="4">
        <v>0</v>
      </c>
      <c r="N5" s="4">
        <v>1691</v>
      </c>
      <c r="O5" s="4">
        <v>1193</v>
      </c>
      <c r="P5" s="6">
        <f>IFERROR(1-O5/N5,"-")</f>
        <v>0.29450029568302782</v>
      </c>
      <c r="Q5" s="4" t="s">
        <v>304</v>
      </c>
      <c r="R5" s="4" t="s">
        <v>304</v>
      </c>
      <c r="S5" s="4" t="s">
        <v>304</v>
      </c>
      <c r="T5" s="33">
        <v>0</v>
      </c>
      <c r="U5" s="4">
        <f>IF(X5="",T5,T5*X5)</f>
        <v>0</v>
      </c>
      <c r="V5" s="4">
        <v>1322</v>
      </c>
      <c r="W5" s="4">
        <f>IF(X5="",V5,V5*X5)</f>
        <v>1322</v>
      </c>
      <c r="X5" s="4"/>
      <c r="Y5" s="21">
        <f>ROUND(N5*AM5,0)</f>
        <v>1874</v>
      </c>
      <c r="Z5" s="6">
        <f>IFERROR(1-W5/Y5,"-")</f>
        <v>0.29455709711846323</v>
      </c>
      <c r="AA5" s="33">
        <v>0.75</v>
      </c>
      <c r="AB5" s="4">
        <f>AX5</f>
        <v>1808</v>
      </c>
      <c r="AC5" s="33">
        <f>IFERROR(AB5*AM5,"-")</f>
        <v>2003.5004191114836</v>
      </c>
      <c r="AD5" s="6">
        <f>IFERROR(1-W5/AC5,"-")</f>
        <v>0.34015486725663713</v>
      </c>
      <c r="AE5" s="7">
        <v>1950</v>
      </c>
      <c r="AF5" s="6">
        <f>1-W5/AE5</f>
        <v>0.32205128205128208</v>
      </c>
      <c r="AG5" s="4">
        <f>AE5-W5</f>
        <v>628</v>
      </c>
      <c r="AH5" s="28"/>
      <c r="AI5" s="6"/>
      <c r="AJ5" s="6"/>
      <c r="AK5" s="6" t="str">
        <f>IFERROR(U5/M5,"-")</f>
        <v>-</v>
      </c>
      <c r="AL5" s="6">
        <f>IFERROR(AE5/N5,"-")</f>
        <v>1.1531638083973981</v>
      </c>
      <c r="AM5" s="6">
        <f>IFERROR(W5/O5,"-")</f>
        <v>1.1081307627829002</v>
      </c>
      <c r="AN5" s="6" t="str">
        <f>IFERROR(1-W5/AO5,"-")</f>
        <v>-</v>
      </c>
      <c r="AO5" s="4" t="str">
        <f>IFERROR(ROUND($AE5*Q5/$N5,0),"-")</f>
        <v>-</v>
      </c>
      <c r="AP5" s="4" t="str">
        <f>IF(R5="","-",R5)</f>
        <v>-</v>
      </c>
      <c r="AQ5" s="4" t="str">
        <f>IF(S5="","-",S5)</f>
        <v>-</v>
      </c>
      <c r="AR5" s="4">
        <v>0</v>
      </c>
      <c r="AS5" s="4" t="s">
        <v>481</v>
      </c>
      <c r="AT5" s="4"/>
      <c r="AU5" s="4"/>
      <c r="AV5" s="4" t="s">
        <v>414</v>
      </c>
      <c r="AW5" s="4">
        <v>1808</v>
      </c>
      <c r="AX5" s="4">
        <f>IF(AT5="",AW5,AT5/AU5*AW5)</f>
        <v>1808</v>
      </c>
      <c r="AY5" s="19">
        <v>4</v>
      </c>
      <c r="AZ5" s="19">
        <v>8</v>
      </c>
      <c r="BA5" s="16">
        <v>325</v>
      </c>
      <c r="BB5" t="s">
        <v>528</v>
      </c>
      <c r="BC5" t="str">
        <f>IFERROR(BB5*AM5,"-")</f>
        <v>-</v>
      </c>
      <c r="BD5">
        <v>1653</v>
      </c>
      <c r="BE5">
        <f>IFERROR(BD5*AM5,"-")</f>
        <v>1831.740150880134</v>
      </c>
      <c r="BF5" t="s">
        <v>367</v>
      </c>
    </row>
    <row r="6" spans="1:58" x14ac:dyDescent="0.4">
      <c r="A6" s="3">
        <v>66</v>
      </c>
      <c r="B6" s="3">
        <v>66</v>
      </c>
      <c r="C6" s="17" t="s">
        <v>120</v>
      </c>
      <c r="D6" s="4" t="str">
        <f>TEXT(C6,"000000")</f>
        <v>J45668</v>
      </c>
      <c r="E6" s="4" t="s">
        <v>120</v>
      </c>
      <c r="F6" s="4" t="str">
        <f>D6&amp;I6</f>
        <v>J456685</v>
      </c>
      <c r="G6" s="4" t="s">
        <v>243</v>
      </c>
      <c r="H6" s="5">
        <v>4547345045953</v>
      </c>
      <c r="I6" s="33">
        <v>5</v>
      </c>
      <c r="J6" s="5"/>
      <c r="K6" s="5">
        <v>1</v>
      </c>
      <c r="L6" s="5">
        <v>1</v>
      </c>
      <c r="M6" s="4">
        <v>0</v>
      </c>
      <c r="N6" s="4">
        <v>250</v>
      </c>
      <c r="O6" s="4">
        <v>192</v>
      </c>
      <c r="P6" s="6">
        <f>IFERROR(1-O6/N6,"-")</f>
        <v>0.23199999999999998</v>
      </c>
      <c r="Q6" s="4" t="s">
        <v>304</v>
      </c>
      <c r="R6" s="4" t="s">
        <v>304</v>
      </c>
      <c r="S6" s="4" t="s">
        <v>304</v>
      </c>
      <c r="T6" s="33">
        <v>0</v>
      </c>
      <c r="U6" s="4">
        <f>IF(X6="",T6,T6*X6)</f>
        <v>0</v>
      </c>
      <c r="V6" s="4">
        <v>284</v>
      </c>
      <c r="W6" s="4">
        <f>IF(X6="",V6,V6*X6)</f>
        <v>284</v>
      </c>
      <c r="X6" s="4"/>
      <c r="Y6" s="21">
        <f>ROUND(N6*AM6,0)</f>
        <v>370</v>
      </c>
      <c r="Z6" s="6">
        <f>IFERROR(1-W6/Y6,"-")</f>
        <v>0.23243243243243239</v>
      </c>
      <c r="AA6" s="33">
        <v>0.75</v>
      </c>
      <c r="AB6" s="4">
        <f>AX6</f>
        <v>260.86666666666667</v>
      </c>
      <c r="AC6" s="33">
        <f>IFERROR(AB6*AM6,"-")</f>
        <v>385.86527777777781</v>
      </c>
      <c r="AD6" s="6">
        <f>IFERROR(1-W6/AC6,"-")</f>
        <v>0.26399182213135708</v>
      </c>
      <c r="AE6" s="7">
        <v>385</v>
      </c>
      <c r="AF6" s="6">
        <f>1-W6/AE6</f>
        <v>0.26233766233766231</v>
      </c>
      <c r="AG6" s="4">
        <f>AE6-W6</f>
        <v>101</v>
      </c>
      <c r="AH6" s="28"/>
      <c r="AI6" s="6"/>
      <c r="AJ6" s="6"/>
      <c r="AK6" s="6" t="str">
        <f>IFERROR(U6/M6,"-")</f>
        <v>-</v>
      </c>
      <c r="AL6" s="6">
        <f>IFERROR(AE6/N6,"-")</f>
        <v>1.54</v>
      </c>
      <c r="AM6" s="6">
        <f>IFERROR(W6/O6,"-")</f>
        <v>1.4791666666666667</v>
      </c>
      <c r="AN6" s="6" t="str">
        <f>IFERROR(1-W6/AO6,"-")</f>
        <v>-</v>
      </c>
      <c r="AO6" s="4" t="str">
        <f>IFERROR(ROUND($AE6*Q6/$N6,0),"-")</f>
        <v>-</v>
      </c>
      <c r="AP6" s="4" t="str">
        <f>IF(R6="","-",R6)</f>
        <v>-</v>
      </c>
      <c r="AQ6" s="4" t="str">
        <f>IF(S6="","-",S6)</f>
        <v>-</v>
      </c>
      <c r="AR6" s="4">
        <v>0</v>
      </c>
      <c r="AS6" s="4" t="s">
        <v>479</v>
      </c>
      <c r="AT6" s="4">
        <v>1</v>
      </c>
      <c r="AU6" s="4">
        <v>30</v>
      </c>
      <c r="AV6" s="4" t="s">
        <v>480</v>
      </c>
      <c r="AW6" s="4">
        <v>7826</v>
      </c>
      <c r="AX6" s="4">
        <f>IF(AT6="",AW6,AT6/AU6*AW6)</f>
        <v>260.86666666666667</v>
      </c>
      <c r="AY6" s="19">
        <v>4</v>
      </c>
      <c r="AZ6" s="19">
        <v>8</v>
      </c>
      <c r="BA6" s="16">
        <v>330</v>
      </c>
      <c r="BB6" t="s">
        <v>528</v>
      </c>
      <c r="BC6" t="str">
        <f>IFERROR(BB6*AM6,"-")</f>
        <v>-</v>
      </c>
      <c r="BD6">
        <v>258</v>
      </c>
      <c r="BE6">
        <f>IFERROR(BD6*AM6,"-")</f>
        <v>381.625</v>
      </c>
      <c r="BF6" t="s">
        <v>366</v>
      </c>
    </row>
    <row r="7" spans="1:58" x14ac:dyDescent="0.4">
      <c r="A7" s="3">
        <v>64</v>
      </c>
      <c r="B7" s="3">
        <v>64</v>
      </c>
      <c r="C7" s="17" t="s">
        <v>118</v>
      </c>
      <c r="D7" s="4" t="str">
        <f>TEXT(C7,"000000")</f>
        <v>J45666</v>
      </c>
      <c r="E7" s="4" t="s">
        <v>118</v>
      </c>
      <c r="F7" s="4" t="str">
        <f>D7&amp;I7</f>
        <v>J456665</v>
      </c>
      <c r="G7" s="4" t="s">
        <v>241</v>
      </c>
      <c r="H7" s="5">
        <v>4547345045946</v>
      </c>
      <c r="I7" s="33">
        <v>5</v>
      </c>
      <c r="J7" s="5"/>
      <c r="K7" s="5">
        <v>1</v>
      </c>
      <c r="L7" s="5">
        <v>1</v>
      </c>
      <c r="M7" s="4">
        <v>0</v>
      </c>
      <c r="N7" s="4">
        <v>387</v>
      </c>
      <c r="O7" s="4">
        <v>271</v>
      </c>
      <c r="P7" s="6">
        <f>IFERROR(1-O7/N7,"-")</f>
        <v>0.29974160206718348</v>
      </c>
      <c r="Q7" s="4" t="s">
        <v>304</v>
      </c>
      <c r="R7" s="4" t="s">
        <v>304</v>
      </c>
      <c r="S7" s="4" t="s">
        <v>304</v>
      </c>
      <c r="T7" s="33">
        <v>0</v>
      </c>
      <c r="U7" s="4">
        <f>IF(X7="",T7,T7*X7)</f>
        <v>0</v>
      </c>
      <c r="V7" s="4">
        <v>403</v>
      </c>
      <c r="W7" s="4">
        <f>IF(X7="",V7,V7*X7)</f>
        <v>403</v>
      </c>
      <c r="X7" s="4"/>
      <c r="Y7" s="21">
        <f>ROUND(N7*AM7,0)</f>
        <v>576</v>
      </c>
      <c r="Z7" s="6">
        <f>IFERROR(1-W7/Y7,"-")</f>
        <v>0.30034722222222221</v>
      </c>
      <c r="AA7" s="33">
        <v>0</v>
      </c>
      <c r="AB7" s="4">
        <f>AX7</f>
        <v>783.5</v>
      </c>
      <c r="AC7" s="33">
        <f>IFERROR(AB7*AM7,"-")</f>
        <v>1165.1309963099632</v>
      </c>
      <c r="AD7" s="6">
        <f>IFERROR(1-W7/AC7,"-")</f>
        <v>0.6541161455009572</v>
      </c>
      <c r="AE7" s="7">
        <v>588</v>
      </c>
      <c r="AF7" s="6">
        <f>1-W7/AE7</f>
        <v>0.31462585034013602</v>
      </c>
      <c r="AG7" s="4">
        <f>AE7-W7</f>
        <v>185</v>
      </c>
      <c r="AH7" s="28"/>
      <c r="AI7" s="6"/>
      <c r="AJ7" s="6"/>
      <c r="AK7" s="6" t="str">
        <f>IFERROR(U7/M7,"-")</f>
        <v>-</v>
      </c>
      <c r="AL7" s="6">
        <f>IFERROR(AE7/N7,"-")</f>
        <v>1.5193798449612403</v>
      </c>
      <c r="AM7" s="6">
        <f>IFERROR(W7/O7,"-")</f>
        <v>1.4870848708487086</v>
      </c>
      <c r="AN7" s="6" t="str">
        <f>IFERROR(1-W7/AO7,"-")</f>
        <v>-</v>
      </c>
      <c r="AO7" s="4" t="str">
        <f>IFERROR(ROUND($AE7*Q7/$N7,0),"-")</f>
        <v>-</v>
      </c>
      <c r="AP7" s="4" t="str">
        <f>IF(R7="","-",R7)</f>
        <v>-</v>
      </c>
      <c r="AQ7" s="4" t="str">
        <f>IF(S7="","-",S7)</f>
        <v>-</v>
      </c>
      <c r="AR7" s="4">
        <v>0</v>
      </c>
      <c r="AS7" s="4" t="s">
        <v>476</v>
      </c>
      <c r="AT7" s="4">
        <v>1</v>
      </c>
      <c r="AU7" s="4">
        <v>20</v>
      </c>
      <c r="AV7" s="4" t="s">
        <v>477</v>
      </c>
      <c r="AW7" s="4">
        <v>15670</v>
      </c>
      <c r="AX7" s="4">
        <f>IF(AT7="",AW7,AT7/AU7*AW7)</f>
        <v>783.5</v>
      </c>
      <c r="AY7" s="19">
        <v>4</v>
      </c>
      <c r="AZ7" s="19">
        <v>8</v>
      </c>
      <c r="BA7" s="16">
        <v>330</v>
      </c>
      <c r="BB7" t="s">
        <v>528</v>
      </c>
      <c r="BC7" t="str">
        <f>IFERROR(BB7*AM7,"-")</f>
        <v>-</v>
      </c>
      <c r="BD7">
        <v>396</v>
      </c>
      <c r="BE7">
        <f>IFERROR(BD7*AM7,"-")</f>
        <v>588.88560885608854</v>
      </c>
      <c r="BF7" t="s">
        <v>364</v>
      </c>
    </row>
    <row r="8" spans="1:58" x14ac:dyDescent="0.4">
      <c r="A8" s="3">
        <v>63</v>
      </c>
      <c r="B8" s="3">
        <v>63</v>
      </c>
      <c r="C8" s="17" t="s">
        <v>117</v>
      </c>
      <c r="D8" s="4" t="str">
        <f>TEXT(C8,"000000")</f>
        <v>J45665</v>
      </c>
      <c r="E8" s="4" t="s">
        <v>117</v>
      </c>
      <c r="F8" s="4" t="str">
        <f>D8&amp;I8</f>
        <v>J456655</v>
      </c>
      <c r="G8" s="4" t="s">
        <v>240</v>
      </c>
      <c r="H8" s="5">
        <v>4547345045922</v>
      </c>
      <c r="I8" s="33">
        <v>5</v>
      </c>
      <c r="J8" s="5"/>
      <c r="K8" s="5">
        <v>1</v>
      </c>
      <c r="L8" s="5">
        <v>1</v>
      </c>
      <c r="M8" s="4">
        <v>0</v>
      </c>
      <c r="N8" s="4">
        <v>1049</v>
      </c>
      <c r="O8" s="4">
        <v>779</v>
      </c>
      <c r="P8" s="6">
        <f>IFERROR(1-O8/N8,"-")</f>
        <v>0.2573879885605338</v>
      </c>
      <c r="Q8" s="4" t="s">
        <v>304</v>
      </c>
      <c r="R8" s="4" t="s">
        <v>304</v>
      </c>
      <c r="S8" s="4" t="s">
        <v>304</v>
      </c>
      <c r="T8" s="33">
        <v>0</v>
      </c>
      <c r="U8" s="4">
        <f>IF(X8="",T8,T8*X8)</f>
        <v>0</v>
      </c>
      <c r="V8" s="4">
        <v>1179</v>
      </c>
      <c r="W8" s="4">
        <f>IF(X8="",V8,V8*X8)</f>
        <v>1179</v>
      </c>
      <c r="X8" s="4"/>
      <c r="Y8" s="21">
        <f>ROUND(N8*AM8,0)</f>
        <v>1588</v>
      </c>
      <c r="Z8" s="6">
        <f>IFERROR(1-W8/Y8,"-")</f>
        <v>0.25755667506297231</v>
      </c>
      <c r="AA8" s="33">
        <v>1.25</v>
      </c>
      <c r="AB8" s="4">
        <f>AX8</f>
        <v>1075</v>
      </c>
      <c r="AC8" s="33">
        <f>IFERROR(AB8*AM8,"-")</f>
        <v>1626.9897304236199</v>
      </c>
      <c r="AD8" s="6">
        <f>IFERROR(1-W8/AC8,"-")</f>
        <v>0.27534883720930226</v>
      </c>
      <c r="AE8" s="7">
        <v>1623</v>
      </c>
      <c r="AF8" s="6">
        <f>1-W8/AE8</f>
        <v>0.2735674676524954</v>
      </c>
      <c r="AG8" s="4">
        <f>AE8-W8</f>
        <v>444</v>
      </c>
      <c r="AH8" s="28"/>
      <c r="AI8" s="6"/>
      <c r="AJ8" s="6"/>
      <c r="AK8" s="6" t="str">
        <f>IFERROR(U8/M8,"-")</f>
        <v>-</v>
      </c>
      <c r="AL8" s="6">
        <f>IFERROR(AE8/N8,"-")</f>
        <v>1.5471877979027646</v>
      </c>
      <c r="AM8" s="6">
        <f>IFERROR(W8/O8,"-")</f>
        <v>1.5134788189987163</v>
      </c>
      <c r="AN8" s="6" t="str">
        <f>IFERROR(1-W8/AO8,"-")</f>
        <v>-</v>
      </c>
      <c r="AO8" s="4" t="str">
        <f>IFERROR(ROUND($AE8*Q8/$N8,0),"-")</f>
        <v>-</v>
      </c>
      <c r="AP8" s="4" t="str">
        <f>IF(R8="","-",R8)</f>
        <v>-</v>
      </c>
      <c r="AQ8" s="4" t="str">
        <f>IF(S8="","-",S8)</f>
        <v>-</v>
      </c>
      <c r="AR8" s="4">
        <v>0</v>
      </c>
      <c r="AS8" s="4" t="s">
        <v>474</v>
      </c>
      <c r="AT8" s="4">
        <v>1</v>
      </c>
      <c r="AU8" s="4">
        <v>10</v>
      </c>
      <c r="AV8" s="4" t="s">
        <v>475</v>
      </c>
      <c r="AW8" s="4">
        <v>10750</v>
      </c>
      <c r="AX8" s="4">
        <f>IF(AT8="",AW8,AT8/AU8*AW8)</f>
        <v>1075</v>
      </c>
      <c r="AY8" s="19">
        <v>4</v>
      </c>
      <c r="AZ8" s="19">
        <v>8</v>
      </c>
      <c r="BA8" s="16">
        <v>330</v>
      </c>
      <c r="BB8" t="s">
        <v>528</v>
      </c>
      <c r="BC8" t="str">
        <f>IFERROR(BB8*AM8,"-")</f>
        <v>-</v>
      </c>
      <c r="BD8">
        <v>1073</v>
      </c>
      <c r="BE8">
        <f>IFERROR(BD8*AM8,"-")</f>
        <v>1623.9627727856225</v>
      </c>
      <c r="BF8" t="s">
        <v>363</v>
      </c>
    </row>
    <row r="9" spans="1:58" x14ac:dyDescent="0.4">
      <c r="A9" s="3">
        <v>65</v>
      </c>
      <c r="B9" s="3">
        <v>65</v>
      </c>
      <c r="C9" s="17" t="s">
        <v>119</v>
      </c>
      <c r="D9" s="4" t="str">
        <f>TEXT(C9,"000000")</f>
        <v>J45667</v>
      </c>
      <c r="E9" s="4" t="s">
        <v>119</v>
      </c>
      <c r="F9" s="4" t="str">
        <f>D9&amp;I9</f>
        <v>J456675</v>
      </c>
      <c r="G9" s="4" t="s">
        <v>242</v>
      </c>
      <c r="H9" s="5">
        <v>4547345045939</v>
      </c>
      <c r="I9" s="33">
        <v>5</v>
      </c>
      <c r="J9" s="5"/>
      <c r="K9" s="5">
        <v>1</v>
      </c>
      <c r="L9" s="5">
        <v>1</v>
      </c>
      <c r="M9" s="4">
        <v>0</v>
      </c>
      <c r="N9" s="4">
        <v>1207</v>
      </c>
      <c r="O9" s="4">
        <v>768</v>
      </c>
      <c r="P9" s="6">
        <f>IFERROR(1-O9/N9,"-")</f>
        <v>0.36371168185584091</v>
      </c>
      <c r="Q9" s="4" t="s">
        <v>304</v>
      </c>
      <c r="R9" s="4" t="s">
        <v>304</v>
      </c>
      <c r="S9" s="4" t="s">
        <v>304</v>
      </c>
      <c r="T9" s="33">
        <v>0</v>
      </c>
      <c r="U9" s="4">
        <f>IF(X9="",T9,T9*X9)</f>
        <v>0</v>
      </c>
      <c r="V9" s="4">
        <v>1189</v>
      </c>
      <c r="W9" s="4">
        <f>IF(X9="",V9,V9*X9)</f>
        <v>1189</v>
      </c>
      <c r="X9" s="4"/>
      <c r="Y9" s="21">
        <f>ROUND(N9*AM9,0)</f>
        <v>1869</v>
      </c>
      <c r="Z9" s="6">
        <f>IFERROR(1-W9/Y9,"-")</f>
        <v>0.36383092562867847</v>
      </c>
      <c r="AA9" s="33">
        <v>1</v>
      </c>
      <c r="AB9" s="4">
        <f>AX9</f>
        <v>1178</v>
      </c>
      <c r="AC9" s="33">
        <f>IFERROR(AB9*AM9,"-")</f>
        <v>1823.7526041666665</v>
      </c>
      <c r="AD9" s="6">
        <f>IFERROR(1-W9/AC9,"-")</f>
        <v>0.34804753820033951</v>
      </c>
      <c r="AE9" s="7">
        <v>1823</v>
      </c>
      <c r="AF9" s="6">
        <f>1-W9/AE9</f>
        <v>0.34777838727372468</v>
      </c>
      <c r="AG9" s="4">
        <f>AE9-W9</f>
        <v>634</v>
      </c>
      <c r="AH9" s="28"/>
      <c r="AI9" s="6"/>
      <c r="AJ9" s="6"/>
      <c r="AK9" s="6" t="str">
        <f>IFERROR(U9/M9,"-")</f>
        <v>-</v>
      </c>
      <c r="AL9" s="6">
        <f>IFERROR(AE9/N9,"-")</f>
        <v>1.5103562551781275</v>
      </c>
      <c r="AM9" s="6">
        <f>IFERROR(W9/O9,"-")</f>
        <v>1.5481770833333333</v>
      </c>
      <c r="AN9" s="6" t="str">
        <f>IFERROR(1-W9/AO9,"-")</f>
        <v>-</v>
      </c>
      <c r="AO9" s="4" t="str">
        <f>IFERROR(ROUND($AE9*Q9/$N9,0),"-")</f>
        <v>-</v>
      </c>
      <c r="AP9" s="4" t="str">
        <f>IF(R9="","-",R9)</f>
        <v>-</v>
      </c>
      <c r="AQ9" s="4" t="str">
        <f>IF(S9="","-",S9)</f>
        <v>-</v>
      </c>
      <c r="AR9" s="4">
        <v>0</v>
      </c>
      <c r="AS9" s="4" t="s">
        <v>478</v>
      </c>
      <c r="AT9" s="4"/>
      <c r="AU9" s="4"/>
      <c r="AV9" s="4" t="s">
        <v>414</v>
      </c>
      <c r="AW9" s="4">
        <v>1178</v>
      </c>
      <c r="AX9" s="4">
        <f>IF(AT9="",AW9,AT9/AU9*AW9)</f>
        <v>1178</v>
      </c>
      <c r="AY9" s="19">
        <v>4</v>
      </c>
      <c r="AZ9" s="19">
        <v>1</v>
      </c>
      <c r="BA9" s="16">
        <v>330</v>
      </c>
      <c r="BB9" t="s">
        <v>528</v>
      </c>
      <c r="BC9" t="str">
        <f>IFERROR(BB9*AM9,"-")</f>
        <v>-</v>
      </c>
      <c r="BD9">
        <v>1234</v>
      </c>
      <c r="BE9">
        <f>IFERROR(BD9*AM9,"-")</f>
        <v>1910.4505208333333</v>
      </c>
      <c r="BF9" t="s">
        <v>365</v>
      </c>
    </row>
    <row r="10" spans="1:58" x14ac:dyDescent="0.4">
      <c r="A10" s="3">
        <v>68</v>
      </c>
      <c r="B10" s="3">
        <v>68</v>
      </c>
      <c r="C10" s="4" t="s">
        <v>122</v>
      </c>
      <c r="D10" s="4" t="str">
        <f>TEXT(C10,"000000")</f>
        <v>J45633</v>
      </c>
      <c r="E10" s="4" t="s">
        <v>122</v>
      </c>
      <c r="F10" s="4" t="str">
        <f>D10&amp;I10</f>
        <v>J456335</v>
      </c>
      <c r="G10" s="4" t="s">
        <v>245</v>
      </c>
      <c r="H10" s="5">
        <v>4547345045977</v>
      </c>
      <c r="I10" s="33">
        <v>5</v>
      </c>
      <c r="J10" s="5"/>
      <c r="K10" s="5">
        <v>1</v>
      </c>
      <c r="L10" s="5">
        <v>1</v>
      </c>
      <c r="M10" s="4">
        <v>0</v>
      </c>
      <c r="N10" s="4">
        <v>1207</v>
      </c>
      <c r="O10" s="4">
        <v>921</v>
      </c>
      <c r="P10" s="6">
        <f>IFERROR(1-O10/N10,"-")</f>
        <v>0.23695111847555927</v>
      </c>
      <c r="Q10" s="4" t="s">
        <v>304</v>
      </c>
      <c r="R10" s="4" t="s">
        <v>304</v>
      </c>
      <c r="S10" s="4" t="s">
        <v>304</v>
      </c>
      <c r="T10" s="33">
        <v>0</v>
      </c>
      <c r="U10" s="4">
        <f>IF(X10="",T10,T10*X10)</f>
        <v>0</v>
      </c>
      <c r="V10" s="4">
        <v>1105</v>
      </c>
      <c r="W10" s="4">
        <f>IF(X10="",V10,V10*X10)</f>
        <v>1105</v>
      </c>
      <c r="X10" s="4"/>
      <c r="Y10" s="21">
        <f>ROUND(N10*AM10,0)</f>
        <v>1448</v>
      </c>
      <c r="Z10" s="6">
        <f>IFERROR(1-W10/Y10,"-")</f>
        <v>0.23687845303867405</v>
      </c>
      <c r="AA10" s="33">
        <v>0.25</v>
      </c>
      <c r="AB10" s="4">
        <f>AX10</f>
        <v>1338</v>
      </c>
      <c r="AC10" s="33">
        <f>IFERROR(AB10*AM10,"-")</f>
        <v>1605.3094462540719</v>
      </c>
      <c r="AD10" s="6">
        <f>IFERROR(1-W10/AC10,"-")</f>
        <v>0.31165919282511223</v>
      </c>
      <c r="AE10" s="7">
        <v>1602</v>
      </c>
      <c r="AF10" s="6">
        <f>1-W10/AE10</f>
        <v>0.31023720349563044</v>
      </c>
      <c r="AG10" s="4">
        <f>AE10-W10</f>
        <v>497</v>
      </c>
      <c r="AH10" s="28"/>
      <c r="AI10" s="6"/>
      <c r="AJ10" s="6"/>
      <c r="AK10" s="6" t="str">
        <f>IFERROR(U10/M10,"-")</f>
        <v>-</v>
      </c>
      <c r="AL10" s="6">
        <f>IFERROR(AE10/N10,"-")</f>
        <v>1.3272576636288318</v>
      </c>
      <c r="AM10" s="6">
        <f>IFERROR(W10/O10,"-")</f>
        <v>1.1997828447339849</v>
      </c>
      <c r="AN10" s="6" t="str">
        <f>IFERROR(1-W10/AO10,"-")</f>
        <v>-</v>
      </c>
      <c r="AO10" s="4" t="str">
        <f>IFERROR(ROUND($AE10*Q10/$N10,0),"-")</f>
        <v>-</v>
      </c>
      <c r="AP10" s="4" t="str">
        <f>IF(R10="","-",R10)</f>
        <v>-</v>
      </c>
      <c r="AQ10" s="4" t="str">
        <f>IF(S10="","-",S10)</f>
        <v>-</v>
      </c>
      <c r="AR10" s="4">
        <v>0</v>
      </c>
      <c r="AS10" s="4" t="s">
        <v>482</v>
      </c>
      <c r="AT10" s="4">
        <v>1</v>
      </c>
      <c r="AU10" s="4">
        <v>10</v>
      </c>
      <c r="AV10" s="4" t="s">
        <v>475</v>
      </c>
      <c r="AW10" s="4">
        <v>13380</v>
      </c>
      <c r="AX10" s="4">
        <f>IF(AT10="",AW10,AT10/AU10*AW10)</f>
        <v>1338</v>
      </c>
      <c r="AY10" s="19">
        <v>4</v>
      </c>
      <c r="AZ10" s="19">
        <v>8</v>
      </c>
      <c r="BA10" s="16">
        <v>390</v>
      </c>
      <c r="BB10" t="s">
        <v>528</v>
      </c>
      <c r="BC10" t="str">
        <f>IFERROR(BB10*AM10,"-")</f>
        <v>-</v>
      </c>
      <c r="BD10">
        <v>1336</v>
      </c>
      <c r="BE10">
        <f>IFERROR(BD10*AM10,"-")</f>
        <v>1602.9098805646038</v>
      </c>
      <c r="BF10" t="s">
        <v>368</v>
      </c>
    </row>
    <row r="11" spans="1:58" x14ac:dyDescent="0.4">
      <c r="A11" s="3">
        <v>62</v>
      </c>
      <c r="B11" s="3">
        <v>62</v>
      </c>
      <c r="C11" s="4" t="s">
        <v>116</v>
      </c>
      <c r="D11" s="4" t="str">
        <f>TEXT(C11,"000000")</f>
        <v>J45631</v>
      </c>
      <c r="E11" s="4" t="s">
        <v>116</v>
      </c>
      <c r="F11" s="4" t="str">
        <f>D11&amp;I11</f>
        <v>J456315</v>
      </c>
      <c r="G11" s="4" t="s">
        <v>239</v>
      </c>
      <c r="H11" s="5">
        <v>4547345045960</v>
      </c>
      <c r="I11" s="33">
        <v>5</v>
      </c>
      <c r="J11" s="5"/>
      <c r="K11" s="5">
        <v>1</v>
      </c>
      <c r="L11" s="5">
        <v>1</v>
      </c>
      <c r="M11" s="4">
        <v>0</v>
      </c>
      <c r="N11" s="4">
        <v>1649</v>
      </c>
      <c r="O11" s="4">
        <v>1160</v>
      </c>
      <c r="P11" s="6">
        <f>IFERROR(1-O11/N11,"-")</f>
        <v>0.29654335961188594</v>
      </c>
      <c r="Q11" s="4" t="s">
        <v>304</v>
      </c>
      <c r="R11" s="4" t="s">
        <v>304</v>
      </c>
      <c r="S11" s="4" t="s">
        <v>304</v>
      </c>
      <c r="T11" s="33">
        <v>0</v>
      </c>
      <c r="U11" s="4">
        <f>IF(X11="",T11,T11*X11)</f>
        <v>0</v>
      </c>
      <c r="V11" s="4">
        <v>1392</v>
      </c>
      <c r="W11" s="4">
        <f>IF(X11="",V11,V11*X11)</f>
        <v>1392</v>
      </c>
      <c r="X11" s="4"/>
      <c r="Y11" s="21">
        <f>ROUND(N11*AM11,0)</f>
        <v>1979</v>
      </c>
      <c r="Z11" s="6">
        <f>IFERROR(1-W11/Y11,"-")</f>
        <v>0.2966144517433047</v>
      </c>
      <c r="AA11" s="33">
        <v>0.75</v>
      </c>
      <c r="AB11" s="4">
        <f>AX11</f>
        <v>1988</v>
      </c>
      <c r="AC11" s="33">
        <f>IFERROR(AB11*AM11,"-")</f>
        <v>2385.6</v>
      </c>
      <c r="AD11" s="6">
        <f>IFERROR(1-W11/AC11,"-")</f>
        <v>0.41649899396378265</v>
      </c>
      <c r="AE11" s="7">
        <v>2027</v>
      </c>
      <c r="AF11" s="6">
        <f>1-W11/AE11</f>
        <v>0.31327084361124813</v>
      </c>
      <c r="AG11" s="4">
        <f>AE11-W11</f>
        <v>635</v>
      </c>
      <c r="AH11" s="28"/>
      <c r="AI11" s="6"/>
      <c r="AJ11" s="6"/>
      <c r="AK11" s="6" t="str">
        <f>IFERROR(U11/M11,"-")</f>
        <v>-</v>
      </c>
      <c r="AL11" s="6">
        <f>IFERROR(AE11/N11,"-")</f>
        <v>1.2292298362644027</v>
      </c>
      <c r="AM11" s="6">
        <f>IFERROR(W11/O11,"-")</f>
        <v>1.2</v>
      </c>
      <c r="AN11" s="6" t="str">
        <f>IFERROR(1-W11/AO11,"-")</f>
        <v>-</v>
      </c>
      <c r="AO11" s="4" t="str">
        <f>IFERROR(ROUND($AE11*Q11/$N11,0),"-")</f>
        <v>-</v>
      </c>
      <c r="AP11" s="4" t="str">
        <f>IF(R11="","-",R11)</f>
        <v>-</v>
      </c>
      <c r="AQ11" s="4" t="str">
        <f>IF(S11="","-",S11)</f>
        <v>-</v>
      </c>
      <c r="AR11" s="4">
        <v>0</v>
      </c>
      <c r="AS11" s="4" t="s">
        <v>473</v>
      </c>
      <c r="AT11" s="4"/>
      <c r="AU11" s="4"/>
      <c r="AV11" s="4" t="s">
        <v>414</v>
      </c>
      <c r="AW11" s="4">
        <v>1988</v>
      </c>
      <c r="AX11" s="4">
        <f>IF(AT11="",AW11,AT11/AU11*AW11)</f>
        <v>1988</v>
      </c>
      <c r="AY11" s="19">
        <v>4</v>
      </c>
      <c r="AZ11" s="19">
        <v>8</v>
      </c>
      <c r="BA11" s="16">
        <v>390</v>
      </c>
      <c r="BB11" t="s">
        <v>528</v>
      </c>
      <c r="BC11" t="str">
        <f>IFERROR(BB11*AM11,"-")</f>
        <v>-</v>
      </c>
      <c r="BD11">
        <v>1690</v>
      </c>
      <c r="BE11">
        <f>IFERROR(BD11*AM11,"-")</f>
        <v>2028</v>
      </c>
      <c r="BF11" t="s">
        <v>362</v>
      </c>
    </row>
    <row r="12" spans="1:58" x14ac:dyDescent="0.4">
      <c r="A12" s="3">
        <v>18</v>
      </c>
      <c r="B12" s="3">
        <v>18</v>
      </c>
      <c r="C12" s="4" t="s">
        <v>72</v>
      </c>
      <c r="D12" s="4" t="str">
        <f>TEXT(C12,"000000")</f>
        <v>J41728</v>
      </c>
      <c r="E12" s="4" t="s">
        <v>72</v>
      </c>
      <c r="F12" s="4" t="str">
        <f>D12&amp;I12</f>
        <v>J417285</v>
      </c>
      <c r="G12" s="4" t="s">
        <v>195</v>
      </c>
      <c r="H12" s="5">
        <v>4547345025689</v>
      </c>
      <c r="I12" s="33">
        <v>5</v>
      </c>
      <c r="J12" s="5"/>
      <c r="K12" s="5">
        <v>1</v>
      </c>
      <c r="L12" s="5">
        <v>1</v>
      </c>
      <c r="M12" s="4">
        <v>0</v>
      </c>
      <c r="N12" s="4">
        <v>177</v>
      </c>
      <c r="O12" s="4">
        <v>138</v>
      </c>
      <c r="P12" s="6">
        <f>IFERROR(1-O12/N12,"-")</f>
        <v>0.22033898305084743</v>
      </c>
      <c r="Q12" s="4" t="s">
        <v>304</v>
      </c>
      <c r="R12" s="4" t="s">
        <v>304</v>
      </c>
      <c r="S12" s="4" t="s">
        <v>304</v>
      </c>
      <c r="T12" s="33">
        <v>0</v>
      </c>
      <c r="U12" s="4">
        <f>IF(X12="",T12,T12*X12)</f>
        <v>0</v>
      </c>
      <c r="V12" s="4">
        <v>152</v>
      </c>
      <c r="W12" s="4">
        <f>IF(X12="",V12,V12*X12)</f>
        <v>152</v>
      </c>
      <c r="X12" s="4"/>
      <c r="Y12" s="21">
        <f>ROUND(N12*AM12,0)</f>
        <v>195</v>
      </c>
      <c r="Z12" s="6">
        <f>IFERROR(1-W12/Y12,"-")</f>
        <v>0.22051282051282051</v>
      </c>
      <c r="AA12" s="33">
        <v>0.75</v>
      </c>
      <c r="AB12" s="4">
        <f>AX12</f>
        <v>206</v>
      </c>
      <c r="AC12" s="33">
        <f>IFERROR(AB12*AM12,"-")</f>
        <v>226.89855072463769</v>
      </c>
      <c r="AD12" s="6">
        <f>IFERROR(1-W12/AC12,"-")</f>
        <v>0.33009708737864074</v>
      </c>
      <c r="AE12" s="7">
        <v>224</v>
      </c>
      <c r="AF12" s="6">
        <f>1-W12/AE12</f>
        <v>0.3214285714285714</v>
      </c>
      <c r="AG12" s="4">
        <f>AE12-W12</f>
        <v>72</v>
      </c>
      <c r="AH12" s="28"/>
      <c r="AI12" s="6"/>
      <c r="AJ12" s="6"/>
      <c r="AK12" s="6" t="str">
        <f>IFERROR(U12/M12,"-")</f>
        <v>-</v>
      </c>
      <c r="AL12" s="6">
        <f>IFERROR(AE12/N12,"-")</f>
        <v>1.2655367231638419</v>
      </c>
      <c r="AM12" s="6">
        <f>IFERROR(W12/O12,"-")</f>
        <v>1.1014492753623188</v>
      </c>
      <c r="AN12" s="6" t="str">
        <f>IFERROR(1-W12/AO12,"-")</f>
        <v>-</v>
      </c>
      <c r="AO12" s="4" t="str">
        <f>IFERROR(ROUND($AE12*Q12/$N12,0),"-")</f>
        <v>-</v>
      </c>
      <c r="AP12" s="4" t="str">
        <f>IF(R12="","-",R12)</f>
        <v>-</v>
      </c>
      <c r="AQ12" s="4" t="str">
        <f>IF(S12="","-",S12)</f>
        <v>-</v>
      </c>
      <c r="AR12" s="4">
        <v>0</v>
      </c>
      <c r="AS12" s="4" t="s">
        <v>424</v>
      </c>
      <c r="AT12" s="4"/>
      <c r="AU12" s="4"/>
      <c r="AV12" s="4" t="s">
        <v>414</v>
      </c>
      <c r="AW12" s="4">
        <v>206</v>
      </c>
      <c r="AX12" s="4">
        <f>IF(AT12="",AW12,AT12/AU12*AW12)</f>
        <v>206</v>
      </c>
      <c r="AY12" s="19">
        <v>4</v>
      </c>
      <c r="AZ12" s="19">
        <v>8</v>
      </c>
      <c r="BA12" s="16">
        <v>405</v>
      </c>
      <c r="BB12" t="s">
        <v>528</v>
      </c>
      <c r="BC12" t="str">
        <f>IFERROR(BB12*AM12,"-")</f>
        <v>-</v>
      </c>
      <c r="BD12">
        <v>204</v>
      </c>
      <c r="BE12">
        <f>IFERROR(BD12*AM12,"-")</f>
        <v>224.69565217391303</v>
      </c>
      <c r="BF12" t="s">
        <v>319</v>
      </c>
    </row>
    <row r="13" spans="1:58" x14ac:dyDescent="0.4">
      <c r="A13" s="3">
        <v>19</v>
      </c>
      <c r="B13" s="3">
        <v>19</v>
      </c>
      <c r="C13" s="4" t="s">
        <v>73</v>
      </c>
      <c r="D13" s="4" t="str">
        <f>TEXT(C13,"000000")</f>
        <v>J41729</v>
      </c>
      <c r="E13" s="4" t="s">
        <v>73</v>
      </c>
      <c r="F13" s="4" t="str">
        <f>D13&amp;I13</f>
        <v>J417295</v>
      </c>
      <c r="G13" s="4" t="s">
        <v>196</v>
      </c>
      <c r="H13" s="5">
        <v>4547345025696</v>
      </c>
      <c r="I13" s="33">
        <v>5</v>
      </c>
      <c r="J13" s="5"/>
      <c r="K13" s="5">
        <v>1</v>
      </c>
      <c r="L13" s="5">
        <v>1</v>
      </c>
      <c r="M13" s="4">
        <v>0</v>
      </c>
      <c r="N13" s="4">
        <v>205</v>
      </c>
      <c r="O13" s="4">
        <v>138</v>
      </c>
      <c r="P13" s="6">
        <f>IFERROR(1-O13/N13,"-")</f>
        <v>0.32682926829268288</v>
      </c>
      <c r="Q13" s="4" t="s">
        <v>304</v>
      </c>
      <c r="R13" s="4" t="s">
        <v>304</v>
      </c>
      <c r="S13" s="4" t="s">
        <v>304</v>
      </c>
      <c r="T13" s="33">
        <v>0</v>
      </c>
      <c r="U13" s="4">
        <f>IF(X13="",T13,T13*X13)</f>
        <v>0</v>
      </c>
      <c r="V13" s="4">
        <v>152</v>
      </c>
      <c r="W13" s="4">
        <f>IF(X13="",V13,V13*X13)</f>
        <v>152</v>
      </c>
      <c r="X13" s="4"/>
      <c r="Y13" s="21">
        <f>ROUND(N13*AM13,0)</f>
        <v>226</v>
      </c>
      <c r="Z13" s="6">
        <f>IFERROR(1-W13/Y13,"-")</f>
        <v>0.32743362831858402</v>
      </c>
      <c r="AA13" s="33">
        <v>0</v>
      </c>
      <c r="AB13" s="4">
        <f>AX13</f>
        <v>204</v>
      </c>
      <c r="AC13" s="33">
        <f>IFERROR(AB13*AM13,"-")</f>
        <v>224.69565217391303</v>
      </c>
      <c r="AD13" s="6">
        <f>IFERROR(1-W13/AC13,"-")</f>
        <v>0.32352941176470584</v>
      </c>
      <c r="AE13" s="7">
        <v>224</v>
      </c>
      <c r="AF13" s="6">
        <f>1-W13/AE13</f>
        <v>0.3214285714285714</v>
      </c>
      <c r="AG13" s="4">
        <f>AE13-W13</f>
        <v>72</v>
      </c>
      <c r="AH13" s="28"/>
      <c r="AI13" s="6"/>
      <c r="AJ13" s="6"/>
      <c r="AK13" s="6" t="str">
        <f>IFERROR(U13/M13,"-")</f>
        <v>-</v>
      </c>
      <c r="AL13" s="6">
        <f>IFERROR(AE13/N13,"-")</f>
        <v>1.0926829268292684</v>
      </c>
      <c r="AM13" s="6">
        <f>IFERROR(W13/O13,"-")</f>
        <v>1.1014492753623188</v>
      </c>
      <c r="AN13" s="6" t="str">
        <f>IFERROR(1-W13/AO13,"-")</f>
        <v>-</v>
      </c>
      <c r="AO13" s="4" t="str">
        <f>IFERROR(ROUND($AE13*Q13/$N13,0),"-")</f>
        <v>-</v>
      </c>
      <c r="AP13" s="4" t="str">
        <f>IF(R13="","-",R13)</f>
        <v>-</v>
      </c>
      <c r="AQ13" s="4" t="str">
        <f>IF(S13="","-",S13)</f>
        <v>-</v>
      </c>
      <c r="AR13" s="4">
        <v>0</v>
      </c>
      <c r="AS13" s="4" t="s">
        <v>425</v>
      </c>
      <c r="AT13" s="4"/>
      <c r="AU13" s="4"/>
      <c r="AV13" s="4" t="s">
        <v>414</v>
      </c>
      <c r="AW13" s="4">
        <v>204</v>
      </c>
      <c r="AX13" s="4">
        <f>IF(AT13="",AW13,AT13/AU13*AW13)</f>
        <v>204</v>
      </c>
      <c r="AY13" s="19">
        <v>4</v>
      </c>
      <c r="AZ13" s="19">
        <v>8</v>
      </c>
      <c r="BA13" s="16">
        <v>405</v>
      </c>
      <c r="BB13" t="s">
        <v>528</v>
      </c>
      <c r="BC13" t="str">
        <f>IFERROR(BB13*AM13,"-")</f>
        <v>-</v>
      </c>
      <c r="BD13">
        <v>204</v>
      </c>
      <c r="BE13">
        <f>IFERROR(BD13*AM13,"-")</f>
        <v>224.69565217391303</v>
      </c>
      <c r="BF13" t="s">
        <v>320</v>
      </c>
    </row>
    <row r="14" spans="1:58" x14ac:dyDescent="0.4">
      <c r="A14" s="3">
        <v>20</v>
      </c>
      <c r="B14" s="3">
        <v>20</v>
      </c>
      <c r="C14" s="4" t="s">
        <v>74</v>
      </c>
      <c r="D14" s="4" t="str">
        <f>TEXT(C14,"000000")</f>
        <v>J41730</v>
      </c>
      <c r="E14" s="4" t="s">
        <v>74</v>
      </c>
      <c r="F14" s="4" t="str">
        <f>D14&amp;I14</f>
        <v>J417305</v>
      </c>
      <c r="G14" s="4" t="s">
        <v>197</v>
      </c>
      <c r="H14" s="5">
        <v>4547345025702</v>
      </c>
      <c r="I14" s="33">
        <v>5</v>
      </c>
      <c r="J14" s="5"/>
      <c r="K14" s="5">
        <v>1</v>
      </c>
      <c r="L14" s="5">
        <v>1</v>
      </c>
      <c r="M14" s="4">
        <v>0</v>
      </c>
      <c r="N14" s="4">
        <v>191</v>
      </c>
      <c r="O14" s="4">
        <v>138</v>
      </c>
      <c r="P14" s="6">
        <f>IFERROR(1-O14/N14,"-")</f>
        <v>0.27748691099476441</v>
      </c>
      <c r="Q14" s="4" t="s">
        <v>304</v>
      </c>
      <c r="R14" s="4" t="s">
        <v>304</v>
      </c>
      <c r="S14" s="4" t="s">
        <v>304</v>
      </c>
      <c r="T14" s="33">
        <v>0</v>
      </c>
      <c r="U14" s="4">
        <f>IF(X14="",T14,T14*X14)</f>
        <v>0</v>
      </c>
      <c r="V14" s="4">
        <v>152</v>
      </c>
      <c r="W14" s="4">
        <f>IF(X14="",V14,V14*X14)</f>
        <v>152</v>
      </c>
      <c r="X14" s="4"/>
      <c r="Y14" s="21">
        <f>ROUND(N14*AM14,0)</f>
        <v>210</v>
      </c>
      <c r="Z14" s="6">
        <f>IFERROR(1-W14/Y14,"-")</f>
        <v>0.27619047619047621</v>
      </c>
      <c r="AA14" s="33">
        <v>0.25</v>
      </c>
      <c r="AB14" s="4">
        <f>AX14</f>
        <v>206</v>
      </c>
      <c r="AC14" s="33">
        <f>IFERROR(AB14*AM14,"-")</f>
        <v>226.89855072463769</v>
      </c>
      <c r="AD14" s="6">
        <f>IFERROR(1-W14/AC14,"-")</f>
        <v>0.33009708737864074</v>
      </c>
      <c r="AE14" s="7">
        <v>224</v>
      </c>
      <c r="AF14" s="6">
        <f>1-W14/AE14</f>
        <v>0.3214285714285714</v>
      </c>
      <c r="AG14" s="4">
        <f>AE14-W14</f>
        <v>72</v>
      </c>
      <c r="AH14" s="28"/>
      <c r="AI14" s="6"/>
      <c r="AJ14" s="6"/>
      <c r="AK14" s="6" t="str">
        <f>IFERROR(U14/M14,"-")</f>
        <v>-</v>
      </c>
      <c r="AL14" s="6">
        <f>IFERROR(AE14/N14,"-")</f>
        <v>1.1727748691099475</v>
      </c>
      <c r="AM14" s="6">
        <f>IFERROR(W14/O14,"-")</f>
        <v>1.1014492753623188</v>
      </c>
      <c r="AN14" s="6" t="str">
        <f>IFERROR(1-W14/AO14,"-")</f>
        <v>-</v>
      </c>
      <c r="AO14" s="4" t="str">
        <f>IFERROR(ROUND($AE14*Q14/$N14,0),"-")</f>
        <v>-</v>
      </c>
      <c r="AP14" s="4" t="str">
        <f>IF(R14="","-",R14)</f>
        <v>-</v>
      </c>
      <c r="AQ14" s="4" t="str">
        <f>IF(S14="","-",S14)</f>
        <v>-</v>
      </c>
      <c r="AR14" s="4">
        <v>0</v>
      </c>
      <c r="AS14" s="4" t="s">
        <v>426</v>
      </c>
      <c r="AT14" s="4"/>
      <c r="AU14" s="4"/>
      <c r="AV14" s="4" t="s">
        <v>414</v>
      </c>
      <c r="AW14" s="4">
        <v>206</v>
      </c>
      <c r="AX14" s="4">
        <f>IF(AT14="",AW14,AT14/AU14*AW14)</f>
        <v>206</v>
      </c>
      <c r="AY14" s="19">
        <v>4</v>
      </c>
      <c r="AZ14" s="19">
        <v>8</v>
      </c>
      <c r="BA14" s="16">
        <v>405</v>
      </c>
      <c r="BB14" t="s">
        <v>528</v>
      </c>
      <c r="BC14" t="str">
        <f>IFERROR(BB14*AM14,"-")</f>
        <v>-</v>
      </c>
      <c r="BD14">
        <v>204</v>
      </c>
      <c r="BE14">
        <f>IFERROR(BD14*AM14,"-")</f>
        <v>224.69565217391303</v>
      </c>
      <c r="BF14" t="s">
        <v>321</v>
      </c>
    </row>
    <row r="15" spans="1:58" x14ac:dyDescent="0.4">
      <c r="A15" s="3">
        <v>21</v>
      </c>
      <c r="B15" s="3">
        <v>21</v>
      </c>
      <c r="C15" s="4" t="s">
        <v>75</v>
      </c>
      <c r="D15" s="4" t="str">
        <f>TEXT(C15,"000000")</f>
        <v>J41731</v>
      </c>
      <c r="E15" s="4" t="s">
        <v>75</v>
      </c>
      <c r="F15" s="4" t="str">
        <f>D15&amp;I15</f>
        <v>J417315</v>
      </c>
      <c r="G15" s="4" t="s">
        <v>198</v>
      </c>
      <c r="H15" s="5">
        <v>4547345025719</v>
      </c>
      <c r="I15" s="33">
        <v>5</v>
      </c>
      <c r="J15" s="5"/>
      <c r="K15" s="5">
        <v>1</v>
      </c>
      <c r="L15" s="5">
        <v>1</v>
      </c>
      <c r="M15" s="4">
        <v>0</v>
      </c>
      <c r="N15" s="4">
        <v>205</v>
      </c>
      <c r="O15" s="4">
        <v>138</v>
      </c>
      <c r="P15" s="6">
        <f>IFERROR(1-O15/N15,"-")</f>
        <v>0.32682926829268288</v>
      </c>
      <c r="Q15" s="4" t="s">
        <v>304</v>
      </c>
      <c r="R15" s="4" t="s">
        <v>304</v>
      </c>
      <c r="S15" s="4" t="s">
        <v>304</v>
      </c>
      <c r="T15" s="33">
        <v>0</v>
      </c>
      <c r="U15" s="4">
        <f>IF(X15="",T15,T15*X15)</f>
        <v>0</v>
      </c>
      <c r="V15" s="4">
        <v>152</v>
      </c>
      <c r="W15" s="4">
        <f>IF(X15="",V15,V15*X15)</f>
        <v>152</v>
      </c>
      <c r="X15" s="4"/>
      <c r="Y15" s="21">
        <f>ROUND(N15*AM15,0)</f>
        <v>226</v>
      </c>
      <c r="Z15" s="6">
        <f>IFERROR(1-W15/Y15,"-")</f>
        <v>0.32743362831858402</v>
      </c>
      <c r="AA15" s="33">
        <v>0</v>
      </c>
      <c r="AB15" s="4">
        <f>AX15</f>
        <v>206</v>
      </c>
      <c r="AC15" s="33">
        <f>IFERROR(AB15*AM15,"-")</f>
        <v>226.89855072463769</v>
      </c>
      <c r="AD15" s="6">
        <f>IFERROR(1-W15/AC15,"-")</f>
        <v>0.33009708737864074</v>
      </c>
      <c r="AE15" s="7">
        <v>224</v>
      </c>
      <c r="AF15" s="6">
        <f>1-W15/AE15</f>
        <v>0.3214285714285714</v>
      </c>
      <c r="AG15" s="4">
        <f>AE15-W15</f>
        <v>72</v>
      </c>
      <c r="AH15" s="28"/>
      <c r="AI15" s="6"/>
      <c r="AJ15" s="6"/>
      <c r="AK15" s="6" t="str">
        <f>IFERROR(U15/M15,"-")</f>
        <v>-</v>
      </c>
      <c r="AL15" s="6">
        <f>IFERROR(AE15/N15,"-")</f>
        <v>1.0926829268292684</v>
      </c>
      <c r="AM15" s="6">
        <f>IFERROR(W15/O15,"-")</f>
        <v>1.1014492753623188</v>
      </c>
      <c r="AN15" s="6" t="str">
        <f>IFERROR(1-W15/AO15,"-")</f>
        <v>-</v>
      </c>
      <c r="AO15" s="4" t="str">
        <f>IFERROR(ROUND($AE15*Q15/$N15,0),"-")</f>
        <v>-</v>
      </c>
      <c r="AP15" s="4" t="str">
        <f>IF(R15="","-",R15)</f>
        <v>-</v>
      </c>
      <c r="AQ15" s="4" t="str">
        <f>IF(S15="","-",S15)</f>
        <v>-</v>
      </c>
      <c r="AR15" s="4">
        <v>0</v>
      </c>
      <c r="AS15" s="4" t="s">
        <v>427</v>
      </c>
      <c r="AT15" s="4"/>
      <c r="AU15" s="4"/>
      <c r="AV15" s="4" t="s">
        <v>414</v>
      </c>
      <c r="AW15" s="4">
        <v>206</v>
      </c>
      <c r="AX15" s="4">
        <f>IF(AT15="",AW15,AT15/AU15*AW15)</f>
        <v>206</v>
      </c>
      <c r="AY15" s="19">
        <v>4</v>
      </c>
      <c r="AZ15" s="19">
        <v>8</v>
      </c>
      <c r="BA15" s="16">
        <v>405</v>
      </c>
      <c r="BB15" t="s">
        <v>528</v>
      </c>
      <c r="BC15" t="str">
        <f>IFERROR(BB15*AM15,"-")</f>
        <v>-</v>
      </c>
      <c r="BD15">
        <v>204</v>
      </c>
      <c r="BE15">
        <f>IFERROR(BD15*AM15,"-")</f>
        <v>224.69565217391303</v>
      </c>
      <c r="BF15" t="s">
        <v>322</v>
      </c>
    </row>
    <row r="16" spans="1:58" x14ac:dyDescent="0.4">
      <c r="A16" s="3">
        <v>22</v>
      </c>
      <c r="B16" s="3">
        <v>22</v>
      </c>
      <c r="C16" s="4" t="s">
        <v>76</v>
      </c>
      <c r="D16" s="4" t="str">
        <f>TEXT(C16,"000000")</f>
        <v>J41732</v>
      </c>
      <c r="E16" s="4" t="s">
        <v>76</v>
      </c>
      <c r="F16" s="4" t="str">
        <f>D16&amp;I16</f>
        <v>J417325</v>
      </c>
      <c r="G16" s="4" t="s">
        <v>199</v>
      </c>
      <c r="H16" s="5">
        <v>4547345025726</v>
      </c>
      <c r="I16" s="33">
        <v>5</v>
      </c>
      <c r="J16" s="5"/>
      <c r="K16" s="5">
        <v>1</v>
      </c>
      <c r="L16" s="5">
        <v>1</v>
      </c>
      <c r="M16" s="4">
        <v>0</v>
      </c>
      <c r="N16" s="4">
        <v>191</v>
      </c>
      <c r="O16" s="4">
        <v>138</v>
      </c>
      <c r="P16" s="6">
        <f>IFERROR(1-O16/N16,"-")</f>
        <v>0.27748691099476441</v>
      </c>
      <c r="Q16" s="4" t="s">
        <v>304</v>
      </c>
      <c r="R16" s="4" t="s">
        <v>304</v>
      </c>
      <c r="S16" s="4" t="s">
        <v>304</v>
      </c>
      <c r="T16" s="33">
        <v>0</v>
      </c>
      <c r="U16" s="4">
        <f>IF(X16="",T16,T16*X16)</f>
        <v>0</v>
      </c>
      <c r="V16" s="4">
        <v>152</v>
      </c>
      <c r="W16" s="4">
        <f>IF(X16="",V16,V16*X16)</f>
        <v>152</v>
      </c>
      <c r="X16" s="4"/>
      <c r="Y16" s="21">
        <f>ROUND(N16*AM16,0)</f>
        <v>210</v>
      </c>
      <c r="Z16" s="6">
        <f>IFERROR(1-W16/Y16,"-")</f>
        <v>0.27619047619047621</v>
      </c>
      <c r="AA16" s="33">
        <v>0.25</v>
      </c>
      <c r="AB16" s="4">
        <f>AX16</f>
        <v>206</v>
      </c>
      <c r="AC16" s="33">
        <f>IFERROR(AB16*AM16,"-")</f>
        <v>226.89855072463769</v>
      </c>
      <c r="AD16" s="6">
        <f>IFERROR(1-W16/AC16,"-")</f>
        <v>0.33009708737864074</v>
      </c>
      <c r="AE16" s="7">
        <v>224</v>
      </c>
      <c r="AF16" s="6">
        <f>1-W16/AE16</f>
        <v>0.3214285714285714</v>
      </c>
      <c r="AG16" s="4">
        <f>AE16-W16</f>
        <v>72</v>
      </c>
      <c r="AH16" s="28"/>
      <c r="AI16" s="6"/>
      <c r="AJ16" s="6"/>
      <c r="AK16" s="6" t="str">
        <f>IFERROR(U16/M16,"-")</f>
        <v>-</v>
      </c>
      <c r="AL16" s="6">
        <f>IFERROR(AE16/N16,"-")</f>
        <v>1.1727748691099475</v>
      </c>
      <c r="AM16" s="6">
        <f>IFERROR(W16/O16,"-")</f>
        <v>1.1014492753623188</v>
      </c>
      <c r="AN16" s="6" t="str">
        <f>IFERROR(1-W16/AO16,"-")</f>
        <v>-</v>
      </c>
      <c r="AO16" s="4" t="str">
        <f>IFERROR(ROUND($AE16*Q16/$N16,0),"-")</f>
        <v>-</v>
      </c>
      <c r="AP16" s="4" t="str">
        <f>IF(R16="","-",R16)</f>
        <v>-</v>
      </c>
      <c r="AQ16" s="4" t="str">
        <f>IF(S16="","-",S16)</f>
        <v>-</v>
      </c>
      <c r="AR16" s="4">
        <v>0</v>
      </c>
      <c r="AS16" s="4" t="s">
        <v>428</v>
      </c>
      <c r="AT16" s="4"/>
      <c r="AU16" s="4"/>
      <c r="AV16" s="4" t="s">
        <v>414</v>
      </c>
      <c r="AW16" s="4">
        <v>206</v>
      </c>
      <c r="AX16" s="4">
        <f>IF(AT16="",AW16,AT16/AU16*AW16)</f>
        <v>206</v>
      </c>
      <c r="AY16" s="19">
        <v>4</v>
      </c>
      <c r="AZ16" s="19">
        <v>8</v>
      </c>
      <c r="BA16" s="16">
        <v>405</v>
      </c>
      <c r="BB16" t="s">
        <v>528</v>
      </c>
      <c r="BC16" t="str">
        <f>IFERROR(BB16*AM16,"-")</f>
        <v>-</v>
      </c>
      <c r="BD16">
        <v>204</v>
      </c>
      <c r="BE16">
        <f>IFERROR(BD16*AM16,"-")</f>
        <v>224.69565217391303</v>
      </c>
      <c r="BF16" t="s">
        <v>323</v>
      </c>
    </row>
    <row r="17" spans="1:58" x14ac:dyDescent="0.4">
      <c r="A17" s="3">
        <v>23</v>
      </c>
      <c r="B17" s="3">
        <v>23</v>
      </c>
      <c r="C17" s="4" t="s">
        <v>77</v>
      </c>
      <c r="D17" s="4" t="str">
        <f>TEXT(C17,"000000")</f>
        <v>J41733</v>
      </c>
      <c r="E17" s="4" t="s">
        <v>77</v>
      </c>
      <c r="F17" s="4" t="str">
        <f>D17&amp;I17</f>
        <v>J417335</v>
      </c>
      <c r="G17" s="4" t="s">
        <v>200</v>
      </c>
      <c r="H17" s="5">
        <v>4547345025733</v>
      </c>
      <c r="I17" s="33">
        <v>5</v>
      </c>
      <c r="J17" s="5"/>
      <c r="K17" s="5">
        <v>1</v>
      </c>
      <c r="L17" s="5">
        <v>1</v>
      </c>
      <c r="M17" s="4">
        <v>0</v>
      </c>
      <c r="N17" s="4">
        <v>191</v>
      </c>
      <c r="O17" s="4">
        <v>138</v>
      </c>
      <c r="P17" s="6">
        <f>IFERROR(1-O17/N17,"-")</f>
        <v>0.27748691099476441</v>
      </c>
      <c r="Q17" s="4" t="s">
        <v>304</v>
      </c>
      <c r="R17" s="4" t="s">
        <v>304</v>
      </c>
      <c r="S17" s="4" t="s">
        <v>304</v>
      </c>
      <c r="T17" s="33">
        <v>0</v>
      </c>
      <c r="U17" s="4">
        <f>IF(X17="",T17,T17*X17)</f>
        <v>0</v>
      </c>
      <c r="V17" s="4">
        <v>152</v>
      </c>
      <c r="W17" s="4">
        <f>IF(X17="",V17,V17*X17)</f>
        <v>152</v>
      </c>
      <c r="X17" s="4"/>
      <c r="Y17" s="21">
        <f>ROUND(N17*AM17,0)</f>
        <v>210</v>
      </c>
      <c r="Z17" s="6">
        <f>IFERROR(1-W17/Y17,"-")</f>
        <v>0.27619047619047621</v>
      </c>
      <c r="AA17" s="33">
        <v>0.25</v>
      </c>
      <c r="AB17" s="4">
        <f>AX17</f>
        <v>206</v>
      </c>
      <c r="AC17" s="33">
        <f>IFERROR(AB17*AM17,"-")</f>
        <v>226.89855072463769</v>
      </c>
      <c r="AD17" s="6">
        <f>IFERROR(1-W17/AC17,"-")</f>
        <v>0.33009708737864074</v>
      </c>
      <c r="AE17" s="7">
        <v>224</v>
      </c>
      <c r="AF17" s="6">
        <f>1-W17/AE17</f>
        <v>0.3214285714285714</v>
      </c>
      <c r="AG17" s="4">
        <f>AE17-W17</f>
        <v>72</v>
      </c>
      <c r="AH17" s="28"/>
      <c r="AI17" s="6"/>
      <c r="AJ17" s="6"/>
      <c r="AK17" s="6" t="str">
        <f>IFERROR(U17/M17,"-")</f>
        <v>-</v>
      </c>
      <c r="AL17" s="6">
        <f>IFERROR(AE17/N17,"-")</f>
        <v>1.1727748691099475</v>
      </c>
      <c r="AM17" s="6">
        <f>IFERROR(W17/O17,"-")</f>
        <v>1.1014492753623188</v>
      </c>
      <c r="AN17" s="6" t="str">
        <f>IFERROR(1-W17/AO17,"-")</f>
        <v>-</v>
      </c>
      <c r="AO17" s="4" t="str">
        <f>IFERROR(ROUND($AE17*Q17/$N17,0),"-")</f>
        <v>-</v>
      </c>
      <c r="AP17" s="4" t="str">
        <f>IF(R17="","-",R17)</f>
        <v>-</v>
      </c>
      <c r="AQ17" s="4" t="str">
        <f>IF(S17="","-",S17)</f>
        <v>-</v>
      </c>
      <c r="AR17" s="4">
        <v>0</v>
      </c>
      <c r="AS17" s="4" t="s">
        <v>429</v>
      </c>
      <c r="AT17" s="4"/>
      <c r="AU17" s="4"/>
      <c r="AV17" s="4" t="s">
        <v>414</v>
      </c>
      <c r="AW17" s="4">
        <v>206</v>
      </c>
      <c r="AX17" s="4">
        <f>IF(AT17="",AW17,AT17/AU17*AW17)</f>
        <v>206</v>
      </c>
      <c r="AY17" s="19">
        <v>4</v>
      </c>
      <c r="AZ17" s="19">
        <v>8</v>
      </c>
      <c r="BA17" s="16">
        <v>405</v>
      </c>
      <c r="BB17" t="s">
        <v>528</v>
      </c>
      <c r="BC17" t="str">
        <f>IFERROR(BB17*AM17,"-")</f>
        <v>-</v>
      </c>
      <c r="BD17">
        <v>204</v>
      </c>
      <c r="BE17">
        <f>IFERROR(BD17*AM17,"-")</f>
        <v>224.69565217391303</v>
      </c>
      <c r="BF17" t="s">
        <v>324</v>
      </c>
    </row>
    <row r="18" spans="1:58" x14ac:dyDescent="0.4">
      <c r="A18" s="3">
        <v>24</v>
      </c>
      <c r="B18" s="3">
        <v>24</v>
      </c>
      <c r="C18" s="4" t="s">
        <v>78</v>
      </c>
      <c r="D18" s="4" t="str">
        <f>TEXT(C18,"000000")</f>
        <v>J41734</v>
      </c>
      <c r="E18" s="4" t="s">
        <v>78</v>
      </c>
      <c r="F18" s="4" t="str">
        <f>D18&amp;I18</f>
        <v>J417345</v>
      </c>
      <c r="G18" s="4" t="s">
        <v>201</v>
      </c>
      <c r="H18" s="5">
        <v>4547345025740</v>
      </c>
      <c r="I18" s="33">
        <v>5</v>
      </c>
      <c r="J18" s="5"/>
      <c r="K18" s="5">
        <v>1</v>
      </c>
      <c r="L18" s="5">
        <v>1</v>
      </c>
      <c r="M18" s="4">
        <v>0</v>
      </c>
      <c r="N18" s="4">
        <v>205</v>
      </c>
      <c r="O18" s="4">
        <v>138</v>
      </c>
      <c r="P18" s="6">
        <f>IFERROR(1-O18/N18,"-")</f>
        <v>0.32682926829268288</v>
      </c>
      <c r="Q18" s="4" t="s">
        <v>304</v>
      </c>
      <c r="R18" s="4" t="s">
        <v>304</v>
      </c>
      <c r="S18" s="4" t="s">
        <v>304</v>
      </c>
      <c r="T18" s="33">
        <v>0</v>
      </c>
      <c r="U18" s="4">
        <f>IF(X18="",T18,T18*X18)</f>
        <v>0</v>
      </c>
      <c r="V18" s="4">
        <v>152</v>
      </c>
      <c r="W18" s="4">
        <f>IF(X18="",V18,V18*X18)</f>
        <v>152</v>
      </c>
      <c r="X18" s="4"/>
      <c r="Y18" s="21">
        <f>ROUND(N18*AM18,0)</f>
        <v>226</v>
      </c>
      <c r="Z18" s="6">
        <f>IFERROR(1-W18/Y18,"-")</f>
        <v>0.32743362831858402</v>
      </c>
      <c r="AA18" s="33">
        <v>0</v>
      </c>
      <c r="AB18" s="4">
        <f>AX18</f>
        <v>204</v>
      </c>
      <c r="AC18" s="33">
        <f>IFERROR(AB18*AM18,"-")</f>
        <v>224.69565217391303</v>
      </c>
      <c r="AD18" s="6">
        <f>IFERROR(1-W18/AC18,"-")</f>
        <v>0.32352941176470584</v>
      </c>
      <c r="AE18" s="7">
        <v>224</v>
      </c>
      <c r="AF18" s="6">
        <f>1-W18/AE18</f>
        <v>0.3214285714285714</v>
      </c>
      <c r="AG18" s="4">
        <f>AE18-W18</f>
        <v>72</v>
      </c>
      <c r="AH18" s="28"/>
      <c r="AI18" s="6"/>
      <c r="AJ18" s="6"/>
      <c r="AK18" s="6" t="str">
        <f>IFERROR(U18/M18,"-")</f>
        <v>-</v>
      </c>
      <c r="AL18" s="6">
        <f>IFERROR(AE18/N18,"-")</f>
        <v>1.0926829268292684</v>
      </c>
      <c r="AM18" s="6">
        <f>IFERROR(W18/O18,"-")</f>
        <v>1.1014492753623188</v>
      </c>
      <c r="AN18" s="6" t="str">
        <f>IFERROR(1-W18/AO18,"-")</f>
        <v>-</v>
      </c>
      <c r="AO18" s="4" t="str">
        <f>IFERROR(ROUND($AE18*Q18/$N18,0),"-")</f>
        <v>-</v>
      </c>
      <c r="AP18" s="4" t="str">
        <f>IF(R18="","-",R18)</f>
        <v>-</v>
      </c>
      <c r="AQ18" s="4" t="str">
        <f>IF(S18="","-",S18)</f>
        <v>-</v>
      </c>
      <c r="AR18" s="4">
        <v>0</v>
      </c>
      <c r="AS18" s="4" t="s">
        <v>430</v>
      </c>
      <c r="AT18" s="4"/>
      <c r="AU18" s="4"/>
      <c r="AV18" s="4" t="s">
        <v>414</v>
      </c>
      <c r="AW18" s="4">
        <v>204</v>
      </c>
      <c r="AX18" s="4">
        <f>IF(AT18="",AW18,AT18/AU18*AW18)</f>
        <v>204</v>
      </c>
      <c r="AY18" s="19">
        <v>4</v>
      </c>
      <c r="AZ18" s="19">
        <v>8</v>
      </c>
      <c r="BA18" s="16">
        <v>405</v>
      </c>
      <c r="BB18" t="s">
        <v>528</v>
      </c>
      <c r="BC18" t="str">
        <f>IFERROR(BB18*AM18,"-")</f>
        <v>-</v>
      </c>
      <c r="BD18">
        <v>204</v>
      </c>
      <c r="BE18">
        <f>IFERROR(BD18*AM18,"-")</f>
        <v>224.69565217391303</v>
      </c>
      <c r="BF18" t="s">
        <v>325</v>
      </c>
    </row>
    <row r="19" spans="1:58" x14ac:dyDescent="0.4">
      <c r="A19" s="3">
        <v>3</v>
      </c>
      <c r="B19" s="3">
        <v>3</v>
      </c>
      <c r="C19" s="4" t="s">
        <v>57</v>
      </c>
      <c r="D19" s="4" t="str">
        <f>TEXT(C19,"000000")</f>
        <v>J2179R</v>
      </c>
      <c r="E19" s="4" t="s">
        <v>57</v>
      </c>
      <c r="F19" s="4" t="str">
        <f>D19&amp;I19</f>
        <v>J2179R5</v>
      </c>
      <c r="G19" s="4" t="s">
        <v>180</v>
      </c>
      <c r="H19" s="5">
        <v>4547345054092</v>
      </c>
      <c r="I19" s="33">
        <v>5</v>
      </c>
      <c r="J19" s="5"/>
      <c r="K19" s="5">
        <v>1</v>
      </c>
      <c r="L19" s="5">
        <v>1</v>
      </c>
      <c r="M19" s="4">
        <v>0</v>
      </c>
      <c r="N19" s="4">
        <v>227</v>
      </c>
      <c r="O19" s="4">
        <v>147</v>
      </c>
      <c r="P19" s="6">
        <f>IFERROR(1-O19/N19,"-")</f>
        <v>0.35242290748898675</v>
      </c>
      <c r="Q19" s="4" t="s">
        <v>304</v>
      </c>
      <c r="R19" s="4" t="s">
        <v>304</v>
      </c>
      <c r="S19" s="4" t="s">
        <v>304</v>
      </c>
      <c r="T19" s="33">
        <v>0</v>
      </c>
      <c r="U19" s="4">
        <f>IF(X19="",T19,T19*X19)</f>
        <v>0</v>
      </c>
      <c r="V19" s="4">
        <v>161</v>
      </c>
      <c r="W19" s="4">
        <f>IF(X19="",V19,V19*X19)</f>
        <v>161</v>
      </c>
      <c r="X19" s="4"/>
      <c r="Y19" s="21">
        <f>ROUND(N19*AM19,0)</f>
        <v>249</v>
      </c>
      <c r="Z19" s="6">
        <f>IFERROR(1-W19/Y19,"-")</f>
        <v>0.35341365461847385</v>
      </c>
      <c r="AA19" s="33">
        <v>0.25</v>
      </c>
      <c r="AB19" s="4">
        <f>AX19</f>
        <v>219</v>
      </c>
      <c r="AC19" s="33">
        <f>IFERROR(AB19*AM19,"-")</f>
        <v>239.85714285714289</v>
      </c>
      <c r="AD19" s="6">
        <f>IFERROR(1-W19/AC19,"-")</f>
        <v>0.32876712328767133</v>
      </c>
      <c r="AE19" s="7">
        <v>239</v>
      </c>
      <c r="AF19" s="6">
        <f>1-W19/AE19</f>
        <v>0.32635983263598323</v>
      </c>
      <c r="AG19" s="4">
        <f>AE19-W19</f>
        <v>78</v>
      </c>
      <c r="AH19" s="28"/>
      <c r="AI19" s="6"/>
      <c r="AJ19" s="6"/>
      <c r="AK19" s="6" t="str">
        <f>IFERROR(U19/M19,"-")</f>
        <v>-</v>
      </c>
      <c r="AL19" s="6">
        <f>IFERROR(AE19/N19,"-")</f>
        <v>1.052863436123348</v>
      </c>
      <c r="AM19" s="6">
        <f>IFERROR(W19/O19,"-")</f>
        <v>1.0952380952380953</v>
      </c>
      <c r="AN19" s="6" t="str">
        <f>IFERROR(1-W19/AO19,"-")</f>
        <v>-</v>
      </c>
      <c r="AO19" s="4" t="str">
        <f>IFERROR(ROUND($AE19*Q19/$N19,0),"-")</f>
        <v>-</v>
      </c>
      <c r="AP19" s="4" t="str">
        <f>IF(R19="","-",R19)</f>
        <v>-</v>
      </c>
      <c r="AQ19" s="4" t="str">
        <f>IF(S19="","-",S19)</f>
        <v>-</v>
      </c>
      <c r="AR19" s="4">
        <v>0</v>
      </c>
      <c r="AS19" s="4" t="s">
        <v>413</v>
      </c>
      <c r="AT19" s="4"/>
      <c r="AU19" s="4"/>
      <c r="AV19" s="4" t="s">
        <v>414</v>
      </c>
      <c r="AW19" s="4">
        <v>219</v>
      </c>
      <c r="AX19" s="4">
        <f>IF(AT19="",AW19,AT19/AU19*AW19)</f>
        <v>219</v>
      </c>
      <c r="AY19" s="19">
        <v>4</v>
      </c>
      <c r="AZ19" s="19">
        <v>8</v>
      </c>
      <c r="BA19" s="16">
        <v>405</v>
      </c>
      <c r="BB19" t="s">
        <v>528</v>
      </c>
      <c r="BC19" t="str">
        <f>IFERROR(BB19*AM19,"-")</f>
        <v>-</v>
      </c>
      <c r="BD19">
        <v>220</v>
      </c>
      <c r="BE19">
        <f>IFERROR(BD19*AM19,"-")</f>
        <v>240.95238095238096</v>
      </c>
      <c r="BF19" t="s">
        <v>311</v>
      </c>
    </row>
    <row r="20" spans="1:58" x14ac:dyDescent="0.4">
      <c r="A20" s="3">
        <v>4</v>
      </c>
      <c r="B20" s="3">
        <v>4</v>
      </c>
      <c r="C20" s="4" t="s">
        <v>58</v>
      </c>
      <c r="D20" s="4" t="str">
        <f>TEXT(C20,"000000")</f>
        <v>J2181R</v>
      </c>
      <c r="E20" s="4" t="s">
        <v>58</v>
      </c>
      <c r="F20" s="4" t="str">
        <f>D20&amp;I20</f>
        <v>J2181R5</v>
      </c>
      <c r="G20" s="4" t="s">
        <v>181</v>
      </c>
      <c r="H20" s="5">
        <v>4547345054115</v>
      </c>
      <c r="I20" s="33">
        <v>5</v>
      </c>
      <c r="J20" s="5"/>
      <c r="K20" s="5">
        <v>1</v>
      </c>
      <c r="L20" s="5">
        <v>1</v>
      </c>
      <c r="M20" s="4">
        <v>0</v>
      </c>
      <c r="N20" s="4">
        <v>227</v>
      </c>
      <c r="O20" s="4">
        <v>147</v>
      </c>
      <c r="P20" s="6">
        <f>IFERROR(1-O20/N20,"-")</f>
        <v>0.35242290748898675</v>
      </c>
      <c r="Q20" s="4" t="s">
        <v>304</v>
      </c>
      <c r="R20" s="4" t="s">
        <v>304</v>
      </c>
      <c r="S20" s="4" t="s">
        <v>304</v>
      </c>
      <c r="T20" s="33">
        <v>0</v>
      </c>
      <c r="U20" s="4">
        <f>IF(X20="",T20,T20*X20)</f>
        <v>0</v>
      </c>
      <c r="V20" s="4">
        <v>161</v>
      </c>
      <c r="W20" s="4">
        <f>IF(X20="",V20,V20*X20)</f>
        <v>161</v>
      </c>
      <c r="X20" s="4"/>
      <c r="Y20" s="21">
        <f>ROUND(N20*AM20,0)</f>
        <v>249</v>
      </c>
      <c r="Z20" s="6">
        <f>IFERROR(1-W20/Y20,"-")</f>
        <v>0.35341365461847385</v>
      </c>
      <c r="AA20" s="33">
        <v>0.25</v>
      </c>
      <c r="AB20" s="4">
        <f>AX20</f>
        <v>219</v>
      </c>
      <c r="AC20" s="33">
        <f>IFERROR(AB20*AM20,"-")</f>
        <v>239.85714285714289</v>
      </c>
      <c r="AD20" s="6">
        <f>IFERROR(1-W20/AC20,"-")</f>
        <v>0.32876712328767133</v>
      </c>
      <c r="AE20" s="7">
        <v>239</v>
      </c>
      <c r="AF20" s="6">
        <f>1-W20/AE20</f>
        <v>0.32635983263598323</v>
      </c>
      <c r="AG20" s="4">
        <f>AE20-W20</f>
        <v>78</v>
      </c>
      <c r="AH20" s="28"/>
      <c r="AI20" s="6"/>
      <c r="AJ20" s="6"/>
      <c r="AK20" s="6" t="str">
        <f>IFERROR(U20/M20,"-")</f>
        <v>-</v>
      </c>
      <c r="AL20" s="6">
        <f>IFERROR(AE20/N20,"-")</f>
        <v>1.052863436123348</v>
      </c>
      <c r="AM20" s="6">
        <f>IFERROR(W20/O20,"-")</f>
        <v>1.0952380952380953</v>
      </c>
      <c r="AN20" s="6" t="str">
        <f>IFERROR(1-W20/AO20,"-")</f>
        <v>-</v>
      </c>
      <c r="AO20" s="4" t="str">
        <f>IFERROR(ROUND($AE20*Q20/$N20,0),"-")</f>
        <v>-</v>
      </c>
      <c r="AP20" s="4" t="str">
        <f>IF(R20="","-",R20)</f>
        <v>-</v>
      </c>
      <c r="AQ20" s="4" t="str">
        <f>IF(S20="","-",S20)</f>
        <v>-</v>
      </c>
      <c r="AR20" s="4">
        <v>0</v>
      </c>
      <c r="AS20" s="4" t="s">
        <v>415</v>
      </c>
      <c r="AT20" s="4"/>
      <c r="AU20" s="4"/>
      <c r="AV20" s="4" t="s">
        <v>414</v>
      </c>
      <c r="AW20" s="4">
        <v>219</v>
      </c>
      <c r="AX20" s="4">
        <f>IF(AT20="",AW20,AT20/AU20*AW20)</f>
        <v>219</v>
      </c>
      <c r="AY20" s="19">
        <v>4</v>
      </c>
      <c r="AZ20" s="19">
        <v>8</v>
      </c>
      <c r="BA20" s="16">
        <v>405</v>
      </c>
      <c r="BB20" t="s">
        <v>528</v>
      </c>
      <c r="BC20" t="str">
        <f>IFERROR(BB20*AM20,"-")</f>
        <v>-</v>
      </c>
      <c r="BD20">
        <v>220</v>
      </c>
      <c r="BE20">
        <f>IFERROR(BD20*AM20,"-")</f>
        <v>240.95238095238096</v>
      </c>
      <c r="BF20" t="s">
        <v>312</v>
      </c>
    </row>
    <row r="21" spans="1:58" x14ac:dyDescent="0.4">
      <c r="A21" s="3">
        <v>5</v>
      </c>
      <c r="B21" s="3">
        <v>5</v>
      </c>
      <c r="C21" s="4" t="s">
        <v>59</v>
      </c>
      <c r="D21" s="4" t="str">
        <f>TEXT(C21,"000000")</f>
        <v>J2182R</v>
      </c>
      <c r="E21" s="4" t="s">
        <v>59</v>
      </c>
      <c r="F21" s="4" t="str">
        <f>D21&amp;I21</f>
        <v>J2182R5</v>
      </c>
      <c r="G21" s="4" t="s">
        <v>182</v>
      </c>
      <c r="H21" s="5">
        <v>4547345054122</v>
      </c>
      <c r="I21" s="33">
        <v>5</v>
      </c>
      <c r="J21" s="5"/>
      <c r="K21" s="5">
        <v>1</v>
      </c>
      <c r="L21" s="5">
        <v>1</v>
      </c>
      <c r="M21" s="4">
        <v>0</v>
      </c>
      <c r="N21" s="4">
        <v>225</v>
      </c>
      <c r="O21" s="4">
        <v>147</v>
      </c>
      <c r="P21" s="6">
        <f>IFERROR(1-O21/N21,"-")</f>
        <v>0.34666666666666668</v>
      </c>
      <c r="Q21" s="4" t="s">
        <v>304</v>
      </c>
      <c r="R21" s="4" t="s">
        <v>304</v>
      </c>
      <c r="S21" s="4" t="s">
        <v>304</v>
      </c>
      <c r="T21" s="33">
        <v>0</v>
      </c>
      <c r="U21" s="4">
        <f>IF(X21="",T21,T21*X21)</f>
        <v>0</v>
      </c>
      <c r="V21" s="4">
        <v>161</v>
      </c>
      <c r="W21" s="4">
        <f>IF(X21="",V21,V21*X21)</f>
        <v>161</v>
      </c>
      <c r="X21" s="4"/>
      <c r="Y21" s="21">
        <f>ROUND(N21*AM21,0)</f>
        <v>246</v>
      </c>
      <c r="Z21" s="6">
        <f>IFERROR(1-W21/Y21,"-")</f>
        <v>0.34552845528455289</v>
      </c>
      <c r="AA21" s="33">
        <v>1</v>
      </c>
      <c r="AB21" s="4">
        <f>AX21</f>
        <v>219</v>
      </c>
      <c r="AC21" s="33">
        <f>IFERROR(AB21*AM21,"-")</f>
        <v>239.85714285714289</v>
      </c>
      <c r="AD21" s="6">
        <f>IFERROR(1-W21/AC21,"-")</f>
        <v>0.32876712328767133</v>
      </c>
      <c r="AE21" s="7">
        <v>239</v>
      </c>
      <c r="AF21" s="6">
        <f>1-W21/AE21</f>
        <v>0.32635983263598323</v>
      </c>
      <c r="AG21" s="4">
        <f>AE21-W21</f>
        <v>78</v>
      </c>
      <c r="AH21" s="28"/>
      <c r="AI21" s="6"/>
      <c r="AJ21" s="6"/>
      <c r="AK21" s="6" t="str">
        <f>IFERROR(U21/M21,"-")</f>
        <v>-</v>
      </c>
      <c r="AL21" s="6">
        <f>IFERROR(AE21/N21,"-")</f>
        <v>1.0622222222222222</v>
      </c>
      <c r="AM21" s="6">
        <f>IFERROR(W21/O21,"-")</f>
        <v>1.0952380952380953</v>
      </c>
      <c r="AN21" s="6" t="str">
        <f>IFERROR(1-W21/AO21,"-")</f>
        <v>-</v>
      </c>
      <c r="AO21" s="4" t="str">
        <f>IFERROR(ROUND($AE21*Q21/$N21,0),"-")</f>
        <v>-</v>
      </c>
      <c r="AP21" s="4" t="str">
        <f>IF(R21="","-",R21)</f>
        <v>-</v>
      </c>
      <c r="AQ21" s="4" t="str">
        <f>IF(S21="","-",S21)</f>
        <v>-</v>
      </c>
      <c r="AR21" s="4">
        <v>0</v>
      </c>
      <c r="AS21" s="4" t="s">
        <v>416</v>
      </c>
      <c r="AT21" s="4"/>
      <c r="AU21" s="4"/>
      <c r="AV21" s="4" t="s">
        <v>414</v>
      </c>
      <c r="AW21" s="4">
        <v>219</v>
      </c>
      <c r="AX21" s="4">
        <f>IF(AT21="",AW21,AT21/AU21*AW21)</f>
        <v>219</v>
      </c>
      <c r="AY21" s="19">
        <v>4</v>
      </c>
      <c r="AZ21" s="19">
        <v>8</v>
      </c>
      <c r="BA21" s="16">
        <v>405</v>
      </c>
      <c r="BB21" t="s">
        <v>528</v>
      </c>
      <c r="BC21" t="str">
        <f>IFERROR(BB21*AM21,"-")</f>
        <v>-</v>
      </c>
      <c r="BD21">
        <v>220</v>
      </c>
      <c r="BE21">
        <f>IFERROR(BD21*AM21,"-")</f>
        <v>240.95238095238096</v>
      </c>
      <c r="BF21" t="s">
        <v>313</v>
      </c>
    </row>
    <row r="22" spans="1:58" x14ac:dyDescent="0.4">
      <c r="A22" s="3">
        <v>6</v>
      </c>
      <c r="B22" s="3">
        <v>6</v>
      </c>
      <c r="C22" s="4" t="s">
        <v>60</v>
      </c>
      <c r="D22" s="4" t="str">
        <f>TEXT(C22,"000000")</f>
        <v>J2183R</v>
      </c>
      <c r="E22" s="4" t="s">
        <v>60</v>
      </c>
      <c r="F22" s="4" t="str">
        <f>D22&amp;I22</f>
        <v>J2183R5</v>
      </c>
      <c r="G22" s="4" t="s">
        <v>183</v>
      </c>
      <c r="H22" s="5">
        <v>4547345054139</v>
      </c>
      <c r="I22" s="33">
        <v>5</v>
      </c>
      <c r="J22" s="5"/>
      <c r="K22" s="5">
        <v>1</v>
      </c>
      <c r="L22" s="5">
        <v>1</v>
      </c>
      <c r="M22" s="4">
        <v>0</v>
      </c>
      <c r="N22" s="4">
        <v>225</v>
      </c>
      <c r="O22" s="4">
        <v>147</v>
      </c>
      <c r="P22" s="6">
        <f>IFERROR(1-O22/N22,"-")</f>
        <v>0.34666666666666668</v>
      </c>
      <c r="Q22" s="4" t="s">
        <v>304</v>
      </c>
      <c r="R22" s="4" t="s">
        <v>304</v>
      </c>
      <c r="S22" s="4" t="s">
        <v>304</v>
      </c>
      <c r="T22" s="33">
        <v>0</v>
      </c>
      <c r="U22" s="4">
        <f>IF(X22="",T22,T22*X22)</f>
        <v>0</v>
      </c>
      <c r="V22" s="4">
        <v>161</v>
      </c>
      <c r="W22" s="4">
        <f>IF(X22="",V22,V22*X22)</f>
        <v>161</v>
      </c>
      <c r="X22" s="4"/>
      <c r="Y22" s="21">
        <f>ROUND(N22*AM22,0)</f>
        <v>246</v>
      </c>
      <c r="Z22" s="6">
        <f>IFERROR(1-W22/Y22,"-")</f>
        <v>0.34552845528455289</v>
      </c>
      <c r="AA22" s="33">
        <v>0</v>
      </c>
      <c r="AB22" s="4">
        <f>AX22</f>
        <v>219</v>
      </c>
      <c r="AC22" s="33">
        <f>IFERROR(AB22*AM22,"-")</f>
        <v>239.85714285714289</v>
      </c>
      <c r="AD22" s="6">
        <f>IFERROR(1-W22/AC22,"-")</f>
        <v>0.32876712328767133</v>
      </c>
      <c r="AE22" s="7">
        <v>239</v>
      </c>
      <c r="AF22" s="6">
        <f>1-W22/AE22</f>
        <v>0.32635983263598323</v>
      </c>
      <c r="AG22" s="4">
        <f>AE22-W22</f>
        <v>78</v>
      </c>
      <c r="AH22" s="28"/>
      <c r="AI22" s="6"/>
      <c r="AJ22" s="6"/>
      <c r="AK22" s="6" t="str">
        <f>IFERROR(U22/M22,"-")</f>
        <v>-</v>
      </c>
      <c r="AL22" s="6">
        <f>IFERROR(AE22/N22,"-")</f>
        <v>1.0622222222222222</v>
      </c>
      <c r="AM22" s="6">
        <f>IFERROR(W22/O22,"-")</f>
        <v>1.0952380952380953</v>
      </c>
      <c r="AN22" s="6" t="str">
        <f>IFERROR(1-W22/AO22,"-")</f>
        <v>-</v>
      </c>
      <c r="AO22" s="4" t="str">
        <f>IFERROR(ROUND($AE22*Q22/$N22,0),"-")</f>
        <v>-</v>
      </c>
      <c r="AP22" s="4" t="str">
        <f>IF(R22="","-",R22)</f>
        <v>-</v>
      </c>
      <c r="AQ22" s="4" t="str">
        <f>IF(S22="","-",S22)</f>
        <v>-</v>
      </c>
      <c r="AR22" s="4">
        <v>0</v>
      </c>
      <c r="AS22" s="4" t="s">
        <v>417</v>
      </c>
      <c r="AT22" s="4"/>
      <c r="AU22" s="4"/>
      <c r="AV22" s="4" t="s">
        <v>414</v>
      </c>
      <c r="AW22" s="4">
        <v>219</v>
      </c>
      <c r="AX22" s="4">
        <f>IF(AT22="",AW22,AT22/AU22*AW22)</f>
        <v>219</v>
      </c>
      <c r="AY22" s="19">
        <v>4</v>
      </c>
      <c r="AZ22" s="19">
        <v>8</v>
      </c>
      <c r="BA22" s="16">
        <v>405</v>
      </c>
      <c r="BB22" t="s">
        <v>528</v>
      </c>
      <c r="BC22" t="str">
        <f>IFERROR(BB22*AM22,"-")</f>
        <v>-</v>
      </c>
      <c r="BD22">
        <v>219</v>
      </c>
      <c r="BE22">
        <f>IFERROR(BD22*AM22,"-")</f>
        <v>239.85714285714289</v>
      </c>
      <c r="BF22" t="s">
        <v>314</v>
      </c>
    </row>
    <row r="23" spans="1:58" x14ac:dyDescent="0.4">
      <c r="A23" s="3">
        <v>9</v>
      </c>
      <c r="B23" s="3">
        <v>9</v>
      </c>
      <c r="C23" s="4" t="s">
        <v>63</v>
      </c>
      <c r="D23" s="4" t="str">
        <f>TEXT(C23,"000000")</f>
        <v>J2180R</v>
      </c>
      <c r="E23" s="4" t="s">
        <v>63</v>
      </c>
      <c r="F23" s="4" t="str">
        <f>D23&amp;I23</f>
        <v>J2180R5</v>
      </c>
      <c r="G23" s="4" t="s">
        <v>186</v>
      </c>
      <c r="H23" s="5">
        <v>4547345054108</v>
      </c>
      <c r="I23" s="33">
        <v>5</v>
      </c>
      <c r="J23" s="5"/>
      <c r="K23" s="5">
        <v>1</v>
      </c>
      <c r="L23" s="5">
        <v>1</v>
      </c>
      <c r="M23" s="4">
        <v>0</v>
      </c>
      <c r="N23" s="4">
        <v>225</v>
      </c>
      <c r="O23" s="4">
        <v>147</v>
      </c>
      <c r="P23" s="6">
        <f>IFERROR(1-O23/N23,"-")</f>
        <v>0.34666666666666668</v>
      </c>
      <c r="Q23" s="4" t="s">
        <v>304</v>
      </c>
      <c r="R23" s="4" t="s">
        <v>304</v>
      </c>
      <c r="S23" s="4" t="s">
        <v>304</v>
      </c>
      <c r="T23" s="33">
        <v>0</v>
      </c>
      <c r="U23" s="4">
        <f>IF(X23="",T23,T23*X23)</f>
        <v>0</v>
      </c>
      <c r="V23" s="4">
        <v>161</v>
      </c>
      <c r="W23" s="4">
        <f>IF(X23="",V23,V23*X23)</f>
        <v>161</v>
      </c>
      <c r="X23" s="4"/>
      <c r="Y23" s="21">
        <f>ROUND(N23*AM23,0)</f>
        <v>246</v>
      </c>
      <c r="Z23" s="6">
        <f>IFERROR(1-W23/Y23,"-")</f>
        <v>0.34552845528455289</v>
      </c>
      <c r="AA23" s="33">
        <v>0.5</v>
      </c>
      <c r="AB23" s="4">
        <f>AX23</f>
        <v>219</v>
      </c>
      <c r="AC23" s="33">
        <f>IFERROR(AB23*AM23,"-")</f>
        <v>239.85714285714289</v>
      </c>
      <c r="AD23" s="6">
        <f>IFERROR(1-W23/AC23,"-")</f>
        <v>0.32876712328767133</v>
      </c>
      <c r="AE23" s="7">
        <v>239</v>
      </c>
      <c r="AF23" s="6">
        <f>1-W23/AE23</f>
        <v>0.32635983263598323</v>
      </c>
      <c r="AG23" s="4">
        <f>AE23-W23</f>
        <v>78</v>
      </c>
      <c r="AH23" s="28"/>
      <c r="AI23" s="6"/>
      <c r="AJ23" s="6"/>
      <c r="AK23" s="6" t="str">
        <f>IFERROR(U23/M23,"-")</f>
        <v>-</v>
      </c>
      <c r="AL23" s="6">
        <f>IFERROR(AE23/N23,"-")</f>
        <v>1.0622222222222222</v>
      </c>
      <c r="AM23" s="6">
        <f>IFERROR(W23/O23,"-")</f>
        <v>1.0952380952380953</v>
      </c>
      <c r="AN23" s="6" t="str">
        <f>IFERROR(1-W23/AO23,"-")</f>
        <v>-</v>
      </c>
      <c r="AO23" s="4" t="str">
        <f>IFERROR(ROUND($AE23*Q23/$N23,0),"-")</f>
        <v>-</v>
      </c>
      <c r="AP23" s="4" t="str">
        <f>IF(R23="","-",R23)</f>
        <v>-</v>
      </c>
      <c r="AQ23" s="4" t="str">
        <f>IF(S23="","-",S23)</f>
        <v>-</v>
      </c>
      <c r="AR23" s="4">
        <v>0</v>
      </c>
      <c r="AS23" s="4" t="s">
        <v>418</v>
      </c>
      <c r="AT23" s="4"/>
      <c r="AU23" s="4"/>
      <c r="AV23" s="4" t="s">
        <v>414</v>
      </c>
      <c r="AW23" s="4">
        <v>219</v>
      </c>
      <c r="AX23" s="4">
        <f>IF(AT23="",AW23,AT23/AU23*AW23)</f>
        <v>219</v>
      </c>
      <c r="AY23" s="19">
        <v>4</v>
      </c>
      <c r="AZ23" s="19">
        <v>8</v>
      </c>
      <c r="BA23" s="16">
        <v>405</v>
      </c>
      <c r="BB23" t="s">
        <v>528</v>
      </c>
      <c r="BC23" t="str">
        <f>IFERROR(BB23*AM23,"-")</f>
        <v>-</v>
      </c>
      <c r="BD23">
        <v>220</v>
      </c>
      <c r="BE23">
        <f>IFERROR(BD23*AM23,"-")</f>
        <v>240.95238095238096</v>
      </c>
      <c r="BF23" t="s">
        <v>315</v>
      </c>
    </row>
    <row r="24" spans="1:58" x14ac:dyDescent="0.4">
      <c r="A24" s="3">
        <v>51</v>
      </c>
      <c r="B24" s="3">
        <v>51</v>
      </c>
      <c r="C24" s="4" t="s">
        <v>105</v>
      </c>
      <c r="D24" s="4" t="str">
        <f>TEXT(C24,"000000")</f>
        <v>J45383</v>
      </c>
      <c r="E24" s="4" t="s">
        <v>105</v>
      </c>
      <c r="F24" s="4" t="str">
        <f>D24&amp;I24</f>
        <v>J453835</v>
      </c>
      <c r="G24" s="4" t="s">
        <v>228</v>
      </c>
      <c r="H24" s="5">
        <v>4547345050469</v>
      </c>
      <c r="I24" s="33">
        <v>5</v>
      </c>
      <c r="J24" s="5"/>
      <c r="K24" s="5">
        <v>1</v>
      </c>
      <c r="L24" s="5">
        <v>1</v>
      </c>
      <c r="M24" s="4">
        <v>0</v>
      </c>
      <c r="N24" s="4">
        <v>191</v>
      </c>
      <c r="O24" s="4">
        <v>147</v>
      </c>
      <c r="P24" s="6">
        <f>IFERROR(1-O24/N24,"-")</f>
        <v>0.23036649214659688</v>
      </c>
      <c r="Q24" s="4" t="s">
        <v>304</v>
      </c>
      <c r="R24" s="4" t="s">
        <v>304</v>
      </c>
      <c r="S24" s="4" t="s">
        <v>304</v>
      </c>
      <c r="T24" s="33">
        <v>0</v>
      </c>
      <c r="U24" s="4">
        <f>IF(X24="",T24,T24*X24)</f>
        <v>0</v>
      </c>
      <c r="V24" s="4">
        <v>161</v>
      </c>
      <c r="W24" s="4">
        <f>IF(X24="",V24,V24*X24)</f>
        <v>161</v>
      </c>
      <c r="X24" s="4"/>
      <c r="Y24" s="21">
        <f>ROUND(N24*AM24,0)</f>
        <v>209</v>
      </c>
      <c r="Z24" s="6">
        <f>IFERROR(1-W24/Y24,"-")</f>
        <v>0.22966507177033491</v>
      </c>
      <c r="AA24" s="33">
        <v>0.25</v>
      </c>
      <c r="AB24" s="4">
        <f>AX24</f>
        <v>220</v>
      </c>
      <c r="AC24" s="33">
        <f>IFERROR(AB24*AM24,"-")</f>
        <v>240.95238095238096</v>
      </c>
      <c r="AD24" s="6">
        <f>IFERROR(1-W24/AC24,"-")</f>
        <v>0.3318181818181819</v>
      </c>
      <c r="AE24" s="7">
        <v>236</v>
      </c>
      <c r="AF24" s="6">
        <f>1-W24/AE24</f>
        <v>0.31779661016949157</v>
      </c>
      <c r="AG24" s="4">
        <f>AE24-W24</f>
        <v>75</v>
      </c>
      <c r="AH24" s="28"/>
      <c r="AI24" s="6"/>
      <c r="AJ24" s="6"/>
      <c r="AK24" s="6" t="str">
        <f>IFERROR(U24/M24,"-")</f>
        <v>-</v>
      </c>
      <c r="AL24" s="6">
        <f>IFERROR(AE24/N24,"-")</f>
        <v>1.2356020942408377</v>
      </c>
      <c r="AM24" s="6">
        <f>IFERROR(W24/O24,"-")</f>
        <v>1.0952380952380953</v>
      </c>
      <c r="AN24" s="6" t="str">
        <f>IFERROR(1-W24/AO24,"-")</f>
        <v>-</v>
      </c>
      <c r="AO24" s="4" t="str">
        <f>IFERROR(ROUND($AE24*Q24/$N24,0),"-")</f>
        <v>-</v>
      </c>
      <c r="AP24" s="4" t="str">
        <f>IF(R24="","-",R24)</f>
        <v>-</v>
      </c>
      <c r="AQ24" s="4" t="str">
        <f>IF(S24="","-",S24)</f>
        <v>-</v>
      </c>
      <c r="AR24" s="4">
        <v>0</v>
      </c>
      <c r="AS24" s="4" t="s">
        <v>461</v>
      </c>
      <c r="AT24" s="4">
        <v>1</v>
      </c>
      <c r="AU24" s="4">
        <v>50</v>
      </c>
      <c r="AV24" s="4" t="s">
        <v>462</v>
      </c>
      <c r="AW24" s="4">
        <v>11000</v>
      </c>
      <c r="AX24" s="4">
        <f>IF(AT24="",AW24,AT24/AU24*AW24)</f>
        <v>220</v>
      </c>
      <c r="AY24" s="19">
        <v>4</v>
      </c>
      <c r="AZ24" s="19">
        <v>8</v>
      </c>
      <c r="BA24" s="16">
        <v>405</v>
      </c>
      <c r="BB24" t="s">
        <v>528</v>
      </c>
      <c r="BC24" t="str">
        <f>IFERROR(BB24*AM24,"-")</f>
        <v>-</v>
      </c>
      <c r="BD24">
        <v>219</v>
      </c>
      <c r="BE24">
        <f>IFERROR(BD24*AM24,"-")</f>
        <v>239.85714285714289</v>
      </c>
      <c r="BF24" t="s">
        <v>351</v>
      </c>
    </row>
    <row r="25" spans="1:58" x14ac:dyDescent="0.4">
      <c r="A25" s="3">
        <v>52</v>
      </c>
      <c r="B25" s="3">
        <v>52</v>
      </c>
      <c r="C25" s="4" t="s">
        <v>106</v>
      </c>
      <c r="D25" s="4" t="str">
        <f>TEXT(C25,"000000")</f>
        <v>J45384</v>
      </c>
      <c r="E25" s="4" t="s">
        <v>106</v>
      </c>
      <c r="F25" s="4" t="str">
        <f>D25&amp;I25</f>
        <v>J453845</v>
      </c>
      <c r="G25" s="4" t="s">
        <v>229</v>
      </c>
      <c r="H25" s="5">
        <v>4547345050452</v>
      </c>
      <c r="I25" s="33">
        <v>5</v>
      </c>
      <c r="J25" s="5"/>
      <c r="K25" s="5">
        <v>1</v>
      </c>
      <c r="L25" s="5">
        <v>1</v>
      </c>
      <c r="M25" s="4">
        <v>0</v>
      </c>
      <c r="N25" s="4">
        <v>207</v>
      </c>
      <c r="O25" s="4">
        <v>147</v>
      </c>
      <c r="P25" s="6">
        <f>IFERROR(1-O25/N25,"-")</f>
        <v>0.28985507246376807</v>
      </c>
      <c r="Q25" s="4" t="s">
        <v>304</v>
      </c>
      <c r="R25" s="4" t="s">
        <v>304</v>
      </c>
      <c r="S25" s="4" t="s">
        <v>304</v>
      </c>
      <c r="T25" s="33">
        <v>0</v>
      </c>
      <c r="U25" s="4">
        <f>IF(X25="",T25,T25*X25)</f>
        <v>0</v>
      </c>
      <c r="V25" s="4">
        <v>161</v>
      </c>
      <c r="W25" s="4">
        <f>IF(X25="",V25,V25*X25)</f>
        <v>161</v>
      </c>
      <c r="X25" s="4"/>
      <c r="Y25" s="21">
        <f>ROUND(N25*AM25,0)</f>
        <v>227</v>
      </c>
      <c r="Z25" s="6">
        <f>IFERROR(1-W25/Y25,"-")</f>
        <v>0.29074889867841414</v>
      </c>
      <c r="AA25" s="33">
        <v>0.25</v>
      </c>
      <c r="AB25" s="4">
        <f>AX25</f>
        <v>220</v>
      </c>
      <c r="AC25" s="33">
        <f>IFERROR(AB25*AM25,"-")</f>
        <v>240.95238095238096</v>
      </c>
      <c r="AD25" s="6">
        <f>IFERROR(1-W25/AC25,"-")</f>
        <v>0.3318181818181819</v>
      </c>
      <c r="AE25" s="7">
        <v>236</v>
      </c>
      <c r="AF25" s="6">
        <f>1-W25/AE25</f>
        <v>0.31779661016949157</v>
      </c>
      <c r="AG25" s="4">
        <f>AE25-W25</f>
        <v>75</v>
      </c>
      <c r="AH25" s="28"/>
      <c r="AI25" s="6"/>
      <c r="AJ25" s="6"/>
      <c r="AK25" s="6" t="str">
        <f>IFERROR(U25/M25,"-")</f>
        <v>-</v>
      </c>
      <c r="AL25" s="6">
        <f>IFERROR(AE25/N25,"-")</f>
        <v>1.1400966183574879</v>
      </c>
      <c r="AM25" s="6">
        <f>IFERROR(W25/O25,"-")</f>
        <v>1.0952380952380953</v>
      </c>
      <c r="AN25" s="6" t="str">
        <f>IFERROR(1-W25/AO25,"-")</f>
        <v>-</v>
      </c>
      <c r="AO25" s="4" t="str">
        <f>IFERROR(ROUND($AE25*Q25/$N25,0),"-")</f>
        <v>-</v>
      </c>
      <c r="AP25" s="4" t="str">
        <f>IF(R25="","-",R25)</f>
        <v>-</v>
      </c>
      <c r="AQ25" s="4" t="str">
        <f>IF(S25="","-",S25)</f>
        <v>-</v>
      </c>
      <c r="AR25" s="4">
        <v>0</v>
      </c>
      <c r="AS25" s="4" t="s">
        <v>463</v>
      </c>
      <c r="AT25" s="4">
        <v>1</v>
      </c>
      <c r="AU25" s="4">
        <v>50</v>
      </c>
      <c r="AV25" s="4" t="s">
        <v>462</v>
      </c>
      <c r="AW25" s="4">
        <v>11000</v>
      </c>
      <c r="AX25" s="4">
        <f>IF(AT25="",AW25,AT25/AU25*AW25)</f>
        <v>220</v>
      </c>
      <c r="AY25" s="19">
        <v>4</v>
      </c>
      <c r="AZ25" s="19">
        <v>8</v>
      </c>
      <c r="BA25" s="16">
        <v>405</v>
      </c>
      <c r="BB25" t="s">
        <v>528</v>
      </c>
      <c r="BC25" t="str">
        <f>IFERROR(BB25*AM25,"-")</f>
        <v>-</v>
      </c>
      <c r="BD25">
        <v>216</v>
      </c>
      <c r="BE25">
        <f>IFERROR(BD25*AM25,"-")</f>
        <v>236.57142857142858</v>
      </c>
      <c r="BF25" t="s">
        <v>352</v>
      </c>
    </row>
    <row r="26" spans="1:58" x14ac:dyDescent="0.4">
      <c r="A26" s="3">
        <v>53</v>
      </c>
      <c r="B26" s="3">
        <v>53</v>
      </c>
      <c r="C26" s="4" t="s">
        <v>107</v>
      </c>
      <c r="D26" s="4" t="str">
        <f>TEXT(C26,"000000")</f>
        <v>J45385</v>
      </c>
      <c r="E26" s="4" t="s">
        <v>107</v>
      </c>
      <c r="F26" s="4" t="str">
        <f>D26&amp;I26</f>
        <v>J453855</v>
      </c>
      <c r="G26" s="4" t="s">
        <v>230</v>
      </c>
      <c r="H26" s="5">
        <v>4547345050438</v>
      </c>
      <c r="I26" s="33">
        <v>5</v>
      </c>
      <c r="J26" s="5"/>
      <c r="K26" s="5">
        <v>1</v>
      </c>
      <c r="L26" s="5">
        <v>1</v>
      </c>
      <c r="M26" s="4">
        <v>0</v>
      </c>
      <c r="N26" s="4">
        <v>209</v>
      </c>
      <c r="O26" s="4">
        <v>147</v>
      </c>
      <c r="P26" s="6">
        <f>IFERROR(1-O26/N26,"-")</f>
        <v>0.29665071770334928</v>
      </c>
      <c r="Q26" s="4" t="s">
        <v>304</v>
      </c>
      <c r="R26" s="4" t="s">
        <v>304</v>
      </c>
      <c r="S26" s="4" t="s">
        <v>304</v>
      </c>
      <c r="T26" s="33">
        <v>0</v>
      </c>
      <c r="U26" s="4">
        <f>IF(X26="",T26,T26*X26)</f>
        <v>0</v>
      </c>
      <c r="V26" s="4">
        <v>161</v>
      </c>
      <c r="W26" s="4">
        <f>IF(X26="",V26,V26*X26)</f>
        <v>161</v>
      </c>
      <c r="X26" s="4"/>
      <c r="Y26" s="21">
        <f>ROUND(N26*AM26,0)</f>
        <v>229</v>
      </c>
      <c r="Z26" s="6">
        <f>IFERROR(1-W26/Y26,"-")</f>
        <v>0.29694323144104806</v>
      </c>
      <c r="AA26" s="33">
        <v>0.25</v>
      </c>
      <c r="AB26" s="4">
        <f>AX26</f>
        <v>220</v>
      </c>
      <c r="AC26" s="33">
        <f>IFERROR(AB26*AM26,"-")</f>
        <v>240.95238095238096</v>
      </c>
      <c r="AD26" s="6">
        <f>IFERROR(1-W26/AC26,"-")</f>
        <v>0.3318181818181819</v>
      </c>
      <c r="AE26" s="7">
        <v>236</v>
      </c>
      <c r="AF26" s="6">
        <f>1-W26/AE26</f>
        <v>0.31779661016949157</v>
      </c>
      <c r="AG26" s="4">
        <f>AE26-W26</f>
        <v>75</v>
      </c>
      <c r="AH26" s="28"/>
      <c r="AI26" s="6"/>
      <c r="AJ26" s="6"/>
      <c r="AK26" s="6" t="str">
        <f>IFERROR(U26/M26,"-")</f>
        <v>-</v>
      </c>
      <c r="AL26" s="6">
        <f>IFERROR(AE26/N26,"-")</f>
        <v>1.1291866028708133</v>
      </c>
      <c r="AM26" s="6">
        <f>IFERROR(W26/O26,"-")</f>
        <v>1.0952380952380953</v>
      </c>
      <c r="AN26" s="6" t="str">
        <f>IFERROR(1-W26/AO26,"-")</f>
        <v>-</v>
      </c>
      <c r="AO26" s="4" t="str">
        <f>IFERROR(ROUND($AE26*Q26/$N26,0),"-")</f>
        <v>-</v>
      </c>
      <c r="AP26" s="4" t="str">
        <f>IF(R26="","-",R26)</f>
        <v>-</v>
      </c>
      <c r="AQ26" s="4" t="str">
        <f>IF(S26="","-",S26)</f>
        <v>-</v>
      </c>
      <c r="AR26" s="4">
        <v>0</v>
      </c>
      <c r="AS26" s="4" t="s">
        <v>464</v>
      </c>
      <c r="AT26" s="4">
        <v>1</v>
      </c>
      <c r="AU26" s="4">
        <v>50</v>
      </c>
      <c r="AV26" s="4" t="s">
        <v>462</v>
      </c>
      <c r="AW26" s="4">
        <v>11000</v>
      </c>
      <c r="AX26" s="4">
        <f>IF(AT26="",AW26,AT26/AU26*AW26)</f>
        <v>220</v>
      </c>
      <c r="AY26" s="19">
        <v>4</v>
      </c>
      <c r="AZ26" s="19">
        <v>8</v>
      </c>
      <c r="BA26" s="16">
        <v>405</v>
      </c>
      <c r="BB26" t="s">
        <v>528</v>
      </c>
      <c r="BC26" t="str">
        <f>IFERROR(BB26*AM26,"-")</f>
        <v>-</v>
      </c>
      <c r="BD26">
        <v>217</v>
      </c>
      <c r="BE26">
        <f>IFERROR(BD26*AM26,"-")</f>
        <v>237.66666666666669</v>
      </c>
      <c r="BF26" t="s">
        <v>353</v>
      </c>
    </row>
    <row r="27" spans="1:58" x14ac:dyDescent="0.4">
      <c r="A27" s="3">
        <v>54</v>
      </c>
      <c r="B27" s="3">
        <v>54</v>
      </c>
      <c r="C27" s="4" t="s">
        <v>108</v>
      </c>
      <c r="D27" s="4" t="str">
        <f>TEXT(C27,"000000")</f>
        <v>J45386</v>
      </c>
      <c r="E27" s="4" t="s">
        <v>108</v>
      </c>
      <c r="F27" s="4" t="str">
        <f>D27&amp;I27</f>
        <v>J453865</v>
      </c>
      <c r="G27" s="4" t="s">
        <v>231</v>
      </c>
      <c r="H27" s="5">
        <v>4547345050476</v>
      </c>
      <c r="I27" s="33">
        <v>5</v>
      </c>
      <c r="J27" s="5"/>
      <c r="K27" s="5">
        <v>1</v>
      </c>
      <c r="L27" s="5">
        <v>1</v>
      </c>
      <c r="M27" s="4">
        <v>0</v>
      </c>
      <c r="N27" s="4">
        <v>186</v>
      </c>
      <c r="O27" s="4">
        <v>147</v>
      </c>
      <c r="P27" s="6">
        <f>IFERROR(1-O27/N27,"-")</f>
        <v>0.20967741935483875</v>
      </c>
      <c r="Q27" s="4" t="s">
        <v>304</v>
      </c>
      <c r="R27" s="4" t="s">
        <v>304</v>
      </c>
      <c r="S27" s="4" t="s">
        <v>304</v>
      </c>
      <c r="T27" s="33">
        <v>0</v>
      </c>
      <c r="U27" s="4">
        <f>IF(X27="",T27,T27*X27)</f>
        <v>0</v>
      </c>
      <c r="V27" s="4">
        <v>161</v>
      </c>
      <c r="W27" s="4">
        <f>IF(X27="",V27,V27*X27)</f>
        <v>161</v>
      </c>
      <c r="X27" s="4"/>
      <c r="Y27" s="21">
        <f>ROUND(N27*AM27,0)</f>
        <v>204</v>
      </c>
      <c r="Z27" s="6">
        <f>IFERROR(1-W27/Y27,"-")</f>
        <v>0.21078431372549022</v>
      </c>
      <c r="AA27" s="33">
        <v>0.25</v>
      </c>
      <c r="AB27" s="4">
        <f>AX27</f>
        <v>220</v>
      </c>
      <c r="AC27" s="33">
        <f>IFERROR(AB27*AM27,"-")</f>
        <v>240.95238095238096</v>
      </c>
      <c r="AD27" s="6">
        <f>IFERROR(1-W27/AC27,"-")</f>
        <v>0.3318181818181819</v>
      </c>
      <c r="AE27" s="7">
        <v>236</v>
      </c>
      <c r="AF27" s="6">
        <f>1-W27/AE27</f>
        <v>0.31779661016949157</v>
      </c>
      <c r="AG27" s="4">
        <f>AE27-W27</f>
        <v>75</v>
      </c>
      <c r="AH27" s="28"/>
      <c r="AI27" s="6"/>
      <c r="AJ27" s="6"/>
      <c r="AK27" s="6" t="str">
        <f>IFERROR(U27/M27,"-")</f>
        <v>-</v>
      </c>
      <c r="AL27" s="6">
        <f>IFERROR(AE27/N27,"-")</f>
        <v>1.2688172043010753</v>
      </c>
      <c r="AM27" s="6">
        <f>IFERROR(W27/O27,"-")</f>
        <v>1.0952380952380953</v>
      </c>
      <c r="AN27" s="6" t="str">
        <f>IFERROR(1-W27/AO27,"-")</f>
        <v>-</v>
      </c>
      <c r="AO27" s="4" t="str">
        <f>IFERROR(ROUND($AE27*Q27/$N27,0),"-")</f>
        <v>-</v>
      </c>
      <c r="AP27" s="4" t="str">
        <f>IF(R27="","-",R27)</f>
        <v>-</v>
      </c>
      <c r="AQ27" s="4" t="str">
        <f>IF(S27="","-",S27)</f>
        <v>-</v>
      </c>
      <c r="AR27" s="4">
        <v>0</v>
      </c>
      <c r="AS27" s="4" t="s">
        <v>465</v>
      </c>
      <c r="AT27" s="4">
        <v>1</v>
      </c>
      <c r="AU27" s="4">
        <v>50</v>
      </c>
      <c r="AV27" s="4" t="s">
        <v>462</v>
      </c>
      <c r="AW27" s="4">
        <v>11000</v>
      </c>
      <c r="AX27" s="4">
        <f>IF(AT27="",AW27,AT27/AU27*AW27)</f>
        <v>220</v>
      </c>
      <c r="AY27" s="19">
        <v>4</v>
      </c>
      <c r="AZ27" s="19">
        <v>8</v>
      </c>
      <c r="BA27" s="16">
        <v>405</v>
      </c>
      <c r="BB27" t="s">
        <v>528</v>
      </c>
      <c r="BC27" t="str">
        <f>IFERROR(BB27*AM27,"-")</f>
        <v>-</v>
      </c>
      <c r="BD27">
        <v>219</v>
      </c>
      <c r="BE27">
        <f>IFERROR(BD27*AM27,"-")</f>
        <v>239.85714285714289</v>
      </c>
      <c r="BF27" t="s">
        <v>354</v>
      </c>
    </row>
    <row r="28" spans="1:58" x14ac:dyDescent="0.4">
      <c r="A28" s="3">
        <v>55</v>
      </c>
      <c r="B28" s="3">
        <v>55</v>
      </c>
      <c r="C28" s="4" t="s">
        <v>109</v>
      </c>
      <c r="D28" s="4" t="str">
        <f>TEXT(C28,"000000")</f>
        <v>J45387</v>
      </c>
      <c r="E28" s="4" t="s">
        <v>109</v>
      </c>
      <c r="F28" s="4" t="str">
        <f>D28&amp;I28</f>
        <v>J453875</v>
      </c>
      <c r="G28" s="4" t="s">
        <v>232</v>
      </c>
      <c r="H28" s="5">
        <v>4547345050445</v>
      </c>
      <c r="I28" s="33">
        <v>5</v>
      </c>
      <c r="J28" s="5"/>
      <c r="K28" s="5">
        <v>1</v>
      </c>
      <c r="L28" s="5">
        <v>1</v>
      </c>
      <c r="M28" s="4">
        <v>0</v>
      </c>
      <c r="N28" s="4">
        <v>188</v>
      </c>
      <c r="O28" s="4">
        <v>147</v>
      </c>
      <c r="P28" s="6">
        <f>IFERROR(1-O28/N28,"-")</f>
        <v>0.21808510638297873</v>
      </c>
      <c r="Q28" s="4" t="s">
        <v>304</v>
      </c>
      <c r="R28" s="4" t="s">
        <v>304</v>
      </c>
      <c r="S28" s="4" t="s">
        <v>304</v>
      </c>
      <c r="T28" s="33">
        <v>0</v>
      </c>
      <c r="U28" s="4">
        <f>IF(X28="",T28,T28*X28)</f>
        <v>0</v>
      </c>
      <c r="V28" s="4">
        <v>161</v>
      </c>
      <c r="W28" s="4">
        <f>IF(X28="",V28,V28*X28)</f>
        <v>161</v>
      </c>
      <c r="X28" s="4"/>
      <c r="Y28" s="21">
        <f>ROUND(N28*AM28,0)</f>
        <v>206</v>
      </c>
      <c r="Z28" s="6">
        <f>IFERROR(1-W28/Y28,"-")</f>
        <v>0.21844660194174759</v>
      </c>
      <c r="AA28" s="33">
        <v>1</v>
      </c>
      <c r="AB28" s="4">
        <f>AX28</f>
        <v>220</v>
      </c>
      <c r="AC28" s="33">
        <f>IFERROR(AB28*AM28,"-")</f>
        <v>240.95238095238096</v>
      </c>
      <c r="AD28" s="6">
        <f>IFERROR(1-W28/AC28,"-")</f>
        <v>0.3318181818181819</v>
      </c>
      <c r="AE28" s="7">
        <v>236</v>
      </c>
      <c r="AF28" s="6">
        <f>1-W28/AE28</f>
        <v>0.31779661016949157</v>
      </c>
      <c r="AG28" s="4">
        <f>AE28-W28</f>
        <v>75</v>
      </c>
      <c r="AH28" s="28"/>
      <c r="AI28" s="6"/>
      <c r="AJ28" s="6"/>
      <c r="AK28" s="6" t="str">
        <f>IFERROR(U28/M28,"-")</f>
        <v>-</v>
      </c>
      <c r="AL28" s="6">
        <f>IFERROR(AE28/N28,"-")</f>
        <v>1.2553191489361701</v>
      </c>
      <c r="AM28" s="6">
        <f>IFERROR(W28/O28,"-")</f>
        <v>1.0952380952380953</v>
      </c>
      <c r="AN28" s="6" t="str">
        <f>IFERROR(1-W28/AO28,"-")</f>
        <v>-</v>
      </c>
      <c r="AO28" s="4" t="str">
        <f>IFERROR(ROUND($AE28*Q28/$N28,0),"-")</f>
        <v>-</v>
      </c>
      <c r="AP28" s="4" t="str">
        <f>IF(R28="","-",R28)</f>
        <v>-</v>
      </c>
      <c r="AQ28" s="4" t="str">
        <f>IF(S28="","-",S28)</f>
        <v>-</v>
      </c>
      <c r="AR28" s="4">
        <v>0</v>
      </c>
      <c r="AS28" s="4" t="s">
        <v>466</v>
      </c>
      <c r="AT28" s="4">
        <v>1</v>
      </c>
      <c r="AU28" s="4">
        <v>50</v>
      </c>
      <c r="AV28" s="4" t="s">
        <v>462</v>
      </c>
      <c r="AW28" s="4">
        <v>11000</v>
      </c>
      <c r="AX28" s="4">
        <f>IF(AT28="",AW28,AT28/AU28*AW28)</f>
        <v>220</v>
      </c>
      <c r="AY28" s="19">
        <v>4</v>
      </c>
      <c r="AZ28" s="19">
        <v>8</v>
      </c>
      <c r="BA28" s="16">
        <v>405</v>
      </c>
      <c r="BB28" t="s">
        <v>528</v>
      </c>
      <c r="BC28" t="str">
        <f>IFERROR(BB28*AM28,"-")</f>
        <v>-</v>
      </c>
      <c r="BD28">
        <v>219</v>
      </c>
      <c r="BE28">
        <f>IFERROR(BD28*AM28,"-")</f>
        <v>239.85714285714289</v>
      </c>
      <c r="BF28" t="s">
        <v>355</v>
      </c>
    </row>
    <row r="29" spans="1:58" x14ac:dyDescent="0.4">
      <c r="A29" s="3">
        <v>56</v>
      </c>
      <c r="B29" s="3">
        <v>56</v>
      </c>
      <c r="C29" s="4" t="s">
        <v>110</v>
      </c>
      <c r="D29" s="4" t="str">
        <f>TEXT(C29,"000000")</f>
        <v>J45388</v>
      </c>
      <c r="E29" s="4" t="s">
        <v>110</v>
      </c>
      <c r="F29" s="4" t="str">
        <f>D29&amp;I29</f>
        <v>J453885</v>
      </c>
      <c r="G29" s="4" t="s">
        <v>233</v>
      </c>
      <c r="H29" s="5">
        <v>4547345050513</v>
      </c>
      <c r="I29" s="33">
        <v>5</v>
      </c>
      <c r="J29" s="5"/>
      <c r="K29" s="5">
        <v>1</v>
      </c>
      <c r="L29" s="5">
        <v>1</v>
      </c>
      <c r="M29" s="4">
        <v>0</v>
      </c>
      <c r="N29" s="4">
        <v>193</v>
      </c>
      <c r="O29" s="4">
        <v>147</v>
      </c>
      <c r="P29" s="6">
        <f>IFERROR(1-O29/N29,"-")</f>
        <v>0.23834196891191706</v>
      </c>
      <c r="Q29" s="4" t="s">
        <v>304</v>
      </c>
      <c r="R29" s="4" t="s">
        <v>304</v>
      </c>
      <c r="S29" s="4" t="s">
        <v>304</v>
      </c>
      <c r="T29" s="33">
        <v>0</v>
      </c>
      <c r="U29" s="4">
        <f>IF(X29="",T29,T29*X29)</f>
        <v>0</v>
      </c>
      <c r="V29" s="4">
        <v>161</v>
      </c>
      <c r="W29" s="4">
        <f>IF(X29="",V29,V29*X29)</f>
        <v>161</v>
      </c>
      <c r="X29" s="4"/>
      <c r="Y29" s="21">
        <f>ROUND(N29*AM29,0)</f>
        <v>211</v>
      </c>
      <c r="Z29" s="6">
        <f>IFERROR(1-W29/Y29,"-")</f>
        <v>0.23696682464454977</v>
      </c>
      <c r="AA29" s="33">
        <v>0</v>
      </c>
      <c r="AB29" s="4">
        <f>AX29</f>
        <v>220</v>
      </c>
      <c r="AC29" s="33">
        <f>IFERROR(AB29*AM29,"-")</f>
        <v>240.95238095238096</v>
      </c>
      <c r="AD29" s="6">
        <f>IFERROR(1-W29/AC29,"-")</f>
        <v>0.3318181818181819</v>
      </c>
      <c r="AE29" s="7">
        <v>236</v>
      </c>
      <c r="AF29" s="6">
        <f>1-W29/AE29</f>
        <v>0.31779661016949157</v>
      </c>
      <c r="AG29" s="4">
        <f>AE29-W29</f>
        <v>75</v>
      </c>
      <c r="AH29" s="28"/>
      <c r="AI29" s="6"/>
      <c r="AJ29" s="6"/>
      <c r="AK29" s="6" t="str">
        <f>IFERROR(U29/M29,"-")</f>
        <v>-</v>
      </c>
      <c r="AL29" s="6">
        <f>IFERROR(AE29/N29,"-")</f>
        <v>1.2227979274611398</v>
      </c>
      <c r="AM29" s="6">
        <f>IFERROR(W29/O29,"-")</f>
        <v>1.0952380952380953</v>
      </c>
      <c r="AN29" s="6" t="str">
        <f>IFERROR(1-W29/AO29,"-")</f>
        <v>-</v>
      </c>
      <c r="AO29" s="4" t="str">
        <f>IFERROR(ROUND($AE29*Q29/$N29,0),"-")</f>
        <v>-</v>
      </c>
      <c r="AP29" s="4" t="str">
        <f>IF(R29="","-",R29)</f>
        <v>-</v>
      </c>
      <c r="AQ29" s="4" t="str">
        <f>IF(S29="","-",S29)</f>
        <v>-</v>
      </c>
      <c r="AR29" s="4">
        <v>0</v>
      </c>
      <c r="AS29" s="4" t="s">
        <v>467</v>
      </c>
      <c r="AT29" s="4">
        <v>1</v>
      </c>
      <c r="AU29" s="4">
        <v>50</v>
      </c>
      <c r="AV29" s="4" t="s">
        <v>462</v>
      </c>
      <c r="AW29" s="4">
        <v>11000</v>
      </c>
      <c r="AX29" s="4">
        <f>IF(AT29="",AW29,AT29/AU29*AW29)</f>
        <v>220</v>
      </c>
      <c r="AY29" s="19">
        <v>4</v>
      </c>
      <c r="AZ29" s="19">
        <v>8</v>
      </c>
      <c r="BA29" s="16">
        <v>405</v>
      </c>
      <c r="BB29" t="s">
        <v>528</v>
      </c>
      <c r="BC29" t="str">
        <f>IFERROR(BB29*AM29,"-")</f>
        <v>-</v>
      </c>
      <c r="BD29">
        <v>219</v>
      </c>
      <c r="BE29">
        <f>IFERROR(BD29*AM29,"-")</f>
        <v>239.85714285714289</v>
      </c>
      <c r="BF29" t="s">
        <v>356</v>
      </c>
    </row>
    <row r="30" spans="1:58" x14ac:dyDescent="0.4">
      <c r="A30" s="3">
        <v>57</v>
      </c>
      <c r="B30" s="3">
        <v>57</v>
      </c>
      <c r="C30" s="4" t="s">
        <v>111</v>
      </c>
      <c r="D30" s="4" t="str">
        <f>TEXT(C30,"000000")</f>
        <v>J45389</v>
      </c>
      <c r="E30" s="4" t="s">
        <v>111</v>
      </c>
      <c r="F30" s="4" t="str">
        <f>D30&amp;I30</f>
        <v>J453895</v>
      </c>
      <c r="G30" s="4" t="s">
        <v>234</v>
      </c>
      <c r="H30" s="5">
        <v>4547345050506</v>
      </c>
      <c r="I30" s="33">
        <v>5</v>
      </c>
      <c r="J30" s="5"/>
      <c r="K30" s="5">
        <v>1</v>
      </c>
      <c r="L30" s="5">
        <v>1</v>
      </c>
      <c r="M30" s="4">
        <v>0</v>
      </c>
      <c r="N30" s="4">
        <v>193</v>
      </c>
      <c r="O30" s="4">
        <v>147</v>
      </c>
      <c r="P30" s="6">
        <f>IFERROR(1-O30/N30,"-")</f>
        <v>0.23834196891191706</v>
      </c>
      <c r="Q30" s="4" t="s">
        <v>304</v>
      </c>
      <c r="R30" s="4" t="s">
        <v>304</v>
      </c>
      <c r="S30" s="4" t="s">
        <v>304</v>
      </c>
      <c r="T30" s="33">
        <v>0</v>
      </c>
      <c r="U30" s="4">
        <f>IF(X30="",T30,T30*X30)</f>
        <v>0</v>
      </c>
      <c r="V30" s="4">
        <v>161</v>
      </c>
      <c r="W30" s="4">
        <f>IF(X30="",V30,V30*X30)</f>
        <v>161</v>
      </c>
      <c r="X30" s="4"/>
      <c r="Y30" s="21">
        <f>ROUND(N30*AM30,0)</f>
        <v>211</v>
      </c>
      <c r="Z30" s="6">
        <f>IFERROR(1-W30/Y30,"-")</f>
        <v>0.23696682464454977</v>
      </c>
      <c r="AA30" s="33">
        <v>0.5</v>
      </c>
      <c r="AB30" s="4">
        <f>AX30</f>
        <v>220</v>
      </c>
      <c r="AC30" s="33">
        <f>IFERROR(AB30*AM30,"-")</f>
        <v>240.95238095238096</v>
      </c>
      <c r="AD30" s="6">
        <f>IFERROR(1-W30/AC30,"-")</f>
        <v>0.3318181818181819</v>
      </c>
      <c r="AE30" s="7">
        <v>236</v>
      </c>
      <c r="AF30" s="6">
        <f>1-W30/AE30</f>
        <v>0.31779661016949157</v>
      </c>
      <c r="AG30" s="4">
        <f>AE30-W30</f>
        <v>75</v>
      </c>
      <c r="AH30" s="28"/>
      <c r="AI30" s="6"/>
      <c r="AJ30" s="6"/>
      <c r="AK30" s="6" t="str">
        <f>IFERROR(U30/M30,"-")</f>
        <v>-</v>
      </c>
      <c r="AL30" s="6">
        <f>IFERROR(AE30/N30,"-")</f>
        <v>1.2227979274611398</v>
      </c>
      <c r="AM30" s="6">
        <f>IFERROR(W30/O30,"-")</f>
        <v>1.0952380952380953</v>
      </c>
      <c r="AN30" s="6" t="str">
        <f>IFERROR(1-W30/AO30,"-")</f>
        <v>-</v>
      </c>
      <c r="AO30" s="4" t="str">
        <f>IFERROR(ROUND($AE30*Q30/$N30,0),"-")</f>
        <v>-</v>
      </c>
      <c r="AP30" s="4" t="str">
        <f>IF(R30="","-",R30)</f>
        <v>-</v>
      </c>
      <c r="AQ30" s="4" t="str">
        <f>IF(S30="","-",S30)</f>
        <v>-</v>
      </c>
      <c r="AR30" s="4">
        <v>0</v>
      </c>
      <c r="AS30" s="4" t="s">
        <v>468</v>
      </c>
      <c r="AT30" s="4">
        <v>1</v>
      </c>
      <c r="AU30" s="4">
        <v>50</v>
      </c>
      <c r="AV30" s="4" t="s">
        <v>462</v>
      </c>
      <c r="AW30" s="4">
        <v>11000</v>
      </c>
      <c r="AX30" s="4">
        <f>IF(AT30="",AW30,AT30/AU30*AW30)</f>
        <v>220</v>
      </c>
      <c r="AY30" s="19">
        <v>4</v>
      </c>
      <c r="AZ30" s="19">
        <v>8</v>
      </c>
      <c r="BA30" s="16">
        <v>405</v>
      </c>
      <c r="BB30" t="s">
        <v>528</v>
      </c>
      <c r="BC30" t="str">
        <f>IFERROR(BB30*AM30,"-")</f>
        <v>-</v>
      </c>
      <c r="BD30">
        <v>219</v>
      </c>
      <c r="BE30">
        <f>IFERROR(BD30*AM30,"-")</f>
        <v>239.85714285714289</v>
      </c>
      <c r="BF30" t="s">
        <v>357</v>
      </c>
    </row>
    <row r="31" spans="1:58" x14ac:dyDescent="0.4">
      <c r="A31" s="3">
        <v>58</v>
      </c>
      <c r="B31" s="3">
        <v>58</v>
      </c>
      <c r="C31" s="4" t="s">
        <v>112</v>
      </c>
      <c r="D31" s="4" t="str">
        <f>TEXT(C31,"000000")</f>
        <v>J45390</v>
      </c>
      <c r="E31" s="4" t="s">
        <v>112</v>
      </c>
      <c r="F31" s="4" t="str">
        <f>D31&amp;I31</f>
        <v>J453905</v>
      </c>
      <c r="G31" s="4" t="s">
        <v>235</v>
      </c>
      <c r="H31" s="5">
        <v>4547345050483</v>
      </c>
      <c r="I31" s="33">
        <v>5</v>
      </c>
      <c r="J31" s="5"/>
      <c r="K31" s="5">
        <v>1</v>
      </c>
      <c r="L31" s="5">
        <v>1</v>
      </c>
      <c r="M31" s="4">
        <v>0</v>
      </c>
      <c r="N31" s="4">
        <v>193</v>
      </c>
      <c r="O31" s="4">
        <v>147</v>
      </c>
      <c r="P31" s="6">
        <f>IFERROR(1-O31/N31,"-")</f>
        <v>0.23834196891191706</v>
      </c>
      <c r="Q31" s="4" t="s">
        <v>304</v>
      </c>
      <c r="R31" s="4" t="s">
        <v>304</v>
      </c>
      <c r="S31" s="4" t="s">
        <v>304</v>
      </c>
      <c r="T31" s="33">
        <v>0</v>
      </c>
      <c r="U31" s="4">
        <f>IF(X31="",T31,T31*X31)</f>
        <v>0</v>
      </c>
      <c r="V31" s="4">
        <v>161</v>
      </c>
      <c r="W31" s="4">
        <f>IF(X31="",V31,V31*X31)</f>
        <v>161</v>
      </c>
      <c r="X31" s="4"/>
      <c r="Y31" s="21">
        <f>ROUND(N31*AM31,0)</f>
        <v>211</v>
      </c>
      <c r="Z31" s="6">
        <f>IFERROR(1-W31/Y31,"-")</f>
        <v>0.23696682464454977</v>
      </c>
      <c r="AA31" s="33">
        <v>1.25</v>
      </c>
      <c r="AB31" s="4">
        <f>AX31</f>
        <v>220</v>
      </c>
      <c r="AC31" s="33">
        <f>IFERROR(AB31*AM31,"-")</f>
        <v>240.95238095238096</v>
      </c>
      <c r="AD31" s="6">
        <f>IFERROR(1-W31/AC31,"-")</f>
        <v>0.3318181818181819</v>
      </c>
      <c r="AE31" s="7">
        <v>236</v>
      </c>
      <c r="AF31" s="6">
        <f>1-W31/AE31</f>
        <v>0.31779661016949157</v>
      </c>
      <c r="AG31" s="4">
        <f>AE31-W31</f>
        <v>75</v>
      </c>
      <c r="AH31" s="28"/>
      <c r="AI31" s="6"/>
      <c r="AJ31" s="6"/>
      <c r="AK31" s="6" t="str">
        <f>IFERROR(U31/M31,"-")</f>
        <v>-</v>
      </c>
      <c r="AL31" s="6">
        <f>IFERROR(AE31/N31,"-")</f>
        <v>1.2227979274611398</v>
      </c>
      <c r="AM31" s="6">
        <f>IFERROR(W31/O31,"-")</f>
        <v>1.0952380952380953</v>
      </c>
      <c r="AN31" s="6" t="str">
        <f>IFERROR(1-W31/AO31,"-")</f>
        <v>-</v>
      </c>
      <c r="AO31" s="4" t="str">
        <f>IFERROR(ROUND($AE31*Q31/$N31,0),"-")</f>
        <v>-</v>
      </c>
      <c r="AP31" s="4" t="str">
        <f>IF(R31="","-",R31)</f>
        <v>-</v>
      </c>
      <c r="AQ31" s="4" t="str">
        <f>IF(S31="","-",S31)</f>
        <v>-</v>
      </c>
      <c r="AR31" s="4">
        <v>0</v>
      </c>
      <c r="AS31" s="4" t="s">
        <v>469</v>
      </c>
      <c r="AT31" s="4">
        <v>1</v>
      </c>
      <c r="AU31" s="4">
        <v>50</v>
      </c>
      <c r="AV31" s="4" t="s">
        <v>462</v>
      </c>
      <c r="AW31" s="4">
        <v>11000</v>
      </c>
      <c r="AX31" s="4">
        <f>IF(AT31="",AW31,AT31/AU31*AW31)</f>
        <v>220</v>
      </c>
      <c r="AY31" s="19">
        <v>4</v>
      </c>
      <c r="AZ31" s="19">
        <v>8</v>
      </c>
      <c r="BA31" s="16">
        <v>405</v>
      </c>
      <c r="BB31" t="s">
        <v>528</v>
      </c>
      <c r="BC31" t="str">
        <f>IFERROR(BB31*AM31,"-")</f>
        <v>-</v>
      </c>
      <c r="BD31">
        <v>217</v>
      </c>
      <c r="BE31">
        <f>IFERROR(BD31*AM31,"-")</f>
        <v>237.66666666666669</v>
      </c>
      <c r="BF31" t="s">
        <v>358</v>
      </c>
    </row>
    <row r="32" spans="1:58" x14ac:dyDescent="0.4">
      <c r="A32" s="3">
        <v>59</v>
      </c>
      <c r="B32" s="3">
        <v>59</v>
      </c>
      <c r="C32" s="4" t="s">
        <v>113</v>
      </c>
      <c r="D32" s="4" t="str">
        <f>TEXT(C32,"000000")</f>
        <v>J45391</v>
      </c>
      <c r="E32" s="4" t="s">
        <v>113</v>
      </c>
      <c r="F32" s="4" t="str">
        <f>D32&amp;I32</f>
        <v>J453915</v>
      </c>
      <c r="G32" s="4" t="s">
        <v>236</v>
      </c>
      <c r="H32" s="5">
        <v>4547345050520</v>
      </c>
      <c r="I32" s="33">
        <v>5</v>
      </c>
      <c r="J32" s="5"/>
      <c r="K32" s="5">
        <v>1</v>
      </c>
      <c r="L32" s="5">
        <v>1</v>
      </c>
      <c r="M32" s="4">
        <v>0</v>
      </c>
      <c r="N32" s="4">
        <v>207</v>
      </c>
      <c r="O32" s="4">
        <v>147</v>
      </c>
      <c r="P32" s="6">
        <f>IFERROR(1-O32/N32,"-")</f>
        <v>0.28985507246376807</v>
      </c>
      <c r="Q32" s="4" t="s">
        <v>304</v>
      </c>
      <c r="R32" s="4" t="s">
        <v>304</v>
      </c>
      <c r="S32" s="4" t="s">
        <v>304</v>
      </c>
      <c r="T32" s="33">
        <v>0</v>
      </c>
      <c r="U32" s="4">
        <f>IF(X32="",T32,T32*X32)</f>
        <v>0</v>
      </c>
      <c r="V32" s="4">
        <v>161</v>
      </c>
      <c r="W32" s="4">
        <f>IF(X32="",V32,V32*X32)</f>
        <v>161</v>
      </c>
      <c r="X32" s="4"/>
      <c r="Y32" s="21">
        <f>ROUND(N32*AM32,0)</f>
        <v>227</v>
      </c>
      <c r="Z32" s="6">
        <f>IFERROR(1-W32/Y32,"-")</f>
        <v>0.29074889867841414</v>
      </c>
      <c r="AA32" s="33">
        <v>0.25</v>
      </c>
      <c r="AB32" s="4">
        <f>AX32</f>
        <v>220</v>
      </c>
      <c r="AC32" s="33">
        <f>IFERROR(AB32*AM32,"-")</f>
        <v>240.95238095238096</v>
      </c>
      <c r="AD32" s="6">
        <f>IFERROR(1-W32/AC32,"-")</f>
        <v>0.3318181818181819</v>
      </c>
      <c r="AE32" s="7">
        <v>236</v>
      </c>
      <c r="AF32" s="6">
        <f>1-W32/AE32</f>
        <v>0.31779661016949157</v>
      </c>
      <c r="AG32" s="4">
        <f>AE32-W32</f>
        <v>75</v>
      </c>
      <c r="AH32" s="28"/>
      <c r="AI32" s="6"/>
      <c r="AJ32" s="6"/>
      <c r="AK32" s="6" t="str">
        <f>IFERROR(U32/M32,"-")</f>
        <v>-</v>
      </c>
      <c r="AL32" s="6">
        <f>IFERROR(AE32/N32,"-")</f>
        <v>1.1400966183574879</v>
      </c>
      <c r="AM32" s="6">
        <f>IFERROR(W32/O32,"-")</f>
        <v>1.0952380952380953</v>
      </c>
      <c r="AN32" s="6" t="str">
        <f>IFERROR(1-W32/AO32,"-")</f>
        <v>-</v>
      </c>
      <c r="AO32" s="4" t="str">
        <f>IFERROR(ROUND($AE32*Q32/$N32,0),"-")</f>
        <v>-</v>
      </c>
      <c r="AP32" s="4" t="str">
        <f>IF(R32="","-",R32)</f>
        <v>-</v>
      </c>
      <c r="AQ32" s="4" t="str">
        <f>IF(S32="","-",S32)</f>
        <v>-</v>
      </c>
      <c r="AR32" s="4">
        <v>0</v>
      </c>
      <c r="AS32" s="4" t="s">
        <v>470</v>
      </c>
      <c r="AT32" s="4">
        <v>1</v>
      </c>
      <c r="AU32" s="4">
        <v>50</v>
      </c>
      <c r="AV32" s="4" t="s">
        <v>462</v>
      </c>
      <c r="AW32" s="4">
        <v>11000</v>
      </c>
      <c r="AX32" s="4">
        <f>IF(AT32="",AW32,AT32/AU32*AW32)</f>
        <v>220</v>
      </c>
      <c r="AY32" s="19">
        <v>4</v>
      </c>
      <c r="AZ32" s="19">
        <v>8</v>
      </c>
      <c r="BA32" s="16">
        <v>405</v>
      </c>
      <c r="BB32" t="s">
        <v>528</v>
      </c>
      <c r="BC32" t="str">
        <f>IFERROR(BB32*AM32,"-")</f>
        <v>-</v>
      </c>
      <c r="BD32">
        <v>219</v>
      </c>
      <c r="BE32">
        <f>IFERROR(BD32*AM32,"-")</f>
        <v>239.85714285714289</v>
      </c>
      <c r="BF32" t="s">
        <v>359</v>
      </c>
    </row>
    <row r="33" spans="1:58" x14ac:dyDescent="0.4">
      <c r="A33" s="3">
        <v>60</v>
      </c>
      <c r="B33" s="3">
        <v>60</v>
      </c>
      <c r="C33" s="4" t="s">
        <v>114</v>
      </c>
      <c r="D33" s="4" t="str">
        <f>TEXT(C33,"000000")</f>
        <v>J45392</v>
      </c>
      <c r="E33" s="4" t="s">
        <v>114</v>
      </c>
      <c r="F33" s="4" t="str">
        <f>D33&amp;I33</f>
        <v>J453925</v>
      </c>
      <c r="G33" s="4" t="s">
        <v>237</v>
      </c>
      <c r="H33" s="5">
        <v>4547345050490</v>
      </c>
      <c r="I33" s="33">
        <v>5</v>
      </c>
      <c r="J33" s="5"/>
      <c r="K33" s="5">
        <v>1</v>
      </c>
      <c r="L33" s="5">
        <v>1</v>
      </c>
      <c r="M33" s="4">
        <v>0</v>
      </c>
      <c r="N33" s="4">
        <v>207</v>
      </c>
      <c r="O33" s="4">
        <v>147</v>
      </c>
      <c r="P33" s="6">
        <f>IFERROR(1-O33/N33,"-")</f>
        <v>0.28985507246376807</v>
      </c>
      <c r="Q33" s="4" t="s">
        <v>304</v>
      </c>
      <c r="R33" s="4" t="s">
        <v>304</v>
      </c>
      <c r="S33" s="4" t="s">
        <v>304</v>
      </c>
      <c r="T33" s="33">
        <v>0</v>
      </c>
      <c r="U33" s="4">
        <f>IF(X33="",T33,T33*X33)</f>
        <v>0</v>
      </c>
      <c r="V33" s="4">
        <v>161</v>
      </c>
      <c r="W33" s="4">
        <f>IF(X33="",V33,V33*X33)</f>
        <v>161</v>
      </c>
      <c r="X33" s="4"/>
      <c r="Y33" s="21">
        <f>ROUND(N33*AM33,0)</f>
        <v>227</v>
      </c>
      <c r="Z33" s="6">
        <f>IFERROR(1-W33/Y33,"-")</f>
        <v>0.29074889867841414</v>
      </c>
      <c r="AA33" s="33">
        <v>0.25</v>
      </c>
      <c r="AB33" s="4">
        <f>AX33</f>
        <v>220</v>
      </c>
      <c r="AC33" s="33">
        <f>IFERROR(AB33*AM33,"-")</f>
        <v>240.95238095238096</v>
      </c>
      <c r="AD33" s="6">
        <f>IFERROR(1-W33/AC33,"-")</f>
        <v>0.3318181818181819</v>
      </c>
      <c r="AE33" s="7">
        <v>236</v>
      </c>
      <c r="AF33" s="6">
        <f>1-W33/AE33</f>
        <v>0.31779661016949157</v>
      </c>
      <c r="AG33" s="4">
        <f>AE33-W33</f>
        <v>75</v>
      </c>
      <c r="AH33" s="28"/>
      <c r="AI33" s="6"/>
      <c r="AJ33" s="6"/>
      <c r="AK33" s="6" t="str">
        <f>IFERROR(U33/M33,"-")</f>
        <v>-</v>
      </c>
      <c r="AL33" s="6">
        <f>IFERROR(AE33/N33,"-")</f>
        <v>1.1400966183574879</v>
      </c>
      <c r="AM33" s="6">
        <f>IFERROR(W33/O33,"-")</f>
        <v>1.0952380952380953</v>
      </c>
      <c r="AN33" s="6" t="str">
        <f>IFERROR(1-W33/AO33,"-")</f>
        <v>-</v>
      </c>
      <c r="AO33" s="4" t="str">
        <f>IFERROR(ROUND($AE33*Q33/$N33,0),"-")</f>
        <v>-</v>
      </c>
      <c r="AP33" s="4" t="str">
        <f>IF(R33="","-",R33)</f>
        <v>-</v>
      </c>
      <c r="AQ33" s="4" t="str">
        <f>IF(S33="","-",S33)</f>
        <v>-</v>
      </c>
      <c r="AR33" s="4">
        <v>0</v>
      </c>
      <c r="AS33" s="4" t="s">
        <v>471</v>
      </c>
      <c r="AT33" s="4">
        <v>1</v>
      </c>
      <c r="AU33" s="4">
        <v>50</v>
      </c>
      <c r="AV33" s="4" t="s">
        <v>462</v>
      </c>
      <c r="AW33" s="4">
        <v>11000</v>
      </c>
      <c r="AX33" s="4">
        <f>IF(AT33="",AW33,AT33/AU33*AW33)</f>
        <v>220</v>
      </c>
      <c r="AY33" s="19">
        <v>4</v>
      </c>
      <c r="AZ33" s="19">
        <v>8</v>
      </c>
      <c r="BA33" s="16">
        <v>405</v>
      </c>
      <c r="BB33" t="s">
        <v>528</v>
      </c>
      <c r="BC33" t="str">
        <f>IFERROR(BB33*AM33,"-")</f>
        <v>-</v>
      </c>
      <c r="BD33">
        <v>216</v>
      </c>
      <c r="BE33">
        <f>IFERROR(BD33*AM33,"-")</f>
        <v>236.57142857142858</v>
      </c>
      <c r="BF33" t="s">
        <v>360</v>
      </c>
    </row>
    <row r="34" spans="1:58" x14ac:dyDescent="0.4">
      <c r="A34" s="3">
        <v>91</v>
      </c>
      <c r="B34" s="3">
        <v>91</v>
      </c>
      <c r="C34" s="4" t="s">
        <v>145</v>
      </c>
      <c r="D34" s="4" t="str">
        <f>TEXT(C34,"000000")</f>
        <v>J6351P</v>
      </c>
      <c r="E34" s="4" t="s">
        <v>145</v>
      </c>
      <c r="F34" s="4" t="str">
        <f>D34&amp;I34</f>
        <v>J6351P5</v>
      </c>
      <c r="G34" s="4" t="s">
        <v>268</v>
      </c>
      <c r="H34" s="5">
        <v>4547345054399</v>
      </c>
      <c r="I34" s="33">
        <v>5</v>
      </c>
      <c r="J34" s="5"/>
      <c r="K34" s="5">
        <v>1</v>
      </c>
      <c r="L34" s="5">
        <v>1</v>
      </c>
      <c r="M34" s="4">
        <v>0</v>
      </c>
      <c r="N34" s="4">
        <v>578</v>
      </c>
      <c r="O34" s="4">
        <v>381</v>
      </c>
      <c r="P34" s="6">
        <f>IFERROR(1-O34/N34,"-")</f>
        <v>0.34083044982698962</v>
      </c>
      <c r="Q34" s="4" t="s">
        <v>304</v>
      </c>
      <c r="R34" s="4" t="s">
        <v>304</v>
      </c>
      <c r="S34" s="4" t="s">
        <v>304</v>
      </c>
      <c r="T34" s="33">
        <v>0</v>
      </c>
      <c r="U34" s="4">
        <f>IF(X34="",T34,T34*X34)</f>
        <v>0</v>
      </c>
      <c r="V34" s="4">
        <v>411</v>
      </c>
      <c r="W34" s="4">
        <f>IF(X34="",V34,V34*X34)</f>
        <v>411</v>
      </c>
      <c r="X34" s="4"/>
      <c r="Y34" s="21">
        <f>ROUND(N34*AM34,0)</f>
        <v>624</v>
      </c>
      <c r="Z34" s="6">
        <f>IFERROR(1-W34/Y34,"-")</f>
        <v>0.34134615384615385</v>
      </c>
      <c r="AA34" s="33">
        <v>0.75</v>
      </c>
      <c r="AB34" s="4">
        <f>AX34</f>
        <v>555.9</v>
      </c>
      <c r="AC34" s="33">
        <f>IFERROR(AB34*AM34,"-")</f>
        <v>599.67165354330712</v>
      </c>
      <c r="AD34" s="6">
        <f>IFERROR(1-W34/AC34,"-")</f>
        <v>0.31462493254182411</v>
      </c>
      <c r="AE34" s="7">
        <v>599</v>
      </c>
      <c r="AF34" s="6">
        <f>1-W34/AE34</f>
        <v>0.31385642737896491</v>
      </c>
      <c r="AG34" s="4">
        <f>AE34-W34</f>
        <v>188</v>
      </c>
      <c r="AH34" s="28"/>
      <c r="AI34" s="6"/>
      <c r="AJ34" s="6"/>
      <c r="AK34" s="6" t="str">
        <f>IFERROR(U34/M34,"-")</f>
        <v>-</v>
      </c>
      <c r="AL34" s="6">
        <f>IFERROR(AE34/N34,"-")</f>
        <v>1.0363321799307958</v>
      </c>
      <c r="AM34" s="6">
        <f>IFERROR(W34/O34,"-")</f>
        <v>1.078740157480315</v>
      </c>
      <c r="AN34" s="6" t="str">
        <f>IFERROR(1-W34/AO34,"-")</f>
        <v>-</v>
      </c>
      <c r="AO34" s="4" t="str">
        <f>IFERROR(ROUND($AE34*Q34/$N34,0),"-")</f>
        <v>-</v>
      </c>
      <c r="AP34" s="4" t="str">
        <f>IF(R34="","-",R34)</f>
        <v>-</v>
      </c>
      <c r="AQ34" s="4" t="str">
        <f>IF(S34="","-",S34)</f>
        <v>-</v>
      </c>
      <c r="AR34" s="4">
        <v>0</v>
      </c>
      <c r="AS34" s="4" t="s">
        <v>491</v>
      </c>
      <c r="AT34" s="4">
        <v>1</v>
      </c>
      <c r="AU34" s="4">
        <v>20</v>
      </c>
      <c r="AV34" s="4" t="s">
        <v>444</v>
      </c>
      <c r="AW34" s="4">
        <v>11118</v>
      </c>
      <c r="AX34" s="4">
        <f>IF(AT34="",AW34,AT34/AU34*AW34)</f>
        <v>555.9</v>
      </c>
      <c r="AY34" s="19">
        <v>4</v>
      </c>
      <c r="AZ34" s="19">
        <v>8</v>
      </c>
      <c r="BA34" s="16">
        <v>405</v>
      </c>
      <c r="BB34" t="s">
        <v>528</v>
      </c>
      <c r="BC34" t="str">
        <f>IFERROR(BB34*AM34,"-")</f>
        <v>-</v>
      </c>
      <c r="BD34">
        <v>532</v>
      </c>
      <c r="BE34">
        <f>IFERROR(BD34*AM34,"-")</f>
        <v>573.88976377952758</v>
      </c>
      <c r="BF34" t="s">
        <v>377</v>
      </c>
    </row>
    <row r="35" spans="1:58" x14ac:dyDescent="0.4">
      <c r="A35" s="3">
        <v>97</v>
      </c>
      <c r="B35" s="3">
        <v>97</v>
      </c>
      <c r="C35" s="4" t="s">
        <v>151</v>
      </c>
      <c r="D35" s="4" t="str">
        <f>TEXT(C35,"000000")</f>
        <v>J6355P</v>
      </c>
      <c r="E35" s="4" t="s">
        <v>151</v>
      </c>
      <c r="F35" s="4" t="str">
        <f>D35&amp;I35</f>
        <v>J6355P5</v>
      </c>
      <c r="G35" s="4" t="s">
        <v>274</v>
      </c>
      <c r="H35" s="5">
        <v>4547345054436</v>
      </c>
      <c r="I35" s="33">
        <v>5</v>
      </c>
      <c r="J35" s="5"/>
      <c r="K35" s="5">
        <v>1</v>
      </c>
      <c r="L35" s="5">
        <v>1</v>
      </c>
      <c r="M35" s="4">
        <v>0</v>
      </c>
      <c r="N35" s="4">
        <v>584</v>
      </c>
      <c r="O35" s="4">
        <v>381</v>
      </c>
      <c r="P35" s="6">
        <f>IFERROR(1-O35/N35,"-")</f>
        <v>0.3476027397260274</v>
      </c>
      <c r="Q35" s="4" t="s">
        <v>304</v>
      </c>
      <c r="R35" s="4" t="s">
        <v>304</v>
      </c>
      <c r="S35" s="4" t="s">
        <v>304</v>
      </c>
      <c r="T35" s="33">
        <v>0</v>
      </c>
      <c r="U35" s="4">
        <f>IF(X35="",T35,T35*X35)</f>
        <v>0</v>
      </c>
      <c r="V35" s="4">
        <v>411</v>
      </c>
      <c r="W35" s="4">
        <f>IF(X35="",V35,V35*X35)</f>
        <v>411</v>
      </c>
      <c r="X35" s="4"/>
      <c r="Y35" s="21">
        <f>ROUND(N35*AM35,0)</f>
        <v>630</v>
      </c>
      <c r="Z35" s="6">
        <f>IFERROR(1-W35/Y35,"-")</f>
        <v>0.34761904761904761</v>
      </c>
      <c r="AA35" s="33">
        <v>0.5</v>
      </c>
      <c r="AB35" s="4">
        <f>AX35</f>
        <v>555.9</v>
      </c>
      <c r="AC35" s="33">
        <f>IFERROR(AB35*AM35,"-")</f>
        <v>599.67165354330712</v>
      </c>
      <c r="AD35" s="6">
        <f>IFERROR(1-W35/AC35,"-")</f>
        <v>0.31462493254182411</v>
      </c>
      <c r="AE35" s="7">
        <v>599</v>
      </c>
      <c r="AF35" s="6">
        <f>1-W35/AE35</f>
        <v>0.31385642737896491</v>
      </c>
      <c r="AG35" s="4">
        <f>AE35-W35</f>
        <v>188</v>
      </c>
      <c r="AH35" s="28"/>
      <c r="AI35" s="6"/>
      <c r="AJ35" s="6"/>
      <c r="AK35" s="6" t="str">
        <f>IFERROR(U35/M35,"-")</f>
        <v>-</v>
      </c>
      <c r="AL35" s="6">
        <f>IFERROR(AE35/N35,"-")</f>
        <v>1.0256849315068493</v>
      </c>
      <c r="AM35" s="6">
        <f>IFERROR(W35/O35,"-")</f>
        <v>1.078740157480315</v>
      </c>
      <c r="AN35" s="6" t="str">
        <f>IFERROR(1-W35/AO35,"-")</f>
        <v>-</v>
      </c>
      <c r="AO35" s="4" t="str">
        <f>IFERROR(ROUND($AE35*Q35/$N35,0),"-")</f>
        <v>-</v>
      </c>
      <c r="AP35" s="4" t="str">
        <f>IF(R35="","-",R35)</f>
        <v>-</v>
      </c>
      <c r="AQ35" s="4" t="str">
        <f>IF(S35="","-",S35)</f>
        <v>-</v>
      </c>
      <c r="AR35" s="4">
        <v>0</v>
      </c>
      <c r="AS35" s="4" t="s">
        <v>497</v>
      </c>
      <c r="AT35" s="4">
        <v>1</v>
      </c>
      <c r="AU35" s="4">
        <v>20</v>
      </c>
      <c r="AV35" s="4" t="s">
        <v>444</v>
      </c>
      <c r="AW35" s="4">
        <v>11118</v>
      </c>
      <c r="AX35" s="4">
        <f>IF(AT35="",AW35,AT35/AU35*AW35)</f>
        <v>555.9</v>
      </c>
      <c r="AY35" s="19">
        <v>4</v>
      </c>
      <c r="AZ35" s="19">
        <v>8</v>
      </c>
      <c r="BA35" s="16">
        <v>405</v>
      </c>
      <c r="BB35" t="s">
        <v>528</v>
      </c>
      <c r="BC35" t="str">
        <f>IFERROR(BB35*AM35,"-")</f>
        <v>-</v>
      </c>
      <c r="BD35">
        <v>532</v>
      </c>
      <c r="BE35">
        <f>IFERROR(BD35*AM35,"-")</f>
        <v>573.88976377952758</v>
      </c>
      <c r="BF35" t="s">
        <v>383</v>
      </c>
    </row>
    <row r="36" spans="1:58" x14ac:dyDescent="0.4">
      <c r="A36" s="3">
        <v>10</v>
      </c>
      <c r="B36" s="3">
        <v>10</v>
      </c>
      <c r="C36" s="4" t="s">
        <v>64</v>
      </c>
      <c r="D36" s="4" t="str">
        <f>TEXT(C36,"000000")</f>
        <v>J2938R</v>
      </c>
      <c r="E36" s="4" t="s">
        <v>64</v>
      </c>
      <c r="F36" s="4" t="str">
        <f>D36&amp;I36</f>
        <v>J2938R5</v>
      </c>
      <c r="G36" s="4" t="s">
        <v>187</v>
      </c>
      <c r="H36" s="5">
        <v>4547345055907</v>
      </c>
      <c r="I36" s="33">
        <v>5</v>
      </c>
      <c r="J36" s="5"/>
      <c r="K36" s="5">
        <v>1</v>
      </c>
      <c r="L36" s="5">
        <v>1</v>
      </c>
      <c r="M36" s="4">
        <v>0</v>
      </c>
      <c r="N36" s="4">
        <v>950</v>
      </c>
      <c r="O36" s="4">
        <v>615</v>
      </c>
      <c r="P36" s="6">
        <f>IFERROR(1-O36/N36,"-")</f>
        <v>0.35263157894736841</v>
      </c>
      <c r="Q36" s="4" t="s">
        <v>304</v>
      </c>
      <c r="R36" s="4" t="s">
        <v>304</v>
      </c>
      <c r="S36" s="4" t="s">
        <v>304</v>
      </c>
      <c r="T36" s="33">
        <v>0</v>
      </c>
      <c r="U36" s="4">
        <f>IF(X36="",T36,T36*X36)</f>
        <v>0</v>
      </c>
      <c r="V36" s="4">
        <v>661</v>
      </c>
      <c r="W36" s="4">
        <f>IF(X36="",V36,V36*X36)</f>
        <v>661</v>
      </c>
      <c r="X36" s="4"/>
      <c r="Y36" s="21">
        <f>ROUND(N36*AM36,0)</f>
        <v>1021</v>
      </c>
      <c r="Z36" s="6">
        <f>IFERROR(1-W36/Y36,"-")</f>
        <v>0.35259549461312434</v>
      </c>
      <c r="AA36" s="33">
        <v>0.5</v>
      </c>
      <c r="AB36" s="4" t="str">
        <f>AX36</f>
        <v>-</v>
      </c>
      <c r="AC36" s="33" t="str">
        <f>IFERROR(AB36*AM36,"-")</f>
        <v>-</v>
      </c>
      <c r="AD36" s="6" t="str">
        <f>IFERROR(1-W36/AC36,"-")</f>
        <v>-</v>
      </c>
      <c r="AE36" s="7">
        <v>1020</v>
      </c>
      <c r="AF36" s="6">
        <f>1-W36/AE36</f>
        <v>0.35196078431372546</v>
      </c>
      <c r="AG36" s="4">
        <f>AE36-W36</f>
        <v>359</v>
      </c>
      <c r="AH36" s="28"/>
      <c r="AI36" s="6"/>
      <c r="AJ36" s="6"/>
      <c r="AK36" s="6" t="str">
        <f>IFERROR(U36/M36,"-")</f>
        <v>-</v>
      </c>
      <c r="AL36" s="6">
        <f>IFERROR(AE36/N36,"-")</f>
        <v>1.0736842105263158</v>
      </c>
      <c r="AM36" s="6">
        <f>IFERROR(W36/O36,"-")</f>
        <v>1.0747967479674796</v>
      </c>
      <c r="AN36" s="6" t="str">
        <f>IFERROR(1-W36/AO36,"-")</f>
        <v>-</v>
      </c>
      <c r="AO36" s="4" t="str">
        <f>IFERROR(ROUND($AE36*Q36/$N36,0),"-")</f>
        <v>-</v>
      </c>
      <c r="AP36" s="4" t="str">
        <f>IF(R36="","-",R36)</f>
        <v>-</v>
      </c>
      <c r="AQ36" s="4" t="str">
        <f>IF(S36="","-",S36)</f>
        <v>-</v>
      </c>
      <c r="AR36" s="4">
        <v>0</v>
      </c>
      <c r="AS36" s="4" t="s">
        <v>304</v>
      </c>
      <c r="AT36" s="4"/>
      <c r="AU36" s="4"/>
      <c r="AV36" s="4" t="s">
        <v>304</v>
      </c>
      <c r="AW36" s="4" t="s">
        <v>304</v>
      </c>
      <c r="AX36" s="4" t="str">
        <f>IF(AT36="",AW36,AT36/AU36*AW36)</f>
        <v>-</v>
      </c>
      <c r="AY36" s="19">
        <v>4</v>
      </c>
      <c r="AZ36" s="19">
        <v>8</v>
      </c>
      <c r="BA36" s="16">
        <v>405</v>
      </c>
      <c r="BB36" t="s">
        <v>528</v>
      </c>
      <c r="BC36" t="str">
        <f>IFERROR(BB36*AM36,"-")</f>
        <v>-</v>
      </c>
      <c r="BD36">
        <v>836</v>
      </c>
      <c r="BE36">
        <f>IFERROR(BD36*AM36,"-")</f>
        <v>898.53008130081298</v>
      </c>
      <c r="BF36" t="s">
        <v>304</v>
      </c>
    </row>
    <row r="37" spans="1:58" x14ac:dyDescent="0.4">
      <c r="A37" s="3">
        <v>12</v>
      </c>
      <c r="B37" s="3">
        <v>12</v>
      </c>
      <c r="C37" s="4" t="s">
        <v>66</v>
      </c>
      <c r="D37" s="4" t="str">
        <f>TEXT(C37,"000000")</f>
        <v>J2939R</v>
      </c>
      <c r="E37" s="4" t="s">
        <v>66</v>
      </c>
      <c r="F37" s="4" t="str">
        <f>D37&amp;I37</f>
        <v>J2939R5</v>
      </c>
      <c r="G37" s="4" t="s">
        <v>189</v>
      </c>
      <c r="H37" s="5">
        <v>4547345055914</v>
      </c>
      <c r="I37" s="33">
        <v>5</v>
      </c>
      <c r="J37" s="5"/>
      <c r="K37" s="5">
        <v>1</v>
      </c>
      <c r="L37" s="5">
        <v>1</v>
      </c>
      <c r="M37" s="4">
        <v>0</v>
      </c>
      <c r="N37" s="4">
        <v>950</v>
      </c>
      <c r="O37" s="4">
        <v>615</v>
      </c>
      <c r="P37" s="6">
        <f>IFERROR(1-O37/N37,"-")</f>
        <v>0.35263157894736841</v>
      </c>
      <c r="Q37" s="4" t="s">
        <v>304</v>
      </c>
      <c r="R37" s="4" t="s">
        <v>304</v>
      </c>
      <c r="S37" s="4" t="s">
        <v>304</v>
      </c>
      <c r="T37" s="33">
        <v>0</v>
      </c>
      <c r="U37" s="4">
        <f>IF(X37="",T37,T37*X37)</f>
        <v>0</v>
      </c>
      <c r="V37" s="4">
        <v>661</v>
      </c>
      <c r="W37" s="4">
        <f>IF(X37="",V37,V37*X37)</f>
        <v>661</v>
      </c>
      <c r="X37" s="4"/>
      <c r="Y37" s="21">
        <f>ROUND(N37*AM37,0)</f>
        <v>1021</v>
      </c>
      <c r="Z37" s="6">
        <f>IFERROR(1-W37/Y37,"-")</f>
        <v>0.35259549461312434</v>
      </c>
      <c r="AA37" s="33">
        <v>1</v>
      </c>
      <c r="AB37" s="4" t="str">
        <f>AX37</f>
        <v>-</v>
      </c>
      <c r="AC37" s="33" t="str">
        <f>IFERROR(AB37*AM37,"-")</f>
        <v>-</v>
      </c>
      <c r="AD37" s="6" t="str">
        <f>IFERROR(1-W37/AC37,"-")</f>
        <v>-</v>
      </c>
      <c r="AE37" s="7">
        <v>1020</v>
      </c>
      <c r="AF37" s="6">
        <f>1-W37/AE37</f>
        <v>0.35196078431372546</v>
      </c>
      <c r="AG37" s="4">
        <f>AE37-W37</f>
        <v>359</v>
      </c>
      <c r="AH37" s="28"/>
      <c r="AI37" s="6"/>
      <c r="AJ37" s="6"/>
      <c r="AK37" s="6" t="str">
        <f>IFERROR(U37/M37,"-")</f>
        <v>-</v>
      </c>
      <c r="AL37" s="6">
        <f>IFERROR(AE37/N37,"-")</f>
        <v>1.0736842105263158</v>
      </c>
      <c r="AM37" s="6">
        <f>IFERROR(W37/O37,"-")</f>
        <v>1.0747967479674796</v>
      </c>
      <c r="AN37" s="6" t="str">
        <f>IFERROR(1-W37/AO37,"-")</f>
        <v>-</v>
      </c>
      <c r="AO37" s="4" t="str">
        <f>IFERROR(ROUND($AE37*Q37/$N37,0),"-")</f>
        <v>-</v>
      </c>
      <c r="AP37" s="4" t="str">
        <f>IF(R37="","-",R37)</f>
        <v>-</v>
      </c>
      <c r="AQ37" s="4" t="str">
        <f>IF(S37="","-",S37)</f>
        <v>-</v>
      </c>
      <c r="AR37" s="4">
        <v>0</v>
      </c>
      <c r="AS37" s="4" t="s">
        <v>304</v>
      </c>
      <c r="AT37" s="4"/>
      <c r="AU37" s="4"/>
      <c r="AV37" s="4" t="s">
        <v>304</v>
      </c>
      <c r="AW37" s="4" t="s">
        <v>304</v>
      </c>
      <c r="AX37" s="4" t="str">
        <f>IF(AT37="",AW37,AT37/AU37*AW37)</f>
        <v>-</v>
      </c>
      <c r="AY37" s="19">
        <v>4</v>
      </c>
      <c r="AZ37" s="19">
        <v>8</v>
      </c>
      <c r="BA37" s="16">
        <v>405</v>
      </c>
      <c r="BB37" t="s">
        <v>528</v>
      </c>
      <c r="BC37" t="str">
        <f>IFERROR(BB37*AM37,"-")</f>
        <v>-</v>
      </c>
      <c r="BD37">
        <v>836</v>
      </c>
      <c r="BE37">
        <f>IFERROR(BD37*AM37,"-")</f>
        <v>898.53008130081298</v>
      </c>
      <c r="BF37" t="s">
        <v>304</v>
      </c>
    </row>
    <row r="38" spans="1:58" x14ac:dyDescent="0.4">
      <c r="A38" s="3">
        <v>14</v>
      </c>
      <c r="B38" s="3">
        <v>14</v>
      </c>
      <c r="C38" s="4" t="s">
        <v>68</v>
      </c>
      <c r="D38" s="4" t="str">
        <f>TEXT(C38,"000000")</f>
        <v>J3071R</v>
      </c>
      <c r="E38" s="4" t="s">
        <v>68</v>
      </c>
      <c r="F38" s="4" t="str">
        <f>D38&amp;I38</f>
        <v>J3071R5</v>
      </c>
      <c r="G38" s="4" t="s">
        <v>191</v>
      </c>
      <c r="H38" s="5">
        <v>4547345055891</v>
      </c>
      <c r="I38" s="33">
        <v>5</v>
      </c>
      <c r="J38" s="5"/>
      <c r="K38" s="5">
        <v>1</v>
      </c>
      <c r="L38" s="5">
        <v>1</v>
      </c>
      <c r="M38" s="4">
        <v>0</v>
      </c>
      <c r="N38" s="4">
        <v>864</v>
      </c>
      <c r="O38" s="4">
        <v>627</v>
      </c>
      <c r="P38" s="6">
        <f>IFERROR(1-O38/N38,"-")</f>
        <v>0.27430555555555558</v>
      </c>
      <c r="Q38" s="4" t="s">
        <v>304</v>
      </c>
      <c r="R38" s="4" t="s">
        <v>304</v>
      </c>
      <c r="S38" s="4" t="s">
        <v>304</v>
      </c>
      <c r="T38" s="33">
        <v>0</v>
      </c>
      <c r="U38" s="4">
        <f>IF(X38="",T38,T38*X38)</f>
        <v>0</v>
      </c>
      <c r="V38" s="4">
        <v>677</v>
      </c>
      <c r="W38" s="4">
        <f>IF(X38="",V38,V38*X38)</f>
        <v>677</v>
      </c>
      <c r="X38" s="4"/>
      <c r="Y38" s="21">
        <f>ROUND(N38*AM38,0)</f>
        <v>933</v>
      </c>
      <c r="Z38" s="6">
        <f>IFERROR(1-W38/Y38,"-")</f>
        <v>0.27438370846730975</v>
      </c>
      <c r="AA38" s="33">
        <v>1.5</v>
      </c>
      <c r="AB38" s="4" t="str">
        <f>AX38</f>
        <v>-</v>
      </c>
      <c r="AC38" s="33" t="str">
        <f>IFERROR(AB38*AM38,"-")</f>
        <v>-</v>
      </c>
      <c r="AD38" s="6" t="str">
        <f>IFERROR(1-W38/AC38,"-")</f>
        <v>-</v>
      </c>
      <c r="AE38" s="7">
        <v>990</v>
      </c>
      <c r="AF38" s="6">
        <f>1-W38/AE38</f>
        <v>0.3161616161616162</v>
      </c>
      <c r="AG38" s="4">
        <f>AE38-W38</f>
        <v>313</v>
      </c>
      <c r="AH38" s="28"/>
      <c r="AI38" s="6"/>
      <c r="AJ38" s="6"/>
      <c r="AK38" s="6" t="str">
        <f>IFERROR(U38/M38,"-")</f>
        <v>-</v>
      </c>
      <c r="AL38" s="6">
        <f>IFERROR(AE38/N38,"-")</f>
        <v>1.1458333333333333</v>
      </c>
      <c r="AM38" s="6">
        <f>IFERROR(W38/O38,"-")</f>
        <v>1.0797448165869219</v>
      </c>
      <c r="AN38" s="6" t="str">
        <f>IFERROR(1-W38/AO38,"-")</f>
        <v>-</v>
      </c>
      <c r="AO38" s="4" t="str">
        <f>IFERROR(ROUND($AE38*Q38/$N38,0),"-")</f>
        <v>-</v>
      </c>
      <c r="AP38" s="4" t="str">
        <f>IF(R38="","-",R38)</f>
        <v>-</v>
      </c>
      <c r="AQ38" s="4" t="str">
        <f>IF(S38="","-",S38)</f>
        <v>-</v>
      </c>
      <c r="AR38" s="4">
        <v>0</v>
      </c>
      <c r="AS38" s="4" t="s">
        <v>304</v>
      </c>
      <c r="AT38" s="4"/>
      <c r="AU38" s="4"/>
      <c r="AV38" s="4" t="s">
        <v>304</v>
      </c>
      <c r="AW38" s="4" t="s">
        <v>304</v>
      </c>
      <c r="AX38" s="4" t="str">
        <f>IF(AT38="",AW38,AT38/AU38*AW38)</f>
        <v>-</v>
      </c>
      <c r="AY38" s="19">
        <v>4</v>
      </c>
      <c r="AZ38" s="19">
        <v>1</v>
      </c>
      <c r="BA38" s="16">
        <v>405</v>
      </c>
      <c r="BB38" t="s">
        <v>528</v>
      </c>
      <c r="BC38" t="str">
        <f>IFERROR(BB38*AM38,"-")</f>
        <v>-</v>
      </c>
      <c r="BD38">
        <v>846</v>
      </c>
      <c r="BE38">
        <f>IFERROR(BD38*AM38,"-")</f>
        <v>913.46411483253587</v>
      </c>
      <c r="BF38" t="s">
        <v>304</v>
      </c>
    </row>
    <row r="39" spans="1:58" x14ac:dyDescent="0.4">
      <c r="A39" s="3">
        <v>11</v>
      </c>
      <c r="B39" s="3">
        <v>11</v>
      </c>
      <c r="C39" s="4" t="s">
        <v>65</v>
      </c>
      <c r="D39" s="4" t="str">
        <f>TEXT(C39,"000000")</f>
        <v>J2940R</v>
      </c>
      <c r="E39" s="4" t="s">
        <v>65</v>
      </c>
      <c r="F39" s="4" t="str">
        <f>D39&amp;I39</f>
        <v>J2940R5</v>
      </c>
      <c r="G39" s="4" t="s">
        <v>188</v>
      </c>
      <c r="H39" s="5">
        <v>4547345055921</v>
      </c>
      <c r="I39" s="33">
        <v>5</v>
      </c>
      <c r="J39" s="5"/>
      <c r="K39" s="5">
        <v>1</v>
      </c>
      <c r="L39" s="5">
        <v>1</v>
      </c>
      <c r="M39" s="4">
        <v>0</v>
      </c>
      <c r="N39" s="4">
        <v>1106</v>
      </c>
      <c r="O39" s="4">
        <v>716</v>
      </c>
      <c r="P39" s="6">
        <f>IFERROR(1-O39/N39,"-")</f>
        <v>0.35262206148282094</v>
      </c>
      <c r="Q39" s="4" t="s">
        <v>304</v>
      </c>
      <c r="R39" s="4" t="s">
        <v>304</v>
      </c>
      <c r="S39" s="4" t="s">
        <v>304</v>
      </c>
      <c r="T39" s="33">
        <v>0</v>
      </c>
      <c r="U39" s="4">
        <f>IF(X39="",T39,T39*X39)</f>
        <v>0</v>
      </c>
      <c r="V39" s="4">
        <v>771</v>
      </c>
      <c r="W39" s="4">
        <f>IF(X39="",V39,V39*X39)</f>
        <v>771</v>
      </c>
      <c r="X39" s="4"/>
      <c r="Y39" s="21">
        <f>ROUND(N39*AM39,0)</f>
        <v>1191</v>
      </c>
      <c r="Z39" s="6">
        <f>IFERROR(1-W39/Y39,"-")</f>
        <v>0.35264483627204035</v>
      </c>
      <c r="AA39" s="33">
        <v>0.5</v>
      </c>
      <c r="AB39" s="4" t="str">
        <f>AX39</f>
        <v>-</v>
      </c>
      <c r="AC39" s="33" t="str">
        <f>IFERROR(AB39*AM39,"-")</f>
        <v>-</v>
      </c>
      <c r="AD39" s="6" t="str">
        <f>IFERROR(1-W39/AC39,"-")</f>
        <v>-</v>
      </c>
      <c r="AE39" s="7">
        <v>1150</v>
      </c>
      <c r="AF39" s="6">
        <f>1-W39/AE39</f>
        <v>0.3295652173913044</v>
      </c>
      <c r="AG39" s="4">
        <f>AE39-W39</f>
        <v>379</v>
      </c>
      <c r="AH39" s="28"/>
      <c r="AI39" s="6"/>
      <c r="AJ39" s="6"/>
      <c r="AK39" s="6" t="str">
        <f>IFERROR(U39/M39,"-")</f>
        <v>-</v>
      </c>
      <c r="AL39" s="6">
        <f>IFERROR(AE39/N39,"-")</f>
        <v>1.0397830018083183</v>
      </c>
      <c r="AM39" s="6">
        <f>IFERROR(W39/O39,"-")</f>
        <v>1.0768156424581006</v>
      </c>
      <c r="AN39" s="6" t="str">
        <f>IFERROR(1-W39/AO39,"-")</f>
        <v>-</v>
      </c>
      <c r="AO39" s="4" t="str">
        <f>IFERROR(ROUND($AE39*Q39/$N39,0),"-")</f>
        <v>-</v>
      </c>
      <c r="AP39" s="4" t="str">
        <f>IF(R39="","-",R39)</f>
        <v>-</v>
      </c>
      <c r="AQ39" s="4" t="str">
        <f>IF(S39="","-",S39)</f>
        <v>-</v>
      </c>
      <c r="AR39" s="4">
        <v>0</v>
      </c>
      <c r="AS39" s="4" t="s">
        <v>304</v>
      </c>
      <c r="AT39" s="4"/>
      <c r="AU39" s="4"/>
      <c r="AV39" s="4" t="s">
        <v>304</v>
      </c>
      <c r="AW39" s="4" t="s">
        <v>304</v>
      </c>
      <c r="AX39" s="4" t="str">
        <f>IF(AT39="",AW39,AT39/AU39*AW39)</f>
        <v>-</v>
      </c>
      <c r="AY39" s="19">
        <v>4</v>
      </c>
      <c r="AZ39" s="19">
        <v>8</v>
      </c>
      <c r="BA39" s="16">
        <v>405</v>
      </c>
      <c r="BB39" t="s">
        <v>528</v>
      </c>
      <c r="BC39" t="str">
        <f>IFERROR(BB39*AM39,"-")</f>
        <v>-</v>
      </c>
      <c r="BD39">
        <v>979</v>
      </c>
      <c r="BE39">
        <f>IFERROR(BD39*AM39,"-")</f>
        <v>1054.2025139664804</v>
      </c>
      <c r="BF39" t="s">
        <v>304</v>
      </c>
    </row>
    <row r="40" spans="1:58" x14ac:dyDescent="0.4">
      <c r="A40" s="3">
        <v>8</v>
      </c>
      <c r="B40" s="3">
        <v>8</v>
      </c>
      <c r="C40" s="4" t="s">
        <v>62</v>
      </c>
      <c r="D40" s="4" t="str">
        <f>TEXT(C40,"000000")</f>
        <v>J2254S</v>
      </c>
      <c r="E40" s="4" t="s">
        <v>62</v>
      </c>
      <c r="F40" s="4" t="str">
        <f>D40&amp;I40</f>
        <v>J2254S5</v>
      </c>
      <c r="G40" s="4" t="s">
        <v>185</v>
      </c>
      <c r="H40" s="5">
        <v>4547345057598</v>
      </c>
      <c r="I40" s="33">
        <v>5</v>
      </c>
      <c r="J40" s="5"/>
      <c r="K40" s="5">
        <v>1</v>
      </c>
      <c r="L40" s="5">
        <v>1</v>
      </c>
      <c r="M40" s="4">
        <v>0</v>
      </c>
      <c r="N40" s="4">
        <v>1235</v>
      </c>
      <c r="O40" s="4">
        <v>807</v>
      </c>
      <c r="P40" s="6">
        <f>IFERROR(1-O40/N40,"-")</f>
        <v>0.34655870445344128</v>
      </c>
      <c r="Q40" s="4" t="s">
        <v>304</v>
      </c>
      <c r="R40" s="4" t="s">
        <v>304</v>
      </c>
      <c r="S40" s="4" t="s">
        <v>304</v>
      </c>
      <c r="T40" s="33">
        <v>0</v>
      </c>
      <c r="U40" s="4">
        <f>IF(X40="",T40,T40*X40)</f>
        <v>0</v>
      </c>
      <c r="V40" s="4">
        <v>871</v>
      </c>
      <c r="W40" s="4">
        <f>IF(X40="",V40,V40*X40)</f>
        <v>871</v>
      </c>
      <c r="X40" s="4"/>
      <c r="Y40" s="21">
        <f>ROUND(N40*AM40,0)</f>
        <v>1333</v>
      </c>
      <c r="Z40" s="6">
        <f>IFERROR(1-W40/Y40,"-")</f>
        <v>0.34658664666166539</v>
      </c>
      <c r="AA40" s="33">
        <v>9</v>
      </c>
      <c r="AB40" s="4" t="str">
        <f>AX40</f>
        <v>-</v>
      </c>
      <c r="AC40" s="33" t="str">
        <f>IFERROR(AB40*AM40,"-")</f>
        <v>-</v>
      </c>
      <c r="AD40" s="6" t="str">
        <f>IFERROR(1-W40/AC40,"-")</f>
        <v>-</v>
      </c>
      <c r="AE40" s="7">
        <v>1350</v>
      </c>
      <c r="AF40" s="6">
        <f>1-W40/AE40</f>
        <v>0.35481481481481481</v>
      </c>
      <c r="AG40" s="4">
        <f>AE40-W40</f>
        <v>479</v>
      </c>
      <c r="AH40" s="28"/>
      <c r="AI40" s="6"/>
      <c r="AJ40" s="6"/>
      <c r="AK40" s="6" t="str">
        <f>IFERROR(U40/M40,"-")</f>
        <v>-</v>
      </c>
      <c r="AL40" s="6">
        <f>IFERROR(AE40/N40,"-")</f>
        <v>1.0931174089068827</v>
      </c>
      <c r="AM40" s="6">
        <f>IFERROR(W40/O40,"-")</f>
        <v>1.0793060718711276</v>
      </c>
      <c r="AN40" s="6" t="str">
        <f>IFERROR(1-W40/AO40,"-")</f>
        <v>-</v>
      </c>
      <c r="AO40" s="4" t="str">
        <f>IFERROR(ROUND($AE40*Q40/$N40,0),"-")</f>
        <v>-</v>
      </c>
      <c r="AP40" s="4" t="str">
        <f>IF(R40="","-",R40)</f>
        <v>-</v>
      </c>
      <c r="AQ40" s="4" t="str">
        <f>IF(S40="","-",S40)</f>
        <v>-</v>
      </c>
      <c r="AR40" s="4">
        <v>0</v>
      </c>
      <c r="AS40" s="4" t="s">
        <v>304</v>
      </c>
      <c r="AT40" s="4"/>
      <c r="AU40" s="4"/>
      <c r="AV40" s="4" t="s">
        <v>304</v>
      </c>
      <c r="AW40" s="4" t="s">
        <v>304</v>
      </c>
      <c r="AX40" s="4" t="str">
        <f>IF(AT40="",AW40,AT40/AU40*AW40)</f>
        <v>-</v>
      </c>
      <c r="AY40" s="19">
        <v>4</v>
      </c>
      <c r="AZ40" s="19">
        <v>1</v>
      </c>
      <c r="BA40" s="16">
        <v>405</v>
      </c>
      <c r="BB40" t="s">
        <v>528</v>
      </c>
      <c r="BC40" t="str">
        <f>IFERROR(BB40*AM40,"-")</f>
        <v>-</v>
      </c>
      <c r="BD40" t="s">
        <v>304</v>
      </c>
      <c r="BE40" t="str">
        <f>IFERROR(BD40*AM40,"-")</f>
        <v>-</v>
      </c>
      <c r="BF40" t="s">
        <v>304</v>
      </c>
    </row>
    <row r="41" spans="1:58" x14ac:dyDescent="0.4">
      <c r="A41" s="3">
        <v>7</v>
      </c>
      <c r="B41" s="3">
        <v>7</v>
      </c>
      <c r="C41" s="4" t="s">
        <v>61</v>
      </c>
      <c r="D41" s="4" t="str">
        <f>TEXT(C41,"000000")</f>
        <v>J2253S</v>
      </c>
      <c r="E41" s="4" t="s">
        <v>61</v>
      </c>
      <c r="F41" s="4" t="str">
        <f>D41&amp;I41</f>
        <v>J2253S5</v>
      </c>
      <c r="G41" s="4" t="s">
        <v>184</v>
      </c>
      <c r="H41" s="5">
        <v>4547345057581</v>
      </c>
      <c r="I41" s="33">
        <v>5</v>
      </c>
      <c r="J41" s="5"/>
      <c r="K41" s="5">
        <v>1</v>
      </c>
      <c r="L41" s="5">
        <v>1</v>
      </c>
      <c r="M41" s="4">
        <v>0</v>
      </c>
      <c r="N41" s="4">
        <v>1250</v>
      </c>
      <c r="O41" s="4">
        <v>809</v>
      </c>
      <c r="P41" s="6">
        <f>IFERROR(1-O41/N41,"-")</f>
        <v>0.3528</v>
      </c>
      <c r="Q41" s="4" t="s">
        <v>304</v>
      </c>
      <c r="R41" s="4" t="s">
        <v>304</v>
      </c>
      <c r="S41" s="4" t="s">
        <v>304</v>
      </c>
      <c r="T41" s="33">
        <v>0</v>
      </c>
      <c r="U41" s="4">
        <f>IF(X41="",T41,T41*X41)</f>
        <v>0</v>
      </c>
      <c r="V41" s="4">
        <v>876</v>
      </c>
      <c r="W41" s="4">
        <f>IF(X41="",V41,V41*X41)</f>
        <v>876</v>
      </c>
      <c r="X41" s="4"/>
      <c r="Y41" s="21">
        <f>ROUND(N41*AM41,0)</f>
        <v>1354</v>
      </c>
      <c r="Z41" s="6">
        <f>IFERROR(1-W41/Y41,"-")</f>
        <v>0.35302806499261452</v>
      </c>
      <c r="AA41" s="33">
        <v>0.5</v>
      </c>
      <c r="AB41" s="4" t="str">
        <f>AX41</f>
        <v>-</v>
      </c>
      <c r="AC41" s="33" t="str">
        <f>IFERROR(AB41*AM41,"-")</f>
        <v>-</v>
      </c>
      <c r="AD41" s="6" t="str">
        <f>IFERROR(1-W41/AC41,"-")</f>
        <v>-</v>
      </c>
      <c r="AE41" s="7">
        <v>1360</v>
      </c>
      <c r="AF41" s="6">
        <f>1-W41/AE41</f>
        <v>0.35588235294117643</v>
      </c>
      <c r="AG41" s="4">
        <f>AE41-W41</f>
        <v>484</v>
      </c>
      <c r="AH41" s="28"/>
      <c r="AI41" s="6"/>
      <c r="AJ41" s="6"/>
      <c r="AK41" s="6" t="str">
        <f>IFERROR(U41/M41,"-")</f>
        <v>-</v>
      </c>
      <c r="AL41" s="6">
        <f>IFERROR(AE41/N41,"-")</f>
        <v>1.0880000000000001</v>
      </c>
      <c r="AM41" s="6">
        <f>IFERROR(W41/O41,"-")</f>
        <v>1.0828182941903586</v>
      </c>
      <c r="AN41" s="6" t="str">
        <f>IFERROR(1-W41/AO41,"-")</f>
        <v>-</v>
      </c>
      <c r="AO41" s="4" t="str">
        <f>IFERROR(ROUND($AE41*Q41/$N41,0),"-")</f>
        <v>-</v>
      </c>
      <c r="AP41" s="4" t="str">
        <f>IF(R41="","-",R41)</f>
        <v>-</v>
      </c>
      <c r="AQ41" s="4" t="str">
        <f>IF(S41="","-",S41)</f>
        <v>-</v>
      </c>
      <c r="AR41" s="4">
        <v>0</v>
      </c>
      <c r="AS41" s="4" t="s">
        <v>304</v>
      </c>
      <c r="AT41" s="4"/>
      <c r="AU41" s="4"/>
      <c r="AV41" s="4" t="s">
        <v>304</v>
      </c>
      <c r="AW41" s="4" t="s">
        <v>304</v>
      </c>
      <c r="AX41" s="4" t="str">
        <f>IF(AT41="",AW41,AT41/AU41*AW41)</f>
        <v>-</v>
      </c>
      <c r="AY41" s="19">
        <v>4</v>
      </c>
      <c r="AZ41" s="19">
        <v>8</v>
      </c>
      <c r="BA41" s="16">
        <v>405</v>
      </c>
      <c r="BB41" t="s">
        <v>528</v>
      </c>
      <c r="BC41" t="str">
        <f>IFERROR(BB41*AM41,"-")</f>
        <v>-</v>
      </c>
      <c r="BD41" t="s">
        <v>304</v>
      </c>
      <c r="BE41" t="str">
        <f>IFERROR(BD41*AM41,"-")</f>
        <v>-</v>
      </c>
      <c r="BF41" t="s">
        <v>304</v>
      </c>
    </row>
    <row r="42" spans="1:58" x14ac:dyDescent="0.4">
      <c r="A42" s="3">
        <v>74</v>
      </c>
      <c r="B42" s="3">
        <v>74</v>
      </c>
      <c r="C42" s="4" t="s">
        <v>128</v>
      </c>
      <c r="D42" s="4" t="str">
        <f>TEXT(C42,"000000")</f>
        <v>J45820</v>
      </c>
      <c r="E42" s="4" t="s">
        <v>128</v>
      </c>
      <c r="F42" s="4" t="str">
        <f>D42&amp;I42</f>
        <v>J458205</v>
      </c>
      <c r="G42" s="4" t="s">
        <v>251</v>
      </c>
      <c r="H42" s="5">
        <v>4547345046189</v>
      </c>
      <c r="I42" s="33">
        <v>5</v>
      </c>
      <c r="J42" s="5"/>
      <c r="K42" s="5">
        <v>1</v>
      </c>
      <c r="L42" s="5">
        <v>1</v>
      </c>
      <c r="M42" s="4">
        <v>0</v>
      </c>
      <c r="N42" s="4">
        <v>1583</v>
      </c>
      <c r="O42" s="4">
        <v>1146</v>
      </c>
      <c r="P42" s="6">
        <f>IFERROR(1-O42/N42,"-")</f>
        <v>0.27605811749842069</v>
      </c>
      <c r="Q42" s="4" t="s">
        <v>304</v>
      </c>
      <c r="R42" s="4" t="s">
        <v>304</v>
      </c>
      <c r="S42" s="4" t="s">
        <v>304</v>
      </c>
      <c r="T42" s="33">
        <v>0</v>
      </c>
      <c r="U42" s="4">
        <f>IF(X42="",T42,T42*X42)</f>
        <v>0</v>
      </c>
      <c r="V42" s="4">
        <v>1234</v>
      </c>
      <c r="W42" s="4">
        <f>IF(X42="",V42,V42*X42)</f>
        <v>1234</v>
      </c>
      <c r="X42" s="4"/>
      <c r="Y42" s="21">
        <f>ROUND(N42*AM42,0)</f>
        <v>1705</v>
      </c>
      <c r="Z42" s="6">
        <f>IFERROR(1-W42/Y42,"-")</f>
        <v>0.27624633431085044</v>
      </c>
      <c r="AA42" s="33">
        <v>0.75</v>
      </c>
      <c r="AB42" s="4">
        <f>AX42</f>
        <v>1619.1000000000001</v>
      </c>
      <c r="AC42" s="33">
        <f>IFERROR(AB42*AM42,"-")</f>
        <v>1743.4287958115183</v>
      </c>
      <c r="AD42" s="6">
        <f>IFERROR(1-W42/AC42,"-")</f>
        <v>0.29219937002038165</v>
      </c>
      <c r="AE42" s="7">
        <v>1739</v>
      </c>
      <c r="AF42" s="6">
        <f>1-W42/AE42</f>
        <v>0.29039677975848188</v>
      </c>
      <c r="AG42" s="4">
        <f>AE42-W42</f>
        <v>505</v>
      </c>
      <c r="AH42" s="28"/>
      <c r="AI42" s="6"/>
      <c r="AJ42" s="6"/>
      <c r="AK42" s="6" t="str">
        <f>IFERROR(U42/M42,"-")</f>
        <v>-</v>
      </c>
      <c r="AL42" s="6">
        <f>IFERROR(AE42/N42,"-")</f>
        <v>1.098547062539482</v>
      </c>
      <c r="AM42" s="6">
        <f>IFERROR(W42/O42,"-")</f>
        <v>1.0767888307155322</v>
      </c>
      <c r="AN42" s="6" t="str">
        <f>IFERROR(1-W42/AO42,"-")</f>
        <v>-</v>
      </c>
      <c r="AO42" s="4" t="str">
        <f>IFERROR(ROUND($AE42*Q42/$N42,0),"-")</f>
        <v>-</v>
      </c>
      <c r="AP42" s="4" t="str">
        <f>IF(R42="","-",R42)</f>
        <v>-</v>
      </c>
      <c r="AQ42" s="4" t="str">
        <f>IF(S42="","-",S42)</f>
        <v>-</v>
      </c>
      <c r="AR42" s="4">
        <v>0</v>
      </c>
      <c r="AS42" s="4" t="s">
        <v>488</v>
      </c>
      <c r="AT42" s="4">
        <v>1</v>
      </c>
      <c r="AU42" s="4">
        <v>10</v>
      </c>
      <c r="AV42" s="4" t="s">
        <v>420</v>
      </c>
      <c r="AW42" s="4">
        <v>16191</v>
      </c>
      <c r="AX42" s="4">
        <f>IF(AT42="",AW42,AT42/AU42*AW42)</f>
        <v>1619.1000000000001</v>
      </c>
      <c r="AY42" s="19">
        <v>4</v>
      </c>
      <c r="AZ42" s="19">
        <v>8</v>
      </c>
      <c r="BA42" s="16">
        <v>405</v>
      </c>
      <c r="BB42" t="s">
        <v>528</v>
      </c>
      <c r="BC42" t="str">
        <f>IFERROR(BB42*AM42,"-")</f>
        <v>-</v>
      </c>
      <c r="BD42">
        <v>1615</v>
      </c>
      <c r="BE42">
        <f>IFERROR(BD42*AM42,"-")</f>
        <v>1739.0139616055844</v>
      </c>
      <c r="BF42" t="s">
        <v>374</v>
      </c>
    </row>
    <row r="43" spans="1:58" x14ac:dyDescent="0.4">
      <c r="A43" s="3">
        <v>90</v>
      </c>
      <c r="B43" s="3">
        <v>90</v>
      </c>
      <c r="C43" s="4" t="s">
        <v>144</v>
      </c>
      <c r="D43" s="4" t="str">
        <f>TEXT(C43,"000000")</f>
        <v>J6350P</v>
      </c>
      <c r="E43" s="4" t="s">
        <v>144</v>
      </c>
      <c r="F43" s="4" t="str">
        <f>D43&amp;I43</f>
        <v>J6350P5</v>
      </c>
      <c r="G43" s="4" t="s">
        <v>267</v>
      </c>
      <c r="H43" s="5">
        <v>4547345054382</v>
      </c>
      <c r="I43" s="33">
        <v>5</v>
      </c>
      <c r="J43" s="5"/>
      <c r="K43" s="5">
        <v>1</v>
      </c>
      <c r="L43" s="5">
        <v>1</v>
      </c>
      <c r="M43" s="4">
        <v>0</v>
      </c>
      <c r="N43" s="4">
        <v>1725</v>
      </c>
      <c r="O43" s="4">
        <v>1160</v>
      </c>
      <c r="P43" s="6">
        <f>IFERROR(1-O43/N43,"-")</f>
        <v>0.327536231884058</v>
      </c>
      <c r="Q43" s="4" t="s">
        <v>304</v>
      </c>
      <c r="R43" s="4" t="s">
        <v>304</v>
      </c>
      <c r="S43" s="4" t="s">
        <v>304</v>
      </c>
      <c r="T43" s="33">
        <v>0</v>
      </c>
      <c r="U43" s="4">
        <f>IF(X43="",T43,T43*X43)</f>
        <v>0</v>
      </c>
      <c r="V43" s="4">
        <v>1256</v>
      </c>
      <c r="W43" s="4">
        <f>IF(X43="",V43,V43*X43)</f>
        <v>1256</v>
      </c>
      <c r="X43" s="4"/>
      <c r="Y43" s="21">
        <f>ROUND(N43*AM43,0)</f>
        <v>1868</v>
      </c>
      <c r="Z43" s="6">
        <f>IFERROR(1-W43/Y43,"-")</f>
        <v>0.3276231263383298</v>
      </c>
      <c r="AA43" s="33">
        <v>1.25</v>
      </c>
      <c r="AB43" s="4">
        <f>AX43</f>
        <v>1682.4</v>
      </c>
      <c r="AC43" s="33">
        <f>IFERROR(AB43*AM43,"-")</f>
        <v>1821.633103448276</v>
      </c>
      <c r="AD43" s="6">
        <f>IFERROR(1-W43/AC43,"-")</f>
        <v>0.31050879695672851</v>
      </c>
      <c r="AE43" s="7">
        <v>1821</v>
      </c>
      <c r="AF43" s="6">
        <f>1-W43/AE43</f>
        <v>0.31026908292147171</v>
      </c>
      <c r="AG43" s="4">
        <f>AE43-W43</f>
        <v>565</v>
      </c>
      <c r="AH43" s="28"/>
      <c r="AI43" s="6"/>
      <c r="AJ43" s="6"/>
      <c r="AK43" s="6" t="str">
        <f>IFERROR(U43/M43,"-")</f>
        <v>-</v>
      </c>
      <c r="AL43" s="6">
        <f>IFERROR(AE43/N43,"-")</f>
        <v>1.0556521739130436</v>
      </c>
      <c r="AM43" s="6">
        <f>IFERROR(W43/O43,"-")</f>
        <v>1.0827586206896551</v>
      </c>
      <c r="AN43" s="6" t="str">
        <f>IFERROR(1-W43/AO43,"-")</f>
        <v>-</v>
      </c>
      <c r="AO43" s="4" t="str">
        <f>IFERROR(ROUND($AE43*Q43/$N43,0),"-")</f>
        <v>-</v>
      </c>
      <c r="AP43" s="4" t="str">
        <f>IF(R43="","-",R43)</f>
        <v>-</v>
      </c>
      <c r="AQ43" s="4" t="str">
        <f>IF(S43="","-",S43)</f>
        <v>-</v>
      </c>
      <c r="AR43" s="4">
        <v>0</v>
      </c>
      <c r="AS43" s="4" t="s">
        <v>490</v>
      </c>
      <c r="AT43" s="4">
        <v>1</v>
      </c>
      <c r="AU43" s="4">
        <v>10</v>
      </c>
      <c r="AV43" s="4" t="s">
        <v>420</v>
      </c>
      <c r="AW43" s="4">
        <v>16824</v>
      </c>
      <c r="AX43" s="4">
        <f>IF(AT43="",AW43,AT43/AU43*AW43)</f>
        <v>1682.4</v>
      </c>
      <c r="AY43" s="19">
        <v>4</v>
      </c>
      <c r="AZ43" s="19">
        <v>8</v>
      </c>
      <c r="BA43" s="16">
        <v>405</v>
      </c>
      <c r="BB43" t="s">
        <v>528</v>
      </c>
      <c r="BC43" t="str">
        <f>IFERROR(BB43*AM43,"-")</f>
        <v>-</v>
      </c>
      <c r="BD43">
        <v>1606</v>
      </c>
      <c r="BE43">
        <f>IFERROR(BD43*AM43,"-")</f>
        <v>1738.9103448275862</v>
      </c>
      <c r="BF43" t="s">
        <v>376</v>
      </c>
    </row>
    <row r="44" spans="1:58" x14ac:dyDescent="0.4">
      <c r="A44" s="3">
        <v>95</v>
      </c>
      <c r="B44" s="3">
        <v>95</v>
      </c>
      <c r="C44" s="4" t="s">
        <v>149</v>
      </c>
      <c r="D44" s="4" t="str">
        <f>TEXT(C44,"000000")</f>
        <v>J6354P</v>
      </c>
      <c r="E44" s="4" t="s">
        <v>149</v>
      </c>
      <c r="F44" s="4" t="str">
        <f>D44&amp;I44</f>
        <v>J6354P5</v>
      </c>
      <c r="G44" s="4" t="s">
        <v>272</v>
      </c>
      <c r="H44" s="5">
        <v>4547345054429</v>
      </c>
      <c r="I44" s="33">
        <v>5</v>
      </c>
      <c r="J44" s="5"/>
      <c r="K44" s="5">
        <v>1</v>
      </c>
      <c r="L44" s="5">
        <v>1</v>
      </c>
      <c r="M44" s="4">
        <v>0</v>
      </c>
      <c r="N44" s="4">
        <v>1725</v>
      </c>
      <c r="O44" s="4">
        <v>1160</v>
      </c>
      <c r="P44" s="6">
        <f>IFERROR(1-O44/N44,"-")</f>
        <v>0.327536231884058</v>
      </c>
      <c r="Q44" s="4" t="s">
        <v>304</v>
      </c>
      <c r="R44" s="4" t="s">
        <v>304</v>
      </c>
      <c r="S44" s="4" t="s">
        <v>304</v>
      </c>
      <c r="T44" s="33">
        <v>0</v>
      </c>
      <c r="U44" s="4">
        <f>IF(X44="",T44,T44*X44)</f>
        <v>0</v>
      </c>
      <c r="V44" s="4">
        <v>1257</v>
      </c>
      <c r="W44" s="4">
        <f>IF(X44="",V44,V44*X44)</f>
        <v>1257</v>
      </c>
      <c r="X44" s="4"/>
      <c r="Y44" s="21">
        <f>ROUND(N44*AM44,0)</f>
        <v>1869</v>
      </c>
      <c r="Z44" s="6">
        <f>IFERROR(1-W44/Y44,"-")</f>
        <v>0.3274478330658106</v>
      </c>
      <c r="AA44" s="33">
        <v>0.5</v>
      </c>
      <c r="AB44" s="4">
        <f>AX44</f>
        <v>1682.4</v>
      </c>
      <c r="AC44" s="33">
        <f>IFERROR(AB44*AM44,"-")</f>
        <v>1823.0834482758621</v>
      </c>
      <c r="AD44" s="6">
        <f>IFERROR(1-W44/AC44,"-")</f>
        <v>0.31050879695672851</v>
      </c>
      <c r="AE44" s="7">
        <v>1823</v>
      </c>
      <c r="AF44" s="6">
        <f>1-W44/AE44</f>
        <v>0.31047723532638505</v>
      </c>
      <c r="AG44" s="4">
        <f>AE44-W44</f>
        <v>566</v>
      </c>
      <c r="AH44" s="28"/>
      <c r="AI44" s="6"/>
      <c r="AJ44" s="6"/>
      <c r="AK44" s="6" t="str">
        <f>IFERROR(U44/M44,"-")</f>
        <v>-</v>
      </c>
      <c r="AL44" s="6">
        <f>IFERROR(AE44/N44,"-")</f>
        <v>1.0568115942028986</v>
      </c>
      <c r="AM44" s="6">
        <f>IFERROR(W44/O44,"-")</f>
        <v>1.0836206896551723</v>
      </c>
      <c r="AN44" s="6" t="str">
        <f>IFERROR(1-W44/AO44,"-")</f>
        <v>-</v>
      </c>
      <c r="AO44" s="4" t="str">
        <f>IFERROR(ROUND($AE44*Q44/$N44,0),"-")</f>
        <v>-</v>
      </c>
      <c r="AP44" s="4" t="str">
        <f>IF(R44="","-",R44)</f>
        <v>-</v>
      </c>
      <c r="AQ44" s="4" t="str">
        <f>IF(S44="","-",S44)</f>
        <v>-</v>
      </c>
      <c r="AR44" s="4">
        <v>0</v>
      </c>
      <c r="AS44" s="4" t="s">
        <v>495</v>
      </c>
      <c r="AT44" s="4">
        <v>1</v>
      </c>
      <c r="AU44" s="4">
        <v>10</v>
      </c>
      <c r="AV44" s="4" t="s">
        <v>420</v>
      </c>
      <c r="AW44" s="4">
        <v>16824</v>
      </c>
      <c r="AX44" s="4">
        <f>IF(AT44="",AW44,AT44/AU44*AW44)</f>
        <v>1682.4</v>
      </c>
      <c r="AY44" s="19">
        <v>4</v>
      </c>
      <c r="AZ44" s="19">
        <v>8</v>
      </c>
      <c r="BA44" s="16">
        <v>405</v>
      </c>
      <c r="BB44" t="s">
        <v>528</v>
      </c>
      <c r="BC44" t="str">
        <f>IFERROR(BB44*AM44,"-")</f>
        <v>-</v>
      </c>
      <c r="BD44">
        <v>1606</v>
      </c>
      <c r="BE44">
        <f>IFERROR(BD44*AM44,"-")</f>
        <v>1740.2948275862068</v>
      </c>
      <c r="BF44" t="s">
        <v>381</v>
      </c>
    </row>
    <row r="45" spans="1:58" x14ac:dyDescent="0.4">
      <c r="A45" s="3">
        <v>94</v>
      </c>
      <c r="B45" s="3">
        <v>94</v>
      </c>
      <c r="C45" s="4" t="s">
        <v>148</v>
      </c>
      <c r="D45" s="4" t="str">
        <f>TEXT(C45,"000000")</f>
        <v>J6353P</v>
      </c>
      <c r="E45" s="4" t="s">
        <v>148</v>
      </c>
      <c r="F45" s="4" t="str">
        <f>D45&amp;I45</f>
        <v>J6353P5</v>
      </c>
      <c r="G45" s="4" t="s">
        <v>271</v>
      </c>
      <c r="H45" s="5">
        <v>4547345054412</v>
      </c>
      <c r="I45" s="33">
        <v>5</v>
      </c>
      <c r="J45" s="5"/>
      <c r="K45" s="5">
        <v>1</v>
      </c>
      <c r="L45" s="5">
        <v>1</v>
      </c>
      <c r="M45" s="4">
        <v>0</v>
      </c>
      <c r="N45" s="4">
        <v>1846</v>
      </c>
      <c r="O45" s="4">
        <v>1212</v>
      </c>
      <c r="P45" s="6">
        <f>IFERROR(1-O45/N45,"-")</f>
        <v>0.34344528710725897</v>
      </c>
      <c r="Q45" s="4" t="s">
        <v>304</v>
      </c>
      <c r="R45" s="4" t="s">
        <v>304</v>
      </c>
      <c r="S45" s="4" t="s">
        <v>304</v>
      </c>
      <c r="T45" s="33">
        <v>0</v>
      </c>
      <c r="U45" s="4">
        <f>IF(X45="",T45,T45*X45)</f>
        <v>0</v>
      </c>
      <c r="V45" s="4">
        <v>1301</v>
      </c>
      <c r="W45" s="4">
        <f>IF(X45="",V45,V45*X45)</f>
        <v>1301</v>
      </c>
      <c r="X45" s="4"/>
      <c r="Y45" s="21">
        <f>ROUND(N45*AM45,0)</f>
        <v>1982</v>
      </c>
      <c r="Z45" s="6">
        <f>IFERROR(1-W45/Y45,"-")</f>
        <v>0.34359233097880926</v>
      </c>
      <c r="AA45" s="33">
        <v>0.5</v>
      </c>
      <c r="AB45" s="4">
        <f>AX45</f>
        <v>1759</v>
      </c>
      <c r="AC45" s="33">
        <f>IFERROR(AB45*AM45,"-")</f>
        <v>1888.1674917491748</v>
      </c>
      <c r="AD45" s="6">
        <f>IFERROR(1-W45/AC45,"-")</f>
        <v>0.31097214326321765</v>
      </c>
      <c r="AE45" s="7">
        <v>1888</v>
      </c>
      <c r="AF45" s="6">
        <f>1-W45/AE45</f>
        <v>0.31091101694915257</v>
      </c>
      <c r="AG45" s="4">
        <f>AE45-W45</f>
        <v>587</v>
      </c>
      <c r="AH45" s="28"/>
      <c r="AI45" s="6"/>
      <c r="AJ45" s="6"/>
      <c r="AK45" s="6" t="str">
        <f>IFERROR(U45/M45,"-")</f>
        <v>-</v>
      </c>
      <c r="AL45" s="6">
        <f>IFERROR(AE45/N45,"-")</f>
        <v>1.0227518959913326</v>
      </c>
      <c r="AM45" s="6">
        <f>IFERROR(W45/O45,"-")</f>
        <v>1.0734323432343233</v>
      </c>
      <c r="AN45" s="6" t="str">
        <f>IFERROR(1-W45/AO45,"-")</f>
        <v>-</v>
      </c>
      <c r="AO45" s="4" t="str">
        <f>IFERROR(ROUND($AE45*Q45/$N45,0),"-")</f>
        <v>-</v>
      </c>
      <c r="AP45" s="4" t="str">
        <f>IF(R45="","-",R45)</f>
        <v>-</v>
      </c>
      <c r="AQ45" s="4" t="str">
        <f>IF(S45="","-",S45)</f>
        <v>-</v>
      </c>
      <c r="AR45" s="4">
        <v>0</v>
      </c>
      <c r="AS45" s="4" t="s">
        <v>494</v>
      </c>
      <c r="AT45" s="4">
        <v>1</v>
      </c>
      <c r="AU45" s="4">
        <v>10</v>
      </c>
      <c r="AV45" s="4" t="s">
        <v>420</v>
      </c>
      <c r="AW45" s="4">
        <v>17590</v>
      </c>
      <c r="AX45" s="4">
        <f>IF(AT45="",AW45,AT45/AU45*AW45)</f>
        <v>1759</v>
      </c>
      <c r="AY45" s="19">
        <v>4</v>
      </c>
      <c r="AZ45" s="19">
        <v>8</v>
      </c>
      <c r="BA45" s="16">
        <v>405</v>
      </c>
      <c r="BB45" t="s">
        <v>528</v>
      </c>
      <c r="BC45" t="str">
        <f>IFERROR(BB45*AM45,"-")</f>
        <v>-</v>
      </c>
      <c r="BD45">
        <v>1672</v>
      </c>
      <c r="BE45">
        <f>IFERROR(BD45*AM45,"-")</f>
        <v>1794.7788778877887</v>
      </c>
      <c r="BF45" t="s">
        <v>380</v>
      </c>
    </row>
    <row r="46" spans="1:58" x14ac:dyDescent="0.4">
      <c r="A46" s="3">
        <v>96</v>
      </c>
      <c r="B46" s="3">
        <v>96</v>
      </c>
      <c r="C46" s="4" t="s">
        <v>150</v>
      </c>
      <c r="D46" s="4" t="str">
        <f>TEXT(C46,"000000")</f>
        <v>J6349P</v>
      </c>
      <c r="E46" s="4" t="s">
        <v>150</v>
      </c>
      <c r="F46" s="4" t="str">
        <f>D46&amp;I46</f>
        <v>J6349P5</v>
      </c>
      <c r="G46" s="4" t="s">
        <v>273</v>
      </c>
      <c r="H46" s="5">
        <v>4547345054375</v>
      </c>
      <c r="I46" s="33">
        <v>5</v>
      </c>
      <c r="J46" s="5"/>
      <c r="K46" s="5">
        <v>1</v>
      </c>
      <c r="L46" s="5">
        <v>1</v>
      </c>
      <c r="M46" s="4">
        <v>0</v>
      </c>
      <c r="N46" s="4">
        <v>1830</v>
      </c>
      <c r="O46" s="4">
        <v>1214</v>
      </c>
      <c r="P46" s="6">
        <f>IFERROR(1-O46/N46,"-")</f>
        <v>0.33661202185792349</v>
      </c>
      <c r="Q46" s="4" t="s">
        <v>304</v>
      </c>
      <c r="R46" s="4" t="s">
        <v>304</v>
      </c>
      <c r="S46" s="4" t="s">
        <v>304</v>
      </c>
      <c r="T46" s="33">
        <v>0</v>
      </c>
      <c r="U46" s="4">
        <f>IF(X46="",T46,T46*X46)</f>
        <v>0</v>
      </c>
      <c r="V46" s="4">
        <v>1309</v>
      </c>
      <c r="W46" s="4">
        <f>IF(X46="",V46,V46*X46)</f>
        <v>1309</v>
      </c>
      <c r="X46" s="4"/>
      <c r="Y46" s="21">
        <f>ROUND(N46*AM46,0)</f>
        <v>1973</v>
      </c>
      <c r="Z46" s="6">
        <f>IFERROR(1-W46/Y46,"-")</f>
        <v>0.33654333502280787</v>
      </c>
      <c r="AA46" s="33">
        <v>1</v>
      </c>
      <c r="AB46" s="4">
        <f>AX46</f>
        <v>1761.9</v>
      </c>
      <c r="AC46" s="33">
        <f>IFERROR(AB46*AM46,"-")</f>
        <v>1899.7752059308075</v>
      </c>
      <c r="AD46" s="6">
        <f>IFERROR(1-W46/AC46,"-")</f>
        <v>0.31097111073273176</v>
      </c>
      <c r="AE46" s="7">
        <v>1899</v>
      </c>
      <c r="AF46" s="6">
        <f>1-W46/AE46</f>
        <v>0.31068983675618744</v>
      </c>
      <c r="AG46" s="4">
        <f>AE46-W46</f>
        <v>590</v>
      </c>
      <c r="AH46" s="28"/>
      <c r="AI46" s="6"/>
      <c r="AJ46" s="6"/>
      <c r="AK46" s="6" t="str">
        <f>IFERROR(U46/M46,"-")</f>
        <v>-</v>
      </c>
      <c r="AL46" s="6">
        <f>IFERROR(AE46/N46,"-")</f>
        <v>1.0377049180327869</v>
      </c>
      <c r="AM46" s="6">
        <f>IFERROR(W46/O46,"-")</f>
        <v>1.0782537067545306</v>
      </c>
      <c r="AN46" s="6" t="str">
        <f>IFERROR(1-W46/AO46,"-")</f>
        <v>-</v>
      </c>
      <c r="AO46" s="4" t="str">
        <f>IFERROR(ROUND($AE46*Q46/$N46,0),"-")</f>
        <v>-</v>
      </c>
      <c r="AP46" s="4" t="str">
        <f>IF(R46="","-",R46)</f>
        <v>-</v>
      </c>
      <c r="AQ46" s="4" t="str">
        <f>IF(S46="","-",S46)</f>
        <v>-</v>
      </c>
      <c r="AR46" s="4">
        <v>0</v>
      </c>
      <c r="AS46" s="4" t="s">
        <v>496</v>
      </c>
      <c r="AT46" s="4">
        <v>1</v>
      </c>
      <c r="AU46" s="4">
        <v>10</v>
      </c>
      <c r="AV46" s="4" t="s">
        <v>420</v>
      </c>
      <c r="AW46" s="4">
        <v>17619</v>
      </c>
      <c r="AX46" s="4">
        <f>IF(AT46="",AW46,AT46/AU46*AW46)</f>
        <v>1761.9</v>
      </c>
      <c r="AY46" s="19">
        <v>4</v>
      </c>
      <c r="AZ46" s="19">
        <v>8</v>
      </c>
      <c r="BA46" s="16">
        <v>405</v>
      </c>
      <c r="BB46" t="s">
        <v>528</v>
      </c>
      <c r="BC46" t="str">
        <f>IFERROR(BB46*AM46,"-")</f>
        <v>-</v>
      </c>
      <c r="BD46">
        <v>1682</v>
      </c>
      <c r="BE46">
        <f>IFERROR(BD46*AM46,"-")</f>
        <v>1813.6227347611205</v>
      </c>
      <c r="BF46" t="s">
        <v>382</v>
      </c>
    </row>
    <row r="47" spans="1:58" x14ac:dyDescent="0.4">
      <c r="A47" s="3">
        <v>75</v>
      </c>
      <c r="B47" s="3">
        <v>75</v>
      </c>
      <c r="C47" s="4" t="s">
        <v>129</v>
      </c>
      <c r="D47" s="4" t="str">
        <f>TEXT(C47,"000000")</f>
        <v>J45821</v>
      </c>
      <c r="E47" s="4" t="s">
        <v>129</v>
      </c>
      <c r="F47" s="4" t="str">
        <f>D47&amp;I47</f>
        <v>J458215</v>
      </c>
      <c r="G47" s="4" t="s">
        <v>252</v>
      </c>
      <c r="H47" s="5">
        <v>4547345046196</v>
      </c>
      <c r="I47" s="33">
        <v>5</v>
      </c>
      <c r="J47" s="5"/>
      <c r="K47" s="5">
        <v>1</v>
      </c>
      <c r="L47" s="5">
        <v>1</v>
      </c>
      <c r="M47" s="4">
        <v>0</v>
      </c>
      <c r="N47" s="4">
        <v>1727</v>
      </c>
      <c r="O47" s="4">
        <v>1253</v>
      </c>
      <c r="P47" s="6">
        <f>IFERROR(1-O47/N47,"-")</f>
        <v>0.27446438911407067</v>
      </c>
      <c r="Q47" s="4" t="s">
        <v>304</v>
      </c>
      <c r="R47" s="4" t="s">
        <v>304</v>
      </c>
      <c r="S47" s="4" t="s">
        <v>304</v>
      </c>
      <c r="T47" s="33">
        <v>0</v>
      </c>
      <c r="U47" s="4">
        <f>IF(X47="",T47,T47*X47)</f>
        <v>0</v>
      </c>
      <c r="V47" s="4">
        <v>1352</v>
      </c>
      <c r="W47" s="4">
        <f>IF(X47="",V47,V47*X47)</f>
        <v>1352</v>
      </c>
      <c r="X47" s="4"/>
      <c r="Y47" s="21">
        <f>ROUND(N47*AM47,0)</f>
        <v>1863</v>
      </c>
      <c r="Z47" s="6">
        <f>IFERROR(1-W47/Y47,"-")</f>
        <v>0.27428878153515834</v>
      </c>
      <c r="AA47" s="33">
        <v>9</v>
      </c>
      <c r="AB47" s="4">
        <f>AX47</f>
        <v>1765.5</v>
      </c>
      <c r="AC47" s="33">
        <f>IFERROR(AB47*AM47,"-")</f>
        <v>1904.9928172386274</v>
      </c>
      <c r="AD47" s="6">
        <f>IFERROR(1-W47/AC47,"-")</f>
        <v>0.2902860379495894</v>
      </c>
      <c r="AE47" s="7">
        <v>1904</v>
      </c>
      <c r="AF47" s="6">
        <f>1-W47/AE47</f>
        <v>0.28991596638655459</v>
      </c>
      <c r="AG47" s="4">
        <f>AE47-W47</f>
        <v>552</v>
      </c>
      <c r="AH47" s="28"/>
      <c r="AI47" s="6"/>
      <c r="AJ47" s="6"/>
      <c r="AK47" s="6" t="str">
        <f>IFERROR(U47/M47,"-")</f>
        <v>-</v>
      </c>
      <c r="AL47" s="6">
        <f>IFERROR(AE47/N47,"-")</f>
        <v>1.102489866821077</v>
      </c>
      <c r="AM47" s="6">
        <f>IFERROR(W47/O47,"-")</f>
        <v>1.0790103750997606</v>
      </c>
      <c r="AN47" s="6" t="str">
        <f>IFERROR(1-W47/AO47,"-")</f>
        <v>-</v>
      </c>
      <c r="AO47" s="4" t="str">
        <f>IFERROR(ROUND($AE47*Q47/$N47,0),"-")</f>
        <v>-</v>
      </c>
      <c r="AP47" s="4" t="str">
        <f>IF(R47="","-",R47)</f>
        <v>-</v>
      </c>
      <c r="AQ47" s="4" t="str">
        <f>IF(S47="","-",S47)</f>
        <v>-</v>
      </c>
      <c r="AR47" s="4">
        <v>0</v>
      </c>
      <c r="AS47" s="4" t="s">
        <v>489</v>
      </c>
      <c r="AT47" s="4">
        <v>1</v>
      </c>
      <c r="AU47" s="4">
        <v>20</v>
      </c>
      <c r="AV47" s="4" t="s">
        <v>444</v>
      </c>
      <c r="AW47" s="4">
        <v>35310</v>
      </c>
      <c r="AX47" s="4">
        <f>IF(AT47="",AW47,AT47/AU47*AW47)</f>
        <v>1765.5</v>
      </c>
      <c r="AY47" s="19">
        <v>4</v>
      </c>
      <c r="AZ47" s="19">
        <v>1</v>
      </c>
      <c r="BA47" s="16">
        <v>405</v>
      </c>
      <c r="BB47" t="s">
        <v>528</v>
      </c>
      <c r="BC47" t="str">
        <f>IFERROR(BB47*AM47,"-")</f>
        <v>-</v>
      </c>
      <c r="BD47">
        <v>1765</v>
      </c>
      <c r="BE47">
        <f>IFERROR(BD47*AM47,"-")</f>
        <v>1904.4533120510775</v>
      </c>
      <c r="BF47" t="s">
        <v>375</v>
      </c>
    </row>
    <row r="48" spans="1:58" x14ac:dyDescent="0.4">
      <c r="A48" s="3">
        <v>93</v>
      </c>
      <c r="B48" s="3">
        <v>93</v>
      </c>
      <c r="C48" s="4" t="s">
        <v>147</v>
      </c>
      <c r="D48" s="4" t="str">
        <f>TEXT(C48,"000000")</f>
        <v>J6348P</v>
      </c>
      <c r="E48" s="4" t="s">
        <v>147</v>
      </c>
      <c r="F48" s="4" t="str">
        <f>D48&amp;I48</f>
        <v>J6348P5</v>
      </c>
      <c r="G48" s="4" t="s">
        <v>270</v>
      </c>
      <c r="H48" s="5">
        <v>4547345054368</v>
      </c>
      <c r="I48" s="33">
        <v>5</v>
      </c>
      <c r="J48" s="5"/>
      <c r="K48" s="5">
        <v>1</v>
      </c>
      <c r="L48" s="5">
        <v>1</v>
      </c>
      <c r="M48" s="4">
        <v>0</v>
      </c>
      <c r="N48" s="4">
        <v>1948</v>
      </c>
      <c r="O48" s="4">
        <v>1282</v>
      </c>
      <c r="P48" s="6">
        <f>IFERROR(1-O48/N48,"-")</f>
        <v>0.34188911704312119</v>
      </c>
      <c r="Q48" s="4" t="s">
        <v>304</v>
      </c>
      <c r="R48" s="4" t="s">
        <v>304</v>
      </c>
      <c r="S48" s="4" t="s">
        <v>304</v>
      </c>
      <c r="T48" s="33">
        <v>0</v>
      </c>
      <c r="U48" s="4">
        <f>IF(X48="",T48,T48*X48)</f>
        <v>0</v>
      </c>
      <c r="V48" s="4">
        <v>1382</v>
      </c>
      <c r="W48" s="4">
        <f>IF(X48="",V48,V48*X48)</f>
        <v>1382</v>
      </c>
      <c r="X48" s="4"/>
      <c r="Y48" s="21">
        <f>ROUND(N48*AM48,0)</f>
        <v>2100</v>
      </c>
      <c r="Z48" s="6">
        <f>IFERROR(1-W48/Y48,"-")</f>
        <v>0.34190476190476193</v>
      </c>
      <c r="AA48" s="33">
        <v>1</v>
      </c>
      <c r="AB48" s="4">
        <f>AX48</f>
        <v>1861</v>
      </c>
      <c r="AC48" s="33">
        <f>IFERROR(AB48*AM48,"-")</f>
        <v>2006.1638065522623</v>
      </c>
      <c r="AD48" s="6">
        <f>IFERROR(1-W48/AC48,"-")</f>
        <v>0.31112305212251479</v>
      </c>
      <c r="AE48" s="7">
        <v>2006</v>
      </c>
      <c r="AF48" s="6">
        <f>1-W48/AE48</f>
        <v>0.31106679960119643</v>
      </c>
      <c r="AG48" s="4">
        <f>AE48-W48</f>
        <v>624</v>
      </c>
      <c r="AH48" s="28"/>
      <c r="AI48" s="6"/>
      <c r="AJ48" s="6"/>
      <c r="AK48" s="6" t="str">
        <f>IFERROR(U48/M48,"-")</f>
        <v>-</v>
      </c>
      <c r="AL48" s="6">
        <f>IFERROR(AE48/N48,"-")</f>
        <v>1.0297741273100616</v>
      </c>
      <c r="AM48" s="6">
        <f>IFERROR(W48/O48,"-")</f>
        <v>1.078003120124805</v>
      </c>
      <c r="AN48" s="6" t="str">
        <f>IFERROR(1-W48/AO48,"-")</f>
        <v>-</v>
      </c>
      <c r="AO48" s="4" t="str">
        <f>IFERROR(ROUND($AE48*Q48/$N48,0),"-")</f>
        <v>-</v>
      </c>
      <c r="AP48" s="4" t="str">
        <f>IF(R48="","-",R48)</f>
        <v>-</v>
      </c>
      <c r="AQ48" s="4" t="str">
        <f>IF(S48="","-",S48)</f>
        <v>-</v>
      </c>
      <c r="AR48" s="4">
        <v>0</v>
      </c>
      <c r="AS48" s="4" t="s">
        <v>493</v>
      </c>
      <c r="AT48" s="4">
        <v>1</v>
      </c>
      <c r="AU48" s="4">
        <v>10</v>
      </c>
      <c r="AV48" s="4" t="s">
        <v>420</v>
      </c>
      <c r="AW48" s="4">
        <v>18610</v>
      </c>
      <c r="AX48" s="4">
        <f>IF(AT48="",AW48,AT48/AU48*AW48)</f>
        <v>1861</v>
      </c>
      <c r="AY48" s="19">
        <v>4</v>
      </c>
      <c r="AZ48" s="19">
        <v>1</v>
      </c>
      <c r="BA48" s="16">
        <v>405</v>
      </c>
      <c r="BB48" t="s">
        <v>528</v>
      </c>
      <c r="BC48" t="str">
        <f>IFERROR(BB48*AM48,"-")</f>
        <v>-</v>
      </c>
      <c r="BD48">
        <v>1777</v>
      </c>
      <c r="BE48">
        <f>IFERROR(BD48*AM48,"-")</f>
        <v>1915.6115444617785</v>
      </c>
      <c r="BF48" t="s">
        <v>379</v>
      </c>
    </row>
    <row r="49" spans="1:58" x14ac:dyDescent="0.4">
      <c r="A49" s="3">
        <v>92</v>
      </c>
      <c r="B49" s="3">
        <v>92</v>
      </c>
      <c r="C49" s="4" t="s">
        <v>146</v>
      </c>
      <c r="D49" s="4" t="str">
        <f>TEXT(C49,"000000")</f>
        <v>J6352P</v>
      </c>
      <c r="E49" s="4" t="s">
        <v>146</v>
      </c>
      <c r="F49" s="4" t="str">
        <f>D49&amp;I49</f>
        <v>J6352P5</v>
      </c>
      <c r="G49" s="4" t="s">
        <v>269</v>
      </c>
      <c r="H49" s="5">
        <v>4547345054405</v>
      </c>
      <c r="I49" s="33">
        <v>5</v>
      </c>
      <c r="J49" s="5"/>
      <c r="K49" s="5">
        <v>1</v>
      </c>
      <c r="L49" s="5">
        <v>1</v>
      </c>
      <c r="M49" s="4">
        <v>0</v>
      </c>
      <c r="N49" s="4">
        <v>1948</v>
      </c>
      <c r="O49" s="4">
        <v>1282</v>
      </c>
      <c r="P49" s="6">
        <f>IFERROR(1-O49/N49,"-")</f>
        <v>0.34188911704312119</v>
      </c>
      <c r="Q49" s="4" t="s">
        <v>304</v>
      </c>
      <c r="R49" s="4" t="s">
        <v>304</v>
      </c>
      <c r="S49" s="4" t="s">
        <v>304</v>
      </c>
      <c r="T49" s="33">
        <v>0</v>
      </c>
      <c r="U49" s="4">
        <f>IF(X49="",T49,T49*X49)</f>
        <v>0</v>
      </c>
      <c r="V49" s="4">
        <v>1387</v>
      </c>
      <c r="W49" s="4">
        <f>IF(X49="",V49,V49*X49)</f>
        <v>1387</v>
      </c>
      <c r="X49" s="4"/>
      <c r="Y49" s="21">
        <f>ROUND(N49*AM49,0)</f>
        <v>2108</v>
      </c>
      <c r="Z49" s="6">
        <f>IFERROR(1-W49/Y49,"-")</f>
        <v>0.34203036053130931</v>
      </c>
      <c r="AA49" s="33">
        <v>0.75</v>
      </c>
      <c r="AB49" s="4">
        <f>AX49</f>
        <v>1861</v>
      </c>
      <c r="AC49" s="33">
        <f>IFERROR(AB49*AM49,"-")</f>
        <v>2013.4219968798752</v>
      </c>
      <c r="AD49" s="6">
        <f>IFERROR(1-W49/AC49,"-")</f>
        <v>0.31112305212251479</v>
      </c>
      <c r="AE49" s="7">
        <v>2013</v>
      </c>
      <c r="AF49" s="6">
        <f>1-W49/AE49</f>
        <v>0.31097863884749133</v>
      </c>
      <c r="AG49" s="4">
        <f>AE49-W49</f>
        <v>626</v>
      </c>
      <c r="AH49" s="28"/>
      <c r="AI49" s="6"/>
      <c r="AJ49" s="6"/>
      <c r="AK49" s="6" t="str">
        <f>IFERROR(U49/M49,"-")</f>
        <v>-</v>
      </c>
      <c r="AL49" s="6">
        <f>IFERROR(AE49/N49,"-")</f>
        <v>1.0333675564681726</v>
      </c>
      <c r="AM49" s="6">
        <f>IFERROR(W49/O49,"-")</f>
        <v>1.0819032761310452</v>
      </c>
      <c r="AN49" s="6" t="str">
        <f>IFERROR(1-W49/AO49,"-")</f>
        <v>-</v>
      </c>
      <c r="AO49" s="4" t="str">
        <f>IFERROR(ROUND($AE49*Q49/$N49,0),"-")</f>
        <v>-</v>
      </c>
      <c r="AP49" s="4" t="str">
        <f>IF(R49="","-",R49)</f>
        <v>-</v>
      </c>
      <c r="AQ49" s="4" t="str">
        <f>IF(S49="","-",S49)</f>
        <v>-</v>
      </c>
      <c r="AR49" s="4">
        <v>0</v>
      </c>
      <c r="AS49" s="4" t="s">
        <v>492</v>
      </c>
      <c r="AT49" s="4">
        <v>1</v>
      </c>
      <c r="AU49" s="4">
        <v>10</v>
      </c>
      <c r="AV49" s="4" t="s">
        <v>420</v>
      </c>
      <c r="AW49" s="4">
        <v>18610</v>
      </c>
      <c r="AX49" s="4">
        <f>IF(AT49="",AW49,AT49/AU49*AW49)</f>
        <v>1861</v>
      </c>
      <c r="AY49" s="19">
        <v>4</v>
      </c>
      <c r="AZ49" s="19">
        <v>8</v>
      </c>
      <c r="BA49" s="16">
        <v>405</v>
      </c>
      <c r="BB49" t="s">
        <v>528</v>
      </c>
      <c r="BC49" t="str">
        <f>IFERROR(BB49*AM49,"-")</f>
        <v>-</v>
      </c>
      <c r="BD49">
        <v>1767</v>
      </c>
      <c r="BE49">
        <f>IFERROR(BD49*AM49,"-")</f>
        <v>1911.7230889235568</v>
      </c>
      <c r="BF49" t="s">
        <v>378</v>
      </c>
    </row>
    <row r="50" spans="1:58" x14ac:dyDescent="0.4">
      <c r="A50" s="3">
        <v>13</v>
      </c>
      <c r="B50" s="3">
        <v>13</v>
      </c>
      <c r="C50" s="4" t="s">
        <v>67</v>
      </c>
      <c r="D50" s="4" t="str">
        <f>TEXT(C50,"000000")</f>
        <v>J3070R</v>
      </c>
      <c r="E50" s="4" t="s">
        <v>67</v>
      </c>
      <c r="F50" s="4" t="str">
        <f>D50&amp;I50</f>
        <v>J3070R5</v>
      </c>
      <c r="G50" s="4" t="s">
        <v>190</v>
      </c>
      <c r="H50" s="5">
        <v>4547345055884</v>
      </c>
      <c r="I50" s="33">
        <v>5</v>
      </c>
      <c r="J50" s="5"/>
      <c r="K50" s="5">
        <v>1</v>
      </c>
      <c r="L50" s="5">
        <v>1</v>
      </c>
      <c r="M50" s="4">
        <v>0</v>
      </c>
      <c r="N50" s="4">
        <v>1710</v>
      </c>
      <c r="O50" s="4">
        <v>1290</v>
      </c>
      <c r="P50" s="6">
        <f>IFERROR(1-O50/N50,"-")</f>
        <v>0.24561403508771928</v>
      </c>
      <c r="Q50" s="4" t="s">
        <v>304</v>
      </c>
      <c r="R50" s="4" t="s">
        <v>304</v>
      </c>
      <c r="S50" s="4" t="s">
        <v>304</v>
      </c>
      <c r="T50" s="33">
        <v>0</v>
      </c>
      <c r="U50" s="4">
        <f>IF(X50="",T50,T50*X50)</f>
        <v>0</v>
      </c>
      <c r="V50" s="4">
        <v>1392</v>
      </c>
      <c r="W50" s="4">
        <f>IF(X50="",V50,V50*X50)</f>
        <v>1392</v>
      </c>
      <c r="X50" s="4"/>
      <c r="Y50" s="21">
        <f>ROUND(N50*AM50,0)</f>
        <v>1845</v>
      </c>
      <c r="Z50" s="6">
        <f>IFERROR(1-W50/Y50,"-")</f>
        <v>0.2455284552845528</v>
      </c>
      <c r="AA50" s="33">
        <v>0</v>
      </c>
      <c r="AB50" s="4" t="str">
        <f>AX50</f>
        <v>-</v>
      </c>
      <c r="AC50" s="33" t="str">
        <f>IFERROR(AB50*AM50,"-")</f>
        <v>-</v>
      </c>
      <c r="AD50" s="6" t="str">
        <f>IFERROR(1-W50/AC50,"-")</f>
        <v>-</v>
      </c>
      <c r="AE50" s="7">
        <v>1960</v>
      </c>
      <c r="AF50" s="6">
        <f>1-W50/AE50</f>
        <v>0.28979591836734697</v>
      </c>
      <c r="AG50" s="4">
        <f>AE50-W50</f>
        <v>568</v>
      </c>
      <c r="AH50" s="28"/>
      <c r="AI50" s="6"/>
      <c r="AJ50" s="6"/>
      <c r="AK50" s="6" t="str">
        <f>IFERROR(U50/M50,"-")</f>
        <v>-</v>
      </c>
      <c r="AL50" s="6">
        <f>IFERROR(AE50/N50,"-")</f>
        <v>1.1461988304093567</v>
      </c>
      <c r="AM50" s="6">
        <f>IFERROR(W50/O50,"-")</f>
        <v>1.0790697674418606</v>
      </c>
      <c r="AN50" s="6" t="str">
        <f>IFERROR(1-W50/AO50,"-")</f>
        <v>-</v>
      </c>
      <c r="AO50" s="4" t="str">
        <f>IFERROR(ROUND($AE50*Q50/$N50,0),"-")</f>
        <v>-</v>
      </c>
      <c r="AP50" s="4" t="str">
        <f>IF(R50="","-",R50)</f>
        <v>-</v>
      </c>
      <c r="AQ50" s="4" t="str">
        <f>IF(S50="","-",S50)</f>
        <v>-</v>
      </c>
      <c r="AR50" s="4">
        <v>0</v>
      </c>
      <c r="AS50" s="4" t="s">
        <v>304</v>
      </c>
      <c r="AT50" s="4"/>
      <c r="AU50" s="4"/>
      <c r="AV50" s="4" t="s">
        <v>304</v>
      </c>
      <c r="AW50" s="4" t="s">
        <v>304</v>
      </c>
      <c r="AX50" s="4" t="str">
        <f>IF(AT50="",AW50,AT50/AU50*AW50)</f>
        <v>-</v>
      </c>
      <c r="AY50" s="19">
        <v>4</v>
      </c>
      <c r="AZ50" s="19">
        <v>8</v>
      </c>
      <c r="BA50" s="16">
        <v>405</v>
      </c>
      <c r="BB50" t="s">
        <v>528</v>
      </c>
      <c r="BC50" t="str">
        <f>IFERROR(BB50*AM50,"-")</f>
        <v>-</v>
      </c>
      <c r="BD50">
        <v>1729</v>
      </c>
      <c r="BE50">
        <f>IFERROR(BD50*AM50,"-")</f>
        <v>1865.7116279069769</v>
      </c>
      <c r="BF50" t="s">
        <v>304</v>
      </c>
    </row>
    <row r="51" spans="1:58" x14ac:dyDescent="0.4">
      <c r="A51" s="3">
        <v>73</v>
      </c>
      <c r="B51" s="3">
        <v>73</v>
      </c>
      <c r="C51" s="4" t="s">
        <v>127</v>
      </c>
      <c r="D51" s="4" t="str">
        <f>TEXT(C51,"000000")</f>
        <v>J45819</v>
      </c>
      <c r="E51" s="4" t="s">
        <v>127</v>
      </c>
      <c r="F51" s="4" t="str">
        <f>D51&amp;I51</f>
        <v>J458195</v>
      </c>
      <c r="G51" s="4" t="s">
        <v>250</v>
      </c>
      <c r="H51" s="5">
        <v>4547345046172</v>
      </c>
      <c r="I51" s="33">
        <v>5</v>
      </c>
      <c r="J51" s="5"/>
      <c r="K51" s="5">
        <v>1</v>
      </c>
      <c r="L51" s="5">
        <v>1</v>
      </c>
      <c r="M51" s="4">
        <v>0</v>
      </c>
      <c r="N51" s="4">
        <v>1778</v>
      </c>
      <c r="O51" s="4">
        <v>1290</v>
      </c>
      <c r="P51" s="6">
        <f>IFERROR(1-O51/N51,"-")</f>
        <v>0.27446569178852642</v>
      </c>
      <c r="Q51" s="4" t="s">
        <v>304</v>
      </c>
      <c r="R51" s="4" t="s">
        <v>304</v>
      </c>
      <c r="S51" s="4" t="s">
        <v>304</v>
      </c>
      <c r="T51" s="33">
        <v>0</v>
      </c>
      <c r="U51" s="4">
        <f>IF(X51="",T51,T51*X51)</f>
        <v>0</v>
      </c>
      <c r="V51" s="4">
        <v>1397</v>
      </c>
      <c r="W51" s="4">
        <f>IF(X51="",V51,V51*X51)</f>
        <v>1397</v>
      </c>
      <c r="X51" s="4"/>
      <c r="Y51" s="21">
        <f>ROUND(N51*AM51,0)</f>
        <v>1925</v>
      </c>
      <c r="Z51" s="6">
        <f>IFERROR(1-W51/Y51,"-")</f>
        <v>0.27428571428571424</v>
      </c>
      <c r="AA51" s="33">
        <v>2</v>
      </c>
      <c r="AB51" s="4">
        <f>AX51</f>
        <v>1818.4</v>
      </c>
      <c r="AC51" s="33">
        <f>IFERROR(AB51*AM51,"-")</f>
        <v>1969.2285271317833</v>
      </c>
      <c r="AD51" s="6">
        <f>IFERROR(1-W51/AC51,"-")</f>
        <v>0.29058512978442597</v>
      </c>
      <c r="AE51" s="7">
        <v>1968</v>
      </c>
      <c r="AF51" s="6">
        <f>1-W51/AE51</f>
        <v>0.29014227642276424</v>
      </c>
      <c r="AG51" s="4">
        <f>AE51-W51</f>
        <v>571</v>
      </c>
      <c r="AH51" s="28"/>
      <c r="AI51" s="6"/>
      <c r="AJ51" s="6"/>
      <c r="AK51" s="6" t="str">
        <f>IFERROR(U51/M51,"-")</f>
        <v>-</v>
      </c>
      <c r="AL51" s="6">
        <f>IFERROR(AE51/N51,"-")</f>
        <v>1.1068616422947131</v>
      </c>
      <c r="AM51" s="6">
        <f>IFERROR(W51/O51,"-")</f>
        <v>1.0829457364341086</v>
      </c>
      <c r="AN51" s="6" t="str">
        <f>IFERROR(1-W51/AO51,"-")</f>
        <v>-</v>
      </c>
      <c r="AO51" s="4" t="str">
        <f>IFERROR(ROUND($AE51*Q51/$N51,0),"-")</f>
        <v>-</v>
      </c>
      <c r="AP51" s="4" t="str">
        <f>IF(R51="","-",R51)</f>
        <v>-</v>
      </c>
      <c r="AQ51" s="4" t="str">
        <f>IF(S51="","-",S51)</f>
        <v>-</v>
      </c>
      <c r="AR51" s="4">
        <v>0</v>
      </c>
      <c r="AS51" s="4" t="s">
        <v>487</v>
      </c>
      <c r="AT51" s="4">
        <v>1</v>
      </c>
      <c r="AU51" s="4">
        <v>10</v>
      </c>
      <c r="AV51" s="4" t="s">
        <v>420</v>
      </c>
      <c r="AW51" s="4">
        <v>18184</v>
      </c>
      <c r="AX51" s="4">
        <f>IF(AT51="",AW51,AT51/AU51*AW51)</f>
        <v>1818.4</v>
      </c>
      <c r="AY51" s="19">
        <v>4</v>
      </c>
      <c r="AZ51" s="19">
        <v>8</v>
      </c>
      <c r="BA51" s="16">
        <v>405</v>
      </c>
      <c r="BB51" t="s">
        <v>528</v>
      </c>
      <c r="BC51" t="str">
        <f>IFERROR(BB51*AM51,"-")</f>
        <v>-</v>
      </c>
      <c r="BD51">
        <v>1818</v>
      </c>
      <c r="BE51">
        <f>IFERROR(BD51*AM51,"-")</f>
        <v>1968.7953488372095</v>
      </c>
      <c r="BF51" t="s">
        <v>373</v>
      </c>
    </row>
    <row r="52" spans="1:58" x14ac:dyDescent="0.4">
      <c r="A52" s="3">
        <v>69</v>
      </c>
      <c r="B52" s="3">
        <v>69</v>
      </c>
      <c r="C52" s="4" t="s">
        <v>123</v>
      </c>
      <c r="D52" s="4" t="str">
        <f>TEXT(C52,"000000")</f>
        <v>J45813</v>
      </c>
      <c r="E52" s="4" t="s">
        <v>123</v>
      </c>
      <c r="F52" s="4" t="str">
        <f>D52&amp;I52</f>
        <v>J458135</v>
      </c>
      <c r="G52" s="4" t="s">
        <v>246</v>
      </c>
      <c r="H52" s="5">
        <v>4547345046127</v>
      </c>
      <c r="I52" s="33">
        <v>5</v>
      </c>
      <c r="J52" s="5"/>
      <c r="K52" s="5">
        <v>1</v>
      </c>
      <c r="L52" s="5">
        <v>1</v>
      </c>
      <c r="M52" s="4">
        <v>0</v>
      </c>
      <c r="N52" s="4">
        <v>1949</v>
      </c>
      <c r="O52" s="4">
        <v>1392</v>
      </c>
      <c r="P52" s="6">
        <f>IFERROR(1-O52/N52,"-")</f>
        <v>0.28578758337609034</v>
      </c>
      <c r="Q52" s="4" t="s">
        <v>304</v>
      </c>
      <c r="R52" s="4" t="s">
        <v>304</v>
      </c>
      <c r="S52" s="4" t="s">
        <v>304</v>
      </c>
      <c r="T52" s="33">
        <v>0</v>
      </c>
      <c r="U52" s="4">
        <f>IF(X52="",T52,T52*X52)</f>
        <v>0</v>
      </c>
      <c r="V52" s="4">
        <v>1501</v>
      </c>
      <c r="W52" s="4">
        <f>IF(X52="",V52,V52*X52)</f>
        <v>1501</v>
      </c>
      <c r="X52" s="4"/>
      <c r="Y52" s="21">
        <f>ROUND(N52*AM52,0)</f>
        <v>2102</v>
      </c>
      <c r="Z52" s="6">
        <f>IFERROR(1-W52/Y52,"-")</f>
        <v>0.28591817316841106</v>
      </c>
      <c r="AA52" s="33">
        <v>1.5</v>
      </c>
      <c r="AB52" s="4">
        <f>AX52</f>
        <v>2437</v>
      </c>
      <c r="AC52" s="33">
        <f>IFERROR(AB52*AM52,"-")</f>
        <v>2627.8283045977009</v>
      </c>
      <c r="AD52" s="6">
        <f>IFERROR(1-W52/AC52,"-")</f>
        <v>0.42880590890439063</v>
      </c>
      <c r="AE52" s="7">
        <v>2200</v>
      </c>
      <c r="AF52" s="6">
        <f>1-W52/AE52</f>
        <v>0.31772727272727275</v>
      </c>
      <c r="AG52" s="4">
        <f>AE52-W52</f>
        <v>699</v>
      </c>
      <c r="AH52" s="28"/>
      <c r="AI52" s="6"/>
      <c r="AJ52" s="6"/>
      <c r="AK52" s="6" t="str">
        <f>IFERROR(U52/M52,"-")</f>
        <v>-</v>
      </c>
      <c r="AL52" s="6">
        <f>IFERROR(AE52/N52,"-")</f>
        <v>1.1287839917906619</v>
      </c>
      <c r="AM52" s="6">
        <f>IFERROR(W52/O52,"-")</f>
        <v>1.0783045977011494</v>
      </c>
      <c r="AN52" s="6" t="str">
        <f>IFERROR(1-W52/AO52,"-")</f>
        <v>-</v>
      </c>
      <c r="AO52" s="4" t="str">
        <f>IFERROR(ROUND($AE52*Q52/$N52,0),"-")</f>
        <v>-</v>
      </c>
      <c r="AP52" s="4" t="str">
        <f>IF(R52="","-",R52)</f>
        <v>-</v>
      </c>
      <c r="AQ52" s="4" t="str">
        <f>IF(S52="","-",S52)</f>
        <v>-</v>
      </c>
      <c r="AR52" s="4">
        <v>0</v>
      </c>
      <c r="AS52" s="4" t="s">
        <v>483</v>
      </c>
      <c r="AT52" s="4"/>
      <c r="AU52" s="4"/>
      <c r="AV52" s="4" t="s">
        <v>411</v>
      </c>
      <c r="AW52" s="4">
        <v>2437</v>
      </c>
      <c r="AX52" s="4">
        <f>IF(AT52="",AW52,AT52/AU52*AW52)</f>
        <v>2437</v>
      </c>
      <c r="AY52" s="19">
        <v>4</v>
      </c>
      <c r="AZ52" s="19">
        <v>8</v>
      </c>
      <c r="BA52" s="16">
        <v>405</v>
      </c>
      <c r="BB52" t="s">
        <v>528</v>
      </c>
      <c r="BC52" t="str">
        <f>IFERROR(BB52*AM52,"-")</f>
        <v>-</v>
      </c>
      <c r="BD52">
        <v>1900</v>
      </c>
      <c r="BE52">
        <f>IFERROR(BD52*AM52,"-")</f>
        <v>2048.7787356321837</v>
      </c>
      <c r="BF52" t="s">
        <v>369</v>
      </c>
    </row>
    <row r="53" spans="1:58" x14ac:dyDescent="0.4">
      <c r="A53" s="3">
        <v>71</v>
      </c>
      <c r="B53" s="3">
        <v>71</v>
      </c>
      <c r="C53" s="4" t="s">
        <v>125</v>
      </c>
      <c r="D53" s="4" t="str">
        <f>TEXT(C53,"000000")</f>
        <v>J45815</v>
      </c>
      <c r="E53" s="4" t="s">
        <v>125</v>
      </c>
      <c r="F53" s="4" t="str">
        <f>D53&amp;I53</f>
        <v>J458155</v>
      </c>
      <c r="G53" s="4" t="s">
        <v>248</v>
      </c>
      <c r="H53" s="5">
        <v>4547345046141</v>
      </c>
      <c r="I53" s="33">
        <v>5</v>
      </c>
      <c r="J53" s="5"/>
      <c r="K53" s="5">
        <v>1</v>
      </c>
      <c r="L53" s="5">
        <v>1</v>
      </c>
      <c r="M53" s="4">
        <v>0</v>
      </c>
      <c r="N53" s="4">
        <v>1949</v>
      </c>
      <c r="O53" s="4">
        <v>1392</v>
      </c>
      <c r="P53" s="6">
        <f>IFERROR(1-O53/N53,"-")</f>
        <v>0.28578758337609034</v>
      </c>
      <c r="Q53" s="4" t="s">
        <v>304</v>
      </c>
      <c r="R53" s="4" t="s">
        <v>304</v>
      </c>
      <c r="S53" s="4" t="s">
        <v>304</v>
      </c>
      <c r="T53" s="33">
        <v>0</v>
      </c>
      <c r="U53" s="4">
        <f>IF(X53="",T53,T53*X53)</f>
        <v>0</v>
      </c>
      <c r="V53" s="4">
        <v>1501</v>
      </c>
      <c r="W53" s="4">
        <f>IF(X53="",V53,V53*X53)</f>
        <v>1501</v>
      </c>
      <c r="X53" s="4"/>
      <c r="Y53" s="21">
        <f>ROUND(N53*AM53,0)</f>
        <v>2102</v>
      </c>
      <c r="Z53" s="6">
        <f>IFERROR(1-W53/Y53,"-")</f>
        <v>0.28591817316841106</v>
      </c>
      <c r="AA53" s="33">
        <v>1</v>
      </c>
      <c r="AB53" s="4">
        <f>AX53</f>
        <v>1994.6000000000001</v>
      </c>
      <c r="AC53" s="33">
        <f>IFERROR(AB53*AM53,"-")</f>
        <v>2150.7863505747127</v>
      </c>
      <c r="AD53" s="6">
        <f>IFERROR(1-W53/AC53,"-")</f>
        <v>0.30211571242354363</v>
      </c>
      <c r="AE53" s="7">
        <v>2150</v>
      </c>
      <c r="AF53" s="6">
        <f>1-W53/AE53</f>
        <v>0.30186046511627906</v>
      </c>
      <c r="AG53" s="4">
        <f>AE53-W53</f>
        <v>649</v>
      </c>
      <c r="AH53" s="28"/>
      <c r="AI53" s="6"/>
      <c r="AJ53" s="6"/>
      <c r="AK53" s="6" t="str">
        <f>IFERROR(U53/M53,"-")</f>
        <v>-</v>
      </c>
      <c r="AL53" s="6">
        <f>IFERROR(AE53/N53,"-")</f>
        <v>1.1031298101590559</v>
      </c>
      <c r="AM53" s="6">
        <f>IFERROR(W53/O53,"-")</f>
        <v>1.0783045977011494</v>
      </c>
      <c r="AN53" s="6" t="str">
        <f>IFERROR(1-W53/AO53,"-")</f>
        <v>-</v>
      </c>
      <c r="AO53" s="4" t="str">
        <f>IFERROR(ROUND($AE53*Q53/$N53,0),"-")</f>
        <v>-</v>
      </c>
      <c r="AP53" s="4" t="str">
        <f>IF(R53="","-",R53)</f>
        <v>-</v>
      </c>
      <c r="AQ53" s="4" t="str">
        <f>IF(S53="","-",S53)</f>
        <v>-</v>
      </c>
      <c r="AR53" s="4">
        <v>0</v>
      </c>
      <c r="AS53" s="4" t="s">
        <v>485</v>
      </c>
      <c r="AT53" s="4">
        <v>1</v>
      </c>
      <c r="AU53" s="4">
        <v>10</v>
      </c>
      <c r="AV53" s="4" t="s">
        <v>420</v>
      </c>
      <c r="AW53" s="4">
        <v>19946</v>
      </c>
      <c r="AX53" s="4">
        <f>IF(AT53="",AW53,AT53/AU53*AW53)</f>
        <v>1994.6000000000001</v>
      </c>
      <c r="AY53" s="19">
        <v>4</v>
      </c>
      <c r="AZ53" s="19">
        <v>8</v>
      </c>
      <c r="BA53" s="16">
        <v>405</v>
      </c>
      <c r="BB53" t="s">
        <v>528</v>
      </c>
      <c r="BC53" t="str">
        <f>IFERROR(BB53*AM53,"-")</f>
        <v>-</v>
      </c>
      <c r="BD53">
        <v>1994</v>
      </c>
      <c r="BE53">
        <f>IFERROR(BD53*AM53,"-")</f>
        <v>2150.1393678160921</v>
      </c>
      <c r="BF53" t="s">
        <v>371</v>
      </c>
    </row>
    <row r="54" spans="1:58" x14ac:dyDescent="0.4">
      <c r="A54" s="3">
        <v>15</v>
      </c>
      <c r="B54" s="3">
        <v>15</v>
      </c>
      <c r="C54" s="4" t="s">
        <v>69</v>
      </c>
      <c r="D54" s="4" t="str">
        <f>TEXT(C54,"000000")</f>
        <v>J3072R</v>
      </c>
      <c r="E54" s="4" t="s">
        <v>69</v>
      </c>
      <c r="F54" s="4" t="str">
        <f>D54&amp;I54</f>
        <v>J3072R5</v>
      </c>
      <c r="G54" s="4" t="s">
        <v>192</v>
      </c>
      <c r="H54" s="5">
        <v>4547345046134</v>
      </c>
      <c r="I54" s="33">
        <v>5</v>
      </c>
      <c r="J54" s="5"/>
      <c r="K54" s="5">
        <v>1</v>
      </c>
      <c r="L54" s="5">
        <v>1</v>
      </c>
      <c r="M54" s="4">
        <v>0</v>
      </c>
      <c r="N54" s="4">
        <v>3974</v>
      </c>
      <c r="O54" s="4">
        <v>1395</v>
      </c>
      <c r="P54" s="6">
        <f>IFERROR(1-O54/N54,"-")</f>
        <v>0.64896829391041777</v>
      </c>
      <c r="Q54" s="4" t="s">
        <v>304</v>
      </c>
      <c r="R54" s="4" t="s">
        <v>304</v>
      </c>
      <c r="S54" s="4" t="s">
        <v>304</v>
      </c>
      <c r="T54" s="33">
        <v>0</v>
      </c>
      <c r="U54" s="4">
        <f>IF(X54="",T54,T54*X54)</f>
        <v>0</v>
      </c>
      <c r="V54" s="4">
        <v>1503</v>
      </c>
      <c r="W54" s="4">
        <f>IF(X54="",V54,V54*X54)</f>
        <v>1503</v>
      </c>
      <c r="X54" s="4"/>
      <c r="Y54" s="21">
        <f>ROUND(N54*AM54,0)</f>
        <v>4282</v>
      </c>
      <c r="Z54" s="6">
        <f>IFERROR(1-W54/Y54,"-")</f>
        <v>0.64899579635684257</v>
      </c>
      <c r="AA54" s="33">
        <v>0</v>
      </c>
      <c r="AB54" s="4">
        <f>AX54</f>
        <v>1998.9</v>
      </c>
      <c r="AC54" s="33">
        <f>IFERROR(AB54*AM54,"-")</f>
        <v>2153.6535483870966</v>
      </c>
      <c r="AD54" s="6">
        <f>IFERROR(1-W54/AC54,"-")</f>
        <v>0.30211616389013951</v>
      </c>
      <c r="AE54" s="7">
        <v>2150</v>
      </c>
      <c r="AF54" s="6">
        <f>1-W54/AE54</f>
        <v>0.30093023255813955</v>
      </c>
      <c r="AG54" s="4">
        <f>AE54-W54</f>
        <v>647</v>
      </c>
      <c r="AH54" s="28"/>
      <c r="AI54" s="6"/>
      <c r="AJ54" s="6"/>
      <c r="AK54" s="6" t="str">
        <f>IFERROR(U54/M54,"-")</f>
        <v>-</v>
      </c>
      <c r="AL54" s="6">
        <f>IFERROR(AE54/N54,"-")</f>
        <v>0.54101660795168593</v>
      </c>
      <c r="AM54" s="6">
        <f>IFERROR(W54/O54,"-")</f>
        <v>1.0774193548387097</v>
      </c>
      <c r="AN54" s="6" t="str">
        <f>IFERROR(1-W54/AO54,"-")</f>
        <v>-</v>
      </c>
      <c r="AO54" s="4" t="str">
        <f>IFERROR(ROUND($AE54*Q54/$N54,0),"-")</f>
        <v>-</v>
      </c>
      <c r="AP54" s="4" t="str">
        <f>IF(R54="","-",R54)</f>
        <v>-</v>
      </c>
      <c r="AQ54" s="4" t="str">
        <f>IF(S54="","-",S54)</f>
        <v>-</v>
      </c>
      <c r="AR54" s="4">
        <v>0</v>
      </c>
      <c r="AS54" s="4" t="s">
        <v>419</v>
      </c>
      <c r="AT54" s="4">
        <v>1</v>
      </c>
      <c r="AU54" s="4">
        <v>10</v>
      </c>
      <c r="AV54" s="4" t="s">
        <v>420</v>
      </c>
      <c r="AW54" s="4">
        <v>19989</v>
      </c>
      <c r="AX54" s="4">
        <f>IF(AT54="",AW54,AT54/AU54*AW54)</f>
        <v>1998.9</v>
      </c>
      <c r="AY54" s="19">
        <v>4</v>
      </c>
      <c r="AZ54" s="19">
        <v>8</v>
      </c>
      <c r="BA54" s="16">
        <v>405</v>
      </c>
      <c r="BB54" t="s">
        <v>528</v>
      </c>
      <c r="BC54" t="str">
        <f>IFERROR(BB54*AM54,"-")</f>
        <v>-</v>
      </c>
      <c r="BD54">
        <v>1996</v>
      </c>
      <c r="BE54">
        <f>IFERROR(BD54*AM54,"-")</f>
        <v>2150.5290322580645</v>
      </c>
      <c r="BF54" t="s">
        <v>316</v>
      </c>
    </row>
    <row r="55" spans="1:58" x14ac:dyDescent="0.4">
      <c r="A55" s="3">
        <v>70</v>
      </c>
      <c r="B55" s="3">
        <v>70</v>
      </c>
      <c r="C55" s="4" t="s">
        <v>124</v>
      </c>
      <c r="D55" s="4" t="str">
        <f>TEXT(C55,"000000")</f>
        <v>J45814</v>
      </c>
      <c r="E55" s="4" t="s">
        <v>124</v>
      </c>
      <c r="F55" s="4" t="str">
        <f>D55&amp;I55</f>
        <v>J458145</v>
      </c>
      <c r="G55" s="4" t="s">
        <v>247</v>
      </c>
      <c r="H55" s="5">
        <v>4547345046110</v>
      </c>
      <c r="I55" s="33">
        <v>5</v>
      </c>
      <c r="J55" s="5"/>
      <c r="K55" s="5">
        <v>1</v>
      </c>
      <c r="L55" s="5">
        <v>1</v>
      </c>
      <c r="M55" s="4">
        <v>0</v>
      </c>
      <c r="N55" s="4">
        <v>1953</v>
      </c>
      <c r="O55" s="4">
        <v>1395</v>
      </c>
      <c r="P55" s="6">
        <f>IFERROR(1-O55/N55,"-")</f>
        <v>0.2857142857142857</v>
      </c>
      <c r="Q55" s="4" t="s">
        <v>304</v>
      </c>
      <c r="R55" s="4" t="s">
        <v>304</v>
      </c>
      <c r="S55" s="4" t="s">
        <v>304</v>
      </c>
      <c r="T55" s="33">
        <v>0</v>
      </c>
      <c r="U55" s="4">
        <f>IF(X55="",T55,T55*X55)</f>
        <v>0</v>
      </c>
      <c r="V55" s="4">
        <v>1503</v>
      </c>
      <c r="W55" s="4">
        <f>IF(X55="",V55,V55*X55)</f>
        <v>1503</v>
      </c>
      <c r="X55" s="4"/>
      <c r="Y55" s="21">
        <f>ROUND(N55*AM55,0)</f>
        <v>2104</v>
      </c>
      <c r="Z55" s="6">
        <f>IFERROR(1-W55/Y55,"-")</f>
        <v>0.28564638783269958</v>
      </c>
      <c r="AA55" s="33">
        <v>0.75</v>
      </c>
      <c r="AB55" s="4">
        <f>AX55</f>
        <v>1998.9</v>
      </c>
      <c r="AC55" s="33">
        <f>IFERROR(AB55*AM55,"-")</f>
        <v>2153.6535483870966</v>
      </c>
      <c r="AD55" s="6">
        <f>IFERROR(1-W55/AC55,"-")</f>
        <v>0.30211616389013951</v>
      </c>
      <c r="AE55" s="7">
        <v>2150</v>
      </c>
      <c r="AF55" s="6">
        <f>1-W55/AE55</f>
        <v>0.30093023255813955</v>
      </c>
      <c r="AG55" s="4">
        <f>AE55-W55</f>
        <v>647</v>
      </c>
      <c r="AH55" s="28"/>
      <c r="AI55" s="6"/>
      <c r="AJ55" s="6"/>
      <c r="AK55" s="6" t="str">
        <f>IFERROR(U55/M55,"-")</f>
        <v>-</v>
      </c>
      <c r="AL55" s="6">
        <f>IFERROR(AE55/N55,"-")</f>
        <v>1.1008704557091653</v>
      </c>
      <c r="AM55" s="6">
        <f>IFERROR(W55/O55,"-")</f>
        <v>1.0774193548387097</v>
      </c>
      <c r="AN55" s="6" t="str">
        <f>IFERROR(1-W55/AO55,"-")</f>
        <v>-</v>
      </c>
      <c r="AO55" s="4" t="str">
        <f>IFERROR(ROUND($AE55*Q55/$N55,0),"-")</f>
        <v>-</v>
      </c>
      <c r="AP55" s="4" t="str">
        <f>IF(R55="","-",R55)</f>
        <v>-</v>
      </c>
      <c r="AQ55" s="4" t="str">
        <f>IF(S55="","-",S55)</f>
        <v>-</v>
      </c>
      <c r="AR55" s="4">
        <v>0</v>
      </c>
      <c r="AS55" s="4" t="s">
        <v>484</v>
      </c>
      <c r="AT55" s="4">
        <v>1</v>
      </c>
      <c r="AU55" s="4">
        <v>10</v>
      </c>
      <c r="AV55" s="4" t="s">
        <v>420</v>
      </c>
      <c r="AW55" s="4">
        <v>19989</v>
      </c>
      <c r="AX55" s="4">
        <f>IF(AT55="",AW55,AT55/AU55*AW55)</f>
        <v>1998.9</v>
      </c>
      <c r="AY55" s="19">
        <v>4</v>
      </c>
      <c r="AZ55" s="19">
        <v>8</v>
      </c>
      <c r="BA55" s="16">
        <v>405</v>
      </c>
      <c r="BB55" t="s">
        <v>528</v>
      </c>
      <c r="BC55" t="str">
        <f>IFERROR(BB55*AM55,"-")</f>
        <v>-</v>
      </c>
      <c r="BD55">
        <v>1900</v>
      </c>
      <c r="BE55">
        <f>IFERROR(BD55*AM55,"-")</f>
        <v>2047.0967741935483</v>
      </c>
      <c r="BF55" t="s">
        <v>370</v>
      </c>
    </row>
    <row r="56" spans="1:58" x14ac:dyDescent="0.4">
      <c r="A56" s="3">
        <v>72</v>
      </c>
      <c r="B56" s="3">
        <v>72</v>
      </c>
      <c r="C56" s="4" t="s">
        <v>126</v>
      </c>
      <c r="D56" s="4" t="str">
        <f>TEXT(C56,"000000")</f>
        <v>J45817</v>
      </c>
      <c r="E56" s="4" t="s">
        <v>126</v>
      </c>
      <c r="F56" s="4" t="str">
        <f>D56&amp;I56</f>
        <v>J458175</v>
      </c>
      <c r="G56" s="4" t="s">
        <v>249</v>
      </c>
      <c r="H56" s="5">
        <v>4547345046165</v>
      </c>
      <c r="I56" s="33">
        <v>5</v>
      </c>
      <c r="J56" s="5"/>
      <c r="K56" s="5">
        <v>1</v>
      </c>
      <c r="L56" s="5">
        <v>1</v>
      </c>
      <c r="M56" s="4">
        <v>0</v>
      </c>
      <c r="N56" s="4">
        <v>2010</v>
      </c>
      <c r="O56" s="4">
        <v>1456</v>
      </c>
      <c r="P56" s="6">
        <f>IFERROR(1-O56/N56,"-")</f>
        <v>0.27562189054726371</v>
      </c>
      <c r="Q56" s="4" t="s">
        <v>304</v>
      </c>
      <c r="R56" s="4" t="s">
        <v>304</v>
      </c>
      <c r="S56" s="4" t="s">
        <v>304</v>
      </c>
      <c r="T56" s="33">
        <v>0</v>
      </c>
      <c r="U56" s="4">
        <f>IF(X56="",T56,T56*X56)</f>
        <v>0</v>
      </c>
      <c r="V56" s="4">
        <v>1571</v>
      </c>
      <c r="W56" s="4">
        <f>IF(X56="",V56,V56*X56)</f>
        <v>1571</v>
      </c>
      <c r="X56" s="4"/>
      <c r="Y56" s="21">
        <f>ROUND(N56*AM56,0)</f>
        <v>2169</v>
      </c>
      <c r="Z56" s="6">
        <f>IFERROR(1-W56/Y56,"-")</f>
        <v>0.2757030889810973</v>
      </c>
      <c r="AA56" s="33">
        <v>3.25</v>
      </c>
      <c r="AB56" s="4">
        <f>AX56</f>
        <v>2384</v>
      </c>
      <c r="AC56" s="33">
        <f>IFERROR(AB56*AM56,"-")</f>
        <v>2572.2967032967031</v>
      </c>
      <c r="AD56" s="6">
        <f>IFERROR(1-W56/AC56,"-")</f>
        <v>0.38926174496644295</v>
      </c>
      <c r="AE56" s="7">
        <v>2300</v>
      </c>
      <c r="AF56" s="6">
        <f>1-W56/AE56</f>
        <v>0.31695652173913047</v>
      </c>
      <c r="AG56" s="4">
        <f>AE56-W56</f>
        <v>729</v>
      </c>
      <c r="AH56" s="28"/>
      <c r="AI56" s="6"/>
      <c r="AJ56" s="6"/>
      <c r="AK56" s="6" t="str">
        <f>IFERROR(U56/M56,"-")</f>
        <v>-</v>
      </c>
      <c r="AL56" s="6">
        <f>IFERROR(AE56/N56,"-")</f>
        <v>1.144278606965174</v>
      </c>
      <c r="AM56" s="6">
        <f>IFERROR(W56/O56,"-")</f>
        <v>1.0789835164835164</v>
      </c>
      <c r="AN56" s="6" t="str">
        <f>IFERROR(1-W56/AO56,"-")</f>
        <v>-</v>
      </c>
      <c r="AO56" s="4" t="str">
        <f>IFERROR(ROUND($AE56*Q56/$N56,0),"-")</f>
        <v>-</v>
      </c>
      <c r="AP56" s="4" t="str">
        <f>IF(R56="","-",R56)</f>
        <v>-</v>
      </c>
      <c r="AQ56" s="4" t="str">
        <f>IF(S56="","-",S56)</f>
        <v>-</v>
      </c>
      <c r="AR56" s="4">
        <v>0</v>
      </c>
      <c r="AS56" s="4" t="s">
        <v>486</v>
      </c>
      <c r="AT56" s="4"/>
      <c r="AU56" s="4"/>
      <c r="AV56" s="4" t="s">
        <v>411</v>
      </c>
      <c r="AW56" s="4">
        <v>2384</v>
      </c>
      <c r="AX56" s="4">
        <f>IF(AT56="",AW56,AT56/AU56*AW56)</f>
        <v>2384</v>
      </c>
      <c r="AY56" s="19">
        <v>4</v>
      </c>
      <c r="AZ56" s="19">
        <v>1</v>
      </c>
      <c r="BA56" s="16">
        <v>405</v>
      </c>
      <c r="BB56" t="s">
        <v>528</v>
      </c>
      <c r="BC56" t="str">
        <f>IFERROR(BB56*AM56,"-")</f>
        <v>-</v>
      </c>
      <c r="BD56">
        <v>1957</v>
      </c>
      <c r="BE56">
        <f>IFERROR(BD56*AM56,"-")</f>
        <v>2111.5707417582416</v>
      </c>
      <c r="BF56" t="s">
        <v>372</v>
      </c>
    </row>
    <row r="57" spans="1:58" x14ac:dyDescent="0.4">
      <c r="A57" s="3">
        <v>16</v>
      </c>
      <c r="B57" s="3">
        <v>16</v>
      </c>
      <c r="C57" s="4" t="s">
        <v>70</v>
      </c>
      <c r="D57" s="4" t="str">
        <f>TEXT(C57,"000000")</f>
        <v>J3073R</v>
      </c>
      <c r="E57" s="4" t="s">
        <v>70</v>
      </c>
      <c r="F57" s="4" t="str">
        <f>D57&amp;I57</f>
        <v>J3073R5</v>
      </c>
      <c r="G57" s="4" t="s">
        <v>193</v>
      </c>
      <c r="H57" s="5">
        <v>4547345046158</v>
      </c>
      <c r="I57" s="33">
        <v>5</v>
      </c>
      <c r="J57" s="5"/>
      <c r="K57" s="5">
        <v>1</v>
      </c>
      <c r="L57" s="5">
        <v>1</v>
      </c>
      <c r="M57" s="4">
        <v>0</v>
      </c>
      <c r="N57" s="4">
        <v>3976</v>
      </c>
      <c r="O57" s="4">
        <v>1461</v>
      </c>
      <c r="P57" s="6">
        <f>IFERROR(1-O57/N57,"-")</f>
        <v>0.63254527162977869</v>
      </c>
      <c r="Q57" s="4" t="s">
        <v>304</v>
      </c>
      <c r="R57" s="4" t="s">
        <v>304</v>
      </c>
      <c r="S57" s="4" t="s">
        <v>304</v>
      </c>
      <c r="T57" s="33">
        <v>0</v>
      </c>
      <c r="U57" s="4">
        <f>IF(X57="",T57,T57*X57)</f>
        <v>0</v>
      </c>
      <c r="V57" s="4">
        <v>1582</v>
      </c>
      <c r="W57" s="4">
        <f>IF(X57="",V57,V57*X57)</f>
        <v>1582</v>
      </c>
      <c r="X57" s="4"/>
      <c r="Y57" s="21">
        <f>ROUND(N57*AM57,0)</f>
        <v>4305</v>
      </c>
      <c r="Z57" s="6">
        <f>IFERROR(1-W57/Y57,"-")</f>
        <v>0.63252032520325208</v>
      </c>
      <c r="AA57" s="33">
        <v>0</v>
      </c>
      <c r="AB57" s="4">
        <f>AX57</f>
        <v>2064.1</v>
      </c>
      <c r="AC57" s="33">
        <f>IFERROR(AB57*AM57,"-")</f>
        <v>2235.0487337440109</v>
      </c>
      <c r="AD57" s="6">
        <f>IFERROR(1-W57/AC57,"-")</f>
        <v>0.29218545613100133</v>
      </c>
      <c r="AE57" s="7">
        <v>2235</v>
      </c>
      <c r="AF57" s="6">
        <f>1-W57/AE57</f>
        <v>0.29217002237136469</v>
      </c>
      <c r="AG57" s="4">
        <f>AE57-W57</f>
        <v>653</v>
      </c>
      <c r="AH57" s="28"/>
      <c r="AI57" s="6"/>
      <c r="AJ57" s="6"/>
      <c r="AK57" s="6" t="str">
        <f>IFERROR(U57/M57,"-")</f>
        <v>-</v>
      </c>
      <c r="AL57" s="6">
        <f>IFERROR(AE57/N57,"-")</f>
        <v>0.56212273641851107</v>
      </c>
      <c r="AM57" s="6">
        <f>IFERROR(W57/O57,"-")</f>
        <v>1.0828199863107462</v>
      </c>
      <c r="AN57" s="6" t="str">
        <f>IFERROR(1-W57/AO57,"-")</f>
        <v>-</v>
      </c>
      <c r="AO57" s="4" t="str">
        <f>IFERROR(ROUND($AE57*Q57/$N57,0),"-")</f>
        <v>-</v>
      </c>
      <c r="AP57" s="4" t="str">
        <f>IF(R57="","-",R57)</f>
        <v>-</v>
      </c>
      <c r="AQ57" s="4" t="str">
        <f>IF(S57="","-",S57)</f>
        <v>-</v>
      </c>
      <c r="AR57" s="4">
        <v>0</v>
      </c>
      <c r="AS57" s="4" t="s">
        <v>421</v>
      </c>
      <c r="AT57" s="4">
        <v>1</v>
      </c>
      <c r="AU57" s="4">
        <v>10</v>
      </c>
      <c r="AV57" s="4" t="s">
        <v>420</v>
      </c>
      <c r="AW57" s="4">
        <v>20641</v>
      </c>
      <c r="AX57" s="4">
        <f>IF(AT57="",AW57,AT57/AU57*AW57)</f>
        <v>2064.1</v>
      </c>
      <c r="AY57" s="19">
        <v>4</v>
      </c>
      <c r="AZ57" s="19">
        <v>8</v>
      </c>
      <c r="BA57" s="16">
        <v>405</v>
      </c>
      <c r="BB57" t="s">
        <v>528</v>
      </c>
      <c r="BC57" t="str">
        <f>IFERROR(BB57*AM57,"-")</f>
        <v>-</v>
      </c>
      <c r="BD57">
        <v>1967</v>
      </c>
      <c r="BE57">
        <f>IFERROR(BD57*AM57,"-")</f>
        <v>2129.9069130732378</v>
      </c>
      <c r="BF57" t="s">
        <v>317</v>
      </c>
    </row>
    <row r="58" spans="1:58" x14ac:dyDescent="0.4">
      <c r="A58" s="3">
        <v>25</v>
      </c>
      <c r="B58" s="3">
        <v>25</v>
      </c>
      <c r="C58" s="4" t="s">
        <v>79</v>
      </c>
      <c r="D58" s="4" t="str">
        <f>TEXT(C58,"000000")</f>
        <v>J41836</v>
      </c>
      <c r="E58" s="4" t="s">
        <v>79</v>
      </c>
      <c r="F58" s="4" t="str">
        <f>D58&amp;I58</f>
        <v>J418365</v>
      </c>
      <c r="G58" s="4" t="s">
        <v>202</v>
      </c>
      <c r="H58" s="5">
        <v>4547345007012</v>
      </c>
      <c r="I58" s="33">
        <v>5</v>
      </c>
      <c r="J58" s="5"/>
      <c r="K58" s="5">
        <v>1</v>
      </c>
      <c r="L58" s="5">
        <v>1</v>
      </c>
      <c r="M58" s="4">
        <v>0</v>
      </c>
      <c r="N58" s="4">
        <v>717</v>
      </c>
      <c r="O58" s="4">
        <v>487</v>
      </c>
      <c r="P58" s="6">
        <f>IFERROR(1-O58/N58,"-")</f>
        <v>0.32078103207810316</v>
      </c>
      <c r="Q58" s="4" t="s">
        <v>304</v>
      </c>
      <c r="R58" s="4" t="s">
        <v>304</v>
      </c>
      <c r="S58" s="4" t="s">
        <v>304</v>
      </c>
      <c r="T58" s="33">
        <v>0</v>
      </c>
      <c r="U58" s="4">
        <f>IF(X58="",T58,T58*X58)</f>
        <v>0</v>
      </c>
      <c r="V58" s="4">
        <v>678</v>
      </c>
      <c r="W58" s="4">
        <f>IF(X58="",V58,V58*X58)</f>
        <v>678</v>
      </c>
      <c r="X58" s="4"/>
      <c r="Y58" s="21">
        <f>ROUND(N58*AM58,0)</f>
        <v>998</v>
      </c>
      <c r="Z58" s="6">
        <f>IFERROR(1-W58/Y58,"-")</f>
        <v>0.32064128256513025</v>
      </c>
      <c r="AA58" s="33">
        <v>0.5</v>
      </c>
      <c r="AB58" s="4">
        <f>AX58</f>
        <v>790</v>
      </c>
      <c r="AC58" s="33">
        <f>IFERROR(AB58*AM58,"-")</f>
        <v>1099.8357289527721</v>
      </c>
      <c r="AD58" s="6">
        <f>IFERROR(1-W58/AC58,"-")</f>
        <v>0.3835443037974684</v>
      </c>
      <c r="AE58" s="7">
        <v>968</v>
      </c>
      <c r="AF58" s="6">
        <f>1-W58/AE58</f>
        <v>0.29958677685950408</v>
      </c>
      <c r="AG58" s="4">
        <f>AE58-W58</f>
        <v>290</v>
      </c>
      <c r="AH58" s="28"/>
      <c r="AI58" s="6"/>
      <c r="AJ58" s="6"/>
      <c r="AK58" s="6" t="str">
        <f>IFERROR(U58/M58,"-")</f>
        <v>-</v>
      </c>
      <c r="AL58" s="6">
        <f>IFERROR(AE58/N58,"-")</f>
        <v>1.3500697350069735</v>
      </c>
      <c r="AM58" s="6">
        <f>IFERROR(W58/O58,"-")</f>
        <v>1.3921971252566736</v>
      </c>
      <c r="AN58" s="6" t="str">
        <f>IFERROR(1-W58/AO58,"-")</f>
        <v>-</v>
      </c>
      <c r="AO58" s="4" t="str">
        <f>IFERROR(ROUND($AE58*Q58/$N58,0),"-")</f>
        <v>-</v>
      </c>
      <c r="AP58" s="4" t="str">
        <f>IF(R58="","-",R58)</f>
        <v>-</v>
      </c>
      <c r="AQ58" s="4" t="str">
        <f>IF(S58="","-",S58)</f>
        <v>-</v>
      </c>
      <c r="AR58" s="4">
        <v>0</v>
      </c>
      <c r="AS58" s="4" t="s">
        <v>431</v>
      </c>
      <c r="AT58" s="4"/>
      <c r="AU58" s="4"/>
      <c r="AV58" s="4" t="s">
        <v>411</v>
      </c>
      <c r="AW58" s="4">
        <v>790</v>
      </c>
      <c r="AX58" s="4">
        <f>IF(AT58="",AW58,AT58/AU58*AW58)</f>
        <v>790</v>
      </c>
      <c r="AY58" s="19">
        <v>4</v>
      </c>
      <c r="AZ58" s="19">
        <v>8</v>
      </c>
      <c r="BA58" s="16">
        <v>560</v>
      </c>
      <c r="BB58" t="s">
        <v>528</v>
      </c>
      <c r="BC58" t="str">
        <f>IFERROR(BB58*AM58,"-")</f>
        <v>-</v>
      </c>
      <c r="BD58">
        <v>697</v>
      </c>
      <c r="BE58">
        <f>IFERROR(BD58*AM58,"-")</f>
        <v>970.36139630390153</v>
      </c>
      <c r="BF58" t="s">
        <v>326</v>
      </c>
    </row>
    <row r="59" spans="1:58" x14ac:dyDescent="0.4">
      <c r="A59" s="3">
        <v>48</v>
      </c>
      <c r="B59" s="3">
        <v>48</v>
      </c>
      <c r="C59" s="4" t="s">
        <v>102</v>
      </c>
      <c r="D59" s="4" t="str">
        <f>TEXT(C59,"000000")</f>
        <v>J42946</v>
      </c>
      <c r="E59" s="4" t="s">
        <v>102</v>
      </c>
      <c r="F59" s="4" t="str">
        <f>D59&amp;I59</f>
        <v>J429465</v>
      </c>
      <c r="G59" s="4" t="s">
        <v>225</v>
      </c>
      <c r="H59" s="5">
        <v>4547345028079</v>
      </c>
      <c r="I59" s="33">
        <v>5</v>
      </c>
      <c r="J59" s="5"/>
      <c r="K59" s="5">
        <v>1</v>
      </c>
      <c r="L59" s="5">
        <v>1</v>
      </c>
      <c r="M59" s="4">
        <v>0</v>
      </c>
      <c r="N59" s="4">
        <v>717</v>
      </c>
      <c r="O59" s="4">
        <v>487</v>
      </c>
      <c r="P59" s="6">
        <f>IFERROR(1-O59/N59,"-")</f>
        <v>0.32078103207810316</v>
      </c>
      <c r="Q59" s="4" t="s">
        <v>304</v>
      </c>
      <c r="R59" s="4" t="s">
        <v>304</v>
      </c>
      <c r="S59" s="4" t="s">
        <v>304</v>
      </c>
      <c r="T59" s="33">
        <v>0</v>
      </c>
      <c r="U59" s="4">
        <f>IF(X59="",T59,T59*X59)</f>
        <v>0</v>
      </c>
      <c r="V59" s="4">
        <v>678</v>
      </c>
      <c r="W59" s="4">
        <f>IF(X59="",V59,V59*X59)</f>
        <v>678</v>
      </c>
      <c r="X59" s="4"/>
      <c r="Y59" s="21">
        <f>ROUND(N59*AM59,0)</f>
        <v>998</v>
      </c>
      <c r="Z59" s="6">
        <f>IFERROR(1-W59/Y59,"-")</f>
        <v>0.32064128256513025</v>
      </c>
      <c r="AA59" s="33">
        <v>1</v>
      </c>
      <c r="AB59" s="4">
        <f>AX59</f>
        <v>822</v>
      </c>
      <c r="AC59" s="33">
        <f>IFERROR(AB59*AM59,"-")</f>
        <v>1144.3860369609856</v>
      </c>
      <c r="AD59" s="6">
        <f>IFERROR(1-W59/AC59,"-")</f>
        <v>0.40754257907542579</v>
      </c>
      <c r="AE59" s="7">
        <v>968</v>
      </c>
      <c r="AF59" s="6">
        <f>1-W59/AE59</f>
        <v>0.29958677685950408</v>
      </c>
      <c r="AG59" s="4">
        <f>AE59-W59</f>
        <v>290</v>
      </c>
      <c r="AH59" s="28"/>
      <c r="AI59" s="6"/>
      <c r="AJ59" s="6"/>
      <c r="AK59" s="6" t="str">
        <f>IFERROR(U59/M59,"-")</f>
        <v>-</v>
      </c>
      <c r="AL59" s="6">
        <f>IFERROR(AE59/N59,"-")</f>
        <v>1.3500697350069735</v>
      </c>
      <c r="AM59" s="6">
        <f>IFERROR(W59/O59,"-")</f>
        <v>1.3921971252566736</v>
      </c>
      <c r="AN59" s="6" t="str">
        <f>IFERROR(1-W59/AO59,"-")</f>
        <v>-</v>
      </c>
      <c r="AO59" s="4" t="str">
        <f>IFERROR(ROUND($AE59*Q59/$N59,0),"-")</f>
        <v>-</v>
      </c>
      <c r="AP59" s="4" t="str">
        <f>IF(R59="","-",R59)</f>
        <v>-</v>
      </c>
      <c r="AQ59" s="4" t="str">
        <f>IF(S59="","-",S59)</f>
        <v>-</v>
      </c>
      <c r="AR59" s="4">
        <v>0</v>
      </c>
      <c r="AS59" s="4" t="s">
        <v>457</v>
      </c>
      <c r="AT59" s="4"/>
      <c r="AU59" s="4"/>
      <c r="AV59" s="4" t="s">
        <v>411</v>
      </c>
      <c r="AW59" s="4">
        <v>822</v>
      </c>
      <c r="AX59" s="4">
        <f>IF(AT59="",AW59,AT59/AU59*AW59)</f>
        <v>822</v>
      </c>
      <c r="AY59" s="19">
        <v>4</v>
      </c>
      <c r="AZ59" s="19">
        <v>8</v>
      </c>
      <c r="BA59" s="16">
        <v>560</v>
      </c>
      <c r="BB59" t="s">
        <v>528</v>
      </c>
      <c r="BC59" t="str">
        <f>IFERROR(BB59*AM59,"-")</f>
        <v>-</v>
      </c>
      <c r="BD59">
        <v>696</v>
      </c>
      <c r="BE59">
        <f>IFERROR(BD59*AM59,"-")</f>
        <v>968.96919917864489</v>
      </c>
      <c r="BF59" t="s">
        <v>348</v>
      </c>
    </row>
    <row r="60" spans="1:58" x14ac:dyDescent="0.4">
      <c r="A60" s="3">
        <v>29</v>
      </c>
      <c r="B60" s="3">
        <v>29</v>
      </c>
      <c r="C60" s="4" t="s">
        <v>83</v>
      </c>
      <c r="D60" s="4" t="str">
        <f>TEXT(C60,"000000")</f>
        <v>J41922</v>
      </c>
      <c r="E60" s="4" t="s">
        <v>83</v>
      </c>
      <c r="F60" s="4" t="str">
        <f>D60&amp;I60</f>
        <v>J419225</v>
      </c>
      <c r="G60" s="4" t="s">
        <v>206</v>
      </c>
      <c r="H60" s="5">
        <v>4547345001232</v>
      </c>
      <c r="I60" s="33">
        <v>5</v>
      </c>
      <c r="J60" s="5"/>
      <c r="K60" s="5">
        <v>1</v>
      </c>
      <c r="L60" s="5">
        <v>1</v>
      </c>
      <c r="M60" s="4">
        <v>0</v>
      </c>
      <c r="N60" s="4">
        <v>754</v>
      </c>
      <c r="O60" s="4">
        <v>530</v>
      </c>
      <c r="P60" s="6">
        <f>IFERROR(1-O60/N60,"-")</f>
        <v>0.29708222811671092</v>
      </c>
      <c r="Q60" s="4" t="s">
        <v>304</v>
      </c>
      <c r="R60" s="4" t="s">
        <v>304</v>
      </c>
      <c r="S60" s="4" t="s">
        <v>304</v>
      </c>
      <c r="T60" s="33">
        <v>0</v>
      </c>
      <c r="U60" s="4">
        <f>IF(X60="",T60,T60*X60)</f>
        <v>0</v>
      </c>
      <c r="V60" s="4">
        <v>575</v>
      </c>
      <c r="W60" s="4">
        <f>IF(X60="",V60,V60*X60)</f>
        <v>575</v>
      </c>
      <c r="X60" s="4"/>
      <c r="Y60" s="21">
        <f>ROUND(N60*AM60,0)</f>
        <v>818</v>
      </c>
      <c r="Z60" s="6">
        <f>IFERROR(1-W60/Y60,"-")</f>
        <v>0.29706601466992666</v>
      </c>
      <c r="AA60" s="33">
        <v>0.25</v>
      </c>
      <c r="AB60" s="4">
        <f>AX60</f>
        <v>928</v>
      </c>
      <c r="AC60" s="33">
        <f>IFERROR(AB60*AM60,"-")</f>
        <v>1006.7924528301887</v>
      </c>
      <c r="AD60" s="6">
        <f>IFERROR(1-W60/AC60,"-")</f>
        <v>0.42887931034482762</v>
      </c>
      <c r="AE60" s="7">
        <v>880</v>
      </c>
      <c r="AF60" s="6">
        <f>1-W60/AE60</f>
        <v>0.34659090909090906</v>
      </c>
      <c r="AG60" s="4">
        <f>AE60-W60</f>
        <v>305</v>
      </c>
      <c r="AH60" s="28"/>
      <c r="AI60" s="6"/>
      <c r="AJ60" s="6"/>
      <c r="AK60" s="6" t="str">
        <f>IFERROR(U60/M60,"-")</f>
        <v>-</v>
      </c>
      <c r="AL60" s="6">
        <f>IFERROR(AE60/N60,"-")</f>
        <v>1.1671087533156499</v>
      </c>
      <c r="AM60" s="6">
        <f>IFERROR(W60/O60,"-")</f>
        <v>1.0849056603773586</v>
      </c>
      <c r="AN60" s="6" t="str">
        <f>IFERROR(1-W60/AO60,"-")</f>
        <v>-</v>
      </c>
      <c r="AO60" s="4" t="str">
        <f>IFERROR(ROUND($AE60*Q60/$N60,0),"-")</f>
        <v>-</v>
      </c>
      <c r="AP60" s="4" t="str">
        <f>IF(R60="","-",R60)</f>
        <v>-</v>
      </c>
      <c r="AQ60" s="4" t="str">
        <f>IF(S60="","-",S60)</f>
        <v>-</v>
      </c>
      <c r="AR60" s="4">
        <v>0</v>
      </c>
      <c r="AS60" s="4" t="s">
        <v>436</v>
      </c>
      <c r="AT60" s="4"/>
      <c r="AU60" s="4"/>
      <c r="AV60" s="4" t="s">
        <v>437</v>
      </c>
      <c r="AW60" s="4">
        <v>928</v>
      </c>
      <c r="AX60" s="4">
        <f>IF(AT60="",AW60,AT60/AU60*AW60)</f>
        <v>928</v>
      </c>
      <c r="AY60" s="19">
        <v>4</v>
      </c>
      <c r="AZ60" s="19">
        <v>8</v>
      </c>
      <c r="BA60" s="16">
        <v>605</v>
      </c>
      <c r="BB60" t="s">
        <v>528</v>
      </c>
      <c r="BC60" t="str">
        <f>IFERROR(BB60*AM60,"-")</f>
        <v>-</v>
      </c>
      <c r="BD60">
        <v>922</v>
      </c>
      <c r="BE60">
        <f>IFERROR(BD60*AM60,"-")</f>
        <v>1000.2830188679246</v>
      </c>
      <c r="BF60" t="s">
        <v>330</v>
      </c>
    </row>
    <row r="61" spans="1:58" x14ac:dyDescent="0.4">
      <c r="A61" s="3">
        <v>30</v>
      </c>
      <c r="B61" s="3">
        <v>30</v>
      </c>
      <c r="C61" s="4" t="s">
        <v>84</v>
      </c>
      <c r="D61" s="4" t="str">
        <f>TEXT(C61,"000000")</f>
        <v>J41923</v>
      </c>
      <c r="E61" s="4" t="s">
        <v>84</v>
      </c>
      <c r="F61" s="4" t="str">
        <f>D61&amp;I61</f>
        <v>J419235</v>
      </c>
      <c r="G61" s="4" t="s">
        <v>207</v>
      </c>
      <c r="H61" s="5">
        <v>4547345001249</v>
      </c>
      <c r="I61" s="33">
        <v>5</v>
      </c>
      <c r="J61" s="5"/>
      <c r="K61" s="5">
        <v>1</v>
      </c>
      <c r="L61" s="5">
        <v>1</v>
      </c>
      <c r="M61" s="4">
        <v>0</v>
      </c>
      <c r="N61" s="4">
        <v>1720</v>
      </c>
      <c r="O61" s="4">
        <v>1002</v>
      </c>
      <c r="P61" s="6">
        <f>IFERROR(1-O61/N61,"-")</f>
        <v>0.41744186046511633</v>
      </c>
      <c r="Q61" s="4" t="s">
        <v>304</v>
      </c>
      <c r="R61" s="4" t="s">
        <v>304</v>
      </c>
      <c r="S61" s="4" t="s">
        <v>304</v>
      </c>
      <c r="T61" s="33">
        <v>0</v>
      </c>
      <c r="U61" s="4">
        <f>IF(X61="",T61,T61*X61)</f>
        <v>0</v>
      </c>
      <c r="V61" s="4">
        <v>1088</v>
      </c>
      <c r="W61" s="4">
        <f>IF(X61="",V61,V61*X61)</f>
        <v>1088</v>
      </c>
      <c r="X61" s="4"/>
      <c r="Y61" s="21">
        <f>ROUND(N61*AM61,0)</f>
        <v>1868</v>
      </c>
      <c r="Z61" s="6">
        <f>IFERROR(1-W61/Y61,"-")</f>
        <v>0.41755888650963602</v>
      </c>
      <c r="AA61" s="33">
        <v>0.25</v>
      </c>
      <c r="AB61" s="4">
        <f>AX61</f>
        <v>1822</v>
      </c>
      <c r="AC61" s="33">
        <f>IFERROR(AB61*AM61,"-")</f>
        <v>1978.3792415169662</v>
      </c>
      <c r="AD61" s="6">
        <f>IFERROR(1-W61/AC61,"-")</f>
        <v>0.45005488474204181</v>
      </c>
      <c r="AE61" s="7">
        <v>1750</v>
      </c>
      <c r="AF61" s="6">
        <f>1-W61/AE61</f>
        <v>0.37828571428571434</v>
      </c>
      <c r="AG61" s="4">
        <f>AE61-W61</f>
        <v>662</v>
      </c>
      <c r="AH61" s="28"/>
      <c r="AI61" s="6"/>
      <c r="AJ61" s="6"/>
      <c r="AK61" s="6" t="str">
        <f>IFERROR(U61/M61,"-")</f>
        <v>-</v>
      </c>
      <c r="AL61" s="6">
        <f>IFERROR(AE61/N61,"-")</f>
        <v>1.0174418604651163</v>
      </c>
      <c r="AM61" s="6">
        <f>IFERROR(W61/O61,"-")</f>
        <v>1.0858283433133733</v>
      </c>
      <c r="AN61" s="6" t="str">
        <f>IFERROR(1-W61/AO61,"-")</f>
        <v>-</v>
      </c>
      <c r="AO61" s="4" t="str">
        <f>IFERROR(ROUND($AE61*Q61/$N61,0),"-")</f>
        <v>-</v>
      </c>
      <c r="AP61" s="4" t="str">
        <f>IF(R61="","-",R61)</f>
        <v>-</v>
      </c>
      <c r="AQ61" s="4" t="str">
        <f>IF(S61="","-",S61)</f>
        <v>-</v>
      </c>
      <c r="AR61" s="4">
        <v>0</v>
      </c>
      <c r="AS61" s="4" t="s">
        <v>438</v>
      </c>
      <c r="AT61" s="4">
        <v>1</v>
      </c>
      <c r="AU61" s="4">
        <v>3</v>
      </c>
      <c r="AV61" s="4" t="s">
        <v>439</v>
      </c>
      <c r="AW61" s="4">
        <v>5466</v>
      </c>
      <c r="AX61" s="4">
        <f>IF(AT61="",AW61,AT61/AU61*AW61)</f>
        <v>1822</v>
      </c>
      <c r="AY61" s="19">
        <v>4</v>
      </c>
      <c r="AZ61" s="19">
        <v>8</v>
      </c>
      <c r="BA61" s="16">
        <v>605</v>
      </c>
      <c r="BB61" t="s">
        <v>528</v>
      </c>
      <c r="BC61" t="str">
        <f>IFERROR(BB61*AM61,"-")</f>
        <v>-</v>
      </c>
      <c r="BD61">
        <v>1739</v>
      </c>
      <c r="BE61">
        <f>IFERROR(BD61*AM61,"-")</f>
        <v>1888.2554890219562</v>
      </c>
      <c r="BF61" t="s">
        <v>331</v>
      </c>
    </row>
    <row r="62" spans="1:58" x14ac:dyDescent="0.4">
      <c r="A62" s="3">
        <v>32</v>
      </c>
      <c r="B62" s="3">
        <v>32</v>
      </c>
      <c r="C62" s="4" t="s">
        <v>86</v>
      </c>
      <c r="D62" s="4" t="str">
        <f>TEXT(C62,"000000")</f>
        <v>J41924</v>
      </c>
      <c r="E62" s="4" t="s">
        <v>86</v>
      </c>
      <c r="F62" s="4" t="str">
        <f>D62&amp;I62</f>
        <v>J419245</v>
      </c>
      <c r="G62" s="4" t="s">
        <v>209</v>
      </c>
      <c r="H62" s="5">
        <v>4547345001256</v>
      </c>
      <c r="I62" s="33">
        <v>5</v>
      </c>
      <c r="J62" s="5"/>
      <c r="K62" s="5">
        <v>1</v>
      </c>
      <c r="L62" s="5">
        <v>1</v>
      </c>
      <c r="M62" s="4">
        <v>0</v>
      </c>
      <c r="N62" s="4">
        <v>3034</v>
      </c>
      <c r="O62" s="4">
        <v>2357</v>
      </c>
      <c r="P62" s="6">
        <f>IFERROR(1-O62/N62,"-")</f>
        <v>0.22313777191825968</v>
      </c>
      <c r="Q62" s="4" t="s">
        <v>304</v>
      </c>
      <c r="R62" s="4" t="s">
        <v>304</v>
      </c>
      <c r="S62" s="4" t="s">
        <v>304</v>
      </c>
      <c r="T62" s="33">
        <v>0</v>
      </c>
      <c r="U62" s="4">
        <f>IF(X62="",T62,T62*X62)</f>
        <v>0</v>
      </c>
      <c r="V62" s="4">
        <v>2559</v>
      </c>
      <c r="W62" s="4">
        <f>IF(X62="",V62,V62*X62)</f>
        <v>2559</v>
      </c>
      <c r="X62" s="4"/>
      <c r="Y62" s="21">
        <f>ROUND(N62*AM62,0)</f>
        <v>3294</v>
      </c>
      <c r="Z62" s="6">
        <f>IFERROR(1-W62/Y62,"-")</f>
        <v>0.22313296903460833</v>
      </c>
      <c r="AA62" s="33">
        <v>1.5</v>
      </c>
      <c r="AB62" s="4">
        <f>AX62</f>
        <v>4019</v>
      </c>
      <c r="AC62" s="33">
        <f>IFERROR(AB62*AM62,"-")</f>
        <v>4363.4369961815864</v>
      </c>
      <c r="AD62" s="6">
        <f>IFERROR(1-W62/AC62,"-")</f>
        <v>0.41353570539935303</v>
      </c>
      <c r="AE62" s="7">
        <v>4100</v>
      </c>
      <c r="AF62" s="6">
        <f>1-W62/AE62</f>
        <v>0.37585365853658537</v>
      </c>
      <c r="AG62" s="4">
        <f>AE62-W62</f>
        <v>1541</v>
      </c>
      <c r="AH62" s="28"/>
      <c r="AI62" s="6"/>
      <c r="AJ62" s="6"/>
      <c r="AK62" s="6" t="str">
        <f>IFERROR(U62/M62,"-")</f>
        <v>-</v>
      </c>
      <c r="AL62" s="6">
        <f>IFERROR(AE62/N62,"-")</f>
        <v>1.3513513513513513</v>
      </c>
      <c r="AM62" s="6">
        <f>IFERROR(W62/O62,"-")</f>
        <v>1.0857021637675011</v>
      </c>
      <c r="AN62" s="6" t="str">
        <f>IFERROR(1-W62/AO62,"-")</f>
        <v>-</v>
      </c>
      <c r="AO62" s="4" t="str">
        <f>IFERROR(ROUND($AE62*Q62/$N62,0),"-")</f>
        <v>-</v>
      </c>
      <c r="AP62" s="4" t="str">
        <f>IF(R62="","-",R62)</f>
        <v>-</v>
      </c>
      <c r="AQ62" s="4" t="str">
        <f>IF(S62="","-",S62)</f>
        <v>-</v>
      </c>
      <c r="AR62" s="4">
        <v>0</v>
      </c>
      <c r="AS62" s="4" t="s">
        <v>441</v>
      </c>
      <c r="AT62" s="4"/>
      <c r="AU62" s="4"/>
      <c r="AV62" s="4" t="s">
        <v>411</v>
      </c>
      <c r="AW62" s="4">
        <v>4019</v>
      </c>
      <c r="AX62" s="4">
        <f>IF(AT62="",AW62,AT62/AU62*AW62)</f>
        <v>4019</v>
      </c>
      <c r="AY62" s="19">
        <v>4</v>
      </c>
      <c r="AZ62" s="19">
        <v>8</v>
      </c>
      <c r="BA62" s="16">
        <v>605</v>
      </c>
      <c r="BB62" t="s">
        <v>528</v>
      </c>
      <c r="BC62" t="str">
        <f>IFERROR(BB62*AM62,"-")</f>
        <v>-</v>
      </c>
      <c r="BD62">
        <v>4076</v>
      </c>
      <c r="BE62">
        <f>IFERROR(BD62*AM62,"-")</f>
        <v>4425.322019516334</v>
      </c>
      <c r="BF62" t="s">
        <v>333</v>
      </c>
    </row>
    <row r="63" spans="1:58" x14ac:dyDescent="0.4">
      <c r="A63" s="3">
        <v>31</v>
      </c>
      <c r="B63" s="3">
        <v>31</v>
      </c>
      <c r="C63" s="4" t="s">
        <v>85</v>
      </c>
      <c r="D63" s="4" t="str">
        <f>TEXT(C63,"000000")</f>
        <v>J41894</v>
      </c>
      <c r="E63" s="4" t="s">
        <v>85</v>
      </c>
      <c r="F63" s="4" t="str">
        <f>D63&amp;I63</f>
        <v>J418945</v>
      </c>
      <c r="G63" s="4" t="s">
        <v>208</v>
      </c>
      <c r="H63" s="5">
        <v>4547345022305</v>
      </c>
      <c r="I63" s="33">
        <v>5</v>
      </c>
      <c r="J63" s="5"/>
      <c r="K63" s="5">
        <v>1</v>
      </c>
      <c r="L63" s="5">
        <v>1</v>
      </c>
      <c r="M63" s="4">
        <v>0</v>
      </c>
      <c r="N63" s="4">
        <v>1695</v>
      </c>
      <c r="O63" s="4">
        <v>1252</v>
      </c>
      <c r="P63" s="6">
        <f>IFERROR(1-O63/N63,"-")</f>
        <v>0.26135693215339229</v>
      </c>
      <c r="Q63" s="4" t="s">
        <v>304</v>
      </c>
      <c r="R63" s="4" t="s">
        <v>304</v>
      </c>
      <c r="S63" s="4" t="s">
        <v>304</v>
      </c>
      <c r="T63" s="33">
        <v>0</v>
      </c>
      <c r="U63" s="4">
        <f>IF(X63="",T63,T63*X63)</f>
        <v>0</v>
      </c>
      <c r="V63" s="4">
        <v>1420</v>
      </c>
      <c r="W63" s="4">
        <f>IF(X63="",V63,V63*X63)</f>
        <v>1420</v>
      </c>
      <c r="X63" s="4"/>
      <c r="Y63" s="21">
        <f>ROUND(N63*AM63,0)</f>
        <v>1922</v>
      </c>
      <c r="Z63" s="6">
        <f>IFERROR(1-W63/Y63,"-")</f>
        <v>0.26118626430801251</v>
      </c>
      <c r="AA63" s="33">
        <v>0</v>
      </c>
      <c r="AB63" s="4">
        <f>AX63</f>
        <v>1821</v>
      </c>
      <c r="AC63" s="33">
        <f>IFERROR(AB63*AM63,"-")</f>
        <v>2065.3514376996804</v>
      </c>
      <c r="AD63" s="6">
        <f>IFERROR(1-W63/AC63,"-")</f>
        <v>0.3124656781987919</v>
      </c>
      <c r="AE63" s="7">
        <v>2058</v>
      </c>
      <c r="AF63" s="6">
        <f>1-W63/AE63</f>
        <v>0.31000971817298351</v>
      </c>
      <c r="AG63" s="4">
        <f>AE63-W63</f>
        <v>638</v>
      </c>
      <c r="AH63" s="28"/>
      <c r="AI63" s="6"/>
      <c r="AJ63" s="6"/>
      <c r="AK63" s="6" t="str">
        <f>IFERROR(U63/M63,"-")</f>
        <v>-</v>
      </c>
      <c r="AL63" s="6">
        <f>IFERROR(AE63/N63,"-")</f>
        <v>1.2141592920353983</v>
      </c>
      <c r="AM63" s="6">
        <f>IFERROR(W63/O63,"-")</f>
        <v>1.134185303514377</v>
      </c>
      <c r="AN63" s="6" t="str">
        <f>IFERROR(1-W63/AO63,"-")</f>
        <v>-</v>
      </c>
      <c r="AO63" s="4" t="str">
        <f>IFERROR(ROUND($AE63*Q63/$N63,0),"-")</f>
        <v>-</v>
      </c>
      <c r="AP63" s="4" t="str">
        <f>IF(R63="","-",R63)</f>
        <v>-</v>
      </c>
      <c r="AQ63" s="4" t="str">
        <f>IF(S63="","-",S63)</f>
        <v>-</v>
      </c>
      <c r="AR63" s="4">
        <v>0</v>
      </c>
      <c r="AS63" s="4" t="s">
        <v>440</v>
      </c>
      <c r="AT63" s="4"/>
      <c r="AU63" s="4"/>
      <c r="AV63" s="4" t="s">
        <v>433</v>
      </c>
      <c r="AW63" s="4">
        <v>1821</v>
      </c>
      <c r="AX63" s="4">
        <f>IF(AT63="",AW63,AT63/AU63*AW63)</f>
        <v>1821</v>
      </c>
      <c r="AY63" s="19">
        <v>4</v>
      </c>
      <c r="AZ63" s="19">
        <v>8</v>
      </c>
      <c r="BA63" s="16">
        <v>605</v>
      </c>
      <c r="BB63" t="s">
        <v>528</v>
      </c>
      <c r="BC63" t="str">
        <f>IFERROR(BB63*AM63,"-")</f>
        <v>-</v>
      </c>
      <c r="BD63">
        <v>1815</v>
      </c>
      <c r="BE63">
        <f>IFERROR(BD63*AM63,"-")</f>
        <v>2058.546325878594</v>
      </c>
      <c r="BF63" t="s">
        <v>332</v>
      </c>
    </row>
    <row r="64" spans="1:58" x14ac:dyDescent="0.4">
      <c r="A64" s="3">
        <v>28</v>
      </c>
      <c r="B64" s="3">
        <v>28</v>
      </c>
      <c r="C64" s="4" t="s">
        <v>82</v>
      </c>
      <c r="D64" s="4" t="str">
        <f>TEXT(C64,"000000")</f>
        <v>J41892</v>
      </c>
      <c r="E64" s="4" t="s">
        <v>82</v>
      </c>
      <c r="F64" s="4" t="str">
        <f>D64&amp;I64</f>
        <v>J418925</v>
      </c>
      <c r="G64" s="4" t="s">
        <v>205</v>
      </c>
      <c r="H64" s="5">
        <v>4547345022299</v>
      </c>
      <c r="I64" s="33">
        <v>5</v>
      </c>
      <c r="J64" s="5"/>
      <c r="K64" s="5">
        <v>1</v>
      </c>
      <c r="L64" s="5">
        <v>1</v>
      </c>
      <c r="M64" s="4">
        <v>0</v>
      </c>
      <c r="N64" s="4">
        <v>2285</v>
      </c>
      <c r="O64" s="4">
        <v>1545</v>
      </c>
      <c r="P64" s="6">
        <f>IFERROR(1-O64/N64,"-")</f>
        <v>0.32385120350109409</v>
      </c>
      <c r="Q64" s="4" t="s">
        <v>304</v>
      </c>
      <c r="R64" s="4" t="s">
        <v>304</v>
      </c>
      <c r="S64" s="4" t="s">
        <v>304</v>
      </c>
      <c r="T64" s="33">
        <v>0</v>
      </c>
      <c r="U64" s="4">
        <f>IF(X64="",T64,T64*X64)</f>
        <v>0</v>
      </c>
      <c r="V64" s="4">
        <v>1753</v>
      </c>
      <c r="W64" s="4">
        <f>IF(X64="",V64,V64*X64)</f>
        <v>1753</v>
      </c>
      <c r="X64" s="4"/>
      <c r="Y64" s="21">
        <f>ROUND(N64*AM64,0)</f>
        <v>2593</v>
      </c>
      <c r="Z64" s="6">
        <f>IFERROR(1-W64/Y64,"-")</f>
        <v>0.32394909371384495</v>
      </c>
      <c r="AA64" s="33">
        <v>1</v>
      </c>
      <c r="AB64" s="4">
        <f>AX64</f>
        <v>2242</v>
      </c>
      <c r="AC64" s="33">
        <f>IFERROR(AB64*AM64,"-")</f>
        <v>2543.8355987055015</v>
      </c>
      <c r="AD64" s="6">
        <f>IFERROR(1-W64/AC64,"-")</f>
        <v>0.31088314005352358</v>
      </c>
      <c r="AE64" s="7">
        <v>2543</v>
      </c>
      <c r="AF64" s="6">
        <f>1-W64/AE64</f>
        <v>0.31065670467951234</v>
      </c>
      <c r="AG64" s="4">
        <f>AE64-W64</f>
        <v>790</v>
      </c>
      <c r="AH64" s="28"/>
      <c r="AI64" s="6"/>
      <c r="AJ64" s="6"/>
      <c r="AK64" s="6" t="str">
        <f>IFERROR(U64/M64,"-")</f>
        <v>-</v>
      </c>
      <c r="AL64" s="6">
        <f>IFERROR(AE64/N64,"-")</f>
        <v>1.1129102844638949</v>
      </c>
      <c r="AM64" s="6">
        <f>IFERROR(W64/O64,"-")</f>
        <v>1.1346278317152103</v>
      </c>
      <c r="AN64" s="6" t="str">
        <f>IFERROR(1-W64/AO64,"-")</f>
        <v>-</v>
      </c>
      <c r="AO64" s="4" t="str">
        <f>IFERROR(ROUND($AE64*Q64/$N64,0),"-")</f>
        <v>-</v>
      </c>
      <c r="AP64" s="4" t="str">
        <f>IF(R64="","-",R64)</f>
        <v>-</v>
      </c>
      <c r="AQ64" s="4" t="str">
        <f>IF(S64="","-",S64)</f>
        <v>-</v>
      </c>
      <c r="AR64" s="4">
        <v>0</v>
      </c>
      <c r="AS64" s="4" t="s">
        <v>435</v>
      </c>
      <c r="AT64" s="4"/>
      <c r="AU64" s="4"/>
      <c r="AV64" s="4" t="s">
        <v>433</v>
      </c>
      <c r="AW64" s="4">
        <v>2242</v>
      </c>
      <c r="AX64" s="4">
        <f>IF(AT64="",AW64,AT64/AU64*AW64)</f>
        <v>2242</v>
      </c>
      <c r="AY64" s="19">
        <v>4</v>
      </c>
      <c r="AZ64" s="19">
        <v>1</v>
      </c>
      <c r="BA64" s="16">
        <v>605</v>
      </c>
      <c r="BB64" t="s">
        <v>528</v>
      </c>
      <c r="BC64" t="str">
        <f>IFERROR(BB64*AM64,"-")</f>
        <v>-</v>
      </c>
      <c r="BD64">
        <v>2138</v>
      </c>
      <c r="BE64">
        <f>IFERROR(BD64*AM64,"-")</f>
        <v>2425.8343042071197</v>
      </c>
      <c r="BF64" t="s">
        <v>329</v>
      </c>
    </row>
    <row r="65" spans="1:58" x14ac:dyDescent="0.4">
      <c r="A65" s="3">
        <v>27</v>
      </c>
      <c r="B65" s="3">
        <v>27</v>
      </c>
      <c r="C65" s="4" t="s">
        <v>81</v>
      </c>
      <c r="D65" s="4" t="str">
        <f>TEXT(C65,"000000")</f>
        <v>J41890</v>
      </c>
      <c r="E65" s="4" t="s">
        <v>81</v>
      </c>
      <c r="F65" s="4" t="str">
        <f>D65&amp;I65</f>
        <v>J418905</v>
      </c>
      <c r="G65" s="4" t="s">
        <v>204</v>
      </c>
      <c r="H65" s="5">
        <v>4547345022282</v>
      </c>
      <c r="I65" s="33">
        <v>5</v>
      </c>
      <c r="J65" s="5"/>
      <c r="K65" s="5">
        <v>1</v>
      </c>
      <c r="L65" s="5">
        <v>1</v>
      </c>
      <c r="M65" s="4">
        <v>0</v>
      </c>
      <c r="N65" s="4">
        <v>2480</v>
      </c>
      <c r="O65" s="4">
        <v>1866</v>
      </c>
      <c r="P65" s="6">
        <f>IFERROR(1-O65/N65,"-")</f>
        <v>0.2475806451612903</v>
      </c>
      <c r="Q65" s="4" t="s">
        <v>304</v>
      </c>
      <c r="R65" s="4" t="s">
        <v>304</v>
      </c>
      <c r="S65" s="4" t="s">
        <v>304</v>
      </c>
      <c r="T65" s="33">
        <v>0</v>
      </c>
      <c r="U65" s="4">
        <f>IF(X65="",T65,T65*X65)</f>
        <v>0</v>
      </c>
      <c r="V65" s="4">
        <v>2117</v>
      </c>
      <c r="W65" s="4">
        <f>IF(X65="",V65,V65*X65)</f>
        <v>2117</v>
      </c>
      <c r="X65" s="4"/>
      <c r="Y65" s="21">
        <f>ROUND(N65*AM65,0)</f>
        <v>2814</v>
      </c>
      <c r="Z65" s="6">
        <f>IFERROR(1-W65/Y65,"-")</f>
        <v>0.24769012082444919</v>
      </c>
      <c r="AA65" s="33">
        <v>0.5</v>
      </c>
      <c r="AB65" s="4">
        <f>AX65</f>
        <v>2709</v>
      </c>
      <c r="AC65" s="33">
        <f>IFERROR(AB65*AM65,"-")</f>
        <v>3073.393890675241</v>
      </c>
      <c r="AD65" s="6">
        <f>IFERROR(1-W65/AC65,"-")</f>
        <v>0.3111849390919158</v>
      </c>
      <c r="AE65" s="7">
        <v>3068</v>
      </c>
      <c r="AF65" s="6">
        <f>1-W65/AE65</f>
        <v>0.30997392438070404</v>
      </c>
      <c r="AG65" s="4">
        <f>AE65-W65</f>
        <v>951</v>
      </c>
      <c r="AH65" s="28"/>
      <c r="AI65" s="6"/>
      <c r="AJ65" s="6"/>
      <c r="AK65" s="6" t="str">
        <f>IFERROR(U65/M65,"-")</f>
        <v>-</v>
      </c>
      <c r="AL65" s="6">
        <f>IFERROR(AE65/N65,"-")</f>
        <v>1.2370967741935484</v>
      </c>
      <c r="AM65" s="6">
        <f>IFERROR(W65/O65,"-")</f>
        <v>1.1345123258306538</v>
      </c>
      <c r="AN65" s="6" t="str">
        <f>IFERROR(1-W65/AO65,"-")</f>
        <v>-</v>
      </c>
      <c r="AO65" s="4" t="str">
        <f>IFERROR(ROUND($AE65*Q65/$N65,0),"-")</f>
        <v>-</v>
      </c>
      <c r="AP65" s="4" t="str">
        <f>IF(R65="","-",R65)</f>
        <v>-</v>
      </c>
      <c r="AQ65" s="4" t="str">
        <f>IF(S65="","-",S65)</f>
        <v>-</v>
      </c>
      <c r="AR65" s="4">
        <v>0</v>
      </c>
      <c r="AS65" s="4" t="s">
        <v>434</v>
      </c>
      <c r="AT65" s="4"/>
      <c r="AU65" s="4"/>
      <c r="AV65" s="4" t="s">
        <v>433</v>
      </c>
      <c r="AW65" s="4">
        <v>2709</v>
      </c>
      <c r="AX65" s="4">
        <f>IF(AT65="",AW65,AT65/AU65*AW65)</f>
        <v>2709</v>
      </c>
      <c r="AY65" s="19">
        <v>4</v>
      </c>
      <c r="AZ65" s="19">
        <v>8</v>
      </c>
      <c r="BA65" s="16">
        <v>605</v>
      </c>
      <c r="BB65" t="s">
        <v>528</v>
      </c>
      <c r="BC65" t="str">
        <f>IFERROR(BB65*AM65,"-")</f>
        <v>-</v>
      </c>
      <c r="BD65">
        <v>2705</v>
      </c>
      <c r="BE65">
        <f>IFERROR(BD65*AM65,"-")</f>
        <v>3068.8558413719184</v>
      </c>
      <c r="BF65" t="s">
        <v>328</v>
      </c>
    </row>
    <row r="66" spans="1:58" x14ac:dyDescent="0.4">
      <c r="A66" s="3">
        <v>1</v>
      </c>
      <c r="B66" s="3">
        <v>1</v>
      </c>
      <c r="C66" s="33">
        <v>168935</v>
      </c>
      <c r="D66" s="4" t="str">
        <f>TEXT(C66,"000000")</f>
        <v>168935</v>
      </c>
      <c r="E66" s="4">
        <v>168935</v>
      </c>
      <c r="F66" s="4" t="str">
        <f>D66&amp;I66</f>
        <v>1689355</v>
      </c>
      <c r="G66" s="4" t="s">
        <v>178</v>
      </c>
      <c r="H66" s="5">
        <v>4547345054146</v>
      </c>
      <c r="I66" s="33">
        <v>5</v>
      </c>
      <c r="J66" s="5"/>
      <c r="K66" s="5">
        <v>1</v>
      </c>
      <c r="L66" s="5">
        <v>1</v>
      </c>
      <c r="M66" s="4">
        <v>0</v>
      </c>
      <c r="N66" s="4">
        <v>2811</v>
      </c>
      <c r="O66" s="4">
        <v>1992</v>
      </c>
      <c r="P66" s="6">
        <f>IFERROR(1-O66/N66,"-")</f>
        <v>0.29135538954108853</v>
      </c>
      <c r="Q66" s="4" t="s">
        <v>304</v>
      </c>
      <c r="R66" s="4" t="s">
        <v>304</v>
      </c>
      <c r="S66" s="4" t="s">
        <v>304</v>
      </c>
      <c r="T66" s="33">
        <v>0</v>
      </c>
      <c r="U66" s="4">
        <f>IF(X66="",T66,T66*X66)</f>
        <v>0</v>
      </c>
      <c r="V66" s="4">
        <v>2191</v>
      </c>
      <c r="W66" s="4">
        <f>IF(X66="",V66,V66*X66)</f>
        <v>2191</v>
      </c>
      <c r="X66" s="4"/>
      <c r="Y66" s="21">
        <f>ROUND(N66*AM66,0)</f>
        <v>3092</v>
      </c>
      <c r="Z66" s="6">
        <f>IFERROR(1-W66/Y66,"-")</f>
        <v>0.29139715394566623</v>
      </c>
      <c r="AA66" s="33">
        <v>1</v>
      </c>
      <c r="AB66" s="4">
        <f>AX66</f>
        <v>2891</v>
      </c>
      <c r="AC66" s="33">
        <f>IFERROR(AB66*AM66,"-")</f>
        <v>3179.8097389558229</v>
      </c>
      <c r="AD66" s="6">
        <f>IFERROR(1-W66/AC66,"-")</f>
        <v>0.31096506399169832</v>
      </c>
      <c r="AE66" s="7">
        <v>3178</v>
      </c>
      <c r="AF66" s="6">
        <f>1-W66/AE66</f>
        <v>0.31057268722466957</v>
      </c>
      <c r="AG66" s="4">
        <f>AE66-W66</f>
        <v>987</v>
      </c>
      <c r="AH66" s="28"/>
      <c r="AI66" s="6" t="e">
        <f>1-W66/AH66</f>
        <v>#DIV/0!</v>
      </c>
      <c r="AJ66" s="4">
        <f>AH66-W66</f>
        <v>-2191</v>
      </c>
      <c r="AK66" s="6" t="str">
        <f>IFERROR(U66/M66,"-")</f>
        <v>-</v>
      </c>
      <c r="AL66" s="6">
        <f>IFERROR(AE66/N66,"-")</f>
        <v>1.1305585200996087</v>
      </c>
      <c r="AM66" s="6">
        <f>IFERROR(W66/O66,"-")</f>
        <v>1.0998995983935742</v>
      </c>
      <c r="AN66" s="6" t="str">
        <f>IFERROR(1-W66/AO66,"-")</f>
        <v>-</v>
      </c>
      <c r="AO66" s="4" t="str">
        <f>IFERROR(ROUND($AE66*Q66/$N66,0),"-")</f>
        <v>-</v>
      </c>
      <c r="AP66" s="4" t="str">
        <f>IF(R66="","-",R66)</f>
        <v>-</v>
      </c>
      <c r="AQ66" s="4" t="str">
        <f>IF(S66="","-",S66)</f>
        <v>-</v>
      </c>
      <c r="AR66" s="4">
        <v>0</v>
      </c>
      <c r="AS66" s="4" t="s">
        <v>410</v>
      </c>
      <c r="AT66" s="4"/>
      <c r="AU66" s="4"/>
      <c r="AV66" s="4" t="s">
        <v>411</v>
      </c>
      <c r="AW66" s="4">
        <v>2891</v>
      </c>
      <c r="AX66" s="4">
        <f>IF(AT66="",AW66,AT66/AU66*AW66)</f>
        <v>2891</v>
      </c>
      <c r="AY66" s="19">
        <v>4</v>
      </c>
      <c r="AZ66" s="19">
        <v>1</v>
      </c>
      <c r="BA66" s="16">
        <v>605</v>
      </c>
      <c r="BB66" t="s">
        <v>528</v>
      </c>
      <c r="BC66" t="str">
        <f>IFERROR(BB66*AM66,"-")</f>
        <v>-</v>
      </c>
      <c r="BD66">
        <v>2765</v>
      </c>
      <c r="BE66">
        <f>IFERROR(BD66*AM66,"-")</f>
        <v>3041.2223895582329</v>
      </c>
      <c r="BF66" t="s">
        <v>309</v>
      </c>
    </row>
    <row r="67" spans="1:58" x14ac:dyDescent="0.4">
      <c r="A67" s="3">
        <v>2</v>
      </c>
      <c r="B67" s="3">
        <v>2</v>
      </c>
      <c r="C67" s="33">
        <v>103371</v>
      </c>
      <c r="D67" s="4" t="str">
        <f>TEXT(C67,"000000")</f>
        <v>103371</v>
      </c>
      <c r="E67" s="4">
        <v>103371</v>
      </c>
      <c r="F67" s="4" t="str">
        <f>D67&amp;I67</f>
        <v>1033715</v>
      </c>
      <c r="G67" s="4" t="s">
        <v>179</v>
      </c>
      <c r="H67" s="5">
        <v>4547345054153</v>
      </c>
      <c r="I67" s="33">
        <v>5</v>
      </c>
      <c r="J67" s="5"/>
      <c r="K67" s="5">
        <v>1</v>
      </c>
      <c r="L67" s="5">
        <v>1</v>
      </c>
      <c r="M67" s="4">
        <v>0</v>
      </c>
      <c r="N67" s="4">
        <v>3500</v>
      </c>
      <c r="O67" s="4">
        <v>2343</v>
      </c>
      <c r="P67" s="6">
        <f>IFERROR(1-O67/N67,"-")</f>
        <v>0.33057142857142852</v>
      </c>
      <c r="Q67" s="4" t="s">
        <v>304</v>
      </c>
      <c r="R67" s="4" t="s">
        <v>304</v>
      </c>
      <c r="S67" s="4" t="s">
        <v>304</v>
      </c>
      <c r="T67" s="33">
        <v>0</v>
      </c>
      <c r="U67" s="4">
        <f>IF(X67="",T67,T67*X67)</f>
        <v>0</v>
      </c>
      <c r="V67" s="4">
        <v>2577</v>
      </c>
      <c r="W67" s="4">
        <f>IF(X67="",V67,V67*X67)</f>
        <v>2577</v>
      </c>
      <c r="X67" s="4"/>
      <c r="Y67" s="21">
        <f>ROUND(N67*AM67,0)</f>
        <v>3850</v>
      </c>
      <c r="Z67" s="6">
        <f>IFERROR(1-W67/Y67,"-")</f>
        <v>0.33064935064935064</v>
      </c>
      <c r="AA67" s="33">
        <v>3.25</v>
      </c>
      <c r="AB67" s="4">
        <f>AX67</f>
        <v>3400</v>
      </c>
      <c r="AC67" s="33">
        <f>IFERROR(AB67*AM67,"-")</f>
        <v>3739.5646606914211</v>
      </c>
      <c r="AD67" s="6">
        <f>IFERROR(1-W67/AC67,"-")</f>
        <v>0.31088235294117639</v>
      </c>
      <c r="AE67" s="7">
        <v>3738</v>
      </c>
      <c r="AF67" s="6">
        <f>1-W67/AE67</f>
        <v>0.3105939004815409</v>
      </c>
      <c r="AG67" s="4">
        <f>AE67-W67</f>
        <v>1161</v>
      </c>
      <c r="AH67" s="28"/>
      <c r="AI67" s="6"/>
      <c r="AJ67" s="6"/>
      <c r="AK67" s="6" t="str">
        <f>IFERROR(U67/M67,"-")</f>
        <v>-</v>
      </c>
      <c r="AL67" s="6">
        <f>IFERROR(AE67/N67,"-")</f>
        <v>1.0680000000000001</v>
      </c>
      <c r="AM67" s="6">
        <f>IFERROR(W67/O67,"-")</f>
        <v>1.0998719590268886</v>
      </c>
      <c r="AN67" s="6" t="str">
        <f>IFERROR(1-W67/AO67,"-")</f>
        <v>-</v>
      </c>
      <c r="AO67" s="4" t="str">
        <f>IFERROR(ROUND($AE67*Q67/$N67,0),"-")</f>
        <v>-</v>
      </c>
      <c r="AP67" s="4" t="str">
        <f>IF(R67="","-",R67)</f>
        <v>-</v>
      </c>
      <c r="AQ67" s="4" t="str">
        <f>IF(S67="","-",S67)</f>
        <v>-</v>
      </c>
      <c r="AR67" s="4">
        <v>0</v>
      </c>
      <c r="AS67" s="4" t="s">
        <v>412</v>
      </c>
      <c r="AT67" s="4"/>
      <c r="AU67" s="4"/>
      <c r="AV67" s="4" t="s">
        <v>411</v>
      </c>
      <c r="AW67" s="4">
        <v>3400</v>
      </c>
      <c r="AX67" s="4">
        <f>IF(AT67="",AW67,AT67/AU67*AW67)</f>
        <v>3400</v>
      </c>
      <c r="AY67" s="19">
        <v>4</v>
      </c>
      <c r="AZ67" s="19">
        <v>1</v>
      </c>
      <c r="BA67" s="16">
        <v>605</v>
      </c>
      <c r="BB67" t="s">
        <v>528</v>
      </c>
      <c r="BC67" t="str">
        <f>IFERROR(BB67*AM67,"-")</f>
        <v>-</v>
      </c>
      <c r="BD67">
        <v>3249</v>
      </c>
      <c r="BE67">
        <f>IFERROR(BD67*AM67,"-")</f>
        <v>3573.483994878361</v>
      </c>
      <c r="BF67" t="s">
        <v>310</v>
      </c>
    </row>
    <row r="68" spans="1:58" x14ac:dyDescent="0.4">
      <c r="A68" s="3">
        <v>26</v>
      </c>
      <c r="B68" s="3">
        <v>26</v>
      </c>
      <c r="C68" s="4" t="s">
        <v>80</v>
      </c>
      <c r="D68" s="4" t="str">
        <f>TEXT(C68,"000000")</f>
        <v>J41888</v>
      </c>
      <c r="E68" s="4" t="s">
        <v>80</v>
      </c>
      <c r="F68" s="4" t="str">
        <f>D68&amp;I68</f>
        <v>J418885</v>
      </c>
      <c r="G68" s="4" t="s">
        <v>203</v>
      </c>
      <c r="H68" s="5">
        <v>4547345022275</v>
      </c>
      <c r="I68" s="33">
        <v>5</v>
      </c>
      <c r="J68" s="5"/>
      <c r="K68" s="5">
        <v>1</v>
      </c>
      <c r="L68" s="5">
        <v>1</v>
      </c>
      <c r="M68" s="4">
        <v>0</v>
      </c>
      <c r="N68" s="4">
        <v>4365</v>
      </c>
      <c r="O68" s="4">
        <v>3253</v>
      </c>
      <c r="P68" s="6">
        <f>IFERROR(1-O68/N68,"-")</f>
        <v>0.25475372279495989</v>
      </c>
      <c r="Q68" s="4" t="s">
        <v>304</v>
      </c>
      <c r="R68" s="4" t="s">
        <v>304</v>
      </c>
      <c r="S68" s="4" t="s">
        <v>304</v>
      </c>
      <c r="T68" s="33">
        <v>0</v>
      </c>
      <c r="U68" s="4">
        <f>IF(X68="",T68,T68*X68)</f>
        <v>0</v>
      </c>
      <c r="V68" s="4">
        <v>3690</v>
      </c>
      <c r="W68" s="4">
        <f>IF(X68="",V68,V68*X68)</f>
        <v>3690</v>
      </c>
      <c r="X68" s="4"/>
      <c r="Y68" s="21">
        <f>ROUND(N68*AM68,0)</f>
        <v>4951</v>
      </c>
      <c r="Z68" s="6">
        <f>IFERROR(1-W68/Y68,"-")</f>
        <v>0.25469602100585742</v>
      </c>
      <c r="AA68" s="33">
        <v>0</v>
      </c>
      <c r="AB68" s="4">
        <f>AX68</f>
        <v>4723</v>
      </c>
      <c r="AC68" s="33">
        <f>IFERROR(AB68*AM68,"-")</f>
        <v>5357.4761758376881</v>
      </c>
      <c r="AD68" s="6">
        <f>IFERROR(1-W68/AC68,"-")</f>
        <v>0.31124285411814523</v>
      </c>
      <c r="AE68" s="7">
        <v>5349</v>
      </c>
      <c r="AF68" s="6">
        <f>1-W68/AE68</f>
        <v>0.31015143017386426</v>
      </c>
      <c r="AG68" s="4">
        <f>AE68-W68</f>
        <v>1659</v>
      </c>
      <c r="AH68" s="28"/>
      <c r="AI68" s="6"/>
      <c r="AJ68" s="6"/>
      <c r="AK68" s="6" t="str">
        <f>IFERROR(U68/M68,"-")</f>
        <v>-</v>
      </c>
      <c r="AL68" s="6">
        <f>IFERROR(AE68/N68,"-")</f>
        <v>1.2254295532646049</v>
      </c>
      <c r="AM68" s="6">
        <f>IFERROR(W68/O68,"-")</f>
        <v>1.1343375345834614</v>
      </c>
      <c r="AN68" s="6" t="str">
        <f>IFERROR(1-W68/AO68,"-")</f>
        <v>-</v>
      </c>
      <c r="AO68" s="4" t="str">
        <f>IFERROR(ROUND($AE68*Q68/$N68,0),"-")</f>
        <v>-</v>
      </c>
      <c r="AP68" s="4" t="str">
        <f>IF(R68="","-",R68)</f>
        <v>-</v>
      </c>
      <c r="AQ68" s="4" t="str">
        <f>IF(S68="","-",S68)</f>
        <v>-</v>
      </c>
      <c r="AR68" s="4">
        <v>0</v>
      </c>
      <c r="AS68" s="4" t="s">
        <v>432</v>
      </c>
      <c r="AT68" s="4"/>
      <c r="AU68" s="4"/>
      <c r="AV68" s="4" t="s">
        <v>433</v>
      </c>
      <c r="AW68" s="4">
        <v>4723</v>
      </c>
      <c r="AX68" s="4">
        <f>IF(AT68="",AW68,AT68/AU68*AW68)</f>
        <v>4723</v>
      </c>
      <c r="AY68" s="19">
        <v>4</v>
      </c>
      <c r="AZ68" s="19">
        <v>8</v>
      </c>
      <c r="BA68" s="16">
        <v>605</v>
      </c>
      <c r="BB68" t="s">
        <v>528</v>
      </c>
      <c r="BC68" t="str">
        <f>IFERROR(BB68*AM68,"-")</f>
        <v>-</v>
      </c>
      <c r="BD68">
        <v>4716</v>
      </c>
      <c r="BE68">
        <f>IFERROR(BD68*AM68,"-")</f>
        <v>5349.5358130956038</v>
      </c>
      <c r="BF68" t="s">
        <v>327</v>
      </c>
    </row>
    <row r="69" spans="1:58" x14ac:dyDescent="0.4">
      <c r="A69" s="3">
        <v>76</v>
      </c>
      <c r="B69" s="3">
        <v>76</v>
      </c>
      <c r="C69" s="4" t="s">
        <v>130</v>
      </c>
      <c r="D69" s="4" t="str">
        <f>TEXT(C69,"000000")</f>
        <v>J491WL</v>
      </c>
      <c r="E69" s="4" t="s">
        <v>130</v>
      </c>
      <c r="F69" s="4" t="str">
        <f>D69&amp;I69</f>
        <v>J491WL5</v>
      </c>
      <c r="G69" s="4" t="s">
        <v>253</v>
      </c>
      <c r="H69" s="5">
        <v>4547345038207</v>
      </c>
      <c r="I69" s="33">
        <v>5</v>
      </c>
      <c r="J69" s="5"/>
      <c r="K69" s="5">
        <v>1</v>
      </c>
      <c r="L69" s="5">
        <v>1</v>
      </c>
      <c r="M69" s="4">
        <v>0</v>
      </c>
      <c r="N69" s="4">
        <v>1190</v>
      </c>
      <c r="O69" s="4">
        <v>892</v>
      </c>
      <c r="P69" s="6">
        <f>IFERROR(1-O69/N69,"-")</f>
        <v>0.25042016806722689</v>
      </c>
      <c r="Q69" s="4" t="s">
        <v>304</v>
      </c>
      <c r="R69" s="4" t="s">
        <v>304</v>
      </c>
      <c r="S69" s="4" t="s">
        <v>304</v>
      </c>
      <c r="T69" s="33">
        <v>0</v>
      </c>
      <c r="U69" s="4">
        <f>IF(X69="",T69,T69*X69)</f>
        <v>0</v>
      </c>
      <c r="V69" s="4">
        <v>1252</v>
      </c>
      <c r="W69" s="4">
        <f>IF(X69="",V69,V69*X69)</f>
        <v>1252</v>
      </c>
      <c r="X69" s="4"/>
      <c r="Y69" s="21">
        <f>ROUND(N69*AM69,0)</f>
        <v>1670</v>
      </c>
      <c r="Z69" s="6">
        <f>IFERROR(1-W69/Y69,"-")</f>
        <v>0.25029940119760474</v>
      </c>
      <c r="AA69" s="33">
        <v>0.25</v>
      </c>
      <c r="AB69" s="4" t="str">
        <f>AX69</f>
        <v>-</v>
      </c>
      <c r="AC69" s="33" t="str">
        <f>IFERROR(AB69*AM69,"-")</f>
        <v>-</v>
      </c>
      <c r="AD69" s="6" t="str">
        <f>IFERROR(1-W69/AC69,"-")</f>
        <v>-</v>
      </c>
      <c r="AE69" s="7">
        <v>1850</v>
      </c>
      <c r="AF69" s="6">
        <f>1-W69/AE69</f>
        <v>0.32324324324324327</v>
      </c>
      <c r="AG69" s="4">
        <f>AE69-W69</f>
        <v>598</v>
      </c>
      <c r="AH69" s="28"/>
      <c r="AI69" s="6"/>
      <c r="AJ69" s="6"/>
      <c r="AK69" s="6" t="str">
        <f>IFERROR(U69/M69,"-")</f>
        <v>-</v>
      </c>
      <c r="AL69" s="6">
        <f>IFERROR(AE69/N69,"-")</f>
        <v>1.5546218487394958</v>
      </c>
      <c r="AM69" s="6">
        <f>IFERROR(W69/O69,"-")</f>
        <v>1.4035874439461884</v>
      </c>
      <c r="AN69" s="6" t="str">
        <f>IFERROR(1-W69/AO69,"-")</f>
        <v>-</v>
      </c>
      <c r="AO69" s="4" t="str">
        <f>IFERROR(ROUND($AE69*Q69/$N69,0),"-")</f>
        <v>-</v>
      </c>
      <c r="AP69" s="4" t="str">
        <f>IF(R69="","-",R69)</f>
        <v>-</v>
      </c>
      <c r="AQ69" s="4" t="str">
        <f>IF(S69="","-",S69)</f>
        <v>-</v>
      </c>
      <c r="AR69" s="4">
        <v>0</v>
      </c>
      <c r="AS69" s="4" t="s">
        <v>304</v>
      </c>
      <c r="AT69" s="4"/>
      <c r="AU69" s="4"/>
      <c r="AV69" s="4" t="s">
        <v>304</v>
      </c>
      <c r="AW69" s="4" t="s">
        <v>304</v>
      </c>
      <c r="AX69" s="4" t="str">
        <f>IF(AT69="",AW69,AT69/AU69*AW69)</f>
        <v>-</v>
      </c>
      <c r="AY69" s="19">
        <v>4</v>
      </c>
      <c r="AZ69" s="19">
        <v>8</v>
      </c>
      <c r="BA69" s="16">
        <v>620</v>
      </c>
      <c r="BB69" t="s">
        <v>528</v>
      </c>
      <c r="BC69" t="str">
        <f>IFERROR(BB69*AM69,"-")</f>
        <v>-</v>
      </c>
      <c r="BD69" t="s">
        <v>304</v>
      </c>
      <c r="BE69" t="str">
        <f>IFERROR(BD69*AM69,"-")</f>
        <v>-</v>
      </c>
      <c r="BF69" t="s">
        <v>304</v>
      </c>
    </row>
    <row r="70" spans="1:58" x14ac:dyDescent="0.4">
      <c r="A70" s="3">
        <v>77</v>
      </c>
      <c r="B70" s="3">
        <v>77</v>
      </c>
      <c r="C70" s="4" t="s">
        <v>131</v>
      </c>
      <c r="D70" s="4" t="str">
        <f>TEXT(C70,"000000")</f>
        <v>J492WL</v>
      </c>
      <c r="E70" s="4" t="s">
        <v>131</v>
      </c>
      <c r="F70" s="4" t="str">
        <f>D70&amp;I70</f>
        <v>J492WL5</v>
      </c>
      <c r="G70" s="4" t="s">
        <v>254</v>
      </c>
      <c r="H70" s="5">
        <v>4547345038214</v>
      </c>
      <c r="I70" s="33">
        <v>5</v>
      </c>
      <c r="J70" s="5"/>
      <c r="K70" s="5">
        <v>1</v>
      </c>
      <c r="L70" s="5">
        <v>1</v>
      </c>
      <c r="M70" s="4">
        <v>0</v>
      </c>
      <c r="N70" s="4">
        <v>1190</v>
      </c>
      <c r="O70" s="4">
        <v>892</v>
      </c>
      <c r="P70" s="6">
        <f>IFERROR(1-O70/N70,"-")</f>
        <v>0.25042016806722689</v>
      </c>
      <c r="Q70" s="4" t="s">
        <v>304</v>
      </c>
      <c r="R70" s="4" t="s">
        <v>304</v>
      </c>
      <c r="S70" s="4" t="s">
        <v>304</v>
      </c>
      <c r="T70" s="33">
        <v>0</v>
      </c>
      <c r="U70" s="4">
        <f>IF(X70="",T70,T70*X70)</f>
        <v>0</v>
      </c>
      <c r="V70" s="4">
        <v>1252</v>
      </c>
      <c r="W70" s="4">
        <f>IF(X70="",V70,V70*X70)</f>
        <v>1252</v>
      </c>
      <c r="X70" s="4"/>
      <c r="Y70" s="21">
        <f>ROUND(N70*AM70,0)</f>
        <v>1670</v>
      </c>
      <c r="Z70" s="6">
        <f>IFERROR(1-W70/Y70,"-")</f>
        <v>0.25029940119760474</v>
      </c>
      <c r="AA70" s="33">
        <v>0</v>
      </c>
      <c r="AB70" s="4" t="str">
        <f>AX70</f>
        <v>-</v>
      </c>
      <c r="AC70" s="33" t="str">
        <f>IFERROR(AB70*AM70,"-")</f>
        <v>-</v>
      </c>
      <c r="AD70" s="6" t="str">
        <f>IFERROR(1-W70/AC70,"-")</f>
        <v>-</v>
      </c>
      <c r="AE70" s="7">
        <v>1850</v>
      </c>
      <c r="AF70" s="6">
        <f>1-W70/AE70</f>
        <v>0.32324324324324327</v>
      </c>
      <c r="AG70" s="4">
        <f>AE70-W70</f>
        <v>598</v>
      </c>
      <c r="AH70" s="28"/>
      <c r="AI70" s="6"/>
      <c r="AJ70" s="6"/>
      <c r="AK70" s="6" t="str">
        <f>IFERROR(U70/M70,"-")</f>
        <v>-</v>
      </c>
      <c r="AL70" s="6">
        <f>IFERROR(AE70/N70,"-")</f>
        <v>1.5546218487394958</v>
      </c>
      <c r="AM70" s="6">
        <f>IFERROR(W70/O70,"-")</f>
        <v>1.4035874439461884</v>
      </c>
      <c r="AN70" s="6" t="str">
        <f>IFERROR(1-W70/AO70,"-")</f>
        <v>-</v>
      </c>
      <c r="AO70" s="4" t="str">
        <f>IFERROR(ROUND($AE70*Q70/$N70,0),"-")</f>
        <v>-</v>
      </c>
      <c r="AP70" s="4" t="str">
        <f>IF(R70="","-",R70)</f>
        <v>-</v>
      </c>
      <c r="AQ70" s="4" t="str">
        <f>IF(S70="","-",S70)</f>
        <v>-</v>
      </c>
      <c r="AR70" s="4">
        <v>0</v>
      </c>
      <c r="AS70" s="4" t="s">
        <v>304</v>
      </c>
      <c r="AT70" s="4"/>
      <c r="AU70" s="4"/>
      <c r="AV70" s="4" t="s">
        <v>304</v>
      </c>
      <c r="AW70" s="4" t="s">
        <v>304</v>
      </c>
      <c r="AX70" s="4" t="str">
        <f>IF(AT70="",AW70,AT70/AU70*AW70)</f>
        <v>-</v>
      </c>
      <c r="AY70" s="19">
        <v>4</v>
      </c>
      <c r="AZ70" s="19">
        <v>8</v>
      </c>
      <c r="BA70" s="16">
        <v>620</v>
      </c>
      <c r="BB70" t="s">
        <v>528</v>
      </c>
      <c r="BC70" t="str">
        <f>IFERROR(BB70*AM70,"-")</f>
        <v>-</v>
      </c>
      <c r="BD70" t="s">
        <v>304</v>
      </c>
      <c r="BE70" t="str">
        <f>IFERROR(BD70*AM70,"-")</f>
        <v>-</v>
      </c>
      <c r="BF70" t="s">
        <v>304</v>
      </c>
    </row>
    <row r="71" spans="1:58" x14ac:dyDescent="0.4">
      <c r="A71" s="3">
        <v>80</v>
      </c>
      <c r="B71" s="3">
        <v>80</v>
      </c>
      <c r="C71" s="4" t="s">
        <v>134</v>
      </c>
      <c r="D71" s="4" t="str">
        <f>TEXT(C71,"000000")</f>
        <v>J495WL</v>
      </c>
      <c r="E71" s="4" t="s">
        <v>134</v>
      </c>
      <c r="F71" s="4" t="str">
        <f>D71&amp;I71</f>
        <v>J495WL5</v>
      </c>
      <c r="G71" s="4" t="s">
        <v>257</v>
      </c>
      <c r="H71" s="5">
        <v>4547345038245</v>
      </c>
      <c r="I71" s="33">
        <v>5</v>
      </c>
      <c r="J71" s="5"/>
      <c r="K71" s="5">
        <v>1</v>
      </c>
      <c r="L71" s="5">
        <v>1</v>
      </c>
      <c r="M71" s="4">
        <v>0</v>
      </c>
      <c r="N71" s="4">
        <v>1190</v>
      </c>
      <c r="O71" s="4">
        <v>892</v>
      </c>
      <c r="P71" s="6">
        <f>IFERROR(1-O71/N71,"-")</f>
        <v>0.25042016806722689</v>
      </c>
      <c r="Q71" s="4" t="s">
        <v>304</v>
      </c>
      <c r="R71" s="4" t="s">
        <v>304</v>
      </c>
      <c r="S71" s="4" t="s">
        <v>304</v>
      </c>
      <c r="T71" s="33">
        <v>0</v>
      </c>
      <c r="U71" s="4">
        <f>IF(X71="",T71,T71*X71)</f>
        <v>0</v>
      </c>
      <c r="V71" s="4">
        <v>1252</v>
      </c>
      <c r="W71" s="4">
        <f>IF(X71="",V71,V71*X71)</f>
        <v>1252</v>
      </c>
      <c r="X71" s="4"/>
      <c r="Y71" s="21">
        <f>ROUND(N71*AM71,0)</f>
        <v>1670</v>
      </c>
      <c r="Z71" s="6">
        <f>IFERROR(1-W71/Y71,"-")</f>
        <v>0.25029940119760474</v>
      </c>
      <c r="AA71" s="33">
        <v>0</v>
      </c>
      <c r="AB71" s="4" t="str">
        <f>AX71</f>
        <v>-</v>
      </c>
      <c r="AC71" s="33" t="str">
        <f>IFERROR(AB71*AM71,"-")</f>
        <v>-</v>
      </c>
      <c r="AD71" s="6" t="str">
        <f>IFERROR(1-W71/AC71,"-")</f>
        <v>-</v>
      </c>
      <c r="AE71" s="7">
        <v>1850</v>
      </c>
      <c r="AF71" s="6">
        <f>1-W71/AE71</f>
        <v>0.32324324324324327</v>
      </c>
      <c r="AG71" s="4">
        <f>AE71-W71</f>
        <v>598</v>
      </c>
      <c r="AH71" s="28"/>
      <c r="AI71" s="6"/>
      <c r="AJ71" s="6"/>
      <c r="AK71" s="6" t="str">
        <f>IFERROR(U71/M71,"-")</f>
        <v>-</v>
      </c>
      <c r="AL71" s="6">
        <f>IFERROR(AE71/N71,"-")</f>
        <v>1.5546218487394958</v>
      </c>
      <c r="AM71" s="6">
        <f>IFERROR(W71/O71,"-")</f>
        <v>1.4035874439461884</v>
      </c>
      <c r="AN71" s="6" t="str">
        <f>IFERROR(1-W71/AO71,"-")</f>
        <v>-</v>
      </c>
      <c r="AO71" s="4" t="str">
        <f>IFERROR(ROUND($AE71*Q71/$N71,0),"-")</f>
        <v>-</v>
      </c>
      <c r="AP71" s="4" t="str">
        <f>IF(R71="","-",R71)</f>
        <v>-</v>
      </c>
      <c r="AQ71" s="4" t="str">
        <f>IF(S71="","-",S71)</f>
        <v>-</v>
      </c>
      <c r="AR71" s="4">
        <v>0</v>
      </c>
      <c r="AS71" s="4" t="s">
        <v>304</v>
      </c>
      <c r="AT71" s="4"/>
      <c r="AU71" s="4"/>
      <c r="AV71" s="4" t="s">
        <v>304</v>
      </c>
      <c r="AW71" s="4" t="s">
        <v>304</v>
      </c>
      <c r="AX71" s="4" t="str">
        <f>IF(AT71="",AW71,AT71/AU71*AW71)</f>
        <v>-</v>
      </c>
      <c r="AY71" s="19">
        <v>4</v>
      </c>
      <c r="AZ71" s="19">
        <v>8</v>
      </c>
      <c r="BA71" s="16">
        <v>620</v>
      </c>
      <c r="BB71" t="s">
        <v>528</v>
      </c>
      <c r="BC71" t="str">
        <f>IFERROR(BB71*AM71,"-")</f>
        <v>-</v>
      </c>
      <c r="BD71" t="s">
        <v>304</v>
      </c>
      <c r="BE71" t="str">
        <f>IFERROR(BD71*AM71,"-")</f>
        <v>-</v>
      </c>
      <c r="BF71" t="s">
        <v>304</v>
      </c>
    </row>
    <row r="72" spans="1:58" x14ac:dyDescent="0.4">
      <c r="A72" s="3">
        <v>81</v>
      </c>
      <c r="B72" s="3">
        <v>81</v>
      </c>
      <c r="C72" s="4" t="s">
        <v>135</v>
      </c>
      <c r="D72" s="4" t="str">
        <f>TEXT(C72,"000000")</f>
        <v>J490WL</v>
      </c>
      <c r="E72" s="4" t="s">
        <v>135</v>
      </c>
      <c r="F72" s="4" t="str">
        <f>D72&amp;I72</f>
        <v>J490WL5</v>
      </c>
      <c r="G72" s="4" t="s">
        <v>258</v>
      </c>
      <c r="H72" s="5">
        <v>4547345038191</v>
      </c>
      <c r="I72" s="33">
        <v>5</v>
      </c>
      <c r="J72" s="5"/>
      <c r="K72" s="5">
        <v>1</v>
      </c>
      <c r="L72" s="5">
        <v>1</v>
      </c>
      <c r="M72" s="4">
        <v>0</v>
      </c>
      <c r="N72" s="4">
        <v>1190</v>
      </c>
      <c r="O72" s="4">
        <v>892</v>
      </c>
      <c r="P72" s="6">
        <f>IFERROR(1-O72/N72,"-")</f>
        <v>0.25042016806722689</v>
      </c>
      <c r="Q72" s="4" t="s">
        <v>304</v>
      </c>
      <c r="R72" s="4" t="s">
        <v>304</v>
      </c>
      <c r="S72" s="4" t="s">
        <v>304</v>
      </c>
      <c r="T72" s="33">
        <v>0</v>
      </c>
      <c r="U72" s="4">
        <f>IF(X72="",T72,T72*X72)</f>
        <v>0</v>
      </c>
      <c r="V72" s="4">
        <v>1252</v>
      </c>
      <c r="W72" s="4">
        <f>IF(X72="",V72,V72*X72)</f>
        <v>1252</v>
      </c>
      <c r="X72" s="4"/>
      <c r="Y72" s="21">
        <f>ROUND(N72*AM72,0)</f>
        <v>1670</v>
      </c>
      <c r="Z72" s="6">
        <f>IFERROR(1-W72/Y72,"-")</f>
        <v>0.25029940119760474</v>
      </c>
      <c r="AA72" s="33">
        <v>0.25</v>
      </c>
      <c r="AB72" s="4" t="str">
        <f>AX72</f>
        <v>-</v>
      </c>
      <c r="AC72" s="33" t="str">
        <f>IFERROR(AB72*AM72,"-")</f>
        <v>-</v>
      </c>
      <c r="AD72" s="6" t="str">
        <f>IFERROR(1-W72/AC72,"-")</f>
        <v>-</v>
      </c>
      <c r="AE72" s="7">
        <v>1850</v>
      </c>
      <c r="AF72" s="6">
        <f>1-W72/AE72</f>
        <v>0.32324324324324327</v>
      </c>
      <c r="AG72" s="4">
        <f>AE72-W72</f>
        <v>598</v>
      </c>
      <c r="AH72" s="28"/>
      <c r="AI72" s="6"/>
      <c r="AJ72" s="6"/>
      <c r="AK72" s="6" t="str">
        <f>IFERROR(U72/M72,"-")</f>
        <v>-</v>
      </c>
      <c r="AL72" s="6">
        <f>IFERROR(AE72/N72,"-")</f>
        <v>1.5546218487394958</v>
      </c>
      <c r="AM72" s="6">
        <f>IFERROR(W72/O72,"-")</f>
        <v>1.4035874439461884</v>
      </c>
      <c r="AN72" s="6" t="str">
        <f>IFERROR(1-W72/AO72,"-")</f>
        <v>-</v>
      </c>
      <c r="AO72" s="4" t="str">
        <f>IFERROR(ROUND($AE72*Q72/$N72,0),"-")</f>
        <v>-</v>
      </c>
      <c r="AP72" s="4" t="str">
        <f>IF(R72="","-",R72)</f>
        <v>-</v>
      </c>
      <c r="AQ72" s="4" t="str">
        <f>IF(S72="","-",S72)</f>
        <v>-</v>
      </c>
      <c r="AR72" s="4">
        <v>0</v>
      </c>
      <c r="AS72" s="4" t="s">
        <v>304</v>
      </c>
      <c r="AT72" s="4"/>
      <c r="AU72" s="4"/>
      <c r="AV72" s="4" t="s">
        <v>304</v>
      </c>
      <c r="AW72" s="4" t="s">
        <v>304</v>
      </c>
      <c r="AX72" s="4" t="str">
        <f>IF(AT72="",AW72,AT72/AU72*AW72)</f>
        <v>-</v>
      </c>
      <c r="AY72" s="19">
        <v>4</v>
      </c>
      <c r="AZ72" s="19">
        <v>8</v>
      </c>
      <c r="BA72" s="16">
        <v>620</v>
      </c>
      <c r="BB72" t="s">
        <v>528</v>
      </c>
      <c r="BC72" t="str">
        <f>IFERROR(BB72*AM72,"-")</f>
        <v>-</v>
      </c>
      <c r="BD72" t="s">
        <v>304</v>
      </c>
      <c r="BE72" t="str">
        <f>IFERROR(BD72*AM72,"-")</f>
        <v>-</v>
      </c>
      <c r="BF72" t="s">
        <v>304</v>
      </c>
    </row>
    <row r="73" spans="1:58" x14ac:dyDescent="0.4">
      <c r="A73" s="3">
        <v>82</v>
      </c>
      <c r="B73" s="3">
        <v>82</v>
      </c>
      <c r="C73" s="4" t="s">
        <v>136</v>
      </c>
      <c r="D73" s="4" t="str">
        <f>TEXT(C73,"000000")</f>
        <v>J497WL</v>
      </c>
      <c r="E73" s="4" t="s">
        <v>136</v>
      </c>
      <c r="F73" s="4" t="str">
        <f>D73&amp;I73</f>
        <v>J497WL5</v>
      </c>
      <c r="G73" s="4" t="s">
        <v>259</v>
      </c>
      <c r="H73" s="5">
        <v>4547345038269</v>
      </c>
      <c r="I73" s="33">
        <v>5</v>
      </c>
      <c r="J73" s="5"/>
      <c r="K73" s="5">
        <v>1</v>
      </c>
      <c r="L73" s="5">
        <v>1</v>
      </c>
      <c r="M73" s="4">
        <v>0</v>
      </c>
      <c r="N73" s="4">
        <v>1190</v>
      </c>
      <c r="O73" s="4">
        <v>892</v>
      </c>
      <c r="P73" s="6">
        <f>IFERROR(1-O73/N73,"-")</f>
        <v>0.25042016806722689</v>
      </c>
      <c r="Q73" s="4" t="s">
        <v>304</v>
      </c>
      <c r="R73" s="4" t="s">
        <v>304</v>
      </c>
      <c r="S73" s="4" t="s">
        <v>304</v>
      </c>
      <c r="T73" s="33">
        <v>0</v>
      </c>
      <c r="U73" s="4">
        <f>IF(X73="",T73,T73*X73)</f>
        <v>0</v>
      </c>
      <c r="V73" s="4">
        <v>1252</v>
      </c>
      <c r="W73" s="4">
        <f>IF(X73="",V73,V73*X73)</f>
        <v>1252</v>
      </c>
      <c r="X73" s="4"/>
      <c r="Y73" s="21">
        <f>ROUND(N73*AM73,0)</f>
        <v>1670</v>
      </c>
      <c r="Z73" s="6">
        <f>IFERROR(1-W73/Y73,"-")</f>
        <v>0.25029940119760474</v>
      </c>
      <c r="AA73" s="33">
        <v>0.25</v>
      </c>
      <c r="AB73" s="4" t="str">
        <f>AX73</f>
        <v>-</v>
      </c>
      <c r="AC73" s="33" t="str">
        <f>IFERROR(AB73*AM73,"-")</f>
        <v>-</v>
      </c>
      <c r="AD73" s="6" t="str">
        <f>IFERROR(1-W73/AC73,"-")</f>
        <v>-</v>
      </c>
      <c r="AE73" s="7">
        <v>1850</v>
      </c>
      <c r="AF73" s="6">
        <f>1-W73/AE73</f>
        <v>0.32324324324324327</v>
      </c>
      <c r="AG73" s="4">
        <f>AE73-W73</f>
        <v>598</v>
      </c>
      <c r="AH73" s="28"/>
      <c r="AI73" s="6"/>
      <c r="AJ73" s="6"/>
      <c r="AK73" s="6" t="str">
        <f>IFERROR(U73/M73,"-")</f>
        <v>-</v>
      </c>
      <c r="AL73" s="6">
        <f>IFERROR(AE73/N73,"-")</f>
        <v>1.5546218487394958</v>
      </c>
      <c r="AM73" s="6">
        <f>IFERROR(W73/O73,"-")</f>
        <v>1.4035874439461884</v>
      </c>
      <c r="AN73" s="6" t="str">
        <f>IFERROR(1-W73/AO73,"-")</f>
        <v>-</v>
      </c>
      <c r="AO73" s="4" t="str">
        <f>IFERROR(ROUND($AE73*Q73/$N73,0),"-")</f>
        <v>-</v>
      </c>
      <c r="AP73" s="4" t="str">
        <f>IF(R73="","-",R73)</f>
        <v>-</v>
      </c>
      <c r="AQ73" s="4" t="str">
        <f>IF(S73="","-",S73)</f>
        <v>-</v>
      </c>
      <c r="AR73" s="4">
        <v>0</v>
      </c>
      <c r="AS73" s="4" t="s">
        <v>304</v>
      </c>
      <c r="AT73" s="4"/>
      <c r="AU73" s="4"/>
      <c r="AV73" s="4" t="s">
        <v>304</v>
      </c>
      <c r="AW73" s="4" t="s">
        <v>304</v>
      </c>
      <c r="AX73" s="4" t="str">
        <f>IF(AT73="",AW73,AT73/AU73*AW73)</f>
        <v>-</v>
      </c>
      <c r="AY73" s="19">
        <v>4</v>
      </c>
      <c r="AZ73" s="19">
        <v>8</v>
      </c>
      <c r="BA73" s="16">
        <v>620</v>
      </c>
      <c r="BB73" t="s">
        <v>528</v>
      </c>
      <c r="BC73" t="str">
        <f>IFERROR(BB73*AM73,"-")</f>
        <v>-</v>
      </c>
      <c r="BD73" t="s">
        <v>304</v>
      </c>
      <c r="BE73" t="str">
        <f>IFERROR(BD73*AM73,"-")</f>
        <v>-</v>
      </c>
      <c r="BF73" t="s">
        <v>304</v>
      </c>
    </row>
    <row r="74" spans="1:58" x14ac:dyDescent="0.4">
      <c r="A74" s="3">
        <v>83</v>
      </c>
      <c r="B74" s="3">
        <v>83</v>
      </c>
      <c r="C74" s="4" t="s">
        <v>137</v>
      </c>
      <c r="D74" s="4" t="str">
        <f>TEXT(C74,"000000")</f>
        <v>J496WL</v>
      </c>
      <c r="E74" s="4" t="s">
        <v>137</v>
      </c>
      <c r="F74" s="4" t="str">
        <f>D74&amp;I74</f>
        <v>J496WL5</v>
      </c>
      <c r="G74" s="4" t="s">
        <v>260</v>
      </c>
      <c r="H74" s="5">
        <v>4547345038252</v>
      </c>
      <c r="I74" s="33">
        <v>5</v>
      </c>
      <c r="J74" s="5"/>
      <c r="K74" s="5">
        <v>1</v>
      </c>
      <c r="L74" s="5">
        <v>1</v>
      </c>
      <c r="M74" s="4">
        <v>0</v>
      </c>
      <c r="N74" s="4">
        <v>1190</v>
      </c>
      <c r="O74" s="4">
        <v>892</v>
      </c>
      <c r="P74" s="6">
        <f>IFERROR(1-O74/N74,"-")</f>
        <v>0.25042016806722689</v>
      </c>
      <c r="Q74" s="4" t="s">
        <v>304</v>
      </c>
      <c r="R74" s="4" t="s">
        <v>304</v>
      </c>
      <c r="S74" s="4" t="s">
        <v>304</v>
      </c>
      <c r="T74" s="33">
        <v>0</v>
      </c>
      <c r="U74" s="4">
        <f>IF(X74="",T74,T74*X74)</f>
        <v>0</v>
      </c>
      <c r="V74" s="4">
        <v>1252</v>
      </c>
      <c r="W74" s="4">
        <f>IF(X74="",V74,V74*X74)</f>
        <v>1252</v>
      </c>
      <c r="X74" s="4"/>
      <c r="Y74" s="21">
        <f>ROUND(N74*AM74,0)</f>
        <v>1670</v>
      </c>
      <c r="Z74" s="6">
        <f>IFERROR(1-W74/Y74,"-")</f>
        <v>0.25029940119760474</v>
      </c>
      <c r="AA74" s="33">
        <v>0.5</v>
      </c>
      <c r="AB74" s="4" t="str">
        <f>AX74</f>
        <v>-</v>
      </c>
      <c r="AC74" s="33" t="str">
        <f>IFERROR(AB74*AM74,"-")</f>
        <v>-</v>
      </c>
      <c r="AD74" s="6" t="str">
        <f>IFERROR(1-W74/AC74,"-")</f>
        <v>-</v>
      </c>
      <c r="AE74" s="7">
        <v>1850</v>
      </c>
      <c r="AF74" s="6">
        <f>1-W74/AE74</f>
        <v>0.32324324324324327</v>
      </c>
      <c r="AG74" s="4">
        <f>AE74-W74</f>
        <v>598</v>
      </c>
      <c r="AH74" s="28"/>
      <c r="AI74" s="6"/>
      <c r="AJ74" s="6"/>
      <c r="AK74" s="6" t="str">
        <f>IFERROR(U74/M74,"-")</f>
        <v>-</v>
      </c>
      <c r="AL74" s="6">
        <f>IFERROR(AE74/N74,"-")</f>
        <v>1.5546218487394958</v>
      </c>
      <c r="AM74" s="6">
        <f>IFERROR(W74/O74,"-")</f>
        <v>1.4035874439461884</v>
      </c>
      <c r="AN74" s="6" t="str">
        <f>IFERROR(1-W74/AO74,"-")</f>
        <v>-</v>
      </c>
      <c r="AO74" s="4" t="str">
        <f>IFERROR(ROUND($AE74*Q74/$N74,0),"-")</f>
        <v>-</v>
      </c>
      <c r="AP74" s="4" t="str">
        <f>IF(R74="","-",R74)</f>
        <v>-</v>
      </c>
      <c r="AQ74" s="4" t="str">
        <f>IF(S74="","-",S74)</f>
        <v>-</v>
      </c>
      <c r="AR74" s="4">
        <v>0</v>
      </c>
      <c r="AS74" s="4" t="s">
        <v>304</v>
      </c>
      <c r="AT74" s="4"/>
      <c r="AU74" s="4"/>
      <c r="AV74" s="4" t="s">
        <v>304</v>
      </c>
      <c r="AW74" s="4" t="s">
        <v>304</v>
      </c>
      <c r="AX74" s="4" t="str">
        <f>IF(AT74="",AW74,AT74/AU74*AW74)</f>
        <v>-</v>
      </c>
      <c r="AY74" s="19">
        <v>4</v>
      </c>
      <c r="AZ74" s="19">
        <v>8</v>
      </c>
      <c r="BA74" s="16">
        <v>620</v>
      </c>
      <c r="BB74" t="s">
        <v>528</v>
      </c>
      <c r="BC74" t="str">
        <f>IFERROR(BB74*AM74,"-")</f>
        <v>-</v>
      </c>
      <c r="BD74" t="s">
        <v>304</v>
      </c>
      <c r="BE74" t="str">
        <f>IFERROR(BD74*AM74,"-")</f>
        <v>-</v>
      </c>
      <c r="BF74" t="s">
        <v>304</v>
      </c>
    </row>
    <row r="75" spans="1:58" x14ac:dyDescent="0.4">
      <c r="A75" s="3">
        <v>84</v>
      </c>
      <c r="B75" s="3">
        <v>84</v>
      </c>
      <c r="C75" s="4" t="s">
        <v>138</v>
      </c>
      <c r="D75" s="4" t="str">
        <f>TEXT(C75,"000000")</f>
        <v>J499WL</v>
      </c>
      <c r="E75" s="4" t="s">
        <v>138</v>
      </c>
      <c r="F75" s="4" t="str">
        <f>D75&amp;I75</f>
        <v>J499WL5</v>
      </c>
      <c r="G75" s="4" t="s">
        <v>261</v>
      </c>
      <c r="H75" s="5">
        <v>4547345038283</v>
      </c>
      <c r="I75" s="33">
        <v>5</v>
      </c>
      <c r="J75" s="5"/>
      <c r="K75" s="5">
        <v>1</v>
      </c>
      <c r="L75" s="5">
        <v>1</v>
      </c>
      <c r="M75" s="4">
        <v>0</v>
      </c>
      <c r="N75" s="4">
        <v>1190</v>
      </c>
      <c r="O75" s="4">
        <v>892</v>
      </c>
      <c r="P75" s="6">
        <f>IFERROR(1-O75/N75,"-")</f>
        <v>0.25042016806722689</v>
      </c>
      <c r="Q75" s="4" t="s">
        <v>304</v>
      </c>
      <c r="R75" s="4" t="s">
        <v>304</v>
      </c>
      <c r="S75" s="4" t="s">
        <v>304</v>
      </c>
      <c r="T75" s="33">
        <v>0</v>
      </c>
      <c r="U75" s="4">
        <f>IF(X75="",T75,T75*X75)</f>
        <v>0</v>
      </c>
      <c r="V75" s="4">
        <v>1252</v>
      </c>
      <c r="W75" s="4">
        <f>IF(X75="",V75,V75*X75)</f>
        <v>1252</v>
      </c>
      <c r="X75" s="4"/>
      <c r="Y75" s="21">
        <f>ROUND(N75*AM75,0)</f>
        <v>1670</v>
      </c>
      <c r="Z75" s="6">
        <f>IFERROR(1-W75/Y75,"-")</f>
        <v>0.25029940119760474</v>
      </c>
      <c r="AA75" s="33">
        <v>0</v>
      </c>
      <c r="AB75" s="4" t="str">
        <f>AX75</f>
        <v>-</v>
      </c>
      <c r="AC75" s="33" t="str">
        <f>IFERROR(AB75*AM75,"-")</f>
        <v>-</v>
      </c>
      <c r="AD75" s="6" t="str">
        <f>IFERROR(1-W75/AC75,"-")</f>
        <v>-</v>
      </c>
      <c r="AE75" s="7">
        <v>1850</v>
      </c>
      <c r="AF75" s="6">
        <f>1-W75/AE75</f>
        <v>0.32324324324324327</v>
      </c>
      <c r="AG75" s="4">
        <f>AE75-W75</f>
        <v>598</v>
      </c>
      <c r="AH75" s="28"/>
      <c r="AI75" s="6"/>
      <c r="AJ75" s="6"/>
      <c r="AK75" s="6" t="str">
        <f>IFERROR(U75/M75,"-")</f>
        <v>-</v>
      </c>
      <c r="AL75" s="6">
        <f>IFERROR(AE75/N75,"-")</f>
        <v>1.5546218487394958</v>
      </c>
      <c r="AM75" s="6">
        <f>IFERROR(W75/O75,"-")</f>
        <v>1.4035874439461884</v>
      </c>
      <c r="AN75" s="6" t="str">
        <f>IFERROR(1-W75/AO75,"-")</f>
        <v>-</v>
      </c>
      <c r="AO75" s="4" t="str">
        <f>IFERROR(ROUND($AE75*Q75/$N75,0),"-")</f>
        <v>-</v>
      </c>
      <c r="AP75" s="4" t="str">
        <f>IF(R75="","-",R75)</f>
        <v>-</v>
      </c>
      <c r="AQ75" s="4" t="str">
        <f>IF(S75="","-",S75)</f>
        <v>-</v>
      </c>
      <c r="AR75" s="4">
        <v>0</v>
      </c>
      <c r="AS75" s="4" t="s">
        <v>304</v>
      </c>
      <c r="AT75" s="4"/>
      <c r="AU75" s="4"/>
      <c r="AV75" s="4" t="s">
        <v>304</v>
      </c>
      <c r="AW75" s="4" t="s">
        <v>304</v>
      </c>
      <c r="AX75" s="4" t="str">
        <f>IF(AT75="",AW75,AT75/AU75*AW75)</f>
        <v>-</v>
      </c>
      <c r="AY75" s="19">
        <v>4</v>
      </c>
      <c r="AZ75" s="19">
        <v>8</v>
      </c>
      <c r="BA75" s="16">
        <v>620</v>
      </c>
      <c r="BB75" t="s">
        <v>528</v>
      </c>
      <c r="BC75" t="str">
        <f>IFERROR(BB75*AM75,"-")</f>
        <v>-</v>
      </c>
      <c r="BD75" t="s">
        <v>304</v>
      </c>
      <c r="BE75" t="str">
        <f>IFERROR(BD75*AM75,"-")</f>
        <v>-</v>
      </c>
      <c r="BF75" t="s">
        <v>304</v>
      </c>
    </row>
    <row r="76" spans="1:58" x14ac:dyDescent="0.4">
      <c r="A76" s="3">
        <v>86</v>
      </c>
      <c r="B76" s="3">
        <v>86</v>
      </c>
      <c r="C76" s="4" t="s">
        <v>140</v>
      </c>
      <c r="D76" s="4" t="str">
        <f>TEXT(C76,"000000")</f>
        <v>J500WL</v>
      </c>
      <c r="E76" s="4" t="s">
        <v>140</v>
      </c>
      <c r="F76" s="4" t="str">
        <f>D76&amp;I76</f>
        <v>J500WL5</v>
      </c>
      <c r="G76" s="4" t="s">
        <v>263</v>
      </c>
      <c r="H76" s="5">
        <v>4547345038290</v>
      </c>
      <c r="I76" s="33">
        <v>5</v>
      </c>
      <c r="J76" s="5"/>
      <c r="K76" s="5">
        <v>1</v>
      </c>
      <c r="L76" s="5">
        <v>1</v>
      </c>
      <c r="M76" s="4">
        <v>0</v>
      </c>
      <c r="N76" s="4">
        <v>1190</v>
      </c>
      <c r="O76" s="4">
        <v>892</v>
      </c>
      <c r="P76" s="6">
        <f>IFERROR(1-O76/N76,"-")</f>
        <v>0.25042016806722689</v>
      </c>
      <c r="Q76" s="4" t="s">
        <v>304</v>
      </c>
      <c r="R76" s="4" t="s">
        <v>304</v>
      </c>
      <c r="S76" s="4" t="s">
        <v>304</v>
      </c>
      <c r="T76" s="33">
        <v>0</v>
      </c>
      <c r="U76" s="4">
        <f>IF(X76="",T76,T76*X76)</f>
        <v>0</v>
      </c>
      <c r="V76" s="4">
        <v>1252</v>
      </c>
      <c r="W76" s="4">
        <f>IF(X76="",V76,V76*X76)</f>
        <v>1252</v>
      </c>
      <c r="X76" s="4"/>
      <c r="Y76" s="21">
        <f>ROUND(N76*AM76,0)</f>
        <v>1670</v>
      </c>
      <c r="Z76" s="6">
        <f>IFERROR(1-W76/Y76,"-")</f>
        <v>0.25029940119760474</v>
      </c>
      <c r="AA76" s="33">
        <v>0.5</v>
      </c>
      <c r="AB76" s="4" t="str">
        <f>AX76</f>
        <v>-</v>
      </c>
      <c r="AC76" s="33" t="str">
        <f>IFERROR(AB76*AM76,"-")</f>
        <v>-</v>
      </c>
      <c r="AD76" s="6" t="str">
        <f>IFERROR(1-W76/AC76,"-")</f>
        <v>-</v>
      </c>
      <c r="AE76" s="7">
        <v>1850</v>
      </c>
      <c r="AF76" s="6">
        <f>1-W76/AE76</f>
        <v>0.32324324324324327</v>
      </c>
      <c r="AG76" s="4">
        <f>AE76-W76</f>
        <v>598</v>
      </c>
      <c r="AH76" s="28"/>
      <c r="AI76" s="6"/>
      <c r="AJ76" s="6"/>
      <c r="AK76" s="6" t="str">
        <f>IFERROR(U76/M76,"-")</f>
        <v>-</v>
      </c>
      <c r="AL76" s="6">
        <f>IFERROR(AE76/N76,"-")</f>
        <v>1.5546218487394958</v>
      </c>
      <c r="AM76" s="6">
        <f>IFERROR(W76/O76,"-")</f>
        <v>1.4035874439461884</v>
      </c>
      <c r="AN76" s="6" t="str">
        <f>IFERROR(1-W76/AO76,"-")</f>
        <v>-</v>
      </c>
      <c r="AO76" s="4" t="str">
        <f>IFERROR(ROUND($AE76*Q76/$N76,0),"-")</f>
        <v>-</v>
      </c>
      <c r="AP76" s="4" t="str">
        <f>IF(R76="","-",R76)</f>
        <v>-</v>
      </c>
      <c r="AQ76" s="4" t="str">
        <f>IF(S76="","-",S76)</f>
        <v>-</v>
      </c>
      <c r="AR76" s="4">
        <v>0</v>
      </c>
      <c r="AS76" s="4" t="s">
        <v>304</v>
      </c>
      <c r="AT76" s="4"/>
      <c r="AU76" s="4"/>
      <c r="AV76" s="4" t="s">
        <v>304</v>
      </c>
      <c r="AW76" s="4" t="s">
        <v>304</v>
      </c>
      <c r="AX76" s="4" t="str">
        <f>IF(AT76="",AW76,AT76/AU76*AW76)</f>
        <v>-</v>
      </c>
      <c r="AY76" s="19">
        <v>4</v>
      </c>
      <c r="AZ76" s="19">
        <v>8</v>
      </c>
      <c r="BA76" s="16">
        <v>620</v>
      </c>
      <c r="BB76" t="s">
        <v>528</v>
      </c>
      <c r="BC76" t="str">
        <f>IFERROR(BB76*AM76,"-")</f>
        <v>-</v>
      </c>
      <c r="BD76" t="s">
        <v>304</v>
      </c>
      <c r="BE76" t="str">
        <f>IFERROR(BD76*AM76,"-")</f>
        <v>-</v>
      </c>
      <c r="BF76" t="s">
        <v>304</v>
      </c>
    </row>
    <row r="77" spans="1:58" x14ac:dyDescent="0.4">
      <c r="A77" s="3">
        <v>87</v>
      </c>
      <c r="B77" s="3">
        <v>87</v>
      </c>
      <c r="C77" s="4" t="s">
        <v>141</v>
      </c>
      <c r="D77" s="4" t="str">
        <f>TEXT(C77,"000000")</f>
        <v>J501WL</v>
      </c>
      <c r="E77" s="4" t="s">
        <v>141</v>
      </c>
      <c r="F77" s="4" t="str">
        <f>D77&amp;I77</f>
        <v>J501WL5</v>
      </c>
      <c r="G77" s="4" t="s">
        <v>264</v>
      </c>
      <c r="H77" s="5">
        <v>4547345038306</v>
      </c>
      <c r="I77" s="33">
        <v>5</v>
      </c>
      <c r="J77" s="5"/>
      <c r="K77" s="5">
        <v>1</v>
      </c>
      <c r="L77" s="5">
        <v>1</v>
      </c>
      <c r="M77" s="4">
        <v>0</v>
      </c>
      <c r="N77" s="4">
        <v>1220</v>
      </c>
      <c r="O77" s="4">
        <v>900</v>
      </c>
      <c r="P77" s="6">
        <f>IFERROR(1-O77/N77,"-")</f>
        <v>0.26229508196721307</v>
      </c>
      <c r="Q77" s="4" t="s">
        <v>304</v>
      </c>
      <c r="R77" s="4" t="s">
        <v>304</v>
      </c>
      <c r="S77" s="4" t="s">
        <v>304</v>
      </c>
      <c r="T77" s="33">
        <v>0</v>
      </c>
      <c r="U77" s="4">
        <f>IF(X77="",T77,T77*X77)</f>
        <v>0</v>
      </c>
      <c r="V77" s="4">
        <v>1374</v>
      </c>
      <c r="W77" s="4">
        <f>IF(X77="",V77,V77*X77)</f>
        <v>1374</v>
      </c>
      <c r="X77" s="4"/>
      <c r="Y77" s="21">
        <f>ROUND(N77*AM77,0)</f>
        <v>1863</v>
      </c>
      <c r="Z77" s="6">
        <f>IFERROR(1-W77/Y77,"-")</f>
        <v>0.2624798711755234</v>
      </c>
      <c r="AA77" s="33">
        <v>0.25</v>
      </c>
      <c r="AB77" s="4" t="str">
        <f>AX77</f>
        <v>-</v>
      </c>
      <c r="AC77" s="33" t="str">
        <f>IFERROR(AB77*AM77,"-")</f>
        <v>-</v>
      </c>
      <c r="AD77" s="6" t="str">
        <f>IFERROR(1-W77/AC77,"-")</f>
        <v>-</v>
      </c>
      <c r="AE77" s="7">
        <v>2000</v>
      </c>
      <c r="AF77" s="6">
        <f>1-W77/AE77</f>
        <v>0.31299999999999994</v>
      </c>
      <c r="AG77" s="4">
        <f>AE77-W77</f>
        <v>626</v>
      </c>
      <c r="AH77" s="28"/>
      <c r="AI77" s="6"/>
      <c r="AJ77" s="6"/>
      <c r="AK77" s="6" t="str">
        <f>IFERROR(U77/M77,"-")</f>
        <v>-</v>
      </c>
      <c r="AL77" s="6">
        <f>IFERROR(AE77/N77,"-")</f>
        <v>1.639344262295082</v>
      </c>
      <c r="AM77" s="6">
        <f>IFERROR(W77/O77,"-")</f>
        <v>1.5266666666666666</v>
      </c>
      <c r="AN77" s="6" t="str">
        <f>IFERROR(1-W77/AO77,"-")</f>
        <v>-</v>
      </c>
      <c r="AO77" s="4" t="str">
        <f>IFERROR(ROUND($AE77*Q77/$N77,0),"-")</f>
        <v>-</v>
      </c>
      <c r="AP77" s="4" t="str">
        <f>IF(R77="","-",R77)</f>
        <v>-</v>
      </c>
      <c r="AQ77" s="4" t="str">
        <f>IF(S77="","-",S77)</f>
        <v>-</v>
      </c>
      <c r="AR77" s="4">
        <v>0</v>
      </c>
      <c r="AS77" s="4" t="s">
        <v>304</v>
      </c>
      <c r="AT77" s="4"/>
      <c r="AU77" s="4"/>
      <c r="AV77" s="4" t="s">
        <v>304</v>
      </c>
      <c r="AW77" s="4" t="s">
        <v>304</v>
      </c>
      <c r="AX77" s="4" t="str">
        <f>IF(AT77="",AW77,AT77/AU77*AW77)</f>
        <v>-</v>
      </c>
      <c r="AY77" s="19">
        <v>4</v>
      </c>
      <c r="AZ77" s="19">
        <v>8</v>
      </c>
      <c r="BA77" s="16">
        <v>620</v>
      </c>
      <c r="BB77" t="s">
        <v>528</v>
      </c>
      <c r="BC77" t="str">
        <f>IFERROR(BB77*AM77,"-")</f>
        <v>-</v>
      </c>
      <c r="BD77" t="s">
        <v>304</v>
      </c>
      <c r="BE77" t="str">
        <f>IFERROR(BD77*AM77,"-")</f>
        <v>-</v>
      </c>
      <c r="BF77" t="s">
        <v>304</v>
      </c>
    </row>
    <row r="78" spans="1:58" x14ac:dyDescent="0.4">
      <c r="A78" s="3">
        <v>88</v>
      </c>
      <c r="B78" s="3">
        <v>88</v>
      </c>
      <c r="C78" s="4" t="s">
        <v>142</v>
      </c>
      <c r="D78" s="4" t="str">
        <f>TEXT(C78,"000000")</f>
        <v>J502WL</v>
      </c>
      <c r="E78" s="4" t="s">
        <v>142</v>
      </c>
      <c r="F78" s="4" t="str">
        <f>D78&amp;I78</f>
        <v>J502WL5</v>
      </c>
      <c r="G78" s="4" t="s">
        <v>265</v>
      </c>
      <c r="H78" s="5">
        <v>4547345038313</v>
      </c>
      <c r="I78" s="33">
        <v>5</v>
      </c>
      <c r="J78" s="5"/>
      <c r="K78" s="5">
        <v>1</v>
      </c>
      <c r="L78" s="5">
        <v>1</v>
      </c>
      <c r="M78" s="4">
        <v>0</v>
      </c>
      <c r="N78" s="4">
        <v>1220</v>
      </c>
      <c r="O78" s="4">
        <v>900</v>
      </c>
      <c r="P78" s="6">
        <f>IFERROR(1-O78/N78,"-")</f>
        <v>0.26229508196721307</v>
      </c>
      <c r="Q78" s="4" t="s">
        <v>304</v>
      </c>
      <c r="R78" s="4" t="s">
        <v>304</v>
      </c>
      <c r="S78" s="4" t="s">
        <v>304</v>
      </c>
      <c r="T78" s="33">
        <v>0</v>
      </c>
      <c r="U78" s="4">
        <f>IF(X78="",T78,T78*X78)</f>
        <v>0</v>
      </c>
      <c r="V78" s="4">
        <v>1374</v>
      </c>
      <c r="W78" s="4">
        <f>IF(X78="",V78,V78*X78)</f>
        <v>1374</v>
      </c>
      <c r="X78" s="4"/>
      <c r="Y78" s="21">
        <f>ROUND(N78*AM78,0)</f>
        <v>1863</v>
      </c>
      <c r="Z78" s="6">
        <f>IFERROR(1-W78/Y78,"-")</f>
        <v>0.2624798711755234</v>
      </c>
      <c r="AA78" s="33">
        <v>0</v>
      </c>
      <c r="AB78" s="4" t="str">
        <f>AX78</f>
        <v>-</v>
      </c>
      <c r="AC78" s="33" t="str">
        <f>IFERROR(AB78*AM78,"-")</f>
        <v>-</v>
      </c>
      <c r="AD78" s="6" t="str">
        <f>IFERROR(1-W78/AC78,"-")</f>
        <v>-</v>
      </c>
      <c r="AE78" s="7">
        <v>2000</v>
      </c>
      <c r="AF78" s="6">
        <f>1-W78/AE78</f>
        <v>0.31299999999999994</v>
      </c>
      <c r="AG78" s="4">
        <f>AE78-W78</f>
        <v>626</v>
      </c>
      <c r="AH78" s="28"/>
      <c r="AI78" s="6"/>
      <c r="AJ78" s="6"/>
      <c r="AK78" s="6" t="str">
        <f>IFERROR(U78/M78,"-")</f>
        <v>-</v>
      </c>
      <c r="AL78" s="6">
        <f>IFERROR(AE78/N78,"-")</f>
        <v>1.639344262295082</v>
      </c>
      <c r="AM78" s="6">
        <f>IFERROR(W78/O78,"-")</f>
        <v>1.5266666666666666</v>
      </c>
      <c r="AN78" s="6" t="str">
        <f>IFERROR(1-W78/AO78,"-")</f>
        <v>-</v>
      </c>
      <c r="AO78" s="4" t="str">
        <f>IFERROR(ROUND($AE78*Q78/$N78,0),"-")</f>
        <v>-</v>
      </c>
      <c r="AP78" s="4" t="str">
        <f>IF(R78="","-",R78)</f>
        <v>-</v>
      </c>
      <c r="AQ78" s="4" t="str">
        <f>IF(S78="","-",S78)</f>
        <v>-</v>
      </c>
      <c r="AR78" s="4">
        <v>0</v>
      </c>
      <c r="AS78" s="4" t="s">
        <v>304</v>
      </c>
      <c r="AT78" s="4"/>
      <c r="AU78" s="4"/>
      <c r="AV78" s="4" t="s">
        <v>304</v>
      </c>
      <c r="AW78" s="4" t="s">
        <v>304</v>
      </c>
      <c r="AX78" s="4" t="str">
        <f>IF(AT78="",AW78,AT78/AU78*AW78)</f>
        <v>-</v>
      </c>
      <c r="AY78" s="19">
        <v>4</v>
      </c>
      <c r="AZ78" s="19">
        <v>8</v>
      </c>
      <c r="BA78" s="16">
        <v>620</v>
      </c>
      <c r="BB78" t="s">
        <v>528</v>
      </c>
      <c r="BC78" t="str">
        <f>IFERROR(BB78*AM78,"-")</f>
        <v>-</v>
      </c>
      <c r="BD78" t="s">
        <v>304</v>
      </c>
      <c r="BE78" t="str">
        <f>IFERROR(BD78*AM78,"-")</f>
        <v>-</v>
      </c>
      <c r="BF78" t="s">
        <v>304</v>
      </c>
    </row>
    <row r="79" spans="1:58" x14ac:dyDescent="0.4">
      <c r="A79" s="3">
        <v>89</v>
      </c>
      <c r="B79" s="3">
        <v>89</v>
      </c>
      <c r="C79" s="4" t="s">
        <v>143</v>
      </c>
      <c r="D79" s="4" t="str">
        <f>TEXT(C79,"000000")</f>
        <v>J503WL</v>
      </c>
      <c r="E79" s="4" t="s">
        <v>143</v>
      </c>
      <c r="F79" s="4" t="str">
        <f>D79&amp;I79</f>
        <v>J503WL5</v>
      </c>
      <c r="G79" s="4" t="s">
        <v>266</v>
      </c>
      <c r="H79" s="5">
        <v>4547345038320</v>
      </c>
      <c r="I79" s="33">
        <v>5</v>
      </c>
      <c r="J79" s="5"/>
      <c r="K79" s="5">
        <v>1</v>
      </c>
      <c r="L79" s="5">
        <v>1</v>
      </c>
      <c r="M79" s="4">
        <v>0</v>
      </c>
      <c r="N79" s="4">
        <v>1220</v>
      </c>
      <c r="O79" s="4">
        <v>900</v>
      </c>
      <c r="P79" s="6">
        <f>IFERROR(1-O79/N79,"-")</f>
        <v>0.26229508196721307</v>
      </c>
      <c r="Q79" s="4" t="s">
        <v>304</v>
      </c>
      <c r="R79" s="4" t="s">
        <v>304</v>
      </c>
      <c r="S79" s="4" t="s">
        <v>304</v>
      </c>
      <c r="T79" s="33">
        <v>0</v>
      </c>
      <c r="U79" s="4">
        <f>IF(X79="",T79,T79*X79)</f>
        <v>0</v>
      </c>
      <c r="V79" s="4">
        <v>1374</v>
      </c>
      <c r="W79" s="4">
        <f>IF(X79="",V79,V79*X79)</f>
        <v>1374</v>
      </c>
      <c r="X79" s="4"/>
      <c r="Y79" s="21">
        <f>ROUND(N79*AM79,0)</f>
        <v>1863</v>
      </c>
      <c r="Z79" s="6">
        <f>IFERROR(1-W79/Y79,"-")</f>
        <v>0.2624798711755234</v>
      </c>
      <c r="AA79" s="33">
        <v>0</v>
      </c>
      <c r="AB79" s="4" t="str">
        <f>AX79</f>
        <v>-</v>
      </c>
      <c r="AC79" s="33" t="str">
        <f>IFERROR(AB79*AM79,"-")</f>
        <v>-</v>
      </c>
      <c r="AD79" s="6" t="str">
        <f>IFERROR(1-W79/AC79,"-")</f>
        <v>-</v>
      </c>
      <c r="AE79" s="7">
        <v>2000</v>
      </c>
      <c r="AF79" s="6">
        <f>1-W79/AE79</f>
        <v>0.31299999999999994</v>
      </c>
      <c r="AG79" s="4">
        <f>AE79-W79</f>
        <v>626</v>
      </c>
      <c r="AH79" s="28"/>
      <c r="AI79" s="6"/>
      <c r="AJ79" s="6"/>
      <c r="AK79" s="6" t="str">
        <f>IFERROR(U79/M79,"-")</f>
        <v>-</v>
      </c>
      <c r="AL79" s="6">
        <f>IFERROR(AE79/N79,"-")</f>
        <v>1.639344262295082</v>
      </c>
      <c r="AM79" s="6">
        <f>IFERROR(W79/O79,"-")</f>
        <v>1.5266666666666666</v>
      </c>
      <c r="AN79" s="6" t="str">
        <f>IFERROR(1-W79/AO79,"-")</f>
        <v>-</v>
      </c>
      <c r="AO79" s="4" t="str">
        <f>IFERROR(ROUND($AE79*Q79/$N79,0),"-")</f>
        <v>-</v>
      </c>
      <c r="AP79" s="4" t="str">
        <f>IF(R79="","-",R79)</f>
        <v>-</v>
      </c>
      <c r="AQ79" s="4" t="str">
        <f>IF(S79="","-",S79)</f>
        <v>-</v>
      </c>
      <c r="AR79" s="4">
        <v>0</v>
      </c>
      <c r="AS79" s="4" t="s">
        <v>304</v>
      </c>
      <c r="AT79" s="4"/>
      <c r="AU79" s="4"/>
      <c r="AV79" s="4" t="s">
        <v>304</v>
      </c>
      <c r="AW79" s="4" t="s">
        <v>304</v>
      </c>
      <c r="AX79" s="4" t="str">
        <f>IF(AT79="",AW79,AT79/AU79*AW79)</f>
        <v>-</v>
      </c>
      <c r="AY79" s="19">
        <v>4</v>
      </c>
      <c r="AZ79" s="19">
        <v>8</v>
      </c>
      <c r="BA79" s="16">
        <v>620</v>
      </c>
      <c r="BB79" t="s">
        <v>528</v>
      </c>
      <c r="BC79" t="str">
        <f>IFERROR(BB79*AM79,"-")</f>
        <v>-</v>
      </c>
      <c r="BD79" t="s">
        <v>304</v>
      </c>
      <c r="BE79" t="str">
        <f>IFERROR(BD79*AM79,"-")</f>
        <v>-</v>
      </c>
      <c r="BF79" t="s">
        <v>304</v>
      </c>
    </row>
    <row r="80" spans="1:58" x14ac:dyDescent="0.4">
      <c r="A80" s="3">
        <v>78</v>
      </c>
      <c r="B80" s="3">
        <v>78</v>
      </c>
      <c r="C80" s="4" t="s">
        <v>132</v>
      </c>
      <c r="D80" s="4" t="str">
        <f>TEXT(C80,"000000")</f>
        <v>J493WL</v>
      </c>
      <c r="E80" s="4" t="s">
        <v>132</v>
      </c>
      <c r="F80" s="4" t="str">
        <f>D80&amp;I80</f>
        <v>J493WL5</v>
      </c>
      <c r="G80" s="4" t="s">
        <v>255</v>
      </c>
      <c r="H80" s="5">
        <v>4547345038221</v>
      </c>
      <c r="I80" s="33">
        <v>5</v>
      </c>
      <c r="J80" s="5"/>
      <c r="K80" s="5">
        <v>1</v>
      </c>
      <c r="L80" s="5">
        <v>1</v>
      </c>
      <c r="M80" s="4">
        <v>0</v>
      </c>
      <c r="N80" s="4">
        <v>1190</v>
      </c>
      <c r="O80" s="4">
        <v>976</v>
      </c>
      <c r="P80" s="6">
        <f>IFERROR(1-O80/N80,"-")</f>
        <v>0.17983193277310927</v>
      </c>
      <c r="Q80" s="4" t="s">
        <v>304</v>
      </c>
      <c r="R80" s="4" t="s">
        <v>304</v>
      </c>
      <c r="S80" s="4" t="s">
        <v>304</v>
      </c>
      <c r="T80" s="33">
        <v>0</v>
      </c>
      <c r="U80" s="4">
        <f>IF(X80="",T80,T80*X80)</f>
        <v>0</v>
      </c>
      <c r="V80" s="4">
        <v>1424</v>
      </c>
      <c r="W80" s="4">
        <f>IF(X80="",V80,V80*X80)</f>
        <v>1424</v>
      </c>
      <c r="X80" s="4"/>
      <c r="Y80" s="21">
        <f>ROUND(N80*AM80,0)</f>
        <v>1736</v>
      </c>
      <c r="Z80" s="6">
        <f>IFERROR(1-W80/Y80,"-")</f>
        <v>0.17972350230414746</v>
      </c>
      <c r="AA80" s="33">
        <v>0</v>
      </c>
      <c r="AB80" s="4" t="str">
        <f>AX80</f>
        <v>-</v>
      </c>
      <c r="AC80" s="33" t="str">
        <f>IFERROR(AB80*AM80,"-")</f>
        <v>-</v>
      </c>
      <c r="AD80" s="6" t="str">
        <f>IFERROR(1-W80/AC80,"-")</f>
        <v>-</v>
      </c>
      <c r="AE80" s="7">
        <v>2050</v>
      </c>
      <c r="AF80" s="6">
        <f>1-W80/AE80</f>
        <v>0.30536585365853663</v>
      </c>
      <c r="AG80" s="4">
        <f>AE80-W80</f>
        <v>626</v>
      </c>
      <c r="AH80" s="28"/>
      <c r="AI80" s="6"/>
      <c r="AJ80" s="6"/>
      <c r="AK80" s="6" t="str">
        <f>IFERROR(U80/M80,"-")</f>
        <v>-</v>
      </c>
      <c r="AL80" s="6">
        <f>IFERROR(AE80/N80,"-")</f>
        <v>1.7226890756302522</v>
      </c>
      <c r="AM80" s="6">
        <f>IFERROR(W80/O80,"-")</f>
        <v>1.459016393442623</v>
      </c>
      <c r="AN80" s="6" t="str">
        <f>IFERROR(1-W80/AO80,"-")</f>
        <v>-</v>
      </c>
      <c r="AO80" s="4" t="str">
        <f>IFERROR(ROUND($AE80*Q80/$N80,0),"-")</f>
        <v>-</v>
      </c>
      <c r="AP80" s="4" t="str">
        <f>IF(R80="","-",R80)</f>
        <v>-</v>
      </c>
      <c r="AQ80" s="4" t="str">
        <f>IF(S80="","-",S80)</f>
        <v>-</v>
      </c>
      <c r="AR80" s="4">
        <v>0</v>
      </c>
      <c r="AS80" s="4" t="s">
        <v>304</v>
      </c>
      <c r="AT80" s="4"/>
      <c r="AU80" s="4"/>
      <c r="AV80" s="4" t="s">
        <v>304</v>
      </c>
      <c r="AW80" s="4" t="s">
        <v>304</v>
      </c>
      <c r="AX80" s="4" t="str">
        <f>IF(AT80="",AW80,AT80/AU80*AW80)</f>
        <v>-</v>
      </c>
      <c r="AY80" s="19">
        <v>4</v>
      </c>
      <c r="AZ80" s="19">
        <v>8</v>
      </c>
      <c r="BA80" s="16">
        <v>620</v>
      </c>
      <c r="BB80" t="s">
        <v>528</v>
      </c>
      <c r="BC80" t="str">
        <f>IFERROR(BB80*AM80,"-")</f>
        <v>-</v>
      </c>
      <c r="BD80" t="s">
        <v>304</v>
      </c>
      <c r="BE80" t="str">
        <f>IFERROR(BD80*AM80,"-")</f>
        <v>-</v>
      </c>
      <c r="BF80" t="s">
        <v>304</v>
      </c>
    </row>
    <row r="81" spans="1:58" x14ac:dyDescent="0.4">
      <c r="A81" s="3">
        <v>79</v>
      </c>
      <c r="B81" s="3">
        <v>79</v>
      </c>
      <c r="C81" s="4" t="s">
        <v>133</v>
      </c>
      <c r="D81" s="4" t="str">
        <f>TEXT(C81,"000000")</f>
        <v>J494WL</v>
      </c>
      <c r="E81" s="4" t="s">
        <v>133</v>
      </c>
      <c r="F81" s="4" t="str">
        <f>D81&amp;I81</f>
        <v>J494WL5</v>
      </c>
      <c r="G81" s="4" t="s">
        <v>256</v>
      </c>
      <c r="H81" s="5">
        <v>4547345038238</v>
      </c>
      <c r="I81" s="33">
        <v>5</v>
      </c>
      <c r="J81" s="5"/>
      <c r="K81" s="5">
        <v>1</v>
      </c>
      <c r="L81" s="5">
        <v>1</v>
      </c>
      <c r="M81" s="4">
        <v>0</v>
      </c>
      <c r="N81" s="4">
        <v>1190</v>
      </c>
      <c r="O81" s="4">
        <v>976</v>
      </c>
      <c r="P81" s="6">
        <f>IFERROR(1-O81/N81,"-")</f>
        <v>0.17983193277310927</v>
      </c>
      <c r="Q81" s="4" t="s">
        <v>304</v>
      </c>
      <c r="R81" s="4" t="s">
        <v>304</v>
      </c>
      <c r="S81" s="4" t="s">
        <v>304</v>
      </c>
      <c r="T81" s="33">
        <v>0</v>
      </c>
      <c r="U81" s="4">
        <f>IF(X81="",T81,T81*X81)</f>
        <v>0</v>
      </c>
      <c r="V81" s="4">
        <v>1424</v>
      </c>
      <c r="W81" s="4">
        <f>IF(X81="",V81,V81*X81)</f>
        <v>1424</v>
      </c>
      <c r="X81" s="4"/>
      <c r="Y81" s="21">
        <f>ROUND(N81*AM81,0)</f>
        <v>1736</v>
      </c>
      <c r="Z81" s="6">
        <f>IFERROR(1-W81/Y81,"-")</f>
        <v>0.17972350230414746</v>
      </c>
      <c r="AA81" s="33">
        <v>0</v>
      </c>
      <c r="AB81" s="4" t="str">
        <f>AX81</f>
        <v>-</v>
      </c>
      <c r="AC81" s="33" t="str">
        <f>IFERROR(AB81*AM81,"-")</f>
        <v>-</v>
      </c>
      <c r="AD81" s="6" t="str">
        <f>IFERROR(1-W81/AC81,"-")</f>
        <v>-</v>
      </c>
      <c r="AE81" s="7">
        <v>2050</v>
      </c>
      <c r="AF81" s="6">
        <f>1-W81/AE81</f>
        <v>0.30536585365853663</v>
      </c>
      <c r="AG81" s="4">
        <f>AE81-W81</f>
        <v>626</v>
      </c>
      <c r="AH81" s="28"/>
      <c r="AI81" s="6"/>
      <c r="AJ81" s="6"/>
      <c r="AK81" s="6" t="str">
        <f>IFERROR(U81/M81,"-")</f>
        <v>-</v>
      </c>
      <c r="AL81" s="6">
        <f>IFERROR(AE81/N81,"-")</f>
        <v>1.7226890756302522</v>
      </c>
      <c r="AM81" s="6">
        <f>IFERROR(W81/O81,"-")</f>
        <v>1.459016393442623</v>
      </c>
      <c r="AN81" s="6" t="str">
        <f>IFERROR(1-W81/AO81,"-")</f>
        <v>-</v>
      </c>
      <c r="AO81" s="4" t="str">
        <f>IFERROR(ROUND($AE81*Q81/$N81,0),"-")</f>
        <v>-</v>
      </c>
      <c r="AP81" s="4" t="str">
        <f>IF(R81="","-",R81)</f>
        <v>-</v>
      </c>
      <c r="AQ81" s="4" t="str">
        <f>IF(S81="","-",S81)</f>
        <v>-</v>
      </c>
      <c r="AR81" s="4">
        <v>0</v>
      </c>
      <c r="AS81" s="4" t="s">
        <v>304</v>
      </c>
      <c r="AT81" s="4"/>
      <c r="AU81" s="4"/>
      <c r="AV81" s="4" t="s">
        <v>304</v>
      </c>
      <c r="AW81" s="4" t="s">
        <v>304</v>
      </c>
      <c r="AX81" s="4" t="str">
        <f>IF(AT81="",AW81,AT81/AU81*AW81)</f>
        <v>-</v>
      </c>
      <c r="AY81" s="19">
        <v>4</v>
      </c>
      <c r="AZ81" s="19">
        <v>8</v>
      </c>
      <c r="BA81" s="16">
        <v>620</v>
      </c>
      <c r="BB81" t="s">
        <v>528</v>
      </c>
      <c r="BC81" t="str">
        <f>IFERROR(BB81*AM81,"-")</f>
        <v>-</v>
      </c>
      <c r="BD81" t="s">
        <v>304</v>
      </c>
      <c r="BE81" t="str">
        <f>IFERROR(BD81*AM81,"-")</f>
        <v>-</v>
      </c>
      <c r="BF81" t="s">
        <v>304</v>
      </c>
    </row>
    <row r="82" spans="1:58" x14ac:dyDescent="0.4">
      <c r="A82" s="3">
        <v>85</v>
      </c>
      <c r="B82" s="3">
        <v>85</v>
      </c>
      <c r="C82" s="4" t="s">
        <v>139</v>
      </c>
      <c r="D82" s="4" t="str">
        <f>TEXT(C82,"000000")</f>
        <v>J498WL</v>
      </c>
      <c r="E82" s="4" t="s">
        <v>139</v>
      </c>
      <c r="F82" s="4" t="str">
        <f>D82&amp;I82</f>
        <v>J498WL5</v>
      </c>
      <c r="G82" s="4" t="s">
        <v>262</v>
      </c>
      <c r="H82" s="5">
        <v>4547345038276</v>
      </c>
      <c r="I82" s="33">
        <v>5</v>
      </c>
      <c r="J82" s="5"/>
      <c r="K82" s="5">
        <v>1</v>
      </c>
      <c r="L82" s="5">
        <v>1</v>
      </c>
      <c r="M82" s="4">
        <v>0</v>
      </c>
      <c r="N82" s="4">
        <v>1190</v>
      </c>
      <c r="O82" s="4">
        <v>976</v>
      </c>
      <c r="P82" s="6">
        <f>IFERROR(1-O82/N82,"-")</f>
        <v>0.17983193277310927</v>
      </c>
      <c r="Q82" s="4" t="s">
        <v>304</v>
      </c>
      <c r="R82" s="4" t="s">
        <v>304</v>
      </c>
      <c r="S82" s="4" t="s">
        <v>304</v>
      </c>
      <c r="T82" s="33">
        <v>0</v>
      </c>
      <c r="U82" s="4">
        <f>IF(X82="",T82,T82*X82)</f>
        <v>0</v>
      </c>
      <c r="V82" s="4">
        <v>1424</v>
      </c>
      <c r="W82" s="4">
        <f>IF(X82="",V82,V82*X82)</f>
        <v>1424</v>
      </c>
      <c r="X82" s="4"/>
      <c r="Y82" s="21">
        <f>ROUND(N82*AM82,0)</f>
        <v>1736</v>
      </c>
      <c r="Z82" s="6">
        <f>IFERROR(1-W82/Y82,"-")</f>
        <v>0.17972350230414746</v>
      </c>
      <c r="AA82" s="33">
        <v>0</v>
      </c>
      <c r="AB82" s="4" t="str">
        <f>AX82</f>
        <v>-</v>
      </c>
      <c r="AC82" s="33" t="str">
        <f>IFERROR(AB82*AM82,"-")</f>
        <v>-</v>
      </c>
      <c r="AD82" s="6" t="str">
        <f>IFERROR(1-W82/AC82,"-")</f>
        <v>-</v>
      </c>
      <c r="AE82" s="7">
        <v>2050</v>
      </c>
      <c r="AF82" s="6">
        <f>1-W82/AE82</f>
        <v>0.30536585365853663</v>
      </c>
      <c r="AG82" s="4">
        <f>AE82-W82</f>
        <v>626</v>
      </c>
      <c r="AH82" s="28"/>
      <c r="AI82" s="6"/>
      <c r="AJ82" s="6"/>
      <c r="AK82" s="6" t="str">
        <f>IFERROR(U82/M82,"-")</f>
        <v>-</v>
      </c>
      <c r="AL82" s="6">
        <f>IFERROR(AE82/N82,"-")</f>
        <v>1.7226890756302522</v>
      </c>
      <c r="AM82" s="6">
        <f>IFERROR(W82/O82,"-")</f>
        <v>1.459016393442623</v>
      </c>
      <c r="AN82" s="6" t="str">
        <f>IFERROR(1-W82/AO82,"-")</f>
        <v>-</v>
      </c>
      <c r="AO82" s="4" t="str">
        <f>IFERROR(ROUND($AE82*Q82/$N82,0),"-")</f>
        <v>-</v>
      </c>
      <c r="AP82" s="4" t="str">
        <f>IF(R82="","-",R82)</f>
        <v>-</v>
      </c>
      <c r="AQ82" s="4" t="str">
        <f>IF(S82="","-",S82)</f>
        <v>-</v>
      </c>
      <c r="AR82" s="4">
        <v>0</v>
      </c>
      <c r="AS82" s="4" t="s">
        <v>304</v>
      </c>
      <c r="AT82" s="4"/>
      <c r="AU82" s="4"/>
      <c r="AV82" s="4" t="s">
        <v>304</v>
      </c>
      <c r="AW82" s="4" t="s">
        <v>304</v>
      </c>
      <c r="AX82" s="4" t="str">
        <f>IF(AT82="",AW82,AT82/AU82*AW82)</f>
        <v>-</v>
      </c>
      <c r="AY82" s="19">
        <v>4</v>
      </c>
      <c r="AZ82" s="19">
        <v>8</v>
      </c>
      <c r="BA82" s="16">
        <v>620</v>
      </c>
      <c r="BB82" t="s">
        <v>528</v>
      </c>
      <c r="BC82" t="str">
        <f>IFERROR(BB82*AM82,"-")</f>
        <v>-</v>
      </c>
      <c r="BD82" t="s">
        <v>304</v>
      </c>
      <c r="BE82" t="str">
        <f>IFERROR(BD82*AM82,"-")</f>
        <v>-</v>
      </c>
      <c r="BF82" t="s">
        <v>304</v>
      </c>
    </row>
    <row r="83" spans="1:58" x14ac:dyDescent="0.4">
      <c r="A83" s="3">
        <v>49</v>
      </c>
      <c r="B83" s="3">
        <v>49</v>
      </c>
      <c r="C83" s="4" t="s">
        <v>103</v>
      </c>
      <c r="D83" s="4" t="str">
        <f>TEXT(C83,"000000")</f>
        <v>J42877</v>
      </c>
      <c r="E83" s="4" t="s">
        <v>103</v>
      </c>
      <c r="F83" s="4" t="str">
        <f>D83&amp;I83</f>
        <v>J428775</v>
      </c>
      <c r="G83" s="4" t="s">
        <v>226</v>
      </c>
      <c r="H83" s="5">
        <v>4547345031260</v>
      </c>
      <c r="I83" s="33">
        <v>5</v>
      </c>
      <c r="J83" s="5"/>
      <c r="K83" s="5">
        <v>1</v>
      </c>
      <c r="L83" s="5">
        <v>1</v>
      </c>
      <c r="M83" s="4">
        <v>0</v>
      </c>
      <c r="N83" s="4">
        <v>3872</v>
      </c>
      <c r="O83" s="4">
        <v>2593</v>
      </c>
      <c r="P83" s="6">
        <f>IFERROR(1-O83/N83,"-")</f>
        <v>0.33032024793388426</v>
      </c>
      <c r="Q83" s="4" t="s">
        <v>304</v>
      </c>
      <c r="R83" s="4" t="s">
        <v>304</v>
      </c>
      <c r="S83" s="4" t="s">
        <v>304</v>
      </c>
      <c r="T83" s="33">
        <v>0</v>
      </c>
      <c r="U83" s="4">
        <f>IF(X83="",T83,T83*X83)</f>
        <v>0</v>
      </c>
      <c r="V83" s="4">
        <v>2815</v>
      </c>
      <c r="W83" s="4">
        <f>IF(X83="",V83,V83*X83)</f>
        <v>2815</v>
      </c>
      <c r="X83" s="4"/>
      <c r="Y83" s="21">
        <f>ROUND(N83*AM83,0)</f>
        <v>4204</v>
      </c>
      <c r="Z83" s="6">
        <f>IFERROR(1-W83/Y83,"-")</f>
        <v>0.33039961941008567</v>
      </c>
      <c r="AA83" s="33">
        <v>1</v>
      </c>
      <c r="AB83" s="4">
        <f>AX83</f>
        <v>3764</v>
      </c>
      <c r="AC83" s="33">
        <f>IFERROR(AB83*AM83,"-")</f>
        <v>4086.2553027381414</v>
      </c>
      <c r="AD83" s="6">
        <f>IFERROR(1-W83/AC83,"-")</f>
        <v>0.31110520722635493</v>
      </c>
      <c r="AE83" s="7">
        <v>4079</v>
      </c>
      <c r="AF83" s="6">
        <f>1-W83/AE83</f>
        <v>0.30987987251777394</v>
      </c>
      <c r="AG83" s="4">
        <f>AE83-W83</f>
        <v>1264</v>
      </c>
      <c r="AH83" s="28"/>
      <c r="AI83" s="6"/>
      <c r="AJ83" s="6"/>
      <c r="AK83" s="6" t="str">
        <f>IFERROR(U83/M83,"-")</f>
        <v>-</v>
      </c>
      <c r="AL83" s="6">
        <f>IFERROR(AE83/N83,"-")</f>
        <v>1.053460743801653</v>
      </c>
      <c r="AM83" s="6">
        <f>IFERROR(W83/O83,"-")</f>
        <v>1.0856151176243733</v>
      </c>
      <c r="AN83" s="6" t="str">
        <f>IFERROR(1-W83/AO83,"-")</f>
        <v>-</v>
      </c>
      <c r="AO83" s="4" t="str">
        <f>IFERROR(ROUND($AE83*Q83/$N83,0),"-")</f>
        <v>-</v>
      </c>
      <c r="AP83" s="4" t="str">
        <f>IF(R83="","-",R83)</f>
        <v>-</v>
      </c>
      <c r="AQ83" s="4" t="str">
        <f>IF(S83="","-",S83)</f>
        <v>-</v>
      </c>
      <c r="AR83" s="4">
        <v>0</v>
      </c>
      <c r="AS83" s="4" t="s">
        <v>458</v>
      </c>
      <c r="AT83" s="4">
        <v>1</v>
      </c>
      <c r="AU83" s="4">
        <v>3</v>
      </c>
      <c r="AV83" s="4" t="s">
        <v>459</v>
      </c>
      <c r="AW83" s="4">
        <v>11292</v>
      </c>
      <c r="AX83" s="4">
        <f>IF(AT83="",AW83,AT83/AU83*AW83)</f>
        <v>3764</v>
      </c>
      <c r="AY83" s="19">
        <v>4</v>
      </c>
      <c r="AZ83" s="19">
        <v>1</v>
      </c>
      <c r="BA83" s="16">
        <v>620</v>
      </c>
      <c r="BB83" t="s">
        <v>528</v>
      </c>
      <c r="BC83" t="str">
        <f>IFERROR(BB83*AM83,"-")</f>
        <v>-</v>
      </c>
      <c r="BD83">
        <v>3758</v>
      </c>
      <c r="BE83">
        <f>IFERROR(BD83*AM83,"-")</f>
        <v>4079.7416120323951</v>
      </c>
      <c r="BF83" t="s">
        <v>349</v>
      </c>
    </row>
    <row r="84" spans="1:58" x14ac:dyDescent="0.4">
      <c r="A84" s="3">
        <v>17</v>
      </c>
      <c r="B84" s="3">
        <v>17</v>
      </c>
      <c r="C84" s="4" t="s">
        <v>71</v>
      </c>
      <c r="D84" s="4" t="str">
        <f>TEXT(C84,"000000")</f>
        <v>J401WE</v>
      </c>
      <c r="E84" s="4" t="s">
        <v>71</v>
      </c>
      <c r="F84" s="4" t="str">
        <f>D84&amp;I84</f>
        <v>J401WE5</v>
      </c>
      <c r="G84" s="4" t="s">
        <v>194</v>
      </c>
      <c r="H84" s="5">
        <v>4547345058014</v>
      </c>
      <c r="I84" s="33">
        <v>5</v>
      </c>
      <c r="J84" s="5"/>
      <c r="K84" s="5">
        <v>1</v>
      </c>
      <c r="L84" s="5">
        <v>1</v>
      </c>
      <c r="M84" s="4">
        <v>0</v>
      </c>
      <c r="N84" s="4">
        <v>1200</v>
      </c>
      <c r="O84" s="4">
        <v>898</v>
      </c>
      <c r="P84" s="6">
        <f>IFERROR(1-O84/N84,"-")</f>
        <v>0.25166666666666671</v>
      </c>
      <c r="Q84" s="4" t="s">
        <v>304</v>
      </c>
      <c r="R84" s="4" t="s">
        <v>304</v>
      </c>
      <c r="S84" s="4" t="s">
        <v>304</v>
      </c>
      <c r="T84" s="33">
        <v>0</v>
      </c>
      <c r="U84" s="4">
        <f>IF(X84="",T84,T84*X84)</f>
        <v>0</v>
      </c>
      <c r="V84" s="4">
        <v>988</v>
      </c>
      <c r="W84" s="4">
        <f>IF(X84="",V84,V84*X84)</f>
        <v>988</v>
      </c>
      <c r="X84" s="4"/>
      <c r="Y84" s="21">
        <f>ROUND(N84*AM84,0)</f>
        <v>1320</v>
      </c>
      <c r="Z84" s="6">
        <f>IFERROR(1-W84/Y84,"-")</f>
        <v>0.25151515151515147</v>
      </c>
      <c r="AA84" s="33">
        <v>0</v>
      </c>
      <c r="AB84" s="4">
        <f>AX84</f>
        <v>1201</v>
      </c>
      <c r="AC84" s="33">
        <f>IFERROR(AB84*AM84,"-")</f>
        <v>1321.3674832962138</v>
      </c>
      <c r="AD84" s="6">
        <f>IFERROR(1-W84/AC84,"-")</f>
        <v>0.25228975853455449</v>
      </c>
      <c r="AE84" s="7">
        <v>1320</v>
      </c>
      <c r="AF84" s="6">
        <f>1-W84/AE84</f>
        <v>0.25151515151515147</v>
      </c>
      <c r="AG84" s="4">
        <f>AE84-W84</f>
        <v>332</v>
      </c>
      <c r="AH84" s="28"/>
      <c r="AI84" s="6"/>
      <c r="AJ84" s="6"/>
      <c r="AK84" s="6" t="str">
        <f>IFERROR(U84/M84,"-")</f>
        <v>-</v>
      </c>
      <c r="AL84" s="6">
        <f>IFERROR(AE84/N84,"-")</f>
        <v>1.1000000000000001</v>
      </c>
      <c r="AM84" s="6">
        <f>IFERROR(W84/O84,"-")</f>
        <v>1.1002227171492205</v>
      </c>
      <c r="AN84" s="6" t="str">
        <f>IFERROR(1-W84/AO84,"-")</f>
        <v>-</v>
      </c>
      <c r="AO84" s="4" t="str">
        <f>IFERROR(ROUND($AE84*Q84/$N84,0),"-")</f>
        <v>-</v>
      </c>
      <c r="AP84" s="4" t="str">
        <f>IF(R84="","-",R84)</f>
        <v>-</v>
      </c>
      <c r="AQ84" s="4" t="str">
        <f>IF(S84="","-",S84)</f>
        <v>-</v>
      </c>
      <c r="AR84" s="4">
        <v>0</v>
      </c>
      <c r="AS84" s="4" t="s">
        <v>422</v>
      </c>
      <c r="AT84" s="4">
        <v>1</v>
      </c>
      <c r="AU84" s="4">
        <v>5</v>
      </c>
      <c r="AV84" s="4" t="s">
        <v>423</v>
      </c>
      <c r="AW84" s="4">
        <v>6005</v>
      </c>
      <c r="AX84" s="4">
        <f>IF(AT84="",AW84,AT84/AU84*AW84)</f>
        <v>1201</v>
      </c>
      <c r="AY84" s="19">
        <v>4</v>
      </c>
      <c r="AZ84" s="19">
        <v>8</v>
      </c>
      <c r="BA84" s="16">
        <v>690</v>
      </c>
      <c r="BB84" t="s">
        <v>528</v>
      </c>
      <c r="BC84" t="str">
        <f>IFERROR(BB84*AM84,"-")</f>
        <v>-</v>
      </c>
      <c r="BD84" t="s">
        <v>304</v>
      </c>
      <c r="BE84" t="str">
        <f>IFERROR(BD84*AM84,"-")</f>
        <v>-</v>
      </c>
      <c r="BF84" t="s">
        <v>318</v>
      </c>
    </row>
    <row r="85" spans="1:58" x14ac:dyDescent="0.4">
      <c r="A85" s="3">
        <v>36</v>
      </c>
      <c r="B85" s="3">
        <v>36</v>
      </c>
      <c r="C85" s="4" t="s">
        <v>90</v>
      </c>
      <c r="D85" s="4" t="str">
        <f>TEXT(C85,"000000")</f>
        <v>J42147</v>
      </c>
      <c r="E85" s="4" t="s">
        <v>90</v>
      </c>
      <c r="F85" s="4" t="str">
        <f>D85&amp;I85</f>
        <v>J421475</v>
      </c>
      <c r="G85" s="4" t="s">
        <v>213</v>
      </c>
      <c r="H85" s="5">
        <v>4547345018650</v>
      </c>
      <c r="I85" s="33">
        <v>5</v>
      </c>
      <c r="J85" s="5"/>
      <c r="K85" s="5">
        <v>1</v>
      </c>
      <c r="L85" s="5">
        <v>1</v>
      </c>
      <c r="M85" s="4">
        <v>0</v>
      </c>
      <c r="N85" s="4">
        <v>347</v>
      </c>
      <c r="O85" s="4">
        <v>273</v>
      </c>
      <c r="P85" s="6">
        <f>IFERROR(1-O85/N85,"-")</f>
        <v>0.21325648414985587</v>
      </c>
      <c r="Q85" s="4" t="s">
        <v>304</v>
      </c>
      <c r="R85" s="4" t="s">
        <v>304</v>
      </c>
      <c r="S85" s="4" t="s">
        <v>304</v>
      </c>
      <c r="T85" s="33">
        <v>0</v>
      </c>
      <c r="U85" s="4">
        <f>IF(X85="",T85,T85*X85)</f>
        <v>0</v>
      </c>
      <c r="V85" s="4">
        <v>300</v>
      </c>
      <c r="W85" s="4">
        <f>IF(X85="",V85,V85*X85)</f>
        <v>300</v>
      </c>
      <c r="X85" s="4"/>
      <c r="Y85" s="21">
        <f>ROUND(N85*AM85,0)</f>
        <v>381</v>
      </c>
      <c r="Z85" s="6">
        <f>IFERROR(1-W85/Y85,"-")</f>
        <v>0.21259842519685035</v>
      </c>
      <c r="AA85" s="33">
        <v>0</v>
      </c>
      <c r="AB85" s="4">
        <f>AX85</f>
        <v>400</v>
      </c>
      <c r="AC85" s="33">
        <f>IFERROR(AB85*AM85,"-")</f>
        <v>439.56043956043959</v>
      </c>
      <c r="AD85" s="6">
        <f>IFERROR(1-W85/AC85,"-")</f>
        <v>0.3175</v>
      </c>
      <c r="AE85" s="7">
        <v>435</v>
      </c>
      <c r="AF85" s="6">
        <f>1-W85/AE85</f>
        <v>0.31034482758620685</v>
      </c>
      <c r="AG85" s="4">
        <f>AE85-W85</f>
        <v>135</v>
      </c>
      <c r="AH85" s="28"/>
      <c r="AI85" s="6"/>
      <c r="AJ85" s="6"/>
      <c r="AK85" s="6" t="str">
        <f>IFERROR(U85/M85,"-")</f>
        <v>-</v>
      </c>
      <c r="AL85" s="6">
        <f>IFERROR(AE85/N85,"-")</f>
        <v>1.2536023054755043</v>
      </c>
      <c r="AM85" s="6">
        <f>IFERROR(W85/O85,"-")</f>
        <v>1.098901098901099</v>
      </c>
      <c r="AN85" s="6" t="str">
        <f>IFERROR(1-W85/AO85,"-")</f>
        <v>-</v>
      </c>
      <c r="AO85" s="4" t="str">
        <f>IFERROR(ROUND($AE85*Q85/$N85,0),"-")</f>
        <v>-</v>
      </c>
      <c r="AP85" s="4" t="str">
        <f>IF(R85="","-",R85)</f>
        <v>-</v>
      </c>
      <c r="AQ85" s="4" t="str">
        <f>IF(S85="","-",S85)</f>
        <v>-</v>
      </c>
      <c r="AR85" s="4">
        <v>0</v>
      </c>
      <c r="AS85" s="4" t="s">
        <v>445</v>
      </c>
      <c r="AT85" s="4">
        <v>1</v>
      </c>
      <c r="AU85" s="4">
        <v>20</v>
      </c>
      <c r="AV85" s="4" t="s">
        <v>444</v>
      </c>
      <c r="AW85" s="4">
        <v>8000</v>
      </c>
      <c r="AX85" s="4">
        <f>IF(AT85="",AW85,AT85/AU85*AW85)</f>
        <v>400</v>
      </c>
      <c r="AY85" s="19">
        <v>4</v>
      </c>
      <c r="AZ85" s="19">
        <v>8</v>
      </c>
      <c r="BA85" s="16">
        <v>1120</v>
      </c>
      <c r="BB85" t="s">
        <v>528</v>
      </c>
      <c r="BC85" t="str">
        <f>IFERROR(BB85*AM85,"-")</f>
        <v>-</v>
      </c>
      <c r="BD85">
        <v>396</v>
      </c>
      <c r="BE85">
        <f>IFERROR(BD85*AM85,"-")</f>
        <v>435.16483516483521</v>
      </c>
      <c r="BF85" t="s">
        <v>336</v>
      </c>
    </row>
    <row r="86" spans="1:58" x14ac:dyDescent="0.4">
      <c r="A86" s="3">
        <v>34</v>
      </c>
      <c r="B86" s="3">
        <v>34</v>
      </c>
      <c r="C86" s="4" t="s">
        <v>88</v>
      </c>
      <c r="D86" s="4" t="str">
        <f>TEXT(C86,"000000")</f>
        <v>J42145</v>
      </c>
      <c r="E86" s="4" t="s">
        <v>88</v>
      </c>
      <c r="F86" s="4" t="str">
        <f>D86&amp;I86</f>
        <v>J421455</v>
      </c>
      <c r="G86" s="4" t="s">
        <v>211</v>
      </c>
      <c r="H86" s="5">
        <v>4547345002451</v>
      </c>
      <c r="I86" s="33">
        <v>5</v>
      </c>
      <c r="J86" s="5"/>
      <c r="K86" s="5">
        <v>1</v>
      </c>
      <c r="L86" s="5">
        <v>1</v>
      </c>
      <c r="M86" s="4">
        <v>0</v>
      </c>
      <c r="N86" s="4">
        <v>492</v>
      </c>
      <c r="O86" s="4">
        <v>328</v>
      </c>
      <c r="P86" s="6">
        <f>IFERROR(1-O86/N86,"-")</f>
        <v>0.33333333333333337</v>
      </c>
      <c r="Q86" s="4" t="s">
        <v>304</v>
      </c>
      <c r="R86" s="4" t="s">
        <v>304</v>
      </c>
      <c r="S86" s="4" t="s">
        <v>304</v>
      </c>
      <c r="T86" s="33">
        <v>0</v>
      </c>
      <c r="U86" s="4">
        <f>IF(X86="",T86,T86*X86)</f>
        <v>0</v>
      </c>
      <c r="V86" s="4">
        <v>349</v>
      </c>
      <c r="W86" s="4">
        <f>IF(X86="",V86,V86*X86)</f>
        <v>349</v>
      </c>
      <c r="X86" s="4"/>
      <c r="Y86" s="21">
        <f>ROUND(N86*AM86,0)</f>
        <v>524</v>
      </c>
      <c r="Z86" s="6">
        <f>IFERROR(1-W86/Y86,"-")</f>
        <v>0.33396946564885499</v>
      </c>
      <c r="AA86" s="33">
        <v>0.5</v>
      </c>
      <c r="AB86" s="4" t="str">
        <f>AX86</f>
        <v>-</v>
      </c>
      <c r="AC86" s="33" t="str">
        <f>IFERROR(AB86*AM86,"-")</f>
        <v>-</v>
      </c>
      <c r="AD86" s="6" t="str">
        <f>IFERROR(1-W86/AC86,"-")</f>
        <v>-</v>
      </c>
      <c r="AE86" s="7">
        <v>508</v>
      </c>
      <c r="AF86" s="6">
        <f>1-W86/AE86</f>
        <v>0.31299212598425197</v>
      </c>
      <c r="AG86" s="4">
        <f>AE86-W86</f>
        <v>159</v>
      </c>
      <c r="AH86" s="28"/>
      <c r="AI86" s="6"/>
      <c r="AJ86" s="6"/>
      <c r="AK86" s="6" t="str">
        <f>IFERROR(U86/M86,"-")</f>
        <v>-</v>
      </c>
      <c r="AL86" s="6">
        <f>IFERROR(AE86/N86,"-")</f>
        <v>1.032520325203252</v>
      </c>
      <c r="AM86" s="6">
        <f>IFERROR(W86/O86,"-")</f>
        <v>1.0640243902439024</v>
      </c>
      <c r="AN86" s="6" t="str">
        <f>IFERROR(1-W86/AO86,"-")</f>
        <v>-</v>
      </c>
      <c r="AO86" s="4" t="str">
        <f>IFERROR(ROUND($AE86*Q86/$N86,0),"-")</f>
        <v>-</v>
      </c>
      <c r="AP86" s="4" t="str">
        <f>IF(R86="","-",R86)</f>
        <v>-</v>
      </c>
      <c r="AQ86" s="4" t="str">
        <f>IF(S86="","-",S86)</f>
        <v>-</v>
      </c>
      <c r="AR86" s="4">
        <v>0</v>
      </c>
      <c r="AS86" s="4" t="s">
        <v>304</v>
      </c>
      <c r="AT86" s="4"/>
      <c r="AU86" s="4"/>
      <c r="AV86" s="4" t="s">
        <v>304</v>
      </c>
      <c r="AW86" s="4" t="s">
        <v>304</v>
      </c>
      <c r="AX86" s="4" t="str">
        <f>IF(AT86="",AW86,AT86/AU86*AW86)</f>
        <v>-</v>
      </c>
      <c r="AY86" s="19">
        <v>4</v>
      </c>
      <c r="AZ86" s="19">
        <v>8</v>
      </c>
      <c r="BA86" s="16">
        <v>1120</v>
      </c>
      <c r="BB86" t="s">
        <v>528</v>
      </c>
      <c r="BC86" t="str">
        <f>IFERROR(BB86*AM86,"-")</f>
        <v>-</v>
      </c>
      <c r="BD86">
        <v>478</v>
      </c>
      <c r="BE86">
        <f>IFERROR(BD86*AM86,"-")</f>
        <v>508.60365853658533</v>
      </c>
      <c r="BF86" t="s">
        <v>304</v>
      </c>
    </row>
    <row r="87" spans="1:58" x14ac:dyDescent="0.4">
      <c r="A87" s="3">
        <v>35</v>
      </c>
      <c r="B87" s="3">
        <v>35</v>
      </c>
      <c r="C87" s="4" t="s">
        <v>89</v>
      </c>
      <c r="D87" s="4" t="str">
        <f>TEXT(C87,"000000")</f>
        <v>J42146</v>
      </c>
      <c r="E87" s="4" t="s">
        <v>89</v>
      </c>
      <c r="F87" s="4" t="str">
        <f>D87&amp;I87</f>
        <v>J421465</v>
      </c>
      <c r="G87" s="4" t="s">
        <v>212</v>
      </c>
      <c r="H87" s="5">
        <v>4547345018612</v>
      </c>
      <c r="I87" s="33">
        <v>5</v>
      </c>
      <c r="J87" s="5"/>
      <c r="K87" s="5">
        <v>1</v>
      </c>
      <c r="L87" s="5">
        <v>1</v>
      </c>
      <c r="M87" s="4">
        <v>0</v>
      </c>
      <c r="N87" s="4">
        <v>506</v>
      </c>
      <c r="O87" s="4">
        <v>337</v>
      </c>
      <c r="P87" s="6">
        <f>IFERROR(1-O87/N87,"-")</f>
        <v>0.33399209486166004</v>
      </c>
      <c r="Q87" s="4" t="s">
        <v>304</v>
      </c>
      <c r="R87" s="4" t="s">
        <v>304</v>
      </c>
      <c r="S87" s="4" t="s">
        <v>304</v>
      </c>
      <c r="T87" s="33">
        <v>0</v>
      </c>
      <c r="U87" s="4">
        <f>IF(X87="",T87,T87*X87)</f>
        <v>0</v>
      </c>
      <c r="V87" s="4">
        <v>375</v>
      </c>
      <c r="W87" s="4">
        <f>IF(X87="",V87,V87*X87)</f>
        <v>375</v>
      </c>
      <c r="X87" s="4"/>
      <c r="Y87" s="21">
        <f>ROUND(N87*AM87,0)</f>
        <v>563</v>
      </c>
      <c r="Z87" s="6">
        <f>IFERROR(1-W87/Y87,"-")</f>
        <v>0.3339253996447602</v>
      </c>
      <c r="AA87" s="33">
        <v>0.25</v>
      </c>
      <c r="AB87" s="4">
        <f>AX87</f>
        <v>493</v>
      </c>
      <c r="AC87" s="33">
        <f>IFERROR(AB87*AM87,"-")</f>
        <v>548.59050445103856</v>
      </c>
      <c r="AD87" s="6">
        <f>IFERROR(1-W87/AC87,"-")</f>
        <v>0.3164300202839756</v>
      </c>
      <c r="AE87" s="7">
        <v>546</v>
      </c>
      <c r="AF87" s="6">
        <f>1-W87/AE87</f>
        <v>0.31318681318681318</v>
      </c>
      <c r="AG87" s="4">
        <f>AE87-W87</f>
        <v>171</v>
      </c>
      <c r="AH87" s="28"/>
      <c r="AI87" s="6"/>
      <c r="AJ87" s="6"/>
      <c r="AK87" s="6" t="str">
        <f>IFERROR(U87/M87,"-")</f>
        <v>-</v>
      </c>
      <c r="AL87" s="6">
        <f>IFERROR(AE87/N87,"-")</f>
        <v>1.0790513833992095</v>
      </c>
      <c r="AM87" s="6">
        <f>IFERROR(W87/O87,"-")</f>
        <v>1.1127596439169138</v>
      </c>
      <c r="AN87" s="6" t="str">
        <f>IFERROR(1-W87/AO87,"-")</f>
        <v>-</v>
      </c>
      <c r="AO87" s="4" t="str">
        <f>IFERROR(ROUND($AE87*Q87/$N87,0),"-")</f>
        <v>-</v>
      </c>
      <c r="AP87" s="4" t="str">
        <f>IF(R87="","-",R87)</f>
        <v>-</v>
      </c>
      <c r="AQ87" s="4" t="str">
        <f>IF(S87="","-",S87)</f>
        <v>-</v>
      </c>
      <c r="AR87" s="4">
        <v>0</v>
      </c>
      <c r="AS87" s="4" t="s">
        <v>443</v>
      </c>
      <c r="AT87" s="4">
        <v>1</v>
      </c>
      <c r="AU87" s="4">
        <v>20</v>
      </c>
      <c r="AV87" s="4" t="s">
        <v>444</v>
      </c>
      <c r="AW87" s="4">
        <v>9860</v>
      </c>
      <c r="AX87" s="4">
        <f>IF(AT87="",AW87,AT87/AU87*AW87)</f>
        <v>493</v>
      </c>
      <c r="AY87" s="19">
        <v>4</v>
      </c>
      <c r="AZ87" s="19">
        <v>8</v>
      </c>
      <c r="BA87" s="16">
        <v>1120</v>
      </c>
      <c r="BB87" t="s">
        <v>528</v>
      </c>
      <c r="BC87" t="str">
        <f>IFERROR(BB87*AM87,"-")</f>
        <v>-</v>
      </c>
      <c r="BD87">
        <v>491</v>
      </c>
      <c r="BE87">
        <f>IFERROR(BD87*AM87,"-")</f>
        <v>546.36498516320466</v>
      </c>
      <c r="BF87" t="s">
        <v>335</v>
      </c>
    </row>
    <row r="88" spans="1:58" x14ac:dyDescent="0.4">
      <c r="A88" s="3">
        <v>33</v>
      </c>
      <c r="B88" s="3">
        <v>33</v>
      </c>
      <c r="C88" s="4" t="s">
        <v>87</v>
      </c>
      <c r="D88" s="4" t="str">
        <f>TEXT(C88,"000000")</f>
        <v>J42144</v>
      </c>
      <c r="E88" s="4" t="s">
        <v>87</v>
      </c>
      <c r="F88" s="4" t="str">
        <f>D88&amp;I88</f>
        <v>J421445</v>
      </c>
      <c r="G88" s="4" t="s">
        <v>210</v>
      </c>
      <c r="H88" s="5">
        <v>4547345002468</v>
      </c>
      <c r="I88" s="33">
        <v>5</v>
      </c>
      <c r="J88" s="5"/>
      <c r="K88" s="5">
        <v>1</v>
      </c>
      <c r="L88" s="5">
        <v>1</v>
      </c>
      <c r="M88" s="4">
        <v>0</v>
      </c>
      <c r="N88" s="4">
        <v>589</v>
      </c>
      <c r="O88" s="4">
        <v>463</v>
      </c>
      <c r="P88" s="6">
        <f>IFERROR(1-O88/N88,"-")</f>
        <v>0.2139219015280136</v>
      </c>
      <c r="Q88" s="4" t="s">
        <v>304</v>
      </c>
      <c r="R88" s="4" t="s">
        <v>304</v>
      </c>
      <c r="S88" s="4" t="s">
        <v>304</v>
      </c>
      <c r="T88" s="33">
        <v>0</v>
      </c>
      <c r="U88" s="4">
        <f>IF(X88="",T88,T88*X88)</f>
        <v>0</v>
      </c>
      <c r="V88" s="4">
        <v>480</v>
      </c>
      <c r="W88" s="4">
        <f>IF(X88="",V88,V88*X88)</f>
        <v>480</v>
      </c>
      <c r="X88" s="4"/>
      <c r="Y88" s="21">
        <f>ROUND(N88*AM88,0)</f>
        <v>611</v>
      </c>
      <c r="Z88" s="6">
        <f>IFERROR(1-W88/Y88,"-")</f>
        <v>0.21440261865793786</v>
      </c>
      <c r="AA88" s="33">
        <v>0</v>
      </c>
      <c r="AB88" s="4">
        <f>AX88</f>
        <v>841</v>
      </c>
      <c r="AC88" s="33">
        <f>IFERROR(AB88*AM88,"-")</f>
        <v>871.87904967602606</v>
      </c>
      <c r="AD88" s="6">
        <f>IFERROR(1-W88/AC88,"-")</f>
        <v>0.44946492271105831</v>
      </c>
      <c r="AE88" s="7">
        <v>695</v>
      </c>
      <c r="AF88" s="6">
        <f>1-W88/AE88</f>
        <v>0.30935251798561147</v>
      </c>
      <c r="AG88" s="4">
        <f>AE88-W88</f>
        <v>215</v>
      </c>
      <c r="AH88" s="28"/>
      <c r="AI88" s="6"/>
      <c r="AJ88" s="6"/>
      <c r="AK88" s="6" t="str">
        <f>IFERROR(U88/M88,"-")</f>
        <v>-</v>
      </c>
      <c r="AL88" s="6">
        <f>IFERROR(AE88/N88,"-")</f>
        <v>1.1799660441426145</v>
      </c>
      <c r="AM88" s="6">
        <f>IFERROR(W88/O88,"-")</f>
        <v>1.0367170626349893</v>
      </c>
      <c r="AN88" s="6" t="str">
        <f>IFERROR(1-W88/AO88,"-")</f>
        <v>-</v>
      </c>
      <c r="AO88" s="4" t="str">
        <f>IFERROR(ROUND($AE88*Q88/$N88,0),"-")</f>
        <v>-</v>
      </c>
      <c r="AP88" s="4" t="str">
        <f>IF(R88="","-",R88)</f>
        <v>-</v>
      </c>
      <c r="AQ88" s="4" t="str">
        <f>IF(S88="","-",S88)</f>
        <v>-</v>
      </c>
      <c r="AR88" s="4">
        <v>0</v>
      </c>
      <c r="AS88" s="4" t="s">
        <v>442</v>
      </c>
      <c r="AT88" s="4"/>
      <c r="AU88" s="4"/>
      <c r="AV88" s="4" t="s">
        <v>411</v>
      </c>
      <c r="AW88" s="4">
        <v>841</v>
      </c>
      <c r="AX88" s="4">
        <f>IF(AT88="",AW88,AT88/AU88*AW88)</f>
        <v>841</v>
      </c>
      <c r="AY88" s="19">
        <v>4</v>
      </c>
      <c r="AZ88" s="19">
        <v>8</v>
      </c>
      <c r="BA88" s="16">
        <v>1120</v>
      </c>
      <c r="BB88" t="s">
        <v>528</v>
      </c>
      <c r="BC88" t="str">
        <f>IFERROR(BB88*AM88,"-")</f>
        <v>-</v>
      </c>
      <c r="BD88">
        <v>671</v>
      </c>
      <c r="BE88">
        <f>IFERROR(BD88*AM88,"-")</f>
        <v>695.63714902807783</v>
      </c>
      <c r="BF88" t="s">
        <v>334</v>
      </c>
    </row>
    <row r="89" spans="1:58" x14ac:dyDescent="0.4">
      <c r="A89" s="3">
        <v>37</v>
      </c>
      <c r="B89" s="3">
        <v>37</v>
      </c>
      <c r="C89" s="4" t="s">
        <v>91</v>
      </c>
      <c r="D89" s="4" t="str">
        <f>TEXT(C89,"000000")</f>
        <v>J42148</v>
      </c>
      <c r="E89" s="4" t="s">
        <v>91</v>
      </c>
      <c r="F89" s="4" t="str">
        <f>D89&amp;I89</f>
        <v>J421485</v>
      </c>
      <c r="G89" s="4" t="s">
        <v>214</v>
      </c>
      <c r="H89" s="5">
        <v>4547345011316</v>
      </c>
      <c r="I89" s="33">
        <v>5</v>
      </c>
      <c r="J89" s="5"/>
      <c r="K89" s="5">
        <v>1</v>
      </c>
      <c r="L89" s="5">
        <v>1</v>
      </c>
      <c r="M89" s="4">
        <v>0</v>
      </c>
      <c r="N89" s="4">
        <v>925</v>
      </c>
      <c r="O89" s="4">
        <v>731</v>
      </c>
      <c r="P89" s="6">
        <f>IFERROR(1-O89/N89,"-")</f>
        <v>0.2097297297297297</v>
      </c>
      <c r="Q89" s="4" t="s">
        <v>304</v>
      </c>
      <c r="R89" s="4" t="s">
        <v>304</v>
      </c>
      <c r="S89" s="4" t="s">
        <v>304</v>
      </c>
      <c r="T89" s="33">
        <v>0</v>
      </c>
      <c r="U89" s="4">
        <f>IF(X89="",T89,T89*X89)</f>
        <v>0</v>
      </c>
      <c r="V89" s="4">
        <v>757</v>
      </c>
      <c r="W89" s="4">
        <f>IF(X89="",V89,V89*X89)</f>
        <v>757</v>
      </c>
      <c r="X89" s="4"/>
      <c r="Y89" s="21">
        <f>ROUND(N89*AM89,0)</f>
        <v>958</v>
      </c>
      <c r="Z89" s="6">
        <f>IFERROR(1-W89/Y89,"-")</f>
        <v>0.20981210855949894</v>
      </c>
      <c r="AA89" s="33">
        <v>0</v>
      </c>
      <c r="AB89" s="4">
        <f>AX89</f>
        <v>1061</v>
      </c>
      <c r="AC89" s="33">
        <f>IFERROR(AB89*AM89,"-")</f>
        <v>1098.7373461012312</v>
      </c>
      <c r="AD89" s="6">
        <f>IFERROR(1-W89/AC89,"-")</f>
        <v>0.31102733270499527</v>
      </c>
      <c r="AE89" s="7">
        <v>1096</v>
      </c>
      <c r="AF89" s="6">
        <f>1-W89/AE89</f>
        <v>0.30930656934306566</v>
      </c>
      <c r="AG89" s="4">
        <f>AE89-W89</f>
        <v>339</v>
      </c>
      <c r="AH89" s="28"/>
      <c r="AI89" s="6"/>
      <c r="AJ89" s="6"/>
      <c r="AK89" s="6" t="str">
        <f>IFERROR(U89/M89,"-")</f>
        <v>-</v>
      </c>
      <c r="AL89" s="6">
        <f>IFERROR(AE89/N89,"-")</f>
        <v>1.184864864864865</v>
      </c>
      <c r="AM89" s="6">
        <f>IFERROR(W89/O89,"-")</f>
        <v>1.0355677154582763</v>
      </c>
      <c r="AN89" s="6" t="str">
        <f>IFERROR(1-W89/AO89,"-")</f>
        <v>-</v>
      </c>
      <c r="AO89" s="4" t="str">
        <f>IFERROR(ROUND($AE89*Q89/$N89,0),"-")</f>
        <v>-</v>
      </c>
      <c r="AP89" s="4" t="str">
        <f>IF(R89="","-",R89)</f>
        <v>-</v>
      </c>
      <c r="AQ89" s="4" t="str">
        <f>IF(S89="","-",S89)</f>
        <v>-</v>
      </c>
      <c r="AR89" s="4">
        <v>0</v>
      </c>
      <c r="AS89" s="4" t="s">
        <v>446</v>
      </c>
      <c r="AT89" s="4">
        <v>1</v>
      </c>
      <c r="AU89" s="4">
        <v>5</v>
      </c>
      <c r="AV89" s="4" t="s">
        <v>423</v>
      </c>
      <c r="AW89" s="4">
        <v>5305</v>
      </c>
      <c r="AX89" s="4">
        <f>IF(AT89="",AW89,AT89/AU89*AW89)</f>
        <v>1061</v>
      </c>
      <c r="AY89" s="19">
        <v>4</v>
      </c>
      <c r="AZ89" s="19">
        <v>8</v>
      </c>
      <c r="BA89" s="16">
        <v>1120</v>
      </c>
      <c r="BB89" t="s">
        <v>528</v>
      </c>
      <c r="BC89" t="str">
        <f>IFERROR(BB89*AM89,"-")</f>
        <v>-</v>
      </c>
      <c r="BD89">
        <v>1059</v>
      </c>
      <c r="BE89">
        <f>IFERROR(BD89*AM89,"-")</f>
        <v>1096.6662106703145</v>
      </c>
      <c r="BF89" t="s">
        <v>337</v>
      </c>
    </row>
    <row r="90" spans="1:58" x14ac:dyDescent="0.4">
      <c r="A90" s="3">
        <v>38</v>
      </c>
      <c r="B90" s="3">
        <v>38</v>
      </c>
      <c r="C90" s="4" t="s">
        <v>92</v>
      </c>
      <c r="D90" s="4" t="str">
        <f>TEXT(C90,"000000")</f>
        <v>J42149</v>
      </c>
      <c r="E90" s="4" t="s">
        <v>92</v>
      </c>
      <c r="F90" s="4" t="str">
        <f>D90&amp;I90</f>
        <v>J421495</v>
      </c>
      <c r="G90" s="4" t="s">
        <v>215</v>
      </c>
      <c r="H90" s="5">
        <v>4547345011323</v>
      </c>
      <c r="I90" s="33">
        <v>5</v>
      </c>
      <c r="J90" s="5"/>
      <c r="K90" s="5">
        <v>1</v>
      </c>
      <c r="L90" s="5">
        <v>1</v>
      </c>
      <c r="M90" s="4">
        <v>0</v>
      </c>
      <c r="N90" s="4">
        <v>1318</v>
      </c>
      <c r="O90" s="4">
        <v>1055</v>
      </c>
      <c r="P90" s="6">
        <f>IFERROR(1-O90/N90,"-")</f>
        <v>0.19954476479514416</v>
      </c>
      <c r="Q90" s="4" t="s">
        <v>304</v>
      </c>
      <c r="R90" s="4" t="s">
        <v>304</v>
      </c>
      <c r="S90" s="4" t="s">
        <v>304</v>
      </c>
      <c r="T90" s="33">
        <v>0</v>
      </c>
      <c r="U90" s="4">
        <f>IF(X90="",T90,T90*X90)</f>
        <v>0</v>
      </c>
      <c r="V90" s="4">
        <v>1088</v>
      </c>
      <c r="W90" s="4">
        <f>IF(X90="",V90,V90*X90)</f>
        <v>1088</v>
      </c>
      <c r="X90" s="4"/>
      <c r="Y90" s="21">
        <f>ROUND(N90*AM90,0)</f>
        <v>1359</v>
      </c>
      <c r="Z90" s="6">
        <f>IFERROR(1-W90/Y90,"-")</f>
        <v>0.19941133186166293</v>
      </c>
      <c r="AA90" s="33">
        <v>0</v>
      </c>
      <c r="AB90" s="4">
        <f>AX90</f>
        <v>1532</v>
      </c>
      <c r="AC90" s="33">
        <f>IFERROR(AB90*AM90,"-")</f>
        <v>1579.9203791469195</v>
      </c>
      <c r="AD90" s="6">
        <f>IFERROR(1-W90/AC90,"-")</f>
        <v>0.31135770234986948</v>
      </c>
      <c r="AE90" s="7">
        <v>1577</v>
      </c>
      <c r="AF90" s="6">
        <f>1-W90/AE90</f>
        <v>0.31008243500317056</v>
      </c>
      <c r="AG90" s="4">
        <f>AE90-W90</f>
        <v>489</v>
      </c>
      <c r="AH90" s="28"/>
      <c r="AI90" s="6"/>
      <c r="AJ90" s="6"/>
      <c r="AK90" s="6" t="str">
        <f>IFERROR(U90/M90,"-")</f>
        <v>-</v>
      </c>
      <c r="AL90" s="6">
        <f>IFERROR(AE90/N90,"-")</f>
        <v>1.1965098634294384</v>
      </c>
      <c r="AM90" s="6">
        <f>IFERROR(W90/O90,"-")</f>
        <v>1.0312796208530806</v>
      </c>
      <c r="AN90" s="6" t="str">
        <f>IFERROR(1-W90/AO90,"-")</f>
        <v>-</v>
      </c>
      <c r="AO90" s="4" t="str">
        <f>IFERROR(ROUND($AE90*Q90/$N90,0),"-")</f>
        <v>-</v>
      </c>
      <c r="AP90" s="4" t="str">
        <f>IF(R90="","-",R90)</f>
        <v>-</v>
      </c>
      <c r="AQ90" s="4" t="str">
        <f>IF(S90="","-",S90)</f>
        <v>-</v>
      </c>
      <c r="AR90" s="4">
        <v>0</v>
      </c>
      <c r="AS90" s="4" t="s">
        <v>447</v>
      </c>
      <c r="AT90" s="4">
        <v>1</v>
      </c>
      <c r="AU90" s="4">
        <v>5</v>
      </c>
      <c r="AV90" s="4" t="s">
        <v>423</v>
      </c>
      <c r="AW90" s="4">
        <v>7660</v>
      </c>
      <c r="AX90" s="4">
        <f>IF(AT90="",AW90,AT90/AU90*AW90)</f>
        <v>1532</v>
      </c>
      <c r="AY90" s="19">
        <v>4</v>
      </c>
      <c r="AZ90" s="19">
        <v>8</v>
      </c>
      <c r="BA90" s="16">
        <v>1120</v>
      </c>
      <c r="BB90" t="s">
        <v>528</v>
      </c>
      <c r="BC90" t="str">
        <f>IFERROR(BB90*AM90,"-")</f>
        <v>-</v>
      </c>
      <c r="BD90">
        <v>1530</v>
      </c>
      <c r="BE90">
        <f>IFERROR(BD90*AM90,"-")</f>
        <v>1577.8578199052133</v>
      </c>
      <c r="BF90" t="s">
        <v>338</v>
      </c>
    </row>
    <row r="91" spans="1:58" x14ac:dyDescent="0.4">
      <c r="A91" s="3">
        <v>39</v>
      </c>
      <c r="B91" s="3">
        <v>39</v>
      </c>
      <c r="C91" s="4" t="s">
        <v>93</v>
      </c>
      <c r="D91" s="4" t="str">
        <f>TEXT(C91,"000000")</f>
        <v>J42151</v>
      </c>
      <c r="E91" s="4" t="s">
        <v>93</v>
      </c>
      <c r="F91" s="4" t="str">
        <f>D91&amp;I91</f>
        <v>J421515</v>
      </c>
      <c r="G91" s="4" t="s">
        <v>216</v>
      </c>
      <c r="H91" s="5">
        <v>4547345011347</v>
      </c>
      <c r="I91" s="33">
        <v>5</v>
      </c>
      <c r="J91" s="5"/>
      <c r="K91" s="5">
        <v>1</v>
      </c>
      <c r="L91" s="5">
        <v>1</v>
      </c>
      <c r="M91" s="4">
        <v>0</v>
      </c>
      <c r="N91" s="4">
        <v>2258</v>
      </c>
      <c r="O91" s="4">
        <v>1639</v>
      </c>
      <c r="P91" s="6">
        <f>IFERROR(1-O91/N91,"-")</f>
        <v>0.27413640389725424</v>
      </c>
      <c r="Q91" s="4" t="s">
        <v>304</v>
      </c>
      <c r="R91" s="4" t="s">
        <v>304</v>
      </c>
      <c r="S91" s="4" t="s">
        <v>304</v>
      </c>
      <c r="T91" s="33">
        <v>0</v>
      </c>
      <c r="U91" s="4">
        <f>IF(X91="",T91,T91*X91)</f>
        <v>0</v>
      </c>
      <c r="V91" s="4">
        <v>1721</v>
      </c>
      <c r="W91" s="4">
        <f>IF(X91="",V91,V91*X91)</f>
        <v>1721</v>
      </c>
      <c r="X91" s="4"/>
      <c r="Y91" s="21">
        <f>ROUND(N91*AM91,0)</f>
        <v>2371</v>
      </c>
      <c r="Z91" s="6">
        <f>IFERROR(1-W91/Y91,"-")</f>
        <v>0.2741459299873471</v>
      </c>
      <c r="AA91" s="33">
        <v>0</v>
      </c>
      <c r="AB91" s="4">
        <f>AX91</f>
        <v>2380</v>
      </c>
      <c r="AC91" s="33">
        <f>IFERROR(AB91*AM91,"-")</f>
        <v>2499.0726052471018</v>
      </c>
      <c r="AD91" s="6">
        <f>IFERROR(1-W91/AC91,"-")</f>
        <v>0.31134453781512605</v>
      </c>
      <c r="AE91" s="7">
        <v>2499</v>
      </c>
      <c r="AF91" s="6">
        <f>1-W91/AE91</f>
        <v>0.31132452981192482</v>
      </c>
      <c r="AG91" s="4">
        <f>AE91-W91</f>
        <v>778</v>
      </c>
      <c r="AH91" s="28"/>
      <c r="AI91" s="6"/>
      <c r="AJ91" s="6"/>
      <c r="AK91" s="6" t="str">
        <f>IFERROR(U91/M91,"-")</f>
        <v>-</v>
      </c>
      <c r="AL91" s="6">
        <f>IFERROR(AE91/N91,"-")</f>
        <v>1.1067316209034543</v>
      </c>
      <c r="AM91" s="6">
        <f>IFERROR(W91/O91,"-")</f>
        <v>1.0500305064063453</v>
      </c>
      <c r="AN91" s="6" t="str">
        <f>IFERROR(1-W91/AO91,"-")</f>
        <v>-</v>
      </c>
      <c r="AO91" s="4" t="str">
        <f>IFERROR(ROUND($AE91*Q91/$N91,0),"-")</f>
        <v>-</v>
      </c>
      <c r="AP91" s="4" t="str">
        <f>IF(R91="","-",R91)</f>
        <v>-</v>
      </c>
      <c r="AQ91" s="4" t="str">
        <f>IF(S91="","-",S91)</f>
        <v>-</v>
      </c>
      <c r="AR91" s="4">
        <v>0</v>
      </c>
      <c r="AS91" s="4" t="s">
        <v>448</v>
      </c>
      <c r="AT91" s="4">
        <v>1</v>
      </c>
      <c r="AU91" s="4">
        <v>5</v>
      </c>
      <c r="AV91" s="4" t="s">
        <v>423</v>
      </c>
      <c r="AW91" s="4">
        <v>11900</v>
      </c>
      <c r="AX91" s="4">
        <f>IF(AT91="",AW91,AT91/AU91*AW91)</f>
        <v>2380</v>
      </c>
      <c r="AY91" s="19">
        <v>4</v>
      </c>
      <c r="AZ91" s="19">
        <v>8</v>
      </c>
      <c r="BA91" s="16">
        <v>1120</v>
      </c>
      <c r="BB91" t="s">
        <v>528</v>
      </c>
      <c r="BC91" t="str">
        <f>IFERROR(BB91*AM91,"-")</f>
        <v>-</v>
      </c>
      <c r="BD91">
        <v>2261</v>
      </c>
      <c r="BE91">
        <f>IFERROR(BD91*AM91,"-")</f>
        <v>2374.1189749847467</v>
      </c>
      <c r="BF91" t="s">
        <v>339</v>
      </c>
    </row>
    <row r="92" spans="1:58" x14ac:dyDescent="0.4">
      <c r="A92" s="3">
        <v>42</v>
      </c>
      <c r="B92" s="3">
        <v>42</v>
      </c>
      <c r="C92" s="4" t="s">
        <v>96</v>
      </c>
      <c r="D92" s="4" t="str">
        <f>TEXT(C92,"000000")</f>
        <v>J42156</v>
      </c>
      <c r="E92" s="4" t="s">
        <v>96</v>
      </c>
      <c r="F92" s="4" t="str">
        <f>D92&amp;I92</f>
        <v>J421565</v>
      </c>
      <c r="G92" s="4" t="s">
        <v>219</v>
      </c>
      <c r="H92" s="5">
        <v>4547345018667</v>
      </c>
      <c r="I92" s="33">
        <v>5</v>
      </c>
      <c r="J92" s="5"/>
      <c r="K92" s="5">
        <v>1</v>
      </c>
      <c r="L92" s="5">
        <v>1</v>
      </c>
      <c r="M92" s="4">
        <v>0</v>
      </c>
      <c r="N92" s="4">
        <v>2556</v>
      </c>
      <c r="O92" s="4">
        <v>2020</v>
      </c>
      <c r="P92" s="6">
        <f>IFERROR(1-O92/N92,"-")</f>
        <v>0.20970266040688579</v>
      </c>
      <c r="Q92" s="4" t="s">
        <v>304</v>
      </c>
      <c r="R92" s="4" t="s">
        <v>304</v>
      </c>
      <c r="S92" s="4" t="s">
        <v>304</v>
      </c>
      <c r="T92" s="33">
        <v>0</v>
      </c>
      <c r="U92" s="4">
        <f>IF(X92="",T92,T92*X92)</f>
        <v>0</v>
      </c>
      <c r="V92" s="4">
        <v>2081</v>
      </c>
      <c r="W92" s="4">
        <f>IF(X92="",V92,V92*X92)</f>
        <v>2081</v>
      </c>
      <c r="X92" s="4"/>
      <c r="Y92" s="21">
        <f>ROUND(N92*AM92,0)</f>
        <v>2633</v>
      </c>
      <c r="Z92" s="6">
        <f>IFERROR(1-W92/Y92,"-")</f>
        <v>0.20964679073300418</v>
      </c>
      <c r="AA92" s="33">
        <v>0.5</v>
      </c>
      <c r="AB92" s="4">
        <f>AX92</f>
        <v>2931</v>
      </c>
      <c r="AC92" s="33">
        <f>IFERROR(AB92*AM92,"-")</f>
        <v>3019.5103960396041</v>
      </c>
      <c r="AD92" s="6">
        <f>IFERROR(1-W92/AC92,"-")</f>
        <v>0.3108154213578983</v>
      </c>
      <c r="AE92" s="7">
        <v>3019</v>
      </c>
      <c r="AF92" s="6">
        <f>1-W92/AE92</f>
        <v>0.31069890692282209</v>
      </c>
      <c r="AG92" s="4">
        <f>AE92-W92</f>
        <v>938</v>
      </c>
      <c r="AH92" s="28"/>
      <c r="AI92" s="6"/>
      <c r="AJ92" s="6"/>
      <c r="AK92" s="6" t="str">
        <f>IFERROR(U92/M92,"-")</f>
        <v>-</v>
      </c>
      <c r="AL92" s="6">
        <f>IFERROR(AE92/N92,"-")</f>
        <v>1.1811424100156493</v>
      </c>
      <c r="AM92" s="6">
        <f>IFERROR(W92/O92,"-")</f>
        <v>1.0301980198019802</v>
      </c>
      <c r="AN92" s="6" t="str">
        <f>IFERROR(1-W92/AO92,"-")</f>
        <v>-</v>
      </c>
      <c r="AO92" s="4" t="str">
        <f>IFERROR(ROUND($AE92*Q92/$N92,0),"-")</f>
        <v>-</v>
      </c>
      <c r="AP92" s="4" t="str">
        <f>IF(R92="","-",R92)</f>
        <v>-</v>
      </c>
      <c r="AQ92" s="4" t="str">
        <f>IF(S92="","-",S92)</f>
        <v>-</v>
      </c>
      <c r="AR92" s="4">
        <v>0</v>
      </c>
      <c r="AS92" s="4" t="s">
        <v>451</v>
      </c>
      <c r="AT92" s="4">
        <v>1</v>
      </c>
      <c r="AU92" s="4">
        <v>3</v>
      </c>
      <c r="AV92" s="4" t="s">
        <v>439</v>
      </c>
      <c r="AW92" s="4">
        <v>8793</v>
      </c>
      <c r="AX92" s="4">
        <f>IF(AT92="",AW92,AT92/AU92*AW92)</f>
        <v>2931</v>
      </c>
      <c r="AY92" s="19">
        <v>4</v>
      </c>
      <c r="AZ92" s="19">
        <v>8</v>
      </c>
      <c r="BA92" s="16">
        <v>1120</v>
      </c>
      <c r="BB92" t="s">
        <v>528</v>
      </c>
      <c r="BC92" t="str">
        <f>IFERROR(BB92*AM92,"-")</f>
        <v>-</v>
      </c>
      <c r="BD92">
        <v>2793</v>
      </c>
      <c r="BE92">
        <f>IFERROR(BD92*AM92,"-")</f>
        <v>2877.3430693069308</v>
      </c>
      <c r="BF92" t="s">
        <v>342</v>
      </c>
    </row>
    <row r="93" spans="1:58" x14ac:dyDescent="0.4">
      <c r="A93" s="3">
        <v>50</v>
      </c>
      <c r="B93" s="3">
        <v>50</v>
      </c>
      <c r="C93" s="4" t="s">
        <v>104</v>
      </c>
      <c r="D93" s="4" t="str">
        <f>TEXT(C93,"000000")</f>
        <v>J452WE</v>
      </c>
      <c r="E93" s="4" t="s">
        <v>104</v>
      </c>
      <c r="F93" s="4" t="str">
        <f>D93&amp;I93</f>
        <v>J452WE5</v>
      </c>
      <c r="G93" s="4" t="s">
        <v>227</v>
      </c>
      <c r="H93" s="5">
        <v>4547345011330</v>
      </c>
      <c r="I93" s="33">
        <v>5</v>
      </c>
      <c r="J93" s="5"/>
      <c r="K93" s="5">
        <v>1</v>
      </c>
      <c r="L93" s="5">
        <v>1</v>
      </c>
      <c r="M93" s="4">
        <v>0</v>
      </c>
      <c r="N93" s="4">
        <v>3600</v>
      </c>
      <c r="O93" s="4">
        <v>2113</v>
      </c>
      <c r="P93" s="6">
        <f>IFERROR(1-O93/N93,"-")</f>
        <v>0.41305555555555551</v>
      </c>
      <c r="Q93" s="4" t="s">
        <v>304</v>
      </c>
      <c r="R93" s="4" t="s">
        <v>304</v>
      </c>
      <c r="S93" s="4" t="s">
        <v>304</v>
      </c>
      <c r="T93" s="33">
        <v>0</v>
      </c>
      <c r="U93" s="4">
        <f>IF(X93="",T93,T93*X93)</f>
        <v>0</v>
      </c>
      <c r="V93" s="4">
        <v>2157</v>
      </c>
      <c r="W93" s="4">
        <f>IF(X93="",V93,V93*X93)</f>
        <v>2157</v>
      </c>
      <c r="X93" s="4"/>
      <c r="Y93" s="21">
        <f>ROUND(N93*AM93,0)</f>
        <v>3675</v>
      </c>
      <c r="Z93" s="6">
        <f>IFERROR(1-W93/Y93,"-")</f>
        <v>0.41306122448979588</v>
      </c>
      <c r="AA93" s="33">
        <v>0</v>
      </c>
      <c r="AB93" s="4">
        <f>AX93</f>
        <v>3619</v>
      </c>
      <c r="AC93" s="33">
        <f>IFERROR(AB93*AM93,"-")</f>
        <v>3694.3601514434449</v>
      </c>
      <c r="AD93" s="6">
        <f>IFERROR(1-W93/AC93,"-")</f>
        <v>0.41613705443492666</v>
      </c>
      <c r="AE93" s="7">
        <v>3180</v>
      </c>
      <c r="AF93" s="6">
        <f>1-W93/AE93</f>
        <v>0.32169811320754715</v>
      </c>
      <c r="AG93" s="4">
        <f>AE93-W93</f>
        <v>1023</v>
      </c>
      <c r="AH93" s="28"/>
      <c r="AI93" s="6"/>
      <c r="AJ93" s="6"/>
      <c r="AK93" s="6" t="str">
        <f>IFERROR(U93/M93,"-")</f>
        <v>-</v>
      </c>
      <c r="AL93" s="6">
        <f>IFERROR(AE93/N93,"-")</f>
        <v>0.8833333333333333</v>
      </c>
      <c r="AM93" s="6">
        <f>IFERROR(W93/O93,"-")</f>
        <v>1.0208234737340274</v>
      </c>
      <c r="AN93" s="6" t="str">
        <f>IFERROR(1-W93/AO93,"-")</f>
        <v>-</v>
      </c>
      <c r="AO93" s="4" t="str">
        <f>IFERROR(ROUND($AE93*Q93/$N93,0),"-")</f>
        <v>-</v>
      </c>
      <c r="AP93" s="4" t="str">
        <f>IF(R93="","-",R93)</f>
        <v>-</v>
      </c>
      <c r="AQ93" s="4" t="str">
        <f>IF(S93="","-",S93)</f>
        <v>-</v>
      </c>
      <c r="AR93" s="4">
        <v>0</v>
      </c>
      <c r="AS93" s="4" t="s">
        <v>460</v>
      </c>
      <c r="AT93" s="4"/>
      <c r="AU93" s="4"/>
      <c r="AV93" s="4" t="s">
        <v>411</v>
      </c>
      <c r="AW93" s="4">
        <v>3619</v>
      </c>
      <c r="AX93" s="4">
        <f>IF(AT93="",AW93,AT93/AU93*AW93)</f>
        <v>3619</v>
      </c>
      <c r="AY93" s="19">
        <v>4</v>
      </c>
      <c r="AZ93" s="19">
        <v>8</v>
      </c>
      <c r="BA93" s="16">
        <v>1120</v>
      </c>
      <c r="BB93" t="s">
        <v>528</v>
      </c>
      <c r="BC93" t="str">
        <f>IFERROR(BB93*AM93,"-")</f>
        <v>-</v>
      </c>
      <c r="BD93">
        <v>2917</v>
      </c>
      <c r="BE93">
        <f>IFERROR(BD93*AM93,"-")</f>
        <v>2977.742072882158</v>
      </c>
      <c r="BF93" t="s">
        <v>350</v>
      </c>
    </row>
    <row r="94" spans="1:58" x14ac:dyDescent="0.4">
      <c r="A94" s="3">
        <v>40</v>
      </c>
      <c r="B94" s="3">
        <v>40</v>
      </c>
      <c r="C94" s="4" t="s">
        <v>94</v>
      </c>
      <c r="D94" s="4" t="str">
        <f>TEXT(C94,"000000")</f>
        <v>J42152</v>
      </c>
      <c r="E94" s="4" t="s">
        <v>94</v>
      </c>
      <c r="F94" s="4" t="str">
        <f>D94&amp;I94</f>
        <v>J421525</v>
      </c>
      <c r="G94" s="4" t="s">
        <v>217</v>
      </c>
      <c r="H94" s="5">
        <v>4547345002475</v>
      </c>
      <c r="I94" s="33">
        <v>5</v>
      </c>
      <c r="J94" s="5"/>
      <c r="K94" s="5">
        <v>1</v>
      </c>
      <c r="L94" s="5">
        <v>1</v>
      </c>
      <c r="M94" s="4">
        <v>0</v>
      </c>
      <c r="N94" s="4">
        <v>3285</v>
      </c>
      <c r="O94" s="4">
        <v>2221</v>
      </c>
      <c r="P94" s="6">
        <f>IFERROR(1-O94/N94,"-")</f>
        <v>0.32389649923896502</v>
      </c>
      <c r="Q94" s="4" t="s">
        <v>304</v>
      </c>
      <c r="R94" s="4" t="s">
        <v>304</v>
      </c>
      <c r="S94" s="4" t="s">
        <v>304</v>
      </c>
      <c r="T94" s="33">
        <v>0</v>
      </c>
      <c r="U94" s="4">
        <f>IF(X94="",T94,T94*X94)</f>
        <v>0</v>
      </c>
      <c r="V94" s="4">
        <v>2447</v>
      </c>
      <c r="W94" s="4">
        <f>IF(X94="",V94,V94*X94)</f>
        <v>2447</v>
      </c>
      <c r="X94" s="4"/>
      <c r="Y94" s="21">
        <f>ROUND(N94*AM94,0)</f>
        <v>3619</v>
      </c>
      <c r="Z94" s="6">
        <f>IFERROR(1-W94/Y94,"-")</f>
        <v>0.32384636639955788</v>
      </c>
      <c r="AA94" s="33">
        <v>0.5</v>
      </c>
      <c r="AB94" s="4">
        <f>AX94</f>
        <v>3803</v>
      </c>
      <c r="AC94" s="33">
        <f>IFERROR(AB94*AM94,"-")</f>
        <v>4189.9779378658268</v>
      </c>
      <c r="AD94" s="6">
        <f>IFERROR(1-W94/AC94,"-")</f>
        <v>0.41598737838548527</v>
      </c>
      <c r="AE94" s="7">
        <v>3580</v>
      </c>
      <c r="AF94" s="6">
        <f>1-W94/AE94</f>
        <v>0.31648044692737431</v>
      </c>
      <c r="AG94" s="4">
        <f>AE94-W94</f>
        <v>1133</v>
      </c>
      <c r="AH94" s="28"/>
      <c r="AI94" s="6"/>
      <c r="AJ94" s="6"/>
      <c r="AK94" s="6" t="str">
        <f>IFERROR(U94/M94,"-")</f>
        <v>-</v>
      </c>
      <c r="AL94" s="6">
        <f>IFERROR(AE94/N94,"-")</f>
        <v>1.0898021308980212</v>
      </c>
      <c r="AM94" s="6">
        <f>IFERROR(W94/O94,"-")</f>
        <v>1.1017559657811797</v>
      </c>
      <c r="AN94" s="6" t="str">
        <f>IFERROR(1-W94/AO94,"-")</f>
        <v>-</v>
      </c>
      <c r="AO94" s="4" t="str">
        <f>IFERROR(ROUND($AE94*Q94/$N94,0),"-")</f>
        <v>-</v>
      </c>
      <c r="AP94" s="4" t="str">
        <f>IF(R94="","-",R94)</f>
        <v>-</v>
      </c>
      <c r="AQ94" s="4" t="str">
        <f>IF(S94="","-",S94)</f>
        <v>-</v>
      </c>
      <c r="AR94" s="4">
        <v>0</v>
      </c>
      <c r="AS94" s="4" t="s">
        <v>449</v>
      </c>
      <c r="AT94" s="4"/>
      <c r="AU94" s="4"/>
      <c r="AV94" s="4" t="s">
        <v>411</v>
      </c>
      <c r="AW94" s="4">
        <v>3803</v>
      </c>
      <c r="AX94" s="4">
        <f>IF(AT94="",AW94,AT94/AU94*AW94)</f>
        <v>3803</v>
      </c>
      <c r="AY94" s="19">
        <v>4</v>
      </c>
      <c r="AZ94" s="19">
        <v>8</v>
      </c>
      <c r="BA94" s="16">
        <v>1120</v>
      </c>
      <c r="BB94" t="s">
        <v>528</v>
      </c>
      <c r="BC94" t="str">
        <f>IFERROR(BB94*AM94,"-")</f>
        <v>-</v>
      </c>
      <c r="BD94">
        <v>3069</v>
      </c>
      <c r="BE94">
        <f>IFERROR(BD94*AM94,"-")</f>
        <v>3381.2890589824406</v>
      </c>
      <c r="BF94" t="s">
        <v>340</v>
      </c>
    </row>
    <row r="95" spans="1:58" x14ac:dyDescent="0.4">
      <c r="A95" s="3">
        <v>43</v>
      </c>
      <c r="B95" s="3">
        <v>43</v>
      </c>
      <c r="C95" s="4" t="s">
        <v>97</v>
      </c>
      <c r="D95" s="4" t="str">
        <f>TEXT(C95,"000000")</f>
        <v>J42158</v>
      </c>
      <c r="E95" s="4" t="s">
        <v>97</v>
      </c>
      <c r="F95" s="4" t="str">
        <f>D95&amp;I95</f>
        <v>J421585</v>
      </c>
      <c r="G95" s="4" t="s">
        <v>220</v>
      </c>
      <c r="H95" s="5">
        <v>4547345011354</v>
      </c>
      <c r="I95" s="33">
        <v>5</v>
      </c>
      <c r="J95" s="5"/>
      <c r="K95" s="5">
        <v>1</v>
      </c>
      <c r="L95" s="5">
        <v>1</v>
      </c>
      <c r="M95" s="4">
        <v>0</v>
      </c>
      <c r="N95" s="4">
        <v>3651</v>
      </c>
      <c r="O95" s="4">
        <v>2812</v>
      </c>
      <c r="P95" s="6">
        <f>IFERROR(1-O95/N95,"-")</f>
        <v>0.22980005477951249</v>
      </c>
      <c r="Q95" s="4" t="s">
        <v>304</v>
      </c>
      <c r="R95" s="4" t="s">
        <v>304</v>
      </c>
      <c r="S95" s="4" t="s">
        <v>304</v>
      </c>
      <c r="T95" s="33">
        <v>0</v>
      </c>
      <c r="U95" s="4">
        <f>IF(X95="",T95,T95*X95)</f>
        <v>0</v>
      </c>
      <c r="V95" s="4">
        <v>2902</v>
      </c>
      <c r="W95" s="4">
        <f>IF(X95="",V95,V95*X95)</f>
        <v>2902</v>
      </c>
      <c r="X95" s="4"/>
      <c r="Y95" s="21">
        <f>ROUND(N95*AM95,0)</f>
        <v>3768</v>
      </c>
      <c r="Z95" s="6">
        <f>IFERROR(1-W95/Y95,"-")</f>
        <v>0.22983014861995754</v>
      </c>
      <c r="AA95" s="33">
        <v>0</v>
      </c>
      <c r="AB95" s="4">
        <f>AX95</f>
        <v>4079</v>
      </c>
      <c r="AC95" s="33">
        <f>IFERROR(AB95*AM95,"-")</f>
        <v>4209.5512091038408</v>
      </c>
      <c r="AD95" s="6">
        <f>IFERROR(1-W95/AC95,"-")</f>
        <v>0.3106153468987497</v>
      </c>
      <c r="AE95" s="7">
        <v>4205</v>
      </c>
      <c r="AF95" s="6">
        <f>1-W95/AE95</f>
        <v>0.30986920332936985</v>
      </c>
      <c r="AG95" s="4">
        <f>AE95-W95</f>
        <v>1303</v>
      </c>
      <c r="AH95" s="28"/>
      <c r="AI95" s="6"/>
      <c r="AJ95" s="6"/>
      <c r="AK95" s="6" t="str">
        <f>IFERROR(U95/M95,"-")</f>
        <v>-</v>
      </c>
      <c r="AL95" s="6">
        <f>IFERROR(AE95/N95,"-")</f>
        <v>1.1517392495206793</v>
      </c>
      <c r="AM95" s="6">
        <f>IFERROR(W95/O95,"-")</f>
        <v>1.0320056899004268</v>
      </c>
      <c r="AN95" s="6" t="str">
        <f>IFERROR(1-W95/AO95,"-")</f>
        <v>-</v>
      </c>
      <c r="AO95" s="4" t="str">
        <f>IFERROR(ROUND($AE95*Q95/$N95,0),"-")</f>
        <v>-</v>
      </c>
      <c r="AP95" s="4" t="str">
        <f>IF(R95="","-",R95)</f>
        <v>-</v>
      </c>
      <c r="AQ95" s="4" t="str">
        <f>IF(S95="","-",S95)</f>
        <v>-</v>
      </c>
      <c r="AR95" s="4">
        <v>0</v>
      </c>
      <c r="AS95" s="4" t="s">
        <v>452</v>
      </c>
      <c r="AT95" s="4">
        <v>1</v>
      </c>
      <c r="AU95" s="4">
        <v>5</v>
      </c>
      <c r="AV95" s="4" t="s">
        <v>423</v>
      </c>
      <c r="AW95" s="4">
        <v>20395</v>
      </c>
      <c r="AX95" s="4">
        <f>IF(AT95="",AW95,AT95/AU95*AW95)</f>
        <v>4079</v>
      </c>
      <c r="AY95" s="19">
        <v>4</v>
      </c>
      <c r="AZ95" s="19">
        <v>8</v>
      </c>
      <c r="BA95" s="16">
        <v>1120</v>
      </c>
      <c r="BB95" t="s">
        <v>528</v>
      </c>
      <c r="BC95" t="str">
        <f>IFERROR(BB95*AM95,"-")</f>
        <v>-</v>
      </c>
      <c r="BD95">
        <v>4075</v>
      </c>
      <c r="BE95">
        <f>IFERROR(BD95*AM95,"-")</f>
        <v>4205.4231863442392</v>
      </c>
      <c r="BF95" t="s">
        <v>343</v>
      </c>
    </row>
    <row r="96" spans="1:58" x14ac:dyDescent="0.4">
      <c r="A96" s="3">
        <v>46</v>
      </c>
      <c r="B96" s="3">
        <v>46</v>
      </c>
      <c r="C96" s="4" t="s">
        <v>100</v>
      </c>
      <c r="D96" s="4" t="str">
        <f>TEXT(C96,"000000")</f>
        <v>J42161</v>
      </c>
      <c r="E96" s="4" t="s">
        <v>100</v>
      </c>
      <c r="F96" s="4" t="str">
        <f>D96&amp;I96</f>
        <v>J421615</v>
      </c>
      <c r="G96" s="4" t="s">
        <v>223</v>
      </c>
      <c r="H96" s="5">
        <v>4547345018681</v>
      </c>
      <c r="I96" s="33">
        <v>5</v>
      </c>
      <c r="J96" s="5"/>
      <c r="K96" s="5">
        <v>1</v>
      </c>
      <c r="L96" s="5">
        <v>1</v>
      </c>
      <c r="M96" s="4">
        <v>0</v>
      </c>
      <c r="N96" s="4">
        <v>3764</v>
      </c>
      <c r="O96" s="4">
        <v>2899</v>
      </c>
      <c r="P96" s="6">
        <f>IFERROR(1-O96/N96,"-")</f>
        <v>0.22980871413390014</v>
      </c>
      <c r="Q96" s="4" t="s">
        <v>304</v>
      </c>
      <c r="R96" s="4" t="s">
        <v>304</v>
      </c>
      <c r="S96" s="4" t="s">
        <v>304</v>
      </c>
      <c r="T96" s="33">
        <v>0</v>
      </c>
      <c r="U96" s="4">
        <f>IF(X96="",T96,T96*X96)</f>
        <v>0</v>
      </c>
      <c r="V96" s="4">
        <v>2985</v>
      </c>
      <c r="W96" s="4">
        <f>IF(X96="",V96,V96*X96)</f>
        <v>2985</v>
      </c>
      <c r="X96" s="4"/>
      <c r="Y96" s="21">
        <f>ROUND(N96*AM96,0)</f>
        <v>3876</v>
      </c>
      <c r="Z96" s="6">
        <f>IFERROR(1-W96/Y96,"-")</f>
        <v>0.22987616099071206</v>
      </c>
      <c r="AA96" s="33">
        <v>0</v>
      </c>
      <c r="AB96" s="4">
        <f>AX96</f>
        <v>4205</v>
      </c>
      <c r="AC96" s="33">
        <f>IFERROR(AB96*AM96,"-")</f>
        <v>4329.7430148327012</v>
      </c>
      <c r="AD96" s="6">
        <f>IFERROR(1-W96/AC96,"-")</f>
        <v>0.31058263971462552</v>
      </c>
      <c r="AE96" s="7">
        <v>4327</v>
      </c>
      <c r="AF96" s="6">
        <f>1-W96/AE96</f>
        <v>0.31014559741160153</v>
      </c>
      <c r="AG96" s="4">
        <f>AE96-W96</f>
        <v>1342</v>
      </c>
      <c r="AH96" s="28"/>
      <c r="AI96" s="6"/>
      <c r="AJ96" s="6"/>
      <c r="AK96" s="6" t="str">
        <f>IFERROR(U96/M96,"-")</f>
        <v>-</v>
      </c>
      <c r="AL96" s="6">
        <f>IFERROR(AE96/N96,"-")</f>
        <v>1.1495749202975558</v>
      </c>
      <c r="AM96" s="6">
        <f>IFERROR(W96/O96,"-")</f>
        <v>1.0296654018627114</v>
      </c>
      <c r="AN96" s="6" t="str">
        <f>IFERROR(1-W96/AO96,"-")</f>
        <v>-</v>
      </c>
      <c r="AO96" s="4" t="str">
        <f>IFERROR(ROUND($AE96*Q96/$N96,0),"-")</f>
        <v>-</v>
      </c>
      <c r="AP96" s="4" t="str">
        <f>IF(R96="","-",R96)</f>
        <v>-</v>
      </c>
      <c r="AQ96" s="4" t="str">
        <f>IF(S96="","-",S96)</f>
        <v>-</v>
      </c>
      <c r="AR96" s="4">
        <v>0</v>
      </c>
      <c r="AS96" s="4" t="s">
        <v>455</v>
      </c>
      <c r="AT96" s="4">
        <v>1</v>
      </c>
      <c r="AU96" s="4">
        <v>3</v>
      </c>
      <c r="AV96" s="4" t="s">
        <v>439</v>
      </c>
      <c r="AW96" s="4">
        <v>12615</v>
      </c>
      <c r="AX96" s="4">
        <f>IF(AT96="",AW96,AT96/AU96*AW96)</f>
        <v>4205</v>
      </c>
      <c r="AY96" s="19">
        <v>4</v>
      </c>
      <c r="AZ96" s="19">
        <v>8</v>
      </c>
      <c r="BA96" s="16">
        <v>1120</v>
      </c>
      <c r="BB96" t="s">
        <v>528</v>
      </c>
      <c r="BC96" t="str">
        <f>IFERROR(BB96*AM96,"-")</f>
        <v>-</v>
      </c>
      <c r="BD96">
        <v>4203</v>
      </c>
      <c r="BE96">
        <f>IFERROR(BD96*AM96,"-")</f>
        <v>4327.6836840289761</v>
      </c>
      <c r="BF96" t="s">
        <v>346</v>
      </c>
    </row>
    <row r="97" spans="1:58" x14ac:dyDescent="0.4">
      <c r="A97" s="3">
        <v>44</v>
      </c>
      <c r="B97" s="3">
        <v>44</v>
      </c>
      <c r="C97" s="4" t="s">
        <v>98</v>
      </c>
      <c r="D97" s="4" t="str">
        <f>TEXT(C97,"000000")</f>
        <v>J42159</v>
      </c>
      <c r="E97" s="4" t="s">
        <v>98</v>
      </c>
      <c r="F97" s="4" t="str">
        <f>D97&amp;I97</f>
        <v>J421595</v>
      </c>
      <c r="G97" s="4" t="s">
        <v>221</v>
      </c>
      <c r="H97" s="5">
        <v>4547345002482</v>
      </c>
      <c r="I97" s="33">
        <v>5</v>
      </c>
      <c r="J97" s="5"/>
      <c r="K97" s="5">
        <v>1</v>
      </c>
      <c r="L97" s="5">
        <v>1</v>
      </c>
      <c r="M97" s="4">
        <v>0</v>
      </c>
      <c r="N97" s="4">
        <v>4173</v>
      </c>
      <c r="O97" s="4">
        <v>3172</v>
      </c>
      <c r="P97" s="6">
        <f>IFERROR(1-O97/N97,"-")</f>
        <v>0.23987538940809972</v>
      </c>
      <c r="Q97" s="4" t="s">
        <v>304</v>
      </c>
      <c r="R97" s="4" t="s">
        <v>304</v>
      </c>
      <c r="S97" s="4" t="s">
        <v>304</v>
      </c>
      <c r="T97" s="33">
        <v>0</v>
      </c>
      <c r="U97" s="4">
        <f>IF(X97="",T97,T97*X97)</f>
        <v>0</v>
      </c>
      <c r="V97" s="4">
        <v>3496</v>
      </c>
      <c r="W97" s="4">
        <f>IF(X97="",V97,V97*X97)</f>
        <v>3496</v>
      </c>
      <c r="X97" s="4"/>
      <c r="Y97" s="21">
        <f>ROUND(N97*AM97,0)</f>
        <v>4599</v>
      </c>
      <c r="Z97" s="6">
        <f>IFERROR(1-W97/Y97,"-")</f>
        <v>0.23983474668406179</v>
      </c>
      <c r="AA97" s="33">
        <v>0.25</v>
      </c>
      <c r="AB97" s="4">
        <f>AX97</f>
        <v>5446</v>
      </c>
      <c r="AC97" s="33">
        <f>IFERROR(AB97*AM97,"-")</f>
        <v>6002.274905422446</v>
      </c>
      <c r="AD97" s="6">
        <f>IFERROR(1-W97/AC97,"-")</f>
        <v>0.41755416819684166</v>
      </c>
      <c r="AE97" s="7">
        <v>5067</v>
      </c>
      <c r="AF97" s="6">
        <f>1-W97/AE97</f>
        <v>0.31004539175054269</v>
      </c>
      <c r="AG97" s="4">
        <f>AE97-W97</f>
        <v>1571</v>
      </c>
      <c r="AH97" s="28"/>
      <c r="AI97" s="6"/>
      <c r="AJ97" s="6"/>
      <c r="AK97" s="6" t="str">
        <f>IFERROR(U97/M97,"-")</f>
        <v>-</v>
      </c>
      <c r="AL97" s="6">
        <f>IFERROR(AE97/N97,"-")</f>
        <v>1.2142343637670741</v>
      </c>
      <c r="AM97" s="6">
        <f>IFERROR(W97/O97,"-")</f>
        <v>1.1021437578814628</v>
      </c>
      <c r="AN97" s="6" t="str">
        <f>IFERROR(1-W97/AO97,"-")</f>
        <v>-</v>
      </c>
      <c r="AO97" s="4" t="str">
        <f>IFERROR(ROUND($AE97*Q97/$N97,0),"-")</f>
        <v>-</v>
      </c>
      <c r="AP97" s="4" t="str">
        <f>IF(R97="","-",R97)</f>
        <v>-</v>
      </c>
      <c r="AQ97" s="4" t="str">
        <f>IF(S97="","-",S97)</f>
        <v>-</v>
      </c>
      <c r="AR97" s="4">
        <v>0</v>
      </c>
      <c r="AS97" s="4" t="s">
        <v>453</v>
      </c>
      <c r="AT97" s="4"/>
      <c r="AU97" s="4"/>
      <c r="AV97" s="4" t="s">
        <v>411</v>
      </c>
      <c r="AW97" s="4">
        <v>5446</v>
      </c>
      <c r="AX97" s="4">
        <f>IF(AT97="",AW97,AT97/AU97*AW97)</f>
        <v>5446</v>
      </c>
      <c r="AY97" s="19">
        <v>4</v>
      </c>
      <c r="AZ97" s="19">
        <v>8</v>
      </c>
      <c r="BA97" s="16">
        <v>1120</v>
      </c>
      <c r="BB97" t="s">
        <v>528</v>
      </c>
      <c r="BC97" t="str">
        <f>IFERROR(BB97*AM97,"-")</f>
        <v>-</v>
      </c>
      <c r="BD97">
        <v>4598</v>
      </c>
      <c r="BE97">
        <f>IFERROR(BD97*AM97,"-")</f>
        <v>5067.6569987389657</v>
      </c>
      <c r="BF97" t="s">
        <v>344</v>
      </c>
    </row>
    <row r="98" spans="1:58" x14ac:dyDescent="0.4">
      <c r="A98" s="3">
        <v>41</v>
      </c>
      <c r="B98" s="3">
        <v>41</v>
      </c>
      <c r="C98" s="4" t="s">
        <v>95</v>
      </c>
      <c r="D98" s="4" t="str">
        <f>TEXT(C98,"000000")</f>
        <v>J42154</v>
      </c>
      <c r="E98" s="4" t="s">
        <v>95</v>
      </c>
      <c r="F98" s="4" t="str">
        <f>D98&amp;I98</f>
        <v>J421545</v>
      </c>
      <c r="G98" s="4" t="s">
        <v>218</v>
      </c>
      <c r="H98" s="5">
        <v>4547345018629</v>
      </c>
      <c r="I98" s="33">
        <v>5</v>
      </c>
      <c r="J98" s="5"/>
      <c r="K98" s="5">
        <v>1</v>
      </c>
      <c r="L98" s="5">
        <v>1</v>
      </c>
      <c r="M98" s="4">
        <v>0</v>
      </c>
      <c r="N98" s="4">
        <v>5029</v>
      </c>
      <c r="O98" s="4">
        <v>4124</v>
      </c>
      <c r="P98" s="6">
        <f>IFERROR(1-O98/N98,"-")</f>
        <v>0.17995625372837543</v>
      </c>
      <c r="Q98" s="4" t="s">
        <v>304</v>
      </c>
      <c r="R98" s="4" t="s">
        <v>304</v>
      </c>
      <c r="S98" s="4" t="s">
        <v>304</v>
      </c>
      <c r="T98" s="33">
        <v>0</v>
      </c>
      <c r="U98" s="4">
        <f>IF(X98="",T98,T98*X98)</f>
        <v>0</v>
      </c>
      <c r="V98" s="4">
        <v>4247</v>
      </c>
      <c r="W98" s="4">
        <f>IF(X98="",V98,V98*X98)</f>
        <v>4247</v>
      </c>
      <c r="X98" s="4"/>
      <c r="Y98" s="21">
        <f>ROUND(N98*AM98,0)</f>
        <v>5179</v>
      </c>
      <c r="Z98" s="6">
        <f>IFERROR(1-W98/Y98,"-")</f>
        <v>0.17995752075690286</v>
      </c>
      <c r="AA98" s="33">
        <v>0</v>
      </c>
      <c r="AB98" s="4">
        <f>AX98</f>
        <v>6310</v>
      </c>
      <c r="AC98" s="33">
        <f>IFERROR(AB98*AM98,"-")</f>
        <v>6498.1983511154222</v>
      </c>
      <c r="AD98" s="6">
        <f>IFERROR(1-W98/AC98,"-")</f>
        <v>0.34643423137876395</v>
      </c>
      <c r="AE98" s="7">
        <v>6157</v>
      </c>
      <c r="AF98" s="6">
        <f>1-W98/AE98</f>
        <v>0.31021601429267498</v>
      </c>
      <c r="AG98" s="4">
        <f>AE98-W98</f>
        <v>1910</v>
      </c>
      <c r="AH98" s="28"/>
      <c r="AI98" s="6"/>
      <c r="AJ98" s="6"/>
      <c r="AK98" s="6" t="str">
        <f>IFERROR(U98/M98,"-")</f>
        <v>-</v>
      </c>
      <c r="AL98" s="6">
        <f>IFERROR(AE98/N98,"-")</f>
        <v>1.2242990654205608</v>
      </c>
      <c r="AM98" s="6">
        <f>IFERROR(W98/O98,"-")</f>
        <v>1.0298254122211445</v>
      </c>
      <c r="AN98" s="6" t="str">
        <f>IFERROR(1-W98/AO98,"-")</f>
        <v>-</v>
      </c>
      <c r="AO98" s="4" t="str">
        <f>IFERROR(ROUND($AE98*Q98/$N98,0),"-")</f>
        <v>-</v>
      </c>
      <c r="AP98" s="4" t="str">
        <f>IF(R98="","-",R98)</f>
        <v>-</v>
      </c>
      <c r="AQ98" s="4" t="str">
        <f>IF(S98="","-",S98)</f>
        <v>-</v>
      </c>
      <c r="AR98" s="4">
        <v>0</v>
      </c>
      <c r="AS98" s="4" t="s">
        <v>450</v>
      </c>
      <c r="AT98" s="4"/>
      <c r="AU98" s="4"/>
      <c r="AV98" s="4" t="s">
        <v>411</v>
      </c>
      <c r="AW98" s="4">
        <v>6310</v>
      </c>
      <c r="AX98" s="4">
        <f>IF(AT98="",AW98,AT98/AU98*AW98)</f>
        <v>6310</v>
      </c>
      <c r="AY98" s="19">
        <v>4</v>
      </c>
      <c r="AZ98" s="19">
        <v>8</v>
      </c>
      <c r="BA98" s="16">
        <v>1120</v>
      </c>
      <c r="BB98" t="s">
        <v>528</v>
      </c>
      <c r="BC98" t="str">
        <f>IFERROR(BB98*AM98,"-")</f>
        <v>-</v>
      </c>
      <c r="BD98">
        <v>5979</v>
      </c>
      <c r="BE98">
        <f>IFERROR(BD98*AM98,"-")</f>
        <v>6157.3261396702228</v>
      </c>
      <c r="BF98" t="s">
        <v>341</v>
      </c>
    </row>
    <row r="99" spans="1:58" x14ac:dyDescent="0.4">
      <c r="A99" s="3">
        <v>45</v>
      </c>
      <c r="B99" s="3">
        <v>45</v>
      </c>
      <c r="C99" s="4" t="s">
        <v>99</v>
      </c>
      <c r="D99" s="4" t="str">
        <f>TEXT(C99,"000000")</f>
        <v>J42160</v>
      </c>
      <c r="E99" s="4" t="s">
        <v>99</v>
      </c>
      <c r="F99" s="4" t="str">
        <f>D99&amp;I99</f>
        <v>J421605</v>
      </c>
      <c r="G99" s="4" t="s">
        <v>222</v>
      </c>
      <c r="H99" s="5">
        <v>4547345018643</v>
      </c>
      <c r="I99" s="33">
        <v>5</v>
      </c>
      <c r="J99" s="5"/>
      <c r="K99" s="5">
        <v>1</v>
      </c>
      <c r="L99" s="5">
        <v>1</v>
      </c>
      <c r="M99" s="4">
        <v>0</v>
      </c>
      <c r="N99" s="4">
        <v>5131</v>
      </c>
      <c r="O99" s="4">
        <v>4208</v>
      </c>
      <c r="P99" s="6">
        <f>IFERROR(1-O99/N99,"-")</f>
        <v>0.17988696160592477</v>
      </c>
      <c r="Q99" s="4" t="s">
        <v>304</v>
      </c>
      <c r="R99" s="4" t="s">
        <v>304</v>
      </c>
      <c r="S99" s="4" t="s">
        <v>304</v>
      </c>
      <c r="T99" s="33">
        <v>0</v>
      </c>
      <c r="U99" s="4">
        <f>IF(X99="",T99,T99*X99)</f>
        <v>0</v>
      </c>
      <c r="V99" s="4">
        <v>4337</v>
      </c>
      <c r="W99" s="4">
        <f>IF(X99="",V99,V99*X99)</f>
        <v>4337</v>
      </c>
      <c r="X99" s="4"/>
      <c r="Y99" s="21">
        <f>ROUND(N99*AM99,0)</f>
        <v>5288</v>
      </c>
      <c r="Z99" s="6">
        <f>IFERROR(1-W99/Y99,"-")</f>
        <v>0.17984114977307109</v>
      </c>
      <c r="AA99" s="33">
        <v>0</v>
      </c>
      <c r="AB99" s="4">
        <f>AX99</f>
        <v>6102</v>
      </c>
      <c r="AC99" s="33">
        <f>IFERROR(AB99*AM99,"-")</f>
        <v>6289.0622623574145</v>
      </c>
      <c r="AD99" s="6">
        <f>IFERROR(1-W99/AC99,"-")</f>
        <v>0.31039003605375293</v>
      </c>
      <c r="AE99" s="7">
        <v>6287</v>
      </c>
      <c r="AF99" s="6">
        <f>1-W99/AE99</f>
        <v>0.31016383012565607</v>
      </c>
      <c r="AG99" s="4">
        <f>AE99-W99</f>
        <v>1950</v>
      </c>
      <c r="AH99" s="28"/>
      <c r="AI99" s="6"/>
      <c r="AJ99" s="6"/>
      <c r="AK99" s="6" t="str">
        <f>IFERROR(U99/M99,"-")</f>
        <v>-</v>
      </c>
      <c r="AL99" s="6">
        <f>IFERROR(AE99/N99,"-")</f>
        <v>1.2252972130189046</v>
      </c>
      <c r="AM99" s="6">
        <f>IFERROR(W99/O99,"-")</f>
        <v>1.0306558935361216</v>
      </c>
      <c r="AN99" s="6" t="str">
        <f>IFERROR(1-W99/AO99,"-")</f>
        <v>-</v>
      </c>
      <c r="AO99" s="4" t="str">
        <f>IFERROR(ROUND($AE99*Q99/$N99,0),"-")</f>
        <v>-</v>
      </c>
      <c r="AP99" s="4" t="str">
        <f>IF(R99="","-",R99)</f>
        <v>-</v>
      </c>
      <c r="AQ99" s="4" t="str">
        <f>IF(S99="","-",S99)</f>
        <v>-</v>
      </c>
      <c r="AR99" s="4">
        <v>0</v>
      </c>
      <c r="AS99" s="4" t="s">
        <v>454</v>
      </c>
      <c r="AT99" s="4"/>
      <c r="AU99" s="4"/>
      <c r="AV99" s="4" t="s">
        <v>411</v>
      </c>
      <c r="AW99" s="4">
        <v>6102</v>
      </c>
      <c r="AX99" s="4">
        <f>IF(AT99="",AW99,AT99/AU99*AW99)</f>
        <v>6102</v>
      </c>
      <c r="AY99" s="19">
        <v>4</v>
      </c>
      <c r="AZ99" s="19">
        <v>8</v>
      </c>
      <c r="BA99" s="16">
        <v>1120</v>
      </c>
      <c r="BB99" t="s">
        <v>528</v>
      </c>
      <c r="BC99" t="str">
        <f>IFERROR(BB99*AM99,"-")</f>
        <v>-</v>
      </c>
      <c r="BD99">
        <v>6100</v>
      </c>
      <c r="BE99">
        <f>IFERROR(BD99*AM99,"-")</f>
        <v>6287.000950570342</v>
      </c>
      <c r="BF99" t="s">
        <v>345</v>
      </c>
    </row>
    <row r="100" spans="1:58" x14ac:dyDescent="0.4">
      <c r="A100" s="3">
        <v>104</v>
      </c>
      <c r="B100" s="3">
        <v>104</v>
      </c>
      <c r="C100" s="4" t="s">
        <v>158</v>
      </c>
      <c r="D100" s="4" t="str">
        <f>TEXT(C100,"000000")</f>
        <v>J78059</v>
      </c>
      <c r="E100" s="4" t="s">
        <v>158</v>
      </c>
      <c r="F100" s="4" t="str">
        <f>D100&amp;I100</f>
        <v>J780595</v>
      </c>
      <c r="G100" s="4" t="s">
        <v>281</v>
      </c>
      <c r="H100" s="5">
        <v>4946389330245</v>
      </c>
      <c r="I100" s="33">
        <v>5</v>
      </c>
      <c r="J100" s="5"/>
      <c r="K100" s="5">
        <v>1</v>
      </c>
      <c r="L100" s="5">
        <v>1</v>
      </c>
      <c r="M100" s="4">
        <v>0</v>
      </c>
      <c r="N100" s="4">
        <v>522</v>
      </c>
      <c r="O100" s="4">
        <v>380</v>
      </c>
      <c r="P100" s="6">
        <f>IFERROR(1-O100/N100,"-")</f>
        <v>0.27203065134099613</v>
      </c>
      <c r="Q100" s="4">
        <v>490</v>
      </c>
      <c r="R100" s="4">
        <v>10</v>
      </c>
      <c r="S100" s="4">
        <v>99999</v>
      </c>
      <c r="T100" s="33">
        <v>0</v>
      </c>
      <c r="U100" s="4">
        <f>IF(X100="",T100,T100*X100)</f>
        <v>0</v>
      </c>
      <c r="V100" s="4">
        <v>424</v>
      </c>
      <c r="W100" s="4">
        <f>IF(X100="",V100,V100*X100)</f>
        <v>424</v>
      </c>
      <c r="X100" s="4"/>
      <c r="Y100" s="21">
        <f>ROUND(N100*AM100,0)</f>
        <v>582</v>
      </c>
      <c r="Z100" s="6">
        <f>IFERROR(1-W100/Y100,"-")</f>
        <v>0.27147766323024058</v>
      </c>
      <c r="AA100" s="33">
        <v>3.25</v>
      </c>
      <c r="AB100" s="4">
        <f>AX100</f>
        <v>510</v>
      </c>
      <c r="AC100" s="33">
        <f>IFERROR(AB100*AM100,"-")</f>
        <v>569.05263157894728</v>
      </c>
      <c r="AD100" s="6">
        <f>IFERROR(1-W100/AC100,"-")</f>
        <v>0.2549019607843136</v>
      </c>
      <c r="AE100" s="7">
        <v>569</v>
      </c>
      <c r="AF100" s="6">
        <f>1-W100/AE100</f>
        <v>0.25483304042179267</v>
      </c>
      <c r="AG100" s="4">
        <f>AE100-W100</f>
        <v>145</v>
      </c>
      <c r="AH100" s="28"/>
      <c r="AI100" s="6"/>
      <c r="AJ100" s="6"/>
      <c r="AK100" s="51" t="str">
        <f>IFERROR(U100/M100,"-")</f>
        <v>-</v>
      </c>
      <c r="AL100" s="6">
        <f>IFERROR(AE100/N100,"-")</f>
        <v>1.0900383141762453</v>
      </c>
      <c r="AM100" s="6">
        <f>IFERROR(W100/O100,"-")</f>
        <v>1.1157894736842104</v>
      </c>
      <c r="AN100" s="6">
        <f>IFERROR(1-W100/AO100,"-")</f>
        <v>0.2162661737523105</v>
      </c>
      <c r="AO100" s="4">
        <v>541</v>
      </c>
      <c r="AP100" s="4">
        <f>IF(R100="","-",R100)</f>
        <v>10</v>
      </c>
      <c r="AQ100" s="4">
        <f>IF(S100="","-",S100)</f>
        <v>99999</v>
      </c>
      <c r="AR100" s="4">
        <v>0</v>
      </c>
      <c r="AS100" s="4" t="s">
        <v>505</v>
      </c>
      <c r="AT100" s="4">
        <v>1</v>
      </c>
      <c r="AU100" s="4">
        <v>3</v>
      </c>
      <c r="AV100" s="4" t="s">
        <v>506</v>
      </c>
      <c r="AW100" s="4">
        <v>1530</v>
      </c>
      <c r="AX100" s="4">
        <f>IF(AT100="",AW100,AT100/AU100*AW100)</f>
        <v>510</v>
      </c>
      <c r="AY100" s="19">
        <v>4</v>
      </c>
      <c r="AZ100" s="19">
        <v>8</v>
      </c>
      <c r="BA100" s="16">
        <v>1135</v>
      </c>
      <c r="BB100" t="s">
        <v>528</v>
      </c>
      <c r="BC100" t="str">
        <f>IFERROR(BB100*AM100,"-")</f>
        <v>-</v>
      </c>
      <c r="BD100">
        <v>485</v>
      </c>
      <c r="BE100">
        <f>IFERROR(BD100*AM100,"-")</f>
        <v>541.15789473684208</v>
      </c>
      <c r="BF100" t="s">
        <v>390</v>
      </c>
    </row>
    <row r="101" spans="1:58" x14ac:dyDescent="0.4">
      <c r="A101" s="3">
        <v>102</v>
      </c>
      <c r="B101" s="3">
        <v>102</v>
      </c>
      <c r="C101" s="4" t="s">
        <v>156</v>
      </c>
      <c r="D101" s="4" t="str">
        <f>TEXT(C101,"000000")</f>
        <v>J78057</v>
      </c>
      <c r="E101" s="4" t="s">
        <v>156</v>
      </c>
      <c r="F101" s="4" t="str">
        <f>D101&amp;I101</f>
        <v>J780575</v>
      </c>
      <c r="G101" s="4" t="s">
        <v>279</v>
      </c>
      <c r="H101" s="5">
        <v>4946389330238</v>
      </c>
      <c r="I101" s="33">
        <v>5</v>
      </c>
      <c r="J101" s="5"/>
      <c r="K101" s="5">
        <v>1</v>
      </c>
      <c r="L101" s="5">
        <v>1</v>
      </c>
      <c r="M101" s="4">
        <v>0</v>
      </c>
      <c r="N101" s="4">
        <v>1037</v>
      </c>
      <c r="O101" s="4">
        <v>755</v>
      </c>
      <c r="P101" s="6">
        <f>IFERROR(1-O101/N101,"-")</f>
        <v>0.27193828351012539</v>
      </c>
      <c r="Q101" s="4" t="s">
        <v>304</v>
      </c>
      <c r="R101" s="4" t="s">
        <v>304</v>
      </c>
      <c r="S101" s="4" t="s">
        <v>304</v>
      </c>
      <c r="T101" s="33">
        <v>0</v>
      </c>
      <c r="U101" s="4">
        <f>IF(X101="",T101,T101*X101)</f>
        <v>0</v>
      </c>
      <c r="V101" s="4">
        <v>874</v>
      </c>
      <c r="W101" s="4">
        <f>IF(X101="",V101,V101*X101)</f>
        <v>874</v>
      </c>
      <c r="X101" s="4"/>
      <c r="Y101" s="21">
        <f>ROUND(N101*AM101,0)</f>
        <v>1200</v>
      </c>
      <c r="Z101" s="6">
        <f>IFERROR(1-W101/Y101,"-")</f>
        <v>0.27166666666666661</v>
      </c>
      <c r="AA101" s="33">
        <v>1.25</v>
      </c>
      <c r="AB101" s="4">
        <f>AX101</f>
        <v>1010</v>
      </c>
      <c r="AC101" s="33">
        <f>IFERROR(AB101*AM101,"-")</f>
        <v>1169.1920529801325</v>
      </c>
      <c r="AD101" s="6">
        <f>IFERROR(1-W101/AC101,"-")</f>
        <v>0.25247524752475248</v>
      </c>
      <c r="AE101" s="7">
        <v>1169</v>
      </c>
      <c r="AF101" s="6">
        <f>1-W101/AE101</f>
        <v>0.25235243798118046</v>
      </c>
      <c r="AG101" s="4">
        <f>AE101-W101</f>
        <v>295</v>
      </c>
      <c r="AH101" s="28"/>
      <c r="AI101" s="6"/>
      <c r="AJ101" s="6"/>
      <c r="AK101" s="6" t="str">
        <f>IFERROR(U101/M101,"-")</f>
        <v>-</v>
      </c>
      <c r="AL101" s="6">
        <f>IFERROR(AE101/N101,"-")</f>
        <v>1.1272902603664416</v>
      </c>
      <c r="AM101" s="6">
        <f>IFERROR(W101/O101,"-")</f>
        <v>1.1576158940397352</v>
      </c>
      <c r="AN101" s="6" t="str">
        <f>IFERROR(1-W101/AO101,"-")</f>
        <v>-</v>
      </c>
      <c r="AO101" s="4" t="str">
        <f>IFERROR(ROUND($AE101*Q101/$N101,0),"-")</f>
        <v>-</v>
      </c>
      <c r="AP101" s="4" t="str">
        <f>IF(R101="","-",R101)</f>
        <v>-</v>
      </c>
      <c r="AQ101" s="4" t="str">
        <f>IF(S101="","-",S101)</f>
        <v>-</v>
      </c>
      <c r="AR101" s="4">
        <v>0</v>
      </c>
      <c r="AS101" s="4" t="s">
        <v>503</v>
      </c>
      <c r="AT101" s="4"/>
      <c r="AU101" s="4"/>
      <c r="AV101" s="4" t="s">
        <v>414</v>
      </c>
      <c r="AW101" s="4">
        <v>1010</v>
      </c>
      <c r="AX101" s="4">
        <f>IF(AT101="",AW101,AT101/AU101*AW101)</f>
        <v>1010</v>
      </c>
      <c r="AY101" s="19">
        <v>4</v>
      </c>
      <c r="AZ101" s="19">
        <v>1</v>
      </c>
      <c r="BA101" s="16">
        <v>1135</v>
      </c>
      <c r="BB101" t="s">
        <v>528</v>
      </c>
      <c r="BC101" t="str">
        <f>IFERROR(BB101*AM101,"-")</f>
        <v>-</v>
      </c>
      <c r="BD101">
        <v>960</v>
      </c>
      <c r="BE101">
        <f>IFERROR(BD101*AM101,"-")</f>
        <v>1111.3112582781457</v>
      </c>
      <c r="BF101" t="s">
        <v>388</v>
      </c>
    </row>
    <row r="102" spans="1:58" x14ac:dyDescent="0.4">
      <c r="A102" s="3">
        <v>103</v>
      </c>
      <c r="B102" s="3">
        <v>103</v>
      </c>
      <c r="C102" s="4" t="s">
        <v>157</v>
      </c>
      <c r="D102" s="4" t="str">
        <f>TEXT(C102,"000000")</f>
        <v>J78058</v>
      </c>
      <c r="E102" s="4" t="s">
        <v>157</v>
      </c>
      <c r="F102" s="4" t="str">
        <f>D102&amp;I102</f>
        <v>J780585</v>
      </c>
      <c r="G102" s="4" t="s">
        <v>280</v>
      </c>
      <c r="H102" s="5">
        <v>4946389330214</v>
      </c>
      <c r="I102" s="33">
        <v>5</v>
      </c>
      <c r="J102" s="5"/>
      <c r="K102" s="5">
        <v>1</v>
      </c>
      <c r="L102" s="5">
        <v>1</v>
      </c>
      <c r="M102" s="4">
        <v>0</v>
      </c>
      <c r="N102" s="4">
        <v>1162</v>
      </c>
      <c r="O102" s="4">
        <v>847</v>
      </c>
      <c r="P102" s="6">
        <f>IFERROR(1-O102/N102,"-")</f>
        <v>0.27108433734939763</v>
      </c>
      <c r="Q102" s="4" t="s">
        <v>304</v>
      </c>
      <c r="R102" s="4" t="s">
        <v>304</v>
      </c>
      <c r="S102" s="4" t="s">
        <v>304</v>
      </c>
      <c r="T102" s="33">
        <v>0</v>
      </c>
      <c r="U102" s="4">
        <f>IF(X102="",T102,T102*X102)</f>
        <v>0</v>
      </c>
      <c r="V102" s="4">
        <v>936</v>
      </c>
      <c r="W102" s="4">
        <f>IF(X102="",V102,V102*X102)</f>
        <v>936</v>
      </c>
      <c r="X102" s="4"/>
      <c r="Y102" s="21">
        <f>ROUND(N102*AM102,0)</f>
        <v>1284</v>
      </c>
      <c r="Z102" s="6">
        <f>IFERROR(1-W102/Y102,"-")</f>
        <v>0.2710280373831776</v>
      </c>
      <c r="AA102" s="33">
        <v>1.5</v>
      </c>
      <c r="AB102" s="4">
        <f>AX102</f>
        <v>1130</v>
      </c>
      <c r="AC102" s="33">
        <f>IFERROR(AB102*AM102,"-")</f>
        <v>1248.7367178276268</v>
      </c>
      <c r="AD102" s="6">
        <f>IFERROR(1-W102/AC102,"-")</f>
        <v>0.25044247787610607</v>
      </c>
      <c r="AE102" s="7">
        <v>1248</v>
      </c>
      <c r="AF102" s="6">
        <f>1-W102/AE102</f>
        <v>0.25</v>
      </c>
      <c r="AG102" s="4">
        <f>AE102-W102</f>
        <v>312</v>
      </c>
      <c r="AH102" s="28"/>
      <c r="AI102" s="6"/>
      <c r="AJ102" s="6"/>
      <c r="AK102" s="6" t="str">
        <f>IFERROR(U102/M102,"-")</f>
        <v>-</v>
      </c>
      <c r="AL102" s="6">
        <f>IFERROR(AE102/N102,"-")</f>
        <v>1.0740103270223753</v>
      </c>
      <c r="AM102" s="6">
        <f>IFERROR(W102/O102,"-")</f>
        <v>1.1050767414403777</v>
      </c>
      <c r="AN102" s="6" t="str">
        <f>IFERROR(1-W102/AO102,"-")</f>
        <v>-</v>
      </c>
      <c r="AO102" s="4" t="str">
        <f>IFERROR(ROUND($AE102*Q102/$N102,0),"-")</f>
        <v>-</v>
      </c>
      <c r="AP102" s="4" t="str">
        <f>IF(R102="","-",R102)</f>
        <v>-</v>
      </c>
      <c r="AQ102" s="4" t="str">
        <f>IF(S102="","-",S102)</f>
        <v>-</v>
      </c>
      <c r="AR102" s="4">
        <v>0</v>
      </c>
      <c r="AS102" s="4" t="s">
        <v>504</v>
      </c>
      <c r="AT102" s="4"/>
      <c r="AU102" s="4"/>
      <c r="AV102" s="4" t="s">
        <v>414</v>
      </c>
      <c r="AW102" s="4">
        <v>1130</v>
      </c>
      <c r="AX102" s="4">
        <f>IF(AT102="",AW102,AT102/AU102*AW102)</f>
        <v>1130</v>
      </c>
      <c r="AY102" s="19">
        <v>4</v>
      </c>
      <c r="AZ102" s="19">
        <v>8</v>
      </c>
      <c r="BA102" s="16">
        <v>1135</v>
      </c>
      <c r="BB102" t="s">
        <v>528</v>
      </c>
      <c r="BC102" t="str">
        <f>IFERROR(BB102*AM102,"-")</f>
        <v>-</v>
      </c>
      <c r="BD102">
        <v>1359</v>
      </c>
      <c r="BE102">
        <f>IFERROR(BD102*AM102,"-")</f>
        <v>1501.7992916174733</v>
      </c>
      <c r="BF102" t="s">
        <v>389</v>
      </c>
    </row>
    <row r="103" spans="1:58" x14ac:dyDescent="0.4">
      <c r="A103" s="3">
        <v>105</v>
      </c>
      <c r="B103" s="3">
        <v>105</v>
      </c>
      <c r="C103" s="4" t="s">
        <v>159</v>
      </c>
      <c r="D103" s="4" t="str">
        <f>TEXT(C103,"000000")</f>
        <v>J78129</v>
      </c>
      <c r="E103" s="4" t="s">
        <v>159</v>
      </c>
      <c r="F103" s="4" t="str">
        <f>D103&amp;I103</f>
        <v>J781295</v>
      </c>
      <c r="G103" s="4" t="s">
        <v>282</v>
      </c>
      <c r="H103" s="5">
        <v>4946389330016</v>
      </c>
      <c r="I103" s="33">
        <v>5</v>
      </c>
      <c r="J103" s="5"/>
      <c r="K103" s="5">
        <v>1</v>
      </c>
      <c r="L103" s="5">
        <v>1</v>
      </c>
      <c r="M103" s="4">
        <v>0</v>
      </c>
      <c r="N103" s="4">
        <v>1384</v>
      </c>
      <c r="O103" s="4">
        <v>941</v>
      </c>
      <c r="P103" s="6">
        <f>IFERROR(1-O103/N103,"-")</f>
        <v>0.32008670520231219</v>
      </c>
      <c r="Q103" s="4" t="s">
        <v>304</v>
      </c>
      <c r="R103" s="4" t="s">
        <v>304</v>
      </c>
      <c r="S103" s="4" t="s">
        <v>304</v>
      </c>
      <c r="T103" s="33">
        <v>0</v>
      </c>
      <c r="U103" s="4">
        <f>IF(X103="",T103,T103*X103)</f>
        <v>0</v>
      </c>
      <c r="V103" s="4">
        <v>1038</v>
      </c>
      <c r="W103" s="4">
        <f>IF(X103="",V103,V103*X103)</f>
        <v>1038</v>
      </c>
      <c r="X103" s="4"/>
      <c r="Y103" s="21">
        <f>ROUND(N103*AM103,0)</f>
        <v>1527</v>
      </c>
      <c r="Z103" s="6">
        <f>IFERROR(1-W103/Y103,"-")</f>
        <v>0.32023575638506874</v>
      </c>
      <c r="AA103" s="33">
        <v>3.5000000000000004</v>
      </c>
      <c r="AB103" s="4">
        <f>AX103</f>
        <v>1450</v>
      </c>
      <c r="AC103" s="33">
        <f>IFERROR(AB103*AM103,"-")</f>
        <v>1599.4686503719449</v>
      </c>
      <c r="AD103" s="6">
        <f>IFERROR(1-W103/AC103,"-")</f>
        <v>0.35103448275862081</v>
      </c>
      <c r="AE103" s="7">
        <v>1550</v>
      </c>
      <c r="AF103" s="6">
        <f>1-W103/AE103</f>
        <v>0.33032258064516129</v>
      </c>
      <c r="AG103" s="4">
        <f>AE103-W103</f>
        <v>512</v>
      </c>
      <c r="AH103" s="28"/>
      <c r="AI103" s="6"/>
      <c r="AJ103" s="6"/>
      <c r="AK103" s="6" t="str">
        <f>IFERROR(U103/M103,"-")</f>
        <v>-</v>
      </c>
      <c r="AL103" s="6">
        <f>IFERROR(AE103/N103,"-")</f>
        <v>1.1199421965317919</v>
      </c>
      <c r="AM103" s="6">
        <f>IFERROR(W103/O103,"-")</f>
        <v>1.1030818278427206</v>
      </c>
      <c r="AN103" s="6" t="str">
        <f>IFERROR(1-W103/AO103,"-")</f>
        <v>-</v>
      </c>
      <c r="AO103" s="4" t="str">
        <f>IFERROR(ROUND($AE103*Q103/$N103,0),"-")</f>
        <v>-</v>
      </c>
      <c r="AP103" s="4" t="str">
        <f>IF(R103="","-",R103)</f>
        <v>-</v>
      </c>
      <c r="AQ103" s="4" t="str">
        <f>IF(S103="","-",S103)</f>
        <v>-</v>
      </c>
      <c r="AR103" s="4">
        <v>0</v>
      </c>
      <c r="AS103" s="4" t="s">
        <v>507</v>
      </c>
      <c r="AT103" s="4"/>
      <c r="AU103" s="4"/>
      <c r="AV103" s="4" t="s">
        <v>414</v>
      </c>
      <c r="AW103" s="4">
        <v>1450</v>
      </c>
      <c r="AX103" s="4">
        <f>IF(AT103="",AW103,AT103/AU103*AW103)</f>
        <v>1450</v>
      </c>
      <c r="AY103" s="19">
        <v>4</v>
      </c>
      <c r="AZ103" s="19">
        <v>1</v>
      </c>
      <c r="BA103" s="16">
        <v>1135</v>
      </c>
      <c r="BB103" t="s">
        <v>528</v>
      </c>
      <c r="BC103" t="str">
        <f>IFERROR(BB103*AM103,"-")</f>
        <v>-</v>
      </c>
      <c r="BD103">
        <v>1549</v>
      </c>
      <c r="BE103">
        <f>IFERROR(BD103*AM103,"-")</f>
        <v>1708.6737513283742</v>
      </c>
      <c r="BF103" t="s">
        <v>391</v>
      </c>
    </row>
    <row r="104" spans="1:58" x14ac:dyDescent="0.4">
      <c r="A104" s="3">
        <v>109</v>
      </c>
      <c r="B104" s="3">
        <v>109</v>
      </c>
      <c r="C104" s="4" t="s">
        <v>163</v>
      </c>
      <c r="D104" s="4" t="str">
        <f>TEXT(C104,"000000")</f>
        <v>J78454</v>
      </c>
      <c r="E104" s="4" t="s">
        <v>163</v>
      </c>
      <c r="F104" s="4" t="str">
        <f>D104&amp;I104</f>
        <v>J784545</v>
      </c>
      <c r="G104" s="4" t="s">
        <v>286</v>
      </c>
      <c r="H104" s="5">
        <v>4946389420403</v>
      </c>
      <c r="I104" s="33">
        <v>5</v>
      </c>
      <c r="J104" s="5"/>
      <c r="K104" s="5">
        <v>1</v>
      </c>
      <c r="L104" s="5">
        <v>1</v>
      </c>
      <c r="M104" s="4">
        <v>0</v>
      </c>
      <c r="N104" s="4">
        <v>2521</v>
      </c>
      <c r="O104" s="4">
        <v>1360</v>
      </c>
      <c r="P104" s="6">
        <f>IFERROR(1-O104/N104,"-")</f>
        <v>0.46053153510511702</v>
      </c>
      <c r="Q104" s="4" t="s">
        <v>304</v>
      </c>
      <c r="R104" s="4" t="s">
        <v>304</v>
      </c>
      <c r="S104" s="4" t="s">
        <v>304</v>
      </c>
      <c r="T104" s="33">
        <v>0</v>
      </c>
      <c r="U104" s="4">
        <f>IF(X104="",T104,T104*X104)</f>
        <v>0</v>
      </c>
      <c r="V104" s="4">
        <v>1650</v>
      </c>
      <c r="W104" s="4">
        <f>IF(X104="",V104,V104*X104)</f>
        <v>1650</v>
      </c>
      <c r="X104" s="4"/>
      <c r="Y104" s="21">
        <f>ROUND(N104*AM104,0)</f>
        <v>3059</v>
      </c>
      <c r="Z104" s="6">
        <f>IFERROR(1-W104/Y104,"-")</f>
        <v>0.46060804184373982</v>
      </c>
      <c r="AA104" s="33">
        <v>1</v>
      </c>
      <c r="AB104" s="4">
        <f>AX104</f>
        <v>2695</v>
      </c>
      <c r="AC104" s="33">
        <f>IFERROR(AB104*AM104,"-")</f>
        <v>3269.6691176470586</v>
      </c>
      <c r="AD104" s="6">
        <f>IFERROR(1-W104/AC104,"-")</f>
        <v>0.49536178107606677</v>
      </c>
      <c r="AE104" s="7">
        <v>2980</v>
      </c>
      <c r="AF104" s="6">
        <f>1-W104/AE104</f>
        <v>0.44630872483221473</v>
      </c>
      <c r="AG104" s="4">
        <f>AE104-W104</f>
        <v>1330</v>
      </c>
      <c r="AH104" s="28"/>
      <c r="AI104" s="6"/>
      <c r="AJ104" s="6"/>
      <c r="AK104" s="6" t="str">
        <f>IFERROR(U104/M104,"-")</f>
        <v>-</v>
      </c>
      <c r="AL104" s="6">
        <f>IFERROR(AE104/N104,"-")</f>
        <v>1.182070606902023</v>
      </c>
      <c r="AM104" s="6">
        <f>IFERROR(W104/O104,"-")</f>
        <v>1.213235294117647</v>
      </c>
      <c r="AN104" s="6" t="str">
        <f>IFERROR(1-W104/AO104,"-")</f>
        <v>-</v>
      </c>
      <c r="AO104" s="4" t="str">
        <f>IFERROR(ROUND($AE104*Q104/$N104,0),"-")</f>
        <v>-</v>
      </c>
      <c r="AP104" s="4" t="str">
        <f>IF(R104="","-",R104)</f>
        <v>-</v>
      </c>
      <c r="AQ104" s="4" t="str">
        <f>IF(S104="","-",S104)</f>
        <v>-</v>
      </c>
      <c r="AR104" s="4">
        <v>0</v>
      </c>
      <c r="AS104" s="4" t="s">
        <v>511</v>
      </c>
      <c r="AT104" s="4"/>
      <c r="AU104" s="4"/>
      <c r="AV104" s="4" t="s">
        <v>414</v>
      </c>
      <c r="AW104" s="4">
        <v>2695</v>
      </c>
      <c r="AX104" s="4">
        <f>IF(AT104="",AW104,AT104/AU104*AW104)</f>
        <v>2695</v>
      </c>
      <c r="AY104" s="19">
        <v>4</v>
      </c>
      <c r="AZ104" s="19">
        <v>8</v>
      </c>
      <c r="BA104" s="16">
        <v>1135</v>
      </c>
      <c r="BB104" t="s">
        <v>528</v>
      </c>
      <c r="BC104" t="str">
        <f>IFERROR(BB104*AM104,"-")</f>
        <v>-</v>
      </c>
      <c r="BD104">
        <v>2584</v>
      </c>
      <c r="BE104">
        <f>IFERROR(BD104*AM104,"-")</f>
        <v>3134.9999999999995</v>
      </c>
      <c r="BF104" t="s">
        <v>395</v>
      </c>
    </row>
    <row r="105" spans="1:58" x14ac:dyDescent="0.4">
      <c r="A105" s="3">
        <v>107</v>
      </c>
      <c r="B105" s="3">
        <v>107</v>
      </c>
      <c r="C105" s="4" t="s">
        <v>161</v>
      </c>
      <c r="D105" s="4" t="str">
        <f>TEXT(C105,"000000")</f>
        <v>J78452</v>
      </c>
      <c r="E105" s="4" t="s">
        <v>161</v>
      </c>
      <c r="F105" s="4" t="str">
        <f>D105&amp;I105</f>
        <v>J784525</v>
      </c>
      <c r="G105" s="4" t="s">
        <v>284</v>
      </c>
      <c r="H105" s="5">
        <v>4946389420397</v>
      </c>
      <c r="I105" s="33">
        <v>5</v>
      </c>
      <c r="J105" s="5"/>
      <c r="K105" s="5">
        <v>1</v>
      </c>
      <c r="L105" s="5">
        <v>1</v>
      </c>
      <c r="M105" s="4">
        <v>0</v>
      </c>
      <c r="N105" s="4">
        <v>1819</v>
      </c>
      <c r="O105" s="4">
        <v>1392</v>
      </c>
      <c r="P105" s="6">
        <f>IFERROR(1-O105/N105,"-")</f>
        <v>0.23474436503573393</v>
      </c>
      <c r="Q105" s="4" t="s">
        <v>304</v>
      </c>
      <c r="R105" s="4" t="s">
        <v>304</v>
      </c>
      <c r="S105" s="4" t="s">
        <v>304</v>
      </c>
      <c r="T105" s="33">
        <v>0</v>
      </c>
      <c r="U105" s="4">
        <f>IF(X105="",T105,T105*X105)</f>
        <v>0</v>
      </c>
      <c r="V105" s="4">
        <v>1681</v>
      </c>
      <c r="W105" s="4">
        <f>IF(X105="",V105,V105*X105)</f>
        <v>1681</v>
      </c>
      <c r="X105" s="4"/>
      <c r="Y105" s="21">
        <f>ROUND(N105*AM105,0)</f>
        <v>2197</v>
      </c>
      <c r="Z105" s="6">
        <f>IFERROR(1-W105/Y105,"-")</f>
        <v>0.23486572598998634</v>
      </c>
      <c r="AA105" s="33">
        <v>0.25</v>
      </c>
      <c r="AB105" s="4">
        <f>AX105</f>
        <v>2772</v>
      </c>
      <c r="AC105" s="33">
        <f>IFERROR(AB105*AM105,"-")</f>
        <v>3347.5086206896553</v>
      </c>
      <c r="AD105" s="6">
        <f>IFERROR(1-W105/AC105,"-")</f>
        <v>0.49783549783549785</v>
      </c>
      <c r="AE105" s="7">
        <v>2480</v>
      </c>
      <c r="AF105" s="6">
        <f>1-W105/AE105</f>
        <v>0.32217741935483868</v>
      </c>
      <c r="AG105" s="4">
        <f>AE105-W105</f>
        <v>799</v>
      </c>
      <c r="AH105" s="28"/>
      <c r="AI105" s="6"/>
      <c r="AJ105" s="6"/>
      <c r="AK105" s="6" t="str">
        <f>IFERROR(U105/M105,"-")</f>
        <v>-</v>
      </c>
      <c r="AL105" s="6">
        <f>IFERROR(AE105/N105,"-")</f>
        <v>1.3633864760857615</v>
      </c>
      <c r="AM105" s="6">
        <f>IFERROR(W105/O105,"-")</f>
        <v>1.2076149425287357</v>
      </c>
      <c r="AN105" s="6" t="str">
        <f>IFERROR(1-W105/AO105,"-")</f>
        <v>-</v>
      </c>
      <c r="AO105" s="4" t="str">
        <f>IFERROR(ROUND($AE105*Q105/$N105,0),"-")</f>
        <v>-</v>
      </c>
      <c r="AP105" s="4" t="str">
        <f>IF(R105="","-",R105)</f>
        <v>-</v>
      </c>
      <c r="AQ105" s="4" t="str">
        <f>IF(S105="","-",S105)</f>
        <v>-</v>
      </c>
      <c r="AR105" s="4">
        <v>0</v>
      </c>
      <c r="AS105" s="4" t="s">
        <v>509</v>
      </c>
      <c r="AT105" s="4"/>
      <c r="AU105" s="4"/>
      <c r="AV105" s="4" t="s">
        <v>414</v>
      </c>
      <c r="AW105" s="4">
        <v>2772</v>
      </c>
      <c r="AX105" s="4">
        <f>IF(AT105="",AW105,AT105/AU105*AW105)</f>
        <v>2772</v>
      </c>
      <c r="AY105" s="19">
        <v>4</v>
      </c>
      <c r="AZ105" s="19">
        <v>8</v>
      </c>
      <c r="BA105" s="16">
        <v>1135</v>
      </c>
      <c r="BB105" t="s">
        <v>528</v>
      </c>
      <c r="BC105" t="str">
        <f>IFERROR(BB105*AM105,"-")</f>
        <v>-</v>
      </c>
      <c r="BD105">
        <v>2651</v>
      </c>
      <c r="BE105">
        <f>IFERROR(BD105*AM105,"-")</f>
        <v>3201.3872126436781</v>
      </c>
      <c r="BF105" t="s">
        <v>393</v>
      </c>
    </row>
    <row r="106" spans="1:58" x14ac:dyDescent="0.4">
      <c r="A106" s="3">
        <v>106</v>
      </c>
      <c r="B106" s="3">
        <v>106</v>
      </c>
      <c r="C106" s="4" t="s">
        <v>160</v>
      </c>
      <c r="D106" s="4" t="str">
        <f>TEXT(C106,"000000")</f>
        <v>J78130</v>
      </c>
      <c r="E106" s="4" t="s">
        <v>160</v>
      </c>
      <c r="F106" s="4" t="str">
        <f>D106&amp;I106</f>
        <v>J781305</v>
      </c>
      <c r="G106" s="4" t="s">
        <v>283</v>
      </c>
      <c r="H106" s="5">
        <v>4946389330115</v>
      </c>
      <c r="I106" s="33">
        <v>5</v>
      </c>
      <c r="J106" s="5"/>
      <c r="K106" s="5">
        <v>1</v>
      </c>
      <c r="L106" s="5">
        <v>1</v>
      </c>
      <c r="M106" s="4">
        <v>0</v>
      </c>
      <c r="N106" s="4">
        <v>1998</v>
      </c>
      <c r="O106" s="4">
        <v>1579</v>
      </c>
      <c r="P106" s="6">
        <f>IFERROR(1-O106/N106,"-")</f>
        <v>0.2097097097097097</v>
      </c>
      <c r="Q106" s="4" t="s">
        <v>304</v>
      </c>
      <c r="R106" s="4" t="s">
        <v>304</v>
      </c>
      <c r="S106" s="4" t="s">
        <v>304</v>
      </c>
      <c r="T106" s="33">
        <v>0</v>
      </c>
      <c r="U106" s="4">
        <f>IF(X106="",T106,T106*X106)</f>
        <v>0</v>
      </c>
      <c r="V106" s="4">
        <v>1741</v>
      </c>
      <c r="W106" s="4">
        <f>IF(X106="",V106,V106*X106)</f>
        <v>1741</v>
      </c>
      <c r="X106" s="4"/>
      <c r="Y106" s="21">
        <f>ROUND(N106*AM106,0)</f>
        <v>2203</v>
      </c>
      <c r="Z106" s="6">
        <f>IFERROR(1-W106/Y106,"-")</f>
        <v>0.20971402632773495</v>
      </c>
      <c r="AA106" s="33">
        <v>0.25</v>
      </c>
      <c r="AB106" s="4">
        <f>AX106</f>
        <v>2430</v>
      </c>
      <c r="AC106" s="33">
        <f>IFERROR(AB106*AM106,"-")</f>
        <v>2679.3096896770112</v>
      </c>
      <c r="AD106" s="6">
        <f>IFERROR(1-W106/AC106,"-")</f>
        <v>0.35020576131687253</v>
      </c>
      <c r="AE106" s="7">
        <v>2545</v>
      </c>
      <c r="AF106" s="6">
        <f>1-W106/AE106</f>
        <v>0.31591355599214144</v>
      </c>
      <c r="AG106" s="4">
        <f>AE106-W106</f>
        <v>804</v>
      </c>
      <c r="AH106" s="28"/>
      <c r="AI106" s="6"/>
      <c r="AJ106" s="6"/>
      <c r="AK106" s="6" t="str">
        <f>IFERROR(U106/M106,"-")</f>
        <v>-</v>
      </c>
      <c r="AL106" s="6">
        <f>IFERROR(AE106/N106,"-")</f>
        <v>1.2737737737737738</v>
      </c>
      <c r="AM106" s="6">
        <f>IFERROR(W106/O106,"-")</f>
        <v>1.1025965801139963</v>
      </c>
      <c r="AN106" s="6" t="str">
        <f>IFERROR(1-W106/AO106,"-")</f>
        <v>-</v>
      </c>
      <c r="AO106" s="4" t="str">
        <f>IFERROR(ROUND($AE106*Q106/$N106,0),"-")</f>
        <v>-</v>
      </c>
      <c r="AP106" s="4" t="str">
        <f>IF(R106="","-",R106)</f>
        <v>-</v>
      </c>
      <c r="AQ106" s="4" t="str">
        <f>IF(S106="","-",S106)</f>
        <v>-</v>
      </c>
      <c r="AR106" s="4">
        <v>0</v>
      </c>
      <c r="AS106" s="4" t="s">
        <v>508</v>
      </c>
      <c r="AT106" s="4"/>
      <c r="AU106" s="4"/>
      <c r="AV106" s="4" t="s">
        <v>414</v>
      </c>
      <c r="AW106" s="4">
        <v>2430</v>
      </c>
      <c r="AX106" s="4">
        <f>IF(AT106="",AW106,AT106/AU106*AW106)</f>
        <v>2430</v>
      </c>
      <c r="AY106" s="19">
        <v>4</v>
      </c>
      <c r="AZ106" s="19">
        <v>8</v>
      </c>
      <c r="BA106" s="16">
        <v>1135</v>
      </c>
      <c r="BB106" t="s">
        <v>528</v>
      </c>
      <c r="BC106" t="str">
        <f>IFERROR(BB106*AM106,"-")</f>
        <v>-</v>
      </c>
      <c r="BD106">
        <v>2309</v>
      </c>
      <c r="BE106">
        <f>IFERROR(BD106*AM106,"-")</f>
        <v>2545.8955034832175</v>
      </c>
      <c r="BF106" t="s">
        <v>392</v>
      </c>
    </row>
    <row r="107" spans="1:58" x14ac:dyDescent="0.4">
      <c r="A107" s="3">
        <v>108</v>
      </c>
      <c r="B107" s="3">
        <v>108</v>
      </c>
      <c r="C107" s="4" t="s">
        <v>162</v>
      </c>
      <c r="D107" s="4" t="str">
        <f>TEXT(C107,"000000")</f>
        <v>J78453</v>
      </c>
      <c r="E107" s="4" t="s">
        <v>162</v>
      </c>
      <c r="F107" s="4" t="str">
        <f>D107&amp;I107</f>
        <v>J784535</v>
      </c>
      <c r="G107" s="4" t="s">
        <v>285</v>
      </c>
      <c r="H107" s="5">
        <v>4946389420137</v>
      </c>
      <c r="I107" s="33">
        <v>5</v>
      </c>
      <c r="J107" s="5"/>
      <c r="K107" s="5">
        <v>1</v>
      </c>
      <c r="L107" s="5">
        <v>1</v>
      </c>
      <c r="M107" s="4">
        <v>0</v>
      </c>
      <c r="N107" s="4">
        <v>2162</v>
      </c>
      <c r="O107" s="4">
        <v>1515</v>
      </c>
      <c r="P107" s="6">
        <f>IFERROR(1-O107/N107,"-")</f>
        <v>0.29925994449583715</v>
      </c>
      <c r="Q107" s="4" t="s">
        <v>304</v>
      </c>
      <c r="R107" s="4" t="s">
        <v>304</v>
      </c>
      <c r="S107" s="4" t="s">
        <v>304</v>
      </c>
      <c r="T107" s="33">
        <v>0</v>
      </c>
      <c r="U107" s="4">
        <f>IF(X107="",T107,T107*X107)</f>
        <v>0</v>
      </c>
      <c r="V107" s="4">
        <v>1825</v>
      </c>
      <c r="W107" s="4">
        <f>IF(X107="",V107,V107*X107)</f>
        <v>1825</v>
      </c>
      <c r="X107" s="4"/>
      <c r="Y107" s="21">
        <f>ROUND(N107*AM107,0)</f>
        <v>2604</v>
      </c>
      <c r="Z107" s="6">
        <f>IFERROR(1-W107/Y107,"-")</f>
        <v>0.29915514592933945</v>
      </c>
      <c r="AA107" s="33">
        <v>0.75</v>
      </c>
      <c r="AB107" s="4">
        <f>AX107</f>
        <v>3030</v>
      </c>
      <c r="AC107" s="33">
        <f>IFERROR(AB107*AM107,"-")</f>
        <v>3650</v>
      </c>
      <c r="AD107" s="6">
        <f>IFERROR(1-W107/AC107,"-")</f>
        <v>0.5</v>
      </c>
      <c r="AE107" s="7">
        <v>2800</v>
      </c>
      <c r="AF107" s="6">
        <f>1-W107/AE107</f>
        <v>0.3482142857142857</v>
      </c>
      <c r="AG107" s="4">
        <f>AE107-W107</f>
        <v>975</v>
      </c>
      <c r="AH107" s="28"/>
      <c r="AI107" s="6"/>
      <c r="AJ107" s="6"/>
      <c r="AK107" s="6" t="str">
        <f>IFERROR(U107/M107,"-")</f>
        <v>-</v>
      </c>
      <c r="AL107" s="6">
        <f>IFERROR(AE107/N107,"-")</f>
        <v>1.2950971322849214</v>
      </c>
      <c r="AM107" s="6">
        <f>IFERROR(W107/O107,"-")</f>
        <v>1.2046204620462047</v>
      </c>
      <c r="AN107" s="6" t="str">
        <f>IFERROR(1-W107/AO107,"-")</f>
        <v>-</v>
      </c>
      <c r="AO107" s="4" t="str">
        <f>IFERROR(ROUND($AE107*Q107/$N107,0),"-")</f>
        <v>-</v>
      </c>
      <c r="AP107" s="4" t="str">
        <f>IF(R107="","-",R107)</f>
        <v>-</v>
      </c>
      <c r="AQ107" s="4" t="str">
        <f>IF(S107="","-",S107)</f>
        <v>-</v>
      </c>
      <c r="AR107" s="4">
        <v>0</v>
      </c>
      <c r="AS107" s="4" t="s">
        <v>510</v>
      </c>
      <c r="AT107" s="4"/>
      <c r="AU107" s="4"/>
      <c r="AV107" s="4" t="s">
        <v>414</v>
      </c>
      <c r="AW107" s="4">
        <v>3030</v>
      </c>
      <c r="AX107" s="4">
        <f>IF(AT107="",AW107,AT107/AU107*AW107)</f>
        <v>3030</v>
      </c>
      <c r="AY107" s="19">
        <v>4</v>
      </c>
      <c r="AZ107" s="19">
        <v>8</v>
      </c>
      <c r="BA107" s="16">
        <v>1135</v>
      </c>
      <c r="BB107" t="s">
        <v>528</v>
      </c>
      <c r="BC107" t="str">
        <f>IFERROR(BB107*AM107,"-")</f>
        <v>-</v>
      </c>
      <c r="BD107">
        <v>2879</v>
      </c>
      <c r="BE107">
        <f>IFERROR(BD107*AM107,"-")</f>
        <v>3468.1023102310232</v>
      </c>
      <c r="BF107" t="s">
        <v>394</v>
      </c>
    </row>
    <row r="108" spans="1:58" x14ac:dyDescent="0.4">
      <c r="A108" s="3">
        <v>47</v>
      </c>
      <c r="B108" s="3">
        <v>47</v>
      </c>
      <c r="C108" s="4" t="s">
        <v>101</v>
      </c>
      <c r="D108" s="4" t="str">
        <f>TEXT(C108,"000000")</f>
        <v>J42162</v>
      </c>
      <c r="E108" s="4" t="s">
        <v>101</v>
      </c>
      <c r="F108" s="4" t="str">
        <f>D108&amp;I108</f>
        <v>J421625</v>
      </c>
      <c r="G108" s="4" t="s">
        <v>224</v>
      </c>
      <c r="H108" s="5">
        <v>4547345004776</v>
      </c>
      <c r="I108" s="33">
        <v>5</v>
      </c>
      <c r="J108" s="5"/>
      <c r="K108" s="5">
        <v>1</v>
      </c>
      <c r="L108" s="5">
        <v>1</v>
      </c>
      <c r="M108" s="4">
        <v>0</v>
      </c>
      <c r="N108" s="4">
        <v>5194</v>
      </c>
      <c r="O108" s="4">
        <v>3479</v>
      </c>
      <c r="P108" s="6">
        <f>IFERROR(1-O108/N108,"-")</f>
        <v>0.33018867924528306</v>
      </c>
      <c r="Q108" s="4" t="s">
        <v>304</v>
      </c>
      <c r="R108" s="4" t="s">
        <v>304</v>
      </c>
      <c r="S108" s="4" t="s">
        <v>304</v>
      </c>
      <c r="T108" s="33">
        <v>0</v>
      </c>
      <c r="U108" s="4">
        <f>IF(X108="",T108,T108*X108)</f>
        <v>0</v>
      </c>
      <c r="V108" s="4">
        <v>3833</v>
      </c>
      <c r="W108" s="4">
        <f>IF(X108="",V108,V108*X108)</f>
        <v>3833</v>
      </c>
      <c r="X108" s="4"/>
      <c r="Y108" s="21">
        <f>ROUND(N108*AM108,0)</f>
        <v>5723</v>
      </c>
      <c r="Z108" s="6">
        <f>IFERROR(1-W108/Y108,"-")</f>
        <v>0.33024637427922421</v>
      </c>
      <c r="AA108" s="33">
        <v>0.75</v>
      </c>
      <c r="AB108" s="4">
        <f>AX108</f>
        <v>4898</v>
      </c>
      <c r="AC108" s="33">
        <f>IFERROR(AB108*AM108,"-")</f>
        <v>5396.3880425409598</v>
      </c>
      <c r="AD108" s="6">
        <f>IFERROR(1-W108/AC108,"-")</f>
        <v>0.28971008574928536</v>
      </c>
      <c r="AE108" s="7">
        <v>5396</v>
      </c>
      <c r="AF108" s="6">
        <f>1-W108/AE108</f>
        <v>0.2896590066716086</v>
      </c>
      <c r="AG108" s="4">
        <f>AE108-W108</f>
        <v>1563</v>
      </c>
      <c r="AH108" s="28"/>
      <c r="AI108" s="6"/>
      <c r="AJ108" s="6"/>
      <c r="AK108" s="6" t="str">
        <f>IFERROR(U108/M108,"-")</f>
        <v>-</v>
      </c>
      <c r="AL108" s="6">
        <f>IFERROR(AE108/N108,"-")</f>
        <v>1.0388910281093569</v>
      </c>
      <c r="AM108" s="6">
        <f>IFERROR(W108/O108,"-")</f>
        <v>1.1017533774073009</v>
      </c>
      <c r="AN108" s="6" t="str">
        <f>IFERROR(1-W108/AO108,"-")</f>
        <v>-</v>
      </c>
      <c r="AO108" s="4" t="str">
        <f>IFERROR(ROUND($AE108*Q108/$N108,0),"-")</f>
        <v>-</v>
      </c>
      <c r="AP108" s="4" t="str">
        <f>IF(R108="","-",R108)</f>
        <v>-</v>
      </c>
      <c r="AQ108" s="4" t="str">
        <f>IF(S108="","-",S108)</f>
        <v>-</v>
      </c>
      <c r="AR108" s="4">
        <v>0</v>
      </c>
      <c r="AS108" s="4" t="s">
        <v>456</v>
      </c>
      <c r="AT108" s="4"/>
      <c r="AU108" s="4"/>
      <c r="AV108" s="4" t="s">
        <v>411</v>
      </c>
      <c r="AW108" s="4">
        <v>4898</v>
      </c>
      <c r="AX108" s="4">
        <f>IF(AT108="",AW108,AT108/AU108*AW108)</f>
        <v>4898</v>
      </c>
      <c r="AY108" s="19">
        <v>4</v>
      </c>
      <c r="AZ108" s="19">
        <v>8</v>
      </c>
      <c r="BA108" s="16">
        <v>1135</v>
      </c>
      <c r="BB108" t="s">
        <v>528</v>
      </c>
      <c r="BC108" t="str">
        <f>IFERROR(BB108*AM108,"-")</f>
        <v>-</v>
      </c>
      <c r="BD108">
        <v>4628</v>
      </c>
      <c r="BE108">
        <f>IFERROR(BD108*AM108,"-")</f>
        <v>5098.9146306409884</v>
      </c>
      <c r="BF108" t="s">
        <v>347</v>
      </c>
    </row>
    <row r="109" spans="1:58" x14ac:dyDescent="0.4">
      <c r="A109" s="3">
        <v>114</v>
      </c>
      <c r="B109" s="3">
        <v>114</v>
      </c>
      <c r="C109" s="4" t="s">
        <v>168</v>
      </c>
      <c r="D109" s="4" t="str">
        <f>TEXT(C109,"000000")</f>
        <v>J80382</v>
      </c>
      <c r="E109" s="4" t="s">
        <v>168</v>
      </c>
      <c r="F109" s="4" t="str">
        <f>D109&amp;I109</f>
        <v>J803825</v>
      </c>
      <c r="G109" s="4" t="s">
        <v>291</v>
      </c>
      <c r="H109" s="5">
        <v>4960369920592</v>
      </c>
      <c r="I109" s="33">
        <v>5</v>
      </c>
      <c r="J109" s="5"/>
      <c r="K109" s="5">
        <v>1</v>
      </c>
      <c r="L109" s="5">
        <v>1</v>
      </c>
      <c r="M109" s="4">
        <v>215</v>
      </c>
      <c r="N109" s="4">
        <v>204</v>
      </c>
      <c r="O109" s="4">
        <v>122</v>
      </c>
      <c r="P109" s="6">
        <f>IFERROR(1-O109/N109,"-")</f>
        <v>0.40196078431372551</v>
      </c>
      <c r="Q109" s="4" t="s">
        <v>304</v>
      </c>
      <c r="R109" s="4" t="s">
        <v>304</v>
      </c>
      <c r="S109" s="4" t="s">
        <v>304</v>
      </c>
      <c r="T109" s="4">
        <v>247</v>
      </c>
      <c r="U109" s="4">
        <f>IF(X109="",T109,T109*X109)</f>
        <v>247</v>
      </c>
      <c r="V109" s="4">
        <v>140</v>
      </c>
      <c r="W109" s="4">
        <f>IF(X109="",V109,V109*X109)</f>
        <v>140</v>
      </c>
      <c r="X109" s="4"/>
      <c r="Y109" s="21">
        <f>ROUND(N109*AM109,0)</f>
        <v>234</v>
      </c>
      <c r="Z109" s="6">
        <f>IFERROR(1-W109/Y109,"-")</f>
        <v>0.40170940170940173</v>
      </c>
      <c r="AA109" s="33">
        <v>1.25</v>
      </c>
      <c r="AB109" s="4">
        <f>AX109</f>
        <v>215</v>
      </c>
      <c r="AC109" s="33">
        <f>IFERROR(AB109*AM109,"-")</f>
        <v>246.72131147540983</v>
      </c>
      <c r="AD109" s="6">
        <f>IFERROR(1-W109/AC109,"-")</f>
        <v>0.43255813953488376</v>
      </c>
      <c r="AE109" s="7">
        <v>230</v>
      </c>
      <c r="AF109" s="6">
        <f>1-W109/AE109</f>
        <v>0.39130434782608692</v>
      </c>
      <c r="AG109" s="4">
        <f>AE109-W109</f>
        <v>90</v>
      </c>
      <c r="AH109" s="28"/>
      <c r="AI109" s="6"/>
      <c r="AJ109" s="6"/>
      <c r="AK109" s="6">
        <f>IFERROR(U109/M109,"-")</f>
        <v>1.1488372093023256</v>
      </c>
      <c r="AL109" s="6">
        <f>IFERROR(AE109/N109,"-")</f>
        <v>1.1274509803921569</v>
      </c>
      <c r="AM109" s="6">
        <f>IFERROR(W109/O109,"-")</f>
        <v>1.1475409836065573</v>
      </c>
      <c r="AN109" s="6" t="str">
        <f>IFERROR(1-W109/AO109,"-")</f>
        <v>-</v>
      </c>
      <c r="AO109" s="4" t="str">
        <f>IFERROR(ROUND($AE109*Q109/$N109,0),"-")</f>
        <v>-</v>
      </c>
      <c r="AP109" s="4" t="str">
        <f>IF(R109="","-",R109)</f>
        <v>-</v>
      </c>
      <c r="AQ109" s="4" t="str">
        <f>IF(S109="","-",S109)</f>
        <v>-</v>
      </c>
      <c r="AR109" s="4">
        <v>0</v>
      </c>
      <c r="AS109" s="4" t="s">
        <v>517</v>
      </c>
      <c r="AT109" s="4">
        <v>1</v>
      </c>
      <c r="AU109" s="4">
        <v>5</v>
      </c>
      <c r="AV109" s="4" t="s">
        <v>518</v>
      </c>
      <c r="AW109" s="4">
        <v>1075</v>
      </c>
      <c r="AX109" s="4">
        <f>IF(AT109="",AW109,AT109/AU109*AW109)</f>
        <v>215</v>
      </c>
      <c r="AY109" s="19">
        <v>4</v>
      </c>
      <c r="AZ109" s="19">
        <v>8</v>
      </c>
      <c r="BA109" s="16">
        <v>1805</v>
      </c>
      <c r="BB109" t="s">
        <v>528</v>
      </c>
      <c r="BC109" t="str">
        <f>IFERROR(BB109*AM109,"-")</f>
        <v>-</v>
      </c>
      <c r="BD109">
        <v>209</v>
      </c>
      <c r="BE109">
        <f>IFERROR(BD109*AM109,"-")</f>
        <v>239.83606557377047</v>
      </c>
      <c r="BF109" t="s">
        <v>400</v>
      </c>
    </row>
    <row r="110" spans="1:58" x14ac:dyDescent="0.4">
      <c r="A110" s="3">
        <v>115</v>
      </c>
      <c r="B110" s="3">
        <v>115</v>
      </c>
      <c r="C110" s="4" t="s">
        <v>169</v>
      </c>
      <c r="D110" s="4" t="str">
        <f>TEXT(C110,"000000")</f>
        <v>J80383</v>
      </c>
      <c r="E110" s="4" t="s">
        <v>169</v>
      </c>
      <c r="F110" s="4" t="str">
        <f>D110&amp;I110</f>
        <v>J803835</v>
      </c>
      <c r="G110" s="4" t="s">
        <v>292</v>
      </c>
      <c r="H110" s="5">
        <v>4960369920608</v>
      </c>
      <c r="I110" s="33">
        <v>5</v>
      </c>
      <c r="J110" s="5"/>
      <c r="K110" s="5">
        <v>1</v>
      </c>
      <c r="L110" s="5">
        <v>1</v>
      </c>
      <c r="M110" s="4">
        <v>215</v>
      </c>
      <c r="N110" s="4">
        <v>204</v>
      </c>
      <c r="O110" s="4">
        <v>122</v>
      </c>
      <c r="P110" s="6">
        <f>IFERROR(1-O110/N110,"-")</f>
        <v>0.40196078431372551</v>
      </c>
      <c r="Q110" s="4" t="s">
        <v>304</v>
      </c>
      <c r="R110" s="4" t="s">
        <v>304</v>
      </c>
      <c r="S110" s="4" t="s">
        <v>304</v>
      </c>
      <c r="T110" s="4">
        <v>247</v>
      </c>
      <c r="U110" s="4">
        <f>IF(X110="",T110,T110*X110)</f>
        <v>247</v>
      </c>
      <c r="V110" s="4">
        <v>140</v>
      </c>
      <c r="W110" s="4">
        <f>IF(X110="",V110,V110*X110)</f>
        <v>140</v>
      </c>
      <c r="X110" s="4"/>
      <c r="Y110" s="21">
        <f>ROUND(N110*AM110,0)</f>
        <v>234</v>
      </c>
      <c r="Z110" s="6">
        <f>IFERROR(1-W110/Y110,"-")</f>
        <v>0.40170940170940173</v>
      </c>
      <c r="AA110" s="33">
        <v>0.75</v>
      </c>
      <c r="AB110" s="4">
        <f>AX110</f>
        <v>216</v>
      </c>
      <c r="AC110" s="33">
        <f>IFERROR(AB110*AM110,"-")</f>
        <v>247.86885245901638</v>
      </c>
      <c r="AD110" s="6">
        <f>IFERROR(1-W110/AC110,"-")</f>
        <v>0.43518518518518512</v>
      </c>
      <c r="AE110" s="7">
        <v>230</v>
      </c>
      <c r="AF110" s="6">
        <f>1-W110/AE110</f>
        <v>0.39130434782608692</v>
      </c>
      <c r="AG110" s="4">
        <f>AE110-W110</f>
        <v>90</v>
      </c>
      <c r="AH110" s="28"/>
      <c r="AI110" s="6"/>
      <c r="AJ110" s="6"/>
      <c r="AK110" s="6">
        <f>IFERROR(U110/M110,"-")</f>
        <v>1.1488372093023256</v>
      </c>
      <c r="AL110" s="6">
        <f>IFERROR(AE110/N110,"-")</f>
        <v>1.1274509803921569</v>
      </c>
      <c r="AM110" s="6">
        <f>IFERROR(W110/O110,"-")</f>
        <v>1.1475409836065573</v>
      </c>
      <c r="AN110" s="6" t="str">
        <f>IFERROR(1-W110/AO110,"-")</f>
        <v>-</v>
      </c>
      <c r="AO110" s="4" t="str">
        <f>IFERROR(ROUND($AE110*Q110/$N110,0),"-")</f>
        <v>-</v>
      </c>
      <c r="AP110" s="4" t="str">
        <f>IF(R110="","-",R110)</f>
        <v>-</v>
      </c>
      <c r="AQ110" s="4" t="str">
        <f>IF(S110="","-",S110)</f>
        <v>-</v>
      </c>
      <c r="AR110" s="4">
        <v>0</v>
      </c>
      <c r="AS110" s="4" t="s">
        <v>519</v>
      </c>
      <c r="AT110" s="4"/>
      <c r="AU110" s="4"/>
      <c r="AV110" s="4" t="s">
        <v>414</v>
      </c>
      <c r="AW110" s="4">
        <v>216</v>
      </c>
      <c r="AX110" s="4">
        <f>IF(AT110="",AW110,AT110/AU110*AW110)</f>
        <v>216</v>
      </c>
      <c r="AY110" s="19">
        <v>4</v>
      </c>
      <c r="AZ110" s="19">
        <v>8</v>
      </c>
      <c r="BA110" s="16">
        <v>1805</v>
      </c>
      <c r="BB110" t="s">
        <v>528</v>
      </c>
      <c r="BC110" t="str">
        <f>IFERROR(BB110*AM110,"-")</f>
        <v>-</v>
      </c>
      <c r="BD110">
        <v>209</v>
      </c>
      <c r="BE110">
        <f>IFERROR(BD110*AM110,"-")</f>
        <v>239.83606557377047</v>
      </c>
      <c r="BF110" t="s">
        <v>401</v>
      </c>
    </row>
    <row r="111" spans="1:58" x14ac:dyDescent="0.4">
      <c r="A111" s="3">
        <v>116</v>
      </c>
      <c r="B111" s="3">
        <v>116</v>
      </c>
      <c r="C111" s="4" t="s">
        <v>170</v>
      </c>
      <c r="D111" s="4" t="str">
        <f>TEXT(C111,"000000")</f>
        <v>J80384</v>
      </c>
      <c r="E111" s="4" t="s">
        <v>170</v>
      </c>
      <c r="F111" s="4" t="str">
        <f>D111&amp;I111</f>
        <v>J803845</v>
      </c>
      <c r="G111" s="4" t="s">
        <v>293</v>
      </c>
      <c r="H111" s="5">
        <v>4960369920615</v>
      </c>
      <c r="I111" s="33">
        <v>5</v>
      </c>
      <c r="J111" s="5"/>
      <c r="K111" s="5">
        <v>1</v>
      </c>
      <c r="L111" s="5">
        <v>1</v>
      </c>
      <c r="M111" s="4">
        <v>215</v>
      </c>
      <c r="N111" s="4">
        <v>204</v>
      </c>
      <c r="O111" s="4">
        <v>122</v>
      </c>
      <c r="P111" s="6">
        <f>IFERROR(1-O111/N111,"-")</f>
        <v>0.40196078431372551</v>
      </c>
      <c r="Q111" s="4" t="s">
        <v>304</v>
      </c>
      <c r="R111" s="4" t="s">
        <v>304</v>
      </c>
      <c r="S111" s="4" t="s">
        <v>304</v>
      </c>
      <c r="T111" s="4">
        <v>247</v>
      </c>
      <c r="U111" s="4">
        <f>IF(X111="",T111,T111*X111)</f>
        <v>247</v>
      </c>
      <c r="V111" s="4">
        <v>140</v>
      </c>
      <c r="W111" s="4">
        <f>IF(X111="",V111,V111*X111)</f>
        <v>140</v>
      </c>
      <c r="X111" s="4"/>
      <c r="Y111" s="21">
        <f>ROUND(N111*AM111,0)</f>
        <v>234</v>
      </c>
      <c r="Z111" s="6">
        <f>IFERROR(1-W111/Y111,"-")</f>
        <v>0.40170940170940173</v>
      </c>
      <c r="AA111" s="33">
        <v>1</v>
      </c>
      <c r="AB111" s="4">
        <f>AX111</f>
        <v>215.4</v>
      </c>
      <c r="AC111" s="33">
        <f>IFERROR(AB111*AM111,"-")</f>
        <v>247.18032786885246</v>
      </c>
      <c r="AD111" s="6">
        <f>IFERROR(1-W111/AC111,"-")</f>
        <v>0.43361188486536673</v>
      </c>
      <c r="AE111" s="7">
        <v>230</v>
      </c>
      <c r="AF111" s="6">
        <f>1-W111/AE111</f>
        <v>0.39130434782608692</v>
      </c>
      <c r="AG111" s="4">
        <f>AE111-W111</f>
        <v>90</v>
      </c>
      <c r="AH111" s="28"/>
      <c r="AI111" s="6"/>
      <c r="AJ111" s="6"/>
      <c r="AK111" s="6">
        <f>IFERROR(U111/M111,"-")</f>
        <v>1.1488372093023256</v>
      </c>
      <c r="AL111" s="6">
        <f>IFERROR(AE111/N111,"-")</f>
        <v>1.1274509803921569</v>
      </c>
      <c r="AM111" s="6">
        <f>IFERROR(W111/O111,"-")</f>
        <v>1.1475409836065573</v>
      </c>
      <c r="AN111" s="6" t="str">
        <f>IFERROR(1-W111/AO111,"-")</f>
        <v>-</v>
      </c>
      <c r="AO111" s="4" t="str">
        <f>IFERROR(ROUND($AE111*Q111/$N111,0),"-")</f>
        <v>-</v>
      </c>
      <c r="AP111" s="4" t="str">
        <f>IF(R111="","-",R111)</f>
        <v>-</v>
      </c>
      <c r="AQ111" s="4" t="str">
        <f>IF(S111="","-",S111)</f>
        <v>-</v>
      </c>
      <c r="AR111" s="4">
        <v>0</v>
      </c>
      <c r="AS111" s="4" t="s">
        <v>520</v>
      </c>
      <c r="AT111" s="4">
        <v>1</v>
      </c>
      <c r="AU111" s="4">
        <v>5</v>
      </c>
      <c r="AV111" s="4" t="s">
        <v>518</v>
      </c>
      <c r="AW111" s="4">
        <v>1077</v>
      </c>
      <c r="AX111" s="4">
        <f>IF(AT111="",AW111,AT111/AU111*AW111)</f>
        <v>215.4</v>
      </c>
      <c r="AY111" s="19">
        <v>4</v>
      </c>
      <c r="AZ111" s="19">
        <v>8</v>
      </c>
      <c r="BA111" s="16">
        <v>1805</v>
      </c>
      <c r="BB111" t="s">
        <v>528</v>
      </c>
      <c r="BC111" t="str">
        <f>IFERROR(BB111*AM111,"-")</f>
        <v>-</v>
      </c>
      <c r="BD111">
        <v>209</v>
      </c>
      <c r="BE111">
        <f>IFERROR(BD111*AM111,"-")</f>
        <v>239.83606557377047</v>
      </c>
      <c r="BF111" t="s">
        <v>402</v>
      </c>
    </row>
    <row r="112" spans="1:58" x14ac:dyDescent="0.4">
      <c r="A112" s="3">
        <v>117</v>
      </c>
      <c r="B112" s="3">
        <v>117</v>
      </c>
      <c r="C112" s="4" t="s">
        <v>171</v>
      </c>
      <c r="D112" s="4" t="str">
        <f>TEXT(C112,"000000")</f>
        <v>J80385</v>
      </c>
      <c r="E112" s="4" t="s">
        <v>171</v>
      </c>
      <c r="F112" s="4" t="str">
        <f>D112&amp;I112</f>
        <v>J803855</v>
      </c>
      <c r="G112" s="4" t="s">
        <v>294</v>
      </c>
      <c r="H112" s="5">
        <v>4960369920622</v>
      </c>
      <c r="I112" s="33">
        <v>5</v>
      </c>
      <c r="J112" s="5"/>
      <c r="K112" s="5">
        <v>1</v>
      </c>
      <c r="L112" s="5">
        <v>1</v>
      </c>
      <c r="M112" s="4">
        <v>215</v>
      </c>
      <c r="N112" s="4">
        <v>204</v>
      </c>
      <c r="O112" s="4">
        <v>122</v>
      </c>
      <c r="P112" s="6">
        <f>IFERROR(1-O112/N112,"-")</f>
        <v>0.40196078431372551</v>
      </c>
      <c r="Q112" s="4" t="s">
        <v>304</v>
      </c>
      <c r="R112" s="4" t="s">
        <v>304</v>
      </c>
      <c r="S112" s="4" t="s">
        <v>304</v>
      </c>
      <c r="T112" s="4">
        <v>247</v>
      </c>
      <c r="U112" s="4">
        <f>IF(X112="",T112,T112*X112)</f>
        <v>247</v>
      </c>
      <c r="V112" s="4">
        <v>140</v>
      </c>
      <c r="W112" s="4">
        <f>IF(X112="",V112,V112*X112)</f>
        <v>140</v>
      </c>
      <c r="X112" s="4"/>
      <c r="Y112" s="21">
        <f>ROUND(N112*AM112,0)</f>
        <v>234</v>
      </c>
      <c r="Z112" s="6">
        <f>IFERROR(1-W112/Y112,"-")</f>
        <v>0.40170940170940173</v>
      </c>
      <c r="AA112" s="33">
        <v>2.25</v>
      </c>
      <c r="AB112" s="4">
        <f>AX112</f>
        <v>215.4</v>
      </c>
      <c r="AC112" s="33">
        <f>IFERROR(AB112*AM112,"-")</f>
        <v>247.18032786885246</v>
      </c>
      <c r="AD112" s="6">
        <f>IFERROR(1-W112/AC112,"-")</f>
        <v>0.43361188486536673</v>
      </c>
      <c r="AE112" s="7">
        <v>230</v>
      </c>
      <c r="AF112" s="6">
        <f>1-W112/AE112</f>
        <v>0.39130434782608692</v>
      </c>
      <c r="AG112" s="4">
        <f>AE112-W112</f>
        <v>90</v>
      </c>
      <c r="AH112" s="28"/>
      <c r="AI112" s="6"/>
      <c r="AJ112" s="6"/>
      <c r="AK112" s="6">
        <f>IFERROR(U112/M112,"-")</f>
        <v>1.1488372093023256</v>
      </c>
      <c r="AL112" s="6">
        <f>IFERROR(AE112/N112,"-")</f>
        <v>1.1274509803921569</v>
      </c>
      <c r="AM112" s="6">
        <f>IFERROR(W112/O112,"-")</f>
        <v>1.1475409836065573</v>
      </c>
      <c r="AN112" s="6" t="str">
        <f>IFERROR(1-W112/AO112,"-")</f>
        <v>-</v>
      </c>
      <c r="AO112" s="4" t="str">
        <f>IFERROR(ROUND($AE112*Q112/$N112,0),"-")</f>
        <v>-</v>
      </c>
      <c r="AP112" s="4" t="str">
        <f>IF(R112="","-",R112)</f>
        <v>-</v>
      </c>
      <c r="AQ112" s="4" t="str">
        <f>IF(S112="","-",S112)</f>
        <v>-</v>
      </c>
      <c r="AR112" s="4">
        <v>0</v>
      </c>
      <c r="AS112" s="4" t="s">
        <v>521</v>
      </c>
      <c r="AT112" s="4">
        <v>1</v>
      </c>
      <c r="AU112" s="4">
        <v>5</v>
      </c>
      <c r="AV112" s="4" t="s">
        <v>518</v>
      </c>
      <c r="AW112" s="4">
        <v>1077</v>
      </c>
      <c r="AX112" s="4">
        <f>IF(AT112="",AW112,AT112/AU112*AW112)</f>
        <v>215.4</v>
      </c>
      <c r="AY112" s="19">
        <v>4</v>
      </c>
      <c r="AZ112" s="19">
        <v>8</v>
      </c>
      <c r="BA112" s="16">
        <v>1805</v>
      </c>
      <c r="BB112" t="s">
        <v>528</v>
      </c>
      <c r="BC112" t="str">
        <f>IFERROR(BB112*AM112,"-")</f>
        <v>-</v>
      </c>
      <c r="BD112">
        <v>209</v>
      </c>
      <c r="BE112">
        <f>IFERROR(BD112*AM112,"-")</f>
        <v>239.83606557377047</v>
      </c>
      <c r="BF112" t="s">
        <v>403</v>
      </c>
    </row>
    <row r="113" spans="1:58" x14ac:dyDescent="0.4">
      <c r="A113" s="3">
        <v>118</v>
      </c>
      <c r="B113" s="3">
        <v>118</v>
      </c>
      <c r="C113" s="4" t="s">
        <v>172</v>
      </c>
      <c r="D113" s="4" t="str">
        <f>TEXT(C113,"000000")</f>
        <v>J80386</v>
      </c>
      <c r="E113" s="4" t="s">
        <v>172</v>
      </c>
      <c r="F113" s="4" t="str">
        <f>D113&amp;I113</f>
        <v>J803865</v>
      </c>
      <c r="G113" s="4" t="s">
        <v>295</v>
      </c>
      <c r="H113" s="5">
        <v>4960369920639</v>
      </c>
      <c r="I113" s="33">
        <v>5</v>
      </c>
      <c r="J113" s="5"/>
      <c r="K113" s="5">
        <v>1</v>
      </c>
      <c r="L113" s="5">
        <v>1</v>
      </c>
      <c r="M113" s="4">
        <v>215</v>
      </c>
      <c r="N113" s="4">
        <v>201</v>
      </c>
      <c r="O113" s="4">
        <v>122</v>
      </c>
      <c r="P113" s="6">
        <f>IFERROR(1-O113/N113,"-")</f>
        <v>0.39303482587064675</v>
      </c>
      <c r="Q113" s="4" t="s">
        <v>304</v>
      </c>
      <c r="R113" s="4" t="s">
        <v>304</v>
      </c>
      <c r="S113" s="4" t="s">
        <v>304</v>
      </c>
      <c r="T113" s="4">
        <v>247</v>
      </c>
      <c r="U113" s="4">
        <f>IF(X113="",T113,T113*X113)</f>
        <v>247</v>
      </c>
      <c r="V113" s="4">
        <v>140</v>
      </c>
      <c r="W113" s="4">
        <f>IF(X113="",V113,V113*X113)</f>
        <v>140</v>
      </c>
      <c r="X113" s="4"/>
      <c r="Y113" s="21">
        <f>ROUND(N113*AM113,0)</f>
        <v>231</v>
      </c>
      <c r="Z113" s="6">
        <f>IFERROR(1-W113/Y113,"-")</f>
        <v>0.39393939393939392</v>
      </c>
      <c r="AA113" s="33">
        <v>1</v>
      </c>
      <c r="AB113" s="4">
        <f>AX113</f>
        <v>215.4</v>
      </c>
      <c r="AC113" s="33">
        <f>IFERROR(AB113*AM113,"-")</f>
        <v>247.18032786885246</v>
      </c>
      <c r="AD113" s="6">
        <f>IFERROR(1-W113/AC113,"-")</f>
        <v>0.43361188486536673</v>
      </c>
      <c r="AE113" s="7">
        <v>230</v>
      </c>
      <c r="AF113" s="6">
        <f>1-W113/AE113</f>
        <v>0.39130434782608692</v>
      </c>
      <c r="AG113" s="4">
        <f>AE113-W113</f>
        <v>90</v>
      </c>
      <c r="AH113" s="28"/>
      <c r="AI113" s="6"/>
      <c r="AJ113" s="6"/>
      <c r="AK113" s="6">
        <f>IFERROR(U113/M113,"-")</f>
        <v>1.1488372093023256</v>
      </c>
      <c r="AL113" s="6">
        <f>IFERROR(AE113/N113,"-")</f>
        <v>1.144278606965174</v>
      </c>
      <c r="AM113" s="6">
        <f>IFERROR(W113/O113,"-")</f>
        <v>1.1475409836065573</v>
      </c>
      <c r="AN113" s="6" t="str">
        <f>IFERROR(1-W113/AO113,"-")</f>
        <v>-</v>
      </c>
      <c r="AO113" s="4" t="str">
        <f>IFERROR(ROUND($AE113*Q113/$N113,0),"-")</f>
        <v>-</v>
      </c>
      <c r="AP113" s="4" t="str">
        <f>IF(R113="","-",R113)</f>
        <v>-</v>
      </c>
      <c r="AQ113" s="4" t="str">
        <f>IF(S113="","-",S113)</f>
        <v>-</v>
      </c>
      <c r="AR113" s="4">
        <v>0</v>
      </c>
      <c r="AS113" s="4" t="s">
        <v>522</v>
      </c>
      <c r="AT113" s="4">
        <v>1</v>
      </c>
      <c r="AU113" s="4">
        <v>5</v>
      </c>
      <c r="AV113" s="4" t="s">
        <v>518</v>
      </c>
      <c r="AW113" s="4">
        <v>1077</v>
      </c>
      <c r="AX113" s="4">
        <f>IF(AT113="",AW113,AT113/AU113*AW113)</f>
        <v>215.4</v>
      </c>
      <c r="AY113" s="19">
        <v>4</v>
      </c>
      <c r="AZ113" s="19">
        <v>8</v>
      </c>
      <c r="BA113" s="16">
        <v>1805</v>
      </c>
      <c r="BB113" t="s">
        <v>528</v>
      </c>
      <c r="BC113" t="str">
        <f>IFERROR(BB113*AM113,"-")</f>
        <v>-</v>
      </c>
      <c r="BD113">
        <v>209</v>
      </c>
      <c r="BE113">
        <f>IFERROR(BD113*AM113,"-")</f>
        <v>239.83606557377047</v>
      </c>
      <c r="BF113" t="s">
        <v>404</v>
      </c>
    </row>
    <row r="114" spans="1:58" x14ac:dyDescent="0.4">
      <c r="A114" s="3">
        <v>119</v>
      </c>
      <c r="B114" s="3">
        <v>119</v>
      </c>
      <c r="C114" s="4" t="s">
        <v>173</v>
      </c>
      <c r="D114" s="4" t="str">
        <f>TEXT(C114,"000000")</f>
        <v>J80387</v>
      </c>
      <c r="E114" s="4" t="s">
        <v>173</v>
      </c>
      <c r="F114" s="4" t="str">
        <f>D114&amp;I114</f>
        <v>J803875</v>
      </c>
      <c r="G114" s="4" t="s">
        <v>296</v>
      </c>
      <c r="H114" s="5">
        <v>4960369920646</v>
      </c>
      <c r="I114" s="33">
        <v>5</v>
      </c>
      <c r="J114" s="5"/>
      <c r="K114" s="5">
        <v>1</v>
      </c>
      <c r="L114" s="5">
        <v>1</v>
      </c>
      <c r="M114" s="4">
        <v>215</v>
      </c>
      <c r="N114" s="4">
        <v>204</v>
      </c>
      <c r="O114" s="4">
        <v>122</v>
      </c>
      <c r="P114" s="6">
        <f>IFERROR(1-O114/N114,"-")</f>
        <v>0.40196078431372551</v>
      </c>
      <c r="Q114" s="4" t="s">
        <v>304</v>
      </c>
      <c r="R114" s="4" t="s">
        <v>304</v>
      </c>
      <c r="S114" s="4" t="s">
        <v>304</v>
      </c>
      <c r="T114" s="4">
        <v>247</v>
      </c>
      <c r="U114" s="4">
        <f>IF(X114="",T114,T114*X114)</f>
        <v>247</v>
      </c>
      <c r="V114" s="4">
        <v>140</v>
      </c>
      <c r="W114" s="4">
        <f>IF(X114="",V114,V114*X114)</f>
        <v>140</v>
      </c>
      <c r="X114" s="4"/>
      <c r="Y114" s="21">
        <f>ROUND(N114*AM114,0)</f>
        <v>234</v>
      </c>
      <c r="Z114" s="6">
        <f>IFERROR(1-W114/Y114,"-")</f>
        <v>0.40170940170940173</v>
      </c>
      <c r="AA114" s="33">
        <v>1</v>
      </c>
      <c r="AB114" s="4">
        <f>AX114</f>
        <v>215.4</v>
      </c>
      <c r="AC114" s="33">
        <f>IFERROR(AB114*AM114,"-")</f>
        <v>247.18032786885246</v>
      </c>
      <c r="AD114" s="6">
        <f>IFERROR(1-W114/AC114,"-")</f>
        <v>0.43361188486536673</v>
      </c>
      <c r="AE114" s="7">
        <v>230</v>
      </c>
      <c r="AF114" s="6">
        <f>1-W114/AE114</f>
        <v>0.39130434782608692</v>
      </c>
      <c r="AG114" s="4">
        <f>AE114-W114</f>
        <v>90</v>
      </c>
      <c r="AH114" s="28"/>
      <c r="AI114" s="6"/>
      <c r="AJ114" s="6"/>
      <c r="AK114" s="6">
        <f>IFERROR(U114/M114,"-")</f>
        <v>1.1488372093023256</v>
      </c>
      <c r="AL114" s="6">
        <f>IFERROR(AE114/N114,"-")</f>
        <v>1.1274509803921569</v>
      </c>
      <c r="AM114" s="6">
        <f>IFERROR(W114/O114,"-")</f>
        <v>1.1475409836065573</v>
      </c>
      <c r="AN114" s="6" t="str">
        <f>IFERROR(1-W114/AO114,"-")</f>
        <v>-</v>
      </c>
      <c r="AO114" s="4" t="str">
        <f>IFERROR(ROUND($AE114*Q114/$N114,0),"-")</f>
        <v>-</v>
      </c>
      <c r="AP114" s="4" t="str">
        <f>IF(R114="","-",R114)</f>
        <v>-</v>
      </c>
      <c r="AQ114" s="4" t="str">
        <f>IF(S114="","-",S114)</f>
        <v>-</v>
      </c>
      <c r="AR114" s="4">
        <v>0</v>
      </c>
      <c r="AS114" s="4" t="s">
        <v>523</v>
      </c>
      <c r="AT114" s="4">
        <v>1</v>
      </c>
      <c r="AU114" s="4">
        <v>5</v>
      </c>
      <c r="AV114" s="4" t="s">
        <v>518</v>
      </c>
      <c r="AW114" s="4">
        <v>1077</v>
      </c>
      <c r="AX114" s="4">
        <f>IF(AT114="",AW114,AT114/AU114*AW114)</f>
        <v>215.4</v>
      </c>
      <c r="AY114" s="19">
        <v>4</v>
      </c>
      <c r="AZ114" s="19">
        <v>8</v>
      </c>
      <c r="BA114" s="16">
        <v>1805</v>
      </c>
      <c r="BB114" t="s">
        <v>528</v>
      </c>
      <c r="BC114" t="str">
        <f>IFERROR(BB114*AM114,"-")</f>
        <v>-</v>
      </c>
      <c r="BD114">
        <v>209</v>
      </c>
      <c r="BE114">
        <f>IFERROR(BD114*AM114,"-")</f>
        <v>239.83606557377047</v>
      </c>
      <c r="BF114" t="s">
        <v>405</v>
      </c>
    </row>
    <row r="115" spans="1:58" x14ac:dyDescent="0.4">
      <c r="A115" s="3">
        <v>120</v>
      </c>
      <c r="B115" s="3">
        <v>120</v>
      </c>
      <c r="C115" s="4" t="s">
        <v>174</v>
      </c>
      <c r="D115" s="4" t="str">
        <f>TEXT(C115,"000000")</f>
        <v>J80388</v>
      </c>
      <c r="E115" s="4" t="s">
        <v>174</v>
      </c>
      <c r="F115" s="4" t="str">
        <f>D115&amp;I115</f>
        <v>J803885</v>
      </c>
      <c r="G115" s="4" t="s">
        <v>297</v>
      </c>
      <c r="H115" s="5">
        <v>4960369920653</v>
      </c>
      <c r="I115" s="33">
        <v>5</v>
      </c>
      <c r="J115" s="5"/>
      <c r="K115" s="5">
        <v>1</v>
      </c>
      <c r="L115" s="5">
        <v>1</v>
      </c>
      <c r="M115" s="4">
        <v>215</v>
      </c>
      <c r="N115" s="4">
        <v>204</v>
      </c>
      <c r="O115" s="4">
        <v>122</v>
      </c>
      <c r="P115" s="6">
        <f>IFERROR(1-O115/N115,"-")</f>
        <v>0.40196078431372551</v>
      </c>
      <c r="Q115" s="4" t="s">
        <v>304</v>
      </c>
      <c r="R115" s="4" t="s">
        <v>304</v>
      </c>
      <c r="S115" s="4" t="s">
        <v>304</v>
      </c>
      <c r="T115" s="4">
        <v>247</v>
      </c>
      <c r="U115" s="4">
        <f>IF(X115="",T115,T115*X115)</f>
        <v>247</v>
      </c>
      <c r="V115" s="4">
        <v>140</v>
      </c>
      <c r="W115" s="4">
        <f>IF(X115="",V115,V115*X115)</f>
        <v>140</v>
      </c>
      <c r="X115" s="4"/>
      <c r="Y115" s="21">
        <f>ROUND(N115*AM115,0)</f>
        <v>234</v>
      </c>
      <c r="Z115" s="6">
        <f>IFERROR(1-W115/Y115,"-")</f>
        <v>0.40170940170940173</v>
      </c>
      <c r="AA115" s="33">
        <v>0.5</v>
      </c>
      <c r="AB115" s="4">
        <f>AX115</f>
        <v>215.4</v>
      </c>
      <c r="AC115" s="33">
        <f>IFERROR(AB115*AM115,"-")</f>
        <v>247.18032786885246</v>
      </c>
      <c r="AD115" s="6">
        <f>IFERROR(1-W115/AC115,"-")</f>
        <v>0.43361188486536673</v>
      </c>
      <c r="AE115" s="7">
        <v>230</v>
      </c>
      <c r="AF115" s="6">
        <f>1-W115/AE115</f>
        <v>0.39130434782608692</v>
      </c>
      <c r="AG115" s="4">
        <f>AE115-W115</f>
        <v>90</v>
      </c>
      <c r="AH115" s="28"/>
      <c r="AI115" s="6"/>
      <c r="AJ115" s="6"/>
      <c r="AK115" s="6">
        <f>IFERROR(U115/M115,"-")</f>
        <v>1.1488372093023256</v>
      </c>
      <c r="AL115" s="6">
        <f>IFERROR(AE115/N115,"-")</f>
        <v>1.1274509803921569</v>
      </c>
      <c r="AM115" s="6">
        <f>IFERROR(W115/O115,"-")</f>
        <v>1.1475409836065573</v>
      </c>
      <c r="AN115" s="6" t="str">
        <f>IFERROR(1-W115/AO115,"-")</f>
        <v>-</v>
      </c>
      <c r="AO115" s="4" t="str">
        <f>IFERROR(ROUND($AE115*Q115/$N115,0),"-")</f>
        <v>-</v>
      </c>
      <c r="AP115" s="4" t="str">
        <f>IF(R115="","-",R115)</f>
        <v>-</v>
      </c>
      <c r="AQ115" s="4" t="str">
        <f>IF(S115="","-",S115)</f>
        <v>-</v>
      </c>
      <c r="AR115" s="4">
        <v>0</v>
      </c>
      <c r="AS115" s="4" t="s">
        <v>524</v>
      </c>
      <c r="AT115" s="4">
        <v>1</v>
      </c>
      <c r="AU115" s="4">
        <v>5</v>
      </c>
      <c r="AV115" s="4" t="s">
        <v>518</v>
      </c>
      <c r="AW115" s="4">
        <v>1077</v>
      </c>
      <c r="AX115" s="4">
        <f>IF(AT115="",AW115,AT115/AU115*AW115)</f>
        <v>215.4</v>
      </c>
      <c r="AY115" s="19">
        <v>4</v>
      </c>
      <c r="AZ115" s="19">
        <v>8</v>
      </c>
      <c r="BA115" s="16">
        <v>1805</v>
      </c>
      <c r="BB115" t="s">
        <v>528</v>
      </c>
      <c r="BC115" t="str">
        <f>IFERROR(BB115*AM115,"-")</f>
        <v>-</v>
      </c>
      <c r="BD115">
        <v>209</v>
      </c>
      <c r="BE115">
        <f>IFERROR(BD115*AM115,"-")</f>
        <v>239.83606557377047</v>
      </c>
      <c r="BF115" t="s">
        <v>406</v>
      </c>
    </row>
    <row r="116" spans="1:58" x14ac:dyDescent="0.4">
      <c r="A116" s="3">
        <v>121</v>
      </c>
      <c r="B116" s="3">
        <v>121</v>
      </c>
      <c r="C116" s="4" t="s">
        <v>175</v>
      </c>
      <c r="D116" s="4" t="str">
        <f>TEXT(C116,"000000")</f>
        <v>J80389</v>
      </c>
      <c r="E116" s="4" t="s">
        <v>175</v>
      </c>
      <c r="F116" s="4" t="str">
        <f>D116&amp;I116</f>
        <v>J803895</v>
      </c>
      <c r="G116" s="4" t="s">
        <v>298</v>
      </c>
      <c r="H116" s="5">
        <v>4960369920660</v>
      </c>
      <c r="I116" s="33">
        <v>5</v>
      </c>
      <c r="J116" s="5"/>
      <c r="K116" s="5">
        <v>1</v>
      </c>
      <c r="L116" s="5">
        <v>1</v>
      </c>
      <c r="M116" s="4">
        <v>215</v>
      </c>
      <c r="N116" s="4">
        <v>198</v>
      </c>
      <c r="O116" s="4">
        <v>122</v>
      </c>
      <c r="P116" s="6">
        <f>IFERROR(1-O116/N116,"-")</f>
        <v>0.38383838383838387</v>
      </c>
      <c r="Q116" s="4" t="s">
        <v>304</v>
      </c>
      <c r="R116" s="4" t="s">
        <v>304</v>
      </c>
      <c r="S116" s="4" t="s">
        <v>304</v>
      </c>
      <c r="T116" s="4">
        <v>247</v>
      </c>
      <c r="U116" s="4">
        <f>IF(X116="",T116,T116*X116)</f>
        <v>247</v>
      </c>
      <c r="V116" s="4">
        <v>140</v>
      </c>
      <c r="W116" s="4">
        <f>IF(X116="",V116,V116*X116)</f>
        <v>140</v>
      </c>
      <c r="X116" s="4"/>
      <c r="Y116" s="21">
        <f>ROUND(N116*AM116,0)</f>
        <v>227</v>
      </c>
      <c r="Z116" s="6">
        <f>IFERROR(1-W116/Y116,"-")</f>
        <v>0.38325991189427311</v>
      </c>
      <c r="AA116" s="33">
        <v>0.25</v>
      </c>
      <c r="AB116" s="4">
        <f>AX116</f>
        <v>215.4</v>
      </c>
      <c r="AC116" s="33">
        <f>IFERROR(AB116*AM116,"-")</f>
        <v>247.18032786885246</v>
      </c>
      <c r="AD116" s="6">
        <f>IFERROR(1-W116/AC116,"-")</f>
        <v>0.43361188486536673</v>
      </c>
      <c r="AE116" s="7">
        <v>230</v>
      </c>
      <c r="AF116" s="6">
        <f>1-W116/AE116</f>
        <v>0.39130434782608692</v>
      </c>
      <c r="AG116" s="4">
        <f>AE116-W116</f>
        <v>90</v>
      </c>
      <c r="AH116" s="28"/>
      <c r="AI116" s="6"/>
      <c r="AJ116" s="6"/>
      <c r="AK116" s="6">
        <f>IFERROR(U116/M116,"-")</f>
        <v>1.1488372093023256</v>
      </c>
      <c r="AL116" s="6">
        <f>IFERROR(AE116/N116,"-")</f>
        <v>1.1616161616161615</v>
      </c>
      <c r="AM116" s="6">
        <f>IFERROR(W116/O116,"-")</f>
        <v>1.1475409836065573</v>
      </c>
      <c r="AN116" s="6" t="str">
        <f>IFERROR(1-W116/AO116,"-")</f>
        <v>-</v>
      </c>
      <c r="AO116" s="4" t="str">
        <f>IFERROR(ROUND($AE116*Q116/$N116,0),"-")</f>
        <v>-</v>
      </c>
      <c r="AP116" s="4" t="str">
        <f>IF(R116="","-",R116)</f>
        <v>-</v>
      </c>
      <c r="AQ116" s="4" t="str">
        <f>IF(S116="","-",S116)</f>
        <v>-</v>
      </c>
      <c r="AR116" s="4">
        <v>0</v>
      </c>
      <c r="AS116" s="4" t="s">
        <v>525</v>
      </c>
      <c r="AT116" s="4">
        <v>1</v>
      </c>
      <c r="AU116" s="4">
        <v>5</v>
      </c>
      <c r="AV116" s="4" t="s">
        <v>518</v>
      </c>
      <c r="AW116" s="4">
        <v>1077</v>
      </c>
      <c r="AX116" s="4">
        <f>IF(AT116="",AW116,AT116/AU116*AW116)</f>
        <v>215.4</v>
      </c>
      <c r="AY116" s="19">
        <v>4</v>
      </c>
      <c r="AZ116" s="19">
        <v>8</v>
      </c>
      <c r="BA116" s="16">
        <v>1805</v>
      </c>
      <c r="BB116" t="s">
        <v>528</v>
      </c>
      <c r="BC116" t="str">
        <f>IFERROR(BB116*AM116,"-")</f>
        <v>-</v>
      </c>
      <c r="BD116">
        <v>209</v>
      </c>
      <c r="BE116">
        <f>IFERROR(BD116*AM116,"-")</f>
        <v>239.83606557377047</v>
      </c>
      <c r="BF116" t="s">
        <v>407</v>
      </c>
    </row>
    <row r="117" spans="1:58" x14ac:dyDescent="0.4">
      <c r="A117" s="3">
        <v>122</v>
      </c>
      <c r="B117" s="3">
        <v>122</v>
      </c>
      <c r="C117" s="4" t="s">
        <v>176</v>
      </c>
      <c r="D117" s="4" t="str">
        <f>TEXT(C117,"000000")</f>
        <v>J80390</v>
      </c>
      <c r="E117" s="4" t="s">
        <v>176</v>
      </c>
      <c r="F117" s="4" t="str">
        <f>D117&amp;I117</f>
        <v>J803905</v>
      </c>
      <c r="G117" s="4" t="s">
        <v>299</v>
      </c>
      <c r="H117" s="5">
        <v>4960369920677</v>
      </c>
      <c r="I117" s="33">
        <v>5</v>
      </c>
      <c r="J117" s="5"/>
      <c r="K117" s="5">
        <v>1</v>
      </c>
      <c r="L117" s="5">
        <v>1</v>
      </c>
      <c r="M117" s="4">
        <v>215</v>
      </c>
      <c r="N117" s="4">
        <v>204</v>
      </c>
      <c r="O117" s="4">
        <v>122</v>
      </c>
      <c r="P117" s="6">
        <f>IFERROR(1-O117/N117,"-")</f>
        <v>0.40196078431372551</v>
      </c>
      <c r="Q117" s="4" t="s">
        <v>304</v>
      </c>
      <c r="R117" s="4" t="s">
        <v>304</v>
      </c>
      <c r="S117" s="4" t="s">
        <v>304</v>
      </c>
      <c r="T117" s="4">
        <v>247</v>
      </c>
      <c r="U117" s="4">
        <f>IF(X117="",T117,T117*X117)</f>
        <v>247</v>
      </c>
      <c r="V117" s="4">
        <v>140</v>
      </c>
      <c r="W117" s="4">
        <f>IF(X117="",V117,V117*X117)</f>
        <v>140</v>
      </c>
      <c r="X117" s="4"/>
      <c r="Y117" s="21">
        <f>ROUND(N117*AM117,0)</f>
        <v>234</v>
      </c>
      <c r="Z117" s="6">
        <f>IFERROR(1-W117/Y117,"-")</f>
        <v>0.40170940170940173</v>
      </c>
      <c r="AA117" s="33">
        <v>0.25</v>
      </c>
      <c r="AB117" s="4">
        <f>AX117</f>
        <v>216</v>
      </c>
      <c r="AC117" s="33">
        <f>IFERROR(AB117*AM117,"-")</f>
        <v>247.86885245901638</v>
      </c>
      <c r="AD117" s="6">
        <f>IFERROR(1-W117/AC117,"-")</f>
        <v>0.43518518518518512</v>
      </c>
      <c r="AE117" s="7">
        <v>230</v>
      </c>
      <c r="AF117" s="6">
        <f>1-W117/AE117</f>
        <v>0.39130434782608692</v>
      </c>
      <c r="AG117" s="4">
        <f>AE117-W117</f>
        <v>90</v>
      </c>
      <c r="AH117" s="28"/>
      <c r="AI117" s="6"/>
      <c r="AJ117" s="6"/>
      <c r="AK117" s="6">
        <f>IFERROR(U117/M117,"-")</f>
        <v>1.1488372093023256</v>
      </c>
      <c r="AL117" s="6">
        <f>IFERROR(AE117/N117,"-")</f>
        <v>1.1274509803921569</v>
      </c>
      <c r="AM117" s="6">
        <f>IFERROR(W117/O117,"-")</f>
        <v>1.1475409836065573</v>
      </c>
      <c r="AN117" s="6" t="str">
        <f>IFERROR(1-W117/AO117,"-")</f>
        <v>-</v>
      </c>
      <c r="AO117" s="4" t="str">
        <f>IFERROR(ROUND($AE117*Q117/$N117,0),"-")</f>
        <v>-</v>
      </c>
      <c r="AP117" s="4" t="str">
        <f>IF(R117="","-",R117)</f>
        <v>-</v>
      </c>
      <c r="AQ117" s="4" t="str">
        <f>IF(S117="","-",S117)</f>
        <v>-</v>
      </c>
      <c r="AR117" s="4">
        <v>0</v>
      </c>
      <c r="AS117" s="4" t="s">
        <v>526</v>
      </c>
      <c r="AT117" s="4"/>
      <c r="AU117" s="4"/>
      <c r="AV117" s="4" t="s">
        <v>414</v>
      </c>
      <c r="AW117" s="4">
        <v>216</v>
      </c>
      <c r="AX117" s="4">
        <f>IF(AT117="",AW117,AT117/AU117*AW117)</f>
        <v>216</v>
      </c>
      <c r="AY117" s="19">
        <v>4</v>
      </c>
      <c r="AZ117" s="19">
        <v>8</v>
      </c>
      <c r="BA117" s="16">
        <v>1805</v>
      </c>
      <c r="BB117" t="s">
        <v>528</v>
      </c>
      <c r="BC117" t="str">
        <f>IFERROR(BB117*AM117,"-")</f>
        <v>-</v>
      </c>
      <c r="BD117">
        <v>209</v>
      </c>
      <c r="BE117">
        <f>IFERROR(BD117*AM117,"-")</f>
        <v>239.83606557377047</v>
      </c>
      <c r="BF117" t="s">
        <v>408</v>
      </c>
    </row>
    <row r="118" spans="1:58" x14ac:dyDescent="0.4">
      <c r="A118" s="3">
        <v>123</v>
      </c>
      <c r="B118" s="3">
        <v>123</v>
      </c>
      <c r="C118" s="4" t="s">
        <v>177</v>
      </c>
      <c r="D118" s="4" t="str">
        <f>TEXT(C118,"000000")</f>
        <v>J80391</v>
      </c>
      <c r="E118" s="4" t="s">
        <v>177</v>
      </c>
      <c r="F118" s="4" t="str">
        <f>D118&amp;I118</f>
        <v>J803915</v>
      </c>
      <c r="G118" s="4" t="s">
        <v>300</v>
      </c>
      <c r="H118" s="5">
        <v>4960369920684</v>
      </c>
      <c r="I118" s="33">
        <v>5</v>
      </c>
      <c r="J118" s="5"/>
      <c r="K118" s="5">
        <v>1</v>
      </c>
      <c r="L118" s="5">
        <v>1</v>
      </c>
      <c r="M118" s="4">
        <v>215</v>
      </c>
      <c r="N118" s="4">
        <v>162</v>
      </c>
      <c r="O118" s="4">
        <v>122</v>
      </c>
      <c r="P118" s="6">
        <f>IFERROR(1-O118/N118,"-")</f>
        <v>0.24691358024691357</v>
      </c>
      <c r="Q118" s="4" t="s">
        <v>304</v>
      </c>
      <c r="R118" s="4" t="s">
        <v>304</v>
      </c>
      <c r="S118" s="4" t="s">
        <v>304</v>
      </c>
      <c r="T118" s="4">
        <v>247</v>
      </c>
      <c r="U118" s="4">
        <f>IF(X118="",T118,T118*X118)</f>
        <v>247</v>
      </c>
      <c r="V118" s="4">
        <v>140</v>
      </c>
      <c r="W118" s="4">
        <f>IF(X118="",V118,V118*X118)</f>
        <v>140</v>
      </c>
      <c r="X118" s="4"/>
      <c r="Y118" s="21">
        <f>ROUND(N118*AM118,0)</f>
        <v>186</v>
      </c>
      <c r="Z118" s="6">
        <f>IFERROR(1-W118/Y118,"-")</f>
        <v>0.24731182795698925</v>
      </c>
      <c r="AA118" s="33">
        <v>0.5</v>
      </c>
      <c r="AB118" s="4">
        <f>AX118</f>
        <v>215.4</v>
      </c>
      <c r="AC118" s="33">
        <f>IFERROR(AB118*AM118,"-")</f>
        <v>247.18032786885246</v>
      </c>
      <c r="AD118" s="6">
        <f>IFERROR(1-W118/AC118,"-")</f>
        <v>0.43361188486536673</v>
      </c>
      <c r="AE118" s="7">
        <v>230</v>
      </c>
      <c r="AF118" s="6">
        <f>1-W118/AE118</f>
        <v>0.39130434782608692</v>
      </c>
      <c r="AG118" s="4">
        <f>AE118-W118</f>
        <v>90</v>
      </c>
      <c r="AH118" s="28"/>
      <c r="AI118" s="6"/>
      <c r="AJ118" s="6"/>
      <c r="AK118" s="6">
        <f>IFERROR(U118/M118,"-")</f>
        <v>1.1488372093023256</v>
      </c>
      <c r="AL118" s="6">
        <f>IFERROR(AE118/N118,"-")</f>
        <v>1.4197530864197532</v>
      </c>
      <c r="AM118" s="6">
        <f>IFERROR(W118/O118,"-")</f>
        <v>1.1475409836065573</v>
      </c>
      <c r="AN118" s="6" t="str">
        <f>IFERROR(1-W118/AO118,"-")</f>
        <v>-</v>
      </c>
      <c r="AO118" s="4" t="str">
        <f>IFERROR(ROUND($AE118*Q118/$N118,0),"-")</f>
        <v>-</v>
      </c>
      <c r="AP118" s="4" t="str">
        <f>IF(R118="","-",R118)</f>
        <v>-</v>
      </c>
      <c r="AQ118" s="4" t="str">
        <f>IF(S118="","-",S118)</f>
        <v>-</v>
      </c>
      <c r="AR118" s="4">
        <v>0</v>
      </c>
      <c r="AS118" s="4" t="s">
        <v>527</v>
      </c>
      <c r="AT118" s="4">
        <v>1</v>
      </c>
      <c r="AU118" s="4">
        <v>5</v>
      </c>
      <c r="AV118" s="4" t="s">
        <v>518</v>
      </c>
      <c r="AW118" s="4">
        <v>1077</v>
      </c>
      <c r="AX118" s="4">
        <f>IF(AT118="",AW118,AT118/AU118*AW118)</f>
        <v>215.4</v>
      </c>
      <c r="AY118" s="19">
        <v>4</v>
      </c>
      <c r="AZ118" s="19">
        <v>8</v>
      </c>
      <c r="BA118" s="16">
        <v>1805</v>
      </c>
      <c r="BB118" t="s">
        <v>528</v>
      </c>
      <c r="BC118" t="str">
        <f>IFERROR(BB118*AM118,"-")</f>
        <v>-</v>
      </c>
      <c r="BD118">
        <v>209</v>
      </c>
      <c r="BE118">
        <f>IFERROR(BD118*AM118,"-")</f>
        <v>239.83606557377047</v>
      </c>
      <c r="BF118" t="s">
        <v>409</v>
      </c>
    </row>
    <row r="119" spans="1:58" x14ac:dyDescent="0.4">
      <c r="A119" s="3">
        <v>111</v>
      </c>
      <c r="B119" s="3">
        <v>111</v>
      </c>
      <c r="C119" s="4" t="s">
        <v>165</v>
      </c>
      <c r="D119" s="4" t="str">
        <f>TEXT(C119,"000000")</f>
        <v>J80354</v>
      </c>
      <c r="E119" s="4" t="s">
        <v>165</v>
      </c>
      <c r="F119" s="4" t="str">
        <f>D119&amp;I119</f>
        <v>J803545</v>
      </c>
      <c r="G119" s="4" t="s">
        <v>288</v>
      </c>
      <c r="H119" s="5">
        <v>4960369612770</v>
      </c>
      <c r="I119" s="33">
        <v>5</v>
      </c>
      <c r="J119" s="5"/>
      <c r="K119" s="5">
        <v>1</v>
      </c>
      <c r="L119" s="5">
        <v>1</v>
      </c>
      <c r="M119" s="4">
        <v>0</v>
      </c>
      <c r="N119" s="4">
        <v>1745</v>
      </c>
      <c r="O119" s="4">
        <v>1035</v>
      </c>
      <c r="P119" s="6">
        <f>IFERROR(1-O119/N119,"-")</f>
        <v>0.40687679083094552</v>
      </c>
      <c r="Q119" s="4" t="s">
        <v>304</v>
      </c>
      <c r="R119" s="4" t="s">
        <v>304</v>
      </c>
      <c r="S119" s="4" t="s">
        <v>304</v>
      </c>
      <c r="T119" s="33">
        <v>0</v>
      </c>
      <c r="U119" s="4">
        <f>IF(X119="",T119,T119*X119)</f>
        <v>0</v>
      </c>
      <c r="V119" s="4">
        <v>1254</v>
      </c>
      <c r="W119" s="4">
        <f>IF(X119="",V119,V119*X119)</f>
        <v>1254</v>
      </c>
      <c r="X119" s="4"/>
      <c r="Y119" s="21">
        <f>ROUND(N119*AM119,0)</f>
        <v>2114</v>
      </c>
      <c r="Z119" s="6">
        <f>IFERROR(1-W119/Y119,"-")</f>
        <v>0.40681173131504256</v>
      </c>
      <c r="AA119" s="33">
        <v>1.5</v>
      </c>
      <c r="AB119" s="4">
        <f>AX119</f>
        <v>1180</v>
      </c>
      <c r="AC119" s="33">
        <f>IFERROR(AB119*AM119,"-")</f>
        <v>1429.6811594202898</v>
      </c>
      <c r="AD119" s="6">
        <f>IFERROR(1-W119/AC119,"-")</f>
        <v>0.12288135593220328</v>
      </c>
      <c r="AE119" s="7">
        <v>2000</v>
      </c>
      <c r="AF119" s="6">
        <f>1-W119/AE119</f>
        <v>0.373</v>
      </c>
      <c r="AG119" s="4">
        <f>AE119-W119</f>
        <v>746</v>
      </c>
      <c r="AH119" s="28"/>
      <c r="AI119" s="6"/>
      <c r="AJ119" s="6"/>
      <c r="AK119" s="6" t="str">
        <f>IFERROR(U119/M119,"-")</f>
        <v>-</v>
      </c>
      <c r="AL119" s="6">
        <f>IFERROR(AE119/N119,"-")</f>
        <v>1.1461318051575931</v>
      </c>
      <c r="AM119" s="6">
        <f>IFERROR(W119/O119,"-")</f>
        <v>1.2115942028985507</v>
      </c>
      <c r="AN119" s="6" t="str">
        <f>IFERROR(1-W119/AO119,"-")</f>
        <v>-</v>
      </c>
      <c r="AO119" s="4" t="str">
        <f>IFERROR(ROUND($AE119*Q119/$N119,0),"-")</f>
        <v>-</v>
      </c>
      <c r="AP119" s="4" t="str">
        <f>IF(R119="","-",R119)</f>
        <v>-</v>
      </c>
      <c r="AQ119" s="4" t="str">
        <f>IF(S119="","-",S119)</f>
        <v>-</v>
      </c>
      <c r="AR119" s="4">
        <v>0</v>
      </c>
      <c r="AS119" s="4" t="s">
        <v>514</v>
      </c>
      <c r="AT119" s="4"/>
      <c r="AU119" s="4"/>
      <c r="AV119" s="4" t="s">
        <v>513</v>
      </c>
      <c r="AW119" s="4">
        <v>1180</v>
      </c>
      <c r="AX119" s="4">
        <f>IF(AT119="",AW119,AT119/AU119*AW119)</f>
        <v>1180</v>
      </c>
      <c r="AY119" s="19">
        <v>4</v>
      </c>
      <c r="AZ119" s="19">
        <v>1</v>
      </c>
      <c r="BA119" s="16">
        <v>1820</v>
      </c>
      <c r="BB119" t="s">
        <v>528</v>
      </c>
      <c r="BC119" t="str">
        <f>IFERROR(BB119*AM119,"-")</f>
        <v>-</v>
      </c>
      <c r="BD119">
        <v>1271</v>
      </c>
      <c r="BE119">
        <f>IFERROR(BD119*AM119,"-")</f>
        <v>1539.9362318840579</v>
      </c>
      <c r="BF119" t="s">
        <v>397</v>
      </c>
    </row>
    <row r="120" spans="1:58" x14ac:dyDescent="0.4">
      <c r="A120" s="3">
        <v>113</v>
      </c>
      <c r="B120" s="3">
        <v>113</v>
      </c>
      <c r="C120" s="4" t="s">
        <v>167</v>
      </c>
      <c r="D120" s="4" t="str">
        <f>TEXT(C120,"000000")</f>
        <v>J80356</v>
      </c>
      <c r="E120" s="4" t="s">
        <v>167</v>
      </c>
      <c r="F120" s="4" t="str">
        <f>D120&amp;I120</f>
        <v>J803565</v>
      </c>
      <c r="G120" s="4" t="s">
        <v>290</v>
      </c>
      <c r="H120" s="5">
        <v>4960369612817</v>
      </c>
      <c r="I120" s="33">
        <v>5</v>
      </c>
      <c r="J120" s="5"/>
      <c r="K120" s="47">
        <v>2</v>
      </c>
      <c r="L120" s="5">
        <v>1</v>
      </c>
      <c r="M120" s="4">
        <v>0</v>
      </c>
      <c r="N120" s="4">
        <v>1745</v>
      </c>
      <c r="O120" s="4">
        <v>1035</v>
      </c>
      <c r="P120" s="6">
        <f>IFERROR(1-O120/N120,"-")</f>
        <v>0.40687679083094552</v>
      </c>
      <c r="Q120" s="4" t="s">
        <v>304</v>
      </c>
      <c r="R120" s="4" t="s">
        <v>304</v>
      </c>
      <c r="S120" s="4" t="s">
        <v>304</v>
      </c>
      <c r="T120" s="33">
        <v>0</v>
      </c>
      <c r="U120" s="4">
        <f>IF(X120="",T120,T120*X120)</f>
        <v>0</v>
      </c>
      <c r="V120" s="4">
        <v>1254</v>
      </c>
      <c r="W120" s="4">
        <f>IF(X120="",V120,V120*X120)</f>
        <v>1254</v>
      </c>
      <c r="X120" s="4"/>
      <c r="Y120" s="21">
        <f>ROUND(N120*AM120,0)</f>
        <v>2114</v>
      </c>
      <c r="Z120" s="6">
        <f>IFERROR(1-W120/Y120,"-")</f>
        <v>0.40681173131504256</v>
      </c>
      <c r="AA120" s="33">
        <v>1</v>
      </c>
      <c r="AB120" s="4">
        <f>AX120</f>
        <v>1180</v>
      </c>
      <c r="AC120" s="33">
        <f>IFERROR(AB120*AM120,"-")</f>
        <v>1429.6811594202898</v>
      </c>
      <c r="AD120" s="6">
        <f>IFERROR(1-W120/AC120,"-")</f>
        <v>0.12288135593220328</v>
      </c>
      <c r="AE120" s="7">
        <v>2000</v>
      </c>
      <c r="AF120" s="6">
        <f>1-W120/AE120</f>
        <v>0.373</v>
      </c>
      <c r="AG120" s="4">
        <f>AE120-W120</f>
        <v>746</v>
      </c>
      <c r="AH120" s="28"/>
      <c r="AI120" s="6"/>
      <c r="AJ120" s="6"/>
      <c r="AK120" s="6" t="str">
        <f>IFERROR(U120/M120,"-")</f>
        <v>-</v>
      </c>
      <c r="AL120" s="6">
        <f>IFERROR(AE120/N120,"-")</f>
        <v>1.1461318051575931</v>
      </c>
      <c r="AM120" s="6">
        <f>IFERROR(W120/O120,"-")</f>
        <v>1.2115942028985507</v>
      </c>
      <c r="AN120" s="6" t="str">
        <f>IFERROR(1-W120/AO120,"-")</f>
        <v>-</v>
      </c>
      <c r="AO120" s="4" t="str">
        <f>IFERROR(ROUND($AE120*Q120/$N120,0),"-")</f>
        <v>-</v>
      </c>
      <c r="AP120" s="4" t="str">
        <f>IF(R120="","-",R120)</f>
        <v>-</v>
      </c>
      <c r="AQ120" s="4" t="str">
        <f>IF(S120="","-",S120)</f>
        <v>-</v>
      </c>
      <c r="AR120" s="4">
        <v>0</v>
      </c>
      <c r="AS120" s="4" t="s">
        <v>516</v>
      </c>
      <c r="AT120" s="4"/>
      <c r="AU120" s="4"/>
      <c r="AV120" s="4" t="s">
        <v>513</v>
      </c>
      <c r="AW120" s="4">
        <v>1180</v>
      </c>
      <c r="AX120" s="4">
        <f>IF(AT120="",AW120,AT120/AU120*AW120)</f>
        <v>1180</v>
      </c>
      <c r="AY120" s="19">
        <v>4</v>
      </c>
      <c r="AZ120" s="19">
        <v>8</v>
      </c>
      <c r="BA120" s="16">
        <v>1820</v>
      </c>
      <c r="BB120" t="s">
        <v>528</v>
      </c>
      <c r="BC120" t="str">
        <f>IFERROR(BB120*AM120,"-")</f>
        <v>-</v>
      </c>
      <c r="BD120">
        <v>1271</v>
      </c>
      <c r="BE120">
        <f>IFERROR(BD120*AM120,"-")</f>
        <v>1539.9362318840579</v>
      </c>
      <c r="BF120" t="s">
        <v>399</v>
      </c>
    </row>
    <row r="121" spans="1:58" x14ac:dyDescent="0.4">
      <c r="A121" s="3">
        <v>110</v>
      </c>
      <c r="B121" s="3">
        <v>110</v>
      </c>
      <c r="C121" s="4" t="s">
        <v>164</v>
      </c>
      <c r="D121" s="4" t="str">
        <f>TEXT(C121,"000000")</f>
        <v>J80353</v>
      </c>
      <c r="E121" s="4" t="s">
        <v>164</v>
      </c>
      <c r="F121" s="4" t="str">
        <f>D121&amp;I121</f>
        <v>J803535</v>
      </c>
      <c r="G121" s="4" t="s">
        <v>287</v>
      </c>
      <c r="H121" s="5">
        <v>4960369612763</v>
      </c>
      <c r="I121" s="33">
        <v>5</v>
      </c>
      <c r="J121" s="5"/>
      <c r="K121" s="5">
        <v>1</v>
      </c>
      <c r="L121" s="5">
        <v>1</v>
      </c>
      <c r="M121" s="4">
        <v>0</v>
      </c>
      <c r="N121" s="4">
        <v>2275</v>
      </c>
      <c r="O121" s="4">
        <v>1350</v>
      </c>
      <c r="P121" s="6">
        <f>IFERROR(1-O121/N121,"-")</f>
        <v>0.40659340659340659</v>
      </c>
      <c r="Q121" s="4" t="s">
        <v>304</v>
      </c>
      <c r="R121" s="4" t="s">
        <v>304</v>
      </c>
      <c r="S121" s="4" t="s">
        <v>304</v>
      </c>
      <c r="T121" s="33">
        <v>0</v>
      </c>
      <c r="U121" s="4">
        <f>IF(X121="",T121,T121*X121)</f>
        <v>0</v>
      </c>
      <c r="V121" s="4">
        <v>1632</v>
      </c>
      <c r="W121" s="4">
        <f>IF(X121="",V121,V121*X121)</f>
        <v>1632</v>
      </c>
      <c r="X121" s="4"/>
      <c r="Y121" s="21">
        <f>ROUND(N121*AM121,0)</f>
        <v>2750</v>
      </c>
      <c r="Z121" s="6">
        <f>IFERROR(1-W121/Y121,"-")</f>
        <v>0.40654545454545454</v>
      </c>
      <c r="AA121" s="33">
        <v>0.5</v>
      </c>
      <c r="AB121" s="4">
        <f>AX121</f>
        <v>1726</v>
      </c>
      <c r="AC121" s="33">
        <f>IFERROR(AB121*AM121,"-")</f>
        <v>2086.5422222222223</v>
      </c>
      <c r="AD121" s="6">
        <f>IFERROR(1-W121/AC121,"-")</f>
        <v>0.21784472769409047</v>
      </c>
      <c r="AE121" s="7">
        <v>2500</v>
      </c>
      <c r="AF121" s="6">
        <f>1-W121/AE121</f>
        <v>0.34719999999999995</v>
      </c>
      <c r="AG121" s="4">
        <f>AE121-W121</f>
        <v>868</v>
      </c>
      <c r="AH121" s="28"/>
      <c r="AI121" s="6"/>
      <c r="AJ121" s="6"/>
      <c r="AK121" s="6" t="str">
        <f>IFERROR(U121/M121,"-")</f>
        <v>-</v>
      </c>
      <c r="AL121" s="6">
        <f>IFERROR(AE121/N121,"-")</f>
        <v>1.098901098901099</v>
      </c>
      <c r="AM121" s="6">
        <f>IFERROR(W121/O121,"-")</f>
        <v>1.2088888888888889</v>
      </c>
      <c r="AN121" s="6" t="str">
        <f>IFERROR(1-W121/AO121,"-")</f>
        <v>-</v>
      </c>
      <c r="AO121" s="4" t="str">
        <f>IFERROR(ROUND($AE121*Q121/$N121,0),"-")</f>
        <v>-</v>
      </c>
      <c r="AP121" s="4" t="str">
        <f>IF(R121="","-",R121)</f>
        <v>-</v>
      </c>
      <c r="AQ121" s="4" t="str">
        <f>IF(S121="","-",S121)</f>
        <v>-</v>
      </c>
      <c r="AR121" s="4">
        <v>0</v>
      </c>
      <c r="AS121" s="4" t="s">
        <v>512</v>
      </c>
      <c r="AT121" s="4"/>
      <c r="AU121" s="4"/>
      <c r="AV121" s="4" t="s">
        <v>513</v>
      </c>
      <c r="AW121" s="4">
        <v>1726</v>
      </c>
      <c r="AX121" s="4">
        <f>IF(AT121="",AW121,AT121/AU121*AW121)</f>
        <v>1726</v>
      </c>
      <c r="AY121" s="19">
        <v>4</v>
      </c>
      <c r="AZ121" s="19">
        <v>8</v>
      </c>
      <c r="BA121" s="16">
        <v>1820</v>
      </c>
      <c r="BB121" t="s">
        <v>528</v>
      </c>
      <c r="BC121" t="str">
        <f>IFERROR(BB121*AM121,"-")</f>
        <v>-</v>
      </c>
      <c r="BD121">
        <v>1792</v>
      </c>
      <c r="BE121">
        <f>IFERROR(BD121*AM121,"-")</f>
        <v>2166.3288888888887</v>
      </c>
      <c r="BF121" t="s">
        <v>396</v>
      </c>
    </row>
    <row r="122" spans="1:58" x14ac:dyDescent="0.4">
      <c r="A122" s="3">
        <v>112</v>
      </c>
      <c r="B122" s="3">
        <v>112</v>
      </c>
      <c r="C122" s="4" t="s">
        <v>166</v>
      </c>
      <c r="D122" s="4" t="str">
        <f>TEXT(C122,"000000")</f>
        <v>J80355</v>
      </c>
      <c r="E122" s="4" t="s">
        <v>166</v>
      </c>
      <c r="F122" s="4" t="str">
        <f>D122&amp;I122</f>
        <v>J803555</v>
      </c>
      <c r="G122" s="4" t="s">
        <v>289</v>
      </c>
      <c r="H122" s="5">
        <v>4960369612800</v>
      </c>
      <c r="I122" s="33">
        <v>5</v>
      </c>
      <c r="J122" s="5"/>
      <c r="K122" s="47">
        <v>2</v>
      </c>
      <c r="L122" s="5">
        <v>1</v>
      </c>
      <c r="M122" s="4">
        <v>0</v>
      </c>
      <c r="N122" s="4">
        <v>2275</v>
      </c>
      <c r="O122" s="4">
        <v>1350</v>
      </c>
      <c r="P122" s="6">
        <f>IFERROR(1-O122/N122,"-")</f>
        <v>0.40659340659340659</v>
      </c>
      <c r="Q122" s="4" t="s">
        <v>304</v>
      </c>
      <c r="R122" s="4" t="s">
        <v>304</v>
      </c>
      <c r="S122" s="4" t="s">
        <v>304</v>
      </c>
      <c r="T122" s="33">
        <v>0</v>
      </c>
      <c r="U122" s="4">
        <f>IF(X122="",T122,T122*X122)</f>
        <v>0</v>
      </c>
      <c r="V122" s="4">
        <v>1632</v>
      </c>
      <c r="W122" s="4">
        <f>IF(X122="",V122,V122*X122)</f>
        <v>1632</v>
      </c>
      <c r="X122" s="4"/>
      <c r="Y122" s="21">
        <f>ROUND(N122*AM122,0)</f>
        <v>2750</v>
      </c>
      <c r="Z122" s="6">
        <f>IFERROR(1-W122/Y122,"-")</f>
        <v>0.40654545454545454</v>
      </c>
      <c r="AA122" s="33">
        <v>0.5</v>
      </c>
      <c r="AB122" s="4">
        <f>AX122</f>
        <v>1726</v>
      </c>
      <c r="AC122" s="33">
        <f>IFERROR(AB122*AM122,"-")</f>
        <v>2086.5422222222223</v>
      </c>
      <c r="AD122" s="6">
        <f>IFERROR(1-W122/AC122,"-")</f>
        <v>0.21784472769409047</v>
      </c>
      <c r="AE122" s="7">
        <v>2500</v>
      </c>
      <c r="AF122" s="6">
        <f>1-W122/AE122</f>
        <v>0.34719999999999995</v>
      </c>
      <c r="AG122" s="4">
        <f>AE122-W122</f>
        <v>868</v>
      </c>
      <c r="AH122" s="28"/>
      <c r="AI122" s="6"/>
      <c r="AJ122" s="6"/>
      <c r="AK122" s="6" t="str">
        <f>IFERROR(U122/M122,"-")</f>
        <v>-</v>
      </c>
      <c r="AL122" s="6">
        <f>IFERROR(AE122/N122,"-")</f>
        <v>1.098901098901099</v>
      </c>
      <c r="AM122" s="6">
        <f>IFERROR(W122/O122,"-")</f>
        <v>1.2088888888888889</v>
      </c>
      <c r="AN122" s="6" t="str">
        <f>IFERROR(1-W122/AO122,"-")</f>
        <v>-</v>
      </c>
      <c r="AO122" s="4" t="str">
        <f>IFERROR(ROUND($AE122*Q122/$N122,0),"-")</f>
        <v>-</v>
      </c>
      <c r="AP122" s="4" t="str">
        <f>IF(R122="","-",R122)</f>
        <v>-</v>
      </c>
      <c r="AQ122" s="4" t="str">
        <f>IF(S122="","-",S122)</f>
        <v>-</v>
      </c>
      <c r="AR122" s="4">
        <v>0</v>
      </c>
      <c r="AS122" s="4" t="s">
        <v>515</v>
      </c>
      <c r="AT122" s="4"/>
      <c r="AU122" s="4"/>
      <c r="AV122" s="4" t="s">
        <v>513</v>
      </c>
      <c r="AW122" s="4">
        <v>1726</v>
      </c>
      <c r="AX122" s="4">
        <f>IF(AT122="",AW122,AT122/AU122*AW122)</f>
        <v>1726</v>
      </c>
      <c r="AY122" s="19">
        <v>4</v>
      </c>
      <c r="AZ122" s="19">
        <v>8</v>
      </c>
      <c r="BA122" s="16">
        <v>1820</v>
      </c>
      <c r="BB122" t="s">
        <v>528</v>
      </c>
      <c r="BC122" t="str">
        <f>IFERROR(BB122*AM122,"-")</f>
        <v>-</v>
      </c>
      <c r="BD122">
        <v>1792</v>
      </c>
      <c r="BE122">
        <f>IFERROR(BD122*AM122,"-")</f>
        <v>2166.3288888888887</v>
      </c>
      <c r="BF122" t="s">
        <v>398</v>
      </c>
    </row>
    <row r="123" spans="1:58" x14ac:dyDescent="0.4">
      <c r="A123" s="3">
        <v>98</v>
      </c>
      <c r="B123" s="3">
        <v>98</v>
      </c>
      <c r="C123" s="4" t="s">
        <v>152</v>
      </c>
      <c r="D123" s="4" t="str">
        <f>TEXT(C123,"000000")</f>
        <v>J78047</v>
      </c>
      <c r="E123" s="4" t="s">
        <v>152</v>
      </c>
      <c r="F123" s="4" t="str">
        <f>D123&amp;I123</f>
        <v>J780475</v>
      </c>
      <c r="G123" s="4" t="s">
        <v>275</v>
      </c>
      <c r="H123" s="5">
        <v>4582240730085</v>
      </c>
      <c r="I123" s="33">
        <v>5</v>
      </c>
      <c r="J123" s="5"/>
      <c r="K123" s="5">
        <v>1</v>
      </c>
      <c r="L123" s="5">
        <v>1</v>
      </c>
      <c r="M123" s="4">
        <v>0</v>
      </c>
      <c r="N123" s="4">
        <v>9500</v>
      </c>
      <c r="O123" s="4">
        <v>6854</v>
      </c>
      <c r="P123" s="6">
        <f>IFERROR(1-O123/N123,"-")</f>
        <v>0.27852631578947373</v>
      </c>
      <c r="Q123" s="4" t="s">
        <v>304</v>
      </c>
      <c r="R123" s="4" t="s">
        <v>304</v>
      </c>
      <c r="S123" s="4" t="s">
        <v>304</v>
      </c>
      <c r="T123" s="33">
        <v>0</v>
      </c>
      <c r="U123" s="4">
        <f>IF(X123="",T123,T123*X123)</f>
        <v>0</v>
      </c>
      <c r="V123" s="4">
        <v>7116</v>
      </c>
      <c r="W123" s="4">
        <f>IF(X123="",V123,V123*X123)</f>
        <v>7116</v>
      </c>
      <c r="X123" s="4"/>
      <c r="Y123" s="21">
        <f>ROUND(N123*AM123,0)</f>
        <v>9863</v>
      </c>
      <c r="Z123" s="6">
        <f>IFERROR(1-W123/Y123,"-")</f>
        <v>0.2785156646050897</v>
      </c>
      <c r="AA123" s="33">
        <v>0</v>
      </c>
      <c r="AB123" s="4">
        <f>AX123</f>
        <v>7610</v>
      </c>
      <c r="AC123" s="33">
        <f>IFERROR(AB123*AM123,"-")</f>
        <v>7900.8987452582442</v>
      </c>
      <c r="AD123" s="6">
        <f>IFERROR(1-W123/AC123,"-")</f>
        <v>9.9342969776609835E-2</v>
      </c>
      <c r="AE123" s="7">
        <v>9900</v>
      </c>
      <c r="AF123" s="6">
        <f>1-W123/AE123</f>
        <v>0.28121212121212125</v>
      </c>
      <c r="AG123" s="4">
        <f>AE123-W123</f>
        <v>2784</v>
      </c>
      <c r="AH123" s="28"/>
      <c r="AI123" s="6"/>
      <c r="AJ123" s="6"/>
      <c r="AK123" s="6" t="str">
        <f>IFERROR(U123/M123,"-")</f>
        <v>-</v>
      </c>
      <c r="AL123" s="6">
        <f>IFERROR(AE123/N123,"-")</f>
        <v>1.0421052631578946</v>
      </c>
      <c r="AM123" s="6">
        <f>IFERROR(W123/O123,"-")</f>
        <v>1.038225853516195</v>
      </c>
      <c r="AN123" s="6" t="str">
        <f>IFERROR(1-W123/AO123,"-")</f>
        <v>-</v>
      </c>
      <c r="AO123" s="4" t="str">
        <f>IFERROR(ROUND($AE123*Q123/$N123,0),"-")</f>
        <v>-</v>
      </c>
      <c r="AP123" s="4" t="str">
        <f>IF(R123="","-",R123)</f>
        <v>-</v>
      </c>
      <c r="AQ123" s="4" t="str">
        <f>IF(S123="","-",S123)</f>
        <v>-</v>
      </c>
      <c r="AR123" s="4">
        <v>0</v>
      </c>
      <c r="AS123" s="4" t="s">
        <v>498</v>
      </c>
      <c r="AT123" s="4"/>
      <c r="AU123" s="4"/>
      <c r="AV123" s="4" t="s">
        <v>499</v>
      </c>
      <c r="AW123" s="4">
        <v>7610</v>
      </c>
      <c r="AX123" s="4">
        <f>IF(AT123="",AW123,AT123/AU123*AW123)</f>
        <v>7610</v>
      </c>
      <c r="AY123" s="19">
        <v>4</v>
      </c>
      <c r="AZ123" s="19">
        <v>8</v>
      </c>
      <c r="BA123" s="16">
        <v>1910</v>
      </c>
      <c r="BB123" t="s">
        <v>528</v>
      </c>
      <c r="BC123" t="str">
        <f>IFERROR(BB123*AM123,"-")</f>
        <v>-</v>
      </c>
      <c r="BD123">
        <v>7610</v>
      </c>
      <c r="BE123">
        <f>IFERROR(BD123*AM123,"-")</f>
        <v>7900.8987452582442</v>
      </c>
      <c r="BF123" t="s">
        <v>384</v>
      </c>
    </row>
    <row r="124" spans="1:58" x14ac:dyDescent="0.4">
      <c r="A124" s="48">
        <v>99</v>
      </c>
      <c r="B124" s="3">
        <v>99</v>
      </c>
      <c r="C124" s="4" t="s">
        <v>153</v>
      </c>
      <c r="D124" s="4" t="str">
        <f>TEXT(C124,"000000")</f>
        <v>J78048</v>
      </c>
      <c r="E124" s="4" t="s">
        <v>153</v>
      </c>
      <c r="F124" s="4" t="str">
        <f>D124&amp;I124</f>
        <v>J780485</v>
      </c>
      <c r="G124" s="4" t="s">
        <v>276</v>
      </c>
      <c r="H124" s="5">
        <v>4582240730078</v>
      </c>
      <c r="I124" s="33">
        <v>5</v>
      </c>
      <c r="J124" s="5"/>
      <c r="K124" s="5">
        <v>1</v>
      </c>
      <c r="L124" s="5">
        <v>1</v>
      </c>
      <c r="M124" s="4">
        <v>0</v>
      </c>
      <c r="N124" s="4">
        <v>11800</v>
      </c>
      <c r="O124" s="4">
        <v>8677</v>
      </c>
      <c r="P124" s="6">
        <f>IFERROR(1-O124/N124,"-")</f>
        <v>0.26466101694915256</v>
      </c>
      <c r="Q124" s="4" t="s">
        <v>304</v>
      </c>
      <c r="R124" s="4" t="s">
        <v>304</v>
      </c>
      <c r="S124" s="4" t="s">
        <v>304</v>
      </c>
      <c r="T124" s="33">
        <v>0</v>
      </c>
      <c r="U124" s="4">
        <f>IF(X124="",T124,T124*X124)</f>
        <v>0</v>
      </c>
      <c r="V124" s="4">
        <v>9012</v>
      </c>
      <c r="W124" s="4">
        <f>IF(X124="",V124,V124*X124)</f>
        <v>9012</v>
      </c>
      <c r="X124" s="4"/>
      <c r="Y124" s="21">
        <f>ROUND(N124*AM124,0)</f>
        <v>12256</v>
      </c>
      <c r="Z124" s="6">
        <f>IFERROR(1-W124/Y124,"-")</f>
        <v>0.26468668407310703</v>
      </c>
      <c r="AA124" s="33">
        <v>0</v>
      </c>
      <c r="AB124" s="4">
        <f>AX124</f>
        <v>11500</v>
      </c>
      <c r="AC124" s="33">
        <f>IFERROR(AB124*AM124,"-")</f>
        <v>11943.989858245937</v>
      </c>
      <c r="AD124" s="6">
        <f>IFERROR(1-W124/AC124,"-")</f>
        <v>0.24547826086956526</v>
      </c>
      <c r="AE124" s="7">
        <v>11944</v>
      </c>
      <c r="AF124" s="6">
        <f>1-W124/AE124</f>
        <v>0.24547890154052243</v>
      </c>
      <c r="AG124" s="49">
        <f>AE124-W124</f>
        <v>2932</v>
      </c>
      <c r="AH124" s="28"/>
      <c r="AI124" s="6"/>
      <c r="AJ124" s="6"/>
      <c r="AK124" s="6" t="str">
        <f>IFERROR(U124/M124,"-")</f>
        <v>-</v>
      </c>
      <c r="AL124" s="6">
        <f>IFERROR(AE124/N124,"-")</f>
        <v>1.0122033898305085</v>
      </c>
      <c r="AM124" s="6">
        <f>IFERROR(W124/O124,"-")</f>
        <v>1.0386078137605164</v>
      </c>
      <c r="AN124" s="6" t="str">
        <f>IFERROR(1-W124/AO124,"-")</f>
        <v>-</v>
      </c>
      <c r="AO124" s="4" t="str">
        <f>IFERROR(ROUND($AE124*Q124/$N124,0),"-")</f>
        <v>-</v>
      </c>
      <c r="AP124" s="4" t="str">
        <f>IF(R124="","-",R124)</f>
        <v>-</v>
      </c>
      <c r="AQ124" s="4" t="str">
        <f>IF(S124="","-",S124)</f>
        <v>-</v>
      </c>
      <c r="AR124" s="4">
        <v>0</v>
      </c>
      <c r="AS124" s="4" t="s">
        <v>500</v>
      </c>
      <c r="AT124" s="4"/>
      <c r="AU124" s="4"/>
      <c r="AV124" s="4" t="s">
        <v>499</v>
      </c>
      <c r="AW124" s="4">
        <v>11500</v>
      </c>
      <c r="AX124" s="4">
        <f>IF(AT124="",AW124,AT124/AU124*AW124)</f>
        <v>11500</v>
      </c>
      <c r="AY124" s="19">
        <v>2</v>
      </c>
      <c r="AZ124" s="19">
        <v>8</v>
      </c>
      <c r="BA124" s="16">
        <v>1910</v>
      </c>
      <c r="BB124" t="s">
        <v>528</v>
      </c>
      <c r="BC124" t="str">
        <f>IFERROR(BB124*AM124,"-")</f>
        <v>-</v>
      </c>
      <c r="BD124">
        <v>10494</v>
      </c>
      <c r="BE124">
        <f>IFERROR(BD124*AM124,"-")</f>
        <v>10899.150397602858</v>
      </c>
      <c r="BF124" t="s">
        <v>385</v>
      </c>
    </row>
    <row r="125" spans="1:58" x14ac:dyDescent="0.4">
      <c r="A125" s="48">
        <v>100</v>
      </c>
      <c r="B125" s="3">
        <v>100</v>
      </c>
      <c r="C125" s="4" t="s">
        <v>154</v>
      </c>
      <c r="D125" s="4" t="str">
        <f>TEXT(C125,"000000")</f>
        <v>J78049</v>
      </c>
      <c r="E125" s="4" t="s">
        <v>154</v>
      </c>
      <c r="F125" s="4" t="str">
        <f>D125&amp;I125</f>
        <v>J780495</v>
      </c>
      <c r="G125" s="4" t="s">
        <v>277</v>
      </c>
      <c r="H125" s="5">
        <v>4582240730023</v>
      </c>
      <c r="I125" s="33">
        <v>5</v>
      </c>
      <c r="J125" s="5"/>
      <c r="K125" s="5">
        <v>1</v>
      </c>
      <c r="L125" s="5">
        <v>1</v>
      </c>
      <c r="M125" s="4">
        <v>0</v>
      </c>
      <c r="N125" s="4">
        <v>14000</v>
      </c>
      <c r="O125" s="4">
        <v>10132</v>
      </c>
      <c r="P125" s="6">
        <f>IFERROR(1-O125/N125,"-")</f>
        <v>0.27628571428571425</v>
      </c>
      <c r="Q125" s="4" t="s">
        <v>304</v>
      </c>
      <c r="R125" s="4" t="s">
        <v>304</v>
      </c>
      <c r="S125" s="4" t="s">
        <v>304</v>
      </c>
      <c r="T125" s="33">
        <v>0</v>
      </c>
      <c r="U125" s="4">
        <f>IF(X125="",T125,T125*X125)</f>
        <v>0</v>
      </c>
      <c r="V125" s="4">
        <v>10525</v>
      </c>
      <c r="W125" s="4">
        <f>IF(X125="",V125,V125*X125)</f>
        <v>10525</v>
      </c>
      <c r="X125" s="4"/>
      <c r="Y125" s="21">
        <f>ROUND(N125*AM125,0)</f>
        <v>14543</v>
      </c>
      <c r="Z125" s="6">
        <f>IFERROR(1-W125/Y125,"-")</f>
        <v>0.27628412294574711</v>
      </c>
      <c r="AA125" s="33">
        <v>0</v>
      </c>
      <c r="AB125" s="4">
        <f>AX125</f>
        <v>13500</v>
      </c>
      <c r="AC125" s="33">
        <f>IFERROR(AB125*AM125,"-")</f>
        <v>14023.637978681405</v>
      </c>
      <c r="AD125" s="6">
        <f>IFERROR(1-W125/AC125,"-")</f>
        <v>0.24948148148148142</v>
      </c>
      <c r="AE125" s="7">
        <v>14023</v>
      </c>
      <c r="AF125" s="6">
        <f>1-W125/AE125</f>
        <v>0.24944733651857665</v>
      </c>
      <c r="AG125" s="49">
        <f>AE125-W125</f>
        <v>3498</v>
      </c>
      <c r="AH125" s="28"/>
      <c r="AI125" s="6"/>
      <c r="AJ125" s="6"/>
      <c r="AK125" s="6" t="str">
        <f>IFERROR(U125/M125,"-")</f>
        <v>-</v>
      </c>
      <c r="AL125" s="6">
        <f>IFERROR(AE125/N125,"-")</f>
        <v>1.0016428571428571</v>
      </c>
      <c r="AM125" s="6">
        <f>IFERROR(W125/O125,"-")</f>
        <v>1.0387879984208448</v>
      </c>
      <c r="AN125" s="6" t="str">
        <f>IFERROR(1-W125/AO125,"-")</f>
        <v>-</v>
      </c>
      <c r="AO125" s="4" t="str">
        <f>IFERROR(ROUND($AE125*Q125/$N125,0),"-")</f>
        <v>-</v>
      </c>
      <c r="AP125" s="4" t="str">
        <f>IF(R125="","-",R125)</f>
        <v>-</v>
      </c>
      <c r="AQ125" s="4" t="str">
        <f>IF(S125="","-",S125)</f>
        <v>-</v>
      </c>
      <c r="AR125" s="4">
        <v>0</v>
      </c>
      <c r="AS125" s="4" t="s">
        <v>501</v>
      </c>
      <c r="AT125" s="4"/>
      <c r="AU125" s="4"/>
      <c r="AV125" s="4" t="s">
        <v>499</v>
      </c>
      <c r="AW125" s="4">
        <v>13500</v>
      </c>
      <c r="AX125" s="4">
        <f>IF(AT125="",AW125,AT125/AU125*AW125)</f>
        <v>13500</v>
      </c>
      <c r="AY125" s="19">
        <v>2</v>
      </c>
      <c r="AZ125" s="19">
        <v>8</v>
      </c>
      <c r="BA125" s="16">
        <v>1910</v>
      </c>
      <c r="BB125" t="s">
        <v>528</v>
      </c>
      <c r="BC125" t="str">
        <f>IFERROR(BB125*AM125,"-")</f>
        <v>-</v>
      </c>
      <c r="BD125">
        <v>9125</v>
      </c>
      <c r="BE125">
        <f>IFERROR(BD125*AM125,"-")</f>
        <v>9478.9404855902085</v>
      </c>
      <c r="BF125" t="s">
        <v>386</v>
      </c>
    </row>
    <row r="126" spans="1:58" x14ac:dyDescent="0.4">
      <c r="A126" s="48">
        <v>101</v>
      </c>
      <c r="B126" s="3">
        <v>101</v>
      </c>
      <c r="C126" s="4" t="s">
        <v>155</v>
      </c>
      <c r="D126" s="4" t="str">
        <f>TEXT(C126,"000000")</f>
        <v>J78050</v>
      </c>
      <c r="E126" s="4" t="s">
        <v>155</v>
      </c>
      <c r="F126" s="4" t="str">
        <f>D126&amp;I126</f>
        <v>J780505</v>
      </c>
      <c r="G126" s="4" t="s">
        <v>278</v>
      </c>
      <c r="H126" s="5">
        <v>4582240730061</v>
      </c>
      <c r="I126" s="33">
        <v>5</v>
      </c>
      <c r="J126" s="5"/>
      <c r="K126" s="5">
        <v>1</v>
      </c>
      <c r="L126" s="5">
        <v>1</v>
      </c>
      <c r="M126" s="4">
        <v>0</v>
      </c>
      <c r="N126" s="4">
        <v>15500</v>
      </c>
      <c r="O126" s="4">
        <v>11652</v>
      </c>
      <c r="P126" s="6">
        <f>IFERROR(1-O126/N126,"-")</f>
        <v>0.24825806451612908</v>
      </c>
      <c r="Q126" s="4" t="s">
        <v>304</v>
      </c>
      <c r="R126" s="4" t="s">
        <v>304</v>
      </c>
      <c r="S126" s="4" t="s">
        <v>304</v>
      </c>
      <c r="T126" s="33">
        <v>0</v>
      </c>
      <c r="U126" s="4">
        <f>IF(X126="",T126,T126*X126)</f>
        <v>0</v>
      </c>
      <c r="V126" s="4">
        <v>12104</v>
      </c>
      <c r="W126" s="4">
        <f>IF(X126="",V126,V126*X126)</f>
        <v>12104</v>
      </c>
      <c r="X126" s="4"/>
      <c r="Y126" s="21">
        <f>ROUND(N126*AM126,0)</f>
        <v>16101</v>
      </c>
      <c r="Z126" s="6">
        <f>IFERROR(1-W126/Y126,"-")</f>
        <v>0.24824545059313086</v>
      </c>
      <c r="AA126" s="33">
        <v>0</v>
      </c>
      <c r="AB126" s="4">
        <f>AX126</f>
        <v>16648</v>
      </c>
      <c r="AC126" s="33">
        <f>IFERROR(AB126*AM126,"-")</f>
        <v>17293.802952282873</v>
      </c>
      <c r="AD126" s="6">
        <f>IFERROR(1-W126/AC126,"-")</f>
        <v>0.3000961076405575</v>
      </c>
      <c r="AE126" s="7">
        <v>16100</v>
      </c>
      <c r="AF126" s="6">
        <f>1-W126/AE126</f>
        <v>0.24819875776397515</v>
      </c>
      <c r="AG126" s="49">
        <f>AE126-W126</f>
        <v>3996</v>
      </c>
      <c r="AH126" s="28"/>
      <c r="AI126" s="6"/>
      <c r="AJ126" s="6"/>
      <c r="AK126" s="6" t="str">
        <f>IFERROR(U126/M126,"-")</f>
        <v>-</v>
      </c>
      <c r="AL126" s="6">
        <f>IFERROR(AE126/N126,"-")</f>
        <v>1.0387096774193549</v>
      </c>
      <c r="AM126" s="6">
        <f>IFERROR(W126/O126,"-")</f>
        <v>1.0387916237555785</v>
      </c>
      <c r="AN126" s="6" t="str">
        <f>IFERROR(1-W126/AO126,"-")</f>
        <v>-</v>
      </c>
      <c r="AO126" s="4" t="str">
        <f>IFERROR(ROUND($AE126*Q126/$N126,0),"-")</f>
        <v>-</v>
      </c>
      <c r="AP126" s="4" t="str">
        <f>IF(R126="","-",R126)</f>
        <v>-</v>
      </c>
      <c r="AQ126" s="4" t="str">
        <f>IF(S126="","-",S126)</f>
        <v>-</v>
      </c>
      <c r="AR126" s="4">
        <v>0</v>
      </c>
      <c r="AS126" s="4" t="s">
        <v>502</v>
      </c>
      <c r="AT126" s="4"/>
      <c r="AU126" s="4"/>
      <c r="AV126" s="4" t="s">
        <v>499</v>
      </c>
      <c r="AW126" s="4">
        <v>16648</v>
      </c>
      <c r="AX126" s="4">
        <f>IF(AT126="",AW126,AT126/AU126*AW126)</f>
        <v>16648</v>
      </c>
      <c r="AY126" s="19">
        <v>2</v>
      </c>
      <c r="AZ126" s="19">
        <v>8</v>
      </c>
      <c r="BA126" s="16">
        <v>1910</v>
      </c>
      <c r="BB126">
        <v>15500</v>
      </c>
      <c r="BC126">
        <f>IFERROR(BB126*AM126,"-")</f>
        <v>16101.270168211468</v>
      </c>
      <c r="BD126">
        <v>14144</v>
      </c>
      <c r="BE126">
        <f>IFERROR(BD126*AM126,"-")</f>
        <v>14692.668726398902</v>
      </c>
      <c r="BF126" t="s">
        <v>387</v>
      </c>
    </row>
  </sheetData>
  <autoFilter ref="A3:BF126" xr:uid="{7A1660CF-9003-4B2D-B659-7F339ED5B476}">
    <sortState xmlns:xlrd2="http://schemas.microsoft.com/office/spreadsheetml/2017/richdata2" ref="A4:BF126">
      <sortCondition ref="BA4:BA126"/>
      <sortCondition ref="V4:V126"/>
    </sortState>
  </autoFilter>
  <mergeCells count="3">
    <mergeCell ref="M2:P2"/>
    <mergeCell ref="K2:L2"/>
    <mergeCell ref="T1:W1"/>
  </mergeCells>
  <phoneticPr fontId="2"/>
  <conditionalFormatting sqref="AE4:AE126">
    <cfRule type="cellIs" dxfId="2" priority="4" operator="greaterThan">
      <formula>$U4</formula>
    </cfRule>
  </conditionalFormatting>
  <conditionalFormatting sqref="AC4:AC126">
    <cfRule type="cellIs" dxfId="1" priority="2" operator="lessThan">
      <formula>$AE4</formula>
    </cfRule>
  </conditionalFormatting>
  <conditionalFormatting sqref="AF4:AF126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2026-07-14T03:05:40Z</dcterms:modified>
</cp:coreProperties>
</file>