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ｶ_カネゲン_472\価格改定\20260525_8月末長門屋\"/>
    </mc:Choice>
  </mc:AlternateContent>
  <xr:revisionPtr revIDLastSave="0" documentId="13_ncr:1_{D96696F4-78AD-4C15-B44A-3E04F5C08A73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10" i="1" l="1"/>
  <c r="AQ10" i="1"/>
  <c r="AL10" i="1"/>
  <c r="AK10" i="1"/>
  <c r="AG10" i="1"/>
  <c r="AB10" i="1"/>
  <c r="AR10" i="1" s="1"/>
  <c r="Z10" i="1"/>
  <c r="AP10" i="1" s="1"/>
  <c r="O10" i="1"/>
  <c r="D10" i="1"/>
  <c r="BH9" i="1"/>
  <c r="AR9" i="1"/>
  <c r="BO9" i="1" s="1"/>
  <c r="AQ9" i="1"/>
  <c r="AP9" i="1"/>
  <c r="AK9" i="1"/>
  <c r="AG9" i="1"/>
  <c r="AH9" i="1" s="1"/>
  <c r="AB9" i="1"/>
  <c r="Z9" i="1"/>
  <c r="O9" i="1"/>
  <c r="D9" i="1"/>
  <c r="BH8" i="1"/>
  <c r="AQ8" i="1"/>
  <c r="AL8" i="1"/>
  <c r="AK8" i="1"/>
  <c r="AG8" i="1"/>
  <c r="AB8" i="1"/>
  <c r="Z8" i="1"/>
  <c r="AP8" i="1" s="1"/>
  <c r="O8" i="1"/>
  <c r="D8" i="1"/>
  <c r="BH7" i="1"/>
  <c r="AQ7" i="1"/>
  <c r="AL7" i="1"/>
  <c r="AK7" i="1"/>
  <c r="AG7" i="1"/>
  <c r="AB7" i="1"/>
  <c r="Z7" i="1"/>
  <c r="AP7" i="1" s="1"/>
  <c r="O7" i="1"/>
  <c r="D7" i="1"/>
  <c r="BH6" i="1"/>
  <c r="AQ6" i="1"/>
  <c r="AL6" i="1"/>
  <c r="AK6" i="1"/>
  <c r="AG6" i="1"/>
  <c r="AB6" i="1"/>
  <c r="Z6" i="1"/>
  <c r="AP6" i="1" s="1"/>
  <c r="O6" i="1"/>
  <c r="D6" i="1"/>
  <c r="BH5" i="1"/>
  <c r="AU5" i="1"/>
  <c r="AT5" i="1"/>
  <c r="AS5" i="1"/>
  <c r="AR5" i="1"/>
  <c r="BO5" i="1" s="1"/>
  <c r="AQ5" i="1"/>
  <c r="AO5" i="1"/>
  <c r="AL5" i="1"/>
  <c r="AK5" i="1"/>
  <c r="AG5" i="1"/>
  <c r="AH5" i="1" s="1"/>
  <c r="AI5" i="1" s="1"/>
  <c r="AB5" i="1"/>
  <c r="Z5" i="1"/>
  <c r="AP5" i="1" s="1"/>
  <c r="O5" i="1"/>
  <c r="D5" i="1"/>
  <c r="AH6" i="1" l="1"/>
  <c r="AI6" i="1" s="1"/>
  <c r="AH8" i="1"/>
  <c r="AI8" i="1" s="1"/>
  <c r="AI9" i="1"/>
  <c r="BO10" i="1"/>
  <c r="BM10" i="1"/>
  <c r="AD10" i="1"/>
  <c r="AE10" i="1" s="1"/>
  <c r="AH10" i="1"/>
  <c r="AI10" i="1" s="1"/>
  <c r="AN5" i="1"/>
  <c r="AR6" i="1"/>
  <c r="AL9" i="1"/>
  <c r="AD5" i="1"/>
  <c r="AE5" i="1" s="1"/>
  <c r="BM5" i="1"/>
  <c r="AR7" i="1"/>
  <c r="AR8" i="1"/>
  <c r="AD9" i="1"/>
  <c r="AE9" i="1" s="1"/>
  <c r="BM9" i="1"/>
  <c r="BO6" i="1" l="1"/>
  <c r="BM6" i="1"/>
  <c r="AD6" i="1"/>
  <c r="AE6" i="1" s="1"/>
  <c r="BO8" i="1"/>
  <c r="BM8" i="1"/>
  <c r="AD8" i="1"/>
  <c r="AE8" i="1" s="1"/>
  <c r="BO7" i="1"/>
  <c r="BM7" i="1"/>
  <c r="AH7" i="1"/>
  <c r="AI7" i="1" s="1"/>
  <c r="AD7" i="1"/>
  <c r="AE7" i="1" s="1"/>
  <c r="BM4" i="1" l="1"/>
  <c r="AS4" i="1"/>
  <c r="AU4" i="1"/>
  <c r="AT4" i="1"/>
  <c r="BH4" i="1" l="1"/>
  <c r="AG4" i="1" s="1"/>
  <c r="D4" i="1"/>
  <c r="AB4" i="1"/>
  <c r="Z4" i="1"/>
  <c r="AP4" i="1" s="1"/>
  <c r="AQ4" i="1"/>
  <c r="O4" i="1"/>
  <c r="AK4" i="1" l="1"/>
  <c r="AN4" i="1"/>
  <c r="AO4" i="1"/>
  <c r="AL4" i="1"/>
  <c r="AR4" i="1"/>
  <c r="AD4" i="1" s="1"/>
  <c r="AE4" i="1" s="1"/>
  <c r="AH4" i="1" l="1"/>
  <c r="AI4" i="1" s="1"/>
</calcChain>
</file>

<file path=xl/sharedStrings.xml><?xml version="1.0" encoding="utf-8"?>
<sst xmlns="http://schemas.openxmlformats.org/spreadsheetml/2006/main" count="133" uniqueCount="95">
  <si>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</si>
  <si>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</si>
  <si>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</si>
  <si>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</si>
  <si>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</si>
  <si>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</si>
  <si>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</si>
  <si>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</si>
  <si>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</si>
  <si>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</si>
  <si>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</si>
  <si>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</si>
  <si>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</si>
  <si>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</si>
  <si>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</si>
  <si>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</si>
  <si>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</si>
  <si>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</si>
  <si>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</si>
  <si>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</si>
  <si>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</si>
  <si>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</si>
  <si>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</si>
  <si>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</si>
  <si>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</si>
  <si>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</si>
  <si>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</si>
  <si>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</si>
  <si>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</si>
  <si>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</si>
  <si>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</si>
  <si>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</si>
  <si>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</si>
  <si>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</si>
  <si>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</si>
  <si>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</si>
  <si>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</si>
  <si>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</si>
  <si>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</si>
  <si>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</si>
  <si>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</si>
  <si>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</si>
  <si>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</si>
  <si>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</si>
  <si>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</si>
  <si>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</si>
  <si>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</si>
  <si>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</si>
  <si>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</si>
  <si>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</si>
  <si>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</si>
  <si>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</si>
  <si>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</si>
  <si>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</si>
  <si>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</si>
  <si>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</si>
  <si>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</si>
  <si>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</si>
  <si>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</si>
  <si>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</si>
  <si>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</si>
  <si>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</si>
  <si>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</si>
  <si>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</si>
  <si>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</si>
  <si>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</si>
  <si>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6936AM</t>
  </si>
  <si>
    <t>長門屋商店/いろいろ いろがようし ｸﾚﾖﾝｶﾗｰ A4 ﾐﾙｷｰｶﾗ</t>
  </si>
  <si>
    <t>-</t>
    <phoneticPr fontId="2"/>
  </si>
  <si>
    <t>RP97898</t>
  </si>
  <si>
    <t>長門屋商店 いろいろ いろがようし クレヨンカラー A4 ミルキーカラー10色アソート ナ-CR912 1冊(20枚)</t>
  </si>
  <si>
    <t>1冊（20枚）</t>
  </si>
  <si>
    <t>●寿堂/8492(100枚)/ﾎﾜｲﾄ封筒洋型2号 〒枠なし</t>
  </si>
  <si>
    <t>UA86657</t>
  </si>
  <si>
    <t>1セット（100枚入り）×2箱</t>
  </si>
  <si>
    <t>-</t>
  </si>
  <si>
    <t>寿堂 Y2 枠無し サンケント 100g 08492 1セット(100枚入)×2箱（直送品）</t>
  </si>
  <si>
    <t>5372AK</t>
  </si>
  <si>
    <t>寿堂/ｸﾗﾌﾄ封筒 長3 枠なし 100枚/523</t>
  </si>
  <si>
    <t>999110</t>
  </si>
  <si>
    <t>1袋（100枚入）</t>
  </si>
  <si>
    <t>寿堂　FSC認証クラフト封筒　長3 枠なし　100枚</t>
  </si>
  <si>
    <t>寿堂/大型封筒ｸﾗﾌﾄA3ﾏﾁ付 10枚/3853</t>
  </si>
  <si>
    <t>692417</t>
  </si>
  <si>
    <t>1袋（10枚入）</t>
  </si>
  <si>
    <t>寿堂 コトブキ封筒　大型封筒 クラフト A3用 マチ付 3853　10枚</t>
  </si>
  <si>
    <t>J152TE</t>
  </si>
  <si>
    <t>寿堂/祝 多当 中袋なし 花結 No.132 10枚/06132</t>
  </si>
  <si>
    <t>J153TE</t>
  </si>
  <si>
    <t>寿堂/仏 多当 中袋なし 御霊前 No.133 10枚/06133</t>
  </si>
  <si>
    <t>J804TW</t>
  </si>
  <si>
    <t>寿堂/窓付封筒 長3 ｸﾞﾚｰ 100枚/3294</t>
  </si>
  <si>
    <t>WW46930</t>
  </si>
  <si>
    <t>1セット(2パック)</t>
  </si>
  <si>
    <t>寿堂 マド付封筒長3ハーフトーンカラーグレー 03294 1セット(2パック)（直送品）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</si>
</sst>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6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5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</cellXfs>
  <cellStyles count="1">
    <cellStyle name="標準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10"/>
  <sheetViews>
    <sheetView tabSelected="1" zoomScale="90" zoomScaleNormal="90" workbookViewId="0">
      <pane xSplit="7" ySplit="4" topLeftCell="L5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27" customWidth="1"/>
    <col min="33" max="33" width="7.625" customWidth="1"/>
    <col min="34" max="34" width="7.625" style="27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6" width="7.625" customWidth="1"/>
  </cols>
  <sheetData>
    <row r="1" spans="1:68" x14ac:dyDescent="0.4">
      <c r="C1" s="26" t="s">
        <v>49</v>
      </c>
      <c r="Y1" s="40" t="s">
        <v>46</v>
      </c>
      <c r="Z1" s="41"/>
      <c r="AA1" s="41"/>
      <c r="AB1" s="42"/>
    </row>
    <row r="2" spans="1:68" x14ac:dyDescent="0.4">
      <c r="C2" s="8" t="s">
        <v>33</v>
      </c>
      <c r="D2" s="9" t="s">
        <v>34</v>
      </c>
      <c r="E2" s="9" t="s">
        <v>35</v>
      </c>
      <c r="F2" s="10"/>
      <c r="G2" s="10"/>
      <c r="H2" s="34"/>
      <c r="I2" s="34"/>
      <c r="J2" s="37" t="s">
        <v>36</v>
      </c>
      <c r="K2" s="39"/>
      <c r="L2" s="37" t="s">
        <v>2</v>
      </c>
      <c r="M2" s="38"/>
      <c r="N2" s="38"/>
      <c r="O2" s="39"/>
      <c r="P2" s="11"/>
      <c r="Q2" s="33"/>
      <c r="R2" s="33"/>
      <c r="S2" s="33"/>
      <c r="T2" s="33"/>
      <c r="U2" s="33"/>
      <c r="V2" s="33"/>
      <c r="W2" s="33"/>
      <c r="X2" s="33"/>
      <c r="Y2" s="20"/>
      <c r="Z2" s="21" t="s">
        <v>39</v>
      </c>
      <c r="AA2" s="21"/>
      <c r="AB2" s="22" t="s">
        <v>39</v>
      </c>
      <c r="AC2" s="10"/>
      <c r="AD2" s="9" t="s">
        <v>44</v>
      </c>
      <c r="AE2" s="11"/>
      <c r="AF2" s="28"/>
      <c r="AG2" s="11"/>
      <c r="AH2" s="28"/>
      <c r="AI2" s="11"/>
      <c r="AJ2" s="19" t="s">
        <v>47</v>
      </c>
      <c r="AK2" s="11"/>
      <c r="AL2" s="11"/>
      <c r="AM2" s="24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59</v>
      </c>
      <c r="B3" s="1" t="s">
        <v>65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61</v>
      </c>
      <c r="I3" s="12" t="s">
        <v>62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17" t="s">
        <v>17</v>
      </c>
      <c r="AE3" s="2" t="s">
        <v>16</v>
      </c>
      <c r="AF3" s="29" t="s">
        <v>50</v>
      </c>
      <c r="AG3" s="12" t="s">
        <v>45</v>
      </c>
      <c r="AH3" s="35" t="s">
        <v>63</v>
      </c>
      <c r="AI3" s="2" t="s">
        <v>16</v>
      </c>
      <c r="AJ3" s="13" t="s">
        <v>37</v>
      </c>
      <c r="AK3" s="2" t="s">
        <v>16</v>
      </c>
      <c r="AL3" s="2" t="s">
        <v>38</v>
      </c>
      <c r="AM3" s="23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64</v>
      </c>
      <c r="BH3" s="2" t="s">
        <v>15</v>
      </c>
      <c r="BI3" s="16" t="s">
        <v>51</v>
      </c>
      <c r="BJ3" s="16" t="s">
        <v>52</v>
      </c>
      <c r="BK3" s="15" t="s">
        <v>60</v>
      </c>
      <c r="BL3" s="31" t="s">
        <v>53</v>
      </c>
      <c r="BM3" s="32"/>
      <c r="BN3" s="32" t="s">
        <v>54</v>
      </c>
      <c r="BO3" s="32" t="s">
        <v>58</v>
      </c>
    </row>
    <row r="4" spans="1:68" x14ac:dyDescent="0.4">
      <c r="A4" s="3">
        <v>1</v>
      </c>
      <c r="B4" s="3">
        <v>1</v>
      </c>
      <c r="C4" s="4" t="s">
        <v>66</v>
      </c>
      <c r="D4" s="4" t="str">
        <f>TEXT(C4,"000000")</f>
        <v>6936AM</v>
      </c>
      <c r="E4" s="4" t="s">
        <v>66</v>
      </c>
      <c r="F4" s="4" t="s">
        <v>67</v>
      </c>
      <c r="G4" s="5">
        <v>4961411529138</v>
      </c>
      <c r="H4" s="5"/>
      <c r="I4" s="5"/>
      <c r="J4" s="5">
        <v>1</v>
      </c>
      <c r="K4" s="5">
        <v>1</v>
      </c>
      <c r="L4" s="4">
        <v>630</v>
      </c>
      <c r="M4" s="4">
        <v>630</v>
      </c>
      <c r="N4" s="4">
        <v>305</v>
      </c>
      <c r="O4" s="6">
        <f t="shared" ref="O4" si="0">1-N4/M4</f>
        <v>0.51587301587301582</v>
      </c>
      <c r="P4" s="4" t="s">
        <v>68</v>
      </c>
      <c r="Q4" s="4"/>
      <c r="R4" s="4"/>
      <c r="S4" s="4"/>
      <c r="T4" s="4"/>
      <c r="U4" s="4"/>
      <c r="V4" s="4"/>
      <c r="W4" s="4"/>
      <c r="X4" s="4"/>
      <c r="Y4" s="4">
        <v>700</v>
      </c>
      <c r="Z4" s="4">
        <f>IF(AC4="",Y4,Y4*AC4)</f>
        <v>700</v>
      </c>
      <c r="AA4" s="4">
        <v>339</v>
      </c>
      <c r="AB4" s="4">
        <f>IF(AC4="",AA4,AA4*AC4)</f>
        <v>339</v>
      </c>
      <c r="AC4" s="4"/>
      <c r="AD4" s="18">
        <f t="shared" ref="AD4:AD10" si="1">ROUND(M4*AR4,0)</f>
        <v>700</v>
      </c>
      <c r="AE4" s="6">
        <f t="shared" ref="AE4" si="2">1-AB4/AD4</f>
        <v>0.51571428571428579</v>
      </c>
      <c r="AF4" s="4">
        <v>0.25</v>
      </c>
      <c r="AG4" s="4">
        <f>BH4</f>
        <v>644</v>
      </c>
      <c r="AH4" s="30">
        <f t="shared" ref="AH4" si="3">AG4*AR4</f>
        <v>715.79016393442623</v>
      </c>
      <c r="AI4" s="6">
        <f t="shared" ref="AI4" si="4">1-AB4/AH4</f>
        <v>0.52639751552795033</v>
      </c>
      <c r="AJ4" s="7">
        <v>590</v>
      </c>
      <c r="AK4" s="6">
        <f t="shared" ref="AK4:AK10" si="5">1-AB4/AJ4</f>
        <v>0.42542372881355928</v>
      </c>
      <c r="AL4" s="4">
        <f t="shared" ref="AL4:AL10" si="6">AJ4-AB4</f>
        <v>251</v>
      </c>
      <c r="AM4" s="25"/>
      <c r="AN4" s="6" t="e">
        <f>1-AB4/AM4</f>
        <v>#DIV/0!</v>
      </c>
      <c r="AO4" s="4">
        <f>AM4-AB4</f>
        <v>-339</v>
      </c>
      <c r="AP4" s="6">
        <f t="shared" ref="AP4" si="7">Z4/L4</f>
        <v>1.1111111111111112</v>
      </c>
      <c r="AQ4" s="6">
        <f t="shared" ref="AQ4" si="8">AJ4/M4</f>
        <v>0.93650793650793651</v>
      </c>
      <c r="AR4" s="6">
        <f t="shared" ref="AR4" si="9">AB4/N4</f>
        <v>1.1114754098360655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69</v>
      </c>
      <c r="BD4" s="4"/>
      <c r="BE4" s="4"/>
      <c r="BF4" s="4" t="s">
        <v>71</v>
      </c>
      <c r="BG4" s="4">
        <v>644</v>
      </c>
      <c r="BH4" s="4">
        <f t="shared" ref="BH4:BH10" si="10">IF(BD4="",BG4,BD4/BE4*BG4)</f>
        <v>644</v>
      </c>
      <c r="BI4" s="4">
        <v>4</v>
      </c>
      <c r="BJ4" s="4">
        <v>1</v>
      </c>
      <c r="BK4" s="4">
        <v>6</v>
      </c>
      <c r="BL4" s="36">
        <v>531</v>
      </c>
      <c r="BM4" s="32">
        <f>BL4*AR4</f>
        <v>590.19344262295078</v>
      </c>
      <c r="BN4" t="s">
        <v>68</v>
      </c>
      <c r="BO4" t="s">
        <v>70</v>
      </c>
    </row>
    <row r="5" spans="1:68" x14ac:dyDescent="0.4">
      <c r="A5" s="3">
        <v>1</v>
      </c>
      <c r="B5" s="3">
        <v>1</v>
      </c>
      <c r="C5" s="4">
        <v>453297</v>
      </c>
      <c r="D5" s="4" t="str">
        <f>TEXT(C5,"000000")</f>
        <v>453297</v>
      </c>
      <c r="E5" s="4">
        <v>453297</v>
      </c>
      <c r="F5" s="4" t="s">
        <v>72</v>
      </c>
      <c r="G5" s="5">
        <v>4972924084922</v>
      </c>
      <c r="H5" s="5"/>
      <c r="I5" s="5"/>
      <c r="J5" s="5">
        <v>1</v>
      </c>
      <c r="K5" s="5">
        <v>1</v>
      </c>
      <c r="L5" s="4">
        <v>0</v>
      </c>
      <c r="M5" s="4">
        <v>1080</v>
      </c>
      <c r="N5" s="4">
        <v>600</v>
      </c>
      <c r="O5" s="6">
        <f>IFERROR(1-N5/M5,"-")</f>
        <v>0.44444444444444442</v>
      </c>
      <c r="P5" s="4" t="s">
        <v>68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>IF(AC5="",Y5,Y5*AC5)</f>
        <v>0</v>
      </c>
      <c r="AA5" s="4">
        <v>7</v>
      </c>
      <c r="AB5" s="4">
        <f>IF(AC5="",AA5,AA5*AC5)</f>
        <v>700</v>
      </c>
      <c r="AC5" s="4">
        <v>100</v>
      </c>
      <c r="AD5" s="18">
        <f t="shared" si="1"/>
        <v>1260</v>
      </c>
      <c r="AE5" s="6">
        <f>IFERROR(1-AB5/AD5,"-")</f>
        <v>0.44444444444444442</v>
      </c>
      <c r="AF5" s="4">
        <v>0</v>
      </c>
      <c r="AG5" s="4">
        <f>BH5</f>
        <v>906.5</v>
      </c>
      <c r="AH5" s="4">
        <f>IFERROR(AG5*AR5,"-")</f>
        <v>1057.5833333333335</v>
      </c>
      <c r="AI5" s="6">
        <f>IFERROR(1-AB5/AH5,"-")</f>
        <v>0.33811362382790966</v>
      </c>
      <c r="AJ5" s="7">
        <v>1200</v>
      </c>
      <c r="AK5" s="6">
        <f t="shared" si="5"/>
        <v>0.41666666666666663</v>
      </c>
      <c r="AL5" s="4">
        <f t="shared" si="6"/>
        <v>500</v>
      </c>
      <c r="AM5" s="25"/>
      <c r="AN5" s="6" t="e">
        <f>1-AB5/AM5</f>
        <v>#DIV/0!</v>
      </c>
      <c r="AO5" s="4">
        <f>AM5-AB5</f>
        <v>-700</v>
      </c>
      <c r="AP5" s="6" t="str">
        <f>IFERROR(Z5/L5,"-")</f>
        <v>-</v>
      </c>
      <c r="AQ5" s="6">
        <f>IFERROR(AJ5/M5,"-")</f>
        <v>1.1111111111111112</v>
      </c>
      <c r="AR5" s="6">
        <f>IFERROR(AB5/N5,"-")</f>
        <v>1.1666666666666667</v>
      </c>
      <c r="AS5" s="4" t="str">
        <f>IFERROR(ROUND($AJ5*P5/$M5,0),"-")</f>
        <v>-</v>
      </c>
      <c r="AT5" s="4" t="str">
        <f>IF(Q5="","-",Q5)</f>
        <v>-</v>
      </c>
      <c r="AU5" s="4" t="str">
        <f>IF(R5="","-",R5)</f>
        <v>-</v>
      </c>
      <c r="AV5" s="4"/>
      <c r="AW5" s="4"/>
      <c r="AX5" s="4"/>
      <c r="AY5" s="4"/>
      <c r="AZ5" s="4"/>
      <c r="BA5" s="4"/>
      <c r="BB5" s="4">
        <v>0</v>
      </c>
      <c r="BC5" s="4" t="s">
        <v>73</v>
      </c>
      <c r="BD5" s="4">
        <v>1</v>
      </c>
      <c r="BE5" s="4">
        <v>2</v>
      </c>
      <c r="BF5" s="4" t="s">
        <v>74</v>
      </c>
      <c r="BG5" s="4">
        <v>1813</v>
      </c>
      <c r="BH5" s="4">
        <f t="shared" si="10"/>
        <v>906.5</v>
      </c>
      <c r="BI5" s="43">
        <v>4</v>
      </c>
      <c r="BJ5" s="43">
        <v>8</v>
      </c>
      <c r="BK5" s="44">
        <v>4</v>
      </c>
      <c r="BL5">
        <v>925</v>
      </c>
      <c r="BM5">
        <f>IFERROR(BL5*AR5,"-")</f>
        <v>1079.1666666666667</v>
      </c>
      <c r="BN5" t="s">
        <v>75</v>
      </c>
      <c r="BO5" t="str">
        <f>IFERROR(BN5*AR5,"-")</f>
        <v>-</v>
      </c>
      <c r="BP5" t="s">
        <v>76</v>
      </c>
    </row>
    <row r="6" spans="1:68" x14ac:dyDescent="0.4">
      <c r="A6" s="3">
        <v>2</v>
      </c>
      <c r="B6" s="3">
        <v>2</v>
      </c>
      <c r="C6" s="4" t="s">
        <v>77</v>
      </c>
      <c r="D6" s="4" t="str">
        <f t="shared" ref="D6:D10" si="11">TEXT(C6,"000000")</f>
        <v>5372AK</v>
      </c>
      <c r="E6" s="4" t="s">
        <v>77</v>
      </c>
      <c r="F6" s="4" t="s">
        <v>78</v>
      </c>
      <c r="G6" s="5">
        <v>4972924005231</v>
      </c>
      <c r="H6" s="5"/>
      <c r="I6" s="5"/>
      <c r="J6" s="5">
        <v>1</v>
      </c>
      <c r="K6" s="5">
        <v>1</v>
      </c>
      <c r="L6" s="4">
        <v>700</v>
      </c>
      <c r="M6" s="4">
        <v>490</v>
      </c>
      <c r="N6" s="4">
        <v>346</v>
      </c>
      <c r="O6" s="6">
        <f t="shared" ref="O6:O10" si="12">IFERROR(1-N6/M6,"-")</f>
        <v>0.29387755102040813</v>
      </c>
      <c r="P6" s="4" t="s">
        <v>68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ref="Z6:Z10" si="13">IF(AC6="",Y6,Y6*AC6)</f>
        <v>0</v>
      </c>
      <c r="AA6" s="4">
        <v>380</v>
      </c>
      <c r="AB6" s="4">
        <f t="shared" ref="AB6:AB10" si="14">IF(AC6="",AA6,AA6*AC6)</f>
        <v>380</v>
      </c>
      <c r="AC6" s="4"/>
      <c r="AD6" s="18">
        <f t="shared" si="1"/>
        <v>538</v>
      </c>
      <c r="AE6" s="6">
        <f t="shared" ref="AE6:AE10" si="15">IFERROR(1-AB6/AD6,"-")</f>
        <v>0.29368029739776946</v>
      </c>
      <c r="AF6" s="4">
        <v>1.5</v>
      </c>
      <c r="AG6" s="4">
        <f t="shared" ref="AG6:AG10" si="16">BH6</f>
        <v>363</v>
      </c>
      <c r="AH6" s="4">
        <f t="shared" ref="AH6:AH10" si="17">IFERROR(AG6*AR6,"-")</f>
        <v>398.67052023121386</v>
      </c>
      <c r="AI6" s="6">
        <f t="shared" ref="AI6:AI10" si="18">IFERROR(1-AB6/AH6,"-")</f>
        <v>4.6831955922864932E-2</v>
      </c>
      <c r="AJ6" s="7">
        <v>580</v>
      </c>
      <c r="AK6" s="6">
        <f t="shared" si="5"/>
        <v>0.34482758620689657</v>
      </c>
      <c r="AL6" s="4">
        <f t="shared" si="6"/>
        <v>200</v>
      </c>
      <c r="AM6" s="25"/>
      <c r="AN6" s="6"/>
      <c r="AO6" s="6"/>
      <c r="AP6" s="6">
        <f t="shared" ref="AP6:AP10" si="19">IFERROR(Z6/L6,"-")</f>
        <v>0</v>
      </c>
      <c r="AQ6" s="6">
        <f t="shared" ref="AQ6:AQ10" si="20">IFERROR(AJ6/M6,"-")</f>
        <v>1.1836734693877551</v>
      </c>
      <c r="AR6" s="6">
        <f t="shared" ref="AR6:AR10" si="21">IFERROR(AB6/N6,"-")</f>
        <v>1.0982658959537572</v>
      </c>
      <c r="AS6" s="4"/>
      <c r="AT6" s="4"/>
      <c r="AU6" s="4"/>
      <c r="AV6" s="4"/>
      <c r="AW6" s="4"/>
      <c r="AX6" s="4"/>
      <c r="AY6" s="4"/>
      <c r="AZ6" s="4"/>
      <c r="BA6" s="4"/>
      <c r="BB6" s="4">
        <v>0</v>
      </c>
      <c r="BC6" s="4" t="s">
        <v>79</v>
      </c>
      <c r="BD6" s="4"/>
      <c r="BE6" s="4"/>
      <c r="BF6" s="4" t="s">
        <v>80</v>
      </c>
      <c r="BG6" s="4">
        <v>363</v>
      </c>
      <c r="BH6" s="4">
        <f t="shared" si="10"/>
        <v>363</v>
      </c>
      <c r="BI6" s="43">
        <v>4</v>
      </c>
      <c r="BJ6" s="43">
        <v>1</v>
      </c>
      <c r="BK6" s="44">
        <v>4</v>
      </c>
      <c r="BL6">
        <v>396</v>
      </c>
      <c r="BM6">
        <f t="shared" ref="BM6:BM10" si="22">IFERROR(BL6*AR6,"-")</f>
        <v>434.91329479768785</v>
      </c>
      <c r="BN6" t="s">
        <v>75</v>
      </c>
      <c r="BO6" t="str">
        <f t="shared" ref="BO6:BO10" si="23">IFERROR(BN6*AR6,"-")</f>
        <v>-</v>
      </c>
      <c r="BP6" t="s">
        <v>81</v>
      </c>
    </row>
    <row r="7" spans="1:68" x14ac:dyDescent="0.4">
      <c r="A7" s="3">
        <v>3</v>
      </c>
      <c r="B7" s="3">
        <v>3</v>
      </c>
      <c r="C7" s="45">
        <v>688458</v>
      </c>
      <c r="D7" s="4" t="str">
        <f t="shared" si="11"/>
        <v>688458</v>
      </c>
      <c r="E7" s="4">
        <v>688458</v>
      </c>
      <c r="F7" s="4" t="s">
        <v>82</v>
      </c>
      <c r="G7" s="5">
        <v>4972924038536</v>
      </c>
      <c r="H7" s="5"/>
      <c r="I7" s="5"/>
      <c r="J7" s="5">
        <v>1</v>
      </c>
      <c r="K7" s="5">
        <v>1</v>
      </c>
      <c r="L7" s="4">
        <v>0</v>
      </c>
      <c r="M7" s="4">
        <v>860</v>
      </c>
      <c r="N7" s="4">
        <v>621</v>
      </c>
      <c r="O7" s="6">
        <f t="shared" si="12"/>
        <v>0.27790697674418607</v>
      </c>
      <c r="P7" s="4" t="s">
        <v>68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3"/>
        <v>0</v>
      </c>
      <c r="AA7" s="4">
        <v>715</v>
      </c>
      <c r="AB7" s="4">
        <f t="shared" si="14"/>
        <v>715</v>
      </c>
      <c r="AC7" s="4"/>
      <c r="AD7" s="18">
        <f t="shared" si="1"/>
        <v>990</v>
      </c>
      <c r="AE7" s="6">
        <f t="shared" si="15"/>
        <v>0.27777777777777779</v>
      </c>
      <c r="AF7" s="4">
        <v>4.5</v>
      </c>
      <c r="AG7" s="4">
        <f t="shared" si="16"/>
        <v>837</v>
      </c>
      <c r="AH7" s="4">
        <f t="shared" si="17"/>
        <v>963.695652173913</v>
      </c>
      <c r="AI7" s="6">
        <f t="shared" si="18"/>
        <v>0.25806451612903225</v>
      </c>
      <c r="AJ7" s="7">
        <v>1100</v>
      </c>
      <c r="AK7" s="6">
        <f t="shared" si="5"/>
        <v>0.35</v>
      </c>
      <c r="AL7" s="4">
        <f t="shared" si="6"/>
        <v>385</v>
      </c>
      <c r="AM7" s="25"/>
      <c r="AN7" s="6"/>
      <c r="AO7" s="6"/>
      <c r="AP7" s="6" t="str">
        <f t="shared" si="19"/>
        <v>-</v>
      </c>
      <c r="AQ7" s="6">
        <f t="shared" si="20"/>
        <v>1.2790697674418605</v>
      </c>
      <c r="AR7" s="6">
        <f t="shared" si="21"/>
        <v>1.1513687600644122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83</v>
      </c>
      <c r="BD7" s="4"/>
      <c r="BE7" s="4"/>
      <c r="BF7" s="4" t="s">
        <v>84</v>
      </c>
      <c r="BG7" s="4">
        <v>837</v>
      </c>
      <c r="BH7" s="4">
        <f t="shared" si="10"/>
        <v>837</v>
      </c>
      <c r="BI7" s="43">
        <v>4</v>
      </c>
      <c r="BJ7" s="43">
        <v>1</v>
      </c>
      <c r="BK7" s="44">
        <v>4</v>
      </c>
      <c r="BL7" t="s">
        <v>75</v>
      </c>
      <c r="BM7" t="str">
        <f t="shared" si="22"/>
        <v>-</v>
      </c>
      <c r="BN7">
        <v>1169</v>
      </c>
      <c r="BO7">
        <f t="shared" si="23"/>
        <v>1345.9500805152979</v>
      </c>
      <c r="BP7" t="s">
        <v>85</v>
      </c>
    </row>
    <row r="8" spans="1:68" x14ac:dyDescent="0.4">
      <c r="A8" s="3">
        <v>4</v>
      </c>
      <c r="B8" s="3">
        <v>4</v>
      </c>
      <c r="C8" s="45" t="s">
        <v>86</v>
      </c>
      <c r="D8" s="4" t="str">
        <f t="shared" si="11"/>
        <v>J152TE</v>
      </c>
      <c r="E8" s="4" t="s">
        <v>86</v>
      </c>
      <c r="F8" s="4" t="s">
        <v>87</v>
      </c>
      <c r="G8" s="5">
        <v>4972924061329</v>
      </c>
      <c r="H8" s="5"/>
      <c r="I8" s="5"/>
      <c r="J8" s="5">
        <v>1</v>
      </c>
      <c r="K8" s="5">
        <v>1</v>
      </c>
      <c r="L8" s="4">
        <v>0</v>
      </c>
      <c r="M8" s="4">
        <v>96</v>
      </c>
      <c r="N8" s="4">
        <v>57</v>
      </c>
      <c r="O8" s="6">
        <f t="shared" si="12"/>
        <v>0.40625</v>
      </c>
      <c r="P8" s="4" t="s">
        <v>68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3"/>
        <v>0</v>
      </c>
      <c r="AA8" s="4">
        <v>62</v>
      </c>
      <c r="AB8" s="4">
        <f t="shared" si="14"/>
        <v>62</v>
      </c>
      <c r="AC8" s="4"/>
      <c r="AD8" s="18">
        <f t="shared" si="1"/>
        <v>104</v>
      </c>
      <c r="AE8" s="6">
        <f t="shared" si="15"/>
        <v>0.40384615384615385</v>
      </c>
      <c r="AF8" s="4">
        <v>32.25</v>
      </c>
      <c r="AG8" s="4" t="str">
        <f t="shared" si="16"/>
        <v>-</v>
      </c>
      <c r="AH8" s="4" t="str">
        <f t="shared" si="17"/>
        <v>-</v>
      </c>
      <c r="AI8" s="6" t="str">
        <f t="shared" si="18"/>
        <v>-</v>
      </c>
      <c r="AJ8" s="7">
        <v>100</v>
      </c>
      <c r="AK8" s="6">
        <f t="shared" si="5"/>
        <v>0.38</v>
      </c>
      <c r="AL8" s="4">
        <f t="shared" si="6"/>
        <v>38</v>
      </c>
      <c r="AM8" s="25"/>
      <c r="AN8" s="6"/>
      <c r="AO8" s="6"/>
      <c r="AP8" s="6" t="str">
        <f t="shared" si="19"/>
        <v>-</v>
      </c>
      <c r="AQ8" s="6">
        <f t="shared" si="20"/>
        <v>1.0416666666666667</v>
      </c>
      <c r="AR8" s="6">
        <f t="shared" si="21"/>
        <v>1.0877192982456141</v>
      </c>
      <c r="AS8" s="4"/>
      <c r="AT8" s="4"/>
      <c r="AU8" s="4"/>
      <c r="AV8" s="4"/>
      <c r="AW8" s="4"/>
      <c r="AX8" s="4"/>
      <c r="AY8" s="4"/>
      <c r="AZ8" s="4"/>
      <c r="BA8" s="4"/>
      <c r="BB8" s="4">
        <v>0</v>
      </c>
      <c r="BC8" s="4" t="s">
        <v>75</v>
      </c>
      <c r="BD8" s="4"/>
      <c r="BE8" s="4"/>
      <c r="BF8" s="4" t="s">
        <v>75</v>
      </c>
      <c r="BG8" s="4" t="s">
        <v>75</v>
      </c>
      <c r="BH8" s="4" t="str">
        <f t="shared" si="10"/>
        <v>-</v>
      </c>
      <c r="BI8" s="43">
        <v>4</v>
      </c>
      <c r="BJ8" s="43">
        <v>1</v>
      </c>
      <c r="BK8" s="44">
        <v>6</v>
      </c>
      <c r="BL8" t="s">
        <v>75</v>
      </c>
      <c r="BM8" t="str">
        <f t="shared" si="22"/>
        <v>-</v>
      </c>
      <c r="BN8" t="s">
        <v>75</v>
      </c>
      <c r="BO8" t="str">
        <f t="shared" si="23"/>
        <v>-</v>
      </c>
      <c r="BP8" t="s">
        <v>75</v>
      </c>
    </row>
    <row r="9" spans="1:68" x14ac:dyDescent="0.4">
      <c r="A9" s="3">
        <v>5</v>
      </c>
      <c r="B9" s="3">
        <v>5</v>
      </c>
      <c r="C9" s="45" t="s">
        <v>88</v>
      </c>
      <c r="D9" s="4" t="str">
        <f t="shared" si="11"/>
        <v>J153TE</v>
      </c>
      <c r="E9" s="4" t="s">
        <v>88</v>
      </c>
      <c r="F9" s="4" t="s">
        <v>89</v>
      </c>
      <c r="G9" s="5">
        <v>4972924061336</v>
      </c>
      <c r="H9" s="5"/>
      <c r="I9" s="5"/>
      <c r="J9" s="5">
        <v>1</v>
      </c>
      <c r="K9" s="5">
        <v>1</v>
      </c>
      <c r="L9" s="4">
        <v>0</v>
      </c>
      <c r="M9" s="4">
        <v>96</v>
      </c>
      <c r="N9" s="4">
        <v>57</v>
      </c>
      <c r="O9" s="6">
        <f t="shared" si="12"/>
        <v>0.40625</v>
      </c>
      <c r="P9" s="4" t="s">
        <v>68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3"/>
        <v>0</v>
      </c>
      <c r="AA9" s="4">
        <v>62</v>
      </c>
      <c r="AB9" s="4">
        <f t="shared" si="14"/>
        <v>62</v>
      </c>
      <c r="AC9" s="4"/>
      <c r="AD9" s="18">
        <f t="shared" si="1"/>
        <v>104</v>
      </c>
      <c r="AE9" s="6">
        <f t="shared" si="15"/>
        <v>0.40384615384615385</v>
      </c>
      <c r="AF9" s="4">
        <v>20.25</v>
      </c>
      <c r="AG9" s="4" t="str">
        <f t="shared" si="16"/>
        <v>-</v>
      </c>
      <c r="AH9" s="4" t="str">
        <f t="shared" si="17"/>
        <v>-</v>
      </c>
      <c r="AI9" s="6" t="str">
        <f t="shared" si="18"/>
        <v>-</v>
      </c>
      <c r="AJ9" s="7">
        <v>100</v>
      </c>
      <c r="AK9" s="6">
        <f t="shared" si="5"/>
        <v>0.38</v>
      </c>
      <c r="AL9" s="4">
        <f t="shared" si="6"/>
        <v>38</v>
      </c>
      <c r="AM9" s="25"/>
      <c r="AN9" s="6"/>
      <c r="AO9" s="6"/>
      <c r="AP9" s="6" t="str">
        <f t="shared" si="19"/>
        <v>-</v>
      </c>
      <c r="AQ9" s="6">
        <f t="shared" si="20"/>
        <v>1.0416666666666667</v>
      </c>
      <c r="AR9" s="6">
        <f t="shared" si="21"/>
        <v>1.0877192982456141</v>
      </c>
      <c r="AS9" s="4"/>
      <c r="AT9" s="4"/>
      <c r="AU9" s="4"/>
      <c r="AV9" s="4"/>
      <c r="AW9" s="4"/>
      <c r="AX9" s="4"/>
      <c r="AY9" s="4"/>
      <c r="AZ9" s="4"/>
      <c r="BA9" s="4"/>
      <c r="BB9" s="4">
        <v>0</v>
      </c>
      <c r="BC9" s="4" t="s">
        <v>75</v>
      </c>
      <c r="BD9" s="4"/>
      <c r="BE9" s="4"/>
      <c r="BF9" s="4" t="s">
        <v>75</v>
      </c>
      <c r="BG9" s="4" t="s">
        <v>75</v>
      </c>
      <c r="BH9" s="4" t="str">
        <f t="shared" si="10"/>
        <v>-</v>
      </c>
      <c r="BI9" s="43">
        <v>4</v>
      </c>
      <c r="BJ9" s="43">
        <v>1</v>
      </c>
      <c r="BK9" s="44">
        <v>6</v>
      </c>
      <c r="BL9" t="s">
        <v>75</v>
      </c>
      <c r="BM9" t="str">
        <f t="shared" si="22"/>
        <v>-</v>
      </c>
      <c r="BN9" t="s">
        <v>75</v>
      </c>
      <c r="BO9" t="str">
        <f t="shared" si="23"/>
        <v>-</v>
      </c>
      <c r="BP9" t="s">
        <v>75</v>
      </c>
    </row>
    <row r="10" spans="1:68" x14ac:dyDescent="0.4">
      <c r="A10" s="3">
        <v>6</v>
      </c>
      <c r="B10" s="3">
        <v>6</v>
      </c>
      <c r="C10" s="45" t="s">
        <v>90</v>
      </c>
      <c r="D10" s="4" t="str">
        <f t="shared" si="11"/>
        <v>J804TW</v>
      </c>
      <c r="E10" s="4" t="s">
        <v>90</v>
      </c>
      <c r="F10" s="4" t="s">
        <v>91</v>
      </c>
      <c r="G10" s="5">
        <v>4972924032947</v>
      </c>
      <c r="H10" s="5"/>
      <c r="I10" s="5"/>
      <c r="J10" s="5">
        <v>1</v>
      </c>
      <c r="K10" s="5">
        <v>1</v>
      </c>
      <c r="L10" s="4">
        <v>1920</v>
      </c>
      <c r="M10" s="4">
        <v>1348</v>
      </c>
      <c r="N10" s="4">
        <v>974</v>
      </c>
      <c r="O10" s="6">
        <f t="shared" si="12"/>
        <v>0.27744807121661719</v>
      </c>
      <c r="P10" s="4" t="s">
        <v>68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3"/>
        <v>0</v>
      </c>
      <c r="AA10" s="4">
        <v>1042</v>
      </c>
      <c r="AB10" s="4">
        <f t="shared" si="14"/>
        <v>1042</v>
      </c>
      <c r="AC10" s="4"/>
      <c r="AD10" s="18">
        <f t="shared" si="1"/>
        <v>1442</v>
      </c>
      <c r="AE10" s="6">
        <f t="shared" si="15"/>
        <v>0.27739251040221913</v>
      </c>
      <c r="AF10" s="4">
        <v>0</v>
      </c>
      <c r="AG10" s="4">
        <f t="shared" si="16"/>
        <v>1860</v>
      </c>
      <c r="AH10" s="4">
        <f t="shared" si="17"/>
        <v>1989.8562628336756</v>
      </c>
      <c r="AI10" s="6">
        <f t="shared" si="18"/>
        <v>0.47634408602150535</v>
      </c>
      <c r="AJ10" s="7">
        <v>1600</v>
      </c>
      <c r="AK10" s="6">
        <f t="shared" si="5"/>
        <v>0.34875</v>
      </c>
      <c r="AL10" s="4">
        <f t="shared" si="6"/>
        <v>558</v>
      </c>
      <c r="AM10" s="25"/>
      <c r="AN10" s="6"/>
      <c r="AO10" s="6"/>
      <c r="AP10" s="6">
        <f t="shared" si="19"/>
        <v>0</v>
      </c>
      <c r="AQ10" s="6">
        <f t="shared" si="20"/>
        <v>1.1869436201780414</v>
      </c>
      <c r="AR10" s="6">
        <f t="shared" si="21"/>
        <v>1.0698151950718686</v>
      </c>
      <c r="AS10" s="4"/>
      <c r="AT10" s="4"/>
      <c r="AU10" s="4"/>
      <c r="AV10" s="4"/>
      <c r="AW10" s="4"/>
      <c r="AX10" s="4"/>
      <c r="AY10" s="4"/>
      <c r="AZ10" s="4"/>
      <c r="BA10" s="4"/>
      <c r="BB10" s="4">
        <v>0</v>
      </c>
      <c r="BC10" s="4" t="s">
        <v>92</v>
      </c>
      <c r="BD10" s="4">
        <v>1</v>
      </c>
      <c r="BE10" s="4">
        <v>2</v>
      </c>
      <c r="BF10" s="4" t="s">
        <v>93</v>
      </c>
      <c r="BG10" s="4">
        <v>3720</v>
      </c>
      <c r="BH10" s="4">
        <f t="shared" si="10"/>
        <v>1860</v>
      </c>
      <c r="BI10" s="43">
        <v>4</v>
      </c>
      <c r="BJ10" s="43">
        <v>1</v>
      </c>
      <c r="BK10" s="44">
        <v>4</v>
      </c>
      <c r="BL10" t="s">
        <v>75</v>
      </c>
      <c r="BM10" t="str">
        <f t="shared" si="22"/>
        <v>-</v>
      </c>
      <c r="BN10">
        <v>1663</v>
      </c>
      <c r="BO10">
        <f t="shared" si="23"/>
        <v>1779.1026694045174</v>
      </c>
      <c r="BP10" t="s">
        <v>94</v>
      </c>
    </row>
  </sheetData>
  <autoFilter ref="A3:BO3" xr:uid="{7A1660CF-9003-4B2D-B659-7F339ED5B476}"/>
  <mergeCells count="3">
    <mergeCell ref="L2:O2"/>
    <mergeCell ref="J2:K2"/>
    <mergeCell ref="Y1:AB1"/>
  </mergeCells>
  <phoneticPr fontId="2"/>
  <conditionalFormatting sqref="AJ4">
    <cfRule type="cellIs" dxfId="5" priority="7" operator="greaterThan">
      <formula>$Z4</formula>
    </cfRule>
  </conditionalFormatting>
  <conditionalFormatting sqref="AH4">
    <cfRule type="cellIs" dxfId="4" priority="5" operator="lessThan">
      <formula>$AJ4</formula>
    </cfRule>
  </conditionalFormatting>
  <conditionalFormatting sqref="AK4">
    <cfRule type="cellIs" dxfId="3" priority="4" operator="lessThan">
      <formula>0.2</formula>
    </cfRule>
  </conditionalFormatting>
  <conditionalFormatting sqref="AJ5:AJ10">
    <cfRule type="cellIs" dxfId="2" priority="3" operator="greaterThan">
      <formula>$Z5</formula>
    </cfRule>
  </conditionalFormatting>
  <conditionalFormatting sqref="AH5:AH10">
    <cfRule type="cellIs" dxfId="1" priority="2" operator="lessThan">
      <formula>$AJ5</formula>
    </cfRule>
  </conditionalFormatting>
  <conditionalFormatting sqref="AK5:AK10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2026-06-26T00:33:22Z</dcterms:modified>
</cp:coreProperties>
</file>