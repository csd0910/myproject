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ﾔ_矢崎化工_9299.9310\価格改定\20260608_8月末\"/>
    </mc:Choice>
  </mc:AlternateContent>
  <xr:revisionPtr revIDLastSave="0" documentId="13_ncr:1_{F4F7FDD4-DF71-4193-B79A-D3354A4981EC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J5" i="1" l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" i="1"/>
  <c r="BI17" i="1"/>
  <c r="AG17" i="1" s="1"/>
  <c r="BI25" i="1"/>
  <c r="AG25" i="1" s="1"/>
  <c r="BI33" i="1"/>
  <c r="AG33" i="1" s="1"/>
  <c r="BI35" i="1"/>
  <c r="AG35" i="1" s="1"/>
  <c r="BI36" i="1"/>
  <c r="AG36" i="1" s="1"/>
  <c r="BI39" i="1"/>
  <c r="AG39" i="1" s="1"/>
  <c r="AR29" i="1"/>
  <c r="O29" i="1"/>
  <c r="AR30" i="1"/>
  <c r="AR31" i="1"/>
  <c r="AR33" i="1"/>
  <c r="O34" i="1"/>
  <c r="AR35" i="1"/>
  <c r="AR36" i="1"/>
  <c r="AR38" i="1"/>
  <c r="O38" i="1"/>
  <c r="O39" i="1"/>
  <c r="O40" i="1"/>
  <c r="AR4" i="1"/>
  <c r="BI40" i="1"/>
  <c r="AG40" i="1" s="1"/>
  <c r="AR40" i="1"/>
  <c r="AB40" i="1"/>
  <c r="AM40" i="1" s="1"/>
  <c r="Z40" i="1"/>
  <c r="AQ40" i="1" s="1"/>
  <c r="D40" i="1"/>
  <c r="AR39" i="1"/>
  <c r="AB39" i="1"/>
  <c r="AM39" i="1" s="1"/>
  <c r="Z39" i="1"/>
  <c r="AQ39" i="1" s="1"/>
  <c r="D39" i="1"/>
  <c r="BI38" i="1"/>
  <c r="AG38" i="1" s="1"/>
  <c r="AB38" i="1"/>
  <c r="AM38" i="1" s="1"/>
  <c r="Z38" i="1"/>
  <c r="AQ38" i="1" s="1"/>
  <c r="D38" i="1"/>
  <c r="BI37" i="1"/>
  <c r="AG37" i="1" s="1"/>
  <c r="AR37" i="1"/>
  <c r="AB37" i="1"/>
  <c r="AM37" i="1" s="1"/>
  <c r="Z37" i="1"/>
  <c r="AQ37" i="1" s="1"/>
  <c r="O37" i="1"/>
  <c r="D37" i="1"/>
  <c r="AB36" i="1"/>
  <c r="AM36" i="1" s="1"/>
  <c r="Z36" i="1"/>
  <c r="AQ36" i="1" s="1"/>
  <c r="O36" i="1"/>
  <c r="D36" i="1"/>
  <c r="AB35" i="1"/>
  <c r="AM35" i="1" s="1"/>
  <c r="Z35" i="1"/>
  <c r="D35" i="1"/>
  <c r="BI34" i="1"/>
  <c r="AG34" i="1" s="1"/>
  <c r="AR34" i="1"/>
  <c r="AB34" i="1"/>
  <c r="AM34" i="1" s="1"/>
  <c r="Z34" i="1"/>
  <c r="D34" i="1"/>
  <c r="AB33" i="1"/>
  <c r="AM33" i="1" s="1"/>
  <c r="Z33" i="1"/>
  <c r="AQ33" i="1" s="1"/>
  <c r="O33" i="1"/>
  <c r="D33" i="1"/>
  <c r="BI32" i="1"/>
  <c r="AG32" i="1" s="1"/>
  <c r="AR32" i="1"/>
  <c r="AB32" i="1"/>
  <c r="AM32" i="1" s="1"/>
  <c r="Z32" i="1"/>
  <c r="AQ32" i="1" s="1"/>
  <c r="O32" i="1"/>
  <c r="D32" i="1"/>
  <c r="BI31" i="1"/>
  <c r="AG31" i="1" s="1"/>
  <c r="AB31" i="1"/>
  <c r="AM31" i="1" s="1"/>
  <c r="Z31" i="1"/>
  <c r="AQ31" i="1" s="1"/>
  <c r="O31" i="1"/>
  <c r="D31" i="1"/>
  <c r="BI30" i="1"/>
  <c r="AG30" i="1" s="1"/>
  <c r="AB30" i="1"/>
  <c r="AM30" i="1" s="1"/>
  <c r="Z30" i="1"/>
  <c r="AQ30" i="1" s="1"/>
  <c r="O30" i="1"/>
  <c r="D30" i="1"/>
  <c r="BI29" i="1"/>
  <c r="AG29" i="1" s="1"/>
  <c r="AB29" i="1"/>
  <c r="AM29" i="1" s="1"/>
  <c r="Z29" i="1"/>
  <c r="AQ29" i="1" s="1"/>
  <c r="D29" i="1"/>
  <c r="BI28" i="1"/>
  <c r="AG28" i="1" s="1"/>
  <c r="AR28" i="1"/>
  <c r="AB28" i="1"/>
  <c r="AM28" i="1" s="1"/>
  <c r="Z28" i="1"/>
  <c r="AQ28" i="1" s="1"/>
  <c r="O28" i="1"/>
  <c r="D28" i="1"/>
  <c r="BI27" i="1"/>
  <c r="AG27" i="1" s="1"/>
  <c r="AR27" i="1"/>
  <c r="AB27" i="1"/>
  <c r="AM27" i="1" s="1"/>
  <c r="Z27" i="1"/>
  <c r="AQ27" i="1" s="1"/>
  <c r="O27" i="1"/>
  <c r="D27" i="1"/>
  <c r="BI26" i="1"/>
  <c r="AG26" i="1" s="1"/>
  <c r="AR26" i="1"/>
  <c r="AB26" i="1"/>
  <c r="AM26" i="1" s="1"/>
  <c r="Z26" i="1"/>
  <c r="AQ26" i="1" s="1"/>
  <c r="O26" i="1"/>
  <c r="D26" i="1"/>
  <c r="AR25" i="1"/>
  <c r="AB25" i="1"/>
  <c r="AM25" i="1" s="1"/>
  <c r="Z25" i="1"/>
  <c r="AQ25" i="1" s="1"/>
  <c r="O25" i="1"/>
  <c r="D25" i="1"/>
  <c r="BI24" i="1"/>
  <c r="AG24" i="1" s="1"/>
  <c r="AR24" i="1"/>
  <c r="AB24" i="1"/>
  <c r="AM24" i="1" s="1"/>
  <c r="Z24" i="1"/>
  <c r="AQ24" i="1" s="1"/>
  <c r="O24" i="1"/>
  <c r="D24" i="1"/>
  <c r="BI23" i="1"/>
  <c r="AG23" i="1" s="1"/>
  <c r="AR23" i="1"/>
  <c r="AB23" i="1"/>
  <c r="AM23" i="1" s="1"/>
  <c r="Z23" i="1"/>
  <c r="AQ23" i="1" s="1"/>
  <c r="O23" i="1"/>
  <c r="D23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BI22" i="1"/>
  <c r="AG22" i="1" s="1"/>
  <c r="AB22" i="1"/>
  <c r="Z22" i="1"/>
  <c r="AQ22" i="1" s="1"/>
  <c r="D22" i="1"/>
  <c r="BI21" i="1"/>
  <c r="AG21" i="1" s="1"/>
  <c r="AB21" i="1"/>
  <c r="AM21" i="1" s="1"/>
  <c r="Z21" i="1"/>
  <c r="AQ21" i="1" s="1"/>
  <c r="D21" i="1"/>
  <c r="BI20" i="1"/>
  <c r="AG20" i="1" s="1"/>
  <c r="AB20" i="1"/>
  <c r="Z20" i="1"/>
  <c r="AQ20" i="1" s="1"/>
  <c r="D20" i="1"/>
  <c r="BI19" i="1"/>
  <c r="AG19" i="1" s="1"/>
  <c r="AB19" i="1"/>
  <c r="AM19" i="1" s="1"/>
  <c r="Z19" i="1"/>
  <c r="AQ19" i="1" s="1"/>
  <c r="D19" i="1"/>
  <c r="BI18" i="1"/>
  <c r="AG18" i="1" s="1"/>
  <c r="AB18" i="1"/>
  <c r="AL18" i="1" s="1"/>
  <c r="Z18" i="1"/>
  <c r="AQ18" i="1" s="1"/>
  <c r="D18" i="1"/>
  <c r="AB17" i="1"/>
  <c r="AL17" i="1" s="1"/>
  <c r="Z17" i="1"/>
  <c r="AQ17" i="1" s="1"/>
  <c r="D17" i="1"/>
  <c r="BI16" i="1"/>
  <c r="AG16" i="1" s="1"/>
  <c r="AB16" i="1"/>
  <c r="AM16" i="1" s="1"/>
  <c r="Z16" i="1"/>
  <c r="AQ16" i="1" s="1"/>
  <c r="D16" i="1"/>
  <c r="BI15" i="1"/>
  <c r="AG15" i="1" s="1"/>
  <c r="AB15" i="1"/>
  <c r="AM15" i="1" s="1"/>
  <c r="Z15" i="1"/>
  <c r="AQ15" i="1" s="1"/>
  <c r="D15" i="1"/>
  <c r="BI14" i="1"/>
  <c r="AG14" i="1" s="1"/>
  <c r="AB14" i="1"/>
  <c r="Z14" i="1"/>
  <c r="AQ14" i="1" s="1"/>
  <c r="D14" i="1"/>
  <c r="AV4" i="1"/>
  <c r="AU4" i="1"/>
  <c r="AS31" i="1" l="1"/>
  <c r="AS30" i="1"/>
  <c r="AH30" i="1" s="1"/>
  <c r="AI30" i="1" s="1"/>
  <c r="AS23" i="1"/>
  <c r="AS38" i="1"/>
  <c r="O35" i="1"/>
  <c r="AS39" i="1"/>
  <c r="AQ35" i="1"/>
  <c r="AQ34" i="1"/>
  <c r="AS29" i="1"/>
  <c r="AS37" i="1"/>
  <c r="AS28" i="1"/>
  <c r="AS36" i="1"/>
  <c r="AS15" i="1"/>
  <c r="AS19" i="1"/>
  <c r="AH23" i="1"/>
  <c r="AI23" i="1" s="1"/>
  <c r="AS24" i="1"/>
  <c r="AH31" i="1"/>
  <c r="AI31" i="1" s="1"/>
  <c r="AS32" i="1"/>
  <c r="AS40" i="1"/>
  <c r="AS25" i="1"/>
  <c r="AS33" i="1"/>
  <c r="AS21" i="1"/>
  <c r="AS26" i="1"/>
  <c r="AS34" i="1"/>
  <c r="AS17" i="1"/>
  <c r="AS27" i="1"/>
  <c r="AS35" i="1"/>
  <c r="O4" i="1"/>
  <c r="AT4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S20" i="1"/>
  <c r="AS22" i="1"/>
  <c r="AS14" i="1"/>
  <c r="AS18" i="1"/>
  <c r="AS16" i="1"/>
  <c r="AL21" i="1"/>
  <c r="AL14" i="1"/>
  <c r="AL15" i="1"/>
  <c r="AM14" i="1"/>
  <c r="AL22" i="1"/>
  <c r="AM22" i="1"/>
  <c r="AM18" i="1"/>
  <c r="AL16" i="1"/>
  <c r="AM17" i="1"/>
  <c r="AL20" i="1"/>
  <c r="AD15" i="1"/>
  <c r="AE15" i="1" s="1"/>
  <c r="AL19" i="1"/>
  <c r="AM20" i="1"/>
  <c r="AH22" i="1" l="1"/>
  <c r="AI22" i="1" s="1"/>
  <c r="BP22" i="1"/>
  <c r="BN22" i="1"/>
  <c r="AD37" i="1"/>
  <c r="AE37" i="1" s="1"/>
  <c r="BP37" i="1"/>
  <c r="BN37" i="1"/>
  <c r="AH21" i="1"/>
  <c r="AI21" i="1" s="1"/>
  <c r="BP21" i="1"/>
  <c r="BN21" i="1"/>
  <c r="AD33" i="1"/>
  <c r="AE33" i="1" s="1"/>
  <c r="BN33" i="1"/>
  <c r="BP33" i="1"/>
  <c r="AH19" i="1"/>
  <c r="AI19" i="1" s="1"/>
  <c r="BN19" i="1"/>
  <c r="BP19" i="1"/>
  <c r="AD39" i="1"/>
  <c r="AE39" i="1" s="1"/>
  <c r="BP39" i="1"/>
  <c r="BN39" i="1"/>
  <c r="AH17" i="1"/>
  <c r="AI17" i="1" s="1"/>
  <c r="BN17" i="1"/>
  <c r="BP17" i="1"/>
  <c r="AD30" i="1"/>
  <c r="AE30" i="1" s="1"/>
  <c r="BP30" i="1"/>
  <c r="BN30" i="1"/>
  <c r="AH20" i="1"/>
  <c r="AI20" i="1" s="1"/>
  <c r="BN20" i="1"/>
  <c r="BP20" i="1"/>
  <c r="AD34" i="1"/>
  <c r="AE34" i="1" s="1"/>
  <c r="BN34" i="1"/>
  <c r="BP34" i="1"/>
  <c r="AD24" i="1"/>
  <c r="AE24" i="1" s="1"/>
  <c r="BP24" i="1"/>
  <c r="BN24" i="1"/>
  <c r="AD29" i="1"/>
  <c r="AE29" i="1" s="1"/>
  <c r="BP29" i="1"/>
  <c r="BN29" i="1"/>
  <c r="AD31" i="1"/>
  <c r="AE31" i="1" s="1"/>
  <c r="BP31" i="1"/>
  <c r="BN31" i="1"/>
  <c r="AD26" i="1"/>
  <c r="AE26" i="1" s="1"/>
  <c r="BN26" i="1"/>
  <c r="BP26" i="1"/>
  <c r="AH16" i="1"/>
  <c r="AI16" i="1" s="1"/>
  <c r="BP16" i="1"/>
  <c r="BN16" i="1"/>
  <c r="AD25" i="1"/>
  <c r="AE25" i="1" s="1"/>
  <c r="BN25" i="1"/>
  <c r="BP25" i="1"/>
  <c r="AH15" i="1"/>
  <c r="AI15" i="1" s="1"/>
  <c r="BN15" i="1"/>
  <c r="BP15" i="1"/>
  <c r="AH18" i="1"/>
  <c r="AI18" i="1" s="1"/>
  <c r="BN18" i="1"/>
  <c r="BP18" i="1"/>
  <c r="AD35" i="1"/>
  <c r="AE35" i="1" s="1"/>
  <c r="BN35" i="1"/>
  <c r="BP35" i="1"/>
  <c r="AD40" i="1"/>
  <c r="AE40" i="1" s="1"/>
  <c r="BP40" i="1"/>
  <c r="BN40" i="1"/>
  <c r="AD36" i="1"/>
  <c r="AE36" i="1" s="1"/>
  <c r="BN36" i="1"/>
  <c r="BP36" i="1"/>
  <c r="AD38" i="1"/>
  <c r="AE38" i="1" s="1"/>
  <c r="BP38" i="1"/>
  <c r="BN38" i="1"/>
  <c r="AH14" i="1"/>
  <c r="AI14" i="1" s="1"/>
  <c r="BP14" i="1"/>
  <c r="BN14" i="1"/>
  <c r="AD27" i="1"/>
  <c r="AE27" i="1" s="1"/>
  <c r="BN27" i="1"/>
  <c r="BP27" i="1"/>
  <c r="AD32" i="1"/>
  <c r="AE32" i="1" s="1"/>
  <c r="BP32" i="1"/>
  <c r="BN32" i="1"/>
  <c r="AD28" i="1"/>
  <c r="AE28" i="1" s="1"/>
  <c r="BN28" i="1"/>
  <c r="BP28" i="1"/>
  <c r="AD23" i="1"/>
  <c r="AE23" i="1" s="1"/>
  <c r="BP23" i="1"/>
  <c r="BN23" i="1"/>
  <c r="AH29" i="1"/>
  <c r="AI29" i="1" s="1"/>
  <c r="AH39" i="1"/>
  <c r="AI39" i="1" s="1"/>
  <c r="AH26" i="1"/>
  <c r="AI26" i="1" s="1"/>
  <c r="AH28" i="1"/>
  <c r="AI28" i="1" s="1"/>
  <c r="AH33" i="1"/>
  <c r="AI33" i="1" s="1"/>
  <c r="AH40" i="1"/>
  <c r="AI40" i="1" s="1"/>
  <c r="AD19" i="1"/>
  <c r="AE19" i="1" s="1"/>
  <c r="AH38" i="1"/>
  <c r="AI38" i="1" s="1"/>
  <c r="AH37" i="1"/>
  <c r="AI37" i="1" s="1"/>
  <c r="AD16" i="1"/>
  <c r="AE16" i="1" s="1"/>
  <c r="AD20" i="1"/>
  <c r="AE20" i="1" s="1"/>
  <c r="AD14" i="1"/>
  <c r="AE14" i="1" s="1"/>
  <c r="AH24" i="1"/>
  <c r="AI24" i="1" s="1"/>
  <c r="AH34" i="1"/>
  <c r="AI34" i="1" s="1"/>
  <c r="AH36" i="1"/>
  <c r="AI36" i="1" s="1"/>
  <c r="AD18" i="1"/>
  <c r="AE18" i="1" s="1"/>
  <c r="AH25" i="1"/>
  <c r="AI25" i="1" s="1"/>
  <c r="AH35" i="1"/>
  <c r="AI35" i="1" s="1"/>
  <c r="AD17" i="1"/>
  <c r="AE17" i="1" s="1"/>
  <c r="AD21" i="1"/>
  <c r="AE21" i="1" s="1"/>
  <c r="AH32" i="1"/>
  <c r="AI32" i="1" s="1"/>
  <c r="AH27" i="1"/>
  <c r="AI27" i="1" s="1"/>
  <c r="AD22" i="1"/>
  <c r="AE22" i="1" s="1"/>
  <c r="BI5" i="1"/>
  <c r="AG5" i="1" s="1"/>
  <c r="BI6" i="1"/>
  <c r="AG6" i="1" s="1"/>
  <c r="BI7" i="1"/>
  <c r="AG7" i="1" s="1"/>
  <c r="BI8" i="1"/>
  <c r="AG8" i="1" s="1"/>
  <c r="BI9" i="1"/>
  <c r="AG9" i="1" s="1"/>
  <c r="BI10" i="1"/>
  <c r="AG10" i="1" s="1"/>
  <c r="BI11" i="1"/>
  <c r="AG11" i="1" s="1"/>
  <c r="BI12" i="1"/>
  <c r="AG12" i="1" s="1"/>
  <c r="BI13" i="1"/>
  <c r="AG13" i="1" s="1"/>
  <c r="BI4" i="1"/>
  <c r="AG4" i="1" s="1"/>
  <c r="AB5" i="1"/>
  <c r="AB6" i="1"/>
  <c r="AB7" i="1"/>
  <c r="AB8" i="1"/>
  <c r="AB9" i="1"/>
  <c r="AB10" i="1"/>
  <c r="AB11" i="1"/>
  <c r="AB12" i="1"/>
  <c r="AB13" i="1"/>
  <c r="Z5" i="1"/>
  <c r="AQ5" i="1" s="1"/>
  <c r="Z6" i="1"/>
  <c r="AQ6" i="1" s="1"/>
  <c r="Z7" i="1"/>
  <c r="AQ7" i="1" s="1"/>
  <c r="Z8" i="1"/>
  <c r="AQ8" i="1" s="1"/>
  <c r="Z9" i="1"/>
  <c r="AQ9" i="1" s="1"/>
  <c r="Z10" i="1"/>
  <c r="AQ10" i="1" s="1"/>
  <c r="Z11" i="1"/>
  <c r="AQ11" i="1" s="1"/>
  <c r="Z12" i="1"/>
  <c r="AQ12" i="1" s="1"/>
  <c r="Z13" i="1"/>
  <c r="AQ13" i="1" s="1"/>
  <c r="D5" i="1"/>
  <c r="D6" i="1"/>
  <c r="D7" i="1"/>
  <c r="D8" i="1"/>
  <c r="D9" i="1"/>
  <c r="D10" i="1"/>
  <c r="D11" i="1"/>
  <c r="D12" i="1"/>
  <c r="D13" i="1"/>
  <c r="D4" i="1"/>
  <c r="AB4" i="1"/>
  <c r="Z4" i="1"/>
  <c r="AQ4" i="1" s="1"/>
  <c r="AS7" i="1" l="1"/>
  <c r="AS6" i="1"/>
  <c r="AS13" i="1"/>
  <c r="AS5" i="1"/>
  <c r="AS12" i="1"/>
  <c r="AS8" i="1"/>
  <c r="AS11" i="1"/>
  <c r="AS4" i="1"/>
  <c r="AD4" i="1" s="1"/>
  <c r="AE4" i="1" s="1"/>
  <c r="AS9" i="1"/>
  <c r="AS10" i="1"/>
  <c r="AL13" i="1"/>
  <c r="AL5" i="1"/>
  <c r="AL12" i="1"/>
  <c r="AM10" i="1"/>
  <c r="AL4" i="1"/>
  <c r="AL9" i="1"/>
  <c r="AM8" i="1"/>
  <c r="AM11" i="1"/>
  <c r="AM7" i="1"/>
  <c r="AM6" i="1"/>
  <c r="AL11" i="1"/>
  <c r="AL10" i="1"/>
  <c r="AL8" i="1"/>
  <c r="AM9" i="1"/>
  <c r="AL7" i="1"/>
  <c r="AM13" i="1"/>
  <c r="AM5" i="1"/>
  <c r="AL6" i="1"/>
  <c r="AM12" i="1"/>
  <c r="AO4" i="1"/>
  <c r="AP4" i="1"/>
  <c r="AM4" i="1"/>
  <c r="AH11" i="1" l="1"/>
  <c r="AI11" i="1" s="1"/>
  <c r="BN11" i="1"/>
  <c r="BP11" i="1"/>
  <c r="AH8" i="1"/>
  <c r="AI8" i="1" s="1"/>
  <c r="BP8" i="1"/>
  <c r="BN8" i="1"/>
  <c r="AH12" i="1"/>
  <c r="AI12" i="1" s="1"/>
  <c r="BN12" i="1"/>
  <c r="BP12" i="1"/>
  <c r="BP5" i="1"/>
  <c r="BN5" i="1"/>
  <c r="AH13" i="1"/>
  <c r="AI13" i="1" s="1"/>
  <c r="BP13" i="1"/>
  <c r="BN13" i="1"/>
  <c r="AH10" i="1"/>
  <c r="AI10" i="1" s="1"/>
  <c r="BN10" i="1"/>
  <c r="BP10" i="1"/>
  <c r="AD6" i="1"/>
  <c r="AE6" i="1" s="1"/>
  <c r="BP6" i="1"/>
  <c r="BN6" i="1"/>
  <c r="AD9" i="1"/>
  <c r="AE9" i="1" s="1"/>
  <c r="BN9" i="1"/>
  <c r="BP9" i="1"/>
  <c r="AH7" i="1"/>
  <c r="AI7" i="1" s="1"/>
  <c r="BN7" i="1"/>
  <c r="BP7" i="1"/>
  <c r="AD7" i="1"/>
  <c r="AE7" i="1" s="1"/>
  <c r="AH6" i="1"/>
  <c r="AI6" i="1" s="1"/>
  <c r="AD11" i="1"/>
  <c r="AE11" i="1" s="1"/>
  <c r="AD10" i="1"/>
  <c r="AE10" i="1" s="1"/>
  <c r="AD13" i="1"/>
  <c r="AE13" i="1" s="1"/>
  <c r="AH9" i="1"/>
  <c r="AI9" i="1" s="1"/>
  <c r="AH4" i="1"/>
  <c r="AI4" i="1" s="1"/>
  <c r="BN4" i="1"/>
  <c r="BP4" i="1"/>
  <c r="AD8" i="1"/>
  <c r="AE8" i="1" s="1"/>
  <c r="AD12" i="1"/>
  <c r="AE12" i="1" s="1"/>
  <c r="AH5" i="1"/>
  <c r="AI5" i="1" s="1"/>
  <c r="AD5" i="1"/>
  <c r="AE5" i="1" s="1"/>
</calcChain>
</file>

<file path=xl/sharedStrings.xml><?xml version="1.0" encoding="utf-8"?>
<sst xmlns="http://schemas.openxmlformats.org/spreadsheetml/2006/main" count="439" uniqueCount="162">
  <si>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</si>
  <si>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</si>
  <si>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</si>
  <si>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</si>
  <si>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</si>
  <si>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</si>
  <si>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</si>
  <si>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</si>
  <si>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</si>
  <si>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</si>
  <si>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</si>
  <si>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</si>
  <si>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</si>
  <si>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</si>
  <si>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</si>
  <si>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</si>
  <si>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</si>
  <si>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</si>
  <si>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</si>
  <si>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</si>
  <si>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</si>
  <si>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</si>
  <si>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</si>
  <si>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</si>
  <si>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</si>
  <si>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</si>
  <si>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</si>
  <si>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</si>
  <si>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</si>
  <si>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</si>
  <si>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</si>
  <si>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</si>
  <si>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</si>
  <si>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</si>
  <si>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</si>
  <si>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</si>
  <si>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</si>
  <si>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</si>
  <si>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</si>
  <si>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</si>
  <si>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</si>
  <si>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</si>
  <si>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</si>
  <si>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</si>
  <si>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</si>
  <si>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</si>
  <si>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</si>
  <si>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</si>
  <si>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</si>
  <si>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</si>
  <si>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</si>
  <si>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</si>
  <si>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</si>
  <si>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</si>
  <si>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</si>
  <si>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</si>
  <si>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</si>
  <si>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</si>
  <si>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</si>
  <si>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</si>
  <si>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</si>
  <si>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</si>
  <si>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</si>
  <si>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</si>
  <si>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</si>
  <si>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</si>
  <si>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J160MM</t>
  </si>
  <si>
    <t>J159MM</t>
  </si>
  <si>
    <t>J341MF</t>
  </si>
  <si>
    <t>J351MF</t>
  </si>
  <si>
    <t>J342MF</t>
  </si>
  <si>
    <t>J343MF</t>
  </si>
  <si>
    <t>J344MF</t>
  </si>
  <si>
    <t>J345MF</t>
  </si>
  <si>
    <t>J346MF</t>
  </si>
  <si>
    <t>J347MF</t>
  </si>
  <si>
    <t>J348MF</t>
  </si>
  <si>
    <t>J349MF</t>
  </si>
  <si>
    <t>J350MF</t>
  </si>
  <si>
    <t>J352MF</t>
  </si>
  <si>
    <t>J353MF</t>
  </si>
  <si>
    <t>J354MF</t>
  </si>
  <si>
    <t>J355MF</t>
  </si>
  <si>
    <t>J358MF</t>
  </si>
  <si>
    <t>J356MF</t>
  </si>
  <si>
    <t>J357MF</t>
  </si>
  <si>
    <t>J371MF</t>
  </si>
  <si>
    <t>J372MF</t>
  </si>
  <si>
    <t>J373MF</t>
  </si>
  <si>
    <t>J374MF</t>
  </si>
  <si>
    <t>J370MF</t>
  </si>
  <si>
    <t>J364MF</t>
  </si>
  <si>
    <t>J375MF</t>
  </si>
  <si>
    <t>J365MF</t>
  </si>
  <si>
    <t>J359MF</t>
  </si>
  <si>
    <t>J360MF</t>
  </si>
  <si>
    <t>J362MF</t>
  </si>
  <si>
    <t>J363MF</t>
  </si>
  <si>
    <t>J361MF</t>
  </si>
  <si>
    <t>J366MF</t>
  </si>
  <si>
    <t>J367MF</t>
  </si>
  <si>
    <t>J368MF</t>
  </si>
  <si>
    <t>J369MF</t>
  </si>
  <si>
    <t>矢崎化工/ﾎﾟﾘﾊﾟｯｸ8号 10枚×20冊 200枚入/HG-8090</t>
  </si>
  <si>
    <t>矢崎化工/ﾎﾟﾘﾊﾟｯｸ11号 10枚×10冊 100枚入/HJ-90100</t>
  </si>
  <si>
    <t>矢崎化工/ﾀｲﾐｰﾊﾟｯｸ 150×250×0.02 6巻入/HR-0920ｹｰｽ</t>
  </si>
  <si>
    <t>矢崎化工/ﾀｲﾐｰﾊﾟｯｸ 200×250×0.02 6巻入</t>
  </si>
  <si>
    <t>矢崎化工/ﾀｲﾐｰﾊﾟｯｸ 200×300×0.02 6巻入/HR-1220ｹｰｽ</t>
  </si>
  <si>
    <t>矢崎化工/ﾀｲﾐｰﾊﾟｯｸ 200×300×0.03 6巻入/HR-1230ｹｰｽ</t>
  </si>
  <si>
    <t>矢崎化工/ﾀｲﾐｰﾊﾟｯｸ 230×340×0.02 6巻入/HR-1320Lｹｰｽ</t>
  </si>
  <si>
    <t>矢崎化工/ﾀｲﾐｰﾊﾟｯｸ 230×450×0.02 6巻入</t>
  </si>
  <si>
    <t>矢崎化工/ﾀｲﾐｰﾊﾟｯｸ 250×350×0.02 6巻入/HR-1520ｹｰｽ</t>
  </si>
  <si>
    <t>矢崎化工/ﾀｲﾐｰﾊﾟｯｸ 250×350×0.025 6巻入/HR-1525ｹｰｽ</t>
  </si>
  <si>
    <t>矢崎化工/ﾀｲﾐｰﾊﾟｯｸ 250×350×0.03 6巻入/HR-1530ｹｰｽ</t>
  </si>
  <si>
    <t>矢崎化工/ﾀｲﾐｰﾊﾟｯｸ 260×380×0.03 6巻入/HR-1630ｹｰｽ</t>
  </si>
  <si>
    <t>矢崎化工/ﾀｲﾐｰﾊﾟｯｸ 300×400×0.03 6巻入/HR-1930ｹｰｽ</t>
  </si>
  <si>
    <t>矢崎化工/ﾀｲﾐｰﾊﾟｯｸ 300×450×0.03 6巻入/HR-2030ｹｰｽ</t>
  </si>
  <si>
    <t>矢崎化工/ﾀｲﾐｰﾊﾟｯｸ 650×800×0.025 6巻入/HR-3225ｹｰｽ</t>
  </si>
  <si>
    <t>矢崎化工/ﾀｲﾐｰﾊﾟｯｸ 650×800×0.03 6巻入ﾌﾞﾙｰ</t>
  </si>
  <si>
    <t>矢崎化工/ﾀｲﾐｰﾊﾟｯｸ 650×800×0.03 6巻入 ﾐﾙｸﾎﾜｲﾄ</t>
  </si>
  <si>
    <t>矢崎化工/ﾀｲﾐｰﾊﾟｯｸ 800×900×0.04 6巻入/HR-3540ｹｰｽ</t>
  </si>
  <si>
    <t>矢崎化工/ﾀｲﾐｰﾊﾟｯｸ 800×900×0.04 6巻入 ﾌﾞﾙｰ</t>
  </si>
  <si>
    <t>矢崎化工/ﾀｲﾐｰﾊﾟｯｸ 800×900×0.04 6巻入 ﾐﾙｸﾎﾜｲﾄ</t>
  </si>
  <si>
    <t>矢崎化工/ﾀｲﾐｰﾊﾟｯｸ 200×300×0.006 6巻入/T-1206 ｹ-ｽ</t>
  </si>
  <si>
    <t>矢崎化工/ﾀｲﾐｰﾊﾟｯｸ 230×340×0.006 6巻入/T-1306 ｹ-ｽ</t>
  </si>
  <si>
    <t>矢崎化工/ﾀｲﾐｰﾊﾟｯｸ 250×350×0.006 6巻入/T-1506 ｹ-ｽ</t>
  </si>
  <si>
    <t>矢崎化工/ﾀｲﾐｰﾊﾟｯｸ 260×380×0.006 6巻入/T-1606 ｹ-ｽ</t>
  </si>
  <si>
    <t>矢崎化工/ﾀｲﾐｰﾊﾟｯｸ 200×300×0.008 6巻入/T-1200 ｹ-ｽ</t>
  </si>
  <si>
    <t>矢崎化工/ﾀｲﾐｰﾊﾟｯｸ 230×340×0.008 6巻入/M-13085ｹ-ｽ</t>
  </si>
  <si>
    <t>矢崎化工/ﾀｲﾐｰﾊﾟｯｸ 260×380×0.008 6巻入/T-1608 ｹ-ｽ</t>
  </si>
  <si>
    <t>矢崎化工/ﾀｲﾐｰﾊﾟｯｸ 230×340×0.01 6巻入/M-1310Lｹ-ｽ</t>
  </si>
  <si>
    <t>矢崎化工/ﾀｲﾐｰﾊﾟｯｸ小巻 200×300×0.02 20巻入</t>
  </si>
  <si>
    <t>矢崎化工/ﾀｲﾐｰﾊﾟｯｸ小巻 230×340×0.02 20巻入</t>
  </si>
  <si>
    <t>矢崎化工/ﾀｲﾐｰﾊﾟｯｸ小巻 250×350×0.02 20巻入</t>
  </si>
  <si>
    <t>矢崎化工/ﾀｲﾐｰﾊﾟｯｸ小巻 260×380×0.02 20巻入</t>
  </si>
  <si>
    <t>矢崎化工/ﾀｲﾐｰﾊﾟｯｸ小巻 230×450×0.02 20巻入</t>
  </si>
  <si>
    <t>矢崎化工/ﾀｲﾐｰﾊﾟｯｸ小巻 200×300×0.006 20巻入</t>
  </si>
  <si>
    <t>矢崎化工/ﾀｲﾐｰﾊﾟｯｸ小巻 230×340×0.006 20巻入</t>
  </si>
  <si>
    <t>矢崎化工/ﾀｲﾐｰﾊﾟｯｸ小巻 250×350×0.006 20巻入</t>
  </si>
  <si>
    <t>矢崎化工/ﾀｲﾐｰﾊﾟｯｸ小巻 260×380×0.006 20巻入</t>
  </si>
  <si>
    <t>-</t>
  </si>
  <si>
    <t>-</t>
    <phoneticPr fontId="2"/>
  </si>
  <si>
    <t>矢崎化工 ヤザキ ポリ袋 タイミーパック ケース 6巻入り HR-202025 ケ-ス 1ケース（6巻）（直送品）</t>
  </si>
  <si>
    <t>矢崎化工 ヤザキ ポリ袋 タイミーパック ケース 6巻入り HR-1220 ケ-ス 1ケース（6巻）（直送品）</t>
  </si>
  <si>
    <t>矢崎化工 ヤザキ ポリ袋 タイミーパック ケース 6巻入り T-1206 ケ-ス 1ケース（6巻）（直送品）</t>
  </si>
  <si>
    <t>矢崎化工 ヤザキ ポリ袋 タイミーパック ケース 6巻入り T-1306 ケ-ス 1ケース（6巻）（直送品）</t>
  </si>
  <si>
    <t>矢崎化工 ヤザキ ポリ袋 タイミーパック ケース 6巻入り T-1506 ケ-ス 1ケース（6巻）（直送品）</t>
  </si>
  <si>
    <t>矢崎化工 ヤザキ ポリ袋 タイミーパック ケース 6巻入り T-1606 ケ-ス 1ケース（6巻）（直送品）</t>
  </si>
  <si>
    <t>矢崎化工 ヤザキ ポリ袋 タイミーパック ケース 6巻入り T-1608 ケ-ス 1ケース（6巻）（直送品）</t>
  </si>
  <si>
    <t>矢崎化工 ハイデンポリ袋 タイミーパックMS-1206A 00365124 1ケース(20個(1個×20))（直送品）</t>
  </si>
  <si>
    <t>A300116</t>
  </si>
  <si>
    <t>1ケース(6巻)</t>
  </si>
  <si>
    <t>A300108</t>
  </si>
  <si>
    <t>A300134</t>
  </si>
  <si>
    <t>A300131</t>
  </si>
  <si>
    <t>A300135</t>
  </si>
  <si>
    <t>A300133</t>
  </si>
  <si>
    <t>A300132</t>
  </si>
  <si>
    <t>APK7912</t>
  </si>
  <si>
    <t>1ケース(20個(1個×20))</t>
  </si>
  <si>
    <t>6月
たの</t>
    <rPh sb="1" eb="2">
      <t>ガツ</t>
    </rPh>
    <phoneticPr fontId="2"/>
  </si>
  <si>
    <t>6月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</si>
</sst>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6" borderId="3" xfId="0" applyFill="1" applyBorder="1">
      <alignment vertical="center"/>
    </xf>
    <xf numFmtId="0" fontId="0" fillId="6" borderId="4" xfId="0" applyFill="1" applyBorder="1">
      <alignment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40"/>
  <sheetViews>
    <sheetView tabSelected="1" zoomScale="90" zoomScaleNormal="90" workbookViewId="0">
      <pane xSplit="7" ySplit="5" topLeftCell="Y6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5" customWidth="1" collapsed="1"/>
    <col min="26" max="28" width="7.625" customWidth="1"/>
    <col min="29" max="29" width="4.375" customWidth="1" collapsed="1"/>
    <col min="30" max="31" width="7.625" customWidth="1"/>
    <col min="32" max="32" width="6.125" style="30" customWidth="1"/>
    <col min="33" max="33" width="7.625" customWidth="1"/>
    <col min="34" max="34" width="7.625" style="30" customWidth="1"/>
    <col min="35" max="35" width="7.625" customWidth="1"/>
    <col min="36" max="36" width="7.625" style="30" customWidth="1"/>
    <col min="37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hidden="1" customWidth="1" collapsed="1"/>
    <col min="56" max="64" width="7.625" hidden="1" customWidth="1"/>
    <col min="65" max="68" width="7.625" customWidth="1"/>
  </cols>
  <sheetData>
    <row r="1" spans="1:69" x14ac:dyDescent="0.4">
      <c r="C1" s="29" t="s">
        <v>43</v>
      </c>
      <c r="Y1" s="43" t="s">
        <v>40</v>
      </c>
      <c r="Z1" s="44"/>
      <c r="AA1" s="44"/>
      <c r="AB1" s="45"/>
    </row>
    <row r="2" spans="1:69" x14ac:dyDescent="0.4">
      <c r="C2" s="8" t="s">
        <v>28</v>
      </c>
      <c r="D2" s="9" t="s">
        <v>29</v>
      </c>
      <c r="E2" s="9" t="s">
        <v>30</v>
      </c>
      <c r="F2" s="10"/>
      <c r="G2" s="10"/>
      <c r="H2" s="36"/>
      <c r="I2" s="36"/>
      <c r="J2" s="40" t="s">
        <v>31</v>
      </c>
      <c r="K2" s="42"/>
      <c r="L2" s="40" t="s">
        <v>1</v>
      </c>
      <c r="M2" s="41"/>
      <c r="N2" s="41"/>
      <c r="O2" s="42"/>
      <c r="P2" s="11"/>
      <c r="Q2" s="35"/>
      <c r="R2" s="35"/>
      <c r="S2" s="35"/>
      <c r="T2" s="35"/>
      <c r="U2" s="35"/>
      <c r="V2" s="35"/>
      <c r="W2" s="35"/>
      <c r="X2" s="35"/>
      <c r="Y2" s="23"/>
      <c r="Z2" s="24" t="s">
        <v>34</v>
      </c>
      <c r="AA2" s="24"/>
      <c r="AB2" s="25" t="s">
        <v>34</v>
      </c>
      <c r="AC2" s="10"/>
      <c r="AD2" s="9" t="s">
        <v>39</v>
      </c>
      <c r="AE2" s="11"/>
      <c r="AF2" s="31"/>
      <c r="AG2" s="11"/>
      <c r="AH2" s="31"/>
      <c r="AI2" s="11"/>
      <c r="AJ2" s="31"/>
      <c r="AK2" s="22" t="s">
        <v>41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J2">
        <v>14</v>
      </c>
      <c r="BK2">
        <v>28</v>
      </c>
    </row>
    <row r="3" spans="1:69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2" t="s">
        <v>0</v>
      </c>
      <c r="G3" s="12" t="s">
        <v>4</v>
      </c>
      <c r="H3" s="12" t="s">
        <v>53</v>
      </c>
      <c r="I3" s="12" t="s">
        <v>54</v>
      </c>
      <c r="J3" s="12" t="s">
        <v>25</v>
      </c>
      <c r="K3" s="12" t="s">
        <v>26</v>
      </c>
      <c r="L3" s="12" t="s">
        <v>64</v>
      </c>
      <c r="M3" s="2" t="s">
        <v>5</v>
      </c>
      <c r="N3" s="2" t="s">
        <v>62</v>
      </c>
      <c r="O3" s="2" t="s">
        <v>13</v>
      </c>
      <c r="P3" s="12" t="s">
        <v>47</v>
      </c>
      <c r="Q3" s="12" t="s">
        <v>17</v>
      </c>
      <c r="R3" s="12" t="s">
        <v>18</v>
      </c>
      <c r="S3" s="12" t="s">
        <v>48</v>
      </c>
      <c r="T3" s="12" t="s">
        <v>20</v>
      </c>
      <c r="U3" s="12" t="s">
        <v>21</v>
      </c>
      <c r="V3" s="12" t="s">
        <v>49</v>
      </c>
      <c r="W3" s="12" t="s">
        <v>23</v>
      </c>
      <c r="X3" s="12" t="s">
        <v>24</v>
      </c>
      <c r="Y3" s="12" t="s">
        <v>60</v>
      </c>
      <c r="Z3" s="12" t="s">
        <v>61</v>
      </c>
      <c r="AA3" s="2" t="s">
        <v>62</v>
      </c>
      <c r="AB3" s="12" t="s">
        <v>63</v>
      </c>
      <c r="AC3" s="14" t="s">
        <v>3</v>
      </c>
      <c r="AD3" s="20" t="s">
        <v>14</v>
      </c>
      <c r="AE3" s="2" t="s">
        <v>13</v>
      </c>
      <c r="AF3" s="32" t="s">
        <v>44</v>
      </c>
      <c r="AG3" s="12" t="s">
        <v>65</v>
      </c>
      <c r="AH3" s="37" t="s">
        <v>55</v>
      </c>
      <c r="AI3" s="2" t="s">
        <v>13</v>
      </c>
      <c r="AJ3" s="32"/>
      <c r="AK3" s="13" t="s">
        <v>32</v>
      </c>
      <c r="AL3" s="2" t="s">
        <v>13</v>
      </c>
      <c r="AM3" s="2" t="s">
        <v>33</v>
      </c>
      <c r="AN3" s="26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2" t="s">
        <v>57</v>
      </c>
      <c r="BI3" s="2" t="s">
        <v>12</v>
      </c>
      <c r="BJ3" s="18" t="s">
        <v>45</v>
      </c>
      <c r="BK3" s="18" t="s">
        <v>46</v>
      </c>
      <c r="BL3" s="15" t="s">
        <v>52</v>
      </c>
      <c r="BM3" s="38" t="s">
        <v>160</v>
      </c>
      <c r="BN3" s="39" t="s">
        <v>58</v>
      </c>
      <c r="BO3" s="39" t="s">
        <v>161</v>
      </c>
      <c r="BP3" s="39" t="s">
        <v>59</v>
      </c>
      <c r="BQ3" s="34" t="s">
        <v>50</v>
      </c>
    </row>
    <row r="4" spans="1:69" x14ac:dyDescent="0.4">
      <c r="A4" s="3">
        <v>1</v>
      </c>
      <c r="B4" s="3">
        <v>1</v>
      </c>
      <c r="C4" s="4" t="s">
        <v>66</v>
      </c>
      <c r="D4" s="4" t="str">
        <f>TEXT(C4,"000000")</f>
        <v>J160MM</v>
      </c>
      <c r="E4" s="4" t="s">
        <v>66</v>
      </c>
      <c r="F4" s="4" t="s">
        <v>103</v>
      </c>
      <c r="G4" s="5">
        <v>4979652390769</v>
      </c>
      <c r="H4" s="5"/>
      <c r="I4" s="5"/>
      <c r="J4" s="5">
        <v>1</v>
      </c>
      <c r="K4" s="5">
        <v>1</v>
      </c>
      <c r="L4" s="4">
        <v>0</v>
      </c>
      <c r="M4" s="4">
        <v>11599</v>
      </c>
      <c r="N4" s="4">
        <v>7898</v>
      </c>
      <c r="O4" s="6">
        <f>IFERROR(1-N4/M4,"-")</f>
        <v>0.31907923096818691</v>
      </c>
      <c r="P4" s="4" t="s">
        <v>141</v>
      </c>
      <c r="Q4" s="4"/>
      <c r="R4" s="4"/>
      <c r="S4" s="4"/>
      <c r="T4" s="4"/>
      <c r="U4" s="4"/>
      <c r="V4" s="4"/>
      <c r="W4" s="4"/>
      <c r="X4" s="4"/>
      <c r="Y4" s="4">
        <v>0</v>
      </c>
      <c r="Z4" s="4">
        <f>IF(AC4="",Y4,Y4*AC4)</f>
        <v>0</v>
      </c>
      <c r="AA4" s="4">
        <v>10268</v>
      </c>
      <c r="AB4" s="4">
        <f>IF(AC4="",AA4,AA4*AC4)</f>
        <v>10268</v>
      </c>
      <c r="AC4" s="4"/>
      <c r="AD4" s="21">
        <f t="shared" ref="AD4:AD22" si="0">ROUND(M4*AS4,0)</f>
        <v>15080</v>
      </c>
      <c r="AE4" s="6">
        <f>IFERROR(1-AB4/AD4,"-")</f>
        <v>0.31909814323607422</v>
      </c>
      <c r="AF4" s="33">
        <v>0</v>
      </c>
      <c r="AG4" s="4" t="str">
        <f>BI4</f>
        <v>-</v>
      </c>
      <c r="AH4" s="33" t="str">
        <f>IFERROR(AG4*AS4,"-")</f>
        <v>-</v>
      </c>
      <c r="AI4" s="6" t="str">
        <f>IFERROR(1-AB4/AH4,"-")</f>
        <v>-</v>
      </c>
      <c r="AJ4" s="33">
        <f>ROUND(AB4/0.7,-2)</f>
        <v>14700</v>
      </c>
      <c r="AK4" s="7">
        <v>14700</v>
      </c>
      <c r="AL4" s="6">
        <f t="shared" ref="AL4:AL22" si="1">1-AB4/AK4</f>
        <v>0.30149659863945577</v>
      </c>
      <c r="AM4" s="4">
        <f t="shared" ref="AM4:AM22" si="2">AK4-AB4</f>
        <v>4432</v>
      </c>
      <c r="AN4" s="28"/>
      <c r="AO4" s="6" t="e">
        <f>1-AB4/AN4</f>
        <v>#DIV/0!</v>
      </c>
      <c r="AP4" s="4">
        <f>AN4-AB4</f>
        <v>-10268</v>
      </c>
      <c r="AQ4" s="6" t="str">
        <f>IFERROR(Z4/L4,"-")</f>
        <v>-</v>
      </c>
      <c r="AR4" s="6">
        <f>IFERROR(AK4/M4,"-")</f>
        <v>1.2673506336753169</v>
      </c>
      <c r="AS4" s="6">
        <f>IFERROR(AB4/N4,"-")</f>
        <v>1.3000759685996455</v>
      </c>
      <c r="AT4" s="4" t="str">
        <f>IFERROR(ROUND($AK4*P4/$M4,0),"-")</f>
        <v>-</v>
      </c>
      <c r="AU4" s="4" t="str">
        <f>IF(Q4="","-",Q4)</f>
        <v>-</v>
      </c>
      <c r="AV4" s="4" t="str">
        <f>IF(R4="","-",R4)</f>
        <v>-</v>
      </c>
      <c r="AW4" s="4"/>
      <c r="AX4" s="4"/>
      <c r="AY4" s="4"/>
      <c r="AZ4" s="4"/>
      <c r="BA4" s="4"/>
      <c r="BB4" s="4"/>
      <c r="BC4" s="4">
        <v>0</v>
      </c>
      <c r="BD4" s="4" t="s">
        <v>140</v>
      </c>
      <c r="BE4" s="4"/>
      <c r="BF4" s="4"/>
      <c r="BG4" s="4" t="s">
        <v>140</v>
      </c>
      <c r="BH4" s="4" t="s">
        <v>140</v>
      </c>
      <c r="BI4" s="4" t="str">
        <f t="shared" ref="BI4:BI5" si="3">IF(BE4="",BH4,BE4/BF4*BH4)</f>
        <v>-</v>
      </c>
      <c r="BJ4" s="19">
        <v>4</v>
      </c>
      <c r="BK4" s="19">
        <v>8</v>
      </c>
      <c r="BL4" s="16">
        <v>18</v>
      </c>
      <c r="BM4" t="s">
        <v>141</v>
      </c>
      <c r="BN4" t="str">
        <f>IFERROR(BM4*AS4,"-")</f>
        <v>-</v>
      </c>
      <c r="BO4" t="s">
        <v>140</v>
      </c>
      <c r="BP4" t="str">
        <f>IFERROR(BO4*AS4,"-")</f>
        <v>-</v>
      </c>
      <c r="BQ4" t="s">
        <v>140</v>
      </c>
    </row>
    <row r="5" spans="1:69" x14ac:dyDescent="0.4">
      <c r="A5" s="3">
        <v>2</v>
      </c>
      <c r="B5" s="3">
        <v>2</v>
      </c>
      <c r="C5" s="4" t="s">
        <v>67</v>
      </c>
      <c r="D5" s="4" t="str">
        <f t="shared" ref="D5:D13" si="4">TEXT(C5,"000000")</f>
        <v>J159MM</v>
      </c>
      <c r="E5" s="4" t="s">
        <v>67</v>
      </c>
      <c r="F5" s="4" t="s">
        <v>104</v>
      </c>
      <c r="G5" s="5">
        <v>4979652390806</v>
      </c>
      <c r="H5" s="5"/>
      <c r="I5" s="5"/>
      <c r="J5" s="5">
        <v>1</v>
      </c>
      <c r="K5" s="5">
        <v>1</v>
      </c>
      <c r="L5" s="4">
        <v>0</v>
      </c>
      <c r="M5" s="4">
        <v>8786</v>
      </c>
      <c r="N5" s="4">
        <v>6965</v>
      </c>
      <c r="O5" s="6">
        <f t="shared" ref="O5:O22" si="5">IFERROR(1-N5/M5,"-")</f>
        <v>0.20726155246983835</v>
      </c>
      <c r="P5" s="4" t="s">
        <v>141</v>
      </c>
      <c r="Q5" s="4"/>
      <c r="R5" s="4"/>
      <c r="S5" s="4"/>
      <c r="T5" s="4"/>
      <c r="U5" s="4"/>
      <c r="V5" s="4"/>
      <c r="W5" s="4"/>
      <c r="X5" s="4"/>
      <c r="Y5" s="4">
        <v>0</v>
      </c>
      <c r="Z5" s="4">
        <f t="shared" ref="Z5:Z13" si="6">IF(AC5="",Y5,Y5*AC5)</f>
        <v>0</v>
      </c>
      <c r="AA5" s="4">
        <v>9054</v>
      </c>
      <c r="AB5" s="4">
        <f t="shared" ref="AB5:AB13" si="7">IF(AC5="",AA5,AA5*AC5)</f>
        <v>9054</v>
      </c>
      <c r="AC5" s="4"/>
      <c r="AD5" s="21">
        <f t="shared" si="0"/>
        <v>11421</v>
      </c>
      <c r="AE5" s="6">
        <f t="shared" ref="AE5:AE22" si="8">IFERROR(1-AB5/AD5,"-")</f>
        <v>0.20724980299448381</v>
      </c>
      <c r="AF5" s="33">
        <v>0</v>
      </c>
      <c r="AG5" s="4" t="str">
        <f t="shared" ref="AG5:AG13" si="9">BI5</f>
        <v>-</v>
      </c>
      <c r="AH5" s="33" t="str">
        <f t="shared" ref="AH5:AH22" si="10">IFERROR(AG5*AS5,"-")</f>
        <v>-</v>
      </c>
      <c r="AI5" s="6" t="str">
        <f t="shared" ref="AI5:AI22" si="11">IFERROR(1-AB5/AH5,"-")</f>
        <v>-</v>
      </c>
      <c r="AJ5" s="33">
        <f t="shared" ref="AJ5:AJ40" si="12">ROUND(AB5/0.7,-2)</f>
        <v>12900</v>
      </c>
      <c r="AK5" s="7">
        <v>12900</v>
      </c>
      <c r="AL5" s="6">
        <f t="shared" si="1"/>
        <v>0.29813953488372091</v>
      </c>
      <c r="AM5" s="4">
        <f t="shared" si="2"/>
        <v>3846</v>
      </c>
      <c r="AN5" s="28"/>
      <c r="AO5" s="6"/>
      <c r="AP5" s="6"/>
      <c r="AQ5" s="6" t="str">
        <f t="shared" ref="AQ5:AQ22" si="13">IFERROR(Z5/L5,"-")</f>
        <v>-</v>
      </c>
      <c r="AR5" s="6">
        <f t="shared" ref="AR5:AR22" si="14">IFERROR(AK5/M5,"-")</f>
        <v>1.468244935124061</v>
      </c>
      <c r="AS5" s="6">
        <f t="shared" ref="AS5:AS22" si="15">IFERROR(AB5/N5,"-")</f>
        <v>1.2999282124910265</v>
      </c>
      <c r="AT5" s="4"/>
      <c r="AU5" s="4"/>
      <c r="AV5" s="4"/>
      <c r="AW5" s="4"/>
      <c r="AX5" s="4"/>
      <c r="AY5" s="4"/>
      <c r="AZ5" s="4"/>
      <c r="BA5" s="4"/>
      <c r="BB5" s="4"/>
      <c r="BC5" s="4">
        <v>0</v>
      </c>
      <c r="BD5" s="4" t="s">
        <v>140</v>
      </c>
      <c r="BE5" s="4"/>
      <c r="BF5" s="4"/>
      <c r="BG5" s="4" t="s">
        <v>140</v>
      </c>
      <c r="BH5" s="4" t="s">
        <v>140</v>
      </c>
      <c r="BI5" s="4" t="str">
        <f t="shared" si="3"/>
        <v>-</v>
      </c>
      <c r="BJ5" s="19">
        <v>4</v>
      </c>
      <c r="BK5" s="19">
        <v>8</v>
      </c>
      <c r="BL5" s="16">
        <v>18</v>
      </c>
      <c r="BM5" t="s">
        <v>141</v>
      </c>
      <c r="BN5" t="str">
        <f t="shared" ref="BN5:BN40" si="16">IFERROR(BM5*AS5,"-")</f>
        <v>-</v>
      </c>
      <c r="BO5" t="s">
        <v>140</v>
      </c>
      <c r="BP5" t="str">
        <f t="shared" ref="BP5:BP40" si="17">IFERROR(BO5*AS5,"-")</f>
        <v>-</v>
      </c>
      <c r="BQ5" t="s">
        <v>140</v>
      </c>
    </row>
    <row r="6" spans="1:69" x14ac:dyDescent="0.4">
      <c r="A6" s="46">
        <v>3</v>
      </c>
      <c r="B6" s="3">
        <v>3</v>
      </c>
      <c r="C6" s="17" t="s">
        <v>68</v>
      </c>
      <c r="D6" s="4" t="str">
        <f t="shared" si="4"/>
        <v>J341MF</v>
      </c>
      <c r="E6" s="4" t="s">
        <v>68</v>
      </c>
      <c r="F6" s="4" t="s">
        <v>105</v>
      </c>
      <c r="G6" s="5">
        <v>4979652395900</v>
      </c>
      <c r="H6" s="5"/>
      <c r="I6" s="5"/>
      <c r="J6" s="5">
        <v>1</v>
      </c>
      <c r="K6" s="5">
        <v>1</v>
      </c>
      <c r="L6" s="4">
        <v>0</v>
      </c>
      <c r="M6" s="4">
        <v>14633</v>
      </c>
      <c r="N6" s="4">
        <v>12296</v>
      </c>
      <c r="O6" s="6">
        <f t="shared" si="5"/>
        <v>0.15970751042164966</v>
      </c>
      <c r="P6" s="4" t="s">
        <v>141</v>
      </c>
      <c r="Q6" s="4"/>
      <c r="R6" s="4"/>
      <c r="S6" s="4"/>
      <c r="T6" s="4"/>
      <c r="U6" s="4"/>
      <c r="V6" s="4"/>
      <c r="W6" s="4"/>
      <c r="X6" s="4"/>
      <c r="Y6" s="4">
        <v>0</v>
      </c>
      <c r="Z6" s="4">
        <f t="shared" si="6"/>
        <v>0</v>
      </c>
      <c r="AA6" s="4">
        <v>15985</v>
      </c>
      <c r="AB6" s="4">
        <f t="shared" si="7"/>
        <v>15985</v>
      </c>
      <c r="AC6" s="4"/>
      <c r="AD6" s="21">
        <f t="shared" si="0"/>
        <v>19023</v>
      </c>
      <c r="AE6" s="6">
        <f t="shared" si="8"/>
        <v>0.15970141407769545</v>
      </c>
      <c r="AF6" s="33">
        <v>0</v>
      </c>
      <c r="AG6" s="4" t="str">
        <f t="shared" si="9"/>
        <v>-</v>
      </c>
      <c r="AH6" s="33" t="str">
        <f t="shared" si="10"/>
        <v>-</v>
      </c>
      <c r="AI6" s="6" t="str">
        <f t="shared" si="11"/>
        <v>-</v>
      </c>
      <c r="AJ6" s="33">
        <f t="shared" si="12"/>
        <v>22800</v>
      </c>
      <c r="AK6" s="7">
        <v>22800</v>
      </c>
      <c r="AL6" s="6">
        <f t="shared" si="1"/>
        <v>0.29890350877192984</v>
      </c>
      <c r="AM6" s="47">
        <f t="shared" si="2"/>
        <v>6815</v>
      </c>
      <c r="AN6" s="28"/>
      <c r="AO6" s="6"/>
      <c r="AP6" s="6"/>
      <c r="AQ6" s="6" t="str">
        <f t="shared" si="13"/>
        <v>-</v>
      </c>
      <c r="AR6" s="6">
        <f t="shared" si="14"/>
        <v>1.5581220528941433</v>
      </c>
      <c r="AS6" s="6">
        <f t="shared" si="15"/>
        <v>1.3000162654521796</v>
      </c>
      <c r="AT6" s="4"/>
      <c r="AU6" s="4"/>
      <c r="AV6" s="4"/>
      <c r="AW6" s="4"/>
      <c r="AX6" s="4"/>
      <c r="AY6" s="4"/>
      <c r="AZ6" s="4"/>
      <c r="BA6" s="4"/>
      <c r="BB6" s="4"/>
      <c r="BC6" s="4">
        <v>0</v>
      </c>
      <c r="BD6" s="4" t="s">
        <v>140</v>
      </c>
      <c r="BE6" s="4"/>
      <c r="BF6" s="4"/>
      <c r="BG6" s="4" t="s">
        <v>140</v>
      </c>
      <c r="BH6" s="4" t="s">
        <v>140</v>
      </c>
      <c r="BI6" s="4" t="str">
        <f t="shared" ref="BI6:BI13" si="18">IF(BE6="",BH6,BE6/BF6*BH6)</f>
        <v>-</v>
      </c>
      <c r="BJ6" s="19">
        <v>2</v>
      </c>
      <c r="BK6" s="19">
        <v>8</v>
      </c>
      <c r="BL6" s="16">
        <v>18</v>
      </c>
      <c r="BM6" t="s">
        <v>141</v>
      </c>
      <c r="BN6" t="str">
        <f t="shared" si="16"/>
        <v>-</v>
      </c>
      <c r="BO6" t="s">
        <v>140</v>
      </c>
      <c r="BP6" t="str">
        <f t="shared" si="17"/>
        <v>-</v>
      </c>
      <c r="BQ6" t="s">
        <v>140</v>
      </c>
    </row>
    <row r="7" spans="1:69" x14ac:dyDescent="0.4">
      <c r="A7" s="46">
        <v>4</v>
      </c>
      <c r="B7" s="3">
        <v>4</v>
      </c>
      <c r="C7" s="17" t="s">
        <v>69</v>
      </c>
      <c r="D7" s="4" t="str">
        <f t="shared" si="4"/>
        <v>J351MF</v>
      </c>
      <c r="E7" s="4" t="s">
        <v>69</v>
      </c>
      <c r="F7" s="4" t="s">
        <v>106</v>
      </c>
      <c r="G7" s="5">
        <v>4979652395917</v>
      </c>
      <c r="H7" s="5"/>
      <c r="I7" s="5"/>
      <c r="J7" s="5">
        <v>1</v>
      </c>
      <c r="K7" s="5">
        <v>1</v>
      </c>
      <c r="L7" s="4">
        <v>0</v>
      </c>
      <c r="M7" s="4">
        <v>16610</v>
      </c>
      <c r="N7" s="4">
        <v>13928</v>
      </c>
      <c r="O7" s="6">
        <f t="shared" si="5"/>
        <v>0.16146899458157737</v>
      </c>
      <c r="P7" s="4" t="s">
        <v>141</v>
      </c>
      <c r="Q7" s="4"/>
      <c r="R7" s="4"/>
      <c r="S7" s="4"/>
      <c r="T7" s="4"/>
      <c r="U7" s="4"/>
      <c r="V7" s="4"/>
      <c r="W7" s="4"/>
      <c r="X7" s="4"/>
      <c r="Y7" s="4">
        <v>0</v>
      </c>
      <c r="Z7" s="4">
        <f t="shared" si="6"/>
        <v>0</v>
      </c>
      <c r="AA7" s="4">
        <v>18108</v>
      </c>
      <c r="AB7" s="4">
        <f t="shared" si="7"/>
        <v>18108</v>
      </c>
      <c r="AC7" s="4"/>
      <c r="AD7" s="21">
        <f t="shared" si="0"/>
        <v>21595</v>
      </c>
      <c r="AE7" s="6">
        <f t="shared" si="8"/>
        <v>0.1614725630933086</v>
      </c>
      <c r="AF7" s="33">
        <v>0</v>
      </c>
      <c r="AG7" s="4">
        <f t="shared" si="9"/>
        <v>20340</v>
      </c>
      <c r="AH7" s="33">
        <f t="shared" si="10"/>
        <v>26444.33658816772</v>
      </c>
      <c r="AI7" s="6">
        <f t="shared" si="11"/>
        <v>0.31524090462143561</v>
      </c>
      <c r="AJ7" s="33">
        <f t="shared" si="12"/>
        <v>25900</v>
      </c>
      <c r="AK7" s="7">
        <v>25900</v>
      </c>
      <c r="AL7" s="6">
        <f t="shared" si="1"/>
        <v>0.3008494208494209</v>
      </c>
      <c r="AM7" s="47">
        <f t="shared" si="2"/>
        <v>7792</v>
      </c>
      <c r="AN7" s="28"/>
      <c r="AO7" s="6"/>
      <c r="AP7" s="6"/>
      <c r="AQ7" s="6" t="str">
        <f t="shared" si="13"/>
        <v>-</v>
      </c>
      <c r="AR7" s="6">
        <f t="shared" si="14"/>
        <v>1.5593016255267911</v>
      </c>
      <c r="AS7" s="6">
        <f t="shared" si="15"/>
        <v>1.3001148765077541</v>
      </c>
      <c r="AT7" s="4"/>
      <c r="AU7" s="4"/>
      <c r="AV7" s="4"/>
      <c r="AW7" s="4"/>
      <c r="AX7" s="4"/>
      <c r="AY7" s="4"/>
      <c r="AZ7" s="4"/>
      <c r="BA7" s="4"/>
      <c r="BB7" s="4"/>
      <c r="BC7" s="4">
        <v>0</v>
      </c>
      <c r="BD7" s="4" t="s">
        <v>150</v>
      </c>
      <c r="BE7" s="4"/>
      <c r="BF7" s="4"/>
      <c r="BG7" s="4" t="s">
        <v>151</v>
      </c>
      <c r="BH7" s="4">
        <v>20340</v>
      </c>
      <c r="BI7" s="4">
        <f t="shared" si="18"/>
        <v>20340</v>
      </c>
      <c r="BJ7" s="19">
        <v>2</v>
      </c>
      <c r="BK7" s="19">
        <v>8</v>
      </c>
      <c r="BL7" s="16">
        <v>18</v>
      </c>
      <c r="BM7" t="s">
        <v>141</v>
      </c>
      <c r="BN7" t="str">
        <f t="shared" si="16"/>
        <v>-</v>
      </c>
      <c r="BO7" t="s">
        <v>140</v>
      </c>
      <c r="BP7" t="str">
        <f t="shared" si="17"/>
        <v>-</v>
      </c>
      <c r="BQ7" t="s">
        <v>142</v>
      </c>
    </row>
    <row r="8" spans="1:69" x14ac:dyDescent="0.4">
      <c r="A8" s="46">
        <v>5</v>
      </c>
      <c r="B8" s="3">
        <v>5</v>
      </c>
      <c r="C8" s="17" t="s">
        <v>70</v>
      </c>
      <c r="D8" s="4" t="str">
        <f t="shared" si="4"/>
        <v>J342MF</v>
      </c>
      <c r="E8" s="4" t="s">
        <v>70</v>
      </c>
      <c r="F8" s="4" t="s">
        <v>107</v>
      </c>
      <c r="G8" s="5">
        <v>4979652394378</v>
      </c>
      <c r="H8" s="5"/>
      <c r="I8" s="5"/>
      <c r="J8" s="5">
        <v>1</v>
      </c>
      <c r="K8" s="5">
        <v>1</v>
      </c>
      <c r="L8" s="4">
        <v>0</v>
      </c>
      <c r="M8" s="4">
        <v>19308</v>
      </c>
      <c r="N8" s="4">
        <v>16154</v>
      </c>
      <c r="O8" s="6">
        <f t="shared" si="5"/>
        <v>0.16335197845452665</v>
      </c>
      <c r="P8" s="4" t="s">
        <v>141</v>
      </c>
      <c r="Q8" s="4"/>
      <c r="R8" s="4"/>
      <c r="S8" s="4"/>
      <c r="T8" s="4"/>
      <c r="U8" s="4"/>
      <c r="V8" s="4"/>
      <c r="W8" s="4"/>
      <c r="X8" s="4"/>
      <c r="Y8" s="4">
        <v>0</v>
      </c>
      <c r="Z8" s="4">
        <f t="shared" si="6"/>
        <v>0</v>
      </c>
      <c r="AA8" s="4">
        <v>21000</v>
      </c>
      <c r="AB8" s="4">
        <f t="shared" si="7"/>
        <v>21000</v>
      </c>
      <c r="AC8" s="4"/>
      <c r="AD8" s="21">
        <f t="shared" si="0"/>
        <v>25100</v>
      </c>
      <c r="AE8" s="6">
        <f t="shared" si="8"/>
        <v>0.1633466135458167</v>
      </c>
      <c r="AF8" s="33">
        <v>0</v>
      </c>
      <c r="AG8" s="4">
        <f t="shared" si="9"/>
        <v>23560</v>
      </c>
      <c r="AH8" s="33">
        <f t="shared" si="10"/>
        <v>30627.708307539928</v>
      </c>
      <c r="AI8" s="6">
        <f t="shared" si="11"/>
        <v>0.31434634974533104</v>
      </c>
      <c r="AJ8" s="33">
        <f t="shared" si="12"/>
        <v>30000</v>
      </c>
      <c r="AK8" s="7">
        <v>30000</v>
      </c>
      <c r="AL8" s="6">
        <f t="shared" si="1"/>
        <v>0.30000000000000004</v>
      </c>
      <c r="AM8" s="47">
        <f t="shared" si="2"/>
        <v>9000</v>
      </c>
      <c r="AN8" s="28"/>
      <c r="AO8" s="6"/>
      <c r="AP8" s="6"/>
      <c r="AQ8" s="6" t="str">
        <f t="shared" si="13"/>
        <v>-</v>
      </c>
      <c r="AR8" s="6">
        <f t="shared" si="14"/>
        <v>1.5537600994406464</v>
      </c>
      <c r="AS8" s="6">
        <f t="shared" si="15"/>
        <v>1.2999876191655317</v>
      </c>
      <c r="AT8" s="4"/>
      <c r="AU8" s="4"/>
      <c r="AV8" s="4"/>
      <c r="AW8" s="4"/>
      <c r="AX8" s="4"/>
      <c r="AY8" s="4"/>
      <c r="AZ8" s="4"/>
      <c r="BA8" s="4"/>
      <c r="BB8" s="4"/>
      <c r="BC8" s="4">
        <v>0</v>
      </c>
      <c r="BD8" s="4" t="s">
        <v>152</v>
      </c>
      <c r="BE8" s="4"/>
      <c r="BF8" s="4"/>
      <c r="BG8" s="4" t="s">
        <v>151</v>
      </c>
      <c r="BH8" s="4">
        <v>23560</v>
      </c>
      <c r="BI8" s="4">
        <f t="shared" si="18"/>
        <v>23560</v>
      </c>
      <c r="BJ8" s="19">
        <v>2</v>
      </c>
      <c r="BK8" s="19">
        <v>8</v>
      </c>
      <c r="BL8" s="16">
        <v>18</v>
      </c>
      <c r="BM8" t="s">
        <v>141</v>
      </c>
      <c r="BN8" t="str">
        <f t="shared" si="16"/>
        <v>-</v>
      </c>
      <c r="BO8" t="s">
        <v>140</v>
      </c>
      <c r="BP8" t="str">
        <f t="shared" si="17"/>
        <v>-</v>
      </c>
      <c r="BQ8" t="s">
        <v>143</v>
      </c>
    </row>
    <row r="9" spans="1:69" x14ac:dyDescent="0.4">
      <c r="A9" s="46">
        <v>6</v>
      </c>
      <c r="B9" s="3">
        <v>6</v>
      </c>
      <c r="C9" s="17" t="s">
        <v>71</v>
      </c>
      <c r="D9" s="4" t="str">
        <f t="shared" si="4"/>
        <v>J343MF</v>
      </c>
      <c r="E9" s="4" t="s">
        <v>71</v>
      </c>
      <c r="F9" s="4" t="s">
        <v>108</v>
      </c>
      <c r="G9" s="5">
        <v>4979652395924</v>
      </c>
      <c r="H9" s="5"/>
      <c r="I9" s="5"/>
      <c r="J9" s="5">
        <v>1</v>
      </c>
      <c r="K9" s="5">
        <v>1</v>
      </c>
      <c r="L9" s="4">
        <v>0</v>
      </c>
      <c r="M9" s="4">
        <v>16178</v>
      </c>
      <c r="N9" s="4">
        <v>13569</v>
      </c>
      <c r="O9" s="6">
        <f t="shared" si="5"/>
        <v>0.16126838917047848</v>
      </c>
      <c r="P9" s="4" t="s">
        <v>141</v>
      </c>
      <c r="Q9" s="4"/>
      <c r="R9" s="4"/>
      <c r="S9" s="4"/>
      <c r="T9" s="4"/>
      <c r="U9" s="4"/>
      <c r="V9" s="4"/>
      <c r="W9" s="4"/>
      <c r="X9" s="4"/>
      <c r="Y9" s="4">
        <v>0</v>
      </c>
      <c r="Z9" s="4">
        <f t="shared" si="6"/>
        <v>0</v>
      </c>
      <c r="AA9" s="4">
        <v>17641</v>
      </c>
      <c r="AB9" s="4">
        <f t="shared" si="7"/>
        <v>17641</v>
      </c>
      <c r="AC9" s="4"/>
      <c r="AD9" s="21">
        <f t="shared" si="0"/>
        <v>21033</v>
      </c>
      <c r="AE9" s="6">
        <f t="shared" si="8"/>
        <v>0.16127038463367094</v>
      </c>
      <c r="AF9" s="33">
        <v>0</v>
      </c>
      <c r="AG9" s="4" t="str">
        <f t="shared" si="9"/>
        <v>-</v>
      </c>
      <c r="AH9" s="33" t="str">
        <f t="shared" si="10"/>
        <v>-</v>
      </c>
      <c r="AI9" s="6" t="str">
        <f t="shared" si="11"/>
        <v>-</v>
      </c>
      <c r="AJ9" s="33">
        <f t="shared" si="12"/>
        <v>25200</v>
      </c>
      <c r="AK9" s="7">
        <v>25200</v>
      </c>
      <c r="AL9" s="6">
        <f t="shared" si="1"/>
        <v>0.29996031746031748</v>
      </c>
      <c r="AM9" s="47">
        <f t="shared" si="2"/>
        <v>7559</v>
      </c>
      <c r="AN9" s="28"/>
      <c r="AO9" s="6"/>
      <c r="AP9" s="6"/>
      <c r="AQ9" s="6" t="str">
        <f t="shared" si="13"/>
        <v>-</v>
      </c>
      <c r="AR9" s="6">
        <f t="shared" si="14"/>
        <v>1.5576709111138582</v>
      </c>
      <c r="AS9" s="6">
        <f t="shared" si="15"/>
        <v>1.3000958066180264</v>
      </c>
      <c r="AT9" s="4"/>
      <c r="AU9" s="4"/>
      <c r="AV9" s="4"/>
      <c r="AW9" s="4"/>
      <c r="AX9" s="4"/>
      <c r="AY9" s="4"/>
      <c r="AZ9" s="4"/>
      <c r="BA9" s="4"/>
      <c r="BB9" s="4"/>
      <c r="BC9" s="4">
        <v>0</v>
      </c>
      <c r="BD9" s="4" t="s">
        <v>140</v>
      </c>
      <c r="BE9" s="4"/>
      <c r="BF9" s="4"/>
      <c r="BG9" s="4" t="s">
        <v>140</v>
      </c>
      <c r="BH9" s="4" t="s">
        <v>140</v>
      </c>
      <c r="BI9" s="4" t="str">
        <f t="shared" si="18"/>
        <v>-</v>
      </c>
      <c r="BJ9" s="19">
        <v>2</v>
      </c>
      <c r="BK9" s="19">
        <v>8</v>
      </c>
      <c r="BL9" s="16">
        <v>18</v>
      </c>
      <c r="BM9" t="s">
        <v>141</v>
      </c>
      <c r="BN9" t="str">
        <f t="shared" si="16"/>
        <v>-</v>
      </c>
      <c r="BO9" t="s">
        <v>140</v>
      </c>
      <c r="BP9" t="str">
        <f t="shared" si="17"/>
        <v>-</v>
      </c>
      <c r="BQ9" t="s">
        <v>140</v>
      </c>
    </row>
    <row r="10" spans="1:69" x14ac:dyDescent="0.4">
      <c r="A10" s="46">
        <v>7</v>
      </c>
      <c r="B10" s="3">
        <v>7</v>
      </c>
      <c r="C10" s="4" t="s">
        <v>72</v>
      </c>
      <c r="D10" s="4" t="str">
        <f t="shared" si="4"/>
        <v>J344MF</v>
      </c>
      <c r="E10" s="4" t="s">
        <v>72</v>
      </c>
      <c r="F10" s="4" t="s">
        <v>109</v>
      </c>
      <c r="G10" s="5">
        <v>4979652464569</v>
      </c>
      <c r="H10" s="5"/>
      <c r="I10" s="5"/>
      <c r="J10" s="5">
        <v>1</v>
      </c>
      <c r="K10" s="5">
        <v>1</v>
      </c>
      <c r="L10" s="4">
        <v>0</v>
      </c>
      <c r="M10" s="4">
        <v>18262</v>
      </c>
      <c r="N10" s="4">
        <v>15292</v>
      </c>
      <c r="O10" s="6">
        <f t="shared" si="5"/>
        <v>0.16263278939875148</v>
      </c>
      <c r="P10" s="4" t="s">
        <v>141</v>
      </c>
      <c r="Q10" s="4"/>
      <c r="R10" s="4"/>
      <c r="S10" s="4"/>
      <c r="T10" s="4"/>
      <c r="U10" s="4"/>
      <c r="V10" s="4"/>
      <c r="W10" s="4"/>
      <c r="X10" s="4"/>
      <c r="Y10" s="4">
        <v>0</v>
      </c>
      <c r="Z10" s="4">
        <f t="shared" si="6"/>
        <v>0</v>
      </c>
      <c r="AA10" s="4">
        <v>19880</v>
      </c>
      <c r="AB10" s="4">
        <f t="shared" si="7"/>
        <v>19880</v>
      </c>
      <c r="AC10" s="4"/>
      <c r="AD10" s="21">
        <f t="shared" si="0"/>
        <v>23741</v>
      </c>
      <c r="AE10" s="6">
        <f t="shared" si="8"/>
        <v>0.16263004928183311</v>
      </c>
      <c r="AF10" s="33">
        <v>0</v>
      </c>
      <c r="AG10" s="4" t="str">
        <f t="shared" si="9"/>
        <v>-</v>
      </c>
      <c r="AH10" s="33" t="str">
        <f t="shared" si="10"/>
        <v>-</v>
      </c>
      <c r="AI10" s="6" t="str">
        <f t="shared" si="11"/>
        <v>-</v>
      </c>
      <c r="AJ10" s="33">
        <f t="shared" si="12"/>
        <v>28400</v>
      </c>
      <c r="AK10" s="7">
        <v>28400</v>
      </c>
      <c r="AL10" s="6">
        <f t="shared" si="1"/>
        <v>0.30000000000000004</v>
      </c>
      <c r="AM10" s="47">
        <f t="shared" si="2"/>
        <v>8520</v>
      </c>
      <c r="AN10" s="28"/>
      <c r="AO10" s="6"/>
      <c r="AP10" s="6"/>
      <c r="AQ10" s="6" t="str">
        <f t="shared" si="13"/>
        <v>-</v>
      </c>
      <c r="AR10" s="6">
        <f t="shared" si="14"/>
        <v>1.5551418245537181</v>
      </c>
      <c r="AS10" s="6">
        <f t="shared" si="15"/>
        <v>1.300026157467957</v>
      </c>
      <c r="AT10" s="4"/>
      <c r="AU10" s="4"/>
      <c r="AV10" s="4"/>
      <c r="AW10" s="4"/>
      <c r="AX10" s="4"/>
      <c r="AY10" s="4"/>
      <c r="AZ10" s="4"/>
      <c r="BA10" s="4"/>
      <c r="BB10" s="4"/>
      <c r="BC10" s="4">
        <v>0</v>
      </c>
      <c r="BD10" s="4" t="s">
        <v>140</v>
      </c>
      <c r="BE10" s="4"/>
      <c r="BF10" s="4"/>
      <c r="BG10" s="4" t="s">
        <v>140</v>
      </c>
      <c r="BH10" s="4" t="s">
        <v>140</v>
      </c>
      <c r="BI10" s="4" t="str">
        <f t="shared" si="18"/>
        <v>-</v>
      </c>
      <c r="BJ10" s="19">
        <v>2</v>
      </c>
      <c r="BK10" s="19">
        <v>8</v>
      </c>
      <c r="BL10" s="16">
        <v>18</v>
      </c>
      <c r="BM10" t="s">
        <v>141</v>
      </c>
      <c r="BN10" t="str">
        <f t="shared" si="16"/>
        <v>-</v>
      </c>
      <c r="BO10" t="s">
        <v>140</v>
      </c>
      <c r="BP10" t="str">
        <f t="shared" si="17"/>
        <v>-</v>
      </c>
      <c r="BQ10" t="s">
        <v>140</v>
      </c>
    </row>
    <row r="11" spans="1:69" x14ac:dyDescent="0.4">
      <c r="A11" s="46">
        <v>8</v>
      </c>
      <c r="B11" s="3">
        <v>8</v>
      </c>
      <c r="C11" s="4" t="s">
        <v>73</v>
      </c>
      <c r="D11" s="4" t="str">
        <f t="shared" si="4"/>
        <v>J345MF</v>
      </c>
      <c r="E11" s="4" t="s">
        <v>73</v>
      </c>
      <c r="F11" s="4" t="s">
        <v>110</v>
      </c>
      <c r="G11" s="5">
        <v>4979652505279</v>
      </c>
      <c r="H11" s="5"/>
      <c r="I11" s="5"/>
      <c r="J11" s="5">
        <v>1</v>
      </c>
      <c r="K11" s="5">
        <v>1</v>
      </c>
      <c r="L11" s="4">
        <v>0</v>
      </c>
      <c r="M11" s="4">
        <v>15914</v>
      </c>
      <c r="N11" s="4">
        <v>13356</v>
      </c>
      <c r="O11" s="6">
        <f t="shared" si="5"/>
        <v>0.16073897197436215</v>
      </c>
      <c r="P11" s="4" t="s">
        <v>141</v>
      </c>
      <c r="Q11" s="4"/>
      <c r="R11" s="4"/>
      <c r="S11" s="4"/>
      <c r="T11" s="4"/>
      <c r="U11" s="4"/>
      <c r="V11" s="4"/>
      <c r="W11" s="4"/>
      <c r="X11" s="4"/>
      <c r="Y11" s="4">
        <v>0</v>
      </c>
      <c r="Z11" s="4">
        <f t="shared" si="6"/>
        <v>0</v>
      </c>
      <c r="AA11" s="4">
        <v>17364</v>
      </c>
      <c r="AB11" s="4">
        <f t="shared" si="7"/>
        <v>17364</v>
      </c>
      <c r="AC11" s="4"/>
      <c r="AD11" s="21">
        <f t="shared" si="0"/>
        <v>20690</v>
      </c>
      <c r="AE11" s="6">
        <f t="shared" si="8"/>
        <v>0.16075398743354274</v>
      </c>
      <c r="AF11" s="33">
        <v>0</v>
      </c>
      <c r="AG11" s="4" t="str">
        <f t="shared" si="9"/>
        <v>-</v>
      </c>
      <c r="AH11" s="33" t="str">
        <f t="shared" si="10"/>
        <v>-</v>
      </c>
      <c r="AI11" s="6" t="str">
        <f t="shared" si="11"/>
        <v>-</v>
      </c>
      <c r="AJ11" s="33">
        <f t="shared" si="12"/>
        <v>24800</v>
      </c>
      <c r="AK11" s="7">
        <v>24800</v>
      </c>
      <c r="AL11" s="6">
        <f t="shared" si="1"/>
        <v>0.29983870967741932</v>
      </c>
      <c r="AM11" s="47">
        <f t="shared" si="2"/>
        <v>7436</v>
      </c>
      <c r="AN11" s="28"/>
      <c r="AO11" s="6"/>
      <c r="AP11" s="6"/>
      <c r="AQ11" s="6" t="str">
        <f t="shared" si="13"/>
        <v>-</v>
      </c>
      <c r="AR11" s="6">
        <f t="shared" si="14"/>
        <v>1.5583762724644967</v>
      </c>
      <c r="AS11" s="6">
        <f t="shared" si="15"/>
        <v>1.3000898472596585</v>
      </c>
      <c r="AT11" s="4"/>
      <c r="AU11" s="4"/>
      <c r="AV11" s="4"/>
      <c r="AW11" s="4"/>
      <c r="AX11" s="4"/>
      <c r="AY11" s="4"/>
      <c r="AZ11" s="4"/>
      <c r="BA11" s="4"/>
      <c r="BB11" s="4"/>
      <c r="BC11" s="4">
        <v>0</v>
      </c>
      <c r="BD11" s="4" t="s">
        <v>140</v>
      </c>
      <c r="BE11" s="4"/>
      <c r="BF11" s="4"/>
      <c r="BG11" s="4" t="s">
        <v>140</v>
      </c>
      <c r="BH11" s="4" t="s">
        <v>140</v>
      </c>
      <c r="BI11" s="4" t="str">
        <f t="shared" si="18"/>
        <v>-</v>
      </c>
      <c r="BJ11" s="19">
        <v>2</v>
      </c>
      <c r="BK11" s="19">
        <v>8</v>
      </c>
      <c r="BL11" s="16">
        <v>18</v>
      </c>
      <c r="BM11" t="s">
        <v>141</v>
      </c>
      <c r="BN11" t="str">
        <f t="shared" si="16"/>
        <v>-</v>
      </c>
      <c r="BO11" t="s">
        <v>140</v>
      </c>
      <c r="BP11" t="str">
        <f t="shared" si="17"/>
        <v>-</v>
      </c>
      <c r="BQ11" t="s">
        <v>140</v>
      </c>
    </row>
    <row r="12" spans="1:69" x14ac:dyDescent="0.4">
      <c r="A12" s="46">
        <v>9</v>
      </c>
      <c r="B12" s="3">
        <v>9</v>
      </c>
      <c r="C12" s="4" t="s">
        <v>74</v>
      </c>
      <c r="D12" s="4" t="str">
        <f t="shared" si="4"/>
        <v>J346MF</v>
      </c>
      <c r="E12" s="4" t="s">
        <v>74</v>
      </c>
      <c r="F12" s="4" t="s">
        <v>111</v>
      </c>
      <c r="G12" s="5">
        <v>4979652395931</v>
      </c>
      <c r="H12" s="5"/>
      <c r="I12" s="5"/>
      <c r="J12" s="5">
        <v>1</v>
      </c>
      <c r="K12" s="5">
        <v>1</v>
      </c>
      <c r="L12" s="4">
        <v>0</v>
      </c>
      <c r="M12" s="4">
        <v>11954</v>
      </c>
      <c r="N12" s="4">
        <v>9491</v>
      </c>
      <c r="O12" s="6">
        <f t="shared" si="5"/>
        <v>0.20603981930734483</v>
      </c>
      <c r="P12" s="4" t="s">
        <v>141</v>
      </c>
      <c r="Q12" s="4"/>
      <c r="R12" s="4"/>
      <c r="S12" s="4"/>
      <c r="T12" s="4"/>
      <c r="U12" s="4"/>
      <c r="V12" s="4"/>
      <c r="W12" s="4"/>
      <c r="X12" s="4"/>
      <c r="Y12" s="4">
        <v>0</v>
      </c>
      <c r="Z12" s="4">
        <f t="shared" si="6"/>
        <v>0</v>
      </c>
      <c r="AA12" s="4">
        <v>12340</v>
      </c>
      <c r="AB12" s="4">
        <f t="shared" si="7"/>
        <v>12340</v>
      </c>
      <c r="AC12" s="4"/>
      <c r="AD12" s="21">
        <f t="shared" si="0"/>
        <v>15542</v>
      </c>
      <c r="AE12" s="6">
        <f t="shared" si="8"/>
        <v>0.20602239094067687</v>
      </c>
      <c r="AF12" s="33">
        <v>0</v>
      </c>
      <c r="AG12" s="4" t="str">
        <f t="shared" si="9"/>
        <v>-</v>
      </c>
      <c r="AH12" s="33" t="str">
        <f t="shared" si="10"/>
        <v>-</v>
      </c>
      <c r="AI12" s="6" t="str">
        <f t="shared" si="11"/>
        <v>-</v>
      </c>
      <c r="AJ12" s="33">
        <f t="shared" si="12"/>
        <v>17600</v>
      </c>
      <c r="AK12" s="7">
        <v>17600</v>
      </c>
      <c r="AL12" s="6">
        <f t="shared" si="1"/>
        <v>0.29886363636363633</v>
      </c>
      <c r="AM12" s="47">
        <f t="shared" si="2"/>
        <v>5260</v>
      </c>
      <c r="AN12" s="28"/>
      <c r="AO12" s="6"/>
      <c r="AP12" s="6"/>
      <c r="AQ12" s="6" t="str">
        <f t="shared" si="13"/>
        <v>-</v>
      </c>
      <c r="AR12" s="6">
        <f t="shared" si="14"/>
        <v>1.4723105236740839</v>
      </c>
      <c r="AS12" s="6">
        <f t="shared" si="15"/>
        <v>1.3001791170582657</v>
      </c>
      <c r="AT12" s="4"/>
      <c r="AU12" s="4"/>
      <c r="AV12" s="4"/>
      <c r="AW12" s="4"/>
      <c r="AX12" s="4"/>
      <c r="AY12" s="4"/>
      <c r="AZ12" s="4"/>
      <c r="BA12" s="4"/>
      <c r="BB12" s="4"/>
      <c r="BC12" s="4">
        <v>0</v>
      </c>
      <c r="BD12" s="4" t="s">
        <v>140</v>
      </c>
      <c r="BE12" s="4"/>
      <c r="BF12" s="4"/>
      <c r="BG12" s="4" t="s">
        <v>140</v>
      </c>
      <c r="BH12" s="4" t="s">
        <v>140</v>
      </c>
      <c r="BI12" s="4" t="str">
        <f t="shared" si="18"/>
        <v>-</v>
      </c>
      <c r="BJ12" s="19">
        <v>2</v>
      </c>
      <c r="BK12" s="19">
        <v>8</v>
      </c>
      <c r="BL12" s="16">
        <v>18</v>
      </c>
      <c r="BM12" t="s">
        <v>141</v>
      </c>
      <c r="BN12" t="str">
        <f t="shared" si="16"/>
        <v>-</v>
      </c>
      <c r="BO12" t="s">
        <v>140</v>
      </c>
      <c r="BP12" t="str">
        <f t="shared" si="17"/>
        <v>-</v>
      </c>
      <c r="BQ12" t="s">
        <v>140</v>
      </c>
    </row>
    <row r="13" spans="1:69" x14ac:dyDescent="0.4">
      <c r="A13" s="46">
        <v>10</v>
      </c>
      <c r="B13" s="3">
        <v>10</v>
      </c>
      <c r="C13" s="4" t="s">
        <v>75</v>
      </c>
      <c r="D13" s="4" t="str">
        <f t="shared" si="4"/>
        <v>J347MF</v>
      </c>
      <c r="E13" s="4" t="s">
        <v>75</v>
      </c>
      <c r="F13" s="4" t="s">
        <v>112</v>
      </c>
      <c r="G13" s="5">
        <v>4979652394392</v>
      </c>
      <c r="H13" s="5"/>
      <c r="I13" s="5"/>
      <c r="J13" s="5">
        <v>1</v>
      </c>
      <c r="K13" s="5">
        <v>1</v>
      </c>
      <c r="L13" s="4">
        <v>0</v>
      </c>
      <c r="M13" s="4">
        <v>11721</v>
      </c>
      <c r="N13" s="4">
        <v>9309</v>
      </c>
      <c r="O13" s="6">
        <f t="shared" si="5"/>
        <v>0.20578448937803939</v>
      </c>
      <c r="P13" s="4" t="s">
        <v>141</v>
      </c>
      <c r="Q13" s="4"/>
      <c r="R13" s="4"/>
      <c r="S13" s="4"/>
      <c r="T13" s="4"/>
      <c r="U13" s="4"/>
      <c r="V13" s="4"/>
      <c r="W13" s="4"/>
      <c r="X13" s="4"/>
      <c r="Y13" s="4">
        <v>0</v>
      </c>
      <c r="Z13" s="4">
        <f t="shared" si="6"/>
        <v>0</v>
      </c>
      <c r="AA13" s="4">
        <v>12101</v>
      </c>
      <c r="AB13" s="4">
        <f t="shared" si="7"/>
        <v>12101</v>
      </c>
      <c r="AC13" s="4"/>
      <c r="AD13" s="21">
        <f t="shared" si="0"/>
        <v>15236</v>
      </c>
      <c r="AE13" s="6">
        <f t="shared" si="8"/>
        <v>0.20576266736676296</v>
      </c>
      <c r="AF13" s="33">
        <v>0</v>
      </c>
      <c r="AG13" s="4" t="str">
        <f t="shared" si="9"/>
        <v>-</v>
      </c>
      <c r="AH13" s="33" t="str">
        <f t="shared" si="10"/>
        <v>-</v>
      </c>
      <c r="AI13" s="6" t="str">
        <f t="shared" si="11"/>
        <v>-</v>
      </c>
      <c r="AJ13" s="33">
        <f t="shared" si="12"/>
        <v>17300</v>
      </c>
      <c r="AK13" s="7">
        <v>17300</v>
      </c>
      <c r="AL13" s="6">
        <f t="shared" si="1"/>
        <v>0.30052023121387283</v>
      </c>
      <c r="AM13" s="47">
        <f t="shared" si="2"/>
        <v>5199</v>
      </c>
      <c r="AN13" s="28"/>
      <c r="AO13" s="6"/>
      <c r="AP13" s="6"/>
      <c r="AQ13" s="6" t="str">
        <f t="shared" si="13"/>
        <v>-</v>
      </c>
      <c r="AR13" s="6">
        <f t="shared" si="14"/>
        <v>1.4759832778773143</v>
      </c>
      <c r="AS13" s="6">
        <f t="shared" si="15"/>
        <v>1.2999248039531637</v>
      </c>
      <c r="AT13" s="4"/>
      <c r="AU13" s="4"/>
      <c r="AV13" s="4"/>
      <c r="AW13" s="4"/>
      <c r="AX13" s="4"/>
      <c r="AY13" s="4"/>
      <c r="AZ13" s="4"/>
      <c r="BA13" s="4"/>
      <c r="BB13" s="4"/>
      <c r="BC13" s="4">
        <v>0</v>
      </c>
      <c r="BD13" s="4" t="s">
        <v>140</v>
      </c>
      <c r="BE13" s="4"/>
      <c r="BF13" s="4"/>
      <c r="BG13" s="4" t="s">
        <v>140</v>
      </c>
      <c r="BH13" s="4" t="s">
        <v>140</v>
      </c>
      <c r="BI13" s="4" t="str">
        <f t="shared" si="18"/>
        <v>-</v>
      </c>
      <c r="BJ13" s="19">
        <v>2</v>
      </c>
      <c r="BK13" s="19">
        <v>8</v>
      </c>
      <c r="BL13" s="16">
        <v>18</v>
      </c>
      <c r="BM13" t="s">
        <v>141</v>
      </c>
      <c r="BN13" t="str">
        <f t="shared" si="16"/>
        <v>-</v>
      </c>
      <c r="BO13" t="s">
        <v>140</v>
      </c>
      <c r="BP13" t="str">
        <f t="shared" si="17"/>
        <v>-</v>
      </c>
      <c r="BQ13" t="s">
        <v>140</v>
      </c>
    </row>
    <row r="14" spans="1:69" x14ac:dyDescent="0.4">
      <c r="A14" s="46">
        <v>11</v>
      </c>
      <c r="B14" s="3">
        <v>11</v>
      </c>
      <c r="C14" s="4" t="s">
        <v>76</v>
      </c>
      <c r="D14" s="4" t="str">
        <f t="shared" ref="D14:D22" si="19">TEXT(C14,"000000")</f>
        <v>J348MF</v>
      </c>
      <c r="E14" s="4" t="s">
        <v>76</v>
      </c>
      <c r="F14" s="4" t="s">
        <v>113</v>
      </c>
      <c r="G14" s="5">
        <v>4979652395948</v>
      </c>
      <c r="H14" s="5"/>
      <c r="I14" s="5"/>
      <c r="J14" s="5">
        <v>1</v>
      </c>
      <c r="K14" s="5">
        <v>1</v>
      </c>
      <c r="L14" s="4">
        <v>0</v>
      </c>
      <c r="M14" s="4">
        <v>11370</v>
      </c>
      <c r="N14" s="4">
        <v>9041</v>
      </c>
      <c r="O14" s="6">
        <f t="shared" si="5"/>
        <v>0.20483729111697446</v>
      </c>
      <c r="P14" s="4" t="s">
        <v>141</v>
      </c>
      <c r="Q14" s="4"/>
      <c r="R14" s="4"/>
      <c r="S14" s="4"/>
      <c r="T14" s="4"/>
      <c r="U14" s="4"/>
      <c r="V14" s="4"/>
      <c r="W14" s="4"/>
      <c r="X14" s="4"/>
      <c r="Y14" s="4">
        <v>0</v>
      </c>
      <c r="Z14" s="4">
        <f t="shared" ref="Z14:Z22" si="20">IF(AC14="",Y14,Y14*AC14)</f>
        <v>0</v>
      </c>
      <c r="AA14" s="4">
        <v>11754</v>
      </c>
      <c r="AB14" s="4">
        <f t="shared" ref="AB14:AB22" si="21">IF(AC14="",AA14,AA14*AC14)</f>
        <v>11754</v>
      </c>
      <c r="AC14" s="4"/>
      <c r="AD14" s="21">
        <f t="shared" si="0"/>
        <v>14782</v>
      </c>
      <c r="AE14" s="6">
        <f t="shared" si="8"/>
        <v>0.20484372885942359</v>
      </c>
      <c r="AF14" s="33">
        <v>0</v>
      </c>
      <c r="AG14" s="4" t="str">
        <f t="shared" ref="AG14:AG22" si="22">BI14</f>
        <v>-</v>
      </c>
      <c r="AH14" s="33" t="str">
        <f t="shared" si="10"/>
        <v>-</v>
      </c>
      <c r="AI14" s="6" t="str">
        <f t="shared" si="11"/>
        <v>-</v>
      </c>
      <c r="AJ14" s="33">
        <f t="shared" si="12"/>
        <v>16800</v>
      </c>
      <c r="AK14" s="7">
        <v>16800</v>
      </c>
      <c r="AL14" s="6">
        <f t="shared" si="1"/>
        <v>0.30035714285714288</v>
      </c>
      <c r="AM14" s="47">
        <f t="shared" si="2"/>
        <v>5046</v>
      </c>
      <c r="AN14" s="28"/>
      <c r="AO14" s="6"/>
      <c r="AP14" s="6"/>
      <c r="AQ14" s="6" t="str">
        <f t="shared" si="13"/>
        <v>-</v>
      </c>
      <c r="AR14" s="6">
        <f t="shared" si="14"/>
        <v>1.4775725593667546</v>
      </c>
      <c r="AS14" s="6">
        <f t="shared" si="15"/>
        <v>1.3000774250635991</v>
      </c>
      <c r="AT14" s="4"/>
      <c r="AU14" s="4"/>
      <c r="AV14" s="4"/>
      <c r="AW14" s="4"/>
      <c r="AX14" s="4"/>
      <c r="AY14" s="4"/>
      <c r="AZ14" s="4"/>
      <c r="BA14" s="4"/>
      <c r="BB14" s="4"/>
      <c r="BC14" s="4">
        <v>0</v>
      </c>
      <c r="BD14" s="4" t="s">
        <v>140</v>
      </c>
      <c r="BE14" s="4"/>
      <c r="BF14" s="4"/>
      <c r="BG14" s="4" t="s">
        <v>140</v>
      </c>
      <c r="BH14" s="4" t="s">
        <v>140</v>
      </c>
      <c r="BI14" s="4" t="str">
        <f t="shared" ref="BI14:BI22" si="23">IF(BE14="",BH14,BE14/BF14*BH14)</f>
        <v>-</v>
      </c>
      <c r="BJ14" s="19">
        <v>2</v>
      </c>
      <c r="BK14" s="19">
        <v>8</v>
      </c>
      <c r="BL14" s="16">
        <v>18</v>
      </c>
      <c r="BM14" t="s">
        <v>141</v>
      </c>
      <c r="BN14" t="str">
        <f t="shared" si="16"/>
        <v>-</v>
      </c>
      <c r="BO14" t="s">
        <v>140</v>
      </c>
      <c r="BP14" t="str">
        <f t="shared" si="17"/>
        <v>-</v>
      </c>
      <c r="BQ14" t="s">
        <v>140</v>
      </c>
    </row>
    <row r="15" spans="1:69" x14ac:dyDescent="0.4">
      <c r="A15" s="46">
        <v>12</v>
      </c>
      <c r="B15" s="3">
        <v>12</v>
      </c>
      <c r="C15" s="4" t="s">
        <v>77</v>
      </c>
      <c r="D15" s="4" t="str">
        <f t="shared" si="19"/>
        <v>J349MF</v>
      </c>
      <c r="E15" s="4" t="s">
        <v>77</v>
      </c>
      <c r="F15" s="4" t="s">
        <v>114</v>
      </c>
      <c r="G15" s="5">
        <v>4979652395955</v>
      </c>
      <c r="H15" s="5"/>
      <c r="I15" s="5"/>
      <c r="J15" s="5">
        <v>1</v>
      </c>
      <c r="K15" s="5">
        <v>1</v>
      </c>
      <c r="L15" s="4">
        <v>0</v>
      </c>
      <c r="M15" s="4">
        <v>11712</v>
      </c>
      <c r="N15" s="4">
        <v>9300</v>
      </c>
      <c r="O15" s="6">
        <f t="shared" si="5"/>
        <v>0.20594262295081966</v>
      </c>
      <c r="P15" s="4" t="s">
        <v>141</v>
      </c>
      <c r="Q15" s="4"/>
      <c r="R15" s="4"/>
      <c r="S15" s="4"/>
      <c r="T15" s="4"/>
      <c r="U15" s="4"/>
      <c r="V15" s="4"/>
      <c r="W15" s="4"/>
      <c r="X15" s="4"/>
      <c r="Y15" s="4">
        <v>0</v>
      </c>
      <c r="Z15" s="4">
        <f t="shared" si="20"/>
        <v>0</v>
      </c>
      <c r="AA15" s="4">
        <v>12090</v>
      </c>
      <c r="AB15" s="4">
        <f t="shared" si="21"/>
        <v>12090</v>
      </c>
      <c r="AC15" s="4"/>
      <c r="AD15" s="21">
        <f t="shared" si="0"/>
        <v>15226</v>
      </c>
      <c r="AE15" s="6">
        <f t="shared" si="8"/>
        <v>0.20596348351504001</v>
      </c>
      <c r="AF15" s="33">
        <v>0</v>
      </c>
      <c r="AG15" s="4" t="str">
        <f t="shared" si="22"/>
        <v>-</v>
      </c>
      <c r="AH15" s="33" t="str">
        <f t="shared" si="10"/>
        <v>-</v>
      </c>
      <c r="AI15" s="6" t="str">
        <f t="shared" si="11"/>
        <v>-</v>
      </c>
      <c r="AJ15" s="33">
        <f t="shared" si="12"/>
        <v>17300</v>
      </c>
      <c r="AK15" s="7">
        <v>17300</v>
      </c>
      <c r="AL15" s="6">
        <f t="shared" si="1"/>
        <v>0.30115606936416184</v>
      </c>
      <c r="AM15" s="47">
        <f t="shared" si="2"/>
        <v>5210</v>
      </c>
      <c r="AN15" s="28"/>
      <c r="AO15" s="6"/>
      <c r="AP15" s="6"/>
      <c r="AQ15" s="6" t="str">
        <f t="shared" si="13"/>
        <v>-</v>
      </c>
      <c r="AR15" s="6">
        <f t="shared" si="14"/>
        <v>1.4771174863387979</v>
      </c>
      <c r="AS15" s="6">
        <f t="shared" si="15"/>
        <v>1.3</v>
      </c>
      <c r="AT15" s="4"/>
      <c r="AU15" s="4"/>
      <c r="AV15" s="4"/>
      <c r="AW15" s="4"/>
      <c r="AX15" s="4"/>
      <c r="AY15" s="4"/>
      <c r="AZ15" s="4"/>
      <c r="BA15" s="4"/>
      <c r="BB15" s="4"/>
      <c r="BC15" s="4">
        <v>0</v>
      </c>
      <c r="BD15" s="4" t="s">
        <v>140</v>
      </c>
      <c r="BE15" s="4"/>
      <c r="BF15" s="4"/>
      <c r="BG15" s="4" t="s">
        <v>140</v>
      </c>
      <c r="BH15" s="4" t="s">
        <v>140</v>
      </c>
      <c r="BI15" s="4" t="str">
        <f t="shared" si="23"/>
        <v>-</v>
      </c>
      <c r="BJ15" s="19">
        <v>2</v>
      </c>
      <c r="BK15" s="19">
        <v>8</v>
      </c>
      <c r="BL15" s="16">
        <v>18</v>
      </c>
      <c r="BM15" t="s">
        <v>141</v>
      </c>
      <c r="BN15" t="str">
        <f t="shared" si="16"/>
        <v>-</v>
      </c>
      <c r="BO15" t="s">
        <v>140</v>
      </c>
      <c r="BP15" t="str">
        <f t="shared" si="17"/>
        <v>-</v>
      </c>
      <c r="BQ15" t="s">
        <v>140</v>
      </c>
    </row>
    <row r="16" spans="1:69" x14ac:dyDescent="0.4">
      <c r="A16" s="46">
        <v>13</v>
      </c>
      <c r="B16" s="3">
        <v>13</v>
      </c>
      <c r="C16" s="4" t="s">
        <v>78</v>
      </c>
      <c r="D16" s="4" t="str">
        <f t="shared" si="19"/>
        <v>J350MF</v>
      </c>
      <c r="E16" s="4" t="s">
        <v>78</v>
      </c>
      <c r="F16" s="4" t="s">
        <v>115</v>
      </c>
      <c r="G16" s="5">
        <v>4979652395962</v>
      </c>
      <c r="H16" s="5"/>
      <c r="I16" s="5"/>
      <c r="J16" s="5">
        <v>1</v>
      </c>
      <c r="K16" s="5">
        <v>1</v>
      </c>
      <c r="L16" s="4">
        <v>0</v>
      </c>
      <c r="M16" s="4">
        <v>12676</v>
      </c>
      <c r="N16" s="4">
        <v>10681</v>
      </c>
      <c r="O16" s="6">
        <f t="shared" si="5"/>
        <v>0.15738403281792368</v>
      </c>
      <c r="P16" s="4" t="s">
        <v>141</v>
      </c>
      <c r="Q16" s="4"/>
      <c r="R16" s="4"/>
      <c r="S16" s="4"/>
      <c r="T16" s="4"/>
      <c r="U16" s="4"/>
      <c r="V16" s="4"/>
      <c r="W16" s="4"/>
      <c r="X16" s="4"/>
      <c r="Y16" s="4">
        <v>0</v>
      </c>
      <c r="Z16" s="4">
        <f t="shared" si="20"/>
        <v>0</v>
      </c>
      <c r="AA16" s="4">
        <v>13886</v>
      </c>
      <c r="AB16" s="4">
        <f t="shared" si="21"/>
        <v>13886</v>
      </c>
      <c r="AC16" s="4"/>
      <c r="AD16" s="21">
        <f t="shared" si="0"/>
        <v>16480</v>
      </c>
      <c r="AE16" s="6">
        <f t="shared" si="8"/>
        <v>0.15740291262135919</v>
      </c>
      <c r="AF16" s="33">
        <v>0</v>
      </c>
      <c r="AG16" s="4" t="str">
        <f t="shared" si="22"/>
        <v>-</v>
      </c>
      <c r="AH16" s="33" t="str">
        <f t="shared" si="10"/>
        <v>-</v>
      </c>
      <c r="AI16" s="6" t="str">
        <f t="shared" si="11"/>
        <v>-</v>
      </c>
      <c r="AJ16" s="33">
        <f t="shared" si="12"/>
        <v>19800</v>
      </c>
      <c r="AK16" s="7">
        <v>19800</v>
      </c>
      <c r="AL16" s="6">
        <f t="shared" si="1"/>
        <v>0.29868686868686867</v>
      </c>
      <c r="AM16" s="47">
        <f t="shared" si="2"/>
        <v>5914</v>
      </c>
      <c r="AN16" s="28"/>
      <c r="AO16" s="6"/>
      <c r="AP16" s="6"/>
      <c r="AQ16" s="6" t="str">
        <f t="shared" si="13"/>
        <v>-</v>
      </c>
      <c r="AR16" s="6">
        <f t="shared" si="14"/>
        <v>1.5620069422530767</v>
      </c>
      <c r="AS16" s="6">
        <f t="shared" si="15"/>
        <v>1.300065536934744</v>
      </c>
      <c r="AT16" s="4"/>
      <c r="AU16" s="4"/>
      <c r="AV16" s="4"/>
      <c r="AW16" s="4"/>
      <c r="AX16" s="4"/>
      <c r="AY16" s="4"/>
      <c r="AZ16" s="4"/>
      <c r="BA16" s="4"/>
      <c r="BB16" s="4"/>
      <c r="BC16" s="4">
        <v>0</v>
      </c>
      <c r="BD16" s="4" t="s">
        <v>140</v>
      </c>
      <c r="BE16" s="4"/>
      <c r="BF16" s="4"/>
      <c r="BG16" s="4" t="s">
        <v>140</v>
      </c>
      <c r="BH16" s="4" t="s">
        <v>140</v>
      </c>
      <c r="BI16" s="4" t="str">
        <f t="shared" si="23"/>
        <v>-</v>
      </c>
      <c r="BJ16" s="19">
        <v>2</v>
      </c>
      <c r="BK16" s="19">
        <v>8</v>
      </c>
      <c r="BL16" s="16">
        <v>18</v>
      </c>
      <c r="BM16" t="s">
        <v>141</v>
      </c>
      <c r="BN16" t="str">
        <f t="shared" si="16"/>
        <v>-</v>
      </c>
      <c r="BO16" t="s">
        <v>140</v>
      </c>
      <c r="BP16" t="str">
        <f t="shared" si="17"/>
        <v>-</v>
      </c>
      <c r="BQ16" t="s">
        <v>140</v>
      </c>
    </row>
    <row r="17" spans="1:69" x14ac:dyDescent="0.4">
      <c r="A17" s="46">
        <v>14</v>
      </c>
      <c r="B17" s="3">
        <v>14</v>
      </c>
      <c r="C17" s="4" t="s">
        <v>79</v>
      </c>
      <c r="D17" s="4" t="str">
        <f t="shared" si="19"/>
        <v>J352MF</v>
      </c>
      <c r="E17" s="4" t="s">
        <v>79</v>
      </c>
      <c r="F17" s="4" t="s">
        <v>116</v>
      </c>
      <c r="G17" s="5">
        <v>4979652395979</v>
      </c>
      <c r="H17" s="5"/>
      <c r="I17" s="5"/>
      <c r="J17" s="5">
        <v>1</v>
      </c>
      <c r="K17" s="5">
        <v>1</v>
      </c>
      <c r="L17" s="4">
        <v>0</v>
      </c>
      <c r="M17" s="4">
        <v>10854</v>
      </c>
      <c r="N17" s="4">
        <v>9392</v>
      </c>
      <c r="O17" s="6">
        <f t="shared" si="5"/>
        <v>0.13469688594066709</v>
      </c>
      <c r="P17" s="4" t="s">
        <v>141</v>
      </c>
      <c r="Q17" s="4"/>
      <c r="R17" s="4"/>
      <c r="S17" s="4"/>
      <c r="T17" s="4"/>
      <c r="U17" s="4"/>
      <c r="V17" s="4"/>
      <c r="W17" s="4"/>
      <c r="X17" s="4"/>
      <c r="Y17" s="4">
        <v>0</v>
      </c>
      <c r="Z17" s="4">
        <f t="shared" si="20"/>
        <v>0</v>
      </c>
      <c r="AA17" s="4">
        <v>12210</v>
      </c>
      <c r="AB17" s="4">
        <f t="shared" si="21"/>
        <v>12210</v>
      </c>
      <c r="AC17" s="4"/>
      <c r="AD17" s="21">
        <f t="shared" si="0"/>
        <v>14111</v>
      </c>
      <c r="AE17" s="6">
        <f t="shared" si="8"/>
        <v>0.13471759620154489</v>
      </c>
      <c r="AF17" s="33">
        <v>0</v>
      </c>
      <c r="AG17" s="4" t="str">
        <f t="shared" si="22"/>
        <v>-</v>
      </c>
      <c r="AH17" s="33" t="str">
        <f t="shared" si="10"/>
        <v>-</v>
      </c>
      <c r="AI17" s="6" t="str">
        <f t="shared" si="11"/>
        <v>-</v>
      </c>
      <c r="AJ17" s="33">
        <f t="shared" si="12"/>
        <v>17400</v>
      </c>
      <c r="AK17" s="7">
        <v>17400</v>
      </c>
      <c r="AL17" s="6">
        <f t="shared" si="1"/>
        <v>0.2982758620689655</v>
      </c>
      <c r="AM17" s="47">
        <f t="shared" si="2"/>
        <v>5190</v>
      </c>
      <c r="AN17" s="28"/>
      <c r="AO17" s="6"/>
      <c r="AP17" s="6"/>
      <c r="AQ17" s="6" t="str">
        <f t="shared" si="13"/>
        <v>-</v>
      </c>
      <c r="AR17" s="6">
        <f t="shared" si="14"/>
        <v>1.6030956329463792</v>
      </c>
      <c r="AS17" s="6">
        <f t="shared" si="15"/>
        <v>1.3000425894378194</v>
      </c>
      <c r="AT17" s="4"/>
      <c r="AU17" s="4"/>
      <c r="AV17" s="4"/>
      <c r="AW17" s="4"/>
      <c r="AX17" s="4"/>
      <c r="AY17" s="4"/>
      <c r="AZ17" s="4"/>
      <c r="BA17" s="4"/>
      <c r="BB17" s="4"/>
      <c r="BC17" s="4">
        <v>0</v>
      </c>
      <c r="BD17" s="4" t="s">
        <v>140</v>
      </c>
      <c r="BE17" s="4"/>
      <c r="BF17" s="4"/>
      <c r="BG17" s="4" t="s">
        <v>140</v>
      </c>
      <c r="BH17" s="4" t="s">
        <v>140</v>
      </c>
      <c r="BI17" s="4" t="str">
        <f t="shared" si="23"/>
        <v>-</v>
      </c>
      <c r="BJ17" s="19">
        <v>2</v>
      </c>
      <c r="BK17" s="19">
        <v>8</v>
      </c>
      <c r="BL17" s="16">
        <v>18</v>
      </c>
      <c r="BM17" t="s">
        <v>141</v>
      </c>
      <c r="BN17" t="str">
        <f t="shared" si="16"/>
        <v>-</v>
      </c>
      <c r="BO17">
        <v>14238</v>
      </c>
      <c r="BP17">
        <f t="shared" si="17"/>
        <v>18510.006388415673</v>
      </c>
      <c r="BQ17" t="s">
        <v>140</v>
      </c>
    </row>
    <row r="18" spans="1:69" x14ac:dyDescent="0.4">
      <c r="A18" s="46">
        <v>15</v>
      </c>
      <c r="B18" s="3">
        <v>15</v>
      </c>
      <c r="C18" s="4" t="s">
        <v>80</v>
      </c>
      <c r="D18" s="4" t="str">
        <f t="shared" si="19"/>
        <v>J353MF</v>
      </c>
      <c r="E18" s="4" t="s">
        <v>80</v>
      </c>
      <c r="F18" s="4" t="s">
        <v>117</v>
      </c>
      <c r="G18" s="5">
        <v>4979652395986</v>
      </c>
      <c r="H18" s="5"/>
      <c r="I18" s="5"/>
      <c r="J18" s="5">
        <v>1</v>
      </c>
      <c r="K18" s="5">
        <v>1</v>
      </c>
      <c r="L18" s="4">
        <v>0</v>
      </c>
      <c r="M18" s="4">
        <v>13198</v>
      </c>
      <c r="N18" s="4">
        <v>10794</v>
      </c>
      <c r="O18" s="6">
        <f t="shared" si="5"/>
        <v>0.18214881042582209</v>
      </c>
      <c r="P18" s="4" t="s">
        <v>141</v>
      </c>
      <c r="Q18" s="4"/>
      <c r="R18" s="4"/>
      <c r="S18" s="4"/>
      <c r="T18" s="4"/>
      <c r="U18" s="4"/>
      <c r="V18" s="4"/>
      <c r="W18" s="4"/>
      <c r="X18" s="4"/>
      <c r="Y18" s="4">
        <v>0</v>
      </c>
      <c r="Z18" s="4">
        <f t="shared" si="20"/>
        <v>0</v>
      </c>
      <c r="AA18" s="4">
        <v>14034</v>
      </c>
      <c r="AB18" s="4">
        <f t="shared" si="21"/>
        <v>14034</v>
      </c>
      <c r="AC18" s="4"/>
      <c r="AD18" s="21">
        <f t="shared" si="0"/>
        <v>17160</v>
      </c>
      <c r="AE18" s="6">
        <f t="shared" si="8"/>
        <v>0.18216783216783217</v>
      </c>
      <c r="AF18" s="33">
        <v>0</v>
      </c>
      <c r="AG18" s="4" t="str">
        <f t="shared" si="22"/>
        <v>-</v>
      </c>
      <c r="AH18" s="33" t="str">
        <f t="shared" si="10"/>
        <v>-</v>
      </c>
      <c r="AI18" s="6" t="str">
        <f t="shared" si="11"/>
        <v>-</v>
      </c>
      <c r="AJ18" s="33">
        <f t="shared" si="12"/>
        <v>20000</v>
      </c>
      <c r="AK18" s="7">
        <v>20000</v>
      </c>
      <c r="AL18" s="6">
        <f t="shared" si="1"/>
        <v>0.29830000000000001</v>
      </c>
      <c r="AM18" s="47">
        <f t="shared" si="2"/>
        <v>5966</v>
      </c>
      <c r="AN18" s="28"/>
      <c r="AO18" s="6"/>
      <c r="AP18" s="6"/>
      <c r="AQ18" s="6" t="str">
        <f t="shared" si="13"/>
        <v>-</v>
      </c>
      <c r="AR18" s="6">
        <f t="shared" si="14"/>
        <v>1.5153811183512653</v>
      </c>
      <c r="AS18" s="6">
        <f t="shared" si="15"/>
        <v>1.3001667593107282</v>
      </c>
      <c r="AT18" s="4"/>
      <c r="AU18" s="4"/>
      <c r="AV18" s="4"/>
      <c r="AW18" s="4"/>
      <c r="AX18" s="4"/>
      <c r="AY18" s="4"/>
      <c r="AZ18" s="4"/>
      <c r="BA18" s="4"/>
      <c r="BB18" s="4"/>
      <c r="BC18" s="4">
        <v>0</v>
      </c>
      <c r="BD18" s="4" t="s">
        <v>140</v>
      </c>
      <c r="BE18" s="4"/>
      <c r="BF18" s="4"/>
      <c r="BG18" s="4" t="s">
        <v>140</v>
      </c>
      <c r="BH18" s="4" t="s">
        <v>140</v>
      </c>
      <c r="BI18" s="4" t="str">
        <f t="shared" si="23"/>
        <v>-</v>
      </c>
      <c r="BJ18" s="19">
        <v>2</v>
      </c>
      <c r="BK18" s="19">
        <v>8</v>
      </c>
      <c r="BL18" s="16">
        <v>18</v>
      </c>
      <c r="BM18" t="s">
        <v>141</v>
      </c>
      <c r="BN18" t="str">
        <f t="shared" si="16"/>
        <v>-</v>
      </c>
      <c r="BO18" t="s">
        <v>140</v>
      </c>
      <c r="BP18" t="str">
        <f t="shared" si="17"/>
        <v>-</v>
      </c>
      <c r="BQ18" t="s">
        <v>140</v>
      </c>
    </row>
    <row r="19" spans="1:69" x14ac:dyDescent="0.4">
      <c r="A19" s="46">
        <v>16</v>
      </c>
      <c r="B19" s="3">
        <v>16</v>
      </c>
      <c r="C19" s="4" t="s">
        <v>81</v>
      </c>
      <c r="D19" s="4" t="str">
        <f t="shared" si="19"/>
        <v>J354MF</v>
      </c>
      <c r="E19" s="4" t="s">
        <v>81</v>
      </c>
      <c r="F19" s="4" t="s">
        <v>118</v>
      </c>
      <c r="G19" s="5">
        <v>4979652395993</v>
      </c>
      <c r="H19" s="5"/>
      <c r="I19" s="5"/>
      <c r="J19" s="5">
        <v>1</v>
      </c>
      <c r="K19" s="5">
        <v>1</v>
      </c>
      <c r="L19" s="4">
        <v>0</v>
      </c>
      <c r="M19" s="4">
        <v>12340</v>
      </c>
      <c r="N19" s="4">
        <v>10406</v>
      </c>
      <c r="O19" s="6">
        <f t="shared" si="5"/>
        <v>0.15672609400324145</v>
      </c>
      <c r="P19" s="4" t="s">
        <v>141</v>
      </c>
      <c r="Q19" s="4"/>
      <c r="R19" s="4"/>
      <c r="S19" s="4"/>
      <c r="T19" s="4"/>
      <c r="U19" s="4"/>
      <c r="V19" s="4"/>
      <c r="W19" s="4"/>
      <c r="X19" s="4"/>
      <c r="Y19" s="4">
        <v>0</v>
      </c>
      <c r="Z19" s="4">
        <f t="shared" si="20"/>
        <v>0</v>
      </c>
      <c r="AA19" s="4">
        <v>13528</v>
      </c>
      <c r="AB19" s="4">
        <f t="shared" si="21"/>
        <v>13528</v>
      </c>
      <c r="AC19" s="4"/>
      <c r="AD19" s="21">
        <f t="shared" si="0"/>
        <v>16042</v>
      </c>
      <c r="AE19" s="6">
        <f t="shared" si="8"/>
        <v>0.15671362672983413</v>
      </c>
      <c r="AF19" s="33">
        <v>0</v>
      </c>
      <c r="AG19" s="4" t="str">
        <f t="shared" si="22"/>
        <v>-</v>
      </c>
      <c r="AH19" s="33" t="str">
        <f t="shared" si="10"/>
        <v>-</v>
      </c>
      <c r="AI19" s="6" t="str">
        <f t="shared" si="11"/>
        <v>-</v>
      </c>
      <c r="AJ19" s="33">
        <f t="shared" si="12"/>
        <v>19300</v>
      </c>
      <c r="AK19" s="7">
        <v>19300</v>
      </c>
      <c r="AL19" s="6">
        <f t="shared" si="1"/>
        <v>0.29906735751295332</v>
      </c>
      <c r="AM19" s="47">
        <f t="shared" si="2"/>
        <v>5772</v>
      </c>
      <c r="AN19" s="28"/>
      <c r="AO19" s="6"/>
      <c r="AP19" s="6"/>
      <c r="AQ19" s="6" t="str">
        <f t="shared" si="13"/>
        <v>-</v>
      </c>
      <c r="AR19" s="6">
        <f t="shared" si="14"/>
        <v>1.5640194489465153</v>
      </c>
      <c r="AS19" s="6">
        <f t="shared" si="15"/>
        <v>1.3000192196809532</v>
      </c>
      <c r="AT19" s="4"/>
      <c r="AU19" s="4"/>
      <c r="AV19" s="4"/>
      <c r="AW19" s="4"/>
      <c r="AX19" s="4"/>
      <c r="AY19" s="4"/>
      <c r="AZ19" s="4"/>
      <c r="BA19" s="4"/>
      <c r="BB19" s="4"/>
      <c r="BC19" s="4">
        <v>0</v>
      </c>
      <c r="BD19" s="4" t="s">
        <v>140</v>
      </c>
      <c r="BE19" s="4"/>
      <c r="BF19" s="4"/>
      <c r="BG19" s="4" t="s">
        <v>140</v>
      </c>
      <c r="BH19" s="4" t="s">
        <v>140</v>
      </c>
      <c r="BI19" s="4" t="str">
        <f t="shared" si="23"/>
        <v>-</v>
      </c>
      <c r="BJ19" s="19">
        <v>2</v>
      </c>
      <c r="BK19" s="19">
        <v>8</v>
      </c>
      <c r="BL19" s="16">
        <v>18</v>
      </c>
      <c r="BM19" t="s">
        <v>141</v>
      </c>
      <c r="BN19" t="str">
        <f t="shared" si="16"/>
        <v>-</v>
      </c>
      <c r="BO19" t="s">
        <v>140</v>
      </c>
      <c r="BP19" t="str">
        <f t="shared" si="17"/>
        <v>-</v>
      </c>
      <c r="BQ19" t="s">
        <v>140</v>
      </c>
    </row>
    <row r="20" spans="1:69" x14ac:dyDescent="0.4">
      <c r="A20" s="46">
        <v>17</v>
      </c>
      <c r="B20" s="3">
        <v>17</v>
      </c>
      <c r="C20" s="4" t="s">
        <v>82</v>
      </c>
      <c r="D20" s="4" t="str">
        <f t="shared" si="19"/>
        <v>J355MF</v>
      </c>
      <c r="E20" s="4" t="s">
        <v>82</v>
      </c>
      <c r="F20" s="4" t="s">
        <v>119</v>
      </c>
      <c r="G20" s="5">
        <v>4979652396013</v>
      </c>
      <c r="H20" s="5"/>
      <c r="I20" s="5"/>
      <c r="J20" s="5">
        <v>1</v>
      </c>
      <c r="K20" s="5">
        <v>1</v>
      </c>
      <c r="L20" s="4">
        <v>0</v>
      </c>
      <c r="M20" s="4">
        <v>12340</v>
      </c>
      <c r="N20" s="4">
        <v>10406</v>
      </c>
      <c r="O20" s="6">
        <f t="shared" si="5"/>
        <v>0.15672609400324145</v>
      </c>
      <c r="P20" s="4" t="s">
        <v>141</v>
      </c>
      <c r="Q20" s="4"/>
      <c r="R20" s="4"/>
      <c r="S20" s="4"/>
      <c r="T20" s="4"/>
      <c r="U20" s="4"/>
      <c r="V20" s="4"/>
      <c r="W20" s="4"/>
      <c r="X20" s="4"/>
      <c r="Y20" s="4">
        <v>0</v>
      </c>
      <c r="Z20" s="4">
        <f t="shared" si="20"/>
        <v>0</v>
      </c>
      <c r="AA20" s="4">
        <v>13528</v>
      </c>
      <c r="AB20" s="4">
        <f t="shared" si="21"/>
        <v>13528</v>
      </c>
      <c r="AC20" s="4"/>
      <c r="AD20" s="21">
        <f t="shared" si="0"/>
        <v>16042</v>
      </c>
      <c r="AE20" s="6">
        <f t="shared" si="8"/>
        <v>0.15671362672983413</v>
      </c>
      <c r="AF20" s="33">
        <v>0</v>
      </c>
      <c r="AG20" s="4" t="str">
        <f t="shared" si="22"/>
        <v>-</v>
      </c>
      <c r="AH20" s="33" t="str">
        <f t="shared" si="10"/>
        <v>-</v>
      </c>
      <c r="AI20" s="6" t="str">
        <f t="shared" si="11"/>
        <v>-</v>
      </c>
      <c r="AJ20" s="33">
        <f t="shared" si="12"/>
        <v>19300</v>
      </c>
      <c r="AK20" s="7">
        <v>19300</v>
      </c>
      <c r="AL20" s="6">
        <f t="shared" si="1"/>
        <v>0.29906735751295332</v>
      </c>
      <c r="AM20" s="47">
        <f t="shared" si="2"/>
        <v>5772</v>
      </c>
      <c r="AN20" s="28"/>
      <c r="AO20" s="6"/>
      <c r="AP20" s="6"/>
      <c r="AQ20" s="6" t="str">
        <f t="shared" si="13"/>
        <v>-</v>
      </c>
      <c r="AR20" s="6">
        <f t="shared" si="14"/>
        <v>1.5640194489465153</v>
      </c>
      <c r="AS20" s="6">
        <f t="shared" si="15"/>
        <v>1.3000192196809532</v>
      </c>
      <c r="AT20" s="4"/>
      <c r="AU20" s="4"/>
      <c r="AV20" s="4"/>
      <c r="AW20" s="4"/>
      <c r="AX20" s="4"/>
      <c r="AY20" s="4"/>
      <c r="AZ20" s="4"/>
      <c r="BA20" s="4"/>
      <c r="BB20" s="4"/>
      <c r="BC20" s="4">
        <v>0</v>
      </c>
      <c r="BD20" s="4" t="s">
        <v>140</v>
      </c>
      <c r="BE20" s="4"/>
      <c r="BF20" s="4"/>
      <c r="BG20" s="4" t="s">
        <v>140</v>
      </c>
      <c r="BH20" s="4" t="s">
        <v>140</v>
      </c>
      <c r="BI20" s="4" t="str">
        <f t="shared" si="23"/>
        <v>-</v>
      </c>
      <c r="BJ20" s="19">
        <v>2</v>
      </c>
      <c r="BK20" s="19">
        <v>8</v>
      </c>
      <c r="BL20" s="16">
        <v>18</v>
      </c>
      <c r="BM20" t="s">
        <v>141</v>
      </c>
      <c r="BN20" t="str">
        <f t="shared" si="16"/>
        <v>-</v>
      </c>
      <c r="BO20" t="s">
        <v>140</v>
      </c>
      <c r="BP20" t="str">
        <f t="shared" si="17"/>
        <v>-</v>
      </c>
      <c r="BQ20" t="s">
        <v>140</v>
      </c>
    </row>
    <row r="21" spans="1:69" x14ac:dyDescent="0.4">
      <c r="A21" s="46">
        <v>18</v>
      </c>
      <c r="B21" s="3">
        <v>18</v>
      </c>
      <c r="C21" s="4" t="s">
        <v>83</v>
      </c>
      <c r="D21" s="4" t="str">
        <f t="shared" si="19"/>
        <v>J358MF</v>
      </c>
      <c r="E21" s="4" t="s">
        <v>83</v>
      </c>
      <c r="F21" s="4" t="s">
        <v>120</v>
      </c>
      <c r="G21" s="5">
        <v>4979652396020</v>
      </c>
      <c r="H21" s="5"/>
      <c r="I21" s="5"/>
      <c r="J21" s="5">
        <v>1</v>
      </c>
      <c r="K21" s="5">
        <v>1</v>
      </c>
      <c r="L21" s="4">
        <v>0</v>
      </c>
      <c r="M21" s="4">
        <v>13508</v>
      </c>
      <c r="N21" s="4">
        <v>11656</v>
      </c>
      <c r="O21" s="6">
        <f t="shared" si="5"/>
        <v>0.13710393840686996</v>
      </c>
      <c r="P21" s="4" t="s">
        <v>141</v>
      </c>
      <c r="Q21" s="4"/>
      <c r="R21" s="4"/>
      <c r="S21" s="4"/>
      <c r="T21" s="4"/>
      <c r="U21" s="4"/>
      <c r="V21" s="4"/>
      <c r="W21" s="4"/>
      <c r="X21" s="4"/>
      <c r="Y21" s="4">
        <v>0</v>
      </c>
      <c r="Z21" s="4">
        <f t="shared" si="20"/>
        <v>0</v>
      </c>
      <c r="AA21" s="4">
        <v>15153</v>
      </c>
      <c r="AB21" s="4">
        <f t="shared" si="21"/>
        <v>15153</v>
      </c>
      <c r="AC21" s="4"/>
      <c r="AD21" s="21">
        <f t="shared" si="0"/>
        <v>17561</v>
      </c>
      <c r="AE21" s="6">
        <f t="shared" si="8"/>
        <v>0.13712203177495585</v>
      </c>
      <c r="AF21" s="33">
        <v>0</v>
      </c>
      <c r="AG21" s="4" t="str">
        <f t="shared" si="22"/>
        <v>-</v>
      </c>
      <c r="AH21" s="33" t="str">
        <f t="shared" si="10"/>
        <v>-</v>
      </c>
      <c r="AI21" s="6" t="str">
        <f t="shared" si="11"/>
        <v>-</v>
      </c>
      <c r="AJ21" s="33">
        <f t="shared" si="12"/>
        <v>21600</v>
      </c>
      <c r="AK21" s="7">
        <v>21600</v>
      </c>
      <c r="AL21" s="6">
        <f t="shared" si="1"/>
        <v>0.29847222222222225</v>
      </c>
      <c r="AM21" s="47">
        <f t="shared" si="2"/>
        <v>6447</v>
      </c>
      <c r="AN21" s="28"/>
      <c r="AO21" s="6"/>
      <c r="AP21" s="6"/>
      <c r="AQ21" s="6" t="str">
        <f t="shared" si="13"/>
        <v>-</v>
      </c>
      <c r="AR21" s="6">
        <f t="shared" si="14"/>
        <v>1.5990524133846609</v>
      </c>
      <c r="AS21" s="6">
        <f t="shared" si="15"/>
        <v>1.3000171585449554</v>
      </c>
      <c r="AT21" s="4"/>
      <c r="AU21" s="4"/>
      <c r="AV21" s="4"/>
      <c r="AW21" s="4"/>
      <c r="AX21" s="4"/>
      <c r="AY21" s="4"/>
      <c r="AZ21" s="4"/>
      <c r="BA21" s="4"/>
      <c r="BB21" s="4"/>
      <c r="BC21" s="4">
        <v>0</v>
      </c>
      <c r="BD21" s="4" t="s">
        <v>140</v>
      </c>
      <c r="BE21" s="4"/>
      <c r="BF21" s="4"/>
      <c r="BG21" s="4" t="s">
        <v>140</v>
      </c>
      <c r="BH21" s="4" t="s">
        <v>140</v>
      </c>
      <c r="BI21" s="4" t="str">
        <f t="shared" si="23"/>
        <v>-</v>
      </c>
      <c r="BJ21" s="19">
        <v>2</v>
      </c>
      <c r="BK21" s="19">
        <v>8</v>
      </c>
      <c r="BL21" s="16">
        <v>18</v>
      </c>
      <c r="BM21" t="s">
        <v>141</v>
      </c>
      <c r="BN21" t="str">
        <f t="shared" si="16"/>
        <v>-</v>
      </c>
      <c r="BO21">
        <v>17665</v>
      </c>
      <c r="BP21">
        <f t="shared" si="17"/>
        <v>22964.803105696636</v>
      </c>
      <c r="BQ21" t="s">
        <v>140</v>
      </c>
    </row>
    <row r="22" spans="1:69" x14ac:dyDescent="0.4">
      <c r="A22" s="46">
        <v>19</v>
      </c>
      <c r="B22" s="3">
        <v>19</v>
      </c>
      <c r="C22" s="4" t="s">
        <v>84</v>
      </c>
      <c r="D22" s="4" t="str">
        <f t="shared" si="19"/>
        <v>J356MF</v>
      </c>
      <c r="E22" s="4" t="s">
        <v>84</v>
      </c>
      <c r="F22" s="4" t="s">
        <v>121</v>
      </c>
      <c r="G22" s="5">
        <v>4979652396037</v>
      </c>
      <c r="H22" s="5"/>
      <c r="I22" s="5"/>
      <c r="J22" s="5">
        <v>1</v>
      </c>
      <c r="K22" s="5">
        <v>1</v>
      </c>
      <c r="L22" s="4">
        <v>0</v>
      </c>
      <c r="M22" s="4">
        <v>13858</v>
      </c>
      <c r="N22" s="4">
        <v>11656</v>
      </c>
      <c r="O22" s="6">
        <f t="shared" si="5"/>
        <v>0.15889738779044593</v>
      </c>
      <c r="P22" s="4" t="s">
        <v>141</v>
      </c>
      <c r="Q22" s="4"/>
      <c r="R22" s="4"/>
      <c r="S22" s="4"/>
      <c r="T22" s="4"/>
      <c r="U22" s="4"/>
      <c r="V22" s="4"/>
      <c r="W22" s="4"/>
      <c r="X22" s="4"/>
      <c r="Y22" s="4">
        <v>0</v>
      </c>
      <c r="Z22" s="4">
        <f t="shared" si="20"/>
        <v>0</v>
      </c>
      <c r="AA22" s="4">
        <v>15153</v>
      </c>
      <c r="AB22" s="4">
        <f t="shared" si="21"/>
        <v>15153</v>
      </c>
      <c r="AC22" s="4"/>
      <c r="AD22" s="21">
        <f t="shared" si="0"/>
        <v>18016</v>
      </c>
      <c r="AE22" s="6">
        <f t="shared" si="8"/>
        <v>0.15891429840142091</v>
      </c>
      <c r="AF22" s="33">
        <v>0</v>
      </c>
      <c r="AG22" s="4" t="str">
        <f t="shared" si="22"/>
        <v>-</v>
      </c>
      <c r="AH22" s="33" t="str">
        <f t="shared" si="10"/>
        <v>-</v>
      </c>
      <c r="AI22" s="6" t="str">
        <f t="shared" si="11"/>
        <v>-</v>
      </c>
      <c r="AJ22" s="33">
        <f t="shared" si="12"/>
        <v>21600</v>
      </c>
      <c r="AK22" s="7">
        <v>21600</v>
      </c>
      <c r="AL22" s="6">
        <f t="shared" si="1"/>
        <v>0.29847222222222225</v>
      </c>
      <c r="AM22" s="47">
        <f t="shared" si="2"/>
        <v>6447</v>
      </c>
      <c r="AN22" s="28"/>
      <c r="AO22" s="6"/>
      <c r="AP22" s="6"/>
      <c r="AQ22" s="6" t="str">
        <f t="shared" si="13"/>
        <v>-</v>
      </c>
      <c r="AR22" s="6">
        <f t="shared" si="14"/>
        <v>1.5586664742387069</v>
      </c>
      <c r="AS22" s="6">
        <f t="shared" si="15"/>
        <v>1.3000171585449554</v>
      </c>
      <c r="AT22" s="4"/>
      <c r="AU22" s="4"/>
      <c r="AV22" s="4"/>
      <c r="AW22" s="4"/>
      <c r="AX22" s="4"/>
      <c r="AY22" s="4"/>
      <c r="AZ22" s="4"/>
      <c r="BA22" s="4"/>
      <c r="BB22" s="4"/>
      <c r="BC22" s="4">
        <v>0</v>
      </c>
      <c r="BD22" s="4" t="s">
        <v>140</v>
      </c>
      <c r="BE22" s="4"/>
      <c r="BF22" s="4"/>
      <c r="BG22" s="4" t="s">
        <v>140</v>
      </c>
      <c r="BH22" s="4" t="s">
        <v>140</v>
      </c>
      <c r="BI22" s="4" t="str">
        <f t="shared" si="23"/>
        <v>-</v>
      </c>
      <c r="BJ22" s="19">
        <v>2</v>
      </c>
      <c r="BK22" s="19">
        <v>8</v>
      </c>
      <c r="BL22" s="16">
        <v>18</v>
      </c>
      <c r="BM22" t="s">
        <v>141</v>
      </c>
      <c r="BN22" t="str">
        <f t="shared" si="16"/>
        <v>-</v>
      </c>
      <c r="BO22" t="s">
        <v>140</v>
      </c>
      <c r="BP22" t="str">
        <f t="shared" si="17"/>
        <v>-</v>
      </c>
      <c r="BQ22" t="s">
        <v>140</v>
      </c>
    </row>
    <row r="23" spans="1:69" x14ac:dyDescent="0.4">
      <c r="A23" s="46">
        <v>20</v>
      </c>
      <c r="B23" s="3">
        <v>20</v>
      </c>
      <c r="C23" s="4" t="s">
        <v>85</v>
      </c>
      <c r="D23" s="4" t="str">
        <f t="shared" ref="D23:D40" si="24">TEXT(C23,"000000")</f>
        <v>J357MF</v>
      </c>
      <c r="E23" s="4" t="s">
        <v>85</v>
      </c>
      <c r="F23" s="4" t="s">
        <v>122</v>
      </c>
      <c r="G23" s="5">
        <v>4979652381767</v>
      </c>
      <c r="H23" s="5"/>
      <c r="I23" s="5"/>
      <c r="J23" s="5">
        <v>1</v>
      </c>
      <c r="K23" s="5">
        <v>1</v>
      </c>
      <c r="L23" s="4">
        <v>0</v>
      </c>
      <c r="M23" s="4">
        <v>13858</v>
      </c>
      <c r="N23" s="4">
        <v>11656</v>
      </c>
      <c r="O23" s="6">
        <f t="shared" ref="O23:O40" si="25">IFERROR(1-N23/M23,"-")</f>
        <v>0.15889738779044593</v>
      </c>
      <c r="P23" s="4" t="s">
        <v>141</v>
      </c>
      <c r="Q23" s="4"/>
      <c r="R23" s="4"/>
      <c r="S23" s="4"/>
      <c r="T23" s="4"/>
      <c r="U23" s="4"/>
      <c r="V23" s="4"/>
      <c r="W23" s="4"/>
      <c r="X23" s="4"/>
      <c r="Y23" s="4">
        <v>0</v>
      </c>
      <c r="Z23" s="4">
        <f t="shared" ref="Z23:Z40" si="26">IF(AC23="",Y23,Y23*AC23)</f>
        <v>0</v>
      </c>
      <c r="AA23" s="4">
        <v>15153</v>
      </c>
      <c r="AB23" s="4">
        <f t="shared" ref="AB23:AB40" si="27">IF(AC23="",AA23,AA23*AC23)</f>
        <v>15153</v>
      </c>
      <c r="AC23" s="4"/>
      <c r="AD23" s="21">
        <f t="shared" ref="AD23:AD40" si="28">ROUND(M23*AS23,0)</f>
        <v>18016</v>
      </c>
      <c r="AE23" s="6">
        <f t="shared" ref="AE23:AE40" si="29">IFERROR(1-AB23/AD23,"-")</f>
        <v>0.15891429840142091</v>
      </c>
      <c r="AF23" s="33">
        <v>0</v>
      </c>
      <c r="AG23" s="4" t="str">
        <f t="shared" ref="AG23:AG40" si="30">BI23</f>
        <v>-</v>
      </c>
      <c r="AH23" s="33" t="str">
        <f t="shared" ref="AH23:AH40" si="31">IFERROR(AG23*AS23,"-")</f>
        <v>-</v>
      </c>
      <c r="AI23" s="6" t="str">
        <f t="shared" ref="AI23:AI40" si="32">IFERROR(1-AB23/AH23,"-")</f>
        <v>-</v>
      </c>
      <c r="AJ23" s="33">
        <f t="shared" si="12"/>
        <v>21600</v>
      </c>
      <c r="AK23" s="7">
        <v>21600</v>
      </c>
      <c r="AL23" s="6">
        <f t="shared" ref="AL23:AL40" si="33">1-AB23/AK23</f>
        <v>0.29847222222222225</v>
      </c>
      <c r="AM23" s="47">
        <f t="shared" ref="AM23:AM40" si="34">AK23-AB23</f>
        <v>6447</v>
      </c>
      <c r="AN23" s="28"/>
      <c r="AO23" s="6"/>
      <c r="AP23" s="6"/>
      <c r="AQ23" s="6" t="str">
        <f t="shared" ref="AQ23:AQ40" si="35">IFERROR(Z23/L23,"-")</f>
        <v>-</v>
      </c>
      <c r="AR23" s="6">
        <f t="shared" ref="AR23:AR40" si="36">IFERROR(AK23/M23,"-")</f>
        <v>1.5586664742387069</v>
      </c>
      <c r="AS23" s="6">
        <f t="shared" ref="AS23:AS40" si="37">IFERROR(AB23/N23,"-")</f>
        <v>1.3000171585449554</v>
      </c>
      <c r="AT23" s="4"/>
      <c r="AU23" s="4"/>
      <c r="AV23" s="4"/>
      <c r="AW23" s="4"/>
      <c r="AX23" s="4"/>
      <c r="AY23" s="4"/>
      <c r="AZ23" s="4"/>
      <c r="BA23" s="4"/>
      <c r="BB23" s="4"/>
      <c r="BC23" s="4">
        <v>0</v>
      </c>
      <c r="BD23" s="4" t="s">
        <v>140</v>
      </c>
      <c r="BE23" s="4"/>
      <c r="BF23" s="4"/>
      <c r="BG23" s="4" t="s">
        <v>140</v>
      </c>
      <c r="BH23" s="4" t="s">
        <v>140</v>
      </c>
      <c r="BI23" s="4" t="str">
        <f t="shared" ref="BI23:BI40" si="38">IF(BE23="",BH23,BE23/BF23*BH23)</f>
        <v>-</v>
      </c>
      <c r="BJ23" s="19">
        <v>2</v>
      </c>
      <c r="BK23" s="19">
        <v>8</v>
      </c>
      <c r="BL23" s="16">
        <v>18</v>
      </c>
      <c r="BM23" t="s">
        <v>141</v>
      </c>
      <c r="BN23" t="str">
        <f t="shared" si="16"/>
        <v>-</v>
      </c>
      <c r="BO23" t="s">
        <v>140</v>
      </c>
      <c r="BP23" t="str">
        <f t="shared" si="17"/>
        <v>-</v>
      </c>
      <c r="BQ23" t="s">
        <v>140</v>
      </c>
    </row>
    <row r="24" spans="1:69" x14ac:dyDescent="0.4">
      <c r="A24" s="46">
        <v>21</v>
      </c>
      <c r="B24" s="3">
        <v>21</v>
      </c>
      <c r="C24" s="4" t="s">
        <v>86</v>
      </c>
      <c r="D24" s="4" t="str">
        <f t="shared" si="24"/>
        <v>J371MF</v>
      </c>
      <c r="E24" s="4" t="s">
        <v>86</v>
      </c>
      <c r="F24" s="4" t="s">
        <v>123</v>
      </c>
      <c r="G24" s="5">
        <v>4979652448484</v>
      </c>
      <c r="H24" s="5"/>
      <c r="I24" s="5"/>
      <c r="J24" s="5">
        <v>1</v>
      </c>
      <c r="K24" s="5">
        <v>1</v>
      </c>
      <c r="L24" s="4">
        <v>0</v>
      </c>
      <c r="M24" s="4">
        <v>22240</v>
      </c>
      <c r="N24" s="4">
        <v>18799</v>
      </c>
      <c r="O24" s="6">
        <f t="shared" si="25"/>
        <v>0.15472122302158275</v>
      </c>
      <c r="P24" s="4" t="s">
        <v>141</v>
      </c>
      <c r="Q24" s="4"/>
      <c r="R24" s="4"/>
      <c r="S24" s="4"/>
      <c r="T24" s="4"/>
      <c r="U24" s="4"/>
      <c r="V24" s="4"/>
      <c r="W24" s="4"/>
      <c r="X24" s="4"/>
      <c r="Y24" s="4">
        <v>0</v>
      </c>
      <c r="Z24" s="4">
        <f t="shared" si="26"/>
        <v>0</v>
      </c>
      <c r="AA24" s="4">
        <v>29324</v>
      </c>
      <c r="AB24" s="4">
        <f t="shared" si="27"/>
        <v>29324</v>
      </c>
      <c r="AC24" s="4"/>
      <c r="AD24" s="21">
        <f t="shared" si="28"/>
        <v>34692</v>
      </c>
      <c r="AE24" s="6">
        <f t="shared" si="29"/>
        <v>0.15473307967254701</v>
      </c>
      <c r="AF24" s="33">
        <v>0</v>
      </c>
      <c r="AG24" s="4">
        <f t="shared" si="30"/>
        <v>27390</v>
      </c>
      <c r="AH24" s="33">
        <f t="shared" si="31"/>
        <v>42724.844938560564</v>
      </c>
      <c r="AI24" s="6">
        <f t="shared" si="32"/>
        <v>0.31365461847389564</v>
      </c>
      <c r="AJ24" s="33">
        <f t="shared" si="12"/>
        <v>41900</v>
      </c>
      <c r="AK24" s="7">
        <v>41900</v>
      </c>
      <c r="AL24" s="6">
        <f t="shared" si="33"/>
        <v>0.30014319809069212</v>
      </c>
      <c r="AM24" s="47">
        <f t="shared" si="34"/>
        <v>12576</v>
      </c>
      <c r="AN24" s="28"/>
      <c r="AO24" s="6"/>
      <c r="AP24" s="6"/>
      <c r="AQ24" s="6" t="str">
        <f t="shared" si="35"/>
        <v>-</v>
      </c>
      <c r="AR24" s="6">
        <f t="shared" si="36"/>
        <v>1.8839928057553956</v>
      </c>
      <c r="AS24" s="6">
        <f t="shared" si="37"/>
        <v>1.559870205862014</v>
      </c>
      <c r="AT24" s="4"/>
      <c r="AU24" s="4"/>
      <c r="AV24" s="4"/>
      <c r="AW24" s="4"/>
      <c r="AX24" s="4"/>
      <c r="AY24" s="4"/>
      <c r="AZ24" s="4"/>
      <c r="BA24" s="4"/>
      <c r="BB24" s="4"/>
      <c r="BC24" s="4">
        <v>0</v>
      </c>
      <c r="BD24" s="4" t="s">
        <v>153</v>
      </c>
      <c r="BE24" s="4"/>
      <c r="BF24" s="4"/>
      <c r="BG24" s="4" t="s">
        <v>151</v>
      </c>
      <c r="BH24" s="4">
        <v>27390</v>
      </c>
      <c r="BI24" s="4">
        <f t="shared" si="38"/>
        <v>27390</v>
      </c>
      <c r="BJ24" s="19">
        <v>2</v>
      </c>
      <c r="BK24" s="19">
        <v>8</v>
      </c>
      <c r="BL24" s="16">
        <v>18</v>
      </c>
      <c r="BM24" t="s">
        <v>141</v>
      </c>
      <c r="BN24" t="str">
        <f t="shared" si="16"/>
        <v>-</v>
      </c>
      <c r="BO24" t="s">
        <v>140</v>
      </c>
      <c r="BP24" t="str">
        <f t="shared" si="17"/>
        <v>-</v>
      </c>
      <c r="BQ24" t="s">
        <v>144</v>
      </c>
    </row>
    <row r="25" spans="1:69" x14ac:dyDescent="0.4">
      <c r="A25" s="46">
        <v>22</v>
      </c>
      <c r="B25" s="3">
        <v>22</v>
      </c>
      <c r="C25" s="4" t="s">
        <v>87</v>
      </c>
      <c r="D25" s="4" t="str">
        <f t="shared" si="24"/>
        <v>J372MF</v>
      </c>
      <c r="E25" s="4" t="s">
        <v>87</v>
      </c>
      <c r="F25" s="4" t="s">
        <v>124</v>
      </c>
      <c r="G25" s="5">
        <v>4979652448491</v>
      </c>
      <c r="H25" s="5"/>
      <c r="I25" s="5"/>
      <c r="J25" s="5">
        <v>1</v>
      </c>
      <c r="K25" s="5">
        <v>1</v>
      </c>
      <c r="L25" s="4">
        <v>0</v>
      </c>
      <c r="M25" s="4">
        <v>22697</v>
      </c>
      <c r="N25" s="4">
        <v>19172</v>
      </c>
      <c r="O25" s="6">
        <f t="shared" si="25"/>
        <v>0.15530686874917388</v>
      </c>
      <c r="P25" s="4" t="s">
        <v>141</v>
      </c>
      <c r="Q25" s="4"/>
      <c r="R25" s="4"/>
      <c r="S25" s="4"/>
      <c r="T25" s="4"/>
      <c r="U25" s="4"/>
      <c r="V25" s="4"/>
      <c r="W25" s="4"/>
      <c r="X25" s="4"/>
      <c r="Y25" s="4">
        <v>0</v>
      </c>
      <c r="Z25" s="4">
        <f t="shared" si="26"/>
        <v>0</v>
      </c>
      <c r="AA25" s="4">
        <v>29910</v>
      </c>
      <c r="AB25" s="4">
        <f t="shared" si="27"/>
        <v>29910</v>
      </c>
      <c r="AC25" s="4"/>
      <c r="AD25" s="21">
        <f t="shared" si="28"/>
        <v>35409</v>
      </c>
      <c r="AE25" s="6">
        <f t="shared" si="29"/>
        <v>0.15529950012708638</v>
      </c>
      <c r="AF25" s="33">
        <v>0</v>
      </c>
      <c r="AG25" s="4">
        <f t="shared" si="30"/>
        <v>27920</v>
      </c>
      <c r="AH25" s="33">
        <f t="shared" si="31"/>
        <v>43557.646567911535</v>
      </c>
      <c r="AI25" s="6">
        <f t="shared" si="32"/>
        <v>0.31332378223495694</v>
      </c>
      <c r="AJ25" s="33">
        <f t="shared" si="12"/>
        <v>42700</v>
      </c>
      <c r="AK25" s="7">
        <v>42700</v>
      </c>
      <c r="AL25" s="6">
        <f t="shared" si="33"/>
        <v>0.2995316159250585</v>
      </c>
      <c r="AM25" s="47">
        <f t="shared" si="34"/>
        <v>12790</v>
      </c>
      <c r="AN25" s="28"/>
      <c r="AO25" s="6"/>
      <c r="AP25" s="6"/>
      <c r="AQ25" s="6" t="str">
        <f t="shared" si="35"/>
        <v>-</v>
      </c>
      <c r="AR25" s="6">
        <f t="shared" si="36"/>
        <v>1.8813058994580782</v>
      </c>
      <c r="AS25" s="6">
        <f t="shared" si="37"/>
        <v>1.5600876277905278</v>
      </c>
      <c r="AT25" s="4"/>
      <c r="AU25" s="4"/>
      <c r="AV25" s="4"/>
      <c r="AW25" s="4"/>
      <c r="AX25" s="4"/>
      <c r="AY25" s="4"/>
      <c r="AZ25" s="4"/>
      <c r="BA25" s="4"/>
      <c r="BB25" s="4"/>
      <c r="BC25" s="4">
        <v>0</v>
      </c>
      <c r="BD25" s="4" t="s">
        <v>154</v>
      </c>
      <c r="BE25" s="4"/>
      <c r="BF25" s="4"/>
      <c r="BG25" s="4" t="s">
        <v>151</v>
      </c>
      <c r="BH25" s="4">
        <v>27920</v>
      </c>
      <c r="BI25" s="4">
        <f t="shared" si="38"/>
        <v>27920</v>
      </c>
      <c r="BJ25" s="19">
        <v>2</v>
      </c>
      <c r="BK25" s="19">
        <v>8</v>
      </c>
      <c r="BL25" s="16">
        <v>18</v>
      </c>
      <c r="BM25" t="s">
        <v>141</v>
      </c>
      <c r="BN25" t="str">
        <f t="shared" si="16"/>
        <v>-</v>
      </c>
      <c r="BO25" t="s">
        <v>140</v>
      </c>
      <c r="BP25" t="str">
        <f t="shared" si="17"/>
        <v>-</v>
      </c>
      <c r="BQ25" t="s">
        <v>145</v>
      </c>
    </row>
    <row r="26" spans="1:69" x14ac:dyDescent="0.4">
      <c r="A26" s="46">
        <v>23</v>
      </c>
      <c r="B26" s="3">
        <v>23</v>
      </c>
      <c r="C26" s="4" t="s">
        <v>88</v>
      </c>
      <c r="D26" s="4" t="str">
        <f t="shared" si="24"/>
        <v>J373MF</v>
      </c>
      <c r="E26" s="4" t="s">
        <v>88</v>
      </c>
      <c r="F26" s="4" t="s">
        <v>125</v>
      </c>
      <c r="G26" s="5">
        <v>4979652449023</v>
      </c>
      <c r="H26" s="5"/>
      <c r="I26" s="5"/>
      <c r="J26" s="5">
        <v>1</v>
      </c>
      <c r="K26" s="5">
        <v>1</v>
      </c>
      <c r="L26" s="4">
        <v>0</v>
      </c>
      <c r="M26" s="4">
        <v>21517</v>
      </c>
      <c r="N26" s="4">
        <v>18197</v>
      </c>
      <c r="O26" s="6">
        <f t="shared" si="25"/>
        <v>0.15429660268624812</v>
      </c>
      <c r="P26" s="4" t="s">
        <v>141</v>
      </c>
      <c r="Q26" s="4"/>
      <c r="R26" s="4"/>
      <c r="S26" s="4"/>
      <c r="T26" s="4"/>
      <c r="U26" s="4"/>
      <c r="V26" s="4"/>
      <c r="W26" s="4"/>
      <c r="X26" s="4"/>
      <c r="Y26" s="4">
        <v>0</v>
      </c>
      <c r="Z26" s="4">
        <f t="shared" si="26"/>
        <v>0</v>
      </c>
      <c r="AA26" s="4">
        <v>28390</v>
      </c>
      <c r="AB26" s="4">
        <f t="shared" si="27"/>
        <v>28390</v>
      </c>
      <c r="AC26" s="4"/>
      <c r="AD26" s="21">
        <f t="shared" si="28"/>
        <v>33570</v>
      </c>
      <c r="AE26" s="6">
        <f t="shared" si="29"/>
        <v>0.15430443848674413</v>
      </c>
      <c r="AF26" s="33">
        <v>0</v>
      </c>
      <c r="AG26" s="4">
        <f t="shared" si="30"/>
        <v>26500</v>
      </c>
      <c r="AH26" s="33">
        <f t="shared" si="31"/>
        <v>41343.902841127659</v>
      </c>
      <c r="AI26" s="6">
        <f t="shared" si="32"/>
        <v>0.31332075471698118</v>
      </c>
      <c r="AJ26" s="33">
        <f t="shared" si="12"/>
        <v>40600</v>
      </c>
      <c r="AK26" s="7">
        <v>40600</v>
      </c>
      <c r="AL26" s="6">
        <f t="shared" si="33"/>
        <v>0.30073891625615767</v>
      </c>
      <c r="AM26" s="47">
        <f t="shared" si="34"/>
        <v>12210</v>
      </c>
      <c r="AN26" s="28"/>
      <c r="AO26" s="6"/>
      <c r="AP26" s="6"/>
      <c r="AQ26" s="6" t="str">
        <f t="shared" si="35"/>
        <v>-</v>
      </c>
      <c r="AR26" s="6">
        <f t="shared" si="36"/>
        <v>1.8868801412836362</v>
      </c>
      <c r="AS26" s="6">
        <f t="shared" si="37"/>
        <v>1.5601472770236853</v>
      </c>
      <c r="AT26" s="4"/>
      <c r="AU26" s="4"/>
      <c r="AV26" s="4"/>
      <c r="AW26" s="4"/>
      <c r="AX26" s="4"/>
      <c r="AY26" s="4"/>
      <c r="AZ26" s="4"/>
      <c r="BA26" s="4"/>
      <c r="BB26" s="4"/>
      <c r="BC26" s="4">
        <v>0</v>
      </c>
      <c r="BD26" s="4" t="s">
        <v>155</v>
      </c>
      <c r="BE26" s="4"/>
      <c r="BF26" s="4"/>
      <c r="BG26" s="4" t="s">
        <v>151</v>
      </c>
      <c r="BH26" s="4">
        <v>26500</v>
      </c>
      <c r="BI26" s="4">
        <f t="shared" si="38"/>
        <v>26500</v>
      </c>
      <c r="BJ26" s="19">
        <v>2</v>
      </c>
      <c r="BK26" s="19">
        <v>8</v>
      </c>
      <c r="BL26" s="16">
        <v>18</v>
      </c>
      <c r="BM26" t="s">
        <v>141</v>
      </c>
      <c r="BN26" t="str">
        <f t="shared" si="16"/>
        <v>-</v>
      </c>
      <c r="BO26" t="s">
        <v>140</v>
      </c>
      <c r="BP26" t="str">
        <f t="shared" si="17"/>
        <v>-</v>
      </c>
      <c r="BQ26" t="s">
        <v>146</v>
      </c>
    </row>
    <row r="27" spans="1:69" x14ac:dyDescent="0.4">
      <c r="A27" s="46">
        <v>24</v>
      </c>
      <c r="B27" s="3">
        <v>24</v>
      </c>
      <c r="C27" s="4" t="s">
        <v>89</v>
      </c>
      <c r="D27" s="4" t="str">
        <f t="shared" si="24"/>
        <v>J374MF</v>
      </c>
      <c r="E27" s="4" t="s">
        <v>89</v>
      </c>
      <c r="F27" s="4" t="s">
        <v>126</v>
      </c>
      <c r="G27" s="5">
        <v>4979652448507</v>
      </c>
      <c r="H27" s="5"/>
      <c r="I27" s="5"/>
      <c r="J27" s="5">
        <v>1</v>
      </c>
      <c r="K27" s="5">
        <v>1</v>
      </c>
      <c r="L27" s="4">
        <v>0</v>
      </c>
      <c r="M27" s="4">
        <v>22710</v>
      </c>
      <c r="N27" s="4">
        <v>19408</v>
      </c>
      <c r="O27" s="6">
        <f t="shared" si="25"/>
        <v>0.14539850286217526</v>
      </c>
      <c r="P27" s="4" t="s">
        <v>141</v>
      </c>
      <c r="Q27" s="4"/>
      <c r="R27" s="4"/>
      <c r="S27" s="4"/>
      <c r="T27" s="4"/>
      <c r="U27" s="4"/>
      <c r="V27" s="4"/>
      <c r="W27" s="4"/>
      <c r="X27" s="4"/>
      <c r="Y27" s="4">
        <v>0</v>
      </c>
      <c r="Z27" s="4">
        <f t="shared" si="26"/>
        <v>0</v>
      </c>
      <c r="AA27" s="4">
        <v>30278</v>
      </c>
      <c r="AB27" s="4">
        <f t="shared" si="27"/>
        <v>30278</v>
      </c>
      <c r="AC27" s="4"/>
      <c r="AD27" s="21">
        <f t="shared" si="28"/>
        <v>35429</v>
      </c>
      <c r="AE27" s="6">
        <f t="shared" si="29"/>
        <v>0.14538937028987553</v>
      </c>
      <c r="AF27" s="33">
        <v>0</v>
      </c>
      <c r="AG27" s="4">
        <f t="shared" si="30"/>
        <v>28270</v>
      </c>
      <c r="AH27" s="33">
        <f t="shared" si="31"/>
        <v>44103.414056059359</v>
      </c>
      <c r="AI27" s="6">
        <f t="shared" si="32"/>
        <v>0.31347718429430493</v>
      </c>
      <c r="AJ27" s="33">
        <f t="shared" si="12"/>
        <v>43300</v>
      </c>
      <c r="AK27" s="7">
        <v>43300</v>
      </c>
      <c r="AL27" s="6">
        <f t="shared" si="33"/>
        <v>0.30073903002309466</v>
      </c>
      <c r="AM27" s="47">
        <f t="shared" si="34"/>
        <v>13022</v>
      </c>
      <c r="AN27" s="28"/>
      <c r="AO27" s="6"/>
      <c r="AP27" s="6"/>
      <c r="AQ27" s="6" t="str">
        <f t="shared" si="35"/>
        <v>-</v>
      </c>
      <c r="AR27" s="6">
        <f t="shared" si="36"/>
        <v>1.9066490532804932</v>
      </c>
      <c r="AS27" s="6">
        <f t="shared" si="37"/>
        <v>1.560078318219291</v>
      </c>
      <c r="AT27" s="4"/>
      <c r="AU27" s="4"/>
      <c r="AV27" s="4"/>
      <c r="AW27" s="4"/>
      <c r="AX27" s="4"/>
      <c r="AY27" s="4"/>
      <c r="AZ27" s="4"/>
      <c r="BA27" s="4"/>
      <c r="BB27" s="4"/>
      <c r="BC27" s="4">
        <v>0</v>
      </c>
      <c r="BD27" s="4" t="s">
        <v>156</v>
      </c>
      <c r="BE27" s="4"/>
      <c r="BF27" s="4"/>
      <c r="BG27" s="4" t="s">
        <v>151</v>
      </c>
      <c r="BH27" s="4">
        <v>28270</v>
      </c>
      <c r="BI27" s="4">
        <f t="shared" si="38"/>
        <v>28270</v>
      </c>
      <c r="BJ27" s="19">
        <v>2</v>
      </c>
      <c r="BK27" s="19">
        <v>8</v>
      </c>
      <c r="BL27" s="16">
        <v>18</v>
      </c>
      <c r="BM27" t="s">
        <v>141</v>
      </c>
      <c r="BN27" t="str">
        <f t="shared" si="16"/>
        <v>-</v>
      </c>
      <c r="BO27" t="s">
        <v>140</v>
      </c>
      <c r="BP27" t="str">
        <f t="shared" si="17"/>
        <v>-</v>
      </c>
      <c r="BQ27" t="s">
        <v>147</v>
      </c>
    </row>
    <row r="28" spans="1:69" x14ac:dyDescent="0.4">
      <c r="A28" s="46">
        <v>25</v>
      </c>
      <c r="B28" s="3">
        <v>25</v>
      </c>
      <c r="C28" s="4" t="s">
        <v>90</v>
      </c>
      <c r="D28" s="4" t="str">
        <f t="shared" si="24"/>
        <v>J370MF</v>
      </c>
      <c r="E28" s="4" t="s">
        <v>90</v>
      </c>
      <c r="F28" s="4" t="s">
        <v>127</v>
      </c>
      <c r="G28" s="5">
        <v>4979652393074</v>
      </c>
      <c r="H28" s="5"/>
      <c r="I28" s="5"/>
      <c r="J28" s="5">
        <v>1</v>
      </c>
      <c r="K28" s="5">
        <v>1</v>
      </c>
      <c r="L28" s="4">
        <v>0</v>
      </c>
      <c r="M28" s="4">
        <v>20089</v>
      </c>
      <c r="N28" s="4">
        <v>17022</v>
      </c>
      <c r="O28" s="6">
        <f t="shared" si="25"/>
        <v>0.15267061575986862</v>
      </c>
      <c r="P28" s="4" t="s">
        <v>141</v>
      </c>
      <c r="Q28" s="4"/>
      <c r="R28" s="4"/>
      <c r="S28" s="4"/>
      <c r="T28" s="4"/>
      <c r="U28" s="4"/>
      <c r="V28" s="4"/>
      <c r="W28" s="4"/>
      <c r="X28" s="4"/>
      <c r="Y28" s="4">
        <v>0</v>
      </c>
      <c r="Z28" s="4">
        <f t="shared" si="26"/>
        <v>0</v>
      </c>
      <c r="AA28" s="4">
        <v>26560</v>
      </c>
      <c r="AB28" s="4">
        <f t="shared" si="27"/>
        <v>26560</v>
      </c>
      <c r="AC28" s="4"/>
      <c r="AD28" s="21">
        <f t="shared" si="28"/>
        <v>31346</v>
      </c>
      <c r="AE28" s="6">
        <f t="shared" si="29"/>
        <v>0.15268295795316789</v>
      </c>
      <c r="AF28" s="33">
        <v>0</v>
      </c>
      <c r="AG28" s="4" t="str">
        <f t="shared" si="30"/>
        <v>-</v>
      </c>
      <c r="AH28" s="33" t="str">
        <f t="shared" si="31"/>
        <v>-</v>
      </c>
      <c r="AI28" s="6" t="str">
        <f t="shared" si="32"/>
        <v>-</v>
      </c>
      <c r="AJ28" s="33">
        <f t="shared" si="12"/>
        <v>37900</v>
      </c>
      <c r="AK28" s="7">
        <v>37900</v>
      </c>
      <c r="AL28" s="6">
        <f t="shared" si="33"/>
        <v>0.29920844327176777</v>
      </c>
      <c r="AM28" s="47">
        <f t="shared" si="34"/>
        <v>11340</v>
      </c>
      <c r="AN28" s="28"/>
      <c r="AO28" s="6"/>
      <c r="AP28" s="6"/>
      <c r="AQ28" s="6" t="str">
        <f t="shared" si="35"/>
        <v>-</v>
      </c>
      <c r="AR28" s="6">
        <f t="shared" si="36"/>
        <v>1.8866046094877793</v>
      </c>
      <c r="AS28" s="6">
        <f t="shared" si="37"/>
        <v>1.5603336858183527</v>
      </c>
      <c r="AT28" s="4"/>
      <c r="AU28" s="4"/>
      <c r="AV28" s="4"/>
      <c r="AW28" s="4"/>
      <c r="AX28" s="4"/>
      <c r="AY28" s="4"/>
      <c r="AZ28" s="4"/>
      <c r="BA28" s="4"/>
      <c r="BB28" s="4"/>
      <c r="BC28" s="4">
        <v>0</v>
      </c>
      <c r="BD28" s="4" t="s">
        <v>140</v>
      </c>
      <c r="BE28" s="4"/>
      <c r="BF28" s="4"/>
      <c r="BG28" s="4" t="s">
        <v>140</v>
      </c>
      <c r="BH28" s="4" t="s">
        <v>140</v>
      </c>
      <c r="BI28" s="4" t="str">
        <f t="shared" si="38"/>
        <v>-</v>
      </c>
      <c r="BJ28" s="19">
        <v>2</v>
      </c>
      <c r="BK28" s="19">
        <v>8</v>
      </c>
      <c r="BL28" s="16">
        <v>18</v>
      </c>
      <c r="BM28" t="s">
        <v>141</v>
      </c>
      <c r="BN28" t="str">
        <f t="shared" si="16"/>
        <v>-</v>
      </c>
      <c r="BO28" t="s">
        <v>140</v>
      </c>
      <c r="BP28" t="str">
        <f t="shared" si="17"/>
        <v>-</v>
      </c>
      <c r="BQ28" t="s">
        <v>140</v>
      </c>
    </row>
    <row r="29" spans="1:69" x14ac:dyDescent="0.4">
      <c r="A29" s="46">
        <v>26</v>
      </c>
      <c r="B29" s="3">
        <v>26</v>
      </c>
      <c r="C29" s="4" t="s">
        <v>91</v>
      </c>
      <c r="D29" s="4" t="str">
        <f t="shared" si="24"/>
        <v>J364MF</v>
      </c>
      <c r="E29" s="4" t="s">
        <v>91</v>
      </c>
      <c r="F29" s="4" t="s">
        <v>128</v>
      </c>
      <c r="G29" s="5">
        <v>4979652396143</v>
      </c>
      <c r="H29" s="5"/>
      <c r="I29" s="5"/>
      <c r="J29" s="5">
        <v>1</v>
      </c>
      <c r="K29" s="5">
        <v>1</v>
      </c>
      <c r="L29" s="4">
        <v>0</v>
      </c>
      <c r="M29" s="4">
        <v>17839</v>
      </c>
      <c r="N29" s="4">
        <v>14941</v>
      </c>
      <c r="O29" s="6">
        <f t="shared" si="25"/>
        <v>0.16245305230113793</v>
      </c>
      <c r="P29" s="4" t="s">
        <v>141</v>
      </c>
      <c r="Q29" s="4"/>
      <c r="R29" s="4"/>
      <c r="S29" s="4"/>
      <c r="T29" s="4"/>
      <c r="U29" s="4"/>
      <c r="V29" s="4"/>
      <c r="W29" s="4"/>
      <c r="X29" s="4"/>
      <c r="Y29" s="4">
        <v>0</v>
      </c>
      <c r="Z29" s="4">
        <f t="shared" si="26"/>
        <v>0</v>
      </c>
      <c r="AA29" s="4">
        <v>23312</v>
      </c>
      <c r="AB29" s="4">
        <f t="shared" si="27"/>
        <v>23312</v>
      </c>
      <c r="AC29" s="4"/>
      <c r="AD29" s="21">
        <f t="shared" si="28"/>
        <v>27834</v>
      </c>
      <c r="AE29" s="6">
        <f t="shared" si="29"/>
        <v>0.16246317453474168</v>
      </c>
      <c r="AF29" s="33">
        <v>0</v>
      </c>
      <c r="AG29" s="4" t="str">
        <f t="shared" si="30"/>
        <v>-</v>
      </c>
      <c r="AH29" s="33" t="str">
        <f t="shared" si="31"/>
        <v>-</v>
      </c>
      <c r="AI29" s="6" t="str">
        <f t="shared" si="32"/>
        <v>-</v>
      </c>
      <c r="AJ29" s="33">
        <f t="shared" si="12"/>
        <v>33300</v>
      </c>
      <c r="AK29" s="7">
        <v>33300</v>
      </c>
      <c r="AL29" s="6">
        <f t="shared" si="33"/>
        <v>0.29993993993993995</v>
      </c>
      <c r="AM29" s="47">
        <f t="shared" si="34"/>
        <v>9988</v>
      </c>
      <c r="AN29" s="28"/>
      <c r="AO29" s="6"/>
      <c r="AP29" s="6"/>
      <c r="AQ29" s="6" t="str">
        <f t="shared" si="35"/>
        <v>-</v>
      </c>
      <c r="AR29" s="6">
        <f t="shared" si="36"/>
        <v>1.8666965637087281</v>
      </c>
      <c r="AS29" s="6">
        <f t="shared" si="37"/>
        <v>1.5602703968944516</v>
      </c>
      <c r="AT29" s="4"/>
      <c r="AU29" s="4"/>
      <c r="AV29" s="4"/>
      <c r="AW29" s="4"/>
      <c r="AX29" s="4"/>
      <c r="AY29" s="4"/>
      <c r="AZ29" s="4"/>
      <c r="BA29" s="4"/>
      <c r="BB29" s="4"/>
      <c r="BC29" s="4">
        <v>0</v>
      </c>
      <c r="BD29" s="4" t="s">
        <v>140</v>
      </c>
      <c r="BE29" s="4"/>
      <c r="BF29" s="4"/>
      <c r="BG29" s="4" t="s">
        <v>140</v>
      </c>
      <c r="BH29" s="4" t="s">
        <v>140</v>
      </c>
      <c r="BI29" s="4" t="str">
        <f t="shared" si="38"/>
        <v>-</v>
      </c>
      <c r="BJ29" s="19">
        <v>2</v>
      </c>
      <c r="BK29" s="19">
        <v>8</v>
      </c>
      <c r="BL29" s="16">
        <v>18</v>
      </c>
      <c r="BM29" t="s">
        <v>141</v>
      </c>
      <c r="BN29" t="str">
        <f t="shared" si="16"/>
        <v>-</v>
      </c>
      <c r="BO29" t="s">
        <v>140</v>
      </c>
      <c r="BP29" t="str">
        <f t="shared" si="17"/>
        <v>-</v>
      </c>
      <c r="BQ29" t="s">
        <v>140</v>
      </c>
    </row>
    <row r="30" spans="1:69" x14ac:dyDescent="0.4">
      <c r="A30" s="46">
        <v>27</v>
      </c>
      <c r="B30" s="3">
        <v>27</v>
      </c>
      <c r="C30" s="4" t="s">
        <v>92</v>
      </c>
      <c r="D30" s="4" t="str">
        <f t="shared" si="24"/>
        <v>J375MF</v>
      </c>
      <c r="E30" s="4" t="s">
        <v>92</v>
      </c>
      <c r="F30" s="4" t="s">
        <v>129</v>
      </c>
      <c r="G30" s="5">
        <v>4979652393081</v>
      </c>
      <c r="H30" s="5"/>
      <c r="I30" s="5"/>
      <c r="J30" s="5">
        <v>1</v>
      </c>
      <c r="K30" s="5">
        <v>1</v>
      </c>
      <c r="L30" s="4">
        <v>0</v>
      </c>
      <c r="M30" s="4">
        <v>18833</v>
      </c>
      <c r="N30" s="4">
        <v>15765</v>
      </c>
      <c r="O30" s="6">
        <f t="shared" si="25"/>
        <v>0.16290553815111775</v>
      </c>
      <c r="P30" s="4" t="s">
        <v>141</v>
      </c>
      <c r="Q30" s="4"/>
      <c r="R30" s="4"/>
      <c r="S30" s="4"/>
      <c r="T30" s="4"/>
      <c r="U30" s="4"/>
      <c r="V30" s="4"/>
      <c r="W30" s="4"/>
      <c r="X30" s="4"/>
      <c r="Y30" s="4">
        <v>0</v>
      </c>
      <c r="Z30" s="4">
        <f t="shared" si="26"/>
        <v>0</v>
      </c>
      <c r="AA30" s="4">
        <v>24596</v>
      </c>
      <c r="AB30" s="4">
        <f t="shared" si="27"/>
        <v>24596</v>
      </c>
      <c r="AC30" s="4"/>
      <c r="AD30" s="21">
        <f t="shared" si="28"/>
        <v>29383</v>
      </c>
      <c r="AE30" s="6">
        <f t="shared" si="29"/>
        <v>0.16291733315182244</v>
      </c>
      <c r="AF30" s="33">
        <v>0</v>
      </c>
      <c r="AG30" s="4">
        <f t="shared" si="30"/>
        <v>22970</v>
      </c>
      <c r="AH30" s="33">
        <f t="shared" si="31"/>
        <v>35836.988265144304</v>
      </c>
      <c r="AI30" s="6">
        <f t="shared" si="32"/>
        <v>0.31367000435350456</v>
      </c>
      <c r="AJ30" s="33">
        <f t="shared" si="12"/>
        <v>35100</v>
      </c>
      <c r="AK30" s="7">
        <v>35100</v>
      </c>
      <c r="AL30" s="6">
        <f t="shared" si="33"/>
        <v>0.29925925925925922</v>
      </c>
      <c r="AM30" s="47">
        <f t="shared" si="34"/>
        <v>10504</v>
      </c>
      <c r="AN30" s="28"/>
      <c r="AO30" s="6"/>
      <c r="AP30" s="6"/>
      <c r="AQ30" s="6" t="str">
        <f t="shared" si="35"/>
        <v>-</v>
      </c>
      <c r="AR30" s="6">
        <f t="shared" si="36"/>
        <v>1.8637498008814315</v>
      </c>
      <c r="AS30" s="6">
        <f t="shared" si="37"/>
        <v>1.5601649222962257</v>
      </c>
      <c r="AT30" s="4"/>
      <c r="AU30" s="4"/>
      <c r="AV30" s="4"/>
      <c r="AW30" s="4"/>
      <c r="AX30" s="4"/>
      <c r="AY30" s="4"/>
      <c r="AZ30" s="4"/>
      <c r="BA30" s="4"/>
      <c r="BB30" s="4"/>
      <c r="BC30" s="4">
        <v>0</v>
      </c>
      <c r="BD30" s="4" t="s">
        <v>157</v>
      </c>
      <c r="BE30" s="4"/>
      <c r="BF30" s="4"/>
      <c r="BG30" s="4" t="s">
        <v>151</v>
      </c>
      <c r="BH30" s="4">
        <v>22970</v>
      </c>
      <c r="BI30" s="4">
        <f t="shared" si="38"/>
        <v>22970</v>
      </c>
      <c r="BJ30" s="19">
        <v>2</v>
      </c>
      <c r="BK30" s="19">
        <v>8</v>
      </c>
      <c r="BL30" s="16">
        <v>18</v>
      </c>
      <c r="BM30" t="s">
        <v>141</v>
      </c>
      <c r="BN30" t="str">
        <f t="shared" si="16"/>
        <v>-</v>
      </c>
      <c r="BO30" t="s">
        <v>140</v>
      </c>
      <c r="BP30" t="str">
        <f t="shared" si="17"/>
        <v>-</v>
      </c>
      <c r="BQ30" t="s">
        <v>148</v>
      </c>
    </row>
    <row r="31" spans="1:69" x14ac:dyDescent="0.4">
      <c r="A31" s="46">
        <v>28</v>
      </c>
      <c r="B31" s="3">
        <v>28</v>
      </c>
      <c r="C31" s="4" t="s">
        <v>93</v>
      </c>
      <c r="D31" s="4" t="str">
        <f t="shared" si="24"/>
        <v>J365MF</v>
      </c>
      <c r="E31" s="4" t="s">
        <v>93</v>
      </c>
      <c r="F31" s="4" t="s">
        <v>130</v>
      </c>
      <c r="G31" s="5">
        <v>4979652393517</v>
      </c>
      <c r="H31" s="5"/>
      <c r="I31" s="5"/>
      <c r="J31" s="5">
        <v>1</v>
      </c>
      <c r="K31" s="5">
        <v>1</v>
      </c>
      <c r="L31" s="4">
        <v>0</v>
      </c>
      <c r="M31" s="4">
        <v>21768</v>
      </c>
      <c r="N31" s="4">
        <v>18410</v>
      </c>
      <c r="O31" s="6">
        <f t="shared" si="25"/>
        <v>0.15426313855200291</v>
      </c>
      <c r="P31" s="4" t="s">
        <v>141</v>
      </c>
      <c r="Q31" s="4"/>
      <c r="R31" s="4"/>
      <c r="S31" s="4"/>
      <c r="T31" s="4"/>
      <c r="U31" s="4"/>
      <c r="V31" s="4"/>
      <c r="W31" s="4"/>
      <c r="X31" s="4"/>
      <c r="Y31" s="4">
        <v>0</v>
      </c>
      <c r="Z31" s="4">
        <f t="shared" si="26"/>
        <v>0</v>
      </c>
      <c r="AA31" s="4">
        <v>23934</v>
      </c>
      <c r="AB31" s="4">
        <f t="shared" si="27"/>
        <v>23934</v>
      </c>
      <c r="AC31" s="4"/>
      <c r="AD31" s="21">
        <f t="shared" si="28"/>
        <v>28300</v>
      </c>
      <c r="AE31" s="6">
        <f t="shared" si="29"/>
        <v>0.15427561837455828</v>
      </c>
      <c r="AF31" s="33">
        <v>0</v>
      </c>
      <c r="AG31" s="4" t="str">
        <f t="shared" si="30"/>
        <v>-</v>
      </c>
      <c r="AH31" s="33" t="str">
        <f t="shared" si="31"/>
        <v>-</v>
      </c>
      <c r="AI31" s="6" t="str">
        <f t="shared" si="32"/>
        <v>-</v>
      </c>
      <c r="AJ31" s="33">
        <f t="shared" si="12"/>
        <v>34200</v>
      </c>
      <c r="AK31" s="7">
        <v>34200</v>
      </c>
      <c r="AL31" s="6">
        <f t="shared" si="33"/>
        <v>0.30017543859649121</v>
      </c>
      <c r="AM31" s="47">
        <f t="shared" si="34"/>
        <v>10266</v>
      </c>
      <c r="AN31" s="28"/>
      <c r="AO31" s="6"/>
      <c r="AP31" s="6"/>
      <c r="AQ31" s="6" t="str">
        <f t="shared" si="35"/>
        <v>-</v>
      </c>
      <c r="AR31" s="6">
        <f t="shared" si="36"/>
        <v>1.5711135611907387</v>
      </c>
      <c r="AS31" s="6">
        <f t="shared" si="37"/>
        <v>1.3000543183052689</v>
      </c>
      <c r="AT31" s="4"/>
      <c r="AU31" s="4"/>
      <c r="AV31" s="4"/>
      <c r="AW31" s="4"/>
      <c r="AX31" s="4"/>
      <c r="AY31" s="4"/>
      <c r="AZ31" s="4"/>
      <c r="BA31" s="4"/>
      <c r="BB31" s="4"/>
      <c r="BC31" s="4">
        <v>0</v>
      </c>
      <c r="BD31" s="4" t="s">
        <v>140</v>
      </c>
      <c r="BE31" s="4"/>
      <c r="BF31" s="4"/>
      <c r="BG31" s="4" t="s">
        <v>140</v>
      </c>
      <c r="BH31" s="4" t="s">
        <v>140</v>
      </c>
      <c r="BI31" s="4" t="str">
        <f t="shared" si="38"/>
        <v>-</v>
      </c>
      <c r="BJ31" s="19">
        <v>2</v>
      </c>
      <c r="BK31" s="19">
        <v>8</v>
      </c>
      <c r="BL31" s="16">
        <v>18</v>
      </c>
      <c r="BM31" t="s">
        <v>141</v>
      </c>
      <c r="BN31" t="str">
        <f t="shared" si="16"/>
        <v>-</v>
      </c>
      <c r="BO31" t="s">
        <v>140</v>
      </c>
      <c r="BP31" t="str">
        <f t="shared" si="17"/>
        <v>-</v>
      </c>
      <c r="BQ31" t="s">
        <v>140</v>
      </c>
    </row>
    <row r="32" spans="1:69" x14ac:dyDescent="0.4">
      <c r="A32" s="3">
        <v>29</v>
      </c>
      <c r="B32" s="3">
        <v>29</v>
      </c>
      <c r="C32" s="4" t="s">
        <v>94</v>
      </c>
      <c r="D32" s="4" t="str">
        <f t="shared" si="24"/>
        <v>J359MF</v>
      </c>
      <c r="E32" s="4" t="s">
        <v>94</v>
      </c>
      <c r="F32" s="4" t="s">
        <v>131</v>
      </c>
      <c r="G32" s="5">
        <v>4979652514226</v>
      </c>
      <c r="H32" s="5"/>
      <c r="I32" s="5"/>
      <c r="J32" s="5">
        <v>1</v>
      </c>
      <c r="K32" s="5">
        <v>1</v>
      </c>
      <c r="L32" s="4">
        <v>0</v>
      </c>
      <c r="M32" s="4">
        <v>9874</v>
      </c>
      <c r="N32" s="4">
        <v>7877</v>
      </c>
      <c r="O32" s="6">
        <f t="shared" si="25"/>
        <v>0.20224832894470324</v>
      </c>
      <c r="P32" s="4" t="s">
        <v>141</v>
      </c>
      <c r="Q32" s="4"/>
      <c r="R32" s="4"/>
      <c r="S32" s="4"/>
      <c r="T32" s="4"/>
      <c r="U32" s="4"/>
      <c r="V32" s="4"/>
      <c r="W32" s="4"/>
      <c r="X32" s="4"/>
      <c r="Y32" s="4">
        <v>0</v>
      </c>
      <c r="Z32" s="4">
        <f t="shared" si="26"/>
        <v>0</v>
      </c>
      <c r="AA32" s="4">
        <v>10240</v>
      </c>
      <c r="AB32" s="4">
        <f t="shared" si="27"/>
        <v>10240</v>
      </c>
      <c r="AC32" s="4"/>
      <c r="AD32" s="21">
        <f t="shared" si="28"/>
        <v>12836</v>
      </c>
      <c r="AE32" s="6">
        <f t="shared" si="29"/>
        <v>0.20224368962293549</v>
      </c>
      <c r="AF32" s="33">
        <v>0</v>
      </c>
      <c r="AG32" s="4" t="str">
        <f t="shared" si="30"/>
        <v>-</v>
      </c>
      <c r="AH32" s="33" t="str">
        <f t="shared" si="31"/>
        <v>-</v>
      </c>
      <c r="AI32" s="6" t="str">
        <f t="shared" si="32"/>
        <v>-</v>
      </c>
      <c r="AJ32" s="33">
        <f t="shared" si="12"/>
        <v>14600</v>
      </c>
      <c r="AK32" s="7">
        <v>14600</v>
      </c>
      <c r="AL32" s="6">
        <f t="shared" si="33"/>
        <v>0.29863013698630136</v>
      </c>
      <c r="AM32" s="4">
        <f t="shared" si="34"/>
        <v>4360</v>
      </c>
      <c r="AN32" s="28"/>
      <c r="AO32" s="6"/>
      <c r="AP32" s="6"/>
      <c r="AQ32" s="6" t="str">
        <f t="shared" si="35"/>
        <v>-</v>
      </c>
      <c r="AR32" s="6">
        <f t="shared" si="36"/>
        <v>1.47863074741746</v>
      </c>
      <c r="AS32" s="6">
        <f t="shared" si="37"/>
        <v>1.2999873048114765</v>
      </c>
      <c r="AT32" s="4"/>
      <c r="AU32" s="4"/>
      <c r="AV32" s="4"/>
      <c r="AW32" s="4"/>
      <c r="AX32" s="4"/>
      <c r="AY32" s="4"/>
      <c r="AZ32" s="4"/>
      <c r="BA32" s="4"/>
      <c r="BB32" s="4"/>
      <c r="BC32" s="4">
        <v>0</v>
      </c>
      <c r="BD32" s="4" t="s">
        <v>140</v>
      </c>
      <c r="BE32" s="4"/>
      <c r="BF32" s="4"/>
      <c r="BG32" s="4" t="s">
        <v>140</v>
      </c>
      <c r="BH32" s="4" t="s">
        <v>140</v>
      </c>
      <c r="BI32" s="4" t="str">
        <f t="shared" si="38"/>
        <v>-</v>
      </c>
      <c r="BJ32" s="19">
        <v>4</v>
      </c>
      <c r="BK32" s="19">
        <v>8</v>
      </c>
      <c r="BL32" s="16">
        <v>18</v>
      </c>
      <c r="BM32" t="s">
        <v>141</v>
      </c>
      <c r="BN32" t="str">
        <f t="shared" si="16"/>
        <v>-</v>
      </c>
      <c r="BO32" t="s">
        <v>140</v>
      </c>
      <c r="BP32" t="str">
        <f t="shared" si="17"/>
        <v>-</v>
      </c>
      <c r="BQ32" t="s">
        <v>140</v>
      </c>
    </row>
    <row r="33" spans="1:69" x14ac:dyDescent="0.4">
      <c r="A33" s="46">
        <v>30</v>
      </c>
      <c r="B33" s="3">
        <v>30</v>
      </c>
      <c r="C33" s="4" t="s">
        <v>95</v>
      </c>
      <c r="D33" s="4" t="str">
        <f t="shared" si="24"/>
        <v>J360MF</v>
      </c>
      <c r="E33" s="4" t="s">
        <v>95</v>
      </c>
      <c r="F33" s="4" t="s">
        <v>132</v>
      </c>
      <c r="G33" s="5">
        <v>4979652514240</v>
      </c>
      <c r="H33" s="5"/>
      <c r="I33" s="5"/>
      <c r="J33" s="5">
        <v>1</v>
      </c>
      <c r="K33" s="5">
        <v>1</v>
      </c>
      <c r="L33" s="4">
        <v>0</v>
      </c>
      <c r="M33" s="4">
        <v>10655</v>
      </c>
      <c r="N33" s="4">
        <v>8487</v>
      </c>
      <c r="O33" s="6">
        <f t="shared" si="25"/>
        <v>0.20347254809948379</v>
      </c>
      <c r="P33" s="4" t="s">
        <v>141</v>
      </c>
      <c r="Q33" s="4"/>
      <c r="R33" s="4"/>
      <c r="S33" s="4"/>
      <c r="T33" s="4"/>
      <c r="U33" s="4"/>
      <c r="V33" s="4"/>
      <c r="W33" s="4"/>
      <c r="X33" s="4"/>
      <c r="Y33" s="4">
        <v>0</v>
      </c>
      <c r="Z33" s="4">
        <f t="shared" si="26"/>
        <v>0</v>
      </c>
      <c r="AA33" s="4">
        <v>11034</v>
      </c>
      <c r="AB33" s="4">
        <f t="shared" si="27"/>
        <v>11034</v>
      </c>
      <c r="AC33" s="4"/>
      <c r="AD33" s="21">
        <f t="shared" si="28"/>
        <v>13853</v>
      </c>
      <c r="AE33" s="6">
        <f t="shared" si="29"/>
        <v>0.20349382805168559</v>
      </c>
      <c r="AF33" s="33">
        <v>0</v>
      </c>
      <c r="AG33" s="4" t="str">
        <f t="shared" si="30"/>
        <v>-</v>
      </c>
      <c r="AH33" s="33" t="str">
        <f t="shared" si="31"/>
        <v>-</v>
      </c>
      <c r="AI33" s="6" t="str">
        <f t="shared" si="32"/>
        <v>-</v>
      </c>
      <c r="AJ33" s="33">
        <f t="shared" si="12"/>
        <v>15800</v>
      </c>
      <c r="AK33" s="7">
        <v>15800</v>
      </c>
      <c r="AL33" s="6">
        <f t="shared" si="33"/>
        <v>0.30164556962025313</v>
      </c>
      <c r="AM33" s="47">
        <f t="shared" si="34"/>
        <v>4766</v>
      </c>
      <c r="AN33" s="28"/>
      <c r="AO33" s="6"/>
      <c r="AP33" s="6"/>
      <c r="AQ33" s="6" t="str">
        <f t="shared" si="35"/>
        <v>-</v>
      </c>
      <c r="AR33" s="6">
        <f t="shared" si="36"/>
        <v>1.4828718911309244</v>
      </c>
      <c r="AS33" s="6">
        <f t="shared" si="37"/>
        <v>1.3001060445387063</v>
      </c>
      <c r="AT33" s="4"/>
      <c r="AU33" s="4"/>
      <c r="AV33" s="4"/>
      <c r="AW33" s="4"/>
      <c r="AX33" s="4"/>
      <c r="AY33" s="4"/>
      <c r="AZ33" s="4"/>
      <c r="BA33" s="4"/>
      <c r="BB33" s="4"/>
      <c r="BC33" s="4">
        <v>0</v>
      </c>
      <c r="BD33" s="4" t="s">
        <v>140</v>
      </c>
      <c r="BE33" s="4"/>
      <c r="BF33" s="4"/>
      <c r="BG33" s="4" t="s">
        <v>140</v>
      </c>
      <c r="BH33" s="4" t="s">
        <v>140</v>
      </c>
      <c r="BI33" s="4" t="str">
        <f t="shared" si="38"/>
        <v>-</v>
      </c>
      <c r="BJ33" s="19">
        <v>2</v>
      </c>
      <c r="BK33" s="19">
        <v>8</v>
      </c>
      <c r="BL33" s="16">
        <v>18</v>
      </c>
      <c r="BM33" t="s">
        <v>141</v>
      </c>
      <c r="BN33" t="str">
        <f t="shared" si="16"/>
        <v>-</v>
      </c>
      <c r="BO33" t="s">
        <v>140</v>
      </c>
      <c r="BP33" t="str">
        <f t="shared" si="17"/>
        <v>-</v>
      </c>
      <c r="BQ33" t="s">
        <v>140</v>
      </c>
    </row>
    <row r="34" spans="1:69" x14ac:dyDescent="0.4">
      <c r="A34" s="46">
        <v>31</v>
      </c>
      <c r="B34" s="3">
        <v>31</v>
      </c>
      <c r="C34" s="4" t="s">
        <v>96</v>
      </c>
      <c r="D34" s="4" t="str">
        <f t="shared" si="24"/>
        <v>J362MF</v>
      </c>
      <c r="E34" s="4" t="s">
        <v>96</v>
      </c>
      <c r="F34" s="4" t="s">
        <v>133</v>
      </c>
      <c r="G34" s="5">
        <v>4979652514264</v>
      </c>
      <c r="H34" s="5"/>
      <c r="I34" s="5"/>
      <c r="J34" s="5">
        <v>1</v>
      </c>
      <c r="K34" s="5">
        <v>1</v>
      </c>
      <c r="L34" s="4">
        <v>0</v>
      </c>
      <c r="M34" s="4">
        <v>11756</v>
      </c>
      <c r="N34" s="4">
        <v>9071</v>
      </c>
      <c r="O34" s="6">
        <f t="shared" si="25"/>
        <v>0.22839401156856076</v>
      </c>
      <c r="P34" s="4" t="s">
        <v>141</v>
      </c>
      <c r="Q34" s="4"/>
      <c r="R34" s="4"/>
      <c r="S34" s="4"/>
      <c r="T34" s="4"/>
      <c r="U34" s="4"/>
      <c r="V34" s="4"/>
      <c r="W34" s="4"/>
      <c r="X34" s="4"/>
      <c r="Y34" s="4">
        <v>0</v>
      </c>
      <c r="Z34" s="4">
        <f t="shared" si="26"/>
        <v>0</v>
      </c>
      <c r="AA34" s="4">
        <v>11794</v>
      </c>
      <c r="AB34" s="4">
        <f t="shared" si="27"/>
        <v>11794</v>
      </c>
      <c r="AC34" s="4"/>
      <c r="AD34" s="21">
        <f t="shared" si="28"/>
        <v>15285</v>
      </c>
      <c r="AE34" s="6">
        <f t="shared" si="29"/>
        <v>0.22839385017991498</v>
      </c>
      <c r="AF34" s="33">
        <v>0</v>
      </c>
      <c r="AG34" s="4" t="str">
        <f t="shared" si="30"/>
        <v>-</v>
      </c>
      <c r="AH34" s="33" t="str">
        <f t="shared" si="31"/>
        <v>-</v>
      </c>
      <c r="AI34" s="6" t="str">
        <f t="shared" si="32"/>
        <v>-</v>
      </c>
      <c r="AJ34" s="33">
        <f t="shared" si="12"/>
        <v>16800</v>
      </c>
      <c r="AK34" s="7">
        <v>16800</v>
      </c>
      <c r="AL34" s="6">
        <f t="shared" si="33"/>
        <v>0.29797619047619051</v>
      </c>
      <c r="AM34" s="47">
        <f t="shared" si="34"/>
        <v>5006</v>
      </c>
      <c r="AN34" s="28"/>
      <c r="AO34" s="6"/>
      <c r="AP34" s="6"/>
      <c r="AQ34" s="6" t="str">
        <f t="shared" si="35"/>
        <v>-</v>
      </c>
      <c r="AR34" s="6">
        <f t="shared" si="36"/>
        <v>1.4290575025518883</v>
      </c>
      <c r="AS34" s="6">
        <f t="shared" si="37"/>
        <v>1.3001874104288391</v>
      </c>
      <c r="AT34" s="4"/>
      <c r="AU34" s="4"/>
      <c r="AV34" s="4"/>
      <c r="AW34" s="4"/>
      <c r="AX34" s="4"/>
      <c r="AY34" s="4"/>
      <c r="AZ34" s="4"/>
      <c r="BA34" s="4"/>
      <c r="BB34" s="4"/>
      <c r="BC34" s="4">
        <v>0</v>
      </c>
      <c r="BD34" s="4" t="s">
        <v>140</v>
      </c>
      <c r="BE34" s="4"/>
      <c r="BF34" s="4"/>
      <c r="BG34" s="4" t="s">
        <v>140</v>
      </c>
      <c r="BH34" s="4" t="s">
        <v>140</v>
      </c>
      <c r="BI34" s="4" t="str">
        <f t="shared" si="38"/>
        <v>-</v>
      </c>
      <c r="BJ34" s="19">
        <v>2</v>
      </c>
      <c r="BK34" s="19">
        <v>8</v>
      </c>
      <c r="BL34" s="16">
        <v>18</v>
      </c>
      <c r="BM34" t="s">
        <v>141</v>
      </c>
      <c r="BN34" t="str">
        <f t="shared" si="16"/>
        <v>-</v>
      </c>
      <c r="BO34" t="s">
        <v>140</v>
      </c>
      <c r="BP34" t="str">
        <f t="shared" si="17"/>
        <v>-</v>
      </c>
      <c r="BQ34" t="s">
        <v>140</v>
      </c>
    </row>
    <row r="35" spans="1:69" x14ac:dyDescent="0.4">
      <c r="A35" s="3">
        <v>32</v>
      </c>
      <c r="B35" s="3">
        <v>32</v>
      </c>
      <c r="C35" s="4" t="s">
        <v>97</v>
      </c>
      <c r="D35" s="4" t="str">
        <f t="shared" si="24"/>
        <v>J363MF</v>
      </c>
      <c r="E35" s="4" t="s">
        <v>97</v>
      </c>
      <c r="F35" s="4" t="s">
        <v>134</v>
      </c>
      <c r="G35" s="5">
        <v>4979652514288</v>
      </c>
      <c r="H35" s="5"/>
      <c r="I35" s="5"/>
      <c r="J35" s="5">
        <v>1</v>
      </c>
      <c r="K35" s="5">
        <v>1</v>
      </c>
      <c r="L35" s="4">
        <v>0</v>
      </c>
      <c r="M35" s="4">
        <v>11375</v>
      </c>
      <c r="N35" s="4">
        <v>9046</v>
      </c>
      <c r="O35" s="6">
        <f t="shared" si="25"/>
        <v>0.20474725274725269</v>
      </c>
      <c r="P35" s="4" t="s">
        <v>141</v>
      </c>
      <c r="Q35" s="4"/>
      <c r="R35" s="4"/>
      <c r="S35" s="4"/>
      <c r="T35" s="4"/>
      <c r="U35" s="4"/>
      <c r="V35" s="4"/>
      <c r="W35" s="4"/>
      <c r="X35" s="4"/>
      <c r="Y35" s="4">
        <v>0</v>
      </c>
      <c r="Z35" s="4">
        <f t="shared" si="26"/>
        <v>0</v>
      </c>
      <c r="AA35" s="4">
        <v>11760</v>
      </c>
      <c r="AB35" s="4">
        <f t="shared" si="27"/>
        <v>11760</v>
      </c>
      <c r="AC35" s="4"/>
      <c r="AD35" s="21">
        <f t="shared" si="28"/>
        <v>14788</v>
      </c>
      <c r="AE35" s="6">
        <f t="shared" si="29"/>
        <v>0.20476061671625645</v>
      </c>
      <c r="AF35" s="33">
        <v>0</v>
      </c>
      <c r="AG35" s="4" t="str">
        <f t="shared" si="30"/>
        <v>-</v>
      </c>
      <c r="AH35" s="33" t="str">
        <f t="shared" si="31"/>
        <v>-</v>
      </c>
      <c r="AI35" s="6" t="str">
        <f t="shared" si="32"/>
        <v>-</v>
      </c>
      <c r="AJ35" s="33">
        <f t="shared" si="12"/>
        <v>16800</v>
      </c>
      <c r="AK35" s="7">
        <v>16800</v>
      </c>
      <c r="AL35" s="6">
        <f t="shared" si="33"/>
        <v>0.30000000000000004</v>
      </c>
      <c r="AM35" s="4">
        <f t="shared" si="34"/>
        <v>5040</v>
      </c>
      <c r="AN35" s="28"/>
      <c r="AO35" s="6"/>
      <c r="AP35" s="6"/>
      <c r="AQ35" s="6" t="str">
        <f t="shared" si="35"/>
        <v>-</v>
      </c>
      <c r="AR35" s="6">
        <f t="shared" si="36"/>
        <v>1.476923076923077</v>
      </c>
      <c r="AS35" s="6">
        <f t="shared" si="37"/>
        <v>1.3000221092195445</v>
      </c>
      <c r="AT35" s="4"/>
      <c r="AU35" s="4"/>
      <c r="AV35" s="4"/>
      <c r="AW35" s="4"/>
      <c r="AX35" s="4"/>
      <c r="AY35" s="4"/>
      <c r="AZ35" s="4"/>
      <c r="BA35" s="4"/>
      <c r="BB35" s="4"/>
      <c r="BC35" s="4">
        <v>0</v>
      </c>
      <c r="BD35" s="4" t="s">
        <v>140</v>
      </c>
      <c r="BE35" s="4"/>
      <c r="BF35" s="4"/>
      <c r="BG35" s="4" t="s">
        <v>140</v>
      </c>
      <c r="BH35" s="4" t="s">
        <v>140</v>
      </c>
      <c r="BI35" s="4" t="str">
        <f t="shared" si="38"/>
        <v>-</v>
      </c>
      <c r="BJ35" s="19">
        <v>4</v>
      </c>
      <c r="BK35" s="19">
        <v>8</v>
      </c>
      <c r="BL35" s="16">
        <v>18</v>
      </c>
      <c r="BM35" t="s">
        <v>141</v>
      </c>
      <c r="BN35" t="str">
        <f t="shared" si="16"/>
        <v>-</v>
      </c>
      <c r="BO35" t="s">
        <v>140</v>
      </c>
      <c r="BP35" t="str">
        <f t="shared" si="17"/>
        <v>-</v>
      </c>
      <c r="BQ35" t="s">
        <v>140</v>
      </c>
    </row>
    <row r="36" spans="1:69" x14ac:dyDescent="0.4">
      <c r="A36" s="46">
        <v>33</v>
      </c>
      <c r="B36" s="3">
        <v>33</v>
      </c>
      <c r="C36" s="4" t="s">
        <v>98</v>
      </c>
      <c r="D36" s="4" t="str">
        <f t="shared" si="24"/>
        <v>J361MF</v>
      </c>
      <c r="E36" s="4" t="s">
        <v>98</v>
      </c>
      <c r="F36" s="4" t="s">
        <v>135</v>
      </c>
      <c r="G36" s="5">
        <v>4979652505262</v>
      </c>
      <c r="H36" s="5"/>
      <c r="I36" s="5"/>
      <c r="J36" s="5">
        <v>1</v>
      </c>
      <c r="K36" s="5">
        <v>1</v>
      </c>
      <c r="L36" s="4">
        <v>0</v>
      </c>
      <c r="M36" s="4">
        <v>12664</v>
      </c>
      <c r="N36" s="4">
        <v>10672</v>
      </c>
      <c r="O36" s="6">
        <f t="shared" si="25"/>
        <v>0.15729627289955783</v>
      </c>
      <c r="P36" s="4" t="s">
        <v>141</v>
      </c>
      <c r="Q36" s="4"/>
      <c r="R36" s="4"/>
      <c r="S36" s="4"/>
      <c r="T36" s="4"/>
      <c r="U36" s="4"/>
      <c r="V36" s="4"/>
      <c r="W36" s="4"/>
      <c r="X36" s="4"/>
      <c r="Y36" s="4">
        <v>0</v>
      </c>
      <c r="Z36" s="4">
        <f t="shared" si="26"/>
        <v>0</v>
      </c>
      <c r="AA36" s="4">
        <v>13874</v>
      </c>
      <c r="AB36" s="4">
        <f t="shared" si="27"/>
        <v>13874</v>
      </c>
      <c r="AC36" s="4"/>
      <c r="AD36" s="21">
        <f t="shared" si="28"/>
        <v>16464</v>
      </c>
      <c r="AE36" s="6">
        <f t="shared" si="29"/>
        <v>0.15731292517006801</v>
      </c>
      <c r="AF36" s="33">
        <v>0</v>
      </c>
      <c r="AG36" s="4" t="str">
        <f t="shared" si="30"/>
        <v>-</v>
      </c>
      <c r="AH36" s="33" t="str">
        <f t="shared" si="31"/>
        <v>-</v>
      </c>
      <c r="AI36" s="6" t="str">
        <f t="shared" si="32"/>
        <v>-</v>
      </c>
      <c r="AJ36" s="33">
        <f t="shared" si="12"/>
        <v>19800</v>
      </c>
      <c r="AK36" s="7">
        <v>19800</v>
      </c>
      <c r="AL36" s="6">
        <f t="shared" si="33"/>
        <v>0.29929292929292928</v>
      </c>
      <c r="AM36" s="47">
        <f t="shared" si="34"/>
        <v>5926</v>
      </c>
      <c r="AN36" s="28"/>
      <c r="AO36" s="6"/>
      <c r="AP36" s="6"/>
      <c r="AQ36" s="6" t="str">
        <f t="shared" si="35"/>
        <v>-</v>
      </c>
      <c r="AR36" s="6">
        <f t="shared" si="36"/>
        <v>1.5634870499052431</v>
      </c>
      <c r="AS36" s="6">
        <f t="shared" si="37"/>
        <v>1.3000374812593702</v>
      </c>
      <c r="AT36" s="4"/>
      <c r="AU36" s="4"/>
      <c r="AV36" s="4"/>
      <c r="AW36" s="4"/>
      <c r="AX36" s="4"/>
      <c r="AY36" s="4"/>
      <c r="AZ36" s="4"/>
      <c r="BA36" s="4"/>
      <c r="BB36" s="4"/>
      <c r="BC36" s="4">
        <v>0</v>
      </c>
      <c r="BD36" s="4" t="s">
        <v>140</v>
      </c>
      <c r="BE36" s="4"/>
      <c r="BF36" s="4"/>
      <c r="BG36" s="4" t="s">
        <v>140</v>
      </c>
      <c r="BH36" s="4" t="s">
        <v>140</v>
      </c>
      <c r="BI36" s="4" t="str">
        <f t="shared" si="38"/>
        <v>-</v>
      </c>
      <c r="BJ36" s="19">
        <v>2</v>
      </c>
      <c r="BK36" s="19">
        <v>8</v>
      </c>
      <c r="BL36" s="16">
        <v>18</v>
      </c>
      <c r="BM36" t="s">
        <v>141</v>
      </c>
      <c r="BN36" t="str">
        <f t="shared" si="16"/>
        <v>-</v>
      </c>
      <c r="BO36" t="s">
        <v>140</v>
      </c>
      <c r="BP36" t="str">
        <f t="shared" si="17"/>
        <v>-</v>
      </c>
      <c r="BQ36" t="s">
        <v>140</v>
      </c>
    </row>
    <row r="37" spans="1:69" x14ac:dyDescent="0.4">
      <c r="A37" s="3">
        <v>34</v>
      </c>
      <c r="B37" s="3">
        <v>34</v>
      </c>
      <c r="C37" s="4" t="s">
        <v>99</v>
      </c>
      <c r="D37" s="4" t="str">
        <f t="shared" si="24"/>
        <v>J366MF</v>
      </c>
      <c r="E37" s="4" t="s">
        <v>99</v>
      </c>
      <c r="F37" s="4" t="s">
        <v>136</v>
      </c>
      <c r="G37" s="5">
        <v>4979652498830</v>
      </c>
      <c r="H37" s="5"/>
      <c r="I37" s="5"/>
      <c r="J37" s="5">
        <v>1</v>
      </c>
      <c r="K37" s="5">
        <v>1</v>
      </c>
      <c r="L37" s="4">
        <v>0</v>
      </c>
      <c r="M37" s="4">
        <v>9189</v>
      </c>
      <c r="N37" s="4">
        <v>7648</v>
      </c>
      <c r="O37" s="6">
        <f t="shared" si="25"/>
        <v>0.16770051148111875</v>
      </c>
      <c r="P37" s="4" t="s">
        <v>141</v>
      </c>
      <c r="Q37" s="4"/>
      <c r="R37" s="4"/>
      <c r="S37" s="4"/>
      <c r="T37" s="4"/>
      <c r="U37" s="4"/>
      <c r="V37" s="4"/>
      <c r="W37" s="4"/>
      <c r="X37" s="4"/>
      <c r="Y37" s="4">
        <v>0</v>
      </c>
      <c r="Z37" s="4">
        <f t="shared" si="26"/>
        <v>0</v>
      </c>
      <c r="AA37" s="4">
        <v>9944</v>
      </c>
      <c r="AB37" s="4">
        <f t="shared" si="27"/>
        <v>9944</v>
      </c>
      <c r="AC37" s="4"/>
      <c r="AD37" s="21">
        <f t="shared" si="28"/>
        <v>11948</v>
      </c>
      <c r="AE37" s="6">
        <f t="shared" si="29"/>
        <v>0.16772681620354868</v>
      </c>
      <c r="AF37" s="33">
        <v>0</v>
      </c>
      <c r="AG37" s="4">
        <f t="shared" si="30"/>
        <v>10966</v>
      </c>
      <c r="AH37" s="33">
        <f t="shared" si="31"/>
        <v>14258.094142259413</v>
      </c>
      <c r="AI37" s="6">
        <f t="shared" si="32"/>
        <v>0.302571584898778</v>
      </c>
      <c r="AJ37" s="33">
        <f t="shared" si="12"/>
        <v>14200</v>
      </c>
      <c r="AK37" s="7">
        <v>14200</v>
      </c>
      <c r="AL37" s="6">
        <f t="shared" si="33"/>
        <v>0.29971830985915493</v>
      </c>
      <c r="AM37" s="4">
        <f t="shared" si="34"/>
        <v>4256</v>
      </c>
      <c r="AN37" s="28"/>
      <c r="AO37" s="6"/>
      <c r="AP37" s="6"/>
      <c r="AQ37" s="6" t="str">
        <f t="shared" si="35"/>
        <v>-</v>
      </c>
      <c r="AR37" s="6">
        <f t="shared" si="36"/>
        <v>1.5453259331809772</v>
      </c>
      <c r="AS37" s="6">
        <f t="shared" si="37"/>
        <v>1.3002092050209204</v>
      </c>
      <c r="AT37" s="4"/>
      <c r="AU37" s="4"/>
      <c r="AV37" s="4"/>
      <c r="AW37" s="4"/>
      <c r="AX37" s="4"/>
      <c r="AY37" s="4"/>
      <c r="AZ37" s="4"/>
      <c r="BA37" s="4"/>
      <c r="BB37" s="4"/>
      <c r="BC37" s="4">
        <v>0</v>
      </c>
      <c r="BD37" s="4" t="s">
        <v>158</v>
      </c>
      <c r="BE37" s="4"/>
      <c r="BF37" s="4"/>
      <c r="BG37" s="4" t="s">
        <v>159</v>
      </c>
      <c r="BH37" s="4">
        <v>10966</v>
      </c>
      <c r="BI37" s="4">
        <f t="shared" si="38"/>
        <v>10966</v>
      </c>
      <c r="BJ37" s="19">
        <v>4</v>
      </c>
      <c r="BK37" s="19">
        <v>8</v>
      </c>
      <c r="BL37" s="16">
        <v>18</v>
      </c>
      <c r="BM37" t="s">
        <v>141</v>
      </c>
      <c r="BN37" t="str">
        <f t="shared" si="16"/>
        <v>-</v>
      </c>
      <c r="BO37" t="s">
        <v>140</v>
      </c>
      <c r="BP37" t="str">
        <f t="shared" si="17"/>
        <v>-</v>
      </c>
      <c r="BQ37" t="s">
        <v>149</v>
      </c>
    </row>
    <row r="38" spans="1:69" x14ac:dyDescent="0.4">
      <c r="A38" s="3">
        <v>35</v>
      </c>
      <c r="B38" s="3">
        <v>35</v>
      </c>
      <c r="C38" s="4" t="s">
        <v>100</v>
      </c>
      <c r="D38" s="4" t="str">
        <f t="shared" si="24"/>
        <v>J367MF</v>
      </c>
      <c r="E38" s="4" t="s">
        <v>100</v>
      </c>
      <c r="F38" s="4" t="s">
        <v>137</v>
      </c>
      <c r="G38" s="5">
        <v>4979652498847</v>
      </c>
      <c r="H38" s="5"/>
      <c r="I38" s="5"/>
      <c r="J38" s="5">
        <v>1</v>
      </c>
      <c r="K38" s="5">
        <v>1</v>
      </c>
      <c r="L38" s="4">
        <v>0</v>
      </c>
      <c r="M38" s="4">
        <v>10532</v>
      </c>
      <c r="N38" s="4">
        <v>8385</v>
      </c>
      <c r="O38" s="6">
        <f t="shared" si="25"/>
        <v>0.20385491834409419</v>
      </c>
      <c r="P38" s="4" t="s">
        <v>141</v>
      </c>
      <c r="Q38" s="4"/>
      <c r="R38" s="4"/>
      <c r="S38" s="4"/>
      <c r="T38" s="4"/>
      <c r="U38" s="4"/>
      <c r="V38" s="4"/>
      <c r="W38" s="4"/>
      <c r="X38" s="4"/>
      <c r="Y38" s="4">
        <v>0</v>
      </c>
      <c r="Z38" s="4">
        <f t="shared" si="26"/>
        <v>0</v>
      </c>
      <c r="AA38" s="4">
        <v>10901</v>
      </c>
      <c r="AB38" s="4">
        <f t="shared" si="27"/>
        <v>10901</v>
      </c>
      <c r="AC38" s="4"/>
      <c r="AD38" s="21">
        <f t="shared" si="28"/>
        <v>13692</v>
      </c>
      <c r="AE38" s="6">
        <f t="shared" si="29"/>
        <v>0.20384165936313181</v>
      </c>
      <c r="AF38" s="33">
        <v>0.25</v>
      </c>
      <c r="AG38" s="4" t="str">
        <f t="shared" si="30"/>
        <v>-</v>
      </c>
      <c r="AH38" s="33" t="str">
        <f t="shared" si="31"/>
        <v>-</v>
      </c>
      <c r="AI38" s="6" t="str">
        <f t="shared" si="32"/>
        <v>-</v>
      </c>
      <c r="AJ38" s="33">
        <f t="shared" si="12"/>
        <v>15600</v>
      </c>
      <c r="AK38" s="7">
        <v>15600</v>
      </c>
      <c r="AL38" s="6">
        <f t="shared" si="33"/>
        <v>0.30121794871794871</v>
      </c>
      <c r="AM38" s="4">
        <f t="shared" si="34"/>
        <v>4699</v>
      </c>
      <c r="AN38" s="28"/>
      <c r="AO38" s="6"/>
      <c r="AP38" s="6"/>
      <c r="AQ38" s="6" t="str">
        <f t="shared" si="35"/>
        <v>-</v>
      </c>
      <c r="AR38" s="6">
        <f t="shared" si="36"/>
        <v>1.4812001519179643</v>
      </c>
      <c r="AS38" s="6">
        <f t="shared" si="37"/>
        <v>1.3000596302921885</v>
      </c>
      <c r="AT38" s="4"/>
      <c r="AU38" s="4"/>
      <c r="AV38" s="4"/>
      <c r="AW38" s="4"/>
      <c r="AX38" s="4"/>
      <c r="AY38" s="4"/>
      <c r="AZ38" s="4"/>
      <c r="BA38" s="4"/>
      <c r="BB38" s="4"/>
      <c r="BC38" s="4">
        <v>0</v>
      </c>
      <c r="BD38" s="4" t="s">
        <v>140</v>
      </c>
      <c r="BE38" s="4"/>
      <c r="BF38" s="4"/>
      <c r="BG38" s="4" t="s">
        <v>140</v>
      </c>
      <c r="BH38" s="4" t="s">
        <v>140</v>
      </c>
      <c r="BI38" s="4" t="str">
        <f t="shared" si="38"/>
        <v>-</v>
      </c>
      <c r="BJ38" s="19">
        <v>4</v>
      </c>
      <c r="BK38" s="19">
        <v>8</v>
      </c>
      <c r="BL38" s="16">
        <v>18</v>
      </c>
      <c r="BM38" t="s">
        <v>141</v>
      </c>
      <c r="BN38" t="str">
        <f t="shared" si="16"/>
        <v>-</v>
      </c>
      <c r="BO38" t="s">
        <v>140</v>
      </c>
      <c r="BP38" t="str">
        <f t="shared" si="17"/>
        <v>-</v>
      </c>
      <c r="BQ38" t="s">
        <v>140</v>
      </c>
    </row>
    <row r="39" spans="1:69" x14ac:dyDescent="0.4">
      <c r="A39" s="3">
        <v>36</v>
      </c>
      <c r="B39" s="3">
        <v>36</v>
      </c>
      <c r="C39" s="4" t="s">
        <v>101</v>
      </c>
      <c r="D39" s="4" t="str">
        <f t="shared" si="24"/>
        <v>J368MF</v>
      </c>
      <c r="E39" s="4" t="s">
        <v>101</v>
      </c>
      <c r="F39" s="4" t="s">
        <v>138</v>
      </c>
      <c r="G39" s="5">
        <v>4979652498854</v>
      </c>
      <c r="H39" s="5"/>
      <c r="I39" s="5"/>
      <c r="J39" s="5">
        <v>1</v>
      </c>
      <c r="K39" s="5">
        <v>1</v>
      </c>
      <c r="L39" s="4">
        <v>0</v>
      </c>
      <c r="M39" s="4">
        <v>11082</v>
      </c>
      <c r="N39" s="4">
        <v>8817</v>
      </c>
      <c r="O39" s="6">
        <f t="shared" si="25"/>
        <v>0.2043854899837575</v>
      </c>
      <c r="P39" s="4" t="s">
        <v>141</v>
      </c>
      <c r="Q39" s="4"/>
      <c r="R39" s="4"/>
      <c r="S39" s="4"/>
      <c r="T39" s="4"/>
      <c r="U39" s="4"/>
      <c r="V39" s="4"/>
      <c r="W39" s="4"/>
      <c r="X39" s="4"/>
      <c r="Y39" s="4">
        <v>0</v>
      </c>
      <c r="Z39" s="4">
        <f t="shared" si="26"/>
        <v>0</v>
      </c>
      <c r="AA39" s="4">
        <v>11464</v>
      </c>
      <c r="AB39" s="4">
        <f t="shared" si="27"/>
        <v>11464</v>
      </c>
      <c r="AC39" s="4"/>
      <c r="AD39" s="21">
        <f t="shared" si="28"/>
        <v>14409</v>
      </c>
      <c r="AE39" s="6">
        <f t="shared" si="29"/>
        <v>0.20438614754667217</v>
      </c>
      <c r="AF39" s="33">
        <v>0</v>
      </c>
      <c r="AG39" s="4" t="str">
        <f t="shared" si="30"/>
        <v>-</v>
      </c>
      <c r="AH39" s="33" t="str">
        <f t="shared" si="31"/>
        <v>-</v>
      </c>
      <c r="AI39" s="6" t="str">
        <f t="shared" si="32"/>
        <v>-</v>
      </c>
      <c r="AJ39" s="33">
        <f t="shared" si="12"/>
        <v>16400</v>
      </c>
      <c r="AK39" s="7">
        <v>16400</v>
      </c>
      <c r="AL39" s="6">
        <f t="shared" si="33"/>
        <v>0.30097560975609761</v>
      </c>
      <c r="AM39" s="4">
        <f t="shared" si="34"/>
        <v>4936</v>
      </c>
      <c r="AN39" s="28"/>
      <c r="AO39" s="6"/>
      <c r="AP39" s="6"/>
      <c r="AQ39" s="6" t="str">
        <f t="shared" si="35"/>
        <v>-</v>
      </c>
      <c r="AR39" s="6">
        <f t="shared" si="36"/>
        <v>1.4798772784695904</v>
      </c>
      <c r="AS39" s="6">
        <f t="shared" si="37"/>
        <v>1.3002154927980039</v>
      </c>
      <c r="AT39" s="4"/>
      <c r="AU39" s="4"/>
      <c r="AV39" s="4"/>
      <c r="AW39" s="4"/>
      <c r="AX39" s="4"/>
      <c r="AY39" s="4"/>
      <c r="AZ39" s="4"/>
      <c r="BA39" s="4"/>
      <c r="BB39" s="4"/>
      <c r="BC39" s="4">
        <v>0</v>
      </c>
      <c r="BD39" s="4" t="s">
        <v>140</v>
      </c>
      <c r="BE39" s="4"/>
      <c r="BF39" s="4"/>
      <c r="BG39" s="4" t="s">
        <v>140</v>
      </c>
      <c r="BH39" s="4" t="s">
        <v>140</v>
      </c>
      <c r="BI39" s="4" t="str">
        <f t="shared" si="38"/>
        <v>-</v>
      </c>
      <c r="BJ39" s="19">
        <v>4</v>
      </c>
      <c r="BK39" s="19">
        <v>8</v>
      </c>
      <c r="BL39" s="16">
        <v>18</v>
      </c>
      <c r="BM39" t="s">
        <v>141</v>
      </c>
      <c r="BN39" t="str">
        <f t="shared" si="16"/>
        <v>-</v>
      </c>
      <c r="BO39" t="s">
        <v>140</v>
      </c>
      <c r="BP39" t="str">
        <f t="shared" si="17"/>
        <v>-</v>
      </c>
      <c r="BQ39" t="s">
        <v>140</v>
      </c>
    </row>
    <row r="40" spans="1:69" x14ac:dyDescent="0.4">
      <c r="A40" s="3">
        <v>37</v>
      </c>
      <c r="B40" s="3">
        <v>37</v>
      </c>
      <c r="C40" s="4" t="s">
        <v>102</v>
      </c>
      <c r="D40" s="4" t="str">
        <f t="shared" si="24"/>
        <v>J369MF</v>
      </c>
      <c r="E40" s="4" t="s">
        <v>102</v>
      </c>
      <c r="F40" s="4" t="s">
        <v>139</v>
      </c>
      <c r="G40" s="5">
        <v>4979652498861</v>
      </c>
      <c r="H40" s="5"/>
      <c r="I40" s="5"/>
      <c r="J40" s="5">
        <v>1</v>
      </c>
      <c r="K40" s="5">
        <v>1</v>
      </c>
      <c r="L40" s="4">
        <v>0</v>
      </c>
      <c r="M40" s="4">
        <v>10729</v>
      </c>
      <c r="N40" s="4">
        <v>8538</v>
      </c>
      <c r="O40" s="6">
        <f t="shared" si="25"/>
        <v>0.20421288097679191</v>
      </c>
      <c r="P40" s="4" t="s">
        <v>141</v>
      </c>
      <c r="Q40" s="4"/>
      <c r="R40" s="4"/>
      <c r="S40" s="4"/>
      <c r="T40" s="4"/>
      <c r="U40" s="4"/>
      <c r="V40" s="4"/>
      <c r="W40" s="4"/>
      <c r="X40" s="4"/>
      <c r="Y40" s="4">
        <v>0</v>
      </c>
      <c r="Z40" s="4">
        <f t="shared" si="26"/>
        <v>0</v>
      </c>
      <c r="AA40" s="4">
        <v>11099</v>
      </c>
      <c r="AB40" s="4">
        <f t="shared" si="27"/>
        <v>11099</v>
      </c>
      <c r="AC40" s="4"/>
      <c r="AD40" s="21">
        <f t="shared" si="28"/>
        <v>13947</v>
      </c>
      <c r="AE40" s="6">
        <f t="shared" si="29"/>
        <v>0.20420162042016199</v>
      </c>
      <c r="AF40" s="33">
        <v>0</v>
      </c>
      <c r="AG40" s="4" t="str">
        <f t="shared" si="30"/>
        <v>-</v>
      </c>
      <c r="AH40" s="33" t="str">
        <f t="shared" si="31"/>
        <v>-</v>
      </c>
      <c r="AI40" s="6" t="str">
        <f t="shared" si="32"/>
        <v>-</v>
      </c>
      <c r="AJ40" s="33">
        <f t="shared" si="12"/>
        <v>15900</v>
      </c>
      <c r="AK40" s="7">
        <v>15900</v>
      </c>
      <c r="AL40" s="6">
        <f t="shared" si="33"/>
        <v>0.30194968553459123</v>
      </c>
      <c r="AM40" s="4">
        <f t="shared" si="34"/>
        <v>4801</v>
      </c>
      <c r="AN40" s="28"/>
      <c r="AO40" s="6"/>
      <c r="AP40" s="6"/>
      <c r="AQ40" s="6" t="str">
        <f t="shared" si="35"/>
        <v>-</v>
      </c>
      <c r="AR40" s="6">
        <f t="shared" si="36"/>
        <v>1.4819647683847517</v>
      </c>
      <c r="AS40" s="6">
        <f t="shared" si="37"/>
        <v>1.2999531506207542</v>
      </c>
      <c r="AT40" s="4"/>
      <c r="AU40" s="4"/>
      <c r="AV40" s="4"/>
      <c r="AW40" s="4"/>
      <c r="AX40" s="4"/>
      <c r="AY40" s="4"/>
      <c r="AZ40" s="4"/>
      <c r="BA40" s="4"/>
      <c r="BB40" s="4"/>
      <c r="BC40" s="4">
        <v>0</v>
      </c>
      <c r="BD40" s="4" t="s">
        <v>140</v>
      </c>
      <c r="BE40" s="4"/>
      <c r="BF40" s="4"/>
      <c r="BG40" s="4" t="s">
        <v>140</v>
      </c>
      <c r="BH40" s="4" t="s">
        <v>140</v>
      </c>
      <c r="BI40" s="4" t="str">
        <f t="shared" si="38"/>
        <v>-</v>
      </c>
      <c r="BJ40" s="19">
        <v>4</v>
      </c>
      <c r="BK40" s="19">
        <v>8</v>
      </c>
      <c r="BL40" s="16">
        <v>18</v>
      </c>
      <c r="BM40" t="s">
        <v>141</v>
      </c>
      <c r="BN40" t="str">
        <f t="shared" si="16"/>
        <v>-</v>
      </c>
      <c r="BO40" t="s">
        <v>140</v>
      </c>
      <c r="BP40" t="str">
        <f t="shared" si="17"/>
        <v>-</v>
      </c>
      <c r="BQ40" t="s">
        <v>140</v>
      </c>
    </row>
  </sheetData>
  <autoFilter ref="A3:BQ40" xr:uid="{7A1660CF-9003-4B2D-B659-7F339ED5B476}"/>
  <mergeCells count="3">
    <mergeCell ref="L2:O2"/>
    <mergeCell ref="J2:K2"/>
    <mergeCell ref="Y1:AB1"/>
  </mergeCells>
  <phoneticPr fontId="2"/>
  <conditionalFormatting sqref="AK4:AK40">
    <cfRule type="cellIs" dxfId="2" priority="4" operator="greaterThan">
      <formula>$Z4</formula>
    </cfRule>
  </conditionalFormatting>
  <conditionalFormatting sqref="AH4:AH40">
    <cfRule type="cellIs" dxfId="1" priority="2" operator="lessThan">
      <formula>$AK4</formula>
    </cfRule>
  </conditionalFormatting>
  <conditionalFormatting sqref="AL4:AL40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2026-06-10T08:02:15Z</dcterms:modified>
</cp:coreProperties>
</file>