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9月1日改定\"/>
    </mc:Choice>
  </mc:AlternateContent>
  <xr:revisionPtr revIDLastSave="0" documentId="13_ncr:1_{27AA3411-CD43-4B23-9199-A4979D9CB8C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Sheet1!$A$3:$BD$302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116" i="1" l="1"/>
  <c r="AN116" i="1"/>
  <c r="AO116" i="1"/>
  <c r="AM77" i="1"/>
  <c r="AN77" i="1"/>
  <c r="AO77" i="1"/>
  <c r="AM117" i="1"/>
  <c r="AN117" i="1"/>
  <c r="AO117" i="1"/>
  <c r="AM78" i="1"/>
  <c r="AN78" i="1"/>
  <c r="AO78" i="1"/>
  <c r="AM248" i="1"/>
  <c r="AN248" i="1"/>
  <c r="AO248" i="1"/>
  <c r="AM256" i="1"/>
  <c r="AN256" i="1"/>
  <c r="AO256" i="1"/>
  <c r="AM264" i="1"/>
  <c r="AN264" i="1"/>
  <c r="AO264" i="1"/>
  <c r="AM277" i="1"/>
  <c r="AN277" i="1"/>
  <c r="AO277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260" i="1"/>
  <c r="AN260" i="1"/>
  <c r="AO260" i="1"/>
  <c r="AM13" i="1"/>
  <c r="AN13" i="1"/>
  <c r="AO13" i="1"/>
  <c r="AM97" i="1"/>
  <c r="AN97" i="1"/>
  <c r="AO97" i="1"/>
  <c r="AM98" i="1"/>
  <c r="AN98" i="1"/>
  <c r="AO98" i="1"/>
  <c r="AM99" i="1"/>
  <c r="AN99" i="1"/>
  <c r="AO99" i="1"/>
  <c r="AM100" i="1"/>
  <c r="AN100" i="1"/>
  <c r="AO100" i="1"/>
  <c r="AM101" i="1"/>
  <c r="AN101" i="1"/>
  <c r="AO101" i="1"/>
  <c r="AM102" i="1"/>
  <c r="AN102" i="1"/>
  <c r="AO102" i="1"/>
  <c r="AM103" i="1"/>
  <c r="AN103" i="1"/>
  <c r="AO103" i="1"/>
  <c r="AM59" i="1"/>
  <c r="AN59" i="1"/>
  <c r="AO59" i="1"/>
  <c r="AM17" i="1"/>
  <c r="AN17" i="1"/>
  <c r="AO17" i="1"/>
  <c r="AM245" i="1"/>
  <c r="AN245" i="1"/>
  <c r="AO245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M64" i="1"/>
  <c r="AN64" i="1"/>
  <c r="AO64" i="1"/>
  <c r="AM65" i="1"/>
  <c r="AN65" i="1"/>
  <c r="AO65" i="1"/>
  <c r="AN85" i="1"/>
  <c r="AO85" i="1"/>
  <c r="AM24" i="1"/>
  <c r="AN24" i="1"/>
  <c r="AO24" i="1"/>
  <c r="AM203" i="1"/>
  <c r="AN203" i="1"/>
  <c r="AO203" i="1"/>
  <c r="AM66" i="1"/>
  <c r="AN66" i="1"/>
  <c r="AO66" i="1"/>
  <c r="AM25" i="1"/>
  <c r="AN25" i="1"/>
  <c r="AO25" i="1"/>
  <c r="AM26" i="1"/>
  <c r="AN26" i="1"/>
  <c r="AO26" i="1"/>
  <c r="AM91" i="1"/>
  <c r="AN91" i="1"/>
  <c r="AO91" i="1"/>
  <c r="AM111" i="1"/>
  <c r="AN111" i="1"/>
  <c r="AO111" i="1"/>
  <c r="AM45" i="1"/>
  <c r="AN45" i="1"/>
  <c r="AO45" i="1"/>
  <c r="AM52" i="1"/>
  <c r="AN52" i="1"/>
  <c r="AO52" i="1"/>
  <c r="AM22" i="1"/>
  <c r="AN22" i="1"/>
  <c r="AO22" i="1"/>
  <c r="AM23" i="1"/>
  <c r="AN23" i="1"/>
  <c r="AO23" i="1"/>
  <c r="AM27" i="1"/>
  <c r="AN27" i="1"/>
  <c r="AO27" i="1"/>
  <c r="AM28" i="1"/>
  <c r="AN28" i="1"/>
  <c r="AO28" i="1"/>
  <c r="AM79" i="1"/>
  <c r="AN79" i="1"/>
  <c r="AO79" i="1"/>
  <c r="AM80" i="1"/>
  <c r="AN80" i="1"/>
  <c r="AO80" i="1"/>
  <c r="AM81" i="1"/>
  <c r="AN81" i="1"/>
  <c r="AO81" i="1"/>
  <c r="AM82" i="1"/>
  <c r="AN82" i="1"/>
  <c r="AO82" i="1"/>
  <c r="AM83" i="1"/>
  <c r="AN83" i="1"/>
  <c r="AO83" i="1"/>
  <c r="AM170" i="1"/>
  <c r="AN170" i="1"/>
  <c r="AO170" i="1"/>
  <c r="AM171" i="1"/>
  <c r="AN171" i="1"/>
  <c r="AO171" i="1"/>
  <c r="AM172" i="1"/>
  <c r="AN172" i="1"/>
  <c r="AO172" i="1"/>
  <c r="AM173" i="1"/>
  <c r="AN173" i="1"/>
  <c r="AO173" i="1"/>
  <c r="AM174" i="1"/>
  <c r="AN174" i="1"/>
  <c r="AO174" i="1"/>
  <c r="AM175" i="1"/>
  <c r="AN175" i="1"/>
  <c r="AO175" i="1"/>
  <c r="AN48" i="1"/>
  <c r="AO48" i="1"/>
  <c r="AN49" i="1"/>
  <c r="AO49" i="1"/>
  <c r="AN50" i="1"/>
  <c r="AO50" i="1"/>
  <c r="AN94" i="1"/>
  <c r="AO94" i="1"/>
  <c r="AN95" i="1"/>
  <c r="AO95" i="1"/>
  <c r="AN96" i="1"/>
  <c r="AO96" i="1"/>
  <c r="AM84" i="1"/>
  <c r="AN84" i="1"/>
  <c r="AO84" i="1"/>
  <c r="AM159" i="1"/>
  <c r="AN159" i="1"/>
  <c r="AO159" i="1"/>
  <c r="AM125" i="1"/>
  <c r="AN125" i="1"/>
  <c r="AO125" i="1"/>
  <c r="AN211" i="1"/>
  <c r="AO211" i="1"/>
  <c r="AN212" i="1"/>
  <c r="AO212" i="1"/>
  <c r="AN213" i="1"/>
  <c r="AO213" i="1"/>
  <c r="AN127" i="1"/>
  <c r="AO127" i="1"/>
  <c r="AM20" i="1"/>
  <c r="AN20" i="1"/>
  <c r="AO20" i="1"/>
  <c r="AM15" i="1"/>
  <c r="AN15" i="1"/>
  <c r="AO15" i="1"/>
  <c r="AM12" i="1"/>
  <c r="AN12" i="1"/>
  <c r="AO12" i="1"/>
  <c r="AM7" i="1"/>
  <c r="AN7" i="1"/>
  <c r="AO7" i="1"/>
  <c r="AM6" i="1"/>
  <c r="AN6" i="1"/>
  <c r="AO6" i="1"/>
  <c r="AM4" i="1"/>
  <c r="AN4" i="1"/>
  <c r="AO4" i="1"/>
  <c r="AM8" i="1"/>
  <c r="AN8" i="1"/>
  <c r="AO8" i="1"/>
  <c r="AM19" i="1"/>
  <c r="AN19" i="1"/>
  <c r="AO19" i="1"/>
  <c r="AM214" i="1"/>
  <c r="AN214" i="1"/>
  <c r="AO214" i="1"/>
  <c r="AM189" i="1"/>
  <c r="AN189" i="1"/>
  <c r="AO189" i="1"/>
  <c r="AM215" i="1"/>
  <c r="AN215" i="1"/>
  <c r="AO215" i="1"/>
  <c r="AM190" i="1"/>
  <c r="AN190" i="1"/>
  <c r="AO190" i="1"/>
  <c r="AM283" i="1"/>
  <c r="AN283" i="1"/>
  <c r="AO283" i="1"/>
  <c r="AM169" i="1"/>
  <c r="AN169" i="1"/>
  <c r="AO169" i="1"/>
  <c r="AM92" i="1"/>
  <c r="AN92" i="1"/>
  <c r="AO92" i="1"/>
  <c r="AM106" i="1"/>
  <c r="AN106" i="1"/>
  <c r="AO106" i="1"/>
  <c r="AM184" i="1"/>
  <c r="AN184" i="1"/>
  <c r="AO184" i="1"/>
  <c r="AM164" i="1"/>
  <c r="AN164" i="1"/>
  <c r="AO164" i="1"/>
  <c r="AM165" i="1"/>
  <c r="AN165" i="1"/>
  <c r="AO165" i="1"/>
  <c r="AM166" i="1"/>
  <c r="AN166" i="1"/>
  <c r="AO166" i="1"/>
  <c r="AM167" i="1"/>
  <c r="AN167" i="1"/>
  <c r="AO167" i="1"/>
  <c r="AM160" i="1"/>
  <c r="AN160" i="1"/>
  <c r="AO160" i="1"/>
  <c r="AM185" i="1"/>
  <c r="AN185" i="1"/>
  <c r="AO185" i="1"/>
  <c r="AM51" i="1"/>
  <c r="AN51" i="1"/>
  <c r="AO51" i="1"/>
  <c r="AM93" i="1"/>
  <c r="AN93" i="1"/>
  <c r="AO93" i="1"/>
  <c r="AM168" i="1"/>
  <c r="AN168" i="1"/>
  <c r="AO168" i="1"/>
  <c r="AM152" i="1"/>
  <c r="AN152" i="1"/>
  <c r="AO152" i="1"/>
  <c r="AM153" i="1"/>
  <c r="AN153" i="1"/>
  <c r="AO153" i="1"/>
  <c r="AM146" i="1"/>
  <c r="AN146" i="1"/>
  <c r="AO146" i="1"/>
  <c r="AN251" i="1"/>
  <c r="AO251" i="1"/>
  <c r="AM232" i="1"/>
  <c r="AN232" i="1"/>
  <c r="AO232" i="1"/>
  <c r="AM233" i="1"/>
  <c r="AN233" i="1"/>
  <c r="AO233" i="1"/>
  <c r="AM200" i="1"/>
  <c r="AN200" i="1"/>
  <c r="AO200" i="1"/>
  <c r="AM244" i="1"/>
  <c r="AN244" i="1"/>
  <c r="AO244" i="1"/>
  <c r="AM234" i="1"/>
  <c r="AN234" i="1"/>
  <c r="AO234" i="1"/>
  <c r="AM235" i="1"/>
  <c r="AN235" i="1"/>
  <c r="AO235" i="1"/>
  <c r="AM236" i="1"/>
  <c r="AN236" i="1"/>
  <c r="AO236" i="1"/>
  <c r="AM237" i="1"/>
  <c r="AN237" i="1"/>
  <c r="AO237" i="1"/>
  <c r="AM135" i="1"/>
  <c r="AN135" i="1"/>
  <c r="AO135" i="1"/>
  <c r="AM241" i="1"/>
  <c r="AN241" i="1"/>
  <c r="AO241" i="1"/>
  <c r="AM198" i="1"/>
  <c r="AN198" i="1"/>
  <c r="AO198" i="1"/>
  <c r="AM177" i="1"/>
  <c r="AN177" i="1"/>
  <c r="AO177" i="1"/>
  <c r="AM179" i="1"/>
  <c r="AN179" i="1"/>
  <c r="AO179" i="1"/>
  <c r="AM191" i="1"/>
  <c r="AN191" i="1"/>
  <c r="AO191" i="1"/>
  <c r="AM207" i="1"/>
  <c r="AN207" i="1"/>
  <c r="AO207" i="1"/>
  <c r="AM209" i="1"/>
  <c r="AN209" i="1"/>
  <c r="AO209" i="1"/>
  <c r="AM137" i="1"/>
  <c r="AN137" i="1"/>
  <c r="AO137" i="1"/>
  <c r="AM138" i="1"/>
  <c r="AN138" i="1"/>
  <c r="AO138" i="1"/>
  <c r="AM225" i="1"/>
  <c r="AN225" i="1"/>
  <c r="AO225" i="1"/>
  <c r="AM150" i="1"/>
  <c r="AN150" i="1"/>
  <c r="AO150" i="1"/>
  <c r="AM151" i="1"/>
  <c r="AN151" i="1"/>
  <c r="AO151" i="1"/>
  <c r="AM123" i="1"/>
  <c r="AN123" i="1"/>
  <c r="AO123" i="1"/>
  <c r="AM221" i="1"/>
  <c r="AN221" i="1"/>
  <c r="AO221" i="1"/>
  <c r="AM222" i="1"/>
  <c r="AN222" i="1"/>
  <c r="AO222" i="1"/>
  <c r="AM204" i="1"/>
  <c r="AN204" i="1"/>
  <c r="AO204" i="1"/>
  <c r="AM246" i="1"/>
  <c r="AN246" i="1"/>
  <c r="AO246" i="1"/>
  <c r="AM124" i="1"/>
  <c r="AN124" i="1"/>
  <c r="AO124" i="1"/>
  <c r="AM128" i="1"/>
  <c r="AN128" i="1"/>
  <c r="AO128" i="1"/>
  <c r="AM261" i="1"/>
  <c r="AN261" i="1"/>
  <c r="AO261" i="1"/>
  <c r="AM276" i="1"/>
  <c r="AN276" i="1"/>
  <c r="AO276" i="1"/>
  <c r="AM218" i="1"/>
  <c r="AN218" i="1"/>
  <c r="AO218" i="1"/>
  <c r="AM74" i="1"/>
  <c r="AN74" i="1"/>
  <c r="AO74" i="1"/>
  <c r="AM217" i="1"/>
  <c r="AN217" i="1"/>
  <c r="AO217" i="1"/>
  <c r="AM46" i="1"/>
  <c r="AN46" i="1"/>
  <c r="AO46" i="1"/>
  <c r="AM47" i="1"/>
  <c r="AN47" i="1"/>
  <c r="AO47" i="1"/>
  <c r="AM53" i="1"/>
  <c r="AN53" i="1"/>
  <c r="AO53" i="1"/>
  <c r="AM54" i="1"/>
  <c r="AN54" i="1"/>
  <c r="AO54" i="1"/>
  <c r="AM75" i="1"/>
  <c r="AN75" i="1"/>
  <c r="AO75" i="1"/>
  <c r="AM76" i="1"/>
  <c r="AN76" i="1"/>
  <c r="AO76" i="1"/>
  <c r="AM154" i="1"/>
  <c r="AN154" i="1"/>
  <c r="AO154" i="1"/>
  <c r="AM155" i="1"/>
  <c r="AN155" i="1"/>
  <c r="AO155" i="1"/>
  <c r="AM156" i="1"/>
  <c r="AN156" i="1"/>
  <c r="AO156" i="1"/>
  <c r="AM157" i="1"/>
  <c r="AN157" i="1"/>
  <c r="AO157" i="1"/>
  <c r="AM297" i="1"/>
  <c r="AN297" i="1"/>
  <c r="AO297" i="1"/>
  <c r="AM201" i="1"/>
  <c r="AN201" i="1"/>
  <c r="AO201" i="1"/>
  <c r="AM202" i="1"/>
  <c r="AN202" i="1"/>
  <c r="AO202" i="1"/>
  <c r="AM230" i="1"/>
  <c r="AN230" i="1"/>
  <c r="AO230" i="1"/>
  <c r="AM231" i="1"/>
  <c r="AN231" i="1"/>
  <c r="AO231" i="1"/>
  <c r="AM242" i="1"/>
  <c r="AN242" i="1"/>
  <c r="AO242" i="1"/>
  <c r="AM243" i="1"/>
  <c r="AN243" i="1"/>
  <c r="AO243" i="1"/>
  <c r="AM104" i="1"/>
  <c r="AN104" i="1"/>
  <c r="AO104" i="1"/>
  <c r="AM105" i="1"/>
  <c r="AN105" i="1"/>
  <c r="AO105" i="1"/>
  <c r="AM148" i="1"/>
  <c r="AN148" i="1"/>
  <c r="AO148" i="1"/>
  <c r="AM149" i="1"/>
  <c r="AN149" i="1"/>
  <c r="AO149" i="1"/>
  <c r="AM161" i="1"/>
  <c r="AN161" i="1"/>
  <c r="AO161" i="1"/>
  <c r="AM118" i="1"/>
  <c r="AN118" i="1"/>
  <c r="AO118" i="1"/>
  <c r="AM109" i="1"/>
  <c r="AN109" i="1"/>
  <c r="AO109" i="1"/>
  <c r="AM110" i="1"/>
  <c r="AN110" i="1"/>
  <c r="AO110" i="1"/>
  <c r="AM132" i="1"/>
  <c r="AN132" i="1"/>
  <c r="AO132" i="1"/>
  <c r="AM133" i="1"/>
  <c r="AN133" i="1"/>
  <c r="AO133" i="1"/>
  <c r="AM144" i="1"/>
  <c r="AN144" i="1"/>
  <c r="AO144" i="1"/>
  <c r="AM145" i="1"/>
  <c r="AN145" i="1"/>
  <c r="AO145" i="1"/>
  <c r="AM183" i="1"/>
  <c r="AN183" i="1"/>
  <c r="AO183" i="1"/>
  <c r="AM186" i="1"/>
  <c r="AN186" i="1"/>
  <c r="AO186" i="1"/>
  <c r="AM162" i="1"/>
  <c r="AN162" i="1"/>
  <c r="AO162" i="1"/>
  <c r="AM187" i="1"/>
  <c r="AN187" i="1"/>
  <c r="AO187" i="1"/>
  <c r="AM119" i="1"/>
  <c r="AN119" i="1"/>
  <c r="AO119" i="1"/>
  <c r="AM120" i="1"/>
  <c r="AN120" i="1"/>
  <c r="AO120" i="1"/>
  <c r="AM284" i="1"/>
  <c r="AN284" i="1"/>
  <c r="AO284" i="1"/>
  <c r="AM291" i="1"/>
  <c r="AN291" i="1"/>
  <c r="AO291" i="1"/>
  <c r="AM295" i="1"/>
  <c r="AN295" i="1"/>
  <c r="AO295" i="1"/>
  <c r="AM208" i="1"/>
  <c r="AN208" i="1"/>
  <c r="AO208" i="1"/>
  <c r="AM140" i="1"/>
  <c r="AN140" i="1"/>
  <c r="AO140" i="1"/>
  <c r="AM193" i="1"/>
  <c r="AN193" i="1"/>
  <c r="AO193" i="1"/>
  <c r="AM268" i="1"/>
  <c r="AN268" i="1"/>
  <c r="AO268" i="1"/>
  <c r="AM126" i="1"/>
  <c r="AN126" i="1"/>
  <c r="AO126" i="1"/>
  <c r="AM121" i="1"/>
  <c r="AN121" i="1"/>
  <c r="AO121" i="1"/>
  <c r="AN108" i="1"/>
  <c r="AO108" i="1"/>
  <c r="AM67" i="1"/>
  <c r="AN67" i="1"/>
  <c r="AO67" i="1"/>
  <c r="AM269" i="1"/>
  <c r="AN269" i="1"/>
  <c r="AO269" i="1"/>
  <c r="AM21" i="1"/>
  <c r="AN21" i="1"/>
  <c r="AO21" i="1"/>
  <c r="AM195" i="1"/>
  <c r="AN195" i="1"/>
  <c r="AO195" i="1"/>
  <c r="AM224" i="1"/>
  <c r="AN224" i="1"/>
  <c r="AO224" i="1"/>
  <c r="AM254" i="1"/>
  <c r="AN254" i="1"/>
  <c r="AO254" i="1"/>
  <c r="AN238" i="1"/>
  <c r="AO238" i="1"/>
  <c r="AM239" i="1"/>
  <c r="AN239" i="1"/>
  <c r="AO239" i="1"/>
  <c r="AM285" i="1"/>
  <c r="AN285" i="1"/>
  <c r="AO285" i="1"/>
  <c r="AM107" i="1"/>
  <c r="AN107" i="1"/>
  <c r="AO107" i="1"/>
  <c r="AM205" i="1"/>
  <c r="AN205" i="1"/>
  <c r="AO205" i="1"/>
  <c r="AN181" i="1"/>
  <c r="AO181" i="1"/>
  <c r="AM275" i="1"/>
  <c r="AN275" i="1"/>
  <c r="AO275" i="1"/>
  <c r="AM122" i="1"/>
  <c r="AN122" i="1"/>
  <c r="AO122" i="1"/>
  <c r="AM89" i="1"/>
  <c r="AN89" i="1"/>
  <c r="AO89" i="1"/>
  <c r="AM90" i="1"/>
  <c r="AN90" i="1"/>
  <c r="AO90" i="1"/>
  <c r="AM178" i="1"/>
  <c r="AN178" i="1"/>
  <c r="AO178" i="1"/>
  <c r="AN197" i="1"/>
  <c r="AO197" i="1"/>
  <c r="AM182" i="1"/>
  <c r="AN182" i="1"/>
  <c r="AO182" i="1"/>
  <c r="AM266" i="1"/>
  <c r="AN266" i="1"/>
  <c r="AO266" i="1"/>
  <c r="AM278" i="1"/>
  <c r="AN278" i="1"/>
  <c r="AO278" i="1"/>
  <c r="AM289" i="1"/>
  <c r="AN289" i="1"/>
  <c r="AO289" i="1"/>
  <c r="AM55" i="1"/>
  <c r="AN55" i="1"/>
  <c r="AO55" i="1"/>
  <c r="AM56" i="1"/>
  <c r="AN56" i="1"/>
  <c r="AO56" i="1"/>
  <c r="AM176" i="1"/>
  <c r="AN176" i="1"/>
  <c r="AO176" i="1"/>
  <c r="AM86" i="1"/>
  <c r="AN86" i="1"/>
  <c r="AO86" i="1"/>
  <c r="AM87" i="1"/>
  <c r="AN87" i="1"/>
  <c r="AO87" i="1"/>
  <c r="AN129" i="1"/>
  <c r="AO129" i="1"/>
  <c r="AN130" i="1"/>
  <c r="AO130" i="1"/>
  <c r="AM88" i="1"/>
  <c r="AN88" i="1"/>
  <c r="AO88" i="1"/>
  <c r="AM68" i="1"/>
  <c r="AN68" i="1"/>
  <c r="AO68" i="1"/>
  <c r="AM69" i="1"/>
  <c r="AN69" i="1"/>
  <c r="AO69" i="1"/>
  <c r="AM70" i="1"/>
  <c r="AN70" i="1"/>
  <c r="AO70" i="1"/>
  <c r="AM71" i="1"/>
  <c r="AN71" i="1"/>
  <c r="AO71" i="1"/>
  <c r="AM141" i="1"/>
  <c r="AN141" i="1"/>
  <c r="AO141" i="1"/>
  <c r="AM142" i="1"/>
  <c r="AN142" i="1"/>
  <c r="AO142" i="1"/>
  <c r="AM143" i="1"/>
  <c r="AN143" i="1"/>
  <c r="AO143" i="1"/>
  <c r="AM199" i="1"/>
  <c r="AN199" i="1"/>
  <c r="AO199" i="1"/>
  <c r="AM210" i="1"/>
  <c r="AN210" i="1"/>
  <c r="AO210" i="1"/>
  <c r="AM216" i="1"/>
  <c r="AN216" i="1"/>
  <c r="AO216" i="1"/>
  <c r="AM206" i="1"/>
  <c r="AN206" i="1"/>
  <c r="AO206" i="1"/>
  <c r="AM73" i="1"/>
  <c r="AN73" i="1"/>
  <c r="AO73" i="1"/>
  <c r="AM44" i="1"/>
  <c r="AN44" i="1"/>
  <c r="AO44" i="1"/>
  <c r="AM253" i="1"/>
  <c r="AN253" i="1"/>
  <c r="AO253" i="1"/>
  <c r="AM262" i="1"/>
  <c r="AN262" i="1"/>
  <c r="AO262" i="1"/>
  <c r="AM267" i="1"/>
  <c r="AN267" i="1"/>
  <c r="AO267" i="1"/>
  <c r="AM279" i="1"/>
  <c r="AN279" i="1"/>
  <c r="AO279" i="1"/>
  <c r="AM290" i="1"/>
  <c r="AN290" i="1"/>
  <c r="AO290" i="1"/>
  <c r="AM139" i="1"/>
  <c r="AN139" i="1"/>
  <c r="AO139" i="1"/>
  <c r="AN131" i="1"/>
  <c r="AO131" i="1"/>
  <c r="AM147" i="1"/>
  <c r="AN147" i="1"/>
  <c r="AO147" i="1"/>
  <c r="AM114" i="1"/>
  <c r="AN114" i="1"/>
  <c r="AO114" i="1"/>
  <c r="AM58" i="1"/>
  <c r="AN58" i="1"/>
  <c r="AO58" i="1"/>
  <c r="AM192" i="1"/>
  <c r="AN192" i="1"/>
  <c r="AO192" i="1"/>
  <c r="AM220" i="1"/>
  <c r="AN220" i="1"/>
  <c r="AO220" i="1"/>
  <c r="AM112" i="1"/>
  <c r="AN112" i="1"/>
  <c r="AO112" i="1"/>
  <c r="AM113" i="1"/>
  <c r="AN113" i="1"/>
  <c r="AO113" i="1"/>
  <c r="AM247" i="1"/>
  <c r="AN247" i="1"/>
  <c r="AO247" i="1"/>
  <c r="AM249" i="1"/>
  <c r="AN249" i="1"/>
  <c r="AO249" i="1"/>
  <c r="AM258" i="1"/>
  <c r="AN258" i="1"/>
  <c r="AO258" i="1"/>
  <c r="AM250" i="1"/>
  <c r="AN250" i="1"/>
  <c r="AO250" i="1"/>
  <c r="AM259" i="1"/>
  <c r="AN259" i="1"/>
  <c r="AO259" i="1"/>
  <c r="AM252" i="1"/>
  <c r="AN252" i="1"/>
  <c r="AO252" i="1"/>
  <c r="AM255" i="1"/>
  <c r="AN255" i="1"/>
  <c r="AO255" i="1"/>
  <c r="AM263" i="1"/>
  <c r="AN263" i="1"/>
  <c r="AO263" i="1"/>
  <c r="AM286" i="1"/>
  <c r="AN286" i="1"/>
  <c r="AO286" i="1"/>
  <c r="AM292" i="1"/>
  <c r="AN292" i="1"/>
  <c r="AO292" i="1"/>
  <c r="AM296" i="1"/>
  <c r="AN296" i="1"/>
  <c r="AO296" i="1"/>
  <c r="AM219" i="1"/>
  <c r="AN219" i="1"/>
  <c r="AO219" i="1"/>
  <c r="AM163" i="1"/>
  <c r="AN163" i="1"/>
  <c r="AO163" i="1"/>
  <c r="AM5" i="1"/>
  <c r="AN5" i="1"/>
  <c r="AO5" i="1"/>
  <c r="AM18" i="1"/>
  <c r="AN18" i="1"/>
  <c r="AO18" i="1"/>
  <c r="AM11" i="1"/>
  <c r="AN11" i="1"/>
  <c r="AO11" i="1"/>
  <c r="AM72" i="1"/>
  <c r="AN72" i="1"/>
  <c r="AO72" i="1"/>
  <c r="AM270" i="1"/>
  <c r="AN270" i="1"/>
  <c r="AO270" i="1"/>
  <c r="AM271" i="1"/>
  <c r="AN271" i="1"/>
  <c r="AO271" i="1"/>
  <c r="AM272" i="1"/>
  <c r="AN272" i="1"/>
  <c r="AO272" i="1"/>
  <c r="AM273" i="1"/>
  <c r="AN273" i="1"/>
  <c r="AO273" i="1"/>
  <c r="AM300" i="1"/>
  <c r="AN300" i="1"/>
  <c r="AO300" i="1"/>
  <c r="AM301" i="1"/>
  <c r="AN301" i="1"/>
  <c r="AO301" i="1"/>
  <c r="AM302" i="1"/>
  <c r="AN302" i="1"/>
  <c r="AO302" i="1"/>
  <c r="AM265" i="1"/>
  <c r="AN265" i="1"/>
  <c r="AO265" i="1"/>
  <c r="AM280" i="1"/>
  <c r="AN280" i="1"/>
  <c r="AO280" i="1"/>
  <c r="AM298" i="1"/>
  <c r="AN298" i="1"/>
  <c r="AO298" i="1"/>
  <c r="AM274" i="1"/>
  <c r="AN274" i="1"/>
  <c r="AO274" i="1"/>
  <c r="AM281" i="1"/>
  <c r="AN281" i="1"/>
  <c r="AO281" i="1"/>
  <c r="AM282" i="1"/>
  <c r="AN282" i="1"/>
  <c r="AO282" i="1"/>
  <c r="AM294" i="1"/>
  <c r="AN294" i="1"/>
  <c r="AO294" i="1"/>
  <c r="AM287" i="1"/>
  <c r="AN287" i="1"/>
  <c r="AO287" i="1"/>
  <c r="AM288" i="1"/>
  <c r="AN288" i="1"/>
  <c r="AO288" i="1"/>
  <c r="AM293" i="1"/>
  <c r="AN293" i="1"/>
  <c r="AO293" i="1"/>
  <c r="AM14" i="1"/>
  <c r="AN14" i="1"/>
  <c r="AO14" i="1"/>
  <c r="AM9" i="1"/>
  <c r="AN9" i="1"/>
  <c r="AO9" i="1"/>
  <c r="AM299" i="1"/>
  <c r="AN299" i="1"/>
  <c r="AO299" i="1"/>
  <c r="AM134" i="1"/>
  <c r="AN134" i="1"/>
  <c r="AO134" i="1"/>
  <c r="AM188" i="1"/>
  <c r="AN188" i="1"/>
  <c r="AO188" i="1"/>
  <c r="AM223" i="1"/>
  <c r="AN223" i="1"/>
  <c r="AO223" i="1"/>
  <c r="AM227" i="1"/>
  <c r="AN227" i="1"/>
  <c r="AO227" i="1"/>
  <c r="AM228" i="1"/>
  <c r="AN228" i="1"/>
  <c r="AO228" i="1"/>
  <c r="AM57" i="1"/>
  <c r="AN57" i="1"/>
  <c r="AO57" i="1"/>
  <c r="AM194" i="1"/>
  <c r="AN194" i="1"/>
  <c r="AO194" i="1"/>
  <c r="AM226" i="1"/>
  <c r="AN226" i="1"/>
  <c r="AO226" i="1"/>
  <c r="AM115" i="1"/>
  <c r="AN115" i="1"/>
  <c r="AO115" i="1"/>
  <c r="AM196" i="1"/>
  <c r="AN196" i="1"/>
  <c r="AO196" i="1"/>
  <c r="AM136" i="1"/>
  <c r="AN136" i="1"/>
  <c r="AO136" i="1"/>
  <c r="AM229" i="1"/>
  <c r="AN229" i="1"/>
  <c r="AO229" i="1"/>
  <c r="AM158" i="1"/>
  <c r="AN158" i="1"/>
  <c r="AO158" i="1"/>
  <c r="AM240" i="1"/>
  <c r="AN240" i="1"/>
  <c r="AO240" i="1"/>
  <c r="AM257" i="1"/>
  <c r="AN257" i="1"/>
  <c r="AO257" i="1"/>
  <c r="AM16" i="1"/>
  <c r="AN16" i="1"/>
  <c r="AO16" i="1"/>
  <c r="AM10" i="1"/>
  <c r="AN10" i="1"/>
  <c r="AO10" i="1"/>
  <c r="AO180" i="1"/>
  <c r="AN180" i="1"/>
  <c r="AM180" i="1"/>
  <c r="AV65" i="1"/>
  <c r="AA65" i="1" s="1"/>
  <c r="AV66" i="1"/>
  <c r="AA66" i="1" s="1"/>
  <c r="AV91" i="1"/>
  <c r="AA91" i="1" s="1"/>
  <c r="AV111" i="1"/>
  <c r="AA111" i="1" s="1"/>
  <c r="AV23" i="1"/>
  <c r="AA23" i="1" s="1"/>
  <c r="AV79" i="1"/>
  <c r="AA79" i="1" s="1"/>
  <c r="AV81" i="1"/>
  <c r="AA81" i="1" s="1"/>
  <c r="AV173" i="1"/>
  <c r="AA173" i="1" s="1"/>
  <c r="AV175" i="1"/>
  <c r="AA175" i="1" s="1"/>
  <c r="AV96" i="1"/>
  <c r="AA96" i="1" s="1"/>
  <c r="AV159" i="1"/>
  <c r="AA159" i="1" s="1"/>
  <c r="AV20" i="1"/>
  <c r="AA20" i="1" s="1"/>
  <c r="AV12" i="1"/>
  <c r="AA12" i="1" s="1"/>
  <c r="AV214" i="1"/>
  <c r="AA214" i="1" s="1"/>
  <c r="AV215" i="1"/>
  <c r="AA215" i="1" s="1"/>
  <c r="AV184" i="1"/>
  <c r="AA184" i="1" s="1"/>
  <c r="AV165" i="1"/>
  <c r="AA165" i="1" s="1"/>
  <c r="AV93" i="1"/>
  <c r="AA93" i="1" s="1"/>
  <c r="AV152" i="1"/>
  <c r="AA152" i="1" s="1"/>
  <c r="AV200" i="1"/>
  <c r="AA200" i="1" s="1"/>
  <c r="AV244" i="1"/>
  <c r="AA244" i="1" s="1"/>
  <c r="AV237" i="1"/>
  <c r="AA237" i="1" s="1"/>
  <c r="AV198" i="1"/>
  <c r="AA198" i="1" s="1"/>
  <c r="AV177" i="1"/>
  <c r="AA177" i="1" s="1"/>
  <c r="AV209" i="1"/>
  <c r="AA209" i="1" s="1"/>
  <c r="AV225" i="1"/>
  <c r="AA225" i="1" s="1"/>
  <c r="AV150" i="1"/>
  <c r="AA150" i="1" s="1"/>
  <c r="AV222" i="1"/>
  <c r="AA222" i="1" s="1"/>
  <c r="AV124" i="1"/>
  <c r="AA124" i="1" s="1"/>
  <c r="AV128" i="1"/>
  <c r="AA128" i="1" s="1"/>
  <c r="AV74" i="1"/>
  <c r="AA74" i="1" s="1"/>
  <c r="AV47" i="1"/>
  <c r="AA47" i="1" s="1"/>
  <c r="AV54" i="1"/>
  <c r="AA54" i="1" s="1"/>
  <c r="AV157" i="1"/>
  <c r="AA157" i="1" s="1"/>
  <c r="AV201" i="1"/>
  <c r="AA201" i="1" s="1"/>
  <c r="AV242" i="1"/>
  <c r="AA242" i="1" s="1"/>
  <c r="AV104" i="1"/>
  <c r="AA104" i="1" s="1"/>
  <c r="AV105" i="1"/>
  <c r="AA105" i="1" s="1"/>
  <c r="AV148" i="1"/>
  <c r="AA148" i="1" s="1"/>
  <c r="AV118" i="1"/>
  <c r="AA118" i="1" s="1"/>
  <c r="AV132" i="1"/>
  <c r="AA132" i="1" s="1"/>
  <c r="AV133" i="1"/>
  <c r="AA133" i="1" s="1"/>
  <c r="AV186" i="1"/>
  <c r="AA186" i="1" s="1"/>
  <c r="AV119" i="1"/>
  <c r="AA119" i="1" s="1"/>
  <c r="AV120" i="1"/>
  <c r="AA120" i="1" s="1"/>
  <c r="AV208" i="1"/>
  <c r="AA208" i="1" s="1"/>
  <c r="AV268" i="1"/>
  <c r="AA268" i="1" s="1"/>
  <c r="AV126" i="1"/>
  <c r="AA126" i="1" s="1"/>
  <c r="AV269" i="1"/>
  <c r="AA269" i="1" s="1"/>
  <c r="AV224" i="1"/>
  <c r="AA224" i="1" s="1"/>
  <c r="AV254" i="1"/>
  <c r="AA254" i="1" s="1"/>
  <c r="AV107" i="1"/>
  <c r="AA107" i="1" s="1"/>
  <c r="AV275" i="1"/>
  <c r="AA275" i="1" s="1"/>
  <c r="AV122" i="1"/>
  <c r="AA122" i="1" s="1"/>
  <c r="AV197" i="1"/>
  <c r="AA197" i="1" s="1"/>
  <c r="AV278" i="1"/>
  <c r="AA278" i="1" s="1"/>
  <c r="AV289" i="1"/>
  <c r="AA289" i="1" s="1"/>
  <c r="AV87" i="1"/>
  <c r="AA87" i="1" s="1"/>
  <c r="AV130" i="1"/>
  <c r="AA130" i="1" s="1"/>
  <c r="AV68" i="1"/>
  <c r="AA68" i="1" s="1"/>
  <c r="AV141" i="1"/>
  <c r="AA141" i="1" s="1"/>
  <c r="AV143" i="1"/>
  <c r="AA143" i="1" s="1"/>
  <c r="AV210" i="1"/>
  <c r="AA210" i="1" s="1"/>
  <c r="AV44" i="1"/>
  <c r="AA44" i="1" s="1"/>
  <c r="AV262" i="1"/>
  <c r="AA262" i="1" s="1"/>
  <c r="AV279" i="1"/>
  <c r="AA279" i="1" s="1"/>
  <c r="AV147" i="1"/>
  <c r="AA147" i="1" s="1"/>
  <c r="AV58" i="1"/>
  <c r="AA58" i="1" s="1"/>
  <c r="AV220" i="1"/>
  <c r="AA220" i="1" s="1"/>
  <c r="AV247" i="1"/>
  <c r="AA247" i="1" s="1"/>
  <c r="AV258" i="1"/>
  <c r="AA258" i="1" s="1"/>
  <c r="AV250" i="1"/>
  <c r="AA250" i="1" s="1"/>
  <c r="AV259" i="1"/>
  <c r="AA259" i="1" s="1"/>
  <c r="AV286" i="1"/>
  <c r="AA286" i="1" s="1"/>
  <c r="AV296" i="1"/>
  <c r="AA296" i="1" s="1"/>
  <c r="AV219" i="1"/>
  <c r="AA219" i="1" s="1"/>
  <c r="AV163" i="1"/>
  <c r="AA163" i="1" s="1"/>
  <c r="AV72" i="1"/>
  <c r="AA72" i="1" s="1"/>
  <c r="AV271" i="1"/>
  <c r="AA271" i="1" s="1"/>
  <c r="AV272" i="1"/>
  <c r="AA272" i="1" s="1"/>
  <c r="AV300" i="1"/>
  <c r="AA300" i="1" s="1"/>
  <c r="AV298" i="1"/>
  <c r="AA298" i="1" s="1"/>
  <c r="AV274" i="1"/>
  <c r="AA274" i="1" s="1"/>
  <c r="AV281" i="1"/>
  <c r="AA281" i="1" s="1"/>
  <c r="AV288" i="1"/>
  <c r="AA288" i="1" s="1"/>
  <c r="AV293" i="1"/>
  <c r="AA293" i="1" s="1"/>
  <c r="AV134" i="1"/>
  <c r="AA134" i="1" s="1"/>
  <c r="AV227" i="1"/>
  <c r="AA227" i="1" s="1"/>
  <c r="AV228" i="1"/>
  <c r="AA228" i="1" s="1"/>
  <c r="AV229" i="1"/>
  <c r="AA229" i="1" s="1"/>
  <c r="AV257" i="1"/>
  <c r="AA257" i="1" s="1"/>
  <c r="AV16" i="1"/>
  <c r="AA16" i="1" s="1"/>
  <c r="T23" i="1"/>
  <c r="AJ23" i="1" s="1"/>
  <c r="T233" i="1"/>
  <c r="AJ233" i="1" s="1"/>
  <c r="T235" i="1"/>
  <c r="AJ235" i="1" s="1"/>
  <c r="T237" i="1"/>
  <c r="AJ237" i="1" s="1"/>
  <c r="T47" i="1"/>
  <c r="AJ47" i="1" s="1"/>
  <c r="T54" i="1"/>
  <c r="AJ54" i="1" s="1"/>
  <c r="T76" i="1"/>
  <c r="AJ76" i="1" s="1"/>
  <c r="T155" i="1"/>
  <c r="AJ155" i="1" s="1"/>
  <c r="T157" i="1"/>
  <c r="AJ157" i="1" s="1"/>
  <c r="T202" i="1"/>
  <c r="AJ202" i="1" s="1"/>
  <c r="T231" i="1"/>
  <c r="AJ231" i="1" s="1"/>
  <c r="T243" i="1"/>
  <c r="AJ243" i="1" s="1"/>
  <c r="T105" i="1"/>
  <c r="AJ105" i="1" s="1"/>
  <c r="T149" i="1"/>
  <c r="AJ149" i="1" s="1"/>
  <c r="T56" i="1"/>
  <c r="AJ56" i="1" s="1"/>
  <c r="T113" i="1"/>
  <c r="AJ113" i="1" s="1"/>
  <c r="O149" i="1"/>
  <c r="O56" i="1"/>
  <c r="AK113" i="1"/>
  <c r="O113" i="1"/>
  <c r="AK23" i="1"/>
  <c r="I233" i="1"/>
  <c r="I235" i="1"/>
  <c r="I237" i="1"/>
  <c r="I47" i="1"/>
  <c r="I54" i="1"/>
  <c r="I76" i="1"/>
  <c r="I155" i="1"/>
  <c r="I157" i="1"/>
  <c r="I202" i="1"/>
  <c r="I231" i="1"/>
  <c r="I243" i="1"/>
  <c r="I105" i="1"/>
  <c r="I149" i="1"/>
  <c r="I56" i="1"/>
  <c r="I113" i="1"/>
  <c r="I23" i="1"/>
  <c r="AV113" i="1"/>
  <c r="AA113" i="1" s="1"/>
  <c r="V113" i="1"/>
  <c r="D113" i="1"/>
  <c r="AV56" i="1"/>
  <c r="AA56" i="1" s="1"/>
  <c r="AK56" i="1"/>
  <c r="V56" i="1"/>
  <c r="D56" i="1"/>
  <c r="AV149" i="1"/>
  <c r="AA149" i="1" s="1"/>
  <c r="AK149" i="1"/>
  <c r="V149" i="1"/>
  <c r="D149" i="1"/>
  <c r="AK105" i="1"/>
  <c r="V105" i="1"/>
  <c r="AL105" i="1" s="1"/>
  <c r="X105" i="1" s="1"/>
  <c r="O105" i="1"/>
  <c r="D105" i="1"/>
  <c r="AV243" i="1"/>
  <c r="AA243" i="1" s="1"/>
  <c r="AK243" i="1"/>
  <c r="V243" i="1"/>
  <c r="AL243" i="1" s="1"/>
  <c r="X243" i="1" s="1"/>
  <c r="O243" i="1"/>
  <c r="D243" i="1"/>
  <c r="O273" i="1"/>
  <c r="O302" i="1"/>
  <c r="O281" i="1"/>
  <c r="O287" i="1"/>
  <c r="AK299" i="1"/>
  <c r="O223" i="1"/>
  <c r="O227" i="1"/>
  <c r="O228" i="1"/>
  <c r="AK57" i="1"/>
  <c r="O194" i="1"/>
  <c r="AK226" i="1"/>
  <c r="AK115" i="1"/>
  <c r="AK136" i="1"/>
  <c r="O136" i="1"/>
  <c r="O158" i="1"/>
  <c r="O240" i="1"/>
  <c r="O257" i="1"/>
  <c r="AK16" i="1"/>
  <c r="AK10" i="1"/>
  <c r="AV231" i="1"/>
  <c r="AA231" i="1" s="1"/>
  <c r="AK231" i="1"/>
  <c r="V231" i="1"/>
  <c r="AF231" i="1" s="1"/>
  <c r="O231" i="1"/>
  <c r="D231" i="1"/>
  <c r="AV202" i="1"/>
  <c r="AA202" i="1" s="1"/>
  <c r="AK202" i="1"/>
  <c r="V202" i="1"/>
  <c r="AF202" i="1" s="1"/>
  <c r="O202" i="1"/>
  <c r="D202" i="1"/>
  <c r="AK157" i="1"/>
  <c r="V157" i="1"/>
  <c r="AF157" i="1" s="1"/>
  <c r="O157" i="1"/>
  <c r="D157" i="1"/>
  <c r="AV155" i="1"/>
  <c r="AA155" i="1" s="1"/>
  <c r="AK155" i="1"/>
  <c r="V155" i="1"/>
  <c r="AF155" i="1" s="1"/>
  <c r="O155" i="1"/>
  <c r="D155" i="1"/>
  <c r="AV76" i="1"/>
  <c r="AA76" i="1" s="1"/>
  <c r="AK76" i="1"/>
  <c r="V76" i="1"/>
  <c r="AF76" i="1" s="1"/>
  <c r="O76" i="1"/>
  <c r="D76" i="1"/>
  <c r="AK54" i="1"/>
  <c r="V54" i="1"/>
  <c r="AF54" i="1" s="1"/>
  <c r="O54" i="1"/>
  <c r="D54" i="1"/>
  <c r="AK47" i="1"/>
  <c r="V47" i="1"/>
  <c r="AF47" i="1" s="1"/>
  <c r="O47" i="1"/>
  <c r="D47" i="1"/>
  <c r="AK237" i="1"/>
  <c r="V237" i="1"/>
  <c r="AF237" i="1" s="1"/>
  <c r="O237" i="1"/>
  <c r="D237" i="1"/>
  <c r="AV235" i="1"/>
  <c r="AA235" i="1" s="1"/>
  <c r="AK235" i="1"/>
  <c r="V235" i="1"/>
  <c r="AF235" i="1" s="1"/>
  <c r="O235" i="1"/>
  <c r="D235" i="1"/>
  <c r="AV233" i="1"/>
  <c r="AA233" i="1" s="1"/>
  <c r="AK233" i="1"/>
  <c r="V233" i="1"/>
  <c r="AF233" i="1" s="1"/>
  <c r="O233" i="1"/>
  <c r="D233" i="1"/>
  <c r="V23" i="1"/>
  <c r="AF23" i="1" s="1"/>
  <c r="D23" i="1"/>
  <c r="AV10" i="1"/>
  <c r="AA10" i="1" s="1"/>
  <c r="V10" i="1"/>
  <c r="AF10" i="1" s="1"/>
  <c r="T10" i="1"/>
  <c r="AJ10" i="1" s="1"/>
  <c r="D10" i="1"/>
  <c r="V16" i="1"/>
  <c r="AF16" i="1" s="1"/>
  <c r="T16" i="1"/>
  <c r="AJ16" i="1" s="1"/>
  <c r="D16" i="1"/>
  <c r="AK257" i="1"/>
  <c r="V257" i="1"/>
  <c r="AF257" i="1" s="1"/>
  <c r="T257" i="1"/>
  <c r="AJ257" i="1" s="1"/>
  <c r="D257" i="1"/>
  <c r="AV240" i="1"/>
  <c r="AA240" i="1" s="1"/>
  <c r="AK240" i="1"/>
  <c r="V240" i="1"/>
  <c r="AF240" i="1" s="1"/>
  <c r="T240" i="1"/>
  <c r="AJ240" i="1" s="1"/>
  <c r="D240" i="1"/>
  <c r="AV158" i="1"/>
  <c r="AA158" i="1" s="1"/>
  <c r="V158" i="1"/>
  <c r="AF158" i="1" s="1"/>
  <c r="T158" i="1"/>
  <c r="AJ158" i="1" s="1"/>
  <c r="D158" i="1"/>
  <c r="AK229" i="1"/>
  <c r="V229" i="1"/>
  <c r="AF229" i="1" s="1"/>
  <c r="T229" i="1"/>
  <c r="AJ229" i="1" s="1"/>
  <c r="O229" i="1"/>
  <c r="D229" i="1"/>
  <c r="AV136" i="1"/>
  <c r="AA136" i="1" s="1"/>
  <c r="V136" i="1"/>
  <c r="AF136" i="1" s="1"/>
  <c r="T136" i="1"/>
  <c r="AJ136" i="1" s="1"/>
  <c r="D136" i="1"/>
  <c r="AV196" i="1"/>
  <c r="AA196" i="1" s="1"/>
  <c r="AK196" i="1"/>
  <c r="V196" i="1"/>
  <c r="AF196" i="1" s="1"/>
  <c r="T196" i="1"/>
  <c r="AJ196" i="1" s="1"/>
  <c r="O196" i="1"/>
  <c r="D196" i="1"/>
  <c r="AV115" i="1"/>
  <c r="AA115" i="1" s="1"/>
  <c r="V115" i="1"/>
  <c r="AF115" i="1" s="1"/>
  <c r="T115" i="1"/>
  <c r="AJ115" i="1" s="1"/>
  <c r="O115" i="1"/>
  <c r="D115" i="1"/>
  <c r="AV226" i="1"/>
  <c r="AA226" i="1" s="1"/>
  <c r="V226" i="1"/>
  <c r="AF226" i="1" s="1"/>
  <c r="T226" i="1"/>
  <c r="AJ226" i="1" s="1"/>
  <c r="O226" i="1"/>
  <c r="D226" i="1"/>
  <c r="AV194" i="1"/>
  <c r="AA194" i="1" s="1"/>
  <c r="AK194" i="1"/>
  <c r="V194" i="1"/>
  <c r="AF194" i="1" s="1"/>
  <c r="T194" i="1"/>
  <c r="AJ194" i="1" s="1"/>
  <c r="D194" i="1"/>
  <c r="AV57" i="1"/>
  <c r="AA57" i="1" s="1"/>
  <c r="V57" i="1"/>
  <c r="AF57" i="1" s="1"/>
  <c r="T57" i="1"/>
  <c r="AJ57" i="1" s="1"/>
  <c r="D57" i="1"/>
  <c r="V228" i="1"/>
  <c r="AF228" i="1" s="1"/>
  <c r="T228" i="1"/>
  <c r="AJ228" i="1" s="1"/>
  <c r="D228" i="1"/>
  <c r="AK227" i="1"/>
  <c r="V227" i="1"/>
  <c r="T227" i="1"/>
  <c r="AJ227" i="1" s="1"/>
  <c r="D227" i="1"/>
  <c r="AV223" i="1"/>
  <c r="AA223" i="1" s="1"/>
  <c r="AK223" i="1"/>
  <c r="V223" i="1"/>
  <c r="T223" i="1"/>
  <c r="AJ223" i="1" s="1"/>
  <c r="D223" i="1"/>
  <c r="AV188" i="1"/>
  <c r="AA188" i="1" s="1"/>
  <c r="AK188" i="1"/>
  <c r="V188" i="1"/>
  <c r="AL188" i="1" s="1"/>
  <c r="X188" i="1" s="1"/>
  <c r="T188" i="1"/>
  <c r="AJ188" i="1" s="1"/>
  <c r="O188" i="1"/>
  <c r="D188" i="1"/>
  <c r="AK134" i="1"/>
  <c r="V134" i="1"/>
  <c r="AL134" i="1" s="1"/>
  <c r="X134" i="1" s="1"/>
  <c r="T134" i="1"/>
  <c r="AJ134" i="1" s="1"/>
  <c r="O134" i="1"/>
  <c r="D134" i="1"/>
  <c r="AV299" i="1"/>
  <c r="AA299" i="1" s="1"/>
  <c r="V299" i="1"/>
  <c r="AL299" i="1" s="1"/>
  <c r="BC299" i="1" s="1"/>
  <c r="T299" i="1"/>
  <c r="AJ299" i="1" s="1"/>
  <c r="O299" i="1"/>
  <c r="D299" i="1"/>
  <c r="AV9" i="1"/>
  <c r="AA9" i="1" s="1"/>
  <c r="AK9" i="1"/>
  <c r="V9" i="1"/>
  <c r="AL9" i="1" s="1"/>
  <c r="X9" i="1" s="1"/>
  <c r="T9" i="1"/>
  <c r="AJ9" i="1" s="1"/>
  <c r="O9" i="1"/>
  <c r="D9" i="1"/>
  <c r="AV14" i="1"/>
  <c r="AA14" i="1" s="1"/>
  <c r="AK14" i="1"/>
  <c r="V14" i="1"/>
  <c r="AL14" i="1" s="1"/>
  <c r="X14" i="1" s="1"/>
  <c r="T14" i="1"/>
  <c r="AJ14" i="1" s="1"/>
  <c r="O14" i="1"/>
  <c r="D14" i="1"/>
  <c r="AK293" i="1"/>
  <c r="V293" i="1"/>
  <c r="AL293" i="1" s="1"/>
  <c r="X293" i="1" s="1"/>
  <c r="T293" i="1"/>
  <c r="AJ293" i="1" s="1"/>
  <c r="O293" i="1"/>
  <c r="D293" i="1"/>
  <c r="AK288" i="1"/>
  <c r="V288" i="1"/>
  <c r="AL288" i="1" s="1"/>
  <c r="X288" i="1" s="1"/>
  <c r="T288" i="1"/>
  <c r="AJ288" i="1" s="1"/>
  <c r="O288" i="1"/>
  <c r="D288" i="1"/>
  <c r="AV287" i="1"/>
  <c r="AA287" i="1" s="1"/>
  <c r="AK287" i="1"/>
  <c r="V287" i="1"/>
  <c r="T287" i="1"/>
  <c r="AJ287" i="1" s="1"/>
  <c r="D287" i="1"/>
  <c r="AV294" i="1"/>
  <c r="AA294" i="1" s="1"/>
  <c r="AK294" i="1"/>
  <c r="V294" i="1"/>
  <c r="T294" i="1"/>
  <c r="AJ294" i="1" s="1"/>
  <c r="O294" i="1"/>
  <c r="D294" i="1"/>
  <c r="AV282" i="1"/>
  <c r="AA282" i="1" s="1"/>
  <c r="AK282" i="1"/>
  <c r="V282" i="1"/>
  <c r="T282" i="1"/>
  <c r="AJ282" i="1" s="1"/>
  <c r="O282" i="1"/>
  <c r="D282" i="1"/>
  <c r="AK281" i="1"/>
  <c r="V281" i="1"/>
  <c r="T281" i="1"/>
  <c r="AJ281" i="1" s="1"/>
  <c r="D281" i="1"/>
  <c r="AK274" i="1"/>
  <c r="V274" i="1"/>
  <c r="T274" i="1"/>
  <c r="AJ274" i="1" s="1"/>
  <c r="O274" i="1"/>
  <c r="D274" i="1"/>
  <c r="AK298" i="1"/>
  <c r="V298" i="1"/>
  <c r="T298" i="1"/>
  <c r="AJ298" i="1" s="1"/>
  <c r="O298" i="1"/>
  <c r="D298" i="1"/>
  <c r="AV280" i="1"/>
  <c r="AA280" i="1" s="1"/>
  <c r="AK280" i="1"/>
  <c r="V280" i="1"/>
  <c r="T280" i="1"/>
  <c r="AJ280" i="1" s="1"/>
  <c r="O280" i="1"/>
  <c r="D280" i="1"/>
  <c r="AV265" i="1"/>
  <c r="AA265" i="1" s="1"/>
  <c r="AK265" i="1"/>
  <c r="V265" i="1"/>
  <c r="T265" i="1"/>
  <c r="AJ265" i="1" s="1"/>
  <c r="O265" i="1"/>
  <c r="D265" i="1"/>
  <c r="AV302" i="1"/>
  <c r="AA302" i="1" s="1"/>
  <c r="AK302" i="1"/>
  <c r="V302" i="1"/>
  <c r="T302" i="1"/>
  <c r="AJ302" i="1" s="1"/>
  <c r="D302" i="1"/>
  <c r="AV301" i="1"/>
  <c r="AA301" i="1" s="1"/>
  <c r="AK301" i="1"/>
  <c r="V301" i="1"/>
  <c r="T301" i="1"/>
  <c r="AJ301" i="1" s="1"/>
  <c r="O301" i="1"/>
  <c r="D301" i="1"/>
  <c r="AK300" i="1"/>
  <c r="V300" i="1"/>
  <c r="T300" i="1"/>
  <c r="AJ300" i="1" s="1"/>
  <c r="O300" i="1"/>
  <c r="D300" i="1"/>
  <c r="AV273" i="1"/>
  <c r="AA273" i="1" s="1"/>
  <c r="V273" i="1"/>
  <c r="T273" i="1"/>
  <c r="AJ273" i="1" s="1"/>
  <c r="D273" i="1"/>
  <c r="AK272" i="1"/>
  <c r="V272" i="1"/>
  <c r="AE272" i="1" s="1"/>
  <c r="T272" i="1"/>
  <c r="AJ272" i="1" s="1"/>
  <c r="O272" i="1"/>
  <c r="D272" i="1"/>
  <c r="AK271" i="1"/>
  <c r="V271" i="1"/>
  <c r="T271" i="1"/>
  <c r="AJ271" i="1" s="1"/>
  <c r="O271" i="1"/>
  <c r="D271" i="1"/>
  <c r="AV270" i="1"/>
  <c r="AA270" i="1" s="1"/>
  <c r="AK270" i="1"/>
  <c r="V270" i="1"/>
  <c r="AE270" i="1" s="1"/>
  <c r="T270" i="1"/>
  <c r="AJ270" i="1" s="1"/>
  <c r="O270" i="1"/>
  <c r="D270" i="1"/>
  <c r="AK72" i="1"/>
  <c r="V72" i="1"/>
  <c r="T72" i="1"/>
  <c r="AJ72" i="1" s="1"/>
  <c r="O72" i="1"/>
  <c r="D72" i="1"/>
  <c r="AV11" i="1"/>
  <c r="AA11" i="1" s="1"/>
  <c r="AK11" i="1"/>
  <c r="V11" i="1"/>
  <c r="T11" i="1"/>
  <c r="AJ11" i="1" s="1"/>
  <c r="O11" i="1"/>
  <c r="D11" i="1"/>
  <c r="AV18" i="1"/>
  <c r="AA18" i="1" s="1"/>
  <c r="AK18" i="1"/>
  <c r="V18" i="1"/>
  <c r="AE18" i="1" s="1"/>
  <c r="T18" i="1"/>
  <c r="AJ18" i="1" s="1"/>
  <c r="O18" i="1"/>
  <c r="D18" i="1"/>
  <c r="AV5" i="1"/>
  <c r="AA5" i="1" s="1"/>
  <c r="AK5" i="1"/>
  <c r="V5" i="1"/>
  <c r="T5" i="1"/>
  <c r="AJ5" i="1" s="1"/>
  <c r="O5" i="1"/>
  <c r="D5" i="1"/>
  <c r="AK163" i="1"/>
  <c r="V163" i="1"/>
  <c r="AE163" i="1" s="1"/>
  <c r="T163" i="1"/>
  <c r="AJ163" i="1" s="1"/>
  <c r="O163" i="1"/>
  <c r="D163" i="1"/>
  <c r="AK219" i="1"/>
  <c r="V219" i="1"/>
  <c r="AE219" i="1" s="1"/>
  <c r="T219" i="1"/>
  <c r="AJ219" i="1" s="1"/>
  <c r="O219" i="1"/>
  <c r="D219" i="1"/>
  <c r="AK296" i="1"/>
  <c r="V296" i="1"/>
  <c r="T296" i="1"/>
  <c r="AJ296" i="1" s="1"/>
  <c r="O296" i="1"/>
  <c r="D296" i="1"/>
  <c r="AV292" i="1"/>
  <c r="AA292" i="1" s="1"/>
  <c r="AK292" i="1"/>
  <c r="V292" i="1"/>
  <c r="AF292" i="1" s="1"/>
  <c r="T292" i="1"/>
  <c r="AJ292" i="1" s="1"/>
  <c r="O292" i="1"/>
  <c r="D292" i="1"/>
  <c r="AK286" i="1"/>
  <c r="V286" i="1"/>
  <c r="AL286" i="1" s="1"/>
  <c r="BC286" i="1" s="1"/>
  <c r="T286" i="1"/>
  <c r="AJ286" i="1" s="1"/>
  <c r="O286" i="1"/>
  <c r="D286" i="1"/>
  <c r="AV263" i="1"/>
  <c r="AA263" i="1" s="1"/>
  <c r="AK263" i="1"/>
  <c r="V263" i="1"/>
  <c r="T263" i="1"/>
  <c r="AJ263" i="1" s="1"/>
  <c r="O263" i="1"/>
  <c r="D263" i="1"/>
  <c r="AV255" i="1"/>
  <c r="AA255" i="1" s="1"/>
  <c r="AK255" i="1"/>
  <c r="V255" i="1"/>
  <c r="AF255" i="1" s="1"/>
  <c r="T255" i="1"/>
  <c r="AJ255" i="1" s="1"/>
  <c r="O255" i="1"/>
  <c r="D255" i="1"/>
  <c r="AV252" i="1"/>
  <c r="AA252" i="1" s="1"/>
  <c r="AK252" i="1"/>
  <c r="V252" i="1"/>
  <c r="AE252" i="1" s="1"/>
  <c r="T252" i="1"/>
  <c r="AJ252" i="1" s="1"/>
  <c r="O252" i="1"/>
  <c r="D252" i="1"/>
  <c r="AK259" i="1"/>
  <c r="V259" i="1"/>
  <c r="T259" i="1"/>
  <c r="AJ259" i="1" s="1"/>
  <c r="O259" i="1"/>
  <c r="D259" i="1"/>
  <c r="AK250" i="1"/>
  <c r="V250" i="1"/>
  <c r="AF250" i="1" s="1"/>
  <c r="T250" i="1"/>
  <c r="AJ250" i="1" s="1"/>
  <c r="O250" i="1"/>
  <c r="D250" i="1"/>
  <c r="AK258" i="1"/>
  <c r="V258" i="1"/>
  <c r="T258" i="1"/>
  <c r="AJ258" i="1" s="1"/>
  <c r="O258" i="1"/>
  <c r="D258" i="1"/>
  <c r="AV249" i="1"/>
  <c r="AA249" i="1" s="1"/>
  <c r="AK249" i="1"/>
  <c r="V249" i="1"/>
  <c r="AF249" i="1" s="1"/>
  <c r="T249" i="1"/>
  <c r="AJ249" i="1" s="1"/>
  <c r="O249" i="1"/>
  <c r="D249" i="1"/>
  <c r="AK247" i="1"/>
  <c r="V247" i="1"/>
  <c r="AL247" i="1" s="1"/>
  <c r="BC247" i="1" s="1"/>
  <c r="T247" i="1"/>
  <c r="AJ247" i="1" s="1"/>
  <c r="O247" i="1"/>
  <c r="D247" i="1"/>
  <c r="AV112" i="1"/>
  <c r="AA112" i="1" s="1"/>
  <c r="AK112" i="1"/>
  <c r="V112" i="1"/>
  <c r="T112" i="1"/>
  <c r="AJ112" i="1" s="1"/>
  <c r="O112" i="1"/>
  <c r="D112" i="1"/>
  <c r="AK220" i="1"/>
  <c r="V220" i="1"/>
  <c r="AF220" i="1" s="1"/>
  <c r="T220" i="1"/>
  <c r="AJ220" i="1" s="1"/>
  <c r="O220" i="1"/>
  <c r="D220" i="1"/>
  <c r="AV192" i="1"/>
  <c r="AA192" i="1" s="1"/>
  <c r="AK192" i="1"/>
  <c r="V192" i="1"/>
  <c r="AL192" i="1" s="1"/>
  <c r="X192" i="1" s="1"/>
  <c r="T192" i="1"/>
  <c r="AJ192" i="1" s="1"/>
  <c r="O192" i="1"/>
  <c r="D192" i="1"/>
  <c r="AK58" i="1"/>
  <c r="V58" i="1"/>
  <c r="T58" i="1"/>
  <c r="AJ58" i="1" s="1"/>
  <c r="O58" i="1"/>
  <c r="D58" i="1"/>
  <c r="AV114" i="1"/>
  <c r="AA114" i="1" s="1"/>
  <c r="AK114" i="1"/>
  <c r="V114" i="1"/>
  <c r="AF114" i="1" s="1"/>
  <c r="T114" i="1"/>
  <c r="AJ114" i="1" s="1"/>
  <c r="O114" i="1"/>
  <c r="D114" i="1"/>
  <c r="AK147" i="1"/>
  <c r="V147" i="1"/>
  <c r="AL147" i="1" s="1"/>
  <c r="X147" i="1" s="1"/>
  <c r="T147" i="1"/>
  <c r="AJ147" i="1" s="1"/>
  <c r="O147" i="1"/>
  <c r="D147" i="1"/>
  <c r="AV131" i="1"/>
  <c r="AA131" i="1" s="1"/>
  <c r="AK131" i="1"/>
  <c r="V131" i="1"/>
  <c r="T131" i="1"/>
  <c r="AJ131" i="1" s="1"/>
  <c r="O131" i="1"/>
  <c r="D131" i="1"/>
  <c r="AV139" i="1"/>
  <c r="AA139" i="1" s="1"/>
  <c r="AK139" i="1"/>
  <c r="V139" i="1"/>
  <c r="T139" i="1"/>
  <c r="AJ139" i="1" s="1"/>
  <c r="O139" i="1"/>
  <c r="D139" i="1"/>
  <c r="AV290" i="1"/>
  <c r="AA290" i="1" s="1"/>
  <c r="AK290" i="1"/>
  <c r="V290" i="1"/>
  <c r="AF290" i="1" s="1"/>
  <c r="T290" i="1"/>
  <c r="AJ290" i="1" s="1"/>
  <c r="O290" i="1"/>
  <c r="D290" i="1"/>
  <c r="AK279" i="1"/>
  <c r="V279" i="1"/>
  <c r="AF279" i="1" s="1"/>
  <c r="T279" i="1"/>
  <c r="AJ279" i="1" s="1"/>
  <c r="O279" i="1"/>
  <c r="D279" i="1"/>
  <c r="AV267" i="1"/>
  <c r="AA267" i="1" s="1"/>
  <c r="AK267" i="1"/>
  <c r="V267" i="1"/>
  <c r="AE267" i="1" s="1"/>
  <c r="T267" i="1"/>
  <c r="AJ267" i="1" s="1"/>
  <c r="O267" i="1"/>
  <c r="D267" i="1"/>
  <c r="AK262" i="1"/>
  <c r="V262" i="1"/>
  <c r="AF262" i="1" s="1"/>
  <c r="T262" i="1"/>
  <c r="AJ262" i="1" s="1"/>
  <c r="O262" i="1"/>
  <c r="D262" i="1"/>
  <c r="AV253" i="1"/>
  <c r="AA253" i="1" s="1"/>
  <c r="AK253" i="1"/>
  <c r="V253" i="1"/>
  <c r="AF253" i="1" s="1"/>
  <c r="T253" i="1"/>
  <c r="AJ253" i="1" s="1"/>
  <c r="O253" i="1"/>
  <c r="D253" i="1"/>
  <c r="AK44" i="1"/>
  <c r="V44" i="1"/>
  <c r="AE44" i="1" s="1"/>
  <c r="T44" i="1"/>
  <c r="AJ44" i="1" s="1"/>
  <c r="O44" i="1"/>
  <c r="D44" i="1"/>
  <c r="AV73" i="1"/>
  <c r="AA73" i="1" s="1"/>
  <c r="AK73" i="1"/>
  <c r="V73" i="1"/>
  <c r="AE73" i="1" s="1"/>
  <c r="T73" i="1"/>
  <c r="AJ73" i="1" s="1"/>
  <c r="O73" i="1"/>
  <c r="D73" i="1"/>
  <c r="AV206" i="1"/>
  <c r="AA206" i="1" s="1"/>
  <c r="AK206" i="1"/>
  <c r="V206" i="1"/>
  <c r="AF206" i="1" s="1"/>
  <c r="T206" i="1"/>
  <c r="AJ206" i="1" s="1"/>
  <c r="O206" i="1"/>
  <c r="D206" i="1"/>
  <c r="AV216" i="1"/>
  <c r="AA216" i="1" s="1"/>
  <c r="AK216" i="1"/>
  <c r="V216" i="1"/>
  <c r="AF216" i="1" s="1"/>
  <c r="T216" i="1"/>
  <c r="AJ216" i="1" s="1"/>
  <c r="O216" i="1"/>
  <c r="D216" i="1"/>
  <c r="AK210" i="1"/>
  <c r="V210" i="1"/>
  <c r="AF210" i="1" s="1"/>
  <c r="T210" i="1"/>
  <c r="AJ210" i="1" s="1"/>
  <c r="O210" i="1"/>
  <c r="D210" i="1"/>
  <c r="AV199" i="1"/>
  <c r="AA199" i="1" s="1"/>
  <c r="AK199" i="1"/>
  <c r="V199" i="1"/>
  <c r="T199" i="1"/>
  <c r="AJ199" i="1" s="1"/>
  <c r="O199" i="1"/>
  <c r="D199" i="1"/>
  <c r="AK143" i="1"/>
  <c r="V143" i="1"/>
  <c r="AF143" i="1" s="1"/>
  <c r="T143" i="1"/>
  <c r="AJ143" i="1" s="1"/>
  <c r="O143" i="1"/>
  <c r="D143" i="1"/>
  <c r="AV142" i="1"/>
  <c r="AA142" i="1" s="1"/>
  <c r="AK142" i="1"/>
  <c r="V142" i="1"/>
  <c r="AF142" i="1" s="1"/>
  <c r="T142" i="1"/>
  <c r="AJ142" i="1" s="1"/>
  <c r="O142" i="1"/>
  <c r="D142" i="1"/>
  <c r="AK141" i="1"/>
  <c r="V141" i="1"/>
  <c r="AF141" i="1" s="1"/>
  <c r="T141" i="1"/>
  <c r="AJ141" i="1" s="1"/>
  <c r="O141" i="1"/>
  <c r="D141" i="1"/>
  <c r="AV71" i="1"/>
  <c r="AA71" i="1" s="1"/>
  <c r="AK71" i="1"/>
  <c r="V71" i="1"/>
  <c r="AE71" i="1" s="1"/>
  <c r="T71" i="1"/>
  <c r="AJ71" i="1" s="1"/>
  <c r="O71" i="1"/>
  <c r="D71" i="1"/>
  <c r="AV70" i="1"/>
  <c r="AA70" i="1" s="1"/>
  <c r="AK70" i="1"/>
  <c r="V70" i="1"/>
  <c r="AF70" i="1" s="1"/>
  <c r="T70" i="1"/>
  <c r="AJ70" i="1" s="1"/>
  <c r="O70" i="1"/>
  <c r="D70" i="1"/>
  <c r="AV69" i="1"/>
  <c r="AA69" i="1" s="1"/>
  <c r="AK69" i="1"/>
  <c r="V69" i="1"/>
  <c r="AF69" i="1" s="1"/>
  <c r="T69" i="1"/>
  <c r="AJ69" i="1" s="1"/>
  <c r="O69" i="1"/>
  <c r="D69" i="1"/>
  <c r="AK68" i="1"/>
  <c r="V68" i="1"/>
  <c r="AF68" i="1" s="1"/>
  <c r="T68" i="1"/>
  <c r="AJ68" i="1" s="1"/>
  <c r="O68" i="1"/>
  <c r="D68" i="1"/>
  <c r="AV88" i="1"/>
  <c r="AA88" i="1" s="1"/>
  <c r="AK88" i="1"/>
  <c r="V88" i="1"/>
  <c r="T88" i="1"/>
  <c r="AJ88" i="1" s="1"/>
  <c r="O88" i="1"/>
  <c r="D88" i="1"/>
  <c r="AK130" i="1"/>
  <c r="V130" i="1"/>
  <c r="T130" i="1"/>
  <c r="AJ130" i="1" s="1"/>
  <c r="O130" i="1"/>
  <c r="D130" i="1"/>
  <c r="AV129" i="1"/>
  <c r="AA129" i="1" s="1"/>
  <c r="AK129" i="1"/>
  <c r="V129" i="1"/>
  <c r="T129" i="1"/>
  <c r="AJ129" i="1" s="1"/>
  <c r="O129" i="1"/>
  <c r="D129" i="1"/>
  <c r="AK87" i="1"/>
  <c r="V87" i="1"/>
  <c r="AF87" i="1" s="1"/>
  <c r="T87" i="1"/>
  <c r="AJ87" i="1" s="1"/>
  <c r="O87" i="1"/>
  <c r="D87" i="1"/>
  <c r="AV86" i="1"/>
  <c r="AA86" i="1" s="1"/>
  <c r="AK86" i="1"/>
  <c r="V86" i="1"/>
  <c r="T86" i="1"/>
  <c r="AJ86" i="1" s="1"/>
  <c r="O86" i="1"/>
  <c r="D86" i="1"/>
  <c r="AV176" i="1"/>
  <c r="AA176" i="1" s="1"/>
  <c r="AK176" i="1"/>
  <c r="V176" i="1"/>
  <c r="AF176" i="1" s="1"/>
  <c r="T176" i="1"/>
  <c r="AJ176" i="1" s="1"/>
  <c r="O176" i="1"/>
  <c r="D176" i="1"/>
  <c r="AV55" i="1"/>
  <c r="AA55" i="1" s="1"/>
  <c r="AK55" i="1"/>
  <c r="V55" i="1"/>
  <c r="AF55" i="1" s="1"/>
  <c r="T55" i="1"/>
  <c r="AJ55" i="1" s="1"/>
  <c r="O55" i="1"/>
  <c r="D55" i="1"/>
  <c r="AK289" i="1"/>
  <c r="V289" i="1"/>
  <c r="AF289" i="1" s="1"/>
  <c r="T289" i="1"/>
  <c r="AJ289" i="1" s="1"/>
  <c r="O289" i="1"/>
  <c r="D289" i="1"/>
  <c r="AK278" i="1"/>
  <c r="V278" i="1"/>
  <c r="AE278" i="1" s="1"/>
  <c r="T278" i="1"/>
  <c r="AJ278" i="1" s="1"/>
  <c r="O278" i="1"/>
  <c r="D278" i="1"/>
  <c r="AV266" i="1"/>
  <c r="AA266" i="1" s="1"/>
  <c r="AK266" i="1"/>
  <c r="V266" i="1"/>
  <c r="AF266" i="1" s="1"/>
  <c r="T266" i="1"/>
  <c r="AJ266" i="1" s="1"/>
  <c r="O266" i="1"/>
  <c r="D266" i="1"/>
  <c r="AV182" i="1"/>
  <c r="AA182" i="1" s="1"/>
  <c r="AK182" i="1"/>
  <c r="V182" i="1"/>
  <c r="AF182" i="1" s="1"/>
  <c r="T182" i="1"/>
  <c r="AJ182" i="1" s="1"/>
  <c r="O182" i="1"/>
  <c r="D182" i="1"/>
  <c r="AK197" i="1"/>
  <c r="V197" i="1"/>
  <c r="T197" i="1"/>
  <c r="AJ197" i="1" s="1"/>
  <c r="O197" i="1"/>
  <c r="D197" i="1"/>
  <c r="AV178" i="1"/>
  <c r="AA178" i="1" s="1"/>
  <c r="AK178" i="1"/>
  <c r="V178" i="1"/>
  <c r="AE178" i="1" s="1"/>
  <c r="T178" i="1"/>
  <c r="AJ178" i="1" s="1"/>
  <c r="O178" i="1"/>
  <c r="D178" i="1"/>
  <c r="AV90" i="1"/>
  <c r="AA90" i="1" s="1"/>
  <c r="AK90" i="1"/>
  <c r="V90" i="1"/>
  <c r="AE90" i="1" s="1"/>
  <c r="T90" i="1"/>
  <c r="AJ90" i="1" s="1"/>
  <c r="O90" i="1"/>
  <c r="D90" i="1"/>
  <c r="AV89" i="1"/>
  <c r="AA89" i="1" s="1"/>
  <c r="AK89" i="1"/>
  <c r="V89" i="1"/>
  <c r="AF89" i="1" s="1"/>
  <c r="T89" i="1"/>
  <c r="AJ89" i="1" s="1"/>
  <c r="O89" i="1"/>
  <c r="D89" i="1"/>
  <c r="AK122" i="1"/>
  <c r="V122" i="1"/>
  <c r="AE122" i="1" s="1"/>
  <c r="T122" i="1"/>
  <c r="AJ122" i="1" s="1"/>
  <c r="O122" i="1"/>
  <c r="D122" i="1"/>
  <c r="AK275" i="1"/>
  <c r="V275" i="1"/>
  <c r="T275" i="1"/>
  <c r="AJ275" i="1" s="1"/>
  <c r="O275" i="1"/>
  <c r="D275" i="1"/>
  <c r="AV181" i="1"/>
  <c r="AA181" i="1" s="1"/>
  <c r="AK181" i="1"/>
  <c r="V181" i="1"/>
  <c r="T181" i="1"/>
  <c r="AJ181" i="1" s="1"/>
  <c r="O181" i="1"/>
  <c r="D181" i="1"/>
  <c r="AV205" i="1"/>
  <c r="AA205" i="1" s="1"/>
  <c r="AK205" i="1"/>
  <c r="V205" i="1"/>
  <c r="AF205" i="1" s="1"/>
  <c r="T205" i="1"/>
  <c r="AJ205" i="1" s="1"/>
  <c r="O205" i="1"/>
  <c r="D205" i="1"/>
  <c r="AK107" i="1"/>
  <c r="V107" i="1"/>
  <c r="AE107" i="1" s="1"/>
  <c r="T107" i="1"/>
  <c r="AJ107" i="1" s="1"/>
  <c r="O107" i="1"/>
  <c r="D107" i="1"/>
  <c r="AV285" i="1"/>
  <c r="AA285" i="1" s="1"/>
  <c r="AK285" i="1"/>
  <c r="V285" i="1"/>
  <c r="T285" i="1"/>
  <c r="AJ285" i="1" s="1"/>
  <c r="O285" i="1"/>
  <c r="D285" i="1"/>
  <c r="AV239" i="1"/>
  <c r="AA239" i="1" s="1"/>
  <c r="AK239" i="1"/>
  <c r="V239" i="1"/>
  <c r="AF239" i="1" s="1"/>
  <c r="T239" i="1"/>
  <c r="AJ239" i="1" s="1"/>
  <c r="O239" i="1"/>
  <c r="D239" i="1"/>
  <c r="AV238" i="1"/>
  <c r="AA238" i="1" s="1"/>
  <c r="AK238" i="1"/>
  <c r="V238" i="1"/>
  <c r="T238" i="1"/>
  <c r="AJ238" i="1" s="1"/>
  <c r="O238" i="1"/>
  <c r="D238" i="1"/>
  <c r="AK254" i="1"/>
  <c r="V254" i="1"/>
  <c r="AF254" i="1" s="1"/>
  <c r="T254" i="1"/>
  <c r="AJ254" i="1" s="1"/>
  <c r="O254" i="1"/>
  <c r="D254" i="1"/>
  <c r="AK224" i="1"/>
  <c r="V224" i="1"/>
  <c r="T224" i="1"/>
  <c r="AJ224" i="1" s="1"/>
  <c r="O224" i="1"/>
  <c r="D224" i="1"/>
  <c r="AV195" i="1"/>
  <c r="AA195" i="1" s="1"/>
  <c r="AK195" i="1"/>
  <c r="V195" i="1"/>
  <c r="AF195" i="1" s="1"/>
  <c r="T195" i="1"/>
  <c r="AJ195" i="1" s="1"/>
  <c r="O195" i="1"/>
  <c r="D195" i="1"/>
  <c r="AV21" i="1"/>
  <c r="AA21" i="1" s="1"/>
  <c r="AK21" i="1"/>
  <c r="V21" i="1"/>
  <c r="T21" i="1"/>
  <c r="AJ21" i="1" s="1"/>
  <c r="O21" i="1"/>
  <c r="D21" i="1"/>
  <c r="AK269" i="1"/>
  <c r="V269" i="1"/>
  <c r="AF269" i="1" s="1"/>
  <c r="T269" i="1"/>
  <c r="AJ269" i="1" s="1"/>
  <c r="O269" i="1"/>
  <c r="D269" i="1"/>
  <c r="AV67" i="1"/>
  <c r="AA67" i="1" s="1"/>
  <c r="AK67" i="1"/>
  <c r="V67" i="1"/>
  <c r="AE67" i="1" s="1"/>
  <c r="T67" i="1"/>
  <c r="AJ67" i="1" s="1"/>
  <c r="O67" i="1"/>
  <c r="D67" i="1"/>
  <c r="AV108" i="1"/>
  <c r="AA108" i="1" s="1"/>
  <c r="AK108" i="1"/>
  <c r="V108" i="1"/>
  <c r="T108" i="1"/>
  <c r="AJ108" i="1" s="1"/>
  <c r="O108" i="1"/>
  <c r="D108" i="1"/>
  <c r="AV121" i="1"/>
  <c r="AA121" i="1" s="1"/>
  <c r="AK121" i="1"/>
  <c r="V121" i="1"/>
  <c r="T121" i="1"/>
  <c r="AJ121" i="1" s="1"/>
  <c r="O121" i="1"/>
  <c r="D121" i="1"/>
  <c r="AK126" i="1"/>
  <c r="V126" i="1"/>
  <c r="AE126" i="1" s="1"/>
  <c r="T126" i="1"/>
  <c r="AJ126" i="1" s="1"/>
  <c r="O126" i="1"/>
  <c r="D126" i="1"/>
  <c r="AK268" i="1"/>
  <c r="V268" i="1"/>
  <c r="AF268" i="1" s="1"/>
  <c r="T268" i="1"/>
  <c r="AJ268" i="1" s="1"/>
  <c r="O268" i="1"/>
  <c r="D268" i="1"/>
  <c r="AV193" i="1"/>
  <c r="AA193" i="1" s="1"/>
  <c r="AK193" i="1"/>
  <c r="V193" i="1"/>
  <c r="AE193" i="1" s="1"/>
  <c r="T193" i="1"/>
  <c r="AJ193" i="1" s="1"/>
  <c r="O193" i="1"/>
  <c r="D193" i="1"/>
  <c r="AV140" i="1"/>
  <c r="AA140" i="1" s="1"/>
  <c r="AK140" i="1"/>
  <c r="V140" i="1"/>
  <c r="AE140" i="1" s="1"/>
  <c r="T140" i="1"/>
  <c r="AJ140" i="1" s="1"/>
  <c r="O140" i="1"/>
  <c r="D140" i="1"/>
  <c r="AK208" i="1"/>
  <c r="V208" i="1"/>
  <c r="T208" i="1"/>
  <c r="AJ208" i="1" s="1"/>
  <c r="O208" i="1"/>
  <c r="D208" i="1"/>
  <c r="AV295" i="1"/>
  <c r="AA295" i="1" s="1"/>
  <c r="AK295" i="1"/>
  <c r="V295" i="1"/>
  <c r="AF295" i="1" s="1"/>
  <c r="T295" i="1"/>
  <c r="AJ295" i="1" s="1"/>
  <c r="O295" i="1"/>
  <c r="D295" i="1"/>
  <c r="AV291" i="1"/>
  <c r="AA291" i="1" s="1"/>
  <c r="AK291" i="1"/>
  <c r="V291" i="1"/>
  <c r="AF291" i="1" s="1"/>
  <c r="T291" i="1"/>
  <c r="AJ291" i="1" s="1"/>
  <c r="O291" i="1"/>
  <c r="D291" i="1"/>
  <c r="AV284" i="1"/>
  <c r="AA284" i="1" s="1"/>
  <c r="AK284" i="1"/>
  <c r="V284" i="1"/>
  <c r="T284" i="1"/>
  <c r="AJ284" i="1" s="1"/>
  <c r="O284" i="1"/>
  <c r="D284" i="1"/>
  <c r="AK120" i="1"/>
  <c r="V120" i="1"/>
  <c r="AF120" i="1" s="1"/>
  <c r="T120" i="1"/>
  <c r="AJ120" i="1" s="1"/>
  <c r="O120" i="1"/>
  <c r="D120" i="1"/>
  <c r="AK119" i="1"/>
  <c r="V119" i="1"/>
  <c r="T119" i="1"/>
  <c r="AJ119" i="1" s="1"/>
  <c r="O119" i="1"/>
  <c r="D119" i="1"/>
  <c r="AV187" i="1"/>
  <c r="AA187" i="1" s="1"/>
  <c r="AK187" i="1"/>
  <c r="V187" i="1"/>
  <c r="T187" i="1"/>
  <c r="AJ187" i="1" s="1"/>
  <c r="O187" i="1"/>
  <c r="D187" i="1"/>
  <c r="AV162" i="1"/>
  <c r="AA162" i="1" s="1"/>
  <c r="AK162" i="1"/>
  <c r="V162" i="1"/>
  <c r="AF162" i="1" s="1"/>
  <c r="T162" i="1"/>
  <c r="AJ162" i="1" s="1"/>
  <c r="O162" i="1"/>
  <c r="D162" i="1"/>
  <c r="AK186" i="1"/>
  <c r="V186" i="1"/>
  <c r="AF186" i="1" s="1"/>
  <c r="T186" i="1"/>
  <c r="AJ186" i="1" s="1"/>
  <c r="O186" i="1"/>
  <c r="D186" i="1"/>
  <c r="AV183" i="1"/>
  <c r="AA183" i="1" s="1"/>
  <c r="AK183" i="1"/>
  <c r="V183" i="1"/>
  <c r="AL183" i="1" s="1"/>
  <c r="X183" i="1" s="1"/>
  <c r="Y183" i="1" s="1"/>
  <c r="T183" i="1"/>
  <c r="AJ183" i="1" s="1"/>
  <c r="O183" i="1"/>
  <c r="D183" i="1"/>
  <c r="AV145" i="1"/>
  <c r="AA145" i="1" s="1"/>
  <c r="AK145" i="1"/>
  <c r="V145" i="1"/>
  <c r="AL145" i="1" s="1"/>
  <c r="X145" i="1" s="1"/>
  <c r="Y145" i="1" s="1"/>
  <c r="T145" i="1"/>
  <c r="AJ145" i="1" s="1"/>
  <c r="O145" i="1"/>
  <c r="D145" i="1"/>
  <c r="AV144" i="1"/>
  <c r="AA144" i="1" s="1"/>
  <c r="AK144" i="1"/>
  <c r="V144" i="1"/>
  <c r="AL144" i="1" s="1"/>
  <c r="X144" i="1" s="1"/>
  <c r="Y144" i="1" s="1"/>
  <c r="T144" i="1"/>
  <c r="AJ144" i="1" s="1"/>
  <c r="O144" i="1"/>
  <c r="D144" i="1"/>
  <c r="AK133" i="1"/>
  <c r="V133" i="1"/>
  <c r="AL133" i="1" s="1"/>
  <c r="X133" i="1" s="1"/>
  <c r="Y133" i="1" s="1"/>
  <c r="T133" i="1"/>
  <c r="AJ133" i="1" s="1"/>
  <c r="O133" i="1"/>
  <c r="D133" i="1"/>
  <c r="AK132" i="1"/>
  <c r="V132" i="1"/>
  <c r="AE132" i="1" s="1"/>
  <c r="T132" i="1"/>
  <c r="AJ132" i="1" s="1"/>
  <c r="O132" i="1"/>
  <c r="D132" i="1"/>
  <c r="AV110" i="1"/>
  <c r="AA110" i="1" s="1"/>
  <c r="AK110" i="1"/>
  <c r="V110" i="1"/>
  <c r="AL110" i="1" s="1"/>
  <c r="X110" i="1" s="1"/>
  <c r="Y110" i="1" s="1"/>
  <c r="T110" i="1"/>
  <c r="AJ110" i="1" s="1"/>
  <c r="O110" i="1"/>
  <c r="D110" i="1"/>
  <c r="AV109" i="1"/>
  <c r="AA109" i="1" s="1"/>
  <c r="AK109" i="1"/>
  <c r="V109" i="1"/>
  <c r="AL109" i="1" s="1"/>
  <c r="X109" i="1" s="1"/>
  <c r="Y109" i="1" s="1"/>
  <c r="T109" i="1"/>
  <c r="AJ109" i="1" s="1"/>
  <c r="O109" i="1"/>
  <c r="D109" i="1"/>
  <c r="AK118" i="1"/>
  <c r="V118" i="1"/>
  <c r="AL118" i="1" s="1"/>
  <c r="X118" i="1" s="1"/>
  <c r="Y118" i="1" s="1"/>
  <c r="T118" i="1"/>
  <c r="AJ118" i="1" s="1"/>
  <c r="O118" i="1"/>
  <c r="D118" i="1"/>
  <c r="AV161" i="1"/>
  <c r="AA161" i="1" s="1"/>
  <c r="AK161" i="1"/>
  <c r="V161" i="1"/>
  <c r="AL161" i="1" s="1"/>
  <c r="X161" i="1" s="1"/>
  <c r="Y161" i="1" s="1"/>
  <c r="T161" i="1"/>
  <c r="AJ161" i="1" s="1"/>
  <c r="O161" i="1"/>
  <c r="D161" i="1"/>
  <c r="AK148" i="1"/>
  <c r="V148" i="1"/>
  <c r="AF148" i="1" s="1"/>
  <c r="T148" i="1"/>
  <c r="AJ148" i="1" s="1"/>
  <c r="O148" i="1"/>
  <c r="D148" i="1"/>
  <c r="AK104" i="1"/>
  <c r="V104" i="1"/>
  <c r="AE104" i="1" s="1"/>
  <c r="T104" i="1"/>
  <c r="AJ104" i="1" s="1"/>
  <c r="O104" i="1"/>
  <c r="D104" i="1"/>
  <c r="AK242" i="1"/>
  <c r="V242" i="1"/>
  <c r="AL242" i="1" s="1"/>
  <c r="X242" i="1" s="1"/>
  <c r="Y242" i="1" s="1"/>
  <c r="T242" i="1"/>
  <c r="AJ242" i="1" s="1"/>
  <c r="O242" i="1"/>
  <c r="D242" i="1"/>
  <c r="AV230" i="1"/>
  <c r="AA230" i="1" s="1"/>
  <c r="AK230" i="1"/>
  <c r="V230" i="1"/>
  <c r="AL230" i="1" s="1"/>
  <c r="X230" i="1" s="1"/>
  <c r="Y230" i="1" s="1"/>
  <c r="T230" i="1"/>
  <c r="AJ230" i="1" s="1"/>
  <c r="O230" i="1"/>
  <c r="D230" i="1"/>
  <c r="AK201" i="1"/>
  <c r="V201" i="1"/>
  <c r="AF201" i="1" s="1"/>
  <c r="T201" i="1"/>
  <c r="AJ201" i="1" s="1"/>
  <c r="O201" i="1"/>
  <c r="D201" i="1"/>
  <c r="AV297" i="1"/>
  <c r="AA297" i="1" s="1"/>
  <c r="AK297" i="1"/>
  <c r="V297" i="1"/>
  <c r="AE297" i="1" s="1"/>
  <c r="T297" i="1"/>
  <c r="AJ297" i="1" s="1"/>
  <c r="O297" i="1"/>
  <c r="D297" i="1"/>
  <c r="AV156" i="1"/>
  <c r="AA156" i="1" s="1"/>
  <c r="AK156" i="1"/>
  <c r="V156" i="1"/>
  <c r="AL156" i="1" s="1"/>
  <c r="X156" i="1" s="1"/>
  <c r="Y156" i="1" s="1"/>
  <c r="T156" i="1"/>
  <c r="AJ156" i="1" s="1"/>
  <c r="O156" i="1"/>
  <c r="D156" i="1"/>
  <c r="AV154" i="1"/>
  <c r="AA154" i="1" s="1"/>
  <c r="AK154" i="1"/>
  <c r="V154" i="1"/>
  <c r="AL154" i="1" s="1"/>
  <c r="X154" i="1" s="1"/>
  <c r="Y154" i="1" s="1"/>
  <c r="T154" i="1"/>
  <c r="AJ154" i="1" s="1"/>
  <c r="O154" i="1"/>
  <c r="D154" i="1"/>
  <c r="AV75" i="1"/>
  <c r="AA75" i="1" s="1"/>
  <c r="AK75" i="1"/>
  <c r="V75" i="1"/>
  <c r="AL75" i="1" s="1"/>
  <c r="X75" i="1" s="1"/>
  <c r="Y75" i="1" s="1"/>
  <c r="T75" i="1"/>
  <c r="AJ75" i="1" s="1"/>
  <c r="O75" i="1"/>
  <c r="D75" i="1"/>
  <c r="AV53" i="1"/>
  <c r="AA53" i="1" s="1"/>
  <c r="AK53" i="1"/>
  <c r="V53" i="1"/>
  <c r="AF53" i="1" s="1"/>
  <c r="T53" i="1"/>
  <c r="AJ53" i="1" s="1"/>
  <c r="O53" i="1"/>
  <c r="D53" i="1"/>
  <c r="AV46" i="1"/>
  <c r="AA46" i="1" s="1"/>
  <c r="AK46" i="1"/>
  <c r="V46" i="1"/>
  <c r="AL46" i="1" s="1"/>
  <c r="X46" i="1" s="1"/>
  <c r="T46" i="1"/>
  <c r="AJ46" i="1" s="1"/>
  <c r="O46" i="1"/>
  <c r="D46" i="1"/>
  <c r="AV217" i="1"/>
  <c r="AA217" i="1" s="1"/>
  <c r="AK217" i="1"/>
  <c r="V217" i="1"/>
  <c r="AL217" i="1" s="1"/>
  <c r="X217" i="1" s="1"/>
  <c r="Y217" i="1" s="1"/>
  <c r="T217" i="1"/>
  <c r="AJ217" i="1" s="1"/>
  <c r="O217" i="1"/>
  <c r="D217" i="1"/>
  <c r="AK74" i="1"/>
  <c r="V74" i="1"/>
  <c r="AL74" i="1" s="1"/>
  <c r="X74" i="1" s="1"/>
  <c r="Y74" i="1" s="1"/>
  <c r="T74" i="1"/>
  <c r="AJ74" i="1" s="1"/>
  <c r="O74" i="1"/>
  <c r="D74" i="1"/>
  <c r="AV218" i="1"/>
  <c r="AA218" i="1" s="1"/>
  <c r="AK218" i="1"/>
  <c r="V218" i="1"/>
  <c r="AL218" i="1" s="1"/>
  <c r="X218" i="1" s="1"/>
  <c r="Y218" i="1" s="1"/>
  <c r="T218" i="1"/>
  <c r="AJ218" i="1" s="1"/>
  <c r="O218" i="1"/>
  <c r="D218" i="1"/>
  <c r="AV276" i="1"/>
  <c r="AA276" i="1" s="1"/>
  <c r="AK276" i="1"/>
  <c r="V276" i="1"/>
  <c r="AE276" i="1" s="1"/>
  <c r="T276" i="1"/>
  <c r="AJ276" i="1" s="1"/>
  <c r="O276" i="1"/>
  <c r="D276" i="1"/>
  <c r="AV261" i="1"/>
  <c r="AA261" i="1" s="1"/>
  <c r="AK261" i="1"/>
  <c r="V261" i="1"/>
  <c r="AF261" i="1" s="1"/>
  <c r="T261" i="1"/>
  <c r="AJ261" i="1" s="1"/>
  <c r="O261" i="1"/>
  <c r="D261" i="1"/>
  <c r="AK128" i="1"/>
  <c r="V128" i="1"/>
  <c r="AL128" i="1" s="1"/>
  <c r="X128" i="1" s="1"/>
  <c r="Y128" i="1" s="1"/>
  <c r="T128" i="1"/>
  <c r="AJ128" i="1" s="1"/>
  <c r="O128" i="1"/>
  <c r="D128" i="1"/>
  <c r="AK124" i="1"/>
  <c r="V124" i="1"/>
  <c r="AL124" i="1" s="1"/>
  <c r="X124" i="1" s="1"/>
  <c r="Y124" i="1" s="1"/>
  <c r="T124" i="1"/>
  <c r="AJ124" i="1" s="1"/>
  <c r="O124" i="1"/>
  <c r="D124" i="1"/>
  <c r="AV246" i="1"/>
  <c r="AA246" i="1" s="1"/>
  <c r="AK246" i="1"/>
  <c r="V246" i="1"/>
  <c r="AL246" i="1" s="1"/>
  <c r="X246" i="1" s="1"/>
  <c r="Y246" i="1" s="1"/>
  <c r="T246" i="1"/>
  <c r="AJ246" i="1" s="1"/>
  <c r="O246" i="1"/>
  <c r="D246" i="1"/>
  <c r="AV204" i="1"/>
  <c r="AA204" i="1" s="1"/>
  <c r="AK204" i="1"/>
  <c r="V204" i="1"/>
  <c r="AF204" i="1" s="1"/>
  <c r="T204" i="1"/>
  <c r="AJ204" i="1" s="1"/>
  <c r="O204" i="1"/>
  <c r="D204" i="1"/>
  <c r="AK222" i="1"/>
  <c r="V222" i="1"/>
  <c r="AL222" i="1" s="1"/>
  <c r="BC222" i="1" s="1"/>
  <c r="T222" i="1"/>
  <c r="AJ222" i="1" s="1"/>
  <c r="O222" i="1"/>
  <c r="D222" i="1"/>
  <c r="AV221" i="1"/>
  <c r="AA221" i="1" s="1"/>
  <c r="AK221" i="1"/>
  <c r="V221" i="1"/>
  <c r="AL221" i="1" s="1"/>
  <c r="X221" i="1" s="1"/>
  <c r="Y221" i="1" s="1"/>
  <c r="T221" i="1"/>
  <c r="AJ221" i="1" s="1"/>
  <c r="O221" i="1"/>
  <c r="D221" i="1"/>
  <c r="AV123" i="1"/>
  <c r="AA123" i="1" s="1"/>
  <c r="AK123" i="1"/>
  <c r="V123" i="1"/>
  <c r="AF123" i="1" s="1"/>
  <c r="T123" i="1"/>
  <c r="AJ123" i="1" s="1"/>
  <c r="O123" i="1"/>
  <c r="D123" i="1"/>
  <c r="AV151" i="1"/>
  <c r="AA151" i="1" s="1"/>
  <c r="AK151" i="1"/>
  <c r="V151" i="1"/>
  <c r="AL151" i="1" s="1"/>
  <c r="BC151" i="1" s="1"/>
  <c r="T151" i="1"/>
  <c r="AJ151" i="1" s="1"/>
  <c r="O151" i="1"/>
  <c r="D151" i="1"/>
  <c r="AK150" i="1"/>
  <c r="V150" i="1"/>
  <c r="AL150" i="1" s="1"/>
  <c r="X150" i="1" s="1"/>
  <c r="Y150" i="1" s="1"/>
  <c r="T150" i="1"/>
  <c r="AJ150" i="1" s="1"/>
  <c r="O150" i="1"/>
  <c r="D150" i="1"/>
  <c r="AK225" i="1"/>
  <c r="V225" i="1"/>
  <c r="AE225" i="1" s="1"/>
  <c r="T225" i="1"/>
  <c r="AJ225" i="1" s="1"/>
  <c r="O225" i="1"/>
  <c r="D225" i="1"/>
  <c r="AV138" i="1"/>
  <c r="AA138" i="1" s="1"/>
  <c r="AK138" i="1"/>
  <c r="V138" i="1"/>
  <c r="AE138" i="1" s="1"/>
  <c r="T138" i="1"/>
  <c r="AJ138" i="1" s="1"/>
  <c r="O138" i="1"/>
  <c r="D138" i="1"/>
  <c r="AV137" i="1"/>
  <c r="AA137" i="1" s="1"/>
  <c r="AK137" i="1"/>
  <c r="V137" i="1"/>
  <c r="AL137" i="1" s="1"/>
  <c r="X137" i="1" s="1"/>
  <c r="Y137" i="1" s="1"/>
  <c r="T137" i="1"/>
  <c r="AJ137" i="1" s="1"/>
  <c r="O137" i="1"/>
  <c r="D137" i="1"/>
  <c r="AK209" i="1"/>
  <c r="V209" i="1"/>
  <c r="AL209" i="1" s="1"/>
  <c r="BC209" i="1" s="1"/>
  <c r="T209" i="1"/>
  <c r="AJ209" i="1" s="1"/>
  <c r="O209" i="1"/>
  <c r="D209" i="1"/>
  <c r="AV207" i="1"/>
  <c r="AA207" i="1" s="1"/>
  <c r="AK207" i="1"/>
  <c r="V207" i="1"/>
  <c r="AE207" i="1" s="1"/>
  <c r="T207" i="1"/>
  <c r="AJ207" i="1" s="1"/>
  <c r="O207" i="1"/>
  <c r="D207" i="1"/>
  <c r="AV191" i="1"/>
  <c r="AA191" i="1" s="1"/>
  <c r="AK191" i="1"/>
  <c r="V191" i="1"/>
  <c r="AL191" i="1" s="1"/>
  <c r="X191" i="1" s="1"/>
  <c r="Y191" i="1" s="1"/>
  <c r="T191" i="1"/>
  <c r="AJ191" i="1" s="1"/>
  <c r="O191" i="1"/>
  <c r="D191" i="1"/>
  <c r="AV179" i="1"/>
  <c r="AA179" i="1" s="1"/>
  <c r="AK179" i="1"/>
  <c r="V179" i="1"/>
  <c r="AL179" i="1" s="1"/>
  <c r="BC179" i="1" s="1"/>
  <c r="T179" i="1"/>
  <c r="AJ179" i="1" s="1"/>
  <c r="O179" i="1"/>
  <c r="D179" i="1"/>
  <c r="AK177" i="1"/>
  <c r="V177" i="1"/>
  <c r="AE177" i="1" s="1"/>
  <c r="T177" i="1"/>
  <c r="AJ177" i="1" s="1"/>
  <c r="O177" i="1"/>
  <c r="D177" i="1"/>
  <c r="AK198" i="1"/>
  <c r="V198" i="1"/>
  <c r="AL198" i="1" s="1"/>
  <c r="BA198" i="1" s="1"/>
  <c r="T198" i="1"/>
  <c r="AJ198" i="1" s="1"/>
  <c r="O198" i="1"/>
  <c r="D198" i="1"/>
  <c r="AV241" i="1"/>
  <c r="AA241" i="1" s="1"/>
  <c r="AK241" i="1"/>
  <c r="V241" i="1"/>
  <c r="AL241" i="1" s="1"/>
  <c r="X241" i="1" s="1"/>
  <c r="Y241" i="1" s="1"/>
  <c r="T241" i="1"/>
  <c r="AJ241" i="1" s="1"/>
  <c r="O241" i="1"/>
  <c r="D241" i="1"/>
  <c r="AV135" i="1"/>
  <c r="AA135" i="1" s="1"/>
  <c r="AK135" i="1"/>
  <c r="V135" i="1"/>
  <c r="AF135" i="1" s="1"/>
  <c r="T135" i="1"/>
  <c r="AJ135" i="1" s="1"/>
  <c r="O135" i="1"/>
  <c r="D135" i="1"/>
  <c r="AV236" i="1"/>
  <c r="AA236" i="1" s="1"/>
  <c r="AK236" i="1"/>
  <c r="V236" i="1"/>
  <c r="AL236" i="1" s="1"/>
  <c r="BC236" i="1" s="1"/>
  <c r="T236" i="1"/>
  <c r="AJ236" i="1" s="1"/>
  <c r="O236" i="1"/>
  <c r="D236" i="1"/>
  <c r="AV234" i="1"/>
  <c r="AA234" i="1" s="1"/>
  <c r="AK234" i="1"/>
  <c r="V234" i="1"/>
  <c r="AL234" i="1" s="1"/>
  <c r="X234" i="1" s="1"/>
  <c r="Y234" i="1" s="1"/>
  <c r="T234" i="1"/>
  <c r="AJ234" i="1" s="1"/>
  <c r="O234" i="1"/>
  <c r="D234" i="1"/>
  <c r="AK244" i="1"/>
  <c r="V244" i="1"/>
  <c r="AF244" i="1" s="1"/>
  <c r="T244" i="1"/>
  <c r="AJ244" i="1" s="1"/>
  <c r="O244" i="1"/>
  <c r="D244" i="1"/>
  <c r="AK200" i="1"/>
  <c r="V200" i="1"/>
  <c r="AF200" i="1" s="1"/>
  <c r="T200" i="1"/>
  <c r="AJ200" i="1" s="1"/>
  <c r="O200" i="1"/>
  <c r="D200" i="1"/>
  <c r="AV232" i="1"/>
  <c r="AA232" i="1" s="1"/>
  <c r="AK232" i="1"/>
  <c r="V232" i="1"/>
  <c r="AE232" i="1" s="1"/>
  <c r="T232" i="1"/>
  <c r="AJ232" i="1" s="1"/>
  <c r="O232" i="1"/>
  <c r="D232" i="1"/>
  <c r="AV251" i="1"/>
  <c r="AA251" i="1" s="1"/>
  <c r="AK251" i="1"/>
  <c r="V251" i="1"/>
  <c r="T251" i="1"/>
  <c r="AJ251" i="1" s="1"/>
  <c r="O251" i="1"/>
  <c r="D251" i="1"/>
  <c r="AV146" i="1"/>
  <c r="AA146" i="1" s="1"/>
  <c r="AK146" i="1"/>
  <c r="V146" i="1"/>
  <c r="AL146" i="1" s="1"/>
  <c r="X146" i="1" s="1"/>
  <c r="Y146" i="1" s="1"/>
  <c r="T146" i="1"/>
  <c r="AJ146" i="1" s="1"/>
  <c r="O146" i="1"/>
  <c r="D146" i="1"/>
  <c r="AV153" i="1"/>
  <c r="AA153" i="1" s="1"/>
  <c r="AK153" i="1"/>
  <c r="V153" i="1"/>
  <c r="AL153" i="1" s="1"/>
  <c r="X153" i="1" s="1"/>
  <c r="Y153" i="1" s="1"/>
  <c r="T153" i="1"/>
  <c r="AJ153" i="1" s="1"/>
  <c r="O153" i="1"/>
  <c r="D153" i="1"/>
  <c r="AK152" i="1"/>
  <c r="V152" i="1"/>
  <c r="AF152" i="1" s="1"/>
  <c r="T152" i="1"/>
  <c r="AJ152" i="1" s="1"/>
  <c r="O152" i="1"/>
  <c r="D152" i="1"/>
  <c r="AV168" i="1"/>
  <c r="AA168" i="1" s="1"/>
  <c r="AK168" i="1"/>
  <c r="V168" i="1"/>
  <c r="AL168" i="1" s="1"/>
  <c r="X168" i="1" s="1"/>
  <c r="Y168" i="1" s="1"/>
  <c r="T168" i="1"/>
  <c r="AJ168" i="1" s="1"/>
  <c r="O168" i="1"/>
  <c r="D168" i="1"/>
  <c r="AK93" i="1"/>
  <c r="V93" i="1"/>
  <c r="AL93" i="1" s="1"/>
  <c r="X93" i="1" s="1"/>
  <c r="Y93" i="1" s="1"/>
  <c r="T93" i="1"/>
  <c r="AJ93" i="1" s="1"/>
  <c r="O93" i="1"/>
  <c r="D93" i="1"/>
  <c r="AV51" i="1"/>
  <c r="AA51" i="1" s="1"/>
  <c r="AK51" i="1"/>
  <c r="V51" i="1"/>
  <c r="AE51" i="1" s="1"/>
  <c r="T51" i="1"/>
  <c r="AJ51" i="1" s="1"/>
  <c r="O51" i="1"/>
  <c r="D51" i="1"/>
  <c r="AV185" i="1"/>
  <c r="AA185" i="1" s="1"/>
  <c r="AK185" i="1"/>
  <c r="V185" i="1"/>
  <c r="AL185" i="1" s="1"/>
  <c r="X185" i="1" s="1"/>
  <c r="Y185" i="1" s="1"/>
  <c r="T185" i="1"/>
  <c r="AJ185" i="1" s="1"/>
  <c r="O185" i="1"/>
  <c r="D185" i="1"/>
  <c r="AV160" i="1"/>
  <c r="AA160" i="1" s="1"/>
  <c r="AK160" i="1"/>
  <c r="V160" i="1"/>
  <c r="AL160" i="1" s="1"/>
  <c r="BC160" i="1" s="1"/>
  <c r="T160" i="1"/>
  <c r="AJ160" i="1" s="1"/>
  <c r="O160" i="1"/>
  <c r="D160" i="1"/>
  <c r="AV167" i="1"/>
  <c r="AA167" i="1" s="1"/>
  <c r="AK167" i="1"/>
  <c r="V167" i="1"/>
  <c r="AE167" i="1" s="1"/>
  <c r="T167" i="1"/>
  <c r="AJ167" i="1" s="1"/>
  <c r="O167" i="1"/>
  <c r="D167" i="1"/>
  <c r="AV166" i="1"/>
  <c r="AA166" i="1" s="1"/>
  <c r="AK166" i="1"/>
  <c r="V166" i="1"/>
  <c r="AE166" i="1" s="1"/>
  <c r="T166" i="1"/>
  <c r="AJ166" i="1" s="1"/>
  <c r="O166" i="1"/>
  <c r="D166" i="1"/>
  <c r="AK165" i="1"/>
  <c r="V165" i="1"/>
  <c r="AL165" i="1" s="1"/>
  <c r="BC165" i="1" s="1"/>
  <c r="T165" i="1"/>
  <c r="AJ165" i="1" s="1"/>
  <c r="O165" i="1"/>
  <c r="D165" i="1"/>
  <c r="AV164" i="1"/>
  <c r="AA164" i="1" s="1"/>
  <c r="AK164" i="1"/>
  <c r="V164" i="1"/>
  <c r="AL164" i="1" s="1"/>
  <c r="X164" i="1" s="1"/>
  <c r="Y164" i="1" s="1"/>
  <c r="T164" i="1"/>
  <c r="AJ164" i="1" s="1"/>
  <c r="O164" i="1"/>
  <c r="D164" i="1"/>
  <c r="AK184" i="1"/>
  <c r="V184" i="1"/>
  <c r="AF184" i="1" s="1"/>
  <c r="T184" i="1"/>
  <c r="AJ184" i="1" s="1"/>
  <c r="O184" i="1"/>
  <c r="D184" i="1"/>
  <c r="AV106" i="1"/>
  <c r="AA106" i="1" s="1"/>
  <c r="AK106" i="1"/>
  <c r="V106" i="1"/>
  <c r="AL106" i="1" s="1"/>
  <c r="BA106" i="1" s="1"/>
  <c r="T106" i="1"/>
  <c r="AJ106" i="1" s="1"/>
  <c r="O106" i="1"/>
  <c r="D106" i="1"/>
  <c r="AV92" i="1"/>
  <c r="AA92" i="1" s="1"/>
  <c r="AK92" i="1"/>
  <c r="V92" i="1"/>
  <c r="AL92" i="1" s="1"/>
  <c r="X92" i="1" s="1"/>
  <c r="Y92" i="1" s="1"/>
  <c r="T92" i="1"/>
  <c r="AJ92" i="1" s="1"/>
  <c r="O92" i="1"/>
  <c r="D92" i="1"/>
  <c r="AV169" i="1"/>
  <c r="AA169" i="1" s="1"/>
  <c r="AK169" i="1"/>
  <c r="V169" i="1"/>
  <c r="AF169" i="1" s="1"/>
  <c r="T169" i="1"/>
  <c r="AJ169" i="1" s="1"/>
  <c r="O169" i="1"/>
  <c r="D169" i="1"/>
  <c r="AV283" i="1"/>
  <c r="AA283" i="1" s="1"/>
  <c r="AK283" i="1"/>
  <c r="V283" i="1"/>
  <c r="AL283" i="1" s="1"/>
  <c r="X283" i="1" s="1"/>
  <c r="Y283" i="1" s="1"/>
  <c r="T283" i="1"/>
  <c r="AJ283" i="1" s="1"/>
  <c r="O283" i="1"/>
  <c r="D283" i="1"/>
  <c r="AV190" i="1"/>
  <c r="AA190" i="1" s="1"/>
  <c r="AK190" i="1"/>
  <c r="V190" i="1"/>
  <c r="AL190" i="1" s="1"/>
  <c r="X190" i="1" s="1"/>
  <c r="Y190" i="1" s="1"/>
  <c r="T190" i="1"/>
  <c r="AJ190" i="1" s="1"/>
  <c r="O190" i="1"/>
  <c r="D190" i="1"/>
  <c r="AK215" i="1"/>
  <c r="V215" i="1"/>
  <c r="AL215" i="1" s="1"/>
  <c r="BC215" i="1" s="1"/>
  <c r="T215" i="1"/>
  <c r="AJ215" i="1" s="1"/>
  <c r="O215" i="1"/>
  <c r="D215" i="1"/>
  <c r="AV189" i="1"/>
  <c r="AA189" i="1" s="1"/>
  <c r="AK189" i="1"/>
  <c r="V189" i="1"/>
  <c r="AE189" i="1" s="1"/>
  <c r="T189" i="1"/>
  <c r="AJ189" i="1" s="1"/>
  <c r="O189" i="1"/>
  <c r="D189" i="1"/>
  <c r="AK214" i="1"/>
  <c r="V214" i="1"/>
  <c r="AF214" i="1" s="1"/>
  <c r="T214" i="1"/>
  <c r="AJ214" i="1" s="1"/>
  <c r="O214" i="1"/>
  <c r="D214" i="1"/>
  <c r="AV19" i="1"/>
  <c r="AA19" i="1" s="1"/>
  <c r="AK19" i="1"/>
  <c r="V19" i="1"/>
  <c r="AE19" i="1" s="1"/>
  <c r="T19" i="1"/>
  <c r="AJ19" i="1" s="1"/>
  <c r="O19" i="1"/>
  <c r="D19" i="1"/>
  <c r="AV8" i="1"/>
  <c r="AA8" i="1" s="1"/>
  <c r="AK8" i="1"/>
  <c r="V8" i="1"/>
  <c r="AL8" i="1" s="1"/>
  <c r="X8" i="1" s="1"/>
  <c r="Y8" i="1" s="1"/>
  <c r="T8" i="1"/>
  <c r="AJ8" i="1" s="1"/>
  <c r="O8" i="1"/>
  <c r="D8" i="1"/>
  <c r="AV4" i="1"/>
  <c r="AA4" i="1" s="1"/>
  <c r="AK4" i="1"/>
  <c r="V4" i="1"/>
  <c r="AL4" i="1" s="1"/>
  <c r="BC4" i="1" s="1"/>
  <c r="T4" i="1"/>
  <c r="AJ4" i="1" s="1"/>
  <c r="O4" i="1"/>
  <c r="D4" i="1"/>
  <c r="AV6" i="1"/>
  <c r="AA6" i="1" s="1"/>
  <c r="AK6" i="1"/>
  <c r="V6" i="1"/>
  <c r="AF6" i="1" s="1"/>
  <c r="T6" i="1"/>
  <c r="AJ6" i="1" s="1"/>
  <c r="O6" i="1"/>
  <c r="D6" i="1"/>
  <c r="AV7" i="1"/>
  <c r="AA7" i="1" s="1"/>
  <c r="AK7" i="1"/>
  <c r="V7" i="1"/>
  <c r="AE7" i="1" s="1"/>
  <c r="T7" i="1"/>
  <c r="AJ7" i="1" s="1"/>
  <c r="O7" i="1"/>
  <c r="D7" i="1"/>
  <c r="AK12" i="1"/>
  <c r="V12" i="1"/>
  <c r="AE12" i="1" s="1"/>
  <c r="T12" i="1"/>
  <c r="AJ12" i="1" s="1"/>
  <c r="O12" i="1"/>
  <c r="D12" i="1"/>
  <c r="AV15" i="1"/>
  <c r="AA15" i="1" s="1"/>
  <c r="AK15" i="1"/>
  <c r="V15" i="1"/>
  <c r="AL15" i="1" s="1"/>
  <c r="X15" i="1" s="1"/>
  <c r="Y15" i="1" s="1"/>
  <c r="T15" i="1"/>
  <c r="AJ15" i="1" s="1"/>
  <c r="O15" i="1"/>
  <c r="D15" i="1"/>
  <c r="AK20" i="1"/>
  <c r="V20" i="1"/>
  <c r="AL20" i="1" s="1"/>
  <c r="X20" i="1" s="1"/>
  <c r="Y20" i="1" s="1"/>
  <c r="T20" i="1"/>
  <c r="AJ20" i="1" s="1"/>
  <c r="O20" i="1"/>
  <c r="D20" i="1"/>
  <c r="AV127" i="1"/>
  <c r="AA127" i="1" s="1"/>
  <c r="AK127" i="1"/>
  <c r="V127" i="1"/>
  <c r="T127" i="1"/>
  <c r="AJ127" i="1" s="1"/>
  <c r="O127" i="1"/>
  <c r="D127" i="1"/>
  <c r="AV213" i="1"/>
  <c r="AA213" i="1" s="1"/>
  <c r="AK213" i="1"/>
  <c r="V213" i="1"/>
  <c r="T213" i="1"/>
  <c r="AJ213" i="1" s="1"/>
  <c r="O213" i="1"/>
  <c r="D213" i="1"/>
  <c r="AV212" i="1"/>
  <c r="AA212" i="1" s="1"/>
  <c r="AK212" i="1"/>
  <c r="V212" i="1"/>
  <c r="T212" i="1"/>
  <c r="AJ212" i="1" s="1"/>
  <c r="O212" i="1"/>
  <c r="D212" i="1"/>
  <c r="AV211" i="1"/>
  <c r="AA211" i="1" s="1"/>
  <c r="AK211" i="1"/>
  <c r="V211" i="1"/>
  <c r="T211" i="1"/>
  <c r="AJ211" i="1" s="1"/>
  <c r="O211" i="1"/>
  <c r="D211" i="1"/>
  <c r="AV125" i="1"/>
  <c r="AA125" i="1" s="1"/>
  <c r="AK125" i="1"/>
  <c r="V125" i="1"/>
  <c r="AL125" i="1" s="1"/>
  <c r="BC125" i="1" s="1"/>
  <c r="T125" i="1"/>
  <c r="AJ125" i="1" s="1"/>
  <c r="O125" i="1"/>
  <c r="D125" i="1"/>
  <c r="AK159" i="1"/>
  <c r="V159" i="1"/>
  <c r="AL159" i="1" s="1"/>
  <c r="X159" i="1" s="1"/>
  <c r="Y159" i="1" s="1"/>
  <c r="T159" i="1"/>
  <c r="AJ159" i="1" s="1"/>
  <c r="O159" i="1"/>
  <c r="D159" i="1"/>
  <c r="AV84" i="1"/>
  <c r="AA84" i="1" s="1"/>
  <c r="AK84" i="1"/>
  <c r="V84" i="1"/>
  <c r="AE84" i="1" s="1"/>
  <c r="T84" i="1"/>
  <c r="AJ84" i="1" s="1"/>
  <c r="O84" i="1"/>
  <c r="D84" i="1"/>
  <c r="AK96" i="1"/>
  <c r="V96" i="1"/>
  <c r="T96" i="1"/>
  <c r="AJ96" i="1" s="1"/>
  <c r="O96" i="1"/>
  <c r="D96" i="1"/>
  <c r="AV95" i="1"/>
  <c r="AA95" i="1" s="1"/>
  <c r="AK95" i="1"/>
  <c r="V95" i="1"/>
  <c r="T95" i="1"/>
  <c r="AJ95" i="1" s="1"/>
  <c r="O95" i="1"/>
  <c r="D95" i="1"/>
  <c r="AV94" i="1"/>
  <c r="AA94" i="1" s="1"/>
  <c r="AK94" i="1"/>
  <c r="V94" i="1"/>
  <c r="T94" i="1"/>
  <c r="AJ94" i="1" s="1"/>
  <c r="O94" i="1"/>
  <c r="D94" i="1"/>
  <c r="AV50" i="1"/>
  <c r="AA50" i="1" s="1"/>
  <c r="AK50" i="1"/>
  <c r="V50" i="1"/>
  <c r="T50" i="1"/>
  <c r="AJ50" i="1" s="1"/>
  <c r="O50" i="1"/>
  <c r="D50" i="1"/>
  <c r="AV49" i="1"/>
  <c r="AA49" i="1" s="1"/>
  <c r="AK49" i="1"/>
  <c r="V49" i="1"/>
  <c r="T49" i="1"/>
  <c r="AJ49" i="1" s="1"/>
  <c r="O49" i="1"/>
  <c r="D49" i="1"/>
  <c r="AV48" i="1"/>
  <c r="AA48" i="1" s="1"/>
  <c r="AK48" i="1"/>
  <c r="V48" i="1"/>
  <c r="T48" i="1"/>
  <c r="AJ48" i="1" s="1"/>
  <c r="O48" i="1"/>
  <c r="D48" i="1"/>
  <c r="AK175" i="1"/>
  <c r="V175" i="1"/>
  <c r="AL175" i="1" s="1"/>
  <c r="X175" i="1" s="1"/>
  <c r="Y175" i="1" s="1"/>
  <c r="T175" i="1"/>
  <c r="AJ175" i="1" s="1"/>
  <c r="O175" i="1"/>
  <c r="D175" i="1"/>
  <c r="AV174" i="1"/>
  <c r="AA174" i="1" s="1"/>
  <c r="AK174" i="1"/>
  <c r="V174" i="1"/>
  <c r="AE174" i="1" s="1"/>
  <c r="T174" i="1"/>
  <c r="AJ174" i="1" s="1"/>
  <c r="O174" i="1"/>
  <c r="D174" i="1"/>
  <c r="AK173" i="1"/>
  <c r="V173" i="1"/>
  <c r="AE173" i="1" s="1"/>
  <c r="T173" i="1"/>
  <c r="AJ173" i="1" s="1"/>
  <c r="O173" i="1"/>
  <c r="D173" i="1"/>
  <c r="AV172" i="1"/>
  <c r="AA172" i="1" s="1"/>
  <c r="AK172" i="1"/>
  <c r="V172" i="1"/>
  <c r="AL172" i="1" s="1"/>
  <c r="X172" i="1" s="1"/>
  <c r="Y172" i="1" s="1"/>
  <c r="T172" i="1"/>
  <c r="AJ172" i="1" s="1"/>
  <c r="O172" i="1"/>
  <c r="D172" i="1"/>
  <c r="AV171" i="1"/>
  <c r="AA171" i="1" s="1"/>
  <c r="AK171" i="1"/>
  <c r="V171" i="1"/>
  <c r="AL171" i="1" s="1"/>
  <c r="BC171" i="1" s="1"/>
  <c r="T171" i="1"/>
  <c r="AJ171" i="1" s="1"/>
  <c r="O171" i="1"/>
  <c r="D171" i="1"/>
  <c r="AV170" i="1"/>
  <c r="AA170" i="1" s="1"/>
  <c r="AK170" i="1"/>
  <c r="V170" i="1"/>
  <c r="AE170" i="1" s="1"/>
  <c r="T170" i="1"/>
  <c r="AJ170" i="1" s="1"/>
  <c r="O170" i="1"/>
  <c r="D170" i="1"/>
  <c r="AV83" i="1"/>
  <c r="AA83" i="1" s="1"/>
  <c r="AK83" i="1"/>
  <c r="V83" i="1"/>
  <c r="AE83" i="1" s="1"/>
  <c r="T83" i="1"/>
  <c r="AJ83" i="1" s="1"/>
  <c r="O83" i="1"/>
  <c r="D83" i="1"/>
  <c r="AV82" i="1"/>
  <c r="AA82" i="1" s="1"/>
  <c r="AK82" i="1"/>
  <c r="V82" i="1"/>
  <c r="AL82" i="1" s="1"/>
  <c r="BC82" i="1" s="1"/>
  <c r="T82" i="1"/>
  <c r="AJ82" i="1" s="1"/>
  <c r="O82" i="1"/>
  <c r="D82" i="1"/>
  <c r="AK81" i="1"/>
  <c r="V81" i="1"/>
  <c r="AE81" i="1" s="1"/>
  <c r="T81" i="1"/>
  <c r="AJ81" i="1" s="1"/>
  <c r="O81" i="1"/>
  <c r="D81" i="1"/>
  <c r="AV80" i="1"/>
  <c r="AA80" i="1" s="1"/>
  <c r="AK80" i="1"/>
  <c r="V80" i="1"/>
  <c r="AF80" i="1" s="1"/>
  <c r="T80" i="1"/>
  <c r="AJ80" i="1" s="1"/>
  <c r="O80" i="1"/>
  <c r="D80" i="1"/>
  <c r="AK79" i="1"/>
  <c r="V79" i="1"/>
  <c r="AL79" i="1" s="1"/>
  <c r="X79" i="1" s="1"/>
  <c r="Y79" i="1" s="1"/>
  <c r="T79" i="1"/>
  <c r="AJ79" i="1" s="1"/>
  <c r="O79" i="1"/>
  <c r="D79" i="1"/>
  <c r="AV28" i="1"/>
  <c r="AA28" i="1" s="1"/>
  <c r="AK28" i="1"/>
  <c r="V28" i="1"/>
  <c r="AL28" i="1" s="1"/>
  <c r="X28" i="1" s="1"/>
  <c r="Y28" i="1" s="1"/>
  <c r="T28" i="1"/>
  <c r="AJ28" i="1" s="1"/>
  <c r="O28" i="1"/>
  <c r="D28" i="1"/>
  <c r="AV27" i="1"/>
  <c r="AA27" i="1" s="1"/>
  <c r="AK27" i="1"/>
  <c r="V27" i="1"/>
  <c r="AE27" i="1" s="1"/>
  <c r="T27" i="1"/>
  <c r="AJ27" i="1" s="1"/>
  <c r="O27" i="1"/>
  <c r="D27" i="1"/>
  <c r="AV22" i="1"/>
  <c r="AA22" i="1" s="1"/>
  <c r="AK22" i="1"/>
  <c r="V22" i="1"/>
  <c r="AE22" i="1" s="1"/>
  <c r="T22" i="1"/>
  <c r="AJ22" i="1" s="1"/>
  <c r="O22" i="1"/>
  <c r="D22" i="1"/>
  <c r="AV52" i="1"/>
  <c r="AA52" i="1" s="1"/>
  <c r="AK52" i="1"/>
  <c r="V52" i="1"/>
  <c r="AL52" i="1" s="1"/>
  <c r="X52" i="1" s="1"/>
  <c r="Y52" i="1" s="1"/>
  <c r="T52" i="1"/>
  <c r="AJ52" i="1" s="1"/>
  <c r="O52" i="1"/>
  <c r="D52" i="1"/>
  <c r="AV45" i="1"/>
  <c r="AA45" i="1" s="1"/>
  <c r="AK45" i="1"/>
  <c r="V45" i="1"/>
  <c r="AL45" i="1" s="1"/>
  <c r="BC45" i="1" s="1"/>
  <c r="T45" i="1"/>
  <c r="AJ45" i="1" s="1"/>
  <c r="O45" i="1"/>
  <c r="D45" i="1"/>
  <c r="AK111" i="1"/>
  <c r="V111" i="1"/>
  <c r="AF111" i="1" s="1"/>
  <c r="T111" i="1"/>
  <c r="AJ111" i="1" s="1"/>
  <c r="O111" i="1"/>
  <c r="D111" i="1"/>
  <c r="AK91" i="1"/>
  <c r="V91" i="1"/>
  <c r="AL91" i="1" s="1"/>
  <c r="BA91" i="1" s="1"/>
  <c r="T91" i="1"/>
  <c r="AJ91" i="1" s="1"/>
  <c r="O91" i="1"/>
  <c r="D91" i="1"/>
  <c r="AV26" i="1"/>
  <c r="AA26" i="1" s="1"/>
  <c r="AK26" i="1"/>
  <c r="V26" i="1"/>
  <c r="AL26" i="1" s="1"/>
  <c r="X26" i="1" s="1"/>
  <c r="Y26" i="1" s="1"/>
  <c r="T26" i="1"/>
  <c r="AJ26" i="1" s="1"/>
  <c r="O26" i="1"/>
  <c r="D26" i="1"/>
  <c r="AV25" i="1"/>
  <c r="AA25" i="1" s="1"/>
  <c r="AK25" i="1"/>
  <c r="V25" i="1"/>
  <c r="AL25" i="1" s="1"/>
  <c r="X25" i="1" s="1"/>
  <c r="Y25" i="1" s="1"/>
  <c r="T25" i="1"/>
  <c r="AJ25" i="1" s="1"/>
  <c r="O25" i="1"/>
  <c r="D25" i="1"/>
  <c r="AK66" i="1"/>
  <c r="V66" i="1"/>
  <c r="AF66" i="1" s="1"/>
  <c r="T66" i="1"/>
  <c r="AJ66" i="1" s="1"/>
  <c r="O66" i="1"/>
  <c r="D66" i="1"/>
  <c r="AV203" i="1"/>
  <c r="AA203" i="1" s="1"/>
  <c r="AK203" i="1"/>
  <c r="V203" i="1"/>
  <c r="AL203" i="1" s="1"/>
  <c r="BA203" i="1" s="1"/>
  <c r="T203" i="1"/>
  <c r="AJ203" i="1" s="1"/>
  <c r="O203" i="1"/>
  <c r="D203" i="1"/>
  <c r="AV24" i="1"/>
  <c r="AA24" i="1" s="1"/>
  <c r="AK24" i="1"/>
  <c r="V24" i="1"/>
  <c r="AL24" i="1" s="1"/>
  <c r="X24" i="1" s="1"/>
  <c r="Y24" i="1" s="1"/>
  <c r="T24" i="1"/>
  <c r="AJ24" i="1" s="1"/>
  <c r="O24" i="1"/>
  <c r="D24" i="1"/>
  <c r="AV85" i="1"/>
  <c r="AA85" i="1" s="1"/>
  <c r="AK85" i="1"/>
  <c r="V85" i="1"/>
  <c r="T85" i="1"/>
  <c r="AJ85" i="1" s="1"/>
  <c r="O85" i="1"/>
  <c r="D85" i="1"/>
  <c r="AK65" i="1"/>
  <c r="V65" i="1"/>
  <c r="AE65" i="1" s="1"/>
  <c r="T65" i="1"/>
  <c r="AJ65" i="1" s="1"/>
  <c r="O65" i="1"/>
  <c r="D65" i="1"/>
  <c r="AV64" i="1"/>
  <c r="AA64" i="1" s="1"/>
  <c r="AK64" i="1"/>
  <c r="V64" i="1"/>
  <c r="AL64" i="1" s="1"/>
  <c r="X64" i="1" s="1"/>
  <c r="Y64" i="1" s="1"/>
  <c r="T64" i="1"/>
  <c r="AJ64" i="1" s="1"/>
  <c r="O64" i="1"/>
  <c r="D64" i="1"/>
  <c r="AV63" i="1"/>
  <c r="AA63" i="1" s="1"/>
  <c r="AK63" i="1"/>
  <c r="V63" i="1"/>
  <c r="AL63" i="1" s="1"/>
  <c r="X63" i="1" s="1"/>
  <c r="Y63" i="1" s="1"/>
  <c r="T63" i="1"/>
  <c r="AJ63" i="1" s="1"/>
  <c r="O63" i="1"/>
  <c r="D63" i="1"/>
  <c r="AV62" i="1"/>
  <c r="AA62" i="1" s="1"/>
  <c r="AK62" i="1"/>
  <c r="V62" i="1"/>
  <c r="AE62" i="1" s="1"/>
  <c r="T62" i="1"/>
  <c r="AJ62" i="1" s="1"/>
  <c r="O62" i="1"/>
  <c r="D62" i="1"/>
  <c r="AV61" i="1"/>
  <c r="AA61" i="1" s="1"/>
  <c r="AK61" i="1"/>
  <c r="V61" i="1"/>
  <c r="AL61" i="1" s="1"/>
  <c r="X61" i="1" s="1"/>
  <c r="Y61" i="1" s="1"/>
  <c r="T61" i="1"/>
  <c r="AJ61" i="1" s="1"/>
  <c r="O61" i="1"/>
  <c r="D61" i="1"/>
  <c r="AV60" i="1"/>
  <c r="AA60" i="1" s="1"/>
  <c r="AK60" i="1"/>
  <c r="V60" i="1"/>
  <c r="AL60" i="1" s="1"/>
  <c r="X60" i="1" s="1"/>
  <c r="Y60" i="1" s="1"/>
  <c r="T60" i="1"/>
  <c r="AJ60" i="1" s="1"/>
  <c r="O60" i="1"/>
  <c r="D60" i="1"/>
  <c r="AV245" i="1"/>
  <c r="AA245" i="1" s="1"/>
  <c r="AK245" i="1"/>
  <c r="V245" i="1"/>
  <c r="AL245" i="1" s="1"/>
  <c r="X245" i="1" s="1"/>
  <c r="Y245" i="1" s="1"/>
  <c r="T245" i="1"/>
  <c r="AJ245" i="1" s="1"/>
  <c r="O245" i="1"/>
  <c r="D245" i="1"/>
  <c r="AV17" i="1"/>
  <c r="AA17" i="1" s="1"/>
  <c r="AK17" i="1"/>
  <c r="V17" i="1"/>
  <c r="AE17" i="1" s="1"/>
  <c r="T17" i="1"/>
  <c r="AJ17" i="1" s="1"/>
  <c r="O17" i="1"/>
  <c r="D17" i="1"/>
  <c r="AV59" i="1"/>
  <c r="AA59" i="1" s="1"/>
  <c r="AK59" i="1"/>
  <c r="V59" i="1"/>
  <c r="AL59" i="1" s="1"/>
  <c r="X59" i="1" s="1"/>
  <c r="Y59" i="1" s="1"/>
  <c r="T59" i="1"/>
  <c r="AJ59" i="1" s="1"/>
  <c r="O59" i="1"/>
  <c r="D59" i="1"/>
  <c r="AV103" i="1"/>
  <c r="AA103" i="1" s="1"/>
  <c r="AK103" i="1"/>
  <c r="V103" i="1"/>
  <c r="AL103" i="1" s="1"/>
  <c r="X103" i="1" s="1"/>
  <c r="Y103" i="1" s="1"/>
  <c r="T103" i="1"/>
  <c r="AJ103" i="1" s="1"/>
  <c r="O103" i="1"/>
  <c r="D103" i="1"/>
  <c r="AV102" i="1"/>
  <c r="AA102" i="1" s="1"/>
  <c r="AK102" i="1"/>
  <c r="V102" i="1"/>
  <c r="AE102" i="1" s="1"/>
  <c r="T102" i="1"/>
  <c r="AJ102" i="1" s="1"/>
  <c r="O102" i="1"/>
  <c r="D102" i="1"/>
  <c r="AV101" i="1"/>
  <c r="AA101" i="1" s="1"/>
  <c r="AK101" i="1"/>
  <c r="V101" i="1"/>
  <c r="AL101" i="1" s="1"/>
  <c r="BC101" i="1" s="1"/>
  <c r="T101" i="1"/>
  <c r="AJ101" i="1" s="1"/>
  <c r="O101" i="1"/>
  <c r="D101" i="1"/>
  <c r="AV100" i="1"/>
  <c r="AA100" i="1" s="1"/>
  <c r="AK100" i="1"/>
  <c r="V100" i="1"/>
  <c r="AL100" i="1" s="1"/>
  <c r="BC100" i="1" s="1"/>
  <c r="T100" i="1"/>
  <c r="AJ100" i="1" s="1"/>
  <c r="O100" i="1"/>
  <c r="D100" i="1"/>
  <c r="AV99" i="1"/>
  <c r="AA99" i="1" s="1"/>
  <c r="AK99" i="1"/>
  <c r="V99" i="1"/>
  <c r="AF99" i="1" s="1"/>
  <c r="T99" i="1"/>
  <c r="AJ99" i="1" s="1"/>
  <c r="O99" i="1"/>
  <c r="D99" i="1"/>
  <c r="AV98" i="1"/>
  <c r="AA98" i="1" s="1"/>
  <c r="AK98" i="1"/>
  <c r="V98" i="1"/>
  <c r="AL98" i="1" s="1"/>
  <c r="X98" i="1" s="1"/>
  <c r="Y98" i="1" s="1"/>
  <c r="T98" i="1"/>
  <c r="AJ98" i="1" s="1"/>
  <c r="O98" i="1"/>
  <c r="D98" i="1"/>
  <c r="AV97" i="1"/>
  <c r="AA97" i="1" s="1"/>
  <c r="AK97" i="1"/>
  <c r="V97" i="1"/>
  <c r="AL97" i="1" s="1"/>
  <c r="X97" i="1" s="1"/>
  <c r="Y97" i="1" s="1"/>
  <c r="T97" i="1"/>
  <c r="AJ97" i="1" s="1"/>
  <c r="O97" i="1"/>
  <c r="D97" i="1"/>
  <c r="AV13" i="1"/>
  <c r="AA13" i="1" s="1"/>
  <c r="AK13" i="1"/>
  <c r="V13" i="1"/>
  <c r="AE13" i="1" s="1"/>
  <c r="T13" i="1"/>
  <c r="AJ13" i="1" s="1"/>
  <c r="O13" i="1"/>
  <c r="D13" i="1"/>
  <c r="AV260" i="1"/>
  <c r="AA260" i="1" s="1"/>
  <c r="AK260" i="1"/>
  <c r="V260" i="1"/>
  <c r="AF260" i="1" s="1"/>
  <c r="T260" i="1"/>
  <c r="AJ260" i="1" s="1"/>
  <c r="O260" i="1"/>
  <c r="D260" i="1"/>
  <c r="AV43" i="1"/>
  <c r="AA43" i="1" s="1"/>
  <c r="AK43" i="1"/>
  <c r="V43" i="1"/>
  <c r="T43" i="1"/>
  <c r="AJ43" i="1" s="1"/>
  <c r="O43" i="1"/>
  <c r="D43" i="1"/>
  <c r="AV42" i="1"/>
  <c r="AA42" i="1" s="1"/>
  <c r="AK42" i="1"/>
  <c r="V42" i="1"/>
  <c r="T42" i="1"/>
  <c r="AJ42" i="1" s="1"/>
  <c r="O42" i="1"/>
  <c r="D42" i="1"/>
  <c r="AV41" i="1"/>
  <c r="AA41" i="1" s="1"/>
  <c r="AK41" i="1"/>
  <c r="V41" i="1"/>
  <c r="T41" i="1"/>
  <c r="AJ41" i="1" s="1"/>
  <c r="O41" i="1"/>
  <c r="D41" i="1"/>
  <c r="AV40" i="1"/>
  <c r="AA40" i="1" s="1"/>
  <c r="AK40" i="1"/>
  <c r="V40" i="1"/>
  <c r="T40" i="1"/>
  <c r="AJ40" i="1" s="1"/>
  <c r="O40" i="1"/>
  <c r="D40" i="1"/>
  <c r="AV39" i="1"/>
  <c r="AA39" i="1" s="1"/>
  <c r="AK39" i="1"/>
  <c r="V39" i="1"/>
  <c r="T39" i="1"/>
  <c r="AJ39" i="1" s="1"/>
  <c r="O39" i="1"/>
  <c r="D39" i="1"/>
  <c r="O116" i="1"/>
  <c r="O77" i="1"/>
  <c r="O117" i="1"/>
  <c r="O78" i="1"/>
  <c r="O248" i="1"/>
  <c r="O256" i="1"/>
  <c r="O264" i="1"/>
  <c r="O277" i="1"/>
  <c r="O29" i="1"/>
  <c r="O30" i="1"/>
  <c r="O31" i="1"/>
  <c r="O32" i="1"/>
  <c r="O33" i="1"/>
  <c r="O34" i="1"/>
  <c r="O35" i="1"/>
  <c r="O36" i="1"/>
  <c r="O37" i="1"/>
  <c r="O38" i="1"/>
  <c r="AK116" i="1"/>
  <c r="AK77" i="1"/>
  <c r="AK117" i="1"/>
  <c r="AK78" i="1"/>
  <c r="AK248" i="1"/>
  <c r="AK256" i="1"/>
  <c r="AK264" i="1"/>
  <c r="AK277" i="1"/>
  <c r="AK29" i="1"/>
  <c r="AK30" i="1"/>
  <c r="AK31" i="1"/>
  <c r="AK32" i="1"/>
  <c r="AK33" i="1"/>
  <c r="AK34" i="1"/>
  <c r="AK35" i="1"/>
  <c r="AK36" i="1"/>
  <c r="AK37" i="1"/>
  <c r="AK38" i="1"/>
  <c r="AV38" i="1"/>
  <c r="AA38" i="1" s="1"/>
  <c r="V38" i="1"/>
  <c r="T38" i="1"/>
  <c r="AJ38" i="1" s="1"/>
  <c r="D38" i="1"/>
  <c r="AV37" i="1"/>
  <c r="AA37" i="1" s="1"/>
  <c r="V37" i="1"/>
  <c r="T37" i="1"/>
  <c r="AJ37" i="1" s="1"/>
  <c r="D37" i="1"/>
  <c r="AV36" i="1"/>
  <c r="AA36" i="1" s="1"/>
  <c r="V36" i="1"/>
  <c r="T36" i="1"/>
  <c r="AJ36" i="1" s="1"/>
  <c r="D36" i="1"/>
  <c r="AV35" i="1"/>
  <c r="AA35" i="1" s="1"/>
  <c r="V35" i="1"/>
  <c r="T35" i="1"/>
  <c r="AJ35" i="1" s="1"/>
  <c r="D35" i="1"/>
  <c r="AV34" i="1"/>
  <c r="AA34" i="1" s="1"/>
  <c r="V34" i="1"/>
  <c r="T34" i="1"/>
  <c r="AJ34" i="1" s="1"/>
  <c r="D34" i="1"/>
  <c r="AV33" i="1"/>
  <c r="AA33" i="1" s="1"/>
  <c r="V33" i="1"/>
  <c r="T33" i="1"/>
  <c r="AJ33" i="1" s="1"/>
  <c r="D33" i="1"/>
  <c r="AV32" i="1"/>
  <c r="AA32" i="1" s="1"/>
  <c r="V32" i="1"/>
  <c r="T32" i="1"/>
  <c r="AJ32" i="1" s="1"/>
  <c r="D32" i="1"/>
  <c r="AV31" i="1"/>
  <c r="AA31" i="1" s="1"/>
  <c r="V31" i="1"/>
  <c r="T31" i="1"/>
  <c r="AJ31" i="1" s="1"/>
  <c r="D31" i="1"/>
  <c r="AV30" i="1"/>
  <c r="AA30" i="1" s="1"/>
  <c r="V30" i="1"/>
  <c r="T30" i="1"/>
  <c r="AJ30" i="1" s="1"/>
  <c r="D30" i="1"/>
  <c r="AL39" i="1" l="1"/>
  <c r="X39" i="1" s="1"/>
  <c r="Y39" i="1" s="1"/>
  <c r="AL96" i="1"/>
  <c r="X96" i="1" s="1"/>
  <c r="Y96" i="1" s="1"/>
  <c r="AE127" i="1"/>
  <c r="AF197" i="1"/>
  <c r="AL40" i="1"/>
  <c r="X40" i="1" s="1"/>
  <c r="Y40" i="1" s="1"/>
  <c r="AE50" i="1"/>
  <c r="AF211" i="1"/>
  <c r="AF181" i="1"/>
  <c r="AL131" i="1"/>
  <c r="BC131" i="1" s="1"/>
  <c r="AL49" i="1"/>
  <c r="BC49" i="1" s="1"/>
  <c r="AF32" i="1"/>
  <c r="AE34" i="1"/>
  <c r="AE42" i="1"/>
  <c r="AL48" i="1"/>
  <c r="X48" i="1" s="1"/>
  <c r="Y48" i="1" s="1"/>
  <c r="AL95" i="1"/>
  <c r="X95" i="1" s="1"/>
  <c r="Y95" i="1" s="1"/>
  <c r="AL213" i="1"/>
  <c r="X213" i="1" s="1"/>
  <c r="Y213" i="1" s="1"/>
  <c r="AF108" i="1"/>
  <c r="AF129" i="1"/>
  <c r="AE85" i="1"/>
  <c r="AF31" i="1"/>
  <c r="AE33" i="1"/>
  <c r="AL37" i="1"/>
  <c r="BC37" i="1" s="1"/>
  <c r="AL43" i="1"/>
  <c r="BA43" i="1" s="1"/>
  <c r="AF130" i="1"/>
  <c r="AF41" i="1"/>
  <c r="AL94" i="1"/>
  <c r="X94" i="1" s="1"/>
  <c r="Y94" i="1" s="1"/>
  <c r="AE212" i="1"/>
  <c r="AL251" i="1"/>
  <c r="X251" i="1" s="1"/>
  <c r="Y251" i="1" s="1"/>
  <c r="BA234" i="1"/>
  <c r="BC161" i="1"/>
  <c r="BC40" i="1"/>
  <c r="BA165" i="1"/>
  <c r="BC230" i="1"/>
  <c r="BA215" i="1"/>
  <c r="BC218" i="1"/>
  <c r="BA159" i="1"/>
  <c r="BC221" i="1"/>
  <c r="BA134" i="1"/>
  <c r="BA175" i="1"/>
  <c r="BC146" i="1"/>
  <c r="BA144" i="1"/>
  <c r="BA45" i="1"/>
  <c r="BC283" i="1"/>
  <c r="BA151" i="1"/>
  <c r="BA97" i="1"/>
  <c r="BC203" i="1"/>
  <c r="BA179" i="1"/>
  <c r="BC183" i="1"/>
  <c r="BC60" i="1"/>
  <c r="BA293" i="1"/>
  <c r="BA147" i="1"/>
  <c r="BA109" i="1"/>
  <c r="BA242" i="1"/>
  <c r="BA217" i="1"/>
  <c r="BA137" i="1"/>
  <c r="BA185" i="1"/>
  <c r="BA92" i="1"/>
  <c r="BA8" i="1"/>
  <c r="BA94" i="1"/>
  <c r="BA171" i="1"/>
  <c r="BA25" i="1"/>
  <c r="BA101" i="1"/>
  <c r="BC9" i="1"/>
  <c r="BC124" i="1"/>
  <c r="BC198" i="1"/>
  <c r="BC93" i="1"/>
  <c r="BC20" i="1"/>
  <c r="BC96" i="1"/>
  <c r="BC79" i="1"/>
  <c r="BC91" i="1"/>
  <c r="BC64" i="1"/>
  <c r="BC103" i="1"/>
  <c r="BA288" i="1"/>
  <c r="BA286" i="1"/>
  <c r="BA247" i="1"/>
  <c r="BA118" i="1"/>
  <c r="BA154" i="1"/>
  <c r="BA74" i="1"/>
  <c r="BA222" i="1"/>
  <c r="BA209" i="1"/>
  <c r="BA160" i="1"/>
  <c r="BA4" i="1"/>
  <c r="BA61" i="1"/>
  <c r="BA100" i="1"/>
  <c r="BC14" i="1"/>
  <c r="BC110" i="1"/>
  <c r="BC243" i="1"/>
  <c r="BC156" i="1"/>
  <c r="BC46" i="1"/>
  <c r="BC246" i="1"/>
  <c r="BC241" i="1"/>
  <c r="BC106" i="1"/>
  <c r="BC172" i="1"/>
  <c r="BC28" i="1"/>
  <c r="BC26" i="1"/>
  <c r="BC63" i="1"/>
  <c r="BA183" i="1"/>
  <c r="BA161" i="1"/>
  <c r="BA230" i="1"/>
  <c r="BA218" i="1"/>
  <c r="BA221" i="1"/>
  <c r="BA236" i="1"/>
  <c r="BA146" i="1"/>
  <c r="BA283" i="1"/>
  <c r="BA60" i="1"/>
  <c r="BA40" i="1"/>
  <c r="BC293" i="1"/>
  <c r="BC147" i="1"/>
  <c r="BC109" i="1"/>
  <c r="BC242" i="1"/>
  <c r="BC217" i="1"/>
  <c r="BC137" i="1"/>
  <c r="BC185" i="1"/>
  <c r="BC92" i="1"/>
  <c r="BC8" i="1"/>
  <c r="BC94" i="1"/>
  <c r="BC25" i="1"/>
  <c r="BA188" i="1"/>
  <c r="BA145" i="1"/>
  <c r="BA75" i="1"/>
  <c r="BA191" i="1"/>
  <c r="BA153" i="1"/>
  <c r="BA190" i="1"/>
  <c r="BA125" i="1"/>
  <c r="BA48" i="1"/>
  <c r="BA82" i="1"/>
  <c r="BA52" i="1"/>
  <c r="BA24" i="1"/>
  <c r="BA245" i="1"/>
  <c r="BA98" i="1"/>
  <c r="BC288" i="1"/>
  <c r="BC118" i="1"/>
  <c r="BC154" i="1"/>
  <c r="BC74" i="1"/>
  <c r="BC61" i="1"/>
  <c r="BA299" i="1"/>
  <c r="BA192" i="1"/>
  <c r="BA133" i="1"/>
  <c r="BA105" i="1"/>
  <c r="BA128" i="1"/>
  <c r="BA150" i="1"/>
  <c r="BA168" i="1"/>
  <c r="BA164" i="1"/>
  <c r="BA15" i="1"/>
  <c r="BA59" i="1"/>
  <c r="BC188" i="1"/>
  <c r="BC145" i="1"/>
  <c r="BC75" i="1"/>
  <c r="BC191" i="1"/>
  <c r="BC153" i="1"/>
  <c r="BC190" i="1"/>
  <c r="BC52" i="1"/>
  <c r="BC24" i="1"/>
  <c r="BC245" i="1"/>
  <c r="BC98" i="1"/>
  <c r="BC39" i="1"/>
  <c r="BA9" i="1"/>
  <c r="BA124" i="1"/>
  <c r="BA93" i="1"/>
  <c r="BA20" i="1"/>
  <c r="BA96" i="1"/>
  <c r="BA79" i="1"/>
  <c r="BA64" i="1"/>
  <c r="BA103" i="1"/>
  <c r="BC134" i="1"/>
  <c r="BC144" i="1"/>
  <c r="BC234" i="1"/>
  <c r="BC159" i="1"/>
  <c r="BC175" i="1"/>
  <c r="BC97" i="1"/>
  <c r="BA14" i="1"/>
  <c r="BA110" i="1"/>
  <c r="BA243" i="1"/>
  <c r="BA156" i="1"/>
  <c r="BA46" i="1"/>
  <c r="BA246" i="1"/>
  <c r="BA241" i="1"/>
  <c r="BA172" i="1"/>
  <c r="BA28" i="1"/>
  <c r="BA26" i="1"/>
  <c r="BA63" i="1"/>
  <c r="BC192" i="1"/>
  <c r="BC133" i="1"/>
  <c r="BC105" i="1"/>
  <c r="BC128" i="1"/>
  <c r="BC150" i="1"/>
  <c r="BC168" i="1"/>
  <c r="BC164" i="1"/>
  <c r="BC15" i="1"/>
  <c r="BC59" i="1"/>
  <c r="AL149" i="1"/>
  <c r="AL113" i="1"/>
  <c r="AL56" i="1"/>
  <c r="O23" i="1"/>
  <c r="AE243" i="1"/>
  <c r="AL225" i="1"/>
  <c r="AE94" i="1"/>
  <c r="AE15" i="1"/>
  <c r="AL249" i="1"/>
  <c r="AF193" i="1"/>
  <c r="AE160" i="1"/>
  <c r="AL138" i="1"/>
  <c r="AE113" i="1"/>
  <c r="AL232" i="1"/>
  <c r="AL200" i="1"/>
  <c r="AL76" i="1"/>
  <c r="AE41" i="1"/>
  <c r="AE97" i="1"/>
  <c r="AE105" i="1"/>
  <c r="AF20" i="1"/>
  <c r="AB299" i="1"/>
  <c r="AC299" i="1" s="1"/>
  <c r="AE149" i="1"/>
  <c r="AE56" i="1"/>
  <c r="AE213" i="1"/>
  <c r="AE204" i="1"/>
  <c r="AE111" i="1"/>
  <c r="AE45" i="1"/>
  <c r="AF83" i="1"/>
  <c r="AE96" i="1"/>
  <c r="AL214" i="1"/>
  <c r="AE295" i="1"/>
  <c r="AE195" i="1"/>
  <c r="AB149" i="1"/>
  <c r="AC149" i="1" s="1"/>
  <c r="AF213" i="1"/>
  <c r="AL228" i="1"/>
  <c r="AB105" i="1"/>
  <c r="AC105" i="1" s="1"/>
  <c r="AF62" i="1"/>
  <c r="AE169" i="1"/>
  <c r="AB243" i="1"/>
  <c r="AC243" i="1" s="1"/>
  <c r="AE39" i="1"/>
  <c r="AL41" i="1"/>
  <c r="AL212" i="1"/>
  <c r="AF189" i="1"/>
  <c r="AF164" i="1"/>
  <c r="AE254" i="1"/>
  <c r="AF44" i="1"/>
  <c r="AF243" i="1"/>
  <c r="AF105" i="1"/>
  <c r="AF149" i="1"/>
  <c r="AF56" i="1"/>
  <c r="AF113" i="1"/>
  <c r="AE148" i="1"/>
  <c r="AF161" i="1"/>
  <c r="AF92" i="1"/>
  <c r="AL148" i="1"/>
  <c r="AL19" i="1"/>
  <c r="AE289" i="1"/>
  <c r="AE55" i="1"/>
  <c r="Y243" i="1"/>
  <c r="Y105" i="1"/>
  <c r="AB165" i="1"/>
  <c r="AC165" i="1" s="1"/>
  <c r="AL260" i="1"/>
  <c r="AB100" i="1"/>
  <c r="AC100" i="1" s="1"/>
  <c r="AL12" i="1"/>
  <c r="AL158" i="1"/>
  <c r="AF22" i="1"/>
  <c r="AL155" i="1"/>
  <c r="AF13" i="1"/>
  <c r="AE100" i="1"/>
  <c r="AE25" i="1"/>
  <c r="AL83" i="1"/>
  <c r="AL170" i="1"/>
  <c r="AF171" i="1"/>
  <c r="AL211" i="1"/>
  <c r="AL169" i="1"/>
  <c r="AE153" i="1"/>
  <c r="AE218" i="1"/>
  <c r="AE154" i="1"/>
  <c r="AL132" i="1"/>
  <c r="AE186" i="1"/>
  <c r="AE162" i="1"/>
  <c r="AE89" i="1"/>
  <c r="AE69" i="1"/>
  <c r="AL220" i="1"/>
  <c r="AL99" i="1"/>
  <c r="AF100" i="1"/>
  <c r="AF25" i="1"/>
  <c r="AL81" i="1"/>
  <c r="AL152" i="1"/>
  <c r="AF153" i="1"/>
  <c r="AF207" i="1"/>
  <c r="AL123" i="1"/>
  <c r="AF218" i="1"/>
  <c r="AF75" i="1"/>
  <c r="AF154" i="1"/>
  <c r="AF122" i="1"/>
  <c r="AE114" i="1"/>
  <c r="AF81" i="1"/>
  <c r="AE171" i="1"/>
  <c r="AF173" i="1"/>
  <c r="AE123" i="1"/>
  <c r="AE266" i="1"/>
  <c r="AF39" i="1"/>
  <c r="AL50" i="1"/>
  <c r="AF94" i="1"/>
  <c r="AF96" i="1"/>
  <c r="AL6" i="1"/>
  <c r="AF51" i="1"/>
  <c r="AE179" i="1"/>
  <c r="AE261" i="1"/>
  <c r="AL53" i="1"/>
  <c r="AE181" i="1"/>
  <c r="AL7" i="1"/>
  <c r="AF246" i="1"/>
  <c r="AE124" i="1"/>
  <c r="AE144" i="1"/>
  <c r="AE99" i="1"/>
  <c r="AE184" i="1"/>
  <c r="AF221" i="1"/>
  <c r="AL13" i="1"/>
  <c r="AE205" i="1"/>
  <c r="AF103" i="1"/>
  <c r="AF245" i="1"/>
  <c r="AL62" i="1"/>
  <c r="AF63" i="1"/>
  <c r="AE24" i="1"/>
  <c r="AE66" i="1"/>
  <c r="AL173" i="1"/>
  <c r="AL174" i="1"/>
  <c r="AF175" i="1"/>
  <c r="AF49" i="1"/>
  <c r="AL189" i="1"/>
  <c r="AF215" i="1"/>
  <c r="AL184" i="1"/>
  <c r="AF166" i="1"/>
  <c r="AF234" i="1"/>
  <c r="AE135" i="1"/>
  <c r="AF177" i="1"/>
  <c r="AL204" i="1"/>
  <c r="AF124" i="1"/>
  <c r="AL276" i="1"/>
  <c r="AF74" i="1"/>
  <c r="AE110" i="1"/>
  <c r="AE133" i="1"/>
  <c r="AF126" i="1"/>
  <c r="AE108" i="1"/>
  <c r="AF107" i="1"/>
  <c r="AE197" i="1"/>
  <c r="AE141" i="1"/>
  <c r="AL23" i="1"/>
  <c r="AL233" i="1"/>
  <c r="AB215" i="1"/>
  <c r="AC215" i="1" s="1"/>
  <c r="AE63" i="1"/>
  <c r="AL102" i="1"/>
  <c r="AL17" i="1"/>
  <c r="AL65" i="1"/>
  <c r="AL85" i="1"/>
  <c r="AF24" i="1"/>
  <c r="AF127" i="1"/>
  <c r="AF167" i="1"/>
  <c r="AL244" i="1"/>
  <c r="AF241" i="1"/>
  <c r="AL261" i="1"/>
  <c r="AF110" i="1"/>
  <c r="AF133" i="1"/>
  <c r="AE183" i="1"/>
  <c r="AE286" i="1"/>
  <c r="AL196" i="1"/>
  <c r="AL235" i="1"/>
  <c r="AL226" i="1"/>
  <c r="AF65" i="1"/>
  <c r="AE175" i="1"/>
  <c r="AE49" i="1"/>
  <c r="AL166" i="1"/>
  <c r="AF183" i="1"/>
  <c r="AF17" i="1"/>
  <c r="AB236" i="1"/>
  <c r="AC236" i="1" s="1"/>
  <c r="AL66" i="1"/>
  <c r="AL135" i="1"/>
  <c r="AB209" i="1"/>
  <c r="AC209" i="1" s="1"/>
  <c r="AF42" i="1"/>
  <c r="AE260" i="1"/>
  <c r="AL111" i="1"/>
  <c r="AF45" i="1"/>
  <c r="AE28" i="1"/>
  <c r="AE80" i="1"/>
  <c r="AE159" i="1"/>
  <c r="AE211" i="1"/>
  <c r="AL127" i="1"/>
  <c r="AF12" i="1"/>
  <c r="AE6" i="1"/>
  <c r="AL167" i="1"/>
  <c r="AE93" i="1"/>
  <c r="AF179" i="1"/>
  <c r="AF138" i="1"/>
  <c r="AE201" i="1"/>
  <c r="AF104" i="1"/>
  <c r="AE161" i="1"/>
  <c r="AF144" i="1"/>
  <c r="AE68" i="1"/>
  <c r="AE216" i="1"/>
  <c r="AE131" i="1"/>
  <c r="AE255" i="1"/>
  <c r="AL237" i="1"/>
  <c r="AL47" i="1"/>
  <c r="AL54" i="1"/>
  <c r="AF102" i="1"/>
  <c r="AL177" i="1"/>
  <c r="AL22" i="1"/>
  <c r="AL27" i="1"/>
  <c r="AF28" i="1"/>
  <c r="AL84" i="1"/>
  <c r="AF159" i="1"/>
  <c r="AB4" i="1"/>
  <c r="AC4" i="1" s="1"/>
  <c r="AF19" i="1"/>
  <c r="AL51" i="1"/>
  <c r="AF93" i="1"/>
  <c r="AE152" i="1"/>
  <c r="AF232" i="1"/>
  <c r="AL207" i="1"/>
  <c r="AF209" i="1"/>
  <c r="AE150" i="1"/>
  <c r="AB151" i="1"/>
  <c r="AC151" i="1" s="1"/>
  <c r="AE53" i="1"/>
  <c r="AF297" i="1"/>
  <c r="AE230" i="1"/>
  <c r="AE279" i="1"/>
  <c r="AE220" i="1"/>
  <c r="AL250" i="1"/>
  <c r="AL252" i="1"/>
  <c r="AL231" i="1"/>
  <c r="AE244" i="1"/>
  <c r="AE74" i="1"/>
  <c r="AL42" i="1"/>
  <c r="AL80" i="1"/>
  <c r="AB106" i="1"/>
  <c r="AC106" i="1" s="1"/>
  <c r="AF150" i="1"/>
  <c r="AB222" i="1"/>
  <c r="AC222" i="1" s="1"/>
  <c r="AL201" i="1"/>
  <c r="AF230" i="1"/>
  <c r="AL157" i="1"/>
  <c r="AL202" i="1"/>
  <c r="X203" i="1"/>
  <c r="Y203" i="1" s="1"/>
  <c r="AB203" i="1"/>
  <c r="AC203" i="1" s="1"/>
  <c r="X198" i="1"/>
  <c r="Y198" i="1" s="1"/>
  <c r="AB198" i="1"/>
  <c r="AC198" i="1" s="1"/>
  <c r="AB179" i="1"/>
  <c r="AC179" i="1" s="1"/>
  <c r="X179" i="1"/>
  <c r="Y179" i="1" s="1"/>
  <c r="AB286" i="1"/>
  <c r="AC286" i="1" s="1"/>
  <c r="X286" i="1"/>
  <c r="Y286" i="1" s="1"/>
  <c r="X45" i="1"/>
  <c r="Y45" i="1" s="1"/>
  <c r="AB45" i="1"/>
  <c r="AC45" i="1" s="1"/>
  <c r="AB160" i="1"/>
  <c r="AC160" i="1" s="1"/>
  <c r="X160" i="1"/>
  <c r="Y160" i="1" s="1"/>
  <c r="X247" i="1"/>
  <c r="Y247" i="1" s="1"/>
  <c r="AB247" i="1"/>
  <c r="AC247" i="1" s="1"/>
  <c r="X101" i="1"/>
  <c r="Y101" i="1" s="1"/>
  <c r="AB101" i="1"/>
  <c r="AC101" i="1" s="1"/>
  <c r="AE103" i="1"/>
  <c r="AB59" i="1"/>
  <c r="AC59" i="1" s="1"/>
  <c r="AE245" i="1"/>
  <c r="AF85" i="1"/>
  <c r="AF27" i="1"/>
  <c r="AB79" i="1"/>
  <c r="AC79" i="1" s="1"/>
  <c r="AF170" i="1"/>
  <c r="AF174" i="1"/>
  <c r="AF50" i="1"/>
  <c r="AF84" i="1"/>
  <c r="AF212" i="1"/>
  <c r="AE20" i="1"/>
  <c r="AF7" i="1"/>
  <c r="AE215" i="1"/>
  <c r="AE92" i="1"/>
  <c r="AE164" i="1"/>
  <c r="AE234" i="1"/>
  <c r="AE241" i="1"/>
  <c r="AE209" i="1"/>
  <c r="AF225" i="1"/>
  <c r="AB150" i="1"/>
  <c r="AC150" i="1" s="1"/>
  <c r="AE221" i="1"/>
  <c r="AE246" i="1"/>
  <c r="AF276" i="1"/>
  <c r="AE75" i="1"/>
  <c r="AL297" i="1"/>
  <c r="AB230" i="1"/>
  <c r="AC230" i="1" s="1"/>
  <c r="AL104" i="1"/>
  <c r="AB161" i="1"/>
  <c r="AC161" i="1" s="1"/>
  <c r="AF132" i="1"/>
  <c r="AF67" i="1"/>
  <c r="AF90" i="1"/>
  <c r="AL115" i="1"/>
  <c r="AE4" i="1"/>
  <c r="AE190" i="1"/>
  <c r="AE146" i="1"/>
  <c r="AE217" i="1"/>
  <c r="AE118" i="1"/>
  <c r="AE120" i="1"/>
  <c r="AE290" i="1"/>
  <c r="AL136" i="1"/>
  <c r="AE60" i="1"/>
  <c r="AE26" i="1"/>
  <c r="AE82" i="1"/>
  <c r="AL33" i="1"/>
  <c r="AE40" i="1"/>
  <c r="AE43" i="1"/>
  <c r="AF97" i="1"/>
  <c r="AE101" i="1"/>
  <c r="AE59" i="1"/>
  <c r="AF60" i="1"/>
  <c r="AE64" i="1"/>
  <c r="AF26" i="1"/>
  <c r="AE52" i="1"/>
  <c r="AE79" i="1"/>
  <c r="AF82" i="1"/>
  <c r="AE172" i="1"/>
  <c r="AE48" i="1"/>
  <c r="AE95" i="1"/>
  <c r="AE125" i="1"/>
  <c r="AF15" i="1"/>
  <c r="AF4" i="1"/>
  <c r="AE214" i="1"/>
  <c r="AF190" i="1"/>
  <c r="AE283" i="1"/>
  <c r="AE106" i="1"/>
  <c r="AE165" i="1"/>
  <c r="AF160" i="1"/>
  <c r="AE168" i="1"/>
  <c r="AF146" i="1"/>
  <c r="AE200" i="1"/>
  <c r="AE236" i="1"/>
  <c r="AE198" i="1"/>
  <c r="AE191" i="1"/>
  <c r="AE137" i="1"/>
  <c r="AE222" i="1"/>
  <c r="AF217" i="1"/>
  <c r="Y46" i="1"/>
  <c r="AE156" i="1"/>
  <c r="AE242" i="1"/>
  <c r="AF118" i="1"/>
  <c r="AE145" i="1"/>
  <c r="AE239" i="1"/>
  <c r="AE87" i="1"/>
  <c r="AE253" i="1"/>
  <c r="AL292" i="1"/>
  <c r="AB293" i="1"/>
  <c r="AC293" i="1" s="1"/>
  <c r="AL194" i="1"/>
  <c r="AL229" i="1"/>
  <c r="AF40" i="1"/>
  <c r="AF43" i="1"/>
  <c r="AE98" i="1"/>
  <c r="AF101" i="1"/>
  <c r="AF59" i="1"/>
  <c r="AE61" i="1"/>
  <c r="AF64" i="1"/>
  <c r="AE203" i="1"/>
  <c r="AE91" i="1"/>
  <c r="AF52" i="1"/>
  <c r="AF79" i="1"/>
  <c r="AF172" i="1"/>
  <c r="AF48" i="1"/>
  <c r="AF95" i="1"/>
  <c r="AF125" i="1"/>
  <c r="AB20" i="1"/>
  <c r="AC20" i="1" s="1"/>
  <c r="AE8" i="1"/>
  <c r="AF283" i="1"/>
  <c r="AF106" i="1"/>
  <c r="AF165" i="1"/>
  <c r="AE185" i="1"/>
  <c r="AF168" i="1"/>
  <c r="AE251" i="1"/>
  <c r="AF236" i="1"/>
  <c r="AF198" i="1"/>
  <c r="AF191" i="1"/>
  <c r="AF137" i="1"/>
  <c r="AE151" i="1"/>
  <c r="AF222" i="1"/>
  <c r="AE128" i="1"/>
  <c r="AE46" i="1"/>
  <c r="AF156" i="1"/>
  <c r="AF242" i="1"/>
  <c r="AE109" i="1"/>
  <c r="AF145" i="1"/>
  <c r="AE291" i="1"/>
  <c r="AE129" i="1"/>
  <c r="AE210" i="1"/>
  <c r="AL114" i="1"/>
  <c r="AE247" i="1"/>
  <c r="AL255" i="1"/>
  <c r="AB188" i="1"/>
  <c r="AC188" i="1" s="1"/>
  <c r="AF98" i="1"/>
  <c r="AF61" i="1"/>
  <c r="AF203" i="1"/>
  <c r="AF91" i="1"/>
  <c r="AF8" i="1"/>
  <c r="AF185" i="1"/>
  <c r="AB153" i="1"/>
  <c r="AC153" i="1" s="1"/>
  <c r="AF251" i="1"/>
  <c r="AF151" i="1"/>
  <c r="AF128" i="1"/>
  <c r="AF46" i="1"/>
  <c r="AF109" i="1"/>
  <c r="AL257" i="1"/>
  <c r="AL57" i="1"/>
  <c r="AB144" i="1"/>
  <c r="AC144" i="1" s="1"/>
  <c r="AB98" i="1"/>
  <c r="AC98" i="1" s="1"/>
  <c r="AL31" i="1"/>
  <c r="AB97" i="1"/>
  <c r="AC97" i="1" s="1"/>
  <c r="AB234" i="1"/>
  <c r="AC234" i="1" s="1"/>
  <c r="AB221" i="1"/>
  <c r="AC221" i="1" s="1"/>
  <c r="AB242" i="1"/>
  <c r="AC242" i="1" s="1"/>
  <c r="AE182" i="1"/>
  <c r="AE142" i="1"/>
  <c r="AE250" i="1"/>
  <c r="AL10" i="1"/>
  <c r="AB26" i="1"/>
  <c r="AC26" i="1" s="1"/>
  <c r="AB146" i="1"/>
  <c r="AC146" i="1" s="1"/>
  <c r="AB145" i="1"/>
  <c r="AC145" i="1" s="1"/>
  <c r="X215" i="1"/>
  <c r="Y215" i="1" s="1"/>
  <c r="AB9" i="1"/>
  <c r="AC9" i="1" s="1"/>
  <c r="AB52" i="1"/>
  <c r="AC52" i="1" s="1"/>
  <c r="X151" i="1"/>
  <c r="Y151" i="1" s="1"/>
  <c r="AB28" i="1"/>
  <c r="AC28" i="1" s="1"/>
  <c r="AB190" i="1"/>
  <c r="AC190" i="1" s="1"/>
  <c r="X222" i="1"/>
  <c r="Y222" i="1" s="1"/>
  <c r="AB246" i="1"/>
  <c r="AC246" i="1" s="1"/>
  <c r="AB74" i="1"/>
  <c r="AC74" i="1" s="1"/>
  <c r="AB109" i="1"/>
  <c r="AC109" i="1" s="1"/>
  <c r="AB64" i="1"/>
  <c r="AC64" i="1" s="1"/>
  <c r="AB159" i="1"/>
  <c r="AC159" i="1" s="1"/>
  <c r="AB92" i="1"/>
  <c r="AC92" i="1" s="1"/>
  <c r="AB168" i="1"/>
  <c r="AC168" i="1" s="1"/>
  <c r="AB133" i="1"/>
  <c r="AC133" i="1" s="1"/>
  <c r="AB192" i="1"/>
  <c r="AC192" i="1" s="1"/>
  <c r="X236" i="1"/>
  <c r="Y236" i="1" s="1"/>
  <c r="AB288" i="1"/>
  <c r="AC288" i="1" s="1"/>
  <c r="AB48" i="1"/>
  <c r="AC48" i="1" s="1"/>
  <c r="AB94" i="1"/>
  <c r="AC94" i="1" s="1"/>
  <c r="AB8" i="1"/>
  <c r="AC8" i="1" s="1"/>
  <c r="O16" i="1"/>
  <c r="AL16" i="1"/>
  <c r="AB63" i="1"/>
  <c r="AC63" i="1" s="1"/>
  <c r="AB191" i="1"/>
  <c r="AC191" i="1" s="1"/>
  <c r="AB217" i="1"/>
  <c r="AC217" i="1" s="1"/>
  <c r="AK158" i="1"/>
  <c r="AL240" i="1"/>
  <c r="X171" i="1"/>
  <c r="Y171" i="1" s="1"/>
  <c r="AB171" i="1"/>
  <c r="AC171" i="1" s="1"/>
  <c r="X82" i="1"/>
  <c r="Y82" i="1" s="1"/>
  <c r="AB82" i="1"/>
  <c r="AC82" i="1" s="1"/>
  <c r="AB25" i="1"/>
  <c r="AC25" i="1" s="1"/>
  <c r="X91" i="1"/>
  <c r="Y91" i="1" s="1"/>
  <c r="AB91" i="1"/>
  <c r="AC91" i="1" s="1"/>
  <c r="X106" i="1"/>
  <c r="Y106" i="1" s="1"/>
  <c r="AB164" i="1"/>
  <c r="AC164" i="1" s="1"/>
  <c r="AB218" i="1"/>
  <c r="AC218" i="1" s="1"/>
  <c r="AB118" i="1"/>
  <c r="AC118" i="1" s="1"/>
  <c r="AK273" i="1"/>
  <c r="AB40" i="1"/>
  <c r="AC40" i="1" s="1"/>
  <c r="X100" i="1"/>
  <c r="Y100" i="1" s="1"/>
  <c r="AB61" i="1"/>
  <c r="AC61" i="1" s="1"/>
  <c r="AB241" i="1"/>
  <c r="AC241" i="1" s="1"/>
  <c r="AB39" i="1"/>
  <c r="AC39" i="1" s="1"/>
  <c r="AB60" i="1"/>
  <c r="AC60" i="1" s="1"/>
  <c r="X49" i="1"/>
  <c r="Y49" i="1" s="1"/>
  <c r="AB49" i="1"/>
  <c r="AC49" i="1" s="1"/>
  <c r="X125" i="1"/>
  <c r="Y125" i="1" s="1"/>
  <c r="AB125" i="1"/>
  <c r="AC125" i="1" s="1"/>
  <c r="O57" i="1"/>
  <c r="X4" i="1"/>
  <c r="Y4" i="1" s="1"/>
  <c r="X209" i="1"/>
  <c r="Y209" i="1" s="1"/>
  <c r="AB147" i="1"/>
  <c r="AC147" i="1" s="1"/>
  <c r="AK228" i="1"/>
  <c r="O10" i="1"/>
  <c r="AB103" i="1"/>
  <c r="AC103" i="1" s="1"/>
  <c r="AB24" i="1"/>
  <c r="AC24" i="1" s="1"/>
  <c r="AB137" i="1"/>
  <c r="AC137" i="1" s="1"/>
  <c r="AB156" i="1"/>
  <c r="AC156" i="1" s="1"/>
  <c r="AB183" i="1"/>
  <c r="AC183" i="1" s="1"/>
  <c r="AL287" i="1"/>
  <c r="AB14" i="1"/>
  <c r="AC14" i="1" s="1"/>
  <c r="AB134" i="1"/>
  <c r="AC134" i="1" s="1"/>
  <c r="AL223" i="1"/>
  <c r="AB175" i="1"/>
  <c r="AC175" i="1" s="1"/>
  <c r="AB96" i="1"/>
  <c r="AC96" i="1" s="1"/>
  <c r="AB283" i="1"/>
  <c r="AC283" i="1" s="1"/>
  <c r="AB93" i="1"/>
  <c r="AC93" i="1" s="1"/>
  <c r="AB46" i="1"/>
  <c r="AC46" i="1" s="1"/>
  <c r="X299" i="1"/>
  <c r="Y299" i="1" s="1"/>
  <c r="AB245" i="1"/>
  <c r="AC245" i="1" s="1"/>
  <c r="AB172" i="1"/>
  <c r="AC172" i="1" s="1"/>
  <c r="AB15" i="1"/>
  <c r="AC15" i="1" s="1"/>
  <c r="AB185" i="1"/>
  <c r="AC185" i="1" s="1"/>
  <c r="AB154" i="1"/>
  <c r="AC154" i="1" s="1"/>
  <c r="AB110" i="1"/>
  <c r="AC110" i="1" s="1"/>
  <c r="AL227" i="1"/>
  <c r="AK180" i="1"/>
  <c r="O180" i="1"/>
  <c r="AL38" i="1"/>
  <c r="AL32" i="1"/>
  <c r="X131" i="1"/>
  <c r="Y131" i="1" s="1"/>
  <c r="AB131" i="1"/>
  <c r="AC131" i="1" s="1"/>
  <c r="AL30" i="1"/>
  <c r="AF35" i="1"/>
  <c r="AL35" i="1"/>
  <c r="AF37" i="1"/>
  <c r="AL119" i="1"/>
  <c r="AE119" i="1"/>
  <c r="AF119" i="1"/>
  <c r="AL36" i="1"/>
  <c r="AL34" i="1"/>
  <c r="AL187" i="1"/>
  <c r="AE187" i="1"/>
  <c r="AF187" i="1"/>
  <c r="AL285" i="1"/>
  <c r="AF285" i="1"/>
  <c r="AE285" i="1"/>
  <c r="X165" i="1"/>
  <c r="Y165" i="1" s="1"/>
  <c r="AL178" i="1"/>
  <c r="AF178" i="1"/>
  <c r="AL269" i="1"/>
  <c r="AE269" i="1"/>
  <c r="AL21" i="1"/>
  <c r="AF21" i="1"/>
  <c r="AE21" i="1"/>
  <c r="AL71" i="1"/>
  <c r="AF71" i="1"/>
  <c r="AB128" i="1"/>
  <c r="AC128" i="1" s="1"/>
  <c r="AB75" i="1"/>
  <c r="AC75" i="1" s="1"/>
  <c r="AL208" i="1"/>
  <c r="AE208" i="1"/>
  <c r="AL140" i="1"/>
  <c r="AF140" i="1"/>
  <c r="AL224" i="1"/>
  <c r="AF224" i="1"/>
  <c r="AE224" i="1"/>
  <c r="AF208" i="1"/>
  <c r="AB124" i="1"/>
  <c r="AC124" i="1" s="1"/>
  <c r="AL268" i="1"/>
  <c r="AE268" i="1"/>
  <c r="AL238" i="1"/>
  <c r="AF238" i="1"/>
  <c r="AE238" i="1"/>
  <c r="AL86" i="1"/>
  <c r="AF86" i="1"/>
  <c r="AE86" i="1"/>
  <c r="AL278" i="1"/>
  <c r="AF278" i="1"/>
  <c r="AF258" i="1"/>
  <c r="AL258" i="1"/>
  <c r="AE258" i="1"/>
  <c r="AL281" i="1"/>
  <c r="AF281" i="1"/>
  <c r="AE281" i="1"/>
  <c r="AL294" i="1"/>
  <c r="AF294" i="1"/>
  <c r="AE294" i="1"/>
  <c r="AL284" i="1"/>
  <c r="AF284" i="1"/>
  <c r="AL121" i="1"/>
  <c r="AF121" i="1"/>
  <c r="AL88" i="1"/>
  <c r="AF88" i="1"/>
  <c r="AL5" i="1"/>
  <c r="AF5" i="1"/>
  <c r="AE5" i="1"/>
  <c r="AL18" i="1"/>
  <c r="AF18" i="1"/>
  <c r="AL11" i="1"/>
  <c r="AF11" i="1"/>
  <c r="AE11" i="1"/>
  <c r="AL275" i="1"/>
  <c r="AF275" i="1"/>
  <c r="AL199" i="1"/>
  <c r="AF199" i="1"/>
  <c r="AF192" i="1"/>
  <c r="Y192" i="1"/>
  <c r="AE192" i="1"/>
  <c r="AL271" i="1"/>
  <c r="AF271" i="1"/>
  <c r="AE271" i="1"/>
  <c r="AL162" i="1"/>
  <c r="AL120" i="1"/>
  <c r="AL295" i="1"/>
  <c r="AL126" i="1"/>
  <c r="AL67" i="1"/>
  <c r="AE88" i="1"/>
  <c r="AL73" i="1"/>
  <c r="AF73" i="1"/>
  <c r="AL267" i="1"/>
  <c r="AF267" i="1"/>
  <c r="AF131" i="1"/>
  <c r="AL300" i="1"/>
  <c r="AF300" i="1"/>
  <c r="AE300" i="1"/>
  <c r="AL186" i="1"/>
  <c r="AE284" i="1"/>
  <c r="AE121" i="1"/>
  <c r="AE275" i="1"/>
  <c r="AE199" i="1"/>
  <c r="AF147" i="1"/>
  <c r="Y147" i="1"/>
  <c r="AE147" i="1"/>
  <c r="AL296" i="1"/>
  <c r="AF296" i="1"/>
  <c r="AE296" i="1"/>
  <c r="AL291" i="1"/>
  <c r="AL193" i="1"/>
  <c r="AL108" i="1"/>
  <c r="AL195" i="1"/>
  <c r="AL239" i="1"/>
  <c r="AL181" i="1"/>
  <c r="AL90" i="1"/>
  <c r="AL266" i="1"/>
  <c r="AL176" i="1"/>
  <c r="AL130" i="1"/>
  <c r="AL70" i="1"/>
  <c r="AL143" i="1"/>
  <c r="AL206" i="1"/>
  <c r="AL262" i="1"/>
  <c r="AF139" i="1"/>
  <c r="AL139" i="1"/>
  <c r="AF247" i="1"/>
  <c r="AF286" i="1"/>
  <c r="AL205" i="1"/>
  <c r="AL89" i="1"/>
  <c r="AL182" i="1"/>
  <c r="AL55" i="1"/>
  <c r="AL129" i="1"/>
  <c r="AL69" i="1"/>
  <c r="AL142" i="1"/>
  <c r="AL216" i="1"/>
  <c r="AL253" i="1"/>
  <c r="AL290" i="1"/>
  <c r="AF259" i="1"/>
  <c r="AE259" i="1"/>
  <c r="AL259" i="1"/>
  <c r="AL273" i="1"/>
  <c r="AF273" i="1"/>
  <c r="AE273" i="1"/>
  <c r="AL254" i="1"/>
  <c r="AL107" i="1"/>
  <c r="AL122" i="1"/>
  <c r="AL197" i="1"/>
  <c r="AL289" i="1"/>
  <c r="AL87" i="1"/>
  <c r="AL68" i="1"/>
  <c r="AL141" i="1"/>
  <c r="AL210" i="1"/>
  <c r="AL44" i="1"/>
  <c r="AL279" i="1"/>
  <c r="AF252" i="1"/>
  <c r="AL298" i="1"/>
  <c r="AF298" i="1"/>
  <c r="AE298" i="1"/>
  <c r="AE176" i="1"/>
  <c r="AE130" i="1"/>
  <c r="AE70" i="1"/>
  <c r="AE143" i="1"/>
  <c r="AE206" i="1"/>
  <c r="AE262" i="1"/>
  <c r="AE139" i="1"/>
  <c r="AF112" i="1"/>
  <c r="AL112" i="1"/>
  <c r="AE112" i="1"/>
  <c r="AF263" i="1"/>
  <c r="AL263" i="1"/>
  <c r="AE263" i="1"/>
  <c r="AL219" i="1"/>
  <c r="AF219" i="1"/>
  <c r="AL301" i="1"/>
  <c r="AF301" i="1"/>
  <c r="AE301" i="1"/>
  <c r="AL274" i="1"/>
  <c r="AF274" i="1"/>
  <c r="AE274" i="1"/>
  <c r="AF58" i="1"/>
  <c r="AE58" i="1"/>
  <c r="AL58" i="1"/>
  <c r="AL163" i="1"/>
  <c r="AF163" i="1"/>
  <c r="AL282" i="1"/>
  <c r="AF282" i="1"/>
  <c r="AE282" i="1"/>
  <c r="AE249" i="1"/>
  <c r="AE292" i="1"/>
  <c r="AL72" i="1"/>
  <c r="AF72" i="1"/>
  <c r="AL280" i="1"/>
  <c r="AF280" i="1"/>
  <c r="AE280" i="1"/>
  <c r="AL302" i="1"/>
  <c r="AF302" i="1"/>
  <c r="AE302" i="1"/>
  <c r="AE72" i="1"/>
  <c r="AL270" i="1"/>
  <c r="AF270" i="1"/>
  <c r="AL272" i="1"/>
  <c r="AF272" i="1"/>
  <c r="AL265" i="1"/>
  <c r="AF265" i="1"/>
  <c r="AE265" i="1"/>
  <c r="AE287" i="1"/>
  <c r="AE288" i="1"/>
  <c r="AE293" i="1"/>
  <c r="AE14" i="1"/>
  <c r="AE9" i="1"/>
  <c r="AE299" i="1"/>
  <c r="AE134" i="1"/>
  <c r="AE188" i="1"/>
  <c r="AE223" i="1"/>
  <c r="AE227" i="1"/>
  <c r="AE228" i="1"/>
  <c r="AE57" i="1"/>
  <c r="AE194" i="1"/>
  <c r="AE226" i="1"/>
  <c r="AE115" i="1"/>
  <c r="AE196" i="1"/>
  <c r="AE136" i="1"/>
  <c r="AE229" i="1"/>
  <c r="AE158" i="1"/>
  <c r="AE240" i="1"/>
  <c r="AE257" i="1"/>
  <c r="AE16" i="1"/>
  <c r="AE10" i="1"/>
  <c r="AE23" i="1"/>
  <c r="AE233" i="1"/>
  <c r="AE235" i="1"/>
  <c r="AE237" i="1"/>
  <c r="AE47" i="1"/>
  <c r="AE54" i="1"/>
  <c r="AE76" i="1"/>
  <c r="AE155" i="1"/>
  <c r="AE157" i="1"/>
  <c r="AE202" i="1"/>
  <c r="AE231" i="1"/>
  <c r="AF287" i="1"/>
  <c r="AF288" i="1"/>
  <c r="AF293" i="1"/>
  <c r="AF14" i="1"/>
  <c r="AF9" i="1"/>
  <c r="AF299" i="1"/>
  <c r="AF134" i="1"/>
  <c r="AF188" i="1"/>
  <c r="AF223" i="1"/>
  <c r="AF227" i="1"/>
  <c r="Y288" i="1"/>
  <c r="Y293" i="1"/>
  <c r="Y14" i="1"/>
  <c r="Y9" i="1"/>
  <c r="Y134" i="1"/>
  <c r="Y188" i="1"/>
  <c r="AE37" i="1"/>
  <c r="AE30" i="1"/>
  <c r="AE31" i="1"/>
  <c r="AF30" i="1"/>
  <c r="AE38" i="1"/>
  <c r="AF38" i="1"/>
  <c r="AF34" i="1"/>
  <c r="AE32" i="1"/>
  <c r="AF33" i="1"/>
  <c r="AE36" i="1"/>
  <c r="AE35" i="1"/>
  <c r="AF36" i="1"/>
  <c r="AB37" i="1" l="1"/>
  <c r="AC37" i="1" s="1"/>
  <c r="BA37" i="1"/>
  <c r="BA39" i="1"/>
  <c r="BA131" i="1"/>
  <c r="BC48" i="1"/>
  <c r="X37" i="1"/>
  <c r="Y37" i="1" s="1"/>
  <c r="AB95" i="1"/>
  <c r="AC95" i="1" s="1"/>
  <c r="BA251" i="1"/>
  <c r="AB251" i="1"/>
  <c r="AC251" i="1" s="1"/>
  <c r="BA213" i="1"/>
  <c r="BC95" i="1"/>
  <c r="X43" i="1"/>
  <c r="Y43" i="1" s="1"/>
  <c r="BC251" i="1"/>
  <c r="AB43" i="1"/>
  <c r="AC43" i="1" s="1"/>
  <c r="BA49" i="1"/>
  <c r="BC213" i="1"/>
  <c r="AB213" i="1"/>
  <c r="AC213" i="1" s="1"/>
  <c r="BA95" i="1"/>
  <c r="BC43" i="1"/>
  <c r="BC70" i="1"/>
  <c r="BA70" i="1"/>
  <c r="X166" i="1"/>
  <c r="Y166" i="1" s="1"/>
  <c r="BC166" i="1"/>
  <c r="BA166" i="1"/>
  <c r="X272" i="1"/>
  <c r="Y272" i="1" s="1"/>
  <c r="BA272" i="1"/>
  <c r="BC272" i="1"/>
  <c r="BC282" i="1"/>
  <c r="BA282" i="1"/>
  <c r="X274" i="1"/>
  <c r="Y274" i="1" s="1"/>
  <c r="BA274" i="1"/>
  <c r="BC274" i="1"/>
  <c r="X44" i="1"/>
  <c r="Y44" i="1" s="1"/>
  <c r="BC44" i="1"/>
  <c r="BA44" i="1"/>
  <c r="X107" i="1"/>
  <c r="Y107" i="1" s="1"/>
  <c r="BC107" i="1"/>
  <c r="BA107" i="1"/>
  <c r="X290" i="1"/>
  <c r="Y290" i="1" s="1"/>
  <c r="BC290" i="1"/>
  <c r="BA290" i="1"/>
  <c r="X89" i="1"/>
  <c r="Y89" i="1" s="1"/>
  <c r="BC89" i="1"/>
  <c r="BA89" i="1"/>
  <c r="BA143" i="1"/>
  <c r="BC143" i="1"/>
  <c r="X195" i="1"/>
  <c r="Y195" i="1" s="1"/>
  <c r="BA195" i="1"/>
  <c r="BC195" i="1"/>
  <c r="BC67" i="1"/>
  <c r="BA67" i="1"/>
  <c r="BC88" i="1"/>
  <c r="BA88" i="1"/>
  <c r="X208" i="1"/>
  <c r="Y208" i="1" s="1"/>
  <c r="BC208" i="1"/>
  <c r="BA208" i="1"/>
  <c r="X255" i="1"/>
  <c r="Y255" i="1" s="1"/>
  <c r="BC255" i="1"/>
  <c r="BA255" i="1"/>
  <c r="X297" i="1"/>
  <c r="Y297" i="1" s="1"/>
  <c r="BC297" i="1"/>
  <c r="BA297" i="1"/>
  <c r="X231" i="1"/>
  <c r="Y231" i="1" s="1"/>
  <c r="BC231" i="1"/>
  <c r="BA231" i="1"/>
  <c r="X111" i="1"/>
  <c r="Y111" i="1" s="1"/>
  <c r="BC111" i="1"/>
  <c r="BA111" i="1"/>
  <c r="X233" i="1"/>
  <c r="Y233" i="1" s="1"/>
  <c r="BA233" i="1"/>
  <c r="BC233" i="1"/>
  <c r="X53" i="1"/>
  <c r="Y53" i="1" s="1"/>
  <c r="BC53" i="1"/>
  <c r="BA53" i="1"/>
  <c r="X132" i="1"/>
  <c r="Y132" i="1" s="1"/>
  <c r="BA132" i="1"/>
  <c r="BC132" i="1"/>
  <c r="X83" i="1"/>
  <c r="Y83" i="1" s="1"/>
  <c r="BC83" i="1"/>
  <c r="BA83" i="1"/>
  <c r="X148" i="1"/>
  <c r="Y148" i="1" s="1"/>
  <c r="BC148" i="1"/>
  <c r="BA148" i="1"/>
  <c r="X200" i="1"/>
  <c r="Y200" i="1" s="1"/>
  <c r="BA200" i="1"/>
  <c r="BC200" i="1"/>
  <c r="X280" i="1"/>
  <c r="Y280" i="1" s="1"/>
  <c r="BC280" i="1"/>
  <c r="BA280" i="1"/>
  <c r="X254" i="1"/>
  <c r="Y254" i="1" s="1"/>
  <c r="BC254" i="1"/>
  <c r="BA254" i="1"/>
  <c r="X300" i="1"/>
  <c r="Y300" i="1" s="1"/>
  <c r="BC300" i="1"/>
  <c r="BA300" i="1"/>
  <c r="X214" i="1"/>
  <c r="Y214" i="1" s="1"/>
  <c r="BA214" i="1"/>
  <c r="BC214" i="1"/>
  <c r="BC270" i="1"/>
  <c r="BA270" i="1"/>
  <c r="BC163" i="1"/>
  <c r="BA163" i="1"/>
  <c r="X112" i="1"/>
  <c r="Y112" i="1" s="1"/>
  <c r="BC112" i="1"/>
  <c r="BA112" i="1"/>
  <c r="X141" i="1"/>
  <c r="Y141" i="1" s="1"/>
  <c r="BC141" i="1"/>
  <c r="BA141" i="1"/>
  <c r="X216" i="1"/>
  <c r="Y216" i="1" s="1"/>
  <c r="BC216" i="1"/>
  <c r="BA216" i="1"/>
  <c r="X130" i="1"/>
  <c r="Y130" i="1" s="1"/>
  <c r="BA130" i="1"/>
  <c r="BC130" i="1"/>
  <c r="BA193" i="1"/>
  <c r="BC193" i="1"/>
  <c r="BC295" i="1"/>
  <c r="BA295" i="1"/>
  <c r="X121" i="1"/>
  <c r="Y121" i="1" s="1"/>
  <c r="BC121" i="1"/>
  <c r="BA121" i="1"/>
  <c r="X281" i="1"/>
  <c r="Y281" i="1" s="1"/>
  <c r="BC281" i="1"/>
  <c r="BA281" i="1"/>
  <c r="BC86" i="1"/>
  <c r="BA86" i="1"/>
  <c r="X187" i="1"/>
  <c r="Y187" i="1" s="1"/>
  <c r="BA187" i="1"/>
  <c r="BC187" i="1"/>
  <c r="X227" i="1"/>
  <c r="Y227" i="1" s="1"/>
  <c r="BC227" i="1"/>
  <c r="BA227" i="1"/>
  <c r="X287" i="1"/>
  <c r="Y287" i="1" s="1"/>
  <c r="BC287" i="1"/>
  <c r="BA287" i="1"/>
  <c r="X257" i="1"/>
  <c r="Y257" i="1" s="1"/>
  <c r="BA257" i="1"/>
  <c r="BC257" i="1"/>
  <c r="X114" i="1"/>
  <c r="Y114" i="1" s="1"/>
  <c r="BA114" i="1"/>
  <c r="BC114" i="1"/>
  <c r="X194" i="1"/>
  <c r="Y194" i="1" s="1"/>
  <c r="BA194" i="1"/>
  <c r="BC194" i="1"/>
  <c r="X250" i="1"/>
  <c r="Y250" i="1" s="1"/>
  <c r="BA250" i="1"/>
  <c r="BC250" i="1"/>
  <c r="X47" i="1"/>
  <c r="Y47" i="1" s="1"/>
  <c r="BA47" i="1"/>
  <c r="BC47" i="1"/>
  <c r="AB127" i="1"/>
  <c r="AC127" i="1" s="1"/>
  <c r="BA127" i="1"/>
  <c r="BC127" i="1"/>
  <c r="AB85" i="1"/>
  <c r="AC85" i="1" s="1"/>
  <c r="BC85" i="1"/>
  <c r="BA85" i="1"/>
  <c r="X276" i="1"/>
  <c r="Y276" i="1" s="1"/>
  <c r="BC276" i="1"/>
  <c r="BA276" i="1"/>
  <c r="X99" i="1"/>
  <c r="Y99" i="1" s="1"/>
  <c r="BC99" i="1"/>
  <c r="BA99" i="1"/>
  <c r="X108" i="1"/>
  <c r="Y108" i="1" s="1"/>
  <c r="BC108" i="1"/>
  <c r="BA108" i="1"/>
  <c r="X11" i="1"/>
  <c r="Y11" i="1" s="1"/>
  <c r="BC11" i="1"/>
  <c r="BA11" i="1"/>
  <c r="AB35" i="1"/>
  <c r="AC35" i="1" s="1"/>
  <c r="BA35" i="1"/>
  <c r="BC35" i="1"/>
  <c r="X260" i="1"/>
  <c r="Y260" i="1" s="1"/>
  <c r="BA260" i="1"/>
  <c r="BC260" i="1"/>
  <c r="X232" i="1"/>
  <c r="Y232" i="1" s="1"/>
  <c r="BC232" i="1"/>
  <c r="BA232" i="1"/>
  <c r="X58" i="1"/>
  <c r="Y58" i="1" s="1"/>
  <c r="BA58" i="1"/>
  <c r="BC58" i="1"/>
  <c r="X68" i="1"/>
  <c r="Y68" i="1" s="1"/>
  <c r="BC68" i="1"/>
  <c r="BA68" i="1"/>
  <c r="X142" i="1"/>
  <c r="Y142" i="1" s="1"/>
  <c r="BA142" i="1"/>
  <c r="BC142" i="1"/>
  <c r="BC176" i="1"/>
  <c r="BA176" i="1"/>
  <c r="X120" i="1"/>
  <c r="Y120" i="1" s="1"/>
  <c r="BC120" i="1"/>
  <c r="BA120" i="1"/>
  <c r="X178" i="1"/>
  <c r="Y178" i="1" s="1"/>
  <c r="BC178" i="1"/>
  <c r="BA178" i="1"/>
  <c r="AB34" i="1"/>
  <c r="AC34" i="1" s="1"/>
  <c r="BC34" i="1"/>
  <c r="BA34" i="1"/>
  <c r="X16" i="1"/>
  <c r="Y16" i="1" s="1"/>
  <c r="BC16" i="1"/>
  <c r="BA16" i="1"/>
  <c r="X80" i="1"/>
  <c r="Y80" i="1" s="1"/>
  <c r="BC80" i="1"/>
  <c r="BA80" i="1"/>
  <c r="X207" i="1"/>
  <c r="Y207" i="1" s="1"/>
  <c r="BC207" i="1"/>
  <c r="BA207" i="1"/>
  <c r="X84" i="1"/>
  <c r="Y84" i="1" s="1"/>
  <c r="BC84" i="1"/>
  <c r="BA84" i="1"/>
  <c r="X237" i="1"/>
  <c r="Y237" i="1" s="1"/>
  <c r="BC237" i="1"/>
  <c r="BA237" i="1"/>
  <c r="X65" i="1"/>
  <c r="Y65" i="1" s="1"/>
  <c r="BC65" i="1"/>
  <c r="BA65" i="1"/>
  <c r="X189" i="1"/>
  <c r="Y189" i="1" s="1"/>
  <c r="BC189" i="1"/>
  <c r="BA189" i="1"/>
  <c r="X62" i="1"/>
  <c r="Y62" i="1" s="1"/>
  <c r="BC62" i="1"/>
  <c r="BA62" i="1"/>
  <c r="X123" i="1"/>
  <c r="Y123" i="1" s="1"/>
  <c r="BC123" i="1"/>
  <c r="BA123" i="1"/>
  <c r="X220" i="1"/>
  <c r="Y220" i="1" s="1"/>
  <c r="BC220" i="1"/>
  <c r="BA220" i="1"/>
  <c r="X138" i="1"/>
  <c r="Y138" i="1" s="1"/>
  <c r="BA138" i="1"/>
  <c r="BC138" i="1"/>
  <c r="X252" i="1"/>
  <c r="Y252" i="1" s="1"/>
  <c r="BC252" i="1"/>
  <c r="BA252" i="1"/>
  <c r="X23" i="1"/>
  <c r="Y23" i="1" s="1"/>
  <c r="BC23" i="1"/>
  <c r="BA23" i="1"/>
  <c r="BC72" i="1"/>
  <c r="BA72" i="1"/>
  <c r="BC301" i="1"/>
  <c r="BA301" i="1"/>
  <c r="X291" i="1"/>
  <c r="Y291" i="1" s="1"/>
  <c r="BC291" i="1"/>
  <c r="BA291" i="1"/>
  <c r="X18" i="1"/>
  <c r="Y18" i="1" s="1"/>
  <c r="BC18" i="1"/>
  <c r="BA18" i="1"/>
  <c r="AB30" i="1"/>
  <c r="AC30" i="1" s="1"/>
  <c r="BC30" i="1"/>
  <c r="BA30" i="1"/>
  <c r="X87" i="1"/>
  <c r="Y87" i="1" s="1"/>
  <c r="BC87" i="1"/>
  <c r="BA87" i="1"/>
  <c r="BC273" i="1"/>
  <c r="BA273" i="1"/>
  <c r="X69" i="1"/>
  <c r="Y69" i="1" s="1"/>
  <c r="BC69" i="1"/>
  <c r="BA69" i="1"/>
  <c r="BC139" i="1"/>
  <c r="BA139" i="1"/>
  <c r="X266" i="1"/>
  <c r="Y266" i="1" s="1"/>
  <c r="BA266" i="1"/>
  <c r="BC266" i="1"/>
  <c r="X267" i="1"/>
  <c r="Y267" i="1" s="1"/>
  <c r="BC267" i="1"/>
  <c r="BA267" i="1"/>
  <c r="X162" i="1"/>
  <c r="Y162" i="1" s="1"/>
  <c r="BC162" i="1"/>
  <c r="BA162" i="1"/>
  <c r="BC199" i="1"/>
  <c r="BA199" i="1"/>
  <c r="X284" i="1"/>
  <c r="Y284" i="1" s="1"/>
  <c r="BC284" i="1"/>
  <c r="BA284" i="1"/>
  <c r="X258" i="1"/>
  <c r="Y258" i="1" s="1"/>
  <c r="BA258" i="1"/>
  <c r="BC258" i="1"/>
  <c r="X224" i="1"/>
  <c r="Y224" i="1" s="1"/>
  <c r="BA224" i="1"/>
  <c r="BC224" i="1"/>
  <c r="BC71" i="1"/>
  <c r="BA71" i="1"/>
  <c r="AB36" i="1"/>
  <c r="AC36" i="1" s="1"/>
  <c r="BA36" i="1"/>
  <c r="BC36" i="1"/>
  <c r="AB292" i="1"/>
  <c r="AC292" i="1" s="1"/>
  <c r="BC292" i="1"/>
  <c r="BA292" i="1"/>
  <c r="X202" i="1"/>
  <c r="Y202" i="1" s="1"/>
  <c r="BC202" i="1"/>
  <c r="BA202" i="1"/>
  <c r="AB42" i="1"/>
  <c r="AC42" i="1" s="1"/>
  <c r="BC42" i="1"/>
  <c r="BA42" i="1"/>
  <c r="X135" i="1"/>
  <c r="Y135" i="1" s="1"/>
  <c r="BC135" i="1"/>
  <c r="BA135" i="1"/>
  <c r="X261" i="1"/>
  <c r="Y261" i="1" s="1"/>
  <c r="BC261" i="1"/>
  <c r="BA261" i="1"/>
  <c r="X17" i="1"/>
  <c r="Y17" i="1" s="1"/>
  <c r="BC17" i="1"/>
  <c r="BA17" i="1"/>
  <c r="X204" i="1"/>
  <c r="Y204" i="1" s="1"/>
  <c r="BC204" i="1"/>
  <c r="BA204" i="1"/>
  <c r="X6" i="1"/>
  <c r="Y6" i="1" s="1"/>
  <c r="BC6" i="1"/>
  <c r="BA6" i="1"/>
  <c r="X169" i="1"/>
  <c r="Y169" i="1" s="1"/>
  <c r="BC169" i="1"/>
  <c r="BA169" i="1"/>
  <c r="X155" i="1"/>
  <c r="Y155" i="1" s="1"/>
  <c r="BC155" i="1"/>
  <c r="BA155" i="1"/>
  <c r="AB228" i="1"/>
  <c r="AC228" i="1" s="1"/>
  <c r="BC228" i="1"/>
  <c r="BA228" i="1"/>
  <c r="X56" i="1"/>
  <c r="Y56" i="1" s="1"/>
  <c r="BC56" i="1"/>
  <c r="BA56" i="1"/>
  <c r="X253" i="1"/>
  <c r="Y253" i="1" s="1"/>
  <c r="BA253" i="1"/>
  <c r="BC253" i="1"/>
  <c r="X126" i="1"/>
  <c r="Y126" i="1" s="1"/>
  <c r="BC126" i="1"/>
  <c r="BA126" i="1"/>
  <c r="X54" i="1"/>
  <c r="Y54" i="1" s="1"/>
  <c r="BC54" i="1"/>
  <c r="BA54" i="1"/>
  <c r="X184" i="1"/>
  <c r="Y184" i="1" s="1"/>
  <c r="BA184" i="1"/>
  <c r="BC184" i="1"/>
  <c r="X219" i="1"/>
  <c r="Y219" i="1" s="1"/>
  <c r="BA219" i="1"/>
  <c r="BC219" i="1"/>
  <c r="X298" i="1"/>
  <c r="Y298" i="1" s="1"/>
  <c r="BA298" i="1"/>
  <c r="BC298" i="1"/>
  <c r="X289" i="1"/>
  <c r="Y289" i="1" s="1"/>
  <c r="BC289" i="1"/>
  <c r="BA289" i="1"/>
  <c r="BC259" i="1"/>
  <c r="BA259" i="1"/>
  <c r="X129" i="1"/>
  <c r="Y129" i="1" s="1"/>
  <c r="BA129" i="1"/>
  <c r="BC129" i="1"/>
  <c r="X90" i="1"/>
  <c r="Y90" i="1" s="1"/>
  <c r="BC90" i="1"/>
  <c r="BA90" i="1"/>
  <c r="X238" i="1"/>
  <c r="Y238" i="1" s="1"/>
  <c r="BC238" i="1"/>
  <c r="BA238" i="1"/>
  <c r="AB33" i="1"/>
  <c r="AC33" i="1" s="1"/>
  <c r="BC33" i="1"/>
  <c r="BA33" i="1"/>
  <c r="X157" i="1"/>
  <c r="Y157" i="1" s="1"/>
  <c r="BA157" i="1"/>
  <c r="BC157" i="1"/>
  <c r="X27" i="1"/>
  <c r="Y27" i="1" s="1"/>
  <c r="BC27" i="1"/>
  <c r="BA27" i="1"/>
  <c r="X66" i="1"/>
  <c r="Y66" i="1" s="1"/>
  <c r="BC66" i="1"/>
  <c r="BA66" i="1"/>
  <c r="AB226" i="1"/>
  <c r="AC226" i="1" s="1"/>
  <c r="BC226" i="1"/>
  <c r="BA226" i="1"/>
  <c r="AB102" i="1"/>
  <c r="AC102" i="1" s="1"/>
  <c r="BA102" i="1"/>
  <c r="BC102" i="1"/>
  <c r="X211" i="1"/>
  <c r="Y211" i="1" s="1"/>
  <c r="BC211" i="1"/>
  <c r="BA211" i="1"/>
  <c r="AB212" i="1"/>
  <c r="AC212" i="1" s="1"/>
  <c r="BC212" i="1"/>
  <c r="BA212" i="1"/>
  <c r="X113" i="1"/>
  <c r="Y113" i="1" s="1"/>
  <c r="BC113" i="1"/>
  <c r="BA113" i="1"/>
  <c r="X205" i="1"/>
  <c r="Y205" i="1" s="1"/>
  <c r="BC205" i="1"/>
  <c r="BA205" i="1"/>
  <c r="X115" i="1"/>
  <c r="Y115" i="1" s="1"/>
  <c r="BC115" i="1"/>
  <c r="BA115" i="1"/>
  <c r="X225" i="1"/>
  <c r="Y225" i="1" s="1"/>
  <c r="BA225" i="1"/>
  <c r="BC225" i="1"/>
  <c r="X265" i="1"/>
  <c r="Y265" i="1" s="1"/>
  <c r="BC265" i="1"/>
  <c r="BA265" i="1"/>
  <c r="X302" i="1"/>
  <c r="Y302" i="1" s="1"/>
  <c r="BC302" i="1"/>
  <c r="BA302" i="1"/>
  <c r="X197" i="1"/>
  <c r="Y197" i="1" s="1"/>
  <c r="BC197" i="1"/>
  <c r="BA197" i="1"/>
  <c r="X55" i="1"/>
  <c r="Y55" i="1" s="1"/>
  <c r="BC55" i="1"/>
  <c r="BA55" i="1"/>
  <c r="X262" i="1"/>
  <c r="Y262" i="1" s="1"/>
  <c r="BA262" i="1"/>
  <c r="BC262" i="1"/>
  <c r="BA181" i="1"/>
  <c r="BC181" i="1"/>
  <c r="X296" i="1"/>
  <c r="Y296" i="1" s="1"/>
  <c r="BA296" i="1"/>
  <c r="BC296" i="1"/>
  <c r="X186" i="1"/>
  <c r="Y186" i="1" s="1"/>
  <c r="BC186" i="1"/>
  <c r="BA186" i="1"/>
  <c r="BC73" i="1"/>
  <c r="BA73" i="1"/>
  <c r="X275" i="1"/>
  <c r="Y275" i="1" s="1"/>
  <c r="BA275" i="1"/>
  <c r="BC275" i="1"/>
  <c r="X5" i="1"/>
  <c r="Y5" i="1" s="1"/>
  <c r="BC5" i="1"/>
  <c r="BA5" i="1"/>
  <c r="BC140" i="1"/>
  <c r="BA140" i="1"/>
  <c r="X32" i="1"/>
  <c r="Y32" i="1" s="1"/>
  <c r="BC32" i="1"/>
  <c r="BA32" i="1"/>
  <c r="X240" i="1"/>
  <c r="Y240" i="1" s="1"/>
  <c r="BA240" i="1"/>
  <c r="BC240" i="1"/>
  <c r="X10" i="1"/>
  <c r="Y10" i="1" s="1"/>
  <c r="BC10" i="1"/>
  <c r="BA10" i="1"/>
  <c r="AB31" i="1"/>
  <c r="AC31" i="1" s="1"/>
  <c r="BC31" i="1"/>
  <c r="BA31" i="1"/>
  <c r="X104" i="1"/>
  <c r="Y104" i="1" s="1"/>
  <c r="BA104" i="1"/>
  <c r="BC104" i="1"/>
  <c r="X22" i="1"/>
  <c r="Y22" i="1" s="1"/>
  <c r="BC22" i="1"/>
  <c r="BA22" i="1"/>
  <c r="X235" i="1"/>
  <c r="Y235" i="1" s="1"/>
  <c r="BC235" i="1"/>
  <c r="BA235" i="1"/>
  <c r="X244" i="1"/>
  <c r="Y244" i="1" s="1"/>
  <c r="BC244" i="1"/>
  <c r="BA244" i="1"/>
  <c r="X174" i="1"/>
  <c r="Y174" i="1" s="1"/>
  <c r="BC174" i="1"/>
  <c r="BA174" i="1"/>
  <c r="X7" i="1"/>
  <c r="Y7" i="1" s="1"/>
  <c r="BC7" i="1"/>
  <c r="BA7" i="1"/>
  <c r="X152" i="1"/>
  <c r="Y152" i="1" s="1"/>
  <c r="BC152" i="1"/>
  <c r="BA152" i="1"/>
  <c r="X158" i="1"/>
  <c r="Y158" i="1" s="1"/>
  <c r="BC158" i="1"/>
  <c r="BA158" i="1"/>
  <c r="AB41" i="1"/>
  <c r="AC41" i="1" s="1"/>
  <c r="BC41" i="1"/>
  <c r="BA41" i="1"/>
  <c r="X249" i="1"/>
  <c r="Y249" i="1" s="1"/>
  <c r="BC249" i="1"/>
  <c r="BA249" i="1"/>
  <c r="X149" i="1"/>
  <c r="Y149" i="1" s="1"/>
  <c r="BC149" i="1"/>
  <c r="BA149" i="1"/>
  <c r="X210" i="1"/>
  <c r="Y210" i="1" s="1"/>
  <c r="BC210" i="1"/>
  <c r="BA210" i="1"/>
  <c r="X269" i="1"/>
  <c r="Y269" i="1" s="1"/>
  <c r="BC269" i="1"/>
  <c r="BA269" i="1"/>
  <c r="X57" i="1"/>
  <c r="Y57" i="1" s="1"/>
  <c r="BA57" i="1"/>
  <c r="BC57" i="1"/>
  <c r="X229" i="1"/>
  <c r="Y229" i="1" s="1"/>
  <c r="BC229" i="1"/>
  <c r="BA229" i="1"/>
  <c r="X136" i="1"/>
  <c r="Y136" i="1" s="1"/>
  <c r="BC136" i="1"/>
  <c r="BA136" i="1"/>
  <c r="X263" i="1"/>
  <c r="Y263" i="1" s="1"/>
  <c r="BC263" i="1"/>
  <c r="BA263" i="1"/>
  <c r="X279" i="1"/>
  <c r="Y279" i="1" s="1"/>
  <c r="BC279" i="1"/>
  <c r="BA279" i="1"/>
  <c r="X122" i="1"/>
  <c r="Y122" i="1" s="1"/>
  <c r="BC122" i="1"/>
  <c r="BA122" i="1"/>
  <c r="X182" i="1"/>
  <c r="Y182" i="1" s="1"/>
  <c r="BC182" i="1"/>
  <c r="BA182" i="1"/>
  <c r="X206" i="1"/>
  <c r="Y206" i="1" s="1"/>
  <c r="BC206" i="1"/>
  <c r="BA206" i="1"/>
  <c r="X239" i="1"/>
  <c r="Y239" i="1" s="1"/>
  <c r="BC239" i="1"/>
  <c r="BA239" i="1"/>
  <c r="BA271" i="1"/>
  <c r="BC271" i="1"/>
  <c r="X294" i="1"/>
  <c r="Y294" i="1" s="1"/>
  <c r="BC294" i="1"/>
  <c r="BA294" i="1"/>
  <c r="BA278" i="1"/>
  <c r="BC278" i="1"/>
  <c r="X268" i="1"/>
  <c r="Y268" i="1" s="1"/>
  <c r="BA268" i="1"/>
  <c r="BC268" i="1"/>
  <c r="X21" i="1"/>
  <c r="Y21" i="1" s="1"/>
  <c r="BC21" i="1"/>
  <c r="BA21" i="1"/>
  <c r="X285" i="1"/>
  <c r="Y285" i="1" s="1"/>
  <c r="BC285" i="1"/>
  <c r="BA285" i="1"/>
  <c r="X119" i="1"/>
  <c r="Y119" i="1" s="1"/>
  <c r="BA119" i="1"/>
  <c r="BC119" i="1"/>
  <c r="AB38" i="1"/>
  <c r="AC38" i="1" s="1"/>
  <c r="BC38" i="1"/>
  <c r="BA38" i="1"/>
  <c r="BC223" i="1"/>
  <c r="BA223" i="1"/>
  <c r="X201" i="1"/>
  <c r="Y201" i="1" s="1"/>
  <c r="BC201" i="1"/>
  <c r="BA201" i="1"/>
  <c r="AB51" i="1"/>
  <c r="AC51" i="1" s="1"/>
  <c r="BA51" i="1"/>
  <c r="BC51" i="1"/>
  <c r="X177" i="1"/>
  <c r="Y177" i="1" s="1"/>
  <c r="BC177" i="1"/>
  <c r="BA177" i="1"/>
  <c r="X167" i="1"/>
  <c r="Y167" i="1" s="1"/>
  <c r="BC167" i="1"/>
  <c r="BA167" i="1"/>
  <c r="X196" i="1"/>
  <c r="Y196" i="1" s="1"/>
  <c r="BC196" i="1"/>
  <c r="BA196" i="1"/>
  <c r="X173" i="1"/>
  <c r="Y173" i="1" s="1"/>
  <c r="BA173" i="1"/>
  <c r="BC173" i="1"/>
  <c r="X13" i="1"/>
  <c r="Y13" i="1" s="1"/>
  <c r="BC13" i="1"/>
  <c r="BA13" i="1"/>
  <c r="X50" i="1"/>
  <c r="Y50" i="1" s="1"/>
  <c r="BC50" i="1"/>
  <c r="BA50" i="1"/>
  <c r="X81" i="1"/>
  <c r="Y81" i="1" s="1"/>
  <c r="BC81" i="1"/>
  <c r="BA81" i="1"/>
  <c r="X170" i="1"/>
  <c r="Y170" i="1" s="1"/>
  <c r="BC170" i="1"/>
  <c r="BA170" i="1"/>
  <c r="AB12" i="1"/>
  <c r="AC12" i="1" s="1"/>
  <c r="BC12" i="1"/>
  <c r="BA12" i="1"/>
  <c r="AB19" i="1"/>
  <c r="AC19" i="1" s="1"/>
  <c r="BA19" i="1"/>
  <c r="BC19" i="1"/>
  <c r="X76" i="1"/>
  <c r="Y76" i="1" s="1"/>
  <c r="BC76" i="1"/>
  <c r="BA76" i="1"/>
  <c r="AB225" i="1"/>
  <c r="AC225" i="1" s="1"/>
  <c r="AB113" i="1"/>
  <c r="AC113" i="1" s="1"/>
  <c r="AB56" i="1"/>
  <c r="AC56" i="1" s="1"/>
  <c r="AB111" i="1"/>
  <c r="AC111" i="1" s="1"/>
  <c r="AB177" i="1"/>
  <c r="AC177" i="1" s="1"/>
  <c r="AB252" i="1"/>
  <c r="AC252" i="1" s="1"/>
  <c r="X226" i="1"/>
  <c r="Y226" i="1" s="1"/>
  <c r="AB220" i="1"/>
  <c r="AC220" i="1" s="1"/>
  <c r="X228" i="1"/>
  <c r="Y228" i="1" s="1"/>
  <c r="AB204" i="1"/>
  <c r="AC204" i="1" s="1"/>
  <c r="X51" i="1"/>
  <c r="Y51" i="1" s="1"/>
  <c r="AB138" i="1"/>
  <c r="AC138" i="1" s="1"/>
  <c r="AB261" i="1"/>
  <c r="AC261" i="1" s="1"/>
  <c r="AB249" i="1"/>
  <c r="AC249" i="1" s="1"/>
  <c r="AB167" i="1"/>
  <c r="AC167" i="1" s="1"/>
  <c r="X33" i="1"/>
  <c r="Y33" i="1" s="1"/>
  <c r="AB244" i="1"/>
  <c r="AC244" i="1" s="1"/>
  <c r="AB76" i="1"/>
  <c r="AC76" i="1" s="1"/>
  <c r="AB232" i="1"/>
  <c r="AC232" i="1" s="1"/>
  <c r="AB214" i="1"/>
  <c r="AC214" i="1" s="1"/>
  <c r="AB123" i="1"/>
  <c r="AC123" i="1" s="1"/>
  <c r="AB260" i="1"/>
  <c r="AC260" i="1" s="1"/>
  <c r="AB6" i="1"/>
  <c r="AC6" i="1" s="1"/>
  <c r="AB132" i="1"/>
  <c r="AC132" i="1" s="1"/>
  <c r="AB99" i="1"/>
  <c r="AC99" i="1" s="1"/>
  <c r="AB189" i="1"/>
  <c r="AC189" i="1" s="1"/>
  <c r="X42" i="1"/>
  <c r="Y42" i="1" s="1"/>
  <c r="AB250" i="1"/>
  <c r="AC250" i="1" s="1"/>
  <c r="AB17" i="1"/>
  <c r="AC17" i="1" s="1"/>
  <c r="AB80" i="1"/>
  <c r="AC80" i="1" s="1"/>
  <c r="AB200" i="1"/>
  <c r="AC200" i="1" s="1"/>
  <c r="AB173" i="1"/>
  <c r="AC173" i="1" s="1"/>
  <c r="X41" i="1"/>
  <c r="Y41" i="1" s="1"/>
  <c r="AB104" i="1"/>
  <c r="AC104" i="1" s="1"/>
  <c r="AB170" i="1"/>
  <c r="AC170" i="1" s="1"/>
  <c r="AB184" i="1"/>
  <c r="AC184" i="1" s="1"/>
  <c r="AB16" i="1"/>
  <c r="AC16" i="1" s="1"/>
  <c r="AB158" i="1"/>
  <c r="AC158" i="1" s="1"/>
  <c r="X12" i="1"/>
  <c r="Y12" i="1" s="1"/>
  <c r="AB276" i="1"/>
  <c r="AC276" i="1" s="1"/>
  <c r="X212" i="1"/>
  <c r="Y212" i="1" s="1"/>
  <c r="AB231" i="1"/>
  <c r="AC231" i="1" s="1"/>
  <c r="AB148" i="1"/>
  <c r="AC148" i="1" s="1"/>
  <c r="X19" i="1"/>
  <c r="Y19" i="1" s="1"/>
  <c r="X85" i="1"/>
  <c r="Y85" i="1" s="1"/>
  <c r="AB155" i="1"/>
  <c r="AC155" i="1" s="1"/>
  <c r="AB83" i="1"/>
  <c r="AC83" i="1" s="1"/>
  <c r="AB174" i="1"/>
  <c r="AC174" i="1" s="1"/>
  <c r="AB196" i="1"/>
  <c r="AC196" i="1" s="1"/>
  <c r="AB7" i="1"/>
  <c r="AC7" i="1" s="1"/>
  <c r="AB297" i="1"/>
  <c r="AC297" i="1" s="1"/>
  <c r="AB23" i="1"/>
  <c r="AC23" i="1" s="1"/>
  <c r="X31" i="1"/>
  <c r="Y31" i="1" s="1"/>
  <c r="AB27" i="1"/>
  <c r="AC27" i="1" s="1"/>
  <c r="AB229" i="1"/>
  <c r="AC229" i="1" s="1"/>
  <c r="AB22" i="1"/>
  <c r="AC22" i="1" s="1"/>
  <c r="AB201" i="1"/>
  <c r="AC201" i="1" s="1"/>
  <c r="AB65" i="1"/>
  <c r="AC65" i="1" s="1"/>
  <c r="AB211" i="1"/>
  <c r="AC211" i="1" s="1"/>
  <c r="AB66" i="1"/>
  <c r="AC66" i="1" s="1"/>
  <c r="AB152" i="1"/>
  <c r="AC152" i="1" s="1"/>
  <c r="AB53" i="1"/>
  <c r="AC53" i="1" s="1"/>
  <c r="AB13" i="1"/>
  <c r="AC13" i="1" s="1"/>
  <c r="AB115" i="1"/>
  <c r="AC115" i="1" s="1"/>
  <c r="AB114" i="1"/>
  <c r="AC114" i="1" s="1"/>
  <c r="AB10" i="1"/>
  <c r="AC10" i="1" s="1"/>
  <c r="AB50" i="1"/>
  <c r="AC50" i="1" s="1"/>
  <c r="AB169" i="1"/>
  <c r="AC169" i="1" s="1"/>
  <c r="AB135" i="1"/>
  <c r="AC135" i="1" s="1"/>
  <c r="AB57" i="1"/>
  <c r="AC57" i="1" s="1"/>
  <c r="AB81" i="1"/>
  <c r="AC81" i="1" s="1"/>
  <c r="AB233" i="1"/>
  <c r="AC233" i="1" s="1"/>
  <c r="AB84" i="1"/>
  <c r="AC84" i="1" s="1"/>
  <c r="AB285" i="1"/>
  <c r="AC285" i="1" s="1"/>
  <c r="AB207" i="1"/>
  <c r="AC207" i="1" s="1"/>
  <c r="AB237" i="1"/>
  <c r="AC237" i="1" s="1"/>
  <c r="AB21" i="1"/>
  <c r="AC21" i="1" s="1"/>
  <c r="AB136" i="1"/>
  <c r="AC136" i="1" s="1"/>
  <c r="AB166" i="1"/>
  <c r="AC166" i="1" s="1"/>
  <c r="AB54" i="1"/>
  <c r="AC54" i="1" s="1"/>
  <c r="AB47" i="1"/>
  <c r="AC47" i="1" s="1"/>
  <c r="AB235" i="1"/>
  <c r="AC235" i="1" s="1"/>
  <c r="X127" i="1"/>
  <c r="Y127" i="1" s="1"/>
  <c r="AB178" i="1"/>
  <c r="AC178" i="1" s="1"/>
  <c r="AB119" i="1"/>
  <c r="AC119" i="1" s="1"/>
  <c r="AB202" i="1"/>
  <c r="AC202" i="1" s="1"/>
  <c r="AB32" i="1"/>
  <c r="AC32" i="1" s="1"/>
  <c r="X102" i="1"/>
  <c r="Y102" i="1" s="1"/>
  <c r="AB194" i="1"/>
  <c r="AC194" i="1" s="1"/>
  <c r="AB62" i="1"/>
  <c r="AC62" i="1" s="1"/>
  <c r="AB157" i="1"/>
  <c r="AC157" i="1" s="1"/>
  <c r="AB269" i="1"/>
  <c r="AC269" i="1" s="1"/>
  <c r="AB240" i="1"/>
  <c r="AC240" i="1" s="1"/>
  <c r="AB257" i="1"/>
  <c r="AC257" i="1" s="1"/>
  <c r="AB287" i="1"/>
  <c r="AC287" i="1" s="1"/>
  <c r="AB294" i="1"/>
  <c r="AC294" i="1" s="1"/>
  <c r="X292" i="1"/>
  <c r="Y292" i="1" s="1"/>
  <c r="AB255" i="1"/>
  <c r="AC255" i="1" s="1"/>
  <c r="AB142" i="1"/>
  <c r="AC142" i="1" s="1"/>
  <c r="AB89" i="1"/>
  <c r="AC89" i="1" s="1"/>
  <c r="X34" i="1"/>
  <c r="Y34" i="1" s="1"/>
  <c r="X36" i="1"/>
  <c r="Y36" i="1" s="1"/>
  <c r="AB291" i="1"/>
  <c r="AC291" i="1" s="1"/>
  <c r="X35" i="1"/>
  <c r="Y35" i="1" s="1"/>
  <c r="X38" i="1"/>
  <c r="Y38" i="1" s="1"/>
  <c r="AB187" i="1"/>
  <c r="AC187" i="1" s="1"/>
  <c r="AB112" i="1"/>
  <c r="AC112" i="1" s="1"/>
  <c r="AB254" i="1"/>
  <c r="AC254" i="1" s="1"/>
  <c r="AB18" i="1"/>
  <c r="AC18" i="1" s="1"/>
  <c r="AB87" i="1"/>
  <c r="AC87" i="1" s="1"/>
  <c r="AB90" i="1"/>
  <c r="AC90" i="1" s="1"/>
  <c r="AB290" i="1"/>
  <c r="AC290" i="1" s="1"/>
  <c r="AB272" i="1"/>
  <c r="AC272" i="1" s="1"/>
  <c r="AB224" i="1"/>
  <c r="AC224" i="1" s="1"/>
  <c r="AB216" i="1"/>
  <c r="AC216" i="1" s="1"/>
  <c r="AB208" i="1"/>
  <c r="AC208" i="1" s="1"/>
  <c r="X223" i="1"/>
  <c r="Y223" i="1" s="1"/>
  <c r="AB223" i="1"/>
  <c r="AC223" i="1" s="1"/>
  <c r="AB227" i="1"/>
  <c r="AC227" i="1" s="1"/>
  <c r="X140" i="1"/>
  <c r="Y140" i="1" s="1"/>
  <c r="AB140" i="1"/>
  <c r="AC140" i="1" s="1"/>
  <c r="X273" i="1"/>
  <c r="Y273" i="1" s="1"/>
  <c r="AB273" i="1"/>
  <c r="AC273" i="1" s="1"/>
  <c r="X70" i="1"/>
  <c r="Y70" i="1" s="1"/>
  <c r="AB70" i="1"/>
  <c r="AC70" i="1" s="1"/>
  <c r="X271" i="1"/>
  <c r="Y271" i="1" s="1"/>
  <c r="AB271" i="1"/>
  <c r="AC271" i="1" s="1"/>
  <c r="AB88" i="1"/>
  <c r="AC88" i="1" s="1"/>
  <c r="X88" i="1"/>
  <c r="Y88" i="1" s="1"/>
  <c r="AB281" i="1"/>
  <c r="AC281" i="1" s="1"/>
  <c r="AB162" i="1"/>
  <c r="AC162" i="1" s="1"/>
  <c r="AB186" i="1"/>
  <c r="AC186" i="1" s="1"/>
  <c r="AB108" i="1"/>
  <c r="AC108" i="1" s="1"/>
  <c r="X30" i="1"/>
  <c r="Y30" i="1" s="1"/>
  <c r="AB143" i="1"/>
  <c r="AC143" i="1" s="1"/>
  <c r="X143" i="1"/>
  <c r="Y143" i="1" s="1"/>
  <c r="AB67" i="1"/>
  <c r="AC67" i="1" s="1"/>
  <c r="X67" i="1"/>
  <c r="Y67" i="1" s="1"/>
  <c r="X72" i="1"/>
  <c r="Y72" i="1" s="1"/>
  <c r="AB72" i="1"/>
  <c r="AC72" i="1" s="1"/>
  <c r="X259" i="1"/>
  <c r="Y259" i="1" s="1"/>
  <c r="AB259" i="1"/>
  <c r="AC259" i="1" s="1"/>
  <c r="AB73" i="1"/>
  <c r="AC73" i="1" s="1"/>
  <c r="X73" i="1"/>
  <c r="Y73" i="1" s="1"/>
  <c r="X199" i="1"/>
  <c r="Y199" i="1" s="1"/>
  <c r="AB199" i="1"/>
  <c r="AC199" i="1" s="1"/>
  <c r="AB126" i="1"/>
  <c r="AC126" i="1" s="1"/>
  <c r="AB265" i="1"/>
  <c r="AC265" i="1" s="1"/>
  <c r="AB300" i="1"/>
  <c r="AC300" i="1" s="1"/>
  <c r="AB205" i="1"/>
  <c r="AC205" i="1" s="1"/>
  <c r="X181" i="1"/>
  <c r="Y181" i="1" s="1"/>
  <c r="AB181" i="1"/>
  <c r="AC181" i="1" s="1"/>
  <c r="X193" i="1"/>
  <c r="Y193" i="1" s="1"/>
  <c r="AB193" i="1"/>
  <c r="AC193" i="1" s="1"/>
  <c r="AB219" i="1"/>
  <c r="AC219" i="1" s="1"/>
  <c r="AB206" i="1"/>
  <c r="AC206" i="1" s="1"/>
  <c r="AB284" i="1"/>
  <c r="AC284" i="1" s="1"/>
  <c r="X270" i="1"/>
  <c r="Y270" i="1" s="1"/>
  <c r="AB270" i="1"/>
  <c r="AC270" i="1" s="1"/>
  <c r="X163" i="1"/>
  <c r="Y163" i="1" s="1"/>
  <c r="AB163" i="1"/>
  <c r="AC163" i="1" s="1"/>
  <c r="AB69" i="1"/>
  <c r="AC69" i="1" s="1"/>
  <c r="AB298" i="1"/>
  <c r="AC298" i="1" s="1"/>
  <c r="AB129" i="1"/>
  <c r="AC129" i="1" s="1"/>
  <c r="AB278" i="1"/>
  <c r="AC278" i="1" s="1"/>
  <c r="X278" i="1"/>
  <c r="Y278" i="1" s="1"/>
  <c r="X86" i="1"/>
  <c r="Y86" i="1" s="1"/>
  <c r="AB86" i="1"/>
  <c r="AC86" i="1" s="1"/>
  <c r="AB44" i="1"/>
  <c r="AC44" i="1" s="1"/>
  <c r="AB68" i="1"/>
  <c r="AC68" i="1" s="1"/>
  <c r="AB279" i="1"/>
  <c r="AC279" i="1" s="1"/>
  <c r="AB274" i="1"/>
  <c r="AC274" i="1" s="1"/>
  <c r="AB71" i="1"/>
  <c r="AC71" i="1" s="1"/>
  <c r="X71" i="1"/>
  <c r="Y71" i="1" s="1"/>
  <c r="AB55" i="1"/>
  <c r="AC55" i="1" s="1"/>
  <c r="AB121" i="1"/>
  <c r="AC121" i="1" s="1"/>
  <c r="AB5" i="1"/>
  <c r="AC5" i="1" s="1"/>
  <c r="AB262" i="1"/>
  <c r="AC262" i="1" s="1"/>
  <c r="AB267" i="1"/>
  <c r="AC267" i="1" s="1"/>
  <c r="AB295" i="1"/>
  <c r="AC295" i="1" s="1"/>
  <c r="X295" i="1"/>
  <c r="Y295" i="1" s="1"/>
  <c r="X176" i="1"/>
  <c r="Y176" i="1" s="1"/>
  <c r="AB176" i="1"/>
  <c r="AC176" i="1" s="1"/>
  <c r="AB266" i="1"/>
  <c r="AC266" i="1" s="1"/>
  <c r="AB130" i="1"/>
  <c r="AC130" i="1" s="1"/>
  <c r="AB280" i="1"/>
  <c r="AC280" i="1" s="1"/>
  <c r="AB275" i="1"/>
  <c r="AC275" i="1" s="1"/>
  <c r="AB296" i="1"/>
  <c r="AC296" i="1" s="1"/>
  <c r="AB197" i="1"/>
  <c r="AC197" i="1" s="1"/>
  <c r="AB107" i="1"/>
  <c r="AC107" i="1" s="1"/>
  <c r="AB302" i="1"/>
  <c r="AC302" i="1" s="1"/>
  <c r="AB263" i="1"/>
  <c r="AC263" i="1" s="1"/>
  <c r="AB58" i="1"/>
  <c r="AC58" i="1" s="1"/>
  <c r="AB210" i="1"/>
  <c r="AC210" i="1" s="1"/>
  <c r="AB122" i="1"/>
  <c r="AC122" i="1" s="1"/>
  <c r="AB182" i="1"/>
  <c r="AC182" i="1" s="1"/>
  <c r="AB11" i="1"/>
  <c r="AC11" i="1" s="1"/>
  <c r="AB238" i="1"/>
  <c r="AC238" i="1" s="1"/>
  <c r="AB195" i="1"/>
  <c r="AC195" i="1" s="1"/>
  <c r="AB258" i="1"/>
  <c r="AC258" i="1" s="1"/>
  <c r="AB141" i="1"/>
  <c r="AC141" i="1" s="1"/>
  <c r="AB268" i="1"/>
  <c r="AC268" i="1" s="1"/>
  <c r="AB239" i="1"/>
  <c r="AC239" i="1" s="1"/>
  <c r="AB139" i="1"/>
  <c r="AC139" i="1" s="1"/>
  <c r="X139" i="1"/>
  <c r="Y139" i="1" s="1"/>
  <c r="AB289" i="1"/>
  <c r="AC289" i="1" s="1"/>
  <c r="X282" i="1"/>
  <c r="Y282" i="1" s="1"/>
  <c r="AB282" i="1"/>
  <c r="AC282" i="1" s="1"/>
  <c r="X301" i="1"/>
  <c r="Y301" i="1" s="1"/>
  <c r="AB301" i="1"/>
  <c r="AC301" i="1" s="1"/>
  <c r="AB253" i="1"/>
  <c r="AC253" i="1" s="1"/>
  <c r="AB120" i="1"/>
  <c r="AC120" i="1" s="1"/>
  <c r="AV116" i="1"/>
  <c r="AA116" i="1" s="1"/>
  <c r="AV77" i="1"/>
  <c r="AA77" i="1" s="1"/>
  <c r="AV117" i="1"/>
  <c r="AA117" i="1" s="1"/>
  <c r="AV78" i="1"/>
  <c r="AA78" i="1" s="1"/>
  <c r="AV248" i="1"/>
  <c r="AA248" i="1" s="1"/>
  <c r="AV256" i="1"/>
  <c r="AA256" i="1" s="1"/>
  <c r="AV264" i="1"/>
  <c r="AA264" i="1" s="1"/>
  <c r="AV277" i="1"/>
  <c r="AA277" i="1" s="1"/>
  <c r="AV29" i="1"/>
  <c r="AA29" i="1" s="1"/>
  <c r="AV180" i="1"/>
  <c r="AA180" i="1" s="1"/>
  <c r="V116" i="1"/>
  <c r="V77" i="1"/>
  <c r="V117" i="1"/>
  <c r="V78" i="1"/>
  <c r="V248" i="1"/>
  <c r="V256" i="1"/>
  <c r="V264" i="1"/>
  <c r="V277" i="1"/>
  <c r="V29" i="1"/>
  <c r="T116" i="1"/>
  <c r="AJ116" i="1" s="1"/>
  <c r="T77" i="1"/>
  <c r="AJ77" i="1" s="1"/>
  <c r="T117" i="1"/>
  <c r="AJ117" i="1" s="1"/>
  <c r="T78" i="1"/>
  <c r="AJ78" i="1" s="1"/>
  <c r="T248" i="1"/>
  <c r="AJ248" i="1" s="1"/>
  <c r="T256" i="1"/>
  <c r="AJ256" i="1" s="1"/>
  <c r="T264" i="1"/>
  <c r="AJ264" i="1" s="1"/>
  <c r="T277" i="1"/>
  <c r="AJ277" i="1" s="1"/>
  <c r="T29" i="1"/>
  <c r="AJ29" i="1" s="1"/>
  <c r="D116" i="1"/>
  <c r="D77" i="1"/>
  <c r="D117" i="1"/>
  <c r="D78" i="1"/>
  <c r="D248" i="1"/>
  <c r="D256" i="1"/>
  <c r="D264" i="1"/>
  <c r="D277" i="1"/>
  <c r="D29" i="1"/>
  <c r="D180" i="1"/>
  <c r="V180" i="1"/>
  <c r="T180" i="1"/>
  <c r="AJ180" i="1" s="1"/>
  <c r="AL29" i="1" l="1"/>
  <c r="AL116" i="1"/>
  <c r="AL77" i="1"/>
  <c r="AL277" i="1"/>
  <c r="AL117" i="1"/>
  <c r="AL264" i="1"/>
  <c r="AL256" i="1"/>
  <c r="AL78" i="1"/>
  <c r="AL180" i="1"/>
  <c r="X180" i="1" s="1"/>
  <c r="Y180" i="1" s="1"/>
  <c r="AL248" i="1"/>
  <c r="AE29" i="1"/>
  <c r="AE116" i="1"/>
  <c r="AE277" i="1"/>
  <c r="AF256" i="1"/>
  <c r="AE180" i="1"/>
  <c r="AE248" i="1"/>
  <c r="AF78" i="1"/>
  <c r="AF264" i="1"/>
  <c r="AF117" i="1"/>
  <c r="AF77" i="1"/>
  <c r="AE264" i="1"/>
  <c r="AE256" i="1"/>
  <c r="AE78" i="1"/>
  <c r="AF248" i="1"/>
  <c r="AE117" i="1"/>
  <c r="AF29" i="1"/>
  <c r="AF116" i="1"/>
  <c r="AE77" i="1"/>
  <c r="AF277" i="1"/>
  <c r="AH180" i="1"/>
  <c r="AI180" i="1"/>
  <c r="AF180" i="1"/>
  <c r="AB78" i="1" l="1"/>
  <c r="AC78" i="1" s="1"/>
  <c r="BC78" i="1"/>
  <c r="BA78" i="1"/>
  <c r="AB264" i="1"/>
  <c r="AC264" i="1" s="1"/>
  <c r="BA264" i="1"/>
  <c r="BC264" i="1"/>
  <c r="AB117" i="1"/>
  <c r="AC117" i="1" s="1"/>
  <c r="BC117" i="1"/>
  <c r="BA117" i="1"/>
  <c r="AB277" i="1"/>
  <c r="AC277" i="1" s="1"/>
  <c r="BA277" i="1"/>
  <c r="BC277" i="1"/>
  <c r="X77" i="1"/>
  <c r="Y77" i="1" s="1"/>
  <c r="BC77" i="1"/>
  <c r="BA77" i="1"/>
  <c r="AB256" i="1"/>
  <c r="AC256" i="1" s="1"/>
  <c r="BC256" i="1"/>
  <c r="BA256" i="1"/>
  <c r="AB248" i="1"/>
  <c r="AC248" i="1" s="1"/>
  <c r="BC248" i="1"/>
  <c r="BA248" i="1"/>
  <c r="BC116" i="1"/>
  <c r="BA116" i="1"/>
  <c r="AB29" i="1"/>
  <c r="AC29" i="1" s="1"/>
  <c r="BC29" i="1"/>
  <c r="BA29" i="1"/>
  <c r="X117" i="1"/>
  <c r="Y117" i="1" s="1"/>
  <c r="AB77" i="1"/>
  <c r="AC77" i="1" s="1"/>
  <c r="X78" i="1"/>
  <c r="Y78" i="1" s="1"/>
  <c r="X248" i="1"/>
  <c r="Y248" i="1" s="1"/>
  <c r="X277" i="1"/>
  <c r="Y277" i="1" s="1"/>
  <c r="X29" i="1"/>
  <c r="Y29" i="1" s="1"/>
  <c r="X264" i="1"/>
  <c r="Y264" i="1" s="1"/>
  <c r="X256" i="1"/>
  <c r="Y256" i="1" s="1"/>
  <c r="AB180" i="1"/>
  <c r="AC180" i="1" s="1"/>
  <c r="BA180" i="1"/>
  <c r="BC180" i="1"/>
  <c r="AB116" i="1"/>
  <c r="AC116" i="1" s="1"/>
  <c r="X116" i="1"/>
  <c r="Y116" i="1" s="1"/>
</calcChain>
</file>

<file path=xl/sharedStrings.xml><?xml version="1.0" encoding="utf-8"?>
<sst xmlns="http://schemas.openxmlformats.org/spreadsheetml/2006/main" count="2591" uniqueCount="1030">
  <si>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</si>
  <si>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</si>
  <si>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</si>
  <si>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</si>
  <si>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</si>
  <si>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</si>
  <si>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</si>
  <si>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</si>
  <si>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</si>
  <si>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</si>
  <si>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</si>
  <si>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</si>
  <si>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</si>
  <si>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</si>
  <si>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</si>
  <si>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</si>
  <si>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</si>
  <si>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</si>
  <si>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</si>
  <si>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</si>
  <si>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</si>
  <si>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</si>
  <si>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</si>
  <si>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</si>
  <si>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</si>
  <si>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</si>
  <si>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</si>
  <si>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</si>
  <si>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</si>
  <si>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</si>
  <si>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</si>
  <si>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</si>
  <si>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</si>
  <si>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</si>
  <si>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</si>
  <si>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</si>
  <si>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</si>
  <si>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</si>
  <si>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</si>
  <si>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</si>
  <si>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</si>
  <si>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</si>
  <si>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</si>
  <si>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</si>
  <si>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</si>
  <si>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</si>
  <si>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</si>
  <si>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</si>
  <si>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</si>
  <si>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</si>
  <si>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</si>
  <si>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</si>
  <si>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</si>
  <si>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</si>
  <si>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</si>
  <si>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</si>
  <si>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</si>
  <si>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</si>
  <si>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8869AR</t>
  </si>
  <si>
    <t>J060GM</t>
  </si>
  <si>
    <t>J061GM</t>
  </si>
  <si>
    <t>J0860X</t>
  </si>
  <si>
    <t>J0861X</t>
  </si>
  <si>
    <t>J0862X</t>
  </si>
  <si>
    <t>J2107Y</t>
  </si>
  <si>
    <t>J371WK</t>
  </si>
  <si>
    <t>J372WK</t>
  </si>
  <si>
    <t>J373WK</t>
  </si>
  <si>
    <t>J521SB</t>
  </si>
  <si>
    <t>J3868P</t>
  </si>
  <si>
    <t>J70783</t>
  </si>
  <si>
    <t>J70784</t>
  </si>
  <si>
    <t>J70785</t>
  </si>
  <si>
    <t>J70786</t>
  </si>
  <si>
    <t>J70787</t>
  </si>
  <si>
    <t>J70788</t>
  </si>
  <si>
    <t>J70789</t>
  </si>
  <si>
    <t>J70790</t>
  </si>
  <si>
    <t>J70791</t>
  </si>
  <si>
    <t>J70792</t>
  </si>
  <si>
    <t>J70793</t>
  </si>
  <si>
    <t>J70794</t>
  </si>
  <si>
    <t>J70795</t>
  </si>
  <si>
    <t>J70796</t>
  </si>
  <si>
    <t>J70797</t>
  </si>
  <si>
    <t>J70798</t>
  </si>
  <si>
    <t>J70799</t>
  </si>
  <si>
    <t>J71136</t>
  </si>
  <si>
    <t>J71137</t>
  </si>
  <si>
    <t>J70800</t>
  </si>
  <si>
    <t>J742GJ</t>
  </si>
  <si>
    <t>J77797</t>
  </si>
  <si>
    <t>J77798</t>
  </si>
  <si>
    <t>J912RW</t>
  </si>
  <si>
    <t>J913RW</t>
  </si>
  <si>
    <t>J914RW</t>
  </si>
  <si>
    <t>J916RW</t>
  </si>
  <si>
    <t>J917RW</t>
  </si>
  <si>
    <t>J915RW</t>
  </si>
  <si>
    <t>J918RW</t>
  </si>
  <si>
    <t>J919RW</t>
  </si>
  <si>
    <t>J921RW</t>
  </si>
  <si>
    <t>J920RW</t>
  </si>
  <si>
    <t>J922RW</t>
  </si>
  <si>
    <t>J923RW</t>
  </si>
  <si>
    <t>J965WY</t>
  </si>
  <si>
    <t>J966WY</t>
  </si>
  <si>
    <t>ﾏｸﾞｴｯｸｽ/ぴたえもん A4 5枚/MSP-02-A4-1</t>
  </si>
  <si>
    <t>ﾏｸﾞｴｯｸｽ/ｳｲｰｸｼｰﾄ ﾏｸﾞﾈｯﾄ 大/MSW-7B</t>
  </si>
  <si>
    <t>ﾏｸﾞｴｯｸｽ/ｳｲｰｸｼｰﾄ ﾏｸﾞﾈｯﾄ 小/MSW-7S</t>
  </si>
  <si>
    <t>ﾏｸﾞｴｯｸｽ/ﾃﾞｲﾄｼｰﾄ ﾏｸﾞﾈｯﾄ 大/MSD-31B</t>
  </si>
  <si>
    <t>ﾏｸﾞｴｯｸｽ/ﾃﾞｲﾄｼｰﾄ ﾏｸﾞﾈｯﾄ 小/MSD-31S</t>
  </si>
  <si>
    <t>G)ﾏｸﾞｴｯｸｽ/ﾏｸﾞﾈｯﾄﾎﾜｲﾄﾎﾞｰﾄﾞｼｰﾄ 小/MSHW-3045-M</t>
  </si>
  <si>
    <t>G)ﾏｸﾞｴｯｸｽ/ﾏｸﾞﾈｯﾄﾎﾜｲﾄﾎﾞｰﾄﾞｼｰﾄ 中/MSHW-4560-M</t>
  </si>
  <si>
    <t>G)ﾏｸﾞｴｯｸｽ/ﾏｸﾞﾈｯﾄﾎﾜｲﾄﾎﾞｰﾄﾞｼｰﾄ 大/MSHW-6090-M</t>
  </si>
  <si>
    <t>G)ﾏｸﾞｴｯｸｽ/ﾏｸﾞﾈｯﾄﾎﾜｲﾄﾎﾞｰﾄﾞｼｰﾄ 特大/MSHW-90120-M</t>
  </si>
  <si>
    <t>G)ﾏｸﾞｴｯｸｽ/ｶﾗｰﾎﾞﾀﾝ 大 青 4個入/MFCB-40-4P-B</t>
  </si>
  <si>
    <t>G)ﾏｸﾞｴｯｸｽ/ｶﾗｰﾎﾞﾀﾝ 大 赤 4個入/MFCB-40-4P-R</t>
  </si>
  <si>
    <t>G)ﾏｸﾞｴｯｸｽ/ｶﾗｰﾎﾞﾀﾝ 大 黄 4個入/MFCB-40-4P-Y</t>
  </si>
  <si>
    <t>G)ﾏｸﾞｴｯｸｽ/ｶﾗｰﾎﾞﾀﾝ 大 白 4個入/MFCB-40-4P-W</t>
  </si>
  <si>
    <t>G)ﾏｸﾞｴｯｸｽ/ｶﾗｰﾎﾞﾀﾝ 大 緑 4個入/MFCB-40-4P-G</t>
  </si>
  <si>
    <t>G)ﾏｸﾞｴｯｸｽ/ｶﾗｰﾎﾞﾀﾝ 中 青 5個入/MFCB-30-5P-B</t>
  </si>
  <si>
    <t>G)ﾏｸﾞｴｯｸｽ/ｶﾗｰﾎﾞﾀﾝ 中 赤 5個入/MFCB-30-5P-R</t>
  </si>
  <si>
    <t>G)ﾏｸﾞｴｯｸｽ/ｶﾗｰﾎﾞﾀﾝ 中 黄 5個入/MFCB-30-5P-Y</t>
  </si>
  <si>
    <t>G)ﾏｸﾞｴｯｸｽ/ｶﾗｰﾎﾞﾀﾝ 中 白 5個入/MFCB-30-5P-W</t>
  </si>
  <si>
    <t>G)ﾏｸﾞｴｯｸｽ/ｶﾗｰﾎﾞﾀﾝ 中 緑 5個入/MFCB-30-5P-G</t>
  </si>
  <si>
    <t>G)ﾏｸﾞｴｯｸｽ/ｶﾗｰﾎﾞﾀﾝ 小 青 6個入/MFCB-20-6P-B</t>
  </si>
  <si>
    <t>G)ﾏｸﾞｴｯｸｽ/ｶﾗｰﾎﾞﾀﾝ 小 赤 6個入/MFCB-20-6P-R</t>
  </si>
  <si>
    <t>G)ﾏｸﾞｴｯｸｽ/ｶﾗｰﾎﾞﾀﾝ 小 黄 6個入/MFCB-20-6P-Y</t>
  </si>
  <si>
    <t>G)ﾏｸﾞｴｯｸｽ/ｶﾗｰﾎﾞﾀﾝ 小 白 6個入/MFCB-20-6P-W</t>
  </si>
  <si>
    <t>G)ﾏｸﾞｴｯｸｽ/ｶﾗｰﾎﾞﾀﾝ 小 緑 6個入/MFCB-20-6P-G</t>
  </si>
  <si>
    <t>●ﾏｸﾞｴｯｸｽ/MPB-1000(3個)/ﾊﾟﾜｰﾍﾞﾙﾄ(大)</t>
  </si>
  <si>
    <t>ﾏｸﾞｴｯｸｽ/しきりﾌﾟﾚｰﾄ S 3個入/MMPS3P</t>
  </si>
  <si>
    <t>ﾏｸﾞｴｯｸｽ/強力ｶﾗｰﾏｸﾞﾈｯﾄ 大 青 2個入/MFCM-30-2P-B</t>
  </si>
  <si>
    <t>ﾏｸﾞｴｯｸｽ/強力ｶﾗｰﾏｸﾞﾈｯﾄ 大 赤 2個入/MFCM-30-2P-R</t>
  </si>
  <si>
    <t>ﾏｸﾞｴｯｸｽ/強力ｶﾗｰﾏｸﾞﾈｯﾄ 大 黄 2個入/MFCM-30-2P-Y</t>
  </si>
  <si>
    <t>ﾏｸﾞｴｯｸｽ/強力ｶﾗｰﾏｸﾞﾈｯﾄ 大 黒 2個入/MFCM-30-2P-K</t>
  </si>
  <si>
    <t>ﾏｸﾞｴｯｸｽ/強力ｶﾗｰﾏｸﾞﾈｯﾄ 大 白 2個入/MFCM-30-2P-W</t>
  </si>
  <si>
    <t>ﾏｸﾞｴｯｸｽ/強力ｶﾗｰﾏｸﾞﾈｯﾄ 大 橙 2個入/MFCM-30-2P-O</t>
  </si>
  <si>
    <t>ﾏｸﾞｴｯｸｽ/強力ｶﾗｰﾏｸﾞﾈｯﾄ 大 緑 2個入/MFCM-30-2P-G</t>
  </si>
  <si>
    <t>ﾏｸﾞｴｯｸｽ/強力ｶﾗｰﾏｸﾞﾈｯﾄ 小 青 3個入/MFCM-18-3P-B</t>
  </si>
  <si>
    <t>ﾏｸﾞｴｯｸｽ/しきりﾌﾟﾚｰﾄ M 3個入/MMPM3P</t>
  </si>
  <si>
    <t>G)ﾏｸﾞｴｯｸｽ/ぴたえもんﾚｰｻﾞｰ屋外用A3 3枚入/MSPLO-A3</t>
  </si>
  <si>
    <t>ﾏｸﾞｴｯｸｽ/強力ｶﾗｰﾏｸﾞﾈｯﾄ 小 赤 3個入/MFCM-18-3P-R</t>
  </si>
  <si>
    <t>ﾏｸﾞｴｯｸｽ/強力ｶﾗｰﾏｸﾞﾈｯﾄ 小 黄 3個入/MFCM-18-3P-Y</t>
  </si>
  <si>
    <t>ﾏｸﾞｴｯｸｽ/強力ｶﾗｰﾏｸﾞﾈｯﾄ 小 黒 3個入/MFCM-18-3P-K</t>
  </si>
  <si>
    <t>ﾏｸﾞｴｯｸｽ/強力ｶﾗｰﾏｸﾞﾈｯﾄ 小 白 3個入/MFCM-18-3P-W</t>
  </si>
  <si>
    <t>ﾏｸﾞｴｯｸｽ/強力ｶﾗｰﾏｸﾞﾈｯﾄ 小 橙 3個入/MFCM-18-3P-O</t>
  </si>
  <si>
    <t>ﾏｸﾞｴｯｸｽ/強力ｶﾗｰﾏｸﾞﾈｯﾄ 小 緑 3個入/MFCM-18-3P-G</t>
  </si>
  <si>
    <t>G)ﾏｸﾞｴｯｸｽ/粘着付ｼｰﾄ ﾏｸﾞﾈｯﾄ/MSWF-12</t>
  </si>
  <si>
    <t>G)ﾏｸﾞｴｯｸｽ/ﾏｸﾞﾈｯﾄｶﾗｰｼｰﾄ 小 青/MSC-08B</t>
  </si>
  <si>
    <t>G)ﾏｸﾞｴｯｸｽ/ぴたえもんﾚｰｻﾞｰ屋外用A4 3枚入/MSPLO-A4</t>
  </si>
  <si>
    <t>ﾏｸﾞｴｯｸｽ/ﾎﾜｲﾄﾎﾞｰﾄﾞｲﾚｰｻﾞｰ ﾗｸﾘﾌS/MRAKU-S</t>
  </si>
  <si>
    <t>G)ﾏｸﾞｴｯｸｽ/ﾏｸﾞﾈｯﾄｶﾗｰｼｰﾄ 小 赤/MSC-08R</t>
  </si>
  <si>
    <t>G)ﾏｸﾞｴｯｸｽ/ﾏｸﾞﾈｯﾄｶﾗｰｼｰﾄ 小 黄/MSC-08Y</t>
  </si>
  <si>
    <t>ﾏｸﾞｴｯｸｽ/ﾎﾜｲﾄﾎﾞｰﾄﾞｲﾚｰｻﾞｰ ﾗｸﾘﾌM/MRAKU-M</t>
  </si>
  <si>
    <t>ﾏｸﾞｴｯｸｽ/ﾎﾜｲﾄﾎﾞｰﾄﾞｲﾚｰｻﾞｰ ﾗｸﾘﾌL/MRAKU-L</t>
  </si>
  <si>
    <t>ﾏｸﾞｴｯｸｽ/ﾎﾜｲﾄﾎﾞｰﾄﾞｲﾚｰｻﾞｰ ﾗｸﾘﾌSﾘﾌｨﾙ/MRAKU-S-R2</t>
  </si>
  <si>
    <t>ﾏｸﾞｴｯｸｽ/ﾎﾜｲﾄﾎﾞｰﾄﾞｲﾚｰｻﾞｰ ﾗｸﾘﾌMﾘﾌｨﾙ/MRAKU-M-R2</t>
  </si>
  <si>
    <t>G)ﾏｸﾞｴｯｸｽ/ﾏｸﾞﾈｯﾄｶﾗｰｼｰﾄ 小 白/MSC-08W</t>
  </si>
  <si>
    <t>G)ﾏｸﾞｴｯｸｽ/ﾏｸﾞﾈｯﾄｶﾗｰｼｰﾄ 小 橙/MSC-08O</t>
  </si>
  <si>
    <t>G)ﾏｸﾞｴｯｸｽ/ﾏｸﾞﾈｯﾄｶﾗｰｼｰﾄ 小 緑/MSC-08G</t>
  </si>
  <si>
    <t>G)ﾏｸﾞｴｯｸｽ/ﾏｸﾞﾈｯﾄｸﾘｰﾝｼｰﾄﾚｷﾞｭﾗｰ 青/MSK-08B</t>
  </si>
  <si>
    <t>G)ﾏｸﾞｴｯｸｽ/ﾏｸﾞﾈｯﾄｸﾘｰﾝｼｰﾄﾚｷﾞｭﾗｰ 赤/MSK-08R</t>
  </si>
  <si>
    <t>G)ﾏｸﾞｴｯｸｽ/ﾏｸﾞﾈｯﾄｸﾘｰﾝｼｰﾄﾚｷﾞｭﾗｰ 黄/MSK-08Y</t>
  </si>
  <si>
    <t>G)ﾏｸﾞｴｯｸｽ/ﾏｸﾞﾈｯﾄｸﾘｰﾝｼｰﾄﾚｷﾞｭﾗｰ 白/MSK-08W</t>
  </si>
  <si>
    <t>G)ﾏｸﾞｴｯｸｽ/ﾏｸﾞﾈｯﾄｸﾘｰﾝｼｰﾄﾚｷﾞｭﾗｰ 緑/MSK-08G</t>
  </si>
  <si>
    <t>G)ﾏｸﾞｴｯｸｽ/ﾏｸﾞﾈｯﾄｸﾘｰﾝｼｰﾄﾜｲﾄﾞ 青/MSKW-08B</t>
  </si>
  <si>
    <t>G)ﾏｸﾞｴｯｸｽ/ﾏｸﾞﾈｯﾄｸﾘｰﾝｼｰﾄﾜｲﾄﾞ 黄/MSKW-08Y</t>
  </si>
  <si>
    <t>G)ﾏｸﾞｴｯｸｽ/ﾏｸﾞﾈｯﾄｸﾘｰﾝｼｰﾄﾜｲﾄﾞ 白/MSKW-08W</t>
  </si>
  <si>
    <t>G)ﾏｸﾞｴｯｸｽ/ﾏｸﾞﾈｯﾄｸﾘｰﾝｼｰﾄﾜｲﾄﾞ 橙/MSKW-08O</t>
  </si>
  <si>
    <t>G)ﾏｸﾞｴｯｸｽ/ﾏｸﾞﾈｯﾄｸﾘｰﾝｼｰﾄﾜｲﾄﾞ 緑/MSKW-08G</t>
  </si>
  <si>
    <t>ﾏｸﾞｴｯｸｽ/ﾏｸﾞﾈｯﾄﾊﾞｰ 青/MOB-620B</t>
  </si>
  <si>
    <t>ﾏｸﾞｴｯｸｽ/ﾏｸﾞﾈｯﾄﾊﾞｰ 青/MOB-220B</t>
  </si>
  <si>
    <t>ﾏｸﾞｴｯｸｽ/ﾏｸﾞﾈｯﾄﾊﾞｰ 黄/MOB-220Y</t>
  </si>
  <si>
    <t>ﾏｸﾞｴｯｸｽ/ﾏｸﾞﾈｯﾄﾊﾞｰ 白/MOB-220W</t>
  </si>
  <si>
    <t>ﾏｸﾞｴｯｸｽ/ﾏｸﾞﾈｯﾄﾊﾞｰ 青/MOB-310B</t>
  </si>
  <si>
    <t>ﾏｸﾞｴｯｸｽ/ﾏｸﾞﾈｯﾄﾊﾞｰ 黄/MOB-310Y</t>
  </si>
  <si>
    <t>ﾏｸﾞｴｯｸｽ/ﾏｸﾞﾈｯﾄﾊﾞｰ 白/MOB-310W</t>
  </si>
  <si>
    <t>ﾏｸﾞｴｯｸｽ/ﾎﾜｲﾄﾎﾞｰﾄﾞｲﾚｰｻﾞｰ ﾗｸﾘﾌLﾘﾌｨﾙ/MRAKU-L-R2</t>
  </si>
  <si>
    <t>ﾏｸﾞｴｯｸｽ/ﾏｸﾞﾈｯﾄ粘着付ｼｰﾄ強力(ｶｯﾄﾀｲﾌﾟ)/MSWFPC-12</t>
  </si>
  <si>
    <t>ﾏｸﾞｴｯｸｽ/ﾏｸﾞﾈｯﾄﾏｲｸﾛﾌｯｸ 白/MCRO-4W</t>
  </si>
  <si>
    <t>ﾏｸﾞｴｯｸｽ/ﾏｸﾞﾈｯﾄｽﾘﾑﾊﾞｰ 白 10本/MSLB-220-10P-W</t>
  </si>
  <si>
    <t>ﾏｸﾞｴｯｸｽ/ﾏｸﾞﾈｯﾄｽﾘﾑﾊﾞｰ 青 10本/MSLB-220-10P-B</t>
  </si>
  <si>
    <t>ﾏｸﾞｴｯｸｽ/ﾏｸﾞﾈｯﾄｽﾘﾑﾊﾞｰ ｸﾘｱ 10本/MSLB-220-10P-KT</t>
  </si>
  <si>
    <t>ﾏｸﾞｴｯｸｽ/ﾏｸﾞﾈｯﾄｽﾘﾑﾊﾞｰ ｸﾘｱ 3本/MSLB-220-3P-KT</t>
  </si>
  <si>
    <t>ﾏｸﾞｴｯｸｽ/ﾒｯｼｭｹｰｽﾏﾁあり A3/MMCL-A3</t>
  </si>
  <si>
    <t>ﾏｸﾞｴｯｸｽ/ﾒｯｼｭｹｰｽﾏﾁあり A4/MMCL-A4</t>
  </si>
  <si>
    <t>ﾏｸﾞｴｯｸｽ/ﾒｯｼｭｹｰｽﾏﾁあり A5/MMCL-A5</t>
  </si>
  <si>
    <t>ﾏｸﾞｴｯｸｽ/ﾒｯｼｭｹｰｽﾏﾁあり A6/MMCL-A6</t>
  </si>
  <si>
    <t>ﾏｸﾞｴｯｸｽ/ﾒｯｼｭｹｰｽﾏﾁあり A7/MMCL-A7</t>
  </si>
  <si>
    <t>ﾏｸﾞｴｯｸｽ/ﾒｯｼｭｹｰｽﾏﾁあり A8/MMCL-A8</t>
  </si>
  <si>
    <t>ﾏｸﾞｴｯｸｽ/ﾒｯｼｭｹｰｽﾏﾁあり PC/MMCL-PC</t>
  </si>
  <si>
    <t>ﾏｸﾞｴｯｸｽ/ﾒｯｼｭｹｰｽ ﾃﾞｶﾏﾁ A4/MMCL-A4-D</t>
  </si>
  <si>
    <t>G)ﾏｸﾞｴｯｸｽ/ﾏｸﾞﾈｯﾄｶｰﾄﾞｹｰｽ ﾂﾔ有り A3/MCARD-A3G</t>
  </si>
  <si>
    <t>G)ﾏｸﾞｴｯｸｽ/ﾏｸﾞﾈｯﾄｶｰﾄﾞｹｰｽ ﾂﾔ有り A4/MCARD-A4G</t>
  </si>
  <si>
    <t>G)ﾏｸﾞｴｯｸｽ/ﾏｸﾞﾈｯﾄｶｰﾄﾞｹｰｽ ﾂﾔ消し A3/MCARD-A3M</t>
  </si>
  <si>
    <t>G)ﾏｸﾞｴｯｸｽ/ﾏｸﾞﾈｯﾄｶｰﾄﾞｹｰｽ ﾂﾔ消し A4/MCARD-A4M</t>
  </si>
  <si>
    <t>G)ﾏｸﾞｴｯｸｽ/ﾏｸﾞﾈｯﾄﾛｰﾙ(白ﾂﾔあり) 幅200mm 10m巻</t>
  </si>
  <si>
    <t>ﾏｸﾞｴｯｸｽ/ﾏｸﾞﾈｯﾄ ｳｨｰｸｼｰﾄ 特大/MSW-7LL</t>
  </si>
  <si>
    <t>ﾏｸﾞｴｯｸｽ/抗菌はがせるｲﾚｰｻﾞｰ/MCE-M</t>
  </si>
  <si>
    <t>ﾏｸﾞｴｯｸｽ/ﾏｸﾞﾈｯﾄﾜｲﾄﾞｸﾘｯﾌﾟ/MCWD-210W</t>
  </si>
  <si>
    <t>ﾏｸﾞｴｯｸｽ/強粘着付ﾏｸﾞﾈｯﾄﾃｰﾌﾟ 2本/MSTPK-200</t>
  </si>
  <si>
    <t>ﾏｸﾞｴｯｸｽ/ﾏｸﾞﾈｯﾄｽﾘﾑﾊﾞｰ310 白 3本/MSLB-310-3P-W</t>
  </si>
  <si>
    <t>ﾏｸﾞｴｯｸｽ/ﾏｸﾞﾈｯﾄｽﾘﾑﾊﾞｰ310 暖色 3本/MSLB-310-3P-H</t>
  </si>
  <si>
    <t>ﾏｸﾞｴｯｸｽ/ﾏｸﾞﾈｯﾄｽﾘﾑﾊﾞｰ310 寒色 3本/MSLB-310-3P-C</t>
  </si>
  <si>
    <t>ﾏｸﾞｴｯｸｽ/ﾏｸﾞﾈｯﾄｽﾘﾑﾊﾞｰ310 ｸﾘｱ 3本/MSLB-310-3P-KT</t>
  </si>
  <si>
    <t>ﾏｸﾞｴｯｸｽ/ﾏｸﾞﾈｯﾄﾌｯｸ ｾﾞﾛｽﾗｲﾄﾞ S 黒/MZR-4K</t>
  </si>
  <si>
    <t>ﾏｸﾞｴｯｸｽ/ﾏｸﾞﾈｯﾄﾌｯｸ ｾﾞﾛｽﾗｲﾄﾞ M 黒/MZR-6K</t>
  </si>
  <si>
    <t>ﾏｸﾞｴｯｸｽ/ﾏｸﾞﾈｯﾄ抗菌ﾌﾗｯﾄﾌｯｸ 白 S/MFH-1W</t>
  </si>
  <si>
    <t>ﾏｸﾞｴｯｸｽ/ﾏｸﾞﾈｯﾄ抗菌ﾌﾗｯﾄﾌｯｸ 白 M/MFH-3W</t>
  </si>
  <si>
    <t>ﾏｸﾞｴｯｸｽ/ﾏｸﾞﾈｯﾄ抗菌ﾌﾗｯﾄﾌｯｸ 白 L/MFH-6W</t>
  </si>
  <si>
    <t>ﾏｸﾞｴｯｸｽ/強力ﾏｸﾞﾈｯﾄｼｰﾄ 滑止加工 粘着 16片/AGWF-16</t>
  </si>
  <si>
    <t>ﾏｸﾞｴｯｸｽ/強力ﾏｸﾞﾈｯﾄｼｰﾄ 滑止加工 粘着 4片/AGWF-4</t>
  </si>
  <si>
    <t>ﾏｸﾞｴｯｸｽ/強力ﾏｸﾞﾈｯﾄｼｰﾄ 滑止加工 粘着 1片/AGWF-1</t>
  </si>
  <si>
    <t>G)ﾏｸﾞｴｯｸｽ/ﾎﾜｲﾄﾎﾞｰﾄﾞMX ﾜｲﾄﾞ(780×440mm)/MXWH-WD</t>
  </si>
  <si>
    <t>ﾏｸﾞｴｯｸｽ/ﾏｸﾞﾈｯﾄｽﾘﾑﾊﾞｰ 310 白 10本ﾊﾟｯｸ</t>
  </si>
  <si>
    <t>ﾏｸﾞｴｯｸｽ/強力ﾏｸﾞﾈｯﾄｼｰﾄ 滑止加工 粘着 小/AGWF-1030</t>
  </si>
  <si>
    <t>ﾏｸﾞｴｯｸｽ/強力ﾏｸﾞﾈｯﾄｼｰﾄ 滑止加工 粘着 大/AGWF-2030</t>
  </si>
  <si>
    <t>ﾏｸﾞｴｯｸｽ/ﾏｸﾞﾈｯﾄｽﾘﾑﾊﾞｰ 310 青 10本ﾊﾟｯｸ</t>
  </si>
  <si>
    <t>ﾏｸﾞｴｯｸｽ/ﾏｸﾞﾈｯﾄｽﾘﾑﾊﾞｰ 310 ｸﾘｱ 10本ﾊﾟｯｸ</t>
  </si>
  <si>
    <t>ﾏｸﾞｴｯｸｽ/強力ﾏｸﾞﾈｯﾄｼｰﾄ 滑止加工 無地 1片/AG-1</t>
  </si>
  <si>
    <t>ﾏｸﾞｴｯｸｽ/強力ﾏｸﾞﾈｯﾄｼｰﾄ 滑止加工 無地 大/AG-2030</t>
  </si>
  <si>
    <t>G)ﾏｸﾞｴｯｸｽ/ﾏｸﾞﾈｯﾄ粘着付ｼｰﾄ強力ちぎれ～る大</t>
  </si>
  <si>
    <t>G)ﾏｸﾞｴｯｸｽ/強力ﾏｸﾞﾈｯﾄﾎﾙﾀﾞｰ 両面磁力/AS-200</t>
  </si>
  <si>
    <t>G)ﾏｸﾞｴｯｸｽ/強力ﾏｸﾞﾈｯﾄﾎﾙﾀﾞｰ 粘着付/ASTPW-200</t>
  </si>
  <si>
    <t>G)ﾏｸﾞｴｯｸｽ/強力ﾏｸﾞﾈｯﾄﾎﾙﾀﾞｰ 強粘着付/ASTPKW-200</t>
  </si>
  <si>
    <t>ﾏｸﾞｴｯｸｽ/ｱﾌﾟﾗｲﾎﾜｲﾄﾎﾞｰﾄﾞ/MAWB-3042B-Y</t>
  </si>
  <si>
    <t>ﾏｸﾞｴｯｸｽ/ｱﾌﾟﾗｲﾏﾝｽﾘｰｽｹｼﾞｭｰﾙﾎﾞｰﾄﾞ/MAMB-3042W-Y</t>
  </si>
  <si>
    <t>ﾏｸﾞｴｯｸｽ/ﾏｸﾞﾈｯﾄﾌｯｸｾﾞﾛｽﾗｲﾄﾞSS 白/MZR-2W-CT</t>
  </si>
  <si>
    <t>ﾏｸﾞｴｯｸｽ/ﾏｸﾞﾈｯﾄﾌｯｸｾﾞﾛｽﾗｲﾄﾞSS 黒/MZR-2K</t>
  </si>
  <si>
    <t>G)ﾏｸﾞｴｯｸｽ/ぴたえもんﾚｰｻﾞｰﾌﾟﾘﾝﾀ用A3 5枚入/MSPL-A3</t>
  </si>
  <si>
    <t>G)ﾏｸﾞｴｯｸｽ/ｶﾗｰﾎﾞﾀﾝφ40 黒 12個入り/MFCB-40-12P-K</t>
  </si>
  <si>
    <t>G)ﾏｸﾞｴｯｸｽ/ｶﾗｰﾎﾞﾀﾝφ40 橙 12個入り/MFCB-40-12P-O</t>
  </si>
  <si>
    <t>G)ﾏｸﾞｴｯｸｽ/ｶﾗｰﾎﾞﾀﾝφ30 黒 12個入り/MFCB-30-12P-K</t>
  </si>
  <si>
    <t>ﾏｸﾞｴｯｸｽ/ﾏｸﾞﾈｯﾄﾌｯｸ ｾﾞﾛｽﾗｲﾄﾞ L 白/MZR-12W-CT</t>
  </si>
  <si>
    <t>ﾏｸﾞｴｯｸｽ/ﾏｸﾞﾈｯﾄﾌｯｸ ｾﾞﾛｽﾗｲﾄﾞ L 黒/MZR-12K</t>
  </si>
  <si>
    <t>G)ﾏｸﾞｴｯｸｽ/ぴたえもんﾚｰｻﾞｰ強力 A4 5枚入/MSPLZ-A4</t>
  </si>
  <si>
    <t>G)ﾏｸﾞｴｯｸｽ/ぴたえもんﾚｰｻﾞｰ強力 A3 5枚入/MSPLZ-A3</t>
  </si>
  <si>
    <t>G)ﾏｸﾞｴｯｸｽ/ｶﾗｰﾎﾞﾀﾝφ30 橙 12個入り/MFCB-30-12P-O</t>
  </si>
  <si>
    <t>ﾏｸﾞｴｯｸｽ/ﾎﾜｲﾄﾎﾞｰﾄﾞ用ｸﾘｰﾅｰ 60ml/MWC-60</t>
  </si>
  <si>
    <t>G)ﾏｸﾞｴｯｸｽ/ﾏｸﾞﾈｯﾄｽｹｼﾞｭｰﾙﾎﾞｰﾄﾞｼｰﾄ 月間(中)MSVP-4560M</t>
  </si>
  <si>
    <t>G)ﾏｸﾞｴｯｸｽ/ﾏｸﾞﾈｯﾄｽｹｼﾞｭｰﾙﾎﾞｰﾄﾞｼｰﾄ 月間特大</t>
  </si>
  <si>
    <t>ﾏｸﾞｴｯｸｽ/ﾎﾜｲﾄﾎﾞｰﾄﾞ用ｸﾘｰﾅｰ徳用 300ml/MWC-300</t>
  </si>
  <si>
    <t>ﾏｸﾞｴｯｸｽ/ﾌﾟﾁﾏｸﾞｸﾘｯﾌﾟ 白/MPC-W</t>
  </si>
  <si>
    <t>ﾏｸﾞｴｯｸｽ/ﾌﾟﾁﾏｸﾞｸﾘｯﾌﾟ 白 10個ﾊﾟｯｸ/MPC-W-10P</t>
  </si>
  <si>
    <t>ﾏｸﾞｴｯｸｽ/ﾏｸﾞﾈｯﾄｸﾘｯﾌﾟS/MPS-S</t>
  </si>
  <si>
    <t>ﾏｸﾞｴｯｸｽ/ﾏｸﾞﾈｯﾄｸﾘｯﾌﾟM/MPS-M</t>
  </si>
  <si>
    <t>ﾏｸﾞｴｯｸｽ/ﾏｸﾞﾈｯﾄｸﾘｯﾌﾟL/MPS-L</t>
  </si>
  <si>
    <t>ﾏｸﾞｴｯｸｽ/ﾒﾀﾙﾏｲｸﾛﾌｯｸS ﾌﾞﾘｽﾀｰ/MCRO-S-V</t>
  </si>
  <si>
    <t>ﾏｸﾞｴｯｸｽ/ﾒﾀﾙﾏｲｸﾛﾌｯｸM ﾌﾞﾘｽﾀｰ/MCRO-M-V</t>
  </si>
  <si>
    <t>G)ﾏｸﾞｴｯｸｽ/広幅ﾏｸﾞﾈｯﾄﾎﾜｲﾄﾎﾞｰﾄﾞｼｰﾄ 1200×4200mm</t>
  </si>
  <si>
    <t>G)ﾏｸﾞｴｯｸｽ/ﾏｸﾞﾈｯﾄﾗﾍﾞﾙ S ﾛｰﾙﾀｲﾌﾟ 幅15mm 5m</t>
  </si>
  <si>
    <t>G)ﾏｸﾞｴｯｸｽ/ﾏｸﾞﾈｯﾄﾗﾍﾞﾙ L ﾛｰﾙﾀｲﾌﾟ 幅27mm 5m</t>
  </si>
  <si>
    <t>G)ﾏｸﾞｴｯｸｽ/ﾏｸﾞﾈｯﾄﾗﾍﾞﾙ 2L ﾛｰﾙﾀｲﾌﾟ 幅36mm 5m</t>
  </si>
  <si>
    <t>G)ﾏｸﾞｴｯｸｽ/ﾊﾟﾜｰﾏｸﾞﾈｯﾄﾃｰﾌﾟ 幅15mm 1m/MSTP-1M-15</t>
  </si>
  <si>
    <t>G)ﾏｸﾞｴｯｸｽ/ﾊﾟﾜｰﾏｸﾞﾈｯﾄﾃｰﾌﾟ 幅30mm 1m/MSTP-1M-30</t>
  </si>
  <si>
    <t>G)ﾏｸﾞｴｯｸｽ/ﾏｸﾞﾈｯﾄ粘着付ｼｰﾄ強力ちぎれ~る/MSWFPC-300</t>
  </si>
  <si>
    <t>G)ﾏｸﾞｴｯｸｽ/両面ｶﾗｰｼｰﾄ 白白 ﾂﾔなし 100×300mm</t>
  </si>
  <si>
    <t>ﾏｸﾞｴｯｸｽ/ﾏｸﾞﾈｯﾄﾊｲﾌﾞﾘｯﾄﾞｸﾘｯﾌﾟ S 白/MHC-100-W</t>
  </si>
  <si>
    <t>ﾏｸﾞｴｯｸｽ/ﾏｸﾞﾈｯﾄﾊｲﾌﾞﾘｯﾄﾞｸﾘｯﾌﾟ S 青/MHC-100-B</t>
  </si>
  <si>
    <t>ﾏｸﾞｴｯｸｽ/ﾏｸﾞﾈｯﾄﾊｲﾌﾞﾘｯﾄﾞｸﾘｯﾌﾟ M 白/MHC-150-W</t>
  </si>
  <si>
    <t>ﾏｸﾞｴｯｸｽ/ﾏｸﾞﾈｯﾄﾊｲﾌﾞﾘｯﾄﾞｸﾘｯﾌﾟ M 青/MHC-150-B</t>
  </si>
  <si>
    <t>ﾏｸﾞｴｯｸｽ/ﾏｸﾞﾈｯﾄﾊｲﾌﾞﾘｯﾄﾞｸﾘｯﾌﾟ L 白/MHC-200-W</t>
  </si>
  <si>
    <t>ﾏｸﾞｴｯｸｽ/ﾏｸﾞﾈｯﾄﾊｲﾌﾞﾘｯﾄﾞｸﾘｯﾌﾟ L 青/MHC-200-B</t>
  </si>
  <si>
    <t>G)ﾏｸﾞｴｯｸｽ/ぴたえもん ﾚｰｻﾞｰﾌﾟﾘﾝﾀ用A4 5枚入/MSPL-A4</t>
  </si>
  <si>
    <t>G)ﾏｸﾞｴｯｸｽ/ﾏｸﾞﾈｯﾄ粘着付ﾃｰﾌﾟ強力ｶｯﾄﾀｲﾌﾟ16片/MSTPC-25</t>
  </si>
  <si>
    <t>ﾏｸﾞｴｯｸｽ/ﾏｸﾞﾈｯﾄﾌｯｸ ｾﾞﾛｽﾗｲﾄﾞ S ﾎﾜｲﾄ/MZR-4W-CT</t>
  </si>
  <si>
    <t>ﾏｸﾞｴｯｸｽ/ﾏｸﾞﾈｯﾄﾌｯｸ ｾﾞﾛｽﾗｲﾄﾞ M ﾎﾜｲﾄ/MZR-6W-CT</t>
  </si>
  <si>
    <t>G)ﾏｸﾞｴｯｸｽ/両面ｶﾗｰｼｰﾄ 赤白/MSR-10RW</t>
  </si>
  <si>
    <t>G)ﾏｸﾞｴｯｸｽ/両面ｶﾗｰｼｰﾄ 青白/MSR-10BW</t>
  </si>
  <si>
    <t>G)ﾏｸﾞｴｯｸｽ/広幅ﾏｸﾞﾈｯﾄﾎﾜｲﾄﾎﾞｰﾄﾞｼｰﾄ 1200×1800mm</t>
  </si>
  <si>
    <t>G)ﾏｸﾞｴｯｸｽ/広幅ﾏｸﾞﾈｯﾄﾎﾜｲﾄﾎﾞｰﾄﾞｼｰﾄ 1200×2400mm</t>
  </si>
  <si>
    <t>G)ﾏｸﾞｴｯｸｽ/広幅ﾏｸﾞﾈｯﾄﾎﾜｲﾄﾎﾞｰﾄﾞｼｰﾄ 1200×3600mm</t>
  </si>
  <si>
    <t>G)ﾏｸﾞｴｯｸｽ/強粘着付ﾏｸﾞﾈｯﾄｼｰﾄ大/MSWFPK-2030</t>
  </si>
  <si>
    <t>G)ﾏｸﾞｴｯｸｽ/ﾏｸﾞﾈｯﾄｸﾘｰﾝｼｰﾄ 強力 白/MSKP-08W</t>
  </si>
  <si>
    <t>G)ﾏｸﾞｴｯｸｽ/ﾏｸﾞﾈｯﾄｸﾘｰﾝｼｰﾄ 強力 ﾜｲﾄﾞ 白/MSKWP-08W</t>
  </si>
  <si>
    <t>G)ﾏｸﾞｴｯｸｽ/ﾏｸﾞﾈｯﾄｽｹｼﾞｭｰﾙﾎﾞｰﾄﾞｼｰﾄ月間大判/MSVP-6090M</t>
  </si>
  <si>
    <t>G)ﾏｸﾞｴｯｸｽ/ﾏｸﾞﾈｯﾄ粘着付ｼｰﾄ ｶｯﾄﾀｲﾌﾟ 30片/MSWFC-08</t>
  </si>
  <si>
    <t>G)ﾏｸﾞｴｯｸｽ/両面ｶﾗｰｼｰﾄ 緑黄/MSR-10GY</t>
  </si>
  <si>
    <t>G)ﾏｸﾞｴｯｸｽ/ﾘﾊﾞｰｼﾌﾞﾙﾏｸﾞﾈｯﾄｲﾚｰｻﾞｰ/MMRE</t>
  </si>
  <si>
    <t>ﾏｸﾞｴｯｸｽ/ﾘﾊﾞｰｼﾌﾞﾙﾏｸﾞﾈｯﾄｲﾚｰｻﾞｰ ｽﾍﾟｱｼｰﾄ/MMRE-R5</t>
  </si>
  <si>
    <t>G)ﾏｸﾞｴｯｸｽ/ﾏｸﾞﾈｯﾄﾛｰﾙ(白ﾂﾔあり) 幅100mm 10m巻</t>
  </si>
  <si>
    <t>ﾏｸﾞｴｯｸｽ/ﾏｸﾞﾈｯﾄVｶｯﾄﾎﾞｯｸｽ ｸﾞﾚｰ/MVBK-WSG</t>
  </si>
  <si>
    <t>G)ﾏｸﾞｴｯｸｽ/ﾏｸﾞﾈｯﾄﾊﾟﾜｰﾍﾞﾙﾄ(両面磁力ﾀｲﾌﾟ)/MPB-500</t>
  </si>
  <si>
    <t>G)ﾏｸﾞｴｯｸｽ/ﾏｸﾞﾈｯﾄｶﾗｰｼｰﾄ3050 白ﾂﾔなし/MSC-08-3050W</t>
  </si>
  <si>
    <t>G)ﾏｸﾞｴｯｸｽ/ﾏｸﾞﾈｯﾄｶﾗｰｼｰﾄ5060 白ﾂﾔなし/MSC-08-5060W</t>
  </si>
  <si>
    <t>G)ﾏｸﾞｴｯｸｽ/ﾎﾜｲﾄﾎﾞｰﾄﾞMX A2ｻｲｽﾞ(440×600mm)/MXWH-A2</t>
  </si>
  <si>
    <t>G)ﾏｸﾞｴｯｸｽ/ﾏﾝｽﾘｰﾎﾞｰﾄﾞMX/MXMO-A2</t>
  </si>
  <si>
    <t>G)ﾏｸﾞｴｯｸｽ/ﾏｸﾞﾈｯﾄﾎﾜｲﾄﾎﾞｰﾄﾞｼｰﾄ 超特大/MSHW-90180-M</t>
  </si>
  <si>
    <t>ﾏｸﾞｴｯｸｽ/ﾏｸﾞﾈｯﾄﾄﾚｲ ﾎﾜｲﾄ/MMT-2340</t>
  </si>
  <si>
    <t>ﾏｸﾞｴｯｸｽ/ぴたえもん強力 A4 5枚/MSPZ-03-A4</t>
  </si>
  <si>
    <t>G)ﾏｸﾞｴｯｸｽ/ﾎﾜｲﾄﾎﾞｰﾄﾞMX A4ｻｲｽﾞ(200×300mm)/MXWH-A4</t>
  </si>
  <si>
    <t>ﾏｸﾞｴｯｸｽ/ﾏｸﾞﾈｯﾄﾛｰﾙ 粘着ﾀｲﾌﾟ 幅100mm×10m</t>
  </si>
  <si>
    <t>G)ﾏｸﾞｴｯｸｽ/両面ｶﾗｰｼｰﾄ 黄白/MSR-10YW</t>
  </si>
  <si>
    <t>G)ﾏｸﾞｴｯｸｽ/ﾏｸﾞﾈｯﾄｶﾗｰｼｰﾄ 大 青/MSCW-08B</t>
  </si>
  <si>
    <t>G)ﾏｸﾞｴｯｸｽ/ﾏｸﾞﾈｯﾄｶﾗｰｼｰﾄ 大 黄/MSCW-08Y</t>
  </si>
  <si>
    <t>G)ﾏｸﾞｴｯｸｽ/ﾏｸﾞﾈｯﾄ粘着付ﾃｰﾌﾟ強力/MSTP-200</t>
  </si>
  <si>
    <t>ﾏｸﾞｴｯｸｽ/ﾎﾜｲﾄﾎﾞｰﾄﾞMX A3ｻｲｽﾞ(300×440mm)/MXWH-A3</t>
  </si>
  <si>
    <t>ﾏｸﾞｴｯｸｽ/ｿﾌﾄﾎﾜｲﾄﾎﾞｰﾄﾞ ﾅﾁｭﾙﾎﾞ/MSWB-2117NT</t>
  </si>
  <si>
    <t>G)ﾏｸﾞｴｯｸｽ/暗線入ﾏｸﾞﾈｯﾄﾎﾜｲﾄﾎﾞｰﾄﾞｼｰﾄ 大/MSHP-6090-M</t>
  </si>
  <si>
    <t>G)ﾏｸﾞｴｯｸｽ/暗線入ﾏｸﾞﾈｯﾄﾎﾜｲﾄﾎﾞｰﾄﾞｼｰﾄ 特大</t>
  </si>
  <si>
    <t>G)ﾏｸﾞｴｯｸｽ/暗線入ﾏｸﾞﾈｯﾄﾎﾜｲﾄﾎﾞｰﾄﾞｼｰﾄ超特大</t>
  </si>
  <si>
    <t>G)ﾏｸﾞｴｯｸｽ/ﾏｸﾞﾈｯﾄｶﾗｰｼｰﾄ 大 白/MSCW-08W</t>
  </si>
  <si>
    <t>G)ﾏｸﾞｴｯｸｽ/ﾏｸﾞﾈｯﾄ粘着付ｼｰﾄ ﾜｲﾄﾞﾀｲﾌﾟ/MSWF-2030</t>
  </si>
  <si>
    <t>G)ﾏｸﾞｴｯｸｽ/ﾏｸﾞﾈｯﾄｶﾗｰｼｰﾄ 大 橙/MSCW-08O</t>
  </si>
  <si>
    <t>G)ﾏｸﾞｴｯｸｽ/ﾏｸﾞﾈｯﾄｶﾗｰｼｰﾄ 大 赤/MSCW-08R</t>
  </si>
  <si>
    <t>ﾏｸﾞｴｯｸｽ/ﾏｸﾞﾈｯﾄｽﾘﾑﾊﾞｰ 白/MSLB-220-3P-W</t>
  </si>
  <si>
    <t>ﾏｸﾞｴｯｸｽ/ﾏｸﾞﾈｯﾄｽﾘﾑﾊﾞｰ 寒色/MSLB-220-3P-C</t>
  </si>
  <si>
    <t>G)ﾏｸﾞｴｯｸｽ/ﾏｸﾞﾈｯﾄｶﾗｰｼｰﾄ 大 緑/MSCW-08G</t>
  </si>
  <si>
    <t>G)ﾏｸﾞｴｯｸｽ/ﾏｸﾞﾈｯﾄﾗﾍﾞﾙSｻｲｽﾞ 20枚入/MNAME-S</t>
  </si>
  <si>
    <t>G)ﾏｸﾞｴｯｸｽ/ﾏｸﾞﾈｯﾄﾗﾍﾞﾙMｻｲｽﾞ 15枚入/MNAME-M</t>
  </si>
  <si>
    <t>G)ﾏｸﾞｴｯｸｽ/ﾏｸﾞﾈｯﾄﾗﾍﾞﾙLｻｲｽﾞ 10枚入/MNAME-L</t>
  </si>
  <si>
    <t>ﾏｸﾞｴｯｸｽ/ﾏｸﾞﾈｯﾄﾗﾍﾞﾙ2Lｻｲｽﾞ 8枚入/MNAME-2L</t>
  </si>
  <si>
    <t>ﾏｸﾞｴｯｸｽ/ﾎﾜｲﾄﾎﾞｰﾄﾞ用線引きﾃｰﾌﾟ 幅1mm /MZ-1</t>
  </si>
  <si>
    <t>ﾏｸﾞｴｯｸｽ/ﾎﾜｲﾄﾎﾞｰﾄﾞ用線引きﾃｰﾌﾟ 幅2mm/MZ-2</t>
  </si>
  <si>
    <t>ﾏｸﾞｴｯｸｽ/ﾎﾜｲﾄﾎﾞｰﾄﾞ用線引きﾃｰﾌﾟ 幅3mm/MZ-3</t>
  </si>
  <si>
    <t>ﾏｸﾞｴｯｸｽ/ﾎﾜｲﾄﾎﾞｰﾄﾞ用ﾃｰﾌﾟ詰替 幅1mm(3巻ｾｯﾄ)/MZ-1-3P</t>
  </si>
  <si>
    <t>ﾏｸﾞｴｯｸｽ/ﾎﾜｲﾄﾎﾞｰﾄﾞ用ﾃｰﾌﾟ詰替 幅2mm(3巻ｾｯﾄ)/MZ-2-3P</t>
  </si>
  <si>
    <t>ﾏｸﾞｴｯｸｽ/ﾎﾜｲﾄﾎﾞｰﾄﾞ用ﾃｰﾌﾟ詰替 幅3mm(3巻ｾｯﾄ)/MZ-3-3P</t>
  </si>
  <si>
    <t>ﾏｸﾞｴｯｸｽ/ぴたえもん光沢ﾀｲﾌﾟA4ｻｲｽﾞ4枚入/MSPG-03-A4-1</t>
  </si>
  <si>
    <t>ﾏｸﾞｴｯｸｽ/ﾏｸﾞﾈｯﾄｲﾚｰｻﾞｰﾐﾆ/MMRE-S</t>
  </si>
  <si>
    <t>ﾏｸﾞｴｯｸｽ/ｲﾚｰｻﾞｰﾐﾆ専用ｽﾍﾟｱｼｰﾄ 3枚入/MMRE-S-R3</t>
  </si>
  <si>
    <t>ﾏｸﾞｴｯｸｽ/吸着ﾎﾜｲﾄﾎﾞｰﾄﾞｼｰﾄ(小) 300×450mm/MKS-3045</t>
  </si>
  <si>
    <t>ﾏｸﾞｴｯｸｽ/吸着ﾎﾜｲﾄﾎﾞｰﾄﾞｼｰﾄ(中)450×600mm/MKS-4560</t>
  </si>
  <si>
    <t>ﾏｸﾞｴｯｸｽ/吸着ﾎﾜｲﾄﾎﾞｰﾄﾞｼｰﾄ(大)600×900mm/MKS-6090</t>
  </si>
  <si>
    <t>ﾏｸﾞｴｯｸｽ/吸着ﾎﾜｲﾄﾎﾞｰﾄﾞｼｰﾄ(特大)900×1200mm</t>
  </si>
  <si>
    <t>ﾏｸﾞｴｯｸｽ/吸着ﾎﾜｲﾄﾎﾞｰﾄﾞｼｰﾄ(超特大)900×1800mm</t>
  </si>
  <si>
    <t>ﾏｸﾞｴｯｸｽ/ﾏｸﾞﾈｯﾄ粘着付ｼｰﾄ 強力ﾀｲﾌﾟ 小/MSWFP-1030</t>
  </si>
  <si>
    <t>ﾏｸﾞｴｯｸｽ/ﾏｸﾞﾈｯﾄｽﾘﾑﾊﾞｰ 暖色/MSLB-220-3P-H</t>
  </si>
  <si>
    <t>G)ﾏｸﾞｴｯｸｽ/ﾏｸﾞﾈｯﾄｲﾚｰｻﾞｰﾛﾝｸﾞ/MMRE-L</t>
  </si>
  <si>
    <t>ﾏｸﾞｴｯｸｽ/ﾏｸﾞﾈｯﾄｲﾚｰｻﾞｰ専用ｽﾍﾟｱｼｰﾄﾛﾝｸﾞ/MMRE-L-R5</t>
  </si>
  <si>
    <t>ﾏｸﾞｴｯｸｽ/ﾏｸﾞﾈｯﾄﾊﾞｰ ｼﾙﾊﾞｰﾀｲﾌﾟ 200mm/MOAB-200</t>
  </si>
  <si>
    <t>ﾏｸﾞｴｯｸｽ/ﾏｸﾞﾈｯﾄ粘着付ｼｰﾄ 強力ﾀｲﾌﾟ 大/MSWFP-2030</t>
  </si>
  <si>
    <t>ﾏｸﾞｴｯｸｽ/ぴたえもん A3/MSP-02-A3-1</t>
  </si>
  <si>
    <t>ﾏｸﾞｴｯｸｽ/ﾏｸﾞﾈｯﾄﾊﾞｰ ｼﾙﾊﾞｰﾀｲﾌﾟ 300mm/MOAB-300</t>
  </si>
  <si>
    <t>ﾏｸﾞｴｯｸｽ/超強力ﾊﾟﾜｰﾏｸﾞﾈｯﾄﾃｰﾌﾟ L 幅52mm×長さ3m/ASTP</t>
  </si>
  <si>
    <t>ﾏｸﾞｴｯｸｽ/ﾏｸﾞﾈｯﾄｽｹｼﾞｭｰﾙﾎﾞｰﾄﾞｼｰﾄ 行動(小)/MSVP-3760KJ</t>
  </si>
  <si>
    <t>ﾏｸﾞｴｯｸｽ/ﾏｸﾞﾈｯﾄｽｹｼﾞｭｰﾙﾎﾞｰﾄﾞｼｰﾄ行動(大)/MSVP-3780KJB</t>
  </si>
  <si>
    <t>ﾏｸﾞｴｯｸｽ/ﾏｸﾞﾈｯﾄｽｹｼﾞｭｰﾙﾎﾞｰﾄﾞｼｰﾄ 月間(小)/MSVP-3760M</t>
  </si>
  <si>
    <t>ﾏｸﾞｴｯｸｽ/ﾏｸﾞﾈｯﾄｽｹｼﾞｭｰﾙﾎﾞｰﾄﾞｼｰﾄ 月間(大)/MSVP-3780MB</t>
  </si>
  <si>
    <t>ﾏｸﾞｴｯｸｽ/暗線ﾎﾜｲﾄﾎﾞｰﾄﾞｼｰﾄ(小)/MSHP-3045-M</t>
  </si>
  <si>
    <t>ﾏｸﾞｴｯｸｽ/ﾏｸﾞﾈｯﾄｽｹｼﾞｭｰﾙﾎﾞｰﾄﾞｼｰﾄ 無地/MSVP-3780HW</t>
  </si>
  <si>
    <t>ﾏｸﾞｴｯｸｽ/暗線ﾎﾜｲﾄﾎﾞｰﾄﾞｼｰﾄ(中)/MSHP-4560-M</t>
  </si>
  <si>
    <t>G)投影できる広幅ﾏｸﾞﾈｯﾄﾎﾜｲﾄﾎﾞｰﾄﾞｼｰﾄ 1200×1800</t>
  </si>
  <si>
    <t>G)投影できる広幅ﾏｸﾞﾈｯﾄﾎﾜｲﾄﾎﾞｰﾄﾞｼｰﾄ 1200×2400</t>
  </si>
  <si>
    <t>G)投影できる広幅ﾏｸﾞﾈｯﾄﾎﾜｲﾄﾎﾞｰﾄﾞｼｰﾄ 1200×3600</t>
  </si>
  <si>
    <t>ﾏｸﾞｴｯｸｽ/壁や天井につけられるﾏｸﾞﾈｯﾄﾌﾟﾚｰﾄ白/MPT-250W</t>
  </si>
  <si>
    <t>G)ﾏｸﾞｴｯｸｽ/ﾏｸﾞﾈｯﾄｶｰﾄﾞｹｰｽ ﾂﾔ有り A5/MCARD-A5G</t>
  </si>
  <si>
    <t>ﾏｸﾞｴｯｸｽ/ﾒｯｼｭｹｰｽ 通帳･小切手/MMC-BB-B</t>
  </si>
  <si>
    <t>ﾏｸﾞｴｯｸｽ/ﾒｯｼｭｹｰｽ A3/MMC-A3-B</t>
  </si>
  <si>
    <t>ﾏｸﾞｴｯｸｽ/ﾒｯｼｭｹｰｽﾏﾁあり BB 通帳･小切手/MMCL-BB</t>
  </si>
  <si>
    <t>G)ﾏｸﾞｴｯｸｽ/ﾏｸﾞﾈｯﾄﾗﾍﾞﾙ 3Lｻｲｽﾞ 5枚入/MNAME-3L</t>
  </si>
  <si>
    <t>G)ﾏｸﾞｴｯｸｽ/ﾏｸﾞﾈｯﾄ原反ﾛｰﾙ 100幅 黄ﾂﾔ/MSGR-08-100-10Y</t>
  </si>
  <si>
    <t>G)ﾏｸﾞｴｯｸｽ/ﾏｸﾞﾈｯﾄ原反ﾛｰﾙ 100幅 青ﾂﾔ/MSGR-08-100-10B</t>
  </si>
  <si>
    <t>G)ﾏｸﾞｴｯｸｽ/ﾏｸﾞﾈｯﾄ原反ﾛｰﾙ 100幅 赤ﾂﾔ/MSGR-08-100-10R</t>
  </si>
  <si>
    <t>G)ﾏｸﾞｴｯｸｽ/ﾏｸﾞﾈｯﾄ原反ﾛｰﾙ 100幅 緑ﾂﾔ/MSGR-08-100-10G</t>
  </si>
  <si>
    <t>G)ﾏｸﾞｴｯｸｽ/ﾏｸﾞﾈｯﾄ原反ﾛｰﾙ 620幅 白ﾂﾔ/MSGR08-600-10WT</t>
  </si>
  <si>
    <t>G)ﾏｸﾞｴｯｸｽ/ﾏｸﾞﾈｯﾄ原反ﾛｰﾙ ﾎﾜｲﾄﾎﾞｰﾄﾞ用 450幅</t>
  </si>
  <si>
    <t>G)ﾏｸﾞｴｯｸｽ/ﾏｸﾞﾈｯﾄ原反ﾛｰﾙ ﾎﾜｲﾄﾎﾞｰﾄﾞ用 900幅</t>
  </si>
  <si>
    <t>G)ﾏｸﾞｴｯｸｽ/ﾏｸﾞﾈｯﾄ原反ﾛｰﾙ 無地 100幅 0.8mm厚</t>
  </si>
  <si>
    <t>G)ﾏｸﾞｴｯｸｽ/ﾏｸﾞﾈｯﾄ原反ﾛｰﾙ 無地 200幅 0.8mm厚</t>
  </si>
  <si>
    <t>G)ﾏｸﾞｴｯｸｽ/ﾏｸﾞﾈｯﾄ原反ﾛｰﾙ 無地 620幅 0.8mm厚</t>
  </si>
  <si>
    <t>G)ﾏｸﾞｴｯｸｽ/ﾏｸﾞﾈｯﾄ原反ﾛｰﾙ 無地 100幅 1mm厚</t>
  </si>
  <si>
    <t>G)ﾏｸﾞｴｯｸｽ/ﾏｸﾞﾈｯﾄ原反ﾛｰﾙ 無地 200幅 1mm厚</t>
  </si>
  <si>
    <t>G)ﾏｸﾞｴｯｸｽ/ﾏｸﾞﾈｯﾄ原反ﾛｰﾙ 無地 100幅 2mm厚</t>
  </si>
  <si>
    <t>G)ﾏｸﾞｴｯｸｽ/ﾏｸﾞﾈｯﾄ原反ﾛｰﾙ 無地 200幅 2mm厚</t>
  </si>
  <si>
    <t>G)ﾏｸﾞｴｯｸｽ/ﾏｸﾞﾈｯﾄ粘着ﾛｰﾙ 200幅 0.8mm厚</t>
  </si>
  <si>
    <t>G)ﾏｸﾞｴｯｸｽ/ﾏｸﾞﾈｯﾄ粘着ﾛｰﾙ 100幅 2mm厚/MSWFGR-2-10010</t>
  </si>
  <si>
    <t>G)ﾏｸﾞｴｯｸｽ/異方性ﾏｸﾞﾈｯﾄﾍﾞﾙﾄ 4mm厚 25mm幅 25M巻き</t>
  </si>
  <si>
    <t>G)ﾏｸﾞｴｯｸｽ/ﾒｯｼｭｹｰｽ ﾃﾞｶﾏﾁ A5×10個/MMCL-A5-D</t>
  </si>
  <si>
    <t>G)ﾏｸﾞｴｯｸｽ/ﾒｯｼｭｹｰｽ ﾃﾞｶﾏﾁ A6×10個/MMCL-A6-D</t>
  </si>
  <si>
    <t>G)ﾏｸﾞｴｯｸｽ/異方性ﾏｸﾞﾈｯﾄﾍﾞﾙﾄ 5mm厚 50mm幅 20M巻き</t>
  </si>
  <si>
    <t>ﾏｸﾞｴｯｸｽ/ﾏｸﾞﾈｯﾄｸﾘｯﾌﾟ2L/MPS-2L</t>
  </si>
  <si>
    <t>ﾏｸﾞｴｯｸｽ/どこでもﾎﾜｲﾄﾎﾞｰﾄﾞM 170×240mm 10枚/MKS-B5M</t>
  </si>
  <si>
    <t>ﾏｸﾞｴｯｸｽ/どこでもﾎﾜｲﾄﾎﾞｰﾄﾞL 240×340mm 10枚/MKS-B4L</t>
  </si>
  <si>
    <t>ﾏｸﾞｴｯｸｽ/超強力ﾊﾟﾜｰﾏｸﾞﾈｯﾄﾃｰﾌﾟ S 幅13ｍｍ×長さ3m2巻</t>
  </si>
  <si>
    <t>ﾏｸﾞｴｯｸｽ/超強力ﾊﾟﾜｰﾏｸﾞﾈｯﾄﾃｰﾌﾟ M 幅26mm×長さ3m 1巻</t>
  </si>
  <si>
    <t>ﾏｸﾞｴｯｸｽ/超強力ﾏｸﾞﾈｯﾄﾃｰﾌﾟ ｾﾞﾛｽﾘｯﾌﾟ 幅15mm/MHGT-15</t>
  </si>
  <si>
    <t>ﾏｸﾞｴｯｸｽ/超強力ﾏｸﾞﾈｯﾄｼｰﾄ ｾﾞﾛｽﾘｯﾌﾟ 小/MHG-1030</t>
  </si>
  <si>
    <t>ﾏｸﾞｴｯｸｽ/超強力ﾏｸﾞﾈｯﾄｼｰﾄ ｾﾞﾛｽﾘｯﾌﾟ 大/MHG-2030</t>
  </si>
  <si>
    <t>ﾏｸﾞｴｯｸｽ/超強力ﾏｸﾞﾈｯﾄﾃｰﾌﾟ ｾﾞﾛｽﾘｯﾌﾟ 幅30mm/MHGT-30</t>
  </si>
  <si>
    <t>ﾏｸﾞｴｯｸｽ/超強力ﾏｸﾞﾈｯﾄｼｰﾄ ｾﾞﾛｽﾘｯﾌﾟ ｶｯﾄﾀｲﾌﾟ/MHG-48</t>
  </si>
  <si>
    <t>ﾏｸﾞｴｯｸｽ/超強力ﾏｸﾞﾈｯﾄﾌﾟﾚｰﾄ ｾﾞﾛｽﾘｯﾌﾟ ﾏｸﾞ厚1mm/MHGP-1</t>
  </si>
  <si>
    <t>G)ﾏｸﾞｴｯｸｽ/ﾏｸﾞﾈｯﾄｶﾗｰｼｰﾄ強力220×600mm/MSCP-08-2260W</t>
  </si>
  <si>
    <t>ﾏｸﾞｴｯｸｽ/超強力ﾏｸﾞﾈｯﾄﾌﾟﾚｰﾄ ｾﾞﾛｽﾘｯﾌﾟ ﾏｸﾞ厚2mm/MHGP-2</t>
  </si>
  <si>
    <t>G)ﾏｸﾞｴｯｸｽ/ﾏｸﾞﾈｯﾄｶﾗｰｼｰﾄ強力300×500mm/MSCP-08-3050W</t>
  </si>
  <si>
    <t>G)ﾏｸﾞｴｯｸｽ/ﾏｸﾞﾈｯﾄｶﾗｰｼｰﾄ強力500×600mm/MSCP-08-5060W</t>
  </si>
  <si>
    <t>ﾏｸﾞｴｯｸｽ/ﾒｯｼｭｹｰｽ B4/MMC-B4-B</t>
  </si>
  <si>
    <t>ﾏｸﾞｴｯｸｽ/ﾒｯｼｭｹｰｽ B5/MMC-B5-B</t>
  </si>
  <si>
    <t>J6365X</t>
  </si>
  <si>
    <t>G)ﾏｸﾞｴｯｸｽ/ﾏｸﾞﾈｯﾄｶﾗｰｼｰﾄ 小 白 10枚/MSC-08W</t>
  </si>
  <si>
    <t>ﾏｸﾞｴｯｸｽ/ﾏｸﾞﾈｯﾄｽﾘﾑﾊﾞｰ 310 白 10本ﾊﾟｯｸ×20袋</t>
  </si>
  <si>
    <t>ﾏｸﾞｴｯｸｽ/ﾏｸﾞﾈｯﾄｽﾘﾑﾊﾞｰ 310 青 10本ﾊﾟｯｸ×20袋</t>
  </si>
  <si>
    <t>ﾏｸﾞｴｯｸｽ/ﾏｸﾞﾈｯﾄｽﾘﾑﾊﾞｰ 310 ｸﾘｱ 10本ﾊﾟｯｸ×20袋</t>
  </si>
  <si>
    <t>ﾏｸﾞｴｯｸｽ/ﾏｸﾞﾈｯﾄｸﾘｯﾌﾟS×10個/MPS-S</t>
  </si>
  <si>
    <t>ﾏｸﾞｴｯｸｽ/ﾏｸﾞﾈｯﾄｸﾘｯﾌﾟM×10個/MPS-M</t>
  </si>
  <si>
    <t>ﾏｸﾞｴｯｸｽ/ﾏｸﾞﾈｯﾄｸﾘｯﾌﾟL×10個/MPS-L</t>
  </si>
  <si>
    <t>ﾏｸﾞｴｯｸｽ/ﾒﾀﾙﾏｲｸﾛﾌｯｸS ﾌﾞﾘｽﾀｰ×10ﾊﾟｯｸ/MCRO-S-V</t>
  </si>
  <si>
    <t>ﾏｸﾞｴｯｸｽ/ﾒﾀﾙﾏｲｸﾛﾌｯｸM ﾌﾞﾘｽﾀｰ×10ﾊﾟｯｸ/MCRO-M-V</t>
  </si>
  <si>
    <t>G)ﾏｸﾞｴｯｸｽ/ﾏｸﾞﾈｯﾄﾗﾍﾞﾙ S ﾛｰﾙﾀｲﾌﾟ 幅15mm 5m 10個</t>
  </si>
  <si>
    <t>G)ﾏｸﾞｴｯｸｽ/ﾏｸﾞﾈｯﾄﾗﾍﾞﾙ L ﾛｰﾙﾀｲﾌﾟ 幅27mm 5m 6個</t>
  </si>
  <si>
    <t>G)ﾏｸﾞｴｯｸｽ/ﾏｸﾞﾈｯﾄﾗﾍﾞﾙ 2L ﾛｰﾙﾀｲﾌﾟ 幅36mm 5m 4個</t>
  </si>
  <si>
    <t>G)ﾏｸﾞｴｯｸｽ/ﾊﾟﾜｰﾏｸﾞﾈｯﾄﾃｰﾌﾟ 幅15mm 1m 10個/MSTP-1M-15</t>
  </si>
  <si>
    <t>G)ﾏｸﾞｴｯｸｽ/ﾊﾟﾜｰﾏｸﾞﾈｯﾄﾃｰﾌﾟ 幅30mm 1m 10個/MSTP-1M-30</t>
  </si>
  <si>
    <t>G)ﾏｸﾞｴｯｸｽ/ﾏｸﾞﾈｯﾄｶﾗｰｼｰﾄ 大 白 10枚/MSCW-08W</t>
  </si>
  <si>
    <t>ﾏｸﾞｴｯｸｽ/ﾏｸﾞﾈｯﾄﾊﾞｰ ｼﾙﾊﾞｰﾀｲﾌﾟ 300mm 10個/MOAB-300</t>
  </si>
  <si>
    <t>34/213</t>
  </si>
  <si>
    <t>34/209</t>
  </si>
  <si>
    <t>34/215</t>
  </si>
  <si>
    <t>27/250</t>
  </si>
  <si>
    <t>34/214</t>
  </si>
  <si>
    <t>34/211</t>
  </si>
  <si>
    <t>27/319</t>
  </si>
  <si>
    <t>34/216</t>
  </si>
  <si>
    <t>34/218</t>
  </si>
  <si>
    <t>34/80</t>
  </si>
  <si>
    <t>34/219</t>
  </si>
  <si>
    <t>34/206</t>
  </si>
  <si>
    <t>32/216</t>
  </si>
  <si>
    <t>34/212</t>
  </si>
  <si>
    <t>34/217</t>
  </si>
  <si>
    <t>31/221</t>
  </si>
  <si>
    <t>31/218</t>
  </si>
  <si>
    <t>34/321</t>
  </si>
  <si>
    <t>29/217</t>
  </si>
  <si>
    <t>32/215</t>
  </si>
  <si>
    <t>31/213</t>
  </si>
  <si>
    <t>34/210</t>
  </si>
  <si>
    <t>マグエックス ぴたえもんA4 MSP-02-A4-1 1袋(5シート入)</t>
  </si>
  <si>
    <t>マグエックス MSW-7B マグネットウィークシート 大 007516648 1セット(10枚)（直送品）</t>
  </si>
  <si>
    <t>マグエックス マグネットウィークシート(小) MSW-7S 1枚</t>
  </si>
  <si>
    <t>マグエックス マグネットデイトシート（大） MSD-31B 1枚</t>
  </si>
  <si>
    <t>マグエックス マグネットデイトシート(小) MSD-31S 1枚</t>
  </si>
  <si>
    <t>マグエックス　マグネットホワイトボードペン・トレー付300×450ｍｍ　　MSHW-3045-M　1セット　　（直送品）</t>
  </si>
  <si>
    <t>マグエックス　マグネットホワイトボードペン・トレー付き　450×600mm　MSHW-4560-M　1セット　　（直送品）</t>
  </si>
  <si>
    <t>マグエックス マグネットホワイトボードシート(大) MSHW-6090-M 1枚</t>
  </si>
  <si>
    <t>マグエックス　マグネットホワイトボードペン・トレー付900×12　900×1200＜mm＞　MSHW-90120-M　1セット　　（直送品）</t>
  </si>
  <si>
    <t>マグエックス カラーボタン40Φ4Pー青 MFCB-40-4P-B 1パック(4個) 829-3900（直送品）</t>
  </si>
  <si>
    <t>マグエックス カラーボタン40Φ4Pー赤 MFCB-40-4P-R 1パック(4個) 829-3903（直送品）</t>
  </si>
  <si>
    <t>マグエックス マグネットカラーボタン (4個入) MFCB-40-4P-G 1パック(4個) 829-3906（直送品）</t>
  </si>
  <si>
    <t>マグエックス カラーボタン30Φ5Pー青 MFCB-30-5P-B 1パック(5個) 829-3892（直送品）</t>
  </si>
  <si>
    <t>マグエックス カラーボタン30Φ5Pー赤 MFCB-30-5P-R 1パック(5個) 829-3895（直送品）</t>
  </si>
  <si>
    <t>マグエックス　マグネットパワーベルト　大　MPB-1000　（直送品）</t>
  </si>
  <si>
    <t>マグエックス　しきりプレート（Ｓ）　S　MMP-S3P　1袋（3本入）　　（直送品）</t>
  </si>
  <si>
    <t>マグエックス 強力カラーマグネット 30mm 青 MFCM-30-2P-B 1シート(2個入)</t>
  </si>
  <si>
    <t>マグエックス 強力カラーマグネット 30mm 2P 赤 MFCM-30-2P-R 1セット(10組)（直送品）</t>
  </si>
  <si>
    <t>マグエックス 強力カラーマグネット 30mm 2P 黄 MFCM-30-2P-Y 1セット(10組)（直送品）</t>
  </si>
  <si>
    <t>マグエックス 強力カラーマグネット 30mm 2P 白 MFCM-30-2P-W 1組 (2個)</t>
  </si>
  <si>
    <t>マグエックス 強力カラーマグネット 30mm 2P 緑 MFCM-30-2P-G 1セット(10組)（直送品）</t>
  </si>
  <si>
    <t>マグエックス　仕切りプレート　マグネット付　M　MMP-M3P</t>
  </si>
  <si>
    <t>MagX　ぴたえもんレーザー屋外用（Ａ３）　Ａ３　MSPLO-A3　1袋（3シート入）</t>
  </si>
  <si>
    <t>マグエックス カラーマグネット赤3P MFCM-18-3P-R 1パック(3個) 302-9093</t>
  </si>
  <si>
    <t>マグエックス カラーマグネット黄3P MFCM-18-3P-Y 1パック(3個) 302-9115</t>
  </si>
  <si>
    <t>マグエックス 強力カラーマグネット 18mm 3P 白 MFCM-18-3P-W 1パック</t>
  </si>
  <si>
    <t>マグエックス カラーマグネット橙3P MFCM-18-3P-O 1パック(3個) 829-3926（直送品）</t>
  </si>
  <si>
    <t>マグエックス カラーマグネット緑3P MFCM-18-3P-G 1パック(3個) 302-9085（直送品）</t>
  </si>
  <si>
    <t>マグエックス　マグネット粘着付シート（小） MSWF-12</t>
  </si>
  <si>
    <t>マグエックス マグネットカラーシート(小) 青 MSC-08B 1枚</t>
  </si>
  <si>
    <t>MagX　ぴたえもんレーザー屋外用（Ａ４）　Ａ４　MSPLO-A4　1袋（3シート入）</t>
  </si>
  <si>
    <t>マグエックス ホワイトボードイレーザーラクリフ(S) MRAKU-S 1個 157-8194（直送品）</t>
  </si>
  <si>
    <t>マグエックス マグネットカラーシート(小) 赤 MSC-08R 1枚</t>
  </si>
  <si>
    <t>マグエックス マグネットカラーシート(小) 黄 MSC-08Y 1本</t>
  </si>
  <si>
    <t>マグエックス ホワイトボードイレーザー ラクリフM 本体 MRAKU-M 1個（直送品）</t>
  </si>
  <si>
    <t>マグエックス ホワイトボードイレーザーラクリフ(L) MRAKU-L 1個 157-3403（直送品）</t>
  </si>
  <si>
    <t>マグエックス ホワイトボードイレーザーラクリフ(S)リフィール MRAKU-S-R2 1パック(2個) 158-1330（直送品）</t>
  </si>
  <si>
    <t>マグエックス マグネットカラーシート(小) 白 MSC-08W 1枚</t>
  </si>
  <si>
    <t>マグエックス マグネットカラーシート(小) 白 MSC-08W 1セット(5枚)</t>
  </si>
  <si>
    <t>マグエックス マグネットカラーシート（小） 橙 MSC-08O 1枚</t>
  </si>
  <si>
    <t>マグエックス マグネットカラーシート(小) 緑 MSC-08G 1枚</t>
  </si>
  <si>
    <t>マグエックス MSK-08B マグネットクリーンシート 小 青 007309122 1セット(1枚入×50枚)（直送品）</t>
  </si>
  <si>
    <t>MSK-08R マグネットクリーンシート 小 赤 007309124 1セット(1枚入×50枚)（直送品）</t>
  </si>
  <si>
    <t>マグエックス　マグネットクリーンシート小　黄　MSK-08Y</t>
  </si>
  <si>
    <t>マグエックス　マグネットクリーンシート小　白　MSK-08W</t>
  </si>
  <si>
    <t>MSK-08G マグネットクリーンシート 小 緑 007309123 1セット(1枚入×50枚)（直送品）</t>
  </si>
  <si>
    <t>MSKW-08B マグネットクリーンシート 大 青 007309127 1セット(1枚入×50枚)（直送品）</t>
  </si>
  <si>
    <t>MSKW-08Y マグネットクリーンシート 大 黄 007309126 1セット(1枚入×50枚)（直送品）</t>
  </si>
  <si>
    <t>マグエックス　マグネットクリーンシート大　白　MSKW-08W</t>
  </si>
  <si>
    <t>MSKW-08O マグネットクリーンシート 大 橙 007309130 1セット(1枚入×50枚)（直送品）</t>
  </si>
  <si>
    <t>MSKW-08G マグネットクリーンシート 大 緑 007309128 1セット(1枚入×50枚)（直送品）</t>
  </si>
  <si>
    <t>マグエックス マグネットバー 620mm 青 MOB-620B 1本</t>
  </si>
  <si>
    <t>マグエックス マグネットバー 220mm 青 MOB-220B 1本</t>
  </si>
  <si>
    <t>マグエックス マグネットバー 220mm 黄 MOB-220Y 1袋</t>
  </si>
  <si>
    <t>マグエックス マグネットバー 220mm 白 MOB-220W 1本</t>
  </si>
  <si>
    <t>マグエックス マグネットバー 310mm 青 MOB-310B 1本</t>
  </si>
  <si>
    <t>マグエックス マグネットバー 310mm 黄 MOB-310Y 1セット(2本)（直送品）</t>
  </si>
  <si>
    <t>マグエックス マグネットバー 310mm 白 MOB-310W 1本</t>
  </si>
  <si>
    <t>マグエックス ホワイトボードイレーザーラクリフ(L)リフィール MRAKU-L-R2 1パック(2個) 158-1368（直送品）</t>
  </si>
  <si>
    <t>マグエックス マグネット粘着付シート強力(カットタイプ) MSWFPC-12 1枚(48片入)</t>
  </si>
  <si>
    <t>マグエックス マグネットマイクロフック4P MCRO-4W 1パック(4個入)</t>
  </si>
  <si>
    <t>マグエックス　MAGX　マグネットスリムバー　白　MSLB-220-10P-W　1パック（10本入）</t>
  </si>
  <si>
    <t>マグエックス　MAGX　マグネットスリムバー　青　MSLB-220-10P-B　1パック（10本入）</t>
  </si>
  <si>
    <t>マグエックス　MAGX　マグネットスリムバー　クリア　MSLB-220-10P-KT　1パック（10本入）</t>
  </si>
  <si>
    <t>マグエックス マグネットスリムバー クリア MSLB-220-3P-KT 1パック(3本入)</t>
  </si>
  <si>
    <t>マグエックス メッシュケース マチあり(A3) MMCL-A3 1個</t>
  </si>
  <si>
    <t>マグエックス　メッシュケース　マチあり　A4　縦260×横345×幅30mm</t>
  </si>
  <si>
    <t>マグエックス　メッシュケース　マチあり　A5　縦190×横250×幅30mm</t>
  </si>
  <si>
    <t>マグエックス　メッシュケース　マチあり　A6　縦130×横165×幅30mm</t>
  </si>
  <si>
    <t>マグエックス　メッシュケース　マチあり　A7　MMCL-A7　（直送品）</t>
  </si>
  <si>
    <t>マグエックス　メッシュケース　マチあり　A8　MMCL-A8　（直送品）</t>
  </si>
  <si>
    <t>マグエックス　メッシュケース　マチあり　PC　MMCL-PC　（直送品）</t>
  </si>
  <si>
    <t>マグエックス メッシュケース デカマチ（A4） MMCL-A4-D 1個</t>
  </si>
  <si>
    <t>マグエックス　マグネットカードケースツヤ有A3　MCARD-A3G　1枚　（直送品）</t>
  </si>
  <si>
    <t>マグエックス　マグネットカードケースツヤ有A4　MCARD-A4G　1枚　（直送品）</t>
  </si>
  <si>
    <t>マグエックス マグネットカードケースツヤ消A3 MCARD-A3M（直送品）</t>
  </si>
  <si>
    <t>マグエックス マグネットカードケースツヤ消A4 MCARD-A4M（直送品）</t>
  </si>
  <si>
    <t>マグエックス マグネットロール 200幅 白ツヤ MSGR-08-200-10-W</t>
  </si>
  <si>
    <t>マグエックス マグネットウィークシート（特大） 幅194×長さ276×厚さ0.5mm MSW-7LL</t>
  </si>
  <si>
    <t>抗菌はがせるホワイトボードイレーザー 1セット（3個）MCE-M</t>
  </si>
  <si>
    <t>マグエックス マグネットワイドクリップ MCWD-210W 1個</t>
  </si>
  <si>
    <t>強粘着付きマグネットテープ MSTPK-200 1パック（2本入り）</t>
  </si>
  <si>
    <t>マグエックス マグネットスリムバー310 白 MSLB-310-3P-W 1パック(3本)</t>
  </si>
  <si>
    <t>マグエックス マグネットスリムバー310 暖色 MSLB-310-3P-H 1パック(3本入)</t>
  </si>
  <si>
    <t>マグエックス MSLB-310-3P-C マグネットスリムバー 007502558 1セット(3本入×10パック)（直送品）</t>
  </si>
  <si>
    <t>マグネットスリムバー310mmクリア マグエックス MSLB-310-3P-KT 1パック（3本入）</t>
  </si>
  <si>
    <t>マグエックス マグネットフック ゼロスライド（S）黒 MZR-4K</t>
  </si>
  <si>
    <t>マグエックス マグネットフック ゼロスライド（M）黒 MZR-6K</t>
  </si>
  <si>
    <t>マグエックス マグネット抗菌フラットフック(S) MFH-1W 1個</t>
  </si>
  <si>
    <t>マグエックス マグネット抗菌フラットフック(M) MFH-3W 1個</t>
  </si>
  <si>
    <t>マグエックス マグネット抗菌フラットフック(L) MFH-6W 1個</t>
  </si>
  <si>
    <t>マグエックス 超強力マグネットシート【滑り止め加工】粘着付 16片 AGWF-16 1枚</t>
  </si>
  <si>
    <t>マグエックス 超強力マグネットシート【滑り止め加工】粘着付 4片 AGWF-4 1枚</t>
  </si>
  <si>
    <t>マグエックス 超強力マグネットシート【滑り止め加工】粘着付 1片 AGWF-1 1枚</t>
  </si>
  <si>
    <t>マグエックス MXWHーWD ホワイトボードMX ワイド 007516110 1セット(1枚入×5枚)（直送品）</t>
  </si>
  <si>
    <t>マグエックス マグネットスリムバー310 白 10本パック MSLB-310-10P-W 1パック(10本入)</t>
  </si>
  <si>
    <t>マグエックス 超強力マグネットシート【滑り止め加工】粘着付 小 AGWF-1030 1枚</t>
  </si>
  <si>
    <t>マグエックス 超強力マグネットシート【滑り止め加工】粘着付 大 AGWF-2030 1枚</t>
  </si>
  <si>
    <t>マグネットスリムバー310mm青 マグエックス MSLB-310-10P-B 1パック（10本入）</t>
  </si>
  <si>
    <t>マグネットスリムバー310ｍｍクリア マグエックスMSLB-310-10P-KT 1パック（10本入）</t>
  </si>
  <si>
    <t>マグエックス 超強力マグネットシート滑り止め加工 無地 1片 AG-1 1枚 256-7936（直送品）</t>
  </si>
  <si>
    <t>マグエックス 超強力マグネットシート滑り止め加工 無地 大 AG-2030 1枚 256-7934（直送品）</t>
  </si>
  <si>
    <t>マグエックス マグネット粘着付シート強力 ちぎれ~る(大) MSWFPC-600 1枚</t>
  </si>
  <si>
    <t>マグエックス 強力両面多極シート「マグネットホルダー」無地 AS-200 1枚(1本) 363-7983（直送品）</t>
  </si>
  <si>
    <t>マグエックス 強力両面多極シート「マグネットホルダー」粘着付 ASTPW-200 1枚(1本) 363-7978（直送品）</t>
  </si>
  <si>
    <t>マグエックス 強力両面多極シート「マグネットホルダー」強粘着付 ASTPKW-200 1枚(1本) 363-7980（直送品）</t>
  </si>
  <si>
    <t>マグエックス アプライホワイトボード 方眼入 300×420mm MAWB-3042B-Y 1枚</t>
  </si>
  <si>
    <t>マグエックス アプライマンスリースケジュールボード 月間予定表 300×420mm MAMB-3042W-Y 1枚</t>
  </si>
  <si>
    <t>マグエックス マグネットフック ゼロスライド ホワイト SS MZR-2W-CT</t>
  </si>
  <si>
    <t>マグエックス マグネットフック ゼロスライド（SS）黒 MZR-2K</t>
  </si>
  <si>
    <t>マグエックス ぴたえもんレーザー A3 MSPL-A3 1袋（5シート入）</t>
  </si>
  <si>
    <t>マグエックス カラーボタン 40パイ 黒 12個入り MFCB-40-12P-K 1セット(288個:12個×24パック) 829-3919（直送品）</t>
  </si>
  <si>
    <t>マグエックス カラーボタン 40パイ 橙 12個入り MFCB-40-12P-O 1セット(288個:12個×24パック) 829-3920（直送品）</t>
  </si>
  <si>
    <t>マグエックス マグネットフック ゼロスライド(L)ホワイト MZR-12W-CT 1個</t>
  </si>
  <si>
    <t>マグエックス マグネットフック ゼロスライド（L）黒 MZR-12K</t>
  </si>
  <si>
    <t>マグエックス ぴたえもん レーザープリンタ用 強力タイプ A4 MSPLZ-A4 1パック</t>
  </si>
  <si>
    <t>マグエックス ぴたえもん レーザープリンタ用 強力タイプ A3 MSPLZ-A3 1パック</t>
  </si>
  <si>
    <t>マグエックス　ホワイトボード用クリーナー　MWC-60</t>
  </si>
  <si>
    <t>マグエックス マグネットスケジュールボードシート月間 MSVP-4560M</t>
  </si>
  <si>
    <t>マグエックス マグネットスケジュールボードシート月間 MSVP-90120M</t>
  </si>
  <si>
    <t>マグエックス ホワイトボード用クリーナー 徳用 MWC-300 1本</t>
  </si>
  <si>
    <t>マグエックス プチマグクリップ ホワイト MPC-W 1パック(2個)</t>
  </si>
  <si>
    <t>マグエックス プチマグクリップ ホワイト MPC-W-10P 1パック(10個入)</t>
  </si>
  <si>
    <t>マグエックス マグネットクリップ MPS-S 小 1セット(5個)（直送品）</t>
  </si>
  <si>
    <t>マグエックス　マグネットクリップ　中</t>
  </si>
  <si>
    <t>マグエックス　マグネットクリップ　中　1箱（10個入）</t>
  </si>
  <si>
    <t>マグエックス　マグネットクリップ　大</t>
  </si>
  <si>
    <t>マグエックス　マグネットクリップ　大　1箱（10個入）</t>
  </si>
  <si>
    <t>マグエックス メタルマイクロフック S (ブリスターパック) MCRO-S-V 1パック(2個)</t>
  </si>
  <si>
    <t>マグエックス メタルマイクロフック S (ブリスターパック) MCRO-S-V 1セット(2個×2パック)</t>
  </si>
  <si>
    <t>マグエックス メタルマイクロフック M(ブリスターパック) MCRO-M-V 1個</t>
  </si>
  <si>
    <t>マグエックス メタルマイクロフック M(ブリスターパック) MCRO-M-V 1パック(1個入)×2</t>
  </si>
  <si>
    <t>マグエックス 広幅マグネットホワイトボードシート 12420 MSJ-12420 1枚 207-7491（直送品）</t>
  </si>
  <si>
    <t>マグエックス マグネットラベル（ロールタイプ）幅15mm×長さ5m MNAME-S-5M</t>
  </si>
  <si>
    <t>マグエックス マグネットラベル（ロールタイプ）幅27mm×長さ5m MNAME-L-5M</t>
  </si>
  <si>
    <t>マグエックス マグネットラベル（ロールタイプ）幅38mm×長さ5m MNAME-2L-5M</t>
  </si>
  <si>
    <t>マグエックス パワーマグネットテープ15 MSTP-1M-15 1巻</t>
  </si>
  <si>
    <t>マグエックス パワーマグネットテープ30 MSTP-1M-30 1巻</t>
  </si>
  <si>
    <t>マグエックス パワーマグネットテープ30 MSTP-1M-30 5巻</t>
  </si>
  <si>
    <t>マグネット粘着付シート強力タイプ ちぎれ～る 1枚MSWFPC-300</t>
  </si>
  <si>
    <t>マグエックス マグネット両面カラーシート 白/白 MSR-10WW 1枚</t>
  </si>
  <si>
    <t>マグエックス マグネットハイブリッドクリップ（S）白 MHC-100-W 1個</t>
  </si>
  <si>
    <t>マグエックス マグネットハイブリッドクリップ(S)青 MHC-100-B 1個</t>
  </si>
  <si>
    <t>マグエックス マグネットハイブリッドクリップ(M)白 MHC-150-W 1個</t>
  </si>
  <si>
    <t>マグエックス マグネットハイブリッドクリップ(M)青 MHC-150-B 1個</t>
  </si>
  <si>
    <t>マグエックス マグネットハイブリッドクリップ(L)白 MHC-200-W 1個</t>
  </si>
  <si>
    <t>マグエックス マグネットハイブリッドクリップ(L)青 MHC-200-B 1個</t>
  </si>
  <si>
    <t>マグエックス ぴたえもんレーザー(A4) MSPL-A4 1袋(5シート入)</t>
  </si>
  <si>
    <t>マグエックス　マグネット粘着付テープ強力　カットタイプ　MSTPC-25　1パック（2本入）</t>
  </si>
  <si>
    <t>マグエックス　マグネットフック　ゼロスライド（S）ホワイト　MZR-4W-CT</t>
  </si>
  <si>
    <t>マグエックス　マグネットフック　ゼロスライド（M）ホワイト　MZR-6W-CT</t>
  </si>
  <si>
    <t>マグエックス マグネット両面カラーシート赤白 MSR-10RW 1セット(4枚) 361-9044（直送品）</t>
  </si>
  <si>
    <t>マグエックス マグネット両面カラーシート 青/白 MSR-10BW 1枚</t>
  </si>
  <si>
    <t>マグエックス　薄型マグネットホワイトボードシート　1800×1200mm　MSJ-12180</t>
  </si>
  <si>
    <t>マグエックス　薄型マグネットホワイトボードシート　2400×1200mm　MSJ-12240</t>
  </si>
  <si>
    <t>マグエックス　薄型マグネットホワイトボードシート　3600×1200mm　MSJ-12360</t>
  </si>
  <si>
    <t>マグネット強粘着マグネットシート大 MSWFPK-2030 1枚</t>
  </si>
  <si>
    <t>マグエックス マグネットクリーンシート強力(小) MSKP-08W 1枚</t>
  </si>
  <si>
    <t>マグエックス マグネットクリーンシート強力(大) MSKWP-08W 1枚</t>
  </si>
  <si>
    <t>マグエックス マグネットスケジュールボードシート月間(6090) MSVP-6090M 1枚</t>
  </si>
  <si>
    <t>マグエックス マグネット粘着付シート カットタイプ MSWFC-08 1枚</t>
  </si>
  <si>
    <t>マグエックス マグネット両面カラーシート 緑/黄 MSR-10GY 1枚</t>
  </si>
  <si>
    <t>マグエックス　マグネットイレーザー　本体　MMRE</t>
  </si>
  <si>
    <t>マグエックス マグネットイレーザー専用スペアシート MMRE-R5 1袋(5枚入)</t>
  </si>
  <si>
    <t>マグエックス　マグネットロール100巾 MSGR-08-100-10-W</t>
  </si>
  <si>
    <t>マグエックス　マグネットＶカットボックス　ＭＶＢＫーＷＳＧ　グレー　1個　　（直送品）</t>
  </si>
  <si>
    <t>マグエックス マグネットパワーベルト(小) MPB-500 1本</t>
  </si>
  <si>
    <t>マグエックス　マグネットカラーシート500×300mm　MSC-08-3050W　1枚</t>
  </si>
  <si>
    <t>マグエックス　マグネットカラーシート600×500mm　MSC-08-5060W　1枚</t>
  </si>
  <si>
    <t>マグエックス ホワイトボードMX A2 MXWH-A2</t>
  </si>
  <si>
    <t>マグエックス ホワイトボードMX(月間)A2 MXMO-A2 1枚 361-9079（直送品）</t>
  </si>
  <si>
    <t>マグエックス　マグネットホワイトボードシート　超特大　900×1800＜mm＞　MSHW-90180-M　1セット　　（直送品）</t>
  </si>
  <si>
    <t>マグエックス　ぴたえもん強力　A4　MSPZ-03-A4　1袋（5シート入）</t>
  </si>
  <si>
    <t>マグエックス ホワイトボードMX A4 MXWH-A4</t>
  </si>
  <si>
    <t>マグエックス　マグネットロール　100幅　粘着付　MSWFGR-08-100-10</t>
  </si>
  <si>
    <t>マグエックス マグネット両面カラーシート 黄/白 MSR-10YW 1枚</t>
  </si>
  <si>
    <t>マグエックス マグネットカラーシート(大) 青 MSCW-08B 1枚</t>
  </si>
  <si>
    <t>マグエックス マグネットカラーシート(大) 黄 MSCW-08Y 1枚</t>
  </si>
  <si>
    <t>マグエックス マグネット粘着付テープ強力 MSTP-200 1パック(2本入)</t>
  </si>
  <si>
    <t>マグエックス ホワイトボードMX A3 MXWH-A3</t>
  </si>
  <si>
    <t>マグエックス ソフトホワイトボード ナチュルボ MSWB-2117NT 1枚</t>
  </si>
  <si>
    <t>マグエックス 暗線入りマグネットホワイトボードシート プロジェクター仕様（大） MSHP-6090-M（直送品）</t>
  </si>
  <si>
    <t>マグエックス 暗線入りマグネットホワイトボードシート プロジェクター仕様(特大) MSHP-90120-M 1枚</t>
  </si>
  <si>
    <t>マグエックス マグネットカラーシート(大) 白 MSCW-08W 1枚</t>
  </si>
  <si>
    <t>マグエックス マグネットカラーシート(大) 白 MSCW-08W 1セット(2枚)</t>
  </si>
  <si>
    <t>マグエックス　マグネット粘着付シート（大） MSWF-2030</t>
  </si>
  <si>
    <t>マグエックス マグネットカラーシート(大) 橙 MSCW-08O 1枚</t>
  </si>
  <si>
    <t>マグエックス マグネットカラーシート(大) 赤 MSCW-08R 1枚</t>
  </si>
  <si>
    <t>マグエックス マグネットスリムバー 白 MSLB-220-3P-W 1パック(3本入)</t>
  </si>
  <si>
    <t>マグエックス　マグネットスリムバー　寒色アソート　MSLB-220-3P-C　1パック（3本入）</t>
  </si>
  <si>
    <t>マグエックス マグネットカラーシート(大) 緑 MSCW-08G 1枚</t>
  </si>
  <si>
    <t>マグエックス　マグネットラベル（S）　白　MNAME-S　1パック（20枚入）</t>
  </si>
  <si>
    <t>マグエックス　マグネットラベル（M）　白　MNAME-M　1パック（15枚入）</t>
  </si>
  <si>
    <t>マグエックス　マグネットラベル（L）　白　MNAME-L　1パック（10枚入）</t>
  </si>
  <si>
    <t>マグエックス マグネットラベル(2L) MNAME-2L 1パック(8枚入)</t>
  </si>
  <si>
    <t>マグエックス　ホワイトボード用罫線引きテープ　幅1mm　MZ-1</t>
  </si>
  <si>
    <t>マグエックス　ホワイトボード用罫線引きテープ　幅2mm　MZ-2</t>
  </si>
  <si>
    <t>マグエックス　ホワイトボード用罫線引きテープ　幅3mm　MZ-3</t>
  </si>
  <si>
    <t>マグエックス　ホワイトボード用罫線引きテープ　替えテープ　幅1mm　MZ-1-3P　1袋（3巻入）</t>
  </si>
  <si>
    <t>マグエックス　ホワイトボード用罫線引きテープ　替えテープ　幅2mm　MZ-2-3P　1袋（3巻入）</t>
  </si>
  <si>
    <t>マグエックス　ホワイトボード用罫線引きテープ　替えテープ　幅3mm　MZ-3-3P　1袋（3巻入）</t>
  </si>
  <si>
    <t>マグエックス MSPG-03-A4-1 マグネット用紙 光沢 007309131 1セット(4枚入×100束)（直送品）</t>
  </si>
  <si>
    <t>マグエックス　マグネットイレーザー　ミニ　本体　MMRE-S</t>
  </si>
  <si>
    <t>マグエックス マグネットイレーザー ミニ スペアシート MMRE-S-R3 1袋(3枚入)</t>
  </si>
  <si>
    <t>マグエックス　吸着ホワイトボードシート（小） 無地　450×300mm　MKS-3045</t>
  </si>
  <si>
    <t>マグエックス　吸着ホワイトボードシート（中） 無地　600×450mm　MKS-4560</t>
  </si>
  <si>
    <t>マグエックス　吸着ホワイトボードシート（大） 無地　900×600mm　MKS-6090</t>
  </si>
  <si>
    <t>マグエックス　吸着ホワイトボードシート（特大） 無地　1200×900mm　MKS-90120</t>
  </si>
  <si>
    <t>マグエックス　吸着ホワイトボードシート（超特大） 無地　1800×900mm　MKS-90180</t>
  </si>
  <si>
    <t>マグエックス　マグネット粘着付シート強力（小） MSWFP-1030</t>
  </si>
  <si>
    <t>マグエックス　マグネットスリムバー　暖色アソート　MSLB-220-3P-H　1パック（3本入）</t>
  </si>
  <si>
    <t>マグエックス マグネットイレーザー ロング MMRE-L 1個</t>
  </si>
  <si>
    <t>マグエックス　マグネットイレーザー用シート　ＭＭＲＥーＬーＲ５　3パック　（直送品）</t>
  </si>
  <si>
    <t>マグエックス マグネットバー シルバー 200mm MOAB-200 1本</t>
  </si>
  <si>
    <t>マグエックス　マグネット粘着付シート強力（大） MSWFP-2030</t>
  </si>
  <si>
    <t>マグエックス ぴたえもん A3 マット 5枚入り MSP-02-A3-1 1パック(5枚) 447-2969（直送品）</t>
  </si>
  <si>
    <t>マグエックス マグネットバー シルバー 300mm MOAB-300 1本</t>
  </si>
  <si>
    <t>マグエックス マグネットバー シルバー 300mm MOAB-300 1セット(5本)</t>
  </si>
  <si>
    <t>マグエックス　マグネットスケジュールボードシート「バリュー」行動M　MSVP-3760KJ</t>
  </si>
  <si>
    <t>マグエックス　マグネットスケジュールボードシート「バリュー」行動L　MSVP-3780KJB</t>
  </si>
  <si>
    <t>マグエックス　マグネットスケジュールボードシート「バリュー」月間M　MSVP-3760M</t>
  </si>
  <si>
    <t>マグエックス　マグネットスケジュールボードシート「バリュー」月間L　MSVP-3780MB</t>
  </si>
  <si>
    <t>マグエックス 暗線ホワイトボードシート(小) MSHP-3045-M 1枚 387-7442（直送品）</t>
  </si>
  <si>
    <t>マグエックス　マグネットスケジュールボードシート「バリュー」無地L　MSVP-3780HW</t>
  </si>
  <si>
    <t>マグエックス 暗線ホワイトボードシート(中) MSHP-4560-M 1枚 387-7451（直送品）</t>
  </si>
  <si>
    <t>マグエックス 投影もできる広幅マグネットホワイトボードシート 120×180cm MSJP-12180 1枚</t>
  </si>
  <si>
    <t>マグエックス 投影もできる広幅マグネットホワイトボードシート 120×240cm MSJP-12240 1枚</t>
  </si>
  <si>
    <t>マグエックス 投影もできる広幅マグネットホワイトボードシート 120×360cm MSJP-12360 1枚</t>
  </si>
  <si>
    <t>マグエックス 壁や天井につけられるマグネット用プレート(白) MPT-250W 1個</t>
  </si>
  <si>
    <t>マグエックス マグネットカードケース ツヤ有り A5 MCARD-A5G 1枚</t>
  </si>
  <si>
    <t>マグエックス メッシュケース (通帳・小切手) MMC-BB-B 1個</t>
  </si>
  <si>
    <t>マグエックス　メッシュケースＡ３　ＭＭＣーＡ３ーＢ　3個</t>
  </si>
  <si>
    <t>マグエックス メッシュケース(マチあり) MMCL-BB 1個 563-6182（直送品）</t>
  </si>
  <si>
    <t>マグエックス マグネットラベル(3L) MNAME-3L 1パック(5枚入)</t>
  </si>
  <si>
    <t>マグエックス マグネットロール 黄ツヤ100幅10m巻 MSGR-08-100-10-Y 1巻</t>
  </si>
  <si>
    <t>マグエックス マグネットロール 青ツヤ100幅10m巻 MSGR-08-100-10-B（直送品）</t>
  </si>
  <si>
    <t>マグエックス マグネットロール 赤ツヤ100幅10m巻 MSGR-08-100-10-R（直送品）</t>
  </si>
  <si>
    <t>マグエックス マグネットロール 白ツヤ620幅10m巻 MSGR-08-600-10-WT 1巻</t>
  </si>
  <si>
    <t>マグエックス マグネットロール ホワイトボード用 ハイガード 450幅10m巻 MSHWGR-08-450-10（直送品）</t>
  </si>
  <si>
    <t>マグエックス マグネットロール ホワイトボード用 ハイガード 900幅10m巻 MSHWGR-08-900-10（直送品）</t>
  </si>
  <si>
    <t>マグエックス マグネットロール 無地100幅10m巻 MSMGR-08-100-10 1巻</t>
  </si>
  <si>
    <t>【アウトレット】マグエックス マグネットロール 無地200幅10m巻 MSMGR-08-200-10 1巻</t>
  </si>
  <si>
    <t>マグエックス マグネットロール 無地620幅10m巻 MSMGR-08-600-10（直送品）</t>
  </si>
  <si>
    <t>マグエックス マグネットロール 無地1厚100幅10m巻 MSMGR-1-100-10 1巻</t>
  </si>
  <si>
    <t>【アウトレット】マグエックス マグネットロール 無地1厚200幅10m巻 MSMGR-1-200-10 1巻</t>
  </si>
  <si>
    <t>マグエックス マグネットロール 無地2厚100幅10m巻 MSMGR-2-100-10（直送品）</t>
  </si>
  <si>
    <t>マグエックス マグネットロール 無地2厚200幅10m巻 MSMGR-2-200-10（直送品）</t>
  </si>
  <si>
    <t>マグエックス マグネットロール粘着付 MSWFGR-08-200-10</t>
  </si>
  <si>
    <t>マグエックス マグネットロール 粘着付2厚100幅10m巻 MSWFGR-2-100-10（直送品）</t>
  </si>
  <si>
    <t>マグエックス マグネットベルト 4mm厚25幅25m巻 MPB-4-25-25M（直送品）</t>
  </si>
  <si>
    <t>マグエックス メッシュケース　デカマチ　A5　MMCL-A5-D　1枚（直送品）</t>
  </si>
  <si>
    <t>マグエックス メッシュケース デカマチ A6 MMCL-A6-D 1枚（直送品）</t>
  </si>
  <si>
    <t>マグエックス マグネットベルト 5mm厚50幅20m巻 MPB-5-50-20M（直送品）</t>
  </si>
  <si>
    <t>マグエックス　マグネットクリップ　特大</t>
  </si>
  <si>
    <t>マグエックス どこでもホワイトボードシート M MKS-B5M 1枚</t>
  </si>
  <si>
    <t>マグエックス どこでもホワイトボードシート L MKS-B4L 1枚</t>
  </si>
  <si>
    <t>マグエックス 超強力パワーマグネットテープ S ASTP-S-3M-2P 1パック(2本入)</t>
  </si>
  <si>
    <t>マグエックス 超強力パワーマグネットテープ M ASTP-M-3M-1P 1本</t>
  </si>
  <si>
    <t>マグエックス 超強力マグネットシート ゼロスリップ 幅15mm MHGT-15 1本</t>
  </si>
  <si>
    <t>マグエックス 超強力マグネットシート ゼロスリップ 幅100mm MHG-1030 1枚</t>
  </si>
  <si>
    <t>マグエックス 超強力マグネットシート ゼロスリップ 幅200mm MHG-2030 1枚</t>
  </si>
  <si>
    <t>マグエックス 超強力マグネットシート ゼロスリップ 幅30mm MHGT-30 1本</t>
  </si>
  <si>
    <t>マグエックス 超強力マグネットシート ゼロスリップ カットタイプ MHG-48 1枚</t>
  </si>
  <si>
    <t>マグエックス 超強力マグネットプレート ゼロスリップ MHGP-1 1パック（4枚）</t>
  </si>
  <si>
    <t>マグエックス マグネットカラーシート強力 大判サイズ 幅220×長さ600mm MSCP-08-2260-W 1枚</t>
  </si>
  <si>
    <t>マグエックス 超強力マグネットプレート ゼロスリップ MHGP-2 1パック（4枚）</t>
  </si>
  <si>
    <t>マグエックス マグネットカラーシート強力 大判サイズ 幅300×長さ500mm MSCP-08-3050-W 1枚</t>
  </si>
  <si>
    <t>マグエックス マグネットカラーシート強力 大判サイズ 幅500×長さ600mm MSCP-08-5060-W 1枚</t>
  </si>
  <si>
    <t>マグエックス　メッシュケースＢ４　ＭＭＣーＢ４ーＢ　3個</t>
  </si>
  <si>
    <t>マグエックス　メッシュケースＢ５　ＭＭＣーＢ５ーＢ　3個</t>
  </si>
  <si>
    <t>-</t>
  </si>
  <si>
    <t>359748</t>
  </si>
  <si>
    <t>1袋（5シート入）</t>
  </si>
  <si>
    <t>X165250</t>
  </si>
  <si>
    <t>1セット（10枚）</t>
  </si>
  <si>
    <t>NA01666</t>
  </si>
  <si>
    <t>1枚</t>
  </si>
  <si>
    <t>NA01667</t>
  </si>
  <si>
    <t>NA01665</t>
  </si>
  <si>
    <t>8188594</t>
  </si>
  <si>
    <t>1セット</t>
  </si>
  <si>
    <t>8188610</t>
  </si>
  <si>
    <t>X379815</t>
  </si>
  <si>
    <t>8188638</t>
  </si>
  <si>
    <t>J116333</t>
  </si>
  <si>
    <t>1パック(4個)</t>
  </si>
  <si>
    <t>J116339</t>
  </si>
  <si>
    <t>J116336</t>
  </si>
  <si>
    <t>J115916</t>
  </si>
  <si>
    <t>1パック(5個)</t>
  </si>
  <si>
    <t>J116136</t>
  </si>
  <si>
    <t>1691076</t>
  </si>
  <si>
    <t>1個</t>
  </si>
  <si>
    <t>8189018</t>
  </si>
  <si>
    <t>1袋（3本入）</t>
  </si>
  <si>
    <t>UK77084</t>
  </si>
  <si>
    <t>1シート(2個入)</t>
  </si>
  <si>
    <t>RJ00264</t>
  </si>
  <si>
    <t>1セット（10組）</t>
  </si>
  <si>
    <t>RJ00266</t>
  </si>
  <si>
    <t>UA90163</t>
  </si>
  <si>
    <t>1組 （2個）</t>
  </si>
  <si>
    <t>RJ00261</t>
  </si>
  <si>
    <t>1691067</t>
  </si>
  <si>
    <t>J375634</t>
  </si>
  <si>
    <t>1袋（3シート入）</t>
  </si>
  <si>
    <t>6731844</t>
  </si>
  <si>
    <t>1パック（3個）</t>
  </si>
  <si>
    <t>6738219</t>
  </si>
  <si>
    <t>HH65174</t>
  </si>
  <si>
    <t>1パック</t>
  </si>
  <si>
    <t>J116500</t>
  </si>
  <si>
    <t>1パック(3個)</t>
  </si>
  <si>
    <t>6731835</t>
  </si>
  <si>
    <t>344656</t>
  </si>
  <si>
    <t>NX75189</t>
  </si>
  <si>
    <t>J375633</t>
  </si>
  <si>
    <t>E696750</t>
  </si>
  <si>
    <t>HU93306</t>
  </si>
  <si>
    <t>RP97235</t>
  </si>
  <si>
    <t>1本</t>
  </si>
  <si>
    <t>AX33397</t>
  </si>
  <si>
    <t>E696743</t>
  </si>
  <si>
    <t>E696751</t>
  </si>
  <si>
    <t>1パック(2個)</t>
  </si>
  <si>
    <t>NJ09310</t>
  </si>
  <si>
    <t>X379833</t>
  </si>
  <si>
    <t>1セット（5枚）</t>
  </si>
  <si>
    <t>NX75191</t>
  </si>
  <si>
    <t>HK36198</t>
  </si>
  <si>
    <t>P390524</t>
  </si>
  <si>
    <t>1セット（1枚入×50枚）</t>
  </si>
  <si>
    <t>P390526</t>
  </si>
  <si>
    <t>344549</t>
  </si>
  <si>
    <t>344530</t>
  </si>
  <si>
    <t>P390525</t>
  </si>
  <si>
    <t>P390529</t>
  </si>
  <si>
    <t>P390528</t>
  </si>
  <si>
    <t>459510</t>
  </si>
  <si>
    <t>P390532</t>
  </si>
  <si>
    <t>P390530</t>
  </si>
  <si>
    <t>RJ11601</t>
  </si>
  <si>
    <t>HX36971</t>
  </si>
  <si>
    <t>RR50838</t>
  </si>
  <si>
    <t>1袋</t>
  </si>
  <si>
    <t>HH66116</t>
  </si>
  <si>
    <t>EW71215</t>
  </si>
  <si>
    <t>WKA8627</t>
  </si>
  <si>
    <t>1セット（2本）</t>
  </si>
  <si>
    <t>HH66115</t>
  </si>
  <si>
    <t>E696744</t>
  </si>
  <si>
    <t>1294156</t>
  </si>
  <si>
    <t>1枚（48片入）</t>
  </si>
  <si>
    <t>1625526</t>
  </si>
  <si>
    <t>1パック（4個入）</t>
  </si>
  <si>
    <t>9664656</t>
  </si>
  <si>
    <t>1パック（10本入）</t>
  </si>
  <si>
    <t>9664647</t>
  </si>
  <si>
    <t>9664665</t>
  </si>
  <si>
    <t>KJ50446</t>
  </si>
  <si>
    <t>1パック（3本入）</t>
  </si>
  <si>
    <t>U472534</t>
  </si>
  <si>
    <t>1679008</t>
  </si>
  <si>
    <t>1679026</t>
  </si>
  <si>
    <t>1679035</t>
  </si>
  <si>
    <t>1679044</t>
  </si>
  <si>
    <t>1679053</t>
  </si>
  <si>
    <t>1679062</t>
  </si>
  <si>
    <t>U339038</t>
  </si>
  <si>
    <t>N854223</t>
  </si>
  <si>
    <t>N854225</t>
  </si>
  <si>
    <t>P827388</t>
  </si>
  <si>
    <t>J080980</t>
  </si>
  <si>
    <t>2303877</t>
  </si>
  <si>
    <t>1巻</t>
  </si>
  <si>
    <t>8530003</t>
  </si>
  <si>
    <t>U345093</t>
  </si>
  <si>
    <t>1セット（3個）</t>
  </si>
  <si>
    <t>X779104</t>
  </si>
  <si>
    <t>U345086</t>
  </si>
  <si>
    <t>1パック（2本入り）</t>
  </si>
  <si>
    <t>HK36199</t>
  </si>
  <si>
    <t>1パック（3本）</t>
  </si>
  <si>
    <t>AX27647</t>
  </si>
  <si>
    <t>X165269</t>
  </si>
  <si>
    <t>1セット（3本入×10パック）</t>
  </si>
  <si>
    <t>3560046</t>
  </si>
  <si>
    <t>E991087</t>
  </si>
  <si>
    <t>E991088</t>
  </si>
  <si>
    <t>AR85140</t>
  </si>
  <si>
    <t>AR85139</t>
  </si>
  <si>
    <t>AR85141</t>
  </si>
  <si>
    <t>AU06369</t>
  </si>
  <si>
    <t>AU06367</t>
  </si>
  <si>
    <t>AU06371</t>
  </si>
  <si>
    <t>U174888</t>
  </si>
  <si>
    <t>1セット（1枚入×5枚）</t>
  </si>
  <si>
    <t>X379818</t>
  </si>
  <si>
    <t>AU06368</t>
  </si>
  <si>
    <t>AU06379</t>
  </si>
  <si>
    <t>3560663</t>
  </si>
  <si>
    <t>3560681</t>
  </si>
  <si>
    <t>NP28844</t>
  </si>
  <si>
    <t>NP28842</t>
  </si>
  <si>
    <t>NE84483</t>
  </si>
  <si>
    <t>HN45450</t>
  </si>
  <si>
    <t>1枚(1本)</t>
  </si>
  <si>
    <t>HN28157</t>
  </si>
  <si>
    <t>HN28156</t>
  </si>
  <si>
    <t>HR67739</t>
  </si>
  <si>
    <t>HR67740</t>
  </si>
  <si>
    <t>5360895</t>
  </si>
  <si>
    <t>E991085</t>
  </si>
  <si>
    <t>5090397</t>
  </si>
  <si>
    <t>AHX2530</t>
  </si>
  <si>
    <t>1セット(288個:12個×24パック)</t>
  </si>
  <si>
    <t>AHX2531</t>
  </si>
  <si>
    <t>2331281</t>
  </si>
  <si>
    <t>E991092</t>
  </si>
  <si>
    <t>EH30790</t>
  </si>
  <si>
    <t>EH30793</t>
  </si>
  <si>
    <t>221816</t>
  </si>
  <si>
    <t>J444231</t>
  </si>
  <si>
    <t>J444230</t>
  </si>
  <si>
    <t>X378913</t>
  </si>
  <si>
    <t>HU93293</t>
  </si>
  <si>
    <t>1パック（2個）</t>
  </si>
  <si>
    <t>X379844</t>
  </si>
  <si>
    <t>1パック（10個入）</t>
  </si>
  <si>
    <t>XU77487</t>
  </si>
  <si>
    <t>1セット(5個)</t>
  </si>
  <si>
    <t>816695</t>
  </si>
  <si>
    <t>9736423</t>
  </si>
  <si>
    <t>1箱（10個入）</t>
  </si>
  <si>
    <t>816686</t>
  </si>
  <si>
    <t>9736405</t>
  </si>
  <si>
    <t>HK87916</t>
  </si>
  <si>
    <t>X379832</t>
  </si>
  <si>
    <t>1セット（2個×2パック）</t>
  </si>
  <si>
    <t>NX75192</t>
  </si>
  <si>
    <t>X379839</t>
  </si>
  <si>
    <t>1パック（1個入）×2</t>
  </si>
  <si>
    <t>U751157</t>
  </si>
  <si>
    <t>P678619</t>
  </si>
  <si>
    <t>P678621</t>
  </si>
  <si>
    <t>P678622</t>
  </si>
  <si>
    <t>AH99797</t>
  </si>
  <si>
    <t>AH99794</t>
  </si>
  <si>
    <t>HE61874</t>
  </si>
  <si>
    <t>5巻</t>
  </si>
  <si>
    <t>U345090</t>
  </si>
  <si>
    <t>1枚（300片入）</t>
  </si>
  <si>
    <t>KJ50448</t>
  </si>
  <si>
    <t>X779101</t>
  </si>
  <si>
    <t>X779098</t>
  </si>
  <si>
    <t>X779100</t>
  </si>
  <si>
    <t>X779097</t>
  </si>
  <si>
    <t>X779099</t>
  </si>
  <si>
    <t>X779102</t>
  </si>
  <si>
    <t>2900930</t>
  </si>
  <si>
    <t>2900994</t>
  </si>
  <si>
    <t>1パック（16片入）</t>
  </si>
  <si>
    <t>2900967</t>
  </si>
  <si>
    <t>2900958</t>
  </si>
  <si>
    <t>N009300</t>
  </si>
  <si>
    <t>1セット(4枚)</t>
  </si>
  <si>
    <t>NA01616</t>
  </si>
  <si>
    <t>P217630</t>
  </si>
  <si>
    <t>P217631</t>
  </si>
  <si>
    <t>P217632</t>
  </si>
  <si>
    <t>U345088</t>
  </si>
  <si>
    <t>AH99796</t>
  </si>
  <si>
    <t>AH99795</t>
  </si>
  <si>
    <t>2331263</t>
  </si>
  <si>
    <t>NA01617</t>
  </si>
  <si>
    <t>NA01618</t>
  </si>
  <si>
    <t>816640</t>
  </si>
  <si>
    <t>816659</t>
  </si>
  <si>
    <t>1袋（5枚入）</t>
  </si>
  <si>
    <t>657768</t>
  </si>
  <si>
    <t>8189297</t>
  </si>
  <si>
    <t>X378915</t>
  </si>
  <si>
    <t>831191</t>
  </si>
  <si>
    <t>831216</t>
  </si>
  <si>
    <t>5360901</t>
  </si>
  <si>
    <t>7418199</t>
  </si>
  <si>
    <t>8188683</t>
  </si>
  <si>
    <t>8205309</t>
  </si>
  <si>
    <t>5360993</t>
  </si>
  <si>
    <t>940829</t>
  </si>
  <si>
    <t>NA01614</t>
  </si>
  <si>
    <t>NJ09308</t>
  </si>
  <si>
    <t>NJ09315</t>
  </si>
  <si>
    <t>2900985</t>
  </si>
  <si>
    <t>1パック（2本入）</t>
  </si>
  <si>
    <t>5360939</t>
  </si>
  <si>
    <t>PX21945</t>
  </si>
  <si>
    <t>X379856</t>
  </si>
  <si>
    <t>X379853</t>
  </si>
  <si>
    <t>KX41061</t>
  </si>
  <si>
    <t>X379850</t>
  </si>
  <si>
    <t>1セット（2枚）</t>
  </si>
  <si>
    <t>8507391</t>
  </si>
  <si>
    <t>NN11399</t>
  </si>
  <si>
    <t>NJ09309</t>
  </si>
  <si>
    <t>5993191</t>
  </si>
  <si>
    <t>5993208</t>
  </si>
  <si>
    <t>NJ09311</t>
  </si>
  <si>
    <t>322828</t>
  </si>
  <si>
    <t>1パック（20枚入）</t>
  </si>
  <si>
    <t>323469</t>
  </si>
  <si>
    <t>1パック（15枚入）</t>
  </si>
  <si>
    <t>323217</t>
  </si>
  <si>
    <t>1パック（10枚入）</t>
  </si>
  <si>
    <t>3448977</t>
  </si>
  <si>
    <t>1パック（8枚入）</t>
  </si>
  <si>
    <t>221825</t>
  </si>
  <si>
    <t>221834</t>
  </si>
  <si>
    <t>221843</t>
  </si>
  <si>
    <t>940847</t>
  </si>
  <si>
    <t>1袋（3巻入）</t>
  </si>
  <si>
    <t>940856</t>
  </si>
  <si>
    <t>940865</t>
  </si>
  <si>
    <t>P390533</t>
  </si>
  <si>
    <t>1セット（4枚入×100束）</t>
  </si>
  <si>
    <t>673341</t>
  </si>
  <si>
    <t>673350</t>
  </si>
  <si>
    <t>1袋（3枚入）</t>
  </si>
  <si>
    <t>9383047</t>
  </si>
  <si>
    <t>9383056</t>
  </si>
  <si>
    <t>5993226</t>
  </si>
  <si>
    <t>5993271</t>
  </si>
  <si>
    <t>5993290</t>
  </si>
  <si>
    <t>5993253</t>
  </si>
  <si>
    <t>8206932</t>
  </si>
  <si>
    <t>X379794</t>
  </si>
  <si>
    <t>N862603</t>
  </si>
  <si>
    <t>1セット(3パック（1パック5枚入）)</t>
  </si>
  <si>
    <t>HJ31867</t>
  </si>
  <si>
    <t>8507506</t>
  </si>
  <si>
    <t>K797165</t>
  </si>
  <si>
    <t>1パック(5枚)</t>
  </si>
  <si>
    <t>NN11409</t>
  </si>
  <si>
    <t>X379795</t>
  </si>
  <si>
    <t>1セット（5本）</t>
  </si>
  <si>
    <t>8506563</t>
  </si>
  <si>
    <t>8507177</t>
  </si>
  <si>
    <t>8506859</t>
  </si>
  <si>
    <t>8507201</t>
  </si>
  <si>
    <t>7472513</t>
  </si>
  <si>
    <t>8507248</t>
  </si>
  <si>
    <t>7472522</t>
  </si>
  <si>
    <t>RU85825</t>
  </si>
  <si>
    <t>RU85824</t>
  </si>
  <si>
    <t>RU85813</t>
  </si>
  <si>
    <t>UK71262</t>
  </si>
  <si>
    <t>EJ37310</t>
  </si>
  <si>
    <t>UK25943</t>
  </si>
  <si>
    <t>N862591</t>
  </si>
  <si>
    <t>3個</t>
  </si>
  <si>
    <t>RA68099</t>
  </si>
  <si>
    <t>RW81381</t>
  </si>
  <si>
    <t>1パック（5枚入）</t>
  </si>
  <si>
    <t>X379829</t>
  </si>
  <si>
    <t>X379828</t>
  </si>
  <si>
    <t>X379827</t>
  </si>
  <si>
    <t>X379851</t>
  </si>
  <si>
    <t>X379814</t>
  </si>
  <si>
    <t>X379816</t>
  </si>
  <si>
    <t>X379821</t>
  </si>
  <si>
    <t>X378923</t>
  </si>
  <si>
    <t>X378907</t>
  </si>
  <si>
    <t>X379800</t>
  </si>
  <si>
    <t>X379801</t>
  </si>
  <si>
    <t>X379855</t>
  </si>
  <si>
    <t>X379858</t>
  </si>
  <si>
    <t>5669108</t>
  </si>
  <si>
    <t>X378924</t>
  </si>
  <si>
    <t>X378904</t>
  </si>
  <si>
    <t>U431135</t>
  </si>
  <si>
    <t>U431136</t>
  </si>
  <si>
    <t>X378905</t>
  </si>
  <si>
    <t>816677</t>
  </si>
  <si>
    <t>X379790</t>
  </si>
  <si>
    <t>X379825</t>
  </si>
  <si>
    <t>RJ09502</t>
  </si>
  <si>
    <t>RJ09503</t>
  </si>
  <si>
    <t>EJ30070</t>
  </si>
  <si>
    <t>EJ30076</t>
  </si>
  <si>
    <t>EJ30074</t>
  </si>
  <si>
    <t>EJ30079</t>
  </si>
  <si>
    <t>EJ30073</t>
  </si>
  <si>
    <t>EJ30078</t>
  </si>
  <si>
    <t>EJ30072</t>
  </si>
  <si>
    <t>EJ30077</t>
  </si>
  <si>
    <t>EJ30071</t>
  </si>
  <si>
    <t>EJ30075</t>
  </si>
  <si>
    <t>N862595</t>
  </si>
  <si>
    <t>N862596</t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</si>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</sst>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D302"/>
  <sheetViews>
    <sheetView tabSelected="1" zoomScale="90" zoomScaleNormal="90" workbookViewId="0">
      <pane xSplit="7" ySplit="5" topLeftCell="L29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5" customWidth="1" collapsed="1"/>
    <col min="20" max="22" width="7.625" customWidth="1"/>
    <col min="23" max="23" width="4.375" customWidth="1" collapsed="1"/>
    <col min="24" max="25" width="7.625" customWidth="1"/>
    <col min="26" max="26" width="6.125" style="30" customWidth="1"/>
    <col min="27" max="27" width="7.625" customWidth="1"/>
    <col min="28" max="28" width="7.625" style="30" customWidth="1"/>
    <col min="29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45" width="7.625" customWidth="1"/>
    <col min="46" max="46" width="10.75" hidden="1" customWidth="1"/>
    <col min="47" max="51" width="7.625" hidden="1" customWidth="1"/>
    <col min="52" max="55" width="7.625" customWidth="1"/>
  </cols>
  <sheetData>
    <row r="1" spans="1:56" x14ac:dyDescent="0.4">
      <c r="C1" s="29" t="s">
        <v>37</v>
      </c>
      <c r="S1" s="46" t="s">
        <v>34</v>
      </c>
      <c r="T1" s="47"/>
      <c r="U1" s="47"/>
      <c r="V1" s="48"/>
    </row>
    <row r="2" spans="1:56" x14ac:dyDescent="0.4">
      <c r="C2" s="8" t="s">
        <v>22</v>
      </c>
      <c r="D2" s="9" t="s">
        <v>23</v>
      </c>
      <c r="E2" s="9" t="s">
        <v>24</v>
      </c>
      <c r="F2" s="10"/>
      <c r="G2" s="10"/>
      <c r="H2" s="36"/>
      <c r="I2" s="36"/>
      <c r="J2" s="43" t="s">
        <v>25</v>
      </c>
      <c r="K2" s="45"/>
      <c r="L2" s="43" t="s">
        <v>1</v>
      </c>
      <c r="M2" s="44"/>
      <c r="N2" s="44"/>
      <c r="O2" s="45"/>
      <c r="P2" s="11"/>
      <c r="Q2" s="35"/>
      <c r="R2" s="35"/>
      <c r="S2" s="23"/>
      <c r="T2" s="24" t="s">
        <v>28</v>
      </c>
      <c r="U2" s="24"/>
      <c r="V2" s="25" t="s">
        <v>28</v>
      </c>
      <c r="W2" s="10"/>
      <c r="X2" s="9" t="s">
        <v>33</v>
      </c>
      <c r="Y2" s="11"/>
      <c r="Z2" s="31"/>
      <c r="AA2" s="11"/>
      <c r="AB2" s="31"/>
      <c r="AC2" s="11"/>
      <c r="AD2" s="22" t="s">
        <v>35</v>
      </c>
      <c r="AE2" s="11"/>
      <c r="AF2" s="11"/>
      <c r="AG2" s="27"/>
      <c r="AH2" s="11"/>
      <c r="AI2" s="11"/>
      <c r="AJ2" s="11"/>
      <c r="AK2" s="11"/>
      <c r="AL2" s="11"/>
      <c r="AM2" s="11"/>
      <c r="AN2" s="11"/>
      <c r="AO2" s="11"/>
      <c r="AP2">
        <v>51</v>
      </c>
      <c r="AW2">
        <v>14</v>
      </c>
      <c r="AX2">
        <v>28</v>
      </c>
    </row>
    <row r="3" spans="1:56" ht="75" x14ac:dyDescent="0.4">
      <c r="A3" s="1" t="s">
        <v>43</v>
      </c>
      <c r="B3" s="1" t="s">
        <v>48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45</v>
      </c>
      <c r="I3" s="12" t="s">
        <v>46</v>
      </c>
      <c r="J3" s="12" t="s">
        <v>19</v>
      </c>
      <c r="K3" s="12" t="s">
        <v>20</v>
      </c>
      <c r="L3" s="12" t="s">
        <v>56</v>
      </c>
      <c r="M3" s="2" t="s">
        <v>5</v>
      </c>
      <c r="N3" s="2" t="s">
        <v>54</v>
      </c>
      <c r="O3" s="2" t="s">
        <v>13</v>
      </c>
      <c r="P3" s="12" t="s">
        <v>41</v>
      </c>
      <c r="Q3" s="12" t="s">
        <v>17</v>
      </c>
      <c r="R3" s="12" t="s">
        <v>18</v>
      </c>
      <c r="S3" s="12" t="s">
        <v>52</v>
      </c>
      <c r="T3" s="12" t="s">
        <v>53</v>
      </c>
      <c r="U3" s="2" t="s">
        <v>54</v>
      </c>
      <c r="V3" s="12" t="s">
        <v>55</v>
      </c>
      <c r="W3" s="14" t="s">
        <v>3</v>
      </c>
      <c r="X3" s="20" t="s">
        <v>14</v>
      </c>
      <c r="Y3" s="2" t="s">
        <v>13</v>
      </c>
      <c r="Z3" s="32" t="s">
        <v>38</v>
      </c>
      <c r="AA3" s="12" t="s">
        <v>57</v>
      </c>
      <c r="AB3" s="37" t="s">
        <v>47</v>
      </c>
      <c r="AC3" s="2" t="s">
        <v>13</v>
      </c>
      <c r="AD3" s="13" t="s">
        <v>26</v>
      </c>
      <c r="AE3" s="2" t="s">
        <v>13</v>
      </c>
      <c r="AF3" s="2" t="s">
        <v>27</v>
      </c>
      <c r="AG3" s="26" t="s">
        <v>29</v>
      </c>
      <c r="AH3" s="12" t="s">
        <v>30</v>
      </c>
      <c r="AI3" s="12" t="s">
        <v>31</v>
      </c>
      <c r="AJ3" s="12" t="s">
        <v>21</v>
      </c>
      <c r="AK3" s="12" t="s">
        <v>32</v>
      </c>
      <c r="AL3" s="12" t="s">
        <v>15</v>
      </c>
      <c r="AM3" s="12" t="s">
        <v>16</v>
      </c>
      <c r="AN3" s="12" t="s">
        <v>17</v>
      </c>
      <c r="AO3" s="12" t="s">
        <v>18</v>
      </c>
      <c r="AP3" s="2" t="s">
        <v>8</v>
      </c>
      <c r="AQ3" s="2" t="s">
        <v>9</v>
      </c>
      <c r="AR3" s="2" t="s">
        <v>10</v>
      </c>
      <c r="AS3" s="2" t="s">
        <v>11</v>
      </c>
      <c r="AT3" s="12" t="s">
        <v>36</v>
      </c>
      <c r="AU3" s="2" t="s">
        <v>49</v>
      </c>
      <c r="AV3" s="2" t="s">
        <v>12</v>
      </c>
      <c r="AW3" s="18" t="s">
        <v>39</v>
      </c>
      <c r="AX3" s="18" t="s">
        <v>40</v>
      </c>
      <c r="AY3" s="15" t="s">
        <v>44</v>
      </c>
      <c r="AZ3" s="38" t="s">
        <v>1028</v>
      </c>
      <c r="BA3" s="39" t="s">
        <v>50</v>
      </c>
      <c r="BB3" s="39" t="s">
        <v>1029</v>
      </c>
      <c r="BC3" s="39" t="s">
        <v>51</v>
      </c>
      <c r="BD3" s="34" t="s">
        <v>42</v>
      </c>
    </row>
    <row r="4" spans="1:56" x14ac:dyDescent="0.4">
      <c r="A4" s="3">
        <v>85</v>
      </c>
      <c r="B4" s="3">
        <v>85</v>
      </c>
      <c r="C4" s="4">
        <v>112899</v>
      </c>
      <c r="D4" s="4" t="str">
        <f t="shared" ref="D4:D67" si="0">TEXT(C4,"000000")</f>
        <v>112899</v>
      </c>
      <c r="E4" s="4">
        <v>112899</v>
      </c>
      <c r="F4" s="4" t="s">
        <v>191</v>
      </c>
      <c r="G4" s="5">
        <v>4535627303853</v>
      </c>
      <c r="H4" s="5"/>
      <c r="I4" s="5"/>
      <c r="J4" s="5">
        <v>1</v>
      </c>
      <c r="K4" s="5">
        <v>1</v>
      </c>
      <c r="L4" s="4">
        <v>380</v>
      </c>
      <c r="M4" s="4">
        <v>250</v>
      </c>
      <c r="N4" s="4">
        <v>144</v>
      </c>
      <c r="O4" s="6">
        <f t="shared" ref="O4:O67" si="1">IFERROR(1-N4/M4,"-")</f>
        <v>0.42400000000000004</v>
      </c>
      <c r="P4" s="4" t="s">
        <v>699</v>
      </c>
      <c r="Q4" s="4" t="s">
        <v>699</v>
      </c>
      <c r="R4" s="4" t="s">
        <v>699</v>
      </c>
      <c r="S4" s="4">
        <v>430</v>
      </c>
      <c r="T4" s="4">
        <f t="shared" ref="T4:T67" si="2">IF(W4="",S4,S4*W4)</f>
        <v>430</v>
      </c>
      <c r="U4" s="4">
        <v>163</v>
      </c>
      <c r="V4" s="4">
        <f t="shared" ref="V4:V67" si="3">IF(W4="",U4,U4*W4)</f>
        <v>163</v>
      </c>
      <c r="W4" s="4"/>
      <c r="X4" s="21">
        <f t="shared" ref="X4:X67" si="4">ROUND(M4*AL4,0)</f>
        <v>283</v>
      </c>
      <c r="Y4" s="6">
        <f t="shared" ref="Y4:Y67" si="5">IFERROR(1-V4/X4,"-")</f>
        <v>0.42402826855123676</v>
      </c>
      <c r="Z4" s="33">
        <v>2</v>
      </c>
      <c r="AA4" s="4">
        <f t="shared" ref="AA4:AA67" si="6">AV4</f>
        <v>380</v>
      </c>
      <c r="AB4" s="33">
        <f t="shared" ref="AB4:AB67" si="7">IFERROR(AA4*AL4,"-")</f>
        <v>430.13888888888886</v>
      </c>
      <c r="AC4" s="6">
        <f t="shared" ref="AC4:AC67" si="8">IFERROR(1-V4/AB4,"-")</f>
        <v>0.6210526315789473</v>
      </c>
      <c r="AD4" s="7">
        <v>254</v>
      </c>
      <c r="AE4" s="6">
        <f t="shared" ref="AE4:AE67" si="9">1-V4/AD4</f>
        <v>0.3582677165354331</v>
      </c>
      <c r="AF4" s="4">
        <f t="shared" ref="AF4:AF67" si="10">AD4-V4</f>
        <v>91</v>
      </c>
      <c r="AG4" s="28"/>
      <c r="AH4" s="6"/>
      <c r="AI4" s="6"/>
      <c r="AJ4" s="6">
        <f t="shared" ref="AJ4:AJ67" si="11">IFERROR(T4/L4,"-")</f>
        <v>1.131578947368421</v>
      </c>
      <c r="AK4" s="6">
        <f t="shared" ref="AK4:AK67" si="12">IFERROR(AD4/M4,"-")</f>
        <v>1.016</v>
      </c>
      <c r="AL4" s="6">
        <f t="shared" ref="AL4:AL67" si="13">IFERROR(V4/N4,"-")</f>
        <v>1.1319444444444444</v>
      </c>
      <c r="AM4" s="4" t="str">
        <f t="shared" ref="AM4:AM47" si="14">IFERROR(ROUND($AD4*P4/$M4,0),"-")</f>
        <v>-</v>
      </c>
      <c r="AN4" s="4" t="str">
        <f>IF(Q4="","-",Q4)</f>
        <v>-</v>
      </c>
      <c r="AO4" s="4" t="str">
        <f>IF(R4="","-",R4)</f>
        <v>-</v>
      </c>
      <c r="AP4" s="4">
        <v>0</v>
      </c>
      <c r="AQ4" s="4" t="s">
        <v>795</v>
      </c>
      <c r="AR4" s="4"/>
      <c r="AS4" s="4"/>
      <c r="AT4" s="4" t="s">
        <v>705</v>
      </c>
      <c r="AU4" s="4">
        <v>380</v>
      </c>
      <c r="AV4" s="4">
        <f t="shared" ref="AV4:AV67" si="15">IF(AR4="",AU4,AR4/AS4*AU4)</f>
        <v>380</v>
      </c>
      <c r="AW4" s="19">
        <v>4</v>
      </c>
      <c r="AX4" s="19">
        <v>1</v>
      </c>
      <c r="AY4" s="16">
        <v>6</v>
      </c>
      <c r="AZ4">
        <v>285</v>
      </c>
      <c r="BA4">
        <f>IFERROR(AZ4*AL4,"-")</f>
        <v>322.60416666666669</v>
      </c>
      <c r="BB4">
        <v>225</v>
      </c>
      <c r="BC4">
        <f>IFERROR(BB4*AL4,"-")</f>
        <v>254.6875</v>
      </c>
      <c r="BD4" t="s">
        <v>499</v>
      </c>
    </row>
    <row r="5" spans="1:56" x14ac:dyDescent="0.4">
      <c r="A5" s="3">
        <v>243</v>
      </c>
      <c r="B5" s="3">
        <v>243</v>
      </c>
      <c r="C5" s="4" t="s">
        <v>66</v>
      </c>
      <c r="D5" s="4" t="str">
        <f t="shared" si="0"/>
        <v>J372WK</v>
      </c>
      <c r="E5" s="4" t="s">
        <v>66</v>
      </c>
      <c r="F5" s="4" t="s">
        <v>349</v>
      </c>
      <c r="G5" s="5">
        <v>4535627303686</v>
      </c>
      <c r="H5" s="5"/>
      <c r="I5" s="5"/>
      <c r="J5" s="5">
        <v>1</v>
      </c>
      <c r="K5" s="5">
        <v>1</v>
      </c>
      <c r="L5" s="4">
        <v>450</v>
      </c>
      <c r="M5" s="4">
        <v>245</v>
      </c>
      <c r="N5" s="4">
        <v>171</v>
      </c>
      <c r="O5" s="6">
        <f t="shared" si="1"/>
        <v>0.30204081632653057</v>
      </c>
      <c r="P5" s="4" t="s">
        <v>699</v>
      </c>
      <c r="Q5" s="4" t="s">
        <v>699</v>
      </c>
      <c r="R5" s="4" t="s">
        <v>699</v>
      </c>
      <c r="S5" s="4">
        <v>500</v>
      </c>
      <c r="T5" s="4">
        <f t="shared" si="2"/>
        <v>500</v>
      </c>
      <c r="U5" s="4">
        <v>190</v>
      </c>
      <c r="V5" s="4">
        <f t="shared" si="3"/>
        <v>190</v>
      </c>
      <c r="W5" s="4"/>
      <c r="X5" s="21">
        <f t="shared" si="4"/>
        <v>272</v>
      </c>
      <c r="Y5" s="6">
        <f t="shared" si="5"/>
        <v>0.30147058823529416</v>
      </c>
      <c r="Z5" s="33">
        <v>1</v>
      </c>
      <c r="AA5" s="4">
        <f t="shared" si="6"/>
        <v>409</v>
      </c>
      <c r="AB5" s="33">
        <f t="shared" si="7"/>
        <v>454.44444444444446</v>
      </c>
      <c r="AC5" s="6">
        <f t="shared" si="8"/>
        <v>0.58190709046454769</v>
      </c>
      <c r="AD5" s="7">
        <v>310</v>
      </c>
      <c r="AE5" s="6">
        <f t="shared" si="9"/>
        <v>0.38709677419354838</v>
      </c>
      <c r="AF5" s="4">
        <f t="shared" si="10"/>
        <v>120</v>
      </c>
      <c r="AG5" s="28"/>
      <c r="AH5" s="6"/>
      <c r="AI5" s="6"/>
      <c r="AJ5" s="6">
        <f t="shared" si="11"/>
        <v>1.1111111111111112</v>
      </c>
      <c r="AK5" s="6">
        <f t="shared" si="12"/>
        <v>1.2653061224489797</v>
      </c>
      <c r="AL5" s="6">
        <f t="shared" si="13"/>
        <v>1.1111111111111112</v>
      </c>
      <c r="AM5" s="4" t="str">
        <f t="shared" si="14"/>
        <v>-</v>
      </c>
      <c r="AN5" s="4" t="str">
        <f>IF(Q5="","-",Q5)</f>
        <v>-</v>
      </c>
      <c r="AO5" s="4" t="str">
        <f>IF(R5="","-",R5)</f>
        <v>-</v>
      </c>
      <c r="AP5" s="4">
        <v>0</v>
      </c>
      <c r="AQ5" s="4" t="s">
        <v>986</v>
      </c>
      <c r="AR5" s="4"/>
      <c r="AS5" s="4"/>
      <c r="AT5" s="4" t="s">
        <v>721</v>
      </c>
      <c r="AU5" s="4">
        <v>409</v>
      </c>
      <c r="AV5" s="4">
        <f t="shared" si="15"/>
        <v>409</v>
      </c>
      <c r="AW5" s="19">
        <v>4</v>
      </c>
      <c r="AX5" s="19">
        <v>1</v>
      </c>
      <c r="AY5" s="16">
        <v>6</v>
      </c>
      <c r="AZ5">
        <v>246</v>
      </c>
      <c r="BA5">
        <f>IFERROR(AZ5*AL5,"-")</f>
        <v>273.33333333333337</v>
      </c>
      <c r="BB5">
        <v>285</v>
      </c>
      <c r="BC5">
        <f>IFERROR(BB5*AL5,"-")</f>
        <v>316.66666666666669</v>
      </c>
      <c r="BD5" t="s">
        <v>659</v>
      </c>
    </row>
    <row r="6" spans="1:56" x14ac:dyDescent="0.4">
      <c r="A6" s="3">
        <v>84</v>
      </c>
      <c r="B6" s="3">
        <v>84</v>
      </c>
      <c r="C6" s="17">
        <v>112898</v>
      </c>
      <c r="D6" s="4" t="str">
        <f t="shared" si="0"/>
        <v>112898</v>
      </c>
      <c r="E6" s="4">
        <v>112898</v>
      </c>
      <c r="F6" s="4" t="s">
        <v>190</v>
      </c>
      <c r="G6" s="5">
        <v>4535627303846</v>
      </c>
      <c r="H6" s="5"/>
      <c r="I6" s="5"/>
      <c r="J6" s="5">
        <v>1</v>
      </c>
      <c r="K6" s="5">
        <v>1</v>
      </c>
      <c r="L6" s="4">
        <v>460</v>
      </c>
      <c r="M6" s="4">
        <v>302</v>
      </c>
      <c r="N6" s="4">
        <v>174</v>
      </c>
      <c r="O6" s="6">
        <f t="shared" si="1"/>
        <v>0.42384105960264906</v>
      </c>
      <c r="P6" s="4" t="s">
        <v>699</v>
      </c>
      <c r="Q6" s="4" t="s">
        <v>699</v>
      </c>
      <c r="R6" s="4" t="s">
        <v>699</v>
      </c>
      <c r="S6" s="4">
        <v>520</v>
      </c>
      <c r="T6" s="4">
        <f t="shared" si="2"/>
        <v>520</v>
      </c>
      <c r="U6" s="4">
        <v>197</v>
      </c>
      <c r="V6" s="4">
        <f t="shared" si="3"/>
        <v>197</v>
      </c>
      <c r="W6" s="4"/>
      <c r="X6" s="21">
        <f t="shared" si="4"/>
        <v>342</v>
      </c>
      <c r="Y6" s="6">
        <f t="shared" si="5"/>
        <v>0.42397660818713445</v>
      </c>
      <c r="Z6" s="33">
        <v>1.5</v>
      </c>
      <c r="AA6" s="4">
        <f t="shared" si="6"/>
        <v>460</v>
      </c>
      <c r="AB6" s="33">
        <f t="shared" si="7"/>
        <v>520.80459770114942</v>
      </c>
      <c r="AC6" s="6">
        <f t="shared" si="8"/>
        <v>0.62173913043478257</v>
      </c>
      <c r="AD6" s="7">
        <v>322</v>
      </c>
      <c r="AE6" s="6">
        <f t="shared" si="9"/>
        <v>0.38819875776397517</v>
      </c>
      <c r="AF6" s="4">
        <f t="shared" si="10"/>
        <v>125</v>
      </c>
      <c r="AG6" s="28"/>
      <c r="AH6" s="6"/>
      <c r="AI6" s="6"/>
      <c r="AJ6" s="6">
        <f t="shared" si="11"/>
        <v>1.1304347826086956</v>
      </c>
      <c r="AK6" s="6">
        <f t="shared" si="12"/>
        <v>1.0662251655629138</v>
      </c>
      <c r="AL6" s="6">
        <f t="shared" si="13"/>
        <v>1.132183908045977</v>
      </c>
      <c r="AM6" s="4" t="str">
        <f t="shared" si="14"/>
        <v>-</v>
      </c>
      <c r="AN6" s="4" t="str">
        <f>IF(Q6="","-",Q6)</f>
        <v>-</v>
      </c>
      <c r="AO6" s="4" t="str">
        <f>IF(R6="","-",R6)</f>
        <v>-</v>
      </c>
      <c r="AP6" s="4">
        <v>0</v>
      </c>
      <c r="AQ6" s="4" t="s">
        <v>794</v>
      </c>
      <c r="AR6" s="4"/>
      <c r="AS6" s="4"/>
      <c r="AT6" s="4" t="s">
        <v>705</v>
      </c>
      <c r="AU6" s="4">
        <v>460</v>
      </c>
      <c r="AV6" s="4">
        <f t="shared" si="15"/>
        <v>460</v>
      </c>
      <c r="AW6" s="19">
        <v>4</v>
      </c>
      <c r="AX6" s="19">
        <v>1</v>
      </c>
      <c r="AY6" s="16">
        <v>6</v>
      </c>
      <c r="AZ6">
        <v>345</v>
      </c>
      <c r="BA6">
        <f>IFERROR(AZ6*AL6,"-")</f>
        <v>390.60344827586209</v>
      </c>
      <c r="BB6">
        <v>285</v>
      </c>
      <c r="BC6">
        <f>IFERROR(BB6*AL6,"-")</f>
        <v>322.67241379310343</v>
      </c>
      <c r="BD6" t="s">
        <v>498</v>
      </c>
    </row>
    <row r="7" spans="1:56" x14ac:dyDescent="0.4">
      <c r="A7" s="3">
        <v>83</v>
      </c>
      <c r="B7" s="3">
        <v>83</v>
      </c>
      <c r="C7" s="17">
        <v>112897</v>
      </c>
      <c r="D7" s="4" t="str">
        <f t="shared" si="0"/>
        <v>112897</v>
      </c>
      <c r="E7" s="4">
        <v>112897</v>
      </c>
      <c r="F7" s="4" t="s">
        <v>189</v>
      </c>
      <c r="G7" s="5">
        <v>4535627303839</v>
      </c>
      <c r="H7" s="5"/>
      <c r="I7" s="5"/>
      <c r="J7" s="5">
        <v>1</v>
      </c>
      <c r="K7" s="5">
        <v>1</v>
      </c>
      <c r="L7" s="4">
        <v>520</v>
      </c>
      <c r="M7" s="4">
        <v>360</v>
      </c>
      <c r="N7" s="4">
        <v>198</v>
      </c>
      <c r="O7" s="6">
        <f t="shared" si="1"/>
        <v>0.44999999999999996</v>
      </c>
      <c r="P7" s="4" t="s">
        <v>699</v>
      </c>
      <c r="Q7" s="4" t="s">
        <v>699</v>
      </c>
      <c r="R7" s="4" t="s">
        <v>699</v>
      </c>
      <c r="S7" s="4">
        <v>580</v>
      </c>
      <c r="T7" s="4">
        <f t="shared" si="2"/>
        <v>580</v>
      </c>
      <c r="U7" s="4">
        <v>221</v>
      </c>
      <c r="V7" s="4">
        <f t="shared" si="3"/>
        <v>221</v>
      </c>
      <c r="W7" s="4"/>
      <c r="X7" s="21">
        <f t="shared" si="4"/>
        <v>402</v>
      </c>
      <c r="Y7" s="6">
        <f t="shared" si="5"/>
        <v>0.45024875621890548</v>
      </c>
      <c r="Z7" s="33">
        <v>3.75</v>
      </c>
      <c r="AA7" s="4">
        <f t="shared" si="6"/>
        <v>357</v>
      </c>
      <c r="AB7" s="33">
        <f t="shared" si="7"/>
        <v>398.46969696969694</v>
      </c>
      <c r="AC7" s="6">
        <f t="shared" si="8"/>
        <v>0.44537815126050417</v>
      </c>
      <c r="AD7" s="7">
        <v>351</v>
      </c>
      <c r="AE7" s="6">
        <f t="shared" si="9"/>
        <v>0.37037037037037035</v>
      </c>
      <c r="AF7" s="4">
        <f t="shared" si="10"/>
        <v>130</v>
      </c>
      <c r="AG7" s="28"/>
      <c r="AH7" s="6"/>
      <c r="AI7" s="6"/>
      <c r="AJ7" s="6">
        <f t="shared" si="11"/>
        <v>1.1153846153846154</v>
      </c>
      <c r="AK7" s="6">
        <f t="shared" si="12"/>
        <v>0.97499999999999998</v>
      </c>
      <c r="AL7" s="6">
        <f t="shared" si="13"/>
        <v>1.1161616161616161</v>
      </c>
      <c r="AM7" s="4" t="str">
        <f t="shared" si="14"/>
        <v>-</v>
      </c>
      <c r="AN7" s="4" t="str">
        <f>IF(Q7="","-",Q7)</f>
        <v>-</v>
      </c>
      <c r="AO7" s="4" t="str">
        <f>IF(R7="","-",R7)</f>
        <v>-</v>
      </c>
      <c r="AP7" s="4" t="s">
        <v>416</v>
      </c>
      <c r="AQ7" s="4" t="s">
        <v>793</v>
      </c>
      <c r="AR7" s="4"/>
      <c r="AS7" s="4"/>
      <c r="AT7" s="4" t="s">
        <v>721</v>
      </c>
      <c r="AU7" s="4">
        <v>357</v>
      </c>
      <c r="AV7" s="4">
        <f t="shared" si="15"/>
        <v>357</v>
      </c>
      <c r="AW7" s="19">
        <v>4</v>
      </c>
      <c r="AX7" s="19">
        <v>1</v>
      </c>
      <c r="AY7" s="16">
        <v>6</v>
      </c>
      <c r="AZ7">
        <v>352</v>
      </c>
      <c r="BA7">
        <f>IFERROR(AZ7*AL7,"-")</f>
        <v>392.88888888888886</v>
      </c>
      <c r="BB7">
        <v>315</v>
      </c>
      <c r="BC7">
        <f>IFERROR(BB7*AL7,"-")</f>
        <v>351.59090909090907</v>
      </c>
      <c r="BD7" t="s">
        <v>497</v>
      </c>
    </row>
    <row r="8" spans="1:56" x14ac:dyDescent="0.4">
      <c r="A8" s="3">
        <v>86</v>
      </c>
      <c r="B8" s="3">
        <v>86</v>
      </c>
      <c r="C8" s="17">
        <v>112900</v>
      </c>
      <c r="D8" s="4" t="str">
        <f t="shared" si="0"/>
        <v>112900</v>
      </c>
      <c r="E8" s="4">
        <v>112900</v>
      </c>
      <c r="F8" s="4" t="s">
        <v>192</v>
      </c>
      <c r="G8" s="5">
        <v>4535627303860</v>
      </c>
      <c r="H8" s="5"/>
      <c r="I8" s="5"/>
      <c r="J8" s="5">
        <v>1</v>
      </c>
      <c r="K8" s="5">
        <v>1</v>
      </c>
      <c r="L8" s="4">
        <v>520</v>
      </c>
      <c r="M8" s="4">
        <v>285</v>
      </c>
      <c r="N8" s="4">
        <v>198</v>
      </c>
      <c r="O8" s="6">
        <f t="shared" si="1"/>
        <v>0.30526315789473679</v>
      </c>
      <c r="P8" s="4" t="s">
        <v>699</v>
      </c>
      <c r="Q8" s="4" t="s">
        <v>699</v>
      </c>
      <c r="R8" s="4" t="s">
        <v>699</v>
      </c>
      <c r="S8" s="4">
        <v>580</v>
      </c>
      <c r="T8" s="4">
        <f t="shared" si="2"/>
        <v>580</v>
      </c>
      <c r="U8" s="4">
        <v>221</v>
      </c>
      <c r="V8" s="4">
        <f t="shared" si="3"/>
        <v>221</v>
      </c>
      <c r="W8" s="4"/>
      <c r="X8" s="21">
        <f t="shared" si="4"/>
        <v>318</v>
      </c>
      <c r="Y8" s="6">
        <f t="shared" si="5"/>
        <v>0.30503144654088055</v>
      </c>
      <c r="Z8" s="33">
        <v>0.5</v>
      </c>
      <c r="AA8" s="4">
        <f t="shared" si="6"/>
        <v>520</v>
      </c>
      <c r="AB8" s="33">
        <f t="shared" si="7"/>
        <v>580.40404040404042</v>
      </c>
      <c r="AC8" s="6">
        <f t="shared" si="8"/>
        <v>0.61923076923076925</v>
      </c>
      <c r="AD8" s="7">
        <v>351</v>
      </c>
      <c r="AE8" s="6">
        <f t="shared" si="9"/>
        <v>0.37037037037037035</v>
      </c>
      <c r="AF8" s="4">
        <f t="shared" si="10"/>
        <v>130</v>
      </c>
      <c r="AG8" s="28"/>
      <c r="AH8" s="6"/>
      <c r="AI8" s="6"/>
      <c r="AJ8" s="6">
        <f t="shared" si="11"/>
        <v>1.1153846153846154</v>
      </c>
      <c r="AK8" s="6">
        <f t="shared" si="12"/>
        <v>1.2315789473684211</v>
      </c>
      <c r="AL8" s="6">
        <f t="shared" si="13"/>
        <v>1.1161616161616161</v>
      </c>
      <c r="AM8" s="4" t="str">
        <f t="shared" si="14"/>
        <v>-</v>
      </c>
      <c r="AN8" s="4" t="str">
        <f>IF(Q8="","-",Q8)</f>
        <v>-</v>
      </c>
      <c r="AO8" s="4" t="str">
        <f>IF(R8="","-",R8)</f>
        <v>-</v>
      </c>
      <c r="AP8" s="4">
        <v>0</v>
      </c>
      <c r="AQ8" s="4" t="s">
        <v>796</v>
      </c>
      <c r="AR8" s="4"/>
      <c r="AS8" s="4"/>
      <c r="AT8" s="4" t="s">
        <v>705</v>
      </c>
      <c r="AU8" s="4">
        <v>520</v>
      </c>
      <c r="AV8" s="4">
        <f t="shared" si="15"/>
        <v>520</v>
      </c>
      <c r="AW8" s="19">
        <v>4</v>
      </c>
      <c r="AX8" s="19">
        <v>1</v>
      </c>
      <c r="AY8" s="16">
        <v>6</v>
      </c>
      <c r="AZ8">
        <v>390</v>
      </c>
      <c r="BA8">
        <f>IFERROR(AZ8*AL8,"-")</f>
        <v>435.30303030303031</v>
      </c>
      <c r="BB8">
        <v>315</v>
      </c>
      <c r="BC8">
        <f>IFERROR(BB8*AL8,"-")</f>
        <v>351.59090909090907</v>
      </c>
      <c r="BD8" t="s">
        <v>500</v>
      </c>
    </row>
    <row r="9" spans="1:56" x14ac:dyDescent="0.4">
      <c r="A9" s="3">
        <v>265</v>
      </c>
      <c r="B9" s="3">
        <v>265</v>
      </c>
      <c r="C9" s="17" t="s">
        <v>88</v>
      </c>
      <c r="D9" s="4" t="str">
        <f t="shared" si="0"/>
        <v>J71137</v>
      </c>
      <c r="E9" s="4" t="s">
        <v>88</v>
      </c>
      <c r="F9" s="4" t="s">
        <v>371</v>
      </c>
      <c r="G9" s="5">
        <v>4535627303938</v>
      </c>
      <c r="H9" s="5"/>
      <c r="I9" s="5"/>
      <c r="J9" s="5">
        <v>1</v>
      </c>
      <c r="K9" s="5">
        <v>1</v>
      </c>
      <c r="L9" s="4">
        <v>5900</v>
      </c>
      <c r="M9" s="4">
        <v>3167</v>
      </c>
      <c r="N9" s="4">
        <v>2360</v>
      </c>
      <c r="O9" s="6">
        <f t="shared" si="1"/>
        <v>0.25481528260183139</v>
      </c>
      <c r="P9" s="4" t="s">
        <v>699</v>
      </c>
      <c r="Q9" s="4" t="s">
        <v>699</v>
      </c>
      <c r="R9" s="4" t="s">
        <v>699</v>
      </c>
      <c r="S9" s="4">
        <v>660</v>
      </c>
      <c r="T9" s="4">
        <f t="shared" si="2"/>
        <v>6600</v>
      </c>
      <c r="U9" s="4">
        <v>264</v>
      </c>
      <c r="V9" s="4">
        <f t="shared" si="3"/>
        <v>2640</v>
      </c>
      <c r="W9" s="4">
        <v>10</v>
      </c>
      <c r="X9" s="21">
        <f t="shared" si="4"/>
        <v>3543</v>
      </c>
      <c r="Y9" s="6">
        <f t="shared" si="5"/>
        <v>0.25486875529212527</v>
      </c>
      <c r="Z9" s="33">
        <v>0</v>
      </c>
      <c r="AA9" s="4">
        <f t="shared" si="6"/>
        <v>5390</v>
      </c>
      <c r="AB9" s="33">
        <f t="shared" si="7"/>
        <v>6029.4915254237285</v>
      </c>
      <c r="AC9" s="6">
        <f t="shared" si="8"/>
        <v>0.56215213358070493</v>
      </c>
      <c r="AD9" s="7">
        <v>4000</v>
      </c>
      <c r="AE9" s="6">
        <f t="shared" si="9"/>
        <v>0.33999999999999997</v>
      </c>
      <c r="AF9" s="4">
        <f t="shared" si="10"/>
        <v>1360</v>
      </c>
      <c r="AG9" s="28"/>
      <c r="AH9" s="6"/>
      <c r="AI9" s="6"/>
      <c r="AJ9" s="6">
        <f t="shared" si="11"/>
        <v>1.1186440677966101</v>
      </c>
      <c r="AK9" s="6">
        <f t="shared" si="12"/>
        <v>1.2630249447426587</v>
      </c>
      <c r="AL9" s="6">
        <f t="shared" si="13"/>
        <v>1.1186440677966101</v>
      </c>
      <c r="AM9" s="4" t="str">
        <f t="shared" si="14"/>
        <v>-</v>
      </c>
      <c r="AN9" s="4" t="str">
        <f>IF(Q9="","-",Q9)</f>
        <v>-</v>
      </c>
      <c r="AO9" s="4" t="str">
        <f>IF(R9="","-",R9)</f>
        <v>-</v>
      </c>
      <c r="AP9" s="4">
        <v>0</v>
      </c>
      <c r="AQ9" s="4" t="s">
        <v>1009</v>
      </c>
      <c r="AR9" s="4">
        <v>10</v>
      </c>
      <c r="AS9" s="4">
        <v>1</v>
      </c>
      <c r="AT9" s="4" t="s">
        <v>705</v>
      </c>
      <c r="AU9" s="4">
        <v>539</v>
      </c>
      <c r="AV9" s="4">
        <f t="shared" si="15"/>
        <v>5390</v>
      </c>
      <c r="AW9" s="19">
        <v>4</v>
      </c>
      <c r="AX9" s="19">
        <v>8</v>
      </c>
      <c r="AY9" s="16">
        <v>6</v>
      </c>
      <c r="AZ9" t="s">
        <v>699</v>
      </c>
      <c r="BA9" t="str">
        <f>IFERROR(AZ9*AL9,"-")</f>
        <v>-</v>
      </c>
      <c r="BB9">
        <v>410</v>
      </c>
      <c r="BC9">
        <f>IFERROR(BB9*AL9,"-")</f>
        <v>458.64406779661016</v>
      </c>
      <c r="BD9" t="s">
        <v>680</v>
      </c>
    </row>
    <row r="10" spans="1:56" x14ac:dyDescent="0.4">
      <c r="A10" s="3">
        <v>283</v>
      </c>
      <c r="B10" s="3">
        <v>283</v>
      </c>
      <c r="C10" s="4" t="s">
        <v>106</v>
      </c>
      <c r="D10" s="4" t="str">
        <f t="shared" si="0"/>
        <v>J966WY</v>
      </c>
      <c r="E10" s="4" t="s">
        <v>106</v>
      </c>
      <c r="F10" s="4" t="s">
        <v>389</v>
      </c>
      <c r="G10" s="5">
        <v>4535627303655</v>
      </c>
      <c r="H10" s="5"/>
      <c r="I10" s="5"/>
      <c r="J10" s="5">
        <v>1</v>
      </c>
      <c r="K10" s="5">
        <v>1</v>
      </c>
      <c r="L10" s="4">
        <v>650</v>
      </c>
      <c r="M10" s="4">
        <v>613</v>
      </c>
      <c r="N10" s="4">
        <v>247</v>
      </c>
      <c r="O10" s="6">
        <f t="shared" si="1"/>
        <v>0.59706362153344217</v>
      </c>
      <c r="P10" s="4" t="s">
        <v>699</v>
      </c>
      <c r="Q10" s="4" t="s">
        <v>699</v>
      </c>
      <c r="R10" s="4" t="s">
        <v>699</v>
      </c>
      <c r="S10" s="4">
        <v>730</v>
      </c>
      <c r="T10" s="4">
        <f t="shared" si="2"/>
        <v>730</v>
      </c>
      <c r="U10" s="4">
        <v>277</v>
      </c>
      <c r="V10" s="4">
        <f t="shared" si="3"/>
        <v>277</v>
      </c>
      <c r="W10" s="4"/>
      <c r="X10" s="21">
        <f t="shared" si="4"/>
        <v>687</v>
      </c>
      <c r="Y10" s="6">
        <f t="shared" si="5"/>
        <v>0.59679767103347892</v>
      </c>
      <c r="Z10" s="33">
        <v>1</v>
      </c>
      <c r="AA10" s="4">
        <f t="shared" si="6"/>
        <v>613.33333333333326</v>
      </c>
      <c r="AB10" s="33">
        <f t="shared" si="7"/>
        <v>687.82726045883931</v>
      </c>
      <c r="AC10" s="6">
        <f t="shared" si="8"/>
        <v>0.5972826086956522</v>
      </c>
      <c r="AD10" s="7">
        <v>437</v>
      </c>
      <c r="AE10" s="6">
        <f t="shared" si="9"/>
        <v>0.36613272311212819</v>
      </c>
      <c r="AF10" s="4">
        <f t="shared" si="10"/>
        <v>160</v>
      </c>
      <c r="AG10" s="28"/>
      <c r="AH10" s="6"/>
      <c r="AI10" s="6"/>
      <c r="AJ10" s="6">
        <f t="shared" si="11"/>
        <v>1.1230769230769231</v>
      </c>
      <c r="AK10" s="6">
        <f t="shared" si="12"/>
        <v>0.71288743882544858</v>
      </c>
      <c r="AL10" s="6">
        <f t="shared" si="13"/>
        <v>1.1214574898785425</v>
      </c>
      <c r="AM10" s="4" t="str">
        <f t="shared" si="14"/>
        <v>-</v>
      </c>
      <c r="AN10" s="4" t="str">
        <f>IF(Q10="","-",Q10)</f>
        <v>-</v>
      </c>
      <c r="AO10" s="4" t="str">
        <f>IF(R10="","-",R10)</f>
        <v>-</v>
      </c>
      <c r="AP10" s="4">
        <v>0</v>
      </c>
      <c r="AQ10" s="4" t="s">
        <v>1027</v>
      </c>
      <c r="AR10" s="4">
        <v>1</v>
      </c>
      <c r="AS10" s="4">
        <v>3</v>
      </c>
      <c r="AT10" s="4" t="s">
        <v>988</v>
      </c>
      <c r="AU10" s="4">
        <v>1840</v>
      </c>
      <c r="AV10" s="4">
        <f t="shared" si="15"/>
        <v>613.33333333333326</v>
      </c>
      <c r="AW10" s="19">
        <v>4</v>
      </c>
      <c r="AX10" s="19">
        <v>1</v>
      </c>
      <c r="AY10" s="16">
        <v>6</v>
      </c>
      <c r="AZ10">
        <v>351</v>
      </c>
      <c r="BA10">
        <f>IFERROR(AZ10*AL10,"-")</f>
        <v>393.63157894736844</v>
      </c>
      <c r="BB10">
        <v>390</v>
      </c>
      <c r="BC10">
        <f>IFERROR(BB10*AL10,"-")</f>
        <v>437.36842105263162</v>
      </c>
      <c r="BD10" t="s">
        <v>698</v>
      </c>
    </row>
    <row r="11" spans="1:56" x14ac:dyDescent="0.4">
      <c r="A11" s="3">
        <v>245</v>
      </c>
      <c r="B11" s="3">
        <v>245</v>
      </c>
      <c r="C11" s="4" t="s">
        <v>68</v>
      </c>
      <c r="D11" s="4" t="str">
        <f t="shared" si="0"/>
        <v>J521SB</v>
      </c>
      <c r="E11" s="4" t="s">
        <v>68</v>
      </c>
      <c r="F11" s="4" t="s">
        <v>351</v>
      </c>
      <c r="G11" s="5">
        <v>4535627303877</v>
      </c>
      <c r="H11" s="5"/>
      <c r="I11" s="5"/>
      <c r="J11" s="5">
        <v>1</v>
      </c>
      <c r="K11" s="5">
        <v>1</v>
      </c>
      <c r="L11" s="4">
        <v>620</v>
      </c>
      <c r="M11" s="4">
        <v>442</v>
      </c>
      <c r="N11" s="4">
        <v>248</v>
      </c>
      <c r="O11" s="6">
        <f t="shared" si="1"/>
        <v>0.43891402714932126</v>
      </c>
      <c r="P11" s="4" t="s">
        <v>699</v>
      </c>
      <c r="Q11" s="4" t="s">
        <v>699</v>
      </c>
      <c r="R11" s="4" t="s">
        <v>699</v>
      </c>
      <c r="S11" s="4">
        <v>700</v>
      </c>
      <c r="T11" s="4">
        <f t="shared" si="2"/>
        <v>700</v>
      </c>
      <c r="U11" s="4">
        <v>280</v>
      </c>
      <c r="V11" s="4">
        <f t="shared" si="3"/>
        <v>280</v>
      </c>
      <c r="W11" s="4"/>
      <c r="X11" s="21">
        <f t="shared" si="4"/>
        <v>499</v>
      </c>
      <c r="Y11" s="6">
        <f t="shared" si="5"/>
        <v>0.43887775551102204</v>
      </c>
      <c r="Z11" s="33">
        <v>4.25</v>
      </c>
      <c r="AA11" s="4">
        <f t="shared" si="6"/>
        <v>463</v>
      </c>
      <c r="AB11" s="33">
        <f t="shared" si="7"/>
        <v>522.74193548387098</v>
      </c>
      <c r="AC11" s="6">
        <f t="shared" si="8"/>
        <v>0.4643628509719222</v>
      </c>
      <c r="AD11" s="7">
        <v>450</v>
      </c>
      <c r="AE11" s="6">
        <f t="shared" si="9"/>
        <v>0.37777777777777777</v>
      </c>
      <c r="AF11" s="4">
        <f t="shared" si="10"/>
        <v>170</v>
      </c>
      <c r="AG11" s="28"/>
      <c r="AH11" s="6"/>
      <c r="AI11" s="6"/>
      <c r="AJ11" s="6">
        <f t="shared" si="11"/>
        <v>1.1290322580645162</v>
      </c>
      <c r="AK11" s="6">
        <f t="shared" si="12"/>
        <v>1.0180995475113122</v>
      </c>
      <c r="AL11" s="6">
        <f t="shared" si="13"/>
        <v>1.1290322580645162</v>
      </c>
      <c r="AM11" s="4" t="str">
        <f t="shared" si="14"/>
        <v>-</v>
      </c>
      <c r="AN11" s="4" t="str">
        <f>IF(Q11="","-",Q11)</f>
        <v>-</v>
      </c>
      <c r="AO11" s="4" t="str">
        <f>IF(R11="","-",R11)</f>
        <v>-</v>
      </c>
      <c r="AP11" s="4">
        <v>0</v>
      </c>
      <c r="AQ11" s="4" t="s">
        <v>989</v>
      </c>
      <c r="AR11" s="4"/>
      <c r="AS11" s="4"/>
      <c r="AT11" s="4" t="s">
        <v>721</v>
      </c>
      <c r="AU11" s="4">
        <v>463</v>
      </c>
      <c r="AV11" s="4">
        <f t="shared" si="15"/>
        <v>463</v>
      </c>
      <c r="AW11" s="19">
        <v>4</v>
      </c>
      <c r="AX11" s="19">
        <v>1</v>
      </c>
      <c r="AY11" s="16">
        <v>6</v>
      </c>
      <c r="AZ11">
        <v>426</v>
      </c>
      <c r="BA11">
        <f>IFERROR(AZ11*AL11,"-")</f>
        <v>480.9677419354839</v>
      </c>
      <c r="BB11">
        <v>620</v>
      </c>
      <c r="BC11">
        <f>IFERROR(BB11*AL11,"-")</f>
        <v>700.00000000000011</v>
      </c>
      <c r="BD11" t="s">
        <v>661</v>
      </c>
    </row>
    <row r="12" spans="1:56" x14ac:dyDescent="0.4">
      <c r="A12" s="3">
        <v>82</v>
      </c>
      <c r="B12" s="3">
        <v>82</v>
      </c>
      <c r="C12" s="4">
        <v>112895</v>
      </c>
      <c r="D12" s="4" t="str">
        <f t="shared" si="0"/>
        <v>112895</v>
      </c>
      <c r="E12" s="4">
        <v>112895</v>
      </c>
      <c r="F12" s="4" t="s">
        <v>188</v>
      </c>
      <c r="G12" s="5">
        <v>4535627303822</v>
      </c>
      <c r="H12" s="5"/>
      <c r="I12" s="5"/>
      <c r="J12" s="5">
        <v>1</v>
      </c>
      <c r="K12" s="5">
        <v>1</v>
      </c>
      <c r="L12" s="4">
        <v>680</v>
      </c>
      <c r="M12" s="4">
        <v>476</v>
      </c>
      <c r="N12" s="4">
        <v>258</v>
      </c>
      <c r="O12" s="6">
        <f t="shared" si="1"/>
        <v>0.45798319327731096</v>
      </c>
      <c r="P12" s="4" t="s">
        <v>699</v>
      </c>
      <c r="Q12" s="4" t="s">
        <v>699</v>
      </c>
      <c r="R12" s="4" t="s">
        <v>699</v>
      </c>
      <c r="S12" s="4">
        <v>770</v>
      </c>
      <c r="T12" s="4">
        <f t="shared" si="2"/>
        <v>770</v>
      </c>
      <c r="U12" s="4">
        <v>292</v>
      </c>
      <c r="V12" s="4">
        <f t="shared" si="3"/>
        <v>292</v>
      </c>
      <c r="W12" s="4"/>
      <c r="X12" s="21">
        <f t="shared" si="4"/>
        <v>539</v>
      </c>
      <c r="Y12" s="6">
        <f t="shared" si="5"/>
        <v>0.45825602968460111</v>
      </c>
      <c r="Z12" s="33">
        <v>4.75</v>
      </c>
      <c r="AA12" s="4">
        <f t="shared" si="6"/>
        <v>471</v>
      </c>
      <c r="AB12" s="33">
        <f t="shared" si="7"/>
        <v>533.06976744186045</v>
      </c>
      <c r="AC12" s="6">
        <f t="shared" si="8"/>
        <v>0.45222929936305734</v>
      </c>
      <c r="AD12" s="7">
        <v>458</v>
      </c>
      <c r="AE12" s="6">
        <f t="shared" si="9"/>
        <v>0.36244541484716153</v>
      </c>
      <c r="AF12" s="4">
        <f t="shared" si="10"/>
        <v>166</v>
      </c>
      <c r="AG12" s="28"/>
      <c r="AH12" s="6"/>
      <c r="AI12" s="6"/>
      <c r="AJ12" s="6">
        <f t="shared" si="11"/>
        <v>1.1323529411764706</v>
      </c>
      <c r="AK12" s="6">
        <f t="shared" si="12"/>
        <v>0.96218487394957986</v>
      </c>
      <c r="AL12" s="6">
        <f t="shared" si="13"/>
        <v>1.1317829457364341</v>
      </c>
      <c r="AM12" s="4" t="str">
        <f t="shared" si="14"/>
        <v>-</v>
      </c>
      <c r="AN12" s="4" t="str">
        <f>IF(Q12="","-",Q12)</f>
        <v>-</v>
      </c>
      <c r="AO12" s="4" t="str">
        <f>IF(R12="","-",R12)</f>
        <v>-</v>
      </c>
      <c r="AP12" s="4" t="s">
        <v>416</v>
      </c>
      <c r="AQ12" s="4" t="s">
        <v>792</v>
      </c>
      <c r="AR12" s="4"/>
      <c r="AS12" s="4"/>
      <c r="AT12" s="4" t="s">
        <v>721</v>
      </c>
      <c r="AU12" s="4">
        <v>471</v>
      </c>
      <c r="AV12" s="4">
        <f t="shared" si="15"/>
        <v>471</v>
      </c>
      <c r="AW12" s="19">
        <v>4</v>
      </c>
      <c r="AX12" s="19">
        <v>1</v>
      </c>
      <c r="AY12" s="16">
        <v>6</v>
      </c>
      <c r="AZ12">
        <v>468</v>
      </c>
      <c r="BA12">
        <f>IFERROR(AZ12*AL12,"-")</f>
        <v>529.67441860465112</v>
      </c>
      <c r="BB12">
        <v>405</v>
      </c>
      <c r="BC12">
        <f>IFERROR(BB12*AL12,"-")</f>
        <v>458.37209302325584</v>
      </c>
      <c r="BD12" t="s">
        <v>496</v>
      </c>
    </row>
    <row r="13" spans="1:56" x14ac:dyDescent="0.4">
      <c r="A13" s="3">
        <v>26</v>
      </c>
      <c r="B13" s="3">
        <v>26</v>
      </c>
      <c r="C13" s="4">
        <v>73436</v>
      </c>
      <c r="D13" s="4" t="str">
        <f t="shared" si="0"/>
        <v>073436</v>
      </c>
      <c r="E13" s="4">
        <v>525798</v>
      </c>
      <c r="F13" s="4" t="s">
        <v>132</v>
      </c>
      <c r="G13" s="5">
        <v>4535627600204</v>
      </c>
      <c r="H13" s="5"/>
      <c r="I13" s="5"/>
      <c r="J13" s="5">
        <v>1</v>
      </c>
      <c r="K13" s="5">
        <v>1</v>
      </c>
      <c r="L13" s="4">
        <v>750</v>
      </c>
      <c r="M13" s="4">
        <v>540</v>
      </c>
      <c r="N13" s="4">
        <v>300</v>
      </c>
      <c r="O13" s="6">
        <f t="shared" si="1"/>
        <v>0.44444444444444442</v>
      </c>
      <c r="P13" s="4" t="s">
        <v>699</v>
      </c>
      <c r="Q13" s="4" t="s">
        <v>699</v>
      </c>
      <c r="R13" s="4" t="s">
        <v>699</v>
      </c>
      <c r="S13" s="4">
        <v>850</v>
      </c>
      <c r="T13" s="4">
        <f t="shared" si="2"/>
        <v>850</v>
      </c>
      <c r="U13" s="4">
        <v>340</v>
      </c>
      <c r="V13" s="4">
        <f t="shared" si="3"/>
        <v>340</v>
      </c>
      <c r="W13" s="4"/>
      <c r="X13" s="21">
        <f t="shared" si="4"/>
        <v>612</v>
      </c>
      <c r="Y13" s="6">
        <f t="shared" si="5"/>
        <v>0.44444444444444442</v>
      </c>
      <c r="Z13" s="33">
        <v>7.5</v>
      </c>
      <c r="AA13" s="4">
        <f t="shared" si="6"/>
        <v>749</v>
      </c>
      <c r="AB13" s="33">
        <f t="shared" si="7"/>
        <v>848.86666666666667</v>
      </c>
      <c r="AC13" s="6">
        <f t="shared" si="8"/>
        <v>0.5994659546061416</v>
      </c>
      <c r="AD13" s="7">
        <v>620</v>
      </c>
      <c r="AE13" s="6">
        <f t="shared" si="9"/>
        <v>0.45161290322580649</v>
      </c>
      <c r="AF13" s="4">
        <f t="shared" si="10"/>
        <v>280</v>
      </c>
      <c r="AG13" s="28"/>
      <c r="AH13" s="6"/>
      <c r="AI13" s="6"/>
      <c r="AJ13" s="6">
        <f t="shared" si="11"/>
        <v>1.1333333333333333</v>
      </c>
      <c r="AK13" s="6">
        <f t="shared" si="12"/>
        <v>1.1481481481481481</v>
      </c>
      <c r="AL13" s="6">
        <f t="shared" si="13"/>
        <v>1.1333333333333333</v>
      </c>
      <c r="AM13" s="4" t="str">
        <f t="shared" si="14"/>
        <v>-</v>
      </c>
      <c r="AN13" s="4" t="str">
        <f>IF(Q13="","-",Q13)</f>
        <v>-</v>
      </c>
      <c r="AO13" s="4" t="str">
        <f>IF(R13="","-",R13)</f>
        <v>-</v>
      </c>
      <c r="AP13" s="4" t="s">
        <v>410</v>
      </c>
      <c r="AQ13" s="4" t="s">
        <v>722</v>
      </c>
      <c r="AR13" s="4"/>
      <c r="AS13" s="4"/>
      <c r="AT13" s="4" t="s">
        <v>723</v>
      </c>
      <c r="AU13" s="4">
        <v>749</v>
      </c>
      <c r="AV13" s="4">
        <f t="shared" si="15"/>
        <v>749</v>
      </c>
      <c r="AW13" s="19">
        <v>4</v>
      </c>
      <c r="AX13" s="19">
        <v>1</v>
      </c>
      <c r="AY13" s="16">
        <v>6</v>
      </c>
      <c r="AZ13" t="s">
        <v>699</v>
      </c>
      <c r="BA13" t="str">
        <f>IFERROR(AZ13*AL13,"-")</f>
        <v>-</v>
      </c>
      <c r="BB13">
        <v>563</v>
      </c>
      <c r="BC13">
        <f>IFERROR(BB13*AL13,"-")</f>
        <v>638.06666666666661</v>
      </c>
      <c r="BD13" t="s">
        <v>444</v>
      </c>
    </row>
    <row r="14" spans="1:56" x14ac:dyDescent="0.4">
      <c r="A14" s="3">
        <v>264</v>
      </c>
      <c r="B14" s="3">
        <v>264</v>
      </c>
      <c r="C14" s="4" t="s">
        <v>87</v>
      </c>
      <c r="D14" s="4" t="str">
        <f t="shared" si="0"/>
        <v>J71136</v>
      </c>
      <c r="E14" s="4" t="s">
        <v>87</v>
      </c>
      <c r="F14" s="4" t="s">
        <v>370</v>
      </c>
      <c r="G14" s="5">
        <v>4535627303921</v>
      </c>
      <c r="H14" s="5"/>
      <c r="I14" s="5"/>
      <c r="J14" s="5">
        <v>1</v>
      </c>
      <c r="K14" s="5">
        <v>1</v>
      </c>
      <c r="L14" s="4">
        <v>7500</v>
      </c>
      <c r="M14" s="4">
        <v>3947</v>
      </c>
      <c r="N14" s="4">
        <v>3000</v>
      </c>
      <c r="O14" s="6">
        <f t="shared" si="1"/>
        <v>0.23992906004560421</v>
      </c>
      <c r="P14" s="4" t="s">
        <v>699</v>
      </c>
      <c r="Q14" s="4" t="s">
        <v>699</v>
      </c>
      <c r="R14" s="4" t="s">
        <v>699</v>
      </c>
      <c r="S14" s="4">
        <v>850</v>
      </c>
      <c r="T14" s="4">
        <f t="shared" si="2"/>
        <v>8500</v>
      </c>
      <c r="U14" s="4">
        <v>340</v>
      </c>
      <c r="V14" s="4">
        <f t="shared" si="3"/>
        <v>3400</v>
      </c>
      <c r="W14" s="4">
        <v>10</v>
      </c>
      <c r="X14" s="21">
        <f t="shared" si="4"/>
        <v>4473</v>
      </c>
      <c r="Y14" s="6">
        <f t="shared" si="5"/>
        <v>0.23988374692600045</v>
      </c>
      <c r="Z14" s="33">
        <v>2.5</v>
      </c>
      <c r="AA14" s="4">
        <f t="shared" si="6"/>
        <v>6930</v>
      </c>
      <c r="AB14" s="33">
        <f t="shared" si="7"/>
        <v>7854</v>
      </c>
      <c r="AC14" s="6">
        <f t="shared" si="8"/>
        <v>0.5670995670995671</v>
      </c>
      <c r="AD14" s="7">
        <v>5000</v>
      </c>
      <c r="AE14" s="6">
        <f t="shared" si="9"/>
        <v>0.31999999999999995</v>
      </c>
      <c r="AF14" s="4">
        <f t="shared" si="10"/>
        <v>1600</v>
      </c>
      <c r="AG14" s="28"/>
      <c r="AH14" s="6"/>
      <c r="AI14" s="6"/>
      <c r="AJ14" s="6">
        <f t="shared" si="11"/>
        <v>1.1333333333333333</v>
      </c>
      <c r="AK14" s="6">
        <f t="shared" si="12"/>
        <v>1.266784899923993</v>
      </c>
      <c r="AL14" s="6">
        <f t="shared" si="13"/>
        <v>1.1333333333333333</v>
      </c>
      <c r="AM14" s="4" t="str">
        <f t="shared" si="14"/>
        <v>-</v>
      </c>
      <c r="AN14" s="4" t="str">
        <f>IF(Q14="","-",Q14)</f>
        <v>-</v>
      </c>
      <c r="AO14" s="4" t="str">
        <f>IF(R14="","-",R14)</f>
        <v>-</v>
      </c>
      <c r="AP14" s="4">
        <v>0</v>
      </c>
      <c r="AQ14" s="4" t="s">
        <v>1008</v>
      </c>
      <c r="AR14" s="4">
        <v>10</v>
      </c>
      <c r="AS14" s="4">
        <v>1</v>
      </c>
      <c r="AT14" s="4" t="s">
        <v>705</v>
      </c>
      <c r="AU14" s="4">
        <v>693</v>
      </c>
      <c r="AV14" s="4">
        <f t="shared" si="15"/>
        <v>6930</v>
      </c>
      <c r="AW14" s="19">
        <v>4</v>
      </c>
      <c r="AX14" s="19">
        <v>8</v>
      </c>
      <c r="AY14" s="16">
        <v>6</v>
      </c>
      <c r="AZ14">
        <v>524</v>
      </c>
      <c r="BA14">
        <f>IFERROR(AZ14*AL14,"-")</f>
        <v>593.86666666666667</v>
      </c>
      <c r="BB14">
        <v>520</v>
      </c>
      <c r="BC14">
        <f>IFERROR(BB14*AL14,"-")</f>
        <v>589.33333333333337</v>
      </c>
      <c r="BD14" t="s">
        <v>679</v>
      </c>
    </row>
    <row r="15" spans="1:56" x14ac:dyDescent="0.4">
      <c r="A15" s="3">
        <v>81</v>
      </c>
      <c r="B15" s="3">
        <v>81</v>
      </c>
      <c r="C15" s="4">
        <v>112894</v>
      </c>
      <c r="D15" s="4" t="str">
        <f t="shared" si="0"/>
        <v>112894</v>
      </c>
      <c r="E15" s="4">
        <v>112894</v>
      </c>
      <c r="F15" s="4" t="s">
        <v>187</v>
      </c>
      <c r="G15" s="5">
        <v>4535627303815</v>
      </c>
      <c r="H15" s="5"/>
      <c r="I15" s="5"/>
      <c r="J15" s="5">
        <v>1</v>
      </c>
      <c r="K15" s="5">
        <v>1</v>
      </c>
      <c r="L15" s="4">
        <v>880</v>
      </c>
      <c r="M15" s="4">
        <v>615</v>
      </c>
      <c r="N15" s="4">
        <v>335</v>
      </c>
      <c r="O15" s="6">
        <f t="shared" si="1"/>
        <v>0.45528455284552849</v>
      </c>
      <c r="P15" s="4" t="s">
        <v>699</v>
      </c>
      <c r="Q15" s="4" t="s">
        <v>699</v>
      </c>
      <c r="R15" s="4" t="s">
        <v>699</v>
      </c>
      <c r="S15" s="4">
        <v>1000</v>
      </c>
      <c r="T15" s="4">
        <f t="shared" si="2"/>
        <v>1000</v>
      </c>
      <c r="U15" s="4">
        <v>381</v>
      </c>
      <c r="V15" s="4">
        <f t="shared" si="3"/>
        <v>381</v>
      </c>
      <c r="W15" s="4"/>
      <c r="X15" s="21">
        <f t="shared" si="4"/>
        <v>699</v>
      </c>
      <c r="Y15" s="6">
        <f t="shared" si="5"/>
        <v>0.45493562231759654</v>
      </c>
      <c r="Z15" s="33">
        <v>25.25</v>
      </c>
      <c r="AA15" s="4">
        <f t="shared" si="6"/>
        <v>609</v>
      </c>
      <c r="AB15" s="33">
        <f t="shared" si="7"/>
        <v>692.62388059701493</v>
      </c>
      <c r="AC15" s="6">
        <f t="shared" si="8"/>
        <v>0.44991789819376027</v>
      </c>
      <c r="AD15" s="7">
        <v>614</v>
      </c>
      <c r="AE15" s="6">
        <f t="shared" si="9"/>
        <v>0.37947882736156346</v>
      </c>
      <c r="AF15" s="4">
        <f t="shared" si="10"/>
        <v>233</v>
      </c>
      <c r="AG15" s="28"/>
      <c r="AH15" s="6"/>
      <c r="AI15" s="6"/>
      <c r="AJ15" s="6">
        <f t="shared" si="11"/>
        <v>1.1363636363636365</v>
      </c>
      <c r="AK15" s="6">
        <f t="shared" si="12"/>
        <v>0.99837398373983743</v>
      </c>
      <c r="AL15" s="6">
        <f t="shared" si="13"/>
        <v>1.137313432835821</v>
      </c>
      <c r="AM15" s="4" t="str">
        <f t="shared" si="14"/>
        <v>-</v>
      </c>
      <c r="AN15" s="4" t="str">
        <f>IF(Q15="","-",Q15)</f>
        <v>-</v>
      </c>
      <c r="AO15" s="4" t="str">
        <f>IF(R15="","-",R15)</f>
        <v>-</v>
      </c>
      <c r="AP15" s="4" t="s">
        <v>416</v>
      </c>
      <c r="AQ15" s="4" t="s">
        <v>791</v>
      </c>
      <c r="AR15" s="4"/>
      <c r="AS15" s="4"/>
      <c r="AT15" s="4" t="s">
        <v>721</v>
      </c>
      <c r="AU15" s="4">
        <v>609</v>
      </c>
      <c r="AV15" s="4">
        <f t="shared" si="15"/>
        <v>609</v>
      </c>
      <c r="AW15" s="19">
        <v>4</v>
      </c>
      <c r="AX15" s="19">
        <v>1</v>
      </c>
      <c r="AY15" s="16">
        <v>6</v>
      </c>
      <c r="AZ15">
        <v>604</v>
      </c>
      <c r="BA15">
        <f>IFERROR(AZ15*AL15,"-")</f>
        <v>686.93731343283582</v>
      </c>
      <c r="BB15">
        <v>540</v>
      </c>
      <c r="BC15">
        <f>IFERROR(BB15*AL15,"-")</f>
        <v>614.14925373134338</v>
      </c>
      <c r="BD15" t="s">
        <v>495</v>
      </c>
    </row>
    <row r="16" spans="1:56" x14ac:dyDescent="0.4">
      <c r="A16" s="3">
        <v>282</v>
      </c>
      <c r="B16" s="3">
        <v>282</v>
      </c>
      <c r="C16" s="4" t="s">
        <v>105</v>
      </c>
      <c r="D16" s="4" t="str">
        <f t="shared" si="0"/>
        <v>J965WY</v>
      </c>
      <c r="E16" s="4" t="s">
        <v>105</v>
      </c>
      <c r="F16" s="4" t="s">
        <v>388</v>
      </c>
      <c r="G16" s="5">
        <v>4535627303648</v>
      </c>
      <c r="H16" s="5"/>
      <c r="I16" s="5"/>
      <c r="J16" s="5">
        <v>1</v>
      </c>
      <c r="K16" s="5">
        <v>1</v>
      </c>
      <c r="L16" s="4">
        <v>880</v>
      </c>
      <c r="M16" s="4">
        <v>828</v>
      </c>
      <c r="N16" s="4">
        <v>335</v>
      </c>
      <c r="O16" s="6">
        <f t="shared" si="1"/>
        <v>0.59541062801932365</v>
      </c>
      <c r="P16" s="4" t="s">
        <v>699</v>
      </c>
      <c r="Q16" s="4" t="s">
        <v>699</v>
      </c>
      <c r="R16" s="4" t="s">
        <v>699</v>
      </c>
      <c r="S16" s="4">
        <v>1000</v>
      </c>
      <c r="T16" s="4">
        <f t="shared" si="2"/>
        <v>1000</v>
      </c>
      <c r="U16" s="4">
        <v>381</v>
      </c>
      <c r="V16" s="4">
        <f t="shared" si="3"/>
        <v>381</v>
      </c>
      <c r="W16" s="4"/>
      <c r="X16" s="21">
        <f t="shared" si="4"/>
        <v>942</v>
      </c>
      <c r="Y16" s="6">
        <f t="shared" si="5"/>
        <v>0.59554140127388533</v>
      </c>
      <c r="Z16" s="33">
        <v>5.75</v>
      </c>
      <c r="AA16" s="4">
        <f t="shared" si="6"/>
        <v>828.33333333333326</v>
      </c>
      <c r="AB16" s="33">
        <f t="shared" si="7"/>
        <v>942.07462686567158</v>
      </c>
      <c r="AC16" s="6">
        <f t="shared" si="8"/>
        <v>0.59557344064386308</v>
      </c>
      <c r="AD16" s="7">
        <v>580</v>
      </c>
      <c r="AE16" s="6">
        <f t="shared" si="9"/>
        <v>0.34310344827586203</v>
      </c>
      <c r="AF16" s="4">
        <f t="shared" si="10"/>
        <v>199</v>
      </c>
      <c r="AG16" s="28"/>
      <c r="AH16" s="6"/>
      <c r="AI16" s="6"/>
      <c r="AJ16" s="6">
        <f t="shared" si="11"/>
        <v>1.1363636363636365</v>
      </c>
      <c r="AK16" s="6">
        <f t="shared" si="12"/>
        <v>0.70048309178743962</v>
      </c>
      <c r="AL16" s="6">
        <f t="shared" si="13"/>
        <v>1.137313432835821</v>
      </c>
      <c r="AM16" s="4" t="str">
        <f t="shared" si="14"/>
        <v>-</v>
      </c>
      <c r="AN16" s="4" t="str">
        <f>IF(Q16="","-",Q16)</f>
        <v>-</v>
      </c>
      <c r="AO16" s="4" t="str">
        <f>IF(R16="","-",R16)</f>
        <v>-</v>
      </c>
      <c r="AP16" s="4">
        <v>0</v>
      </c>
      <c r="AQ16" s="4" t="s">
        <v>1026</v>
      </c>
      <c r="AR16" s="4">
        <v>1</v>
      </c>
      <c r="AS16" s="4">
        <v>3</v>
      </c>
      <c r="AT16" s="4" t="s">
        <v>988</v>
      </c>
      <c r="AU16" s="4">
        <v>2485</v>
      </c>
      <c r="AV16" s="4">
        <f t="shared" si="15"/>
        <v>828.33333333333326</v>
      </c>
      <c r="AW16" s="19">
        <v>4</v>
      </c>
      <c r="AX16" s="19">
        <v>1</v>
      </c>
      <c r="AY16" s="16">
        <v>6</v>
      </c>
      <c r="AZ16" t="s">
        <v>699</v>
      </c>
      <c r="BA16" t="str">
        <f>IFERROR(AZ16*AL16,"-")</f>
        <v>-</v>
      </c>
      <c r="BB16">
        <v>510</v>
      </c>
      <c r="BC16">
        <f>IFERROR(BB16*AL16,"-")</f>
        <v>580.02985074626872</v>
      </c>
      <c r="BD16" t="s">
        <v>697</v>
      </c>
    </row>
    <row r="17" spans="1:56" x14ac:dyDescent="0.4">
      <c r="A17" s="3">
        <v>35</v>
      </c>
      <c r="B17" s="3">
        <v>35</v>
      </c>
      <c r="C17" s="4">
        <v>73437</v>
      </c>
      <c r="D17" s="4" t="str">
        <f t="shared" si="0"/>
        <v>073437</v>
      </c>
      <c r="E17" s="4">
        <v>525807</v>
      </c>
      <c r="F17" s="4" t="s">
        <v>141</v>
      </c>
      <c r="G17" s="5">
        <v>4535627600105</v>
      </c>
      <c r="H17" s="5"/>
      <c r="I17" s="5"/>
      <c r="J17" s="5">
        <v>1</v>
      </c>
      <c r="K17" s="5">
        <v>1</v>
      </c>
      <c r="L17" s="4">
        <v>900</v>
      </c>
      <c r="M17" s="4">
        <v>648</v>
      </c>
      <c r="N17" s="4">
        <v>360</v>
      </c>
      <c r="O17" s="6">
        <f t="shared" si="1"/>
        <v>0.44444444444444442</v>
      </c>
      <c r="P17" s="4" t="s">
        <v>699</v>
      </c>
      <c r="Q17" s="4" t="s">
        <v>699</v>
      </c>
      <c r="R17" s="4" t="s">
        <v>699</v>
      </c>
      <c r="S17" s="4">
        <v>1000</v>
      </c>
      <c r="T17" s="4">
        <f t="shared" si="2"/>
        <v>1000</v>
      </c>
      <c r="U17" s="4">
        <v>400</v>
      </c>
      <c r="V17" s="4">
        <f t="shared" si="3"/>
        <v>400</v>
      </c>
      <c r="W17" s="4"/>
      <c r="X17" s="21">
        <f t="shared" si="4"/>
        <v>720</v>
      </c>
      <c r="Y17" s="6">
        <f t="shared" si="5"/>
        <v>0.44444444444444442</v>
      </c>
      <c r="Z17" s="33">
        <v>2.5</v>
      </c>
      <c r="AA17" s="4">
        <f t="shared" si="6"/>
        <v>900</v>
      </c>
      <c r="AB17" s="33">
        <f t="shared" si="7"/>
        <v>1000</v>
      </c>
      <c r="AC17" s="6">
        <f t="shared" si="8"/>
        <v>0.6</v>
      </c>
      <c r="AD17" s="7">
        <v>730</v>
      </c>
      <c r="AE17" s="6">
        <f t="shared" si="9"/>
        <v>0.45205479452054798</v>
      </c>
      <c r="AF17" s="4">
        <f t="shared" si="10"/>
        <v>330</v>
      </c>
      <c r="AG17" s="28"/>
      <c r="AH17" s="6"/>
      <c r="AI17" s="6"/>
      <c r="AJ17" s="6">
        <f t="shared" si="11"/>
        <v>1.1111111111111112</v>
      </c>
      <c r="AK17" s="6">
        <f t="shared" si="12"/>
        <v>1.1265432098765431</v>
      </c>
      <c r="AL17" s="6">
        <f t="shared" si="13"/>
        <v>1.1111111111111112</v>
      </c>
      <c r="AM17" s="4" t="str">
        <f t="shared" si="14"/>
        <v>-</v>
      </c>
      <c r="AN17" s="4" t="str">
        <f>IF(Q17="","-",Q17)</f>
        <v>-</v>
      </c>
      <c r="AO17" s="4" t="str">
        <f>IF(R17="","-",R17)</f>
        <v>-</v>
      </c>
      <c r="AP17" s="4" t="s">
        <v>410</v>
      </c>
      <c r="AQ17" s="4" t="s">
        <v>732</v>
      </c>
      <c r="AR17" s="4"/>
      <c r="AS17" s="4"/>
      <c r="AT17" s="4" t="s">
        <v>721</v>
      </c>
      <c r="AU17" s="4">
        <v>900</v>
      </c>
      <c r="AV17" s="4">
        <f t="shared" si="15"/>
        <v>900</v>
      </c>
      <c r="AW17" s="19">
        <v>4</v>
      </c>
      <c r="AX17" s="19">
        <v>1</v>
      </c>
      <c r="AY17" s="16">
        <v>6</v>
      </c>
      <c r="AZ17" t="s">
        <v>699</v>
      </c>
      <c r="BA17" t="str">
        <f>IFERROR(AZ17*AL17,"-")</f>
        <v>-</v>
      </c>
      <c r="BB17">
        <v>675</v>
      </c>
      <c r="BC17">
        <f>IFERROR(BB17*AL17,"-")</f>
        <v>750</v>
      </c>
      <c r="BD17" t="s">
        <v>450</v>
      </c>
    </row>
    <row r="18" spans="1:56" x14ac:dyDescent="0.4">
      <c r="A18" s="3">
        <v>244</v>
      </c>
      <c r="B18" s="3">
        <v>244</v>
      </c>
      <c r="C18" s="4" t="s">
        <v>67</v>
      </c>
      <c r="D18" s="4" t="str">
        <f t="shared" si="0"/>
        <v>J373WK</v>
      </c>
      <c r="E18" s="4" t="s">
        <v>67</v>
      </c>
      <c r="F18" s="4" t="s">
        <v>350</v>
      </c>
      <c r="G18" s="5">
        <v>4535627303600</v>
      </c>
      <c r="H18" s="5"/>
      <c r="I18" s="5"/>
      <c r="J18" s="5">
        <v>1</v>
      </c>
      <c r="K18" s="5">
        <v>1</v>
      </c>
      <c r="L18" s="4">
        <v>930</v>
      </c>
      <c r="M18" s="4">
        <v>509</v>
      </c>
      <c r="N18" s="4">
        <v>354</v>
      </c>
      <c r="O18" s="6">
        <f t="shared" si="1"/>
        <v>0.30451866404715122</v>
      </c>
      <c r="P18" s="4" t="s">
        <v>699</v>
      </c>
      <c r="Q18" s="4" t="s">
        <v>699</v>
      </c>
      <c r="R18" s="4" t="s">
        <v>699</v>
      </c>
      <c r="S18" s="4">
        <v>1050</v>
      </c>
      <c r="T18" s="4">
        <f t="shared" si="2"/>
        <v>1050</v>
      </c>
      <c r="U18" s="4">
        <v>400</v>
      </c>
      <c r="V18" s="4">
        <f t="shared" si="3"/>
        <v>400</v>
      </c>
      <c r="W18" s="4"/>
      <c r="X18" s="21">
        <f t="shared" si="4"/>
        <v>575</v>
      </c>
      <c r="Y18" s="6">
        <f t="shared" si="5"/>
        <v>0.30434782608695654</v>
      </c>
      <c r="Z18" s="33">
        <v>4.75</v>
      </c>
      <c r="AA18" s="4">
        <f t="shared" si="6"/>
        <v>928.33333333333326</v>
      </c>
      <c r="AB18" s="33">
        <f t="shared" si="7"/>
        <v>1048.9642184557438</v>
      </c>
      <c r="AC18" s="6">
        <f t="shared" si="8"/>
        <v>0.61867145421903047</v>
      </c>
      <c r="AD18" s="7">
        <v>637</v>
      </c>
      <c r="AE18" s="6">
        <f t="shared" si="9"/>
        <v>0.37205651491365777</v>
      </c>
      <c r="AF18" s="4">
        <f t="shared" si="10"/>
        <v>237</v>
      </c>
      <c r="AG18" s="28"/>
      <c r="AH18" s="6"/>
      <c r="AI18" s="6"/>
      <c r="AJ18" s="6">
        <f t="shared" si="11"/>
        <v>1.1290322580645162</v>
      </c>
      <c r="AK18" s="6">
        <f t="shared" si="12"/>
        <v>1.2514734774066798</v>
      </c>
      <c r="AL18" s="6">
        <f t="shared" si="13"/>
        <v>1.1299435028248588</v>
      </c>
      <c r="AM18" s="4" t="str">
        <f t="shared" si="14"/>
        <v>-</v>
      </c>
      <c r="AN18" s="4" t="str">
        <f>IF(Q18="","-",Q18)</f>
        <v>-</v>
      </c>
      <c r="AO18" s="4" t="str">
        <f>IF(R18="","-",R18)</f>
        <v>-</v>
      </c>
      <c r="AP18" s="4">
        <v>0</v>
      </c>
      <c r="AQ18" s="4" t="s">
        <v>987</v>
      </c>
      <c r="AR18" s="4">
        <v>1</v>
      </c>
      <c r="AS18" s="4">
        <v>3</v>
      </c>
      <c r="AT18" s="4" t="s">
        <v>988</v>
      </c>
      <c r="AU18" s="4">
        <v>2785</v>
      </c>
      <c r="AV18" s="4">
        <f t="shared" si="15"/>
        <v>928.33333333333326</v>
      </c>
      <c r="AW18" s="19">
        <v>4</v>
      </c>
      <c r="AX18" s="19">
        <v>1</v>
      </c>
      <c r="AY18" s="16">
        <v>6</v>
      </c>
      <c r="AZ18">
        <v>509</v>
      </c>
      <c r="BA18">
        <f>IFERROR(AZ18*AL18,"-")</f>
        <v>575.14124293785312</v>
      </c>
      <c r="BB18">
        <v>564</v>
      </c>
      <c r="BC18">
        <f>IFERROR(BB18*AL18,"-")</f>
        <v>637.28813559322032</v>
      </c>
      <c r="BD18" t="s">
        <v>660</v>
      </c>
    </row>
    <row r="19" spans="1:56" x14ac:dyDescent="0.4">
      <c r="A19" s="3">
        <v>87</v>
      </c>
      <c r="B19" s="3">
        <v>87</v>
      </c>
      <c r="C19" s="4">
        <v>112902</v>
      </c>
      <c r="D19" s="4" t="str">
        <f t="shared" si="0"/>
        <v>112902</v>
      </c>
      <c r="E19" s="4">
        <v>112902</v>
      </c>
      <c r="F19" s="4" t="s">
        <v>193</v>
      </c>
      <c r="G19" s="5">
        <v>4535627303914</v>
      </c>
      <c r="H19" s="5"/>
      <c r="I19" s="5"/>
      <c r="J19" s="5">
        <v>1</v>
      </c>
      <c r="K19" s="5">
        <v>1</v>
      </c>
      <c r="L19" s="4">
        <v>980</v>
      </c>
      <c r="M19" s="4">
        <v>563</v>
      </c>
      <c r="N19" s="4">
        <v>372</v>
      </c>
      <c r="O19" s="6">
        <f t="shared" si="1"/>
        <v>0.33925399644760212</v>
      </c>
      <c r="P19" s="4" t="s">
        <v>699</v>
      </c>
      <c r="Q19" s="4" t="s">
        <v>699</v>
      </c>
      <c r="R19" s="4" t="s">
        <v>699</v>
      </c>
      <c r="S19" s="4">
        <v>1100</v>
      </c>
      <c r="T19" s="4">
        <f t="shared" si="2"/>
        <v>1100</v>
      </c>
      <c r="U19" s="4">
        <v>418</v>
      </c>
      <c r="V19" s="4">
        <f t="shared" si="3"/>
        <v>418</v>
      </c>
      <c r="W19" s="4"/>
      <c r="X19" s="21">
        <f t="shared" si="4"/>
        <v>633</v>
      </c>
      <c r="Y19" s="6">
        <f t="shared" si="5"/>
        <v>0.33965244865718802</v>
      </c>
      <c r="Z19" s="33">
        <v>4</v>
      </c>
      <c r="AA19" s="4">
        <f t="shared" si="6"/>
        <v>731</v>
      </c>
      <c r="AB19" s="33">
        <f t="shared" si="7"/>
        <v>821.39247311827944</v>
      </c>
      <c r="AC19" s="6">
        <f t="shared" si="8"/>
        <v>0.49110807113543087</v>
      </c>
      <c r="AD19" s="7">
        <v>670</v>
      </c>
      <c r="AE19" s="6">
        <f t="shared" si="9"/>
        <v>0.37611940298507462</v>
      </c>
      <c r="AF19" s="4">
        <f t="shared" si="10"/>
        <v>252</v>
      </c>
      <c r="AG19" s="28"/>
      <c r="AH19" s="6"/>
      <c r="AI19" s="6"/>
      <c r="AJ19" s="6">
        <f t="shared" si="11"/>
        <v>1.1224489795918366</v>
      </c>
      <c r="AK19" s="6">
        <f t="shared" si="12"/>
        <v>1.1900532859680284</v>
      </c>
      <c r="AL19" s="6">
        <f t="shared" si="13"/>
        <v>1.1236559139784945</v>
      </c>
      <c r="AM19" s="4" t="str">
        <f t="shared" si="14"/>
        <v>-</v>
      </c>
      <c r="AN19" s="4" t="str">
        <f>IF(Q19="","-",Q19)</f>
        <v>-</v>
      </c>
      <c r="AO19" s="4" t="str">
        <f>IF(R19="","-",R19)</f>
        <v>-</v>
      </c>
      <c r="AP19" s="4">
        <v>0</v>
      </c>
      <c r="AQ19" s="4" t="s">
        <v>797</v>
      </c>
      <c r="AR19" s="4"/>
      <c r="AS19" s="4"/>
      <c r="AT19" s="4" t="s">
        <v>721</v>
      </c>
      <c r="AU19" s="4">
        <v>731</v>
      </c>
      <c r="AV19" s="4">
        <f t="shared" si="15"/>
        <v>731</v>
      </c>
      <c r="AW19" s="19">
        <v>4</v>
      </c>
      <c r="AX19" s="19">
        <v>1</v>
      </c>
      <c r="AY19" s="16">
        <v>6</v>
      </c>
      <c r="AZ19">
        <v>732</v>
      </c>
      <c r="BA19">
        <f>IFERROR(AZ19*AL19,"-")</f>
        <v>822.51612903225794</v>
      </c>
      <c r="BB19">
        <v>698</v>
      </c>
      <c r="BC19">
        <f>IFERROR(BB19*AL19,"-")</f>
        <v>784.31182795698919</v>
      </c>
      <c r="BD19" t="s">
        <v>501</v>
      </c>
    </row>
    <row r="20" spans="1:56" x14ac:dyDescent="0.4">
      <c r="A20" s="3">
        <v>80</v>
      </c>
      <c r="B20" s="3">
        <v>80</v>
      </c>
      <c r="C20" s="4">
        <v>112893</v>
      </c>
      <c r="D20" s="4" t="str">
        <f t="shared" si="0"/>
        <v>112893</v>
      </c>
      <c r="E20" s="4">
        <v>112893</v>
      </c>
      <c r="F20" s="4" t="s">
        <v>186</v>
      </c>
      <c r="G20" s="5">
        <v>4535627303808</v>
      </c>
      <c r="H20" s="5"/>
      <c r="I20" s="5"/>
      <c r="J20" s="5">
        <v>1</v>
      </c>
      <c r="K20" s="5">
        <v>1</v>
      </c>
      <c r="L20" s="4">
        <v>1280</v>
      </c>
      <c r="M20" s="4">
        <v>891</v>
      </c>
      <c r="N20" s="4">
        <v>486</v>
      </c>
      <c r="O20" s="6">
        <f t="shared" si="1"/>
        <v>0.45454545454545459</v>
      </c>
      <c r="P20" s="4" t="s">
        <v>699</v>
      </c>
      <c r="Q20" s="4" t="s">
        <v>699</v>
      </c>
      <c r="R20" s="4" t="s">
        <v>699</v>
      </c>
      <c r="S20" s="4">
        <v>1450</v>
      </c>
      <c r="T20" s="4">
        <f t="shared" si="2"/>
        <v>1450</v>
      </c>
      <c r="U20" s="4">
        <v>551</v>
      </c>
      <c r="V20" s="4">
        <f t="shared" si="3"/>
        <v>551</v>
      </c>
      <c r="W20" s="4"/>
      <c r="X20" s="21">
        <f t="shared" si="4"/>
        <v>1010</v>
      </c>
      <c r="Y20" s="6">
        <f t="shared" si="5"/>
        <v>0.45445544554455441</v>
      </c>
      <c r="Z20" s="33">
        <v>17</v>
      </c>
      <c r="AA20" s="4">
        <f t="shared" si="6"/>
        <v>882</v>
      </c>
      <c r="AB20" s="33">
        <f t="shared" si="7"/>
        <v>999.96296296296293</v>
      </c>
      <c r="AC20" s="6">
        <f t="shared" si="8"/>
        <v>0.44897959183673464</v>
      </c>
      <c r="AD20" s="7">
        <v>893</v>
      </c>
      <c r="AE20" s="6">
        <f t="shared" si="9"/>
        <v>0.38297872340425532</v>
      </c>
      <c r="AF20" s="4">
        <f t="shared" si="10"/>
        <v>342</v>
      </c>
      <c r="AG20" s="28"/>
      <c r="AH20" s="6"/>
      <c r="AI20" s="6"/>
      <c r="AJ20" s="6">
        <f t="shared" si="11"/>
        <v>1.1328125</v>
      </c>
      <c r="AK20" s="6">
        <f t="shared" si="12"/>
        <v>1.0022446689113356</v>
      </c>
      <c r="AL20" s="6">
        <f t="shared" si="13"/>
        <v>1.1337448559670782</v>
      </c>
      <c r="AM20" s="4" t="str">
        <f t="shared" si="14"/>
        <v>-</v>
      </c>
      <c r="AN20" s="4" t="str">
        <f>IF(Q20="","-",Q20)</f>
        <v>-</v>
      </c>
      <c r="AO20" s="4" t="str">
        <f>IF(R20="","-",R20)</f>
        <v>-</v>
      </c>
      <c r="AP20" s="4" t="s">
        <v>416</v>
      </c>
      <c r="AQ20" s="4" t="s">
        <v>790</v>
      </c>
      <c r="AR20" s="4"/>
      <c r="AS20" s="4"/>
      <c r="AT20" s="4" t="s">
        <v>721</v>
      </c>
      <c r="AU20" s="4">
        <v>882</v>
      </c>
      <c r="AV20" s="4">
        <f t="shared" si="15"/>
        <v>882</v>
      </c>
      <c r="AW20" s="19">
        <v>4</v>
      </c>
      <c r="AX20" s="19">
        <v>1</v>
      </c>
      <c r="AY20" s="16">
        <v>6</v>
      </c>
      <c r="AZ20" t="s">
        <v>699</v>
      </c>
      <c r="BA20" t="str">
        <f>IFERROR(AZ20*AL20,"-")</f>
        <v>-</v>
      </c>
      <c r="BB20">
        <v>788</v>
      </c>
      <c r="BC20">
        <f>IFERROR(BB20*AL20,"-")</f>
        <v>893.39094650205766</v>
      </c>
      <c r="BD20" t="s">
        <v>494</v>
      </c>
    </row>
    <row r="21" spans="1:56" x14ac:dyDescent="0.4">
      <c r="A21" s="3">
        <v>177</v>
      </c>
      <c r="B21" s="3">
        <v>177</v>
      </c>
      <c r="C21" s="4">
        <v>600933</v>
      </c>
      <c r="D21" s="4" t="str">
        <f t="shared" si="0"/>
        <v>600933</v>
      </c>
      <c r="E21" s="4">
        <v>600933</v>
      </c>
      <c r="F21" s="4" t="s">
        <v>283</v>
      </c>
      <c r="G21" s="5">
        <v>4535627303525</v>
      </c>
      <c r="H21" s="5"/>
      <c r="I21" s="5"/>
      <c r="J21" s="5">
        <v>1</v>
      </c>
      <c r="K21" s="5">
        <v>1</v>
      </c>
      <c r="L21" s="4">
        <v>1950</v>
      </c>
      <c r="M21" s="4">
        <v>1162</v>
      </c>
      <c r="N21" s="4">
        <v>780</v>
      </c>
      <c r="O21" s="6">
        <f t="shared" si="1"/>
        <v>0.32874354561101549</v>
      </c>
      <c r="P21" s="4" t="s">
        <v>699</v>
      </c>
      <c r="Q21" s="4" t="s">
        <v>699</v>
      </c>
      <c r="R21" s="4" t="s">
        <v>699</v>
      </c>
      <c r="S21" s="4">
        <v>2100</v>
      </c>
      <c r="T21" s="4">
        <f t="shared" si="2"/>
        <v>2100</v>
      </c>
      <c r="U21" s="4">
        <v>840</v>
      </c>
      <c r="V21" s="4">
        <f t="shared" si="3"/>
        <v>840</v>
      </c>
      <c r="W21" s="4"/>
      <c r="X21" s="21">
        <f t="shared" si="4"/>
        <v>1251</v>
      </c>
      <c r="Y21" s="6">
        <f t="shared" si="5"/>
        <v>0.32853717026378892</v>
      </c>
      <c r="Z21" s="33">
        <v>7.2499999999999991</v>
      </c>
      <c r="AA21" s="4">
        <f t="shared" si="6"/>
        <v>1950</v>
      </c>
      <c r="AB21" s="33">
        <f t="shared" si="7"/>
        <v>2100</v>
      </c>
      <c r="AC21" s="6">
        <f t="shared" si="8"/>
        <v>0.6</v>
      </c>
      <c r="AD21" s="7">
        <v>1166</v>
      </c>
      <c r="AE21" s="6">
        <f t="shared" si="9"/>
        <v>0.27958833619210977</v>
      </c>
      <c r="AF21" s="4">
        <f t="shared" si="10"/>
        <v>326</v>
      </c>
      <c r="AG21" s="28"/>
      <c r="AH21" s="6"/>
      <c r="AI21" s="6"/>
      <c r="AJ21" s="6">
        <f t="shared" si="11"/>
        <v>1.0769230769230769</v>
      </c>
      <c r="AK21" s="6">
        <f t="shared" si="12"/>
        <v>1.0034423407917383</v>
      </c>
      <c r="AL21" s="6">
        <f t="shared" si="13"/>
        <v>1.0769230769230769</v>
      </c>
      <c r="AM21" s="4" t="str">
        <f t="shared" si="14"/>
        <v>-</v>
      </c>
      <c r="AN21" s="4" t="str">
        <f>IF(Q21="","-",Q21)</f>
        <v>-</v>
      </c>
      <c r="AO21" s="4" t="str">
        <f>IF(R21="","-",R21)</f>
        <v>-</v>
      </c>
      <c r="AP21" s="4" t="s">
        <v>424</v>
      </c>
      <c r="AQ21" s="4" t="s">
        <v>909</v>
      </c>
      <c r="AR21" s="4"/>
      <c r="AS21" s="4"/>
      <c r="AT21" s="4" t="s">
        <v>721</v>
      </c>
      <c r="AU21" s="4">
        <v>1950</v>
      </c>
      <c r="AV21" s="4">
        <f t="shared" si="15"/>
        <v>1950</v>
      </c>
      <c r="AW21" s="19">
        <v>4</v>
      </c>
      <c r="AX21" s="19">
        <v>1</v>
      </c>
      <c r="AY21" s="16">
        <v>6</v>
      </c>
      <c r="AZ21">
        <v>6635</v>
      </c>
      <c r="BA21">
        <f>IFERROR(AZ21*AL21,"-")</f>
        <v>7145.3846153846152</v>
      </c>
      <c r="BB21">
        <v>1083</v>
      </c>
      <c r="BC21">
        <f>IFERROR(BB21*AL21,"-")</f>
        <v>1166.3076923076922</v>
      </c>
      <c r="BD21" t="s">
        <v>594</v>
      </c>
    </row>
    <row r="22" spans="1:56" x14ac:dyDescent="0.4">
      <c r="A22" s="3">
        <v>53</v>
      </c>
      <c r="B22" s="3">
        <v>53</v>
      </c>
      <c r="C22" s="40">
        <v>11655</v>
      </c>
      <c r="D22" s="4" t="str">
        <f t="shared" si="0"/>
        <v>011655</v>
      </c>
      <c r="E22" s="4">
        <v>527877</v>
      </c>
      <c r="F22" s="4" t="s">
        <v>159</v>
      </c>
      <c r="G22" s="5">
        <v>4535627101008</v>
      </c>
      <c r="H22" s="5"/>
      <c r="I22" s="5"/>
      <c r="J22" s="5">
        <v>2</v>
      </c>
      <c r="K22" s="5">
        <v>2</v>
      </c>
      <c r="L22" s="4">
        <v>500</v>
      </c>
      <c r="M22" s="4">
        <v>208</v>
      </c>
      <c r="N22" s="4">
        <v>88</v>
      </c>
      <c r="O22" s="6">
        <f t="shared" si="1"/>
        <v>0.57692307692307687</v>
      </c>
      <c r="P22" s="4" t="s">
        <v>699</v>
      </c>
      <c r="Q22" s="4" t="s">
        <v>699</v>
      </c>
      <c r="R22" s="4" t="s">
        <v>699</v>
      </c>
      <c r="S22" s="4">
        <v>550</v>
      </c>
      <c r="T22" s="4">
        <f t="shared" si="2"/>
        <v>550</v>
      </c>
      <c r="U22" s="4">
        <v>97</v>
      </c>
      <c r="V22" s="4">
        <f t="shared" si="3"/>
        <v>97</v>
      </c>
      <c r="W22" s="4"/>
      <c r="X22" s="21">
        <f t="shared" si="4"/>
        <v>229</v>
      </c>
      <c r="Y22" s="6">
        <f t="shared" si="5"/>
        <v>0.57641921397379914</v>
      </c>
      <c r="Z22" s="33">
        <v>228.5</v>
      </c>
      <c r="AA22" s="4">
        <f t="shared" si="6"/>
        <v>499</v>
      </c>
      <c r="AB22" s="33">
        <f t="shared" si="7"/>
        <v>550.03409090909088</v>
      </c>
      <c r="AC22" s="6">
        <f t="shared" si="8"/>
        <v>0.8236472945891784</v>
      </c>
      <c r="AD22" s="7">
        <v>220</v>
      </c>
      <c r="AE22" s="6">
        <f t="shared" si="9"/>
        <v>0.55909090909090908</v>
      </c>
      <c r="AF22" s="4">
        <f t="shared" si="10"/>
        <v>123</v>
      </c>
      <c r="AG22" s="28"/>
      <c r="AH22" s="6"/>
      <c r="AI22" s="6"/>
      <c r="AJ22" s="6">
        <f t="shared" si="11"/>
        <v>1.1000000000000001</v>
      </c>
      <c r="AK22" s="6">
        <f t="shared" si="12"/>
        <v>1.0576923076923077</v>
      </c>
      <c r="AL22" s="6">
        <f t="shared" si="13"/>
        <v>1.1022727272727273</v>
      </c>
      <c r="AM22" s="4" t="str">
        <f t="shared" si="14"/>
        <v>-</v>
      </c>
      <c r="AN22" s="4" t="str">
        <f>IF(Q22="","-",Q22)</f>
        <v>-</v>
      </c>
      <c r="AO22" s="4" t="str">
        <f>IF(R22="","-",R22)</f>
        <v>-</v>
      </c>
      <c r="AP22" s="4" t="s">
        <v>407</v>
      </c>
      <c r="AQ22" s="4" t="s">
        <v>754</v>
      </c>
      <c r="AR22" s="4"/>
      <c r="AS22" s="4"/>
      <c r="AT22" s="4" t="s">
        <v>705</v>
      </c>
      <c r="AU22" s="4">
        <v>499</v>
      </c>
      <c r="AV22" s="4">
        <f t="shared" si="15"/>
        <v>499</v>
      </c>
      <c r="AW22" s="19">
        <v>4</v>
      </c>
      <c r="AX22" s="19">
        <v>1</v>
      </c>
      <c r="AY22" s="16">
        <v>19</v>
      </c>
      <c r="AZ22">
        <v>2400</v>
      </c>
      <c r="BA22">
        <f>IFERROR(AZ22*AL22,"-")</f>
        <v>2645.4545454545455</v>
      </c>
      <c r="BB22">
        <v>345</v>
      </c>
      <c r="BC22">
        <f>IFERROR(BB22*AL22,"-")</f>
        <v>380.28409090909093</v>
      </c>
      <c r="BD22" t="s">
        <v>466</v>
      </c>
    </row>
    <row r="23" spans="1:56" x14ac:dyDescent="0.4">
      <c r="A23" s="3">
        <v>284</v>
      </c>
      <c r="B23" s="3">
        <v>53</v>
      </c>
      <c r="C23" s="40">
        <v>11655</v>
      </c>
      <c r="D23" s="4" t="str">
        <f t="shared" si="0"/>
        <v>011655</v>
      </c>
      <c r="E23" s="4">
        <v>644931</v>
      </c>
      <c r="F23" s="4" t="s">
        <v>391</v>
      </c>
      <c r="G23" s="5">
        <v>4535627101008</v>
      </c>
      <c r="H23" s="5">
        <v>8</v>
      </c>
      <c r="I23" s="5" t="str">
        <f>C23&amp;H23</f>
        <v>116558</v>
      </c>
      <c r="J23" s="5"/>
      <c r="K23" s="5"/>
      <c r="L23" s="4">
        <v>5000</v>
      </c>
      <c r="M23" s="4">
        <v>1535</v>
      </c>
      <c r="N23" s="4">
        <v>880</v>
      </c>
      <c r="O23" s="6">
        <f t="shared" si="1"/>
        <v>0.42671009771986967</v>
      </c>
      <c r="P23" s="4" t="s">
        <v>699</v>
      </c>
      <c r="Q23" s="4" t="s">
        <v>699</v>
      </c>
      <c r="R23" s="4" t="s">
        <v>699</v>
      </c>
      <c r="S23" s="4">
        <v>550</v>
      </c>
      <c r="T23" s="4">
        <f t="shared" si="2"/>
        <v>5500</v>
      </c>
      <c r="U23" s="4">
        <v>97</v>
      </c>
      <c r="V23" s="4">
        <f t="shared" si="3"/>
        <v>970</v>
      </c>
      <c r="W23" s="4">
        <v>10</v>
      </c>
      <c r="X23" s="21">
        <f t="shared" si="4"/>
        <v>1692</v>
      </c>
      <c r="Y23" s="6">
        <f t="shared" si="5"/>
        <v>0.42671394799054374</v>
      </c>
      <c r="Z23" s="33">
        <v>228.5</v>
      </c>
      <c r="AA23" s="4">
        <f t="shared" si="6"/>
        <v>4800</v>
      </c>
      <c r="AB23" s="33">
        <f t="shared" si="7"/>
        <v>5290.909090909091</v>
      </c>
      <c r="AC23" s="6">
        <f t="shared" si="8"/>
        <v>0.81666666666666665</v>
      </c>
      <c r="AD23" s="7">
        <v>2000</v>
      </c>
      <c r="AE23" s="6">
        <f t="shared" si="9"/>
        <v>0.51500000000000001</v>
      </c>
      <c r="AF23" s="4">
        <f t="shared" si="10"/>
        <v>1030</v>
      </c>
      <c r="AG23" s="28"/>
      <c r="AH23" s="6"/>
      <c r="AI23" s="6"/>
      <c r="AJ23" s="6">
        <f t="shared" si="11"/>
        <v>1.1000000000000001</v>
      </c>
      <c r="AK23" s="6">
        <f t="shared" si="12"/>
        <v>1.3029315960912051</v>
      </c>
      <c r="AL23" s="6">
        <f t="shared" si="13"/>
        <v>1.1022727272727273</v>
      </c>
      <c r="AM23" s="4" t="str">
        <f t="shared" si="14"/>
        <v>-</v>
      </c>
      <c r="AN23" s="4" t="str">
        <f>IF(Q23="","-",Q23)</f>
        <v>-</v>
      </c>
      <c r="AO23" s="4" t="str">
        <f>IF(R23="","-",R23)</f>
        <v>-</v>
      </c>
      <c r="AP23" s="4" t="s">
        <v>407</v>
      </c>
      <c r="AQ23" s="4" t="s">
        <v>755</v>
      </c>
      <c r="AR23" s="4">
        <v>10</v>
      </c>
      <c r="AS23" s="4">
        <v>5</v>
      </c>
      <c r="AT23" s="4" t="s">
        <v>756</v>
      </c>
      <c r="AU23" s="4">
        <v>2400</v>
      </c>
      <c r="AV23" s="4">
        <f t="shared" si="15"/>
        <v>4800</v>
      </c>
      <c r="AW23" s="19">
        <v>4</v>
      </c>
      <c r="AX23" s="19">
        <v>1</v>
      </c>
      <c r="AY23" s="16">
        <v>19</v>
      </c>
      <c r="AZ23">
        <v>2400</v>
      </c>
      <c r="BA23">
        <f>IFERROR(AZ23*AL23,"-")</f>
        <v>2645.4545454545455</v>
      </c>
      <c r="BB23">
        <v>345</v>
      </c>
      <c r="BC23">
        <f>IFERROR(BB23*AL23,"-")</f>
        <v>380.28409090909093</v>
      </c>
      <c r="BD23" t="s">
        <v>467</v>
      </c>
    </row>
    <row r="24" spans="1:56" x14ac:dyDescent="0.4">
      <c r="A24" s="3">
        <v>44</v>
      </c>
      <c r="B24" s="3">
        <v>44</v>
      </c>
      <c r="C24" s="4">
        <v>11652</v>
      </c>
      <c r="D24" s="4" t="str">
        <f t="shared" si="0"/>
        <v>011652</v>
      </c>
      <c r="E24" s="4">
        <v>527841</v>
      </c>
      <c r="F24" s="4" t="s">
        <v>150</v>
      </c>
      <c r="G24" s="5">
        <v>4535627101022</v>
      </c>
      <c r="H24" s="5"/>
      <c r="I24" s="5"/>
      <c r="J24" s="5">
        <v>1</v>
      </c>
      <c r="K24" s="5">
        <v>1</v>
      </c>
      <c r="L24" s="4">
        <v>500</v>
      </c>
      <c r="M24" s="4">
        <v>208</v>
      </c>
      <c r="N24" s="4">
        <v>97</v>
      </c>
      <c r="O24" s="6">
        <f t="shared" si="1"/>
        <v>0.53365384615384615</v>
      </c>
      <c r="P24" s="4" t="s">
        <v>699</v>
      </c>
      <c r="Q24" s="4" t="s">
        <v>699</v>
      </c>
      <c r="R24" s="4" t="s">
        <v>699</v>
      </c>
      <c r="S24" s="4">
        <v>550</v>
      </c>
      <c r="T24" s="4">
        <f t="shared" si="2"/>
        <v>550</v>
      </c>
      <c r="U24" s="4">
        <v>107</v>
      </c>
      <c r="V24" s="4">
        <f t="shared" si="3"/>
        <v>107</v>
      </c>
      <c r="W24" s="4"/>
      <c r="X24" s="21">
        <f t="shared" si="4"/>
        <v>229</v>
      </c>
      <c r="Y24" s="6">
        <f t="shared" si="5"/>
        <v>0.53275109170305679</v>
      </c>
      <c r="Z24" s="33">
        <v>5.25</v>
      </c>
      <c r="AA24" s="4">
        <f t="shared" si="6"/>
        <v>480</v>
      </c>
      <c r="AB24" s="33">
        <f t="shared" si="7"/>
        <v>529.48453608247428</v>
      </c>
      <c r="AC24" s="6">
        <f t="shared" si="8"/>
        <v>0.79791666666666672</v>
      </c>
      <c r="AD24" s="7">
        <v>220</v>
      </c>
      <c r="AE24" s="6">
        <f t="shared" si="9"/>
        <v>0.51363636363636367</v>
      </c>
      <c r="AF24" s="4">
        <f t="shared" si="10"/>
        <v>113</v>
      </c>
      <c r="AG24" s="28"/>
      <c r="AH24" s="6"/>
      <c r="AI24" s="6"/>
      <c r="AJ24" s="6">
        <f t="shared" si="11"/>
        <v>1.1000000000000001</v>
      </c>
      <c r="AK24" s="6">
        <f t="shared" si="12"/>
        <v>1.0576923076923077</v>
      </c>
      <c r="AL24" s="6">
        <f t="shared" si="13"/>
        <v>1.1030927835051547</v>
      </c>
      <c r="AM24" s="4" t="str">
        <f t="shared" si="14"/>
        <v>-</v>
      </c>
      <c r="AN24" s="4" t="str">
        <f>IF(Q24="","-",Q24)</f>
        <v>-</v>
      </c>
      <c r="AO24" s="4" t="str">
        <f>IF(R24="","-",R24)</f>
        <v>-</v>
      </c>
      <c r="AP24" s="4" t="s">
        <v>407</v>
      </c>
      <c r="AQ24" s="4" t="s">
        <v>744</v>
      </c>
      <c r="AR24" s="4"/>
      <c r="AS24" s="4"/>
      <c r="AT24" s="4" t="s">
        <v>705</v>
      </c>
      <c r="AU24" s="4">
        <v>480</v>
      </c>
      <c r="AV24" s="4">
        <f t="shared" si="15"/>
        <v>480</v>
      </c>
      <c r="AW24" s="19">
        <v>4</v>
      </c>
      <c r="AX24" s="19">
        <v>1</v>
      </c>
      <c r="AY24" s="16">
        <v>19</v>
      </c>
      <c r="AZ24" t="s">
        <v>699</v>
      </c>
      <c r="BA24" t="str">
        <f>IFERROR(AZ24*AL24,"-")</f>
        <v>-</v>
      </c>
      <c r="BB24">
        <v>345</v>
      </c>
      <c r="BC24">
        <f>IFERROR(BB24*AL24,"-")</f>
        <v>380.56701030927837</v>
      </c>
      <c r="BD24" t="s">
        <v>458</v>
      </c>
    </row>
    <row r="25" spans="1:56" x14ac:dyDescent="0.4">
      <c r="A25" s="3">
        <v>47</v>
      </c>
      <c r="B25" s="3">
        <v>47</v>
      </c>
      <c r="C25" s="4">
        <v>11653</v>
      </c>
      <c r="D25" s="4" t="str">
        <f t="shared" si="0"/>
        <v>011653</v>
      </c>
      <c r="E25" s="4">
        <v>527859</v>
      </c>
      <c r="F25" s="4" t="s">
        <v>153</v>
      </c>
      <c r="G25" s="5">
        <v>4535627101046</v>
      </c>
      <c r="H25" s="5"/>
      <c r="I25" s="5"/>
      <c r="J25" s="5">
        <v>1</v>
      </c>
      <c r="K25" s="5">
        <v>1</v>
      </c>
      <c r="L25" s="4">
        <v>500</v>
      </c>
      <c r="M25" s="4">
        <v>208</v>
      </c>
      <c r="N25" s="4">
        <v>97</v>
      </c>
      <c r="O25" s="6">
        <f t="shared" si="1"/>
        <v>0.53365384615384615</v>
      </c>
      <c r="P25" s="4" t="s">
        <v>699</v>
      </c>
      <c r="Q25" s="4" t="s">
        <v>699</v>
      </c>
      <c r="R25" s="4" t="s">
        <v>699</v>
      </c>
      <c r="S25" s="4">
        <v>550</v>
      </c>
      <c r="T25" s="4">
        <f t="shared" si="2"/>
        <v>550</v>
      </c>
      <c r="U25" s="4">
        <v>107</v>
      </c>
      <c r="V25" s="4">
        <f t="shared" si="3"/>
        <v>107</v>
      </c>
      <c r="W25" s="4"/>
      <c r="X25" s="21">
        <f t="shared" si="4"/>
        <v>229</v>
      </c>
      <c r="Y25" s="6">
        <f t="shared" si="5"/>
        <v>0.53275109170305679</v>
      </c>
      <c r="Z25" s="33">
        <v>8.5</v>
      </c>
      <c r="AA25" s="4">
        <f t="shared" si="6"/>
        <v>480</v>
      </c>
      <c r="AB25" s="33">
        <f t="shared" si="7"/>
        <v>529.48453608247428</v>
      </c>
      <c r="AC25" s="6">
        <f t="shared" si="8"/>
        <v>0.79791666666666672</v>
      </c>
      <c r="AD25" s="7">
        <v>220</v>
      </c>
      <c r="AE25" s="6">
        <f t="shared" si="9"/>
        <v>0.51363636363636367</v>
      </c>
      <c r="AF25" s="4">
        <f t="shared" si="10"/>
        <v>113</v>
      </c>
      <c r="AG25" s="28"/>
      <c r="AH25" s="6"/>
      <c r="AI25" s="6"/>
      <c r="AJ25" s="6">
        <f t="shared" si="11"/>
        <v>1.1000000000000001</v>
      </c>
      <c r="AK25" s="6">
        <f t="shared" si="12"/>
        <v>1.0576923076923077</v>
      </c>
      <c r="AL25" s="6">
        <f t="shared" si="13"/>
        <v>1.1030927835051547</v>
      </c>
      <c r="AM25" s="4" t="str">
        <f t="shared" si="14"/>
        <v>-</v>
      </c>
      <c r="AN25" s="4" t="str">
        <f>IF(Q25="","-",Q25)</f>
        <v>-</v>
      </c>
      <c r="AO25" s="4" t="str">
        <f>IF(R25="","-",R25)</f>
        <v>-</v>
      </c>
      <c r="AP25" s="4" t="s">
        <v>407</v>
      </c>
      <c r="AQ25" s="4" t="s">
        <v>747</v>
      </c>
      <c r="AR25" s="4"/>
      <c r="AS25" s="4"/>
      <c r="AT25" s="4" t="s">
        <v>705</v>
      </c>
      <c r="AU25" s="4">
        <v>480</v>
      </c>
      <c r="AV25" s="4">
        <f t="shared" si="15"/>
        <v>480</v>
      </c>
      <c r="AW25" s="19">
        <v>4</v>
      </c>
      <c r="AX25" s="19">
        <v>1</v>
      </c>
      <c r="AY25" s="16">
        <v>19</v>
      </c>
      <c r="AZ25" t="s">
        <v>699</v>
      </c>
      <c r="BA25" t="str">
        <f>IFERROR(AZ25*AL25,"-")</f>
        <v>-</v>
      </c>
      <c r="BB25">
        <v>345</v>
      </c>
      <c r="BC25">
        <f>IFERROR(BB25*AL25,"-")</f>
        <v>380.56701030927837</v>
      </c>
      <c r="BD25" t="s">
        <v>461</v>
      </c>
    </row>
    <row r="26" spans="1:56" x14ac:dyDescent="0.4">
      <c r="A26" s="3">
        <v>48</v>
      </c>
      <c r="B26" s="3">
        <v>48</v>
      </c>
      <c r="C26" s="4">
        <v>11654</v>
      </c>
      <c r="D26" s="4" t="str">
        <f t="shared" si="0"/>
        <v>011654</v>
      </c>
      <c r="E26" s="4">
        <v>527868</v>
      </c>
      <c r="F26" s="4" t="s">
        <v>154</v>
      </c>
      <c r="G26" s="5">
        <v>4535627101015</v>
      </c>
      <c r="H26" s="5"/>
      <c r="I26" s="5"/>
      <c r="J26" s="5">
        <v>1</v>
      </c>
      <c r="K26" s="5">
        <v>1</v>
      </c>
      <c r="L26" s="4">
        <v>500</v>
      </c>
      <c r="M26" s="4">
        <v>208</v>
      </c>
      <c r="N26" s="4">
        <v>97</v>
      </c>
      <c r="O26" s="6">
        <f t="shared" si="1"/>
        <v>0.53365384615384615</v>
      </c>
      <c r="P26" s="4" t="s">
        <v>699</v>
      </c>
      <c r="Q26" s="4" t="s">
        <v>699</v>
      </c>
      <c r="R26" s="4" t="s">
        <v>699</v>
      </c>
      <c r="S26" s="4">
        <v>550</v>
      </c>
      <c r="T26" s="4">
        <f t="shared" si="2"/>
        <v>550</v>
      </c>
      <c r="U26" s="4">
        <v>107</v>
      </c>
      <c r="V26" s="4">
        <f t="shared" si="3"/>
        <v>107</v>
      </c>
      <c r="W26" s="4"/>
      <c r="X26" s="21">
        <f t="shared" si="4"/>
        <v>229</v>
      </c>
      <c r="Y26" s="6">
        <f t="shared" si="5"/>
        <v>0.53275109170305679</v>
      </c>
      <c r="Z26" s="33">
        <v>10.25</v>
      </c>
      <c r="AA26" s="4">
        <f t="shared" si="6"/>
        <v>500</v>
      </c>
      <c r="AB26" s="33">
        <f t="shared" si="7"/>
        <v>551.54639175257739</v>
      </c>
      <c r="AC26" s="6">
        <f t="shared" si="8"/>
        <v>0.80600000000000005</v>
      </c>
      <c r="AD26" s="7">
        <v>220</v>
      </c>
      <c r="AE26" s="6">
        <f t="shared" si="9"/>
        <v>0.51363636363636367</v>
      </c>
      <c r="AF26" s="4">
        <f t="shared" si="10"/>
        <v>113</v>
      </c>
      <c r="AG26" s="28"/>
      <c r="AH26" s="6"/>
      <c r="AI26" s="6"/>
      <c r="AJ26" s="6">
        <f t="shared" si="11"/>
        <v>1.1000000000000001</v>
      </c>
      <c r="AK26" s="6">
        <f t="shared" si="12"/>
        <v>1.0576923076923077</v>
      </c>
      <c r="AL26" s="6">
        <f t="shared" si="13"/>
        <v>1.1030927835051547</v>
      </c>
      <c r="AM26" s="4" t="str">
        <f t="shared" si="14"/>
        <v>-</v>
      </c>
      <c r="AN26" s="4" t="str">
        <f>IF(Q26="","-",Q26)</f>
        <v>-</v>
      </c>
      <c r="AO26" s="4" t="str">
        <f>IF(R26="","-",R26)</f>
        <v>-</v>
      </c>
      <c r="AP26" s="4" t="s">
        <v>407</v>
      </c>
      <c r="AQ26" s="4" t="s">
        <v>748</v>
      </c>
      <c r="AR26" s="4"/>
      <c r="AS26" s="4"/>
      <c r="AT26" s="4" t="s">
        <v>749</v>
      </c>
      <c r="AU26" s="4">
        <v>500</v>
      </c>
      <c r="AV26" s="4">
        <f t="shared" si="15"/>
        <v>500</v>
      </c>
      <c r="AW26" s="19">
        <v>4</v>
      </c>
      <c r="AX26" s="19">
        <v>1</v>
      </c>
      <c r="AY26" s="16">
        <v>19</v>
      </c>
      <c r="AZ26" t="s">
        <v>699</v>
      </c>
      <c r="BA26" t="str">
        <f>IFERROR(AZ26*AL26,"-")</f>
        <v>-</v>
      </c>
      <c r="BB26">
        <v>345</v>
      </c>
      <c r="BC26">
        <f>IFERROR(BB26*AL26,"-")</f>
        <v>380.56701030927837</v>
      </c>
      <c r="BD26" t="s">
        <v>462</v>
      </c>
    </row>
    <row r="27" spans="1:56" x14ac:dyDescent="0.4">
      <c r="A27" s="3">
        <v>54</v>
      </c>
      <c r="B27" s="3">
        <v>54</v>
      </c>
      <c r="C27" s="4">
        <v>11656</v>
      </c>
      <c r="D27" s="4" t="str">
        <f t="shared" si="0"/>
        <v>011656</v>
      </c>
      <c r="E27" s="4">
        <v>527886</v>
      </c>
      <c r="F27" s="4" t="s">
        <v>160</v>
      </c>
      <c r="G27" s="5">
        <v>4535627101053</v>
      </c>
      <c r="H27" s="5"/>
      <c r="I27" s="5"/>
      <c r="J27" s="5">
        <v>1</v>
      </c>
      <c r="K27" s="5">
        <v>1</v>
      </c>
      <c r="L27" s="4">
        <v>500</v>
      </c>
      <c r="M27" s="4">
        <v>208</v>
      </c>
      <c r="N27" s="4">
        <v>97</v>
      </c>
      <c r="O27" s="6">
        <f t="shared" si="1"/>
        <v>0.53365384615384615</v>
      </c>
      <c r="P27" s="4" t="s">
        <v>699</v>
      </c>
      <c r="Q27" s="4" t="s">
        <v>699</v>
      </c>
      <c r="R27" s="4" t="s">
        <v>699</v>
      </c>
      <c r="S27" s="4">
        <v>550</v>
      </c>
      <c r="T27" s="4">
        <f t="shared" si="2"/>
        <v>550</v>
      </c>
      <c r="U27" s="4">
        <v>107</v>
      </c>
      <c r="V27" s="4">
        <f t="shared" si="3"/>
        <v>107</v>
      </c>
      <c r="W27" s="4"/>
      <c r="X27" s="21">
        <f t="shared" si="4"/>
        <v>229</v>
      </c>
      <c r="Y27" s="6">
        <f t="shared" si="5"/>
        <v>0.53275109170305679</v>
      </c>
      <c r="Z27" s="33">
        <v>1.7500000000000002</v>
      </c>
      <c r="AA27" s="4">
        <f t="shared" si="6"/>
        <v>480</v>
      </c>
      <c r="AB27" s="33">
        <f t="shared" si="7"/>
        <v>529.48453608247428</v>
      </c>
      <c r="AC27" s="6">
        <f t="shared" si="8"/>
        <v>0.79791666666666672</v>
      </c>
      <c r="AD27" s="7">
        <v>220</v>
      </c>
      <c r="AE27" s="6">
        <f t="shared" si="9"/>
        <v>0.51363636363636367</v>
      </c>
      <c r="AF27" s="4">
        <f t="shared" si="10"/>
        <v>113</v>
      </c>
      <c r="AG27" s="28"/>
      <c r="AH27" s="6"/>
      <c r="AI27" s="6"/>
      <c r="AJ27" s="6">
        <f t="shared" si="11"/>
        <v>1.1000000000000001</v>
      </c>
      <c r="AK27" s="6">
        <f t="shared" si="12"/>
        <v>1.0576923076923077</v>
      </c>
      <c r="AL27" s="6">
        <f t="shared" si="13"/>
        <v>1.1030927835051547</v>
      </c>
      <c r="AM27" s="4" t="str">
        <f t="shared" si="14"/>
        <v>-</v>
      </c>
      <c r="AN27" s="4" t="str">
        <f>IF(Q27="","-",Q27)</f>
        <v>-</v>
      </c>
      <c r="AO27" s="4" t="str">
        <f>IF(R27="","-",R27)</f>
        <v>-</v>
      </c>
      <c r="AP27" s="4" t="s">
        <v>407</v>
      </c>
      <c r="AQ27" s="4" t="s">
        <v>757</v>
      </c>
      <c r="AR27" s="4"/>
      <c r="AS27" s="4"/>
      <c r="AT27" s="4" t="s">
        <v>705</v>
      </c>
      <c r="AU27" s="4">
        <v>480</v>
      </c>
      <c r="AV27" s="4">
        <f t="shared" si="15"/>
        <v>480</v>
      </c>
      <c r="AW27" s="19">
        <v>4</v>
      </c>
      <c r="AX27" s="19">
        <v>1</v>
      </c>
      <c r="AY27" s="16">
        <v>19</v>
      </c>
      <c r="AZ27" t="s">
        <v>699</v>
      </c>
      <c r="BA27" t="str">
        <f>IFERROR(AZ27*AL27,"-")</f>
        <v>-</v>
      </c>
      <c r="BB27">
        <v>475</v>
      </c>
      <c r="BC27">
        <f>IFERROR(BB27*AL27,"-")</f>
        <v>523.96907216494844</v>
      </c>
      <c r="BD27" t="s">
        <v>468</v>
      </c>
    </row>
    <row r="28" spans="1:56" x14ac:dyDescent="0.4">
      <c r="A28" s="3">
        <v>55</v>
      </c>
      <c r="B28" s="3">
        <v>55</v>
      </c>
      <c r="C28" s="4">
        <v>11657</v>
      </c>
      <c r="D28" s="4" t="str">
        <f t="shared" si="0"/>
        <v>011657</v>
      </c>
      <c r="E28" s="4">
        <v>527895</v>
      </c>
      <c r="F28" s="4" t="s">
        <v>161</v>
      </c>
      <c r="G28" s="5">
        <v>4535627101039</v>
      </c>
      <c r="H28" s="5"/>
      <c r="I28" s="5"/>
      <c r="J28" s="5">
        <v>1</v>
      </c>
      <c r="K28" s="5">
        <v>1</v>
      </c>
      <c r="L28" s="4">
        <v>500</v>
      </c>
      <c r="M28" s="4">
        <v>208</v>
      </c>
      <c r="N28" s="4">
        <v>97</v>
      </c>
      <c r="O28" s="6">
        <f t="shared" si="1"/>
        <v>0.53365384615384615</v>
      </c>
      <c r="P28" s="4" t="s">
        <v>699</v>
      </c>
      <c r="Q28" s="4" t="s">
        <v>699</v>
      </c>
      <c r="R28" s="4" t="s">
        <v>699</v>
      </c>
      <c r="S28" s="4">
        <v>550</v>
      </c>
      <c r="T28" s="4">
        <f t="shared" si="2"/>
        <v>550</v>
      </c>
      <c r="U28" s="4">
        <v>107</v>
      </c>
      <c r="V28" s="4">
        <f t="shared" si="3"/>
        <v>107</v>
      </c>
      <c r="W28" s="4"/>
      <c r="X28" s="21">
        <f t="shared" si="4"/>
        <v>229</v>
      </c>
      <c r="Y28" s="6">
        <f t="shared" si="5"/>
        <v>0.53275109170305679</v>
      </c>
      <c r="Z28" s="33">
        <v>8.25</v>
      </c>
      <c r="AA28" s="4">
        <f t="shared" si="6"/>
        <v>499</v>
      </c>
      <c r="AB28" s="33">
        <f t="shared" si="7"/>
        <v>550.4432989690722</v>
      </c>
      <c r="AC28" s="6">
        <f t="shared" si="8"/>
        <v>0.80561122244488981</v>
      </c>
      <c r="AD28" s="7">
        <v>220</v>
      </c>
      <c r="AE28" s="6">
        <f t="shared" si="9"/>
        <v>0.51363636363636367</v>
      </c>
      <c r="AF28" s="4">
        <f t="shared" si="10"/>
        <v>113</v>
      </c>
      <c r="AG28" s="28"/>
      <c r="AH28" s="6"/>
      <c r="AI28" s="6"/>
      <c r="AJ28" s="6">
        <f t="shared" si="11"/>
        <v>1.1000000000000001</v>
      </c>
      <c r="AK28" s="6">
        <f t="shared" si="12"/>
        <v>1.0576923076923077</v>
      </c>
      <c r="AL28" s="6">
        <f t="shared" si="13"/>
        <v>1.1030927835051547</v>
      </c>
      <c r="AM28" s="4" t="str">
        <f t="shared" si="14"/>
        <v>-</v>
      </c>
      <c r="AN28" s="4" t="str">
        <f>IF(Q28="","-",Q28)</f>
        <v>-</v>
      </c>
      <c r="AO28" s="4" t="str">
        <f>IF(R28="","-",R28)</f>
        <v>-</v>
      </c>
      <c r="AP28" s="4" t="s">
        <v>407</v>
      </c>
      <c r="AQ28" s="4" t="s">
        <v>758</v>
      </c>
      <c r="AR28" s="4"/>
      <c r="AS28" s="4"/>
      <c r="AT28" s="4" t="s">
        <v>705</v>
      </c>
      <c r="AU28" s="4">
        <v>499</v>
      </c>
      <c r="AV28" s="4">
        <f t="shared" si="15"/>
        <v>499</v>
      </c>
      <c r="AW28" s="19">
        <v>4</v>
      </c>
      <c r="AX28" s="19">
        <v>1</v>
      </c>
      <c r="AY28" s="16">
        <v>19</v>
      </c>
      <c r="AZ28" t="s">
        <v>699</v>
      </c>
      <c r="BA28" t="str">
        <f>IFERROR(AZ28*AL28,"-")</f>
        <v>-</v>
      </c>
      <c r="BB28">
        <v>345</v>
      </c>
      <c r="BC28">
        <f>IFERROR(BB28*AL28,"-")</f>
        <v>380.56701030927837</v>
      </c>
      <c r="BD28" t="s">
        <v>469</v>
      </c>
    </row>
    <row r="29" spans="1:56" x14ac:dyDescent="0.4">
      <c r="A29" s="3">
        <v>10</v>
      </c>
      <c r="B29" s="3">
        <v>10</v>
      </c>
      <c r="C29" s="4">
        <v>11608</v>
      </c>
      <c r="D29" s="4" t="str">
        <f t="shared" si="0"/>
        <v>011608</v>
      </c>
      <c r="E29" s="4">
        <v>528345</v>
      </c>
      <c r="F29" s="4" t="s">
        <v>116</v>
      </c>
      <c r="G29" s="5">
        <v>4535627501020</v>
      </c>
      <c r="H29" s="5"/>
      <c r="I29" s="5"/>
      <c r="J29" s="5">
        <v>1</v>
      </c>
      <c r="K29" s="5">
        <v>1</v>
      </c>
      <c r="L29" s="4">
        <v>260</v>
      </c>
      <c r="M29" s="4">
        <v>183</v>
      </c>
      <c r="N29" s="4">
        <v>99</v>
      </c>
      <c r="O29" s="6">
        <f t="shared" si="1"/>
        <v>0.45901639344262291</v>
      </c>
      <c r="P29" s="4">
        <v>164</v>
      </c>
      <c r="Q29" s="4">
        <v>3</v>
      </c>
      <c r="R29" s="4">
        <v>99999</v>
      </c>
      <c r="S29" s="4">
        <v>290</v>
      </c>
      <c r="T29" s="4">
        <f t="shared" si="2"/>
        <v>290</v>
      </c>
      <c r="U29" s="4">
        <v>110</v>
      </c>
      <c r="V29" s="4">
        <f t="shared" si="3"/>
        <v>110</v>
      </c>
      <c r="W29" s="4"/>
      <c r="X29" s="21">
        <f t="shared" si="4"/>
        <v>203</v>
      </c>
      <c r="Y29" s="6">
        <f t="shared" si="5"/>
        <v>0.45812807881773399</v>
      </c>
      <c r="Z29" s="33">
        <v>2.25</v>
      </c>
      <c r="AA29" s="4">
        <f t="shared" si="6"/>
        <v>190</v>
      </c>
      <c r="AB29" s="33">
        <f t="shared" si="7"/>
        <v>211.11111111111111</v>
      </c>
      <c r="AC29" s="6">
        <f t="shared" si="8"/>
        <v>0.47894736842105268</v>
      </c>
      <c r="AD29" s="7">
        <v>190</v>
      </c>
      <c r="AE29" s="6">
        <f t="shared" si="9"/>
        <v>0.42105263157894735</v>
      </c>
      <c r="AF29" s="4">
        <f t="shared" si="10"/>
        <v>80</v>
      </c>
      <c r="AG29" s="28"/>
      <c r="AH29" s="6"/>
      <c r="AI29" s="6"/>
      <c r="AJ29" s="6">
        <f t="shared" si="11"/>
        <v>1.1153846153846154</v>
      </c>
      <c r="AK29" s="6">
        <f t="shared" si="12"/>
        <v>1.0382513661202186</v>
      </c>
      <c r="AL29" s="6">
        <f t="shared" si="13"/>
        <v>1.1111111111111112</v>
      </c>
      <c r="AM29" s="4">
        <f t="shared" si="14"/>
        <v>170</v>
      </c>
      <c r="AN29" s="4">
        <f>IF(Q29="","-",Q29)</f>
        <v>3</v>
      </c>
      <c r="AO29" s="4">
        <f>IF(R29="","-",R29)</f>
        <v>99999</v>
      </c>
      <c r="AP29" s="4" t="s">
        <v>409</v>
      </c>
      <c r="AQ29" s="4" t="s">
        <v>713</v>
      </c>
      <c r="AR29" s="4"/>
      <c r="AS29" s="4"/>
      <c r="AT29" s="4" t="s">
        <v>714</v>
      </c>
      <c r="AU29" s="4">
        <v>190</v>
      </c>
      <c r="AV29" s="4">
        <f t="shared" si="15"/>
        <v>190</v>
      </c>
      <c r="AW29" s="19">
        <v>4</v>
      </c>
      <c r="AX29" s="19">
        <v>1</v>
      </c>
      <c r="AY29" s="16">
        <v>19</v>
      </c>
      <c r="AZ29" t="s">
        <v>699</v>
      </c>
      <c r="BA29" t="str">
        <f>IFERROR(AZ29*AL29,"-")</f>
        <v>-</v>
      </c>
      <c r="BB29">
        <v>195</v>
      </c>
      <c r="BC29">
        <f>IFERROR(BB29*AL29,"-")</f>
        <v>216.66666666666669</v>
      </c>
      <c r="BD29" t="s">
        <v>438</v>
      </c>
    </row>
    <row r="30" spans="1:56" x14ac:dyDescent="0.4">
      <c r="A30" s="3">
        <v>11</v>
      </c>
      <c r="B30" s="3">
        <v>11</v>
      </c>
      <c r="C30" s="4">
        <v>11609</v>
      </c>
      <c r="D30" s="4" t="str">
        <f t="shared" si="0"/>
        <v>011609</v>
      </c>
      <c r="E30" s="4">
        <v>528354</v>
      </c>
      <c r="F30" s="4" t="s">
        <v>117</v>
      </c>
      <c r="G30" s="5">
        <v>4535627501044</v>
      </c>
      <c r="H30" s="5"/>
      <c r="I30" s="5"/>
      <c r="J30" s="5">
        <v>1</v>
      </c>
      <c r="K30" s="5">
        <v>1</v>
      </c>
      <c r="L30" s="4">
        <v>260</v>
      </c>
      <c r="M30" s="4">
        <v>183</v>
      </c>
      <c r="N30" s="4">
        <v>99</v>
      </c>
      <c r="O30" s="6">
        <f t="shared" si="1"/>
        <v>0.45901639344262291</v>
      </c>
      <c r="P30" s="4">
        <v>164</v>
      </c>
      <c r="Q30" s="4">
        <v>3</v>
      </c>
      <c r="R30" s="4">
        <v>99999</v>
      </c>
      <c r="S30" s="4">
        <v>290</v>
      </c>
      <c r="T30" s="4">
        <f t="shared" si="2"/>
        <v>290</v>
      </c>
      <c r="U30" s="4">
        <v>110</v>
      </c>
      <c r="V30" s="4">
        <f t="shared" si="3"/>
        <v>110</v>
      </c>
      <c r="W30" s="4"/>
      <c r="X30" s="21">
        <f t="shared" si="4"/>
        <v>203</v>
      </c>
      <c r="Y30" s="6">
        <f t="shared" si="5"/>
        <v>0.45812807881773399</v>
      </c>
      <c r="Z30" s="33">
        <v>2.25</v>
      </c>
      <c r="AA30" s="4">
        <f t="shared" si="6"/>
        <v>190</v>
      </c>
      <c r="AB30" s="33">
        <f t="shared" si="7"/>
        <v>211.11111111111111</v>
      </c>
      <c r="AC30" s="6">
        <f t="shared" si="8"/>
        <v>0.47894736842105268</v>
      </c>
      <c r="AD30" s="7">
        <v>190</v>
      </c>
      <c r="AE30" s="6">
        <f t="shared" si="9"/>
        <v>0.42105263157894735</v>
      </c>
      <c r="AF30" s="4">
        <f t="shared" si="10"/>
        <v>80</v>
      </c>
      <c r="AG30" s="28"/>
      <c r="AH30" s="6"/>
      <c r="AI30" s="6"/>
      <c r="AJ30" s="6">
        <f t="shared" si="11"/>
        <v>1.1153846153846154</v>
      </c>
      <c r="AK30" s="6">
        <f t="shared" si="12"/>
        <v>1.0382513661202186</v>
      </c>
      <c r="AL30" s="6">
        <f t="shared" si="13"/>
        <v>1.1111111111111112</v>
      </c>
      <c r="AM30" s="4">
        <f t="shared" si="14"/>
        <v>170</v>
      </c>
      <c r="AN30" s="4">
        <f>IF(Q30="","-",Q30)</f>
        <v>3</v>
      </c>
      <c r="AO30" s="4">
        <f>IF(R30="","-",R30)</f>
        <v>99999</v>
      </c>
      <c r="AP30" s="4" t="s">
        <v>409</v>
      </c>
      <c r="AQ30" s="4" t="s">
        <v>715</v>
      </c>
      <c r="AR30" s="4"/>
      <c r="AS30" s="4"/>
      <c r="AT30" s="4" t="s">
        <v>714</v>
      </c>
      <c r="AU30" s="4">
        <v>190</v>
      </c>
      <c r="AV30" s="4">
        <f t="shared" si="15"/>
        <v>190</v>
      </c>
      <c r="AW30" s="19">
        <v>4</v>
      </c>
      <c r="AX30" s="19">
        <v>1</v>
      </c>
      <c r="AY30" s="16">
        <v>19</v>
      </c>
      <c r="AZ30" t="s">
        <v>699</v>
      </c>
      <c r="BA30" t="str">
        <f>IFERROR(AZ30*AL30,"-")</f>
        <v>-</v>
      </c>
      <c r="BB30">
        <v>195</v>
      </c>
      <c r="BC30">
        <f>IFERROR(BB30*AL30,"-")</f>
        <v>216.66666666666669</v>
      </c>
      <c r="BD30" t="s">
        <v>439</v>
      </c>
    </row>
    <row r="31" spans="1:56" x14ac:dyDescent="0.4">
      <c r="A31" s="3">
        <v>12</v>
      </c>
      <c r="B31" s="3">
        <v>12</v>
      </c>
      <c r="C31" s="4">
        <v>11610</v>
      </c>
      <c r="D31" s="4" t="str">
        <f t="shared" si="0"/>
        <v>011610</v>
      </c>
      <c r="E31" s="4">
        <v>528363</v>
      </c>
      <c r="F31" s="4" t="s">
        <v>118</v>
      </c>
      <c r="G31" s="5">
        <v>4535627501013</v>
      </c>
      <c r="H31" s="5"/>
      <c r="I31" s="5"/>
      <c r="J31" s="5">
        <v>1</v>
      </c>
      <c r="K31" s="5">
        <v>1</v>
      </c>
      <c r="L31" s="4">
        <v>260</v>
      </c>
      <c r="M31" s="4">
        <v>183</v>
      </c>
      <c r="N31" s="4">
        <v>99</v>
      </c>
      <c r="O31" s="6">
        <f t="shared" si="1"/>
        <v>0.45901639344262291</v>
      </c>
      <c r="P31" s="4">
        <v>164</v>
      </c>
      <c r="Q31" s="4">
        <v>3</v>
      </c>
      <c r="R31" s="4">
        <v>99999</v>
      </c>
      <c r="S31" s="4">
        <v>290</v>
      </c>
      <c r="T31" s="4">
        <f t="shared" si="2"/>
        <v>290</v>
      </c>
      <c r="U31" s="4">
        <v>110</v>
      </c>
      <c r="V31" s="4">
        <f t="shared" si="3"/>
        <v>110</v>
      </c>
      <c r="W31" s="4"/>
      <c r="X31" s="21">
        <f t="shared" si="4"/>
        <v>203</v>
      </c>
      <c r="Y31" s="6">
        <f t="shared" si="5"/>
        <v>0.45812807881773399</v>
      </c>
      <c r="Z31" s="33">
        <v>1.5</v>
      </c>
      <c r="AA31" s="4" t="str">
        <f t="shared" si="6"/>
        <v>-</v>
      </c>
      <c r="AB31" s="33" t="str">
        <f t="shared" si="7"/>
        <v>-</v>
      </c>
      <c r="AC31" s="6" t="str">
        <f t="shared" si="8"/>
        <v>-</v>
      </c>
      <c r="AD31" s="7">
        <v>190</v>
      </c>
      <c r="AE31" s="6">
        <f t="shared" si="9"/>
        <v>0.42105263157894735</v>
      </c>
      <c r="AF31" s="4">
        <f t="shared" si="10"/>
        <v>80</v>
      </c>
      <c r="AG31" s="28"/>
      <c r="AH31" s="6"/>
      <c r="AI31" s="6"/>
      <c r="AJ31" s="6">
        <f t="shared" si="11"/>
        <v>1.1153846153846154</v>
      </c>
      <c r="AK31" s="6">
        <f t="shared" si="12"/>
        <v>1.0382513661202186</v>
      </c>
      <c r="AL31" s="6">
        <f t="shared" si="13"/>
        <v>1.1111111111111112</v>
      </c>
      <c r="AM31" s="4">
        <f t="shared" si="14"/>
        <v>170</v>
      </c>
      <c r="AN31" s="4">
        <f>IF(Q31="","-",Q31)</f>
        <v>3</v>
      </c>
      <c r="AO31" s="4">
        <f>IF(R31="","-",R31)</f>
        <v>99999</v>
      </c>
      <c r="AP31" s="4" t="s">
        <v>409</v>
      </c>
      <c r="AQ31" s="4" t="s">
        <v>699</v>
      </c>
      <c r="AR31" s="4"/>
      <c r="AS31" s="4"/>
      <c r="AT31" s="4" t="s">
        <v>699</v>
      </c>
      <c r="AU31" s="4" t="s">
        <v>699</v>
      </c>
      <c r="AV31" s="4" t="str">
        <f t="shared" si="15"/>
        <v>-</v>
      </c>
      <c r="AW31" s="19">
        <v>4</v>
      </c>
      <c r="AX31" s="19">
        <v>1</v>
      </c>
      <c r="AY31" s="16">
        <v>19</v>
      </c>
      <c r="AZ31" t="s">
        <v>699</v>
      </c>
      <c r="BA31" t="str">
        <f>IFERROR(AZ31*AL31,"-")</f>
        <v>-</v>
      </c>
      <c r="BB31">
        <v>195</v>
      </c>
      <c r="BC31">
        <f>IFERROR(BB31*AL31,"-")</f>
        <v>216.66666666666669</v>
      </c>
      <c r="BD31" t="s">
        <v>699</v>
      </c>
    </row>
    <row r="32" spans="1:56" x14ac:dyDescent="0.4">
      <c r="A32" s="3">
        <v>13</v>
      </c>
      <c r="B32" s="3">
        <v>13</v>
      </c>
      <c r="C32" s="4">
        <v>11612</v>
      </c>
      <c r="D32" s="4" t="str">
        <f t="shared" si="0"/>
        <v>011612</v>
      </c>
      <c r="E32" s="4">
        <v>528381</v>
      </c>
      <c r="F32" s="4" t="s">
        <v>119</v>
      </c>
      <c r="G32" s="5">
        <v>4535627501006</v>
      </c>
      <c r="H32" s="5"/>
      <c r="I32" s="5"/>
      <c r="J32" s="5">
        <v>1</v>
      </c>
      <c r="K32" s="5">
        <v>1</v>
      </c>
      <c r="L32" s="4">
        <v>260</v>
      </c>
      <c r="M32" s="4">
        <v>183</v>
      </c>
      <c r="N32" s="4">
        <v>99</v>
      </c>
      <c r="O32" s="6">
        <f t="shared" si="1"/>
        <v>0.45901639344262291</v>
      </c>
      <c r="P32" s="4">
        <v>164</v>
      </c>
      <c r="Q32" s="4">
        <v>3</v>
      </c>
      <c r="R32" s="4">
        <v>99999</v>
      </c>
      <c r="S32" s="4">
        <v>290</v>
      </c>
      <c r="T32" s="4">
        <f t="shared" si="2"/>
        <v>290</v>
      </c>
      <c r="U32" s="4">
        <v>110</v>
      </c>
      <c r="V32" s="4">
        <f t="shared" si="3"/>
        <v>110</v>
      </c>
      <c r="W32" s="4"/>
      <c r="X32" s="21">
        <f t="shared" si="4"/>
        <v>203</v>
      </c>
      <c r="Y32" s="6">
        <f t="shared" si="5"/>
        <v>0.45812807881773399</v>
      </c>
      <c r="Z32" s="33">
        <v>5.25</v>
      </c>
      <c r="AA32" s="4" t="str">
        <f t="shared" si="6"/>
        <v>-</v>
      </c>
      <c r="AB32" s="33" t="str">
        <f t="shared" si="7"/>
        <v>-</v>
      </c>
      <c r="AC32" s="6" t="str">
        <f t="shared" si="8"/>
        <v>-</v>
      </c>
      <c r="AD32" s="7">
        <v>190</v>
      </c>
      <c r="AE32" s="6">
        <f t="shared" si="9"/>
        <v>0.42105263157894735</v>
      </c>
      <c r="AF32" s="4">
        <f t="shared" si="10"/>
        <v>80</v>
      </c>
      <c r="AG32" s="28"/>
      <c r="AH32" s="6"/>
      <c r="AI32" s="6"/>
      <c r="AJ32" s="6">
        <f t="shared" si="11"/>
        <v>1.1153846153846154</v>
      </c>
      <c r="AK32" s="6">
        <f t="shared" si="12"/>
        <v>1.0382513661202186</v>
      </c>
      <c r="AL32" s="6">
        <f t="shared" si="13"/>
        <v>1.1111111111111112</v>
      </c>
      <c r="AM32" s="4">
        <f t="shared" si="14"/>
        <v>170</v>
      </c>
      <c r="AN32" s="4">
        <f>IF(Q32="","-",Q32)</f>
        <v>3</v>
      </c>
      <c r="AO32" s="4">
        <f>IF(R32="","-",R32)</f>
        <v>99999</v>
      </c>
      <c r="AP32" s="4" t="s">
        <v>409</v>
      </c>
      <c r="AQ32" s="4" t="s">
        <v>699</v>
      </c>
      <c r="AR32" s="4"/>
      <c r="AS32" s="4"/>
      <c r="AT32" s="4" t="s">
        <v>699</v>
      </c>
      <c r="AU32" s="4" t="s">
        <v>699</v>
      </c>
      <c r="AV32" s="4" t="str">
        <f t="shared" si="15"/>
        <v>-</v>
      </c>
      <c r="AW32" s="19">
        <v>4</v>
      </c>
      <c r="AX32" s="19">
        <v>1</v>
      </c>
      <c r="AY32" s="16">
        <v>19</v>
      </c>
      <c r="AZ32" t="s">
        <v>699</v>
      </c>
      <c r="BA32" t="str">
        <f>IFERROR(AZ32*AL32,"-")</f>
        <v>-</v>
      </c>
      <c r="BB32">
        <v>195</v>
      </c>
      <c r="BC32">
        <f>IFERROR(BB32*AL32,"-")</f>
        <v>216.66666666666669</v>
      </c>
      <c r="BD32" t="s">
        <v>699</v>
      </c>
    </row>
    <row r="33" spans="1:56" x14ac:dyDescent="0.4">
      <c r="A33" s="3">
        <v>14</v>
      </c>
      <c r="B33" s="3">
        <v>14</v>
      </c>
      <c r="C33" s="4">
        <v>11614</v>
      </c>
      <c r="D33" s="4" t="str">
        <f t="shared" si="0"/>
        <v>011614</v>
      </c>
      <c r="E33" s="4">
        <v>528408</v>
      </c>
      <c r="F33" s="4" t="s">
        <v>120</v>
      </c>
      <c r="G33" s="5">
        <v>4535627501037</v>
      </c>
      <c r="H33" s="5"/>
      <c r="I33" s="5"/>
      <c r="J33" s="5">
        <v>1</v>
      </c>
      <c r="K33" s="5">
        <v>1</v>
      </c>
      <c r="L33" s="4">
        <v>260</v>
      </c>
      <c r="M33" s="4">
        <v>183</v>
      </c>
      <c r="N33" s="4">
        <v>99</v>
      </c>
      <c r="O33" s="6">
        <f t="shared" si="1"/>
        <v>0.45901639344262291</v>
      </c>
      <c r="P33" s="4">
        <v>164</v>
      </c>
      <c r="Q33" s="4">
        <v>3</v>
      </c>
      <c r="R33" s="4">
        <v>99999</v>
      </c>
      <c r="S33" s="4">
        <v>290</v>
      </c>
      <c r="T33" s="4">
        <f t="shared" si="2"/>
        <v>290</v>
      </c>
      <c r="U33" s="4">
        <v>110</v>
      </c>
      <c r="V33" s="4">
        <f t="shared" si="3"/>
        <v>110</v>
      </c>
      <c r="W33" s="4"/>
      <c r="X33" s="21">
        <f t="shared" si="4"/>
        <v>203</v>
      </c>
      <c r="Y33" s="6">
        <f t="shared" si="5"/>
        <v>0.45812807881773399</v>
      </c>
      <c r="Z33" s="33">
        <v>2</v>
      </c>
      <c r="AA33" s="4">
        <f t="shared" si="6"/>
        <v>190</v>
      </c>
      <c r="AB33" s="33">
        <f t="shared" si="7"/>
        <v>211.11111111111111</v>
      </c>
      <c r="AC33" s="6">
        <f t="shared" si="8"/>
        <v>0.47894736842105268</v>
      </c>
      <c r="AD33" s="7">
        <v>190</v>
      </c>
      <c r="AE33" s="6">
        <f t="shared" si="9"/>
        <v>0.42105263157894735</v>
      </c>
      <c r="AF33" s="4">
        <f t="shared" si="10"/>
        <v>80</v>
      </c>
      <c r="AG33" s="28"/>
      <c r="AH33" s="6"/>
      <c r="AI33" s="6"/>
      <c r="AJ33" s="6">
        <f t="shared" si="11"/>
        <v>1.1153846153846154</v>
      </c>
      <c r="AK33" s="6">
        <f t="shared" si="12"/>
        <v>1.0382513661202186</v>
      </c>
      <c r="AL33" s="6">
        <f t="shared" si="13"/>
        <v>1.1111111111111112</v>
      </c>
      <c r="AM33" s="4">
        <f t="shared" si="14"/>
        <v>170</v>
      </c>
      <c r="AN33" s="4">
        <f>IF(Q33="","-",Q33)</f>
        <v>3</v>
      </c>
      <c r="AO33" s="4">
        <f>IF(R33="","-",R33)</f>
        <v>99999</v>
      </c>
      <c r="AP33" s="4" t="s">
        <v>409</v>
      </c>
      <c r="AQ33" s="4" t="s">
        <v>716</v>
      </c>
      <c r="AR33" s="4"/>
      <c r="AS33" s="4"/>
      <c r="AT33" s="4" t="s">
        <v>714</v>
      </c>
      <c r="AU33" s="4">
        <v>190</v>
      </c>
      <c r="AV33" s="4">
        <f t="shared" si="15"/>
        <v>190</v>
      </c>
      <c r="AW33" s="19">
        <v>4</v>
      </c>
      <c r="AX33" s="19">
        <v>1</v>
      </c>
      <c r="AY33" s="16">
        <v>19</v>
      </c>
      <c r="AZ33" t="s">
        <v>699</v>
      </c>
      <c r="BA33" t="str">
        <f>IFERROR(AZ33*AL33,"-")</f>
        <v>-</v>
      </c>
      <c r="BB33">
        <v>195</v>
      </c>
      <c r="BC33">
        <f>IFERROR(BB33*AL33,"-")</f>
        <v>216.66666666666669</v>
      </c>
      <c r="BD33" t="s">
        <v>440</v>
      </c>
    </row>
    <row r="34" spans="1:56" x14ac:dyDescent="0.4">
      <c r="A34" s="3">
        <v>15</v>
      </c>
      <c r="B34" s="3">
        <v>15</v>
      </c>
      <c r="C34" s="4">
        <v>11615</v>
      </c>
      <c r="D34" s="4" t="str">
        <f t="shared" si="0"/>
        <v>011615</v>
      </c>
      <c r="E34" s="4">
        <v>528273</v>
      </c>
      <c r="F34" s="4" t="s">
        <v>121</v>
      </c>
      <c r="G34" s="5">
        <v>4535627502027</v>
      </c>
      <c r="H34" s="5"/>
      <c r="I34" s="5"/>
      <c r="J34" s="5">
        <v>1</v>
      </c>
      <c r="K34" s="5">
        <v>1</v>
      </c>
      <c r="L34" s="4">
        <v>260</v>
      </c>
      <c r="M34" s="4">
        <v>183</v>
      </c>
      <c r="N34" s="4">
        <v>99</v>
      </c>
      <c r="O34" s="6">
        <f t="shared" si="1"/>
        <v>0.45901639344262291</v>
      </c>
      <c r="P34" s="4">
        <v>164</v>
      </c>
      <c r="Q34" s="4">
        <v>3</v>
      </c>
      <c r="R34" s="4">
        <v>99999</v>
      </c>
      <c r="S34" s="4">
        <v>290</v>
      </c>
      <c r="T34" s="4">
        <f t="shared" si="2"/>
        <v>290</v>
      </c>
      <c r="U34" s="4">
        <v>110</v>
      </c>
      <c r="V34" s="4">
        <f t="shared" si="3"/>
        <v>110</v>
      </c>
      <c r="W34" s="4"/>
      <c r="X34" s="21">
        <f t="shared" si="4"/>
        <v>203</v>
      </c>
      <c r="Y34" s="6">
        <f t="shared" si="5"/>
        <v>0.45812807881773399</v>
      </c>
      <c r="Z34" s="33">
        <v>15.75</v>
      </c>
      <c r="AA34" s="4">
        <f t="shared" si="6"/>
        <v>190</v>
      </c>
      <c r="AB34" s="33">
        <f t="shared" si="7"/>
        <v>211.11111111111111</v>
      </c>
      <c r="AC34" s="6">
        <f t="shared" si="8"/>
        <v>0.47894736842105268</v>
      </c>
      <c r="AD34" s="7">
        <v>190</v>
      </c>
      <c r="AE34" s="6">
        <f t="shared" si="9"/>
        <v>0.42105263157894735</v>
      </c>
      <c r="AF34" s="4">
        <f t="shared" si="10"/>
        <v>80</v>
      </c>
      <c r="AG34" s="28"/>
      <c r="AH34" s="6"/>
      <c r="AI34" s="6"/>
      <c r="AJ34" s="6">
        <f t="shared" si="11"/>
        <v>1.1153846153846154</v>
      </c>
      <c r="AK34" s="6">
        <f t="shared" si="12"/>
        <v>1.0382513661202186</v>
      </c>
      <c r="AL34" s="6">
        <f t="shared" si="13"/>
        <v>1.1111111111111112</v>
      </c>
      <c r="AM34" s="4">
        <f t="shared" si="14"/>
        <v>170</v>
      </c>
      <c r="AN34" s="4">
        <f>IF(Q34="","-",Q34)</f>
        <v>3</v>
      </c>
      <c r="AO34" s="4">
        <f>IF(R34="","-",R34)</f>
        <v>99999</v>
      </c>
      <c r="AP34" s="4" t="s">
        <v>409</v>
      </c>
      <c r="AQ34" s="4" t="s">
        <v>717</v>
      </c>
      <c r="AR34" s="4"/>
      <c r="AS34" s="4"/>
      <c r="AT34" s="4" t="s">
        <v>718</v>
      </c>
      <c r="AU34" s="4">
        <v>190</v>
      </c>
      <c r="AV34" s="4">
        <f t="shared" si="15"/>
        <v>190</v>
      </c>
      <c r="AW34" s="19">
        <v>4</v>
      </c>
      <c r="AX34" s="19">
        <v>1</v>
      </c>
      <c r="AY34" s="16">
        <v>19</v>
      </c>
      <c r="AZ34">
        <v>171</v>
      </c>
      <c r="BA34">
        <f>IFERROR(AZ34*AL34,"-")</f>
        <v>190</v>
      </c>
      <c r="BB34">
        <v>195</v>
      </c>
      <c r="BC34">
        <f>IFERROR(BB34*AL34,"-")</f>
        <v>216.66666666666669</v>
      </c>
      <c r="BD34" t="s">
        <v>441</v>
      </c>
    </row>
    <row r="35" spans="1:56" x14ac:dyDescent="0.4">
      <c r="A35" s="3">
        <v>16</v>
      </c>
      <c r="B35" s="3">
        <v>16</v>
      </c>
      <c r="C35" s="4">
        <v>11616</v>
      </c>
      <c r="D35" s="4" t="str">
        <f t="shared" si="0"/>
        <v>011616</v>
      </c>
      <c r="E35" s="4">
        <v>528282</v>
      </c>
      <c r="F35" s="4" t="s">
        <v>122</v>
      </c>
      <c r="G35" s="5">
        <v>4535627502041</v>
      </c>
      <c r="H35" s="5"/>
      <c r="I35" s="5"/>
      <c r="J35" s="5">
        <v>1</v>
      </c>
      <c r="K35" s="5">
        <v>1</v>
      </c>
      <c r="L35" s="4">
        <v>260</v>
      </c>
      <c r="M35" s="4">
        <v>183</v>
      </c>
      <c r="N35" s="4">
        <v>99</v>
      </c>
      <c r="O35" s="6">
        <f t="shared" si="1"/>
        <v>0.45901639344262291</v>
      </c>
      <c r="P35" s="4">
        <v>164</v>
      </c>
      <c r="Q35" s="4">
        <v>3</v>
      </c>
      <c r="R35" s="4">
        <v>99999</v>
      </c>
      <c r="S35" s="4">
        <v>290</v>
      </c>
      <c r="T35" s="4">
        <f t="shared" si="2"/>
        <v>290</v>
      </c>
      <c r="U35" s="4">
        <v>110</v>
      </c>
      <c r="V35" s="4">
        <f t="shared" si="3"/>
        <v>110</v>
      </c>
      <c r="W35" s="4"/>
      <c r="X35" s="21">
        <f t="shared" si="4"/>
        <v>203</v>
      </c>
      <c r="Y35" s="6">
        <f t="shared" si="5"/>
        <v>0.45812807881773399</v>
      </c>
      <c r="Z35" s="33">
        <v>14.499999999999998</v>
      </c>
      <c r="AA35" s="4">
        <f t="shared" si="6"/>
        <v>190</v>
      </c>
      <c r="AB35" s="33">
        <f t="shared" si="7"/>
        <v>211.11111111111111</v>
      </c>
      <c r="AC35" s="6">
        <f t="shared" si="8"/>
        <v>0.47894736842105268</v>
      </c>
      <c r="AD35" s="7">
        <v>190</v>
      </c>
      <c r="AE35" s="6">
        <f t="shared" si="9"/>
        <v>0.42105263157894735</v>
      </c>
      <c r="AF35" s="4">
        <f t="shared" si="10"/>
        <v>80</v>
      </c>
      <c r="AG35" s="28"/>
      <c r="AH35" s="6"/>
      <c r="AI35" s="6"/>
      <c r="AJ35" s="6">
        <f t="shared" si="11"/>
        <v>1.1153846153846154</v>
      </c>
      <c r="AK35" s="6">
        <f t="shared" si="12"/>
        <v>1.0382513661202186</v>
      </c>
      <c r="AL35" s="6">
        <f t="shared" si="13"/>
        <v>1.1111111111111112</v>
      </c>
      <c r="AM35" s="4">
        <f t="shared" si="14"/>
        <v>170</v>
      </c>
      <c r="AN35" s="4">
        <f>IF(Q35="","-",Q35)</f>
        <v>3</v>
      </c>
      <c r="AO35" s="4">
        <f>IF(R35="","-",R35)</f>
        <v>99999</v>
      </c>
      <c r="AP35" s="4" t="s">
        <v>409</v>
      </c>
      <c r="AQ35" s="4" t="s">
        <v>719</v>
      </c>
      <c r="AR35" s="4"/>
      <c r="AS35" s="4"/>
      <c r="AT35" s="4" t="s">
        <v>718</v>
      </c>
      <c r="AU35" s="4">
        <v>190</v>
      </c>
      <c r="AV35" s="4">
        <f t="shared" si="15"/>
        <v>190</v>
      </c>
      <c r="AW35" s="19">
        <v>4</v>
      </c>
      <c r="AX35" s="19">
        <v>1</v>
      </c>
      <c r="AY35" s="16">
        <v>19</v>
      </c>
      <c r="AZ35" t="s">
        <v>699</v>
      </c>
      <c r="BA35" t="str">
        <f>IFERROR(AZ35*AL35,"-")</f>
        <v>-</v>
      </c>
      <c r="BB35">
        <v>195</v>
      </c>
      <c r="BC35">
        <f>IFERROR(BB35*AL35,"-")</f>
        <v>216.66666666666669</v>
      </c>
      <c r="BD35" t="s">
        <v>442</v>
      </c>
    </row>
    <row r="36" spans="1:56" x14ac:dyDescent="0.4">
      <c r="A36" s="3">
        <v>17</v>
      </c>
      <c r="B36" s="3">
        <v>17</v>
      </c>
      <c r="C36" s="4">
        <v>11617</v>
      </c>
      <c r="D36" s="4" t="str">
        <f t="shared" si="0"/>
        <v>011617</v>
      </c>
      <c r="E36" s="4">
        <v>528291</v>
      </c>
      <c r="F36" s="4" t="s">
        <v>123</v>
      </c>
      <c r="G36" s="5">
        <v>4535627502010</v>
      </c>
      <c r="H36" s="5"/>
      <c r="I36" s="5"/>
      <c r="J36" s="5">
        <v>1</v>
      </c>
      <c r="K36" s="5">
        <v>1</v>
      </c>
      <c r="L36" s="4">
        <v>260</v>
      </c>
      <c r="M36" s="4">
        <v>183</v>
      </c>
      <c r="N36" s="4">
        <v>99</v>
      </c>
      <c r="O36" s="6">
        <f t="shared" si="1"/>
        <v>0.45901639344262291</v>
      </c>
      <c r="P36" s="4">
        <v>164</v>
      </c>
      <c r="Q36" s="4">
        <v>3</v>
      </c>
      <c r="R36" s="4">
        <v>99999</v>
      </c>
      <c r="S36" s="4">
        <v>290</v>
      </c>
      <c r="T36" s="4">
        <f t="shared" si="2"/>
        <v>290</v>
      </c>
      <c r="U36" s="4">
        <v>110</v>
      </c>
      <c r="V36" s="4">
        <f t="shared" si="3"/>
        <v>110</v>
      </c>
      <c r="W36" s="4"/>
      <c r="X36" s="21">
        <f t="shared" si="4"/>
        <v>203</v>
      </c>
      <c r="Y36" s="6">
        <f t="shared" si="5"/>
        <v>0.45812807881773399</v>
      </c>
      <c r="Z36" s="33">
        <v>9.75</v>
      </c>
      <c r="AA36" s="4" t="str">
        <f t="shared" si="6"/>
        <v>-</v>
      </c>
      <c r="AB36" s="33" t="str">
        <f t="shared" si="7"/>
        <v>-</v>
      </c>
      <c r="AC36" s="6" t="str">
        <f t="shared" si="8"/>
        <v>-</v>
      </c>
      <c r="AD36" s="7">
        <v>190</v>
      </c>
      <c r="AE36" s="6">
        <f t="shared" si="9"/>
        <v>0.42105263157894735</v>
      </c>
      <c r="AF36" s="4">
        <f t="shared" si="10"/>
        <v>80</v>
      </c>
      <c r="AG36" s="28"/>
      <c r="AH36" s="6"/>
      <c r="AI36" s="6"/>
      <c r="AJ36" s="6">
        <f t="shared" si="11"/>
        <v>1.1153846153846154</v>
      </c>
      <c r="AK36" s="6">
        <f t="shared" si="12"/>
        <v>1.0382513661202186</v>
      </c>
      <c r="AL36" s="6">
        <f t="shared" si="13"/>
        <v>1.1111111111111112</v>
      </c>
      <c r="AM36" s="4">
        <f t="shared" si="14"/>
        <v>170</v>
      </c>
      <c r="AN36" s="4">
        <f>IF(Q36="","-",Q36)</f>
        <v>3</v>
      </c>
      <c r="AO36" s="4">
        <f>IF(R36="","-",R36)</f>
        <v>99999</v>
      </c>
      <c r="AP36" s="4" t="s">
        <v>409</v>
      </c>
      <c r="AQ36" s="4" t="s">
        <v>699</v>
      </c>
      <c r="AR36" s="4"/>
      <c r="AS36" s="4"/>
      <c r="AT36" s="4" t="s">
        <v>699</v>
      </c>
      <c r="AU36" s="4" t="s">
        <v>699</v>
      </c>
      <c r="AV36" s="4" t="str">
        <f t="shared" si="15"/>
        <v>-</v>
      </c>
      <c r="AW36" s="19">
        <v>4</v>
      </c>
      <c r="AX36" s="19">
        <v>1</v>
      </c>
      <c r="AY36" s="16">
        <v>19</v>
      </c>
      <c r="AZ36" t="s">
        <v>699</v>
      </c>
      <c r="BA36" t="str">
        <f>IFERROR(AZ36*AL36,"-")</f>
        <v>-</v>
      </c>
      <c r="BB36">
        <v>195</v>
      </c>
      <c r="BC36">
        <f>IFERROR(BB36*AL36,"-")</f>
        <v>216.66666666666669</v>
      </c>
      <c r="BD36" t="s">
        <v>699</v>
      </c>
    </row>
    <row r="37" spans="1:56" x14ac:dyDescent="0.4">
      <c r="A37" s="3">
        <v>18</v>
      </c>
      <c r="B37" s="3">
        <v>18</v>
      </c>
      <c r="C37" s="4">
        <v>11619</v>
      </c>
      <c r="D37" s="4" t="str">
        <f t="shared" si="0"/>
        <v>011619</v>
      </c>
      <c r="E37" s="4">
        <v>528318</v>
      </c>
      <c r="F37" s="4" t="s">
        <v>124</v>
      </c>
      <c r="G37" s="5">
        <v>4535627502003</v>
      </c>
      <c r="H37" s="5"/>
      <c r="I37" s="5"/>
      <c r="J37" s="5">
        <v>1</v>
      </c>
      <c r="K37" s="5">
        <v>1</v>
      </c>
      <c r="L37" s="4">
        <v>260</v>
      </c>
      <c r="M37" s="4">
        <v>183</v>
      </c>
      <c r="N37" s="4">
        <v>99</v>
      </c>
      <c r="O37" s="6">
        <f t="shared" si="1"/>
        <v>0.45901639344262291</v>
      </c>
      <c r="P37" s="4">
        <v>164</v>
      </c>
      <c r="Q37" s="4">
        <v>3</v>
      </c>
      <c r="R37" s="4">
        <v>99999</v>
      </c>
      <c r="S37" s="4">
        <v>290</v>
      </c>
      <c r="T37" s="4">
        <f t="shared" si="2"/>
        <v>290</v>
      </c>
      <c r="U37" s="4">
        <v>110</v>
      </c>
      <c r="V37" s="4">
        <f t="shared" si="3"/>
        <v>110</v>
      </c>
      <c r="W37" s="4"/>
      <c r="X37" s="21">
        <f t="shared" si="4"/>
        <v>203</v>
      </c>
      <c r="Y37" s="6">
        <f t="shared" si="5"/>
        <v>0.45812807881773399</v>
      </c>
      <c r="Z37" s="33">
        <v>10.5</v>
      </c>
      <c r="AA37" s="4" t="str">
        <f t="shared" si="6"/>
        <v>-</v>
      </c>
      <c r="AB37" s="33" t="str">
        <f t="shared" si="7"/>
        <v>-</v>
      </c>
      <c r="AC37" s="6" t="str">
        <f t="shared" si="8"/>
        <v>-</v>
      </c>
      <c r="AD37" s="7">
        <v>190</v>
      </c>
      <c r="AE37" s="6">
        <f t="shared" si="9"/>
        <v>0.42105263157894735</v>
      </c>
      <c r="AF37" s="4">
        <f t="shared" si="10"/>
        <v>80</v>
      </c>
      <c r="AG37" s="28"/>
      <c r="AH37" s="6"/>
      <c r="AI37" s="6"/>
      <c r="AJ37" s="6">
        <f t="shared" si="11"/>
        <v>1.1153846153846154</v>
      </c>
      <c r="AK37" s="6">
        <f t="shared" si="12"/>
        <v>1.0382513661202186</v>
      </c>
      <c r="AL37" s="6">
        <f t="shared" si="13"/>
        <v>1.1111111111111112</v>
      </c>
      <c r="AM37" s="4">
        <f t="shared" si="14"/>
        <v>170</v>
      </c>
      <c r="AN37" s="4">
        <f>IF(Q37="","-",Q37)</f>
        <v>3</v>
      </c>
      <c r="AO37" s="4">
        <f>IF(R37="","-",R37)</f>
        <v>99999</v>
      </c>
      <c r="AP37" s="4" t="s">
        <v>409</v>
      </c>
      <c r="AQ37" s="4" t="s">
        <v>699</v>
      </c>
      <c r="AR37" s="4"/>
      <c r="AS37" s="4"/>
      <c r="AT37" s="4" t="s">
        <v>699</v>
      </c>
      <c r="AU37" s="4" t="s">
        <v>699</v>
      </c>
      <c r="AV37" s="4" t="str">
        <f t="shared" si="15"/>
        <v>-</v>
      </c>
      <c r="AW37" s="19">
        <v>4</v>
      </c>
      <c r="AX37" s="19">
        <v>1</v>
      </c>
      <c r="AY37" s="16">
        <v>19</v>
      </c>
      <c r="AZ37" t="s">
        <v>699</v>
      </c>
      <c r="BA37" t="str">
        <f>IFERROR(AZ37*AL37,"-")</f>
        <v>-</v>
      </c>
      <c r="BB37">
        <v>195</v>
      </c>
      <c r="BC37">
        <f>IFERROR(BB37*AL37,"-")</f>
        <v>216.66666666666669</v>
      </c>
      <c r="BD37" t="s">
        <v>699</v>
      </c>
    </row>
    <row r="38" spans="1:56" x14ac:dyDescent="0.4">
      <c r="A38" s="3">
        <v>19</v>
      </c>
      <c r="B38" s="3">
        <v>19</v>
      </c>
      <c r="C38" s="4">
        <v>11621</v>
      </c>
      <c r="D38" s="4" t="str">
        <f t="shared" si="0"/>
        <v>011621</v>
      </c>
      <c r="E38" s="4">
        <v>528336</v>
      </c>
      <c r="F38" s="4" t="s">
        <v>125</v>
      </c>
      <c r="G38" s="5">
        <v>4535627502034</v>
      </c>
      <c r="H38" s="5"/>
      <c r="I38" s="5"/>
      <c r="J38" s="5">
        <v>1</v>
      </c>
      <c r="K38" s="5">
        <v>1</v>
      </c>
      <c r="L38" s="4">
        <v>260</v>
      </c>
      <c r="M38" s="4">
        <v>183</v>
      </c>
      <c r="N38" s="4">
        <v>99</v>
      </c>
      <c r="O38" s="6">
        <f t="shared" si="1"/>
        <v>0.45901639344262291</v>
      </c>
      <c r="P38" s="4">
        <v>164</v>
      </c>
      <c r="Q38" s="4">
        <v>3</v>
      </c>
      <c r="R38" s="4">
        <v>99999</v>
      </c>
      <c r="S38" s="4">
        <v>290</v>
      </c>
      <c r="T38" s="4">
        <f t="shared" si="2"/>
        <v>290</v>
      </c>
      <c r="U38" s="4">
        <v>110</v>
      </c>
      <c r="V38" s="4">
        <f t="shared" si="3"/>
        <v>110</v>
      </c>
      <c r="W38" s="4"/>
      <c r="X38" s="21">
        <f t="shared" si="4"/>
        <v>203</v>
      </c>
      <c r="Y38" s="6">
        <f t="shared" si="5"/>
        <v>0.45812807881773399</v>
      </c>
      <c r="Z38" s="33">
        <v>7.2499999999999991</v>
      </c>
      <c r="AA38" s="4" t="str">
        <f t="shared" si="6"/>
        <v>-</v>
      </c>
      <c r="AB38" s="33" t="str">
        <f t="shared" si="7"/>
        <v>-</v>
      </c>
      <c r="AC38" s="6" t="str">
        <f t="shared" si="8"/>
        <v>-</v>
      </c>
      <c r="AD38" s="7">
        <v>190</v>
      </c>
      <c r="AE38" s="6">
        <f t="shared" si="9"/>
        <v>0.42105263157894735</v>
      </c>
      <c r="AF38" s="4">
        <f t="shared" si="10"/>
        <v>80</v>
      </c>
      <c r="AG38" s="28"/>
      <c r="AH38" s="6"/>
      <c r="AI38" s="6"/>
      <c r="AJ38" s="6">
        <f t="shared" si="11"/>
        <v>1.1153846153846154</v>
      </c>
      <c r="AK38" s="6">
        <f t="shared" si="12"/>
        <v>1.0382513661202186</v>
      </c>
      <c r="AL38" s="6">
        <f t="shared" si="13"/>
        <v>1.1111111111111112</v>
      </c>
      <c r="AM38" s="4">
        <f t="shared" si="14"/>
        <v>170</v>
      </c>
      <c r="AN38" s="4">
        <f>IF(Q38="","-",Q38)</f>
        <v>3</v>
      </c>
      <c r="AO38" s="4">
        <f>IF(R38="","-",R38)</f>
        <v>99999</v>
      </c>
      <c r="AP38" s="4" t="s">
        <v>409</v>
      </c>
      <c r="AQ38" s="4" t="s">
        <v>699</v>
      </c>
      <c r="AR38" s="4"/>
      <c r="AS38" s="4"/>
      <c r="AT38" s="4" t="s">
        <v>699</v>
      </c>
      <c r="AU38" s="4" t="s">
        <v>699</v>
      </c>
      <c r="AV38" s="4" t="str">
        <f t="shared" si="15"/>
        <v>-</v>
      </c>
      <c r="AW38" s="19">
        <v>4</v>
      </c>
      <c r="AX38" s="19">
        <v>1</v>
      </c>
      <c r="AY38" s="16">
        <v>19</v>
      </c>
      <c r="AZ38">
        <v>171</v>
      </c>
      <c r="BA38">
        <f>IFERROR(AZ38*AL38,"-")</f>
        <v>190</v>
      </c>
      <c r="BB38">
        <v>195</v>
      </c>
      <c r="BC38">
        <f>IFERROR(BB38*AL38,"-")</f>
        <v>216.66666666666669</v>
      </c>
      <c r="BD38" t="s">
        <v>699</v>
      </c>
    </row>
    <row r="39" spans="1:56" x14ac:dyDescent="0.4">
      <c r="A39" s="3">
        <v>20</v>
      </c>
      <c r="B39" s="3">
        <v>20</v>
      </c>
      <c r="C39" s="4">
        <v>11622</v>
      </c>
      <c r="D39" s="4" t="str">
        <f t="shared" si="0"/>
        <v>011622</v>
      </c>
      <c r="E39" s="4">
        <v>528201</v>
      </c>
      <c r="F39" s="4" t="s">
        <v>126</v>
      </c>
      <c r="G39" s="5">
        <v>4535627503024</v>
      </c>
      <c r="H39" s="5"/>
      <c r="I39" s="5"/>
      <c r="J39" s="5">
        <v>1</v>
      </c>
      <c r="K39" s="5">
        <v>1</v>
      </c>
      <c r="L39" s="4">
        <v>260</v>
      </c>
      <c r="M39" s="4">
        <v>183</v>
      </c>
      <c r="N39" s="4">
        <v>99</v>
      </c>
      <c r="O39" s="6">
        <f t="shared" si="1"/>
        <v>0.45901639344262291</v>
      </c>
      <c r="P39" s="4">
        <v>164</v>
      </c>
      <c r="Q39" s="4">
        <v>3</v>
      </c>
      <c r="R39" s="4">
        <v>99999</v>
      </c>
      <c r="S39" s="4">
        <v>290</v>
      </c>
      <c r="T39" s="4">
        <f t="shared" si="2"/>
        <v>290</v>
      </c>
      <c r="U39" s="4">
        <v>110</v>
      </c>
      <c r="V39" s="4">
        <f t="shared" si="3"/>
        <v>110</v>
      </c>
      <c r="W39" s="4"/>
      <c r="X39" s="21">
        <f t="shared" si="4"/>
        <v>203</v>
      </c>
      <c r="Y39" s="6">
        <f t="shared" si="5"/>
        <v>0.45812807881773399</v>
      </c>
      <c r="Z39" s="33">
        <v>9.5</v>
      </c>
      <c r="AA39" s="4" t="str">
        <f t="shared" si="6"/>
        <v>-</v>
      </c>
      <c r="AB39" s="33" t="str">
        <f t="shared" si="7"/>
        <v>-</v>
      </c>
      <c r="AC39" s="6" t="str">
        <f t="shared" si="8"/>
        <v>-</v>
      </c>
      <c r="AD39" s="7">
        <v>190</v>
      </c>
      <c r="AE39" s="6">
        <f t="shared" si="9"/>
        <v>0.42105263157894735</v>
      </c>
      <c r="AF39" s="4">
        <f t="shared" si="10"/>
        <v>80</v>
      </c>
      <c r="AG39" s="28"/>
      <c r="AH39" s="6"/>
      <c r="AI39" s="6"/>
      <c r="AJ39" s="6">
        <f t="shared" si="11"/>
        <v>1.1153846153846154</v>
      </c>
      <c r="AK39" s="6">
        <f t="shared" si="12"/>
        <v>1.0382513661202186</v>
      </c>
      <c r="AL39" s="6">
        <f t="shared" si="13"/>
        <v>1.1111111111111112</v>
      </c>
      <c r="AM39" s="4">
        <f t="shared" si="14"/>
        <v>170</v>
      </c>
      <c r="AN39" s="4">
        <f>IF(Q39="","-",Q39)</f>
        <v>3</v>
      </c>
      <c r="AO39" s="4">
        <f>IF(R39="","-",R39)</f>
        <v>99999</v>
      </c>
      <c r="AP39" s="4" t="s">
        <v>409</v>
      </c>
      <c r="AQ39" s="4" t="s">
        <v>699</v>
      </c>
      <c r="AR39" s="4"/>
      <c r="AS39" s="4"/>
      <c r="AT39" s="4" t="s">
        <v>699</v>
      </c>
      <c r="AU39" s="4" t="s">
        <v>699</v>
      </c>
      <c r="AV39" s="4" t="str">
        <f t="shared" si="15"/>
        <v>-</v>
      </c>
      <c r="AW39" s="19">
        <v>4</v>
      </c>
      <c r="AX39" s="19">
        <v>1</v>
      </c>
      <c r="AY39" s="16">
        <v>19</v>
      </c>
      <c r="AZ39" t="s">
        <v>699</v>
      </c>
      <c r="BA39" t="str">
        <f>IFERROR(AZ39*AL39,"-")</f>
        <v>-</v>
      </c>
      <c r="BB39">
        <v>195</v>
      </c>
      <c r="BC39">
        <f>IFERROR(BB39*AL39,"-")</f>
        <v>216.66666666666669</v>
      </c>
      <c r="BD39" t="s">
        <v>699</v>
      </c>
    </row>
    <row r="40" spans="1:56" x14ac:dyDescent="0.4">
      <c r="A40" s="3">
        <v>21</v>
      </c>
      <c r="B40" s="3">
        <v>21</v>
      </c>
      <c r="C40" s="4">
        <v>11623</v>
      </c>
      <c r="D40" s="4" t="str">
        <f t="shared" si="0"/>
        <v>011623</v>
      </c>
      <c r="E40" s="4">
        <v>528219</v>
      </c>
      <c r="F40" s="4" t="s">
        <v>127</v>
      </c>
      <c r="G40" s="5">
        <v>4535627503048</v>
      </c>
      <c r="H40" s="5"/>
      <c r="I40" s="5"/>
      <c r="J40" s="5">
        <v>1</v>
      </c>
      <c r="K40" s="5">
        <v>1</v>
      </c>
      <c r="L40" s="4">
        <v>260</v>
      </c>
      <c r="M40" s="4">
        <v>183</v>
      </c>
      <c r="N40" s="4">
        <v>99</v>
      </c>
      <c r="O40" s="6">
        <f t="shared" si="1"/>
        <v>0.45901639344262291</v>
      </c>
      <c r="P40" s="4">
        <v>164</v>
      </c>
      <c r="Q40" s="4">
        <v>3</v>
      </c>
      <c r="R40" s="4">
        <v>99999</v>
      </c>
      <c r="S40" s="4">
        <v>290</v>
      </c>
      <c r="T40" s="4">
        <f t="shared" si="2"/>
        <v>290</v>
      </c>
      <c r="U40" s="4">
        <v>110</v>
      </c>
      <c r="V40" s="4">
        <f t="shared" si="3"/>
        <v>110</v>
      </c>
      <c r="W40" s="4"/>
      <c r="X40" s="21">
        <f t="shared" si="4"/>
        <v>203</v>
      </c>
      <c r="Y40" s="6">
        <f t="shared" si="5"/>
        <v>0.45812807881773399</v>
      </c>
      <c r="Z40" s="33">
        <v>8.5</v>
      </c>
      <c r="AA40" s="4" t="str">
        <f t="shared" si="6"/>
        <v>-</v>
      </c>
      <c r="AB40" s="33" t="str">
        <f t="shared" si="7"/>
        <v>-</v>
      </c>
      <c r="AC40" s="6" t="str">
        <f t="shared" si="8"/>
        <v>-</v>
      </c>
      <c r="AD40" s="7">
        <v>190</v>
      </c>
      <c r="AE40" s="6">
        <f t="shared" si="9"/>
        <v>0.42105263157894735</v>
      </c>
      <c r="AF40" s="4">
        <f t="shared" si="10"/>
        <v>80</v>
      </c>
      <c r="AG40" s="28"/>
      <c r="AH40" s="6"/>
      <c r="AI40" s="6"/>
      <c r="AJ40" s="6">
        <f t="shared" si="11"/>
        <v>1.1153846153846154</v>
      </c>
      <c r="AK40" s="6">
        <f t="shared" si="12"/>
        <v>1.0382513661202186</v>
      </c>
      <c r="AL40" s="6">
        <f t="shared" si="13"/>
        <v>1.1111111111111112</v>
      </c>
      <c r="AM40" s="4">
        <f t="shared" si="14"/>
        <v>170</v>
      </c>
      <c r="AN40" s="4">
        <f>IF(Q40="","-",Q40)</f>
        <v>3</v>
      </c>
      <c r="AO40" s="4">
        <f>IF(R40="","-",R40)</f>
        <v>99999</v>
      </c>
      <c r="AP40" s="4" t="s">
        <v>409</v>
      </c>
      <c r="AQ40" s="4" t="s">
        <v>699</v>
      </c>
      <c r="AR40" s="4"/>
      <c r="AS40" s="4"/>
      <c r="AT40" s="4" t="s">
        <v>699</v>
      </c>
      <c r="AU40" s="4" t="s">
        <v>699</v>
      </c>
      <c r="AV40" s="4" t="str">
        <f t="shared" si="15"/>
        <v>-</v>
      </c>
      <c r="AW40" s="19">
        <v>4</v>
      </c>
      <c r="AX40" s="19">
        <v>1</v>
      </c>
      <c r="AY40" s="16">
        <v>19</v>
      </c>
      <c r="AZ40" t="s">
        <v>699</v>
      </c>
      <c r="BA40" t="str">
        <f>IFERROR(AZ40*AL40,"-")</f>
        <v>-</v>
      </c>
      <c r="BB40">
        <v>195</v>
      </c>
      <c r="BC40">
        <f>IFERROR(BB40*AL40,"-")</f>
        <v>216.66666666666669</v>
      </c>
      <c r="BD40" t="s">
        <v>699</v>
      </c>
    </row>
    <row r="41" spans="1:56" x14ac:dyDescent="0.4">
      <c r="A41" s="3">
        <v>22</v>
      </c>
      <c r="B41" s="3">
        <v>22</v>
      </c>
      <c r="C41" s="4">
        <v>11624</v>
      </c>
      <c r="D41" s="4" t="str">
        <f t="shared" si="0"/>
        <v>011624</v>
      </c>
      <c r="E41" s="4">
        <v>528228</v>
      </c>
      <c r="F41" s="4" t="s">
        <v>128</v>
      </c>
      <c r="G41" s="5">
        <v>4535627503017</v>
      </c>
      <c r="H41" s="5"/>
      <c r="I41" s="5"/>
      <c r="J41" s="5">
        <v>1</v>
      </c>
      <c r="K41" s="5">
        <v>1</v>
      </c>
      <c r="L41" s="4">
        <v>260</v>
      </c>
      <c r="M41" s="4">
        <v>183</v>
      </c>
      <c r="N41" s="4">
        <v>99</v>
      </c>
      <c r="O41" s="6">
        <f t="shared" si="1"/>
        <v>0.45901639344262291</v>
      </c>
      <c r="P41" s="4">
        <v>164</v>
      </c>
      <c r="Q41" s="4">
        <v>3</v>
      </c>
      <c r="R41" s="4">
        <v>99999</v>
      </c>
      <c r="S41" s="4">
        <v>290</v>
      </c>
      <c r="T41" s="4">
        <f t="shared" si="2"/>
        <v>290</v>
      </c>
      <c r="U41" s="4">
        <v>110</v>
      </c>
      <c r="V41" s="4">
        <f t="shared" si="3"/>
        <v>110</v>
      </c>
      <c r="W41" s="4"/>
      <c r="X41" s="21">
        <f t="shared" si="4"/>
        <v>203</v>
      </c>
      <c r="Y41" s="6">
        <f t="shared" si="5"/>
        <v>0.45812807881773399</v>
      </c>
      <c r="Z41" s="33">
        <v>3.75</v>
      </c>
      <c r="AA41" s="4" t="str">
        <f t="shared" si="6"/>
        <v>-</v>
      </c>
      <c r="AB41" s="33" t="str">
        <f t="shared" si="7"/>
        <v>-</v>
      </c>
      <c r="AC41" s="6" t="str">
        <f t="shared" si="8"/>
        <v>-</v>
      </c>
      <c r="AD41" s="7">
        <v>190</v>
      </c>
      <c r="AE41" s="6">
        <f t="shared" si="9"/>
        <v>0.42105263157894735</v>
      </c>
      <c r="AF41" s="4">
        <f t="shared" si="10"/>
        <v>80</v>
      </c>
      <c r="AG41" s="28"/>
      <c r="AH41" s="6"/>
      <c r="AI41" s="6"/>
      <c r="AJ41" s="6">
        <f t="shared" si="11"/>
        <v>1.1153846153846154</v>
      </c>
      <c r="AK41" s="6">
        <f t="shared" si="12"/>
        <v>1.0382513661202186</v>
      </c>
      <c r="AL41" s="6">
        <f t="shared" si="13"/>
        <v>1.1111111111111112</v>
      </c>
      <c r="AM41" s="4">
        <f t="shared" si="14"/>
        <v>170</v>
      </c>
      <c r="AN41" s="4">
        <f>IF(Q41="","-",Q41)</f>
        <v>3</v>
      </c>
      <c r="AO41" s="4">
        <f>IF(R41="","-",R41)</f>
        <v>99999</v>
      </c>
      <c r="AP41" s="4" t="s">
        <v>409</v>
      </c>
      <c r="AQ41" s="4" t="s">
        <v>699</v>
      </c>
      <c r="AR41" s="4"/>
      <c r="AS41" s="4"/>
      <c r="AT41" s="4" t="s">
        <v>699</v>
      </c>
      <c r="AU41" s="4" t="s">
        <v>699</v>
      </c>
      <c r="AV41" s="4" t="str">
        <f t="shared" si="15"/>
        <v>-</v>
      </c>
      <c r="AW41" s="19">
        <v>4</v>
      </c>
      <c r="AX41" s="19">
        <v>1</v>
      </c>
      <c r="AY41" s="16">
        <v>19</v>
      </c>
      <c r="AZ41" t="s">
        <v>699</v>
      </c>
      <c r="BA41" t="str">
        <f>IFERROR(AZ41*AL41,"-")</f>
        <v>-</v>
      </c>
      <c r="BB41">
        <v>195</v>
      </c>
      <c r="BC41">
        <f>IFERROR(BB41*AL41,"-")</f>
        <v>216.66666666666669</v>
      </c>
      <c r="BD41" t="s">
        <v>699</v>
      </c>
    </row>
    <row r="42" spans="1:56" x14ac:dyDescent="0.4">
      <c r="A42" s="3">
        <v>23</v>
      </c>
      <c r="B42" s="3">
        <v>23</v>
      </c>
      <c r="C42" s="4">
        <v>11626</v>
      </c>
      <c r="D42" s="4" t="str">
        <f t="shared" si="0"/>
        <v>011626</v>
      </c>
      <c r="E42" s="4">
        <v>528246</v>
      </c>
      <c r="F42" s="4" t="s">
        <v>129</v>
      </c>
      <c r="G42" s="5">
        <v>4535627503000</v>
      </c>
      <c r="H42" s="5"/>
      <c r="I42" s="5"/>
      <c r="J42" s="5">
        <v>1</v>
      </c>
      <c r="K42" s="5">
        <v>1</v>
      </c>
      <c r="L42" s="4">
        <v>260</v>
      </c>
      <c r="M42" s="4">
        <v>183</v>
      </c>
      <c r="N42" s="4">
        <v>99</v>
      </c>
      <c r="O42" s="6">
        <f t="shared" si="1"/>
        <v>0.45901639344262291</v>
      </c>
      <c r="P42" s="4">
        <v>164</v>
      </c>
      <c r="Q42" s="4">
        <v>3</v>
      </c>
      <c r="R42" s="4">
        <v>99999</v>
      </c>
      <c r="S42" s="4">
        <v>290</v>
      </c>
      <c r="T42" s="4">
        <f t="shared" si="2"/>
        <v>290</v>
      </c>
      <c r="U42" s="4">
        <v>110</v>
      </c>
      <c r="V42" s="4">
        <f t="shared" si="3"/>
        <v>110</v>
      </c>
      <c r="W42" s="4"/>
      <c r="X42" s="21">
        <f t="shared" si="4"/>
        <v>203</v>
      </c>
      <c r="Y42" s="6">
        <f t="shared" si="5"/>
        <v>0.45812807881773399</v>
      </c>
      <c r="Z42" s="33">
        <v>9.75</v>
      </c>
      <c r="AA42" s="4" t="str">
        <f t="shared" si="6"/>
        <v>-</v>
      </c>
      <c r="AB42" s="33" t="str">
        <f t="shared" si="7"/>
        <v>-</v>
      </c>
      <c r="AC42" s="6" t="str">
        <f t="shared" si="8"/>
        <v>-</v>
      </c>
      <c r="AD42" s="7">
        <v>190</v>
      </c>
      <c r="AE42" s="6">
        <f t="shared" si="9"/>
        <v>0.42105263157894735</v>
      </c>
      <c r="AF42" s="4">
        <f t="shared" si="10"/>
        <v>80</v>
      </c>
      <c r="AG42" s="28"/>
      <c r="AH42" s="6"/>
      <c r="AI42" s="6"/>
      <c r="AJ42" s="6">
        <f t="shared" si="11"/>
        <v>1.1153846153846154</v>
      </c>
      <c r="AK42" s="6">
        <f t="shared" si="12"/>
        <v>1.0382513661202186</v>
      </c>
      <c r="AL42" s="6">
        <f t="shared" si="13"/>
        <v>1.1111111111111112</v>
      </c>
      <c r="AM42" s="4">
        <f t="shared" si="14"/>
        <v>170</v>
      </c>
      <c r="AN42" s="4">
        <f>IF(Q42="","-",Q42)</f>
        <v>3</v>
      </c>
      <c r="AO42" s="4">
        <f>IF(R42="","-",R42)</f>
        <v>99999</v>
      </c>
      <c r="AP42" s="4" t="s">
        <v>409</v>
      </c>
      <c r="AQ42" s="4" t="s">
        <v>699</v>
      </c>
      <c r="AR42" s="4"/>
      <c r="AS42" s="4"/>
      <c r="AT42" s="4" t="s">
        <v>699</v>
      </c>
      <c r="AU42" s="4" t="s">
        <v>699</v>
      </c>
      <c r="AV42" s="4" t="str">
        <f t="shared" si="15"/>
        <v>-</v>
      </c>
      <c r="AW42" s="19">
        <v>4</v>
      </c>
      <c r="AX42" s="19">
        <v>1</v>
      </c>
      <c r="AY42" s="16">
        <v>19</v>
      </c>
      <c r="AZ42" t="s">
        <v>699</v>
      </c>
      <c r="BA42" t="str">
        <f>IFERROR(AZ42*AL42,"-")</f>
        <v>-</v>
      </c>
      <c r="BB42">
        <v>195</v>
      </c>
      <c r="BC42">
        <f>IFERROR(BB42*AL42,"-")</f>
        <v>216.66666666666669</v>
      </c>
      <c r="BD42" t="s">
        <v>699</v>
      </c>
    </row>
    <row r="43" spans="1:56" x14ac:dyDescent="0.4">
      <c r="A43" s="3">
        <v>24</v>
      </c>
      <c r="B43" s="3">
        <v>24</v>
      </c>
      <c r="C43" s="4">
        <v>11628</v>
      </c>
      <c r="D43" s="4" t="str">
        <f t="shared" si="0"/>
        <v>011628</v>
      </c>
      <c r="E43" s="4">
        <v>528264</v>
      </c>
      <c r="F43" s="4" t="s">
        <v>130</v>
      </c>
      <c r="G43" s="5">
        <v>4535627503031</v>
      </c>
      <c r="H43" s="5"/>
      <c r="I43" s="5"/>
      <c r="J43" s="5">
        <v>1</v>
      </c>
      <c r="K43" s="5">
        <v>1</v>
      </c>
      <c r="L43" s="4">
        <v>260</v>
      </c>
      <c r="M43" s="4">
        <v>183</v>
      </c>
      <c r="N43" s="4">
        <v>99</v>
      </c>
      <c r="O43" s="6">
        <f t="shared" si="1"/>
        <v>0.45901639344262291</v>
      </c>
      <c r="P43" s="4">
        <v>164</v>
      </c>
      <c r="Q43" s="4">
        <v>3</v>
      </c>
      <c r="R43" s="4">
        <v>99999</v>
      </c>
      <c r="S43" s="4">
        <v>290</v>
      </c>
      <c r="T43" s="4">
        <f t="shared" si="2"/>
        <v>290</v>
      </c>
      <c r="U43" s="4">
        <v>110</v>
      </c>
      <c r="V43" s="4">
        <f t="shared" si="3"/>
        <v>110</v>
      </c>
      <c r="W43" s="4"/>
      <c r="X43" s="21">
        <f t="shared" si="4"/>
        <v>203</v>
      </c>
      <c r="Y43" s="6">
        <f t="shared" si="5"/>
        <v>0.45812807881773399</v>
      </c>
      <c r="Z43" s="33">
        <v>5.25</v>
      </c>
      <c r="AA43" s="4" t="str">
        <f t="shared" si="6"/>
        <v>-</v>
      </c>
      <c r="AB43" s="33" t="str">
        <f t="shared" si="7"/>
        <v>-</v>
      </c>
      <c r="AC43" s="6" t="str">
        <f t="shared" si="8"/>
        <v>-</v>
      </c>
      <c r="AD43" s="7">
        <v>190</v>
      </c>
      <c r="AE43" s="6">
        <f t="shared" si="9"/>
        <v>0.42105263157894735</v>
      </c>
      <c r="AF43" s="4">
        <f t="shared" si="10"/>
        <v>80</v>
      </c>
      <c r="AG43" s="28"/>
      <c r="AH43" s="6"/>
      <c r="AI43" s="6"/>
      <c r="AJ43" s="6">
        <f t="shared" si="11"/>
        <v>1.1153846153846154</v>
      </c>
      <c r="AK43" s="6">
        <f t="shared" si="12"/>
        <v>1.0382513661202186</v>
      </c>
      <c r="AL43" s="6">
        <f t="shared" si="13"/>
        <v>1.1111111111111112</v>
      </c>
      <c r="AM43" s="4">
        <f t="shared" si="14"/>
        <v>170</v>
      </c>
      <c r="AN43" s="4">
        <f>IF(Q43="","-",Q43)</f>
        <v>3</v>
      </c>
      <c r="AO43" s="4">
        <f>IF(R43="","-",R43)</f>
        <v>99999</v>
      </c>
      <c r="AP43" s="4" t="s">
        <v>409</v>
      </c>
      <c r="AQ43" s="4" t="s">
        <v>699</v>
      </c>
      <c r="AR43" s="4"/>
      <c r="AS43" s="4"/>
      <c r="AT43" s="4" t="s">
        <v>699</v>
      </c>
      <c r="AU43" s="4" t="s">
        <v>699</v>
      </c>
      <c r="AV43" s="4" t="str">
        <f t="shared" si="15"/>
        <v>-</v>
      </c>
      <c r="AW43" s="19">
        <v>4</v>
      </c>
      <c r="AX43" s="19">
        <v>1</v>
      </c>
      <c r="AY43" s="16">
        <v>19</v>
      </c>
      <c r="AZ43" t="s">
        <v>699</v>
      </c>
      <c r="BA43" t="str">
        <f>IFERROR(AZ43*AL43,"-")</f>
        <v>-</v>
      </c>
      <c r="BB43">
        <v>195</v>
      </c>
      <c r="BC43">
        <f>IFERROR(BB43*AL43,"-")</f>
        <v>216.66666666666669</v>
      </c>
      <c r="BD43" t="s">
        <v>699</v>
      </c>
    </row>
    <row r="44" spans="1:56" x14ac:dyDescent="0.4">
      <c r="A44" s="3">
        <v>216</v>
      </c>
      <c r="B44" s="3">
        <v>216</v>
      </c>
      <c r="C44" s="4">
        <v>673807</v>
      </c>
      <c r="D44" s="4" t="str">
        <f t="shared" si="0"/>
        <v>673807</v>
      </c>
      <c r="E44" s="4">
        <v>673807</v>
      </c>
      <c r="F44" s="4" t="s">
        <v>322</v>
      </c>
      <c r="G44" s="5">
        <v>4535627600426</v>
      </c>
      <c r="H44" s="5"/>
      <c r="I44" s="5"/>
      <c r="J44" s="5">
        <v>1</v>
      </c>
      <c r="K44" s="5">
        <v>1</v>
      </c>
      <c r="L44" s="4">
        <v>330</v>
      </c>
      <c r="M44" s="4">
        <v>255</v>
      </c>
      <c r="N44" s="4">
        <v>139</v>
      </c>
      <c r="O44" s="6">
        <f t="shared" si="1"/>
        <v>0.45490196078431377</v>
      </c>
      <c r="P44" s="4" t="s">
        <v>699</v>
      </c>
      <c r="Q44" s="4" t="s">
        <v>699</v>
      </c>
      <c r="R44" s="4" t="s">
        <v>699</v>
      </c>
      <c r="S44" s="4">
        <v>350</v>
      </c>
      <c r="T44" s="4">
        <f t="shared" si="2"/>
        <v>350</v>
      </c>
      <c r="U44" s="4">
        <v>147</v>
      </c>
      <c r="V44" s="4">
        <f t="shared" si="3"/>
        <v>147</v>
      </c>
      <c r="W44" s="4"/>
      <c r="X44" s="21">
        <f t="shared" si="4"/>
        <v>270</v>
      </c>
      <c r="Y44" s="6">
        <f t="shared" si="5"/>
        <v>0.4555555555555556</v>
      </c>
      <c r="Z44" s="33">
        <v>15.5</v>
      </c>
      <c r="AA44" s="4">
        <f t="shared" si="6"/>
        <v>253</v>
      </c>
      <c r="AB44" s="33">
        <f t="shared" si="7"/>
        <v>267.56115107913672</v>
      </c>
      <c r="AC44" s="6">
        <f t="shared" si="8"/>
        <v>0.45059288537549413</v>
      </c>
      <c r="AD44" s="7">
        <v>260</v>
      </c>
      <c r="AE44" s="6">
        <f t="shared" si="9"/>
        <v>0.43461538461538463</v>
      </c>
      <c r="AF44" s="4">
        <f t="shared" si="10"/>
        <v>113</v>
      </c>
      <c r="AG44" s="28"/>
      <c r="AH44" s="6"/>
      <c r="AI44" s="6"/>
      <c r="AJ44" s="6">
        <f t="shared" si="11"/>
        <v>1.0606060606060606</v>
      </c>
      <c r="AK44" s="6">
        <f t="shared" si="12"/>
        <v>1.0196078431372548</v>
      </c>
      <c r="AL44" s="6">
        <f t="shared" si="13"/>
        <v>1.0575539568345325</v>
      </c>
      <c r="AM44" s="4" t="str">
        <f t="shared" si="14"/>
        <v>-</v>
      </c>
      <c r="AN44" s="4" t="str">
        <f>IF(Q44="","-",Q44)</f>
        <v>-</v>
      </c>
      <c r="AO44" s="4" t="str">
        <f>IF(R44="","-",R44)</f>
        <v>-</v>
      </c>
      <c r="AP44" s="4" t="s">
        <v>412</v>
      </c>
      <c r="AQ44" s="4" t="s">
        <v>955</v>
      </c>
      <c r="AR44" s="4"/>
      <c r="AS44" s="4"/>
      <c r="AT44" s="4" t="s">
        <v>956</v>
      </c>
      <c r="AU44" s="4">
        <v>253</v>
      </c>
      <c r="AV44" s="4">
        <f t="shared" si="15"/>
        <v>253</v>
      </c>
      <c r="AW44" s="19">
        <v>4</v>
      </c>
      <c r="AX44" s="19">
        <v>1</v>
      </c>
      <c r="AY44" s="16">
        <v>19</v>
      </c>
      <c r="AZ44">
        <v>250</v>
      </c>
      <c r="BA44">
        <f>IFERROR(AZ44*AL44,"-")</f>
        <v>264.38848920863313</v>
      </c>
      <c r="BB44">
        <v>330</v>
      </c>
      <c r="BC44">
        <f>IFERROR(BB44*AL44,"-")</f>
        <v>348.99280575539569</v>
      </c>
      <c r="BD44" t="s">
        <v>632</v>
      </c>
    </row>
    <row r="45" spans="1:56" x14ac:dyDescent="0.4">
      <c r="A45" s="3">
        <v>51</v>
      </c>
      <c r="B45" s="3">
        <v>51</v>
      </c>
      <c r="C45" s="4">
        <v>102419</v>
      </c>
      <c r="D45" s="4" t="str">
        <f t="shared" si="0"/>
        <v>102419</v>
      </c>
      <c r="E45" s="4">
        <v>102419</v>
      </c>
      <c r="F45" s="4" t="s">
        <v>157</v>
      </c>
      <c r="G45" s="5">
        <v>4535627601041</v>
      </c>
      <c r="H45" s="5"/>
      <c r="I45" s="5"/>
      <c r="J45" s="5">
        <v>1</v>
      </c>
      <c r="K45" s="5">
        <v>1</v>
      </c>
      <c r="L45" s="4">
        <v>340</v>
      </c>
      <c r="M45" s="4">
        <v>261</v>
      </c>
      <c r="N45" s="4">
        <v>142</v>
      </c>
      <c r="O45" s="6">
        <f t="shared" si="1"/>
        <v>0.45593869731800762</v>
      </c>
      <c r="P45" s="4" t="s">
        <v>699</v>
      </c>
      <c r="Q45" s="4" t="s">
        <v>699</v>
      </c>
      <c r="R45" s="4" t="s">
        <v>699</v>
      </c>
      <c r="S45" s="4">
        <v>360</v>
      </c>
      <c r="T45" s="4">
        <f t="shared" si="2"/>
        <v>360</v>
      </c>
      <c r="U45" s="4">
        <v>150</v>
      </c>
      <c r="V45" s="4">
        <f t="shared" si="3"/>
        <v>150</v>
      </c>
      <c r="W45" s="4"/>
      <c r="X45" s="21">
        <f t="shared" si="4"/>
        <v>276</v>
      </c>
      <c r="Y45" s="6">
        <f t="shared" si="5"/>
        <v>0.45652173913043481</v>
      </c>
      <c r="Z45" s="33">
        <v>2</v>
      </c>
      <c r="AA45" s="4">
        <f t="shared" si="6"/>
        <v>248</v>
      </c>
      <c r="AB45" s="33">
        <f t="shared" si="7"/>
        <v>261.97183098591546</v>
      </c>
      <c r="AC45" s="6">
        <f t="shared" si="8"/>
        <v>0.42741935483870963</v>
      </c>
      <c r="AD45" s="7">
        <v>261</v>
      </c>
      <c r="AE45" s="6">
        <f t="shared" si="9"/>
        <v>0.42528735632183912</v>
      </c>
      <c r="AF45" s="4">
        <f t="shared" si="10"/>
        <v>111</v>
      </c>
      <c r="AG45" s="28"/>
      <c r="AH45" s="6"/>
      <c r="AI45" s="6"/>
      <c r="AJ45" s="6">
        <f t="shared" si="11"/>
        <v>1.0588235294117647</v>
      </c>
      <c r="AK45" s="6">
        <f t="shared" si="12"/>
        <v>1</v>
      </c>
      <c r="AL45" s="6">
        <f t="shared" si="13"/>
        <v>1.056338028169014</v>
      </c>
      <c r="AM45" s="4" t="str">
        <f t="shared" si="14"/>
        <v>-</v>
      </c>
      <c r="AN45" s="4" t="str">
        <f>IF(Q45="","-",Q45)</f>
        <v>-</v>
      </c>
      <c r="AO45" s="4" t="str">
        <f>IF(R45="","-",R45)</f>
        <v>-</v>
      </c>
      <c r="AP45" s="4" t="s">
        <v>412</v>
      </c>
      <c r="AQ45" s="4" t="s">
        <v>752</v>
      </c>
      <c r="AR45" s="4"/>
      <c r="AS45" s="4"/>
      <c r="AT45" s="4" t="s">
        <v>753</v>
      </c>
      <c r="AU45" s="4">
        <v>248</v>
      </c>
      <c r="AV45" s="4">
        <f t="shared" si="15"/>
        <v>248</v>
      </c>
      <c r="AW45" s="19">
        <v>4</v>
      </c>
      <c r="AX45" s="19">
        <v>1</v>
      </c>
      <c r="AY45" s="16">
        <v>19</v>
      </c>
      <c r="AZ45" t="s">
        <v>699</v>
      </c>
      <c r="BA45" t="str">
        <f>IFERROR(AZ45*AL45,"-")</f>
        <v>-</v>
      </c>
      <c r="BB45" t="s">
        <v>699</v>
      </c>
      <c r="BC45" t="str">
        <f>IFERROR(BB45*AL45,"-")</f>
        <v>-</v>
      </c>
      <c r="BD45" t="s">
        <v>465</v>
      </c>
    </row>
    <row r="46" spans="1:56" x14ac:dyDescent="0.4">
      <c r="A46" s="3">
        <v>140</v>
      </c>
      <c r="B46" s="3">
        <v>140</v>
      </c>
      <c r="C46" s="40">
        <v>369122</v>
      </c>
      <c r="D46" s="4" t="str">
        <f t="shared" si="0"/>
        <v>369122</v>
      </c>
      <c r="E46" s="4">
        <v>369122</v>
      </c>
      <c r="F46" s="4" t="s">
        <v>246</v>
      </c>
      <c r="G46" s="5">
        <v>4535627109127</v>
      </c>
      <c r="H46" s="5"/>
      <c r="I46" s="5"/>
      <c r="J46" s="5">
        <v>2</v>
      </c>
      <c r="K46" s="5">
        <v>2</v>
      </c>
      <c r="L46" s="4">
        <v>360</v>
      </c>
      <c r="M46" s="4">
        <v>241</v>
      </c>
      <c r="N46" s="4">
        <v>144</v>
      </c>
      <c r="O46" s="6">
        <f t="shared" si="1"/>
        <v>0.40248962655601661</v>
      </c>
      <c r="P46" s="4" t="s">
        <v>699</v>
      </c>
      <c r="Q46" s="4" t="s">
        <v>699</v>
      </c>
      <c r="R46" s="4" t="s">
        <v>699</v>
      </c>
      <c r="S46" s="4">
        <v>380</v>
      </c>
      <c r="T46" s="4">
        <f t="shared" si="2"/>
        <v>380</v>
      </c>
      <c r="U46" s="4">
        <v>152</v>
      </c>
      <c r="V46" s="4">
        <f t="shared" si="3"/>
        <v>152</v>
      </c>
      <c r="W46" s="4"/>
      <c r="X46" s="21">
        <f t="shared" si="4"/>
        <v>254</v>
      </c>
      <c r="Y46" s="6">
        <f t="shared" si="5"/>
        <v>0.40157480314960625</v>
      </c>
      <c r="Z46" s="33">
        <v>22.5</v>
      </c>
      <c r="AA46" s="4">
        <f t="shared" si="6"/>
        <v>360</v>
      </c>
      <c r="AB46" s="33">
        <f t="shared" si="7"/>
        <v>380</v>
      </c>
      <c r="AC46" s="6">
        <f t="shared" si="8"/>
        <v>0.6</v>
      </c>
      <c r="AD46" s="7">
        <v>260</v>
      </c>
      <c r="AE46" s="6">
        <f t="shared" si="9"/>
        <v>0.41538461538461535</v>
      </c>
      <c r="AF46" s="4">
        <f t="shared" si="10"/>
        <v>108</v>
      </c>
      <c r="AG46" s="28"/>
      <c r="AH46" s="6"/>
      <c r="AI46" s="6"/>
      <c r="AJ46" s="6">
        <f t="shared" si="11"/>
        <v>1.0555555555555556</v>
      </c>
      <c r="AK46" s="6">
        <f t="shared" si="12"/>
        <v>1.0788381742738589</v>
      </c>
      <c r="AL46" s="6">
        <f t="shared" si="13"/>
        <v>1.0555555555555556</v>
      </c>
      <c r="AM46" s="4" t="str">
        <f t="shared" si="14"/>
        <v>-</v>
      </c>
      <c r="AN46" s="4" t="str">
        <f>IF(Q46="","-",Q46)</f>
        <v>-</v>
      </c>
      <c r="AO46" s="4" t="str">
        <f>IF(R46="","-",R46)</f>
        <v>-</v>
      </c>
      <c r="AP46" s="4" t="s">
        <v>421</v>
      </c>
      <c r="AQ46" s="4" t="s">
        <v>858</v>
      </c>
      <c r="AR46" s="4">
        <v>1</v>
      </c>
      <c r="AS46" s="4">
        <v>5</v>
      </c>
      <c r="AT46" s="4" t="s">
        <v>859</v>
      </c>
      <c r="AU46" s="4">
        <v>1800</v>
      </c>
      <c r="AV46" s="4">
        <f t="shared" si="15"/>
        <v>360</v>
      </c>
      <c r="AW46" s="19">
        <v>4</v>
      </c>
      <c r="AX46" s="19">
        <v>1</v>
      </c>
      <c r="AY46" s="16">
        <v>19</v>
      </c>
      <c r="AZ46">
        <v>263</v>
      </c>
      <c r="BA46">
        <f>IFERROR(AZ46*AL46,"-")</f>
        <v>277.61111111111114</v>
      </c>
      <c r="BB46">
        <v>360</v>
      </c>
      <c r="BC46">
        <f>IFERROR(BB46*AL46,"-")</f>
        <v>380</v>
      </c>
      <c r="BD46" t="s">
        <v>552</v>
      </c>
    </row>
    <row r="47" spans="1:56" x14ac:dyDescent="0.4">
      <c r="A47" s="3">
        <v>288</v>
      </c>
      <c r="B47" s="3">
        <v>140</v>
      </c>
      <c r="C47" s="40">
        <v>369122</v>
      </c>
      <c r="D47" s="4" t="str">
        <f t="shared" si="0"/>
        <v>369122</v>
      </c>
      <c r="E47" s="4">
        <v>369123</v>
      </c>
      <c r="F47" s="4" t="s">
        <v>395</v>
      </c>
      <c r="G47" s="5">
        <v>4535627109127</v>
      </c>
      <c r="H47" s="5">
        <v>8</v>
      </c>
      <c r="I47" s="5" t="str">
        <f>C47&amp;H47</f>
        <v>3691228</v>
      </c>
      <c r="J47" s="5"/>
      <c r="K47" s="5"/>
      <c r="L47" s="4">
        <v>3600</v>
      </c>
      <c r="M47" s="4">
        <v>2273</v>
      </c>
      <c r="N47" s="4">
        <v>1440</v>
      </c>
      <c r="O47" s="6">
        <f t="shared" si="1"/>
        <v>0.36647602287725478</v>
      </c>
      <c r="P47" s="4" t="s">
        <v>699</v>
      </c>
      <c r="Q47" s="4" t="s">
        <v>699</v>
      </c>
      <c r="R47" s="4" t="s">
        <v>699</v>
      </c>
      <c r="S47" s="4">
        <v>380</v>
      </c>
      <c r="T47" s="4">
        <f t="shared" si="2"/>
        <v>3800</v>
      </c>
      <c r="U47" s="4">
        <v>152</v>
      </c>
      <c r="V47" s="4">
        <f t="shared" si="3"/>
        <v>1520</v>
      </c>
      <c r="W47" s="4">
        <v>10</v>
      </c>
      <c r="X47" s="21">
        <f t="shared" si="4"/>
        <v>2399</v>
      </c>
      <c r="Y47" s="6">
        <f t="shared" si="5"/>
        <v>0.36640266777824093</v>
      </c>
      <c r="Z47" s="33">
        <v>22.5</v>
      </c>
      <c r="AA47" s="4">
        <f t="shared" si="6"/>
        <v>1800</v>
      </c>
      <c r="AB47" s="33">
        <f t="shared" si="7"/>
        <v>1900</v>
      </c>
      <c r="AC47" s="6">
        <f t="shared" si="8"/>
        <v>0.19999999999999996</v>
      </c>
      <c r="AD47" s="7">
        <v>2400</v>
      </c>
      <c r="AE47" s="6">
        <f t="shared" si="9"/>
        <v>0.3666666666666667</v>
      </c>
      <c r="AF47" s="4">
        <f t="shared" si="10"/>
        <v>880</v>
      </c>
      <c r="AG47" s="28"/>
      <c r="AH47" s="6"/>
      <c r="AI47" s="6"/>
      <c r="AJ47" s="6">
        <f t="shared" si="11"/>
        <v>1.0555555555555556</v>
      </c>
      <c r="AK47" s="6">
        <f t="shared" si="12"/>
        <v>1.0558732952045755</v>
      </c>
      <c r="AL47" s="6">
        <f t="shared" si="13"/>
        <v>1.0555555555555556</v>
      </c>
      <c r="AM47" s="4" t="str">
        <f t="shared" si="14"/>
        <v>-</v>
      </c>
      <c r="AN47" s="4" t="str">
        <f>IF(Q47="","-",Q47)</f>
        <v>-</v>
      </c>
      <c r="AO47" s="4" t="str">
        <f>IF(R47="","-",R47)</f>
        <v>-</v>
      </c>
      <c r="AP47" s="4" t="s">
        <v>421</v>
      </c>
      <c r="AQ47" s="4" t="s">
        <v>858</v>
      </c>
      <c r="AR47" s="4"/>
      <c r="AS47" s="4"/>
      <c r="AT47" s="4" t="s">
        <v>859</v>
      </c>
      <c r="AU47" s="4">
        <v>1800</v>
      </c>
      <c r="AV47" s="4">
        <f t="shared" si="15"/>
        <v>1800</v>
      </c>
      <c r="AW47" s="19">
        <v>4</v>
      </c>
      <c r="AX47" s="19">
        <v>1</v>
      </c>
      <c r="AY47" s="16">
        <v>19</v>
      </c>
      <c r="AZ47">
        <v>263</v>
      </c>
      <c r="BA47">
        <f>IFERROR(AZ47*AL47,"-")</f>
        <v>277.61111111111114</v>
      </c>
      <c r="BB47">
        <v>360</v>
      </c>
      <c r="BC47">
        <f>IFERROR(BB47*AL47,"-")</f>
        <v>380</v>
      </c>
      <c r="BD47" t="s">
        <v>552</v>
      </c>
    </row>
    <row r="48" spans="1:56" x14ac:dyDescent="0.4">
      <c r="A48" s="3">
        <v>67</v>
      </c>
      <c r="B48" s="3">
        <v>67</v>
      </c>
      <c r="C48" s="4">
        <v>11674</v>
      </c>
      <c r="D48" s="4" t="str">
        <f t="shared" si="0"/>
        <v>011674</v>
      </c>
      <c r="E48" s="4">
        <v>528093</v>
      </c>
      <c r="F48" s="4" t="s">
        <v>173</v>
      </c>
      <c r="G48" s="5">
        <v>4535627108229</v>
      </c>
      <c r="H48" s="5"/>
      <c r="I48" s="5"/>
      <c r="J48" s="5">
        <v>1</v>
      </c>
      <c r="K48" s="5">
        <v>1</v>
      </c>
      <c r="L48" s="4">
        <v>380</v>
      </c>
      <c r="M48" s="4">
        <v>243</v>
      </c>
      <c r="N48" s="4">
        <v>160</v>
      </c>
      <c r="O48" s="6">
        <f t="shared" si="1"/>
        <v>0.34156378600823045</v>
      </c>
      <c r="P48" s="4">
        <v>210</v>
      </c>
      <c r="Q48" s="4">
        <v>5</v>
      </c>
      <c r="R48" s="4">
        <v>99999</v>
      </c>
      <c r="S48" s="4">
        <v>400</v>
      </c>
      <c r="T48" s="4">
        <f t="shared" si="2"/>
        <v>400</v>
      </c>
      <c r="U48" s="4">
        <v>168</v>
      </c>
      <c r="V48" s="4">
        <f t="shared" si="3"/>
        <v>168</v>
      </c>
      <c r="W48" s="4"/>
      <c r="X48" s="21">
        <f t="shared" si="4"/>
        <v>255</v>
      </c>
      <c r="Y48" s="6">
        <f t="shared" si="5"/>
        <v>0.3411764705882353</v>
      </c>
      <c r="Z48" s="33">
        <v>1</v>
      </c>
      <c r="AA48" s="4">
        <f t="shared" si="6"/>
        <v>380</v>
      </c>
      <c r="AB48" s="33">
        <f t="shared" si="7"/>
        <v>399</v>
      </c>
      <c r="AC48" s="6">
        <f t="shared" si="8"/>
        <v>0.57894736842105265</v>
      </c>
      <c r="AD48" s="7">
        <v>270</v>
      </c>
      <c r="AE48" s="6">
        <f t="shared" si="9"/>
        <v>0.37777777777777777</v>
      </c>
      <c r="AF48" s="4">
        <f t="shared" si="10"/>
        <v>102</v>
      </c>
      <c r="AG48" s="28"/>
      <c r="AH48" s="6"/>
      <c r="AI48" s="6"/>
      <c r="AJ48" s="6">
        <f t="shared" si="11"/>
        <v>1.0526315789473684</v>
      </c>
      <c r="AK48" s="6">
        <f t="shared" si="12"/>
        <v>1.1111111111111112</v>
      </c>
      <c r="AL48" s="6">
        <f t="shared" si="13"/>
        <v>1.05</v>
      </c>
      <c r="AM48" s="4">
        <v>250</v>
      </c>
      <c r="AN48" s="4">
        <f>IF(Q48="","-",Q48)</f>
        <v>5</v>
      </c>
      <c r="AO48" s="4">
        <f>IF(R48="","-",R48)</f>
        <v>99999</v>
      </c>
      <c r="AP48" s="4" t="s">
        <v>414</v>
      </c>
      <c r="AQ48" s="4" t="s">
        <v>771</v>
      </c>
      <c r="AR48" s="4"/>
      <c r="AS48" s="4"/>
      <c r="AT48" s="4" t="s">
        <v>749</v>
      </c>
      <c r="AU48" s="4">
        <v>380</v>
      </c>
      <c r="AV48" s="4">
        <f t="shared" si="15"/>
        <v>380</v>
      </c>
      <c r="AW48" s="19">
        <v>4</v>
      </c>
      <c r="AX48" s="19">
        <v>1</v>
      </c>
      <c r="AY48" s="16">
        <v>19</v>
      </c>
      <c r="AZ48" t="s">
        <v>699</v>
      </c>
      <c r="BA48" t="str">
        <f>IFERROR(AZ48*AL48,"-")</f>
        <v>-</v>
      </c>
      <c r="BB48">
        <v>263</v>
      </c>
      <c r="BC48">
        <f>IFERROR(BB48*AL48,"-")</f>
        <v>276.15000000000003</v>
      </c>
      <c r="BD48" t="s">
        <v>481</v>
      </c>
    </row>
    <row r="49" spans="1:56" x14ac:dyDescent="0.4">
      <c r="A49" s="3">
        <v>68</v>
      </c>
      <c r="B49" s="3">
        <v>68</v>
      </c>
      <c r="C49" s="4">
        <v>11675</v>
      </c>
      <c r="D49" s="4" t="str">
        <f t="shared" si="0"/>
        <v>011675</v>
      </c>
      <c r="E49" s="4">
        <v>528102</v>
      </c>
      <c r="F49" s="4" t="s">
        <v>174</v>
      </c>
      <c r="G49" s="5">
        <v>4535627108212</v>
      </c>
      <c r="H49" s="5"/>
      <c r="I49" s="5"/>
      <c r="J49" s="5">
        <v>1</v>
      </c>
      <c r="K49" s="5">
        <v>1</v>
      </c>
      <c r="L49" s="4">
        <v>380</v>
      </c>
      <c r="M49" s="4">
        <v>243</v>
      </c>
      <c r="N49" s="4">
        <v>160</v>
      </c>
      <c r="O49" s="6">
        <f t="shared" si="1"/>
        <v>0.34156378600823045</v>
      </c>
      <c r="P49" s="4">
        <v>210</v>
      </c>
      <c r="Q49" s="4">
        <v>5</v>
      </c>
      <c r="R49" s="4">
        <v>99999</v>
      </c>
      <c r="S49" s="4">
        <v>400</v>
      </c>
      <c r="T49" s="4">
        <f t="shared" si="2"/>
        <v>400</v>
      </c>
      <c r="U49" s="4">
        <v>168</v>
      </c>
      <c r="V49" s="4">
        <f t="shared" si="3"/>
        <v>168</v>
      </c>
      <c r="W49" s="4"/>
      <c r="X49" s="21">
        <f t="shared" si="4"/>
        <v>255</v>
      </c>
      <c r="Y49" s="6">
        <f t="shared" si="5"/>
        <v>0.3411764705882353</v>
      </c>
      <c r="Z49" s="33">
        <v>2.25</v>
      </c>
      <c r="AA49" s="4">
        <f t="shared" si="6"/>
        <v>380</v>
      </c>
      <c r="AB49" s="33">
        <f t="shared" si="7"/>
        <v>399</v>
      </c>
      <c r="AC49" s="6">
        <f t="shared" si="8"/>
        <v>0.57894736842105265</v>
      </c>
      <c r="AD49" s="7">
        <v>270</v>
      </c>
      <c r="AE49" s="6">
        <f t="shared" si="9"/>
        <v>0.37777777777777777</v>
      </c>
      <c r="AF49" s="4">
        <f t="shared" si="10"/>
        <v>102</v>
      </c>
      <c r="AG49" s="28"/>
      <c r="AH49" s="6"/>
      <c r="AI49" s="6"/>
      <c r="AJ49" s="6">
        <f t="shared" si="11"/>
        <v>1.0526315789473684</v>
      </c>
      <c r="AK49" s="6">
        <f t="shared" si="12"/>
        <v>1.1111111111111112</v>
      </c>
      <c r="AL49" s="6">
        <f t="shared" si="13"/>
        <v>1.05</v>
      </c>
      <c r="AM49" s="4">
        <v>250</v>
      </c>
      <c r="AN49" s="4">
        <f>IF(Q49="","-",Q49)</f>
        <v>5</v>
      </c>
      <c r="AO49" s="4">
        <f>IF(R49="","-",R49)</f>
        <v>99999</v>
      </c>
      <c r="AP49" s="4" t="s">
        <v>414</v>
      </c>
      <c r="AQ49" s="4" t="s">
        <v>772</v>
      </c>
      <c r="AR49" s="4"/>
      <c r="AS49" s="4"/>
      <c r="AT49" s="4" t="s">
        <v>773</v>
      </c>
      <c r="AU49" s="4">
        <v>380</v>
      </c>
      <c r="AV49" s="4">
        <f t="shared" si="15"/>
        <v>380</v>
      </c>
      <c r="AW49" s="19">
        <v>4</v>
      </c>
      <c r="AX49" s="19">
        <v>1</v>
      </c>
      <c r="AY49" s="16">
        <v>19</v>
      </c>
      <c r="AZ49" t="s">
        <v>699</v>
      </c>
      <c r="BA49" t="str">
        <f>IFERROR(AZ49*AL49,"-")</f>
        <v>-</v>
      </c>
      <c r="BB49">
        <v>361</v>
      </c>
      <c r="BC49">
        <f>IFERROR(BB49*AL49,"-")</f>
        <v>379.05</v>
      </c>
      <c r="BD49" t="s">
        <v>482</v>
      </c>
    </row>
    <row r="50" spans="1:56" x14ac:dyDescent="0.4">
      <c r="A50" s="3">
        <v>69</v>
      </c>
      <c r="B50" s="3">
        <v>69</v>
      </c>
      <c r="C50" s="4">
        <v>11676</v>
      </c>
      <c r="D50" s="4" t="str">
        <f t="shared" si="0"/>
        <v>011676</v>
      </c>
      <c r="E50" s="4">
        <v>528111</v>
      </c>
      <c r="F50" s="4" t="s">
        <v>175</v>
      </c>
      <c r="G50" s="5">
        <v>4535627108205</v>
      </c>
      <c r="H50" s="5"/>
      <c r="I50" s="5"/>
      <c r="J50" s="5">
        <v>1</v>
      </c>
      <c r="K50" s="5">
        <v>1</v>
      </c>
      <c r="L50" s="4">
        <v>380</v>
      </c>
      <c r="M50" s="4">
        <v>243</v>
      </c>
      <c r="N50" s="4">
        <v>160</v>
      </c>
      <c r="O50" s="6">
        <f t="shared" si="1"/>
        <v>0.34156378600823045</v>
      </c>
      <c r="P50" s="4">
        <v>210</v>
      </c>
      <c r="Q50" s="4">
        <v>5</v>
      </c>
      <c r="R50" s="4">
        <v>99999</v>
      </c>
      <c r="S50" s="4">
        <v>400</v>
      </c>
      <c r="T50" s="4">
        <f t="shared" si="2"/>
        <v>400</v>
      </c>
      <c r="U50" s="4">
        <v>168</v>
      </c>
      <c r="V50" s="4">
        <f t="shared" si="3"/>
        <v>168</v>
      </c>
      <c r="W50" s="4"/>
      <c r="X50" s="21">
        <f t="shared" si="4"/>
        <v>255</v>
      </c>
      <c r="Y50" s="6">
        <f t="shared" si="5"/>
        <v>0.3411764705882353</v>
      </c>
      <c r="Z50" s="33">
        <v>13.750000000000002</v>
      </c>
      <c r="AA50" s="4">
        <f t="shared" si="6"/>
        <v>380</v>
      </c>
      <c r="AB50" s="33">
        <f t="shared" si="7"/>
        <v>399</v>
      </c>
      <c r="AC50" s="6">
        <f t="shared" si="8"/>
        <v>0.57894736842105265</v>
      </c>
      <c r="AD50" s="7">
        <v>270</v>
      </c>
      <c r="AE50" s="6">
        <f t="shared" si="9"/>
        <v>0.37777777777777777</v>
      </c>
      <c r="AF50" s="4">
        <f t="shared" si="10"/>
        <v>102</v>
      </c>
      <c r="AG50" s="28"/>
      <c r="AH50" s="6"/>
      <c r="AI50" s="6"/>
      <c r="AJ50" s="6">
        <f t="shared" si="11"/>
        <v>1.0526315789473684</v>
      </c>
      <c r="AK50" s="6">
        <f t="shared" si="12"/>
        <v>1.1111111111111112</v>
      </c>
      <c r="AL50" s="6">
        <f t="shared" si="13"/>
        <v>1.05</v>
      </c>
      <c r="AM50" s="4">
        <v>250</v>
      </c>
      <c r="AN50" s="4">
        <f>IF(Q50="","-",Q50)</f>
        <v>5</v>
      </c>
      <c r="AO50" s="4">
        <f>IF(R50="","-",R50)</f>
        <v>99999</v>
      </c>
      <c r="AP50" s="4" t="s">
        <v>414</v>
      </c>
      <c r="AQ50" s="4" t="s">
        <v>774</v>
      </c>
      <c r="AR50" s="4"/>
      <c r="AS50" s="4"/>
      <c r="AT50" s="4" t="s">
        <v>749</v>
      </c>
      <c r="AU50" s="4">
        <v>380</v>
      </c>
      <c r="AV50" s="4">
        <f t="shared" si="15"/>
        <v>380</v>
      </c>
      <c r="AW50" s="19">
        <v>4</v>
      </c>
      <c r="AX50" s="19">
        <v>1</v>
      </c>
      <c r="AY50" s="16">
        <v>19</v>
      </c>
      <c r="AZ50" t="s">
        <v>699</v>
      </c>
      <c r="BA50" t="str">
        <f>IFERROR(AZ50*AL50,"-")</f>
        <v>-</v>
      </c>
      <c r="BB50">
        <v>263</v>
      </c>
      <c r="BC50">
        <f>IFERROR(BB50*AL50,"-")</f>
        <v>276.15000000000003</v>
      </c>
      <c r="BD50" t="s">
        <v>483</v>
      </c>
    </row>
    <row r="51" spans="1:56" x14ac:dyDescent="0.4">
      <c r="A51" s="3">
        <v>103</v>
      </c>
      <c r="B51" s="3">
        <v>103</v>
      </c>
      <c r="C51" s="4">
        <v>168820</v>
      </c>
      <c r="D51" s="4" t="str">
        <f t="shared" si="0"/>
        <v>168820</v>
      </c>
      <c r="E51" s="4">
        <v>168820</v>
      </c>
      <c r="F51" s="4" t="s">
        <v>209</v>
      </c>
      <c r="G51" s="5">
        <v>4535627107529</v>
      </c>
      <c r="H51" s="5"/>
      <c r="I51" s="5"/>
      <c r="J51" s="5">
        <v>1</v>
      </c>
      <c r="K51" s="5">
        <v>1</v>
      </c>
      <c r="L51" s="4">
        <v>0</v>
      </c>
      <c r="M51" s="4">
        <v>295</v>
      </c>
      <c r="N51" s="4">
        <v>160</v>
      </c>
      <c r="O51" s="6">
        <f t="shared" si="1"/>
        <v>0.4576271186440678</v>
      </c>
      <c r="P51" s="4" t="s">
        <v>699</v>
      </c>
      <c r="Q51" s="4" t="s">
        <v>699</v>
      </c>
      <c r="R51" s="4" t="s">
        <v>699</v>
      </c>
      <c r="S51" s="4">
        <v>0</v>
      </c>
      <c r="T51" s="4">
        <f t="shared" si="2"/>
        <v>0</v>
      </c>
      <c r="U51" s="4">
        <v>168</v>
      </c>
      <c r="V51" s="4">
        <f t="shared" si="3"/>
        <v>168</v>
      </c>
      <c r="W51" s="4"/>
      <c r="X51" s="21">
        <f t="shared" si="4"/>
        <v>310</v>
      </c>
      <c r="Y51" s="6">
        <f t="shared" si="5"/>
        <v>0.45806451612903221</v>
      </c>
      <c r="Z51" s="33">
        <v>2.75</v>
      </c>
      <c r="AA51" s="4">
        <f t="shared" si="6"/>
        <v>326</v>
      </c>
      <c r="AB51" s="33">
        <f t="shared" si="7"/>
        <v>342.3</v>
      </c>
      <c r="AC51" s="6">
        <f t="shared" si="8"/>
        <v>0.50920245398773001</v>
      </c>
      <c r="AD51" s="7">
        <v>280</v>
      </c>
      <c r="AE51" s="6">
        <f t="shared" si="9"/>
        <v>0.4</v>
      </c>
      <c r="AF51" s="4">
        <f t="shared" si="10"/>
        <v>112</v>
      </c>
      <c r="AG51" s="28"/>
      <c r="AH51" s="6"/>
      <c r="AI51" s="6"/>
      <c r="AJ51" s="6" t="str">
        <f t="shared" si="11"/>
        <v>-</v>
      </c>
      <c r="AK51" s="6">
        <f t="shared" si="12"/>
        <v>0.94915254237288138</v>
      </c>
      <c r="AL51" s="6">
        <f t="shared" si="13"/>
        <v>1.05</v>
      </c>
      <c r="AM51" s="4" t="str">
        <f t="shared" ref="AM51:AM84" si="16">IFERROR(ROUND($AD51*P51/$M51,0),"-")</f>
        <v>-</v>
      </c>
      <c r="AN51" s="4" t="str">
        <f>IF(Q51="","-",Q51)</f>
        <v>-</v>
      </c>
      <c r="AO51" s="4" t="str">
        <f>IF(R51="","-",R51)</f>
        <v>-</v>
      </c>
      <c r="AP51" s="4">
        <v>0</v>
      </c>
      <c r="AQ51" s="4" t="s">
        <v>818</v>
      </c>
      <c r="AR51" s="4"/>
      <c r="AS51" s="4"/>
      <c r="AT51" s="4" t="s">
        <v>721</v>
      </c>
      <c r="AU51" s="4">
        <v>326</v>
      </c>
      <c r="AV51" s="4">
        <f t="shared" si="15"/>
        <v>326</v>
      </c>
      <c r="AW51" s="19">
        <v>4</v>
      </c>
      <c r="AX51" s="19">
        <v>1</v>
      </c>
      <c r="AY51" s="16">
        <v>19</v>
      </c>
      <c r="AZ51" t="s">
        <v>699</v>
      </c>
      <c r="BA51" t="str">
        <f>IFERROR(AZ51*AL51,"-")</f>
        <v>-</v>
      </c>
      <c r="BB51">
        <v>269</v>
      </c>
      <c r="BC51">
        <f>IFERROR(BB51*AL51,"-")</f>
        <v>282.45</v>
      </c>
      <c r="BD51" t="s">
        <v>517</v>
      </c>
    </row>
    <row r="52" spans="1:56" x14ac:dyDescent="0.4">
      <c r="A52" s="3">
        <v>52</v>
      </c>
      <c r="B52" s="3">
        <v>52</v>
      </c>
      <c r="C52" s="4">
        <v>102421</v>
      </c>
      <c r="D52" s="4" t="str">
        <f t="shared" si="0"/>
        <v>102421</v>
      </c>
      <c r="E52" s="4">
        <v>102421</v>
      </c>
      <c r="F52" s="4" t="s">
        <v>158</v>
      </c>
      <c r="G52" s="5">
        <v>4535627601058</v>
      </c>
      <c r="H52" s="5"/>
      <c r="I52" s="5"/>
      <c r="J52" s="5">
        <v>1</v>
      </c>
      <c r="K52" s="5">
        <v>1</v>
      </c>
      <c r="L52" s="4">
        <v>400</v>
      </c>
      <c r="M52" s="4">
        <v>312</v>
      </c>
      <c r="N52" s="4">
        <v>168</v>
      </c>
      <c r="O52" s="6">
        <f t="shared" si="1"/>
        <v>0.46153846153846156</v>
      </c>
      <c r="P52" s="4" t="s">
        <v>699</v>
      </c>
      <c r="Q52" s="4" t="s">
        <v>699</v>
      </c>
      <c r="R52" s="4" t="s">
        <v>699</v>
      </c>
      <c r="S52" s="4">
        <v>420</v>
      </c>
      <c r="T52" s="4">
        <f t="shared" si="2"/>
        <v>420</v>
      </c>
      <c r="U52" s="4">
        <v>176</v>
      </c>
      <c r="V52" s="4">
        <f t="shared" si="3"/>
        <v>176</v>
      </c>
      <c r="W52" s="4"/>
      <c r="X52" s="21">
        <f t="shared" si="4"/>
        <v>327</v>
      </c>
      <c r="Y52" s="6">
        <f t="shared" si="5"/>
        <v>0.46177370030581044</v>
      </c>
      <c r="Z52" s="33">
        <v>0.5</v>
      </c>
      <c r="AA52" s="4" t="str">
        <f t="shared" si="6"/>
        <v>-</v>
      </c>
      <c r="AB52" s="33" t="str">
        <f t="shared" si="7"/>
        <v>-</v>
      </c>
      <c r="AC52" s="6" t="str">
        <f t="shared" si="8"/>
        <v>-</v>
      </c>
      <c r="AD52" s="7">
        <v>320</v>
      </c>
      <c r="AE52" s="6">
        <f t="shared" si="9"/>
        <v>0.44999999999999996</v>
      </c>
      <c r="AF52" s="4">
        <f t="shared" si="10"/>
        <v>144</v>
      </c>
      <c r="AG52" s="28"/>
      <c r="AH52" s="6"/>
      <c r="AI52" s="6"/>
      <c r="AJ52" s="6">
        <f t="shared" si="11"/>
        <v>1.05</v>
      </c>
      <c r="AK52" s="6">
        <f t="shared" si="12"/>
        <v>1.0256410256410255</v>
      </c>
      <c r="AL52" s="6">
        <f t="shared" si="13"/>
        <v>1.0476190476190477</v>
      </c>
      <c r="AM52" s="4" t="str">
        <f t="shared" si="16"/>
        <v>-</v>
      </c>
      <c r="AN52" s="4" t="str">
        <f>IF(Q52="","-",Q52)</f>
        <v>-</v>
      </c>
      <c r="AO52" s="4" t="str">
        <f>IF(R52="","-",R52)</f>
        <v>-</v>
      </c>
      <c r="AP52" s="4" t="s">
        <v>412</v>
      </c>
      <c r="AQ52" s="4" t="s">
        <v>699</v>
      </c>
      <c r="AR52" s="4"/>
      <c r="AS52" s="4"/>
      <c r="AT52" s="4" t="s">
        <v>699</v>
      </c>
      <c r="AU52" s="4" t="s">
        <v>699</v>
      </c>
      <c r="AV52" s="4" t="str">
        <f t="shared" si="15"/>
        <v>-</v>
      </c>
      <c r="AW52" s="19">
        <v>4</v>
      </c>
      <c r="AX52" s="19">
        <v>1</v>
      </c>
      <c r="AY52" s="16">
        <v>19</v>
      </c>
      <c r="AZ52" t="s">
        <v>699</v>
      </c>
      <c r="BA52" t="str">
        <f>IFERROR(AZ52*AL52,"-")</f>
        <v>-</v>
      </c>
      <c r="BB52">
        <v>4000</v>
      </c>
      <c r="BC52">
        <f>IFERROR(BB52*AL52,"-")</f>
        <v>4190.4761904761908</v>
      </c>
      <c r="BD52" t="s">
        <v>699</v>
      </c>
    </row>
    <row r="53" spans="1:56" x14ac:dyDescent="0.4">
      <c r="A53" s="3">
        <v>141</v>
      </c>
      <c r="B53" s="3">
        <v>141</v>
      </c>
      <c r="C53" s="40">
        <v>369124</v>
      </c>
      <c r="D53" s="4" t="str">
        <f t="shared" si="0"/>
        <v>369124</v>
      </c>
      <c r="E53" s="4">
        <v>369124</v>
      </c>
      <c r="F53" s="4" t="s">
        <v>247</v>
      </c>
      <c r="G53" s="5">
        <v>4535627109110</v>
      </c>
      <c r="H53" s="5"/>
      <c r="I53" s="5"/>
      <c r="J53" s="5">
        <v>2</v>
      </c>
      <c r="K53" s="5">
        <v>2</v>
      </c>
      <c r="L53" s="4">
        <v>420</v>
      </c>
      <c r="M53" s="4">
        <v>268</v>
      </c>
      <c r="N53" s="4">
        <v>168</v>
      </c>
      <c r="O53" s="6">
        <f t="shared" si="1"/>
        <v>0.37313432835820892</v>
      </c>
      <c r="P53" s="4" t="s">
        <v>699</v>
      </c>
      <c r="Q53" s="4" t="s">
        <v>699</v>
      </c>
      <c r="R53" s="4" t="s">
        <v>699</v>
      </c>
      <c r="S53" s="4">
        <v>440</v>
      </c>
      <c r="T53" s="4">
        <f t="shared" si="2"/>
        <v>440</v>
      </c>
      <c r="U53" s="4">
        <v>176</v>
      </c>
      <c r="V53" s="4">
        <f t="shared" si="3"/>
        <v>176</v>
      </c>
      <c r="W53" s="4"/>
      <c r="X53" s="21">
        <f t="shared" si="4"/>
        <v>281</v>
      </c>
      <c r="Y53" s="6">
        <f t="shared" si="5"/>
        <v>0.37366548042704628</v>
      </c>
      <c r="Z53" s="33">
        <v>13.25</v>
      </c>
      <c r="AA53" s="4">
        <f t="shared" si="6"/>
        <v>344</v>
      </c>
      <c r="AB53" s="33">
        <f t="shared" si="7"/>
        <v>360.38095238095241</v>
      </c>
      <c r="AC53" s="6">
        <f t="shared" si="8"/>
        <v>0.51162790697674421</v>
      </c>
      <c r="AD53" s="7">
        <v>300</v>
      </c>
      <c r="AE53" s="6">
        <f t="shared" si="9"/>
        <v>0.41333333333333333</v>
      </c>
      <c r="AF53" s="4">
        <f t="shared" si="10"/>
        <v>124</v>
      </c>
      <c r="AG53" s="28"/>
      <c r="AH53" s="6"/>
      <c r="AI53" s="6"/>
      <c r="AJ53" s="6">
        <f t="shared" si="11"/>
        <v>1.0476190476190477</v>
      </c>
      <c r="AK53" s="6">
        <f t="shared" si="12"/>
        <v>1.1194029850746268</v>
      </c>
      <c r="AL53" s="6">
        <f t="shared" si="13"/>
        <v>1.0476190476190477</v>
      </c>
      <c r="AM53" s="4" t="str">
        <f t="shared" si="16"/>
        <v>-</v>
      </c>
      <c r="AN53" s="4" t="str">
        <f>IF(Q53="","-",Q53)</f>
        <v>-</v>
      </c>
      <c r="AO53" s="4" t="str">
        <f>IF(R53="","-",R53)</f>
        <v>-</v>
      </c>
      <c r="AP53" s="4" t="s">
        <v>421</v>
      </c>
      <c r="AQ53" s="4" t="s">
        <v>860</v>
      </c>
      <c r="AR53" s="4"/>
      <c r="AS53" s="4"/>
      <c r="AT53" s="4" t="s">
        <v>721</v>
      </c>
      <c r="AU53" s="4">
        <v>344</v>
      </c>
      <c r="AV53" s="4">
        <f t="shared" si="15"/>
        <v>344</v>
      </c>
      <c r="AW53" s="19">
        <v>4</v>
      </c>
      <c r="AX53" s="19">
        <v>1</v>
      </c>
      <c r="AY53" s="16">
        <v>19</v>
      </c>
      <c r="AZ53">
        <v>305</v>
      </c>
      <c r="BA53">
        <f>IFERROR(AZ53*AL53,"-")</f>
        <v>319.52380952380952</v>
      </c>
      <c r="BB53">
        <v>315</v>
      </c>
      <c r="BC53">
        <f>IFERROR(BB53*AL53,"-")</f>
        <v>330</v>
      </c>
      <c r="BD53" t="s">
        <v>553</v>
      </c>
    </row>
    <row r="54" spans="1:56" x14ac:dyDescent="0.4">
      <c r="A54" s="3">
        <v>289</v>
      </c>
      <c r="B54" s="3">
        <v>141</v>
      </c>
      <c r="C54" s="40">
        <v>369124</v>
      </c>
      <c r="D54" s="4" t="str">
        <f t="shared" si="0"/>
        <v>369124</v>
      </c>
      <c r="E54" s="4">
        <v>369126</v>
      </c>
      <c r="F54" s="4" t="s">
        <v>396</v>
      </c>
      <c r="G54" s="5">
        <v>4535627109110</v>
      </c>
      <c r="H54" s="5">
        <v>8</v>
      </c>
      <c r="I54" s="5" t="str">
        <f>C54&amp;H54</f>
        <v>3691248</v>
      </c>
      <c r="J54" s="5"/>
      <c r="K54" s="5"/>
      <c r="L54" s="4">
        <v>4200</v>
      </c>
      <c r="M54" s="4">
        <v>2621</v>
      </c>
      <c r="N54" s="4">
        <v>1680</v>
      </c>
      <c r="O54" s="6">
        <f t="shared" si="1"/>
        <v>0.35902327355971009</v>
      </c>
      <c r="P54" s="4" t="s">
        <v>699</v>
      </c>
      <c r="Q54" s="4" t="s">
        <v>699</v>
      </c>
      <c r="R54" s="4" t="s">
        <v>699</v>
      </c>
      <c r="S54" s="4">
        <v>440</v>
      </c>
      <c r="T54" s="4">
        <f t="shared" si="2"/>
        <v>4400</v>
      </c>
      <c r="U54" s="4">
        <v>176</v>
      </c>
      <c r="V54" s="4">
        <f t="shared" si="3"/>
        <v>1760</v>
      </c>
      <c r="W54" s="4">
        <v>10</v>
      </c>
      <c r="X54" s="21">
        <f t="shared" si="4"/>
        <v>2746</v>
      </c>
      <c r="Y54" s="6">
        <f t="shared" si="5"/>
        <v>0.35906773488710853</v>
      </c>
      <c r="Z54" s="33">
        <v>13.25</v>
      </c>
      <c r="AA54" s="4">
        <f t="shared" si="6"/>
        <v>3044</v>
      </c>
      <c r="AB54" s="33">
        <f t="shared" si="7"/>
        <v>3188.9523809523812</v>
      </c>
      <c r="AC54" s="6">
        <f t="shared" si="8"/>
        <v>0.44809461235216819</v>
      </c>
      <c r="AD54" s="7">
        <v>2800</v>
      </c>
      <c r="AE54" s="6">
        <f t="shared" si="9"/>
        <v>0.37142857142857144</v>
      </c>
      <c r="AF54" s="4">
        <f t="shared" si="10"/>
        <v>1040</v>
      </c>
      <c r="AG54" s="28"/>
      <c r="AH54" s="6"/>
      <c r="AI54" s="6"/>
      <c r="AJ54" s="6">
        <f t="shared" si="11"/>
        <v>1.0476190476190477</v>
      </c>
      <c r="AK54" s="6">
        <f t="shared" si="12"/>
        <v>1.0682945440671499</v>
      </c>
      <c r="AL54" s="6">
        <f t="shared" si="13"/>
        <v>1.0476190476190477</v>
      </c>
      <c r="AM54" s="4" t="str">
        <f t="shared" si="16"/>
        <v>-</v>
      </c>
      <c r="AN54" s="4" t="str">
        <f>IF(Q54="","-",Q54)</f>
        <v>-</v>
      </c>
      <c r="AO54" s="4" t="str">
        <f>IF(R54="","-",R54)</f>
        <v>-</v>
      </c>
      <c r="AP54" s="4" t="s">
        <v>421</v>
      </c>
      <c r="AQ54" s="4" t="s">
        <v>861</v>
      </c>
      <c r="AR54" s="4"/>
      <c r="AS54" s="4"/>
      <c r="AT54" s="4" t="s">
        <v>862</v>
      </c>
      <c r="AU54" s="4">
        <v>3044</v>
      </c>
      <c r="AV54" s="4">
        <f t="shared" si="15"/>
        <v>3044</v>
      </c>
      <c r="AW54" s="19">
        <v>4</v>
      </c>
      <c r="AX54" s="19">
        <v>1</v>
      </c>
      <c r="AY54" s="16">
        <v>19</v>
      </c>
      <c r="AZ54">
        <v>305</v>
      </c>
      <c r="BA54">
        <f>IFERROR(AZ54*AL54,"-")</f>
        <v>319.52380952380952</v>
      </c>
      <c r="BB54">
        <v>315</v>
      </c>
      <c r="BC54">
        <f>IFERROR(BB54*AL54,"-")</f>
        <v>330</v>
      </c>
      <c r="BD54" t="s">
        <v>554</v>
      </c>
    </row>
    <row r="55" spans="1:56" x14ac:dyDescent="0.4">
      <c r="A55" s="3">
        <v>197</v>
      </c>
      <c r="B55" s="3">
        <v>197</v>
      </c>
      <c r="C55" s="40">
        <v>650390</v>
      </c>
      <c r="D55" s="4" t="str">
        <f t="shared" si="0"/>
        <v>650390</v>
      </c>
      <c r="E55" s="4">
        <v>650390</v>
      </c>
      <c r="F55" s="4" t="s">
        <v>303</v>
      </c>
      <c r="G55" s="5">
        <v>4535627101206</v>
      </c>
      <c r="H55" s="5"/>
      <c r="I55" s="5"/>
      <c r="J55" s="5">
        <v>2</v>
      </c>
      <c r="K55" s="5">
        <v>2</v>
      </c>
      <c r="L55" s="4">
        <v>1000</v>
      </c>
      <c r="M55" s="4">
        <v>466</v>
      </c>
      <c r="N55" s="4">
        <v>160</v>
      </c>
      <c r="O55" s="6">
        <f t="shared" si="1"/>
        <v>0.6566523605150214</v>
      </c>
      <c r="P55" s="4" t="s">
        <v>699</v>
      </c>
      <c r="Q55" s="4" t="s">
        <v>699</v>
      </c>
      <c r="R55" s="4" t="s">
        <v>699</v>
      </c>
      <c r="S55" s="4">
        <v>1100</v>
      </c>
      <c r="T55" s="4">
        <f t="shared" si="2"/>
        <v>1100</v>
      </c>
      <c r="U55" s="4">
        <v>176</v>
      </c>
      <c r="V55" s="4">
        <f t="shared" si="3"/>
        <v>176</v>
      </c>
      <c r="W55" s="4"/>
      <c r="X55" s="21">
        <f t="shared" si="4"/>
        <v>513</v>
      </c>
      <c r="Y55" s="6">
        <f t="shared" si="5"/>
        <v>0.65692007797270957</v>
      </c>
      <c r="Z55" s="33">
        <v>153</v>
      </c>
      <c r="AA55" s="4">
        <f t="shared" si="6"/>
        <v>999</v>
      </c>
      <c r="AB55" s="33">
        <f t="shared" si="7"/>
        <v>1098.9000000000001</v>
      </c>
      <c r="AC55" s="6">
        <f t="shared" si="8"/>
        <v>0.8398398398398399</v>
      </c>
      <c r="AD55" s="7">
        <v>500</v>
      </c>
      <c r="AE55" s="6">
        <f t="shared" si="9"/>
        <v>0.64800000000000002</v>
      </c>
      <c r="AF55" s="4">
        <f t="shared" si="10"/>
        <v>324</v>
      </c>
      <c r="AG55" s="28"/>
      <c r="AH55" s="6"/>
      <c r="AI55" s="6"/>
      <c r="AJ55" s="6">
        <f t="shared" si="11"/>
        <v>1.1000000000000001</v>
      </c>
      <c r="AK55" s="6">
        <f t="shared" si="12"/>
        <v>1.0729613733905579</v>
      </c>
      <c r="AL55" s="6">
        <f t="shared" si="13"/>
        <v>1.1000000000000001</v>
      </c>
      <c r="AM55" s="4" t="str">
        <f t="shared" si="16"/>
        <v>-</v>
      </c>
      <c r="AN55" s="4" t="str">
        <f>IF(Q55="","-",Q55)</f>
        <v>-</v>
      </c>
      <c r="AO55" s="4" t="str">
        <f>IF(R55="","-",R55)</f>
        <v>-</v>
      </c>
      <c r="AP55" s="4" t="s">
        <v>407</v>
      </c>
      <c r="AQ55" s="4" t="s">
        <v>928</v>
      </c>
      <c r="AR55" s="4"/>
      <c r="AS55" s="4"/>
      <c r="AT55" s="4" t="s">
        <v>705</v>
      </c>
      <c r="AU55" s="4">
        <v>999</v>
      </c>
      <c r="AV55" s="4">
        <f t="shared" si="15"/>
        <v>999</v>
      </c>
      <c r="AW55" s="19">
        <v>4</v>
      </c>
      <c r="AX55" s="19">
        <v>1</v>
      </c>
      <c r="AY55" s="16">
        <v>19</v>
      </c>
      <c r="AZ55">
        <v>5380</v>
      </c>
      <c r="BA55">
        <f>IFERROR(AZ55*AL55,"-")</f>
        <v>5918.0000000000009</v>
      </c>
      <c r="BB55">
        <v>690</v>
      </c>
      <c r="BC55">
        <f>IFERROR(BB55*AL55,"-")</f>
        <v>759.00000000000011</v>
      </c>
      <c r="BD55" t="s">
        <v>612</v>
      </c>
    </row>
    <row r="56" spans="1:56" x14ac:dyDescent="0.4">
      <c r="A56" s="3">
        <v>298</v>
      </c>
      <c r="B56" s="3">
        <v>197</v>
      </c>
      <c r="C56" s="40">
        <v>650390</v>
      </c>
      <c r="D56" s="4" t="str">
        <f t="shared" si="0"/>
        <v>650390</v>
      </c>
      <c r="E56" s="4">
        <v>650419</v>
      </c>
      <c r="F56" s="4" t="s">
        <v>405</v>
      </c>
      <c r="G56" s="5">
        <v>4535627101206</v>
      </c>
      <c r="H56" s="5">
        <v>8</v>
      </c>
      <c r="I56" s="5" t="str">
        <f>C56&amp;H56</f>
        <v>6503908</v>
      </c>
      <c r="J56" s="5"/>
      <c r="K56" s="5"/>
      <c r="L56" s="4">
        <v>10000</v>
      </c>
      <c r="M56" s="4">
        <v>3293</v>
      </c>
      <c r="N56" s="4">
        <v>1600</v>
      </c>
      <c r="O56" s="6">
        <f t="shared" si="1"/>
        <v>0.51412086243546917</v>
      </c>
      <c r="P56" s="4" t="s">
        <v>699</v>
      </c>
      <c r="Q56" s="4" t="s">
        <v>699</v>
      </c>
      <c r="R56" s="4" t="s">
        <v>699</v>
      </c>
      <c r="S56" s="4">
        <v>1100</v>
      </c>
      <c r="T56" s="4">
        <f t="shared" si="2"/>
        <v>11000</v>
      </c>
      <c r="U56" s="4">
        <v>176</v>
      </c>
      <c r="V56" s="4">
        <f t="shared" si="3"/>
        <v>1760</v>
      </c>
      <c r="W56" s="4">
        <v>10</v>
      </c>
      <c r="X56" s="21">
        <f t="shared" si="4"/>
        <v>3622</v>
      </c>
      <c r="Y56" s="6">
        <f t="shared" si="5"/>
        <v>0.51408061844284925</v>
      </c>
      <c r="Z56" s="33">
        <v>153</v>
      </c>
      <c r="AA56" s="4">
        <f t="shared" si="6"/>
        <v>1960</v>
      </c>
      <c r="AB56" s="33">
        <f t="shared" si="7"/>
        <v>2156</v>
      </c>
      <c r="AC56" s="6">
        <f t="shared" si="8"/>
        <v>0.18367346938775508</v>
      </c>
      <c r="AD56" s="7">
        <v>4000</v>
      </c>
      <c r="AE56" s="6">
        <f t="shared" si="9"/>
        <v>0.56000000000000005</v>
      </c>
      <c r="AF56" s="4">
        <f t="shared" si="10"/>
        <v>2240</v>
      </c>
      <c r="AG56" s="28"/>
      <c r="AH56" s="6"/>
      <c r="AI56" s="6"/>
      <c r="AJ56" s="6">
        <f t="shared" si="11"/>
        <v>1.1000000000000001</v>
      </c>
      <c r="AK56" s="6">
        <f t="shared" si="12"/>
        <v>1.214697843911327</v>
      </c>
      <c r="AL56" s="6">
        <f t="shared" si="13"/>
        <v>1.1000000000000001</v>
      </c>
      <c r="AM56" s="4" t="str">
        <f t="shared" si="16"/>
        <v>-</v>
      </c>
      <c r="AN56" s="4" t="str">
        <f>IF(Q56="","-",Q56)</f>
        <v>-</v>
      </c>
      <c r="AO56" s="4" t="str">
        <f>IF(R56="","-",R56)</f>
        <v>-</v>
      </c>
      <c r="AP56" s="4" t="s">
        <v>407</v>
      </c>
      <c r="AQ56" s="4" t="s">
        <v>929</v>
      </c>
      <c r="AR56" s="4"/>
      <c r="AS56" s="4"/>
      <c r="AT56" s="4" t="s">
        <v>930</v>
      </c>
      <c r="AU56" s="4">
        <v>1960</v>
      </c>
      <c r="AV56" s="4">
        <f t="shared" si="15"/>
        <v>1960</v>
      </c>
      <c r="AW56" s="19">
        <v>4</v>
      </c>
      <c r="AX56" s="19">
        <v>1</v>
      </c>
      <c r="AY56" s="16">
        <v>19</v>
      </c>
      <c r="AZ56">
        <v>5380</v>
      </c>
      <c r="BA56">
        <f>IFERROR(AZ56*AL56,"-")</f>
        <v>5918.0000000000009</v>
      </c>
      <c r="BB56">
        <v>690</v>
      </c>
      <c r="BC56">
        <f>IFERROR(BB56*AL56,"-")</f>
        <v>759.00000000000011</v>
      </c>
      <c r="BD56" t="s">
        <v>613</v>
      </c>
    </row>
    <row r="57" spans="1:56" x14ac:dyDescent="0.4">
      <c r="A57" s="3">
        <v>272</v>
      </c>
      <c r="B57" s="3">
        <v>272</v>
      </c>
      <c r="C57" s="4" t="s">
        <v>95</v>
      </c>
      <c r="D57" s="4" t="str">
        <f t="shared" si="0"/>
        <v>J914RW</v>
      </c>
      <c r="E57" s="4" t="s">
        <v>95</v>
      </c>
      <c r="F57" s="4" t="s">
        <v>378</v>
      </c>
      <c r="G57" s="5">
        <v>4535627104801</v>
      </c>
      <c r="H57" s="5"/>
      <c r="I57" s="5"/>
      <c r="J57" s="5">
        <v>1</v>
      </c>
      <c r="K57" s="5">
        <v>1</v>
      </c>
      <c r="L57" s="4">
        <v>400</v>
      </c>
      <c r="M57" s="4">
        <v>362</v>
      </c>
      <c r="N57" s="4">
        <v>168</v>
      </c>
      <c r="O57" s="6">
        <f t="shared" si="1"/>
        <v>0.53591160220994483</v>
      </c>
      <c r="P57" s="4" t="s">
        <v>699</v>
      </c>
      <c r="Q57" s="4" t="s">
        <v>699</v>
      </c>
      <c r="R57" s="4" t="s">
        <v>699</v>
      </c>
      <c r="S57" s="4">
        <v>420</v>
      </c>
      <c r="T57" s="4">
        <f t="shared" si="2"/>
        <v>420</v>
      </c>
      <c r="U57" s="4">
        <v>176</v>
      </c>
      <c r="V57" s="4">
        <f t="shared" si="3"/>
        <v>176</v>
      </c>
      <c r="W57" s="4"/>
      <c r="X57" s="21">
        <f t="shared" si="4"/>
        <v>379</v>
      </c>
      <c r="Y57" s="6">
        <f t="shared" si="5"/>
        <v>0.53562005277044855</v>
      </c>
      <c r="Z57" s="33">
        <v>2</v>
      </c>
      <c r="AA57" s="4">
        <f t="shared" si="6"/>
        <v>360</v>
      </c>
      <c r="AB57" s="33">
        <f t="shared" si="7"/>
        <v>377.14285714285717</v>
      </c>
      <c r="AC57" s="6">
        <f t="shared" si="8"/>
        <v>0.53333333333333344</v>
      </c>
      <c r="AD57" s="7">
        <v>365</v>
      </c>
      <c r="AE57" s="6">
        <f t="shared" si="9"/>
        <v>0.51780821917808217</v>
      </c>
      <c r="AF57" s="4">
        <f t="shared" si="10"/>
        <v>189</v>
      </c>
      <c r="AG57" s="28"/>
      <c r="AH57" s="6"/>
      <c r="AI57" s="6"/>
      <c r="AJ57" s="6">
        <f t="shared" si="11"/>
        <v>1.05</v>
      </c>
      <c r="AK57" s="6">
        <f t="shared" si="12"/>
        <v>1.0082872928176796</v>
      </c>
      <c r="AL57" s="6">
        <f t="shared" si="13"/>
        <v>1.0476190476190477</v>
      </c>
      <c r="AM57" s="4" t="str">
        <f t="shared" si="16"/>
        <v>-</v>
      </c>
      <c r="AN57" s="4" t="str">
        <f>IF(Q57="","-",Q57)</f>
        <v>-</v>
      </c>
      <c r="AO57" s="4" t="str">
        <f>IF(R57="","-",R57)</f>
        <v>-</v>
      </c>
      <c r="AP57" s="4" t="s">
        <v>411</v>
      </c>
      <c r="AQ57" s="4" t="s">
        <v>1016</v>
      </c>
      <c r="AR57" s="4"/>
      <c r="AS57" s="4"/>
      <c r="AT57" s="4" t="s">
        <v>749</v>
      </c>
      <c r="AU57" s="4">
        <v>360</v>
      </c>
      <c r="AV57" s="4">
        <f t="shared" si="15"/>
        <v>360</v>
      </c>
      <c r="AW57" s="19">
        <v>4</v>
      </c>
      <c r="AX57" s="19">
        <v>1</v>
      </c>
      <c r="AY57" s="16">
        <v>19</v>
      </c>
      <c r="AZ57" t="s">
        <v>699</v>
      </c>
      <c r="BA57" t="str">
        <f>IFERROR(AZ57*AL57,"-")</f>
        <v>-</v>
      </c>
      <c r="BB57">
        <v>360</v>
      </c>
      <c r="BC57">
        <f>IFERROR(BB57*AL57,"-")</f>
        <v>377.14285714285717</v>
      </c>
      <c r="BD57" t="s">
        <v>687</v>
      </c>
    </row>
    <row r="58" spans="1:56" x14ac:dyDescent="0.4">
      <c r="A58" s="3">
        <v>226</v>
      </c>
      <c r="B58" s="3">
        <v>226</v>
      </c>
      <c r="C58" s="4">
        <v>758007</v>
      </c>
      <c r="D58" s="4" t="str">
        <f t="shared" si="0"/>
        <v>758007</v>
      </c>
      <c r="E58" s="4">
        <v>758007</v>
      </c>
      <c r="F58" s="4" t="s">
        <v>332</v>
      </c>
      <c r="G58" s="5">
        <v>4535627108700</v>
      </c>
      <c r="H58" s="5"/>
      <c r="I58" s="5"/>
      <c r="J58" s="5">
        <v>1</v>
      </c>
      <c r="K58" s="5">
        <v>1</v>
      </c>
      <c r="L58" s="4">
        <v>430</v>
      </c>
      <c r="M58" s="4">
        <v>300</v>
      </c>
      <c r="N58" s="4">
        <v>172</v>
      </c>
      <c r="O58" s="6">
        <f t="shared" si="1"/>
        <v>0.42666666666666664</v>
      </c>
      <c r="P58" s="4" t="s">
        <v>699</v>
      </c>
      <c r="Q58" s="4" t="s">
        <v>699</v>
      </c>
      <c r="R58" s="4" t="s">
        <v>699</v>
      </c>
      <c r="S58" s="4">
        <v>450</v>
      </c>
      <c r="T58" s="4">
        <f t="shared" si="2"/>
        <v>450</v>
      </c>
      <c r="U58" s="4">
        <v>180</v>
      </c>
      <c r="V58" s="4">
        <f t="shared" si="3"/>
        <v>180</v>
      </c>
      <c r="W58" s="4"/>
      <c r="X58" s="21">
        <f t="shared" si="4"/>
        <v>314</v>
      </c>
      <c r="Y58" s="6">
        <f t="shared" si="5"/>
        <v>0.42675159235668791</v>
      </c>
      <c r="Z58" s="33">
        <v>2</v>
      </c>
      <c r="AA58" s="4">
        <f t="shared" si="6"/>
        <v>428</v>
      </c>
      <c r="AB58" s="33">
        <f t="shared" si="7"/>
        <v>447.90697674418607</v>
      </c>
      <c r="AC58" s="6">
        <f t="shared" si="8"/>
        <v>0.59813084112149539</v>
      </c>
      <c r="AD58" s="7">
        <v>300</v>
      </c>
      <c r="AE58" s="6">
        <f t="shared" si="9"/>
        <v>0.4</v>
      </c>
      <c r="AF58" s="4">
        <f t="shared" si="10"/>
        <v>120</v>
      </c>
      <c r="AG58" s="28"/>
      <c r="AH58" s="6"/>
      <c r="AI58" s="6"/>
      <c r="AJ58" s="6">
        <f t="shared" si="11"/>
        <v>1.0465116279069768</v>
      </c>
      <c r="AK58" s="6">
        <f t="shared" si="12"/>
        <v>1</v>
      </c>
      <c r="AL58" s="6">
        <f t="shared" si="13"/>
        <v>1.0465116279069768</v>
      </c>
      <c r="AM58" s="4" t="str">
        <f t="shared" si="16"/>
        <v>-</v>
      </c>
      <c r="AN58" s="4" t="str">
        <f>IF(Q58="","-",Q58)</f>
        <v>-</v>
      </c>
      <c r="AO58" s="4" t="str">
        <f>IF(R58="","-",R58)</f>
        <v>-</v>
      </c>
      <c r="AP58" s="4" t="s">
        <v>414</v>
      </c>
      <c r="AQ58" s="4" t="s">
        <v>967</v>
      </c>
      <c r="AR58" s="4"/>
      <c r="AS58" s="4"/>
      <c r="AT58" s="4" t="s">
        <v>749</v>
      </c>
      <c r="AU58" s="4">
        <v>428</v>
      </c>
      <c r="AV58" s="4">
        <f t="shared" si="15"/>
        <v>428</v>
      </c>
      <c r="AW58" s="19">
        <v>4</v>
      </c>
      <c r="AX58" s="19">
        <v>1</v>
      </c>
      <c r="AY58" s="16">
        <v>19</v>
      </c>
      <c r="AZ58">
        <v>294</v>
      </c>
      <c r="BA58">
        <f>IFERROR(AZ58*AL58,"-")</f>
        <v>307.67441860465118</v>
      </c>
      <c r="BB58">
        <v>430</v>
      </c>
      <c r="BC58">
        <f>IFERROR(BB58*AL58,"-")</f>
        <v>450.00000000000006</v>
      </c>
      <c r="BD58" t="s">
        <v>642</v>
      </c>
    </row>
    <row r="59" spans="1:56" x14ac:dyDescent="0.4">
      <c r="A59" s="3">
        <v>34</v>
      </c>
      <c r="B59" s="3">
        <v>34</v>
      </c>
      <c r="C59" s="4">
        <v>11636</v>
      </c>
      <c r="D59" s="4" t="str">
        <f t="shared" si="0"/>
        <v>011636</v>
      </c>
      <c r="E59" s="4">
        <v>528516</v>
      </c>
      <c r="F59" s="4" t="s">
        <v>140</v>
      </c>
      <c r="G59" s="5">
        <v>4535627513023</v>
      </c>
      <c r="H59" s="5"/>
      <c r="I59" s="5"/>
      <c r="J59" s="5">
        <v>1</v>
      </c>
      <c r="K59" s="5">
        <v>1</v>
      </c>
      <c r="L59" s="4">
        <v>450</v>
      </c>
      <c r="M59" s="4">
        <v>315</v>
      </c>
      <c r="N59" s="4">
        <v>171</v>
      </c>
      <c r="O59" s="6">
        <f t="shared" si="1"/>
        <v>0.45714285714285718</v>
      </c>
      <c r="P59" s="4" t="s">
        <v>699</v>
      </c>
      <c r="Q59" s="4" t="s">
        <v>699</v>
      </c>
      <c r="R59" s="4" t="s">
        <v>699</v>
      </c>
      <c r="S59" s="4">
        <v>500</v>
      </c>
      <c r="T59" s="4">
        <f t="shared" si="2"/>
        <v>500</v>
      </c>
      <c r="U59" s="4">
        <v>190</v>
      </c>
      <c r="V59" s="4">
        <f t="shared" si="3"/>
        <v>190</v>
      </c>
      <c r="W59" s="4"/>
      <c r="X59" s="21">
        <f t="shared" si="4"/>
        <v>350</v>
      </c>
      <c r="Y59" s="6">
        <f t="shared" si="5"/>
        <v>0.45714285714285718</v>
      </c>
      <c r="Z59" s="33">
        <v>14.75</v>
      </c>
      <c r="AA59" s="4" t="str">
        <f t="shared" si="6"/>
        <v>-</v>
      </c>
      <c r="AB59" s="33" t="str">
        <f t="shared" si="7"/>
        <v>-</v>
      </c>
      <c r="AC59" s="6" t="str">
        <f t="shared" si="8"/>
        <v>-</v>
      </c>
      <c r="AD59" s="7">
        <v>350</v>
      </c>
      <c r="AE59" s="6">
        <f t="shared" si="9"/>
        <v>0.45714285714285718</v>
      </c>
      <c r="AF59" s="4">
        <f t="shared" si="10"/>
        <v>160</v>
      </c>
      <c r="AG59" s="28"/>
      <c r="AH59" s="6"/>
      <c r="AI59" s="6"/>
      <c r="AJ59" s="6">
        <f t="shared" si="11"/>
        <v>1.1111111111111112</v>
      </c>
      <c r="AK59" s="6">
        <f t="shared" si="12"/>
        <v>1.1111111111111112</v>
      </c>
      <c r="AL59" s="6">
        <f t="shared" si="13"/>
        <v>1.1111111111111112</v>
      </c>
      <c r="AM59" s="4" t="str">
        <f t="shared" si="16"/>
        <v>-</v>
      </c>
      <c r="AN59" s="4" t="str">
        <f>IF(Q59="","-",Q59)</f>
        <v>-</v>
      </c>
      <c r="AO59" s="4" t="str">
        <f>IF(R59="","-",R59)</f>
        <v>-</v>
      </c>
      <c r="AP59" s="4" t="s">
        <v>409</v>
      </c>
      <c r="AQ59" s="4" t="s">
        <v>699</v>
      </c>
      <c r="AR59" s="4"/>
      <c r="AS59" s="4"/>
      <c r="AT59" s="4" t="s">
        <v>699</v>
      </c>
      <c r="AU59" s="4" t="s">
        <v>699</v>
      </c>
      <c r="AV59" s="4" t="str">
        <f t="shared" si="15"/>
        <v>-</v>
      </c>
      <c r="AW59" s="19">
        <v>4</v>
      </c>
      <c r="AX59" s="19">
        <v>1</v>
      </c>
      <c r="AY59" s="16">
        <v>19</v>
      </c>
      <c r="AZ59">
        <v>268</v>
      </c>
      <c r="BA59">
        <f>IFERROR(AZ59*AL59,"-")</f>
        <v>297.77777777777777</v>
      </c>
      <c r="BB59">
        <v>334</v>
      </c>
      <c r="BC59">
        <f>IFERROR(BB59*AL59,"-")</f>
        <v>371.11111111111114</v>
      </c>
      <c r="BD59" t="s">
        <v>699</v>
      </c>
    </row>
    <row r="60" spans="1:56" x14ac:dyDescent="0.4">
      <c r="A60" s="3">
        <v>37</v>
      </c>
      <c r="B60" s="3">
        <v>37</v>
      </c>
      <c r="C60" s="4">
        <v>11637</v>
      </c>
      <c r="D60" s="4" t="str">
        <f t="shared" si="0"/>
        <v>011637</v>
      </c>
      <c r="E60" s="4">
        <v>528525</v>
      </c>
      <c r="F60" s="4" t="s">
        <v>143</v>
      </c>
      <c r="G60" s="5">
        <v>4535627513047</v>
      </c>
      <c r="H60" s="5"/>
      <c r="I60" s="5"/>
      <c r="J60" s="5">
        <v>1</v>
      </c>
      <c r="K60" s="5">
        <v>1</v>
      </c>
      <c r="L60" s="4">
        <v>450</v>
      </c>
      <c r="M60" s="4">
        <v>315</v>
      </c>
      <c r="N60" s="4">
        <v>171</v>
      </c>
      <c r="O60" s="6">
        <f t="shared" si="1"/>
        <v>0.45714285714285718</v>
      </c>
      <c r="P60" s="4" t="s">
        <v>699</v>
      </c>
      <c r="Q60" s="4" t="s">
        <v>699</v>
      </c>
      <c r="R60" s="4" t="s">
        <v>699</v>
      </c>
      <c r="S60" s="4">
        <v>500</v>
      </c>
      <c r="T60" s="4">
        <f t="shared" si="2"/>
        <v>500</v>
      </c>
      <c r="U60" s="4">
        <v>190</v>
      </c>
      <c r="V60" s="4">
        <f t="shared" si="3"/>
        <v>190</v>
      </c>
      <c r="W60" s="4"/>
      <c r="X60" s="21">
        <f t="shared" si="4"/>
        <v>350</v>
      </c>
      <c r="Y60" s="6">
        <f t="shared" si="5"/>
        <v>0.45714285714285718</v>
      </c>
      <c r="Z60" s="33">
        <v>7.5</v>
      </c>
      <c r="AA60" s="4">
        <f t="shared" si="6"/>
        <v>344</v>
      </c>
      <c r="AB60" s="33">
        <f t="shared" si="7"/>
        <v>382.22222222222223</v>
      </c>
      <c r="AC60" s="6">
        <f t="shared" si="8"/>
        <v>0.50290697674418605</v>
      </c>
      <c r="AD60" s="7">
        <v>350</v>
      </c>
      <c r="AE60" s="6">
        <f t="shared" si="9"/>
        <v>0.45714285714285718</v>
      </c>
      <c r="AF60" s="4">
        <f t="shared" si="10"/>
        <v>160</v>
      </c>
      <c r="AG60" s="28"/>
      <c r="AH60" s="6"/>
      <c r="AI60" s="6"/>
      <c r="AJ60" s="6">
        <f t="shared" si="11"/>
        <v>1.1111111111111112</v>
      </c>
      <c r="AK60" s="6">
        <f t="shared" si="12"/>
        <v>1.1111111111111112</v>
      </c>
      <c r="AL60" s="6">
        <f t="shared" si="13"/>
        <v>1.1111111111111112</v>
      </c>
      <c r="AM60" s="4" t="str">
        <f t="shared" si="16"/>
        <v>-</v>
      </c>
      <c r="AN60" s="4" t="str">
        <f>IF(Q60="","-",Q60)</f>
        <v>-</v>
      </c>
      <c r="AO60" s="4" t="str">
        <f>IF(R60="","-",R60)</f>
        <v>-</v>
      </c>
      <c r="AP60" s="4" t="s">
        <v>409</v>
      </c>
      <c r="AQ60" s="4" t="s">
        <v>735</v>
      </c>
      <c r="AR60" s="4"/>
      <c r="AS60" s="4"/>
      <c r="AT60" s="4" t="s">
        <v>736</v>
      </c>
      <c r="AU60" s="4">
        <v>344</v>
      </c>
      <c r="AV60" s="4">
        <f t="shared" si="15"/>
        <v>344</v>
      </c>
      <c r="AW60" s="19">
        <v>4</v>
      </c>
      <c r="AX60" s="19">
        <v>1</v>
      </c>
      <c r="AY60" s="16">
        <v>19</v>
      </c>
      <c r="AZ60">
        <v>268</v>
      </c>
      <c r="BA60">
        <f>IFERROR(AZ60*AL60,"-")</f>
        <v>297.77777777777777</v>
      </c>
      <c r="BB60">
        <v>334</v>
      </c>
      <c r="BC60">
        <f>IFERROR(BB60*AL60,"-")</f>
        <v>371.11111111111114</v>
      </c>
      <c r="BD60" t="s">
        <v>452</v>
      </c>
    </row>
    <row r="61" spans="1:56" x14ac:dyDescent="0.4">
      <c r="A61" s="3">
        <v>38</v>
      </c>
      <c r="B61" s="3">
        <v>38</v>
      </c>
      <c r="C61" s="4">
        <v>11638</v>
      </c>
      <c r="D61" s="4" t="str">
        <f t="shared" si="0"/>
        <v>011638</v>
      </c>
      <c r="E61" s="4">
        <v>528534</v>
      </c>
      <c r="F61" s="4" t="s">
        <v>144</v>
      </c>
      <c r="G61" s="5">
        <v>4535627513016</v>
      </c>
      <c r="H61" s="5"/>
      <c r="I61" s="5"/>
      <c r="J61" s="5">
        <v>1</v>
      </c>
      <c r="K61" s="5">
        <v>1</v>
      </c>
      <c r="L61" s="4">
        <v>450</v>
      </c>
      <c r="M61" s="4">
        <v>315</v>
      </c>
      <c r="N61" s="4">
        <v>171</v>
      </c>
      <c r="O61" s="6">
        <f t="shared" si="1"/>
        <v>0.45714285714285718</v>
      </c>
      <c r="P61" s="4" t="s">
        <v>699</v>
      </c>
      <c r="Q61" s="4" t="s">
        <v>699</v>
      </c>
      <c r="R61" s="4" t="s">
        <v>699</v>
      </c>
      <c r="S61" s="4">
        <v>500</v>
      </c>
      <c r="T61" s="4">
        <f t="shared" si="2"/>
        <v>500</v>
      </c>
      <c r="U61" s="4">
        <v>190</v>
      </c>
      <c r="V61" s="4">
        <f t="shared" si="3"/>
        <v>190</v>
      </c>
      <c r="W61" s="4"/>
      <c r="X61" s="21">
        <f t="shared" si="4"/>
        <v>350</v>
      </c>
      <c r="Y61" s="6">
        <f t="shared" si="5"/>
        <v>0.45714285714285718</v>
      </c>
      <c r="Z61" s="33">
        <v>9.25</v>
      </c>
      <c r="AA61" s="4">
        <f t="shared" si="6"/>
        <v>344</v>
      </c>
      <c r="AB61" s="33">
        <f t="shared" si="7"/>
        <v>382.22222222222223</v>
      </c>
      <c r="AC61" s="6">
        <f t="shared" si="8"/>
        <v>0.50290697674418605</v>
      </c>
      <c r="AD61" s="7">
        <v>350</v>
      </c>
      <c r="AE61" s="6">
        <f t="shared" si="9"/>
        <v>0.45714285714285718</v>
      </c>
      <c r="AF61" s="4">
        <f t="shared" si="10"/>
        <v>160</v>
      </c>
      <c r="AG61" s="28"/>
      <c r="AH61" s="6"/>
      <c r="AI61" s="6"/>
      <c r="AJ61" s="6">
        <f t="shared" si="11"/>
        <v>1.1111111111111112</v>
      </c>
      <c r="AK61" s="6">
        <f t="shared" si="12"/>
        <v>1.1111111111111112</v>
      </c>
      <c r="AL61" s="6">
        <f t="shared" si="13"/>
        <v>1.1111111111111112</v>
      </c>
      <c r="AM61" s="4" t="str">
        <f t="shared" si="16"/>
        <v>-</v>
      </c>
      <c r="AN61" s="4" t="str">
        <f>IF(Q61="","-",Q61)</f>
        <v>-</v>
      </c>
      <c r="AO61" s="4" t="str">
        <f>IF(R61="","-",R61)</f>
        <v>-</v>
      </c>
      <c r="AP61" s="4" t="s">
        <v>409</v>
      </c>
      <c r="AQ61" s="4" t="s">
        <v>737</v>
      </c>
      <c r="AR61" s="4"/>
      <c r="AS61" s="4"/>
      <c r="AT61" s="4" t="s">
        <v>736</v>
      </c>
      <c r="AU61" s="4">
        <v>344</v>
      </c>
      <c r="AV61" s="4">
        <f t="shared" si="15"/>
        <v>344</v>
      </c>
      <c r="AW61" s="19">
        <v>4</v>
      </c>
      <c r="AX61" s="19">
        <v>1</v>
      </c>
      <c r="AY61" s="16">
        <v>19</v>
      </c>
      <c r="AZ61">
        <v>268</v>
      </c>
      <c r="BA61">
        <f>IFERROR(AZ61*AL61,"-")</f>
        <v>297.77777777777777</v>
      </c>
      <c r="BB61">
        <v>334</v>
      </c>
      <c r="BC61">
        <f>IFERROR(BB61*AL61,"-")</f>
        <v>371.11111111111114</v>
      </c>
      <c r="BD61" t="s">
        <v>453</v>
      </c>
    </row>
    <row r="62" spans="1:56" x14ac:dyDescent="0.4">
      <c r="A62" s="3">
        <v>39</v>
      </c>
      <c r="B62" s="3">
        <v>39</v>
      </c>
      <c r="C62" s="4">
        <v>11639</v>
      </c>
      <c r="D62" s="4" t="str">
        <f t="shared" si="0"/>
        <v>011639</v>
      </c>
      <c r="E62" s="4">
        <v>528543</v>
      </c>
      <c r="F62" s="4" t="s">
        <v>145</v>
      </c>
      <c r="G62" s="5">
        <v>4535627513061</v>
      </c>
      <c r="H62" s="5"/>
      <c r="I62" s="5"/>
      <c r="J62" s="5">
        <v>1</v>
      </c>
      <c r="K62" s="5">
        <v>1</v>
      </c>
      <c r="L62" s="4">
        <v>450</v>
      </c>
      <c r="M62" s="4">
        <v>315</v>
      </c>
      <c r="N62" s="4">
        <v>171</v>
      </c>
      <c r="O62" s="6">
        <f t="shared" si="1"/>
        <v>0.45714285714285718</v>
      </c>
      <c r="P62" s="4" t="s">
        <v>699</v>
      </c>
      <c r="Q62" s="4" t="s">
        <v>699</v>
      </c>
      <c r="R62" s="4" t="s">
        <v>699</v>
      </c>
      <c r="S62" s="4">
        <v>500</v>
      </c>
      <c r="T62" s="4">
        <f t="shared" si="2"/>
        <v>500</v>
      </c>
      <c r="U62" s="4">
        <v>190</v>
      </c>
      <c r="V62" s="4">
        <f t="shared" si="3"/>
        <v>190</v>
      </c>
      <c r="W62" s="4"/>
      <c r="X62" s="21">
        <f t="shared" si="4"/>
        <v>350</v>
      </c>
      <c r="Y62" s="6">
        <f t="shared" si="5"/>
        <v>0.45714285714285718</v>
      </c>
      <c r="Z62" s="33">
        <v>6</v>
      </c>
      <c r="AA62" s="4" t="str">
        <f t="shared" si="6"/>
        <v>-</v>
      </c>
      <c r="AB62" s="33" t="str">
        <f t="shared" si="7"/>
        <v>-</v>
      </c>
      <c r="AC62" s="6" t="str">
        <f t="shared" si="8"/>
        <v>-</v>
      </c>
      <c r="AD62" s="7">
        <v>350</v>
      </c>
      <c r="AE62" s="6">
        <f t="shared" si="9"/>
        <v>0.45714285714285718</v>
      </c>
      <c r="AF62" s="4">
        <f t="shared" si="10"/>
        <v>160</v>
      </c>
      <c r="AG62" s="28"/>
      <c r="AH62" s="6"/>
      <c r="AI62" s="6"/>
      <c r="AJ62" s="6">
        <f t="shared" si="11"/>
        <v>1.1111111111111112</v>
      </c>
      <c r="AK62" s="6">
        <f t="shared" si="12"/>
        <v>1.1111111111111112</v>
      </c>
      <c r="AL62" s="6">
        <f t="shared" si="13"/>
        <v>1.1111111111111112</v>
      </c>
      <c r="AM62" s="4" t="str">
        <f t="shared" si="16"/>
        <v>-</v>
      </c>
      <c r="AN62" s="4" t="str">
        <f>IF(Q62="","-",Q62)</f>
        <v>-</v>
      </c>
      <c r="AO62" s="4" t="str">
        <f>IF(R62="","-",R62)</f>
        <v>-</v>
      </c>
      <c r="AP62" s="4" t="s">
        <v>409</v>
      </c>
      <c r="AQ62" s="4" t="s">
        <v>699</v>
      </c>
      <c r="AR62" s="4"/>
      <c r="AS62" s="4"/>
      <c r="AT62" s="4" t="s">
        <v>699</v>
      </c>
      <c r="AU62" s="4" t="s">
        <v>699</v>
      </c>
      <c r="AV62" s="4" t="str">
        <f t="shared" si="15"/>
        <v>-</v>
      </c>
      <c r="AW62" s="19">
        <v>4</v>
      </c>
      <c r="AX62" s="19">
        <v>1</v>
      </c>
      <c r="AY62" s="16">
        <v>19</v>
      </c>
      <c r="AZ62" t="s">
        <v>699</v>
      </c>
      <c r="BA62" t="str">
        <f>IFERROR(AZ62*AL62,"-")</f>
        <v>-</v>
      </c>
      <c r="BB62">
        <v>334</v>
      </c>
      <c r="BC62">
        <f>IFERROR(BB62*AL62,"-")</f>
        <v>371.11111111111114</v>
      </c>
      <c r="BD62" t="s">
        <v>699</v>
      </c>
    </row>
    <row r="63" spans="1:56" x14ac:dyDescent="0.4">
      <c r="A63" s="3">
        <v>40</v>
      </c>
      <c r="B63" s="3">
        <v>40</v>
      </c>
      <c r="C63" s="4">
        <v>11640</v>
      </c>
      <c r="D63" s="4" t="str">
        <f t="shared" si="0"/>
        <v>011640</v>
      </c>
      <c r="E63" s="4">
        <v>528552</v>
      </c>
      <c r="F63" s="4" t="s">
        <v>146</v>
      </c>
      <c r="G63" s="5">
        <v>4535627513009</v>
      </c>
      <c r="H63" s="5"/>
      <c r="I63" s="5"/>
      <c r="J63" s="5">
        <v>1</v>
      </c>
      <c r="K63" s="5">
        <v>1</v>
      </c>
      <c r="L63" s="4">
        <v>450</v>
      </c>
      <c r="M63" s="4">
        <v>315</v>
      </c>
      <c r="N63" s="4">
        <v>171</v>
      </c>
      <c r="O63" s="6">
        <f t="shared" si="1"/>
        <v>0.45714285714285718</v>
      </c>
      <c r="P63" s="4" t="s">
        <v>699</v>
      </c>
      <c r="Q63" s="4" t="s">
        <v>699</v>
      </c>
      <c r="R63" s="4" t="s">
        <v>699</v>
      </c>
      <c r="S63" s="4">
        <v>500</v>
      </c>
      <c r="T63" s="4">
        <f t="shared" si="2"/>
        <v>500</v>
      </c>
      <c r="U63" s="4">
        <v>190</v>
      </c>
      <c r="V63" s="4">
        <f t="shared" si="3"/>
        <v>190</v>
      </c>
      <c r="W63" s="4"/>
      <c r="X63" s="21">
        <f t="shared" si="4"/>
        <v>350</v>
      </c>
      <c r="Y63" s="6">
        <f t="shared" si="5"/>
        <v>0.45714285714285718</v>
      </c>
      <c r="Z63" s="33">
        <v>22</v>
      </c>
      <c r="AA63" s="4">
        <f t="shared" si="6"/>
        <v>450</v>
      </c>
      <c r="AB63" s="33">
        <f t="shared" si="7"/>
        <v>500</v>
      </c>
      <c r="AC63" s="6">
        <f t="shared" si="8"/>
        <v>0.62</v>
      </c>
      <c r="AD63" s="7">
        <v>350</v>
      </c>
      <c r="AE63" s="6">
        <f t="shared" si="9"/>
        <v>0.45714285714285718</v>
      </c>
      <c r="AF63" s="4">
        <f t="shared" si="10"/>
        <v>160</v>
      </c>
      <c r="AG63" s="28"/>
      <c r="AH63" s="6"/>
      <c r="AI63" s="6"/>
      <c r="AJ63" s="6">
        <f t="shared" si="11"/>
        <v>1.1111111111111112</v>
      </c>
      <c r="AK63" s="6">
        <f t="shared" si="12"/>
        <v>1.1111111111111112</v>
      </c>
      <c r="AL63" s="6">
        <f t="shared" si="13"/>
        <v>1.1111111111111112</v>
      </c>
      <c r="AM63" s="4" t="str">
        <f t="shared" si="16"/>
        <v>-</v>
      </c>
      <c r="AN63" s="4" t="str">
        <f>IF(Q63="","-",Q63)</f>
        <v>-</v>
      </c>
      <c r="AO63" s="4" t="str">
        <f>IF(R63="","-",R63)</f>
        <v>-</v>
      </c>
      <c r="AP63" s="4" t="s">
        <v>409</v>
      </c>
      <c r="AQ63" s="4" t="s">
        <v>738</v>
      </c>
      <c r="AR63" s="4"/>
      <c r="AS63" s="4"/>
      <c r="AT63" s="4" t="s">
        <v>739</v>
      </c>
      <c r="AU63" s="4">
        <v>450</v>
      </c>
      <c r="AV63" s="4">
        <f t="shared" si="15"/>
        <v>450</v>
      </c>
      <c r="AW63" s="19">
        <v>4</v>
      </c>
      <c r="AX63" s="19">
        <v>1</v>
      </c>
      <c r="AY63" s="16">
        <v>19</v>
      </c>
      <c r="AZ63">
        <v>268</v>
      </c>
      <c r="BA63">
        <f>IFERROR(AZ63*AL63,"-")</f>
        <v>297.77777777777777</v>
      </c>
      <c r="BB63">
        <v>334</v>
      </c>
      <c r="BC63">
        <f>IFERROR(BB63*AL63,"-")</f>
        <v>371.11111111111114</v>
      </c>
      <c r="BD63" t="s">
        <v>454</v>
      </c>
    </row>
    <row r="64" spans="1:56" x14ac:dyDescent="0.4">
      <c r="A64" s="3">
        <v>41</v>
      </c>
      <c r="B64" s="3">
        <v>41</v>
      </c>
      <c r="C64" s="4">
        <v>11641</v>
      </c>
      <c r="D64" s="4" t="str">
        <f t="shared" si="0"/>
        <v>011641</v>
      </c>
      <c r="E64" s="4">
        <v>528561</v>
      </c>
      <c r="F64" s="4" t="s">
        <v>147</v>
      </c>
      <c r="G64" s="5">
        <v>4535627513054</v>
      </c>
      <c r="H64" s="5"/>
      <c r="I64" s="5"/>
      <c r="J64" s="5">
        <v>1</v>
      </c>
      <c r="K64" s="5">
        <v>1</v>
      </c>
      <c r="L64" s="4">
        <v>450</v>
      </c>
      <c r="M64" s="4">
        <v>315</v>
      </c>
      <c r="N64" s="4">
        <v>171</v>
      </c>
      <c r="O64" s="6">
        <f t="shared" si="1"/>
        <v>0.45714285714285718</v>
      </c>
      <c r="P64" s="4" t="s">
        <v>699</v>
      </c>
      <c r="Q64" s="4" t="s">
        <v>699</v>
      </c>
      <c r="R64" s="4" t="s">
        <v>699</v>
      </c>
      <c r="S64" s="4">
        <v>500</v>
      </c>
      <c r="T64" s="4">
        <f t="shared" si="2"/>
        <v>500</v>
      </c>
      <c r="U64" s="4">
        <v>190</v>
      </c>
      <c r="V64" s="4">
        <f t="shared" si="3"/>
        <v>190</v>
      </c>
      <c r="W64" s="4"/>
      <c r="X64" s="21">
        <f t="shared" si="4"/>
        <v>350</v>
      </c>
      <c r="Y64" s="6">
        <f t="shared" si="5"/>
        <v>0.45714285714285718</v>
      </c>
      <c r="Z64" s="33">
        <v>3.75</v>
      </c>
      <c r="AA64" s="4">
        <f t="shared" si="6"/>
        <v>328</v>
      </c>
      <c r="AB64" s="33">
        <f t="shared" si="7"/>
        <v>364.44444444444446</v>
      </c>
      <c r="AC64" s="6">
        <f t="shared" si="8"/>
        <v>0.47865853658536583</v>
      </c>
      <c r="AD64" s="7">
        <v>350</v>
      </c>
      <c r="AE64" s="6">
        <f t="shared" si="9"/>
        <v>0.45714285714285718</v>
      </c>
      <c r="AF64" s="4">
        <f t="shared" si="10"/>
        <v>160</v>
      </c>
      <c r="AG64" s="28"/>
      <c r="AH64" s="6"/>
      <c r="AI64" s="6"/>
      <c r="AJ64" s="6">
        <f t="shared" si="11"/>
        <v>1.1111111111111112</v>
      </c>
      <c r="AK64" s="6">
        <f t="shared" si="12"/>
        <v>1.1111111111111112</v>
      </c>
      <c r="AL64" s="6">
        <f t="shared" si="13"/>
        <v>1.1111111111111112</v>
      </c>
      <c r="AM64" s="4" t="str">
        <f t="shared" si="16"/>
        <v>-</v>
      </c>
      <c r="AN64" s="4" t="str">
        <f>IF(Q64="","-",Q64)</f>
        <v>-</v>
      </c>
      <c r="AO64" s="4" t="str">
        <f>IF(R64="","-",R64)</f>
        <v>-</v>
      </c>
      <c r="AP64" s="4" t="s">
        <v>409</v>
      </c>
      <c r="AQ64" s="4" t="s">
        <v>740</v>
      </c>
      <c r="AR64" s="4"/>
      <c r="AS64" s="4"/>
      <c r="AT64" s="4" t="s">
        <v>741</v>
      </c>
      <c r="AU64" s="4">
        <v>328</v>
      </c>
      <c r="AV64" s="4">
        <f t="shared" si="15"/>
        <v>328</v>
      </c>
      <c r="AW64" s="19">
        <v>4</v>
      </c>
      <c r="AX64" s="19">
        <v>1</v>
      </c>
      <c r="AY64" s="16">
        <v>19</v>
      </c>
      <c r="AZ64" t="s">
        <v>699</v>
      </c>
      <c r="BA64" t="str">
        <f>IFERROR(AZ64*AL64,"-")</f>
        <v>-</v>
      </c>
      <c r="BB64">
        <v>334</v>
      </c>
      <c r="BC64">
        <f>IFERROR(BB64*AL64,"-")</f>
        <v>371.11111111111114</v>
      </c>
      <c r="BD64" t="s">
        <v>455</v>
      </c>
    </row>
    <row r="65" spans="1:56" x14ac:dyDescent="0.4">
      <c r="A65" s="3">
        <v>42</v>
      </c>
      <c r="B65" s="3">
        <v>42</v>
      </c>
      <c r="C65" s="4">
        <v>11642</v>
      </c>
      <c r="D65" s="4" t="str">
        <f t="shared" si="0"/>
        <v>011642</v>
      </c>
      <c r="E65" s="4">
        <v>528579</v>
      </c>
      <c r="F65" s="4" t="s">
        <v>148</v>
      </c>
      <c r="G65" s="5">
        <v>4535627513030</v>
      </c>
      <c r="H65" s="5"/>
      <c r="I65" s="5"/>
      <c r="J65" s="5">
        <v>1</v>
      </c>
      <c r="K65" s="5">
        <v>1</v>
      </c>
      <c r="L65" s="4">
        <v>450</v>
      </c>
      <c r="M65" s="4">
        <v>315</v>
      </c>
      <c r="N65" s="4">
        <v>171</v>
      </c>
      <c r="O65" s="6">
        <f t="shared" si="1"/>
        <v>0.45714285714285718</v>
      </c>
      <c r="P65" s="4" t="s">
        <v>699</v>
      </c>
      <c r="Q65" s="4" t="s">
        <v>699</v>
      </c>
      <c r="R65" s="4" t="s">
        <v>699</v>
      </c>
      <c r="S65" s="4">
        <v>500</v>
      </c>
      <c r="T65" s="4">
        <f t="shared" si="2"/>
        <v>500</v>
      </c>
      <c r="U65" s="4">
        <v>190</v>
      </c>
      <c r="V65" s="4">
        <f t="shared" si="3"/>
        <v>190</v>
      </c>
      <c r="W65" s="4"/>
      <c r="X65" s="21">
        <f t="shared" si="4"/>
        <v>350</v>
      </c>
      <c r="Y65" s="6">
        <f t="shared" si="5"/>
        <v>0.45714285714285718</v>
      </c>
      <c r="Z65" s="33">
        <v>7.75</v>
      </c>
      <c r="AA65" s="4">
        <f t="shared" si="6"/>
        <v>328</v>
      </c>
      <c r="AB65" s="33">
        <f t="shared" si="7"/>
        <v>364.44444444444446</v>
      </c>
      <c r="AC65" s="6">
        <f t="shared" si="8"/>
        <v>0.47865853658536583</v>
      </c>
      <c r="AD65" s="7">
        <v>350</v>
      </c>
      <c r="AE65" s="6">
        <f t="shared" si="9"/>
        <v>0.45714285714285718</v>
      </c>
      <c r="AF65" s="4">
        <f t="shared" si="10"/>
        <v>160</v>
      </c>
      <c r="AG65" s="28"/>
      <c r="AH65" s="6"/>
      <c r="AI65" s="6"/>
      <c r="AJ65" s="6">
        <f t="shared" si="11"/>
        <v>1.1111111111111112</v>
      </c>
      <c r="AK65" s="6">
        <f t="shared" si="12"/>
        <v>1.1111111111111112</v>
      </c>
      <c r="AL65" s="6">
        <f t="shared" si="13"/>
        <v>1.1111111111111112</v>
      </c>
      <c r="AM65" s="4" t="str">
        <f t="shared" si="16"/>
        <v>-</v>
      </c>
      <c r="AN65" s="4" t="str">
        <f>IF(Q65="","-",Q65)</f>
        <v>-</v>
      </c>
      <c r="AO65" s="4" t="str">
        <f>IF(R65="","-",R65)</f>
        <v>-</v>
      </c>
      <c r="AP65" s="4" t="s">
        <v>409</v>
      </c>
      <c r="AQ65" s="4" t="s">
        <v>742</v>
      </c>
      <c r="AR65" s="4"/>
      <c r="AS65" s="4"/>
      <c r="AT65" s="4" t="s">
        <v>741</v>
      </c>
      <c r="AU65" s="4">
        <v>328</v>
      </c>
      <c r="AV65" s="4">
        <f t="shared" si="15"/>
        <v>328</v>
      </c>
      <c r="AW65" s="19">
        <v>4</v>
      </c>
      <c r="AX65" s="19">
        <v>1</v>
      </c>
      <c r="AY65" s="16">
        <v>19</v>
      </c>
      <c r="AZ65" t="s">
        <v>699</v>
      </c>
      <c r="BA65" t="str">
        <f>IFERROR(AZ65*AL65,"-")</f>
        <v>-</v>
      </c>
      <c r="BB65">
        <v>334</v>
      </c>
      <c r="BC65">
        <f>IFERROR(BB65*AL65,"-")</f>
        <v>371.11111111111114</v>
      </c>
      <c r="BD65" t="s">
        <v>456</v>
      </c>
    </row>
    <row r="66" spans="1:56" x14ac:dyDescent="0.4">
      <c r="A66" s="3">
        <v>46</v>
      </c>
      <c r="B66" s="3">
        <v>46</v>
      </c>
      <c r="C66" s="4">
        <v>102416</v>
      </c>
      <c r="D66" s="4" t="str">
        <f t="shared" si="0"/>
        <v>102416</v>
      </c>
      <c r="E66" s="4">
        <v>102416</v>
      </c>
      <c r="F66" s="4" t="s">
        <v>152</v>
      </c>
      <c r="G66" s="5">
        <v>4535627601003</v>
      </c>
      <c r="H66" s="5"/>
      <c r="I66" s="5"/>
      <c r="J66" s="5">
        <v>1</v>
      </c>
      <c r="K66" s="5">
        <v>1</v>
      </c>
      <c r="L66" s="4">
        <v>420</v>
      </c>
      <c r="M66" s="4">
        <v>378</v>
      </c>
      <c r="N66" s="4">
        <v>178</v>
      </c>
      <c r="O66" s="6">
        <f t="shared" si="1"/>
        <v>0.52910052910052907</v>
      </c>
      <c r="P66" s="4" t="s">
        <v>699</v>
      </c>
      <c r="Q66" s="4" t="s">
        <v>699</v>
      </c>
      <c r="R66" s="4" t="s">
        <v>699</v>
      </c>
      <c r="S66" s="4">
        <v>450</v>
      </c>
      <c r="T66" s="4">
        <f t="shared" si="2"/>
        <v>450</v>
      </c>
      <c r="U66" s="4">
        <v>191</v>
      </c>
      <c r="V66" s="4">
        <f t="shared" si="3"/>
        <v>191</v>
      </c>
      <c r="W66" s="4"/>
      <c r="X66" s="21">
        <f t="shared" si="4"/>
        <v>406</v>
      </c>
      <c r="Y66" s="6">
        <f t="shared" si="5"/>
        <v>0.52955665024630538</v>
      </c>
      <c r="Z66" s="33">
        <v>1</v>
      </c>
      <c r="AA66" s="4">
        <f t="shared" si="6"/>
        <v>307</v>
      </c>
      <c r="AB66" s="33">
        <f t="shared" si="7"/>
        <v>329.42134831460675</v>
      </c>
      <c r="AC66" s="6">
        <f t="shared" si="8"/>
        <v>0.42019543973941365</v>
      </c>
      <c r="AD66" s="7">
        <v>329</v>
      </c>
      <c r="AE66" s="6">
        <f t="shared" si="9"/>
        <v>0.41945288753799392</v>
      </c>
      <c r="AF66" s="4">
        <f t="shared" si="10"/>
        <v>138</v>
      </c>
      <c r="AG66" s="28"/>
      <c r="AH66" s="6"/>
      <c r="AI66" s="6"/>
      <c r="AJ66" s="6">
        <f t="shared" si="11"/>
        <v>1.0714285714285714</v>
      </c>
      <c r="AK66" s="6">
        <f t="shared" si="12"/>
        <v>0.87037037037037035</v>
      </c>
      <c r="AL66" s="6">
        <f t="shared" si="13"/>
        <v>1.0730337078651686</v>
      </c>
      <c r="AM66" s="4" t="str">
        <f t="shared" si="16"/>
        <v>-</v>
      </c>
      <c r="AN66" s="4" t="str">
        <f>IF(Q66="","-",Q66)</f>
        <v>-</v>
      </c>
      <c r="AO66" s="4" t="str">
        <f>IF(R66="","-",R66)</f>
        <v>-</v>
      </c>
      <c r="AP66" s="4" t="s">
        <v>412</v>
      </c>
      <c r="AQ66" s="4" t="s">
        <v>746</v>
      </c>
      <c r="AR66" s="4"/>
      <c r="AS66" s="4"/>
      <c r="AT66" s="4" t="s">
        <v>721</v>
      </c>
      <c r="AU66" s="4">
        <v>307</v>
      </c>
      <c r="AV66" s="4">
        <f t="shared" si="15"/>
        <v>307</v>
      </c>
      <c r="AW66" s="19">
        <v>4</v>
      </c>
      <c r="AX66" s="19">
        <v>1</v>
      </c>
      <c r="AY66" s="16">
        <v>19</v>
      </c>
      <c r="AZ66" t="s">
        <v>699</v>
      </c>
      <c r="BA66" t="str">
        <f>IFERROR(AZ66*AL66,"-")</f>
        <v>-</v>
      </c>
      <c r="BB66">
        <v>3447</v>
      </c>
      <c r="BC66">
        <f>IFERROR(BB66*AL66,"-")</f>
        <v>3698.7471910112363</v>
      </c>
      <c r="BD66" t="s">
        <v>460</v>
      </c>
    </row>
    <row r="67" spans="1:56" x14ac:dyDescent="0.4">
      <c r="A67" s="3">
        <v>175</v>
      </c>
      <c r="B67" s="3">
        <v>175</v>
      </c>
      <c r="C67" s="4">
        <v>600931</v>
      </c>
      <c r="D67" s="4" t="str">
        <f t="shared" si="0"/>
        <v>600931</v>
      </c>
      <c r="E67" s="4">
        <v>600931</v>
      </c>
      <c r="F67" s="4" t="s">
        <v>281</v>
      </c>
      <c r="G67" s="5">
        <v>4535627600402</v>
      </c>
      <c r="H67" s="5"/>
      <c r="I67" s="5"/>
      <c r="J67" s="5">
        <v>1</v>
      </c>
      <c r="K67" s="5">
        <v>1</v>
      </c>
      <c r="L67" s="4">
        <v>450</v>
      </c>
      <c r="M67" s="4">
        <v>273</v>
      </c>
      <c r="N67" s="4">
        <v>180</v>
      </c>
      <c r="O67" s="6">
        <f t="shared" si="1"/>
        <v>0.34065934065934067</v>
      </c>
      <c r="P67" s="4" t="s">
        <v>699</v>
      </c>
      <c r="Q67" s="4" t="s">
        <v>699</v>
      </c>
      <c r="R67" s="4" t="s">
        <v>699</v>
      </c>
      <c r="S67" s="4">
        <v>480</v>
      </c>
      <c r="T67" s="4">
        <f t="shared" si="2"/>
        <v>480</v>
      </c>
      <c r="U67" s="4">
        <v>192</v>
      </c>
      <c r="V67" s="4">
        <f t="shared" si="3"/>
        <v>192</v>
      </c>
      <c r="W67" s="4"/>
      <c r="X67" s="21">
        <f t="shared" si="4"/>
        <v>291</v>
      </c>
      <c r="Y67" s="6">
        <f t="shared" si="5"/>
        <v>0.34020618556701032</v>
      </c>
      <c r="Z67" s="33">
        <v>35.5</v>
      </c>
      <c r="AA67" s="4">
        <f t="shared" si="6"/>
        <v>272</v>
      </c>
      <c r="AB67" s="33">
        <f t="shared" si="7"/>
        <v>290.13333333333333</v>
      </c>
      <c r="AC67" s="6">
        <f t="shared" si="8"/>
        <v>0.33823529411764708</v>
      </c>
      <c r="AD67" s="7">
        <v>290</v>
      </c>
      <c r="AE67" s="6">
        <f t="shared" si="9"/>
        <v>0.33793103448275863</v>
      </c>
      <c r="AF67" s="4">
        <f t="shared" si="10"/>
        <v>98</v>
      </c>
      <c r="AG67" s="28"/>
      <c r="AH67" s="6"/>
      <c r="AI67" s="6"/>
      <c r="AJ67" s="6">
        <f t="shared" si="11"/>
        <v>1.0666666666666667</v>
      </c>
      <c r="AK67" s="6">
        <f t="shared" si="12"/>
        <v>1.0622710622710623</v>
      </c>
      <c r="AL67" s="6">
        <f t="shared" si="13"/>
        <v>1.0666666666666667</v>
      </c>
      <c r="AM67" s="4" t="str">
        <f t="shared" si="16"/>
        <v>-</v>
      </c>
      <c r="AN67" s="4" t="str">
        <f>IF(Q67="","-",Q67)</f>
        <v>-</v>
      </c>
      <c r="AO67" s="4" t="str">
        <f>IF(R67="","-",R67)</f>
        <v>-</v>
      </c>
      <c r="AP67" s="4" t="s">
        <v>412</v>
      </c>
      <c r="AQ67" s="4" t="s">
        <v>906</v>
      </c>
      <c r="AR67" s="4"/>
      <c r="AS67" s="4"/>
      <c r="AT67" s="4" t="s">
        <v>907</v>
      </c>
      <c r="AU67" s="4">
        <v>272</v>
      </c>
      <c r="AV67" s="4">
        <f t="shared" si="15"/>
        <v>272</v>
      </c>
      <c r="AW67" s="19">
        <v>4</v>
      </c>
      <c r="AX67" s="19">
        <v>1</v>
      </c>
      <c r="AY67" s="16">
        <v>19</v>
      </c>
      <c r="AZ67">
        <v>270</v>
      </c>
      <c r="BA67">
        <f>IFERROR(AZ67*AL67,"-")</f>
        <v>288</v>
      </c>
      <c r="BB67" t="s">
        <v>699</v>
      </c>
      <c r="BC67" t="str">
        <f>IFERROR(BB67*AL67,"-")</f>
        <v>-</v>
      </c>
      <c r="BD67" t="s">
        <v>592</v>
      </c>
    </row>
    <row r="68" spans="1:56" x14ac:dyDescent="0.4">
      <c r="A68" s="3">
        <v>204</v>
      </c>
      <c r="B68" s="3">
        <v>204</v>
      </c>
      <c r="C68" s="4">
        <v>659490</v>
      </c>
      <c r="D68" s="4" t="str">
        <f t="shared" ref="D68:D131" si="17">TEXT(C68,"000000")</f>
        <v>659490</v>
      </c>
      <c r="E68" s="4">
        <v>659490</v>
      </c>
      <c r="F68" s="4" t="s">
        <v>310</v>
      </c>
      <c r="G68" s="5">
        <v>4535627103309</v>
      </c>
      <c r="H68" s="5"/>
      <c r="I68" s="5"/>
      <c r="J68" s="5">
        <v>1</v>
      </c>
      <c r="K68" s="5">
        <v>1</v>
      </c>
      <c r="L68" s="4">
        <v>430</v>
      </c>
      <c r="M68" s="4">
        <v>322</v>
      </c>
      <c r="N68" s="4">
        <v>181</v>
      </c>
      <c r="O68" s="6">
        <f t="shared" ref="O68:O131" si="18">IFERROR(1-N68/M68,"-")</f>
        <v>0.43788819875776397</v>
      </c>
      <c r="P68" s="4" t="s">
        <v>699</v>
      </c>
      <c r="Q68" s="4" t="s">
        <v>699</v>
      </c>
      <c r="R68" s="4" t="s">
        <v>699</v>
      </c>
      <c r="S68" s="4">
        <v>460</v>
      </c>
      <c r="T68" s="4">
        <f t="shared" ref="T68:T131" si="19">IF(W68="",S68,S68*W68)</f>
        <v>460</v>
      </c>
      <c r="U68" s="4">
        <v>194</v>
      </c>
      <c r="V68" s="4">
        <f t="shared" ref="V68:V131" si="20">IF(W68="",U68,U68*W68)</f>
        <v>194</v>
      </c>
      <c r="W68" s="4"/>
      <c r="X68" s="21">
        <f t="shared" ref="X68:X131" si="21">ROUND(M68*AL68,0)</f>
        <v>345</v>
      </c>
      <c r="Y68" s="6">
        <f t="shared" ref="Y68:Y131" si="22">IFERROR(1-V68/X68,"-")</f>
        <v>0.43768115942028984</v>
      </c>
      <c r="Z68" s="33">
        <v>21.5</v>
      </c>
      <c r="AA68" s="4">
        <f t="shared" ref="AA68:AA131" si="23">AV68</f>
        <v>318</v>
      </c>
      <c r="AB68" s="33">
        <f t="shared" ref="AB68:AB131" si="24">IFERROR(AA68*AL68,"-")</f>
        <v>340.83977900552486</v>
      </c>
      <c r="AC68" s="6">
        <f t="shared" ref="AC68:AC131" si="25">IFERROR(1-V68/AB68,"-")</f>
        <v>0.4308176100628931</v>
      </c>
      <c r="AD68" s="7">
        <v>330</v>
      </c>
      <c r="AE68" s="6">
        <f t="shared" ref="AE68:AE131" si="26">1-V68/AD68</f>
        <v>0.41212121212121211</v>
      </c>
      <c r="AF68" s="4">
        <f t="shared" ref="AF68:AF131" si="27">AD68-V68</f>
        <v>136</v>
      </c>
      <c r="AG68" s="28"/>
      <c r="AH68" s="6"/>
      <c r="AI68" s="6"/>
      <c r="AJ68" s="6">
        <f t="shared" ref="AJ68:AJ131" si="28">IFERROR(T68/L68,"-")</f>
        <v>1.069767441860465</v>
      </c>
      <c r="AK68" s="6">
        <f t="shared" ref="AK68:AK131" si="29">IFERROR(AD68/M68,"-")</f>
        <v>1.0248447204968945</v>
      </c>
      <c r="AL68" s="6">
        <f t="shared" ref="AL68:AL131" si="30">IFERROR(V68/N68,"-")</f>
        <v>1.0718232044198894</v>
      </c>
      <c r="AM68" s="4" t="str">
        <f t="shared" si="16"/>
        <v>-</v>
      </c>
      <c r="AN68" s="4" t="str">
        <f>IF(Q68="","-",Q68)</f>
        <v>-</v>
      </c>
      <c r="AO68" s="4" t="str">
        <f>IF(R68="","-",R68)</f>
        <v>-</v>
      </c>
      <c r="AP68" s="4" t="s">
        <v>408</v>
      </c>
      <c r="AQ68" s="4" t="s">
        <v>937</v>
      </c>
      <c r="AR68" s="4"/>
      <c r="AS68" s="4"/>
      <c r="AT68" s="4" t="s">
        <v>938</v>
      </c>
      <c r="AU68" s="4">
        <v>318</v>
      </c>
      <c r="AV68" s="4">
        <f t="shared" ref="AV68:AV131" si="31">IF(AR68="",AU68,AR68/AS68*AU68)</f>
        <v>318</v>
      </c>
      <c r="AW68" s="19">
        <v>4</v>
      </c>
      <c r="AX68" s="19">
        <v>1</v>
      </c>
      <c r="AY68" s="16">
        <v>19</v>
      </c>
      <c r="AZ68">
        <v>309</v>
      </c>
      <c r="BA68">
        <f>IFERROR(AZ68*AL68,"-")</f>
        <v>331.19337016574582</v>
      </c>
      <c r="BB68">
        <v>430</v>
      </c>
      <c r="BC68">
        <f>IFERROR(BB68*AL68,"-")</f>
        <v>460.88397790055245</v>
      </c>
      <c r="BD68" t="s">
        <v>620</v>
      </c>
    </row>
    <row r="69" spans="1:56" x14ac:dyDescent="0.4">
      <c r="A69" s="3">
        <v>205</v>
      </c>
      <c r="B69" s="3">
        <v>205</v>
      </c>
      <c r="C69" s="4">
        <v>659491</v>
      </c>
      <c r="D69" s="4" t="str">
        <f t="shared" si="17"/>
        <v>659491</v>
      </c>
      <c r="E69" s="4">
        <v>659491</v>
      </c>
      <c r="F69" s="4" t="s">
        <v>311</v>
      </c>
      <c r="G69" s="5">
        <v>4535627103316</v>
      </c>
      <c r="H69" s="5"/>
      <c r="I69" s="5"/>
      <c r="J69" s="5">
        <v>1</v>
      </c>
      <c r="K69" s="5">
        <v>1</v>
      </c>
      <c r="L69" s="4">
        <v>430</v>
      </c>
      <c r="M69" s="4">
        <v>322</v>
      </c>
      <c r="N69" s="4">
        <v>181</v>
      </c>
      <c r="O69" s="6">
        <f t="shared" si="18"/>
        <v>0.43788819875776397</v>
      </c>
      <c r="P69" s="4" t="s">
        <v>699</v>
      </c>
      <c r="Q69" s="4" t="s">
        <v>699</v>
      </c>
      <c r="R69" s="4" t="s">
        <v>699</v>
      </c>
      <c r="S69" s="4">
        <v>460</v>
      </c>
      <c r="T69" s="4">
        <f t="shared" si="19"/>
        <v>460</v>
      </c>
      <c r="U69" s="4">
        <v>194</v>
      </c>
      <c r="V69" s="4">
        <f t="shared" si="20"/>
        <v>194</v>
      </c>
      <c r="W69" s="4"/>
      <c r="X69" s="21">
        <f t="shared" si="21"/>
        <v>345</v>
      </c>
      <c r="Y69" s="6">
        <f t="shared" si="22"/>
        <v>0.43768115942028984</v>
      </c>
      <c r="Z69" s="33">
        <v>93.25</v>
      </c>
      <c r="AA69" s="4">
        <f t="shared" si="23"/>
        <v>318</v>
      </c>
      <c r="AB69" s="33">
        <f t="shared" si="24"/>
        <v>340.83977900552486</v>
      </c>
      <c r="AC69" s="6">
        <f t="shared" si="25"/>
        <v>0.4308176100628931</v>
      </c>
      <c r="AD69" s="7">
        <v>330</v>
      </c>
      <c r="AE69" s="6">
        <f t="shared" si="26"/>
        <v>0.41212121212121211</v>
      </c>
      <c r="AF69" s="4">
        <f t="shared" si="27"/>
        <v>136</v>
      </c>
      <c r="AG69" s="28"/>
      <c r="AH69" s="6"/>
      <c r="AI69" s="6"/>
      <c r="AJ69" s="6">
        <f t="shared" si="28"/>
        <v>1.069767441860465</v>
      </c>
      <c r="AK69" s="6">
        <f t="shared" si="29"/>
        <v>1.0248447204968945</v>
      </c>
      <c r="AL69" s="6">
        <f t="shared" si="30"/>
        <v>1.0718232044198894</v>
      </c>
      <c r="AM69" s="4" t="str">
        <f t="shared" si="16"/>
        <v>-</v>
      </c>
      <c r="AN69" s="4" t="str">
        <f>IF(Q69="","-",Q69)</f>
        <v>-</v>
      </c>
      <c r="AO69" s="4" t="str">
        <f>IF(R69="","-",R69)</f>
        <v>-</v>
      </c>
      <c r="AP69" s="4" t="s">
        <v>408</v>
      </c>
      <c r="AQ69" s="4" t="s">
        <v>939</v>
      </c>
      <c r="AR69" s="4"/>
      <c r="AS69" s="4"/>
      <c r="AT69" s="4" t="s">
        <v>940</v>
      </c>
      <c r="AU69" s="4">
        <v>318</v>
      </c>
      <c r="AV69" s="4">
        <f t="shared" si="31"/>
        <v>318</v>
      </c>
      <c r="AW69" s="19">
        <v>4</v>
      </c>
      <c r="AX69" s="19">
        <v>1</v>
      </c>
      <c r="AY69" s="16">
        <v>19</v>
      </c>
      <c r="AZ69">
        <v>309</v>
      </c>
      <c r="BA69">
        <f>IFERROR(AZ69*AL69,"-")</f>
        <v>331.19337016574582</v>
      </c>
      <c r="BB69">
        <v>327</v>
      </c>
      <c r="BC69">
        <f>IFERROR(BB69*AL69,"-")</f>
        <v>350.48618784530385</v>
      </c>
      <c r="BD69" t="s">
        <v>621</v>
      </c>
    </row>
    <row r="70" spans="1:56" x14ac:dyDescent="0.4">
      <c r="A70" s="3">
        <v>206</v>
      </c>
      <c r="B70" s="3">
        <v>206</v>
      </c>
      <c r="C70" s="4">
        <v>659492</v>
      </c>
      <c r="D70" s="4" t="str">
        <f t="shared" si="17"/>
        <v>659492</v>
      </c>
      <c r="E70" s="4">
        <v>659492</v>
      </c>
      <c r="F70" s="4" t="s">
        <v>312</v>
      </c>
      <c r="G70" s="5">
        <v>4535627103323</v>
      </c>
      <c r="H70" s="5"/>
      <c r="I70" s="5"/>
      <c r="J70" s="5">
        <v>1</v>
      </c>
      <c r="K70" s="5">
        <v>1</v>
      </c>
      <c r="L70" s="4">
        <v>430</v>
      </c>
      <c r="M70" s="4">
        <v>322</v>
      </c>
      <c r="N70" s="4">
        <v>181</v>
      </c>
      <c r="O70" s="6">
        <f t="shared" si="18"/>
        <v>0.43788819875776397</v>
      </c>
      <c r="P70" s="4" t="s">
        <v>699</v>
      </c>
      <c r="Q70" s="4" t="s">
        <v>699</v>
      </c>
      <c r="R70" s="4" t="s">
        <v>699</v>
      </c>
      <c r="S70" s="4">
        <v>460</v>
      </c>
      <c r="T70" s="4">
        <f t="shared" si="19"/>
        <v>460</v>
      </c>
      <c r="U70" s="4">
        <v>194</v>
      </c>
      <c r="V70" s="4">
        <f t="shared" si="20"/>
        <v>194</v>
      </c>
      <c r="W70" s="4"/>
      <c r="X70" s="21">
        <f t="shared" si="21"/>
        <v>345</v>
      </c>
      <c r="Y70" s="6">
        <f t="shared" si="22"/>
        <v>0.43768115942028984</v>
      </c>
      <c r="Z70" s="33">
        <v>10</v>
      </c>
      <c r="AA70" s="4">
        <f t="shared" si="23"/>
        <v>318</v>
      </c>
      <c r="AB70" s="33">
        <f t="shared" si="24"/>
        <v>340.83977900552486</v>
      </c>
      <c r="AC70" s="6">
        <f t="shared" si="25"/>
        <v>0.4308176100628931</v>
      </c>
      <c r="AD70" s="7">
        <v>330</v>
      </c>
      <c r="AE70" s="6">
        <f t="shared" si="26"/>
        <v>0.41212121212121211</v>
      </c>
      <c r="AF70" s="4">
        <f t="shared" si="27"/>
        <v>136</v>
      </c>
      <c r="AG70" s="28"/>
      <c r="AH70" s="6"/>
      <c r="AI70" s="6"/>
      <c r="AJ70" s="6">
        <f t="shared" si="28"/>
        <v>1.069767441860465</v>
      </c>
      <c r="AK70" s="6">
        <f t="shared" si="29"/>
        <v>1.0248447204968945</v>
      </c>
      <c r="AL70" s="6">
        <f t="shared" si="30"/>
        <v>1.0718232044198894</v>
      </c>
      <c r="AM70" s="4" t="str">
        <f t="shared" si="16"/>
        <v>-</v>
      </c>
      <c r="AN70" s="4" t="str">
        <f>IF(Q70="","-",Q70)</f>
        <v>-</v>
      </c>
      <c r="AO70" s="4" t="str">
        <f>IF(R70="","-",R70)</f>
        <v>-</v>
      </c>
      <c r="AP70" s="4" t="s">
        <v>408</v>
      </c>
      <c r="AQ70" s="4" t="s">
        <v>941</v>
      </c>
      <c r="AR70" s="4"/>
      <c r="AS70" s="4"/>
      <c r="AT70" s="4" t="s">
        <v>942</v>
      </c>
      <c r="AU70" s="4">
        <v>318</v>
      </c>
      <c r="AV70" s="4">
        <f t="shared" si="31"/>
        <v>318</v>
      </c>
      <c r="AW70" s="19">
        <v>4</v>
      </c>
      <c r="AX70" s="19">
        <v>1</v>
      </c>
      <c r="AY70" s="16">
        <v>19</v>
      </c>
      <c r="AZ70">
        <v>309</v>
      </c>
      <c r="BA70">
        <f>IFERROR(AZ70*AL70,"-")</f>
        <v>331.19337016574582</v>
      </c>
      <c r="BB70">
        <v>327</v>
      </c>
      <c r="BC70">
        <f>IFERROR(BB70*AL70,"-")</f>
        <v>350.48618784530385</v>
      </c>
      <c r="BD70" t="s">
        <v>622</v>
      </c>
    </row>
    <row r="71" spans="1:56" x14ac:dyDescent="0.4">
      <c r="A71" s="3">
        <v>207</v>
      </c>
      <c r="B71" s="3">
        <v>207</v>
      </c>
      <c r="C71" s="4">
        <v>662341</v>
      </c>
      <c r="D71" s="4" t="str">
        <f t="shared" si="17"/>
        <v>662341</v>
      </c>
      <c r="E71" s="4">
        <v>662341</v>
      </c>
      <c r="F71" s="4" t="s">
        <v>313</v>
      </c>
      <c r="G71" s="5">
        <v>4535627103330</v>
      </c>
      <c r="H71" s="5"/>
      <c r="I71" s="5"/>
      <c r="J71" s="5">
        <v>1</v>
      </c>
      <c r="K71" s="5">
        <v>1</v>
      </c>
      <c r="L71" s="4">
        <v>430</v>
      </c>
      <c r="M71" s="4">
        <v>322</v>
      </c>
      <c r="N71" s="4">
        <v>181</v>
      </c>
      <c r="O71" s="6">
        <f t="shared" si="18"/>
        <v>0.43788819875776397</v>
      </c>
      <c r="P71" s="4" t="s">
        <v>699</v>
      </c>
      <c r="Q71" s="4" t="s">
        <v>699</v>
      </c>
      <c r="R71" s="4" t="s">
        <v>699</v>
      </c>
      <c r="S71" s="4">
        <v>460</v>
      </c>
      <c r="T71" s="4">
        <f t="shared" si="19"/>
        <v>460</v>
      </c>
      <c r="U71" s="4">
        <v>194</v>
      </c>
      <c r="V71" s="4">
        <f t="shared" si="20"/>
        <v>194</v>
      </c>
      <c r="W71" s="4"/>
      <c r="X71" s="21">
        <f t="shared" si="21"/>
        <v>345</v>
      </c>
      <c r="Y71" s="6">
        <f t="shared" si="22"/>
        <v>0.43768115942028984</v>
      </c>
      <c r="Z71" s="33">
        <v>11.25</v>
      </c>
      <c r="AA71" s="4">
        <f t="shared" si="23"/>
        <v>318</v>
      </c>
      <c r="AB71" s="33">
        <f t="shared" si="24"/>
        <v>340.83977900552486</v>
      </c>
      <c r="AC71" s="6">
        <f t="shared" si="25"/>
        <v>0.4308176100628931</v>
      </c>
      <c r="AD71" s="7">
        <v>330</v>
      </c>
      <c r="AE71" s="6">
        <f t="shared" si="26"/>
        <v>0.41212121212121211</v>
      </c>
      <c r="AF71" s="4">
        <f t="shared" si="27"/>
        <v>136</v>
      </c>
      <c r="AG71" s="28"/>
      <c r="AH71" s="6"/>
      <c r="AI71" s="6"/>
      <c r="AJ71" s="6">
        <f t="shared" si="28"/>
        <v>1.069767441860465</v>
      </c>
      <c r="AK71" s="6">
        <f t="shared" si="29"/>
        <v>1.0248447204968945</v>
      </c>
      <c r="AL71" s="6">
        <f t="shared" si="30"/>
        <v>1.0718232044198894</v>
      </c>
      <c r="AM71" s="4" t="str">
        <f t="shared" si="16"/>
        <v>-</v>
      </c>
      <c r="AN71" s="4" t="str">
        <f>IF(Q71="","-",Q71)</f>
        <v>-</v>
      </c>
      <c r="AO71" s="4" t="str">
        <f>IF(R71="","-",R71)</f>
        <v>-</v>
      </c>
      <c r="AP71" s="4" t="s">
        <v>408</v>
      </c>
      <c r="AQ71" s="4" t="s">
        <v>943</v>
      </c>
      <c r="AR71" s="4"/>
      <c r="AS71" s="4"/>
      <c r="AT71" s="4" t="s">
        <v>944</v>
      </c>
      <c r="AU71" s="4">
        <v>318</v>
      </c>
      <c r="AV71" s="4">
        <f t="shared" si="31"/>
        <v>318</v>
      </c>
      <c r="AW71" s="19">
        <v>4</v>
      </c>
      <c r="AX71" s="19">
        <v>1</v>
      </c>
      <c r="AY71" s="16">
        <v>19</v>
      </c>
      <c r="AZ71">
        <v>309</v>
      </c>
      <c r="BA71">
        <f>IFERROR(AZ71*AL71,"-")</f>
        <v>331.19337016574582</v>
      </c>
      <c r="BB71">
        <v>262</v>
      </c>
      <c r="BC71">
        <f>IFERROR(BB71*AL71,"-")</f>
        <v>280.81767955801104</v>
      </c>
      <c r="BD71" t="s">
        <v>623</v>
      </c>
    </row>
    <row r="72" spans="1:56" x14ac:dyDescent="0.4">
      <c r="A72" s="3">
        <v>246</v>
      </c>
      <c r="B72" s="3">
        <v>246</v>
      </c>
      <c r="C72" s="4" t="s">
        <v>69</v>
      </c>
      <c r="D72" s="4" t="str">
        <f t="shared" si="17"/>
        <v>J3868P</v>
      </c>
      <c r="E72" s="4" t="s">
        <v>69</v>
      </c>
      <c r="F72" s="4" t="s">
        <v>352</v>
      </c>
      <c r="G72" s="5">
        <v>4535627103293</v>
      </c>
      <c r="H72" s="5"/>
      <c r="I72" s="5"/>
      <c r="J72" s="5">
        <v>1</v>
      </c>
      <c r="K72" s="5">
        <v>1</v>
      </c>
      <c r="L72" s="4">
        <v>430</v>
      </c>
      <c r="M72" s="4">
        <v>322</v>
      </c>
      <c r="N72" s="4">
        <v>181</v>
      </c>
      <c r="O72" s="6">
        <f t="shared" si="18"/>
        <v>0.43788819875776397</v>
      </c>
      <c r="P72" s="4" t="s">
        <v>699</v>
      </c>
      <c r="Q72" s="4" t="s">
        <v>699</v>
      </c>
      <c r="R72" s="4" t="s">
        <v>699</v>
      </c>
      <c r="S72" s="4">
        <v>460</v>
      </c>
      <c r="T72" s="4">
        <f t="shared" si="19"/>
        <v>460</v>
      </c>
      <c r="U72" s="4">
        <v>194</v>
      </c>
      <c r="V72" s="4">
        <f t="shared" si="20"/>
        <v>194</v>
      </c>
      <c r="W72" s="4"/>
      <c r="X72" s="21">
        <f t="shared" si="21"/>
        <v>345</v>
      </c>
      <c r="Y72" s="6">
        <f t="shared" si="22"/>
        <v>0.43768115942028984</v>
      </c>
      <c r="Z72" s="33">
        <v>10</v>
      </c>
      <c r="AA72" s="4">
        <f t="shared" si="23"/>
        <v>371</v>
      </c>
      <c r="AB72" s="33">
        <f t="shared" si="24"/>
        <v>397.64640883977899</v>
      </c>
      <c r="AC72" s="6">
        <f t="shared" si="25"/>
        <v>0.5121293800539084</v>
      </c>
      <c r="AD72" s="7">
        <v>330</v>
      </c>
      <c r="AE72" s="6">
        <f t="shared" si="26"/>
        <v>0.41212121212121211</v>
      </c>
      <c r="AF72" s="4">
        <f t="shared" si="27"/>
        <v>136</v>
      </c>
      <c r="AG72" s="28"/>
      <c r="AH72" s="6"/>
      <c r="AI72" s="6"/>
      <c r="AJ72" s="6">
        <f t="shared" si="28"/>
        <v>1.069767441860465</v>
      </c>
      <c r="AK72" s="6">
        <f t="shared" si="29"/>
        <v>1.0248447204968945</v>
      </c>
      <c r="AL72" s="6">
        <f t="shared" si="30"/>
        <v>1.0718232044198894</v>
      </c>
      <c r="AM72" s="4" t="str">
        <f t="shared" si="16"/>
        <v>-</v>
      </c>
      <c r="AN72" s="4" t="str">
        <f>IF(Q72="","-",Q72)</f>
        <v>-</v>
      </c>
      <c r="AO72" s="4" t="str">
        <f>IF(R72="","-",R72)</f>
        <v>-</v>
      </c>
      <c r="AP72" s="4" t="s">
        <v>408</v>
      </c>
      <c r="AQ72" s="4" t="s">
        <v>990</v>
      </c>
      <c r="AR72" s="4"/>
      <c r="AS72" s="4"/>
      <c r="AT72" s="4" t="s">
        <v>991</v>
      </c>
      <c r="AU72" s="4">
        <v>371</v>
      </c>
      <c r="AV72" s="4">
        <f t="shared" si="31"/>
        <v>371</v>
      </c>
      <c r="AW72" s="19">
        <v>4</v>
      </c>
      <c r="AX72" s="19">
        <v>1</v>
      </c>
      <c r="AY72" s="16">
        <v>19</v>
      </c>
      <c r="AZ72">
        <v>309</v>
      </c>
      <c r="BA72">
        <f>IFERROR(AZ72*AL72,"-")</f>
        <v>331.19337016574582</v>
      </c>
      <c r="BB72">
        <v>327</v>
      </c>
      <c r="BC72">
        <f>IFERROR(BB72*AL72,"-")</f>
        <v>350.48618784530385</v>
      </c>
      <c r="BD72" t="s">
        <v>662</v>
      </c>
    </row>
    <row r="73" spans="1:56" x14ac:dyDescent="0.4">
      <c r="A73" s="3">
        <v>215</v>
      </c>
      <c r="B73" s="3">
        <v>215</v>
      </c>
      <c r="C73" s="4">
        <v>673806</v>
      </c>
      <c r="D73" s="4" t="str">
        <f t="shared" si="17"/>
        <v>673806</v>
      </c>
      <c r="E73" s="4">
        <v>673806</v>
      </c>
      <c r="F73" s="4" t="s">
        <v>321</v>
      </c>
      <c r="G73" s="5">
        <v>4535627600327</v>
      </c>
      <c r="H73" s="5"/>
      <c r="I73" s="5"/>
      <c r="J73" s="5">
        <v>1</v>
      </c>
      <c r="K73" s="5">
        <v>1</v>
      </c>
      <c r="L73" s="4">
        <v>430</v>
      </c>
      <c r="M73" s="4">
        <v>225</v>
      </c>
      <c r="N73" s="4">
        <v>182</v>
      </c>
      <c r="O73" s="6">
        <f t="shared" si="18"/>
        <v>0.19111111111111112</v>
      </c>
      <c r="P73" s="4" t="s">
        <v>699</v>
      </c>
      <c r="Q73" s="4" t="s">
        <v>699</v>
      </c>
      <c r="R73" s="4" t="s">
        <v>699</v>
      </c>
      <c r="S73" s="4">
        <v>460</v>
      </c>
      <c r="T73" s="4">
        <f t="shared" si="19"/>
        <v>460</v>
      </c>
      <c r="U73" s="4">
        <v>195</v>
      </c>
      <c r="V73" s="4">
        <f t="shared" si="20"/>
        <v>195</v>
      </c>
      <c r="W73" s="4"/>
      <c r="X73" s="21">
        <f t="shared" si="21"/>
        <v>241</v>
      </c>
      <c r="Y73" s="6">
        <f t="shared" si="22"/>
        <v>0.1908713692946058</v>
      </c>
      <c r="Z73" s="33">
        <v>36.5</v>
      </c>
      <c r="AA73" s="4">
        <f t="shared" si="23"/>
        <v>182</v>
      </c>
      <c r="AB73" s="33">
        <f t="shared" si="24"/>
        <v>195</v>
      </c>
      <c r="AC73" s="6">
        <f t="shared" si="25"/>
        <v>0</v>
      </c>
      <c r="AD73" s="7">
        <v>310</v>
      </c>
      <c r="AE73" s="6">
        <f t="shared" si="26"/>
        <v>0.37096774193548387</v>
      </c>
      <c r="AF73" s="4">
        <f t="shared" si="27"/>
        <v>115</v>
      </c>
      <c r="AG73" s="28"/>
      <c r="AH73" s="6"/>
      <c r="AI73" s="6"/>
      <c r="AJ73" s="6">
        <f t="shared" si="28"/>
        <v>1.069767441860465</v>
      </c>
      <c r="AK73" s="6">
        <f t="shared" si="29"/>
        <v>1.3777777777777778</v>
      </c>
      <c r="AL73" s="6">
        <f t="shared" si="30"/>
        <v>1.0714285714285714</v>
      </c>
      <c r="AM73" s="4" t="str">
        <f t="shared" si="16"/>
        <v>-</v>
      </c>
      <c r="AN73" s="4" t="str">
        <f>IF(Q73="","-",Q73)</f>
        <v>-</v>
      </c>
      <c r="AO73" s="4" t="str">
        <f>IF(R73="","-",R73)</f>
        <v>-</v>
      </c>
      <c r="AP73" s="4" t="s">
        <v>412</v>
      </c>
      <c r="AQ73" s="4" t="s">
        <v>954</v>
      </c>
      <c r="AR73" s="4"/>
      <c r="AS73" s="4"/>
      <c r="AT73" s="4" t="s">
        <v>721</v>
      </c>
      <c r="AU73" s="4">
        <v>182</v>
      </c>
      <c r="AV73" s="4">
        <f t="shared" si="31"/>
        <v>182</v>
      </c>
      <c r="AW73" s="19">
        <v>4</v>
      </c>
      <c r="AX73" s="19">
        <v>1</v>
      </c>
      <c r="AY73" s="16">
        <v>19</v>
      </c>
      <c r="AZ73">
        <v>337</v>
      </c>
      <c r="BA73">
        <f>IFERROR(AZ73*AL73,"-")</f>
        <v>361.07142857142856</v>
      </c>
      <c r="BB73">
        <v>430</v>
      </c>
      <c r="BC73">
        <f>IFERROR(BB73*AL73,"-")</f>
        <v>460.71428571428572</v>
      </c>
      <c r="BD73" t="s">
        <v>631</v>
      </c>
    </row>
    <row r="74" spans="1:56" x14ac:dyDescent="0.4">
      <c r="A74" s="3">
        <v>138</v>
      </c>
      <c r="B74" s="3">
        <v>138</v>
      </c>
      <c r="C74" s="4">
        <v>328841</v>
      </c>
      <c r="D74" s="4" t="str">
        <f t="shared" si="17"/>
        <v>328841</v>
      </c>
      <c r="E74" s="4">
        <v>328841</v>
      </c>
      <c r="F74" s="4" t="s">
        <v>244</v>
      </c>
      <c r="G74" s="5">
        <v>4535627109509</v>
      </c>
      <c r="H74" s="5"/>
      <c r="I74" s="5"/>
      <c r="J74" s="5">
        <v>1</v>
      </c>
      <c r="K74" s="5">
        <v>1</v>
      </c>
      <c r="L74" s="4">
        <v>430</v>
      </c>
      <c r="M74" s="4">
        <v>261</v>
      </c>
      <c r="N74" s="4">
        <v>181</v>
      </c>
      <c r="O74" s="6">
        <f t="shared" si="18"/>
        <v>0.30651340996168586</v>
      </c>
      <c r="P74" s="4" t="s">
        <v>699</v>
      </c>
      <c r="Q74" s="4" t="s">
        <v>699</v>
      </c>
      <c r="R74" s="4" t="s">
        <v>699</v>
      </c>
      <c r="S74" s="4">
        <v>470</v>
      </c>
      <c r="T74" s="4">
        <f t="shared" si="19"/>
        <v>470</v>
      </c>
      <c r="U74" s="4">
        <v>198</v>
      </c>
      <c r="V74" s="4">
        <f t="shared" si="20"/>
        <v>198</v>
      </c>
      <c r="W74" s="4"/>
      <c r="X74" s="21">
        <f t="shared" si="21"/>
        <v>286</v>
      </c>
      <c r="Y74" s="6">
        <f t="shared" si="22"/>
        <v>0.30769230769230771</v>
      </c>
      <c r="Z74" s="33">
        <v>2</v>
      </c>
      <c r="AA74" s="4">
        <f t="shared" si="23"/>
        <v>380</v>
      </c>
      <c r="AB74" s="33">
        <f t="shared" si="24"/>
        <v>415.69060773480669</v>
      </c>
      <c r="AC74" s="6">
        <f t="shared" si="25"/>
        <v>0.52368421052631586</v>
      </c>
      <c r="AD74" s="7">
        <v>320</v>
      </c>
      <c r="AE74" s="6">
        <f t="shared" si="26"/>
        <v>0.38124999999999998</v>
      </c>
      <c r="AF74" s="4">
        <f t="shared" si="27"/>
        <v>122</v>
      </c>
      <c r="AG74" s="28"/>
      <c r="AH74" s="6"/>
      <c r="AI74" s="6"/>
      <c r="AJ74" s="6">
        <f t="shared" si="28"/>
        <v>1.0930232558139534</v>
      </c>
      <c r="AK74" s="6">
        <f t="shared" si="29"/>
        <v>1.2260536398467432</v>
      </c>
      <c r="AL74" s="6">
        <f t="shared" si="30"/>
        <v>1.0939226519337018</v>
      </c>
      <c r="AM74" s="4" t="str">
        <f t="shared" si="16"/>
        <v>-</v>
      </c>
      <c r="AN74" s="4" t="str">
        <f>IF(Q74="","-",Q74)</f>
        <v>-</v>
      </c>
      <c r="AO74" s="4" t="str">
        <f>IF(R74="","-",R74)</f>
        <v>-</v>
      </c>
      <c r="AP74" s="4" t="s">
        <v>421</v>
      </c>
      <c r="AQ74" s="4" t="s">
        <v>854</v>
      </c>
      <c r="AR74" s="4"/>
      <c r="AS74" s="4"/>
      <c r="AT74" s="4" t="s">
        <v>855</v>
      </c>
      <c r="AU74" s="4">
        <v>380</v>
      </c>
      <c r="AV74" s="4">
        <f t="shared" si="31"/>
        <v>380</v>
      </c>
      <c r="AW74" s="19">
        <v>4</v>
      </c>
      <c r="AX74" s="19">
        <v>1</v>
      </c>
      <c r="AY74" s="16">
        <v>19</v>
      </c>
      <c r="AZ74">
        <v>3400</v>
      </c>
      <c r="BA74">
        <f>IFERROR(AZ74*AL74,"-")</f>
        <v>3719.337016574586</v>
      </c>
      <c r="BB74">
        <v>323</v>
      </c>
      <c r="BC74">
        <f>IFERROR(BB74*AL74,"-")</f>
        <v>353.33701657458568</v>
      </c>
      <c r="BD74" t="s">
        <v>550</v>
      </c>
    </row>
    <row r="75" spans="1:56" x14ac:dyDescent="0.4">
      <c r="A75" s="3">
        <v>142</v>
      </c>
      <c r="B75" s="3">
        <v>142</v>
      </c>
      <c r="C75" s="40">
        <v>369127</v>
      </c>
      <c r="D75" s="4" t="str">
        <f t="shared" si="17"/>
        <v>369127</v>
      </c>
      <c r="E75" s="4">
        <v>369127</v>
      </c>
      <c r="F75" s="4" t="s">
        <v>248</v>
      </c>
      <c r="G75" s="5">
        <v>4535627109103</v>
      </c>
      <c r="H75" s="5"/>
      <c r="I75" s="5"/>
      <c r="J75" s="5">
        <v>2</v>
      </c>
      <c r="K75" s="5">
        <v>2</v>
      </c>
      <c r="L75" s="4">
        <v>470</v>
      </c>
      <c r="M75" s="4">
        <v>297</v>
      </c>
      <c r="N75" s="4">
        <v>188</v>
      </c>
      <c r="O75" s="6">
        <f t="shared" si="18"/>
        <v>0.367003367003367</v>
      </c>
      <c r="P75" s="4" t="s">
        <v>699</v>
      </c>
      <c r="Q75" s="4" t="s">
        <v>699</v>
      </c>
      <c r="R75" s="4" t="s">
        <v>699</v>
      </c>
      <c r="S75" s="4">
        <v>500</v>
      </c>
      <c r="T75" s="4">
        <f t="shared" si="19"/>
        <v>500</v>
      </c>
      <c r="U75" s="4">
        <v>200</v>
      </c>
      <c r="V75" s="4">
        <f t="shared" si="20"/>
        <v>200</v>
      </c>
      <c r="W75" s="4"/>
      <c r="X75" s="21">
        <f t="shared" si="21"/>
        <v>316</v>
      </c>
      <c r="Y75" s="6">
        <f t="shared" si="22"/>
        <v>0.36708860759493667</v>
      </c>
      <c r="Z75" s="33">
        <v>30.5</v>
      </c>
      <c r="AA75" s="4">
        <f t="shared" si="23"/>
        <v>380</v>
      </c>
      <c r="AB75" s="33">
        <f t="shared" si="24"/>
        <v>404.25531914893617</v>
      </c>
      <c r="AC75" s="6">
        <f t="shared" si="25"/>
        <v>0.50526315789473686</v>
      </c>
      <c r="AD75" s="7">
        <v>340</v>
      </c>
      <c r="AE75" s="6">
        <f t="shared" si="26"/>
        <v>0.41176470588235292</v>
      </c>
      <c r="AF75" s="4">
        <f t="shared" si="27"/>
        <v>140</v>
      </c>
      <c r="AG75" s="28"/>
      <c r="AH75" s="6"/>
      <c r="AI75" s="6"/>
      <c r="AJ75" s="6">
        <f t="shared" si="28"/>
        <v>1.0638297872340425</v>
      </c>
      <c r="AK75" s="6">
        <f t="shared" si="29"/>
        <v>1.1447811447811447</v>
      </c>
      <c r="AL75" s="6">
        <f t="shared" si="30"/>
        <v>1.0638297872340425</v>
      </c>
      <c r="AM75" s="4" t="str">
        <f t="shared" si="16"/>
        <v>-</v>
      </c>
      <c r="AN75" s="4" t="str">
        <f>IF(Q75="","-",Q75)</f>
        <v>-</v>
      </c>
      <c r="AO75" s="4" t="str">
        <f>IF(R75="","-",R75)</f>
        <v>-</v>
      </c>
      <c r="AP75" s="4" t="s">
        <v>421</v>
      </c>
      <c r="AQ75" s="4" t="s">
        <v>863</v>
      </c>
      <c r="AR75" s="4"/>
      <c r="AS75" s="4"/>
      <c r="AT75" s="4" t="s">
        <v>721</v>
      </c>
      <c r="AU75" s="4">
        <v>380</v>
      </c>
      <c r="AV75" s="4">
        <f t="shared" si="31"/>
        <v>380</v>
      </c>
      <c r="AW75" s="19">
        <v>4</v>
      </c>
      <c r="AX75" s="19">
        <v>1</v>
      </c>
      <c r="AY75" s="16">
        <v>19</v>
      </c>
      <c r="AZ75">
        <v>340</v>
      </c>
      <c r="BA75">
        <f>IFERROR(AZ75*AL75,"-")</f>
        <v>361.70212765957444</v>
      </c>
      <c r="BB75">
        <v>353</v>
      </c>
      <c r="BC75">
        <f>IFERROR(BB75*AL75,"-")</f>
        <v>375.531914893617</v>
      </c>
      <c r="BD75" t="s">
        <v>555</v>
      </c>
    </row>
    <row r="76" spans="1:56" x14ac:dyDescent="0.4">
      <c r="A76" s="3">
        <v>290</v>
      </c>
      <c r="B76" s="3">
        <v>142</v>
      </c>
      <c r="C76" s="40">
        <v>369127</v>
      </c>
      <c r="D76" s="4" t="str">
        <f t="shared" si="17"/>
        <v>369127</v>
      </c>
      <c r="E76" s="4">
        <v>369128</v>
      </c>
      <c r="F76" s="4" t="s">
        <v>397</v>
      </c>
      <c r="G76" s="5">
        <v>4535627109103</v>
      </c>
      <c r="H76" s="5">
        <v>8</v>
      </c>
      <c r="I76" s="5" t="str">
        <f>C76&amp;H76</f>
        <v>3691278</v>
      </c>
      <c r="J76" s="5"/>
      <c r="K76" s="5"/>
      <c r="L76" s="4">
        <v>4700</v>
      </c>
      <c r="M76" s="4">
        <v>2886</v>
      </c>
      <c r="N76" s="4">
        <v>1880</v>
      </c>
      <c r="O76" s="6">
        <f t="shared" si="18"/>
        <v>0.34857934857934858</v>
      </c>
      <c r="P76" s="4" t="s">
        <v>699</v>
      </c>
      <c r="Q76" s="4" t="s">
        <v>699</v>
      </c>
      <c r="R76" s="4" t="s">
        <v>699</v>
      </c>
      <c r="S76" s="4">
        <v>500</v>
      </c>
      <c r="T76" s="4">
        <f t="shared" si="19"/>
        <v>5000</v>
      </c>
      <c r="U76" s="4">
        <v>200</v>
      </c>
      <c r="V76" s="4">
        <f t="shared" si="20"/>
        <v>2000</v>
      </c>
      <c r="W76" s="4">
        <v>10</v>
      </c>
      <c r="X76" s="21">
        <f t="shared" si="21"/>
        <v>3070</v>
      </c>
      <c r="Y76" s="6">
        <f t="shared" si="22"/>
        <v>0.34853420195439744</v>
      </c>
      <c r="Z76" s="33">
        <v>30.5</v>
      </c>
      <c r="AA76" s="4">
        <f t="shared" si="23"/>
        <v>3399</v>
      </c>
      <c r="AB76" s="33">
        <f t="shared" si="24"/>
        <v>3615.9574468085107</v>
      </c>
      <c r="AC76" s="6">
        <f t="shared" si="25"/>
        <v>0.44689614592527216</v>
      </c>
      <c r="AD76" s="7">
        <v>3200</v>
      </c>
      <c r="AE76" s="6">
        <f t="shared" si="26"/>
        <v>0.375</v>
      </c>
      <c r="AF76" s="4">
        <f t="shared" si="27"/>
        <v>1200</v>
      </c>
      <c r="AG76" s="28"/>
      <c r="AH76" s="6"/>
      <c r="AI76" s="6"/>
      <c r="AJ76" s="6">
        <f t="shared" si="28"/>
        <v>1.0638297872340425</v>
      </c>
      <c r="AK76" s="6">
        <f t="shared" si="29"/>
        <v>1.1088011088011087</v>
      </c>
      <c r="AL76" s="6">
        <f t="shared" si="30"/>
        <v>1.0638297872340425</v>
      </c>
      <c r="AM76" s="4" t="str">
        <f t="shared" si="16"/>
        <v>-</v>
      </c>
      <c r="AN76" s="4" t="str">
        <f>IF(Q76="","-",Q76)</f>
        <v>-</v>
      </c>
      <c r="AO76" s="4" t="str">
        <f>IF(R76="","-",R76)</f>
        <v>-</v>
      </c>
      <c r="AP76" s="4" t="s">
        <v>421</v>
      </c>
      <c r="AQ76" s="4" t="s">
        <v>864</v>
      </c>
      <c r="AR76" s="4"/>
      <c r="AS76" s="4"/>
      <c r="AT76" s="4" t="s">
        <v>862</v>
      </c>
      <c r="AU76" s="4">
        <v>3399</v>
      </c>
      <c r="AV76" s="4">
        <f t="shared" si="31"/>
        <v>3399</v>
      </c>
      <c r="AW76" s="19">
        <v>4</v>
      </c>
      <c r="AX76" s="19">
        <v>1</v>
      </c>
      <c r="AY76" s="16">
        <v>19</v>
      </c>
      <c r="AZ76">
        <v>340</v>
      </c>
      <c r="BA76">
        <f>IFERROR(AZ76*AL76,"-")</f>
        <v>361.70212765957444</v>
      </c>
      <c r="BB76">
        <v>353</v>
      </c>
      <c r="BC76">
        <f>IFERROR(BB76*AL76,"-")</f>
        <v>375.531914893617</v>
      </c>
      <c r="BD76" t="s">
        <v>556</v>
      </c>
    </row>
    <row r="77" spans="1:56" x14ac:dyDescent="0.4">
      <c r="A77" s="3">
        <v>3</v>
      </c>
      <c r="B77" s="3">
        <v>3</v>
      </c>
      <c r="C77" s="4">
        <v>11593</v>
      </c>
      <c r="D77" s="4" t="str">
        <f t="shared" si="17"/>
        <v>011593</v>
      </c>
      <c r="E77" s="4">
        <v>528777</v>
      </c>
      <c r="F77" s="4" t="s">
        <v>109</v>
      </c>
      <c r="G77" s="5">
        <v>4535627103118</v>
      </c>
      <c r="H77" s="5"/>
      <c r="I77" s="5"/>
      <c r="J77" s="5">
        <v>1</v>
      </c>
      <c r="K77" s="5">
        <v>1</v>
      </c>
      <c r="L77" s="4">
        <v>490</v>
      </c>
      <c r="M77" s="4">
        <v>346</v>
      </c>
      <c r="N77" s="4">
        <v>186</v>
      </c>
      <c r="O77" s="6">
        <f t="shared" si="18"/>
        <v>0.46242774566473988</v>
      </c>
      <c r="P77" s="4" t="s">
        <v>699</v>
      </c>
      <c r="Q77" s="4" t="s">
        <v>699</v>
      </c>
      <c r="R77" s="4" t="s">
        <v>699</v>
      </c>
      <c r="S77" s="4">
        <v>530</v>
      </c>
      <c r="T77" s="4">
        <f t="shared" si="19"/>
        <v>530</v>
      </c>
      <c r="U77" s="4">
        <v>201</v>
      </c>
      <c r="V77" s="4">
        <f t="shared" si="20"/>
        <v>201</v>
      </c>
      <c r="W77" s="4"/>
      <c r="X77" s="21">
        <f t="shared" si="21"/>
        <v>374</v>
      </c>
      <c r="Y77" s="6">
        <f t="shared" si="22"/>
        <v>0.46256684491978606</v>
      </c>
      <c r="Z77" s="33">
        <v>3.75</v>
      </c>
      <c r="AA77" s="4">
        <f t="shared" si="23"/>
        <v>490</v>
      </c>
      <c r="AB77" s="33">
        <f t="shared" si="24"/>
        <v>529.51612903225805</v>
      </c>
      <c r="AC77" s="6">
        <f t="shared" si="25"/>
        <v>0.62040816326530612</v>
      </c>
      <c r="AD77" s="7">
        <v>360</v>
      </c>
      <c r="AE77" s="6">
        <f t="shared" si="26"/>
        <v>0.44166666666666665</v>
      </c>
      <c r="AF77" s="4">
        <f t="shared" si="27"/>
        <v>159</v>
      </c>
      <c r="AG77" s="28"/>
      <c r="AH77" s="6"/>
      <c r="AI77" s="6"/>
      <c r="AJ77" s="6">
        <f t="shared" si="28"/>
        <v>1.0816326530612246</v>
      </c>
      <c r="AK77" s="6">
        <f t="shared" si="29"/>
        <v>1.0404624277456647</v>
      </c>
      <c r="AL77" s="6">
        <f t="shared" si="30"/>
        <v>1.0806451612903225</v>
      </c>
      <c r="AM77" s="4" t="str">
        <f t="shared" si="16"/>
        <v>-</v>
      </c>
      <c r="AN77" s="4" t="str">
        <f>IF(Q77="","-",Q77)</f>
        <v>-</v>
      </c>
      <c r="AO77" s="4" t="str">
        <f>IF(R77="","-",R77)</f>
        <v>-</v>
      </c>
      <c r="AP77" s="4" t="s">
        <v>408</v>
      </c>
      <c r="AQ77" s="4" t="s">
        <v>704</v>
      </c>
      <c r="AR77" s="4"/>
      <c r="AS77" s="4"/>
      <c r="AT77" s="4" t="s">
        <v>705</v>
      </c>
      <c r="AU77" s="4">
        <v>490</v>
      </c>
      <c r="AV77" s="4">
        <f t="shared" si="31"/>
        <v>490</v>
      </c>
      <c r="AW77" s="19">
        <v>4</v>
      </c>
      <c r="AX77" s="19">
        <v>1</v>
      </c>
      <c r="AY77" s="16">
        <v>19</v>
      </c>
      <c r="AZ77" t="s">
        <v>699</v>
      </c>
      <c r="BA77" t="str">
        <f>IFERROR(AZ77*AL77,"-")</f>
        <v>-</v>
      </c>
      <c r="BB77">
        <v>338</v>
      </c>
      <c r="BC77">
        <f>IFERROR(BB77*AL77,"-")</f>
        <v>365.25806451612902</v>
      </c>
      <c r="BD77" t="s">
        <v>431</v>
      </c>
    </row>
    <row r="78" spans="1:56" x14ac:dyDescent="0.4">
      <c r="A78" s="3">
        <v>5</v>
      </c>
      <c r="B78" s="3">
        <v>5</v>
      </c>
      <c r="C78" s="4">
        <v>11598</v>
      </c>
      <c r="D78" s="4" t="str">
        <f t="shared" si="17"/>
        <v>011598</v>
      </c>
      <c r="E78" s="4">
        <v>528759</v>
      </c>
      <c r="F78" s="4" t="s">
        <v>111</v>
      </c>
      <c r="G78" s="5">
        <v>4535627103132</v>
      </c>
      <c r="H78" s="5"/>
      <c r="I78" s="5"/>
      <c r="J78" s="5">
        <v>1</v>
      </c>
      <c r="K78" s="5">
        <v>1</v>
      </c>
      <c r="L78" s="4">
        <v>490</v>
      </c>
      <c r="M78" s="4">
        <v>346</v>
      </c>
      <c r="N78" s="4">
        <v>186</v>
      </c>
      <c r="O78" s="6">
        <f t="shared" si="18"/>
        <v>0.46242774566473988</v>
      </c>
      <c r="P78" s="4" t="s">
        <v>699</v>
      </c>
      <c r="Q78" s="4" t="s">
        <v>699</v>
      </c>
      <c r="R78" s="4" t="s">
        <v>699</v>
      </c>
      <c r="S78" s="4">
        <v>530</v>
      </c>
      <c r="T78" s="4">
        <f t="shared" si="19"/>
        <v>530</v>
      </c>
      <c r="U78" s="4">
        <v>201</v>
      </c>
      <c r="V78" s="4">
        <f t="shared" si="20"/>
        <v>201</v>
      </c>
      <c r="W78" s="4"/>
      <c r="X78" s="21">
        <f t="shared" si="21"/>
        <v>374</v>
      </c>
      <c r="Y78" s="6">
        <f t="shared" si="22"/>
        <v>0.46256684491978606</v>
      </c>
      <c r="Z78" s="33">
        <v>4.25</v>
      </c>
      <c r="AA78" s="4">
        <f t="shared" si="23"/>
        <v>490</v>
      </c>
      <c r="AB78" s="33">
        <f t="shared" si="24"/>
        <v>529.51612903225805</v>
      </c>
      <c r="AC78" s="6">
        <f t="shared" si="25"/>
        <v>0.62040816326530612</v>
      </c>
      <c r="AD78" s="7">
        <v>360</v>
      </c>
      <c r="AE78" s="6">
        <f t="shared" si="26"/>
        <v>0.44166666666666665</v>
      </c>
      <c r="AF78" s="4">
        <f t="shared" si="27"/>
        <v>159</v>
      </c>
      <c r="AG78" s="28"/>
      <c r="AH78" s="6"/>
      <c r="AI78" s="6"/>
      <c r="AJ78" s="6">
        <f t="shared" si="28"/>
        <v>1.0816326530612246</v>
      </c>
      <c r="AK78" s="6">
        <f t="shared" si="29"/>
        <v>1.0404624277456647</v>
      </c>
      <c r="AL78" s="6">
        <f t="shared" si="30"/>
        <v>1.0806451612903225</v>
      </c>
      <c r="AM78" s="4" t="str">
        <f t="shared" si="16"/>
        <v>-</v>
      </c>
      <c r="AN78" s="4" t="str">
        <f>IF(Q78="","-",Q78)</f>
        <v>-</v>
      </c>
      <c r="AO78" s="4" t="str">
        <f>IF(R78="","-",R78)</f>
        <v>-</v>
      </c>
      <c r="AP78" s="4" t="s">
        <v>408</v>
      </c>
      <c r="AQ78" s="4" t="s">
        <v>707</v>
      </c>
      <c r="AR78" s="4"/>
      <c r="AS78" s="4"/>
      <c r="AT78" s="4" t="s">
        <v>705</v>
      </c>
      <c r="AU78" s="4">
        <v>490</v>
      </c>
      <c r="AV78" s="4">
        <f t="shared" si="31"/>
        <v>490</v>
      </c>
      <c r="AW78" s="19">
        <v>4</v>
      </c>
      <c r="AX78" s="19">
        <v>1</v>
      </c>
      <c r="AY78" s="16">
        <v>19</v>
      </c>
      <c r="AZ78" t="s">
        <v>699</v>
      </c>
      <c r="BA78" t="str">
        <f>IFERROR(AZ78*AL78,"-")</f>
        <v>-</v>
      </c>
      <c r="BB78">
        <v>368</v>
      </c>
      <c r="BC78">
        <f>IFERROR(BB78*AL78,"-")</f>
        <v>397.67741935483866</v>
      </c>
      <c r="BD78" t="s">
        <v>433</v>
      </c>
    </row>
    <row r="79" spans="1:56" x14ac:dyDescent="0.4">
      <c r="A79" s="3">
        <v>56</v>
      </c>
      <c r="B79" s="3">
        <v>56</v>
      </c>
      <c r="C79" s="4">
        <v>11658</v>
      </c>
      <c r="D79" s="4" t="str">
        <f t="shared" si="17"/>
        <v>011658</v>
      </c>
      <c r="E79" s="4">
        <v>527904</v>
      </c>
      <c r="F79" s="4" t="s">
        <v>162</v>
      </c>
      <c r="G79" s="5">
        <v>4535627101428</v>
      </c>
      <c r="H79" s="5"/>
      <c r="I79" s="5"/>
      <c r="J79" s="5">
        <v>1</v>
      </c>
      <c r="K79" s="5">
        <v>1</v>
      </c>
      <c r="L79" s="4">
        <v>550</v>
      </c>
      <c r="M79" s="4">
        <v>260</v>
      </c>
      <c r="N79" s="4">
        <v>184</v>
      </c>
      <c r="O79" s="6">
        <f t="shared" si="18"/>
        <v>0.29230769230769227</v>
      </c>
      <c r="P79" s="4" t="s">
        <v>699</v>
      </c>
      <c r="Q79" s="4" t="s">
        <v>699</v>
      </c>
      <c r="R79" s="4" t="s">
        <v>699</v>
      </c>
      <c r="S79" s="4">
        <v>600</v>
      </c>
      <c r="T79" s="4">
        <f t="shared" si="19"/>
        <v>600</v>
      </c>
      <c r="U79" s="4">
        <v>201</v>
      </c>
      <c r="V79" s="4">
        <f t="shared" si="20"/>
        <v>201</v>
      </c>
      <c r="W79" s="4"/>
      <c r="X79" s="21">
        <f t="shared" si="21"/>
        <v>284</v>
      </c>
      <c r="Y79" s="6">
        <f t="shared" si="22"/>
        <v>0.29225352112676062</v>
      </c>
      <c r="Z79" s="33">
        <v>0.75</v>
      </c>
      <c r="AA79" s="4">
        <f t="shared" si="23"/>
        <v>553.78</v>
      </c>
      <c r="AB79" s="33">
        <f t="shared" si="24"/>
        <v>604.9444565217392</v>
      </c>
      <c r="AC79" s="6">
        <f t="shared" si="25"/>
        <v>0.66773809093863989</v>
      </c>
      <c r="AD79" s="7">
        <v>320</v>
      </c>
      <c r="AE79" s="6">
        <f t="shared" si="26"/>
        <v>0.37187499999999996</v>
      </c>
      <c r="AF79" s="4">
        <f t="shared" si="27"/>
        <v>119</v>
      </c>
      <c r="AG79" s="28"/>
      <c r="AH79" s="6"/>
      <c r="AI79" s="6"/>
      <c r="AJ79" s="6">
        <f t="shared" si="28"/>
        <v>1.0909090909090908</v>
      </c>
      <c r="AK79" s="6">
        <f t="shared" si="29"/>
        <v>1.2307692307692308</v>
      </c>
      <c r="AL79" s="6">
        <f t="shared" si="30"/>
        <v>1.0923913043478262</v>
      </c>
      <c r="AM79" s="4" t="str">
        <f t="shared" si="16"/>
        <v>-</v>
      </c>
      <c r="AN79" s="4" t="str">
        <f>IF(Q79="","-",Q79)</f>
        <v>-</v>
      </c>
      <c r="AO79" s="4" t="str">
        <f>IF(R79="","-",R79)</f>
        <v>-</v>
      </c>
      <c r="AP79" s="4" t="s">
        <v>413</v>
      </c>
      <c r="AQ79" s="4" t="s">
        <v>759</v>
      </c>
      <c r="AR79" s="4">
        <v>1</v>
      </c>
      <c r="AS79" s="4">
        <v>50</v>
      </c>
      <c r="AT79" s="4" t="s">
        <v>760</v>
      </c>
      <c r="AU79" s="4">
        <v>27689</v>
      </c>
      <c r="AV79" s="4">
        <f t="shared" si="31"/>
        <v>553.78</v>
      </c>
      <c r="AW79" s="19">
        <v>4</v>
      </c>
      <c r="AX79" s="19">
        <v>1</v>
      </c>
      <c r="AY79" s="16">
        <v>19</v>
      </c>
      <c r="AZ79">
        <v>226</v>
      </c>
      <c r="BA79">
        <f>IFERROR(AZ79*AL79,"-")</f>
        <v>246.88043478260872</v>
      </c>
      <c r="BB79">
        <v>523</v>
      </c>
      <c r="BC79">
        <f>IFERROR(BB79*AL79,"-")</f>
        <v>571.32065217391312</v>
      </c>
      <c r="BD79" t="s">
        <v>470</v>
      </c>
    </row>
    <row r="80" spans="1:56" x14ac:dyDescent="0.4">
      <c r="A80" s="3">
        <v>57</v>
      </c>
      <c r="B80" s="3">
        <v>57</v>
      </c>
      <c r="C80" s="4">
        <v>11659</v>
      </c>
      <c r="D80" s="4" t="str">
        <f t="shared" si="17"/>
        <v>011659</v>
      </c>
      <c r="E80" s="4">
        <v>527913</v>
      </c>
      <c r="F80" s="4" t="s">
        <v>163</v>
      </c>
      <c r="G80" s="5">
        <v>4535627101442</v>
      </c>
      <c r="H80" s="5"/>
      <c r="I80" s="5"/>
      <c r="J80" s="5">
        <v>1</v>
      </c>
      <c r="K80" s="5">
        <v>1</v>
      </c>
      <c r="L80" s="4">
        <v>550</v>
      </c>
      <c r="M80" s="4">
        <v>260</v>
      </c>
      <c r="N80" s="4">
        <v>184</v>
      </c>
      <c r="O80" s="6">
        <f t="shared" si="18"/>
        <v>0.29230769230769227</v>
      </c>
      <c r="P80" s="4" t="s">
        <v>699</v>
      </c>
      <c r="Q80" s="4" t="s">
        <v>699</v>
      </c>
      <c r="R80" s="4" t="s">
        <v>699</v>
      </c>
      <c r="S80" s="4">
        <v>600</v>
      </c>
      <c r="T80" s="4">
        <f t="shared" si="19"/>
        <v>600</v>
      </c>
      <c r="U80" s="4">
        <v>201</v>
      </c>
      <c r="V80" s="4">
        <f t="shared" si="20"/>
        <v>201</v>
      </c>
      <c r="W80" s="4"/>
      <c r="X80" s="21">
        <f t="shared" si="21"/>
        <v>284</v>
      </c>
      <c r="Y80" s="6">
        <f t="shared" si="22"/>
        <v>0.29225352112676062</v>
      </c>
      <c r="Z80" s="33">
        <v>1</v>
      </c>
      <c r="AA80" s="4">
        <f t="shared" si="23"/>
        <v>553.78</v>
      </c>
      <c r="AB80" s="33">
        <f t="shared" si="24"/>
        <v>604.9444565217392</v>
      </c>
      <c r="AC80" s="6">
        <f t="shared" si="25"/>
        <v>0.66773809093863989</v>
      </c>
      <c r="AD80" s="7">
        <v>320</v>
      </c>
      <c r="AE80" s="6">
        <f t="shared" si="26"/>
        <v>0.37187499999999996</v>
      </c>
      <c r="AF80" s="4">
        <f t="shared" si="27"/>
        <v>119</v>
      </c>
      <c r="AG80" s="28"/>
      <c r="AH80" s="6"/>
      <c r="AI80" s="6"/>
      <c r="AJ80" s="6">
        <f t="shared" si="28"/>
        <v>1.0909090909090908</v>
      </c>
      <c r="AK80" s="6">
        <f t="shared" si="29"/>
        <v>1.2307692307692308</v>
      </c>
      <c r="AL80" s="6">
        <f t="shared" si="30"/>
        <v>1.0923913043478262</v>
      </c>
      <c r="AM80" s="4" t="str">
        <f t="shared" si="16"/>
        <v>-</v>
      </c>
      <c r="AN80" s="4" t="str">
        <f>IF(Q80="","-",Q80)</f>
        <v>-</v>
      </c>
      <c r="AO80" s="4" t="str">
        <f>IF(R80="","-",R80)</f>
        <v>-</v>
      </c>
      <c r="AP80" s="4" t="s">
        <v>413</v>
      </c>
      <c r="AQ80" s="4" t="s">
        <v>761</v>
      </c>
      <c r="AR80" s="4">
        <v>1</v>
      </c>
      <c r="AS80" s="4">
        <v>50</v>
      </c>
      <c r="AT80" s="4" t="s">
        <v>760</v>
      </c>
      <c r="AU80" s="4">
        <v>27689</v>
      </c>
      <c r="AV80" s="4">
        <f t="shared" si="31"/>
        <v>553.78</v>
      </c>
      <c r="AW80" s="19">
        <v>4</v>
      </c>
      <c r="AX80" s="19">
        <v>1</v>
      </c>
      <c r="AY80" s="16">
        <v>19</v>
      </c>
      <c r="AZ80" t="s">
        <v>699</v>
      </c>
      <c r="BA80" t="str">
        <f>IFERROR(AZ80*AL80,"-")</f>
        <v>-</v>
      </c>
      <c r="BB80">
        <v>523</v>
      </c>
      <c r="BC80">
        <f>IFERROR(BB80*AL80,"-")</f>
        <v>571.32065217391312</v>
      </c>
      <c r="BD80" t="s">
        <v>471</v>
      </c>
    </row>
    <row r="81" spans="1:56" x14ac:dyDescent="0.4">
      <c r="A81" s="3">
        <v>58</v>
      </c>
      <c r="B81" s="3">
        <v>58</v>
      </c>
      <c r="C81" s="4">
        <v>11660</v>
      </c>
      <c r="D81" s="4" t="str">
        <f t="shared" si="17"/>
        <v>011660</v>
      </c>
      <c r="E81" s="4">
        <v>527922</v>
      </c>
      <c r="F81" s="4" t="s">
        <v>164</v>
      </c>
      <c r="G81" s="5">
        <v>4535627101411</v>
      </c>
      <c r="H81" s="5"/>
      <c r="I81" s="5"/>
      <c r="J81" s="5">
        <v>1</v>
      </c>
      <c r="K81" s="5">
        <v>1</v>
      </c>
      <c r="L81" s="4">
        <v>550</v>
      </c>
      <c r="M81" s="4">
        <v>260</v>
      </c>
      <c r="N81" s="4">
        <v>184</v>
      </c>
      <c r="O81" s="6">
        <f t="shared" si="18"/>
        <v>0.29230769230769227</v>
      </c>
      <c r="P81" s="4" t="s">
        <v>699</v>
      </c>
      <c r="Q81" s="4" t="s">
        <v>699</v>
      </c>
      <c r="R81" s="4" t="s">
        <v>699</v>
      </c>
      <c r="S81" s="4">
        <v>600</v>
      </c>
      <c r="T81" s="4">
        <f t="shared" si="19"/>
        <v>600</v>
      </c>
      <c r="U81" s="4">
        <v>201</v>
      </c>
      <c r="V81" s="4">
        <f t="shared" si="20"/>
        <v>201</v>
      </c>
      <c r="W81" s="4"/>
      <c r="X81" s="21">
        <f t="shared" si="21"/>
        <v>284</v>
      </c>
      <c r="Y81" s="6">
        <f t="shared" si="22"/>
        <v>0.29225352112676062</v>
      </c>
      <c r="Z81" s="33">
        <v>2</v>
      </c>
      <c r="AA81" s="4">
        <f t="shared" si="23"/>
        <v>226</v>
      </c>
      <c r="AB81" s="33">
        <f t="shared" si="24"/>
        <v>246.88043478260872</v>
      </c>
      <c r="AC81" s="6">
        <f t="shared" si="25"/>
        <v>0.18584070796460184</v>
      </c>
      <c r="AD81" s="7">
        <v>320</v>
      </c>
      <c r="AE81" s="6">
        <f t="shared" si="26"/>
        <v>0.37187499999999996</v>
      </c>
      <c r="AF81" s="4">
        <f t="shared" si="27"/>
        <v>119</v>
      </c>
      <c r="AG81" s="28"/>
      <c r="AH81" s="6"/>
      <c r="AI81" s="6"/>
      <c r="AJ81" s="6">
        <f t="shared" si="28"/>
        <v>1.0909090909090908</v>
      </c>
      <c r="AK81" s="6">
        <f t="shared" si="29"/>
        <v>1.2307692307692308</v>
      </c>
      <c r="AL81" s="6">
        <f t="shared" si="30"/>
        <v>1.0923913043478262</v>
      </c>
      <c r="AM81" s="4" t="str">
        <f t="shared" si="16"/>
        <v>-</v>
      </c>
      <c r="AN81" s="4" t="str">
        <f>IF(Q81="","-",Q81)</f>
        <v>-</v>
      </c>
      <c r="AO81" s="4" t="str">
        <f>IF(R81="","-",R81)</f>
        <v>-</v>
      </c>
      <c r="AP81" s="4" t="s">
        <v>413</v>
      </c>
      <c r="AQ81" s="4" t="s">
        <v>762</v>
      </c>
      <c r="AR81" s="4"/>
      <c r="AS81" s="4"/>
      <c r="AT81" s="4" t="s">
        <v>705</v>
      </c>
      <c r="AU81" s="4">
        <v>226</v>
      </c>
      <c r="AV81" s="4">
        <f t="shared" si="31"/>
        <v>226</v>
      </c>
      <c r="AW81" s="19">
        <v>4</v>
      </c>
      <c r="AX81" s="19">
        <v>1</v>
      </c>
      <c r="AY81" s="16">
        <v>19</v>
      </c>
      <c r="AZ81">
        <v>226</v>
      </c>
      <c r="BA81">
        <f>IFERROR(AZ81*AL81,"-")</f>
        <v>246.88043478260872</v>
      </c>
      <c r="BB81">
        <v>523</v>
      </c>
      <c r="BC81">
        <f>IFERROR(BB81*AL81,"-")</f>
        <v>571.32065217391312</v>
      </c>
      <c r="BD81" t="s">
        <v>472</v>
      </c>
    </row>
    <row r="82" spans="1:56" x14ac:dyDescent="0.4">
      <c r="A82" s="3">
        <v>59</v>
      </c>
      <c r="B82" s="3">
        <v>59</v>
      </c>
      <c r="C82" s="4">
        <v>11661</v>
      </c>
      <c r="D82" s="4" t="str">
        <f t="shared" si="17"/>
        <v>011661</v>
      </c>
      <c r="E82" s="4">
        <v>527931</v>
      </c>
      <c r="F82" s="4" t="s">
        <v>165</v>
      </c>
      <c r="G82" s="5">
        <v>4535627101404</v>
      </c>
      <c r="H82" s="5"/>
      <c r="I82" s="5"/>
      <c r="J82" s="5">
        <v>1</v>
      </c>
      <c r="K82" s="5">
        <v>1</v>
      </c>
      <c r="L82" s="4">
        <v>550</v>
      </c>
      <c r="M82" s="4">
        <v>252</v>
      </c>
      <c r="N82" s="4">
        <v>184</v>
      </c>
      <c r="O82" s="6">
        <f t="shared" si="18"/>
        <v>0.26984126984126988</v>
      </c>
      <c r="P82" s="4" t="s">
        <v>699</v>
      </c>
      <c r="Q82" s="4" t="s">
        <v>699</v>
      </c>
      <c r="R82" s="4" t="s">
        <v>699</v>
      </c>
      <c r="S82" s="4">
        <v>600</v>
      </c>
      <c r="T82" s="4">
        <f t="shared" si="19"/>
        <v>600</v>
      </c>
      <c r="U82" s="4">
        <v>201</v>
      </c>
      <c r="V82" s="4">
        <f t="shared" si="20"/>
        <v>201</v>
      </c>
      <c r="W82" s="4"/>
      <c r="X82" s="21">
        <f t="shared" si="21"/>
        <v>275</v>
      </c>
      <c r="Y82" s="6">
        <f t="shared" si="22"/>
        <v>0.26909090909090905</v>
      </c>
      <c r="Z82" s="33">
        <v>10.25</v>
      </c>
      <c r="AA82" s="4">
        <f t="shared" si="23"/>
        <v>226</v>
      </c>
      <c r="AB82" s="33">
        <f t="shared" si="24"/>
        <v>246.88043478260872</v>
      </c>
      <c r="AC82" s="6">
        <f t="shared" si="25"/>
        <v>0.18584070796460184</v>
      </c>
      <c r="AD82" s="7">
        <v>320</v>
      </c>
      <c r="AE82" s="6">
        <f t="shared" si="26"/>
        <v>0.37187499999999996</v>
      </c>
      <c r="AF82" s="4">
        <f t="shared" si="27"/>
        <v>119</v>
      </c>
      <c r="AG82" s="28"/>
      <c r="AH82" s="6"/>
      <c r="AI82" s="6"/>
      <c r="AJ82" s="6">
        <f t="shared" si="28"/>
        <v>1.0909090909090908</v>
      </c>
      <c r="AK82" s="6">
        <f t="shared" si="29"/>
        <v>1.2698412698412698</v>
      </c>
      <c r="AL82" s="6">
        <f t="shared" si="30"/>
        <v>1.0923913043478262</v>
      </c>
      <c r="AM82" s="4" t="str">
        <f t="shared" si="16"/>
        <v>-</v>
      </c>
      <c r="AN82" s="4" t="str">
        <f>IF(Q82="","-",Q82)</f>
        <v>-</v>
      </c>
      <c r="AO82" s="4" t="str">
        <f>IF(R82="","-",R82)</f>
        <v>-</v>
      </c>
      <c r="AP82" s="4" t="s">
        <v>407</v>
      </c>
      <c r="AQ82" s="4" t="s">
        <v>763</v>
      </c>
      <c r="AR82" s="4"/>
      <c r="AS82" s="4"/>
      <c r="AT82" s="4" t="s">
        <v>705</v>
      </c>
      <c r="AU82" s="4">
        <v>226</v>
      </c>
      <c r="AV82" s="4">
        <f t="shared" si="31"/>
        <v>226</v>
      </c>
      <c r="AW82" s="19">
        <v>4</v>
      </c>
      <c r="AX82" s="19">
        <v>1</v>
      </c>
      <c r="AY82" s="16">
        <v>19</v>
      </c>
      <c r="AZ82" t="s">
        <v>699</v>
      </c>
      <c r="BA82" t="str">
        <f>IFERROR(AZ82*AL82,"-")</f>
        <v>-</v>
      </c>
      <c r="BB82">
        <v>375</v>
      </c>
      <c r="BC82">
        <f>IFERROR(BB82*AL82,"-")</f>
        <v>409.64673913043481</v>
      </c>
      <c r="BD82" t="s">
        <v>473</v>
      </c>
    </row>
    <row r="83" spans="1:56" x14ac:dyDescent="0.4">
      <c r="A83" s="3">
        <v>60</v>
      </c>
      <c r="B83" s="3">
        <v>60</v>
      </c>
      <c r="C83" s="4">
        <v>11663</v>
      </c>
      <c r="D83" s="4" t="str">
        <f t="shared" si="17"/>
        <v>011663</v>
      </c>
      <c r="E83" s="4">
        <v>527958</v>
      </c>
      <c r="F83" s="4" t="s">
        <v>166</v>
      </c>
      <c r="G83" s="5">
        <v>4535627101435</v>
      </c>
      <c r="H83" s="5"/>
      <c r="I83" s="5"/>
      <c r="J83" s="5">
        <v>1</v>
      </c>
      <c r="K83" s="5">
        <v>1</v>
      </c>
      <c r="L83" s="4">
        <v>550</v>
      </c>
      <c r="M83" s="4">
        <v>232</v>
      </c>
      <c r="N83" s="4">
        <v>184</v>
      </c>
      <c r="O83" s="6">
        <f t="shared" si="18"/>
        <v>0.2068965517241379</v>
      </c>
      <c r="P83" s="4" t="s">
        <v>699</v>
      </c>
      <c r="Q83" s="4" t="s">
        <v>699</v>
      </c>
      <c r="R83" s="4" t="s">
        <v>699</v>
      </c>
      <c r="S83" s="4">
        <v>600</v>
      </c>
      <c r="T83" s="4">
        <f t="shared" si="19"/>
        <v>600</v>
      </c>
      <c r="U83" s="4">
        <v>201</v>
      </c>
      <c r="V83" s="4">
        <f t="shared" si="20"/>
        <v>201</v>
      </c>
      <c r="W83" s="4"/>
      <c r="X83" s="21">
        <f t="shared" si="21"/>
        <v>253</v>
      </c>
      <c r="Y83" s="6">
        <f t="shared" si="22"/>
        <v>0.2055335968379447</v>
      </c>
      <c r="Z83" s="33">
        <v>1</v>
      </c>
      <c r="AA83" s="4">
        <f t="shared" si="23"/>
        <v>553.78</v>
      </c>
      <c r="AB83" s="33">
        <f t="shared" si="24"/>
        <v>604.9444565217392</v>
      </c>
      <c r="AC83" s="6">
        <f t="shared" si="25"/>
        <v>0.66773809093863989</v>
      </c>
      <c r="AD83" s="7">
        <v>320</v>
      </c>
      <c r="AE83" s="6">
        <f t="shared" si="26"/>
        <v>0.37187499999999996</v>
      </c>
      <c r="AF83" s="4">
        <f t="shared" si="27"/>
        <v>119</v>
      </c>
      <c r="AG83" s="28"/>
      <c r="AH83" s="6"/>
      <c r="AI83" s="6"/>
      <c r="AJ83" s="6">
        <f t="shared" si="28"/>
        <v>1.0909090909090908</v>
      </c>
      <c r="AK83" s="6">
        <f t="shared" si="29"/>
        <v>1.3793103448275863</v>
      </c>
      <c r="AL83" s="6">
        <f t="shared" si="30"/>
        <v>1.0923913043478262</v>
      </c>
      <c r="AM83" s="4" t="str">
        <f t="shared" si="16"/>
        <v>-</v>
      </c>
      <c r="AN83" s="4" t="str">
        <f>IF(Q83="","-",Q83)</f>
        <v>-</v>
      </c>
      <c r="AO83" s="4" t="str">
        <f>IF(R83="","-",R83)</f>
        <v>-</v>
      </c>
      <c r="AP83" s="4" t="s">
        <v>413</v>
      </c>
      <c r="AQ83" s="4" t="s">
        <v>764</v>
      </c>
      <c r="AR83" s="4">
        <v>1</v>
      </c>
      <c r="AS83" s="4">
        <v>50</v>
      </c>
      <c r="AT83" s="4" t="s">
        <v>760</v>
      </c>
      <c r="AU83" s="4">
        <v>27689</v>
      </c>
      <c r="AV83" s="4">
        <f t="shared" si="31"/>
        <v>553.78</v>
      </c>
      <c r="AW83" s="19">
        <v>4</v>
      </c>
      <c r="AX83" s="19">
        <v>1</v>
      </c>
      <c r="AY83" s="16">
        <v>19</v>
      </c>
      <c r="AZ83" t="s">
        <v>699</v>
      </c>
      <c r="BA83" t="str">
        <f>IFERROR(AZ83*AL83,"-")</f>
        <v>-</v>
      </c>
      <c r="BB83">
        <v>523</v>
      </c>
      <c r="BC83">
        <f>IFERROR(BB83*AL83,"-")</f>
        <v>571.32065217391312</v>
      </c>
      <c r="BD83" t="s">
        <v>474</v>
      </c>
    </row>
    <row r="84" spans="1:56" x14ac:dyDescent="0.4">
      <c r="A84" s="3">
        <v>73</v>
      </c>
      <c r="B84" s="3">
        <v>73</v>
      </c>
      <c r="C84" s="4">
        <v>102422</v>
      </c>
      <c r="D84" s="4" t="str">
        <f t="shared" si="17"/>
        <v>102422</v>
      </c>
      <c r="E84" s="4">
        <v>102422</v>
      </c>
      <c r="F84" s="4" t="s">
        <v>179</v>
      </c>
      <c r="G84" s="5">
        <v>4535627601065</v>
      </c>
      <c r="H84" s="5"/>
      <c r="I84" s="5"/>
      <c r="J84" s="5">
        <v>1</v>
      </c>
      <c r="K84" s="5">
        <v>1</v>
      </c>
      <c r="L84" s="4">
        <v>460</v>
      </c>
      <c r="M84" s="4">
        <v>354</v>
      </c>
      <c r="N84" s="4">
        <v>193</v>
      </c>
      <c r="O84" s="6">
        <f t="shared" si="18"/>
        <v>0.45480225988700562</v>
      </c>
      <c r="P84" s="4" t="s">
        <v>699</v>
      </c>
      <c r="Q84" s="4" t="s">
        <v>699</v>
      </c>
      <c r="R84" s="4" t="s">
        <v>699</v>
      </c>
      <c r="S84" s="4">
        <v>480</v>
      </c>
      <c r="T84" s="4">
        <f t="shared" si="19"/>
        <v>480</v>
      </c>
      <c r="U84" s="4">
        <v>201</v>
      </c>
      <c r="V84" s="4">
        <f t="shared" si="20"/>
        <v>201</v>
      </c>
      <c r="W84" s="4"/>
      <c r="X84" s="21">
        <f t="shared" si="21"/>
        <v>369</v>
      </c>
      <c r="Y84" s="6">
        <f t="shared" si="22"/>
        <v>0.45528455284552849</v>
      </c>
      <c r="Z84" s="33">
        <v>1.5</v>
      </c>
      <c r="AA84" s="4">
        <f t="shared" si="23"/>
        <v>336</v>
      </c>
      <c r="AB84" s="33">
        <f t="shared" si="24"/>
        <v>349.92746113989637</v>
      </c>
      <c r="AC84" s="6">
        <f t="shared" si="25"/>
        <v>0.42559523809523814</v>
      </c>
      <c r="AD84" s="7">
        <v>349</v>
      </c>
      <c r="AE84" s="6">
        <f t="shared" si="26"/>
        <v>0.4240687679083095</v>
      </c>
      <c r="AF84" s="4">
        <f t="shared" si="27"/>
        <v>148</v>
      </c>
      <c r="AG84" s="28"/>
      <c r="AH84" s="6"/>
      <c r="AI84" s="6"/>
      <c r="AJ84" s="6">
        <f t="shared" si="28"/>
        <v>1.0434782608695652</v>
      </c>
      <c r="AK84" s="6">
        <f t="shared" si="29"/>
        <v>0.98587570621468923</v>
      </c>
      <c r="AL84" s="6">
        <f t="shared" si="30"/>
        <v>1.0414507772020725</v>
      </c>
      <c r="AM84" s="4" t="str">
        <f t="shared" si="16"/>
        <v>-</v>
      </c>
      <c r="AN84" s="4" t="str">
        <f>IF(Q84="","-",Q84)</f>
        <v>-</v>
      </c>
      <c r="AO84" s="4" t="str">
        <f>IF(R84="","-",R84)</f>
        <v>-</v>
      </c>
      <c r="AP84" s="4" t="s">
        <v>412</v>
      </c>
      <c r="AQ84" s="4" t="s">
        <v>779</v>
      </c>
      <c r="AR84" s="4"/>
      <c r="AS84" s="4"/>
      <c r="AT84" s="4" t="s">
        <v>753</v>
      </c>
      <c r="AU84" s="4">
        <v>336</v>
      </c>
      <c r="AV84" s="4">
        <f t="shared" si="31"/>
        <v>336</v>
      </c>
      <c r="AW84" s="19">
        <v>4</v>
      </c>
      <c r="AX84" s="19">
        <v>1</v>
      </c>
      <c r="AY84" s="16">
        <v>19</v>
      </c>
      <c r="AZ84" t="s">
        <v>699</v>
      </c>
      <c r="BA84" t="str">
        <f>IFERROR(AZ84*AL84,"-")</f>
        <v>-</v>
      </c>
      <c r="BB84" t="s">
        <v>699</v>
      </c>
      <c r="BC84" t="str">
        <f>IFERROR(BB84*AL84,"-")</f>
        <v>-</v>
      </c>
      <c r="BD84" t="s">
        <v>487</v>
      </c>
    </row>
    <row r="85" spans="1:56" x14ac:dyDescent="0.4">
      <c r="A85" s="3">
        <v>43</v>
      </c>
      <c r="B85" s="3">
        <v>43</v>
      </c>
      <c r="C85" s="4">
        <v>11651</v>
      </c>
      <c r="D85" s="4" t="str">
        <f t="shared" si="17"/>
        <v>011651</v>
      </c>
      <c r="E85" s="4">
        <v>528021</v>
      </c>
      <c r="F85" s="4" t="s">
        <v>149</v>
      </c>
      <c r="G85" s="5">
        <v>4535627101800</v>
      </c>
      <c r="H85" s="5"/>
      <c r="I85" s="5"/>
      <c r="J85" s="5">
        <v>1</v>
      </c>
      <c r="K85" s="5">
        <v>1</v>
      </c>
      <c r="L85" s="4">
        <v>530</v>
      </c>
      <c r="M85" s="4">
        <v>328</v>
      </c>
      <c r="N85" s="4">
        <v>187</v>
      </c>
      <c r="O85" s="6">
        <f t="shared" si="18"/>
        <v>0.42987804878048785</v>
      </c>
      <c r="P85" s="4">
        <v>278</v>
      </c>
      <c r="Q85" s="4">
        <v>10</v>
      </c>
      <c r="R85" s="4">
        <v>99999</v>
      </c>
      <c r="S85" s="4">
        <v>580</v>
      </c>
      <c r="T85" s="4">
        <f t="shared" si="19"/>
        <v>580</v>
      </c>
      <c r="U85" s="4">
        <v>205</v>
      </c>
      <c r="V85" s="4">
        <f t="shared" si="20"/>
        <v>205</v>
      </c>
      <c r="W85" s="4"/>
      <c r="X85" s="21">
        <f t="shared" si="21"/>
        <v>360</v>
      </c>
      <c r="Y85" s="6">
        <f t="shared" si="22"/>
        <v>0.43055555555555558</v>
      </c>
      <c r="Z85" s="33">
        <v>41.75</v>
      </c>
      <c r="AA85" s="4">
        <f t="shared" si="23"/>
        <v>329</v>
      </c>
      <c r="AB85" s="33">
        <f t="shared" si="24"/>
        <v>360.66844919786092</v>
      </c>
      <c r="AC85" s="6">
        <f t="shared" si="25"/>
        <v>0.43161094224924001</v>
      </c>
      <c r="AD85" s="7">
        <v>355</v>
      </c>
      <c r="AE85" s="6">
        <f t="shared" si="26"/>
        <v>0.42253521126760563</v>
      </c>
      <c r="AF85" s="4">
        <f t="shared" si="27"/>
        <v>150</v>
      </c>
      <c r="AG85" s="28"/>
      <c r="AH85" s="6"/>
      <c r="AI85" s="6"/>
      <c r="AJ85" s="6">
        <f t="shared" si="28"/>
        <v>1.0943396226415094</v>
      </c>
      <c r="AK85" s="6">
        <f t="shared" si="29"/>
        <v>1.0823170731707317</v>
      </c>
      <c r="AL85" s="6">
        <f t="shared" si="30"/>
        <v>1.0962566844919786</v>
      </c>
      <c r="AM85" s="4">
        <v>320</v>
      </c>
      <c r="AN85" s="4">
        <f>IF(Q85="","-",Q85)</f>
        <v>10</v>
      </c>
      <c r="AO85" s="4">
        <f>IF(R85="","-",R85)</f>
        <v>99999</v>
      </c>
      <c r="AP85" s="4" t="s">
        <v>411</v>
      </c>
      <c r="AQ85" s="4" t="s">
        <v>743</v>
      </c>
      <c r="AR85" s="4"/>
      <c r="AS85" s="4"/>
      <c r="AT85" s="4" t="s">
        <v>705</v>
      </c>
      <c r="AU85" s="4">
        <v>329</v>
      </c>
      <c r="AV85" s="4">
        <f t="shared" si="31"/>
        <v>329</v>
      </c>
      <c r="AW85" s="19">
        <v>4</v>
      </c>
      <c r="AX85" s="19">
        <v>1</v>
      </c>
      <c r="AY85" s="16">
        <v>19</v>
      </c>
      <c r="AZ85">
        <v>329</v>
      </c>
      <c r="BA85">
        <f>IFERROR(AZ85*AL85,"-")</f>
        <v>360.66844919786092</v>
      </c>
      <c r="BB85">
        <v>375</v>
      </c>
      <c r="BC85">
        <f>IFERROR(BB85*AL85,"-")</f>
        <v>411.09625668449195</v>
      </c>
      <c r="BD85" t="s">
        <v>457</v>
      </c>
    </row>
    <row r="86" spans="1:56" x14ac:dyDescent="0.4">
      <c r="A86" s="3">
        <v>199</v>
      </c>
      <c r="B86" s="3">
        <v>199</v>
      </c>
      <c r="C86" s="4">
        <v>650167</v>
      </c>
      <c r="D86" s="4" t="str">
        <f t="shared" si="17"/>
        <v>650167</v>
      </c>
      <c r="E86" s="4">
        <v>650167</v>
      </c>
      <c r="F86" s="4" t="s">
        <v>305</v>
      </c>
      <c r="G86" s="5">
        <v>4535627101251</v>
      </c>
      <c r="H86" s="5"/>
      <c r="I86" s="5"/>
      <c r="J86" s="5">
        <v>1</v>
      </c>
      <c r="K86" s="5">
        <v>1</v>
      </c>
      <c r="L86" s="4">
        <v>1000</v>
      </c>
      <c r="M86" s="4">
        <v>466</v>
      </c>
      <c r="N86" s="4">
        <v>197</v>
      </c>
      <c r="O86" s="6">
        <f t="shared" si="18"/>
        <v>0.57725321888412018</v>
      </c>
      <c r="P86" s="4" t="s">
        <v>699</v>
      </c>
      <c r="Q86" s="4" t="s">
        <v>699</v>
      </c>
      <c r="R86" s="4" t="s">
        <v>699</v>
      </c>
      <c r="S86" s="4">
        <v>1100</v>
      </c>
      <c r="T86" s="4">
        <f t="shared" si="19"/>
        <v>1100</v>
      </c>
      <c r="U86" s="4">
        <v>217</v>
      </c>
      <c r="V86" s="4">
        <f t="shared" si="20"/>
        <v>217</v>
      </c>
      <c r="W86" s="4"/>
      <c r="X86" s="21">
        <f t="shared" si="21"/>
        <v>513</v>
      </c>
      <c r="Y86" s="6">
        <f t="shared" si="22"/>
        <v>0.57699805068226118</v>
      </c>
      <c r="Z86" s="33">
        <v>1</v>
      </c>
      <c r="AA86" s="4">
        <f t="shared" si="23"/>
        <v>999</v>
      </c>
      <c r="AB86" s="33">
        <f t="shared" si="24"/>
        <v>1100.4213197969543</v>
      </c>
      <c r="AC86" s="6">
        <f t="shared" si="25"/>
        <v>0.80280280280280281</v>
      </c>
      <c r="AD86" s="7">
        <v>500</v>
      </c>
      <c r="AE86" s="6">
        <f t="shared" si="26"/>
        <v>0.56600000000000006</v>
      </c>
      <c r="AF86" s="4">
        <f t="shared" si="27"/>
        <v>283</v>
      </c>
      <c r="AG86" s="28"/>
      <c r="AH86" s="6"/>
      <c r="AI86" s="6"/>
      <c r="AJ86" s="6">
        <f t="shared" si="28"/>
        <v>1.1000000000000001</v>
      </c>
      <c r="AK86" s="6">
        <f t="shared" si="29"/>
        <v>1.0729613733905579</v>
      </c>
      <c r="AL86" s="6">
        <f t="shared" si="30"/>
        <v>1.101522842639594</v>
      </c>
      <c r="AM86" s="4" t="str">
        <f t="shared" ref="AM86:AM93" si="32">IFERROR(ROUND($AD86*P86/$M86,0),"-")</f>
        <v>-</v>
      </c>
      <c r="AN86" s="4" t="str">
        <f>IF(Q86="","-",Q86)</f>
        <v>-</v>
      </c>
      <c r="AO86" s="4" t="str">
        <f>IF(R86="","-",R86)</f>
        <v>-</v>
      </c>
      <c r="AP86" s="4" t="s">
        <v>407</v>
      </c>
      <c r="AQ86" s="4" t="s">
        <v>932</v>
      </c>
      <c r="AR86" s="4"/>
      <c r="AS86" s="4"/>
      <c r="AT86" s="4" t="s">
        <v>705</v>
      </c>
      <c r="AU86" s="4">
        <v>999</v>
      </c>
      <c r="AV86" s="4">
        <f t="shared" si="31"/>
        <v>999</v>
      </c>
      <c r="AW86" s="19">
        <v>4</v>
      </c>
      <c r="AX86" s="19">
        <v>1</v>
      </c>
      <c r="AY86" s="16">
        <v>19</v>
      </c>
      <c r="AZ86" t="s">
        <v>699</v>
      </c>
      <c r="BA86" t="str">
        <f>IFERROR(AZ86*AL86,"-")</f>
        <v>-</v>
      </c>
      <c r="BB86">
        <v>950</v>
      </c>
      <c r="BC86">
        <f>IFERROR(BB86*AL86,"-")</f>
        <v>1046.4467005076142</v>
      </c>
      <c r="BD86" t="s">
        <v>615</v>
      </c>
    </row>
    <row r="87" spans="1:56" x14ac:dyDescent="0.4">
      <c r="A87" s="3">
        <v>200</v>
      </c>
      <c r="B87" s="3">
        <v>200</v>
      </c>
      <c r="C87" s="4">
        <v>650168</v>
      </c>
      <c r="D87" s="4" t="str">
        <f t="shared" si="17"/>
        <v>650168</v>
      </c>
      <c r="E87" s="4">
        <v>650168</v>
      </c>
      <c r="F87" s="4" t="s">
        <v>306</v>
      </c>
      <c r="G87" s="5">
        <v>4535627101244</v>
      </c>
      <c r="H87" s="5"/>
      <c r="I87" s="5"/>
      <c r="J87" s="5">
        <v>1</v>
      </c>
      <c r="K87" s="5">
        <v>1</v>
      </c>
      <c r="L87" s="4">
        <v>1000</v>
      </c>
      <c r="M87" s="4">
        <v>466</v>
      </c>
      <c r="N87" s="4">
        <v>197</v>
      </c>
      <c r="O87" s="6">
        <f t="shared" si="18"/>
        <v>0.57725321888412018</v>
      </c>
      <c r="P87" s="4" t="s">
        <v>699</v>
      </c>
      <c r="Q87" s="4" t="s">
        <v>699</v>
      </c>
      <c r="R87" s="4" t="s">
        <v>699</v>
      </c>
      <c r="S87" s="4">
        <v>1100</v>
      </c>
      <c r="T87" s="4">
        <f t="shared" si="19"/>
        <v>1100</v>
      </c>
      <c r="U87" s="4">
        <v>217</v>
      </c>
      <c r="V87" s="4">
        <f t="shared" si="20"/>
        <v>217</v>
      </c>
      <c r="W87" s="4"/>
      <c r="X87" s="21">
        <f t="shared" si="21"/>
        <v>513</v>
      </c>
      <c r="Y87" s="6">
        <f t="shared" si="22"/>
        <v>0.57699805068226118</v>
      </c>
      <c r="Z87" s="33">
        <v>3</v>
      </c>
      <c r="AA87" s="4">
        <f t="shared" si="23"/>
        <v>999</v>
      </c>
      <c r="AB87" s="33">
        <f t="shared" si="24"/>
        <v>1100.4213197969543</v>
      </c>
      <c r="AC87" s="6">
        <f t="shared" si="25"/>
        <v>0.80280280280280281</v>
      </c>
      <c r="AD87" s="7">
        <v>500</v>
      </c>
      <c r="AE87" s="6">
        <f t="shared" si="26"/>
        <v>0.56600000000000006</v>
      </c>
      <c r="AF87" s="4">
        <f t="shared" si="27"/>
        <v>283</v>
      </c>
      <c r="AG87" s="28"/>
      <c r="AH87" s="6"/>
      <c r="AI87" s="6"/>
      <c r="AJ87" s="6">
        <f t="shared" si="28"/>
        <v>1.1000000000000001</v>
      </c>
      <c r="AK87" s="6">
        <f t="shared" si="29"/>
        <v>1.0729613733905579</v>
      </c>
      <c r="AL87" s="6">
        <f t="shared" si="30"/>
        <v>1.101522842639594</v>
      </c>
      <c r="AM87" s="4" t="str">
        <f t="shared" si="32"/>
        <v>-</v>
      </c>
      <c r="AN87" s="4" t="str">
        <f>IF(Q87="","-",Q87)</f>
        <v>-</v>
      </c>
      <c r="AO87" s="4" t="str">
        <f>IF(R87="","-",R87)</f>
        <v>-</v>
      </c>
      <c r="AP87" s="4" t="s">
        <v>407</v>
      </c>
      <c r="AQ87" s="4" t="s">
        <v>933</v>
      </c>
      <c r="AR87" s="4"/>
      <c r="AS87" s="4"/>
      <c r="AT87" s="4" t="s">
        <v>705</v>
      </c>
      <c r="AU87" s="4">
        <v>999</v>
      </c>
      <c r="AV87" s="4">
        <f t="shared" si="31"/>
        <v>999</v>
      </c>
      <c r="AW87" s="19">
        <v>4</v>
      </c>
      <c r="AX87" s="19">
        <v>1</v>
      </c>
      <c r="AY87" s="16">
        <v>19</v>
      </c>
      <c r="AZ87" t="s">
        <v>699</v>
      </c>
      <c r="BA87" t="str">
        <f>IFERROR(AZ87*AL87,"-")</f>
        <v>-</v>
      </c>
      <c r="BB87">
        <v>950</v>
      </c>
      <c r="BC87">
        <f>IFERROR(BB87*AL87,"-")</f>
        <v>1046.4467005076142</v>
      </c>
      <c r="BD87" t="s">
        <v>616</v>
      </c>
    </row>
    <row r="88" spans="1:56" x14ac:dyDescent="0.4">
      <c r="A88" s="3">
        <v>203</v>
      </c>
      <c r="B88" s="3">
        <v>203</v>
      </c>
      <c r="C88" s="4">
        <v>650218</v>
      </c>
      <c r="D88" s="4" t="str">
        <f t="shared" si="17"/>
        <v>650218</v>
      </c>
      <c r="E88" s="4">
        <v>650218</v>
      </c>
      <c r="F88" s="4" t="s">
        <v>309</v>
      </c>
      <c r="G88" s="5">
        <v>4535627101237</v>
      </c>
      <c r="H88" s="5"/>
      <c r="I88" s="5"/>
      <c r="J88" s="5">
        <v>1</v>
      </c>
      <c r="K88" s="5">
        <v>1</v>
      </c>
      <c r="L88" s="4">
        <v>1000</v>
      </c>
      <c r="M88" s="4">
        <v>466</v>
      </c>
      <c r="N88" s="4">
        <v>197</v>
      </c>
      <c r="O88" s="6">
        <f t="shared" si="18"/>
        <v>0.57725321888412018</v>
      </c>
      <c r="P88" s="4" t="s">
        <v>699</v>
      </c>
      <c r="Q88" s="4" t="s">
        <v>699</v>
      </c>
      <c r="R88" s="4" t="s">
        <v>699</v>
      </c>
      <c r="S88" s="4">
        <v>1100</v>
      </c>
      <c r="T88" s="4">
        <f t="shared" si="19"/>
        <v>1100</v>
      </c>
      <c r="U88" s="4">
        <v>217</v>
      </c>
      <c r="V88" s="4">
        <f t="shared" si="20"/>
        <v>217</v>
      </c>
      <c r="W88" s="4"/>
      <c r="X88" s="21">
        <f t="shared" si="21"/>
        <v>513</v>
      </c>
      <c r="Y88" s="6">
        <f t="shared" si="22"/>
        <v>0.57699805068226118</v>
      </c>
      <c r="Z88" s="33">
        <v>1.5</v>
      </c>
      <c r="AA88" s="4">
        <f t="shared" si="23"/>
        <v>999</v>
      </c>
      <c r="AB88" s="33">
        <f t="shared" si="24"/>
        <v>1100.4213197969543</v>
      </c>
      <c r="AC88" s="6">
        <f t="shared" si="25"/>
        <v>0.80280280280280281</v>
      </c>
      <c r="AD88" s="7">
        <v>500</v>
      </c>
      <c r="AE88" s="6">
        <f t="shared" si="26"/>
        <v>0.56600000000000006</v>
      </c>
      <c r="AF88" s="4">
        <f t="shared" si="27"/>
        <v>283</v>
      </c>
      <c r="AG88" s="28"/>
      <c r="AH88" s="6"/>
      <c r="AI88" s="6"/>
      <c r="AJ88" s="6">
        <f t="shared" si="28"/>
        <v>1.1000000000000001</v>
      </c>
      <c r="AK88" s="6">
        <f t="shared" si="29"/>
        <v>1.0729613733905579</v>
      </c>
      <c r="AL88" s="6">
        <f t="shared" si="30"/>
        <v>1.101522842639594</v>
      </c>
      <c r="AM88" s="4" t="str">
        <f t="shared" si="32"/>
        <v>-</v>
      </c>
      <c r="AN88" s="4" t="str">
        <f>IF(Q88="","-",Q88)</f>
        <v>-</v>
      </c>
      <c r="AO88" s="4" t="str">
        <f>IF(R88="","-",R88)</f>
        <v>-</v>
      </c>
      <c r="AP88" s="4" t="s">
        <v>407</v>
      </c>
      <c r="AQ88" s="4" t="s">
        <v>936</v>
      </c>
      <c r="AR88" s="4"/>
      <c r="AS88" s="4"/>
      <c r="AT88" s="4" t="s">
        <v>705</v>
      </c>
      <c r="AU88" s="4">
        <v>999</v>
      </c>
      <c r="AV88" s="4">
        <f t="shared" si="31"/>
        <v>999</v>
      </c>
      <c r="AW88" s="19">
        <v>4</v>
      </c>
      <c r="AX88" s="19">
        <v>1</v>
      </c>
      <c r="AY88" s="16">
        <v>19</v>
      </c>
      <c r="AZ88" t="s">
        <v>699</v>
      </c>
      <c r="BA88" t="str">
        <f>IFERROR(AZ88*AL88,"-")</f>
        <v>-</v>
      </c>
      <c r="BB88">
        <v>950</v>
      </c>
      <c r="BC88">
        <f>IFERROR(BB88*AL88,"-")</f>
        <v>1046.4467005076142</v>
      </c>
      <c r="BD88" t="s">
        <v>619</v>
      </c>
    </row>
    <row r="89" spans="1:56" x14ac:dyDescent="0.4">
      <c r="A89" s="3">
        <v>189</v>
      </c>
      <c r="B89" s="3">
        <v>189</v>
      </c>
      <c r="C89" s="4">
        <v>650318</v>
      </c>
      <c r="D89" s="4" t="str">
        <f t="shared" si="17"/>
        <v>650318</v>
      </c>
      <c r="E89" s="4">
        <v>650318</v>
      </c>
      <c r="F89" s="4" t="s">
        <v>295</v>
      </c>
      <c r="G89" s="5">
        <v>4535627101220</v>
      </c>
      <c r="H89" s="5"/>
      <c r="I89" s="5"/>
      <c r="J89" s="5">
        <v>1</v>
      </c>
      <c r="K89" s="5">
        <v>1</v>
      </c>
      <c r="L89" s="4">
        <v>1000</v>
      </c>
      <c r="M89" s="4">
        <v>466</v>
      </c>
      <c r="N89" s="4">
        <v>197</v>
      </c>
      <c r="O89" s="6">
        <f t="shared" si="18"/>
        <v>0.57725321888412018</v>
      </c>
      <c r="P89" s="4" t="s">
        <v>699</v>
      </c>
      <c r="Q89" s="4" t="s">
        <v>699</v>
      </c>
      <c r="R89" s="4" t="s">
        <v>699</v>
      </c>
      <c r="S89" s="4">
        <v>1100</v>
      </c>
      <c r="T89" s="4">
        <f t="shared" si="19"/>
        <v>1100</v>
      </c>
      <c r="U89" s="4">
        <v>217</v>
      </c>
      <c r="V89" s="4">
        <f t="shared" si="20"/>
        <v>217</v>
      </c>
      <c r="W89" s="4"/>
      <c r="X89" s="21">
        <f t="shared" si="21"/>
        <v>513</v>
      </c>
      <c r="Y89" s="6">
        <f t="shared" si="22"/>
        <v>0.57699805068226118</v>
      </c>
      <c r="Z89" s="33">
        <v>3.25</v>
      </c>
      <c r="AA89" s="4">
        <f t="shared" si="23"/>
        <v>999</v>
      </c>
      <c r="AB89" s="33">
        <f t="shared" si="24"/>
        <v>1100.4213197969543</v>
      </c>
      <c r="AC89" s="6">
        <f t="shared" si="25"/>
        <v>0.80280280280280281</v>
      </c>
      <c r="AD89" s="7">
        <v>500</v>
      </c>
      <c r="AE89" s="6">
        <f t="shared" si="26"/>
        <v>0.56600000000000006</v>
      </c>
      <c r="AF89" s="4">
        <f t="shared" si="27"/>
        <v>283</v>
      </c>
      <c r="AG89" s="28"/>
      <c r="AH89" s="6"/>
      <c r="AI89" s="6"/>
      <c r="AJ89" s="6">
        <f t="shared" si="28"/>
        <v>1.1000000000000001</v>
      </c>
      <c r="AK89" s="6">
        <f t="shared" si="29"/>
        <v>1.0729613733905579</v>
      </c>
      <c r="AL89" s="6">
        <f t="shared" si="30"/>
        <v>1.101522842639594</v>
      </c>
      <c r="AM89" s="4" t="str">
        <f t="shared" si="32"/>
        <v>-</v>
      </c>
      <c r="AN89" s="4" t="str">
        <f>IF(Q89="","-",Q89)</f>
        <v>-</v>
      </c>
      <c r="AO89" s="4" t="str">
        <f>IF(R89="","-",R89)</f>
        <v>-</v>
      </c>
      <c r="AP89" s="4" t="s">
        <v>407</v>
      </c>
      <c r="AQ89" s="4" t="s">
        <v>920</v>
      </c>
      <c r="AR89" s="4"/>
      <c r="AS89" s="4"/>
      <c r="AT89" s="4" t="s">
        <v>705</v>
      </c>
      <c r="AU89" s="4">
        <v>999</v>
      </c>
      <c r="AV89" s="4">
        <f t="shared" si="31"/>
        <v>999</v>
      </c>
      <c r="AW89" s="19">
        <v>4</v>
      </c>
      <c r="AX89" s="19">
        <v>1</v>
      </c>
      <c r="AY89" s="16">
        <v>19</v>
      </c>
      <c r="AZ89" t="s">
        <v>699</v>
      </c>
      <c r="BA89" t="str">
        <f>IFERROR(AZ89*AL89,"-")</f>
        <v>-</v>
      </c>
      <c r="BB89">
        <v>690</v>
      </c>
      <c r="BC89">
        <f>IFERROR(BB89*AL89,"-")</f>
        <v>760.05076142131986</v>
      </c>
      <c r="BD89" t="s">
        <v>605</v>
      </c>
    </row>
    <row r="90" spans="1:56" x14ac:dyDescent="0.4">
      <c r="A90" s="3">
        <v>190</v>
      </c>
      <c r="B90" s="3">
        <v>190</v>
      </c>
      <c r="C90" s="4">
        <v>650327</v>
      </c>
      <c r="D90" s="4" t="str">
        <f t="shared" si="17"/>
        <v>650327</v>
      </c>
      <c r="E90" s="4">
        <v>650327</v>
      </c>
      <c r="F90" s="4" t="s">
        <v>296</v>
      </c>
      <c r="G90" s="5">
        <v>4535627101213</v>
      </c>
      <c r="H90" s="5"/>
      <c r="I90" s="5"/>
      <c r="J90" s="5">
        <v>1</v>
      </c>
      <c r="K90" s="5">
        <v>1</v>
      </c>
      <c r="L90" s="4">
        <v>1000</v>
      </c>
      <c r="M90" s="4">
        <v>466</v>
      </c>
      <c r="N90" s="4">
        <v>197</v>
      </c>
      <c r="O90" s="6">
        <f t="shared" si="18"/>
        <v>0.57725321888412018</v>
      </c>
      <c r="P90" s="4" t="s">
        <v>699</v>
      </c>
      <c r="Q90" s="4" t="s">
        <v>699</v>
      </c>
      <c r="R90" s="4" t="s">
        <v>699</v>
      </c>
      <c r="S90" s="4">
        <v>1100</v>
      </c>
      <c r="T90" s="4">
        <f t="shared" si="19"/>
        <v>1100</v>
      </c>
      <c r="U90" s="4">
        <v>217</v>
      </c>
      <c r="V90" s="4">
        <f t="shared" si="20"/>
        <v>217</v>
      </c>
      <c r="W90" s="4"/>
      <c r="X90" s="21">
        <f t="shared" si="21"/>
        <v>513</v>
      </c>
      <c r="Y90" s="6">
        <f t="shared" si="22"/>
        <v>0.57699805068226118</v>
      </c>
      <c r="Z90" s="33">
        <v>4.75</v>
      </c>
      <c r="AA90" s="4">
        <f t="shared" si="23"/>
        <v>999</v>
      </c>
      <c r="AB90" s="33">
        <f t="shared" si="24"/>
        <v>1100.4213197969543</v>
      </c>
      <c r="AC90" s="6">
        <f t="shared" si="25"/>
        <v>0.80280280280280281</v>
      </c>
      <c r="AD90" s="7">
        <v>500</v>
      </c>
      <c r="AE90" s="6">
        <f t="shared" si="26"/>
        <v>0.56600000000000006</v>
      </c>
      <c r="AF90" s="4">
        <f t="shared" si="27"/>
        <v>283</v>
      </c>
      <c r="AG90" s="28"/>
      <c r="AH90" s="6"/>
      <c r="AI90" s="6"/>
      <c r="AJ90" s="6">
        <f t="shared" si="28"/>
        <v>1.1000000000000001</v>
      </c>
      <c r="AK90" s="6">
        <f t="shared" si="29"/>
        <v>1.0729613733905579</v>
      </c>
      <c r="AL90" s="6">
        <f t="shared" si="30"/>
        <v>1.101522842639594</v>
      </c>
      <c r="AM90" s="4" t="str">
        <f t="shared" si="32"/>
        <v>-</v>
      </c>
      <c r="AN90" s="4" t="str">
        <f>IF(Q90="","-",Q90)</f>
        <v>-</v>
      </c>
      <c r="AO90" s="4" t="str">
        <f>IF(R90="","-",R90)</f>
        <v>-</v>
      </c>
      <c r="AP90" s="4" t="s">
        <v>407</v>
      </c>
      <c r="AQ90" s="4" t="s">
        <v>921</v>
      </c>
      <c r="AR90" s="4"/>
      <c r="AS90" s="4"/>
      <c r="AT90" s="4" t="s">
        <v>705</v>
      </c>
      <c r="AU90" s="4">
        <v>999</v>
      </c>
      <c r="AV90" s="4">
        <f t="shared" si="31"/>
        <v>999</v>
      </c>
      <c r="AW90" s="19">
        <v>4</v>
      </c>
      <c r="AX90" s="19">
        <v>1</v>
      </c>
      <c r="AY90" s="16">
        <v>19</v>
      </c>
      <c r="AZ90" t="s">
        <v>699</v>
      </c>
      <c r="BA90" t="str">
        <f>IFERROR(AZ90*AL90,"-")</f>
        <v>-</v>
      </c>
      <c r="BB90">
        <v>950</v>
      </c>
      <c r="BC90">
        <f>IFERROR(BB90*AL90,"-")</f>
        <v>1046.4467005076142</v>
      </c>
      <c r="BD90" t="s">
        <v>606</v>
      </c>
    </row>
    <row r="91" spans="1:56" x14ac:dyDescent="0.4">
      <c r="A91" s="3">
        <v>49</v>
      </c>
      <c r="B91" s="3">
        <v>49</v>
      </c>
      <c r="C91" s="4">
        <v>102417</v>
      </c>
      <c r="D91" s="4" t="str">
        <f t="shared" si="17"/>
        <v>102417</v>
      </c>
      <c r="E91" s="4">
        <v>102417</v>
      </c>
      <c r="F91" s="4" t="s">
        <v>155</v>
      </c>
      <c r="G91" s="5">
        <v>4535627601010</v>
      </c>
      <c r="H91" s="5"/>
      <c r="I91" s="5"/>
      <c r="J91" s="5">
        <v>1</v>
      </c>
      <c r="K91" s="5">
        <v>1</v>
      </c>
      <c r="L91" s="4">
        <v>480</v>
      </c>
      <c r="M91" s="4">
        <v>460</v>
      </c>
      <c r="N91" s="4">
        <v>202</v>
      </c>
      <c r="O91" s="6">
        <f t="shared" si="18"/>
        <v>0.56086956521739129</v>
      </c>
      <c r="P91" s="4" t="s">
        <v>699</v>
      </c>
      <c r="Q91" s="4" t="s">
        <v>699</v>
      </c>
      <c r="R91" s="4" t="s">
        <v>699</v>
      </c>
      <c r="S91" s="4">
        <v>520</v>
      </c>
      <c r="T91" s="4">
        <f t="shared" si="19"/>
        <v>520</v>
      </c>
      <c r="U91" s="4">
        <v>219</v>
      </c>
      <c r="V91" s="4">
        <f t="shared" si="20"/>
        <v>219</v>
      </c>
      <c r="W91" s="4"/>
      <c r="X91" s="21">
        <f t="shared" si="21"/>
        <v>499</v>
      </c>
      <c r="Y91" s="6">
        <f t="shared" si="22"/>
        <v>0.56112224448897796</v>
      </c>
      <c r="Z91" s="33">
        <v>0.5</v>
      </c>
      <c r="AA91" s="4">
        <f t="shared" si="23"/>
        <v>490</v>
      </c>
      <c r="AB91" s="33">
        <f t="shared" si="24"/>
        <v>531.2376237623763</v>
      </c>
      <c r="AC91" s="6">
        <f t="shared" si="25"/>
        <v>0.58775510204081638</v>
      </c>
      <c r="AD91" s="7">
        <v>430</v>
      </c>
      <c r="AE91" s="6">
        <f t="shared" si="26"/>
        <v>0.49069767441860468</v>
      </c>
      <c r="AF91" s="4">
        <f t="shared" si="27"/>
        <v>211</v>
      </c>
      <c r="AG91" s="28"/>
      <c r="AH91" s="6"/>
      <c r="AI91" s="6"/>
      <c r="AJ91" s="6">
        <f t="shared" si="28"/>
        <v>1.0833333333333333</v>
      </c>
      <c r="AK91" s="6">
        <f t="shared" si="29"/>
        <v>0.93478260869565222</v>
      </c>
      <c r="AL91" s="6">
        <f t="shared" si="30"/>
        <v>1.0841584158415842</v>
      </c>
      <c r="AM91" s="4" t="str">
        <f t="shared" si="32"/>
        <v>-</v>
      </c>
      <c r="AN91" s="4" t="str">
        <f>IF(Q91="","-",Q91)</f>
        <v>-</v>
      </c>
      <c r="AO91" s="4" t="str">
        <f>IF(R91="","-",R91)</f>
        <v>-</v>
      </c>
      <c r="AP91" s="4" t="s">
        <v>412</v>
      </c>
      <c r="AQ91" s="4" t="s">
        <v>750</v>
      </c>
      <c r="AR91" s="4"/>
      <c r="AS91" s="4"/>
      <c r="AT91" s="4" t="s">
        <v>721</v>
      </c>
      <c r="AU91" s="4">
        <v>490</v>
      </c>
      <c r="AV91" s="4">
        <f t="shared" si="31"/>
        <v>490</v>
      </c>
      <c r="AW91" s="19">
        <v>4</v>
      </c>
      <c r="AX91" s="19">
        <v>1</v>
      </c>
      <c r="AY91" s="16">
        <v>19</v>
      </c>
      <c r="AZ91" t="s">
        <v>699</v>
      </c>
      <c r="BA91" t="str">
        <f>IFERROR(AZ91*AL91,"-")</f>
        <v>-</v>
      </c>
      <c r="BB91">
        <v>4054</v>
      </c>
      <c r="BC91">
        <f>IFERROR(BB91*AL91,"-")</f>
        <v>4395.1782178217827</v>
      </c>
      <c r="BD91" t="s">
        <v>463</v>
      </c>
    </row>
    <row r="92" spans="1:56" x14ac:dyDescent="0.4">
      <c r="A92" s="3">
        <v>94</v>
      </c>
      <c r="B92" s="3">
        <v>94</v>
      </c>
      <c r="C92" s="4">
        <v>158939</v>
      </c>
      <c r="D92" s="4" t="str">
        <f t="shared" si="17"/>
        <v>158939</v>
      </c>
      <c r="E92" s="4">
        <v>158939</v>
      </c>
      <c r="F92" s="4" t="s">
        <v>200</v>
      </c>
      <c r="G92" s="5">
        <v>4535627600983</v>
      </c>
      <c r="H92" s="5"/>
      <c r="I92" s="5"/>
      <c r="J92" s="5">
        <v>1</v>
      </c>
      <c r="K92" s="5">
        <v>1</v>
      </c>
      <c r="L92" s="4">
        <v>480</v>
      </c>
      <c r="M92" s="4">
        <v>410</v>
      </c>
      <c r="N92" s="4">
        <v>202</v>
      </c>
      <c r="O92" s="6">
        <f t="shared" si="18"/>
        <v>0.50731707317073171</v>
      </c>
      <c r="P92" s="4" t="s">
        <v>699</v>
      </c>
      <c r="Q92" s="4" t="s">
        <v>699</v>
      </c>
      <c r="R92" s="4" t="s">
        <v>699</v>
      </c>
      <c r="S92" s="4">
        <v>520</v>
      </c>
      <c r="T92" s="4">
        <f t="shared" si="19"/>
        <v>520</v>
      </c>
      <c r="U92" s="4">
        <v>219</v>
      </c>
      <c r="V92" s="4">
        <f t="shared" si="20"/>
        <v>219</v>
      </c>
      <c r="W92" s="4"/>
      <c r="X92" s="21">
        <f t="shared" si="21"/>
        <v>445</v>
      </c>
      <c r="Y92" s="6">
        <f t="shared" si="22"/>
        <v>0.50786516853932584</v>
      </c>
      <c r="Z92" s="33">
        <v>2</v>
      </c>
      <c r="AA92" s="4">
        <f t="shared" si="23"/>
        <v>381.33333333333331</v>
      </c>
      <c r="AB92" s="33">
        <f t="shared" si="24"/>
        <v>413.42574257425741</v>
      </c>
      <c r="AC92" s="6">
        <f t="shared" si="25"/>
        <v>0.47027972027972031</v>
      </c>
      <c r="AD92" s="7">
        <v>410</v>
      </c>
      <c r="AE92" s="6">
        <f t="shared" si="26"/>
        <v>0.46585365853658534</v>
      </c>
      <c r="AF92" s="4">
        <f t="shared" si="27"/>
        <v>191</v>
      </c>
      <c r="AG92" s="28"/>
      <c r="AH92" s="6"/>
      <c r="AI92" s="6"/>
      <c r="AJ92" s="6">
        <f t="shared" si="28"/>
        <v>1.0833333333333333</v>
      </c>
      <c r="AK92" s="6">
        <f t="shared" si="29"/>
        <v>1</v>
      </c>
      <c r="AL92" s="6">
        <f t="shared" si="30"/>
        <v>1.0841584158415842</v>
      </c>
      <c r="AM92" s="4" t="str">
        <f t="shared" si="32"/>
        <v>-</v>
      </c>
      <c r="AN92" s="4" t="str">
        <f>IF(Q92="","-",Q92)</f>
        <v>-</v>
      </c>
      <c r="AO92" s="4" t="str">
        <f>IF(R92="","-",R92)</f>
        <v>-</v>
      </c>
      <c r="AP92" s="4" t="s">
        <v>412</v>
      </c>
      <c r="AQ92" s="4" t="s">
        <v>805</v>
      </c>
      <c r="AR92" s="4">
        <v>1</v>
      </c>
      <c r="AS92" s="4">
        <v>3</v>
      </c>
      <c r="AT92" s="4" t="s">
        <v>806</v>
      </c>
      <c r="AU92" s="4">
        <v>1144</v>
      </c>
      <c r="AV92" s="4">
        <f t="shared" si="31"/>
        <v>381.33333333333331</v>
      </c>
      <c r="AW92" s="19">
        <v>4</v>
      </c>
      <c r="AX92" s="19">
        <v>1</v>
      </c>
      <c r="AY92" s="16">
        <v>19</v>
      </c>
      <c r="AZ92" t="s">
        <v>699</v>
      </c>
      <c r="BA92" t="str">
        <f>IFERROR(AZ92*AL92,"-")</f>
        <v>-</v>
      </c>
      <c r="BB92">
        <v>411</v>
      </c>
      <c r="BC92">
        <f>IFERROR(BB92*AL92,"-")</f>
        <v>445.58910891089113</v>
      </c>
      <c r="BD92" t="s">
        <v>508</v>
      </c>
    </row>
    <row r="93" spans="1:56" x14ac:dyDescent="0.4">
      <c r="A93" s="3">
        <v>104</v>
      </c>
      <c r="B93" s="3">
        <v>104</v>
      </c>
      <c r="C93" s="4">
        <v>168821</v>
      </c>
      <c r="D93" s="4" t="str">
        <f t="shared" si="17"/>
        <v>168821</v>
      </c>
      <c r="E93" s="4">
        <v>168821</v>
      </c>
      <c r="F93" s="4" t="s">
        <v>210</v>
      </c>
      <c r="G93" s="5">
        <v>4535627107536</v>
      </c>
      <c r="H93" s="5"/>
      <c r="I93" s="5"/>
      <c r="J93" s="5">
        <v>1</v>
      </c>
      <c r="K93" s="5">
        <v>1</v>
      </c>
      <c r="L93" s="4">
        <v>0</v>
      </c>
      <c r="M93" s="4">
        <v>421</v>
      </c>
      <c r="N93" s="4">
        <v>206</v>
      </c>
      <c r="O93" s="6">
        <f t="shared" si="18"/>
        <v>0.51068883610451299</v>
      </c>
      <c r="P93" s="4" t="s">
        <v>699</v>
      </c>
      <c r="Q93" s="4" t="s">
        <v>699</v>
      </c>
      <c r="R93" s="4" t="s">
        <v>699</v>
      </c>
      <c r="S93" s="4">
        <v>0</v>
      </c>
      <c r="T93" s="4">
        <f t="shared" si="19"/>
        <v>0</v>
      </c>
      <c r="U93" s="4">
        <v>219</v>
      </c>
      <c r="V93" s="4">
        <f t="shared" si="20"/>
        <v>219</v>
      </c>
      <c r="W93" s="4"/>
      <c r="X93" s="21">
        <f t="shared" si="21"/>
        <v>448</v>
      </c>
      <c r="Y93" s="6">
        <f t="shared" si="22"/>
        <v>0.5111607142857143</v>
      </c>
      <c r="Z93" s="33">
        <v>0.5</v>
      </c>
      <c r="AA93" s="4">
        <f t="shared" si="23"/>
        <v>417</v>
      </c>
      <c r="AB93" s="33">
        <f t="shared" si="24"/>
        <v>443.31553398058253</v>
      </c>
      <c r="AC93" s="6">
        <f t="shared" si="25"/>
        <v>0.50599520383693042</v>
      </c>
      <c r="AD93" s="7">
        <v>350</v>
      </c>
      <c r="AE93" s="6">
        <f t="shared" si="26"/>
        <v>0.37428571428571433</v>
      </c>
      <c r="AF93" s="4">
        <f t="shared" si="27"/>
        <v>131</v>
      </c>
      <c r="AG93" s="28"/>
      <c r="AH93" s="6"/>
      <c r="AI93" s="6"/>
      <c r="AJ93" s="6" t="str">
        <f t="shared" si="28"/>
        <v>-</v>
      </c>
      <c r="AK93" s="6">
        <f t="shared" si="29"/>
        <v>0.83135391923990498</v>
      </c>
      <c r="AL93" s="6">
        <f t="shared" si="30"/>
        <v>1.0631067961165048</v>
      </c>
      <c r="AM93" s="4" t="str">
        <f t="shared" si="32"/>
        <v>-</v>
      </c>
      <c r="AN93" s="4" t="str">
        <f>IF(Q93="","-",Q93)</f>
        <v>-</v>
      </c>
      <c r="AO93" s="4" t="str">
        <f>IF(R93="","-",R93)</f>
        <v>-</v>
      </c>
      <c r="AP93" s="4">
        <v>0</v>
      </c>
      <c r="AQ93" s="4" t="s">
        <v>819</v>
      </c>
      <c r="AR93" s="4"/>
      <c r="AS93" s="4"/>
      <c r="AT93" s="4" t="s">
        <v>721</v>
      </c>
      <c r="AU93" s="4">
        <v>417</v>
      </c>
      <c r="AV93" s="4">
        <f t="shared" si="31"/>
        <v>417</v>
      </c>
      <c r="AW93" s="19">
        <v>4</v>
      </c>
      <c r="AX93" s="19">
        <v>1</v>
      </c>
      <c r="AY93" s="16">
        <v>19</v>
      </c>
      <c r="AZ93" t="s">
        <v>699</v>
      </c>
      <c r="BA93" t="str">
        <f>IFERROR(AZ93*AL93,"-")</f>
        <v>-</v>
      </c>
      <c r="BB93">
        <v>324</v>
      </c>
      <c r="BC93">
        <f>IFERROR(BB93*AL93,"-")</f>
        <v>344.44660194174759</v>
      </c>
      <c r="BD93" t="s">
        <v>518</v>
      </c>
    </row>
    <row r="94" spans="1:56" x14ac:dyDescent="0.4">
      <c r="A94" s="3">
        <v>70</v>
      </c>
      <c r="B94" s="3">
        <v>70</v>
      </c>
      <c r="C94" s="4">
        <v>11677</v>
      </c>
      <c r="D94" s="4" t="str">
        <f t="shared" si="17"/>
        <v>011677</v>
      </c>
      <c r="E94" s="4">
        <v>528129</v>
      </c>
      <c r="F94" s="4" t="s">
        <v>176</v>
      </c>
      <c r="G94" s="5">
        <v>4535627108328</v>
      </c>
      <c r="H94" s="5"/>
      <c r="I94" s="5"/>
      <c r="J94" s="5">
        <v>1</v>
      </c>
      <c r="K94" s="5">
        <v>1</v>
      </c>
      <c r="L94" s="4">
        <v>500</v>
      </c>
      <c r="M94" s="4">
        <v>336</v>
      </c>
      <c r="N94" s="4">
        <v>210</v>
      </c>
      <c r="O94" s="6">
        <f t="shared" si="18"/>
        <v>0.375</v>
      </c>
      <c r="P94" s="4">
        <v>284</v>
      </c>
      <c r="Q94" s="4">
        <v>5</v>
      </c>
      <c r="R94" s="4">
        <v>99999</v>
      </c>
      <c r="S94" s="4">
        <v>530</v>
      </c>
      <c r="T94" s="4">
        <f t="shared" si="19"/>
        <v>530</v>
      </c>
      <c r="U94" s="4">
        <v>223</v>
      </c>
      <c r="V94" s="4">
        <f t="shared" si="20"/>
        <v>223</v>
      </c>
      <c r="W94" s="4"/>
      <c r="X94" s="21">
        <f t="shared" si="21"/>
        <v>357</v>
      </c>
      <c r="Y94" s="6">
        <f t="shared" si="22"/>
        <v>0.37535014005602241</v>
      </c>
      <c r="Z94" s="33">
        <v>9.25</v>
      </c>
      <c r="AA94" s="4">
        <f t="shared" si="23"/>
        <v>480</v>
      </c>
      <c r="AB94" s="33">
        <f t="shared" si="24"/>
        <v>509.71428571428572</v>
      </c>
      <c r="AC94" s="6">
        <f t="shared" si="25"/>
        <v>0.5625</v>
      </c>
      <c r="AD94" s="7">
        <v>360</v>
      </c>
      <c r="AE94" s="6">
        <f t="shared" si="26"/>
        <v>0.38055555555555554</v>
      </c>
      <c r="AF94" s="4">
        <f t="shared" si="27"/>
        <v>137</v>
      </c>
      <c r="AG94" s="28"/>
      <c r="AH94" s="6"/>
      <c r="AI94" s="6"/>
      <c r="AJ94" s="6">
        <f t="shared" si="28"/>
        <v>1.06</v>
      </c>
      <c r="AK94" s="6">
        <f t="shared" si="29"/>
        <v>1.0714285714285714</v>
      </c>
      <c r="AL94" s="6">
        <f t="shared" si="30"/>
        <v>1.0619047619047619</v>
      </c>
      <c r="AM94" s="4">
        <v>330</v>
      </c>
      <c r="AN94" s="4">
        <f>IF(Q94="","-",Q94)</f>
        <v>5</v>
      </c>
      <c r="AO94" s="4">
        <f>IF(R94="","-",R94)</f>
        <v>99999</v>
      </c>
      <c r="AP94" s="4" t="s">
        <v>414</v>
      </c>
      <c r="AQ94" s="4" t="s">
        <v>775</v>
      </c>
      <c r="AR94" s="4"/>
      <c r="AS94" s="4"/>
      <c r="AT94" s="4" t="s">
        <v>749</v>
      </c>
      <c r="AU94" s="4">
        <v>480</v>
      </c>
      <c r="AV94" s="4">
        <f t="shared" si="31"/>
        <v>480</v>
      </c>
      <c r="AW94" s="19">
        <v>4</v>
      </c>
      <c r="AX94" s="19">
        <v>1</v>
      </c>
      <c r="AY94" s="16">
        <v>19</v>
      </c>
      <c r="AZ94" t="s">
        <v>699</v>
      </c>
      <c r="BA94" t="str">
        <f>IFERROR(AZ94*AL94,"-")</f>
        <v>-</v>
      </c>
      <c r="BB94">
        <v>345</v>
      </c>
      <c r="BC94">
        <f>IFERROR(BB94*AL94,"-")</f>
        <v>366.35714285714283</v>
      </c>
      <c r="BD94" t="s">
        <v>484</v>
      </c>
    </row>
    <row r="95" spans="1:56" x14ac:dyDescent="0.4">
      <c r="A95" s="3">
        <v>71</v>
      </c>
      <c r="B95" s="3">
        <v>71</v>
      </c>
      <c r="C95" s="4">
        <v>11678</v>
      </c>
      <c r="D95" s="4" t="str">
        <f t="shared" si="17"/>
        <v>011678</v>
      </c>
      <c r="E95" s="4">
        <v>528138</v>
      </c>
      <c r="F95" s="4" t="s">
        <v>177</v>
      </c>
      <c r="G95" s="5">
        <v>4535627108311</v>
      </c>
      <c r="H95" s="5"/>
      <c r="I95" s="5"/>
      <c r="J95" s="5">
        <v>1</v>
      </c>
      <c r="K95" s="5">
        <v>1</v>
      </c>
      <c r="L95" s="4">
        <v>500</v>
      </c>
      <c r="M95" s="4">
        <v>332</v>
      </c>
      <c r="N95" s="4">
        <v>210</v>
      </c>
      <c r="O95" s="6">
        <f t="shared" si="18"/>
        <v>0.36746987951807231</v>
      </c>
      <c r="P95" s="4">
        <v>284</v>
      </c>
      <c r="Q95" s="4">
        <v>5</v>
      </c>
      <c r="R95" s="4">
        <v>99999</v>
      </c>
      <c r="S95" s="4">
        <v>530</v>
      </c>
      <c r="T95" s="4">
        <f t="shared" si="19"/>
        <v>530</v>
      </c>
      <c r="U95" s="4">
        <v>223</v>
      </c>
      <c r="V95" s="4">
        <f t="shared" si="20"/>
        <v>223</v>
      </c>
      <c r="W95" s="4"/>
      <c r="X95" s="21">
        <f t="shared" si="21"/>
        <v>353</v>
      </c>
      <c r="Y95" s="6">
        <f t="shared" si="22"/>
        <v>0.36827195467422091</v>
      </c>
      <c r="Z95" s="33">
        <v>2.25</v>
      </c>
      <c r="AA95" s="4">
        <f t="shared" si="23"/>
        <v>509</v>
      </c>
      <c r="AB95" s="33">
        <f t="shared" si="24"/>
        <v>540.50952380952378</v>
      </c>
      <c r="AC95" s="6">
        <f t="shared" si="25"/>
        <v>0.58742632612966594</v>
      </c>
      <c r="AD95" s="7">
        <v>360</v>
      </c>
      <c r="AE95" s="6">
        <f t="shared" si="26"/>
        <v>0.38055555555555554</v>
      </c>
      <c r="AF95" s="4">
        <f t="shared" si="27"/>
        <v>137</v>
      </c>
      <c r="AG95" s="28"/>
      <c r="AH95" s="6"/>
      <c r="AI95" s="6"/>
      <c r="AJ95" s="6">
        <f t="shared" si="28"/>
        <v>1.06</v>
      </c>
      <c r="AK95" s="6">
        <f t="shared" si="29"/>
        <v>1.0843373493975903</v>
      </c>
      <c r="AL95" s="6">
        <f t="shared" si="30"/>
        <v>1.0619047619047619</v>
      </c>
      <c r="AM95" s="4">
        <v>330</v>
      </c>
      <c r="AN95" s="4">
        <f>IF(Q95="","-",Q95)</f>
        <v>5</v>
      </c>
      <c r="AO95" s="4">
        <f>IF(R95="","-",R95)</f>
        <v>99999</v>
      </c>
      <c r="AP95" s="4" t="s">
        <v>414</v>
      </c>
      <c r="AQ95" s="4" t="s">
        <v>776</v>
      </c>
      <c r="AR95" s="4">
        <v>1</v>
      </c>
      <c r="AS95" s="4">
        <v>2</v>
      </c>
      <c r="AT95" s="4" t="s">
        <v>777</v>
      </c>
      <c r="AU95" s="4">
        <v>1018</v>
      </c>
      <c r="AV95" s="4">
        <f t="shared" si="31"/>
        <v>509</v>
      </c>
      <c r="AW95" s="19">
        <v>4</v>
      </c>
      <c r="AX95" s="19">
        <v>1</v>
      </c>
      <c r="AY95" s="16">
        <v>19</v>
      </c>
      <c r="AZ95" t="s">
        <v>699</v>
      </c>
      <c r="BA95" t="str">
        <f>IFERROR(AZ95*AL95,"-")</f>
        <v>-</v>
      </c>
      <c r="BB95">
        <v>475</v>
      </c>
      <c r="BC95">
        <f>IFERROR(BB95*AL95,"-")</f>
        <v>504.40476190476193</v>
      </c>
      <c r="BD95" t="s">
        <v>485</v>
      </c>
    </row>
    <row r="96" spans="1:56" x14ac:dyDescent="0.4">
      <c r="A96" s="3">
        <v>72</v>
      </c>
      <c r="B96" s="3">
        <v>72</v>
      </c>
      <c r="C96" s="4">
        <v>11679</v>
      </c>
      <c r="D96" s="4" t="str">
        <f t="shared" si="17"/>
        <v>011679</v>
      </c>
      <c r="E96" s="4">
        <v>528147</v>
      </c>
      <c r="F96" s="4" t="s">
        <v>178</v>
      </c>
      <c r="G96" s="5">
        <v>4535627108304</v>
      </c>
      <c r="H96" s="5"/>
      <c r="I96" s="5"/>
      <c r="J96" s="5">
        <v>1</v>
      </c>
      <c r="K96" s="5">
        <v>1</v>
      </c>
      <c r="L96" s="4">
        <v>500</v>
      </c>
      <c r="M96" s="4">
        <v>336</v>
      </c>
      <c r="N96" s="4">
        <v>210</v>
      </c>
      <c r="O96" s="6">
        <f t="shared" si="18"/>
        <v>0.375</v>
      </c>
      <c r="P96" s="4">
        <v>284</v>
      </c>
      <c r="Q96" s="4">
        <v>5</v>
      </c>
      <c r="R96" s="4">
        <v>99999</v>
      </c>
      <c r="S96" s="4">
        <v>530</v>
      </c>
      <c r="T96" s="4">
        <f t="shared" si="19"/>
        <v>530</v>
      </c>
      <c r="U96" s="4">
        <v>223</v>
      </c>
      <c r="V96" s="4">
        <f t="shared" si="20"/>
        <v>223</v>
      </c>
      <c r="W96" s="4"/>
      <c r="X96" s="21">
        <f t="shared" si="21"/>
        <v>357</v>
      </c>
      <c r="Y96" s="6">
        <f t="shared" si="22"/>
        <v>0.37535014005602241</v>
      </c>
      <c r="Z96" s="33">
        <v>2.75</v>
      </c>
      <c r="AA96" s="4">
        <f t="shared" si="23"/>
        <v>499</v>
      </c>
      <c r="AB96" s="33">
        <f t="shared" si="24"/>
        <v>529.89047619047619</v>
      </c>
      <c r="AC96" s="6">
        <f t="shared" si="25"/>
        <v>0.57915831663326656</v>
      </c>
      <c r="AD96" s="7">
        <v>360</v>
      </c>
      <c r="AE96" s="6">
        <f t="shared" si="26"/>
        <v>0.38055555555555554</v>
      </c>
      <c r="AF96" s="4">
        <f t="shared" si="27"/>
        <v>137</v>
      </c>
      <c r="AG96" s="28"/>
      <c r="AH96" s="6"/>
      <c r="AI96" s="6"/>
      <c r="AJ96" s="6">
        <f t="shared" si="28"/>
        <v>1.06</v>
      </c>
      <c r="AK96" s="6">
        <f t="shared" si="29"/>
        <v>1.0714285714285714</v>
      </c>
      <c r="AL96" s="6">
        <f t="shared" si="30"/>
        <v>1.0619047619047619</v>
      </c>
      <c r="AM96" s="4">
        <v>330</v>
      </c>
      <c r="AN96" s="4">
        <f>IF(Q96="","-",Q96)</f>
        <v>5</v>
      </c>
      <c r="AO96" s="4">
        <f>IF(R96="","-",R96)</f>
        <v>99999</v>
      </c>
      <c r="AP96" s="4" t="s">
        <v>414</v>
      </c>
      <c r="AQ96" s="4" t="s">
        <v>778</v>
      </c>
      <c r="AR96" s="4"/>
      <c r="AS96" s="4"/>
      <c r="AT96" s="4" t="s">
        <v>749</v>
      </c>
      <c r="AU96" s="4">
        <v>499</v>
      </c>
      <c r="AV96" s="4">
        <f t="shared" si="31"/>
        <v>499</v>
      </c>
      <c r="AW96" s="19">
        <v>4</v>
      </c>
      <c r="AX96" s="19">
        <v>1</v>
      </c>
      <c r="AY96" s="16">
        <v>19</v>
      </c>
      <c r="AZ96" t="s">
        <v>699</v>
      </c>
      <c r="BA96" t="str">
        <f>IFERROR(AZ96*AL96,"-")</f>
        <v>-</v>
      </c>
      <c r="BB96">
        <v>475</v>
      </c>
      <c r="BC96">
        <f>IFERROR(BB96*AL96,"-")</f>
        <v>504.40476190476193</v>
      </c>
      <c r="BD96" t="s">
        <v>486</v>
      </c>
    </row>
    <row r="97" spans="1:56" x14ac:dyDescent="0.4">
      <c r="A97" s="3">
        <v>27</v>
      </c>
      <c r="B97" s="3">
        <v>27</v>
      </c>
      <c r="C97" s="4">
        <v>11629</v>
      </c>
      <c r="D97" s="4" t="str">
        <f t="shared" si="17"/>
        <v>011629</v>
      </c>
      <c r="E97" s="4">
        <v>528588</v>
      </c>
      <c r="F97" s="4" t="s">
        <v>133</v>
      </c>
      <c r="G97" s="5">
        <v>4535627511029</v>
      </c>
      <c r="H97" s="5"/>
      <c r="I97" s="5"/>
      <c r="J97" s="5">
        <v>1</v>
      </c>
      <c r="K97" s="5">
        <v>1</v>
      </c>
      <c r="L97" s="4">
        <v>550</v>
      </c>
      <c r="M97" s="4">
        <v>415</v>
      </c>
      <c r="N97" s="4">
        <v>210</v>
      </c>
      <c r="O97" s="6">
        <f t="shared" si="18"/>
        <v>0.49397590361445787</v>
      </c>
      <c r="P97" s="4" t="s">
        <v>699</v>
      </c>
      <c r="Q97" s="4" t="s">
        <v>699</v>
      </c>
      <c r="R97" s="4" t="s">
        <v>699</v>
      </c>
      <c r="S97" s="4">
        <v>600</v>
      </c>
      <c r="T97" s="4">
        <f t="shared" si="19"/>
        <v>600</v>
      </c>
      <c r="U97" s="4">
        <v>229</v>
      </c>
      <c r="V97" s="4">
        <f t="shared" si="20"/>
        <v>229</v>
      </c>
      <c r="W97" s="4"/>
      <c r="X97" s="21">
        <f t="shared" si="21"/>
        <v>453</v>
      </c>
      <c r="Y97" s="6">
        <f t="shared" si="22"/>
        <v>0.49448123620309048</v>
      </c>
      <c r="Z97" s="33">
        <v>8</v>
      </c>
      <c r="AA97" s="4">
        <f t="shared" si="23"/>
        <v>499</v>
      </c>
      <c r="AB97" s="33">
        <f t="shared" si="24"/>
        <v>544.14761904761895</v>
      </c>
      <c r="AC97" s="6">
        <f t="shared" si="25"/>
        <v>0.57915831663326645</v>
      </c>
      <c r="AD97" s="7">
        <v>430</v>
      </c>
      <c r="AE97" s="6">
        <f t="shared" si="26"/>
        <v>0.46744186046511627</v>
      </c>
      <c r="AF97" s="4">
        <f t="shared" si="27"/>
        <v>201</v>
      </c>
      <c r="AG97" s="28"/>
      <c r="AH97" s="6"/>
      <c r="AI97" s="6"/>
      <c r="AJ97" s="6">
        <f t="shared" si="28"/>
        <v>1.0909090909090908</v>
      </c>
      <c r="AK97" s="6">
        <f t="shared" si="29"/>
        <v>1.036144578313253</v>
      </c>
      <c r="AL97" s="6">
        <f t="shared" si="30"/>
        <v>1.0904761904761904</v>
      </c>
      <c r="AM97" s="4" t="str">
        <f t="shared" ref="AM97:AM107" si="33">IFERROR(ROUND($AD97*P97/$M97,0),"-")</f>
        <v>-</v>
      </c>
      <c r="AN97" s="4" t="str">
        <f>IF(Q97="","-",Q97)</f>
        <v>-</v>
      </c>
      <c r="AO97" s="4" t="str">
        <f>IF(R97="","-",R97)</f>
        <v>-</v>
      </c>
      <c r="AP97" s="4" t="s">
        <v>409</v>
      </c>
      <c r="AQ97" s="4" t="s">
        <v>724</v>
      </c>
      <c r="AR97" s="4"/>
      <c r="AS97" s="4"/>
      <c r="AT97" s="4" t="s">
        <v>725</v>
      </c>
      <c r="AU97" s="4">
        <v>499</v>
      </c>
      <c r="AV97" s="4">
        <f t="shared" si="31"/>
        <v>499</v>
      </c>
      <c r="AW97" s="19">
        <v>4</v>
      </c>
      <c r="AX97" s="19">
        <v>1</v>
      </c>
      <c r="AY97" s="16">
        <v>19</v>
      </c>
      <c r="AZ97" t="s">
        <v>699</v>
      </c>
      <c r="BA97" t="str">
        <f>IFERROR(AZ97*AL97,"-")</f>
        <v>-</v>
      </c>
      <c r="BB97">
        <v>404</v>
      </c>
      <c r="BC97">
        <f>IFERROR(BB97*AL97,"-")</f>
        <v>440.55238095238093</v>
      </c>
      <c r="BD97" t="s">
        <v>445</v>
      </c>
    </row>
    <row r="98" spans="1:56" x14ac:dyDescent="0.4">
      <c r="A98" s="3">
        <v>28</v>
      </c>
      <c r="B98" s="3">
        <v>28</v>
      </c>
      <c r="C98" s="4">
        <v>11630</v>
      </c>
      <c r="D98" s="4" t="str">
        <f t="shared" si="17"/>
        <v>011630</v>
      </c>
      <c r="E98" s="4">
        <v>528597</v>
      </c>
      <c r="F98" s="4" t="s">
        <v>134</v>
      </c>
      <c r="G98" s="5">
        <v>4535627511043</v>
      </c>
      <c r="H98" s="5"/>
      <c r="I98" s="5"/>
      <c r="J98" s="5">
        <v>1</v>
      </c>
      <c r="K98" s="5">
        <v>1</v>
      </c>
      <c r="L98" s="4">
        <v>550</v>
      </c>
      <c r="M98" s="4">
        <v>415</v>
      </c>
      <c r="N98" s="4">
        <v>210</v>
      </c>
      <c r="O98" s="6">
        <f t="shared" si="18"/>
        <v>0.49397590361445787</v>
      </c>
      <c r="P98" s="4" t="s">
        <v>699</v>
      </c>
      <c r="Q98" s="4" t="s">
        <v>699</v>
      </c>
      <c r="R98" s="4" t="s">
        <v>699</v>
      </c>
      <c r="S98" s="4">
        <v>600</v>
      </c>
      <c r="T98" s="4">
        <f t="shared" si="19"/>
        <v>600</v>
      </c>
      <c r="U98" s="4">
        <v>229</v>
      </c>
      <c r="V98" s="4">
        <f t="shared" si="20"/>
        <v>229</v>
      </c>
      <c r="W98" s="4"/>
      <c r="X98" s="21">
        <f t="shared" si="21"/>
        <v>453</v>
      </c>
      <c r="Y98" s="6">
        <f t="shared" si="22"/>
        <v>0.49448123620309048</v>
      </c>
      <c r="Z98" s="33">
        <v>10.75</v>
      </c>
      <c r="AA98" s="4">
        <f t="shared" si="23"/>
        <v>480</v>
      </c>
      <c r="AB98" s="33">
        <f t="shared" si="24"/>
        <v>523.42857142857133</v>
      </c>
      <c r="AC98" s="6">
        <f t="shared" si="25"/>
        <v>0.5625</v>
      </c>
      <c r="AD98" s="7">
        <v>430</v>
      </c>
      <c r="AE98" s="6">
        <f t="shared" si="26"/>
        <v>0.46744186046511627</v>
      </c>
      <c r="AF98" s="4">
        <f t="shared" si="27"/>
        <v>201</v>
      </c>
      <c r="AG98" s="28"/>
      <c r="AH98" s="6"/>
      <c r="AI98" s="6"/>
      <c r="AJ98" s="6">
        <f t="shared" si="28"/>
        <v>1.0909090909090908</v>
      </c>
      <c r="AK98" s="6">
        <f t="shared" si="29"/>
        <v>1.036144578313253</v>
      </c>
      <c r="AL98" s="6">
        <f t="shared" si="30"/>
        <v>1.0904761904761904</v>
      </c>
      <c r="AM98" s="4" t="str">
        <f t="shared" si="33"/>
        <v>-</v>
      </c>
      <c r="AN98" s="4" t="str">
        <f>IF(Q98="","-",Q98)</f>
        <v>-</v>
      </c>
      <c r="AO98" s="4" t="str">
        <f>IF(R98="","-",R98)</f>
        <v>-</v>
      </c>
      <c r="AP98" s="4" t="s">
        <v>409</v>
      </c>
      <c r="AQ98" s="4" t="s">
        <v>726</v>
      </c>
      <c r="AR98" s="4">
        <v>1</v>
      </c>
      <c r="AS98" s="4">
        <v>10</v>
      </c>
      <c r="AT98" s="4" t="s">
        <v>727</v>
      </c>
      <c r="AU98" s="4">
        <v>4800</v>
      </c>
      <c r="AV98" s="4">
        <f t="shared" si="31"/>
        <v>480</v>
      </c>
      <c r="AW98" s="19">
        <v>4</v>
      </c>
      <c r="AX98" s="19">
        <v>1</v>
      </c>
      <c r="AY98" s="16">
        <v>19</v>
      </c>
      <c r="AZ98" t="s">
        <v>699</v>
      </c>
      <c r="BA98" t="str">
        <f>IFERROR(AZ98*AL98,"-")</f>
        <v>-</v>
      </c>
      <c r="BB98">
        <v>404</v>
      </c>
      <c r="BC98">
        <f>IFERROR(BB98*AL98,"-")</f>
        <v>440.55238095238093</v>
      </c>
      <c r="BD98" t="s">
        <v>446</v>
      </c>
    </row>
    <row r="99" spans="1:56" x14ac:dyDescent="0.4">
      <c r="A99" s="3">
        <v>29</v>
      </c>
      <c r="B99" s="3">
        <v>29</v>
      </c>
      <c r="C99" s="4">
        <v>11631</v>
      </c>
      <c r="D99" s="4" t="str">
        <f t="shared" si="17"/>
        <v>011631</v>
      </c>
      <c r="E99" s="4">
        <v>528606</v>
      </c>
      <c r="F99" s="4" t="s">
        <v>135</v>
      </c>
      <c r="G99" s="5">
        <v>4535627511012</v>
      </c>
      <c r="H99" s="5"/>
      <c r="I99" s="5"/>
      <c r="J99" s="5">
        <v>1</v>
      </c>
      <c r="K99" s="5">
        <v>1</v>
      </c>
      <c r="L99" s="4">
        <v>550</v>
      </c>
      <c r="M99" s="4">
        <v>415</v>
      </c>
      <c r="N99" s="4">
        <v>210</v>
      </c>
      <c r="O99" s="6">
        <f t="shared" si="18"/>
        <v>0.49397590361445787</v>
      </c>
      <c r="P99" s="4" t="s">
        <v>699</v>
      </c>
      <c r="Q99" s="4" t="s">
        <v>699</v>
      </c>
      <c r="R99" s="4" t="s">
        <v>699</v>
      </c>
      <c r="S99" s="4">
        <v>600</v>
      </c>
      <c r="T99" s="4">
        <f t="shared" si="19"/>
        <v>600</v>
      </c>
      <c r="U99" s="4">
        <v>229</v>
      </c>
      <c r="V99" s="4">
        <f t="shared" si="20"/>
        <v>229</v>
      </c>
      <c r="W99" s="4"/>
      <c r="X99" s="21">
        <f t="shared" si="21"/>
        <v>453</v>
      </c>
      <c r="Y99" s="6">
        <f t="shared" si="22"/>
        <v>0.49448123620309048</v>
      </c>
      <c r="Z99" s="33">
        <v>8</v>
      </c>
      <c r="AA99" s="4">
        <f t="shared" si="23"/>
        <v>480</v>
      </c>
      <c r="AB99" s="33">
        <f t="shared" si="24"/>
        <v>523.42857142857133</v>
      </c>
      <c r="AC99" s="6">
        <f t="shared" si="25"/>
        <v>0.5625</v>
      </c>
      <c r="AD99" s="7">
        <v>430</v>
      </c>
      <c r="AE99" s="6">
        <f t="shared" si="26"/>
        <v>0.46744186046511627</v>
      </c>
      <c r="AF99" s="4">
        <f t="shared" si="27"/>
        <v>201</v>
      </c>
      <c r="AG99" s="28"/>
      <c r="AH99" s="6"/>
      <c r="AI99" s="6"/>
      <c r="AJ99" s="6">
        <f t="shared" si="28"/>
        <v>1.0909090909090908</v>
      </c>
      <c r="AK99" s="6">
        <f t="shared" si="29"/>
        <v>1.036144578313253</v>
      </c>
      <c r="AL99" s="6">
        <f t="shared" si="30"/>
        <v>1.0904761904761904</v>
      </c>
      <c r="AM99" s="4" t="str">
        <f t="shared" si="33"/>
        <v>-</v>
      </c>
      <c r="AN99" s="4" t="str">
        <f>IF(Q99="","-",Q99)</f>
        <v>-</v>
      </c>
      <c r="AO99" s="4" t="str">
        <f>IF(R99="","-",R99)</f>
        <v>-</v>
      </c>
      <c r="AP99" s="4" t="s">
        <v>409</v>
      </c>
      <c r="AQ99" s="4" t="s">
        <v>728</v>
      </c>
      <c r="AR99" s="4">
        <v>1</v>
      </c>
      <c r="AS99" s="4">
        <v>10</v>
      </c>
      <c r="AT99" s="4" t="s">
        <v>727</v>
      </c>
      <c r="AU99" s="4">
        <v>4800</v>
      </c>
      <c r="AV99" s="4">
        <f t="shared" si="31"/>
        <v>480</v>
      </c>
      <c r="AW99" s="19">
        <v>4</v>
      </c>
      <c r="AX99" s="19">
        <v>1</v>
      </c>
      <c r="AY99" s="16">
        <v>19</v>
      </c>
      <c r="AZ99" t="s">
        <v>699</v>
      </c>
      <c r="BA99" t="str">
        <f>IFERROR(AZ99*AL99,"-")</f>
        <v>-</v>
      </c>
      <c r="BB99">
        <v>404</v>
      </c>
      <c r="BC99">
        <f>IFERROR(BB99*AL99,"-")</f>
        <v>440.55238095238093</v>
      </c>
      <c r="BD99" t="s">
        <v>447</v>
      </c>
    </row>
    <row r="100" spans="1:56" x14ac:dyDescent="0.4">
      <c r="A100" s="3">
        <v>30</v>
      </c>
      <c r="B100" s="3">
        <v>30</v>
      </c>
      <c r="C100" s="4">
        <v>11632</v>
      </c>
      <c r="D100" s="4" t="str">
        <f t="shared" si="17"/>
        <v>011632</v>
      </c>
      <c r="E100" s="4">
        <v>528615</v>
      </c>
      <c r="F100" s="4" t="s">
        <v>136</v>
      </c>
      <c r="G100" s="5">
        <v>4535627511067</v>
      </c>
      <c r="H100" s="5"/>
      <c r="I100" s="5"/>
      <c r="J100" s="5">
        <v>1</v>
      </c>
      <c r="K100" s="5">
        <v>1</v>
      </c>
      <c r="L100" s="4">
        <v>550</v>
      </c>
      <c r="M100" s="4">
        <v>415</v>
      </c>
      <c r="N100" s="4">
        <v>210</v>
      </c>
      <c r="O100" s="6">
        <f t="shared" si="18"/>
        <v>0.49397590361445787</v>
      </c>
      <c r="P100" s="4" t="s">
        <v>699</v>
      </c>
      <c r="Q100" s="4" t="s">
        <v>699</v>
      </c>
      <c r="R100" s="4" t="s">
        <v>699</v>
      </c>
      <c r="S100" s="4">
        <v>600</v>
      </c>
      <c r="T100" s="4">
        <f t="shared" si="19"/>
        <v>600</v>
      </c>
      <c r="U100" s="4">
        <v>229</v>
      </c>
      <c r="V100" s="4">
        <f t="shared" si="20"/>
        <v>229</v>
      </c>
      <c r="W100" s="4"/>
      <c r="X100" s="21">
        <f t="shared" si="21"/>
        <v>453</v>
      </c>
      <c r="Y100" s="6">
        <f t="shared" si="22"/>
        <v>0.49448123620309048</v>
      </c>
      <c r="Z100" s="33">
        <v>4.25</v>
      </c>
      <c r="AA100" s="4" t="str">
        <f t="shared" si="23"/>
        <v>-</v>
      </c>
      <c r="AB100" s="33" t="str">
        <f t="shared" si="24"/>
        <v>-</v>
      </c>
      <c r="AC100" s="6" t="str">
        <f t="shared" si="25"/>
        <v>-</v>
      </c>
      <c r="AD100" s="7">
        <v>430</v>
      </c>
      <c r="AE100" s="6">
        <f t="shared" si="26"/>
        <v>0.46744186046511627</v>
      </c>
      <c r="AF100" s="4">
        <f t="shared" si="27"/>
        <v>201</v>
      </c>
      <c r="AG100" s="28"/>
      <c r="AH100" s="6"/>
      <c r="AI100" s="6"/>
      <c r="AJ100" s="6">
        <f t="shared" si="28"/>
        <v>1.0909090909090908</v>
      </c>
      <c r="AK100" s="6">
        <f t="shared" si="29"/>
        <v>1.036144578313253</v>
      </c>
      <c r="AL100" s="6">
        <f t="shared" si="30"/>
        <v>1.0904761904761904</v>
      </c>
      <c r="AM100" s="4" t="str">
        <f t="shared" si="33"/>
        <v>-</v>
      </c>
      <c r="AN100" s="4" t="str">
        <f>IF(Q100="","-",Q100)</f>
        <v>-</v>
      </c>
      <c r="AO100" s="4" t="str">
        <f>IF(R100="","-",R100)</f>
        <v>-</v>
      </c>
      <c r="AP100" s="4" t="s">
        <v>409</v>
      </c>
      <c r="AQ100" s="4" t="s">
        <v>699</v>
      </c>
      <c r="AR100" s="4"/>
      <c r="AS100" s="4"/>
      <c r="AT100" s="4" t="s">
        <v>699</v>
      </c>
      <c r="AU100" s="4" t="s">
        <v>699</v>
      </c>
      <c r="AV100" s="4" t="str">
        <f t="shared" si="31"/>
        <v>-</v>
      </c>
      <c r="AW100" s="19">
        <v>4</v>
      </c>
      <c r="AX100" s="19">
        <v>1</v>
      </c>
      <c r="AY100" s="16">
        <v>19</v>
      </c>
      <c r="AZ100" t="s">
        <v>699</v>
      </c>
      <c r="BA100" t="str">
        <f>IFERROR(AZ100*AL100,"-")</f>
        <v>-</v>
      </c>
      <c r="BB100">
        <v>404</v>
      </c>
      <c r="BC100">
        <f>IFERROR(BB100*AL100,"-")</f>
        <v>440.55238095238093</v>
      </c>
      <c r="BD100" t="s">
        <v>699</v>
      </c>
    </row>
    <row r="101" spans="1:56" x14ac:dyDescent="0.4">
      <c r="A101" s="3">
        <v>31</v>
      </c>
      <c r="B101" s="3">
        <v>31</v>
      </c>
      <c r="C101" s="4">
        <v>11633</v>
      </c>
      <c r="D101" s="4" t="str">
        <f t="shared" si="17"/>
        <v>011633</v>
      </c>
      <c r="E101" s="4">
        <v>528624</v>
      </c>
      <c r="F101" s="4" t="s">
        <v>137</v>
      </c>
      <c r="G101" s="5">
        <v>4535627511005</v>
      </c>
      <c r="H101" s="5"/>
      <c r="I101" s="5"/>
      <c r="J101" s="5">
        <v>1</v>
      </c>
      <c r="K101" s="5">
        <v>1</v>
      </c>
      <c r="L101" s="4">
        <v>550</v>
      </c>
      <c r="M101" s="4">
        <v>415</v>
      </c>
      <c r="N101" s="4">
        <v>210</v>
      </c>
      <c r="O101" s="6">
        <f t="shared" si="18"/>
        <v>0.49397590361445787</v>
      </c>
      <c r="P101" s="4" t="s">
        <v>699</v>
      </c>
      <c r="Q101" s="4" t="s">
        <v>699</v>
      </c>
      <c r="R101" s="4" t="s">
        <v>699</v>
      </c>
      <c r="S101" s="4">
        <v>600</v>
      </c>
      <c r="T101" s="4">
        <f t="shared" si="19"/>
        <v>600</v>
      </c>
      <c r="U101" s="4">
        <v>229</v>
      </c>
      <c r="V101" s="4">
        <f t="shared" si="20"/>
        <v>229</v>
      </c>
      <c r="W101" s="4"/>
      <c r="X101" s="21">
        <f t="shared" si="21"/>
        <v>453</v>
      </c>
      <c r="Y101" s="6">
        <f t="shared" si="22"/>
        <v>0.49448123620309048</v>
      </c>
      <c r="Z101" s="33">
        <v>18</v>
      </c>
      <c r="AA101" s="4">
        <f t="shared" si="23"/>
        <v>550</v>
      </c>
      <c r="AB101" s="33">
        <f t="shared" si="24"/>
        <v>599.7619047619047</v>
      </c>
      <c r="AC101" s="6">
        <f t="shared" si="25"/>
        <v>0.61818181818181817</v>
      </c>
      <c r="AD101" s="7">
        <v>430</v>
      </c>
      <c r="AE101" s="6">
        <f t="shared" si="26"/>
        <v>0.46744186046511627</v>
      </c>
      <c r="AF101" s="4">
        <f t="shared" si="27"/>
        <v>201</v>
      </c>
      <c r="AG101" s="28"/>
      <c r="AH101" s="6"/>
      <c r="AI101" s="6"/>
      <c r="AJ101" s="6">
        <f t="shared" si="28"/>
        <v>1.0909090909090908</v>
      </c>
      <c r="AK101" s="6">
        <f t="shared" si="29"/>
        <v>1.036144578313253</v>
      </c>
      <c r="AL101" s="6">
        <f t="shared" si="30"/>
        <v>1.0904761904761904</v>
      </c>
      <c r="AM101" s="4" t="str">
        <f t="shared" si="33"/>
        <v>-</v>
      </c>
      <c r="AN101" s="4" t="str">
        <f>IF(Q101="","-",Q101)</f>
        <v>-</v>
      </c>
      <c r="AO101" s="4" t="str">
        <f>IF(R101="","-",R101)</f>
        <v>-</v>
      </c>
      <c r="AP101" s="4" t="s">
        <v>409</v>
      </c>
      <c r="AQ101" s="4" t="s">
        <v>729</v>
      </c>
      <c r="AR101" s="4"/>
      <c r="AS101" s="4"/>
      <c r="AT101" s="4" t="s">
        <v>730</v>
      </c>
      <c r="AU101" s="4">
        <v>550</v>
      </c>
      <c r="AV101" s="4">
        <f t="shared" si="31"/>
        <v>550</v>
      </c>
      <c r="AW101" s="19">
        <v>4</v>
      </c>
      <c r="AX101" s="19">
        <v>1</v>
      </c>
      <c r="AY101" s="16">
        <v>19</v>
      </c>
      <c r="AZ101">
        <v>3750</v>
      </c>
      <c r="BA101">
        <f>IFERROR(AZ101*AL101,"-")</f>
        <v>4089.2857142857138</v>
      </c>
      <c r="BB101">
        <v>404</v>
      </c>
      <c r="BC101">
        <f>IFERROR(BB101*AL101,"-")</f>
        <v>440.55238095238093</v>
      </c>
      <c r="BD101" t="s">
        <v>448</v>
      </c>
    </row>
    <row r="102" spans="1:56" x14ac:dyDescent="0.4">
      <c r="A102" s="3">
        <v>32</v>
      </c>
      <c r="B102" s="3">
        <v>32</v>
      </c>
      <c r="C102" s="4">
        <v>11634</v>
      </c>
      <c r="D102" s="4" t="str">
        <f t="shared" si="17"/>
        <v>011634</v>
      </c>
      <c r="E102" s="4">
        <v>528633</v>
      </c>
      <c r="F102" s="4" t="s">
        <v>138</v>
      </c>
      <c r="G102" s="5">
        <v>4535627511050</v>
      </c>
      <c r="H102" s="5"/>
      <c r="I102" s="5"/>
      <c r="J102" s="5">
        <v>1</v>
      </c>
      <c r="K102" s="5">
        <v>1</v>
      </c>
      <c r="L102" s="4">
        <v>550</v>
      </c>
      <c r="M102" s="4">
        <v>415</v>
      </c>
      <c r="N102" s="4">
        <v>210</v>
      </c>
      <c r="O102" s="6">
        <f t="shared" si="18"/>
        <v>0.49397590361445787</v>
      </c>
      <c r="P102" s="4" t="s">
        <v>699</v>
      </c>
      <c r="Q102" s="4" t="s">
        <v>699</v>
      </c>
      <c r="R102" s="4" t="s">
        <v>699</v>
      </c>
      <c r="S102" s="4">
        <v>600</v>
      </c>
      <c r="T102" s="4">
        <f t="shared" si="19"/>
        <v>600</v>
      </c>
      <c r="U102" s="4">
        <v>229</v>
      </c>
      <c r="V102" s="4">
        <f t="shared" si="20"/>
        <v>229</v>
      </c>
      <c r="W102" s="4"/>
      <c r="X102" s="21">
        <f t="shared" si="21"/>
        <v>453</v>
      </c>
      <c r="Y102" s="6">
        <f t="shared" si="22"/>
        <v>0.49448123620309048</v>
      </c>
      <c r="Z102" s="33">
        <v>2</v>
      </c>
      <c r="AA102" s="4" t="str">
        <f t="shared" si="23"/>
        <v>-</v>
      </c>
      <c r="AB102" s="33" t="str">
        <f t="shared" si="24"/>
        <v>-</v>
      </c>
      <c r="AC102" s="6" t="str">
        <f t="shared" si="25"/>
        <v>-</v>
      </c>
      <c r="AD102" s="7">
        <v>430</v>
      </c>
      <c r="AE102" s="6">
        <f t="shared" si="26"/>
        <v>0.46744186046511627</v>
      </c>
      <c r="AF102" s="4">
        <f t="shared" si="27"/>
        <v>201</v>
      </c>
      <c r="AG102" s="28"/>
      <c r="AH102" s="6"/>
      <c r="AI102" s="6"/>
      <c r="AJ102" s="6">
        <f t="shared" si="28"/>
        <v>1.0909090909090908</v>
      </c>
      <c r="AK102" s="6">
        <f t="shared" si="29"/>
        <v>1.036144578313253</v>
      </c>
      <c r="AL102" s="6">
        <f t="shared" si="30"/>
        <v>1.0904761904761904</v>
      </c>
      <c r="AM102" s="4" t="str">
        <f t="shared" si="33"/>
        <v>-</v>
      </c>
      <c r="AN102" s="4" t="str">
        <f>IF(Q102="","-",Q102)</f>
        <v>-</v>
      </c>
      <c r="AO102" s="4" t="str">
        <f>IF(R102="","-",R102)</f>
        <v>-</v>
      </c>
      <c r="AP102" s="4" t="s">
        <v>409</v>
      </c>
      <c r="AQ102" s="4" t="s">
        <v>699</v>
      </c>
      <c r="AR102" s="4"/>
      <c r="AS102" s="4"/>
      <c r="AT102" s="4" t="s">
        <v>699</v>
      </c>
      <c r="AU102" s="4" t="s">
        <v>699</v>
      </c>
      <c r="AV102" s="4" t="str">
        <f t="shared" si="31"/>
        <v>-</v>
      </c>
      <c r="AW102" s="19">
        <v>4</v>
      </c>
      <c r="AX102" s="19">
        <v>1</v>
      </c>
      <c r="AY102" s="16">
        <v>19</v>
      </c>
      <c r="AZ102" t="s">
        <v>699</v>
      </c>
      <c r="BA102" t="str">
        <f>IFERROR(AZ102*AL102,"-")</f>
        <v>-</v>
      </c>
      <c r="BB102" t="s">
        <v>699</v>
      </c>
      <c r="BC102" t="str">
        <f>IFERROR(BB102*AL102,"-")</f>
        <v>-</v>
      </c>
      <c r="BD102" t="s">
        <v>699</v>
      </c>
    </row>
    <row r="103" spans="1:56" x14ac:dyDescent="0.4">
      <c r="A103" s="3">
        <v>33</v>
      </c>
      <c r="B103" s="3">
        <v>33</v>
      </c>
      <c r="C103" s="4">
        <v>11635</v>
      </c>
      <c r="D103" s="4" t="str">
        <f t="shared" si="17"/>
        <v>011635</v>
      </c>
      <c r="E103" s="4">
        <v>528642</v>
      </c>
      <c r="F103" s="4" t="s">
        <v>139</v>
      </c>
      <c r="G103" s="5">
        <v>4535627511036</v>
      </c>
      <c r="H103" s="5"/>
      <c r="I103" s="5"/>
      <c r="J103" s="5">
        <v>1</v>
      </c>
      <c r="K103" s="5">
        <v>1</v>
      </c>
      <c r="L103" s="4">
        <v>550</v>
      </c>
      <c r="M103" s="4">
        <v>415</v>
      </c>
      <c r="N103" s="4">
        <v>210</v>
      </c>
      <c r="O103" s="6">
        <f t="shared" si="18"/>
        <v>0.49397590361445787</v>
      </c>
      <c r="P103" s="4" t="s">
        <v>699</v>
      </c>
      <c r="Q103" s="4" t="s">
        <v>699</v>
      </c>
      <c r="R103" s="4" t="s">
        <v>699</v>
      </c>
      <c r="S103" s="4">
        <v>600</v>
      </c>
      <c r="T103" s="4">
        <f t="shared" si="19"/>
        <v>600</v>
      </c>
      <c r="U103" s="4">
        <v>229</v>
      </c>
      <c r="V103" s="4">
        <f t="shared" si="20"/>
        <v>229</v>
      </c>
      <c r="W103" s="4"/>
      <c r="X103" s="21">
        <f t="shared" si="21"/>
        <v>453</v>
      </c>
      <c r="Y103" s="6">
        <f t="shared" si="22"/>
        <v>0.49448123620309048</v>
      </c>
      <c r="Z103" s="33">
        <v>1</v>
      </c>
      <c r="AA103" s="4">
        <f t="shared" si="23"/>
        <v>480</v>
      </c>
      <c r="AB103" s="33">
        <f t="shared" si="24"/>
        <v>523.42857142857133</v>
      </c>
      <c r="AC103" s="6">
        <f t="shared" si="25"/>
        <v>0.5625</v>
      </c>
      <c r="AD103" s="7">
        <v>430</v>
      </c>
      <c r="AE103" s="6">
        <f t="shared" si="26"/>
        <v>0.46744186046511627</v>
      </c>
      <c r="AF103" s="4">
        <f t="shared" si="27"/>
        <v>201</v>
      </c>
      <c r="AG103" s="28"/>
      <c r="AH103" s="6"/>
      <c r="AI103" s="6"/>
      <c r="AJ103" s="6">
        <f t="shared" si="28"/>
        <v>1.0909090909090908</v>
      </c>
      <c r="AK103" s="6">
        <f t="shared" si="29"/>
        <v>1.036144578313253</v>
      </c>
      <c r="AL103" s="6">
        <f t="shared" si="30"/>
        <v>1.0904761904761904</v>
      </c>
      <c r="AM103" s="4" t="str">
        <f t="shared" si="33"/>
        <v>-</v>
      </c>
      <c r="AN103" s="4" t="str">
        <f>IF(Q103="","-",Q103)</f>
        <v>-</v>
      </c>
      <c r="AO103" s="4" t="str">
        <f>IF(R103="","-",R103)</f>
        <v>-</v>
      </c>
      <c r="AP103" s="4" t="s">
        <v>409</v>
      </c>
      <c r="AQ103" s="4" t="s">
        <v>731</v>
      </c>
      <c r="AR103" s="4">
        <v>1</v>
      </c>
      <c r="AS103" s="4">
        <v>10</v>
      </c>
      <c r="AT103" s="4" t="s">
        <v>727</v>
      </c>
      <c r="AU103" s="4">
        <v>4800</v>
      </c>
      <c r="AV103" s="4">
        <f t="shared" si="31"/>
        <v>480</v>
      </c>
      <c r="AW103" s="19">
        <v>4</v>
      </c>
      <c r="AX103" s="19">
        <v>1</v>
      </c>
      <c r="AY103" s="16">
        <v>19</v>
      </c>
      <c r="AZ103">
        <v>3750</v>
      </c>
      <c r="BA103">
        <f>IFERROR(AZ103*AL103,"-")</f>
        <v>4089.2857142857138</v>
      </c>
      <c r="BB103">
        <v>404</v>
      </c>
      <c r="BC103">
        <f>IFERROR(BB103*AL103,"-")</f>
        <v>440.55238095238093</v>
      </c>
      <c r="BD103" t="s">
        <v>449</v>
      </c>
    </row>
    <row r="104" spans="1:56" x14ac:dyDescent="0.4">
      <c r="A104" s="3">
        <v>149</v>
      </c>
      <c r="B104" s="3">
        <v>149</v>
      </c>
      <c r="C104" s="40">
        <v>369546</v>
      </c>
      <c r="D104" s="4" t="str">
        <f t="shared" si="17"/>
        <v>369546</v>
      </c>
      <c r="E104" s="4">
        <v>369546</v>
      </c>
      <c r="F104" s="4" t="s">
        <v>255</v>
      </c>
      <c r="G104" s="5">
        <v>4535627104634</v>
      </c>
      <c r="H104" s="5"/>
      <c r="I104" s="5"/>
      <c r="J104" s="5">
        <v>2</v>
      </c>
      <c r="K104" s="5">
        <v>2</v>
      </c>
      <c r="L104" s="4">
        <v>520</v>
      </c>
      <c r="M104" s="4">
        <v>460</v>
      </c>
      <c r="N104" s="4">
        <v>218</v>
      </c>
      <c r="O104" s="6">
        <f t="shared" si="18"/>
        <v>0.5260869565217392</v>
      </c>
      <c r="P104" s="4" t="s">
        <v>699</v>
      </c>
      <c r="Q104" s="4" t="s">
        <v>699</v>
      </c>
      <c r="R104" s="4" t="s">
        <v>699</v>
      </c>
      <c r="S104" s="4">
        <v>550</v>
      </c>
      <c r="T104" s="4">
        <f t="shared" si="19"/>
        <v>550</v>
      </c>
      <c r="U104" s="4">
        <v>231</v>
      </c>
      <c r="V104" s="4">
        <f t="shared" si="20"/>
        <v>231</v>
      </c>
      <c r="W104" s="4"/>
      <c r="X104" s="21">
        <f t="shared" si="21"/>
        <v>487</v>
      </c>
      <c r="Y104" s="6">
        <f t="shared" si="22"/>
        <v>0.52566735112936347</v>
      </c>
      <c r="Z104" s="33">
        <v>18.75</v>
      </c>
      <c r="AA104" s="4">
        <f t="shared" si="23"/>
        <v>462</v>
      </c>
      <c r="AB104" s="33">
        <f t="shared" si="24"/>
        <v>489.55045871559633</v>
      </c>
      <c r="AC104" s="6">
        <f t="shared" si="25"/>
        <v>0.52813852813852813</v>
      </c>
      <c r="AD104" s="7">
        <v>375</v>
      </c>
      <c r="AE104" s="6">
        <f t="shared" si="26"/>
        <v>0.38400000000000001</v>
      </c>
      <c r="AF104" s="4">
        <f t="shared" si="27"/>
        <v>144</v>
      </c>
      <c r="AG104" s="28"/>
      <c r="AH104" s="6"/>
      <c r="AI104" s="6"/>
      <c r="AJ104" s="6">
        <f t="shared" si="28"/>
        <v>1.0576923076923077</v>
      </c>
      <c r="AK104" s="6">
        <f t="shared" si="29"/>
        <v>0.81521739130434778</v>
      </c>
      <c r="AL104" s="6">
        <f t="shared" si="30"/>
        <v>1.0596330275229358</v>
      </c>
      <c r="AM104" s="4" t="str">
        <f t="shared" si="33"/>
        <v>-</v>
      </c>
      <c r="AN104" s="4" t="str">
        <f>IF(Q104="","-",Q104)</f>
        <v>-</v>
      </c>
      <c r="AO104" s="4" t="str">
        <f>IF(R104="","-",R104)</f>
        <v>-</v>
      </c>
      <c r="AP104" s="4" t="s">
        <v>411</v>
      </c>
      <c r="AQ104" s="4" t="s">
        <v>875</v>
      </c>
      <c r="AR104" s="4"/>
      <c r="AS104" s="4"/>
      <c r="AT104" s="4" t="s">
        <v>803</v>
      </c>
      <c r="AU104" s="4">
        <v>462</v>
      </c>
      <c r="AV104" s="4">
        <f t="shared" si="31"/>
        <v>462</v>
      </c>
      <c r="AW104" s="19">
        <v>4</v>
      </c>
      <c r="AX104" s="19">
        <v>1</v>
      </c>
      <c r="AY104" s="16">
        <v>19</v>
      </c>
      <c r="AZ104">
        <v>416</v>
      </c>
      <c r="BA104">
        <f>IFERROR(AZ104*AL104,"-")</f>
        <v>440.80733944954125</v>
      </c>
      <c r="BB104">
        <v>354</v>
      </c>
      <c r="BC104">
        <f>IFERROR(BB104*AL104,"-")</f>
        <v>375.11009174311926</v>
      </c>
      <c r="BD104" t="s">
        <v>565</v>
      </c>
    </row>
    <row r="105" spans="1:56" x14ac:dyDescent="0.4">
      <c r="A105" s="3">
        <v>296</v>
      </c>
      <c r="B105" s="3">
        <v>149</v>
      </c>
      <c r="C105" s="40">
        <v>369546</v>
      </c>
      <c r="D105" s="4" t="str">
        <f t="shared" si="17"/>
        <v>369546</v>
      </c>
      <c r="E105" s="4">
        <v>369549</v>
      </c>
      <c r="F105" s="4" t="s">
        <v>403</v>
      </c>
      <c r="G105" s="5">
        <v>4535627104634</v>
      </c>
      <c r="H105" s="5">
        <v>8</v>
      </c>
      <c r="I105" s="5" t="str">
        <f>C105&amp;H105</f>
        <v>3695468</v>
      </c>
      <c r="J105" s="5"/>
      <c r="K105" s="5"/>
      <c r="L105" s="4">
        <v>5200</v>
      </c>
      <c r="M105" s="4">
        <v>4268</v>
      </c>
      <c r="N105" s="4">
        <v>2180</v>
      </c>
      <c r="O105" s="6">
        <f t="shared" si="18"/>
        <v>0.48922211808809746</v>
      </c>
      <c r="P105" s="4" t="s">
        <v>699</v>
      </c>
      <c r="Q105" s="4" t="s">
        <v>699</v>
      </c>
      <c r="R105" s="4" t="s">
        <v>699</v>
      </c>
      <c r="S105" s="4">
        <v>550</v>
      </c>
      <c r="T105" s="4">
        <f t="shared" si="19"/>
        <v>5500</v>
      </c>
      <c r="U105" s="4">
        <v>231</v>
      </c>
      <c r="V105" s="4">
        <f t="shared" si="20"/>
        <v>2310</v>
      </c>
      <c r="W105" s="4">
        <v>10</v>
      </c>
      <c r="X105" s="21">
        <f t="shared" si="21"/>
        <v>4523</v>
      </c>
      <c r="Y105" s="6">
        <f t="shared" si="22"/>
        <v>0.48927702852089316</v>
      </c>
      <c r="Z105" s="33">
        <v>18.75</v>
      </c>
      <c r="AA105" s="4">
        <f t="shared" si="23"/>
        <v>4620</v>
      </c>
      <c r="AB105" s="33">
        <f t="shared" si="24"/>
        <v>4895.5045871559632</v>
      </c>
      <c r="AC105" s="6">
        <f t="shared" si="25"/>
        <v>0.52813852813852813</v>
      </c>
      <c r="AD105" s="7">
        <v>3500</v>
      </c>
      <c r="AE105" s="6">
        <f t="shared" si="26"/>
        <v>0.33999999999999997</v>
      </c>
      <c r="AF105" s="4">
        <f t="shared" si="27"/>
        <v>1190</v>
      </c>
      <c r="AG105" s="28"/>
      <c r="AH105" s="6"/>
      <c r="AI105" s="6"/>
      <c r="AJ105" s="6">
        <f t="shared" si="28"/>
        <v>1.0576923076923077</v>
      </c>
      <c r="AK105" s="6">
        <f t="shared" si="29"/>
        <v>0.82005623242736647</v>
      </c>
      <c r="AL105" s="6">
        <f t="shared" si="30"/>
        <v>1.0596330275229358</v>
      </c>
      <c r="AM105" s="4" t="str">
        <f t="shared" si="33"/>
        <v>-</v>
      </c>
      <c r="AN105" s="4" t="str">
        <f>IF(Q105="","-",Q105)</f>
        <v>-</v>
      </c>
      <c r="AO105" s="4" t="str">
        <f>IF(R105="","-",R105)</f>
        <v>-</v>
      </c>
      <c r="AP105" s="4">
        <v>0</v>
      </c>
      <c r="AQ105" s="4" t="s">
        <v>875</v>
      </c>
      <c r="AR105" s="4">
        <v>10</v>
      </c>
      <c r="AS105" s="4">
        <v>1</v>
      </c>
      <c r="AT105" s="4" t="s">
        <v>803</v>
      </c>
      <c r="AU105" s="4">
        <v>462</v>
      </c>
      <c r="AV105" s="4">
        <f t="shared" si="31"/>
        <v>4620</v>
      </c>
      <c r="AW105" s="19">
        <v>4</v>
      </c>
      <c r="AX105" s="19">
        <v>1</v>
      </c>
      <c r="AY105" s="16">
        <v>19</v>
      </c>
      <c r="AZ105">
        <v>416</v>
      </c>
      <c r="BA105">
        <f>IFERROR(AZ105*AL105,"-")</f>
        <v>440.80733944954125</v>
      </c>
      <c r="BB105">
        <v>354</v>
      </c>
      <c r="BC105">
        <f>IFERROR(BB105*AL105,"-")</f>
        <v>375.11009174311926</v>
      </c>
      <c r="BD105" t="s">
        <v>565</v>
      </c>
    </row>
    <row r="106" spans="1:56" x14ac:dyDescent="0.4">
      <c r="A106" s="3">
        <v>95</v>
      </c>
      <c r="B106" s="3">
        <v>95</v>
      </c>
      <c r="C106" s="4">
        <v>158940</v>
      </c>
      <c r="D106" s="4" t="str">
        <f t="shared" si="17"/>
        <v>158940</v>
      </c>
      <c r="E106" s="4">
        <v>158940</v>
      </c>
      <c r="F106" s="4" t="s">
        <v>201</v>
      </c>
      <c r="G106" s="5">
        <v>4535627119539</v>
      </c>
      <c r="H106" s="5"/>
      <c r="I106" s="5"/>
      <c r="J106" s="5">
        <v>1</v>
      </c>
      <c r="K106" s="5">
        <v>1</v>
      </c>
      <c r="L106" s="4">
        <v>520</v>
      </c>
      <c r="M106" s="4">
        <v>399</v>
      </c>
      <c r="N106" s="4">
        <v>219</v>
      </c>
      <c r="O106" s="6">
        <f t="shared" si="18"/>
        <v>0.45112781954887216</v>
      </c>
      <c r="P106" s="4" t="s">
        <v>699</v>
      </c>
      <c r="Q106" s="4" t="s">
        <v>699</v>
      </c>
      <c r="R106" s="4" t="s">
        <v>699</v>
      </c>
      <c r="S106" s="4">
        <v>550</v>
      </c>
      <c r="T106" s="4">
        <f t="shared" si="19"/>
        <v>550</v>
      </c>
      <c r="U106" s="4">
        <v>232</v>
      </c>
      <c r="V106" s="4">
        <f t="shared" si="20"/>
        <v>232</v>
      </c>
      <c r="W106" s="4"/>
      <c r="X106" s="21">
        <f t="shared" si="21"/>
        <v>423</v>
      </c>
      <c r="Y106" s="6">
        <f t="shared" si="22"/>
        <v>0.45153664302600471</v>
      </c>
      <c r="Z106" s="33">
        <v>4.75</v>
      </c>
      <c r="AA106" s="4">
        <f t="shared" si="23"/>
        <v>390</v>
      </c>
      <c r="AB106" s="33">
        <f t="shared" si="24"/>
        <v>413.15068493150682</v>
      </c>
      <c r="AC106" s="6">
        <f t="shared" si="25"/>
        <v>0.43846153846153846</v>
      </c>
      <c r="AD106" s="7">
        <v>410</v>
      </c>
      <c r="AE106" s="6">
        <f t="shared" si="26"/>
        <v>0.43414634146341469</v>
      </c>
      <c r="AF106" s="4">
        <f t="shared" si="27"/>
        <v>178</v>
      </c>
      <c r="AG106" s="28"/>
      <c r="AH106" s="6"/>
      <c r="AI106" s="6"/>
      <c r="AJ106" s="6">
        <f t="shared" si="28"/>
        <v>1.0576923076923077</v>
      </c>
      <c r="AK106" s="6">
        <f t="shared" si="29"/>
        <v>1.0275689223057645</v>
      </c>
      <c r="AL106" s="6">
        <f t="shared" si="30"/>
        <v>1.0593607305936072</v>
      </c>
      <c r="AM106" s="4" t="str">
        <f t="shared" si="33"/>
        <v>-</v>
      </c>
      <c r="AN106" s="4" t="str">
        <f>IF(Q106="","-",Q106)</f>
        <v>-</v>
      </c>
      <c r="AO106" s="4" t="str">
        <f>IF(R106="","-",R106)</f>
        <v>-</v>
      </c>
      <c r="AP106" s="4">
        <v>0</v>
      </c>
      <c r="AQ106" s="4" t="s">
        <v>807</v>
      </c>
      <c r="AR106" s="4"/>
      <c r="AS106" s="4"/>
      <c r="AT106" s="4" t="s">
        <v>721</v>
      </c>
      <c r="AU106" s="4">
        <v>390</v>
      </c>
      <c r="AV106" s="4">
        <f t="shared" si="31"/>
        <v>390</v>
      </c>
      <c r="AW106" s="19">
        <v>4</v>
      </c>
      <c r="AX106" s="19">
        <v>1</v>
      </c>
      <c r="AY106" s="16">
        <v>19</v>
      </c>
      <c r="AZ106">
        <v>321</v>
      </c>
      <c r="BA106">
        <f>IFERROR(AZ106*AL106,"-")</f>
        <v>340.05479452054794</v>
      </c>
      <c r="BB106">
        <v>455</v>
      </c>
      <c r="BC106">
        <f>IFERROR(BB106*AL106,"-")</f>
        <v>482.0091324200913</v>
      </c>
      <c r="BD106" t="s">
        <v>509</v>
      </c>
    </row>
    <row r="107" spans="1:56" x14ac:dyDescent="0.4">
      <c r="A107" s="3">
        <v>184</v>
      </c>
      <c r="B107" s="3">
        <v>184</v>
      </c>
      <c r="C107" s="4">
        <v>623622</v>
      </c>
      <c r="D107" s="4" t="str">
        <f t="shared" si="17"/>
        <v>623622</v>
      </c>
      <c r="E107" s="4">
        <v>623622</v>
      </c>
      <c r="F107" s="4" t="s">
        <v>290</v>
      </c>
      <c r="G107" s="5">
        <v>4535627600303</v>
      </c>
      <c r="H107" s="5"/>
      <c r="I107" s="5"/>
      <c r="J107" s="5">
        <v>1</v>
      </c>
      <c r="K107" s="5">
        <v>1</v>
      </c>
      <c r="L107" s="4">
        <v>520</v>
      </c>
      <c r="M107" s="4">
        <v>372</v>
      </c>
      <c r="N107" s="4">
        <v>219</v>
      </c>
      <c r="O107" s="6">
        <f t="shared" si="18"/>
        <v>0.41129032258064513</v>
      </c>
      <c r="P107" s="4" t="s">
        <v>699</v>
      </c>
      <c r="Q107" s="4" t="s">
        <v>699</v>
      </c>
      <c r="R107" s="4" t="s">
        <v>699</v>
      </c>
      <c r="S107" s="4">
        <v>550</v>
      </c>
      <c r="T107" s="4">
        <f t="shared" si="19"/>
        <v>550</v>
      </c>
      <c r="U107" s="4">
        <v>232</v>
      </c>
      <c r="V107" s="4">
        <f t="shared" si="20"/>
        <v>232</v>
      </c>
      <c r="W107" s="4"/>
      <c r="X107" s="21">
        <f t="shared" si="21"/>
        <v>394</v>
      </c>
      <c r="Y107" s="6">
        <f t="shared" si="22"/>
        <v>0.41116751269035534</v>
      </c>
      <c r="Z107" s="33">
        <v>16.25</v>
      </c>
      <c r="AA107" s="4" t="str">
        <f t="shared" si="23"/>
        <v>-</v>
      </c>
      <c r="AB107" s="33" t="str">
        <f t="shared" si="24"/>
        <v>-</v>
      </c>
      <c r="AC107" s="6" t="str">
        <f t="shared" si="25"/>
        <v>-</v>
      </c>
      <c r="AD107" s="7">
        <v>380</v>
      </c>
      <c r="AE107" s="6">
        <f t="shared" si="26"/>
        <v>0.38947368421052631</v>
      </c>
      <c r="AF107" s="4">
        <f t="shared" si="27"/>
        <v>148</v>
      </c>
      <c r="AG107" s="28"/>
      <c r="AH107" s="6"/>
      <c r="AI107" s="6"/>
      <c r="AJ107" s="6">
        <f t="shared" si="28"/>
        <v>1.0576923076923077</v>
      </c>
      <c r="AK107" s="6">
        <f t="shared" si="29"/>
        <v>1.021505376344086</v>
      </c>
      <c r="AL107" s="6">
        <f t="shared" si="30"/>
        <v>1.0593607305936072</v>
      </c>
      <c r="AM107" s="4" t="str">
        <f t="shared" si="33"/>
        <v>-</v>
      </c>
      <c r="AN107" s="4" t="str">
        <f>IF(Q107="","-",Q107)</f>
        <v>-</v>
      </c>
      <c r="AO107" s="4" t="str">
        <f>IF(R107="","-",R107)</f>
        <v>-</v>
      </c>
      <c r="AP107" s="4" t="s">
        <v>420</v>
      </c>
      <c r="AQ107" s="4" t="s">
        <v>699</v>
      </c>
      <c r="AR107" s="4"/>
      <c r="AS107" s="4"/>
      <c r="AT107" s="4" t="s">
        <v>699</v>
      </c>
      <c r="AU107" s="4" t="s">
        <v>699</v>
      </c>
      <c r="AV107" s="4" t="str">
        <f t="shared" si="31"/>
        <v>-</v>
      </c>
      <c r="AW107" s="19">
        <v>4</v>
      </c>
      <c r="AX107" s="19">
        <v>1</v>
      </c>
      <c r="AY107" s="16">
        <v>19</v>
      </c>
      <c r="AZ107">
        <v>359</v>
      </c>
      <c r="BA107">
        <f>IFERROR(AZ107*AL107,"-")</f>
        <v>380.310502283105</v>
      </c>
      <c r="BB107">
        <v>412</v>
      </c>
      <c r="BC107">
        <f>IFERROR(BB107*AL107,"-")</f>
        <v>436.45662100456616</v>
      </c>
      <c r="BD107" t="s">
        <v>699</v>
      </c>
    </row>
    <row r="108" spans="1:56" x14ac:dyDescent="0.4">
      <c r="A108" s="3">
        <v>174</v>
      </c>
      <c r="B108" s="3">
        <v>174</v>
      </c>
      <c r="C108" s="4">
        <v>600930</v>
      </c>
      <c r="D108" s="4" t="str">
        <f t="shared" si="17"/>
        <v>600930</v>
      </c>
      <c r="E108" s="4">
        <v>600930</v>
      </c>
      <c r="F108" s="4" t="s">
        <v>280</v>
      </c>
      <c r="G108" s="5">
        <v>4535627600310</v>
      </c>
      <c r="H108" s="5"/>
      <c r="I108" s="5"/>
      <c r="J108" s="5">
        <v>1</v>
      </c>
      <c r="K108" s="5">
        <v>1</v>
      </c>
      <c r="L108" s="4">
        <v>550</v>
      </c>
      <c r="M108" s="4">
        <v>335</v>
      </c>
      <c r="N108" s="4">
        <v>220</v>
      </c>
      <c r="O108" s="6">
        <f t="shared" si="18"/>
        <v>0.34328358208955223</v>
      </c>
      <c r="P108" s="4">
        <v>289</v>
      </c>
      <c r="Q108" s="4">
        <v>3</v>
      </c>
      <c r="R108" s="4">
        <v>99999</v>
      </c>
      <c r="S108" s="4">
        <v>590</v>
      </c>
      <c r="T108" s="4">
        <f t="shared" si="19"/>
        <v>590</v>
      </c>
      <c r="U108" s="4">
        <v>236</v>
      </c>
      <c r="V108" s="4">
        <f t="shared" si="20"/>
        <v>236</v>
      </c>
      <c r="W108" s="4"/>
      <c r="X108" s="21">
        <f t="shared" si="21"/>
        <v>359</v>
      </c>
      <c r="Y108" s="6">
        <f t="shared" si="22"/>
        <v>0.34261838440111425</v>
      </c>
      <c r="Z108" s="33">
        <v>50.5</v>
      </c>
      <c r="AA108" s="4">
        <f t="shared" si="23"/>
        <v>341</v>
      </c>
      <c r="AB108" s="33">
        <f t="shared" si="24"/>
        <v>365.8</v>
      </c>
      <c r="AC108" s="6">
        <f t="shared" si="25"/>
        <v>0.35483870967741937</v>
      </c>
      <c r="AD108" s="7">
        <v>365</v>
      </c>
      <c r="AE108" s="6">
        <f t="shared" si="26"/>
        <v>0.35342465753424657</v>
      </c>
      <c r="AF108" s="4">
        <f t="shared" si="27"/>
        <v>129</v>
      </c>
      <c r="AG108" s="28"/>
      <c r="AH108" s="6"/>
      <c r="AI108" s="6"/>
      <c r="AJ108" s="6">
        <f t="shared" si="28"/>
        <v>1.0727272727272728</v>
      </c>
      <c r="AK108" s="6">
        <f t="shared" si="29"/>
        <v>1.0895522388059702</v>
      </c>
      <c r="AL108" s="6">
        <f t="shared" si="30"/>
        <v>1.0727272727272728</v>
      </c>
      <c r="AM108" s="4">
        <v>330</v>
      </c>
      <c r="AN108" s="4">
        <f>IF(Q108="","-",Q108)</f>
        <v>3</v>
      </c>
      <c r="AO108" s="4">
        <f>IF(R108="","-",R108)</f>
        <v>99999</v>
      </c>
      <c r="AP108" s="4" t="s">
        <v>412</v>
      </c>
      <c r="AQ108" s="4" t="s">
        <v>905</v>
      </c>
      <c r="AR108" s="4"/>
      <c r="AS108" s="4"/>
      <c r="AT108" s="4" t="s">
        <v>721</v>
      </c>
      <c r="AU108" s="4">
        <v>341</v>
      </c>
      <c r="AV108" s="4">
        <f t="shared" si="31"/>
        <v>341</v>
      </c>
      <c r="AW108" s="19">
        <v>4</v>
      </c>
      <c r="AX108" s="19">
        <v>1</v>
      </c>
      <c r="AY108" s="16">
        <v>19</v>
      </c>
      <c r="AZ108">
        <v>341</v>
      </c>
      <c r="BA108">
        <f>IFERROR(AZ108*AL108,"-")</f>
        <v>365.8</v>
      </c>
      <c r="BB108" t="s">
        <v>699</v>
      </c>
      <c r="BC108" t="str">
        <f>IFERROR(BB108*AL108,"-")</f>
        <v>-</v>
      </c>
      <c r="BD108" t="s">
        <v>591</v>
      </c>
    </row>
    <row r="109" spans="1:56" x14ac:dyDescent="0.4">
      <c r="A109" s="3">
        <v>153</v>
      </c>
      <c r="B109" s="3">
        <v>153</v>
      </c>
      <c r="C109" s="4">
        <v>395487</v>
      </c>
      <c r="D109" s="4" t="str">
        <f t="shared" si="17"/>
        <v>395487</v>
      </c>
      <c r="E109" s="4">
        <v>395487</v>
      </c>
      <c r="F109" s="4" t="s">
        <v>259</v>
      </c>
      <c r="G109" s="5">
        <v>4535627109356</v>
      </c>
      <c r="H109" s="5"/>
      <c r="I109" s="5"/>
      <c r="J109" s="5">
        <v>1</v>
      </c>
      <c r="K109" s="5">
        <v>1</v>
      </c>
      <c r="L109" s="4">
        <v>500</v>
      </c>
      <c r="M109" s="4">
        <v>358</v>
      </c>
      <c r="N109" s="4">
        <v>210</v>
      </c>
      <c r="O109" s="6">
        <f t="shared" si="18"/>
        <v>0.41340782122905029</v>
      </c>
      <c r="P109" s="4" t="s">
        <v>699</v>
      </c>
      <c r="Q109" s="4" t="s">
        <v>699</v>
      </c>
      <c r="R109" s="4" t="s">
        <v>699</v>
      </c>
      <c r="S109" s="4">
        <v>570</v>
      </c>
      <c r="T109" s="4">
        <f t="shared" si="19"/>
        <v>570</v>
      </c>
      <c r="U109" s="4">
        <v>239</v>
      </c>
      <c r="V109" s="4">
        <f t="shared" si="20"/>
        <v>239</v>
      </c>
      <c r="W109" s="4"/>
      <c r="X109" s="21">
        <f t="shared" si="21"/>
        <v>407</v>
      </c>
      <c r="Y109" s="6">
        <f t="shared" si="22"/>
        <v>0.41277641277641275</v>
      </c>
      <c r="Z109" s="33">
        <v>6.25</v>
      </c>
      <c r="AA109" s="4">
        <f t="shared" si="23"/>
        <v>346</v>
      </c>
      <c r="AB109" s="33">
        <f t="shared" si="24"/>
        <v>393.78095238095239</v>
      </c>
      <c r="AC109" s="6">
        <f t="shared" si="25"/>
        <v>0.39306358381502893</v>
      </c>
      <c r="AD109" s="7">
        <v>390</v>
      </c>
      <c r="AE109" s="6">
        <f t="shared" si="26"/>
        <v>0.38717948717948714</v>
      </c>
      <c r="AF109" s="4">
        <f t="shared" si="27"/>
        <v>151</v>
      </c>
      <c r="AG109" s="28"/>
      <c r="AH109" s="6"/>
      <c r="AI109" s="6"/>
      <c r="AJ109" s="6">
        <f t="shared" si="28"/>
        <v>1.1399999999999999</v>
      </c>
      <c r="AK109" s="6">
        <f t="shared" si="29"/>
        <v>1.0893854748603351</v>
      </c>
      <c r="AL109" s="6">
        <f t="shared" si="30"/>
        <v>1.138095238095238</v>
      </c>
      <c r="AM109" s="4" t="str">
        <f t="shared" ref="AM109:AM126" si="34">IFERROR(ROUND($AD109*P109/$M109,0),"-")</f>
        <v>-</v>
      </c>
      <c r="AN109" s="4" t="str">
        <f>IF(Q109="","-",Q109)</f>
        <v>-</v>
      </c>
      <c r="AO109" s="4" t="str">
        <f>IF(R109="","-",R109)</f>
        <v>-</v>
      </c>
      <c r="AP109" s="4" t="s">
        <v>422</v>
      </c>
      <c r="AQ109" s="4" t="s">
        <v>882</v>
      </c>
      <c r="AR109" s="4"/>
      <c r="AS109" s="4"/>
      <c r="AT109" s="4" t="s">
        <v>721</v>
      </c>
      <c r="AU109" s="4">
        <v>346</v>
      </c>
      <c r="AV109" s="4">
        <f t="shared" si="31"/>
        <v>346</v>
      </c>
      <c r="AW109" s="19">
        <v>4</v>
      </c>
      <c r="AX109" s="19">
        <v>1</v>
      </c>
      <c r="AY109" s="16">
        <v>19</v>
      </c>
      <c r="AZ109">
        <v>300</v>
      </c>
      <c r="BA109">
        <f>IFERROR(AZ109*AL109,"-")</f>
        <v>341.42857142857139</v>
      </c>
      <c r="BB109">
        <v>349</v>
      </c>
      <c r="BC109">
        <f>IFERROR(BB109*AL109,"-")</f>
        <v>397.1952380952381</v>
      </c>
      <c r="BD109" t="s">
        <v>570</v>
      </c>
    </row>
    <row r="110" spans="1:56" x14ac:dyDescent="0.4">
      <c r="A110" s="3">
        <v>154</v>
      </c>
      <c r="B110" s="3">
        <v>154</v>
      </c>
      <c r="C110" s="4">
        <v>395488</v>
      </c>
      <c r="D110" s="4" t="str">
        <f t="shared" si="17"/>
        <v>395488</v>
      </c>
      <c r="E110" s="4">
        <v>395488</v>
      </c>
      <c r="F110" s="4" t="s">
        <v>260</v>
      </c>
      <c r="G110" s="5">
        <v>4535627109363</v>
      </c>
      <c r="H110" s="5"/>
      <c r="I110" s="5"/>
      <c r="J110" s="5">
        <v>1</v>
      </c>
      <c r="K110" s="5">
        <v>1</v>
      </c>
      <c r="L110" s="4">
        <v>500</v>
      </c>
      <c r="M110" s="4">
        <v>331</v>
      </c>
      <c r="N110" s="4">
        <v>210</v>
      </c>
      <c r="O110" s="6">
        <f t="shared" si="18"/>
        <v>0.3655589123867069</v>
      </c>
      <c r="P110" s="4" t="s">
        <v>699</v>
      </c>
      <c r="Q110" s="4" t="s">
        <v>699</v>
      </c>
      <c r="R110" s="4" t="s">
        <v>699</v>
      </c>
      <c r="S110" s="4">
        <v>570</v>
      </c>
      <c r="T110" s="4">
        <f t="shared" si="19"/>
        <v>570</v>
      </c>
      <c r="U110" s="4">
        <v>239</v>
      </c>
      <c r="V110" s="4">
        <f t="shared" si="20"/>
        <v>239</v>
      </c>
      <c r="W110" s="4"/>
      <c r="X110" s="21">
        <f t="shared" si="21"/>
        <v>377</v>
      </c>
      <c r="Y110" s="6">
        <f t="shared" si="22"/>
        <v>0.36604774535809015</v>
      </c>
      <c r="Z110" s="33">
        <v>1</v>
      </c>
      <c r="AA110" s="4">
        <f t="shared" si="23"/>
        <v>346</v>
      </c>
      <c r="AB110" s="33">
        <f t="shared" si="24"/>
        <v>393.78095238095239</v>
      </c>
      <c r="AC110" s="6">
        <f t="shared" si="25"/>
        <v>0.39306358381502893</v>
      </c>
      <c r="AD110" s="7">
        <v>390</v>
      </c>
      <c r="AE110" s="6">
        <f t="shared" si="26"/>
        <v>0.38717948717948714</v>
      </c>
      <c r="AF110" s="4">
        <f t="shared" si="27"/>
        <v>151</v>
      </c>
      <c r="AG110" s="28"/>
      <c r="AH110" s="6"/>
      <c r="AI110" s="6"/>
      <c r="AJ110" s="6">
        <f t="shared" si="28"/>
        <v>1.1399999999999999</v>
      </c>
      <c r="AK110" s="6">
        <f t="shared" si="29"/>
        <v>1.1782477341389728</v>
      </c>
      <c r="AL110" s="6">
        <f t="shared" si="30"/>
        <v>1.138095238095238</v>
      </c>
      <c r="AM110" s="4" t="str">
        <f t="shared" si="34"/>
        <v>-</v>
      </c>
      <c r="AN110" s="4" t="str">
        <f>IF(Q110="","-",Q110)</f>
        <v>-</v>
      </c>
      <c r="AO110" s="4" t="str">
        <f>IF(R110="","-",R110)</f>
        <v>-</v>
      </c>
      <c r="AP110" s="4" t="s">
        <v>422</v>
      </c>
      <c r="AQ110" s="4" t="s">
        <v>883</v>
      </c>
      <c r="AR110" s="4"/>
      <c r="AS110" s="4"/>
      <c r="AT110" s="4" t="s">
        <v>721</v>
      </c>
      <c r="AU110" s="4">
        <v>346</v>
      </c>
      <c r="AV110" s="4">
        <f t="shared" si="31"/>
        <v>346</v>
      </c>
      <c r="AW110" s="19">
        <v>4</v>
      </c>
      <c r="AX110" s="19">
        <v>1</v>
      </c>
      <c r="AY110" s="16">
        <v>19</v>
      </c>
      <c r="AZ110">
        <v>300</v>
      </c>
      <c r="BA110">
        <f>IFERROR(AZ110*AL110,"-")</f>
        <v>341.42857142857139</v>
      </c>
      <c r="BB110">
        <v>349</v>
      </c>
      <c r="BC110">
        <f>IFERROR(BB110*AL110,"-")</f>
        <v>397.1952380952381</v>
      </c>
      <c r="BD110" t="s">
        <v>571</v>
      </c>
    </row>
    <row r="111" spans="1:56" x14ac:dyDescent="0.4">
      <c r="A111" s="3">
        <v>50</v>
      </c>
      <c r="B111" s="3">
        <v>50</v>
      </c>
      <c r="C111" s="4">
        <v>102418</v>
      </c>
      <c r="D111" s="4" t="str">
        <f t="shared" si="17"/>
        <v>102418</v>
      </c>
      <c r="E111" s="4">
        <v>102418</v>
      </c>
      <c r="F111" s="4" t="s">
        <v>156</v>
      </c>
      <c r="G111" s="5">
        <v>4535627601027</v>
      </c>
      <c r="H111" s="5"/>
      <c r="I111" s="5"/>
      <c r="J111" s="5">
        <v>1</v>
      </c>
      <c r="K111" s="5">
        <v>1</v>
      </c>
      <c r="L111" s="4">
        <v>530</v>
      </c>
      <c r="M111" s="4">
        <v>491</v>
      </c>
      <c r="N111" s="4">
        <v>224</v>
      </c>
      <c r="O111" s="6">
        <f t="shared" si="18"/>
        <v>0.54378818737270873</v>
      </c>
      <c r="P111" s="4" t="s">
        <v>699</v>
      </c>
      <c r="Q111" s="4" t="s">
        <v>699</v>
      </c>
      <c r="R111" s="4" t="s">
        <v>699</v>
      </c>
      <c r="S111" s="4">
        <v>570</v>
      </c>
      <c r="T111" s="4">
        <f t="shared" si="19"/>
        <v>570</v>
      </c>
      <c r="U111" s="4">
        <v>241</v>
      </c>
      <c r="V111" s="4">
        <f t="shared" si="20"/>
        <v>241</v>
      </c>
      <c r="W111" s="4"/>
      <c r="X111" s="21">
        <f t="shared" si="21"/>
        <v>528</v>
      </c>
      <c r="Y111" s="6">
        <f t="shared" si="22"/>
        <v>0.54356060606060608</v>
      </c>
      <c r="Z111" s="33">
        <v>1</v>
      </c>
      <c r="AA111" s="4">
        <f t="shared" si="23"/>
        <v>387</v>
      </c>
      <c r="AB111" s="33">
        <f t="shared" si="24"/>
        <v>416.37053571428572</v>
      </c>
      <c r="AC111" s="6">
        <f t="shared" si="25"/>
        <v>0.42118863049095612</v>
      </c>
      <c r="AD111" s="7">
        <v>416</v>
      </c>
      <c r="AE111" s="6">
        <f t="shared" si="26"/>
        <v>0.42067307692307687</v>
      </c>
      <c r="AF111" s="4">
        <f t="shared" si="27"/>
        <v>175</v>
      </c>
      <c r="AG111" s="28"/>
      <c r="AH111" s="6"/>
      <c r="AI111" s="6"/>
      <c r="AJ111" s="6">
        <f t="shared" si="28"/>
        <v>1.0754716981132075</v>
      </c>
      <c r="AK111" s="6">
        <f t="shared" si="29"/>
        <v>0.84725050916496947</v>
      </c>
      <c r="AL111" s="6">
        <f t="shared" si="30"/>
        <v>1.0758928571428572</v>
      </c>
      <c r="AM111" s="4" t="str">
        <f t="shared" si="34"/>
        <v>-</v>
      </c>
      <c r="AN111" s="4" t="str">
        <f>IF(Q111="","-",Q111)</f>
        <v>-</v>
      </c>
      <c r="AO111" s="4" t="str">
        <f>IF(R111="","-",R111)</f>
        <v>-</v>
      </c>
      <c r="AP111" s="4" t="s">
        <v>412</v>
      </c>
      <c r="AQ111" s="4" t="s">
        <v>751</v>
      </c>
      <c r="AR111" s="4"/>
      <c r="AS111" s="4"/>
      <c r="AT111" s="4" t="s">
        <v>721</v>
      </c>
      <c r="AU111" s="4">
        <v>387</v>
      </c>
      <c r="AV111" s="4">
        <f t="shared" si="31"/>
        <v>387</v>
      </c>
      <c r="AW111" s="19">
        <v>4</v>
      </c>
      <c r="AX111" s="19">
        <v>1</v>
      </c>
      <c r="AY111" s="16">
        <v>19</v>
      </c>
      <c r="AZ111" t="s">
        <v>699</v>
      </c>
      <c r="BA111" t="str">
        <f>IFERROR(AZ111*AL111,"-")</f>
        <v>-</v>
      </c>
      <c r="BB111">
        <v>4452</v>
      </c>
      <c r="BC111">
        <f>IFERROR(BB111*AL111,"-")</f>
        <v>4789.875</v>
      </c>
      <c r="BD111" t="s">
        <v>464</v>
      </c>
    </row>
    <row r="112" spans="1:56" x14ac:dyDescent="0.4">
      <c r="A112" s="3">
        <v>229</v>
      </c>
      <c r="B112" s="3">
        <v>229</v>
      </c>
      <c r="C112" s="40">
        <v>758016</v>
      </c>
      <c r="D112" s="4" t="str">
        <f t="shared" si="17"/>
        <v>758016</v>
      </c>
      <c r="E112" s="4">
        <v>758016</v>
      </c>
      <c r="F112" s="4" t="s">
        <v>335</v>
      </c>
      <c r="G112" s="5">
        <v>4535627108717</v>
      </c>
      <c r="H112" s="5"/>
      <c r="I112" s="5"/>
      <c r="J112" s="5">
        <v>2</v>
      </c>
      <c r="K112" s="5">
        <v>2</v>
      </c>
      <c r="L112" s="4">
        <v>550</v>
      </c>
      <c r="M112" s="4">
        <v>354</v>
      </c>
      <c r="N112" s="4">
        <v>231</v>
      </c>
      <c r="O112" s="6">
        <f t="shared" si="18"/>
        <v>0.34745762711864403</v>
      </c>
      <c r="P112" s="4" t="s">
        <v>699</v>
      </c>
      <c r="Q112" s="4" t="s">
        <v>699</v>
      </c>
      <c r="R112" s="4" t="s">
        <v>699</v>
      </c>
      <c r="S112" s="4">
        <v>580</v>
      </c>
      <c r="T112" s="4">
        <f t="shared" si="19"/>
        <v>580</v>
      </c>
      <c r="U112" s="4">
        <v>244</v>
      </c>
      <c r="V112" s="4">
        <f t="shared" si="20"/>
        <v>244</v>
      </c>
      <c r="W112" s="4"/>
      <c r="X112" s="21">
        <f t="shared" si="21"/>
        <v>374</v>
      </c>
      <c r="Y112" s="6">
        <f t="shared" si="22"/>
        <v>0.34759358288770048</v>
      </c>
      <c r="Z112" s="33">
        <v>301.25</v>
      </c>
      <c r="AA112" s="4">
        <f t="shared" si="23"/>
        <v>550</v>
      </c>
      <c r="AB112" s="33">
        <f t="shared" si="24"/>
        <v>580.95238095238096</v>
      </c>
      <c r="AC112" s="6">
        <f t="shared" si="25"/>
        <v>0.58000000000000007</v>
      </c>
      <c r="AD112" s="7">
        <v>398</v>
      </c>
      <c r="AE112" s="6">
        <f t="shared" si="26"/>
        <v>0.38693467336683418</v>
      </c>
      <c r="AF112" s="4">
        <f t="shared" si="27"/>
        <v>154</v>
      </c>
      <c r="AG112" s="28"/>
      <c r="AH112" s="6"/>
      <c r="AI112" s="6"/>
      <c r="AJ112" s="6">
        <f t="shared" si="28"/>
        <v>1.0545454545454545</v>
      </c>
      <c r="AK112" s="6">
        <f t="shared" si="29"/>
        <v>1.1242937853107344</v>
      </c>
      <c r="AL112" s="6">
        <f t="shared" si="30"/>
        <v>1.0562770562770563</v>
      </c>
      <c r="AM112" s="4" t="str">
        <f t="shared" si="34"/>
        <v>-</v>
      </c>
      <c r="AN112" s="4" t="str">
        <f>IF(Q112="","-",Q112)</f>
        <v>-</v>
      </c>
      <c r="AO112" s="4" t="str">
        <f>IF(R112="","-",R112)</f>
        <v>-</v>
      </c>
      <c r="AP112" s="4" t="s">
        <v>414</v>
      </c>
      <c r="AQ112" s="4" t="s">
        <v>971</v>
      </c>
      <c r="AR112" s="4"/>
      <c r="AS112" s="4"/>
      <c r="AT112" s="4" t="s">
        <v>749</v>
      </c>
      <c r="AU112" s="4">
        <v>550</v>
      </c>
      <c r="AV112" s="4">
        <f t="shared" si="31"/>
        <v>550</v>
      </c>
      <c r="AW112" s="19">
        <v>4</v>
      </c>
      <c r="AX112" s="19">
        <v>1</v>
      </c>
      <c r="AY112" s="16">
        <v>19</v>
      </c>
      <c r="AZ112">
        <v>378</v>
      </c>
      <c r="BA112">
        <f>IFERROR(AZ112*AL112,"-")</f>
        <v>399.27272727272725</v>
      </c>
      <c r="BB112">
        <v>383</v>
      </c>
      <c r="BC112">
        <f>IFERROR(BB112*AL112,"-")</f>
        <v>404.55411255411252</v>
      </c>
      <c r="BD112" t="s">
        <v>645</v>
      </c>
    </row>
    <row r="113" spans="1:56" x14ac:dyDescent="0.4">
      <c r="A113" s="3">
        <v>299</v>
      </c>
      <c r="B113" s="3">
        <v>229</v>
      </c>
      <c r="C113" s="40">
        <v>758016</v>
      </c>
      <c r="D113" s="4" t="str">
        <f t="shared" si="17"/>
        <v>758016</v>
      </c>
      <c r="E113" s="4" t="s">
        <v>390</v>
      </c>
      <c r="F113" s="4" t="s">
        <v>406</v>
      </c>
      <c r="G113" s="5">
        <v>4535627108717</v>
      </c>
      <c r="H113" s="5">
        <v>8</v>
      </c>
      <c r="I113" s="5" t="str">
        <f>C113&amp;H113</f>
        <v>7580168</v>
      </c>
      <c r="J113" s="5"/>
      <c r="K113" s="5"/>
      <c r="L113" s="4">
        <v>5500</v>
      </c>
      <c r="M113" s="4">
        <v>3570</v>
      </c>
      <c r="N113" s="4">
        <v>2310</v>
      </c>
      <c r="O113" s="6">
        <f t="shared" si="18"/>
        <v>0.3529411764705882</v>
      </c>
      <c r="P113" s="4" t="s">
        <v>699</v>
      </c>
      <c r="Q113" s="4" t="s">
        <v>699</v>
      </c>
      <c r="R113" s="4" t="s">
        <v>699</v>
      </c>
      <c r="S113" s="4">
        <v>580</v>
      </c>
      <c r="T113" s="4">
        <f t="shared" si="19"/>
        <v>5800</v>
      </c>
      <c r="U113" s="4">
        <v>244</v>
      </c>
      <c r="V113" s="4">
        <f t="shared" si="20"/>
        <v>2440</v>
      </c>
      <c r="W113" s="4">
        <v>10</v>
      </c>
      <c r="X113" s="21">
        <f t="shared" si="21"/>
        <v>3771</v>
      </c>
      <c r="Y113" s="6">
        <f t="shared" si="22"/>
        <v>0.3529567753911429</v>
      </c>
      <c r="Z113" s="33">
        <v>301.25</v>
      </c>
      <c r="AA113" s="4">
        <f t="shared" si="23"/>
        <v>2719</v>
      </c>
      <c r="AB113" s="33">
        <f t="shared" si="24"/>
        <v>2872.0173160173158</v>
      </c>
      <c r="AC113" s="6">
        <f t="shared" si="25"/>
        <v>0.15042294961382852</v>
      </c>
      <c r="AD113" s="7">
        <v>3750</v>
      </c>
      <c r="AE113" s="6">
        <f t="shared" si="26"/>
        <v>0.34933333333333338</v>
      </c>
      <c r="AF113" s="4">
        <f t="shared" si="27"/>
        <v>1310</v>
      </c>
      <c r="AG113" s="28"/>
      <c r="AH113" s="6"/>
      <c r="AI113" s="6"/>
      <c r="AJ113" s="6">
        <f t="shared" si="28"/>
        <v>1.0545454545454545</v>
      </c>
      <c r="AK113" s="6">
        <f t="shared" si="29"/>
        <v>1.0504201680672269</v>
      </c>
      <c r="AL113" s="6">
        <f t="shared" si="30"/>
        <v>1.0562770562770563</v>
      </c>
      <c r="AM113" s="4" t="str">
        <f t="shared" si="34"/>
        <v>-</v>
      </c>
      <c r="AN113" s="4" t="str">
        <f>IF(Q113="","-",Q113)</f>
        <v>-</v>
      </c>
      <c r="AO113" s="4" t="str">
        <f>IF(R113="","-",R113)</f>
        <v>-</v>
      </c>
      <c r="AP113" s="4" t="s">
        <v>414</v>
      </c>
      <c r="AQ113" s="4" t="s">
        <v>972</v>
      </c>
      <c r="AR113" s="4"/>
      <c r="AS113" s="4"/>
      <c r="AT113" s="4" t="s">
        <v>973</v>
      </c>
      <c r="AU113" s="4">
        <v>2719</v>
      </c>
      <c r="AV113" s="4">
        <f t="shared" si="31"/>
        <v>2719</v>
      </c>
      <c r="AW113" s="19">
        <v>4</v>
      </c>
      <c r="AX113" s="19">
        <v>1</v>
      </c>
      <c r="AY113" s="16">
        <v>19</v>
      </c>
      <c r="AZ113">
        <v>378</v>
      </c>
      <c r="BA113">
        <f>IFERROR(AZ113*AL113,"-")</f>
        <v>399.27272727272725</v>
      </c>
      <c r="BB113">
        <v>383</v>
      </c>
      <c r="BC113">
        <f>IFERROR(BB113*AL113,"-")</f>
        <v>404.55411255411252</v>
      </c>
      <c r="BD113" t="s">
        <v>646</v>
      </c>
    </row>
    <row r="114" spans="1:56" x14ac:dyDescent="0.4">
      <c r="A114" s="3">
        <v>225</v>
      </c>
      <c r="B114" s="3">
        <v>225</v>
      </c>
      <c r="C114" s="4">
        <v>697143</v>
      </c>
      <c r="D114" s="4" t="str">
        <f t="shared" si="17"/>
        <v>697143</v>
      </c>
      <c r="E114" s="4">
        <v>697143</v>
      </c>
      <c r="F114" s="4" t="s">
        <v>331</v>
      </c>
      <c r="G114" s="5">
        <v>4535627600433</v>
      </c>
      <c r="H114" s="5"/>
      <c r="I114" s="5"/>
      <c r="J114" s="5">
        <v>1</v>
      </c>
      <c r="K114" s="5">
        <v>1</v>
      </c>
      <c r="L114" s="4">
        <v>580</v>
      </c>
      <c r="M114" s="4">
        <v>388</v>
      </c>
      <c r="N114" s="4">
        <v>244</v>
      </c>
      <c r="O114" s="6">
        <f t="shared" si="18"/>
        <v>0.37113402061855671</v>
      </c>
      <c r="P114" s="4" t="s">
        <v>699</v>
      </c>
      <c r="Q114" s="4" t="s">
        <v>699</v>
      </c>
      <c r="R114" s="4" t="s">
        <v>699</v>
      </c>
      <c r="S114" s="4">
        <v>620</v>
      </c>
      <c r="T114" s="4">
        <f t="shared" si="19"/>
        <v>620</v>
      </c>
      <c r="U114" s="4">
        <v>261</v>
      </c>
      <c r="V114" s="4">
        <f t="shared" si="20"/>
        <v>261</v>
      </c>
      <c r="W114" s="4"/>
      <c r="X114" s="21">
        <f t="shared" si="21"/>
        <v>415</v>
      </c>
      <c r="Y114" s="6">
        <f t="shared" si="22"/>
        <v>0.37108433734939761</v>
      </c>
      <c r="Z114" s="33">
        <v>4.25</v>
      </c>
      <c r="AA114" s="4">
        <f t="shared" si="23"/>
        <v>580</v>
      </c>
      <c r="AB114" s="33">
        <f t="shared" si="24"/>
        <v>620.40983606557381</v>
      </c>
      <c r="AC114" s="6">
        <f t="shared" si="25"/>
        <v>0.57931034482758625</v>
      </c>
      <c r="AD114" s="7">
        <v>420</v>
      </c>
      <c r="AE114" s="6">
        <f t="shared" si="26"/>
        <v>0.37857142857142856</v>
      </c>
      <c r="AF114" s="4">
        <f t="shared" si="27"/>
        <v>159</v>
      </c>
      <c r="AG114" s="28"/>
      <c r="AH114" s="6"/>
      <c r="AI114" s="6"/>
      <c r="AJ114" s="6">
        <f t="shared" si="28"/>
        <v>1.0689655172413792</v>
      </c>
      <c r="AK114" s="6">
        <f t="shared" si="29"/>
        <v>1.0824742268041236</v>
      </c>
      <c r="AL114" s="6">
        <f t="shared" si="30"/>
        <v>1.069672131147541</v>
      </c>
      <c r="AM114" s="4" t="str">
        <f t="shared" si="34"/>
        <v>-</v>
      </c>
      <c r="AN114" s="4" t="str">
        <f>IF(Q114="","-",Q114)</f>
        <v>-</v>
      </c>
      <c r="AO114" s="4" t="str">
        <f>IF(R114="","-",R114)</f>
        <v>-</v>
      </c>
      <c r="AP114" s="4" t="s">
        <v>412</v>
      </c>
      <c r="AQ114" s="4" t="s">
        <v>965</v>
      </c>
      <c r="AR114" s="4">
        <v>1</v>
      </c>
      <c r="AS114" s="4">
        <v>3</v>
      </c>
      <c r="AT114" s="4" t="s">
        <v>966</v>
      </c>
      <c r="AU114" s="4">
        <v>1740</v>
      </c>
      <c r="AV114" s="4">
        <f t="shared" si="31"/>
        <v>580</v>
      </c>
      <c r="AW114" s="19">
        <v>4</v>
      </c>
      <c r="AX114" s="19">
        <v>1</v>
      </c>
      <c r="AY114" s="16">
        <v>19</v>
      </c>
      <c r="AZ114">
        <v>358</v>
      </c>
      <c r="BA114">
        <f>IFERROR(AZ114*AL114,"-")</f>
        <v>382.94262295081967</v>
      </c>
      <c r="BB114">
        <v>435</v>
      </c>
      <c r="BC114">
        <f>IFERROR(BB114*AL114,"-")</f>
        <v>465.30737704918033</v>
      </c>
      <c r="BD114" t="s">
        <v>641</v>
      </c>
    </row>
    <row r="115" spans="1:56" x14ac:dyDescent="0.4">
      <c r="A115" s="3">
        <v>275</v>
      </c>
      <c r="B115" s="3">
        <v>275</v>
      </c>
      <c r="C115" s="4" t="s">
        <v>98</v>
      </c>
      <c r="D115" s="4" t="str">
        <f t="shared" si="17"/>
        <v>J915RW</v>
      </c>
      <c r="E115" s="4" t="s">
        <v>98</v>
      </c>
      <c r="F115" s="4" t="s">
        <v>381</v>
      </c>
      <c r="G115" s="5">
        <v>4535627104818</v>
      </c>
      <c r="H115" s="5"/>
      <c r="I115" s="5"/>
      <c r="J115" s="5">
        <v>1</v>
      </c>
      <c r="K115" s="5">
        <v>1</v>
      </c>
      <c r="L115" s="4">
        <v>600</v>
      </c>
      <c r="M115" s="4">
        <v>543</v>
      </c>
      <c r="N115" s="4">
        <v>252</v>
      </c>
      <c r="O115" s="6">
        <f t="shared" si="18"/>
        <v>0.53591160220994483</v>
      </c>
      <c r="P115" s="4" t="s">
        <v>699</v>
      </c>
      <c r="Q115" s="4" t="s">
        <v>699</v>
      </c>
      <c r="R115" s="4" t="s">
        <v>699</v>
      </c>
      <c r="S115" s="4">
        <v>630</v>
      </c>
      <c r="T115" s="4">
        <f t="shared" si="19"/>
        <v>630</v>
      </c>
      <c r="U115" s="4">
        <v>265</v>
      </c>
      <c r="V115" s="4">
        <f t="shared" si="20"/>
        <v>265</v>
      </c>
      <c r="W115" s="4"/>
      <c r="X115" s="21">
        <f t="shared" si="21"/>
        <v>571</v>
      </c>
      <c r="Y115" s="6">
        <f t="shared" si="22"/>
        <v>0.5359019264448337</v>
      </c>
      <c r="Z115" s="33">
        <v>1.25</v>
      </c>
      <c r="AA115" s="4">
        <f t="shared" si="23"/>
        <v>540</v>
      </c>
      <c r="AB115" s="33">
        <f t="shared" si="24"/>
        <v>567.85714285714289</v>
      </c>
      <c r="AC115" s="6">
        <f t="shared" si="25"/>
        <v>0.53333333333333344</v>
      </c>
      <c r="AD115" s="7">
        <v>550</v>
      </c>
      <c r="AE115" s="6">
        <f t="shared" si="26"/>
        <v>0.51818181818181819</v>
      </c>
      <c r="AF115" s="4">
        <f t="shared" si="27"/>
        <v>285</v>
      </c>
      <c r="AG115" s="28"/>
      <c r="AH115" s="6"/>
      <c r="AI115" s="6"/>
      <c r="AJ115" s="6">
        <f t="shared" si="28"/>
        <v>1.05</v>
      </c>
      <c r="AK115" s="6">
        <f t="shared" si="29"/>
        <v>1.0128913443830572</v>
      </c>
      <c r="AL115" s="6">
        <f t="shared" si="30"/>
        <v>1.0515873015873016</v>
      </c>
      <c r="AM115" s="4" t="str">
        <f t="shared" si="34"/>
        <v>-</v>
      </c>
      <c r="AN115" s="4" t="str">
        <f>IF(Q115="","-",Q115)</f>
        <v>-</v>
      </c>
      <c r="AO115" s="4" t="str">
        <f>IF(R115="","-",R115)</f>
        <v>-</v>
      </c>
      <c r="AP115" s="4" t="s">
        <v>411</v>
      </c>
      <c r="AQ115" s="4" t="s">
        <v>1019</v>
      </c>
      <c r="AR115" s="4"/>
      <c r="AS115" s="4"/>
      <c r="AT115" s="4" t="s">
        <v>749</v>
      </c>
      <c r="AU115" s="4">
        <v>540</v>
      </c>
      <c r="AV115" s="4">
        <f t="shared" si="31"/>
        <v>540</v>
      </c>
      <c r="AW115" s="19">
        <v>4</v>
      </c>
      <c r="AX115" s="19">
        <v>1</v>
      </c>
      <c r="AY115" s="16">
        <v>19</v>
      </c>
      <c r="AZ115" t="s">
        <v>699</v>
      </c>
      <c r="BA115" t="str">
        <f>IFERROR(AZ115*AL115,"-")</f>
        <v>-</v>
      </c>
      <c r="BB115">
        <v>538</v>
      </c>
      <c r="BC115">
        <f>IFERROR(BB115*AL115,"-")</f>
        <v>565.75396825396831</v>
      </c>
      <c r="BD115" t="s">
        <v>690</v>
      </c>
    </row>
    <row r="116" spans="1:56" x14ac:dyDescent="0.4">
      <c r="A116" s="3">
        <v>2</v>
      </c>
      <c r="B116" s="3">
        <v>2</v>
      </c>
      <c r="C116" s="4">
        <v>11592</v>
      </c>
      <c r="D116" s="4" t="str">
        <f t="shared" si="17"/>
        <v>011592</v>
      </c>
      <c r="E116" s="4">
        <v>528786</v>
      </c>
      <c r="F116" s="4" t="s">
        <v>108</v>
      </c>
      <c r="G116" s="5">
        <v>4535627103101</v>
      </c>
      <c r="H116" s="5"/>
      <c r="I116" s="5"/>
      <c r="J116" s="5">
        <v>1</v>
      </c>
      <c r="K116" s="5">
        <v>1</v>
      </c>
      <c r="L116" s="4">
        <v>650</v>
      </c>
      <c r="M116" s="4">
        <v>439</v>
      </c>
      <c r="N116" s="4">
        <v>247</v>
      </c>
      <c r="O116" s="6">
        <f t="shared" si="18"/>
        <v>0.43735763097949887</v>
      </c>
      <c r="P116" s="4" t="s">
        <v>699</v>
      </c>
      <c r="Q116" s="4" t="s">
        <v>699</v>
      </c>
      <c r="R116" s="4" t="s">
        <v>699</v>
      </c>
      <c r="S116" s="4">
        <v>700</v>
      </c>
      <c r="T116" s="4">
        <f t="shared" si="19"/>
        <v>700</v>
      </c>
      <c r="U116" s="4">
        <v>266</v>
      </c>
      <c r="V116" s="4">
        <f t="shared" si="20"/>
        <v>266</v>
      </c>
      <c r="W116" s="4"/>
      <c r="X116" s="21">
        <f t="shared" si="21"/>
        <v>473</v>
      </c>
      <c r="Y116" s="6">
        <f t="shared" si="22"/>
        <v>0.43763213530655387</v>
      </c>
      <c r="Z116" s="33">
        <v>4.25</v>
      </c>
      <c r="AA116" s="4">
        <f t="shared" si="23"/>
        <v>730.2</v>
      </c>
      <c r="AB116" s="33">
        <f t="shared" si="24"/>
        <v>786.36923076923074</v>
      </c>
      <c r="AC116" s="6">
        <f t="shared" si="25"/>
        <v>0.66173651054505611</v>
      </c>
      <c r="AD116" s="7">
        <v>480</v>
      </c>
      <c r="AE116" s="6">
        <f t="shared" si="26"/>
        <v>0.4458333333333333</v>
      </c>
      <c r="AF116" s="4">
        <f t="shared" si="27"/>
        <v>214</v>
      </c>
      <c r="AG116" s="28"/>
      <c r="AH116" s="6"/>
      <c r="AI116" s="6"/>
      <c r="AJ116" s="6">
        <f t="shared" si="28"/>
        <v>1.0769230769230769</v>
      </c>
      <c r="AK116" s="6">
        <f t="shared" si="29"/>
        <v>1.0933940774487472</v>
      </c>
      <c r="AL116" s="6">
        <f t="shared" si="30"/>
        <v>1.0769230769230769</v>
      </c>
      <c r="AM116" s="4" t="str">
        <f t="shared" si="34"/>
        <v>-</v>
      </c>
      <c r="AN116" s="4" t="str">
        <f>IF(Q116="","-",Q116)</f>
        <v>-</v>
      </c>
      <c r="AO116" s="4" t="str">
        <f>IF(R116="","-",R116)</f>
        <v>-</v>
      </c>
      <c r="AP116" s="4" t="s">
        <v>408</v>
      </c>
      <c r="AQ116" s="4" t="s">
        <v>702</v>
      </c>
      <c r="AR116" s="4">
        <v>1</v>
      </c>
      <c r="AS116" s="4">
        <v>10</v>
      </c>
      <c r="AT116" s="4" t="s">
        <v>703</v>
      </c>
      <c r="AU116" s="4">
        <v>7302</v>
      </c>
      <c r="AV116" s="4">
        <f t="shared" si="31"/>
        <v>730.2</v>
      </c>
      <c r="AW116" s="19">
        <v>4</v>
      </c>
      <c r="AX116" s="19">
        <v>1</v>
      </c>
      <c r="AY116" s="16">
        <v>19</v>
      </c>
      <c r="AZ116" t="s">
        <v>699</v>
      </c>
      <c r="BA116" t="str">
        <f>IFERROR(AZ116*AL116,"-")</f>
        <v>-</v>
      </c>
      <c r="BB116">
        <v>450</v>
      </c>
      <c r="BC116">
        <f>IFERROR(BB116*AL116,"-")</f>
        <v>484.61538461538458</v>
      </c>
      <c r="BD116" t="s">
        <v>430</v>
      </c>
    </row>
    <row r="117" spans="1:56" x14ac:dyDescent="0.4">
      <c r="A117" s="3">
        <v>4</v>
      </c>
      <c r="B117" s="3">
        <v>4</v>
      </c>
      <c r="C117" s="4">
        <v>11597</v>
      </c>
      <c r="D117" s="4" t="str">
        <f t="shared" si="17"/>
        <v>011597</v>
      </c>
      <c r="E117" s="4">
        <v>528768</v>
      </c>
      <c r="F117" s="4" t="s">
        <v>110</v>
      </c>
      <c r="G117" s="5">
        <v>4535627103125</v>
      </c>
      <c r="H117" s="5"/>
      <c r="I117" s="5"/>
      <c r="J117" s="5">
        <v>1</v>
      </c>
      <c r="K117" s="5">
        <v>1</v>
      </c>
      <c r="L117" s="4">
        <v>650</v>
      </c>
      <c r="M117" s="4">
        <v>439</v>
      </c>
      <c r="N117" s="4">
        <v>247</v>
      </c>
      <c r="O117" s="6">
        <f t="shared" si="18"/>
        <v>0.43735763097949887</v>
      </c>
      <c r="P117" s="4" t="s">
        <v>699</v>
      </c>
      <c r="Q117" s="4" t="s">
        <v>699</v>
      </c>
      <c r="R117" s="4" t="s">
        <v>699</v>
      </c>
      <c r="S117" s="4">
        <v>700</v>
      </c>
      <c r="T117" s="4">
        <f t="shared" si="19"/>
        <v>700</v>
      </c>
      <c r="U117" s="4">
        <v>266</v>
      </c>
      <c r="V117" s="4">
        <f t="shared" si="20"/>
        <v>266</v>
      </c>
      <c r="W117" s="4"/>
      <c r="X117" s="21">
        <f t="shared" si="21"/>
        <v>473</v>
      </c>
      <c r="Y117" s="6">
        <f t="shared" si="22"/>
        <v>0.43763213530655387</v>
      </c>
      <c r="Z117" s="33">
        <v>5.5</v>
      </c>
      <c r="AA117" s="4">
        <f t="shared" si="23"/>
        <v>644</v>
      </c>
      <c r="AB117" s="33">
        <f t="shared" si="24"/>
        <v>693.53846153846155</v>
      </c>
      <c r="AC117" s="6">
        <f t="shared" si="25"/>
        <v>0.61645962732919257</v>
      </c>
      <c r="AD117" s="7">
        <v>480</v>
      </c>
      <c r="AE117" s="6">
        <f t="shared" si="26"/>
        <v>0.4458333333333333</v>
      </c>
      <c r="AF117" s="4">
        <f t="shared" si="27"/>
        <v>214</v>
      </c>
      <c r="AG117" s="28"/>
      <c r="AH117" s="6"/>
      <c r="AI117" s="6"/>
      <c r="AJ117" s="6">
        <f t="shared" si="28"/>
        <v>1.0769230769230769</v>
      </c>
      <c r="AK117" s="6">
        <f t="shared" si="29"/>
        <v>1.0933940774487472</v>
      </c>
      <c r="AL117" s="6">
        <f t="shared" si="30"/>
        <v>1.0769230769230769</v>
      </c>
      <c r="AM117" s="4" t="str">
        <f t="shared" si="34"/>
        <v>-</v>
      </c>
      <c r="AN117" s="4" t="str">
        <f>IF(Q117="","-",Q117)</f>
        <v>-</v>
      </c>
      <c r="AO117" s="4" t="str">
        <f>IF(R117="","-",R117)</f>
        <v>-</v>
      </c>
      <c r="AP117" s="4" t="s">
        <v>408</v>
      </c>
      <c r="AQ117" s="4" t="s">
        <v>706</v>
      </c>
      <c r="AR117" s="4"/>
      <c r="AS117" s="4"/>
      <c r="AT117" s="4" t="s">
        <v>705</v>
      </c>
      <c r="AU117" s="4">
        <v>644</v>
      </c>
      <c r="AV117" s="4">
        <f t="shared" si="31"/>
        <v>644</v>
      </c>
      <c r="AW117" s="19">
        <v>4</v>
      </c>
      <c r="AX117" s="19">
        <v>1</v>
      </c>
      <c r="AY117" s="16">
        <v>19</v>
      </c>
      <c r="AZ117">
        <v>4560</v>
      </c>
      <c r="BA117">
        <f>IFERROR(AZ117*AL117,"-")</f>
        <v>4910.7692307692305</v>
      </c>
      <c r="BB117">
        <v>488</v>
      </c>
      <c r="BC117">
        <f>IFERROR(BB117*AL117,"-")</f>
        <v>525.53846153846155</v>
      </c>
      <c r="BD117" t="s">
        <v>432</v>
      </c>
    </row>
    <row r="118" spans="1:56" x14ac:dyDescent="0.4">
      <c r="A118" s="3">
        <v>152</v>
      </c>
      <c r="B118" s="3">
        <v>152</v>
      </c>
      <c r="C118" s="4">
        <v>389733</v>
      </c>
      <c r="D118" s="4" t="str">
        <f t="shared" si="17"/>
        <v>389733</v>
      </c>
      <c r="E118" s="4">
        <v>389733</v>
      </c>
      <c r="F118" s="4" t="s">
        <v>258</v>
      </c>
      <c r="G118" s="5">
        <v>4535627101947</v>
      </c>
      <c r="H118" s="5"/>
      <c r="I118" s="5"/>
      <c r="J118" s="5">
        <v>1</v>
      </c>
      <c r="K118" s="5">
        <v>1</v>
      </c>
      <c r="L118" s="4">
        <v>640</v>
      </c>
      <c r="M118" s="4">
        <v>358</v>
      </c>
      <c r="N118" s="4">
        <v>243</v>
      </c>
      <c r="O118" s="6">
        <f t="shared" si="18"/>
        <v>0.32122905027932958</v>
      </c>
      <c r="P118" s="4" t="s">
        <v>699</v>
      </c>
      <c r="Q118" s="4" t="s">
        <v>699</v>
      </c>
      <c r="R118" s="4" t="s">
        <v>699</v>
      </c>
      <c r="S118" s="4">
        <v>700</v>
      </c>
      <c r="T118" s="4">
        <f t="shared" si="19"/>
        <v>700</v>
      </c>
      <c r="U118" s="4">
        <v>266</v>
      </c>
      <c r="V118" s="4">
        <f t="shared" si="20"/>
        <v>266</v>
      </c>
      <c r="W118" s="4"/>
      <c r="X118" s="21">
        <f t="shared" si="21"/>
        <v>392</v>
      </c>
      <c r="Y118" s="6">
        <f t="shared" si="22"/>
        <v>0.3214285714285714</v>
      </c>
      <c r="Z118" s="33">
        <v>10.75</v>
      </c>
      <c r="AA118" s="4">
        <f t="shared" si="23"/>
        <v>640</v>
      </c>
      <c r="AB118" s="33">
        <f t="shared" si="24"/>
        <v>700.57613168724276</v>
      </c>
      <c r="AC118" s="6">
        <f t="shared" si="25"/>
        <v>0.62031250000000004</v>
      </c>
      <c r="AD118" s="7">
        <v>425</v>
      </c>
      <c r="AE118" s="6">
        <f t="shared" si="26"/>
        <v>0.37411764705882355</v>
      </c>
      <c r="AF118" s="4">
        <f t="shared" si="27"/>
        <v>159</v>
      </c>
      <c r="AG118" s="28"/>
      <c r="AH118" s="6"/>
      <c r="AI118" s="6"/>
      <c r="AJ118" s="6">
        <f t="shared" si="28"/>
        <v>1.09375</v>
      </c>
      <c r="AK118" s="6">
        <f t="shared" si="29"/>
        <v>1.1871508379888269</v>
      </c>
      <c r="AL118" s="6">
        <f t="shared" si="30"/>
        <v>1.0946502057613168</v>
      </c>
      <c r="AM118" s="4" t="str">
        <f t="shared" si="34"/>
        <v>-</v>
      </c>
      <c r="AN118" s="4" t="str">
        <f>IF(Q118="","-",Q118)</f>
        <v>-</v>
      </c>
      <c r="AO118" s="4" t="str">
        <f>IF(R118="","-",R118)</f>
        <v>-</v>
      </c>
      <c r="AP118" s="4" t="s">
        <v>407</v>
      </c>
      <c r="AQ118" s="4" t="s">
        <v>881</v>
      </c>
      <c r="AR118" s="4"/>
      <c r="AS118" s="4"/>
      <c r="AT118" s="4" t="s">
        <v>705</v>
      </c>
      <c r="AU118" s="4">
        <v>640</v>
      </c>
      <c r="AV118" s="4">
        <f t="shared" si="31"/>
        <v>640</v>
      </c>
      <c r="AW118" s="19">
        <v>4</v>
      </c>
      <c r="AX118" s="19">
        <v>1</v>
      </c>
      <c r="AY118" s="16">
        <v>19</v>
      </c>
      <c r="AZ118">
        <v>340</v>
      </c>
      <c r="BA118">
        <f>IFERROR(AZ118*AL118,"-")</f>
        <v>372.18106995884773</v>
      </c>
      <c r="BB118">
        <v>480</v>
      </c>
      <c r="BC118">
        <f>IFERROR(BB118*AL118,"-")</f>
        <v>525.4320987654321</v>
      </c>
      <c r="BD118" t="s">
        <v>569</v>
      </c>
    </row>
    <row r="119" spans="1:56" x14ac:dyDescent="0.4">
      <c r="A119" s="3">
        <v>163</v>
      </c>
      <c r="B119" s="3">
        <v>163</v>
      </c>
      <c r="C119" s="4">
        <v>528039</v>
      </c>
      <c r="D119" s="4" t="str">
        <f t="shared" si="17"/>
        <v>528039</v>
      </c>
      <c r="E119" s="4">
        <v>528039</v>
      </c>
      <c r="F119" s="4" t="s">
        <v>269</v>
      </c>
      <c r="G119" s="5">
        <v>4535627101909</v>
      </c>
      <c r="H119" s="5"/>
      <c r="I119" s="5"/>
      <c r="J119" s="5">
        <v>1</v>
      </c>
      <c r="K119" s="5">
        <v>1</v>
      </c>
      <c r="L119" s="4">
        <v>640</v>
      </c>
      <c r="M119" s="4">
        <v>358</v>
      </c>
      <c r="N119" s="4">
        <v>243</v>
      </c>
      <c r="O119" s="6">
        <f t="shared" si="18"/>
        <v>0.32122905027932958</v>
      </c>
      <c r="P119" s="4" t="s">
        <v>699</v>
      </c>
      <c r="Q119" s="4" t="s">
        <v>699</v>
      </c>
      <c r="R119" s="4" t="s">
        <v>699</v>
      </c>
      <c r="S119" s="4">
        <v>700</v>
      </c>
      <c r="T119" s="4">
        <f t="shared" si="19"/>
        <v>700</v>
      </c>
      <c r="U119" s="4">
        <v>266</v>
      </c>
      <c r="V119" s="4">
        <f t="shared" si="20"/>
        <v>266</v>
      </c>
      <c r="W119" s="4"/>
      <c r="X119" s="21">
        <f t="shared" si="21"/>
        <v>392</v>
      </c>
      <c r="Y119" s="6">
        <f t="shared" si="22"/>
        <v>0.3214285714285714</v>
      </c>
      <c r="Z119" s="33">
        <v>15.5</v>
      </c>
      <c r="AA119" s="4">
        <f t="shared" si="23"/>
        <v>466.5</v>
      </c>
      <c r="AB119" s="33">
        <f t="shared" si="24"/>
        <v>510.65432098765427</v>
      </c>
      <c r="AC119" s="6">
        <f t="shared" si="25"/>
        <v>0.47909967845659163</v>
      </c>
      <c r="AD119" s="7">
        <v>425</v>
      </c>
      <c r="AE119" s="6">
        <f t="shared" si="26"/>
        <v>0.37411764705882355</v>
      </c>
      <c r="AF119" s="4">
        <f t="shared" si="27"/>
        <v>159</v>
      </c>
      <c r="AG119" s="28"/>
      <c r="AH119" s="6"/>
      <c r="AI119" s="6"/>
      <c r="AJ119" s="6">
        <f t="shared" si="28"/>
        <v>1.09375</v>
      </c>
      <c r="AK119" s="6">
        <f t="shared" si="29"/>
        <v>1.1871508379888269</v>
      </c>
      <c r="AL119" s="6">
        <f t="shared" si="30"/>
        <v>1.0946502057613168</v>
      </c>
      <c r="AM119" s="4" t="str">
        <f t="shared" si="34"/>
        <v>-</v>
      </c>
      <c r="AN119" s="4" t="str">
        <f>IF(Q119="","-",Q119)</f>
        <v>-</v>
      </c>
      <c r="AO119" s="4" t="str">
        <f>IF(R119="","-",R119)</f>
        <v>-</v>
      </c>
      <c r="AP119" s="4" t="s">
        <v>407</v>
      </c>
      <c r="AQ119" s="4" t="s">
        <v>893</v>
      </c>
      <c r="AR119" s="4">
        <v>1</v>
      </c>
      <c r="AS119" s="4">
        <v>4</v>
      </c>
      <c r="AT119" s="4" t="s">
        <v>894</v>
      </c>
      <c r="AU119" s="4">
        <v>1866</v>
      </c>
      <c r="AV119" s="4">
        <f t="shared" si="31"/>
        <v>466.5</v>
      </c>
      <c r="AW119" s="19">
        <v>4</v>
      </c>
      <c r="AX119" s="19">
        <v>1</v>
      </c>
      <c r="AY119" s="16">
        <v>19</v>
      </c>
      <c r="AZ119">
        <v>340</v>
      </c>
      <c r="BA119">
        <f>IFERROR(AZ119*AL119,"-")</f>
        <v>372.18106995884773</v>
      </c>
      <c r="BB119">
        <v>480</v>
      </c>
      <c r="BC119">
        <f>IFERROR(BB119*AL119,"-")</f>
        <v>525.4320987654321</v>
      </c>
      <c r="BD119" t="s">
        <v>580</v>
      </c>
    </row>
    <row r="120" spans="1:56" x14ac:dyDescent="0.4">
      <c r="A120" s="3">
        <v>164</v>
      </c>
      <c r="B120" s="3">
        <v>164</v>
      </c>
      <c r="C120" s="4">
        <v>528048</v>
      </c>
      <c r="D120" s="4" t="str">
        <f t="shared" si="17"/>
        <v>528048</v>
      </c>
      <c r="E120" s="4">
        <v>528048</v>
      </c>
      <c r="F120" s="4" t="s">
        <v>270</v>
      </c>
      <c r="G120" s="5">
        <v>4535627101916</v>
      </c>
      <c r="H120" s="5"/>
      <c r="I120" s="5"/>
      <c r="J120" s="5">
        <v>1</v>
      </c>
      <c r="K120" s="5">
        <v>1</v>
      </c>
      <c r="L120" s="4">
        <v>640</v>
      </c>
      <c r="M120" s="4">
        <v>358</v>
      </c>
      <c r="N120" s="4">
        <v>243</v>
      </c>
      <c r="O120" s="6">
        <f t="shared" si="18"/>
        <v>0.32122905027932958</v>
      </c>
      <c r="P120" s="4" t="s">
        <v>699</v>
      </c>
      <c r="Q120" s="4" t="s">
        <v>699</v>
      </c>
      <c r="R120" s="4" t="s">
        <v>699</v>
      </c>
      <c r="S120" s="4">
        <v>700</v>
      </c>
      <c r="T120" s="4">
        <f t="shared" si="19"/>
        <v>700</v>
      </c>
      <c r="U120" s="4">
        <v>266</v>
      </c>
      <c r="V120" s="4">
        <f t="shared" si="20"/>
        <v>266</v>
      </c>
      <c r="W120" s="4"/>
      <c r="X120" s="21">
        <f t="shared" si="21"/>
        <v>392</v>
      </c>
      <c r="Y120" s="6">
        <f t="shared" si="22"/>
        <v>0.3214285714285714</v>
      </c>
      <c r="Z120" s="33">
        <v>6.5</v>
      </c>
      <c r="AA120" s="4">
        <f t="shared" si="23"/>
        <v>635</v>
      </c>
      <c r="AB120" s="33">
        <f t="shared" si="24"/>
        <v>695.10288065843611</v>
      </c>
      <c r="AC120" s="6">
        <f t="shared" si="25"/>
        <v>0.61732283464566917</v>
      </c>
      <c r="AD120" s="7">
        <v>425</v>
      </c>
      <c r="AE120" s="6">
        <f t="shared" si="26"/>
        <v>0.37411764705882355</v>
      </c>
      <c r="AF120" s="4">
        <f t="shared" si="27"/>
        <v>159</v>
      </c>
      <c r="AG120" s="28"/>
      <c r="AH120" s="6"/>
      <c r="AI120" s="6"/>
      <c r="AJ120" s="6">
        <f t="shared" si="28"/>
        <v>1.09375</v>
      </c>
      <c r="AK120" s="6">
        <f t="shared" si="29"/>
        <v>1.1871508379888269</v>
      </c>
      <c r="AL120" s="6">
        <f t="shared" si="30"/>
        <v>1.0946502057613168</v>
      </c>
      <c r="AM120" s="4" t="str">
        <f t="shared" si="34"/>
        <v>-</v>
      </c>
      <c r="AN120" s="4" t="str">
        <f>IF(Q120="","-",Q120)</f>
        <v>-</v>
      </c>
      <c r="AO120" s="4" t="str">
        <f>IF(R120="","-",R120)</f>
        <v>-</v>
      </c>
      <c r="AP120" s="4" t="s">
        <v>407</v>
      </c>
      <c r="AQ120" s="4" t="s">
        <v>895</v>
      </c>
      <c r="AR120" s="4"/>
      <c r="AS120" s="4"/>
      <c r="AT120" s="4" t="s">
        <v>705</v>
      </c>
      <c r="AU120" s="4">
        <v>635</v>
      </c>
      <c r="AV120" s="4">
        <f t="shared" si="31"/>
        <v>635</v>
      </c>
      <c r="AW120" s="19">
        <v>4</v>
      </c>
      <c r="AX120" s="19">
        <v>1</v>
      </c>
      <c r="AY120" s="16">
        <v>19</v>
      </c>
      <c r="AZ120">
        <v>340</v>
      </c>
      <c r="BA120">
        <f>IFERROR(AZ120*AL120,"-")</f>
        <v>372.18106995884773</v>
      </c>
      <c r="BB120">
        <v>480</v>
      </c>
      <c r="BC120">
        <f>IFERROR(BB120*AL120,"-")</f>
        <v>525.4320987654321</v>
      </c>
      <c r="BD120" t="s">
        <v>581</v>
      </c>
    </row>
    <row r="121" spans="1:56" x14ac:dyDescent="0.4">
      <c r="A121" s="3">
        <v>173</v>
      </c>
      <c r="B121" s="3">
        <v>173</v>
      </c>
      <c r="C121" s="4">
        <v>528057</v>
      </c>
      <c r="D121" s="4" t="str">
        <f t="shared" si="17"/>
        <v>528057</v>
      </c>
      <c r="E121" s="4">
        <v>528057</v>
      </c>
      <c r="F121" s="4" t="s">
        <v>279</v>
      </c>
      <c r="G121" s="5">
        <v>4535627101923</v>
      </c>
      <c r="H121" s="5"/>
      <c r="I121" s="5"/>
      <c r="J121" s="5">
        <v>1</v>
      </c>
      <c r="K121" s="5">
        <v>1</v>
      </c>
      <c r="L121" s="4">
        <v>640</v>
      </c>
      <c r="M121" s="4">
        <v>358</v>
      </c>
      <c r="N121" s="4">
        <v>243</v>
      </c>
      <c r="O121" s="6">
        <f t="shared" si="18"/>
        <v>0.32122905027932958</v>
      </c>
      <c r="P121" s="4" t="s">
        <v>699</v>
      </c>
      <c r="Q121" s="4" t="s">
        <v>699</v>
      </c>
      <c r="R121" s="4" t="s">
        <v>699</v>
      </c>
      <c r="S121" s="4">
        <v>700</v>
      </c>
      <c r="T121" s="4">
        <f t="shared" si="19"/>
        <v>700</v>
      </c>
      <c r="U121" s="4">
        <v>266</v>
      </c>
      <c r="V121" s="4">
        <f t="shared" si="20"/>
        <v>266</v>
      </c>
      <c r="W121" s="4"/>
      <c r="X121" s="21">
        <f t="shared" si="21"/>
        <v>392</v>
      </c>
      <c r="Y121" s="6">
        <f t="shared" si="22"/>
        <v>0.3214285714285714</v>
      </c>
      <c r="Z121" s="33">
        <v>3</v>
      </c>
      <c r="AA121" s="4">
        <f t="shared" si="23"/>
        <v>635</v>
      </c>
      <c r="AB121" s="33">
        <f t="shared" si="24"/>
        <v>695.10288065843611</v>
      </c>
      <c r="AC121" s="6">
        <f t="shared" si="25"/>
        <v>0.61732283464566917</v>
      </c>
      <c r="AD121" s="7">
        <v>425</v>
      </c>
      <c r="AE121" s="6">
        <f t="shared" si="26"/>
        <v>0.37411764705882355</v>
      </c>
      <c r="AF121" s="4">
        <f t="shared" si="27"/>
        <v>159</v>
      </c>
      <c r="AG121" s="28"/>
      <c r="AH121" s="6"/>
      <c r="AI121" s="6"/>
      <c r="AJ121" s="6">
        <f t="shared" si="28"/>
        <v>1.09375</v>
      </c>
      <c r="AK121" s="6">
        <f t="shared" si="29"/>
        <v>1.1871508379888269</v>
      </c>
      <c r="AL121" s="6">
        <f t="shared" si="30"/>
        <v>1.0946502057613168</v>
      </c>
      <c r="AM121" s="4" t="str">
        <f t="shared" si="34"/>
        <v>-</v>
      </c>
      <c r="AN121" s="4" t="str">
        <f>IF(Q121="","-",Q121)</f>
        <v>-</v>
      </c>
      <c r="AO121" s="4" t="str">
        <f>IF(R121="","-",R121)</f>
        <v>-</v>
      </c>
      <c r="AP121" s="4" t="s">
        <v>407</v>
      </c>
      <c r="AQ121" s="4" t="s">
        <v>904</v>
      </c>
      <c r="AR121" s="4"/>
      <c r="AS121" s="4"/>
      <c r="AT121" s="4" t="s">
        <v>705</v>
      </c>
      <c r="AU121" s="4">
        <v>635</v>
      </c>
      <c r="AV121" s="4">
        <f t="shared" si="31"/>
        <v>635</v>
      </c>
      <c r="AW121" s="19">
        <v>4</v>
      </c>
      <c r="AX121" s="19">
        <v>1</v>
      </c>
      <c r="AY121" s="16">
        <v>19</v>
      </c>
      <c r="AZ121">
        <v>340</v>
      </c>
      <c r="BA121">
        <f>IFERROR(AZ121*AL121,"-")</f>
        <v>372.18106995884773</v>
      </c>
      <c r="BB121">
        <v>480</v>
      </c>
      <c r="BC121">
        <f>IFERROR(BB121*AL121,"-")</f>
        <v>525.4320987654321</v>
      </c>
      <c r="BD121" t="s">
        <v>590</v>
      </c>
    </row>
    <row r="122" spans="1:56" x14ac:dyDescent="0.4">
      <c r="A122" s="3">
        <v>188</v>
      </c>
      <c r="B122" s="3">
        <v>188</v>
      </c>
      <c r="C122" s="4">
        <v>647410</v>
      </c>
      <c r="D122" s="4" t="str">
        <f t="shared" si="17"/>
        <v>647410</v>
      </c>
      <c r="E122" s="4">
        <v>647410</v>
      </c>
      <c r="F122" s="4" t="s">
        <v>294</v>
      </c>
      <c r="G122" s="5">
        <v>4535627101954</v>
      </c>
      <c r="H122" s="5"/>
      <c r="I122" s="5"/>
      <c r="J122" s="5">
        <v>1</v>
      </c>
      <c r="K122" s="5">
        <v>1</v>
      </c>
      <c r="L122" s="4">
        <v>640</v>
      </c>
      <c r="M122" s="4">
        <v>358</v>
      </c>
      <c r="N122" s="4">
        <v>243</v>
      </c>
      <c r="O122" s="6">
        <f t="shared" si="18"/>
        <v>0.32122905027932958</v>
      </c>
      <c r="P122" s="4" t="s">
        <v>699</v>
      </c>
      <c r="Q122" s="4" t="s">
        <v>699</v>
      </c>
      <c r="R122" s="4" t="s">
        <v>699</v>
      </c>
      <c r="S122" s="4">
        <v>700</v>
      </c>
      <c r="T122" s="4">
        <f t="shared" si="19"/>
        <v>700</v>
      </c>
      <c r="U122" s="4">
        <v>266</v>
      </c>
      <c r="V122" s="4">
        <f t="shared" si="20"/>
        <v>266</v>
      </c>
      <c r="W122" s="4"/>
      <c r="X122" s="21">
        <f t="shared" si="21"/>
        <v>392</v>
      </c>
      <c r="Y122" s="6">
        <f t="shared" si="22"/>
        <v>0.3214285714285714</v>
      </c>
      <c r="Z122" s="33">
        <v>5.75</v>
      </c>
      <c r="AA122" s="4">
        <f t="shared" si="23"/>
        <v>635</v>
      </c>
      <c r="AB122" s="33">
        <f t="shared" si="24"/>
        <v>695.10288065843611</v>
      </c>
      <c r="AC122" s="6">
        <f t="shared" si="25"/>
        <v>0.61732283464566917</v>
      </c>
      <c r="AD122" s="7">
        <v>440</v>
      </c>
      <c r="AE122" s="6">
        <f t="shared" si="26"/>
        <v>0.3954545454545455</v>
      </c>
      <c r="AF122" s="4">
        <f t="shared" si="27"/>
        <v>174</v>
      </c>
      <c r="AG122" s="28"/>
      <c r="AH122" s="6"/>
      <c r="AI122" s="6"/>
      <c r="AJ122" s="6">
        <f t="shared" si="28"/>
        <v>1.09375</v>
      </c>
      <c r="AK122" s="6">
        <f t="shared" si="29"/>
        <v>1.229050279329609</v>
      </c>
      <c r="AL122" s="6">
        <f t="shared" si="30"/>
        <v>1.0946502057613168</v>
      </c>
      <c r="AM122" s="4" t="str">
        <f t="shared" si="34"/>
        <v>-</v>
      </c>
      <c r="AN122" s="4" t="str">
        <f>IF(Q122="","-",Q122)</f>
        <v>-</v>
      </c>
      <c r="AO122" s="4" t="str">
        <f>IF(R122="","-",R122)</f>
        <v>-</v>
      </c>
      <c r="AP122" s="4" t="s">
        <v>407</v>
      </c>
      <c r="AQ122" s="4" t="s">
        <v>919</v>
      </c>
      <c r="AR122" s="4"/>
      <c r="AS122" s="4"/>
      <c r="AT122" s="4" t="s">
        <v>705</v>
      </c>
      <c r="AU122" s="4">
        <v>635</v>
      </c>
      <c r="AV122" s="4">
        <f t="shared" si="31"/>
        <v>635</v>
      </c>
      <c r="AW122" s="19">
        <v>4</v>
      </c>
      <c r="AX122" s="19">
        <v>1</v>
      </c>
      <c r="AY122" s="16">
        <v>19</v>
      </c>
      <c r="AZ122">
        <v>340</v>
      </c>
      <c r="BA122">
        <f>IFERROR(AZ122*AL122,"-")</f>
        <v>372.18106995884773</v>
      </c>
      <c r="BB122">
        <v>480</v>
      </c>
      <c r="BC122">
        <f>IFERROR(BB122*AL122,"-")</f>
        <v>525.4320987654321</v>
      </c>
      <c r="BD122" t="s">
        <v>604</v>
      </c>
    </row>
    <row r="123" spans="1:56" x14ac:dyDescent="0.4">
      <c r="A123" s="3">
        <v>128</v>
      </c>
      <c r="B123" s="3">
        <v>128</v>
      </c>
      <c r="C123" s="4">
        <v>196150</v>
      </c>
      <c r="D123" s="4" t="str">
        <f t="shared" si="17"/>
        <v>196150</v>
      </c>
      <c r="E123" s="4">
        <v>196150</v>
      </c>
      <c r="F123" s="4" t="s">
        <v>234</v>
      </c>
      <c r="G123" s="5">
        <v>4535627506360</v>
      </c>
      <c r="H123" s="5"/>
      <c r="I123" s="5"/>
      <c r="J123" s="5">
        <v>1</v>
      </c>
      <c r="K123" s="5">
        <v>1</v>
      </c>
      <c r="L123" s="4">
        <v>0</v>
      </c>
      <c r="M123" s="4">
        <v>358</v>
      </c>
      <c r="N123" s="4">
        <v>246</v>
      </c>
      <c r="O123" s="6">
        <f t="shared" si="18"/>
        <v>0.31284916201117319</v>
      </c>
      <c r="P123" s="4" t="s">
        <v>699</v>
      </c>
      <c r="Q123" s="4" t="s">
        <v>699</v>
      </c>
      <c r="R123" s="4" t="s">
        <v>699</v>
      </c>
      <c r="S123" s="4">
        <v>0</v>
      </c>
      <c r="T123" s="4">
        <f t="shared" si="19"/>
        <v>0</v>
      </c>
      <c r="U123" s="4">
        <v>271</v>
      </c>
      <c r="V123" s="4">
        <f t="shared" si="20"/>
        <v>271</v>
      </c>
      <c r="W123" s="4"/>
      <c r="X123" s="21">
        <f t="shared" si="21"/>
        <v>394</v>
      </c>
      <c r="Y123" s="6">
        <f t="shared" si="22"/>
        <v>0.31218274111675126</v>
      </c>
      <c r="Z123" s="33">
        <v>2.25</v>
      </c>
      <c r="AA123" s="4" t="str">
        <f t="shared" si="23"/>
        <v>-</v>
      </c>
      <c r="AB123" s="33" t="str">
        <f t="shared" si="24"/>
        <v>-</v>
      </c>
      <c r="AC123" s="6" t="str">
        <f t="shared" si="25"/>
        <v>-</v>
      </c>
      <c r="AD123" s="7">
        <v>428</v>
      </c>
      <c r="AE123" s="6">
        <f t="shared" si="26"/>
        <v>0.36682242990654201</v>
      </c>
      <c r="AF123" s="4">
        <f t="shared" si="27"/>
        <v>157</v>
      </c>
      <c r="AG123" s="28"/>
      <c r="AH123" s="6"/>
      <c r="AI123" s="6"/>
      <c r="AJ123" s="6" t="str">
        <f t="shared" si="28"/>
        <v>-</v>
      </c>
      <c r="AK123" s="6">
        <f t="shared" si="29"/>
        <v>1.1955307262569832</v>
      </c>
      <c r="AL123" s="6">
        <f t="shared" si="30"/>
        <v>1.1016260162601625</v>
      </c>
      <c r="AM123" s="4" t="str">
        <f t="shared" si="34"/>
        <v>-</v>
      </c>
      <c r="AN123" s="4" t="str">
        <f>IF(Q123="","-",Q123)</f>
        <v>-</v>
      </c>
      <c r="AO123" s="4" t="str">
        <f>IF(R123="","-",R123)</f>
        <v>-</v>
      </c>
      <c r="AP123" s="4">
        <v>0</v>
      </c>
      <c r="AQ123" s="4" t="s">
        <v>699</v>
      </c>
      <c r="AR123" s="4"/>
      <c r="AS123" s="4"/>
      <c r="AT123" s="4" t="s">
        <v>699</v>
      </c>
      <c r="AU123" s="4" t="s">
        <v>699</v>
      </c>
      <c r="AV123" s="4" t="str">
        <f t="shared" si="31"/>
        <v>-</v>
      </c>
      <c r="AW123" s="19">
        <v>4</v>
      </c>
      <c r="AX123" s="19">
        <v>1</v>
      </c>
      <c r="AY123" s="16">
        <v>19</v>
      </c>
      <c r="AZ123" t="s">
        <v>699</v>
      </c>
      <c r="BA123" t="str">
        <f>IFERROR(AZ123*AL123,"-")</f>
        <v>-</v>
      </c>
      <c r="BB123">
        <v>585</v>
      </c>
      <c r="BC123">
        <f>IFERROR(BB123*AL123,"-")</f>
        <v>644.45121951219505</v>
      </c>
      <c r="BD123" t="s">
        <v>699</v>
      </c>
    </row>
    <row r="124" spans="1:56" x14ac:dyDescent="0.4">
      <c r="A124" s="3">
        <v>133</v>
      </c>
      <c r="B124" s="3">
        <v>133</v>
      </c>
      <c r="C124" s="4">
        <v>196151</v>
      </c>
      <c r="D124" s="4" t="str">
        <f t="shared" si="17"/>
        <v>196151</v>
      </c>
      <c r="E124" s="4">
        <v>196151</v>
      </c>
      <c r="F124" s="4" t="s">
        <v>239</v>
      </c>
      <c r="G124" s="5">
        <v>4535627506353</v>
      </c>
      <c r="H124" s="5"/>
      <c r="I124" s="5"/>
      <c r="J124" s="5">
        <v>1</v>
      </c>
      <c r="K124" s="5">
        <v>1</v>
      </c>
      <c r="L124" s="4">
        <v>0</v>
      </c>
      <c r="M124" s="4">
        <v>358</v>
      </c>
      <c r="N124" s="4">
        <v>246</v>
      </c>
      <c r="O124" s="6">
        <f t="shared" si="18"/>
        <v>0.31284916201117319</v>
      </c>
      <c r="P124" s="4" t="s">
        <v>699</v>
      </c>
      <c r="Q124" s="4" t="s">
        <v>699</v>
      </c>
      <c r="R124" s="4" t="s">
        <v>699</v>
      </c>
      <c r="S124" s="4">
        <v>0</v>
      </c>
      <c r="T124" s="4">
        <f t="shared" si="19"/>
        <v>0</v>
      </c>
      <c r="U124" s="4">
        <v>271</v>
      </c>
      <c r="V124" s="4">
        <f t="shared" si="20"/>
        <v>271</v>
      </c>
      <c r="W124" s="4"/>
      <c r="X124" s="21">
        <f t="shared" si="21"/>
        <v>394</v>
      </c>
      <c r="Y124" s="6">
        <f t="shared" si="22"/>
        <v>0.31218274111675126</v>
      </c>
      <c r="Z124" s="33">
        <v>5</v>
      </c>
      <c r="AA124" s="4" t="str">
        <f t="shared" si="23"/>
        <v>-</v>
      </c>
      <c r="AB124" s="33" t="str">
        <f t="shared" si="24"/>
        <v>-</v>
      </c>
      <c r="AC124" s="6" t="str">
        <f t="shared" si="25"/>
        <v>-</v>
      </c>
      <c r="AD124" s="7">
        <v>428</v>
      </c>
      <c r="AE124" s="6">
        <f t="shared" si="26"/>
        <v>0.36682242990654201</v>
      </c>
      <c r="AF124" s="4">
        <f t="shared" si="27"/>
        <v>157</v>
      </c>
      <c r="AG124" s="28"/>
      <c r="AH124" s="6"/>
      <c r="AI124" s="6"/>
      <c r="AJ124" s="6" t="str">
        <f t="shared" si="28"/>
        <v>-</v>
      </c>
      <c r="AK124" s="6">
        <f t="shared" si="29"/>
        <v>1.1955307262569832</v>
      </c>
      <c r="AL124" s="6">
        <f t="shared" si="30"/>
        <v>1.1016260162601625</v>
      </c>
      <c r="AM124" s="4" t="str">
        <f t="shared" si="34"/>
        <v>-</v>
      </c>
      <c r="AN124" s="4" t="str">
        <f>IF(Q124="","-",Q124)</f>
        <v>-</v>
      </c>
      <c r="AO124" s="4" t="str">
        <f>IF(R124="","-",R124)</f>
        <v>-</v>
      </c>
      <c r="AP124" s="4">
        <v>0</v>
      </c>
      <c r="AQ124" s="4" t="s">
        <v>699</v>
      </c>
      <c r="AR124" s="4"/>
      <c r="AS124" s="4"/>
      <c r="AT124" s="4" t="s">
        <v>699</v>
      </c>
      <c r="AU124" s="4" t="s">
        <v>699</v>
      </c>
      <c r="AV124" s="4" t="str">
        <f t="shared" si="31"/>
        <v>-</v>
      </c>
      <c r="AW124" s="19">
        <v>4</v>
      </c>
      <c r="AX124" s="19">
        <v>1</v>
      </c>
      <c r="AY124" s="16">
        <v>19</v>
      </c>
      <c r="AZ124" t="s">
        <v>699</v>
      </c>
      <c r="BA124" t="str">
        <f>IFERROR(AZ124*AL124,"-")</f>
        <v>-</v>
      </c>
      <c r="BB124">
        <v>585</v>
      </c>
      <c r="BC124">
        <f>IFERROR(BB124*AL124,"-")</f>
        <v>644.45121951219505</v>
      </c>
      <c r="BD124" t="s">
        <v>699</v>
      </c>
    </row>
    <row r="125" spans="1:56" x14ac:dyDescent="0.4">
      <c r="A125" s="3">
        <v>75</v>
      </c>
      <c r="B125" s="3">
        <v>75</v>
      </c>
      <c r="C125" s="4">
        <v>112883</v>
      </c>
      <c r="D125" s="4" t="str">
        <f t="shared" si="17"/>
        <v>112883</v>
      </c>
      <c r="E125" s="4">
        <v>112883</v>
      </c>
      <c r="F125" s="4" t="s">
        <v>181</v>
      </c>
      <c r="G125" s="5">
        <v>4535627107451</v>
      </c>
      <c r="H125" s="5"/>
      <c r="I125" s="5"/>
      <c r="J125" s="5">
        <v>1</v>
      </c>
      <c r="K125" s="5">
        <v>1</v>
      </c>
      <c r="L125" s="4">
        <v>620</v>
      </c>
      <c r="M125" s="4">
        <v>358</v>
      </c>
      <c r="N125" s="4">
        <v>248</v>
      </c>
      <c r="O125" s="6">
        <f t="shared" si="18"/>
        <v>0.30726256983240219</v>
      </c>
      <c r="P125" s="4" t="s">
        <v>699</v>
      </c>
      <c r="Q125" s="4" t="s">
        <v>699</v>
      </c>
      <c r="R125" s="4" t="s">
        <v>699</v>
      </c>
      <c r="S125" s="4">
        <v>680</v>
      </c>
      <c r="T125" s="4">
        <f t="shared" si="19"/>
        <v>680</v>
      </c>
      <c r="U125" s="4">
        <v>272</v>
      </c>
      <c r="V125" s="4">
        <f t="shared" si="20"/>
        <v>272</v>
      </c>
      <c r="W125" s="4"/>
      <c r="X125" s="21">
        <f t="shared" si="21"/>
        <v>393</v>
      </c>
      <c r="Y125" s="6">
        <f t="shared" si="22"/>
        <v>0.30788804071246823</v>
      </c>
      <c r="Z125" s="33">
        <v>10.5</v>
      </c>
      <c r="AA125" s="4">
        <f t="shared" si="23"/>
        <v>544</v>
      </c>
      <c r="AB125" s="33">
        <f t="shared" si="24"/>
        <v>596.64516129032256</v>
      </c>
      <c r="AC125" s="6">
        <f t="shared" si="25"/>
        <v>0.54411764705882359</v>
      </c>
      <c r="AD125" s="7">
        <v>440</v>
      </c>
      <c r="AE125" s="6">
        <f t="shared" si="26"/>
        <v>0.38181818181818183</v>
      </c>
      <c r="AF125" s="4">
        <f t="shared" si="27"/>
        <v>168</v>
      </c>
      <c r="AG125" s="28"/>
      <c r="AH125" s="6"/>
      <c r="AI125" s="6"/>
      <c r="AJ125" s="6">
        <f t="shared" si="28"/>
        <v>1.096774193548387</v>
      </c>
      <c r="AK125" s="6">
        <f t="shared" si="29"/>
        <v>1.229050279329609</v>
      </c>
      <c r="AL125" s="6">
        <f t="shared" si="30"/>
        <v>1.096774193548387</v>
      </c>
      <c r="AM125" s="4" t="str">
        <f t="shared" si="34"/>
        <v>-</v>
      </c>
      <c r="AN125" s="4" t="str">
        <f>IF(Q125="","-",Q125)</f>
        <v>-</v>
      </c>
      <c r="AO125" s="4" t="str">
        <f>IF(R125="","-",R125)</f>
        <v>-</v>
      </c>
      <c r="AP125" s="4" t="s">
        <v>415</v>
      </c>
      <c r="AQ125" s="4" t="s">
        <v>782</v>
      </c>
      <c r="AR125" s="4"/>
      <c r="AS125" s="4"/>
      <c r="AT125" s="4" t="s">
        <v>783</v>
      </c>
      <c r="AU125" s="4">
        <v>544</v>
      </c>
      <c r="AV125" s="4">
        <f t="shared" si="31"/>
        <v>544</v>
      </c>
      <c r="AW125" s="19">
        <v>4</v>
      </c>
      <c r="AX125" s="19">
        <v>1</v>
      </c>
      <c r="AY125" s="16">
        <v>19</v>
      </c>
      <c r="AZ125" t="s">
        <v>699</v>
      </c>
      <c r="BA125" t="str">
        <f>IFERROR(AZ125*AL125,"-")</f>
        <v>-</v>
      </c>
      <c r="BB125">
        <v>411</v>
      </c>
      <c r="BC125">
        <f>IFERROR(BB125*AL125,"-")</f>
        <v>450.77419354838707</v>
      </c>
      <c r="BD125" t="s">
        <v>489</v>
      </c>
    </row>
    <row r="126" spans="1:56" x14ac:dyDescent="0.4">
      <c r="A126" s="3">
        <v>172</v>
      </c>
      <c r="B126" s="3">
        <v>172</v>
      </c>
      <c r="C126" s="4">
        <v>601592</v>
      </c>
      <c r="D126" s="4" t="str">
        <f t="shared" si="17"/>
        <v>601592</v>
      </c>
      <c r="E126" s="4">
        <v>601592</v>
      </c>
      <c r="F126" s="4" t="s">
        <v>278</v>
      </c>
      <c r="G126" s="5">
        <v>4535627101817</v>
      </c>
      <c r="H126" s="5"/>
      <c r="I126" s="5"/>
      <c r="J126" s="5">
        <v>1</v>
      </c>
      <c r="K126" s="5">
        <v>1</v>
      </c>
      <c r="L126" s="4">
        <v>620</v>
      </c>
      <c r="M126" s="4">
        <v>417</v>
      </c>
      <c r="N126" s="4">
        <v>248</v>
      </c>
      <c r="O126" s="6">
        <f t="shared" si="18"/>
        <v>0.40527577937649883</v>
      </c>
      <c r="P126" s="4" t="s">
        <v>699</v>
      </c>
      <c r="Q126" s="4" t="s">
        <v>699</v>
      </c>
      <c r="R126" s="4" t="s">
        <v>699</v>
      </c>
      <c r="S126" s="4">
        <v>680</v>
      </c>
      <c r="T126" s="4">
        <f t="shared" si="19"/>
        <v>680</v>
      </c>
      <c r="U126" s="4">
        <v>272</v>
      </c>
      <c r="V126" s="4">
        <f t="shared" si="20"/>
        <v>272</v>
      </c>
      <c r="W126" s="4"/>
      <c r="X126" s="21">
        <f t="shared" si="21"/>
        <v>457</v>
      </c>
      <c r="Y126" s="6">
        <f t="shared" si="22"/>
        <v>0.40481400437636761</v>
      </c>
      <c r="Z126" s="33">
        <v>8</v>
      </c>
      <c r="AA126" s="4">
        <f t="shared" si="23"/>
        <v>619</v>
      </c>
      <c r="AB126" s="33">
        <f t="shared" si="24"/>
        <v>678.90322580645159</v>
      </c>
      <c r="AC126" s="6">
        <f t="shared" si="25"/>
        <v>0.59935379644588038</v>
      </c>
      <c r="AD126" s="7">
        <v>450</v>
      </c>
      <c r="AE126" s="6">
        <f t="shared" si="26"/>
        <v>0.39555555555555555</v>
      </c>
      <c r="AF126" s="4">
        <f t="shared" si="27"/>
        <v>178</v>
      </c>
      <c r="AG126" s="28"/>
      <c r="AH126" s="6"/>
      <c r="AI126" s="6"/>
      <c r="AJ126" s="6">
        <f t="shared" si="28"/>
        <v>1.096774193548387</v>
      </c>
      <c r="AK126" s="6">
        <f t="shared" si="29"/>
        <v>1.079136690647482</v>
      </c>
      <c r="AL126" s="6">
        <f t="shared" si="30"/>
        <v>1.096774193548387</v>
      </c>
      <c r="AM126" s="4" t="str">
        <f t="shared" si="34"/>
        <v>-</v>
      </c>
      <c r="AN126" s="4" t="str">
        <f>IF(Q126="","-",Q126)</f>
        <v>-</v>
      </c>
      <c r="AO126" s="4" t="str">
        <f>IF(R126="","-",R126)</f>
        <v>-</v>
      </c>
      <c r="AP126" s="4" t="s">
        <v>411</v>
      </c>
      <c r="AQ126" s="4" t="s">
        <v>903</v>
      </c>
      <c r="AR126" s="4"/>
      <c r="AS126" s="4"/>
      <c r="AT126" s="4" t="s">
        <v>705</v>
      </c>
      <c r="AU126" s="4">
        <v>619</v>
      </c>
      <c r="AV126" s="4">
        <f t="shared" si="31"/>
        <v>619</v>
      </c>
      <c r="AW126" s="19">
        <v>4</v>
      </c>
      <c r="AX126" s="19">
        <v>1</v>
      </c>
      <c r="AY126" s="16">
        <v>19</v>
      </c>
      <c r="AZ126" t="s">
        <v>699</v>
      </c>
      <c r="BA126" t="str">
        <f>IFERROR(AZ126*AL126,"-")</f>
        <v>-</v>
      </c>
      <c r="BB126">
        <v>435</v>
      </c>
      <c r="BC126">
        <f>IFERROR(BB126*AL126,"-")</f>
        <v>477.09677419354836</v>
      </c>
      <c r="BD126" t="s">
        <v>589</v>
      </c>
    </row>
    <row r="127" spans="1:56" x14ac:dyDescent="0.4">
      <c r="A127" s="3">
        <v>79</v>
      </c>
      <c r="B127" s="3">
        <v>79</v>
      </c>
      <c r="C127" s="4">
        <v>112890</v>
      </c>
      <c r="D127" s="4" t="str">
        <f t="shared" si="17"/>
        <v>112890</v>
      </c>
      <c r="E127" s="4">
        <v>112890</v>
      </c>
      <c r="F127" s="4" t="s">
        <v>185</v>
      </c>
      <c r="G127" s="5">
        <v>4535627108847</v>
      </c>
      <c r="H127" s="5"/>
      <c r="I127" s="5"/>
      <c r="J127" s="5">
        <v>1</v>
      </c>
      <c r="K127" s="5">
        <v>1</v>
      </c>
      <c r="L127" s="4">
        <v>580</v>
      </c>
      <c r="M127" s="4">
        <v>419</v>
      </c>
      <c r="N127" s="4">
        <v>244</v>
      </c>
      <c r="O127" s="6">
        <f t="shared" si="18"/>
        <v>0.41766109785202865</v>
      </c>
      <c r="P127" s="4">
        <v>369</v>
      </c>
      <c r="Q127" s="4">
        <v>5</v>
      </c>
      <c r="R127" s="4">
        <v>99999</v>
      </c>
      <c r="S127" s="4">
        <v>650</v>
      </c>
      <c r="T127" s="4">
        <f t="shared" si="19"/>
        <v>650</v>
      </c>
      <c r="U127" s="4">
        <v>273</v>
      </c>
      <c r="V127" s="4">
        <f t="shared" si="20"/>
        <v>273</v>
      </c>
      <c r="W127" s="4"/>
      <c r="X127" s="21">
        <f t="shared" si="21"/>
        <v>469</v>
      </c>
      <c r="Y127" s="6">
        <f t="shared" si="22"/>
        <v>0.41791044776119401</v>
      </c>
      <c r="Z127" s="33">
        <v>8.25</v>
      </c>
      <c r="AA127" s="4">
        <f t="shared" si="23"/>
        <v>480</v>
      </c>
      <c r="AB127" s="33">
        <f t="shared" si="24"/>
        <v>537.04918032786884</v>
      </c>
      <c r="AC127" s="6">
        <f t="shared" si="25"/>
        <v>0.4916666666666667</v>
      </c>
      <c r="AD127" s="7">
        <v>430</v>
      </c>
      <c r="AE127" s="6">
        <f t="shared" si="26"/>
        <v>0.3651162790697674</v>
      </c>
      <c r="AF127" s="4">
        <f t="shared" si="27"/>
        <v>157</v>
      </c>
      <c r="AG127" s="28"/>
      <c r="AH127" s="6"/>
      <c r="AI127" s="6"/>
      <c r="AJ127" s="6">
        <f t="shared" si="28"/>
        <v>1.1206896551724137</v>
      </c>
      <c r="AK127" s="6">
        <f t="shared" si="29"/>
        <v>1.0262529832935561</v>
      </c>
      <c r="AL127" s="6">
        <f t="shared" si="30"/>
        <v>1.1188524590163935</v>
      </c>
      <c r="AM127" s="4">
        <v>419</v>
      </c>
      <c r="AN127" s="4">
        <f>IF(Q127="","-",Q127)</f>
        <v>5</v>
      </c>
      <c r="AO127" s="4">
        <f>IF(R127="","-",R127)</f>
        <v>99999</v>
      </c>
      <c r="AP127" s="4" t="s">
        <v>414</v>
      </c>
      <c r="AQ127" s="4" t="s">
        <v>788</v>
      </c>
      <c r="AR127" s="4"/>
      <c r="AS127" s="4"/>
      <c r="AT127" s="4" t="s">
        <v>789</v>
      </c>
      <c r="AU127" s="4">
        <v>480</v>
      </c>
      <c r="AV127" s="4">
        <f t="shared" si="31"/>
        <v>480</v>
      </c>
      <c r="AW127" s="19">
        <v>4</v>
      </c>
      <c r="AX127" s="19">
        <v>1</v>
      </c>
      <c r="AY127" s="16">
        <v>19</v>
      </c>
      <c r="AZ127">
        <v>375</v>
      </c>
      <c r="BA127">
        <f>IFERROR(AZ127*AL127,"-")</f>
        <v>419.56967213114757</v>
      </c>
      <c r="BB127">
        <v>498</v>
      </c>
      <c r="BC127">
        <f>IFERROR(BB127*AL127,"-")</f>
        <v>557.18852459016398</v>
      </c>
      <c r="BD127" t="s">
        <v>493</v>
      </c>
    </row>
    <row r="128" spans="1:56" x14ac:dyDescent="0.4">
      <c r="A128" s="3">
        <v>134</v>
      </c>
      <c r="B128" s="3">
        <v>134</v>
      </c>
      <c r="C128" s="4">
        <v>328839</v>
      </c>
      <c r="D128" s="4" t="str">
        <f t="shared" si="17"/>
        <v>328839</v>
      </c>
      <c r="E128" s="4">
        <v>328839</v>
      </c>
      <c r="F128" s="4" t="s">
        <v>240</v>
      </c>
      <c r="G128" s="5">
        <v>4535627600501</v>
      </c>
      <c r="H128" s="5"/>
      <c r="I128" s="5"/>
      <c r="J128" s="5">
        <v>1</v>
      </c>
      <c r="K128" s="5">
        <v>1</v>
      </c>
      <c r="L128" s="4">
        <v>580</v>
      </c>
      <c r="M128" s="4">
        <v>511</v>
      </c>
      <c r="N128" s="4">
        <v>244</v>
      </c>
      <c r="O128" s="6">
        <f t="shared" si="18"/>
        <v>0.52250489236790609</v>
      </c>
      <c r="P128" s="4" t="s">
        <v>699</v>
      </c>
      <c r="Q128" s="4" t="s">
        <v>699</v>
      </c>
      <c r="R128" s="4" t="s">
        <v>699</v>
      </c>
      <c r="S128" s="4">
        <v>650</v>
      </c>
      <c r="T128" s="4">
        <f t="shared" si="19"/>
        <v>650</v>
      </c>
      <c r="U128" s="4">
        <v>273</v>
      </c>
      <c r="V128" s="4">
        <f t="shared" si="20"/>
        <v>273</v>
      </c>
      <c r="W128" s="4"/>
      <c r="X128" s="21">
        <f t="shared" si="21"/>
        <v>572</v>
      </c>
      <c r="Y128" s="6">
        <f t="shared" si="22"/>
        <v>0.52272727272727271</v>
      </c>
      <c r="Z128" s="33">
        <v>20.25</v>
      </c>
      <c r="AA128" s="4">
        <f t="shared" si="23"/>
        <v>517</v>
      </c>
      <c r="AB128" s="33">
        <f t="shared" si="24"/>
        <v>578.44672131147547</v>
      </c>
      <c r="AC128" s="6">
        <f t="shared" si="25"/>
        <v>0.52804642166344307</v>
      </c>
      <c r="AD128" s="7">
        <v>518</v>
      </c>
      <c r="AE128" s="6">
        <f t="shared" si="26"/>
        <v>0.47297297297297303</v>
      </c>
      <c r="AF128" s="4">
        <f t="shared" si="27"/>
        <v>245</v>
      </c>
      <c r="AG128" s="28"/>
      <c r="AH128" s="6"/>
      <c r="AI128" s="6"/>
      <c r="AJ128" s="6">
        <f t="shared" si="28"/>
        <v>1.1206896551724137</v>
      </c>
      <c r="AK128" s="6">
        <f t="shared" si="29"/>
        <v>1.0136986301369864</v>
      </c>
      <c r="AL128" s="6">
        <f t="shared" si="30"/>
        <v>1.1188524590163935</v>
      </c>
      <c r="AM128" s="4" t="str">
        <f>IFERROR(ROUND($AD128*P128/$M128,0),"-")</f>
        <v>-</v>
      </c>
      <c r="AN128" s="4" t="str">
        <f>IF(Q128="","-",Q128)</f>
        <v>-</v>
      </c>
      <c r="AO128" s="4" t="str">
        <f>IF(R128="","-",R128)</f>
        <v>-</v>
      </c>
      <c r="AP128" s="4" t="s">
        <v>420</v>
      </c>
      <c r="AQ128" s="4" t="s">
        <v>850</v>
      </c>
      <c r="AR128" s="4"/>
      <c r="AS128" s="4"/>
      <c r="AT128" s="4" t="s">
        <v>749</v>
      </c>
      <c r="AU128" s="4">
        <v>517</v>
      </c>
      <c r="AV128" s="4">
        <f t="shared" si="31"/>
        <v>517</v>
      </c>
      <c r="AW128" s="19">
        <v>4</v>
      </c>
      <c r="AX128" s="19">
        <v>1</v>
      </c>
      <c r="AY128" s="16">
        <v>19</v>
      </c>
      <c r="AZ128">
        <v>464</v>
      </c>
      <c r="BA128">
        <f>IFERROR(AZ128*AL128,"-")</f>
        <v>519.14754098360663</v>
      </c>
      <c r="BB128">
        <v>517</v>
      </c>
      <c r="BC128">
        <f>IFERROR(BB128*AL128,"-")</f>
        <v>578.44672131147547</v>
      </c>
      <c r="BD128" t="s">
        <v>546</v>
      </c>
    </row>
    <row r="129" spans="1:56" x14ac:dyDescent="0.4">
      <c r="A129" s="3">
        <v>201</v>
      </c>
      <c r="B129" s="3">
        <v>201</v>
      </c>
      <c r="C129" s="4">
        <v>650857</v>
      </c>
      <c r="D129" s="4" t="str">
        <f t="shared" si="17"/>
        <v>650857</v>
      </c>
      <c r="E129" s="4">
        <v>650857</v>
      </c>
      <c r="F129" s="4" t="s">
        <v>307</v>
      </c>
      <c r="G129" s="5">
        <v>4535627108878</v>
      </c>
      <c r="H129" s="5"/>
      <c r="I129" s="5"/>
      <c r="J129" s="5">
        <v>1</v>
      </c>
      <c r="K129" s="5">
        <v>1</v>
      </c>
      <c r="L129" s="4">
        <v>580</v>
      </c>
      <c r="M129" s="4">
        <v>419</v>
      </c>
      <c r="N129" s="4">
        <v>244</v>
      </c>
      <c r="O129" s="6">
        <f t="shared" si="18"/>
        <v>0.41766109785202865</v>
      </c>
      <c r="P129" s="4">
        <v>369</v>
      </c>
      <c r="Q129" s="4">
        <v>5</v>
      </c>
      <c r="R129" s="4">
        <v>99999</v>
      </c>
      <c r="S129" s="4">
        <v>650</v>
      </c>
      <c r="T129" s="4">
        <f t="shared" si="19"/>
        <v>650</v>
      </c>
      <c r="U129" s="4">
        <v>273</v>
      </c>
      <c r="V129" s="4">
        <f t="shared" si="20"/>
        <v>273</v>
      </c>
      <c r="W129" s="4"/>
      <c r="X129" s="21">
        <f t="shared" si="21"/>
        <v>469</v>
      </c>
      <c r="Y129" s="6">
        <f t="shared" si="22"/>
        <v>0.41791044776119401</v>
      </c>
      <c r="Z129" s="33">
        <v>6.25</v>
      </c>
      <c r="AA129" s="4">
        <f t="shared" si="23"/>
        <v>375</v>
      </c>
      <c r="AB129" s="33">
        <f t="shared" si="24"/>
        <v>419.56967213114757</v>
      </c>
      <c r="AC129" s="6">
        <f t="shared" si="25"/>
        <v>0.34933333333333338</v>
      </c>
      <c r="AD129" s="7">
        <v>419</v>
      </c>
      <c r="AE129" s="6">
        <f t="shared" si="26"/>
        <v>0.34844868735083534</v>
      </c>
      <c r="AF129" s="4">
        <f t="shared" si="27"/>
        <v>146</v>
      </c>
      <c r="AG129" s="28"/>
      <c r="AH129" s="6"/>
      <c r="AI129" s="6"/>
      <c r="AJ129" s="6">
        <f t="shared" si="28"/>
        <v>1.1206896551724137</v>
      </c>
      <c r="AK129" s="6">
        <f t="shared" si="29"/>
        <v>1</v>
      </c>
      <c r="AL129" s="6">
        <f t="shared" si="30"/>
        <v>1.1188524590163935</v>
      </c>
      <c r="AM129" s="4">
        <v>380</v>
      </c>
      <c r="AN129" s="4">
        <f>IF(Q129="","-",Q129)</f>
        <v>5</v>
      </c>
      <c r="AO129" s="4">
        <f>IF(R129="","-",R129)</f>
        <v>99999</v>
      </c>
      <c r="AP129" s="4" t="s">
        <v>414</v>
      </c>
      <c r="AQ129" s="4" t="s">
        <v>934</v>
      </c>
      <c r="AR129" s="4"/>
      <c r="AS129" s="4"/>
      <c r="AT129" s="4" t="s">
        <v>789</v>
      </c>
      <c r="AU129" s="4">
        <v>375</v>
      </c>
      <c r="AV129" s="4">
        <f t="shared" si="31"/>
        <v>375</v>
      </c>
      <c r="AW129" s="19">
        <v>4</v>
      </c>
      <c r="AX129" s="19">
        <v>1</v>
      </c>
      <c r="AY129" s="16">
        <v>19</v>
      </c>
      <c r="AZ129">
        <v>375</v>
      </c>
      <c r="BA129">
        <f>IFERROR(AZ129*AL129,"-")</f>
        <v>419.56967213114757</v>
      </c>
      <c r="BB129">
        <v>498</v>
      </c>
      <c r="BC129">
        <f>IFERROR(BB129*AL129,"-")</f>
        <v>557.18852459016398</v>
      </c>
      <c r="BD129" t="s">
        <v>617</v>
      </c>
    </row>
    <row r="130" spans="1:56" x14ac:dyDescent="0.4">
      <c r="A130" s="3">
        <v>202</v>
      </c>
      <c r="B130" s="3">
        <v>202</v>
      </c>
      <c r="C130" s="4">
        <v>650858</v>
      </c>
      <c r="D130" s="4" t="str">
        <f t="shared" si="17"/>
        <v>650858</v>
      </c>
      <c r="E130" s="4">
        <v>650858</v>
      </c>
      <c r="F130" s="4" t="s">
        <v>308</v>
      </c>
      <c r="G130" s="5">
        <v>4535627108892</v>
      </c>
      <c r="H130" s="5"/>
      <c r="I130" s="5"/>
      <c r="J130" s="5">
        <v>1</v>
      </c>
      <c r="K130" s="5">
        <v>1</v>
      </c>
      <c r="L130" s="4">
        <v>580</v>
      </c>
      <c r="M130" s="4">
        <v>419</v>
      </c>
      <c r="N130" s="4">
        <v>244</v>
      </c>
      <c r="O130" s="6">
        <f t="shared" si="18"/>
        <v>0.41766109785202865</v>
      </c>
      <c r="P130" s="4">
        <v>369</v>
      </c>
      <c r="Q130" s="4">
        <v>5</v>
      </c>
      <c r="R130" s="4">
        <v>99999</v>
      </c>
      <c r="S130" s="4">
        <v>650</v>
      </c>
      <c r="T130" s="4">
        <f t="shared" si="19"/>
        <v>650</v>
      </c>
      <c r="U130" s="4">
        <v>273</v>
      </c>
      <c r="V130" s="4">
        <f t="shared" si="20"/>
        <v>273</v>
      </c>
      <c r="W130" s="4"/>
      <c r="X130" s="21">
        <f t="shared" si="21"/>
        <v>469</v>
      </c>
      <c r="Y130" s="6">
        <f t="shared" si="22"/>
        <v>0.41791044776119401</v>
      </c>
      <c r="Z130" s="33">
        <v>1.7500000000000002</v>
      </c>
      <c r="AA130" s="4">
        <f t="shared" si="23"/>
        <v>375</v>
      </c>
      <c r="AB130" s="33">
        <f t="shared" si="24"/>
        <v>419.56967213114757</v>
      </c>
      <c r="AC130" s="6">
        <f t="shared" si="25"/>
        <v>0.34933333333333338</v>
      </c>
      <c r="AD130" s="7">
        <v>419</v>
      </c>
      <c r="AE130" s="6">
        <f t="shared" si="26"/>
        <v>0.34844868735083534</v>
      </c>
      <c r="AF130" s="4">
        <f t="shared" si="27"/>
        <v>146</v>
      </c>
      <c r="AG130" s="28"/>
      <c r="AH130" s="6"/>
      <c r="AI130" s="6"/>
      <c r="AJ130" s="6">
        <f t="shared" si="28"/>
        <v>1.1206896551724137</v>
      </c>
      <c r="AK130" s="6">
        <f t="shared" si="29"/>
        <v>1</v>
      </c>
      <c r="AL130" s="6">
        <f t="shared" si="30"/>
        <v>1.1188524590163935</v>
      </c>
      <c r="AM130" s="4">
        <v>380</v>
      </c>
      <c r="AN130" s="4">
        <f>IF(Q130="","-",Q130)</f>
        <v>5</v>
      </c>
      <c r="AO130" s="4">
        <f>IF(R130="","-",R130)</f>
        <v>99999</v>
      </c>
      <c r="AP130" s="4" t="s">
        <v>414</v>
      </c>
      <c r="AQ130" s="4" t="s">
        <v>935</v>
      </c>
      <c r="AR130" s="4"/>
      <c r="AS130" s="4"/>
      <c r="AT130" s="4" t="s">
        <v>789</v>
      </c>
      <c r="AU130" s="4">
        <v>375</v>
      </c>
      <c r="AV130" s="4">
        <f t="shared" si="31"/>
        <v>375</v>
      </c>
      <c r="AW130" s="19">
        <v>4</v>
      </c>
      <c r="AX130" s="19">
        <v>1</v>
      </c>
      <c r="AY130" s="16">
        <v>19</v>
      </c>
      <c r="AZ130">
        <v>375</v>
      </c>
      <c r="BA130">
        <f>IFERROR(AZ130*AL130,"-")</f>
        <v>419.56967213114757</v>
      </c>
      <c r="BB130">
        <v>498</v>
      </c>
      <c r="BC130">
        <f>IFERROR(BB130*AL130,"-")</f>
        <v>557.18852459016398</v>
      </c>
      <c r="BD130" t="s">
        <v>618</v>
      </c>
    </row>
    <row r="131" spans="1:56" x14ac:dyDescent="0.4">
      <c r="A131" s="3">
        <v>223</v>
      </c>
      <c r="B131" s="3">
        <v>223</v>
      </c>
      <c r="C131" s="4">
        <v>683774</v>
      </c>
      <c r="D131" s="4" t="str">
        <f t="shared" si="17"/>
        <v>683774</v>
      </c>
      <c r="E131" s="4">
        <v>683774</v>
      </c>
      <c r="F131" s="4" t="s">
        <v>329</v>
      </c>
      <c r="G131" s="5">
        <v>4535627108885</v>
      </c>
      <c r="H131" s="5"/>
      <c r="I131" s="5"/>
      <c r="J131" s="5">
        <v>1</v>
      </c>
      <c r="K131" s="5">
        <v>1</v>
      </c>
      <c r="L131" s="4">
        <v>580</v>
      </c>
      <c r="M131" s="4">
        <v>419</v>
      </c>
      <c r="N131" s="4">
        <v>244</v>
      </c>
      <c r="O131" s="6">
        <f t="shared" si="18"/>
        <v>0.41766109785202865</v>
      </c>
      <c r="P131" s="4">
        <v>369</v>
      </c>
      <c r="Q131" s="4">
        <v>5</v>
      </c>
      <c r="R131" s="4">
        <v>99999</v>
      </c>
      <c r="S131" s="4">
        <v>650</v>
      </c>
      <c r="T131" s="4">
        <f t="shared" si="19"/>
        <v>650</v>
      </c>
      <c r="U131" s="4">
        <v>273</v>
      </c>
      <c r="V131" s="4">
        <f t="shared" si="20"/>
        <v>273</v>
      </c>
      <c r="W131" s="4"/>
      <c r="X131" s="21">
        <f t="shared" si="21"/>
        <v>469</v>
      </c>
      <c r="Y131" s="6">
        <f t="shared" si="22"/>
        <v>0.41791044776119401</v>
      </c>
      <c r="Z131" s="33">
        <v>2.25</v>
      </c>
      <c r="AA131" s="4">
        <f t="shared" si="23"/>
        <v>417</v>
      </c>
      <c r="AB131" s="33">
        <f t="shared" si="24"/>
        <v>466.56147540983608</v>
      </c>
      <c r="AC131" s="6">
        <f t="shared" si="25"/>
        <v>0.4148681055155875</v>
      </c>
      <c r="AD131" s="7">
        <v>419</v>
      </c>
      <c r="AE131" s="6">
        <f t="shared" si="26"/>
        <v>0.34844868735083534</v>
      </c>
      <c r="AF131" s="4">
        <f t="shared" si="27"/>
        <v>146</v>
      </c>
      <c r="AG131" s="28"/>
      <c r="AH131" s="6"/>
      <c r="AI131" s="6"/>
      <c r="AJ131" s="6">
        <f t="shared" si="28"/>
        <v>1.1206896551724137</v>
      </c>
      <c r="AK131" s="6">
        <f t="shared" si="29"/>
        <v>1</v>
      </c>
      <c r="AL131" s="6">
        <f t="shared" si="30"/>
        <v>1.1188524590163935</v>
      </c>
      <c r="AM131" s="4">
        <v>380</v>
      </c>
      <c r="AN131" s="4">
        <f>IF(Q131="","-",Q131)</f>
        <v>5</v>
      </c>
      <c r="AO131" s="4">
        <f>IF(R131="","-",R131)</f>
        <v>99999</v>
      </c>
      <c r="AP131" s="4" t="s">
        <v>414</v>
      </c>
      <c r="AQ131" s="4" t="s">
        <v>963</v>
      </c>
      <c r="AR131" s="4"/>
      <c r="AS131" s="4"/>
      <c r="AT131" s="4" t="s">
        <v>789</v>
      </c>
      <c r="AU131" s="4">
        <v>417</v>
      </c>
      <c r="AV131" s="4">
        <f t="shared" si="31"/>
        <v>417</v>
      </c>
      <c r="AW131" s="19">
        <v>4</v>
      </c>
      <c r="AX131" s="19">
        <v>1</v>
      </c>
      <c r="AY131" s="16">
        <v>19</v>
      </c>
      <c r="AZ131">
        <v>375</v>
      </c>
      <c r="BA131">
        <f>IFERROR(AZ131*AL131,"-")</f>
        <v>419.56967213114757</v>
      </c>
      <c r="BB131">
        <v>498</v>
      </c>
      <c r="BC131">
        <f>IFERROR(BB131*AL131,"-")</f>
        <v>557.18852459016398</v>
      </c>
      <c r="BD131" t="s">
        <v>639</v>
      </c>
    </row>
    <row r="132" spans="1:56" x14ac:dyDescent="0.4">
      <c r="A132" s="3">
        <v>155</v>
      </c>
      <c r="B132" s="3">
        <v>155</v>
      </c>
      <c r="C132" s="4">
        <v>395489</v>
      </c>
      <c r="D132" s="4" t="str">
        <f t="shared" ref="D132:D195" si="35">TEXT(C132,"000000")</f>
        <v>395489</v>
      </c>
      <c r="E132" s="4">
        <v>395489</v>
      </c>
      <c r="F132" s="4" t="s">
        <v>261</v>
      </c>
      <c r="G132" s="5">
        <v>4535627109370</v>
      </c>
      <c r="H132" s="5"/>
      <c r="I132" s="5"/>
      <c r="J132" s="5">
        <v>1</v>
      </c>
      <c r="K132" s="5">
        <v>1</v>
      </c>
      <c r="L132" s="4">
        <v>570</v>
      </c>
      <c r="M132" s="4">
        <v>430</v>
      </c>
      <c r="N132" s="4">
        <v>240</v>
      </c>
      <c r="O132" s="6">
        <f t="shared" ref="O132:O195" si="36">IFERROR(1-N132/M132,"-")</f>
        <v>0.44186046511627908</v>
      </c>
      <c r="P132" s="4" t="s">
        <v>699</v>
      </c>
      <c r="Q132" s="4" t="s">
        <v>699</v>
      </c>
      <c r="R132" s="4" t="s">
        <v>699</v>
      </c>
      <c r="S132" s="4">
        <v>650</v>
      </c>
      <c r="T132" s="4">
        <f t="shared" ref="T132:T195" si="37">IF(W132="",S132,S132*W132)</f>
        <v>650</v>
      </c>
      <c r="U132" s="4">
        <v>274</v>
      </c>
      <c r="V132" s="4">
        <f t="shared" ref="V132:V195" si="38">IF(W132="",U132,U132*W132)</f>
        <v>274</v>
      </c>
      <c r="W132" s="4"/>
      <c r="X132" s="21">
        <f t="shared" ref="X132:X195" si="39">ROUND(M132*AL132,0)</f>
        <v>491</v>
      </c>
      <c r="Y132" s="6">
        <f t="shared" ref="Y132:Y195" si="40">IFERROR(1-V132/X132,"-")</f>
        <v>0.44195519348268841</v>
      </c>
      <c r="Z132" s="33">
        <v>4.75</v>
      </c>
      <c r="AA132" s="4">
        <f t="shared" ref="AA132:AA195" si="41">AV132</f>
        <v>417</v>
      </c>
      <c r="AB132" s="33">
        <f t="shared" ref="AB132:AB195" si="42">IFERROR(AA132*AL132,"-")</f>
        <v>476.07499999999999</v>
      </c>
      <c r="AC132" s="6">
        <f t="shared" ref="AC132:AC195" si="43">IFERROR(1-V132/AB132,"-")</f>
        <v>0.42446043165467628</v>
      </c>
      <c r="AD132" s="7">
        <v>470</v>
      </c>
      <c r="AE132" s="6">
        <f t="shared" ref="AE132:AE195" si="44">1-V132/AD132</f>
        <v>0.41702127659574473</v>
      </c>
      <c r="AF132" s="4">
        <f t="shared" ref="AF132:AF195" si="45">AD132-V132</f>
        <v>196</v>
      </c>
      <c r="AG132" s="28"/>
      <c r="AH132" s="6"/>
      <c r="AI132" s="6"/>
      <c r="AJ132" s="6">
        <f t="shared" ref="AJ132:AJ195" si="46">IFERROR(T132/L132,"-")</f>
        <v>1.1403508771929824</v>
      </c>
      <c r="AK132" s="6">
        <f t="shared" ref="AK132:AK195" si="47">IFERROR(AD132/M132,"-")</f>
        <v>1.0930232558139534</v>
      </c>
      <c r="AL132" s="6">
        <f t="shared" ref="AL132:AL195" si="48">IFERROR(V132/N132,"-")</f>
        <v>1.1416666666666666</v>
      </c>
      <c r="AM132" s="4" t="str">
        <f t="shared" ref="AM132:AM163" si="49">IFERROR(ROUND($AD132*P132/$M132,0),"-")</f>
        <v>-</v>
      </c>
      <c r="AN132" s="4" t="str">
        <f>IF(Q132="","-",Q132)</f>
        <v>-</v>
      </c>
      <c r="AO132" s="4" t="str">
        <f>IF(R132="","-",R132)</f>
        <v>-</v>
      </c>
      <c r="AP132" s="4" t="s">
        <v>422</v>
      </c>
      <c r="AQ132" s="4" t="s">
        <v>884</v>
      </c>
      <c r="AR132" s="4"/>
      <c r="AS132" s="4"/>
      <c r="AT132" s="4" t="s">
        <v>721</v>
      </c>
      <c r="AU132" s="4">
        <v>417</v>
      </c>
      <c r="AV132" s="4">
        <f t="shared" ref="AV132:AV195" si="50">IF(AR132="",AU132,AR132/AS132*AU132)</f>
        <v>417</v>
      </c>
      <c r="AW132" s="19">
        <v>4</v>
      </c>
      <c r="AX132" s="19">
        <v>1</v>
      </c>
      <c r="AY132" s="16">
        <v>19</v>
      </c>
      <c r="AZ132">
        <v>356</v>
      </c>
      <c r="BA132">
        <f>IFERROR(AZ132*AL132,"-")</f>
        <v>406.43333333333334</v>
      </c>
      <c r="BB132">
        <v>417</v>
      </c>
      <c r="BC132">
        <f>IFERROR(BB132*AL132,"-")</f>
        <v>476.07499999999999</v>
      </c>
      <c r="BD132" t="s">
        <v>572</v>
      </c>
    </row>
    <row r="133" spans="1:56" x14ac:dyDescent="0.4">
      <c r="A133" s="3">
        <v>156</v>
      </c>
      <c r="B133" s="3">
        <v>156</v>
      </c>
      <c r="C133" s="4">
        <v>395490</v>
      </c>
      <c r="D133" s="4" t="str">
        <f t="shared" si="35"/>
        <v>395490</v>
      </c>
      <c r="E133" s="4">
        <v>395490</v>
      </c>
      <c r="F133" s="4" t="s">
        <v>262</v>
      </c>
      <c r="G133" s="5">
        <v>4535627109387</v>
      </c>
      <c r="H133" s="5"/>
      <c r="I133" s="5"/>
      <c r="J133" s="5">
        <v>1</v>
      </c>
      <c r="K133" s="5">
        <v>1</v>
      </c>
      <c r="L133" s="4">
        <v>570</v>
      </c>
      <c r="M133" s="4">
        <v>430</v>
      </c>
      <c r="N133" s="4">
        <v>240</v>
      </c>
      <c r="O133" s="6">
        <f t="shared" si="36"/>
        <v>0.44186046511627908</v>
      </c>
      <c r="P133" s="4" t="s">
        <v>699</v>
      </c>
      <c r="Q133" s="4" t="s">
        <v>699</v>
      </c>
      <c r="R133" s="4" t="s">
        <v>699</v>
      </c>
      <c r="S133" s="4">
        <v>650</v>
      </c>
      <c r="T133" s="4">
        <f t="shared" si="37"/>
        <v>650</v>
      </c>
      <c r="U133" s="4">
        <v>274</v>
      </c>
      <c r="V133" s="4">
        <f t="shared" si="38"/>
        <v>274</v>
      </c>
      <c r="W133" s="4"/>
      <c r="X133" s="21">
        <f t="shared" si="39"/>
        <v>491</v>
      </c>
      <c r="Y133" s="6">
        <f t="shared" si="40"/>
        <v>0.44195519348268841</v>
      </c>
      <c r="Z133" s="33">
        <v>0.75</v>
      </c>
      <c r="AA133" s="4">
        <f t="shared" si="41"/>
        <v>417</v>
      </c>
      <c r="AB133" s="33">
        <f t="shared" si="42"/>
        <v>476.07499999999999</v>
      </c>
      <c r="AC133" s="6">
        <f t="shared" si="43"/>
        <v>0.42446043165467628</v>
      </c>
      <c r="AD133" s="7">
        <v>470</v>
      </c>
      <c r="AE133" s="6">
        <f t="shared" si="44"/>
        <v>0.41702127659574473</v>
      </c>
      <c r="AF133" s="4">
        <f t="shared" si="45"/>
        <v>196</v>
      </c>
      <c r="AG133" s="28"/>
      <c r="AH133" s="6"/>
      <c r="AI133" s="6"/>
      <c r="AJ133" s="6">
        <f t="shared" si="46"/>
        <v>1.1403508771929824</v>
      </c>
      <c r="AK133" s="6">
        <f t="shared" si="47"/>
        <v>1.0930232558139534</v>
      </c>
      <c r="AL133" s="6">
        <f t="shared" si="48"/>
        <v>1.1416666666666666</v>
      </c>
      <c r="AM133" s="4" t="str">
        <f t="shared" si="49"/>
        <v>-</v>
      </c>
      <c r="AN133" s="4" t="str">
        <f>IF(Q133="","-",Q133)</f>
        <v>-</v>
      </c>
      <c r="AO133" s="4" t="str">
        <f>IF(R133="","-",R133)</f>
        <v>-</v>
      </c>
      <c r="AP133" s="4" t="s">
        <v>422</v>
      </c>
      <c r="AQ133" s="4" t="s">
        <v>885</v>
      </c>
      <c r="AR133" s="4"/>
      <c r="AS133" s="4"/>
      <c r="AT133" s="4" t="s">
        <v>721</v>
      </c>
      <c r="AU133" s="4">
        <v>417</v>
      </c>
      <c r="AV133" s="4">
        <f t="shared" si="50"/>
        <v>417</v>
      </c>
      <c r="AW133" s="19">
        <v>4</v>
      </c>
      <c r="AX133" s="19">
        <v>1</v>
      </c>
      <c r="AY133" s="16">
        <v>19</v>
      </c>
      <c r="AZ133">
        <v>356</v>
      </c>
      <c r="BA133">
        <f>IFERROR(AZ133*AL133,"-")</f>
        <v>406.43333333333334</v>
      </c>
      <c r="BB133">
        <v>417</v>
      </c>
      <c r="BC133">
        <f>IFERROR(BB133*AL133,"-")</f>
        <v>476.07499999999999</v>
      </c>
      <c r="BD133" t="s">
        <v>573</v>
      </c>
    </row>
    <row r="134" spans="1:56" x14ac:dyDescent="0.4">
      <c r="A134" s="3">
        <v>267</v>
      </c>
      <c r="B134" s="3">
        <v>267</v>
      </c>
      <c r="C134" s="4" t="s">
        <v>90</v>
      </c>
      <c r="D134" s="4" t="str">
        <f t="shared" si="35"/>
        <v>J742GJ</v>
      </c>
      <c r="E134" s="4" t="s">
        <v>90</v>
      </c>
      <c r="F134" s="4" t="s">
        <v>373</v>
      </c>
      <c r="G134" s="5">
        <v>4535627109134</v>
      </c>
      <c r="H134" s="5"/>
      <c r="I134" s="5"/>
      <c r="J134" s="5">
        <v>1</v>
      </c>
      <c r="K134" s="5">
        <v>1</v>
      </c>
      <c r="L134" s="4">
        <v>670</v>
      </c>
      <c r="M134" s="4">
        <v>418</v>
      </c>
      <c r="N134" s="4">
        <v>268</v>
      </c>
      <c r="O134" s="6">
        <f t="shared" si="36"/>
        <v>0.35885167464114831</v>
      </c>
      <c r="P134" s="4" t="s">
        <v>699</v>
      </c>
      <c r="Q134" s="4" t="s">
        <v>699</v>
      </c>
      <c r="R134" s="4" t="s">
        <v>699</v>
      </c>
      <c r="S134" s="4">
        <v>700</v>
      </c>
      <c r="T134" s="4">
        <f t="shared" si="37"/>
        <v>700</v>
      </c>
      <c r="U134" s="4">
        <v>280</v>
      </c>
      <c r="V134" s="4">
        <f t="shared" si="38"/>
        <v>280</v>
      </c>
      <c r="W134" s="4"/>
      <c r="X134" s="21">
        <f t="shared" si="39"/>
        <v>437</v>
      </c>
      <c r="Y134" s="6">
        <f t="shared" si="40"/>
        <v>0.3592677345537757</v>
      </c>
      <c r="Z134" s="33">
        <v>0.5</v>
      </c>
      <c r="AA134" s="4">
        <f t="shared" si="41"/>
        <v>464</v>
      </c>
      <c r="AB134" s="33">
        <f t="shared" si="42"/>
        <v>484.77611940298505</v>
      </c>
      <c r="AC134" s="6">
        <f t="shared" si="43"/>
        <v>0.42241379310344829</v>
      </c>
      <c r="AD134" s="7">
        <v>450</v>
      </c>
      <c r="AE134" s="6">
        <f t="shared" si="44"/>
        <v>0.37777777777777777</v>
      </c>
      <c r="AF134" s="4">
        <f t="shared" si="45"/>
        <v>170</v>
      </c>
      <c r="AG134" s="28"/>
      <c r="AH134" s="6"/>
      <c r="AI134" s="6"/>
      <c r="AJ134" s="6">
        <f t="shared" si="46"/>
        <v>1.044776119402985</v>
      </c>
      <c r="AK134" s="6">
        <f t="shared" si="47"/>
        <v>1.0765550239234449</v>
      </c>
      <c r="AL134" s="6">
        <f t="shared" si="48"/>
        <v>1.044776119402985</v>
      </c>
      <c r="AM134" s="4" t="str">
        <f t="shared" si="49"/>
        <v>-</v>
      </c>
      <c r="AN134" s="4" t="str">
        <f>IF(Q134="","-",Q134)</f>
        <v>-</v>
      </c>
      <c r="AO134" s="4" t="str">
        <f>IF(R134="","-",R134)</f>
        <v>-</v>
      </c>
      <c r="AP134" s="4" t="s">
        <v>421</v>
      </c>
      <c r="AQ134" s="4" t="s">
        <v>1011</v>
      </c>
      <c r="AR134" s="4"/>
      <c r="AS134" s="4"/>
      <c r="AT134" s="4" t="s">
        <v>721</v>
      </c>
      <c r="AU134" s="4">
        <v>464</v>
      </c>
      <c r="AV134" s="4">
        <f t="shared" si="50"/>
        <v>464</v>
      </c>
      <c r="AW134" s="19">
        <v>4</v>
      </c>
      <c r="AX134" s="19">
        <v>1</v>
      </c>
      <c r="AY134" s="16">
        <v>19</v>
      </c>
      <c r="AZ134">
        <v>416</v>
      </c>
      <c r="BA134">
        <f>IFERROR(AZ134*AL134,"-")</f>
        <v>434.62686567164178</v>
      </c>
      <c r="BB134">
        <v>503</v>
      </c>
      <c r="BC134">
        <f>IFERROR(BB134*AL134,"-")</f>
        <v>525.52238805970148</v>
      </c>
      <c r="BD134" t="s">
        <v>682</v>
      </c>
    </row>
    <row r="135" spans="1:56" x14ac:dyDescent="0.4">
      <c r="A135" s="3">
        <v>115</v>
      </c>
      <c r="B135" s="3">
        <v>115</v>
      </c>
      <c r="C135" s="4">
        <v>168832</v>
      </c>
      <c r="D135" s="4" t="str">
        <f t="shared" si="35"/>
        <v>168832</v>
      </c>
      <c r="E135" s="4">
        <v>168832</v>
      </c>
      <c r="F135" s="4" t="s">
        <v>221</v>
      </c>
      <c r="G135" s="5">
        <v>4535627882679</v>
      </c>
      <c r="H135" s="5"/>
      <c r="I135" s="5"/>
      <c r="J135" s="5">
        <v>1</v>
      </c>
      <c r="K135" s="5">
        <v>1</v>
      </c>
      <c r="L135" s="4">
        <v>650</v>
      </c>
      <c r="M135" s="4">
        <v>356</v>
      </c>
      <c r="N135" s="4">
        <v>273</v>
      </c>
      <c r="O135" s="6">
        <f t="shared" si="36"/>
        <v>0.2331460674157303</v>
      </c>
      <c r="P135" s="4" t="s">
        <v>699</v>
      </c>
      <c r="Q135" s="4" t="s">
        <v>699</v>
      </c>
      <c r="R135" s="4" t="s">
        <v>699</v>
      </c>
      <c r="S135" s="4">
        <v>0</v>
      </c>
      <c r="T135" s="4">
        <f t="shared" si="37"/>
        <v>0</v>
      </c>
      <c r="U135" s="4">
        <v>286</v>
      </c>
      <c r="V135" s="4">
        <f t="shared" si="38"/>
        <v>286</v>
      </c>
      <c r="W135" s="4"/>
      <c r="X135" s="21">
        <f t="shared" si="39"/>
        <v>373</v>
      </c>
      <c r="Y135" s="6">
        <f t="shared" si="40"/>
        <v>0.23324396782841827</v>
      </c>
      <c r="Z135" s="33">
        <v>0.75</v>
      </c>
      <c r="AA135" s="4">
        <f t="shared" si="41"/>
        <v>488</v>
      </c>
      <c r="AB135" s="33">
        <f t="shared" si="42"/>
        <v>511.23809523809524</v>
      </c>
      <c r="AC135" s="6">
        <f t="shared" si="43"/>
        <v>0.44057377049180324</v>
      </c>
      <c r="AD135" s="7">
        <v>450</v>
      </c>
      <c r="AE135" s="6">
        <f t="shared" si="44"/>
        <v>0.36444444444444446</v>
      </c>
      <c r="AF135" s="4">
        <f t="shared" si="45"/>
        <v>164</v>
      </c>
      <c r="AG135" s="28"/>
      <c r="AH135" s="6"/>
      <c r="AI135" s="6"/>
      <c r="AJ135" s="6">
        <f t="shared" si="46"/>
        <v>0</v>
      </c>
      <c r="AK135" s="6">
        <f t="shared" si="47"/>
        <v>1.2640449438202248</v>
      </c>
      <c r="AL135" s="6">
        <f t="shared" si="48"/>
        <v>1.0476190476190477</v>
      </c>
      <c r="AM135" s="4" t="str">
        <f t="shared" si="49"/>
        <v>-</v>
      </c>
      <c r="AN135" s="4" t="str">
        <f>IF(Q135="","-",Q135)</f>
        <v>-</v>
      </c>
      <c r="AO135" s="4" t="str">
        <f>IF(R135="","-",R135)</f>
        <v>-</v>
      </c>
      <c r="AP135" s="4">
        <v>0</v>
      </c>
      <c r="AQ135" s="4" t="s">
        <v>831</v>
      </c>
      <c r="AR135" s="4"/>
      <c r="AS135" s="4"/>
      <c r="AT135" s="4" t="s">
        <v>705</v>
      </c>
      <c r="AU135" s="4">
        <v>488</v>
      </c>
      <c r="AV135" s="4">
        <f t="shared" si="50"/>
        <v>488</v>
      </c>
      <c r="AW135" s="19">
        <v>4</v>
      </c>
      <c r="AX135" s="19">
        <v>1</v>
      </c>
      <c r="AY135" s="16">
        <v>19</v>
      </c>
      <c r="AZ135" t="s">
        <v>699</v>
      </c>
      <c r="BA135" t="str">
        <f>IFERROR(AZ135*AL135,"-")</f>
        <v>-</v>
      </c>
      <c r="BB135">
        <v>488</v>
      </c>
      <c r="BC135">
        <f>IFERROR(BB135*AL135,"-")</f>
        <v>511.23809523809524</v>
      </c>
      <c r="BD135" t="s">
        <v>529</v>
      </c>
    </row>
    <row r="136" spans="1:56" x14ac:dyDescent="0.4">
      <c r="A136" s="3">
        <v>277</v>
      </c>
      <c r="B136" s="3">
        <v>277</v>
      </c>
      <c r="C136" s="4" t="s">
        <v>100</v>
      </c>
      <c r="D136" s="4" t="str">
        <f t="shared" si="35"/>
        <v>J919RW</v>
      </c>
      <c r="E136" s="4" t="s">
        <v>100</v>
      </c>
      <c r="F136" s="4" t="s">
        <v>383</v>
      </c>
      <c r="G136" s="5">
        <v>4535627104856</v>
      </c>
      <c r="H136" s="5"/>
      <c r="I136" s="5"/>
      <c r="J136" s="5">
        <v>1</v>
      </c>
      <c r="K136" s="5">
        <v>1</v>
      </c>
      <c r="L136" s="4">
        <v>650</v>
      </c>
      <c r="M136" s="4">
        <v>344</v>
      </c>
      <c r="N136" s="4">
        <v>273</v>
      </c>
      <c r="O136" s="6">
        <f t="shared" si="36"/>
        <v>0.20639534883720934</v>
      </c>
      <c r="P136" s="4" t="s">
        <v>699</v>
      </c>
      <c r="Q136" s="4" t="s">
        <v>699</v>
      </c>
      <c r="R136" s="4" t="s">
        <v>699</v>
      </c>
      <c r="S136" s="4">
        <v>680</v>
      </c>
      <c r="T136" s="4">
        <f t="shared" si="37"/>
        <v>680</v>
      </c>
      <c r="U136" s="4">
        <v>286</v>
      </c>
      <c r="V136" s="4">
        <f t="shared" si="38"/>
        <v>286</v>
      </c>
      <c r="W136" s="4"/>
      <c r="X136" s="21">
        <f t="shared" si="39"/>
        <v>360</v>
      </c>
      <c r="Y136" s="6">
        <f t="shared" si="40"/>
        <v>0.2055555555555556</v>
      </c>
      <c r="Z136" s="33">
        <v>1</v>
      </c>
      <c r="AA136" s="4">
        <f t="shared" si="41"/>
        <v>585</v>
      </c>
      <c r="AB136" s="33">
        <f t="shared" si="42"/>
        <v>612.85714285714289</v>
      </c>
      <c r="AC136" s="6">
        <f t="shared" si="43"/>
        <v>0.53333333333333344</v>
      </c>
      <c r="AD136" s="7">
        <v>450</v>
      </c>
      <c r="AE136" s="6">
        <f t="shared" si="44"/>
        <v>0.36444444444444446</v>
      </c>
      <c r="AF136" s="4">
        <f t="shared" si="45"/>
        <v>164</v>
      </c>
      <c r="AG136" s="28"/>
      <c r="AH136" s="6"/>
      <c r="AI136" s="6"/>
      <c r="AJ136" s="6">
        <f t="shared" si="46"/>
        <v>1.0461538461538462</v>
      </c>
      <c r="AK136" s="6">
        <f t="shared" si="47"/>
        <v>1.308139534883721</v>
      </c>
      <c r="AL136" s="6">
        <f t="shared" si="48"/>
        <v>1.0476190476190477</v>
      </c>
      <c r="AM136" s="4" t="str">
        <f t="shared" si="49"/>
        <v>-</v>
      </c>
      <c r="AN136" s="4" t="str">
        <f>IF(Q136="","-",Q136)</f>
        <v>-</v>
      </c>
      <c r="AO136" s="4" t="str">
        <f>IF(R136="","-",R136)</f>
        <v>-</v>
      </c>
      <c r="AP136" s="4" t="s">
        <v>411</v>
      </c>
      <c r="AQ136" s="4" t="s">
        <v>1021</v>
      </c>
      <c r="AR136" s="4"/>
      <c r="AS136" s="4"/>
      <c r="AT136" s="4" t="s">
        <v>739</v>
      </c>
      <c r="AU136" s="4">
        <v>585</v>
      </c>
      <c r="AV136" s="4">
        <f t="shared" si="50"/>
        <v>585</v>
      </c>
      <c r="AW136" s="19">
        <v>4</v>
      </c>
      <c r="AX136" s="19">
        <v>1</v>
      </c>
      <c r="AY136" s="16">
        <v>19</v>
      </c>
      <c r="AZ136" t="s">
        <v>699</v>
      </c>
      <c r="BA136" t="str">
        <f>IFERROR(AZ136*AL136,"-")</f>
        <v>-</v>
      </c>
      <c r="BB136">
        <v>580</v>
      </c>
      <c r="BC136">
        <f>IFERROR(BB136*AL136,"-")</f>
        <v>607.61904761904771</v>
      </c>
      <c r="BD136" t="s">
        <v>692</v>
      </c>
    </row>
    <row r="137" spans="1:56" x14ac:dyDescent="0.4">
      <c r="A137" s="3">
        <v>123</v>
      </c>
      <c r="B137" s="3">
        <v>123</v>
      </c>
      <c r="C137" s="4">
        <v>193797</v>
      </c>
      <c r="D137" s="4" t="str">
        <f t="shared" si="35"/>
        <v>193797</v>
      </c>
      <c r="E137" s="4">
        <v>193797</v>
      </c>
      <c r="F137" s="4" t="s">
        <v>229</v>
      </c>
      <c r="G137" s="5">
        <v>4535627106294</v>
      </c>
      <c r="H137" s="5"/>
      <c r="I137" s="5"/>
      <c r="J137" s="5">
        <v>1</v>
      </c>
      <c r="K137" s="5">
        <v>1</v>
      </c>
      <c r="L137" s="4">
        <v>650</v>
      </c>
      <c r="M137" s="4">
        <v>406</v>
      </c>
      <c r="N137" s="4">
        <v>274</v>
      </c>
      <c r="O137" s="6">
        <f t="shared" si="36"/>
        <v>0.32512315270935965</v>
      </c>
      <c r="P137" s="4" t="s">
        <v>699</v>
      </c>
      <c r="Q137" s="4" t="s">
        <v>699</v>
      </c>
      <c r="R137" s="4" t="s">
        <v>699</v>
      </c>
      <c r="S137" s="4">
        <v>690</v>
      </c>
      <c r="T137" s="4">
        <f t="shared" si="37"/>
        <v>690</v>
      </c>
      <c r="U137" s="4">
        <v>291</v>
      </c>
      <c r="V137" s="4">
        <f t="shared" si="38"/>
        <v>291</v>
      </c>
      <c r="W137" s="4"/>
      <c r="X137" s="21">
        <f t="shared" si="39"/>
        <v>431</v>
      </c>
      <c r="Y137" s="6">
        <f t="shared" si="40"/>
        <v>0.32482598607888635</v>
      </c>
      <c r="Z137" s="33">
        <v>12.25</v>
      </c>
      <c r="AA137" s="4">
        <f t="shared" si="41"/>
        <v>397</v>
      </c>
      <c r="AB137" s="33">
        <f t="shared" si="42"/>
        <v>421.6313868613139</v>
      </c>
      <c r="AC137" s="6">
        <f t="shared" si="43"/>
        <v>0.30982367758186402</v>
      </c>
      <c r="AD137" s="7">
        <v>421</v>
      </c>
      <c r="AE137" s="6">
        <f t="shared" si="44"/>
        <v>0.30878859857482188</v>
      </c>
      <c r="AF137" s="4">
        <f t="shared" si="45"/>
        <v>130</v>
      </c>
      <c r="AG137" s="28"/>
      <c r="AH137" s="6"/>
      <c r="AI137" s="6"/>
      <c r="AJ137" s="6">
        <f t="shared" si="46"/>
        <v>1.0615384615384615</v>
      </c>
      <c r="AK137" s="6">
        <f t="shared" si="47"/>
        <v>1.0369458128078817</v>
      </c>
      <c r="AL137" s="6">
        <f t="shared" si="48"/>
        <v>1.062043795620438</v>
      </c>
      <c r="AM137" s="4" t="str">
        <f t="shared" si="49"/>
        <v>-</v>
      </c>
      <c r="AN137" s="4" t="str">
        <f>IF(Q137="","-",Q137)</f>
        <v>-</v>
      </c>
      <c r="AO137" s="4" t="str">
        <f>IF(R137="","-",R137)</f>
        <v>-</v>
      </c>
      <c r="AP137" s="4" t="s">
        <v>415</v>
      </c>
      <c r="AQ137" s="4" t="s">
        <v>840</v>
      </c>
      <c r="AR137" s="4"/>
      <c r="AS137" s="4"/>
      <c r="AT137" s="4" t="s">
        <v>721</v>
      </c>
      <c r="AU137" s="4">
        <v>397</v>
      </c>
      <c r="AV137" s="4">
        <f t="shared" si="50"/>
        <v>397</v>
      </c>
      <c r="AW137" s="19">
        <v>4</v>
      </c>
      <c r="AX137" s="19">
        <v>1</v>
      </c>
      <c r="AY137" s="16">
        <v>19</v>
      </c>
      <c r="AZ137" t="s">
        <v>699</v>
      </c>
      <c r="BA137" t="str">
        <f>IFERROR(AZ137*AL137,"-")</f>
        <v>-</v>
      </c>
      <c r="BB137">
        <v>472</v>
      </c>
      <c r="BC137">
        <f>IFERROR(BB137*AL137,"-")</f>
        <v>501.28467153284674</v>
      </c>
      <c r="BD137" t="s">
        <v>537</v>
      </c>
    </row>
    <row r="138" spans="1:56" x14ac:dyDescent="0.4">
      <c r="A138" s="3">
        <v>124</v>
      </c>
      <c r="B138" s="3">
        <v>124</v>
      </c>
      <c r="C138" s="4">
        <v>193798</v>
      </c>
      <c r="D138" s="4" t="str">
        <f t="shared" si="35"/>
        <v>193798</v>
      </c>
      <c r="E138" s="4">
        <v>193798</v>
      </c>
      <c r="F138" s="4" t="s">
        <v>230</v>
      </c>
      <c r="G138" s="5">
        <v>4535627106423</v>
      </c>
      <c r="H138" s="5"/>
      <c r="I138" s="5"/>
      <c r="J138" s="5">
        <v>1</v>
      </c>
      <c r="K138" s="5">
        <v>1</v>
      </c>
      <c r="L138" s="4">
        <v>650</v>
      </c>
      <c r="M138" s="4">
        <v>406</v>
      </c>
      <c r="N138" s="4">
        <v>274</v>
      </c>
      <c r="O138" s="6">
        <f t="shared" si="36"/>
        <v>0.32512315270935965</v>
      </c>
      <c r="P138" s="4" t="s">
        <v>699</v>
      </c>
      <c r="Q138" s="4" t="s">
        <v>699</v>
      </c>
      <c r="R138" s="4" t="s">
        <v>699</v>
      </c>
      <c r="S138" s="4">
        <v>690</v>
      </c>
      <c r="T138" s="4">
        <f t="shared" si="37"/>
        <v>690</v>
      </c>
      <c r="U138" s="4">
        <v>291</v>
      </c>
      <c r="V138" s="4">
        <f t="shared" si="38"/>
        <v>291</v>
      </c>
      <c r="W138" s="4"/>
      <c r="X138" s="21">
        <f t="shared" si="39"/>
        <v>431</v>
      </c>
      <c r="Y138" s="6">
        <f t="shared" si="40"/>
        <v>0.32482598607888635</v>
      </c>
      <c r="Z138" s="33">
        <v>4.75</v>
      </c>
      <c r="AA138" s="4">
        <f t="shared" si="41"/>
        <v>400</v>
      </c>
      <c r="AB138" s="33">
        <f t="shared" si="42"/>
        <v>424.81751824817525</v>
      </c>
      <c r="AC138" s="6">
        <f t="shared" si="43"/>
        <v>0.31500000000000006</v>
      </c>
      <c r="AD138" s="7">
        <v>421</v>
      </c>
      <c r="AE138" s="6">
        <f t="shared" si="44"/>
        <v>0.30878859857482188</v>
      </c>
      <c r="AF138" s="4">
        <f t="shared" si="45"/>
        <v>130</v>
      </c>
      <c r="AG138" s="28"/>
      <c r="AH138" s="6"/>
      <c r="AI138" s="6"/>
      <c r="AJ138" s="6">
        <f t="shared" si="46"/>
        <v>1.0615384615384615</v>
      </c>
      <c r="AK138" s="6">
        <f t="shared" si="47"/>
        <v>1.0369458128078817</v>
      </c>
      <c r="AL138" s="6">
        <f t="shared" si="48"/>
        <v>1.062043795620438</v>
      </c>
      <c r="AM138" s="4" t="str">
        <f t="shared" si="49"/>
        <v>-</v>
      </c>
      <c r="AN138" s="4" t="str">
        <f>IF(Q138="","-",Q138)</f>
        <v>-</v>
      </c>
      <c r="AO138" s="4" t="str">
        <f>IF(R138="","-",R138)</f>
        <v>-</v>
      </c>
      <c r="AP138" s="4" t="s">
        <v>415</v>
      </c>
      <c r="AQ138" s="4" t="s">
        <v>841</v>
      </c>
      <c r="AR138" s="4"/>
      <c r="AS138" s="4"/>
      <c r="AT138" s="4" t="s">
        <v>721</v>
      </c>
      <c r="AU138" s="4">
        <v>400</v>
      </c>
      <c r="AV138" s="4">
        <f t="shared" si="50"/>
        <v>400</v>
      </c>
      <c r="AW138" s="19">
        <v>4</v>
      </c>
      <c r="AX138" s="19">
        <v>1</v>
      </c>
      <c r="AY138" s="16">
        <v>19</v>
      </c>
      <c r="AZ138" t="s">
        <v>699</v>
      </c>
      <c r="BA138" t="str">
        <f>IFERROR(AZ138*AL138,"-")</f>
        <v>-</v>
      </c>
      <c r="BB138">
        <v>494</v>
      </c>
      <c r="BC138">
        <f>IFERROR(BB138*AL138,"-")</f>
        <v>524.64963503649642</v>
      </c>
      <c r="BD138" t="s">
        <v>538</v>
      </c>
    </row>
    <row r="139" spans="1:56" x14ac:dyDescent="0.4">
      <c r="A139" s="3">
        <v>222</v>
      </c>
      <c r="B139" s="3">
        <v>222</v>
      </c>
      <c r="C139" s="4">
        <v>681358</v>
      </c>
      <c r="D139" s="4" t="str">
        <f t="shared" si="35"/>
        <v>681358</v>
      </c>
      <c r="E139" s="4">
        <v>681358</v>
      </c>
      <c r="F139" s="4" t="s">
        <v>328</v>
      </c>
      <c r="G139" s="5">
        <v>4535627101848</v>
      </c>
      <c r="H139" s="5"/>
      <c r="I139" s="5"/>
      <c r="J139" s="5">
        <v>1</v>
      </c>
      <c r="K139" s="5">
        <v>1</v>
      </c>
      <c r="L139" s="4">
        <v>670</v>
      </c>
      <c r="M139" s="4">
        <v>444</v>
      </c>
      <c r="N139" s="4">
        <v>268</v>
      </c>
      <c r="O139" s="6">
        <f t="shared" si="36"/>
        <v>0.39639639639639634</v>
      </c>
      <c r="P139" s="4" t="s">
        <v>699</v>
      </c>
      <c r="Q139" s="4" t="s">
        <v>699</v>
      </c>
      <c r="R139" s="4" t="s">
        <v>699</v>
      </c>
      <c r="S139" s="4">
        <v>730</v>
      </c>
      <c r="T139" s="4">
        <f t="shared" si="37"/>
        <v>730</v>
      </c>
      <c r="U139" s="4">
        <v>292</v>
      </c>
      <c r="V139" s="4">
        <f t="shared" si="38"/>
        <v>292</v>
      </c>
      <c r="W139" s="4"/>
      <c r="X139" s="21">
        <f t="shared" si="39"/>
        <v>484</v>
      </c>
      <c r="Y139" s="6">
        <f t="shared" si="40"/>
        <v>0.39669421487603307</v>
      </c>
      <c r="Z139" s="33">
        <v>15.5</v>
      </c>
      <c r="AA139" s="4">
        <f t="shared" si="41"/>
        <v>426</v>
      </c>
      <c r="AB139" s="33">
        <f t="shared" si="42"/>
        <v>464.14925373134332</v>
      </c>
      <c r="AC139" s="6">
        <f t="shared" si="43"/>
        <v>0.37089201877934275</v>
      </c>
      <c r="AD139" s="7">
        <v>464</v>
      </c>
      <c r="AE139" s="6">
        <f t="shared" si="44"/>
        <v>0.37068965517241381</v>
      </c>
      <c r="AF139" s="4">
        <f t="shared" si="45"/>
        <v>172</v>
      </c>
      <c r="AG139" s="28"/>
      <c r="AH139" s="6"/>
      <c r="AI139" s="6"/>
      <c r="AJ139" s="6">
        <f t="shared" si="46"/>
        <v>1.0895522388059702</v>
      </c>
      <c r="AK139" s="6">
        <f t="shared" si="47"/>
        <v>1.045045045045045</v>
      </c>
      <c r="AL139" s="6">
        <f t="shared" si="48"/>
        <v>1.0895522388059702</v>
      </c>
      <c r="AM139" s="4" t="str">
        <f t="shared" si="49"/>
        <v>-</v>
      </c>
      <c r="AN139" s="4" t="str">
        <f>IF(Q139="","-",Q139)</f>
        <v>-</v>
      </c>
      <c r="AO139" s="4" t="str">
        <f>IF(R139="","-",R139)</f>
        <v>-</v>
      </c>
      <c r="AP139" s="4" t="s">
        <v>411</v>
      </c>
      <c r="AQ139" s="4" t="s">
        <v>962</v>
      </c>
      <c r="AR139" s="4"/>
      <c r="AS139" s="4"/>
      <c r="AT139" s="4" t="s">
        <v>705</v>
      </c>
      <c r="AU139" s="4">
        <v>426</v>
      </c>
      <c r="AV139" s="4">
        <f t="shared" si="50"/>
        <v>426</v>
      </c>
      <c r="AW139" s="19">
        <v>4</v>
      </c>
      <c r="AX139" s="19">
        <v>1</v>
      </c>
      <c r="AY139" s="16">
        <v>19</v>
      </c>
      <c r="AZ139">
        <v>426</v>
      </c>
      <c r="BA139">
        <f>IFERROR(AZ139*AL139,"-")</f>
        <v>464.14925373134332</v>
      </c>
      <c r="BB139">
        <v>670</v>
      </c>
      <c r="BC139">
        <f>IFERROR(BB139*AL139,"-")</f>
        <v>730</v>
      </c>
      <c r="BD139" t="s">
        <v>638</v>
      </c>
    </row>
    <row r="140" spans="1:56" x14ac:dyDescent="0.4">
      <c r="A140" s="3">
        <v>169</v>
      </c>
      <c r="B140" s="3">
        <v>169</v>
      </c>
      <c r="C140" s="4">
        <v>541233</v>
      </c>
      <c r="D140" s="4" t="str">
        <f t="shared" si="35"/>
        <v>541233</v>
      </c>
      <c r="E140" s="4">
        <v>541233</v>
      </c>
      <c r="F140" s="4" t="s">
        <v>275</v>
      </c>
      <c r="G140" s="5">
        <v>4535627101374</v>
      </c>
      <c r="H140" s="5"/>
      <c r="I140" s="5"/>
      <c r="J140" s="5">
        <v>1</v>
      </c>
      <c r="K140" s="5">
        <v>1</v>
      </c>
      <c r="L140" s="4">
        <v>680</v>
      </c>
      <c r="M140" s="4">
        <v>594</v>
      </c>
      <c r="N140" s="4">
        <v>272</v>
      </c>
      <c r="O140" s="6">
        <f t="shared" si="36"/>
        <v>0.54208754208754206</v>
      </c>
      <c r="P140" s="4" t="s">
        <v>699</v>
      </c>
      <c r="Q140" s="4" t="s">
        <v>699</v>
      </c>
      <c r="R140" s="4" t="s">
        <v>699</v>
      </c>
      <c r="S140" s="4">
        <v>740</v>
      </c>
      <c r="T140" s="4">
        <f t="shared" si="37"/>
        <v>740</v>
      </c>
      <c r="U140" s="4">
        <v>296</v>
      </c>
      <c r="V140" s="4">
        <f t="shared" si="38"/>
        <v>296</v>
      </c>
      <c r="W140" s="4"/>
      <c r="X140" s="21">
        <f t="shared" si="39"/>
        <v>646</v>
      </c>
      <c r="Y140" s="6">
        <f t="shared" si="40"/>
        <v>0.54179566563467496</v>
      </c>
      <c r="Z140" s="33">
        <v>8</v>
      </c>
      <c r="AA140" s="4">
        <f t="shared" si="41"/>
        <v>599</v>
      </c>
      <c r="AB140" s="33">
        <f t="shared" si="42"/>
        <v>651.85294117647049</v>
      </c>
      <c r="AC140" s="6">
        <f t="shared" si="43"/>
        <v>0.54590984974958257</v>
      </c>
      <c r="AD140" s="7">
        <v>594</v>
      </c>
      <c r="AE140" s="6">
        <f t="shared" si="44"/>
        <v>0.50168350168350173</v>
      </c>
      <c r="AF140" s="4">
        <f t="shared" si="45"/>
        <v>298</v>
      </c>
      <c r="AG140" s="28"/>
      <c r="AH140" s="6"/>
      <c r="AI140" s="6"/>
      <c r="AJ140" s="6">
        <f t="shared" si="46"/>
        <v>1.088235294117647</v>
      </c>
      <c r="AK140" s="6">
        <f t="shared" si="47"/>
        <v>1</v>
      </c>
      <c r="AL140" s="6">
        <f t="shared" si="48"/>
        <v>1.088235294117647</v>
      </c>
      <c r="AM140" s="4" t="str">
        <f t="shared" si="49"/>
        <v>-</v>
      </c>
      <c r="AN140" s="4" t="str">
        <f>IF(Q140="","-",Q140)</f>
        <v>-</v>
      </c>
      <c r="AO140" s="4" t="str">
        <f>IF(R140="","-",R140)</f>
        <v>-</v>
      </c>
      <c r="AP140" s="4" t="s">
        <v>407</v>
      </c>
      <c r="AQ140" s="4" t="s">
        <v>900</v>
      </c>
      <c r="AR140" s="4"/>
      <c r="AS140" s="4"/>
      <c r="AT140" s="4" t="s">
        <v>705</v>
      </c>
      <c r="AU140" s="4">
        <v>599</v>
      </c>
      <c r="AV140" s="4">
        <f t="shared" si="50"/>
        <v>599</v>
      </c>
      <c r="AW140" s="19">
        <v>4</v>
      </c>
      <c r="AX140" s="19">
        <v>1</v>
      </c>
      <c r="AY140" s="16">
        <v>19</v>
      </c>
      <c r="AZ140">
        <v>546</v>
      </c>
      <c r="BA140">
        <f>IFERROR(AZ140*AL140,"-")</f>
        <v>594.17647058823525</v>
      </c>
      <c r="BB140">
        <v>594</v>
      </c>
      <c r="BC140">
        <f>IFERROR(BB140*AL140,"-")</f>
        <v>646.41176470588232</v>
      </c>
      <c r="BD140" t="s">
        <v>586</v>
      </c>
    </row>
    <row r="141" spans="1:56" x14ac:dyDescent="0.4">
      <c r="A141" s="3">
        <v>208</v>
      </c>
      <c r="B141" s="3">
        <v>208</v>
      </c>
      <c r="C141" s="4">
        <v>673798</v>
      </c>
      <c r="D141" s="4" t="str">
        <f t="shared" si="35"/>
        <v>673798</v>
      </c>
      <c r="E141" s="4">
        <v>673798</v>
      </c>
      <c r="F141" s="4" t="s">
        <v>314</v>
      </c>
      <c r="G141" s="5">
        <v>4535627104108</v>
      </c>
      <c r="H141" s="5"/>
      <c r="I141" s="5"/>
      <c r="J141" s="5">
        <v>1</v>
      </c>
      <c r="K141" s="5">
        <v>1</v>
      </c>
      <c r="L141" s="4">
        <v>660</v>
      </c>
      <c r="M141" s="4">
        <v>487</v>
      </c>
      <c r="N141" s="4">
        <v>264</v>
      </c>
      <c r="O141" s="6">
        <f t="shared" si="36"/>
        <v>0.4579055441478439</v>
      </c>
      <c r="P141" s="4" t="s">
        <v>699</v>
      </c>
      <c r="Q141" s="4" t="s">
        <v>699</v>
      </c>
      <c r="R141" s="4" t="s">
        <v>699</v>
      </c>
      <c r="S141" s="4">
        <v>750</v>
      </c>
      <c r="T141" s="4">
        <f t="shared" si="37"/>
        <v>750</v>
      </c>
      <c r="U141" s="4">
        <v>300</v>
      </c>
      <c r="V141" s="4">
        <f t="shared" si="38"/>
        <v>300</v>
      </c>
      <c r="W141" s="4"/>
      <c r="X141" s="21">
        <f t="shared" si="39"/>
        <v>553</v>
      </c>
      <c r="Y141" s="6">
        <f t="shared" si="40"/>
        <v>0.45750452079566006</v>
      </c>
      <c r="Z141" s="33">
        <v>5</v>
      </c>
      <c r="AA141" s="4">
        <f t="shared" si="41"/>
        <v>457</v>
      </c>
      <c r="AB141" s="33">
        <f t="shared" si="42"/>
        <v>519.31818181818187</v>
      </c>
      <c r="AC141" s="6">
        <f t="shared" si="43"/>
        <v>0.42231947483588628</v>
      </c>
      <c r="AD141" s="7">
        <v>518</v>
      </c>
      <c r="AE141" s="6">
        <f t="shared" si="44"/>
        <v>0.4208494208494209</v>
      </c>
      <c r="AF141" s="4">
        <f t="shared" si="45"/>
        <v>218</v>
      </c>
      <c r="AG141" s="28"/>
      <c r="AH141" s="6"/>
      <c r="AI141" s="6"/>
      <c r="AJ141" s="6">
        <f t="shared" si="46"/>
        <v>1.1363636363636365</v>
      </c>
      <c r="AK141" s="6">
        <f t="shared" si="47"/>
        <v>1.0636550308008215</v>
      </c>
      <c r="AL141" s="6">
        <f t="shared" si="48"/>
        <v>1.1363636363636365</v>
      </c>
      <c r="AM141" s="4" t="str">
        <f t="shared" si="49"/>
        <v>-</v>
      </c>
      <c r="AN141" s="4" t="str">
        <f>IF(Q141="","-",Q141)</f>
        <v>-</v>
      </c>
      <c r="AO141" s="4" t="str">
        <f>IF(R141="","-",R141)</f>
        <v>-</v>
      </c>
      <c r="AP141" s="4" t="s">
        <v>420</v>
      </c>
      <c r="AQ141" s="4" t="s">
        <v>945</v>
      </c>
      <c r="AR141" s="4"/>
      <c r="AS141" s="4"/>
      <c r="AT141" s="4" t="s">
        <v>721</v>
      </c>
      <c r="AU141" s="4">
        <v>457</v>
      </c>
      <c r="AV141" s="4">
        <f t="shared" si="50"/>
        <v>457</v>
      </c>
      <c r="AW141" s="19">
        <v>4</v>
      </c>
      <c r="AX141" s="19">
        <v>1</v>
      </c>
      <c r="AY141" s="16">
        <v>19</v>
      </c>
      <c r="AZ141">
        <v>457</v>
      </c>
      <c r="BA141">
        <f>IFERROR(AZ141*AL141,"-")</f>
        <v>519.31818181818187</v>
      </c>
      <c r="BB141">
        <v>488</v>
      </c>
      <c r="BC141">
        <f>IFERROR(BB141*AL141,"-")</f>
        <v>554.54545454545462</v>
      </c>
      <c r="BD141" t="s">
        <v>624</v>
      </c>
    </row>
    <row r="142" spans="1:56" x14ac:dyDescent="0.4">
      <c r="A142" s="3">
        <v>209</v>
      </c>
      <c r="B142" s="3">
        <v>209</v>
      </c>
      <c r="C142" s="4">
        <v>673799</v>
      </c>
      <c r="D142" s="4" t="str">
        <f t="shared" si="35"/>
        <v>673799</v>
      </c>
      <c r="E142" s="4">
        <v>673799</v>
      </c>
      <c r="F142" s="4" t="s">
        <v>315</v>
      </c>
      <c r="G142" s="5">
        <v>4535627104207</v>
      </c>
      <c r="H142" s="5"/>
      <c r="I142" s="5"/>
      <c r="J142" s="5">
        <v>1</v>
      </c>
      <c r="K142" s="5">
        <v>1</v>
      </c>
      <c r="L142" s="4">
        <v>660</v>
      </c>
      <c r="M142" s="4">
        <v>487</v>
      </c>
      <c r="N142" s="4">
        <v>264</v>
      </c>
      <c r="O142" s="6">
        <f t="shared" si="36"/>
        <v>0.4579055441478439</v>
      </c>
      <c r="P142" s="4" t="s">
        <v>699</v>
      </c>
      <c r="Q142" s="4" t="s">
        <v>699</v>
      </c>
      <c r="R142" s="4" t="s">
        <v>699</v>
      </c>
      <c r="S142" s="4">
        <v>750</v>
      </c>
      <c r="T142" s="4">
        <f t="shared" si="37"/>
        <v>750</v>
      </c>
      <c r="U142" s="4">
        <v>300</v>
      </c>
      <c r="V142" s="4">
        <f t="shared" si="38"/>
        <v>300</v>
      </c>
      <c r="W142" s="4"/>
      <c r="X142" s="21">
        <f t="shared" si="39"/>
        <v>553</v>
      </c>
      <c r="Y142" s="6">
        <f t="shared" si="40"/>
        <v>0.45750452079566006</v>
      </c>
      <c r="Z142" s="33">
        <v>11</v>
      </c>
      <c r="AA142" s="4">
        <f t="shared" si="41"/>
        <v>457</v>
      </c>
      <c r="AB142" s="33">
        <f t="shared" si="42"/>
        <v>519.31818181818187</v>
      </c>
      <c r="AC142" s="6">
        <f t="shared" si="43"/>
        <v>0.42231947483588628</v>
      </c>
      <c r="AD142" s="7">
        <v>518</v>
      </c>
      <c r="AE142" s="6">
        <f t="shared" si="44"/>
        <v>0.4208494208494209</v>
      </c>
      <c r="AF142" s="4">
        <f t="shared" si="45"/>
        <v>218</v>
      </c>
      <c r="AG142" s="28"/>
      <c r="AH142" s="6"/>
      <c r="AI142" s="6"/>
      <c r="AJ142" s="6">
        <f t="shared" si="46"/>
        <v>1.1363636363636365</v>
      </c>
      <c r="AK142" s="6">
        <f t="shared" si="47"/>
        <v>1.0636550308008215</v>
      </c>
      <c r="AL142" s="6">
        <f t="shared" si="48"/>
        <v>1.1363636363636365</v>
      </c>
      <c r="AM142" s="4" t="str">
        <f t="shared" si="49"/>
        <v>-</v>
      </c>
      <c r="AN142" s="4" t="str">
        <f>IF(Q142="","-",Q142)</f>
        <v>-</v>
      </c>
      <c r="AO142" s="4" t="str">
        <f>IF(R142="","-",R142)</f>
        <v>-</v>
      </c>
      <c r="AP142" s="4" t="s">
        <v>420</v>
      </c>
      <c r="AQ142" s="4" t="s">
        <v>946</v>
      </c>
      <c r="AR142" s="4"/>
      <c r="AS142" s="4"/>
      <c r="AT142" s="4" t="s">
        <v>721</v>
      </c>
      <c r="AU142" s="4">
        <v>457</v>
      </c>
      <c r="AV142" s="4">
        <f t="shared" si="50"/>
        <v>457</v>
      </c>
      <c r="AW142" s="19">
        <v>4</v>
      </c>
      <c r="AX142" s="19">
        <v>1</v>
      </c>
      <c r="AY142" s="16">
        <v>19</v>
      </c>
      <c r="AZ142">
        <v>457</v>
      </c>
      <c r="BA142">
        <f>IFERROR(AZ142*AL142,"-")</f>
        <v>519.31818181818187</v>
      </c>
      <c r="BB142">
        <v>488</v>
      </c>
      <c r="BC142">
        <f>IFERROR(BB142*AL142,"-")</f>
        <v>554.54545454545462</v>
      </c>
      <c r="BD142" t="s">
        <v>625</v>
      </c>
    </row>
    <row r="143" spans="1:56" x14ac:dyDescent="0.4">
      <c r="A143" s="3">
        <v>210</v>
      </c>
      <c r="B143" s="3">
        <v>210</v>
      </c>
      <c r="C143" s="4">
        <v>673800</v>
      </c>
      <c r="D143" s="4" t="str">
        <f t="shared" si="35"/>
        <v>673800</v>
      </c>
      <c r="E143" s="4">
        <v>673800</v>
      </c>
      <c r="F143" s="4" t="s">
        <v>316</v>
      </c>
      <c r="G143" s="5">
        <v>4535627104306</v>
      </c>
      <c r="H143" s="5"/>
      <c r="I143" s="5"/>
      <c r="J143" s="5">
        <v>1</v>
      </c>
      <c r="K143" s="5">
        <v>1</v>
      </c>
      <c r="L143" s="4">
        <v>660</v>
      </c>
      <c r="M143" s="4">
        <v>487</v>
      </c>
      <c r="N143" s="4">
        <v>264</v>
      </c>
      <c r="O143" s="6">
        <f t="shared" si="36"/>
        <v>0.4579055441478439</v>
      </c>
      <c r="P143" s="4" t="s">
        <v>699</v>
      </c>
      <c r="Q143" s="4" t="s">
        <v>699</v>
      </c>
      <c r="R143" s="4" t="s">
        <v>699</v>
      </c>
      <c r="S143" s="4">
        <v>750</v>
      </c>
      <c r="T143" s="4">
        <f t="shared" si="37"/>
        <v>750</v>
      </c>
      <c r="U143" s="4">
        <v>300</v>
      </c>
      <c r="V143" s="4">
        <f t="shared" si="38"/>
        <v>300</v>
      </c>
      <c r="W143" s="4"/>
      <c r="X143" s="21">
        <f t="shared" si="39"/>
        <v>553</v>
      </c>
      <c r="Y143" s="6">
        <f t="shared" si="40"/>
        <v>0.45750452079566006</v>
      </c>
      <c r="Z143" s="33">
        <v>10.25</v>
      </c>
      <c r="AA143" s="4">
        <f t="shared" si="41"/>
        <v>457</v>
      </c>
      <c r="AB143" s="33">
        <f t="shared" si="42"/>
        <v>519.31818181818187</v>
      </c>
      <c r="AC143" s="6">
        <f t="shared" si="43"/>
        <v>0.42231947483588628</v>
      </c>
      <c r="AD143" s="7">
        <v>518</v>
      </c>
      <c r="AE143" s="6">
        <f t="shared" si="44"/>
        <v>0.4208494208494209</v>
      </c>
      <c r="AF143" s="4">
        <f t="shared" si="45"/>
        <v>218</v>
      </c>
      <c r="AG143" s="28"/>
      <c r="AH143" s="6"/>
      <c r="AI143" s="6"/>
      <c r="AJ143" s="6">
        <f t="shared" si="46"/>
        <v>1.1363636363636365</v>
      </c>
      <c r="AK143" s="6">
        <f t="shared" si="47"/>
        <v>1.0636550308008215</v>
      </c>
      <c r="AL143" s="6">
        <f t="shared" si="48"/>
        <v>1.1363636363636365</v>
      </c>
      <c r="AM143" s="4" t="str">
        <f t="shared" si="49"/>
        <v>-</v>
      </c>
      <c r="AN143" s="4" t="str">
        <f>IF(Q143="","-",Q143)</f>
        <v>-</v>
      </c>
      <c r="AO143" s="4" t="str">
        <f>IF(R143="","-",R143)</f>
        <v>-</v>
      </c>
      <c r="AP143" s="4" t="s">
        <v>420</v>
      </c>
      <c r="AQ143" s="4" t="s">
        <v>947</v>
      </c>
      <c r="AR143" s="4"/>
      <c r="AS143" s="4"/>
      <c r="AT143" s="4" t="s">
        <v>721</v>
      </c>
      <c r="AU143" s="4">
        <v>457</v>
      </c>
      <c r="AV143" s="4">
        <f t="shared" si="50"/>
        <v>457</v>
      </c>
      <c r="AW143" s="19">
        <v>4</v>
      </c>
      <c r="AX143" s="19">
        <v>1</v>
      </c>
      <c r="AY143" s="16">
        <v>19</v>
      </c>
      <c r="AZ143">
        <v>457</v>
      </c>
      <c r="BA143">
        <f>IFERROR(AZ143*AL143,"-")</f>
        <v>519.31818181818187</v>
      </c>
      <c r="BB143">
        <v>488</v>
      </c>
      <c r="BC143">
        <f>IFERROR(BB143*AL143,"-")</f>
        <v>554.54545454545462</v>
      </c>
      <c r="BD143" t="s">
        <v>626</v>
      </c>
    </row>
    <row r="144" spans="1:56" x14ac:dyDescent="0.4">
      <c r="A144" s="3">
        <v>157</v>
      </c>
      <c r="B144" s="3">
        <v>157</v>
      </c>
      <c r="C144" s="4">
        <v>395491</v>
      </c>
      <c r="D144" s="4" t="str">
        <f t="shared" si="35"/>
        <v>395491</v>
      </c>
      <c r="E144" s="4">
        <v>395491</v>
      </c>
      <c r="F144" s="4" t="s">
        <v>263</v>
      </c>
      <c r="G144" s="5">
        <v>4535627109394</v>
      </c>
      <c r="H144" s="5"/>
      <c r="I144" s="5"/>
      <c r="J144" s="5">
        <v>1</v>
      </c>
      <c r="K144" s="5">
        <v>1</v>
      </c>
      <c r="L144" s="4">
        <v>640</v>
      </c>
      <c r="M144" s="4">
        <v>490</v>
      </c>
      <c r="N144" s="4">
        <v>269</v>
      </c>
      <c r="O144" s="6">
        <f t="shared" si="36"/>
        <v>0.45102040816326527</v>
      </c>
      <c r="P144" s="4" t="s">
        <v>699</v>
      </c>
      <c r="Q144" s="4" t="s">
        <v>699</v>
      </c>
      <c r="R144" s="4" t="s">
        <v>699</v>
      </c>
      <c r="S144" s="4">
        <v>730</v>
      </c>
      <c r="T144" s="4">
        <f t="shared" si="37"/>
        <v>730</v>
      </c>
      <c r="U144" s="4">
        <v>307</v>
      </c>
      <c r="V144" s="4">
        <f t="shared" si="38"/>
        <v>307</v>
      </c>
      <c r="W144" s="4"/>
      <c r="X144" s="21">
        <f t="shared" si="39"/>
        <v>559</v>
      </c>
      <c r="Y144" s="6">
        <f t="shared" si="40"/>
        <v>0.45080500894454378</v>
      </c>
      <c r="Z144" s="33">
        <v>4.75</v>
      </c>
      <c r="AA144" s="4">
        <f t="shared" si="41"/>
        <v>482</v>
      </c>
      <c r="AB144" s="33">
        <f t="shared" si="42"/>
        <v>550.08921933085503</v>
      </c>
      <c r="AC144" s="6">
        <f t="shared" si="43"/>
        <v>0.44190871369294604</v>
      </c>
      <c r="AD144" s="7">
        <v>520</v>
      </c>
      <c r="AE144" s="6">
        <f t="shared" si="44"/>
        <v>0.4096153846153846</v>
      </c>
      <c r="AF144" s="4">
        <f t="shared" si="45"/>
        <v>213</v>
      </c>
      <c r="AG144" s="28"/>
      <c r="AH144" s="6"/>
      <c r="AI144" s="6"/>
      <c r="AJ144" s="6">
        <f t="shared" si="46"/>
        <v>1.140625</v>
      </c>
      <c r="AK144" s="6">
        <f t="shared" si="47"/>
        <v>1.0612244897959184</v>
      </c>
      <c r="AL144" s="6">
        <f t="shared" si="48"/>
        <v>1.1412639405204461</v>
      </c>
      <c r="AM144" s="4" t="str">
        <f t="shared" si="49"/>
        <v>-</v>
      </c>
      <c r="AN144" s="4" t="str">
        <f>IF(Q144="","-",Q144)</f>
        <v>-</v>
      </c>
      <c r="AO144" s="4" t="str">
        <f>IF(R144="","-",R144)</f>
        <v>-</v>
      </c>
      <c r="AP144" s="4" t="s">
        <v>422</v>
      </c>
      <c r="AQ144" s="4" t="s">
        <v>886</v>
      </c>
      <c r="AR144" s="4"/>
      <c r="AS144" s="4"/>
      <c r="AT144" s="4" t="s">
        <v>721</v>
      </c>
      <c r="AU144" s="4">
        <v>482</v>
      </c>
      <c r="AV144" s="4">
        <f t="shared" si="50"/>
        <v>482</v>
      </c>
      <c r="AW144" s="19">
        <v>4</v>
      </c>
      <c r="AX144" s="19">
        <v>1</v>
      </c>
      <c r="AY144" s="16">
        <v>19</v>
      </c>
      <c r="AZ144">
        <v>415</v>
      </c>
      <c r="BA144">
        <f>IFERROR(AZ144*AL144,"-")</f>
        <v>473.62453531598516</v>
      </c>
      <c r="BB144">
        <v>486</v>
      </c>
      <c r="BC144">
        <f>IFERROR(BB144*AL144,"-")</f>
        <v>554.65427509293681</v>
      </c>
      <c r="BD144" t="s">
        <v>574</v>
      </c>
    </row>
    <row r="145" spans="1:56" x14ac:dyDescent="0.4">
      <c r="A145" s="3">
        <v>158</v>
      </c>
      <c r="B145" s="3">
        <v>158</v>
      </c>
      <c r="C145" s="4">
        <v>395492</v>
      </c>
      <c r="D145" s="4" t="str">
        <f t="shared" si="35"/>
        <v>395492</v>
      </c>
      <c r="E145" s="4">
        <v>395492</v>
      </c>
      <c r="F145" s="4" t="s">
        <v>264</v>
      </c>
      <c r="G145" s="5">
        <v>4535627109400</v>
      </c>
      <c r="H145" s="5"/>
      <c r="I145" s="5"/>
      <c r="J145" s="5">
        <v>1</v>
      </c>
      <c r="K145" s="5">
        <v>1</v>
      </c>
      <c r="L145" s="4">
        <v>640</v>
      </c>
      <c r="M145" s="4">
        <v>490</v>
      </c>
      <c r="N145" s="4">
        <v>269</v>
      </c>
      <c r="O145" s="6">
        <f t="shared" si="36"/>
        <v>0.45102040816326527</v>
      </c>
      <c r="P145" s="4" t="s">
        <v>699</v>
      </c>
      <c r="Q145" s="4" t="s">
        <v>699</v>
      </c>
      <c r="R145" s="4" t="s">
        <v>699</v>
      </c>
      <c r="S145" s="4">
        <v>730</v>
      </c>
      <c r="T145" s="4">
        <f t="shared" si="37"/>
        <v>730</v>
      </c>
      <c r="U145" s="4">
        <v>307</v>
      </c>
      <c r="V145" s="4">
        <f t="shared" si="38"/>
        <v>307</v>
      </c>
      <c r="W145" s="4"/>
      <c r="X145" s="21">
        <f t="shared" si="39"/>
        <v>559</v>
      </c>
      <c r="Y145" s="6">
        <f t="shared" si="40"/>
        <v>0.45080500894454378</v>
      </c>
      <c r="Z145" s="33">
        <v>0.75</v>
      </c>
      <c r="AA145" s="4">
        <f t="shared" si="41"/>
        <v>480</v>
      </c>
      <c r="AB145" s="33">
        <f t="shared" si="42"/>
        <v>547.80669144981414</v>
      </c>
      <c r="AC145" s="6">
        <f t="shared" si="43"/>
        <v>0.43958333333333333</v>
      </c>
      <c r="AD145" s="7">
        <v>520</v>
      </c>
      <c r="AE145" s="6">
        <f t="shared" si="44"/>
        <v>0.4096153846153846</v>
      </c>
      <c r="AF145" s="4">
        <f t="shared" si="45"/>
        <v>213</v>
      </c>
      <c r="AG145" s="28"/>
      <c r="AH145" s="6"/>
      <c r="AI145" s="6"/>
      <c r="AJ145" s="6">
        <f t="shared" si="46"/>
        <v>1.140625</v>
      </c>
      <c r="AK145" s="6">
        <f t="shared" si="47"/>
        <v>1.0612244897959184</v>
      </c>
      <c r="AL145" s="6">
        <f t="shared" si="48"/>
        <v>1.1412639405204461</v>
      </c>
      <c r="AM145" s="4" t="str">
        <f t="shared" si="49"/>
        <v>-</v>
      </c>
      <c r="AN145" s="4" t="str">
        <f>IF(Q145="","-",Q145)</f>
        <v>-</v>
      </c>
      <c r="AO145" s="4" t="str">
        <f>IF(R145="","-",R145)</f>
        <v>-</v>
      </c>
      <c r="AP145" s="4" t="s">
        <v>422</v>
      </c>
      <c r="AQ145" s="4" t="s">
        <v>887</v>
      </c>
      <c r="AR145" s="4"/>
      <c r="AS145" s="4"/>
      <c r="AT145" s="4" t="s">
        <v>721</v>
      </c>
      <c r="AU145" s="4">
        <v>480</v>
      </c>
      <c r="AV145" s="4">
        <f t="shared" si="50"/>
        <v>480</v>
      </c>
      <c r="AW145" s="19">
        <v>4</v>
      </c>
      <c r="AX145" s="19">
        <v>1</v>
      </c>
      <c r="AY145" s="16">
        <v>19</v>
      </c>
      <c r="AZ145">
        <v>415</v>
      </c>
      <c r="BA145">
        <f>IFERROR(AZ145*AL145,"-")</f>
        <v>473.62453531598516</v>
      </c>
      <c r="BB145">
        <v>486</v>
      </c>
      <c r="BC145">
        <f>IFERROR(BB145*AL145,"-")</f>
        <v>554.65427509293681</v>
      </c>
      <c r="BD145" t="s">
        <v>575</v>
      </c>
    </row>
    <row r="146" spans="1:56" x14ac:dyDescent="0.4">
      <c r="A146" s="3">
        <v>108</v>
      </c>
      <c r="B146" s="3">
        <v>108</v>
      </c>
      <c r="C146" s="4">
        <v>168827</v>
      </c>
      <c r="D146" s="4" t="str">
        <f t="shared" si="35"/>
        <v>168827</v>
      </c>
      <c r="E146" s="4">
        <v>168827</v>
      </c>
      <c r="F146" s="4" t="s">
        <v>214</v>
      </c>
      <c r="G146" s="5">
        <v>4535627882648</v>
      </c>
      <c r="H146" s="5"/>
      <c r="I146" s="5"/>
      <c r="J146" s="5">
        <v>1</v>
      </c>
      <c r="K146" s="5">
        <v>1</v>
      </c>
      <c r="L146" s="4">
        <v>700</v>
      </c>
      <c r="M146" s="4">
        <v>390</v>
      </c>
      <c r="N146" s="4">
        <v>294</v>
      </c>
      <c r="O146" s="6">
        <f t="shared" si="36"/>
        <v>0.24615384615384617</v>
      </c>
      <c r="P146" s="4" t="s">
        <v>699</v>
      </c>
      <c r="Q146" s="4" t="s">
        <v>699</v>
      </c>
      <c r="R146" s="4" t="s">
        <v>699</v>
      </c>
      <c r="S146" s="4">
        <v>0</v>
      </c>
      <c r="T146" s="4">
        <f t="shared" si="37"/>
        <v>0</v>
      </c>
      <c r="U146" s="4">
        <v>311</v>
      </c>
      <c r="V146" s="4">
        <f t="shared" si="38"/>
        <v>311</v>
      </c>
      <c r="W146" s="4"/>
      <c r="X146" s="21">
        <f t="shared" si="39"/>
        <v>413</v>
      </c>
      <c r="Y146" s="6">
        <f t="shared" si="40"/>
        <v>0.24697336561743344</v>
      </c>
      <c r="Z146" s="33">
        <v>0.25</v>
      </c>
      <c r="AA146" s="4">
        <f t="shared" si="41"/>
        <v>720</v>
      </c>
      <c r="AB146" s="33">
        <f t="shared" si="42"/>
        <v>761.63265306122446</v>
      </c>
      <c r="AC146" s="6">
        <f t="shared" si="43"/>
        <v>0.59166666666666667</v>
      </c>
      <c r="AD146" s="7">
        <v>500</v>
      </c>
      <c r="AE146" s="6">
        <f t="shared" si="44"/>
        <v>0.378</v>
      </c>
      <c r="AF146" s="4">
        <f t="shared" si="45"/>
        <v>189</v>
      </c>
      <c r="AG146" s="28"/>
      <c r="AH146" s="6"/>
      <c r="AI146" s="6"/>
      <c r="AJ146" s="6">
        <f t="shared" si="46"/>
        <v>0</v>
      </c>
      <c r="AK146" s="6">
        <f t="shared" si="47"/>
        <v>1.2820512820512822</v>
      </c>
      <c r="AL146" s="6">
        <f t="shared" si="48"/>
        <v>1.0578231292517006</v>
      </c>
      <c r="AM146" s="4" t="str">
        <f t="shared" si="49"/>
        <v>-</v>
      </c>
      <c r="AN146" s="4" t="str">
        <f>IF(Q146="","-",Q146)</f>
        <v>-</v>
      </c>
      <c r="AO146" s="4" t="str">
        <f>IF(R146="","-",R146)</f>
        <v>-</v>
      </c>
      <c r="AP146" s="4">
        <v>0</v>
      </c>
      <c r="AQ146" s="4" t="s">
        <v>823</v>
      </c>
      <c r="AR146" s="4"/>
      <c r="AS146" s="4"/>
      <c r="AT146" s="4" t="s">
        <v>705</v>
      </c>
      <c r="AU146" s="4">
        <v>720</v>
      </c>
      <c r="AV146" s="4">
        <f t="shared" si="50"/>
        <v>720</v>
      </c>
      <c r="AW146" s="19">
        <v>4</v>
      </c>
      <c r="AX146" s="19">
        <v>1</v>
      </c>
      <c r="AY146" s="16">
        <v>19</v>
      </c>
      <c r="AZ146">
        <v>488</v>
      </c>
      <c r="BA146">
        <f>IFERROR(AZ146*AL146,"-")</f>
        <v>516.21768707482988</v>
      </c>
      <c r="BB146">
        <v>585</v>
      </c>
      <c r="BC146">
        <f>IFERROR(BB146*AL146,"-")</f>
        <v>618.82653061224482</v>
      </c>
      <c r="BD146" t="s">
        <v>522</v>
      </c>
    </row>
    <row r="147" spans="1:56" x14ac:dyDescent="0.4">
      <c r="A147" s="3">
        <v>224</v>
      </c>
      <c r="B147" s="3">
        <v>224</v>
      </c>
      <c r="C147" s="4">
        <v>697142</v>
      </c>
      <c r="D147" s="4" t="str">
        <f t="shared" si="35"/>
        <v>697142</v>
      </c>
      <c r="E147" s="4">
        <v>697142</v>
      </c>
      <c r="F147" s="4" t="s">
        <v>330</v>
      </c>
      <c r="G147" s="5">
        <v>4535627600334</v>
      </c>
      <c r="H147" s="5"/>
      <c r="I147" s="5"/>
      <c r="J147" s="5">
        <v>1</v>
      </c>
      <c r="K147" s="5">
        <v>1</v>
      </c>
      <c r="L147" s="4">
        <v>680</v>
      </c>
      <c r="M147" s="4">
        <v>464</v>
      </c>
      <c r="N147" s="4">
        <v>286</v>
      </c>
      <c r="O147" s="6">
        <f t="shared" si="36"/>
        <v>0.38362068965517238</v>
      </c>
      <c r="P147" s="4" t="s">
        <v>699</v>
      </c>
      <c r="Q147" s="4" t="s">
        <v>699</v>
      </c>
      <c r="R147" s="4" t="s">
        <v>699</v>
      </c>
      <c r="S147" s="4">
        <v>740</v>
      </c>
      <c r="T147" s="4">
        <f t="shared" si="37"/>
        <v>740</v>
      </c>
      <c r="U147" s="4">
        <v>311</v>
      </c>
      <c r="V147" s="4">
        <f t="shared" si="38"/>
        <v>311</v>
      </c>
      <c r="W147" s="4"/>
      <c r="X147" s="21">
        <f t="shared" si="39"/>
        <v>505</v>
      </c>
      <c r="Y147" s="6">
        <f t="shared" si="40"/>
        <v>0.38415841584158417</v>
      </c>
      <c r="Z147" s="33">
        <v>2</v>
      </c>
      <c r="AA147" s="4">
        <f t="shared" si="41"/>
        <v>608</v>
      </c>
      <c r="AB147" s="33">
        <f t="shared" si="42"/>
        <v>661.14685314685323</v>
      </c>
      <c r="AC147" s="6">
        <f t="shared" si="43"/>
        <v>0.5296052631578948</v>
      </c>
      <c r="AD147" s="7">
        <v>500</v>
      </c>
      <c r="AE147" s="6">
        <f t="shared" si="44"/>
        <v>0.378</v>
      </c>
      <c r="AF147" s="4">
        <f t="shared" si="45"/>
        <v>189</v>
      </c>
      <c r="AG147" s="28"/>
      <c r="AH147" s="6"/>
      <c r="AI147" s="6"/>
      <c r="AJ147" s="6">
        <f t="shared" si="46"/>
        <v>1.088235294117647</v>
      </c>
      <c r="AK147" s="6">
        <f t="shared" si="47"/>
        <v>1.0775862068965518</v>
      </c>
      <c r="AL147" s="6">
        <f t="shared" si="48"/>
        <v>1.0874125874125875</v>
      </c>
      <c r="AM147" s="4" t="str">
        <f t="shared" si="49"/>
        <v>-</v>
      </c>
      <c r="AN147" s="4" t="str">
        <f>IF(Q147="","-",Q147)</f>
        <v>-</v>
      </c>
      <c r="AO147" s="4" t="str">
        <f>IF(R147="","-",R147)</f>
        <v>-</v>
      </c>
      <c r="AP147" s="4" t="s">
        <v>412</v>
      </c>
      <c r="AQ147" s="4" t="s">
        <v>964</v>
      </c>
      <c r="AR147" s="4"/>
      <c r="AS147" s="4"/>
      <c r="AT147" s="4" t="s">
        <v>721</v>
      </c>
      <c r="AU147" s="4">
        <v>608</v>
      </c>
      <c r="AV147" s="4">
        <f t="shared" si="50"/>
        <v>608</v>
      </c>
      <c r="AW147" s="19">
        <v>4</v>
      </c>
      <c r="AX147" s="19">
        <v>1</v>
      </c>
      <c r="AY147" s="16">
        <v>19</v>
      </c>
      <c r="AZ147">
        <v>419</v>
      </c>
      <c r="BA147">
        <f>IFERROR(AZ147*AL147,"-")</f>
        <v>455.62587412587419</v>
      </c>
      <c r="BB147">
        <v>510</v>
      </c>
      <c r="BC147">
        <f>IFERROR(BB147*AL147,"-")</f>
        <v>554.58041958041963</v>
      </c>
      <c r="BD147" t="s">
        <v>640</v>
      </c>
    </row>
    <row r="148" spans="1:56" x14ac:dyDescent="0.4">
      <c r="A148" s="3">
        <v>150</v>
      </c>
      <c r="B148" s="3">
        <v>150</v>
      </c>
      <c r="C148" s="40">
        <v>369550</v>
      </c>
      <c r="D148" s="4" t="str">
        <f t="shared" si="35"/>
        <v>369550</v>
      </c>
      <c r="E148" s="4">
        <v>369550</v>
      </c>
      <c r="F148" s="4" t="s">
        <v>256</v>
      </c>
      <c r="G148" s="5">
        <v>4535627104641</v>
      </c>
      <c r="H148" s="5"/>
      <c r="I148" s="5"/>
      <c r="J148" s="5">
        <v>2</v>
      </c>
      <c r="K148" s="5">
        <v>2</v>
      </c>
      <c r="L148" s="4">
        <v>740</v>
      </c>
      <c r="M148" s="4">
        <v>567</v>
      </c>
      <c r="N148" s="4">
        <v>311</v>
      </c>
      <c r="O148" s="6">
        <f t="shared" si="36"/>
        <v>0.45149911816578481</v>
      </c>
      <c r="P148" s="4" t="s">
        <v>699</v>
      </c>
      <c r="Q148" s="4" t="s">
        <v>699</v>
      </c>
      <c r="R148" s="4" t="s">
        <v>699</v>
      </c>
      <c r="S148" s="4">
        <v>780</v>
      </c>
      <c r="T148" s="4">
        <f t="shared" si="37"/>
        <v>780</v>
      </c>
      <c r="U148" s="4">
        <v>328</v>
      </c>
      <c r="V148" s="4">
        <f t="shared" si="38"/>
        <v>328</v>
      </c>
      <c r="W148" s="4"/>
      <c r="X148" s="21">
        <f t="shared" si="39"/>
        <v>598</v>
      </c>
      <c r="Y148" s="6">
        <f t="shared" si="40"/>
        <v>0.45150501672240806</v>
      </c>
      <c r="Z148" s="33">
        <v>46.75</v>
      </c>
      <c r="AA148" s="4">
        <f t="shared" si="41"/>
        <v>569</v>
      </c>
      <c r="AB148" s="33">
        <f t="shared" si="42"/>
        <v>600.1028938906752</v>
      </c>
      <c r="AC148" s="6">
        <f t="shared" si="43"/>
        <v>0.45342706502636199</v>
      </c>
      <c r="AD148" s="7">
        <v>545</v>
      </c>
      <c r="AE148" s="6">
        <f t="shared" si="44"/>
        <v>0.39816513761467887</v>
      </c>
      <c r="AF148" s="4">
        <f t="shared" si="45"/>
        <v>217</v>
      </c>
      <c r="AG148" s="28"/>
      <c r="AH148" s="6"/>
      <c r="AI148" s="6"/>
      <c r="AJ148" s="6">
        <f t="shared" si="46"/>
        <v>1.0540540540540539</v>
      </c>
      <c r="AK148" s="6">
        <f t="shared" si="47"/>
        <v>0.96119929453262787</v>
      </c>
      <c r="AL148" s="6">
        <f t="shared" si="48"/>
        <v>1.0546623794212218</v>
      </c>
      <c r="AM148" s="4" t="str">
        <f t="shared" si="49"/>
        <v>-</v>
      </c>
      <c r="AN148" s="4" t="str">
        <f>IF(Q148="","-",Q148)</f>
        <v>-</v>
      </c>
      <c r="AO148" s="4" t="str">
        <f>IF(R148="","-",R148)</f>
        <v>-</v>
      </c>
      <c r="AP148" s="4" t="s">
        <v>411</v>
      </c>
      <c r="AQ148" s="4" t="s">
        <v>876</v>
      </c>
      <c r="AR148" s="4"/>
      <c r="AS148" s="4"/>
      <c r="AT148" s="4" t="s">
        <v>803</v>
      </c>
      <c r="AU148" s="4">
        <v>569</v>
      </c>
      <c r="AV148" s="4">
        <f t="shared" si="50"/>
        <v>569</v>
      </c>
      <c r="AW148" s="19">
        <v>4</v>
      </c>
      <c r="AX148" s="19">
        <v>1</v>
      </c>
      <c r="AY148" s="16">
        <v>19</v>
      </c>
      <c r="AZ148">
        <v>520</v>
      </c>
      <c r="BA148">
        <f>IFERROR(AZ148*AL148,"-")</f>
        <v>548.42443729903528</v>
      </c>
      <c r="BB148">
        <v>518</v>
      </c>
      <c r="BC148">
        <f>IFERROR(BB148*AL148,"-")</f>
        <v>546.3151125401929</v>
      </c>
      <c r="BD148" t="s">
        <v>566</v>
      </c>
    </row>
    <row r="149" spans="1:56" x14ac:dyDescent="0.4">
      <c r="A149" s="3">
        <v>297</v>
      </c>
      <c r="B149" s="3">
        <v>150</v>
      </c>
      <c r="C149" s="40">
        <v>369550</v>
      </c>
      <c r="D149" s="4" t="str">
        <f t="shared" si="35"/>
        <v>369550</v>
      </c>
      <c r="E149" s="4">
        <v>369551</v>
      </c>
      <c r="F149" s="4" t="s">
        <v>404</v>
      </c>
      <c r="G149" s="5">
        <v>4535627104641</v>
      </c>
      <c r="H149" s="5">
        <v>8</v>
      </c>
      <c r="I149" s="5" t="str">
        <f>C149&amp;H149</f>
        <v>3695508</v>
      </c>
      <c r="J149" s="5"/>
      <c r="K149" s="5"/>
      <c r="L149" s="4">
        <v>7400</v>
      </c>
      <c r="M149" s="4">
        <v>6151</v>
      </c>
      <c r="N149" s="4">
        <v>3110</v>
      </c>
      <c r="O149" s="6">
        <f t="shared" si="36"/>
        <v>0.49439115590960825</v>
      </c>
      <c r="P149" s="4" t="s">
        <v>699</v>
      </c>
      <c r="Q149" s="4" t="s">
        <v>699</v>
      </c>
      <c r="R149" s="4" t="s">
        <v>699</v>
      </c>
      <c r="S149" s="4">
        <v>780</v>
      </c>
      <c r="T149" s="4">
        <f t="shared" si="37"/>
        <v>7800</v>
      </c>
      <c r="U149" s="4">
        <v>328</v>
      </c>
      <c r="V149" s="4">
        <f t="shared" si="38"/>
        <v>3280</v>
      </c>
      <c r="W149" s="4">
        <v>10</v>
      </c>
      <c r="X149" s="21">
        <f t="shared" si="39"/>
        <v>6487</v>
      </c>
      <c r="Y149" s="6">
        <f t="shared" si="40"/>
        <v>0.49437336210883309</v>
      </c>
      <c r="Z149" s="33">
        <v>46.75</v>
      </c>
      <c r="AA149" s="4">
        <f t="shared" si="41"/>
        <v>5528</v>
      </c>
      <c r="AB149" s="33">
        <f t="shared" si="42"/>
        <v>5830.1736334405141</v>
      </c>
      <c r="AC149" s="6">
        <f t="shared" si="43"/>
        <v>0.43740955137481907</v>
      </c>
      <c r="AD149" s="7">
        <v>5100</v>
      </c>
      <c r="AE149" s="6">
        <f t="shared" si="44"/>
        <v>0.35686274509803917</v>
      </c>
      <c r="AF149" s="4">
        <f t="shared" si="45"/>
        <v>1820</v>
      </c>
      <c r="AG149" s="28"/>
      <c r="AH149" s="6"/>
      <c r="AI149" s="6"/>
      <c r="AJ149" s="6">
        <f t="shared" si="46"/>
        <v>1.0540540540540539</v>
      </c>
      <c r="AK149" s="6">
        <f t="shared" si="47"/>
        <v>0.82913347423183226</v>
      </c>
      <c r="AL149" s="6">
        <f t="shared" si="48"/>
        <v>1.0546623794212218</v>
      </c>
      <c r="AM149" s="4" t="str">
        <f t="shared" si="49"/>
        <v>-</v>
      </c>
      <c r="AN149" s="4" t="str">
        <f>IF(Q149="","-",Q149)</f>
        <v>-</v>
      </c>
      <c r="AO149" s="4" t="str">
        <f>IF(R149="","-",R149)</f>
        <v>-</v>
      </c>
      <c r="AP149" s="4">
        <v>0</v>
      </c>
      <c r="AQ149" s="4" t="s">
        <v>877</v>
      </c>
      <c r="AR149" s="4">
        <v>10</v>
      </c>
      <c r="AS149" s="4">
        <v>5</v>
      </c>
      <c r="AT149" s="4" t="s">
        <v>878</v>
      </c>
      <c r="AU149" s="4">
        <v>2764</v>
      </c>
      <c r="AV149" s="4">
        <f t="shared" si="50"/>
        <v>5528</v>
      </c>
      <c r="AW149" s="19">
        <v>4</v>
      </c>
      <c r="AX149" s="19">
        <v>1</v>
      </c>
      <c r="AY149" s="16">
        <v>19</v>
      </c>
      <c r="AZ149">
        <v>520</v>
      </c>
      <c r="BA149">
        <f>IFERROR(AZ149*AL149,"-")</f>
        <v>548.42443729903528</v>
      </c>
      <c r="BB149">
        <v>518</v>
      </c>
      <c r="BC149">
        <f>IFERROR(BB149*AL149,"-")</f>
        <v>546.3151125401929</v>
      </c>
      <c r="BD149" t="s">
        <v>567</v>
      </c>
    </row>
    <row r="150" spans="1:56" x14ac:dyDescent="0.4">
      <c r="A150" s="3">
        <v>126</v>
      </c>
      <c r="B150" s="3">
        <v>126</v>
      </c>
      <c r="C150" s="4">
        <v>196148</v>
      </c>
      <c r="D150" s="4" t="str">
        <f t="shared" si="35"/>
        <v>196148</v>
      </c>
      <c r="E150" s="4">
        <v>196148</v>
      </c>
      <c r="F150" s="4" t="s">
        <v>232</v>
      </c>
      <c r="G150" s="5">
        <v>4535627506469</v>
      </c>
      <c r="H150" s="5"/>
      <c r="I150" s="5"/>
      <c r="J150" s="5">
        <v>1</v>
      </c>
      <c r="K150" s="5">
        <v>1</v>
      </c>
      <c r="L150" s="4">
        <v>0</v>
      </c>
      <c r="M150" s="4">
        <v>434</v>
      </c>
      <c r="N150" s="4">
        <v>300</v>
      </c>
      <c r="O150" s="6">
        <f t="shared" si="36"/>
        <v>0.30875576036866359</v>
      </c>
      <c r="P150" s="4" t="s">
        <v>699</v>
      </c>
      <c r="Q150" s="4" t="s">
        <v>699</v>
      </c>
      <c r="R150" s="4" t="s">
        <v>699</v>
      </c>
      <c r="S150" s="4">
        <v>0</v>
      </c>
      <c r="T150" s="4">
        <f t="shared" si="37"/>
        <v>0</v>
      </c>
      <c r="U150" s="4">
        <v>329</v>
      </c>
      <c r="V150" s="4">
        <f t="shared" si="38"/>
        <v>329</v>
      </c>
      <c r="W150" s="4"/>
      <c r="X150" s="21">
        <f t="shared" si="39"/>
        <v>476</v>
      </c>
      <c r="Y150" s="6">
        <f t="shared" si="40"/>
        <v>0.30882352941176472</v>
      </c>
      <c r="Z150" s="33">
        <v>1.7500000000000002</v>
      </c>
      <c r="AA150" s="4">
        <f t="shared" si="41"/>
        <v>641.83333333333326</v>
      </c>
      <c r="AB150" s="33">
        <f t="shared" si="42"/>
        <v>703.87722222222214</v>
      </c>
      <c r="AC150" s="6">
        <f t="shared" si="43"/>
        <v>0.53258893793819784</v>
      </c>
      <c r="AD150" s="7">
        <v>520</v>
      </c>
      <c r="AE150" s="6">
        <f t="shared" si="44"/>
        <v>0.36730769230769234</v>
      </c>
      <c r="AF150" s="4">
        <f t="shared" si="45"/>
        <v>191</v>
      </c>
      <c r="AG150" s="28"/>
      <c r="AH150" s="6"/>
      <c r="AI150" s="6"/>
      <c r="AJ150" s="6" t="str">
        <f t="shared" si="46"/>
        <v>-</v>
      </c>
      <c r="AK150" s="6">
        <f t="shared" si="47"/>
        <v>1.1981566820276497</v>
      </c>
      <c r="AL150" s="6">
        <f t="shared" si="48"/>
        <v>1.0966666666666667</v>
      </c>
      <c r="AM150" s="4" t="str">
        <f t="shared" si="49"/>
        <v>-</v>
      </c>
      <c r="AN150" s="4" t="str">
        <f>IF(Q150="","-",Q150)</f>
        <v>-</v>
      </c>
      <c r="AO150" s="4" t="str">
        <f>IF(R150="","-",R150)</f>
        <v>-</v>
      </c>
      <c r="AP150" s="4">
        <v>0</v>
      </c>
      <c r="AQ150" s="4" t="s">
        <v>843</v>
      </c>
      <c r="AR150" s="4">
        <v>1</v>
      </c>
      <c r="AS150" s="4">
        <v>24</v>
      </c>
      <c r="AT150" s="4" t="s">
        <v>844</v>
      </c>
      <c r="AU150" s="4">
        <v>15404</v>
      </c>
      <c r="AV150" s="4">
        <f t="shared" si="50"/>
        <v>641.83333333333326</v>
      </c>
      <c r="AW150" s="19">
        <v>4</v>
      </c>
      <c r="AX150" s="19">
        <v>1</v>
      </c>
      <c r="AY150" s="16">
        <v>19</v>
      </c>
      <c r="AZ150" t="s">
        <v>699</v>
      </c>
      <c r="BA150" t="str">
        <f>IFERROR(AZ150*AL150,"-")</f>
        <v>-</v>
      </c>
      <c r="BB150">
        <v>713</v>
      </c>
      <c r="BC150">
        <f>IFERROR(BB150*AL150,"-")</f>
        <v>781.92333333333329</v>
      </c>
      <c r="BD150" t="s">
        <v>540</v>
      </c>
    </row>
    <row r="151" spans="1:56" x14ac:dyDescent="0.4">
      <c r="A151" s="3">
        <v>127</v>
      </c>
      <c r="B151" s="3">
        <v>127</v>
      </c>
      <c r="C151" s="4">
        <v>196149</v>
      </c>
      <c r="D151" s="4" t="str">
        <f t="shared" si="35"/>
        <v>196149</v>
      </c>
      <c r="E151" s="4">
        <v>196149</v>
      </c>
      <c r="F151" s="4" t="s">
        <v>233</v>
      </c>
      <c r="G151" s="5">
        <v>4535627506452</v>
      </c>
      <c r="H151" s="5"/>
      <c r="I151" s="5"/>
      <c r="J151" s="5">
        <v>1</v>
      </c>
      <c r="K151" s="5">
        <v>1</v>
      </c>
      <c r="L151" s="4">
        <v>0</v>
      </c>
      <c r="M151" s="4">
        <v>434</v>
      </c>
      <c r="N151" s="4">
        <v>300</v>
      </c>
      <c r="O151" s="6">
        <f t="shared" si="36"/>
        <v>0.30875576036866359</v>
      </c>
      <c r="P151" s="4" t="s">
        <v>699</v>
      </c>
      <c r="Q151" s="4" t="s">
        <v>699</v>
      </c>
      <c r="R151" s="4" t="s">
        <v>699</v>
      </c>
      <c r="S151" s="4">
        <v>0</v>
      </c>
      <c r="T151" s="4">
        <f t="shared" si="37"/>
        <v>0</v>
      </c>
      <c r="U151" s="4">
        <v>329</v>
      </c>
      <c r="V151" s="4">
        <f t="shared" si="38"/>
        <v>329</v>
      </c>
      <c r="W151" s="4"/>
      <c r="X151" s="21">
        <f t="shared" si="39"/>
        <v>476</v>
      </c>
      <c r="Y151" s="6">
        <f t="shared" si="40"/>
        <v>0.30882352941176472</v>
      </c>
      <c r="Z151" s="33">
        <v>1</v>
      </c>
      <c r="AA151" s="4">
        <f t="shared" si="41"/>
        <v>641.83333333333326</v>
      </c>
      <c r="AB151" s="33">
        <f t="shared" si="42"/>
        <v>703.87722222222214</v>
      </c>
      <c r="AC151" s="6">
        <f t="shared" si="43"/>
        <v>0.53258893793819784</v>
      </c>
      <c r="AD151" s="7">
        <v>520</v>
      </c>
      <c r="AE151" s="6">
        <f t="shared" si="44"/>
        <v>0.36730769230769234</v>
      </c>
      <c r="AF151" s="4">
        <f t="shared" si="45"/>
        <v>191</v>
      </c>
      <c r="AG151" s="28"/>
      <c r="AH151" s="6"/>
      <c r="AI151" s="6"/>
      <c r="AJ151" s="6" t="str">
        <f t="shared" si="46"/>
        <v>-</v>
      </c>
      <c r="AK151" s="6">
        <f t="shared" si="47"/>
        <v>1.1981566820276497</v>
      </c>
      <c r="AL151" s="6">
        <f t="shared" si="48"/>
        <v>1.0966666666666667</v>
      </c>
      <c r="AM151" s="4" t="str">
        <f t="shared" si="49"/>
        <v>-</v>
      </c>
      <c r="AN151" s="4" t="str">
        <f>IF(Q151="","-",Q151)</f>
        <v>-</v>
      </c>
      <c r="AO151" s="4" t="str">
        <f>IF(R151="","-",R151)</f>
        <v>-</v>
      </c>
      <c r="AP151" s="4">
        <v>0</v>
      </c>
      <c r="AQ151" s="4" t="s">
        <v>845</v>
      </c>
      <c r="AR151" s="4">
        <v>1</v>
      </c>
      <c r="AS151" s="4">
        <v>24</v>
      </c>
      <c r="AT151" s="4" t="s">
        <v>844</v>
      </c>
      <c r="AU151" s="4">
        <v>15404</v>
      </c>
      <c r="AV151" s="4">
        <f t="shared" si="50"/>
        <v>641.83333333333326</v>
      </c>
      <c r="AW151" s="19">
        <v>4</v>
      </c>
      <c r="AX151" s="19">
        <v>1</v>
      </c>
      <c r="AY151" s="16">
        <v>19</v>
      </c>
      <c r="AZ151" t="s">
        <v>699</v>
      </c>
      <c r="BA151" t="str">
        <f>IFERROR(AZ151*AL151,"-")</f>
        <v>-</v>
      </c>
      <c r="BB151">
        <v>713</v>
      </c>
      <c r="BC151">
        <f>IFERROR(BB151*AL151,"-")</f>
        <v>781.92333333333329</v>
      </c>
      <c r="BD151" t="s">
        <v>541</v>
      </c>
    </row>
    <row r="152" spans="1:56" x14ac:dyDescent="0.4">
      <c r="A152" s="3">
        <v>106</v>
      </c>
      <c r="B152" s="3">
        <v>106</v>
      </c>
      <c r="C152" s="4">
        <v>168823</v>
      </c>
      <c r="D152" s="4" t="str">
        <f t="shared" si="35"/>
        <v>168823</v>
      </c>
      <c r="E152" s="4">
        <v>168823</v>
      </c>
      <c r="F152" s="4" t="s">
        <v>212</v>
      </c>
      <c r="G152" s="5">
        <v>4535627882600</v>
      </c>
      <c r="H152" s="5"/>
      <c r="I152" s="5"/>
      <c r="J152" s="5">
        <v>1</v>
      </c>
      <c r="K152" s="5">
        <v>1</v>
      </c>
      <c r="L152" s="4">
        <v>750</v>
      </c>
      <c r="M152" s="4">
        <v>429</v>
      </c>
      <c r="N152" s="4">
        <v>315</v>
      </c>
      <c r="O152" s="6">
        <f t="shared" si="36"/>
        <v>0.26573426573426573</v>
      </c>
      <c r="P152" s="4" t="s">
        <v>699</v>
      </c>
      <c r="Q152" s="4" t="s">
        <v>699</v>
      </c>
      <c r="R152" s="4" t="s">
        <v>699</v>
      </c>
      <c r="S152" s="4">
        <v>0</v>
      </c>
      <c r="T152" s="4">
        <f t="shared" si="37"/>
        <v>0</v>
      </c>
      <c r="U152" s="4">
        <v>332</v>
      </c>
      <c r="V152" s="4">
        <f t="shared" si="38"/>
        <v>332</v>
      </c>
      <c r="W152" s="4"/>
      <c r="X152" s="21">
        <f t="shared" si="39"/>
        <v>452</v>
      </c>
      <c r="Y152" s="6">
        <f t="shared" si="40"/>
        <v>0.26548672566371678</v>
      </c>
      <c r="Z152" s="33">
        <v>0.5</v>
      </c>
      <c r="AA152" s="4">
        <f t="shared" si="41"/>
        <v>750</v>
      </c>
      <c r="AB152" s="33">
        <f t="shared" si="42"/>
        <v>790.47619047619048</v>
      </c>
      <c r="AC152" s="6">
        <f t="shared" si="43"/>
        <v>0.58000000000000007</v>
      </c>
      <c r="AD152" s="7">
        <v>530</v>
      </c>
      <c r="AE152" s="6">
        <f t="shared" si="44"/>
        <v>0.37358490566037739</v>
      </c>
      <c r="AF152" s="4">
        <f t="shared" si="45"/>
        <v>198</v>
      </c>
      <c r="AG152" s="28"/>
      <c r="AH152" s="6"/>
      <c r="AI152" s="6"/>
      <c r="AJ152" s="6">
        <f t="shared" si="46"/>
        <v>0</v>
      </c>
      <c r="AK152" s="6">
        <f t="shared" si="47"/>
        <v>1.2354312354312353</v>
      </c>
      <c r="AL152" s="6">
        <f t="shared" si="48"/>
        <v>1.053968253968254</v>
      </c>
      <c r="AM152" s="4" t="str">
        <f t="shared" si="49"/>
        <v>-</v>
      </c>
      <c r="AN152" s="4" t="str">
        <f>IF(Q152="","-",Q152)</f>
        <v>-</v>
      </c>
      <c r="AO152" s="4" t="str">
        <f>IF(R152="","-",R152)</f>
        <v>-</v>
      </c>
      <c r="AP152" s="4">
        <v>0</v>
      </c>
      <c r="AQ152" s="4" t="s">
        <v>821</v>
      </c>
      <c r="AR152" s="4"/>
      <c r="AS152" s="4"/>
      <c r="AT152" s="4" t="s">
        <v>705</v>
      </c>
      <c r="AU152" s="4">
        <v>750</v>
      </c>
      <c r="AV152" s="4">
        <f t="shared" si="50"/>
        <v>750</v>
      </c>
      <c r="AW152" s="19">
        <v>4</v>
      </c>
      <c r="AX152" s="19">
        <v>1</v>
      </c>
      <c r="AY152" s="16">
        <v>19</v>
      </c>
      <c r="AZ152" t="s">
        <v>699</v>
      </c>
      <c r="BA152" t="str">
        <f>IFERROR(AZ152*AL152,"-")</f>
        <v>-</v>
      </c>
      <c r="BB152">
        <v>630</v>
      </c>
      <c r="BC152">
        <f>IFERROR(BB152*AL152,"-")</f>
        <v>664</v>
      </c>
      <c r="BD152" t="s">
        <v>520</v>
      </c>
    </row>
    <row r="153" spans="1:56" x14ac:dyDescent="0.4">
      <c r="A153" s="3">
        <v>107</v>
      </c>
      <c r="B153" s="3">
        <v>107</v>
      </c>
      <c r="C153" s="4">
        <v>168825</v>
      </c>
      <c r="D153" s="4" t="str">
        <f t="shared" si="35"/>
        <v>168825</v>
      </c>
      <c r="E153" s="4">
        <v>168825</v>
      </c>
      <c r="F153" s="4" t="s">
        <v>213</v>
      </c>
      <c r="G153" s="5">
        <v>4535627882624</v>
      </c>
      <c r="H153" s="5"/>
      <c r="I153" s="5"/>
      <c r="J153" s="5">
        <v>1</v>
      </c>
      <c r="K153" s="5">
        <v>1</v>
      </c>
      <c r="L153" s="4">
        <v>750</v>
      </c>
      <c r="M153" s="4">
        <v>690</v>
      </c>
      <c r="N153" s="4">
        <v>315</v>
      </c>
      <c r="O153" s="6">
        <f t="shared" si="36"/>
        <v>0.54347826086956519</v>
      </c>
      <c r="P153" s="4" t="s">
        <v>699</v>
      </c>
      <c r="Q153" s="4" t="s">
        <v>699</v>
      </c>
      <c r="R153" s="4" t="s">
        <v>699</v>
      </c>
      <c r="S153" s="4">
        <v>0</v>
      </c>
      <c r="T153" s="4">
        <f t="shared" si="37"/>
        <v>0</v>
      </c>
      <c r="U153" s="4">
        <v>332</v>
      </c>
      <c r="V153" s="4">
        <f t="shared" si="38"/>
        <v>332</v>
      </c>
      <c r="W153" s="4"/>
      <c r="X153" s="21">
        <f t="shared" si="39"/>
        <v>727</v>
      </c>
      <c r="Y153" s="6">
        <f t="shared" si="40"/>
        <v>0.54332874828060529</v>
      </c>
      <c r="Z153" s="33">
        <v>0.25</v>
      </c>
      <c r="AA153" s="4">
        <f t="shared" si="41"/>
        <v>750</v>
      </c>
      <c r="AB153" s="33">
        <f t="shared" si="42"/>
        <v>790.47619047619048</v>
      </c>
      <c r="AC153" s="6">
        <f t="shared" si="43"/>
        <v>0.58000000000000007</v>
      </c>
      <c r="AD153" s="7">
        <v>530</v>
      </c>
      <c r="AE153" s="6">
        <f t="shared" si="44"/>
        <v>0.37358490566037739</v>
      </c>
      <c r="AF153" s="4">
        <f t="shared" si="45"/>
        <v>198</v>
      </c>
      <c r="AG153" s="28"/>
      <c r="AH153" s="6"/>
      <c r="AI153" s="6"/>
      <c r="AJ153" s="6">
        <f t="shared" si="46"/>
        <v>0</v>
      </c>
      <c r="AK153" s="6">
        <f t="shared" si="47"/>
        <v>0.76811594202898548</v>
      </c>
      <c r="AL153" s="6">
        <f t="shared" si="48"/>
        <v>1.053968253968254</v>
      </c>
      <c r="AM153" s="4" t="str">
        <f t="shared" si="49"/>
        <v>-</v>
      </c>
      <c r="AN153" s="4" t="str">
        <f>IF(Q153="","-",Q153)</f>
        <v>-</v>
      </c>
      <c r="AO153" s="4" t="str">
        <f>IF(R153="","-",R153)</f>
        <v>-</v>
      </c>
      <c r="AP153" s="4">
        <v>0</v>
      </c>
      <c r="AQ153" s="4" t="s">
        <v>822</v>
      </c>
      <c r="AR153" s="4"/>
      <c r="AS153" s="4"/>
      <c r="AT153" s="4" t="s">
        <v>705</v>
      </c>
      <c r="AU153" s="4">
        <v>750</v>
      </c>
      <c r="AV153" s="4">
        <f t="shared" si="50"/>
        <v>750</v>
      </c>
      <c r="AW153" s="19">
        <v>4</v>
      </c>
      <c r="AX153" s="19">
        <v>1</v>
      </c>
      <c r="AY153" s="16">
        <v>19</v>
      </c>
      <c r="AZ153" t="s">
        <v>699</v>
      </c>
      <c r="BA153" t="str">
        <f>IFERROR(AZ153*AL153,"-")</f>
        <v>-</v>
      </c>
      <c r="BB153" t="s">
        <v>699</v>
      </c>
      <c r="BC153" t="str">
        <f>IFERROR(BB153*AL153,"-")</f>
        <v>-</v>
      </c>
      <c r="BD153" t="s">
        <v>521</v>
      </c>
    </row>
    <row r="154" spans="1:56" x14ac:dyDescent="0.4">
      <c r="A154" s="3">
        <v>143</v>
      </c>
      <c r="B154" s="3">
        <v>143</v>
      </c>
      <c r="C154" s="40">
        <v>369131</v>
      </c>
      <c r="D154" s="4" t="str">
        <f t="shared" si="35"/>
        <v>369131</v>
      </c>
      <c r="E154" s="4">
        <v>369131</v>
      </c>
      <c r="F154" s="4" t="s">
        <v>249</v>
      </c>
      <c r="G154" s="5">
        <v>4535627107369</v>
      </c>
      <c r="H154" s="5"/>
      <c r="I154" s="5"/>
      <c r="J154" s="5">
        <v>2</v>
      </c>
      <c r="K154" s="5">
        <v>2</v>
      </c>
      <c r="L154" s="4">
        <v>800</v>
      </c>
      <c r="M154" s="4">
        <v>459</v>
      </c>
      <c r="N154" s="4">
        <v>320</v>
      </c>
      <c r="O154" s="6">
        <f t="shared" si="36"/>
        <v>0.30283224400871456</v>
      </c>
      <c r="P154" s="4" t="s">
        <v>699</v>
      </c>
      <c r="Q154" s="4" t="s">
        <v>699</v>
      </c>
      <c r="R154" s="4" t="s">
        <v>699</v>
      </c>
      <c r="S154" s="4">
        <v>880</v>
      </c>
      <c r="T154" s="4">
        <f t="shared" si="37"/>
        <v>880</v>
      </c>
      <c r="U154" s="4">
        <v>352</v>
      </c>
      <c r="V154" s="4">
        <f t="shared" si="38"/>
        <v>352</v>
      </c>
      <c r="W154" s="4"/>
      <c r="X154" s="21">
        <f t="shared" si="39"/>
        <v>505</v>
      </c>
      <c r="Y154" s="6">
        <f t="shared" si="40"/>
        <v>0.30297029702970302</v>
      </c>
      <c r="Z154" s="33">
        <v>8.25</v>
      </c>
      <c r="AA154" s="4">
        <f t="shared" si="41"/>
        <v>753</v>
      </c>
      <c r="AB154" s="33">
        <f t="shared" si="42"/>
        <v>828.30000000000007</v>
      </c>
      <c r="AC154" s="6">
        <f t="shared" si="43"/>
        <v>0.57503320053120854</v>
      </c>
      <c r="AD154" s="7">
        <v>600</v>
      </c>
      <c r="AE154" s="6">
        <f t="shared" si="44"/>
        <v>0.41333333333333333</v>
      </c>
      <c r="AF154" s="4">
        <f t="shared" si="45"/>
        <v>248</v>
      </c>
      <c r="AG154" s="28"/>
      <c r="AH154" s="6"/>
      <c r="AI154" s="6"/>
      <c r="AJ154" s="6">
        <f t="shared" si="46"/>
        <v>1.1000000000000001</v>
      </c>
      <c r="AK154" s="6">
        <f t="shared" si="47"/>
        <v>1.3071895424836601</v>
      </c>
      <c r="AL154" s="6">
        <f t="shared" si="48"/>
        <v>1.1000000000000001</v>
      </c>
      <c r="AM154" s="4" t="str">
        <f t="shared" si="49"/>
        <v>-</v>
      </c>
      <c r="AN154" s="4" t="str">
        <f>IF(Q154="","-",Q154)</f>
        <v>-</v>
      </c>
      <c r="AO154" s="4" t="str">
        <f>IF(R154="","-",R154)</f>
        <v>-</v>
      </c>
      <c r="AP154" s="4" t="s">
        <v>415</v>
      </c>
      <c r="AQ154" s="4" t="s">
        <v>865</v>
      </c>
      <c r="AR154" s="4"/>
      <c r="AS154" s="4"/>
      <c r="AT154" s="4" t="s">
        <v>855</v>
      </c>
      <c r="AU154" s="4">
        <v>753</v>
      </c>
      <c r="AV154" s="4">
        <f t="shared" si="50"/>
        <v>753</v>
      </c>
      <c r="AW154" s="19">
        <v>4</v>
      </c>
      <c r="AX154" s="19">
        <v>1</v>
      </c>
      <c r="AY154" s="16">
        <v>19</v>
      </c>
      <c r="AZ154">
        <v>554</v>
      </c>
      <c r="BA154">
        <f>IFERROR(AZ154*AL154,"-")</f>
        <v>609.40000000000009</v>
      </c>
      <c r="BB154">
        <v>603</v>
      </c>
      <c r="BC154">
        <f>IFERROR(BB154*AL154,"-")</f>
        <v>663.30000000000007</v>
      </c>
      <c r="BD154" t="s">
        <v>557</v>
      </c>
    </row>
    <row r="155" spans="1:56" x14ac:dyDescent="0.4">
      <c r="A155" s="3">
        <v>291</v>
      </c>
      <c r="B155" s="3">
        <v>143</v>
      </c>
      <c r="C155" s="40">
        <v>369131</v>
      </c>
      <c r="D155" s="4" t="str">
        <f t="shared" si="35"/>
        <v>369131</v>
      </c>
      <c r="E155" s="4">
        <v>369132</v>
      </c>
      <c r="F155" s="4" t="s">
        <v>398</v>
      </c>
      <c r="G155" s="5">
        <v>4535627107369</v>
      </c>
      <c r="H155" s="5">
        <v>8</v>
      </c>
      <c r="I155" s="5" t="str">
        <f>C155&amp;H155</f>
        <v>3691318</v>
      </c>
      <c r="J155" s="5"/>
      <c r="K155" s="5"/>
      <c r="L155" s="4">
        <v>8000</v>
      </c>
      <c r="M155" s="4">
        <v>4507</v>
      </c>
      <c r="N155" s="4">
        <v>3200</v>
      </c>
      <c r="O155" s="6">
        <f t="shared" si="36"/>
        <v>0.2899933436875971</v>
      </c>
      <c r="P155" s="4" t="s">
        <v>699</v>
      </c>
      <c r="Q155" s="4" t="s">
        <v>699</v>
      </c>
      <c r="R155" s="4" t="s">
        <v>699</v>
      </c>
      <c r="S155" s="4">
        <v>880</v>
      </c>
      <c r="T155" s="4">
        <f t="shared" si="37"/>
        <v>8800</v>
      </c>
      <c r="U155" s="4">
        <v>352</v>
      </c>
      <c r="V155" s="4">
        <f t="shared" si="38"/>
        <v>3520</v>
      </c>
      <c r="W155" s="4">
        <v>10</v>
      </c>
      <c r="X155" s="21">
        <f t="shared" si="39"/>
        <v>4958</v>
      </c>
      <c r="Y155" s="6">
        <f t="shared" si="40"/>
        <v>0.29003630496167809</v>
      </c>
      <c r="Z155" s="33">
        <v>8.25</v>
      </c>
      <c r="AA155" s="4">
        <f t="shared" si="41"/>
        <v>7255</v>
      </c>
      <c r="AB155" s="33">
        <f t="shared" si="42"/>
        <v>7980.5000000000009</v>
      </c>
      <c r="AC155" s="6">
        <f t="shared" si="43"/>
        <v>0.55892487939352176</v>
      </c>
      <c r="AD155" s="7">
        <v>5600</v>
      </c>
      <c r="AE155" s="6">
        <f t="shared" si="44"/>
        <v>0.37142857142857144</v>
      </c>
      <c r="AF155" s="4">
        <f t="shared" si="45"/>
        <v>2080</v>
      </c>
      <c r="AG155" s="28"/>
      <c r="AH155" s="6"/>
      <c r="AI155" s="6"/>
      <c r="AJ155" s="6">
        <f t="shared" si="46"/>
        <v>1.1000000000000001</v>
      </c>
      <c r="AK155" s="6">
        <f t="shared" si="47"/>
        <v>1.2425116485467051</v>
      </c>
      <c r="AL155" s="6">
        <f t="shared" si="48"/>
        <v>1.1000000000000001</v>
      </c>
      <c r="AM155" s="4" t="str">
        <f t="shared" si="49"/>
        <v>-</v>
      </c>
      <c r="AN155" s="4" t="str">
        <f>IF(Q155="","-",Q155)</f>
        <v>-</v>
      </c>
      <c r="AO155" s="4" t="str">
        <f>IF(R155="","-",R155)</f>
        <v>-</v>
      </c>
      <c r="AP155" s="4">
        <v>0</v>
      </c>
      <c r="AQ155" s="4" t="s">
        <v>866</v>
      </c>
      <c r="AR155" s="4">
        <v>10</v>
      </c>
      <c r="AS155" s="4">
        <v>2</v>
      </c>
      <c r="AT155" s="4" t="s">
        <v>867</v>
      </c>
      <c r="AU155" s="4">
        <v>1451</v>
      </c>
      <c r="AV155" s="4">
        <f t="shared" si="50"/>
        <v>7255</v>
      </c>
      <c r="AW155" s="19">
        <v>4</v>
      </c>
      <c r="AX155" s="19">
        <v>1</v>
      </c>
      <c r="AY155" s="16">
        <v>19</v>
      </c>
      <c r="AZ155">
        <v>554</v>
      </c>
      <c r="BA155">
        <f>IFERROR(AZ155*AL155,"-")</f>
        <v>609.40000000000009</v>
      </c>
      <c r="BB155">
        <v>603</v>
      </c>
      <c r="BC155">
        <f>IFERROR(BB155*AL155,"-")</f>
        <v>663.30000000000007</v>
      </c>
      <c r="BD155" t="s">
        <v>558</v>
      </c>
    </row>
    <row r="156" spans="1:56" x14ac:dyDescent="0.4">
      <c r="A156" s="3">
        <v>144</v>
      </c>
      <c r="B156" s="3">
        <v>144</v>
      </c>
      <c r="C156" s="40">
        <v>369133</v>
      </c>
      <c r="D156" s="4" t="str">
        <f t="shared" si="35"/>
        <v>369133</v>
      </c>
      <c r="E156" s="4">
        <v>369133</v>
      </c>
      <c r="F156" s="4" t="s">
        <v>250</v>
      </c>
      <c r="G156" s="5">
        <v>4535627107376</v>
      </c>
      <c r="H156" s="5"/>
      <c r="I156" s="5"/>
      <c r="J156" s="5">
        <v>2</v>
      </c>
      <c r="K156" s="5">
        <v>2</v>
      </c>
      <c r="L156" s="4">
        <v>800</v>
      </c>
      <c r="M156" s="4">
        <v>459</v>
      </c>
      <c r="N156" s="4">
        <v>320</v>
      </c>
      <c r="O156" s="6">
        <f t="shared" si="36"/>
        <v>0.30283224400871456</v>
      </c>
      <c r="P156" s="4" t="s">
        <v>699</v>
      </c>
      <c r="Q156" s="4" t="s">
        <v>699</v>
      </c>
      <c r="R156" s="4" t="s">
        <v>699</v>
      </c>
      <c r="S156" s="4">
        <v>880</v>
      </c>
      <c r="T156" s="4">
        <f t="shared" si="37"/>
        <v>880</v>
      </c>
      <c r="U156" s="4">
        <v>352</v>
      </c>
      <c r="V156" s="4">
        <f t="shared" si="38"/>
        <v>352</v>
      </c>
      <c r="W156" s="4"/>
      <c r="X156" s="21">
        <f t="shared" si="39"/>
        <v>505</v>
      </c>
      <c r="Y156" s="6">
        <f t="shared" si="40"/>
        <v>0.30297029702970302</v>
      </c>
      <c r="Z156" s="33">
        <v>11</v>
      </c>
      <c r="AA156" s="4">
        <f t="shared" si="41"/>
        <v>726</v>
      </c>
      <c r="AB156" s="33">
        <f t="shared" si="42"/>
        <v>798.6</v>
      </c>
      <c r="AC156" s="6">
        <f t="shared" si="43"/>
        <v>0.55922865013774103</v>
      </c>
      <c r="AD156" s="7">
        <v>600</v>
      </c>
      <c r="AE156" s="6">
        <f t="shared" si="44"/>
        <v>0.41333333333333333</v>
      </c>
      <c r="AF156" s="4">
        <f t="shared" si="45"/>
        <v>248</v>
      </c>
      <c r="AG156" s="28"/>
      <c r="AH156" s="6"/>
      <c r="AI156" s="6"/>
      <c r="AJ156" s="6">
        <f t="shared" si="46"/>
        <v>1.1000000000000001</v>
      </c>
      <c r="AK156" s="6">
        <f t="shared" si="47"/>
        <v>1.3071895424836601</v>
      </c>
      <c r="AL156" s="6">
        <f t="shared" si="48"/>
        <v>1.1000000000000001</v>
      </c>
      <c r="AM156" s="4" t="str">
        <f t="shared" si="49"/>
        <v>-</v>
      </c>
      <c r="AN156" s="4" t="str">
        <f>IF(Q156="","-",Q156)</f>
        <v>-</v>
      </c>
      <c r="AO156" s="4" t="str">
        <f>IF(R156="","-",R156)</f>
        <v>-</v>
      </c>
      <c r="AP156" s="4" t="s">
        <v>415</v>
      </c>
      <c r="AQ156" s="4" t="s">
        <v>868</v>
      </c>
      <c r="AR156" s="4"/>
      <c r="AS156" s="4"/>
      <c r="AT156" s="4" t="s">
        <v>721</v>
      </c>
      <c r="AU156" s="4">
        <v>726</v>
      </c>
      <c r="AV156" s="4">
        <f t="shared" si="50"/>
        <v>726</v>
      </c>
      <c r="AW156" s="19">
        <v>4</v>
      </c>
      <c r="AX156" s="19">
        <v>1</v>
      </c>
      <c r="AY156" s="16">
        <v>19</v>
      </c>
      <c r="AZ156">
        <v>554</v>
      </c>
      <c r="BA156">
        <f>IFERROR(AZ156*AL156,"-")</f>
        <v>609.40000000000009</v>
      </c>
      <c r="BB156">
        <v>603</v>
      </c>
      <c r="BC156">
        <f>IFERROR(BB156*AL156,"-")</f>
        <v>663.30000000000007</v>
      </c>
      <c r="BD156" t="s">
        <v>559</v>
      </c>
    </row>
    <row r="157" spans="1:56" x14ac:dyDescent="0.4">
      <c r="A157" s="3">
        <v>292</v>
      </c>
      <c r="B157" s="3">
        <v>144</v>
      </c>
      <c r="C157" s="40">
        <v>369133</v>
      </c>
      <c r="D157" s="4" t="str">
        <f t="shared" si="35"/>
        <v>369133</v>
      </c>
      <c r="E157" s="4">
        <v>369134</v>
      </c>
      <c r="F157" s="4" t="s">
        <v>399</v>
      </c>
      <c r="G157" s="5">
        <v>4535627107376</v>
      </c>
      <c r="H157" s="5">
        <v>8</v>
      </c>
      <c r="I157" s="5" t="str">
        <f>C157&amp;H157</f>
        <v>3691338</v>
      </c>
      <c r="J157" s="5"/>
      <c r="K157" s="5"/>
      <c r="L157" s="4">
        <v>8000</v>
      </c>
      <c r="M157" s="4">
        <v>4597</v>
      </c>
      <c r="N157" s="4">
        <v>3200</v>
      </c>
      <c r="O157" s="6">
        <f t="shared" si="36"/>
        <v>0.30389384381118123</v>
      </c>
      <c r="P157" s="4" t="s">
        <v>699</v>
      </c>
      <c r="Q157" s="4" t="s">
        <v>699</v>
      </c>
      <c r="R157" s="4" t="s">
        <v>699</v>
      </c>
      <c r="S157" s="4">
        <v>880</v>
      </c>
      <c r="T157" s="4">
        <f t="shared" si="37"/>
        <v>8800</v>
      </c>
      <c r="U157" s="4">
        <v>352</v>
      </c>
      <c r="V157" s="4">
        <f t="shared" si="38"/>
        <v>3520</v>
      </c>
      <c r="W157" s="4">
        <v>10</v>
      </c>
      <c r="X157" s="21">
        <f t="shared" si="39"/>
        <v>5057</v>
      </c>
      <c r="Y157" s="6">
        <f t="shared" si="40"/>
        <v>0.30393513941071781</v>
      </c>
      <c r="Z157" s="33">
        <v>11</v>
      </c>
      <c r="AA157" s="4">
        <f t="shared" si="41"/>
        <v>6985</v>
      </c>
      <c r="AB157" s="33">
        <f t="shared" si="42"/>
        <v>7683.5000000000009</v>
      </c>
      <c r="AC157" s="6">
        <f t="shared" si="43"/>
        <v>0.54187544738725846</v>
      </c>
      <c r="AD157" s="7">
        <v>5600</v>
      </c>
      <c r="AE157" s="6">
        <f t="shared" si="44"/>
        <v>0.37142857142857144</v>
      </c>
      <c r="AF157" s="4">
        <f t="shared" si="45"/>
        <v>2080</v>
      </c>
      <c r="AG157" s="28"/>
      <c r="AH157" s="6"/>
      <c r="AI157" s="6"/>
      <c r="AJ157" s="6">
        <f t="shared" si="46"/>
        <v>1.1000000000000001</v>
      </c>
      <c r="AK157" s="6">
        <f t="shared" si="47"/>
        <v>1.2181857733304329</v>
      </c>
      <c r="AL157" s="6">
        <f t="shared" si="48"/>
        <v>1.1000000000000001</v>
      </c>
      <c r="AM157" s="4" t="str">
        <f t="shared" si="49"/>
        <v>-</v>
      </c>
      <c r="AN157" s="4" t="str">
        <f>IF(Q157="","-",Q157)</f>
        <v>-</v>
      </c>
      <c r="AO157" s="4" t="str">
        <f>IF(R157="","-",R157)</f>
        <v>-</v>
      </c>
      <c r="AP157" s="4">
        <v>0</v>
      </c>
      <c r="AQ157" s="4" t="s">
        <v>869</v>
      </c>
      <c r="AR157" s="4">
        <v>10</v>
      </c>
      <c r="AS157" s="4">
        <v>2</v>
      </c>
      <c r="AT157" s="4" t="s">
        <v>870</v>
      </c>
      <c r="AU157" s="4">
        <v>1397</v>
      </c>
      <c r="AV157" s="4">
        <f t="shared" si="50"/>
        <v>6985</v>
      </c>
      <c r="AW157" s="19">
        <v>4</v>
      </c>
      <c r="AX157" s="19">
        <v>1</v>
      </c>
      <c r="AY157" s="16">
        <v>19</v>
      </c>
      <c r="AZ157">
        <v>554</v>
      </c>
      <c r="BA157">
        <f>IFERROR(AZ157*AL157,"-")</f>
        <v>609.40000000000009</v>
      </c>
      <c r="BB157">
        <v>603</v>
      </c>
      <c r="BC157">
        <f>IFERROR(BB157*AL157,"-")</f>
        <v>663.30000000000007</v>
      </c>
      <c r="BD157" t="s">
        <v>560</v>
      </c>
    </row>
    <row r="158" spans="1:56" x14ac:dyDescent="0.4">
      <c r="A158" s="3">
        <v>279</v>
      </c>
      <c r="B158" s="3">
        <v>279</v>
      </c>
      <c r="C158" s="4" t="s">
        <v>102</v>
      </c>
      <c r="D158" s="4" t="str">
        <f t="shared" si="35"/>
        <v>J920RW</v>
      </c>
      <c r="E158" s="4" t="s">
        <v>102</v>
      </c>
      <c r="F158" s="4" t="s">
        <v>385</v>
      </c>
      <c r="G158" s="5">
        <v>4535627104863</v>
      </c>
      <c r="H158" s="5"/>
      <c r="I158" s="5"/>
      <c r="J158" s="5">
        <v>1</v>
      </c>
      <c r="K158" s="5">
        <v>1</v>
      </c>
      <c r="L158" s="4">
        <v>800</v>
      </c>
      <c r="M158" s="4">
        <v>727</v>
      </c>
      <c r="N158" s="4">
        <v>336</v>
      </c>
      <c r="O158" s="6">
        <f t="shared" si="36"/>
        <v>0.53782668500687758</v>
      </c>
      <c r="P158" s="4" t="s">
        <v>699</v>
      </c>
      <c r="Q158" s="4" t="s">
        <v>699</v>
      </c>
      <c r="R158" s="4" t="s">
        <v>699</v>
      </c>
      <c r="S158" s="4">
        <v>840</v>
      </c>
      <c r="T158" s="4">
        <f t="shared" si="37"/>
        <v>840</v>
      </c>
      <c r="U158" s="4">
        <v>353</v>
      </c>
      <c r="V158" s="4">
        <f t="shared" si="38"/>
        <v>353</v>
      </c>
      <c r="W158" s="4"/>
      <c r="X158" s="21">
        <f t="shared" si="39"/>
        <v>764</v>
      </c>
      <c r="Y158" s="6">
        <f t="shared" si="40"/>
        <v>0.5379581151832461</v>
      </c>
      <c r="Z158" s="33">
        <v>1.5</v>
      </c>
      <c r="AA158" s="4">
        <f t="shared" si="41"/>
        <v>720</v>
      </c>
      <c r="AB158" s="33">
        <f t="shared" si="42"/>
        <v>756.42857142857144</v>
      </c>
      <c r="AC158" s="6">
        <f t="shared" si="43"/>
        <v>0.53333333333333333</v>
      </c>
      <c r="AD158" s="7">
        <v>730</v>
      </c>
      <c r="AE158" s="6">
        <f t="shared" si="44"/>
        <v>0.51643835616438349</v>
      </c>
      <c r="AF158" s="4">
        <f t="shared" si="45"/>
        <v>377</v>
      </c>
      <c r="AG158" s="28"/>
      <c r="AH158" s="6"/>
      <c r="AI158" s="6"/>
      <c r="AJ158" s="6">
        <f t="shared" si="46"/>
        <v>1.05</v>
      </c>
      <c r="AK158" s="6">
        <f t="shared" si="47"/>
        <v>1.0041265474552958</v>
      </c>
      <c r="AL158" s="6">
        <f t="shared" si="48"/>
        <v>1.0505952380952381</v>
      </c>
      <c r="AM158" s="4" t="str">
        <f t="shared" si="49"/>
        <v>-</v>
      </c>
      <c r="AN158" s="4" t="str">
        <f>IF(Q158="","-",Q158)</f>
        <v>-</v>
      </c>
      <c r="AO158" s="4" t="str">
        <f>IF(R158="","-",R158)</f>
        <v>-</v>
      </c>
      <c r="AP158" s="4" t="s">
        <v>411</v>
      </c>
      <c r="AQ158" s="4" t="s">
        <v>1023</v>
      </c>
      <c r="AR158" s="4"/>
      <c r="AS158" s="4"/>
      <c r="AT158" s="4" t="s">
        <v>739</v>
      </c>
      <c r="AU158" s="4">
        <v>720</v>
      </c>
      <c r="AV158" s="4">
        <f t="shared" si="50"/>
        <v>720</v>
      </c>
      <c r="AW158" s="19">
        <v>4</v>
      </c>
      <c r="AX158" s="19">
        <v>1</v>
      </c>
      <c r="AY158" s="16">
        <v>19</v>
      </c>
      <c r="AZ158" t="s">
        <v>699</v>
      </c>
      <c r="BA158" t="str">
        <f>IFERROR(AZ158*AL158,"-")</f>
        <v>-</v>
      </c>
      <c r="BB158">
        <v>712</v>
      </c>
      <c r="BC158">
        <f>IFERROR(BB158*AL158,"-")</f>
        <v>748.02380952380952</v>
      </c>
      <c r="BD158" t="s">
        <v>694</v>
      </c>
    </row>
    <row r="159" spans="1:56" x14ac:dyDescent="0.4">
      <c r="A159" s="3">
        <v>74</v>
      </c>
      <c r="B159" s="3">
        <v>74</v>
      </c>
      <c r="C159" s="4">
        <v>112882</v>
      </c>
      <c r="D159" s="4" t="str">
        <f t="shared" si="35"/>
        <v>112882</v>
      </c>
      <c r="E159" s="4">
        <v>112882</v>
      </c>
      <c r="F159" s="4" t="s">
        <v>180</v>
      </c>
      <c r="G159" s="5">
        <v>4535627101862</v>
      </c>
      <c r="H159" s="5"/>
      <c r="I159" s="5"/>
      <c r="J159" s="5">
        <v>1</v>
      </c>
      <c r="K159" s="5">
        <v>1</v>
      </c>
      <c r="L159" s="4">
        <v>780</v>
      </c>
      <c r="M159" s="4">
        <v>470</v>
      </c>
      <c r="N159" s="4">
        <v>328</v>
      </c>
      <c r="O159" s="6">
        <f t="shared" si="36"/>
        <v>0.30212765957446808</v>
      </c>
      <c r="P159" s="4" t="s">
        <v>699</v>
      </c>
      <c r="Q159" s="4" t="s">
        <v>699</v>
      </c>
      <c r="R159" s="4" t="s">
        <v>699</v>
      </c>
      <c r="S159" s="4">
        <v>850</v>
      </c>
      <c r="T159" s="4">
        <f t="shared" si="37"/>
        <v>850</v>
      </c>
      <c r="U159" s="4">
        <v>357</v>
      </c>
      <c r="V159" s="4">
        <f t="shared" si="38"/>
        <v>357</v>
      </c>
      <c r="W159" s="4"/>
      <c r="X159" s="21">
        <f t="shared" si="39"/>
        <v>512</v>
      </c>
      <c r="Y159" s="6">
        <f t="shared" si="40"/>
        <v>0.302734375</v>
      </c>
      <c r="Z159" s="33">
        <v>37.5</v>
      </c>
      <c r="AA159" s="4">
        <f t="shared" si="41"/>
        <v>495</v>
      </c>
      <c r="AB159" s="33">
        <f t="shared" si="42"/>
        <v>538.76524390243901</v>
      </c>
      <c r="AC159" s="6">
        <f t="shared" si="43"/>
        <v>0.33737373737373733</v>
      </c>
      <c r="AD159" s="7">
        <v>538</v>
      </c>
      <c r="AE159" s="6">
        <f t="shared" si="44"/>
        <v>0.33643122676579928</v>
      </c>
      <c r="AF159" s="4">
        <f t="shared" si="45"/>
        <v>181</v>
      </c>
      <c r="AG159" s="28"/>
      <c r="AH159" s="6"/>
      <c r="AI159" s="6"/>
      <c r="AJ159" s="6">
        <f t="shared" si="46"/>
        <v>1.0897435897435896</v>
      </c>
      <c r="AK159" s="6">
        <f t="shared" si="47"/>
        <v>1.1446808510638298</v>
      </c>
      <c r="AL159" s="6">
        <f t="shared" si="48"/>
        <v>1.0884146341463414</v>
      </c>
      <c r="AM159" s="4" t="str">
        <f t="shared" si="49"/>
        <v>-</v>
      </c>
      <c r="AN159" s="4" t="str">
        <f>IF(Q159="","-",Q159)</f>
        <v>-</v>
      </c>
      <c r="AO159" s="4" t="str">
        <f>IF(R159="","-",R159)</f>
        <v>-</v>
      </c>
      <c r="AP159" s="4" t="s">
        <v>411</v>
      </c>
      <c r="AQ159" s="4" t="s">
        <v>780</v>
      </c>
      <c r="AR159" s="4"/>
      <c r="AS159" s="4"/>
      <c r="AT159" s="4" t="s">
        <v>781</v>
      </c>
      <c r="AU159" s="4">
        <v>495</v>
      </c>
      <c r="AV159" s="4">
        <f t="shared" si="50"/>
        <v>495</v>
      </c>
      <c r="AW159" s="19">
        <v>4</v>
      </c>
      <c r="AX159" s="19">
        <v>1</v>
      </c>
      <c r="AY159" s="16">
        <v>19</v>
      </c>
      <c r="AZ159">
        <v>495</v>
      </c>
      <c r="BA159">
        <f>IFERROR(AZ159*AL159,"-")</f>
        <v>538.76524390243901</v>
      </c>
      <c r="BB159">
        <v>780</v>
      </c>
      <c r="BC159">
        <f>IFERROR(BB159*AL159,"-")</f>
        <v>848.96341463414626</v>
      </c>
      <c r="BD159" t="s">
        <v>488</v>
      </c>
    </row>
    <row r="160" spans="1:56" x14ac:dyDescent="0.4">
      <c r="A160" s="3">
        <v>101</v>
      </c>
      <c r="B160" s="3">
        <v>101</v>
      </c>
      <c r="C160" s="4">
        <v>159300</v>
      </c>
      <c r="D160" s="4" t="str">
        <f t="shared" si="35"/>
        <v>159300</v>
      </c>
      <c r="E160" s="4">
        <v>159300</v>
      </c>
      <c r="F160" s="4" t="s">
        <v>207</v>
      </c>
      <c r="G160" s="5">
        <v>4535627106478</v>
      </c>
      <c r="H160" s="5"/>
      <c r="I160" s="5"/>
      <c r="J160" s="5">
        <v>1</v>
      </c>
      <c r="K160" s="5">
        <v>1</v>
      </c>
      <c r="L160" s="4">
        <v>790</v>
      </c>
      <c r="M160" s="4">
        <v>460</v>
      </c>
      <c r="N160" s="4">
        <v>332</v>
      </c>
      <c r="O160" s="6">
        <f t="shared" si="36"/>
        <v>0.27826086956521734</v>
      </c>
      <c r="P160" s="4" t="s">
        <v>699</v>
      </c>
      <c r="Q160" s="4" t="s">
        <v>699</v>
      </c>
      <c r="R160" s="4" t="s">
        <v>699</v>
      </c>
      <c r="S160" s="4">
        <v>850</v>
      </c>
      <c r="T160" s="4">
        <f t="shared" si="37"/>
        <v>850</v>
      </c>
      <c r="U160" s="4">
        <v>357</v>
      </c>
      <c r="V160" s="4">
        <f t="shared" si="38"/>
        <v>357</v>
      </c>
      <c r="W160" s="4"/>
      <c r="X160" s="21">
        <f t="shared" si="39"/>
        <v>495</v>
      </c>
      <c r="Y160" s="6">
        <f t="shared" si="40"/>
        <v>0.27878787878787881</v>
      </c>
      <c r="Z160" s="33">
        <v>4</v>
      </c>
      <c r="AA160" s="4">
        <f t="shared" si="41"/>
        <v>454</v>
      </c>
      <c r="AB160" s="33">
        <f t="shared" si="42"/>
        <v>488.18674698795184</v>
      </c>
      <c r="AC160" s="6">
        <f t="shared" si="43"/>
        <v>0.26872246696035251</v>
      </c>
      <c r="AD160" s="7">
        <v>570</v>
      </c>
      <c r="AE160" s="6">
        <f t="shared" si="44"/>
        <v>0.37368421052631584</v>
      </c>
      <c r="AF160" s="4">
        <f t="shared" si="45"/>
        <v>213</v>
      </c>
      <c r="AG160" s="28"/>
      <c r="AH160" s="6"/>
      <c r="AI160" s="6"/>
      <c r="AJ160" s="6">
        <f t="shared" si="46"/>
        <v>1.0759493670886076</v>
      </c>
      <c r="AK160" s="6">
        <f t="shared" si="47"/>
        <v>1.2391304347826086</v>
      </c>
      <c r="AL160" s="6">
        <f t="shared" si="48"/>
        <v>1.0753012048192772</v>
      </c>
      <c r="AM160" s="4" t="str">
        <f t="shared" si="49"/>
        <v>-</v>
      </c>
      <c r="AN160" s="4" t="str">
        <f>IF(Q160="","-",Q160)</f>
        <v>-</v>
      </c>
      <c r="AO160" s="4" t="str">
        <f>IF(R160="","-",R160)</f>
        <v>-</v>
      </c>
      <c r="AP160" s="4" t="s">
        <v>415</v>
      </c>
      <c r="AQ160" s="4" t="s">
        <v>816</v>
      </c>
      <c r="AR160" s="4"/>
      <c r="AS160" s="4"/>
      <c r="AT160" s="4" t="s">
        <v>721</v>
      </c>
      <c r="AU160" s="4">
        <v>454</v>
      </c>
      <c r="AV160" s="4">
        <f t="shared" si="50"/>
        <v>454</v>
      </c>
      <c r="AW160" s="19">
        <v>4</v>
      </c>
      <c r="AX160" s="19">
        <v>1</v>
      </c>
      <c r="AY160" s="16">
        <v>19</v>
      </c>
      <c r="AZ160" t="s">
        <v>699</v>
      </c>
      <c r="BA160" t="str">
        <f>IFERROR(AZ160*AL160,"-")</f>
        <v>-</v>
      </c>
      <c r="BB160">
        <v>658</v>
      </c>
      <c r="BC160">
        <f>IFERROR(BB160*AL160,"-")</f>
        <v>707.54819277108436</v>
      </c>
      <c r="BD160" t="s">
        <v>515</v>
      </c>
    </row>
    <row r="161" spans="1:56" x14ac:dyDescent="0.4">
      <c r="A161" s="3">
        <v>151</v>
      </c>
      <c r="B161" s="3">
        <v>151</v>
      </c>
      <c r="C161" s="4">
        <v>328846</v>
      </c>
      <c r="D161" s="4" t="str">
        <f t="shared" si="35"/>
        <v>328846</v>
      </c>
      <c r="E161" s="4">
        <v>328846</v>
      </c>
      <c r="F161" s="4" t="s">
        <v>257</v>
      </c>
      <c r="G161" s="5">
        <v>4535627101879</v>
      </c>
      <c r="H161" s="5"/>
      <c r="I161" s="5"/>
      <c r="J161" s="5">
        <v>1</v>
      </c>
      <c r="K161" s="5">
        <v>1</v>
      </c>
      <c r="L161" s="4">
        <v>780</v>
      </c>
      <c r="M161" s="4">
        <v>423</v>
      </c>
      <c r="N161" s="4">
        <v>328</v>
      </c>
      <c r="O161" s="6">
        <f t="shared" si="36"/>
        <v>0.22458628841607564</v>
      </c>
      <c r="P161" s="4" t="s">
        <v>699</v>
      </c>
      <c r="Q161" s="4" t="s">
        <v>699</v>
      </c>
      <c r="R161" s="4" t="s">
        <v>699</v>
      </c>
      <c r="S161" s="4">
        <v>850</v>
      </c>
      <c r="T161" s="4">
        <f t="shared" si="37"/>
        <v>850</v>
      </c>
      <c r="U161" s="4">
        <v>357</v>
      </c>
      <c r="V161" s="4">
        <f t="shared" si="38"/>
        <v>357</v>
      </c>
      <c r="W161" s="4"/>
      <c r="X161" s="21">
        <f t="shared" si="39"/>
        <v>460</v>
      </c>
      <c r="Y161" s="6">
        <f t="shared" si="40"/>
        <v>0.22391304347826091</v>
      </c>
      <c r="Z161" s="33">
        <v>0.75</v>
      </c>
      <c r="AA161" s="4">
        <f t="shared" si="41"/>
        <v>462</v>
      </c>
      <c r="AB161" s="33">
        <f t="shared" si="42"/>
        <v>502.84756097560972</v>
      </c>
      <c r="AC161" s="6">
        <f t="shared" si="43"/>
        <v>0.29004329004328999</v>
      </c>
      <c r="AD161" s="7">
        <v>500</v>
      </c>
      <c r="AE161" s="6">
        <f t="shared" si="44"/>
        <v>0.28600000000000003</v>
      </c>
      <c r="AF161" s="4">
        <f t="shared" si="45"/>
        <v>143</v>
      </c>
      <c r="AG161" s="28"/>
      <c r="AH161" s="6"/>
      <c r="AI161" s="6"/>
      <c r="AJ161" s="6">
        <f t="shared" si="46"/>
        <v>1.0897435897435896</v>
      </c>
      <c r="AK161" s="6">
        <f t="shared" si="47"/>
        <v>1.1820330969267139</v>
      </c>
      <c r="AL161" s="6">
        <f t="shared" si="48"/>
        <v>1.0884146341463414</v>
      </c>
      <c r="AM161" s="4" t="str">
        <f t="shared" si="49"/>
        <v>-</v>
      </c>
      <c r="AN161" s="4" t="str">
        <f>IF(Q161="","-",Q161)</f>
        <v>-</v>
      </c>
      <c r="AO161" s="4" t="str">
        <f>IF(R161="","-",R161)</f>
        <v>-</v>
      </c>
      <c r="AP161" s="4" t="s">
        <v>419</v>
      </c>
      <c r="AQ161" s="4" t="s">
        <v>879</v>
      </c>
      <c r="AR161" s="4"/>
      <c r="AS161" s="4"/>
      <c r="AT161" s="4" t="s">
        <v>880</v>
      </c>
      <c r="AU161" s="4">
        <v>462</v>
      </c>
      <c r="AV161" s="4">
        <f t="shared" si="50"/>
        <v>462</v>
      </c>
      <c r="AW161" s="19">
        <v>4</v>
      </c>
      <c r="AX161" s="19">
        <v>1</v>
      </c>
      <c r="AY161" s="16">
        <v>19</v>
      </c>
      <c r="AZ161">
        <v>528</v>
      </c>
      <c r="BA161">
        <f>IFERROR(AZ161*AL161,"-")</f>
        <v>574.68292682926824</v>
      </c>
      <c r="BB161">
        <v>628</v>
      </c>
      <c r="BC161">
        <f>IFERROR(BB161*AL161,"-")</f>
        <v>683.52439024390242</v>
      </c>
      <c r="BD161" t="s">
        <v>568</v>
      </c>
    </row>
    <row r="162" spans="1:56" x14ac:dyDescent="0.4">
      <c r="A162" s="3">
        <v>161</v>
      </c>
      <c r="B162" s="3">
        <v>161</v>
      </c>
      <c r="C162" s="4">
        <v>405071</v>
      </c>
      <c r="D162" s="4" t="str">
        <f t="shared" si="35"/>
        <v>405071</v>
      </c>
      <c r="E162" s="4">
        <v>405071</v>
      </c>
      <c r="F162" s="4" t="s">
        <v>267</v>
      </c>
      <c r="G162" s="5">
        <v>4535627106300</v>
      </c>
      <c r="H162" s="5"/>
      <c r="I162" s="5"/>
      <c r="J162" s="5">
        <v>1</v>
      </c>
      <c r="K162" s="5">
        <v>1</v>
      </c>
      <c r="L162" s="4">
        <v>790</v>
      </c>
      <c r="M162" s="4">
        <v>460</v>
      </c>
      <c r="N162" s="4">
        <v>332</v>
      </c>
      <c r="O162" s="6">
        <f t="shared" si="36"/>
        <v>0.27826086956521734</v>
      </c>
      <c r="P162" s="4" t="s">
        <v>699</v>
      </c>
      <c r="Q162" s="4" t="s">
        <v>699</v>
      </c>
      <c r="R162" s="4" t="s">
        <v>699</v>
      </c>
      <c r="S162" s="4">
        <v>850</v>
      </c>
      <c r="T162" s="4">
        <f t="shared" si="37"/>
        <v>850</v>
      </c>
      <c r="U162" s="4">
        <v>357</v>
      </c>
      <c r="V162" s="4">
        <f t="shared" si="38"/>
        <v>357</v>
      </c>
      <c r="W162" s="4"/>
      <c r="X162" s="21">
        <f t="shared" si="39"/>
        <v>495</v>
      </c>
      <c r="Y162" s="6">
        <f t="shared" si="40"/>
        <v>0.27878787878787881</v>
      </c>
      <c r="Z162" s="33">
        <v>28.249999999999996</v>
      </c>
      <c r="AA162" s="4">
        <f t="shared" si="41"/>
        <v>452</v>
      </c>
      <c r="AB162" s="33">
        <f t="shared" si="42"/>
        <v>486.03614457831327</v>
      </c>
      <c r="AC162" s="6">
        <f t="shared" si="43"/>
        <v>0.26548672566371689</v>
      </c>
      <c r="AD162" s="7">
        <v>550</v>
      </c>
      <c r="AE162" s="6">
        <f t="shared" si="44"/>
        <v>0.35090909090909095</v>
      </c>
      <c r="AF162" s="4">
        <f t="shared" si="45"/>
        <v>193</v>
      </c>
      <c r="AG162" s="28"/>
      <c r="AH162" s="6"/>
      <c r="AI162" s="6"/>
      <c r="AJ162" s="6">
        <f t="shared" si="46"/>
        <v>1.0759493670886076</v>
      </c>
      <c r="AK162" s="6">
        <f t="shared" si="47"/>
        <v>1.1956521739130435</v>
      </c>
      <c r="AL162" s="6">
        <f t="shared" si="48"/>
        <v>1.0753012048192772</v>
      </c>
      <c r="AM162" s="4" t="str">
        <f t="shared" si="49"/>
        <v>-</v>
      </c>
      <c r="AN162" s="4" t="str">
        <f>IF(Q162="","-",Q162)</f>
        <v>-</v>
      </c>
      <c r="AO162" s="4" t="str">
        <f>IF(R162="","-",R162)</f>
        <v>-</v>
      </c>
      <c r="AP162" s="4" t="s">
        <v>415</v>
      </c>
      <c r="AQ162" s="4" t="s">
        <v>891</v>
      </c>
      <c r="AR162" s="4"/>
      <c r="AS162" s="4"/>
      <c r="AT162" s="4" t="s">
        <v>721</v>
      </c>
      <c r="AU162" s="4">
        <v>452</v>
      </c>
      <c r="AV162" s="4">
        <f t="shared" si="50"/>
        <v>452</v>
      </c>
      <c r="AW162" s="19">
        <v>4</v>
      </c>
      <c r="AX162" s="19">
        <v>1</v>
      </c>
      <c r="AY162" s="16">
        <v>19</v>
      </c>
      <c r="AZ162" t="s">
        <v>699</v>
      </c>
      <c r="BA162" t="str">
        <f>IFERROR(AZ162*AL162,"-")</f>
        <v>-</v>
      </c>
      <c r="BB162">
        <v>658</v>
      </c>
      <c r="BC162">
        <f>IFERROR(BB162*AL162,"-")</f>
        <v>707.54819277108436</v>
      </c>
      <c r="BD162" t="s">
        <v>578</v>
      </c>
    </row>
    <row r="163" spans="1:56" x14ac:dyDescent="0.4">
      <c r="A163" s="3">
        <v>242</v>
      </c>
      <c r="B163" s="3">
        <v>242</v>
      </c>
      <c r="C163" s="4" t="s">
        <v>65</v>
      </c>
      <c r="D163" s="4" t="str">
        <f t="shared" si="35"/>
        <v>J371WK</v>
      </c>
      <c r="E163" s="4" t="s">
        <v>65</v>
      </c>
      <c r="F163" s="4" t="s">
        <v>348</v>
      </c>
      <c r="G163" s="5">
        <v>4535627540043</v>
      </c>
      <c r="H163" s="5"/>
      <c r="I163" s="5"/>
      <c r="J163" s="5">
        <v>1</v>
      </c>
      <c r="K163" s="5">
        <v>1</v>
      </c>
      <c r="L163" s="4">
        <v>850</v>
      </c>
      <c r="M163" s="4">
        <v>480</v>
      </c>
      <c r="N163" s="4">
        <v>340</v>
      </c>
      <c r="O163" s="6">
        <f t="shared" si="36"/>
        <v>0.29166666666666663</v>
      </c>
      <c r="P163" s="4" t="s">
        <v>699</v>
      </c>
      <c r="Q163" s="4" t="s">
        <v>699</v>
      </c>
      <c r="R163" s="4" t="s">
        <v>699</v>
      </c>
      <c r="S163" s="4">
        <v>900</v>
      </c>
      <c r="T163" s="4">
        <f t="shared" si="37"/>
        <v>900</v>
      </c>
      <c r="U163" s="4">
        <v>360</v>
      </c>
      <c r="V163" s="4">
        <f t="shared" si="38"/>
        <v>360</v>
      </c>
      <c r="W163" s="4"/>
      <c r="X163" s="21">
        <f t="shared" si="39"/>
        <v>508</v>
      </c>
      <c r="Y163" s="6">
        <f t="shared" si="40"/>
        <v>0.29133858267716539</v>
      </c>
      <c r="Z163" s="33">
        <v>0.75</v>
      </c>
      <c r="AA163" s="4">
        <f t="shared" si="41"/>
        <v>808</v>
      </c>
      <c r="AB163" s="33">
        <f t="shared" si="42"/>
        <v>855.52941176470586</v>
      </c>
      <c r="AC163" s="6">
        <f t="shared" si="43"/>
        <v>0.57920792079207917</v>
      </c>
      <c r="AD163" s="7">
        <v>580</v>
      </c>
      <c r="AE163" s="6">
        <f t="shared" si="44"/>
        <v>0.37931034482758619</v>
      </c>
      <c r="AF163" s="4">
        <f t="shared" si="45"/>
        <v>220</v>
      </c>
      <c r="AG163" s="28"/>
      <c r="AH163" s="6"/>
      <c r="AI163" s="6"/>
      <c r="AJ163" s="6">
        <f t="shared" si="46"/>
        <v>1.0588235294117647</v>
      </c>
      <c r="AK163" s="6">
        <f t="shared" si="47"/>
        <v>1.2083333333333333</v>
      </c>
      <c r="AL163" s="6">
        <f t="shared" si="48"/>
        <v>1.0588235294117647</v>
      </c>
      <c r="AM163" s="4" t="str">
        <f t="shared" si="49"/>
        <v>-</v>
      </c>
      <c r="AN163" s="4" t="str">
        <f>IF(Q163="","-",Q163)</f>
        <v>-</v>
      </c>
      <c r="AO163" s="4" t="str">
        <f>IF(R163="","-",R163)</f>
        <v>-</v>
      </c>
      <c r="AP163" s="4">
        <v>0</v>
      </c>
      <c r="AQ163" s="4" t="s">
        <v>985</v>
      </c>
      <c r="AR163" s="4"/>
      <c r="AS163" s="4"/>
      <c r="AT163" s="4" t="s">
        <v>705</v>
      </c>
      <c r="AU163" s="4">
        <v>808</v>
      </c>
      <c r="AV163" s="4">
        <f t="shared" si="50"/>
        <v>808</v>
      </c>
      <c r="AW163" s="19">
        <v>4</v>
      </c>
      <c r="AX163" s="19">
        <v>1</v>
      </c>
      <c r="AY163" s="16">
        <v>19</v>
      </c>
      <c r="AZ163" t="s">
        <v>699</v>
      </c>
      <c r="BA163" t="str">
        <f>IFERROR(AZ163*AL163,"-")</f>
        <v>-</v>
      </c>
      <c r="BB163">
        <v>714</v>
      </c>
      <c r="BC163">
        <f>IFERROR(BB163*AL163,"-")</f>
        <v>756</v>
      </c>
      <c r="BD163" t="s">
        <v>658</v>
      </c>
    </row>
    <row r="164" spans="1:56" x14ac:dyDescent="0.4">
      <c r="A164" s="3">
        <v>97</v>
      </c>
      <c r="B164" s="3">
        <v>97</v>
      </c>
      <c r="C164" s="4">
        <v>159296</v>
      </c>
      <c r="D164" s="4" t="str">
        <f t="shared" si="35"/>
        <v>159296</v>
      </c>
      <c r="E164" s="4">
        <v>159296</v>
      </c>
      <c r="F164" s="4" t="s">
        <v>203</v>
      </c>
      <c r="G164" s="5">
        <v>4535627108939</v>
      </c>
      <c r="H164" s="5"/>
      <c r="I164" s="5"/>
      <c r="J164" s="5">
        <v>1</v>
      </c>
      <c r="K164" s="5">
        <v>1</v>
      </c>
      <c r="L164" s="4">
        <v>820</v>
      </c>
      <c r="M164" s="4">
        <v>493</v>
      </c>
      <c r="N164" s="4">
        <v>344</v>
      </c>
      <c r="O164" s="6">
        <f t="shared" si="36"/>
        <v>0.30223123732251522</v>
      </c>
      <c r="P164" s="4" t="s">
        <v>699</v>
      </c>
      <c r="Q164" s="4" t="s">
        <v>699</v>
      </c>
      <c r="R164" s="4" t="s">
        <v>699</v>
      </c>
      <c r="S164" s="4">
        <v>900</v>
      </c>
      <c r="T164" s="4">
        <f t="shared" si="37"/>
        <v>900</v>
      </c>
      <c r="U164" s="4">
        <v>378</v>
      </c>
      <c r="V164" s="4">
        <f t="shared" si="38"/>
        <v>378</v>
      </c>
      <c r="W164" s="4"/>
      <c r="X164" s="21">
        <f t="shared" si="39"/>
        <v>542</v>
      </c>
      <c r="Y164" s="6">
        <f t="shared" si="40"/>
        <v>0.30258302583025831</v>
      </c>
      <c r="Z164" s="33">
        <v>1.5</v>
      </c>
      <c r="AA164" s="4">
        <f t="shared" si="41"/>
        <v>710</v>
      </c>
      <c r="AB164" s="33">
        <f t="shared" si="42"/>
        <v>780.17441860465112</v>
      </c>
      <c r="AC164" s="6">
        <f t="shared" si="43"/>
        <v>0.51549295774647885</v>
      </c>
      <c r="AD164" s="7">
        <v>600</v>
      </c>
      <c r="AE164" s="6">
        <f t="shared" si="44"/>
        <v>0.37</v>
      </c>
      <c r="AF164" s="4">
        <f t="shared" si="45"/>
        <v>222</v>
      </c>
      <c r="AG164" s="28"/>
      <c r="AH164" s="6"/>
      <c r="AI164" s="6"/>
      <c r="AJ164" s="6">
        <f t="shared" si="46"/>
        <v>1.0975609756097562</v>
      </c>
      <c r="AK164" s="6">
        <f t="shared" si="47"/>
        <v>1.2170385395537526</v>
      </c>
      <c r="AL164" s="6">
        <f t="shared" si="48"/>
        <v>1.0988372093023255</v>
      </c>
      <c r="AM164" s="4" t="str">
        <f t="shared" ref="AM164:AM180" si="51">IFERROR(ROUND($AD164*P164/$M164,0),"-")</f>
        <v>-</v>
      </c>
      <c r="AN164" s="4" t="str">
        <f>IF(Q164="","-",Q164)</f>
        <v>-</v>
      </c>
      <c r="AO164" s="4" t="str">
        <f>IF(R164="","-",R164)</f>
        <v>-</v>
      </c>
      <c r="AP164" s="4" t="s">
        <v>414</v>
      </c>
      <c r="AQ164" s="4" t="s">
        <v>810</v>
      </c>
      <c r="AR164" s="4"/>
      <c r="AS164" s="4"/>
      <c r="AT164" s="4" t="s">
        <v>811</v>
      </c>
      <c r="AU164" s="4">
        <v>710</v>
      </c>
      <c r="AV164" s="4">
        <f t="shared" si="50"/>
        <v>710</v>
      </c>
      <c r="AW164" s="19">
        <v>4</v>
      </c>
      <c r="AX164" s="19">
        <v>1</v>
      </c>
      <c r="AY164" s="16">
        <v>19</v>
      </c>
      <c r="AZ164">
        <v>550</v>
      </c>
      <c r="BA164">
        <f>IFERROR(AZ164*AL164,"-")</f>
        <v>604.36046511627899</v>
      </c>
      <c r="BB164">
        <v>656</v>
      </c>
      <c r="BC164">
        <f>IFERROR(BB164*AL164,"-")</f>
        <v>720.8372093023255</v>
      </c>
      <c r="BD164" t="s">
        <v>511</v>
      </c>
    </row>
    <row r="165" spans="1:56" x14ac:dyDescent="0.4">
      <c r="A165" s="3">
        <v>98</v>
      </c>
      <c r="B165" s="3">
        <v>98</v>
      </c>
      <c r="C165" s="4">
        <v>159297</v>
      </c>
      <c r="D165" s="4" t="str">
        <f t="shared" si="35"/>
        <v>159297</v>
      </c>
      <c r="E165" s="4">
        <v>159297</v>
      </c>
      <c r="F165" s="4" t="s">
        <v>204</v>
      </c>
      <c r="G165" s="5">
        <v>4535627108946</v>
      </c>
      <c r="H165" s="5"/>
      <c r="I165" s="5"/>
      <c r="J165" s="5">
        <v>1</v>
      </c>
      <c r="K165" s="5">
        <v>1</v>
      </c>
      <c r="L165" s="4">
        <v>820</v>
      </c>
      <c r="M165" s="4">
        <v>487</v>
      </c>
      <c r="N165" s="4">
        <v>344</v>
      </c>
      <c r="O165" s="6">
        <f t="shared" si="36"/>
        <v>0.29363449691991783</v>
      </c>
      <c r="P165" s="4" t="s">
        <v>699</v>
      </c>
      <c r="Q165" s="4" t="s">
        <v>699</v>
      </c>
      <c r="R165" s="4" t="s">
        <v>699</v>
      </c>
      <c r="S165" s="4">
        <v>900</v>
      </c>
      <c r="T165" s="4">
        <f t="shared" si="37"/>
        <v>900</v>
      </c>
      <c r="U165" s="4">
        <v>378</v>
      </c>
      <c r="V165" s="4">
        <f t="shared" si="38"/>
        <v>378</v>
      </c>
      <c r="W165" s="4"/>
      <c r="X165" s="21">
        <f t="shared" si="39"/>
        <v>535</v>
      </c>
      <c r="Y165" s="6">
        <f t="shared" si="40"/>
        <v>0.29345794392523361</v>
      </c>
      <c r="Z165" s="33">
        <v>0.75</v>
      </c>
      <c r="AA165" s="4">
        <f t="shared" si="41"/>
        <v>744</v>
      </c>
      <c r="AB165" s="33">
        <f t="shared" si="42"/>
        <v>817.53488372093022</v>
      </c>
      <c r="AC165" s="6">
        <f t="shared" si="43"/>
        <v>0.5376344086021505</v>
      </c>
      <c r="AD165" s="7">
        <v>600</v>
      </c>
      <c r="AE165" s="6">
        <f t="shared" si="44"/>
        <v>0.37</v>
      </c>
      <c r="AF165" s="4">
        <f t="shared" si="45"/>
        <v>222</v>
      </c>
      <c r="AG165" s="28"/>
      <c r="AH165" s="6"/>
      <c r="AI165" s="6"/>
      <c r="AJ165" s="6">
        <f t="shared" si="46"/>
        <v>1.0975609756097562</v>
      </c>
      <c r="AK165" s="6">
        <f t="shared" si="47"/>
        <v>1.2320328542094456</v>
      </c>
      <c r="AL165" s="6">
        <f t="shared" si="48"/>
        <v>1.0988372093023255</v>
      </c>
      <c r="AM165" s="4" t="str">
        <f t="shared" si="51"/>
        <v>-</v>
      </c>
      <c r="AN165" s="4" t="str">
        <f>IF(Q165="","-",Q165)</f>
        <v>-</v>
      </c>
      <c r="AO165" s="4" t="str">
        <f>IF(R165="","-",R165)</f>
        <v>-</v>
      </c>
      <c r="AP165" s="4" t="s">
        <v>414</v>
      </c>
      <c r="AQ165" s="4" t="s">
        <v>812</v>
      </c>
      <c r="AR165" s="4"/>
      <c r="AS165" s="4"/>
      <c r="AT165" s="4" t="s">
        <v>789</v>
      </c>
      <c r="AU165" s="4">
        <v>744</v>
      </c>
      <c r="AV165" s="4">
        <f t="shared" si="50"/>
        <v>744</v>
      </c>
      <c r="AW165" s="19">
        <v>4</v>
      </c>
      <c r="AX165" s="19">
        <v>1</v>
      </c>
      <c r="AY165" s="16">
        <v>19</v>
      </c>
      <c r="AZ165" t="s">
        <v>699</v>
      </c>
      <c r="BA165" t="str">
        <f>IFERROR(AZ165*AL165,"-")</f>
        <v>-</v>
      </c>
      <c r="BB165">
        <v>656</v>
      </c>
      <c r="BC165">
        <f>IFERROR(BB165*AL165,"-")</f>
        <v>720.8372093023255</v>
      </c>
      <c r="BD165" t="s">
        <v>512</v>
      </c>
    </row>
    <row r="166" spans="1:56" x14ac:dyDescent="0.4">
      <c r="A166" s="3">
        <v>99</v>
      </c>
      <c r="B166" s="3">
        <v>99</v>
      </c>
      <c r="C166" s="4">
        <v>159298</v>
      </c>
      <c r="D166" s="4" t="str">
        <f t="shared" si="35"/>
        <v>159298</v>
      </c>
      <c r="E166" s="4">
        <v>159298</v>
      </c>
      <c r="F166" s="4" t="s">
        <v>205</v>
      </c>
      <c r="G166" s="5">
        <v>4535627108953</v>
      </c>
      <c r="H166" s="5"/>
      <c r="I166" s="5"/>
      <c r="J166" s="5">
        <v>1</v>
      </c>
      <c r="K166" s="5">
        <v>1</v>
      </c>
      <c r="L166" s="4">
        <v>820</v>
      </c>
      <c r="M166" s="4">
        <v>487</v>
      </c>
      <c r="N166" s="4">
        <v>344</v>
      </c>
      <c r="O166" s="6">
        <f t="shared" si="36"/>
        <v>0.29363449691991783</v>
      </c>
      <c r="P166" s="4" t="s">
        <v>699</v>
      </c>
      <c r="Q166" s="4" t="s">
        <v>699</v>
      </c>
      <c r="R166" s="4" t="s">
        <v>699</v>
      </c>
      <c r="S166" s="4">
        <v>900</v>
      </c>
      <c r="T166" s="4">
        <f t="shared" si="37"/>
        <v>900</v>
      </c>
      <c r="U166" s="4">
        <v>378</v>
      </c>
      <c r="V166" s="4">
        <f t="shared" si="38"/>
        <v>378</v>
      </c>
      <c r="W166" s="4"/>
      <c r="X166" s="21">
        <f t="shared" si="39"/>
        <v>535</v>
      </c>
      <c r="Y166" s="6">
        <f t="shared" si="40"/>
        <v>0.29345794392523361</v>
      </c>
      <c r="Z166" s="33">
        <v>1</v>
      </c>
      <c r="AA166" s="4">
        <f t="shared" si="41"/>
        <v>863.90000000000009</v>
      </c>
      <c r="AB166" s="33">
        <f t="shared" si="42"/>
        <v>949.28546511627917</v>
      </c>
      <c r="AC166" s="6">
        <f t="shared" si="43"/>
        <v>0.60180576455608292</v>
      </c>
      <c r="AD166" s="7">
        <v>600</v>
      </c>
      <c r="AE166" s="6">
        <f t="shared" si="44"/>
        <v>0.37</v>
      </c>
      <c r="AF166" s="4">
        <f t="shared" si="45"/>
        <v>222</v>
      </c>
      <c r="AG166" s="28"/>
      <c r="AH166" s="6"/>
      <c r="AI166" s="6"/>
      <c r="AJ166" s="6">
        <f t="shared" si="46"/>
        <v>1.0975609756097562</v>
      </c>
      <c r="AK166" s="6">
        <f t="shared" si="47"/>
        <v>1.2320328542094456</v>
      </c>
      <c r="AL166" s="6">
        <f t="shared" si="48"/>
        <v>1.0988372093023255</v>
      </c>
      <c r="AM166" s="4" t="str">
        <f t="shared" si="51"/>
        <v>-</v>
      </c>
      <c r="AN166" s="4" t="str">
        <f>IF(Q166="","-",Q166)</f>
        <v>-</v>
      </c>
      <c r="AO166" s="4" t="str">
        <f>IF(R166="","-",R166)</f>
        <v>-</v>
      </c>
      <c r="AP166" s="4" t="s">
        <v>414</v>
      </c>
      <c r="AQ166" s="4" t="s">
        <v>813</v>
      </c>
      <c r="AR166" s="4">
        <v>1</v>
      </c>
      <c r="AS166" s="4">
        <v>10</v>
      </c>
      <c r="AT166" s="4" t="s">
        <v>814</v>
      </c>
      <c r="AU166" s="4">
        <v>8639</v>
      </c>
      <c r="AV166" s="4">
        <f t="shared" si="50"/>
        <v>863.90000000000009</v>
      </c>
      <c r="AW166" s="19">
        <v>4</v>
      </c>
      <c r="AX166" s="19">
        <v>1</v>
      </c>
      <c r="AY166" s="16">
        <v>19</v>
      </c>
      <c r="AZ166" t="s">
        <v>699</v>
      </c>
      <c r="BA166" t="str">
        <f>IFERROR(AZ166*AL166,"-")</f>
        <v>-</v>
      </c>
      <c r="BB166">
        <v>656</v>
      </c>
      <c r="BC166">
        <f>IFERROR(BB166*AL166,"-")</f>
        <v>720.8372093023255</v>
      </c>
      <c r="BD166" t="s">
        <v>513</v>
      </c>
    </row>
    <row r="167" spans="1:56" x14ac:dyDescent="0.4">
      <c r="A167" s="3">
        <v>100</v>
      </c>
      <c r="B167" s="3">
        <v>100</v>
      </c>
      <c r="C167" s="4">
        <v>159299</v>
      </c>
      <c r="D167" s="4" t="str">
        <f t="shared" si="35"/>
        <v>159299</v>
      </c>
      <c r="E167" s="4">
        <v>159299</v>
      </c>
      <c r="F167" s="4" t="s">
        <v>206</v>
      </c>
      <c r="G167" s="5">
        <v>4535627108960</v>
      </c>
      <c r="H167" s="5"/>
      <c r="I167" s="5"/>
      <c r="J167" s="5">
        <v>1</v>
      </c>
      <c r="K167" s="5">
        <v>1</v>
      </c>
      <c r="L167" s="4">
        <v>820</v>
      </c>
      <c r="M167" s="4">
        <v>493</v>
      </c>
      <c r="N167" s="4">
        <v>344</v>
      </c>
      <c r="O167" s="6">
        <f t="shared" si="36"/>
        <v>0.30223123732251522</v>
      </c>
      <c r="P167" s="4" t="s">
        <v>699</v>
      </c>
      <c r="Q167" s="4" t="s">
        <v>699</v>
      </c>
      <c r="R167" s="4" t="s">
        <v>699</v>
      </c>
      <c r="S167" s="4">
        <v>900</v>
      </c>
      <c r="T167" s="4">
        <f t="shared" si="37"/>
        <v>900</v>
      </c>
      <c r="U167" s="4">
        <v>378</v>
      </c>
      <c r="V167" s="4">
        <f t="shared" si="38"/>
        <v>378</v>
      </c>
      <c r="W167" s="4"/>
      <c r="X167" s="21">
        <f t="shared" si="39"/>
        <v>542</v>
      </c>
      <c r="Y167" s="6">
        <f t="shared" si="40"/>
        <v>0.30258302583025831</v>
      </c>
      <c r="Z167" s="33">
        <v>8</v>
      </c>
      <c r="AA167" s="4">
        <f t="shared" si="41"/>
        <v>550</v>
      </c>
      <c r="AB167" s="33">
        <f t="shared" si="42"/>
        <v>604.36046511627899</v>
      </c>
      <c r="AC167" s="6">
        <f t="shared" si="43"/>
        <v>0.37454545454545451</v>
      </c>
      <c r="AD167" s="7">
        <v>600</v>
      </c>
      <c r="AE167" s="6">
        <f t="shared" si="44"/>
        <v>0.37</v>
      </c>
      <c r="AF167" s="4">
        <f t="shared" si="45"/>
        <v>222</v>
      </c>
      <c r="AG167" s="28"/>
      <c r="AH167" s="6"/>
      <c r="AI167" s="6"/>
      <c r="AJ167" s="6">
        <f t="shared" si="46"/>
        <v>1.0975609756097562</v>
      </c>
      <c r="AK167" s="6">
        <f t="shared" si="47"/>
        <v>1.2170385395537526</v>
      </c>
      <c r="AL167" s="6">
        <f t="shared" si="48"/>
        <v>1.0988372093023255</v>
      </c>
      <c r="AM167" s="4" t="str">
        <f t="shared" si="51"/>
        <v>-</v>
      </c>
      <c r="AN167" s="4" t="str">
        <f>IF(Q167="","-",Q167)</f>
        <v>-</v>
      </c>
      <c r="AO167" s="4" t="str">
        <f>IF(R167="","-",R167)</f>
        <v>-</v>
      </c>
      <c r="AP167" s="4" t="s">
        <v>414</v>
      </c>
      <c r="AQ167" s="4" t="s">
        <v>815</v>
      </c>
      <c r="AR167" s="4"/>
      <c r="AS167" s="4"/>
      <c r="AT167" s="4" t="s">
        <v>789</v>
      </c>
      <c r="AU167" s="4">
        <v>550</v>
      </c>
      <c r="AV167" s="4">
        <f t="shared" si="50"/>
        <v>550</v>
      </c>
      <c r="AW167" s="19">
        <v>4</v>
      </c>
      <c r="AX167" s="19">
        <v>1</v>
      </c>
      <c r="AY167" s="16">
        <v>19</v>
      </c>
      <c r="AZ167">
        <v>550</v>
      </c>
      <c r="BA167">
        <f>IFERROR(AZ167*AL167,"-")</f>
        <v>604.36046511627899</v>
      </c>
      <c r="BB167">
        <v>656</v>
      </c>
      <c r="BC167">
        <f>IFERROR(BB167*AL167,"-")</f>
        <v>720.8372093023255</v>
      </c>
      <c r="BD167" t="s">
        <v>514</v>
      </c>
    </row>
    <row r="168" spans="1:56" x14ac:dyDescent="0.4">
      <c r="A168" s="3">
        <v>105</v>
      </c>
      <c r="B168" s="3">
        <v>105</v>
      </c>
      <c r="C168" s="4">
        <v>168822</v>
      </c>
      <c r="D168" s="4" t="str">
        <f t="shared" si="35"/>
        <v>168822</v>
      </c>
      <c r="E168" s="4">
        <v>168822</v>
      </c>
      <c r="F168" s="4" t="s">
        <v>211</v>
      </c>
      <c r="G168" s="5">
        <v>4535627107543</v>
      </c>
      <c r="H168" s="5"/>
      <c r="I168" s="5"/>
      <c r="J168" s="5">
        <v>1</v>
      </c>
      <c r="K168" s="5">
        <v>1</v>
      </c>
      <c r="L168" s="4">
        <v>0</v>
      </c>
      <c r="M168" s="4">
        <v>591</v>
      </c>
      <c r="N168" s="4">
        <v>365</v>
      </c>
      <c r="O168" s="6">
        <f t="shared" si="36"/>
        <v>0.38240270727580372</v>
      </c>
      <c r="P168" s="4" t="s">
        <v>699</v>
      </c>
      <c r="Q168" s="4" t="s">
        <v>699</v>
      </c>
      <c r="R168" s="4" t="s">
        <v>699</v>
      </c>
      <c r="S168" s="4">
        <v>0</v>
      </c>
      <c r="T168" s="4">
        <f t="shared" si="37"/>
        <v>0</v>
      </c>
      <c r="U168" s="4">
        <v>378</v>
      </c>
      <c r="V168" s="4">
        <f t="shared" si="38"/>
        <v>378</v>
      </c>
      <c r="W168" s="4"/>
      <c r="X168" s="21">
        <f t="shared" si="39"/>
        <v>612</v>
      </c>
      <c r="Y168" s="6">
        <f t="shared" si="40"/>
        <v>0.38235294117647056</v>
      </c>
      <c r="Z168" s="33">
        <v>0.75</v>
      </c>
      <c r="AA168" s="4">
        <f t="shared" si="41"/>
        <v>735</v>
      </c>
      <c r="AB168" s="33">
        <f t="shared" si="42"/>
        <v>761.17808219178085</v>
      </c>
      <c r="AC168" s="6">
        <f t="shared" si="43"/>
        <v>0.50340136054421769</v>
      </c>
      <c r="AD168" s="7">
        <v>610</v>
      </c>
      <c r="AE168" s="6">
        <f t="shared" si="44"/>
        <v>0.38032786885245906</v>
      </c>
      <c r="AF168" s="4">
        <f t="shared" si="45"/>
        <v>232</v>
      </c>
      <c r="AG168" s="28"/>
      <c r="AH168" s="6"/>
      <c r="AI168" s="6"/>
      <c r="AJ168" s="6" t="str">
        <f t="shared" si="46"/>
        <v>-</v>
      </c>
      <c r="AK168" s="6">
        <f t="shared" si="47"/>
        <v>1.0321489001692048</v>
      </c>
      <c r="AL168" s="6">
        <f t="shared" si="48"/>
        <v>1.0356164383561643</v>
      </c>
      <c r="AM168" s="4" t="str">
        <f t="shared" si="51"/>
        <v>-</v>
      </c>
      <c r="AN168" s="4" t="str">
        <f>IF(Q168="","-",Q168)</f>
        <v>-</v>
      </c>
      <c r="AO168" s="4" t="str">
        <f>IF(R168="","-",R168)</f>
        <v>-</v>
      </c>
      <c r="AP168" s="4">
        <v>0</v>
      </c>
      <c r="AQ168" s="4" t="s">
        <v>820</v>
      </c>
      <c r="AR168" s="4"/>
      <c r="AS168" s="4"/>
      <c r="AT168" s="4" t="s">
        <v>721</v>
      </c>
      <c r="AU168" s="4">
        <v>735</v>
      </c>
      <c r="AV168" s="4">
        <f t="shared" si="50"/>
        <v>735</v>
      </c>
      <c r="AW168" s="19">
        <v>4</v>
      </c>
      <c r="AX168" s="19">
        <v>1</v>
      </c>
      <c r="AY168" s="16">
        <v>19</v>
      </c>
      <c r="AZ168" t="s">
        <v>699</v>
      </c>
      <c r="BA168" t="str">
        <f>IFERROR(AZ168*AL168,"-")</f>
        <v>-</v>
      </c>
      <c r="BB168" t="s">
        <v>699</v>
      </c>
      <c r="BC168" t="str">
        <f>IFERROR(BB168*AL168,"-")</f>
        <v>-</v>
      </c>
      <c r="BD168" t="s">
        <v>519</v>
      </c>
    </row>
    <row r="169" spans="1:56" x14ac:dyDescent="0.4">
      <c r="A169" s="3">
        <v>93</v>
      </c>
      <c r="B169" s="3">
        <v>93</v>
      </c>
      <c r="C169" s="4">
        <v>120849</v>
      </c>
      <c r="D169" s="4" t="str">
        <f t="shared" si="35"/>
        <v>120849</v>
      </c>
      <c r="E169" s="4">
        <v>120849</v>
      </c>
      <c r="F169" s="4" t="s">
        <v>199</v>
      </c>
      <c r="G169" s="5">
        <v>4535627103156</v>
      </c>
      <c r="H169" s="5"/>
      <c r="I169" s="5"/>
      <c r="J169" s="5">
        <v>1</v>
      </c>
      <c r="K169" s="5">
        <v>1</v>
      </c>
      <c r="L169" s="4">
        <v>900</v>
      </c>
      <c r="M169" s="4">
        <v>597</v>
      </c>
      <c r="N169" s="4">
        <v>360</v>
      </c>
      <c r="O169" s="6">
        <f t="shared" si="36"/>
        <v>0.39698492462311563</v>
      </c>
      <c r="P169" s="4" t="s">
        <v>699</v>
      </c>
      <c r="Q169" s="4" t="s">
        <v>699</v>
      </c>
      <c r="R169" s="4" t="s">
        <v>699</v>
      </c>
      <c r="S169" s="4">
        <v>960</v>
      </c>
      <c r="T169" s="4">
        <f t="shared" si="37"/>
        <v>960</v>
      </c>
      <c r="U169" s="4">
        <v>384</v>
      </c>
      <c r="V169" s="4">
        <f t="shared" si="38"/>
        <v>384</v>
      </c>
      <c r="W169" s="4"/>
      <c r="X169" s="21">
        <f t="shared" si="39"/>
        <v>637</v>
      </c>
      <c r="Y169" s="6">
        <f t="shared" si="40"/>
        <v>0.39717425431711151</v>
      </c>
      <c r="Z169" s="33">
        <v>2</v>
      </c>
      <c r="AA169" s="4">
        <f t="shared" si="41"/>
        <v>735</v>
      </c>
      <c r="AB169" s="33">
        <f t="shared" si="42"/>
        <v>784</v>
      </c>
      <c r="AC169" s="6">
        <f t="shared" si="43"/>
        <v>0.51020408163265307</v>
      </c>
      <c r="AD169" s="7">
        <v>630</v>
      </c>
      <c r="AE169" s="6">
        <f t="shared" si="44"/>
        <v>0.39047619047619042</v>
      </c>
      <c r="AF169" s="4">
        <f t="shared" si="45"/>
        <v>246</v>
      </c>
      <c r="AG169" s="28"/>
      <c r="AH169" s="6"/>
      <c r="AI169" s="6"/>
      <c r="AJ169" s="6">
        <f t="shared" si="46"/>
        <v>1.0666666666666667</v>
      </c>
      <c r="AK169" s="6">
        <f t="shared" si="47"/>
        <v>1.0552763819095476</v>
      </c>
      <c r="AL169" s="6">
        <f t="shared" si="48"/>
        <v>1.0666666666666667</v>
      </c>
      <c r="AM169" s="4" t="str">
        <f t="shared" si="51"/>
        <v>-</v>
      </c>
      <c r="AN169" s="4" t="str">
        <f>IF(Q169="","-",Q169)</f>
        <v>-</v>
      </c>
      <c r="AO169" s="4" t="str">
        <f>IF(R169="","-",R169)</f>
        <v>-</v>
      </c>
      <c r="AP169" s="4">
        <v>0</v>
      </c>
      <c r="AQ169" s="4" t="s">
        <v>804</v>
      </c>
      <c r="AR169" s="4"/>
      <c r="AS169" s="4"/>
      <c r="AT169" s="4" t="s">
        <v>705</v>
      </c>
      <c r="AU169" s="4">
        <v>735</v>
      </c>
      <c r="AV169" s="4">
        <f t="shared" si="50"/>
        <v>735</v>
      </c>
      <c r="AW169" s="19">
        <v>4</v>
      </c>
      <c r="AX169" s="19">
        <v>1</v>
      </c>
      <c r="AY169" s="16">
        <v>19</v>
      </c>
      <c r="AZ169" t="s">
        <v>699</v>
      </c>
      <c r="BA169" t="str">
        <f>IFERROR(AZ169*AL169,"-")</f>
        <v>-</v>
      </c>
      <c r="BB169">
        <v>630</v>
      </c>
      <c r="BC169">
        <f>IFERROR(BB169*AL169,"-")</f>
        <v>672</v>
      </c>
      <c r="BD169" t="s">
        <v>507</v>
      </c>
    </row>
    <row r="170" spans="1:56" x14ac:dyDescent="0.4">
      <c r="A170" s="3">
        <v>61</v>
      </c>
      <c r="B170" s="3">
        <v>61</v>
      </c>
      <c r="C170" s="4">
        <v>11664</v>
      </c>
      <c r="D170" s="4" t="str">
        <f t="shared" si="35"/>
        <v>011664</v>
      </c>
      <c r="E170" s="4">
        <v>527967</v>
      </c>
      <c r="F170" s="4" t="s">
        <v>167</v>
      </c>
      <c r="G170" s="5">
        <v>4535627101626</v>
      </c>
      <c r="H170" s="5"/>
      <c r="I170" s="5"/>
      <c r="J170" s="5">
        <v>1</v>
      </c>
      <c r="K170" s="5">
        <v>1</v>
      </c>
      <c r="L170" s="4">
        <v>1050</v>
      </c>
      <c r="M170" s="4">
        <v>525</v>
      </c>
      <c r="N170" s="4">
        <v>357</v>
      </c>
      <c r="O170" s="6">
        <f t="shared" si="36"/>
        <v>0.31999999999999995</v>
      </c>
      <c r="P170" s="4" t="s">
        <v>699</v>
      </c>
      <c r="Q170" s="4" t="s">
        <v>699</v>
      </c>
      <c r="R170" s="4" t="s">
        <v>699</v>
      </c>
      <c r="S170" s="4">
        <v>1150</v>
      </c>
      <c r="T170" s="4">
        <f t="shared" si="37"/>
        <v>1150</v>
      </c>
      <c r="U170" s="4">
        <v>391</v>
      </c>
      <c r="V170" s="4">
        <f t="shared" si="38"/>
        <v>391</v>
      </c>
      <c r="W170" s="4"/>
      <c r="X170" s="21">
        <f t="shared" si="39"/>
        <v>575</v>
      </c>
      <c r="Y170" s="6">
        <f t="shared" si="40"/>
        <v>0.31999999999999995</v>
      </c>
      <c r="Z170" s="33">
        <v>0.5</v>
      </c>
      <c r="AA170" s="4">
        <f t="shared" si="41"/>
        <v>1037.6400000000001</v>
      </c>
      <c r="AB170" s="33">
        <f t="shared" si="42"/>
        <v>1136.4628571428573</v>
      </c>
      <c r="AC170" s="6">
        <f t="shared" si="43"/>
        <v>0.65595004047646588</v>
      </c>
      <c r="AD170" s="7">
        <v>630</v>
      </c>
      <c r="AE170" s="6">
        <f t="shared" si="44"/>
        <v>0.37936507936507935</v>
      </c>
      <c r="AF170" s="4">
        <f t="shared" si="45"/>
        <v>239</v>
      </c>
      <c r="AG170" s="28"/>
      <c r="AH170" s="6"/>
      <c r="AI170" s="6"/>
      <c r="AJ170" s="6">
        <f t="shared" si="46"/>
        <v>1.0952380952380953</v>
      </c>
      <c r="AK170" s="6">
        <f t="shared" si="47"/>
        <v>1.2</v>
      </c>
      <c r="AL170" s="6">
        <f t="shared" si="48"/>
        <v>1.0952380952380953</v>
      </c>
      <c r="AM170" s="4" t="str">
        <f t="shared" si="51"/>
        <v>-</v>
      </c>
      <c r="AN170" s="4" t="str">
        <f>IF(Q170="","-",Q170)</f>
        <v>-</v>
      </c>
      <c r="AO170" s="4" t="str">
        <f>IF(R170="","-",R170)</f>
        <v>-</v>
      </c>
      <c r="AP170" s="4" t="s">
        <v>413</v>
      </c>
      <c r="AQ170" s="4" t="s">
        <v>765</v>
      </c>
      <c r="AR170" s="4">
        <v>1</v>
      </c>
      <c r="AS170" s="4">
        <v>50</v>
      </c>
      <c r="AT170" s="4" t="s">
        <v>760</v>
      </c>
      <c r="AU170" s="4">
        <v>51882</v>
      </c>
      <c r="AV170" s="4">
        <f t="shared" si="50"/>
        <v>1037.6400000000001</v>
      </c>
      <c r="AW170" s="19">
        <v>4</v>
      </c>
      <c r="AX170" s="19">
        <v>1</v>
      </c>
      <c r="AY170" s="16">
        <v>19</v>
      </c>
      <c r="AZ170" t="s">
        <v>699</v>
      </c>
      <c r="BA170" t="str">
        <f>IFERROR(AZ170*AL170,"-")</f>
        <v>-</v>
      </c>
      <c r="BB170">
        <v>998</v>
      </c>
      <c r="BC170">
        <f>IFERROR(BB170*AL170,"-")</f>
        <v>1093.0476190476193</v>
      </c>
      <c r="BD170" t="s">
        <v>475</v>
      </c>
    </row>
    <row r="171" spans="1:56" x14ac:dyDescent="0.4">
      <c r="A171" s="3">
        <v>62</v>
      </c>
      <c r="B171" s="3">
        <v>62</v>
      </c>
      <c r="C171" s="4">
        <v>11666</v>
      </c>
      <c r="D171" s="4" t="str">
        <f t="shared" si="35"/>
        <v>011666</v>
      </c>
      <c r="E171" s="4">
        <v>527985</v>
      </c>
      <c r="F171" s="4" t="s">
        <v>168</v>
      </c>
      <c r="G171" s="5">
        <v>4535627101619</v>
      </c>
      <c r="H171" s="5"/>
      <c r="I171" s="5"/>
      <c r="J171" s="5">
        <v>1</v>
      </c>
      <c r="K171" s="5">
        <v>1</v>
      </c>
      <c r="L171" s="4">
        <v>1050</v>
      </c>
      <c r="M171" s="4">
        <v>504</v>
      </c>
      <c r="N171" s="4">
        <v>357</v>
      </c>
      <c r="O171" s="6">
        <f t="shared" si="36"/>
        <v>0.29166666666666663</v>
      </c>
      <c r="P171" s="4" t="s">
        <v>699</v>
      </c>
      <c r="Q171" s="4" t="s">
        <v>699</v>
      </c>
      <c r="R171" s="4" t="s">
        <v>699</v>
      </c>
      <c r="S171" s="4">
        <v>1150</v>
      </c>
      <c r="T171" s="4">
        <f t="shared" si="37"/>
        <v>1150</v>
      </c>
      <c r="U171" s="4">
        <v>391</v>
      </c>
      <c r="V171" s="4">
        <f t="shared" si="38"/>
        <v>391</v>
      </c>
      <c r="W171" s="4"/>
      <c r="X171" s="21">
        <f t="shared" si="39"/>
        <v>552</v>
      </c>
      <c r="Y171" s="6">
        <f t="shared" si="40"/>
        <v>0.29166666666666663</v>
      </c>
      <c r="Z171" s="33">
        <v>3</v>
      </c>
      <c r="AA171" s="4">
        <f t="shared" si="41"/>
        <v>1037.6400000000001</v>
      </c>
      <c r="AB171" s="33">
        <f t="shared" si="42"/>
        <v>1136.4628571428573</v>
      </c>
      <c r="AC171" s="6">
        <f t="shared" si="43"/>
        <v>0.65595004047646588</v>
      </c>
      <c r="AD171" s="7">
        <v>630</v>
      </c>
      <c r="AE171" s="6">
        <f t="shared" si="44"/>
        <v>0.37936507936507935</v>
      </c>
      <c r="AF171" s="4">
        <f t="shared" si="45"/>
        <v>239</v>
      </c>
      <c r="AG171" s="28"/>
      <c r="AH171" s="6"/>
      <c r="AI171" s="6"/>
      <c r="AJ171" s="6">
        <f t="shared" si="46"/>
        <v>1.0952380952380953</v>
      </c>
      <c r="AK171" s="6">
        <f t="shared" si="47"/>
        <v>1.25</v>
      </c>
      <c r="AL171" s="6">
        <f t="shared" si="48"/>
        <v>1.0952380952380953</v>
      </c>
      <c r="AM171" s="4" t="str">
        <f t="shared" si="51"/>
        <v>-</v>
      </c>
      <c r="AN171" s="4" t="str">
        <f>IF(Q171="","-",Q171)</f>
        <v>-</v>
      </c>
      <c r="AO171" s="4" t="str">
        <f>IF(R171="","-",R171)</f>
        <v>-</v>
      </c>
      <c r="AP171" s="4" t="s">
        <v>413</v>
      </c>
      <c r="AQ171" s="4" t="s">
        <v>766</v>
      </c>
      <c r="AR171" s="4">
        <v>1</v>
      </c>
      <c r="AS171" s="4">
        <v>50</v>
      </c>
      <c r="AT171" s="4" t="s">
        <v>760</v>
      </c>
      <c r="AU171" s="4">
        <v>51882</v>
      </c>
      <c r="AV171" s="4">
        <f t="shared" si="50"/>
        <v>1037.6400000000001</v>
      </c>
      <c r="AW171" s="19">
        <v>4</v>
      </c>
      <c r="AX171" s="19">
        <v>1</v>
      </c>
      <c r="AY171" s="16">
        <v>19</v>
      </c>
      <c r="AZ171">
        <v>455</v>
      </c>
      <c r="BA171">
        <f>IFERROR(AZ171*AL171,"-")</f>
        <v>498.33333333333337</v>
      </c>
      <c r="BB171">
        <v>998</v>
      </c>
      <c r="BC171">
        <f>IFERROR(BB171*AL171,"-")</f>
        <v>1093.0476190476193</v>
      </c>
      <c r="BD171" t="s">
        <v>476</v>
      </c>
    </row>
    <row r="172" spans="1:56" x14ac:dyDescent="0.4">
      <c r="A172" s="3">
        <v>63</v>
      </c>
      <c r="B172" s="3">
        <v>63</v>
      </c>
      <c r="C172" s="4">
        <v>11667</v>
      </c>
      <c r="D172" s="4" t="str">
        <f t="shared" si="35"/>
        <v>011667</v>
      </c>
      <c r="E172" s="4">
        <v>527994</v>
      </c>
      <c r="F172" s="4" t="s">
        <v>169</v>
      </c>
      <c r="G172" s="5">
        <v>4535627101602</v>
      </c>
      <c r="H172" s="5"/>
      <c r="I172" s="5"/>
      <c r="J172" s="5">
        <v>1</v>
      </c>
      <c r="K172" s="5">
        <v>1</v>
      </c>
      <c r="L172" s="4">
        <v>1050</v>
      </c>
      <c r="M172" s="4">
        <v>485</v>
      </c>
      <c r="N172" s="4">
        <v>357</v>
      </c>
      <c r="O172" s="6">
        <f t="shared" si="36"/>
        <v>0.26391752577319583</v>
      </c>
      <c r="P172" s="4" t="s">
        <v>699</v>
      </c>
      <c r="Q172" s="4" t="s">
        <v>699</v>
      </c>
      <c r="R172" s="4" t="s">
        <v>699</v>
      </c>
      <c r="S172" s="4">
        <v>1150</v>
      </c>
      <c r="T172" s="4">
        <f t="shared" si="37"/>
        <v>1150</v>
      </c>
      <c r="U172" s="4">
        <v>391</v>
      </c>
      <c r="V172" s="4">
        <f t="shared" si="38"/>
        <v>391</v>
      </c>
      <c r="W172" s="4"/>
      <c r="X172" s="21">
        <f t="shared" si="39"/>
        <v>531</v>
      </c>
      <c r="Y172" s="6">
        <f t="shared" si="40"/>
        <v>0.26365348399246702</v>
      </c>
      <c r="Z172" s="33">
        <v>19</v>
      </c>
      <c r="AA172" s="4">
        <f t="shared" si="41"/>
        <v>455</v>
      </c>
      <c r="AB172" s="33">
        <f t="shared" si="42"/>
        <v>498.33333333333337</v>
      </c>
      <c r="AC172" s="6">
        <f t="shared" si="43"/>
        <v>0.2153846153846154</v>
      </c>
      <c r="AD172" s="7">
        <v>630</v>
      </c>
      <c r="AE172" s="6">
        <f t="shared" si="44"/>
        <v>0.37936507936507935</v>
      </c>
      <c r="AF172" s="4">
        <f t="shared" si="45"/>
        <v>239</v>
      </c>
      <c r="AG172" s="28"/>
      <c r="AH172" s="6"/>
      <c r="AI172" s="6"/>
      <c r="AJ172" s="6">
        <f t="shared" si="46"/>
        <v>1.0952380952380953</v>
      </c>
      <c r="AK172" s="6">
        <f t="shared" si="47"/>
        <v>1.2989690721649485</v>
      </c>
      <c r="AL172" s="6">
        <f t="shared" si="48"/>
        <v>1.0952380952380953</v>
      </c>
      <c r="AM172" s="4" t="str">
        <f t="shared" si="51"/>
        <v>-</v>
      </c>
      <c r="AN172" s="4" t="str">
        <f>IF(Q172="","-",Q172)</f>
        <v>-</v>
      </c>
      <c r="AO172" s="4" t="str">
        <f>IF(R172="","-",R172)</f>
        <v>-</v>
      </c>
      <c r="AP172" s="4" t="s">
        <v>407</v>
      </c>
      <c r="AQ172" s="4" t="s">
        <v>767</v>
      </c>
      <c r="AR172" s="4"/>
      <c r="AS172" s="4"/>
      <c r="AT172" s="4" t="s">
        <v>705</v>
      </c>
      <c r="AU172" s="4">
        <v>455</v>
      </c>
      <c r="AV172" s="4">
        <f t="shared" si="50"/>
        <v>455</v>
      </c>
      <c r="AW172" s="19">
        <v>4</v>
      </c>
      <c r="AX172" s="19">
        <v>1</v>
      </c>
      <c r="AY172" s="16">
        <v>19</v>
      </c>
      <c r="AZ172" t="s">
        <v>699</v>
      </c>
      <c r="BA172" t="str">
        <f>IFERROR(AZ172*AL172,"-")</f>
        <v>-</v>
      </c>
      <c r="BB172">
        <v>713</v>
      </c>
      <c r="BC172">
        <f>IFERROR(BB172*AL172,"-")</f>
        <v>780.90476190476193</v>
      </c>
      <c r="BD172" t="s">
        <v>477</v>
      </c>
    </row>
    <row r="173" spans="1:56" x14ac:dyDescent="0.4">
      <c r="A173" s="3">
        <v>64</v>
      </c>
      <c r="B173" s="3">
        <v>64</v>
      </c>
      <c r="C173" s="4">
        <v>11668</v>
      </c>
      <c r="D173" s="4" t="str">
        <f t="shared" si="35"/>
        <v>011668</v>
      </c>
      <c r="E173" s="4">
        <v>528003</v>
      </c>
      <c r="F173" s="4" t="s">
        <v>170</v>
      </c>
      <c r="G173" s="5">
        <v>4535627101657</v>
      </c>
      <c r="H173" s="5"/>
      <c r="I173" s="5"/>
      <c r="J173" s="5">
        <v>1</v>
      </c>
      <c r="K173" s="5">
        <v>1</v>
      </c>
      <c r="L173" s="4">
        <v>1050</v>
      </c>
      <c r="M173" s="4">
        <v>499</v>
      </c>
      <c r="N173" s="4">
        <v>357</v>
      </c>
      <c r="O173" s="6">
        <f t="shared" si="36"/>
        <v>0.28456913827655306</v>
      </c>
      <c r="P173" s="4" t="s">
        <v>699</v>
      </c>
      <c r="Q173" s="4" t="s">
        <v>699</v>
      </c>
      <c r="R173" s="4" t="s">
        <v>699</v>
      </c>
      <c r="S173" s="4">
        <v>1150</v>
      </c>
      <c r="T173" s="4">
        <f t="shared" si="37"/>
        <v>1150</v>
      </c>
      <c r="U173" s="4">
        <v>391</v>
      </c>
      <c r="V173" s="4">
        <f t="shared" si="38"/>
        <v>391</v>
      </c>
      <c r="W173" s="4"/>
      <c r="X173" s="21">
        <f t="shared" si="39"/>
        <v>547</v>
      </c>
      <c r="Y173" s="6">
        <f t="shared" si="40"/>
        <v>0.28519195612431447</v>
      </c>
      <c r="Z173" s="33">
        <v>0.5</v>
      </c>
      <c r="AA173" s="4">
        <f t="shared" si="41"/>
        <v>1037.6400000000001</v>
      </c>
      <c r="AB173" s="33">
        <f t="shared" si="42"/>
        <v>1136.4628571428573</v>
      </c>
      <c r="AC173" s="6">
        <f t="shared" si="43"/>
        <v>0.65595004047646588</v>
      </c>
      <c r="AD173" s="7">
        <v>630</v>
      </c>
      <c r="AE173" s="6">
        <f t="shared" si="44"/>
        <v>0.37936507936507935</v>
      </c>
      <c r="AF173" s="4">
        <f t="shared" si="45"/>
        <v>239</v>
      </c>
      <c r="AG173" s="28"/>
      <c r="AH173" s="6"/>
      <c r="AI173" s="6"/>
      <c r="AJ173" s="6">
        <f t="shared" si="46"/>
        <v>1.0952380952380953</v>
      </c>
      <c r="AK173" s="6">
        <f t="shared" si="47"/>
        <v>1.2625250501002003</v>
      </c>
      <c r="AL173" s="6">
        <f t="shared" si="48"/>
        <v>1.0952380952380953</v>
      </c>
      <c r="AM173" s="4" t="str">
        <f t="shared" si="51"/>
        <v>-</v>
      </c>
      <c r="AN173" s="4" t="str">
        <f>IF(Q173="","-",Q173)</f>
        <v>-</v>
      </c>
      <c r="AO173" s="4" t="str">
        <f>IF(R173="","-",R173)</f>
        <v>-</v>
      </c>
      <c r="AP173" s="4" t="s">
        <v>413</v>
      </c>
      <c r="AQ173" s="4" t="s">
        <v>768</v>
      </c>
      <c r="AR173" s="4">
        <v>1</v>
      </c>
      <c r="AS173" s="4">
        <v>50</v>
      </c>
      <c r="AT173" s="4" t="s">
        <v>760</v>
      </c>
      <c r="AU173" s="4">
        <v>51882</v>
      </c>
      <c r="AV173" s="4">
        <f t="shared" si="50"/>
        <v>1037.6400000000001</v>
      </c>
      <c r="AW173" s="19">
        <v>4</v>
      </c>
      <c r="AX173" s="19">
        <v>1</v>
      </c>
      <c r="AY173" s="16">
        <v>19</v>
      </c>
      <c r="AZ173" t="s">
        <v>699</v>
      </c>
      <c r="BA173" t="str">
        <f>IFERROR(AZ173*AL173,"-")</f>
        <v>-</v>
      </c>
      <c r="BB173">
        <v>998</v>
      </c>
      <c r="BC173">
        <f>IFERROR(BB173*AL173,"-")</f>
        <v>1093.0476190476193</v>
      </c>
      <c r="BD173" t="s">
        <v>478</v>
      </c>
    </row>
    <row r="174" spans="1:56" x14ac:dyDescent="0.4">
      <c r="A174" s="3">
        <v>65</v>
      </c>
      <c r="B174" s="3">
        <v>65</v>
      </c>
      <c r="C174" s="4">
        <v>11669</v>
      </c>
      <c r="D174" s="4" t="str">
        <f t="shared" si="35"/>
        <v>011669</v>
      </c>
      <c r="E174" s="4">
        <v>528012</v>
      </c>
      <c r="F174" s="4" t="s">
        <v>171</v>
      </c>
      <c r="G174" s="5">
        <v>4535627101633</v>
      </c>
      <c r="H174" s="5"/>
      <c r="I174" s="5"/>
      <c r="J174" s="5">
        <v>1</v>
      </c>
      <c r="K174" s="5">
        <v>1</v>
      </c>
      <c r="L174" s="4">
        <v>1050</v>
      </c>
      <c r="M174" s="4">
        <v>504</v>
      </c>
      <c r="N174" s="4">
        <v>357</v>
      </c>
      <c r="O174" s="6">
        <f t="shared" si="36"/>
        <v>0.29166666666666663</v>
      </c>
      <c r="P174" s="4" t="s">
        <v>699</v>
      </c>
      <c r="Q174" s="4" t="s">
        <v>699</v>
      </c>
      <c r="R174" s="4" t="s">
        <v>699</v>
      </c>
      <c r="S174" s="4">
        <v>1150</v>
      </c>
      <c r="T174" s="4">
        <f t="shared" si="37"/>
        <v>1150</v>
      </c>
      <c r="U174" s="4">
        <v>391</v>
      </c>
      <c r="V174" s="4">
        <f t="shared" si="38"/>
        <v>391</v>
      </c>
      <c r="W174" s="4"/>
      <c r="X174" s="21">
        <f t="shared" si="39"/>
        <v>552</v>
      </c>
      <c r="Y174" s="6">
        <f t="shared" si="40"/>
        <v>0.29166666666666663</v>
      </c>
      <c r="Z174" s="33">
        <v>1</v>
      </c>
      <c r="AA174" s="4">
        <f t="shared" si="41"/>
        <v>1037.6400000000001</v>
      </c>
      <c r="AB174" s="33">
        <f t="shared" si="42"/>
        <v>1136.4628571428573</v>
      </c>
      <c r="AC174" s="6">
        <f t="shared" si="43"/>
        <v>0.65595004047646588</v>
      </c>
      <c r="AD174" s="7">
        <v>630</v>
      </c>
      <c r="AE174" s="6">
        <f t="shared" si="44"/>
        <v>0.37936507936507935</v>
      </c>
      <c r="AF174" s="4">
        <f t="shared" si="45"/>
        <v>239</v>
      </c>
      <c r="AG174" s="28"/>
      <c r="AH174" s="6"/>
      <c r="AI174" s="6"/>
      <c r="AJ174" s="6">
        <f t="shared" si="46"/>
        <v>1.0952380952380953</v>
      </c>
      <c r="AK174" s="6">
        <f t="shared" si="47"/>
        <v>1.25</v>
      </c>
      <c r="AL174" s="6">
        <f t="shared" si="48"/>
        <v>1.0952380952380953</v>
      </c>
      <c r="AM174" s="4" t="str">
        <f t="shared" si="51"/>
        <v>-</v>
      </c>
      <c r="AN174" s="4" t="str">
        <f>IF(Q174="","-",Q174)</f>
        <v>-</v>
      </c>
      <c r="AO174" s="4" t="str">
        <f>IF(R174="","-",R174)</f>
        <v>-</v>
      </c>
      <c r="AP174" s="4" t="s">
        <v>413</v>
      </c>
      <c r="AQ174" s="4" t="s">
        <v>769</v>
      </c>
      <c r="AR174" s="4">
        <v>1</v>
      </c>
      <c r="AS174" s="4">
        <v>50</v>
      </c>
      <c r="AT174" s="4" t="s">
        <v>760</v>
      </c>
      <c r="AU174" s="4">
        <v>51882</v>
      </c>
      <c r="AV174" s="4">
        <f t="shared" si="50"/>
        <v>1037.6400000000001</v>
      </c>
      <c r="AW174" s="19">
        <v>4</v>
      </c>
      <c r="AX174" s="19">
        <v>1</v>
      </c>
      <c r="AY174" s="16">
        <v>19</v>
      </c>
      <c r="AZ174" t="s">
        <v>699</v>
      </c>
      <c r="BA174" t="str">
        <f>IFERROR(AZ174*AL174,"-")</f>
        <v>-</v>
      </c>
      <c r="BB174">
        <v>998</v>
      </c>
      <c r="BC174">
        <f>IFERROR(BB174*AL174,"-")</f>
        <v>1093.0476190476193</v>
      </c>
      <c r="BD174" t="s">
        <v>479</v>
      </c>
    </row>
    <row r="175" spans="1:56" x14ac:dyDescent="0.4">
      <c r="A175" s="3">
        <v>66</v>
      </c>
      <c r="B175" s="3">
        <v>66</v>
      </c>
      <c r="C175" s="4">
        <v>11673</v>
      </c>
      <c r="D175" s="4" t="str">
        <f t="shared" si="35"/>
        <v>011673</v>
      </c>
      <c r="E175" s="4">
        <v>528156</v>
      </c>
      <c r="F175" s="4" t="s">
        <v>172</v>
      </c>
      <c r="G175" s="5">
        <v>4535627108625</v>
      </c>
      <c r="H175" s="5"/>
      <c r="I175" s="5"/>
      <c r="J175" s="5">
        <v>1</v>
      </c>
      <c r="K175" s="5">
        <v>1</v>
      </c>
      <c r="L175" s="4">
        <v>1000</v>
      </c>
      <c r="M175" s="4">
        <v>600</v>
      </c>
      <c r="N175" s="4">
        <v>383</v>
      </c>
      <c r="O175" s="6">
        <f t="shared" si="36"/>
        <v>0.36166666666666669</v>
      </c>
      <c r="P175" s="4" t="s">
        <v>699</v>
      </c>
      <c r="Q175" s="4" t="s">
        <v>699</v>
      </c>
      <c r="R175" s="4" t="s">
        <v>699</v>
      </c>
      <c r="S175" s="4">
        <v>1050</v>
      </c>
      <c r="T175" s="4">
        <f t="shared" si="37"/>
        <v>1050</v>
      </c>
      <c r="U175" s="4">
        <v>402</v>
      </c>
      <c r="V175" s="4">
        <f t="shared" si="38"/>
        <v>402</v>
      </c>
      <c r="W175" s="4"/>
      <c r="X175" s="21">
        <f t="shared" si="39"/>
        <v>630</v>
      </c>
      <c r="Y175" s="6">
        <f t="shared" si="40"/>
        <v>0.36190476190476195</v>
      </c>
      <c r="Z175" s="33">
        <v>1.25</v>
      </c>
      <c r="AA175" s="4">
        <f t="shared" si="41"/>
        <v>1000</v>
      </c>
      <c r="AB175" s="33">
        <f t="shared" si="42"/>
        <v>1049.6083550913838</v>
      </c>
      <c r="AC175" s="6">
        <f t="shared" si="43"/>
        <v>0.61699999999999999</v>
      </c>
      <c r="AD175" s="7">
        <v>640</v>
      </c>
      <c r="AE175" s="6">
        <f t="shared" si="44"/>
        <v>0.37187499999999996</v>
      </c>
      <c r="AF175" s="4">
        <f t="shared" si="45"/>
        <v>238</v>
      </c>
      <c r="AG175" s="28"/>
      <c r="AH175" s="6"/>
      <c r="AI175" s="6"/>
      <c r="AJ175" s="6">
        <f t="shared" si="46"/>
        <v>1.05</v>
      </c>
      <c r="AK175" s="6">
        <f t="shared" si="47"/>
        <v>1.0666666666666667</v>
      </c>
      <c r="AL175" s="6">
        <f t="shared" si="48"/>
        <v>1.0496083550913837</v>
      </c>
      <c r="AM175" s="4" t="str">
        <f t="shared" si="51"/>
        <v>-</v>
      </c>
      <c r="AN175" s="4" t="str">
        <f>IF(Q175="","-",Q175)</f>
        <v>-</v>
      </c>
      <c r="AO175" s="4" t="str">
        <f>IF(R175="","-",R175)</f>
        <v>-</v>
      </c>
      <c r="AP175" s="4" t="s">
        <v>414</v>
      </c>
      <c r="AQ175" s="4" t="s">
        <v>770</v>
      </c>
      <c r="AR175" s="4"/>
      <c r="AS175" s="4"/>
      <c r="AT175" s="4" t="s">
        <v>749</v>
      </c>
      <c r="AU175" s="4">
        <v>1000</v>
      </c>
      <c r="AV175" s="4">
        <f t="shared" si="50"/>
        <v>1000</v>
      </c>
      <c r="AW175" s="19">
        <v>4</v>
      </c>
      <c r="AX175" s="19">
        <v>1</v>
      </c>
      <c r="AY175" s="16">
        <v>19</v>
      </c>
      <c r="AZ175">
        <v>668</v>
      </c>
      <c r="BA175">
        <f>IFERROR(AZ175*AL175,"-")</f>
        <v>701.13838120104435</v>
      </c>
      <c r="BB175">
        <v>950</v>
      </c>
      <c r="BC175">
        <f>IFERROR(BB175*AL175,"-")</f>
        <v>997.12793733681451</v>
      </c>
      <c r="BD175" t="s">
        <v>480</v>
      </c>
    </row>
    <row r="176" spans="1:56" x14ac:dyDescent="0.4">
      <c r="A176" s="3">
        <v>198</v>
      </c>
      <c r="B176" s="3">
        <v>198</v>
      </c>
      <c r="C176" s="4">
        <v>650685</v>
      </c>
      <c r="D176" s="4" t="str">
        <f t="shared" si="35"/>
        <v>650685</v>
      </c>
      <c r="E176" s="4">
        <v>650685</v>
      </c>
      <c r="F176" s="4" t="s">
        <v>304</v>
      </c>
      <c r="G176" s="5">
        <v>4535627101824</v>
      </c>
      <c r="H176" s="5"/>
      <c r="I176" s="5"/>
      <c r="J176" s="5">
        <v>1</v>
      </c>
      <c r="K176" s="5">
        <v>1</v>
      </c>
      <c r="L176" s="4">
        <v>1000</v>
      </c>
      <c r="M176" s="4">
        <v>631</v>
      </c>
      <c r="N176" s="4">
        <v>380</v>
      </c>
      <c r="O176" s="6">
        <f t="shared" si="36"/>
        <v>0.3977812995245642</v>
      </c>
      <c r="P176" s="4" t="s">
        <v>699</v>
      </c>
      <c r="Q176" s="4" t="s">
        <v>699</v>
      </c>
      <c r="R176" s="4" t="s">
        <v>699</v>
      </c>
      <c r="S176" s="4">
        <v>1100</v>
      </c>
      <c r="T176" s="4">
        <f t="shared" si="37"/>
        <v>1100</v>
      </c>
      <c r="U176" s="4">
        <v>418</v>
      </c>
      <c r="V176" s="4">
        <f t="shared" si="38"/>
        <v>418</v>
      </c>
      <c r="W176" s="4"/>
      <c r="X176" s="21">
        <f t="shared" si="39"/>
        <v>694</v>
      </c>
      <c r="Y176" s="6">
        <f t="shared" si="40"/>
        <v>0.39769452449567722</v>
      </c>
      <c r="Z176" s="33">
        <v>28.749999999999996</v>
      </c>
      <c r="AA176" s="4">
        <f t="shared" si="41"/>
        <v>631</v>
      </c>
      <c r="AB176" s="33">
        <f t="shared" si="42"/>
        <v>694.1</v>
      </c>
      <c r="AC176" s="6">
        <f t="shared" si="43"/>
        <v>0.3977812995245642</v>
      </c>
      <c r="AD176" s="7">
        <v>690</v>
      </c>
      <c r="AE176" s="6">
        <f t="shared" si="44"/>
        <v>0.39420289855072466</v>
      </c>
      <c r="AF176" s="4">
        <f t="shared" si="45"/>
        <v>272</v>
      </c>
      <c r="AG176" s="28"/>
      <c r="AH176" s="6"/>
      <c r="AI176" s="6"/>
      <c r="AJ176" s="6">
        <f t="shared" si="46"/>
        <v>1.1000000000000001</v>
      </c>
      <c r="AK176" s="6">
        <f t="shared" si="47"/>
        <v>1.0935023771790808</v>
      </c>
      <c r="AL176" s="6">
        <f t="shared" si="48"/>
        <v>1.1000000000000001</v>
      </c>
      <c r="AM176" s="4" t="str">
        <f t="shared" si="51"/>
        <v>-</v>
      </c>
      <c r="AN176" s="4" t="str">
        <f>IF(Q176="","-",Q176)</f>
        <v>-</v>
      </c>
      <c r="AO176" s="4" t="str">
        <f>IF(R176="","-",R176)</f>
        <v>-</v>
      </c>
      <c r="AP176" s="4" t="s">
        <v>411</v>
      </c>
      <c r="AQ176" s="4" t="s">
        <v>931</v>
      </c>
      <c r="AR176" s="4"/>
      <c r="AS176" s="4"/>
      <c r="AT176" s="4" t="s">
        <v>705</v>
      </c>
      <c r="AU176" s="4">
        <v>631</v>
      </c>
      <c r="AV176" s="4">
        <f t="shared" si="50"/>
        <v>631</v>
      </c>
      <c r="AW176" s="19">
        <v>4</v>
      </c>
      <c r="AX176" s="19">
        <v>1</v>
      </c>
      <c r="AY176" s="16">
        <v>19</v>
      </c>
      <c r="AZ176">
        <v>631</v>
      </c>
      <c r="BA176">
        <f>IFERROR(AZ176*AL176,"-")</f>
        <v>694.1</v>
      </c>
      <c r="BB176">
        <v>807</v>
      </c>
      <c r="BC176">
        <f>IFERROR(BB176*AL176,"-")</f>
        <v>887.7</v>
      </c>
      <c r="BD176" t="s">
        <v>614</v>
      </c>
    </row>
    <row r="177" spans="1:56" x14ac:dyDescent="0.4">
      <c r="A177" s="3">
        <v>118</v>
      </c>
      <c r="B177" s="3">
        <v>118</v>
      </c>
      <c r="C177" s="4">
        <v>170181</v>
      </c>
      <c r="D177" s="4" t="str">
        <f t="shared" si="35"/>
        <v>170181</v>
      </c>
      <c r="E177" s="4">
        <v>170181</v>
      </c>
      <c r="F177" s="4" t="s">
        <v>224</v>
      </c>
      <c r="G177" s="5">
        <v>4535627882327</v>
      </c>
      <c r="H177" s="5"/>
      <c r="I177" s="5"/>
      <c r="J177" s="5">
        <v>1</v>
      </c>
      <c r="K177" s="5">
        <v>1</v>
      </c>
      <c r="L177" s="4">
        <v>0</v>
      </c>
      <c r="M177" s="4">
        <v>734</v>
      </c>
      <c r="N177" s="4">
        <v>399</v>
      </c>
      <c r="O177" s="6">
        <f t="shared" si="36"/>
        <v>0.45640326975476841</v>
      </c>
      <c r="P177" s="4" t="s">
        <v>699</v>
      </c>
      <c r="Q177" s="4" t="s">
        <v>699</v>
      </c>
      <c r="R177" s="4" t="s">
        <v>699</v>
      </c>
      <c r="S177" s="4">
        <v>0</v>
      </c>
      <c r="T177" s="4">
        <f t="shared" si="37"/>
        <v>0</v>
      </c>
      <c r="U177" s="4">
        <v>420</v>
      </c>
      <c r="V177" s="4">
        <f t="shared" si="38"/>
        <v>420</v>
      </c>
      <c r="W177" s="4"/>
      <c r="X177" s="21">
        <f t="shared" si="39"/>
        <v>773</v>
      </c>
      <c r="Y177" s="6">
        <f t="shared" si="40"/>
        <v>0.45666235446313064</v>
      </c>
      <c r="Z177" s="33">
        <v>3</v>
      </c>
      <c r="AA177" s="4">
        <f t="shared" si="41"/>
        <v>693</v>
      </c>
      <c r="AB177" s="33">
        <f t="shared" si="42"/>
        <v>729.47368421052624</v>
      </c>
      <c r="AC177" s="6">
        <f t="shared" si="43"/>
        <v>0.4242424242424242</v>
      </c>
      <c r="AD177" s="7">
        <v>729</v>
      </c>
      <c r="AE177" s="6">
        <f t="shared" si="44"/>
        <v>0.4238683127572016</v>
      </c>
      <c r="AF177" s="4">
        <f t="shared" si="45"/>
        <v>309</v>
      </c>
      <c r="AG177" s="28"/>
      <c r="AH177" s="6"/>
      <c r="AI177" s="6"/>
      <c r="AJ177" s="6" t="str">
        <f t="shared" si="46"/>
        <v>-</v>
      </c>
      <c r="AK177" s="6">
        <f t="shared" si="47"/>
        <v>0.99318801089918252</v>
      </c>
      <c r="AL177" s="6">
        <f t="shared" si="48"/>
        <v>1.0526315789473684</v>
      </c>
      <c r="AM177" s="4" t="str">
        <f t="shared" si="51"/>
        <v>-</v>
      </c>
      <c r="AN177" s="4" t="str">
        <f>IF(Q177="","-",Q177)</f>
        <v>-</v>
      </c>
      <c r="AO177" s="4" t="str">
        <f>IF(R177="","-",R177)</f>
        <v>-</v>
      </c>
      <c r="AP177" s="4">
        <v>0</v>
      </c>
      <c r="AQ177" s="4" t="s">
        <v>834</v>
      </c>
      <c r="AR177" s="4"/>
      <c r="AS177" s="4"/>
      <c r="AT177" s="4" t="s">
        <v>835</v>
      </c>
      <c r="AU177" s="4">
        <v>693</v>
      </c>
      <c r="AV177" s="4">
        <f t="shared" si="50"/>
        <v>693</v>
      </c>
      <c r="AW177" s="19">
        <v>4</v>
      </c>
      <c r="AX177" s="19">
        <v>1</v>
      </c>
      <c r="AY177" s="16">
        <v>19</v>
      </c>
      <c r="AZ177" t="s">
        <v>699</v>
      </c>
      <c r="BA177" t="str">
        <f>IFERROR(AZ177*AL177,"-")</f>
        <v>-</v>
      </c>
      <c r="BB177">
        <v>713</v>
      </c>
      <c r="BC177">
        <f>IFERROR(BB177*AL177,"-")</f>
        <v>750.52631578947364</v>
      </c>
      <c r="BD177" t="s">
        <v>532</v>
      </c>
    </row>
    <row r="178" spans="1:56" x14ac:dyDescent="0.4">
      <c r="A178" s="3">
        <v>191</v>
      </c>
      <c r="B178" s="3">
        <v>191</v>
      </c>
      <c r="C178" s="4">
        <v>623624</v>
      </c>
      <c r="D178" s="4" t="str">
        <f t="shared" si="35"/>
        <v>623624</v>
      </c>
      <c r="E178" s="4">
        <v>623624</v>
      </c>
      <c r="F178" s="4" t="s">
        <v>297</v>
      </c>
      <c r="G178" s="5">
        <v>4535627104542</v>
      </c>
      <c r="H178" s="5"/>
      <c r="I178" s="5"/>
      <c r="J178" s="5">
        <v>1</v>
      </c>
      <c r="K178" s="5">
        <v>1</v>
      </c>
      <c r="L178" s="4">
        <v>1050</v>
      </c>
      <c r="M178" s="4">
        <v>814</v>
      </c>
      <c r="N178" s="4">
        <v>420</v>
      </c>
      <c r="O178" s="6">
        <f t="shared" si="36"/>
        <v>0.48402948402948398</v>
      </c>
      <c r="P178" s="4" t="s">
        <v>699</v>
      </c>
      <c r="Q178" s="4" t="s">
        <v>699</v>
      </c>
      <c r="R178" s="4" t="s">
        <v>699</v>
      </c>
      <c r="S178" s="4">
        <v>1100</v>
      </c>
      <c r="T178" s="4">
        <f t="shared" si="37"/>
        <v>1100</v>
      </c>
      <c r="U178" s="4">
        <v>440</v>
      </c>
      <c r="V178" s="4">
        <f t="shared" si="38"/>
        <v>440</v>
      </c>
      <c r="W178" s="4"/>
      <c r="X178" s="21">
        <f t="shared" si="39"/>
        <v>853</v>
      </c>
      <c r="Y178" s="6">
        <f t="shared" si="40"/>
        <v>0.48417350527549829</v>
      </c>
      <c r="Z178" s="33">
        <v>16.25</v>
      </c>
      <c r="AA178" s="4">
        <f t="shared" si="41"/>
        <v>817</v>
      </c>
      <c r="AB178" s="33">
        <f t="shared" si="42"/>
        <v>855.90476190476193</v>
      </c>
      <c r="AC178" s="6">
        <f t="shared" si="43"/>
        <v>0.48592411260709911</v>
      </c>
      <c r="AD178" s="7">
        <v>840</v>
      </c>
      <c r="AE178" s="6">
        <f t="shared" si="44"/>
        <v>0.47619047619047616</v>
      </c>
      <c r="AF178" s="4">
        <f t="shared" si="45"/>
        <v>400</v>
      </c>
      <c r="AG178" s="28"/>
      <c r="AH178" s="6"/>
      <c r="AI178" s="6"/>
      <c r="AJ178" s="6">
        <f t="shared" si="46"/>
        <v>1.0476190476190477</v>
      </c>
      <c r="AK178" s="6">
        <f t="shared" si="47"/>
        <v>1.031941031941032</v>
      </c>
      <c r="AL178" s="6">
        <f t="shared" si="48"/>
        <v>1.0476190476190477</v>
      </c>
      <c r="AM178" s="4" t="str">
        <f t="shared" si="51"/>
        <v>-</v>
      </c>
      <c r="AN178" s="4" t="str">
        <f>IF(Q178="","-",Q178)</f>
        <v>-</v>
      </c>
      <c r="AO178" s="4" t="str">
        <f>IF(R178="","-",R178)</f>
        <v>-</v>
      </c>
      <c r="AP178" s="4" t="s">
        <v>411</v>
      </c>
      <c r="AQ178" s="4" t="s">
        <v>922</v>
      </c>
      <c r="AR178" s="4"/>
      <c r="AS178" s="4"/>
      <c r="AT178" s="4" t="s">
        <v>923</v>
      </c>
      <c r="AU178" s="4">
        <v>817</v>
      </c>
      <c r="AV178" s="4">
        <f t="shared" si="50"/>
        <v>817</v>
      </c>
      <c r="AW178" s="19">
        <v>4</v>
      </c>
      <c r="AX178" s="19">
        <v>1</v>
      </c>
      <c r="AY178" s="16">
        <v>19</v>
      </c>
      <c r="AZ178">
        <v>803</v>
      </c>
      <c r="BA178">
        <f>IFERROR(AZ178*AL178,"-")</f>
        <v>841.2380952380953</v>
      </c>
      <c r="BB178">
        <v>877</v>
      </c>
      <c r="BC178">
        <f>IFERROR(BB178*AL178,"-")</f>
        <v>918.76190476190482</v>
      </c>
      <c r="BD178" t="s">
        <v>607</v>
      </c>
    </row>
    <row r="179" spans="1:56" x14ac:dyDescent="0.4">
      <c r="A179" s="3">
        <v>119</v>
      </c>
      <c r="B179" s="3">
        <v>119</v>
      </c>
      <c r="C179" s="4">
        <v>170182</v>
      </c>
      <c r="D179" s="4" t="str">
        <f t="shared" si="35"/>
        <v>170182</v>
      </c>
      <c r="E179" s="4">
        <v>170182</v>
      </c>
      <c r="F179" s="4" t="s">
        <v>225</v>
      </c>
      <c r="G179" s="5">
        <v>4535627882334</v>
      </c>
      <c r="H179" s="5"/>
      <c r="I179" s="5"/>
      <c r="J179" s="5">
        <v>1</v>
      </c>
      <c r="K179" s="5">
        <v>1</v>
      </c>
      <c r="L179" s="4">
        <v>0</v>
      </c>
      <c r="M179" s="4">
        <v>773</v>
      </c>
      <c r="N179" s="4">
        <v>420</v>
      </c>
      <c r="O179" s="6">
        <f t="shared" si="36"/>
        <v>0.45666235446313064</v>
      </c>
      <c r="P179" s="4" t="s">
        <v>699</v>
      </c>
      <c r="Q179" s="4" t="s">
        <v>699</v>
      </c>
      <c r="R179" s="4" t="s">
        <v>699</v>
      </c>
      <c r="S179" s="4">
        <v>0</v>
      </c>
      <c r="T179" s="4">
        <f t="shared" si="37"/>
        <v>0</v>
      </c>
      <c r="U179" s="4">
        <v>441</v>
      </c>
      <c r="V179" s="4">
        <f t="shared" si="38"/>
        <v>441</v>
      </c>
      <c r="W179" s="4"/>
      <c r="X179" s="21">
        <f t="shared" si="39"/>
        <v>812</v>
      </c>
      <c r="Y179" s="6">
        <f t="shared" si="40"/>
        <v>0.4568965517241379</v>
      </c>
      <c r="Z179" s="33">
        <v>0.5</v>
      </c>
      <c r="AA179" s="4">
        <f t="shared" si="41"/>
        <v>729</v>
      </c>
      <c r="AB179" s="33">
        <f t="shared" si="42"/>
        <v>765.45</v>
      </c>
      <c r="AC179" s="6">
        <f t="shared" si="43"/>
        <v>0.42386831275720172</v>
      </c>
      <c r="AD179" s="7">
        <v>765</v>
      </c>
      <c r="AE179" s="6">
        <f t="shared" si="44"/>
        <v>0.42352941176470593</v>
      </c>
      <c r="AF179" s="4">
        <f t="shared" si="45"/>
        <v>324</v>
      </c>
      <c r="AG179" s="28"/>
      <c r="AH179" s="6"/>
      <c r="AI179" s="6"/>
      <c r="AJ179" s="6" t="str">
        <f t="shared" si="46"/>
        <v>-</v>
      </c>
      <c r="AK179" s="6">
        <f t="shared" si="47"/>
        <v>0.98965071151358341</v>
      </c>
      <c r="AL179" s="6">
        <f t="shared" si="48"/>
        <v>1.05</v>
      </c>
      <c r="AM179" s="4" t="str">
        <f t="shared" si="51"/>
        <v>-</v>
      </c>
      <c r="AN179" s="4" t="str">
        <f>IF(Q179="","-",Q179)</f>
        <v>-</v>
      </c>
      <c r="AO179" s="4" t="str">
        <f>IF(R179="","-",R179)</f>
        <v>-</v>
      </c>
      <c r="AP179" s="4">
        <v>0</v>
      </c>
      <c r="AQ179" s="4" t="s">
        <v>836</v>
      </c>
      <c r="AR179" s="4"/>
      <c r="AS179" s="4"/>
      <c r="AT179" s="4" t="s">
        <v>835</v>
      </c>
      <c r="AU179" s="4">
        <v>729</v>
      </c>
      <c r="AV179" s="4">
        <f t="shared" si="50"/>
        <v>729</v>
      </c>
      <c r="AW179" s="19">
        <v>4</v>
      </c>
      <c r="AX179" s="19">
        <v>1</v>
      </c>
      <c r="AY179" s="16">
        <v>19</v>
      </c>
      <c r="AZ179" t="s">
        <v>699</v>
      </c>
      <c r="BA179" t="str">
        <f>IFERROR(AZ179*AL179,"-")</f>
        <v>-</v>
      </c>
      <c r="BB179">
        <v>750</v>
      </c>
      <c r="BC179">
        <f>IFERROR(BB179*AL179,"-")</f>
        <v>787.5</v>
      </c>
      <c r="BD179" t="s">
        <v>533</v>
      </c>
    </row>
    <row r="180" spans="1:56" x14ac:dyDescent="0.4">
      <c r="A180" s="3">
        <v>1</v>
      </c>
      <c r="B180" s="3">
        <v>1</v>
      </c>
      <c r="C180" s="4">
        <v>10575</v>
      </c>
      <c r="D180" s="4" t="str">
        <f t="shared" si="35"/>
        <v>010575</v>
      </c>
      <c r="E180" s="4">
        <v>600021</v>
      </c>
      <c r="F180" s="4" t="s">
        <v>107</v>
      </c>
      <c r="G180" s="5">
        <v>4535627301002</v>
      </c>
      <c r="H180" s="5"/>
      <c r="I180" s="5"/>
      <c r="J180" s="5">
        <v>1</v>
      </c>
      <c r="K180" s="5">
        <v>1</v>
      </c>
      <c r="L180" s="4">
        <v>1100</v>
      </c>
      <c r="M180" s="4">
        <v>768</v>
      </c>
      <c r="N180" s="4">
        <v>418</v>
      </c>
      <c r="O180" s="6">
        <f t="shared" si="36"/>
        <v>0.45572916666666663</v>
      </c>
      <c r="P180" s="4" t="s">
        <v>699</v>
      </c>
      <c r="Q180" s="4" t="s">
        <v>699</v>
      </c>
      <c r="R180" s="4" t="s">
        <v>699</v>
      </c>
      <c r="S180" s="4">
        <v>1200</v>
      </c>
      <c r="T180" s="4">
        <f t="shared" si="37"/>
        <v>1200</v>
      </c>
      <c r="U180" s="4">
        <v>456</v>
      </c>
      <c r="V180" s="4">
        <f t="shared" si="38"/>
        <v>456</v>
      </c>
      <c r="W180" s="4"/>
      <c r="X180" s="21">
        <f t="shared" si="39"/>
        <v>838</v>
      </c>
      <c r="Y180" s="6">
        <f t="shared" si="40"/>
        <v>0.45584725536992843</v>
      </c>
      <c r="Z180" s="33">
        <v>28.749999999999996</v>
      </c>
      <c r="AA180" s="4">
        <f t="shared" si="41"/>
        <v>780</v>
      </c>
      <c r="AB180" s="33">
        <f t="shared" si="42"/>
        <v>850.90909090909088</v>
      </c>
      <c r="AC180" s="6">
        <f t="shared" si="43"/>
        <v>0.46410256410256412</v>
      </c>
      <c r="AD180" s="7">
        <v>830</v>
      </c>
      <c r="AE180" s="6">
        <f t="shared" si="44"/>
        <v>0.45060240963855425</v>
      </c>
      <c r="AF180" s="4">
        <f t="shared" si="45"/>
        <v>374</v>
      </c>
      <c r="AG180" s="28"/>
      <c r="AH180" s="6" t="e">
        <f>1-V180/AG180</f>
        <v>#DIV/0!</v>
      </c>
      <c r="AI180" s="4">
        <f>AG180-V180</f>
        <v>-456</v>
      </c>
      <c r="AJ180" s="6">
        <f t="shared" si="46"/>
        <v>1.0909090909090908</v>
      </c>
      <c r="AK180" s="6">
        <f t="shared" si="47"/>
        <v>1.0807291666666667</v>
      </c>
      <c r="AL180" s="6">
        <f t="shared" si="48"/>
        <v>1.0909090909090908</v>
      </c>
      <c r="AM180" s="4" t="str">
        <f t="shared" si="51"/>
        <v>-</v>
      </c>
      <c r="AN180" s="4" t="str">
        <f>IF(Q180="","-",Q180)</f>
        <v>-</v>
      </c>
      <c r="AO180" s="4" t="str">
        <f>IF(R180="","-",R180)</f>
        <v>-</v>
      </c>
      <c r="AP180" s="4" t="s">
        <v>407</v>
      </c>
      <c r="AQ180" s="4" t="s">
        <v>700</v>
      </c>
      <c r="AR180" s="4"/>
      <c r="AS180" s="4"/>
      <c r="AT180" s="4" t="s">
        <v>701</v>
      </c>
      <c r="AU180" s="4">
        <v>780</v>
      </c>
      <c r="AV180" s="4">
        <f t="shared" si="50"/>
        <v>780</v>
      </c>
      <c r="AW180" s="19">
        <v>4</v>
      </c>
      <c r="AX180" s="19">
        <v>1</v>
      </c>
      <c r="AY180" s="16">
        <v>19</v>
      </c>
      <c r="AZ180" t="s">
        <v>699</v>
      </c>
      <c r="BA180" t="str">
        <f>IFERROR(AZ180*AL180,"-")</f>
        <v>-</v>
      </c>
      <c r="BB180">
        <v>865</v>
      </c>
      <c r="BC180">
        <f>IFERROR(BB180*AL180,"-")</f>
        <v>943.63636363636351</v>
      </c>
      <c r="BD180" t="s">
        <v>429</v>
      </c>
    </row>
    <row r="181" spans="1:56" x14ac:dyDescent="0.4">
      <c r="A181" s="3">
        <v>186</v>
      </c>
      <c r="B181" s="3">
        <v>186</v>
      </c>
      <c r="C181" s="4">
        <v>637817</v>
      </c>
      <c r="D181" s="4" t="str">
        <f t="shared" si="35"/>
        <v>637817</v>
      </c>
      <c r="E181" s="4">
        <v>637817</v>
      </c>
      <c r="F181" s="4" t="s">
        <v>292</v>
      </c>
      <c r="G181" s="5">
        <v>4535627305406</v>
      </c>
      <c r="H181" s="5"/>
      <c r="I181" s="5"/>
      <c r="J181" s="5">
        <v>1</v>
      </c>
      <c r="K181" s="5">
        <v>1</v>
      </c>
      <c r="L181" s="4">
        <v>0</v>
      </c>
      <c r="M181" s="4">
        <v>893</v>
      </c>
      <c r="N181" s="4">
        <v>430</v>
      </c>
      <c r="O181" s="6">
        <f t="shared" si="36"/>
        <v>0.51847704367301239</v>
      </c>
      <c r="P181" s="4">
        <v>754</v>
      </c>
      <c r="Q181" s="4">
        <v>3</v>
      </c>
      <c r="R181" s="4">
        <v>99999</v>
      </c>
      <c r="S181" s="4">
        <v>0</v>
      </c>
      <c r="T181" s="4">
        <f t="shared" si="37"/>
        <v>0</v>
      </c>
      <c r="U181" s="4">
        <v>467</v>
      </c>
      <c r="V181" s="4">
        <f t="shared" si="38"/>
        <v>467</v>
      </c>
      <c r="W181" s="4"/>
      <c r="X181" s="21">
        <f t="shared" si="39"/>
        <v>970</v>
      </c>
      <c r="Y181" s="6">
        <f t="shared" si="40"/>
        <v>0.51855670103092777</v>
      </c>
      <c r="Z181" s="33">
        <v>24</v>
      </c>
      <c r="AA181" s="4">
        <f t="shared" si="41"/>
        <v>891</v>
      </c>
      <c r="AB181" s="33">
        <f t="shared" si="42"/>
        <v>967.66744186046515</v>
      </c>
      <c r="AC181" s="6">
        <f t="shared" si="43"/>
        <v>0.51739618406285071</v>
      </c>
      <c r="AD181" s="7">
        <v>960</v>
      </c>
      <c r="AE181" s="6">
        <f t="shared" si="44"/>
        <v>0.51354166666666667</v>
      </c>
      <c r="AF181" s="4">
        <f t="shared" si="45"/>
        <v>493</v>
      </c>
      <c r="AG181" s="28"/>
      <c r="AH181" s="6"/>
      <c r="AI181" s="6"/>
      <c r="AJ181" s="6" t="str">
        <f t="shared" si="46"/>
        <v>-</v>
      </c>
      <c r="AK181" s="6">
        <f t="shared" si="47"/>
        <v>1.0750279955207167</v>
      </c>
      <c r="AL181" s="6">
        <f t="shared" si="48"/>
        <v>1.086046511627907</v>
      </c>
      <c r="AM181" s="4">
        <v>860</v>
      </c>
      <c r="AN181" s="4">
        <f>IF(Q181="","-",Q181)</f>
        <v>3</v>
      </c>
      <c r="AO181" s="4">
        <f>IF(R181="","-",R181)</f>
        <v>99999</v>
      </c>
      <c r="AP181" s="4" t="s">
        <v>418</v>
      </c>
      <c r="AQ181" s="4" t="s">
        <v>917</v>
      </c>
      <c r="AR181" s="4"/>
      <c r="AS181" s="4"/>
      <c r="AT181" s="4" t="s">
        <v>705</v>
      </c>
      <c r="AU181" s="4">
        <v>891</v>
      </c>
      <c r="AV181" s="4">
        <f t="shared" si="50"/>
        <v>891</v>
      </c>
      <c r="AW181" s="19">
        <v>4</v>
      </c>
      <c r="AX181" s="19">
        <v>1</v>
      </c>
      <c r="AY181" s="16">
        <v>19</v>
      </c>
      <c r="AZ181" t="s">
        <v>699</v>
      </c>
      <c r="BA181" t="str">
        <f>IFERROR(AZ181*AL181,"-")</f>
        <v>-</v>
      </c>
      <c r="BB181">
        <v>894</v>
      </c>
      <c r="BC181">
        <f>IFERROR(BB181*AL181,"-")</f>
        <v>970.9255813953489</v>
      </c>
      <c r="BD181" t="s">
        <v>602</v>
      </c>
    </row>
    <row r="182" spans="1:56" x14ac:dyDescent="0.4">
      <c r="A182" s="3">
        <v>193</v>
      </c>
      <c r="B182" s="3">
        <v>193</v>
      </c>
      <c r="C182" s="4">
        <v>650068</v>
      </c>
      <c r="D182" s="4" t="str">
        <f t="shared" si="35"/>
        <v>650068</v>
      </c>
      <c r="E182" s="4">
        <v>650068</v>
      </c>
      <c r="F182" s="4" t="s">
        <v>299</v>
      </c>
      <c r="G182" s="5">
        <v>4535627302306</v>
      </c>
      <c r="H182" s="5"/>
      <c r="I182" s="5"/>
      <c r="J182" s="5">
        <v>1</v>
      </c>
      <c r="K182" s="5">
        <v>1</v>
      </c>
      <c r="L182" s="4">
        <v>0</v>
      </c>
      <c r="M182" s="4">
        <v>613</v>
      </c>
      <c r="N182" s="4">
        <v>425</v>
      </c>
      <c r="O182" s="6">
        <f t="shared" si="36"/>
        <v>0.30668841761827081</v>
      </c>
      <c r="P182" s="4" t="s">
        <v>699</v>
      </c>
      <c r="Q182" s="4" t="s">
        <v>699</v>
      </c>
      <c r="R182" s="4" t="s">
        <v>699</v>
      </c>
      <c r="S182" s="4">
        <v>0</v>
      </c>
      <c r="T182" s="4">
        <f t="shared" si="37"/>
        <v>0</v>
      </c>
      <c r="U182" s="4">
        <v>477</v>
      </c>
      <c r="V182" s="4">
        <f t="shared" si="38"/>
        <v>477</v>
      </c>
      <c r="W182" s="4"/>
      <c r="X182" s="21">
        <f t="shared" si="39"/>
        <v>688</v>
      </c>
      <c r="Y182" s="6">
        <f t="shared" si="40"/>
        <v>0.3066860465116279</v>
      </c>
      <c r="Z182" s="33">
        <v>3</v>
      </c>
      <c r="AA182" s="4">
        <f t="shared" si="41"/>
        <v>880</v>
      </c>
      <c r="AB182" s="33">
        <f t="shared" si="42"/>
        <v>987.67058823529408</v>
      </c>
      <c r="AC182" s="6">
        <f t="shared" si="43"/>
        <v>0.51704545454545459</v>
      </c>
      <c r="AD182" s="7">
        <v>760</v>
      </c>
      <c r="AE182" s="6">
        <f t="shared" si="44"/>
        <v>0.37236842105263157</v>
      </c>
      <c r="AF182" s="4">
        <f t="shared" si="45"/>
        <v>283</v>
      </c>
      <c r="AG182" s="28"/>
      <c r="AH182" s="6"/>
      <c r="AI182" s="6"/>
      <c r="AJ182" s="6" t="str">
        <f t="shared" si="46"/>
        <v>-</v>
      </c>
      <c r="AK182" s="6">
        <f t="shared" si="47"/>
        <v>1.2398042414355628</v>
      </c>
      <c r="AL182" s="6">
        <f t="shared" si="48"/>
        <v>1.1223529411764706</v>
      </c>
      <c r="AM182" s="4" t="str">
        <f t="shared" ref="AM182:AM196" si="52">IFERROR(ROUND($AD182*P182/$M182,0),"-")</f>
        <v>-</v>
      </c>
      <c r="AN182" s="4" t="str">
        <f>IF(Q182="","-",Q182)</f>
        <v>-</v>
      </c>
      <c r="AO182" s="4" t="str">
        <f>IF(R182="","-",R182)</f>
        <v>-</v>
      </c>
      <c r="AP182" s="4" t="s">
        <v>418</v>
      </c>
      <c r="AQ182" s="4" t="s">
        <v>925</v>
      </c>
      <c r="AR182" s="4"/>
      <c r="AS182" s="4"/>
      <c r="AT182" s="4" t="s">
        <v>705</v>
      </c>
      <c r="AU182" s="4">
        <v>880</v>
      </c>
      <c r="AV182" s="4">
        <f t="shared" si="50"/>
        <v>880</v>
      </c>
      <c r="AW182" s="19">
        <v>4</v>
      </c>
      <c r="AX182" s="19">
        <v>1</v>
      </c>
      <c r="AY182" s="16">
        <v>19</v>
      </c>
      <c r="AZ182">
        <v>742</v>
      </c>
      <c r="BA182">
        <f>IFERROR(AZ182*AL182,"-")</f>
        <v>832.78588235294114</v>
      </c>
      <c r="BB182">
        <v>686</v>
      </c>
      <c r="BC182">
        <f>IFERROR(BB182*AL182,"-")</f>
        <v>769.93411764705877</v>
      </c>
      <c r="BD182" t="s">
        <v>609</v>
      </c>
    </row>
    <row r="183" spans="1:56" x14ac:dyDescent="0.4">
      <c r="A183" s="3">
        <v>159</v>
      </c>
      <c r="B183" s="3">
        <v>159</v>
      </c>
      <c r="C183" s="4">
        <v>405014</v>
      </c>
      <c r="D183" s="4" t="str">
        <f t="shared" si="35"/>
        <v>405014</v>
      </c>
      <c r="E183" s="4">
        <v>405014</v>
      </c>
      <c r="F183" s="4" t="s">
        <v>265</v>
      </c>
      <c r="G183" s="5">
        <v>4535627300005</v>
      </c>
      <c r="H183" s="5"/>
      <c r="I183" s="5"/>
      <c r="J183" s="5">
        <v>1</v>
      </c>
      <c r="K183" s="5">
        <v>1</v>
      </c>
      <c r="L183" s="4">
        <v>1100</v>
      </c>
      <c r="M183" s="4">
        <v>785</v>
      </c>
      <c r="N183" s="4">
        <v>440</v>
      </c>
      <c r="O183" s="6">
        <f t="shared" si="36"/>
        <v>0.43949044585987262</v>
      </c>
      <c r="P183" s="4" t="s">
        <v>699</v>
      </c>
      <c r="Q183" s="4" t="s">
        <v>699</v>
      </c>
      <c r="R183" s="4" t="s">
        <v>699</v>
      </c>
      <c r="S183" s="4">
        <v>1200</v>
      </c>
      <c r="T183" s="4">
        <f t="shared" si="37"/>
        <v>1200</v>
      </c>
      <c r="U183" s="4">
        <v>480</v>
      </c>
      <c r="V183" s="4">
        <f t="shared" si="38"/>
        <v>480</v>
      </c>
      <c r="W183" s="4"/>
      <c r="X183" s="21">
        <f t="shared" si="39"/>
        <v>856</v>
      </c>
      <c r="Y183" s="6">
        <f t="shared" si="40"/>
        <v>0.43925233644859818</v>
      </c>
      <c r="Z183" s="33">
        <v>15.25</v>
      </c>
      <c r="AA183" s="4">
        <f t="shared" si="41"/>
        <v>780</v>
      </c>
      <c r="AB183" s="33">
        <f t="shared" si="42"/>
        <v>850.90909090909088</v>
      </c>
      <c r="AC183" s="6">
        <f t="shared" si="43"/>
        <v>0.4358974358974359</v>
      </c>
      <c r="AD183" s="7">
        <v>840</v>
      </c>
      <c r="AE183" s="6">
        <f t="shared" si="44"/>
        <v>0.4285714285714286</v>
      </c>
      <c r="AF183" s="4">
        <f t="shared" si="45"/>
        <v>360</v>
      </c>
      <c r="AG183" s="28"/>
      <c r="AH183" s="6"/>
      <c r="AI183" s="6"/>
      <c r="AJ183" s="6">
        <f t="shared" si="46"/>
        <v>1.0909090909090908</v>
      </c>
      <c r="AK183" s="6">
        <f t="shared" si="47"/>
        <v>1.0700636942675159</v>
      </c>
      <c r="AL183" s="6">
        <f t="shared" si="48"/>
        <v>1.0909090909090908</v>
      </c>
      <c r="AM183" s="4" t="str">
        <f t="shared" si="52"/>
        <v>-</v>
      </c>
      <c r="AN183" s="4" t="str">
        <f>IF(Q183="","-",Q183)</f>
        <v>-</v>
      </c>
      <c r="AO183" s="4" t="str">
        <f>IF(R183="","-",R183)</f>
        <v>-</v>
      </c>
      <c r="AP183" s="4" t="s">
        <v>407</v>
      </c>
      <c r="AQ183" s="4" t="s">
        <v>888</v>
      </c>
      <c r="AR183" s="4"/>
      <c r="AS183" s="4"/>
      <c r="AT183" s="4" t="s">
        <v>701</v>
      </c>
      <c r="AU183" s="4">
        <v>780</v>
      </c>
      <c r="AV183" s="4">
        <f t="shared" si="50"/>
        <v>780</v>
      </c>
      <c r="AW183" s="19">
        <v>4</v>
      </c>
      <c r="AX183" s="19">
        <v>1</v>
      </c>
      <c r="AY183" s="16">
        <v>19</v>
      </c>
      <c r="AZ183" t="s">
        <v>699</v>
      </c>
      <c r="BA183" t="str">
        <f>IFERROR(AZ183*AL183,"-")</f>
        <v>-</v>
      </c>
      <c r="BB183">
        <v>885</v>
      </c>
      <c r="BC183">
        <f>IFERROR(BB183*AL183,"-")</f>
        <v>965.45454545454538</v>
      </c>
      <c r="BD183" t="s">
        <v>576</v>
      </c>
    </row>
    <row r="184" spans="1:56" x14ac:dyDescent="0.4">
      <c r="A184" s="3">
        <v>96</v>
      </c>
      <c r="B184" s="3">
        <v>96</v>
      </c>
      <c r="C184" s="4">
        <v>158953</v>
      </c>
      <c r="D184" s="4" t="str">
        <f t="shared" si="35"/>
        <v>158953</v>
      </c>
      <c r="E184" s="4">
        <v>158953</v>
      </c>
      <c r="F184" s="4" t="s">
        <v>202</v>
      </c>
      <c r="G184" s="5">
        <v>4535627104566</v>
      </c>
      <c r="H184" s="5"/>
      <c r="I184" s="5"/>
      <c r="J184" s="5">
        <v>1</v>
      </c>
      <c r="K184" s="5">
        <v>1</v>
      </c>
      <c r="L184" s="4">
        <v>1100</v>
      </c>
      <c r="M184" s="4">
        <v>600</v>
      </c>
      <c r="N184" s="4">
        <v>462</v>
      </c>
      <c r="O184" s="6">
        <f t="shared" si="36"/>
        <v>0.22999999999999998</v>
      </c>
      <c r="P184" s="4" t="s">
        <v>699</v>
      </c>
      <c r="Q184" s="4" t="s">
        <v>699</v>
      </c>
      <c r="R184" s="4" t="s">
        <v>699</v>
      </c>
      <c r="S184" s="4">
        <v>1150</v>
      </c>
      <c r="T184" s="4">
        <f t="shared" si="37"/>
        <v>1150</v>
      </c>
      <c r="U184" s="4">
        <v>483</v>
      </c>
      <c r="V184" s="4">
        <f t="shared" si="38"/>
        <v>483</v>
      </c>
      <c r="W184" s="4"/>
      <c r="X184" s="21">
        <f t="shared" si="39"/>
        <v>627</v>
      </c>
      <c r="Y184" s="6">
        <f t="shared" si="40"/>
        <v>0.22966507177033491</v>
      </c>
      <c r="Z184" s="33">
        <v>2.75</v>
      </c>
      <c r="AA184" s="4">
        <f t="shared" si="41"/>
        <v>900</v>
      </c>
      <c r="AB184" s="33">
        <f t="shared" si="42"/>
        <v>940.90909090909088</v>
      </c>
      <c r="AC184" s="6">
        <f t="shared" si="43"/>
        <v>0.48666666666666669</v>
      </c>
      <c r="AD184" s="7">
        <v>750</v>
      </c>
      <c r="AE184" s="6">
        <f t="shared" si="44"/>
        <v>0.35599999999999998</v>
      </c>
      <c r="AF184" s="4">
        <f t="shared" si="45"/>
        <v>267</v>
      </c>
      <c r="AG184" s="28"/>
      <c r="AH184" s="6"/>
      <c r="AI184" s="6"/>
      <c r="AJ184" s="6">
        <f t="shared" si="46"/>
        <v>1.0454545454545454</v>
      </c>
      <c r="AK184" s="6">
        <f t="shared" si="47"/>
        <v>1.25</v>
      </c>
      <c r="AL184" s="6">
        <f t="shared" si="48"/>
        <v>1.0454545454545454</v>
      </c>
      <c r="AM184" s="4" t="str">
        <f t="shared" si="52"/>
        <v>-</v>
      </c>
      <c r="AN184" s="4" t="str">
        <f>IF(Q184="","-",Q184)</f>
        <v>-</v>
      </c>
      <c r="AO184" s="4" t="str">
        <f>IF(R184="","-",R184)</f>
        <v>-</v>
      </c>
      <c r="AP184" s="4">
        <v>0</v>
      </c>
      <c r="AQ184" s="4" t="s">
        <v>808</v>
      </c>
      <c r="AR184" s="4"/>
      <c r="AS184" s="4"/>
      <c r="AT184" s="4" t="s">
        <v>809</v>
      </c>
      <c r="AU184" s="4">
        <v>900</v>
      </c>
      <c r="AV184" s="4">
        <f t="shared" si="50"/>
        <v>900</v>
      </c>
      <c r="AW184" s="19">
        <v>4</v>
      </c>
      <c r="AX184" s="19">
        <v>1</v>
      </c>
      <c r="AY184" s="16">
        <v>19</v>
      </c>
      <c r="AZ184" t="s">
        <v>699</v>
      </c>
      <c r="BA184" t="str">
        <f>IFERROR(AZ184*AL184,"-")</f>
        <v>-</v>
      </c>
      <c r="BB184" t="s">
        <v>699</v>
      </c>
      <c r="BC184" t="str">
        <f>IFERROR(BB184*AL184,"-")</f>
        <v>-</v>
      </c>
      <c r="BD184" t="s">
        <v>510</v>
      </c>
    </row>
    <row r="185" spans="1:56" x14ac:dyDescent="0.4">
      <c r="A185" s="3">
        <v>102</v>
      </c>
      <c r="B185" s="3">
        <v>102</v>
      </c>
      <c r="C185" s="4">
        <v>159301</v>
      </c>
      <c r="D185" s="4" t="str">
        <f t="shared" si="35"/>
        <v>159301</v>
      </c>
      <c r="E185" s="4">
        <v>159301</v>
      </c>
      <c r="F185" s="4" t="s">
        <v>208</v>
      </c>
      <c r="G185" s="5">
        <v>4535627106522</v>
      </c>
      <c r="H185" s="5"/>
      <c r="I185" s="5"/>
      <c r="J185" s="5">
        <v>1</v>
      </c>
      <c r="K185" s="5">
        <v>1</v>
      </c>
      <c r="L185" s="4">
        <v>1050</v>
      </c>
      <c r="M185" s="4">
        <v>722</v>
      </c>
      <c r="N185" s="4">
        <v>441</v>
      </c>
      <c r="O185" s="6">
        <f t="shared" si="36"/>
        <v>0.38919667590027696</v>
      </c>
      <c r="P185" s="4" t="s">
        <v>699</v>
      </c>
      <c r="Q185" s="4" t="s">
        <v>699</v>
      </c>
      <c r="R185" s="4" t="s">
        <v>699</v>
      </c>
      <c r="S185" s="4">
        <v>1150</v>
      </c>
      <c r="T185" s="4">
        <f t="shared" si="37"/>
        <v>1150</v>
      </c>
      <c r="U185" s="4">
        <v>483</v>
      </c>
      <c r="V185" s="4">
        <f t="shared" si="38"/>
        <v>483</v>
      </c>
      <c r="W185" s="4"/>
      <c r="X185" s="21">
        <f t="shared" si="39"/>
        <v>791</v>
      </c>
      <c r="Y185" s="6">
        <f t="shared" si="40"/>
        <v>0.38938053097345138</v>
      </c>
      <c r="Z185" s="33">
        <v>3.5000000000000004</v>
      </c>
      <c r="AA185" s="4">
        <f t="shared" si="41"/>
        <v>710</v>
      </c>
      <c r="AB185" s="33">
        <f t="shared" si="42"/>
        <v>777.61904761904771</v>
      </c>
      <c r="AC185" s="6">
        <f t="shared" si="43"/>
        <v>0.37887323943661977</v>
      </c>
      <c r="AD185" s="7">
        <v>770</v>
      </c>
      <c r="AE185" s="6">
        <f t="shared" si="44"/>
        <v>0.37272727272727268</v>
      </c>
      <c r="AF185" s="4">
        <f t="shared" si="45"/>
        <v>287</v>
      </c>
      <c r="AG185" s="28"/>
      <c r="AH185" s="6"/>
      <c r="AI185" s="6"/>
      <c r="AJ185" s="6">
        <f t="shared" si="46"/>
        <v>1.0952380952380953</v>
      </c>
      <c r="AK185" s="6">
        <f t="shared" si="47"/>
        <v>1.0664819944598338</v>
      </c>
      <c r="AL185" s="6">
        <f t="shared" si="48"/>
        <v>1.0952380952380953</v>
      </c>
      <c r="AM185" s="4" t="str">
        <f t="shared" si="52"/>
        <v>-</v>
      </c>
      <c r="AN185" s="4" t="str">
        <f>IF(Q185="","-",Q185)</f>
        <v>-</v>
      </c>
      <c r="AO185" s="4" t="str">
        <f>IF(R185="","-",R185)</f>
        <v>-</v>
      </c>
      <c r="AP185" s="4" t="s">
        <v>415</v>
      </c>
      <c r="AQ185" s="4" t="s">
        <v>817</v>
      </c>
      <c r="AR185" s="4"/>
      <c r="AS185" s="4"/>
      <c r="AT185" s="4" t="s">
        <v>721</v>
      </c>
      <c r="AU185" s="4">
        <v>710</v>
      </c>
      <c r="AV185" s="4">
        <f t="shared" si="50"/>
        <v>710</v>
      </c>
      <c r="AW185" s="19">
        <v>4</v>
      </c>
      <c r="AX185" s="19">
        <v>1</v>
      </c>
      <c r="AY185" s="16">
        <v>19</v>
      </c>
      <c r="AZ185" t="s">
        <v>699</v>
      </c>
      <c r="BA185" t="str">
        <f>IFERROR(AZ185*AL185,"-")</f>
        <v>-</v>
      </c>
      <c r="BB185">
        <v>869</v>
      </c>
      <c r="BC185">
        <f>IFERROR(BB185*AL185,"-")</f>
        <v>951.76190476190482</v>
      </c>
      <c r="BD185" t="s">
        <v>516</v>
      </c>
    </row>
    <row r="186" spans="1:56" x14ac:dyDescent="0.4">
      <c r="A186" s="3">
        <v>160</v>
      </c>
      <c r="B186" s="3">
        <v>160</v>
      </c>
      <c r="C186" s="4">
        <v>405063</v>
      </c>
      <c r="D186" s="4" t="str">
        <f t="shared" si="35"/>
        <v>405063</v>
      </c>
      <c r="E186" s="4">
        <v>405063</v>
      </c>
      <c r="F186" s="4" t="s">
        <v>266</v>
      </c>
      <c r="G186" s="5">
        <v>4535627104559</v>
      </c>
      <c r="H186" s="5"/>
      <c r="I186" s="5"/>
      <c r="J186" s="5">
        <v>1</v>
      </c>
      <c r="K186" s="5">
        <v>1</v>
      </c>
      <c r="L186" s="4">
        <v>1100</v>
      </c>
      <c r="M186" s="4">
        <v>848</v>
      </c>
      <c r="N186" s="4">
        <v>462</v>
      </c>
      <c r="O186" s="6">
        <f t="shared" si="36"/>
        <v>0.45518867924528306</v>
      </c>
      <c r="P186" s="4" t="s">
        <v>699</v>
      </c>
      <c r="Q186" s="4" t="s">
        <v>699</v>
      </c>
      <c r="R186" s="4" t="s">
        <v>699</v>
      </c>
      <c r="S186" s="4">
        <v>1150</v>
      </c>
      <c r="T186" s="4">
        <f t="shared" si="37"/>
        <v>1150</v>
      </c>
      <c r="U186" s="4">
        <v>483</v>
      </c>
      <c r="V186" s="4">
        <f t="shared" si="38"/>
        <v>483</v>
      </c>
      <c r="W186" s="4"/>
      <c r="X186" s="21">
        <f t="shared" si="39"/>
        <v>887</v>
      </c>
      <c r="Y186" s="6">
        <f t="shared" si="40"/>
        <v>0.45546786922209692</v>
      </c>
      <c r="Z186" s="33">
        <v>0.5</v>
      </c>
      <c r="AA186" s="4">
        <f t="shared" si="41"/>
        <v>853</v>
      </c>
      <c r="AB186" s="33">
        <f t="shared" si="42"/>
        <v>891.77272727272725</v>
      </c>
      <c r="AC186" s="6">
        <f t="shared" si="43"/>
        <v>0.45838218053927315</v>
      </c>
      <c r="AD186" s="7">
        <v>850</v>
      </c>
      <c r="AE186" s="6">
        <f t="shared" si="44"/>
        <v>0.43176470588235294</v>
      </c>
      <c r="AF186" s="4">
        <f t="shared" si="45"/>
        <v>367</v>
      </c>
      <c r="AG186" s="28"/>
      <c r="AH186" s="6"/>
      <c r="AI186" s="6"/>
      <c r="AJ186" s="6">
        <f t="shared" si="46"/>
        <v>1.0454545454545454</v>
      </c>
      <c r="AK186" s="6">
        <f t="shared" si="47"/>
        <v>1.0023584905660377</v>
      </c>
      <c r="AL186" s="6">
        <f t="shared" si="48"/>
        <v>1.0454545454545454</v>
      </c>
      <c r="AM186" s="4" t="str">
        <f t="shared" si="52"/>
        <v>-</v>
      </c>
      <c r="AN186" s="4" t="str">
        <f>IF(Q186="","-",Q186)</f>
        <v>-</v>
      </c>
      <c r="AO186" s="4" t="str">
        <f>IF(R186="","-",R186)</f>
        <v>-</v>
      </c>
      <c r="AP186" s="4" t="s">
        <v>411</v>
      </c>
      <c r="AQ186" s="4" t="s">
        <v>889</v>
      </c>
      <c r="AR186" s="4"/>
      <c r="AS186" s="4"/>
      <c r="AT186" s="4" t="s">
        <v>890</v>
      </c>
      <c r="AU186" s="4">
        <v>853</v>
      </c>
      <c r="AV186" s="4">
        <f t="shared" si="50"/>
        <v>853</v>
      </c>
      <c r="AW186" s="19">
        <v>4</v>
      </c>
      <c r="AX186" s="19">
        <v>1</v>
      </c>
      <c r="AY186" s="16">
        <v>19</v>
      </c>
      <c r="AZ186">
        <v>1100</v>
      </c>
      <c r="BA186">
        <f>IFERROR(AZ186*AL186,"-")</f>
        <v>1150</v>
      </c>
      <c r="BB186">
        <v>880</v>
      </c>
      <c r="BC186">
        <f>IFERROR(BB186*AL186,"-")</f>
        <v>920</v>
      </c>
      <c r="BD186" t="s">
        <v>577</v>
      </c>
    </row>
    <row r="187" spans="1:56" x14ac:dyDescent="0.4">
      <c r="A187" s="3">
        <v>162</v>
      </c>
      <c r="B187" s="3">
        <v>162</v>
      </c>
      <c r="C187" s="4">
        <v>405072</v>
      </c>
      <c r="D187" s="4" t="str">
        <f t="shared" si="35"/>
        <v>405072</v>
      </c>
      <c r="E187" s="4">
        <v>405072</v>
      </c>
      <c r="F187" s="4" t="s">
        <v>268</v>
      </c>
      <c r="G187" s="5">
        <v>4535627106355</v>
      </c>
      <c r="H187" s="5"/>
      <c r="I187" s="5"/>
      <c r="J187" s="5">
        <v>1</v>
      </c>
      <c r="K187" s="5">
        <v>1</v>
      </c>
      <c r="L187" s="4">
        <v>1050</v>
      </c>
      <c r="M187" s="4">
        <v>722</v>
      </c>
      <c r="N187" s="4">
        <v>441</v>
      </c>
      <c r="O187" s="6">
        <f t="shared" si="36"/>
        <v>0.38919667590027696</v>
      </c>
      <c r="P187" s="4" t="s">
        <v>699</v>
      </c>
      <c r="Q187" s="4" t="s">
        <v>699</v>
      </c>
      <c r="R187" s="4" t="s">
        <v>699</v>
      </c>
      <c r="S187" s="4">
        <v>1150</v>
      </c>
      <c r="T187" s="4">
        <f t="shared" si="37"/>
        <v>1150</v>
      </c>
      <c r="U187" s="4">
        <v>483</v>
      </c>
      <c r="V187" s="4">
        <f t="shared" si="38"/>
        <v>483</v>
      </c>
      <c r="W187" s="4"/>
      <c r="X187" s="21">
        <f t="shared" si="39"/>
        <v>791</v>
      </c>
      <c r="Y187" s="6">
        <f t="shared" si="40"/>
        <v>0.38938053097345138</v>
      </c>
      <c r="Z187" s="33">
        <v>23.25</v>
      </c>
      <c r="AA187" s="4">
        <f t="shared" si="41"/>
        <v>704</v>
      </c>
      <c r="AB187" s="33">
        <f t="shared" si="42"/>
        <v>771.04761904761915</v>
      </c>
      <c r="AC187" s="6">
        <f t="shared" si="43"/>
        <v>0.37357954545454553</v>
      </c>
      <c r="AD187" s="7">
        <v>770</v>
      </c>
      <c r="AE187" s="6">
        <f t="shared" si="44"/>
        <v>0.37272727272727268</v>
      </c>
      <c r="AF187" s="4">
        <f t="shared" si="45"/>
        <v>287</v>
      </c>
      <c r="AG187" s="28"/>
      <c r="AH187" s="6"/>
      <c r="AI187" s="6"/>
      <c r="AJ187" s="6">
        <f t="shared" si="46"/>
        <v>1.0952380952380953</v>
      </c>
      <c r="AK187" s="6">
        <f t="shared" si="47"/>
        <v>1.0664819944598338</v>
      </c>
      <c r="AL187" s="6">
        <f t="shared" si="48"/>
        <v>1.0952380952380953</v>
      </c>
      <c r="AM187" s="4" t="str">
        <f t="shared" si="52"/>
        <v>-</v>
      </c>
      <c r="AN187" s="4" t="str">
        <f>IF(Q187="","-",Q187)</f>
        <v>-</v>
      </c>
      <c r="AO187" s="4" t="str">
        <f>IF(R187="","-",R187)</f>
        <v>-</v>
      </c>
      <c r="AP187" s="4" t="s">
        <v>415</v>
      </c>
      <c r="AQ187" s="4" t="s">
        <v>892</v>
      </c>
      <c r="AR187" s="4"/>
      <c r="AS187" s="4"/>
      <c r="AT187" s="4" t="s">
        <v>721</v>
      </c>
      <c r="AU187" s="4">
        <v>704</v>
      </c>
      <c r="AV187" s="4">
        <f t="shared" si="50"/>
        <v>704</v>
      </c>
      <c r="AW187" s="19">
        <v>4</v>
      </c>
      <c r="AX187" s="19">
        <v>1</v>
      </c>
      <c r="AY187" s="16">
        <v>19</v>
      </c>
      <c r="AZ187" t="s">
        <v>699</v>
      </c>
      <c r="BA187" t="str">
        <f>IFERROR(AZ187*AL187,"-")</f>
        <v>-</v>
      </c>
      <c r="BB187">
        <v>869</v>
      </c>
      <c r="BC187">
        <f>IFERROR(BB187*AL187,"-")</f>
        <v>951.76190476190482</v>
      </c>
      <c r="BD187" t="s">
        <v>579</v>
      </c>
    </row>
    <row r="188" spans="1:56" x14ac:dyDescent="0.4">
      <c r="A188" s="3">
        <v>268</v>
      </c>
      <c r="B188" s="3">
        <v>268</v>
      </c>
      <c r="C188" s="4" t="s">
        <v>91</v>
      </c>
      <c r="D188" s="4" t="str">
        <f t="shared" si="35"/>
        <v>J77797</v>
      </c>
      <c r="E188" s="4" t="s">
        <v>91</v>
      </c>
      <c r="F188" s="4" t="s">
        <v>374</v>
      </c>
      <c r="G188" s="5">
        <v>4535627102272</v>
      </c>
      <c r="H188" s="5"/>
      <c r="I188" s="5"/>
      <c r="J188" s="5">
        <v>1</v>
      </c>
      <c r="K188" s="5">
        <v>1</v>
      </c>
      <c r="L188" s="4">
        <v>10500</v>
      </c>
      <c r="M188" s="4">
        <v>5624</v>
      </c>
      <c r="N188" s="4">
        <v>4410</v>
      </c>
      <c r="O188" s="6">
        <f t="shared" si="36"/>
        <v>0.21586059743954478</v>
      </c>
      <c r="P188" s="4" t="s">
        <v>699</v>
      </c>
      <c r="Q188" s="4" t="s">
        <v>699</v>
      </c>
      <c r="R188" s="4" t="s">
        <v>699</v>
      </c>
      <c r="S188" s="4">
        <v>1150</v>
      </c>
      <c r="T188" s="4">
        <f t="shared" si="37"/>
        <v>11500</v>
      </c>
      <c r="U188" s="4">
        <v>483</v>
      </c>
      <c r="V188" s="4">
        <f t="shared" si="38"/>
        <v>4830</v>
      </c>
      <c r="W188" s="4">
        <v>10</v>
      </c>
      <c r="X188" s="21">
        <f t="shared" si="39"/>
        <v>6160</v>
      </c>
      <c r="Y188" s="6">
        <f t="shared" si="40"/>
        <v>0.21590909090909094</v>
      </c>
      <c r="Z188" s="33">
        <v>0</v>
      </c>
      <c r="AA188" s="4">
        <f t="shared" si="41"/>
        <v>10500</v>
      </c>
      <c r="AB188" s="33">
        <f t="shared" si="42"/>
        <v>11500.000000000002</v>
      </c>
      <c r="AC188" s="6">
        <f t="shared" si="43"/>
        <v>0.58000000000000007</v>
      </c>
      <c r="AD188" s="7">
        <v>7700</v>
      </c>
      <c r="AE188" s="6">
        <f t="shared" si="44"/>
        <v>0.37272727272727268</v>
      </c>
      <c r="AF188" s="4">
        <f t="shared" si="45"/>
        <v>2870</v>
      </c>
      <c r="AG188" s="28"/>
      <c r="AH188" s="6"/>
      <c r="AI188" s="6"/>
      <c r="AJ188" s="6">
        <f t="shared" si="46"/>
        <v>1.0952380952380953</v>
      </c>
      <c r="AK188" s="6">
        <f t="shared" si="47"/>
        <v>1.3691322901849217</v>
      </c>
      <c r="AL188" s="6">
        <f t="shared" si="48"/>
        <v>1.0952380952380953</v>
      </c>
      <c r="AM188" s="4" t="str">
        <f t="shared" si="52"/>
        <v>-</v>
      </c>
      <c r="AN188" s="4" t="str">
        <f>IF(Q188="","-",Q188)</f>
        <v>-</v>
      </c>
      <c r="AO188" s="4" t="str">
        <f>IF(R188="","-",R188)</f>
        <v>-</v>
      </c>
      <c r="AP188" s="4">
        <v>0</v>
      </c>
      <c r="AQ188" s="4" t="s">
        <v>1012</v>
      </c>
      <c r="AR188" s="4">
        <v>10</v>
      </c>
      <c r="AS188" s="4">
        <v>1</v>
      </c>
      <c r="AT188" s="4" t="s">
        <v>705</v>
      </c>
      <c r="AU188" s="4">
        <v>1050</v>
      </c>
      <c r="AV188" s="4">
        <f t="shared" si="50"/>
        <v>10500</v>
      </c>
      <c r="AW188" s="19">
        <v>4</v>
      </c>
      <c r="AX188" s="19">
        <v>8</v>
      </c>
      <c r="AY188" s="16">
        <v>19</v>
      </c>
      <c r="AZ188" t="s">
        <v>699</v>
      </c>
      <c r="BA188" t="str">
        <f>IFERROR(AZ188*AL188,"-")</f>
        <v>-</v>
      </c>
      <c r="BB188">
        <v>866</v>
      </c>
      <c r="BC188">
        <f>IFERROR(BB188*AL188,"-")</f>
        <v>948.4761904761906</v>
      </c>
      <c r="BD188" t="s">
        <v>683</v>
      </c>
    </row>
    <row r="189" spans="1:56" x14ac:dyDescent="0.4">
      <c r="A189" s="3">
        <v>89</v>
      </c>
      <c r="B189" s="3">
        <v>89</v>
      </c>
      <c r="C189" s="4">
        <v>117411</v>
      </c>
      <c r="D189" s="4" t="str">
        <f t="shared" si="35"/>
        <v>117411</v>
      </c>
      <c r="E189" s="4">
        <v>117411</v>
      </c>
      <c r="F189" s="4" t="s">
        <v>195</v>
      </c>
      <c r="G189" s="5">
        <v>4535627540029</v>
      </c>
      <c r="H189" s="5"/>
      <c r="I189" s="5"/>
      <c r="J189" s="5">
        <v>1</v>
      </c>
      <c r="K189" s="5">
        <v>1</v>
      </c>
      <c r="L189" s="4">
        <v>1200</v>
      </c>
      <c r="M189" s="4">
        <v>709</v>
      </c>
      <c r="N189" s="4">
        <v>480</v>
      </c>
      <c r="O189" s="6">
        <f t="shared" si="36"/>
        <v>0.32299012693935125</v>
      </c>
      <c r="P189" s="4" t="s">
        <v>699</v>
      </c>
      <c r="Q189" s="4" t="s">
        <v>699</v>
      </c>
      <c r="R189" s="4" t="s">
        <v>699</v>
      </c>
      <c r="S189" s="4">
        <v>1250</v>
      </c>
      <c r="T189" s="4">
        <f t="shared" si="37"/>
        <v>1250</v>
      </c>
      <c r="U189" s="4">
        <v>500</v>
      </c>
      <c r="V189" s="4">
        <f t="shared" si="38"/>
        <v>500</v>
      </c>
      <c r="W189" s="4"/>
      <c r="X189" s="21">
        <f t="shared" si="39"/>
        <v>739</v>
      </c>
      <c r="Y189" s="6">
        <f t="shared" si="40"/>
        <v>0.32341001353179977</v>
      </c>
      <c r="Z189" s="33">
        <v>12</v>
      </c>
      <c r="AA189" s="4">
        <f t="shared" si="41"/>
        <v>1200</v>
      </c>
      <c r="AB189" s="33">
        <f t="shared" si="42"/>
        <v>1250</v>
      </c>
      <c r="AC189" s="6">
        <f t="shared" si="43"/>
        <v>0.6</v>
      </c>
      <c r="AD189" s="7">
        <v>810</v>
      </c>
      <c r="AE189" s="6">
        <f t="shared" si="44"/>
        <v>0.38271604938271608</v>
      </c>
      <c r="AF189" s="4">
        <f t="shared" si="45"/>
        <v>310</v>
      </c>
      <c r="AG189" s="28"/>
      <c r="AH189" s="6"/>
      <c r="AI189" s="6"/>
      <c r="AJ189" s="6">
        <f t="shared" si="46"/>
        <v>1.0416666666666667</v>
      </c>
      <c r="AK189" s="6">
        <f t="shared" si="47"/>
        <v>1.1424541607898449</v>
      </c>
      <c r="AL189" s="6">
        <f t="shared" si="48"/>
        <v>1.0416666666666667</v>
      </c>
      <c r="AM189" s="4" t="str">
        <f t="shared" si="52"/>
        <v>-</v>
      </c>
      <c r="AN189" s="4" t="str">
        <f>IF(Q189="","-",Q189)</f>
        <v>-</v>
      </c>
      <c r="AO189" s="4" t="str">
        <f>IF(R189="","-",R189)</f>
        <v>-</v>
      </c>
      <c r="AP189" s="4" t="s">
        <v>417</v>
      </c>
      <c r="AQ189" s="4" t="s">
        <v>799</v>
      </c>
      <c r="AR189" s="4"/>
      <c r="AS189" s="4"/>
      <c r="AT189" s="4" t="s">
        <v>705</v>
      </c>
      <c r="AU189" s="4">
        <v>1200</v>
      </c>
      <c r="AV189" s="4">
        <f t="shared" si="50"/>
        <v>1200</v>
      </c>
      <c r="AW189" s="19">
        <v>4</v>
      </c>
      <c r="AX189" s="19">
        <v>1</v>
      </c>
      <c r="AY189" s="16">
        <v>19</v>
      </c>
      <c r="AZ189" t="s">
        <v>699</v>
      </c>
      <c r="BA189" t="str">
        <f>IFERROR(AZ189*AL189,"-")</f>
        <v>-</v>
      </c>
      <c r="BB189">
        <v>1012</v>
      </c>
      <c r="BC189">
        <f>IFERROR(BB189*AL189,"-")</f>
        <v>1054.1666666666667</v>
      </c>
      <c r="BD189" t="s">
        <v>503</v>
      </c>
    </row>
    <row r="190" spans="1:56" x14ac:dyDescent="0.4">
      <c r="A190" s="3">
        <v>91</v>
      </c>
      <c r="B190" s="3">
        <v>91</v>
      </c>
      <c r="C190" s="4">
        <v>117415</v>
      </c>
      <c r="D190" s="4" t="str">
        <f t="shared" si="35"/>
        <v>117415</v>
      </c>
      <c r="E190" s="4">
        <v>117415</v>
      </c>
      <c r="F190" s="4" t="s">
        <v>197</v>
      </c>
      <c r="G190" s="5">
        <v>4535627540227</v>
      </c>
      <c r="H190" s="5"/>
      <c r="I190" s="5"/>
      <c r="J190" s="5">
        <v>1</v>
      </c>
      <c r="K190" s="5">
        <v>1</v>
      </c>
      <c r="L190" s="4">
        <v>1200</v>
      </c>
      <c r="M190" s="4">
        <v>701</v>
      </c>
      <c r="N190" s="4">
        <v>480</v>
      </c>
      <c r="O190" s="6">
        <f t="shared" si="36"/>
        <v>0.3152639087018545</v>
      </c>
      <c r="P190" s="4" t="s">
        <v>699</v>
      </c>
      <c r="Q190" s="4" t="s">
        <v>699</v>
      </c>
      <c r="R190" s="4" t="s">
        <v>699</v>
      </c>
      <c r="S190" s="4">
        <v>1250</v>
      </c>
      <c r="T190" s="4">
        <f t="shared" si="37"/>
        <v>1250</v>
      </c>
      <c r="U190" s="4">
        <v>500</v>
      </c>
      <c r="V190" s="4">
        <f t="shared" si="38"/>
        <v>500</v>
      </c>
      <c r="W190" s="4"/>
      <c r="X190" s="21">
        <f t="shared" si="39"/>
        <v>730</v>
      </c>
      <c r="Y190" s="6">
        <f t="shared" si="40"/>
        <v>0.31506849315068497</v>
      </c>
      <c r="Z190" s="33">
        <v>0.25</v>
      </c>
      <c r="AA190" s="4">
        <f t="shared" si="41"/>
        <v>1200</v>
      </c>
      <c r="AB190" s="33">
        <f t="shared" si="42"/>
        <v>1250</v>
      </c>
      <c r="AC190" s="6">
        <f t="shared" si="43"/>
        <v>0.6</v>
      </c>
      <c r="AD190" s="7">
        <v>810</v>
      </c>
      <c r="AE190" s="6">
        <f t="shared" si="44"/>
        <v>0.38271604938271608</v>
      </c>
      <c r="AF190" s="4">
        <f t="shared" si="45"/>
        <v>310</v>
      </c>
      <c r="AG190" s="28"/>
      <c r="AH190" s="6"/>
      <c r="AI190" s="6"/>
      <c r="AJ190" s="6">
        <f t="shared" si="46"/>
        <v>1.0416666666666667</v>
      </c>
      <c r="AK190" s="6">
        <f t="shared" si="47"/>
        <v>1.1554921540656204</v>
      </c>
      <c r="AL190" s="6">
        <f t="shared" si="48"/>
        <v>1.0416666666666667</v>
      </c>
      <c r="AM190" s="4" t="str">
        <f t="shared" si="52"/>
        <v>-</v>
      </c>
      <c r="AN190" s="4" t="str">
        <f>IF(Q190="","-",Q190)</f>
        <v>-</v>
      </c>
      <c r="AO190" s="4" t="str">
        <f>IF(R190="","-",R190)</f>
        <v>-</v>
      </c>
      <c r="AP190" s="4" t="s">
        <v>417</v>
      </c>
      <c r="AQ190" s="4" t="s">
        <v>801</v>
      </c>
      <c r="AR190" s="4"/>
      <c r="AS190" s="4"/>
      <c r="AT190" s="4" t="s">
        <v>705</v>
      </c>
      <c r="AU190" s="4">
        <v>1200</v>
      </c>
      <c r="AV190" s="4">
        <f t="shared" si="50"/>
        <v>1200</v>
      </c>
      <c r="AW190" s="19">
        <v>4</v>
      </c>
      <c r="AX190" s="19">
        <v>1</v>
      </c>
      <c r="AY190" s="16">
        <v>19</v>
      </c>
      <c r="AZ190" t="s">
        <v>699</v>
      </c>
      <c r="BA190" t="str">
        <f>IFERROR(AZ190*AL190,"-")</f>
        <v>-</v>
      </c>
      <c r="BB190">
        <v>900</v>
      </c>
      <c r="BC190">
        <f>IFERROR(BB190*AL190,"-")</f>
        <v>937.50000000000011</v>
      </c>
      <c r="BD190" t="s">
        <v>505</v>
      </c>
    </row>
    <row r="191" spans="1:56" x14ac:dyDescent="0.4">
      <c r="A191" s="3">
        <v>120</v>
      </c>
      <c r="B191" s="3">
        <v>120</v>
      </c>
      <c r="C191" s="4">
        <v>170183</v>
      </c>
      <c r="D191" s="4" t="str">
        <f t="shared" si="35"/>
        <v>170183</v>
      </c>
      <c r="E191" s="4">
        <v>170183</v>
      </c>
      <c r="F191" s="4" t="s">
        <v>226</v>
      </c>
      <c r="G191" s="5">
        <v>4535627882341</v>
      </c>
      <c r="H191" s="5"/>
      <c r="I191" s="5"/>
      <c r="J191" s="5">
        <v>1</v>
      </c>
      <c r="K191" s="5">
        <v>1</v>
      </c>
      <c r="L191" s="4">
        <v>0</v>
      </c>
      <c r="M191" s="4">
        <v>836</v>
      </c>
      <c r="N191" s="4">
        <v>483</v>
      </c>
      <c r="O191" s="6">
        <f t="shared" si="36"/>
        <v>0.42224880382775121</v>
      </c>
      <c r="P191" s="4" t="s">
        <v>699</v>
      </c>
      <c r="Q191" s="4" t="s">
        <v>699</v>
      </c>
      <c r="R191" s="4" t="s">
        <v>699</v>
      </c>
      <c r="S191" s="4">
        <v>0</v>
      </c>
      <c r="T191" s="4">
        <f t="shared" si="37"/>
        <v>0</v>
      </c>
      <c r="U191" s="4">
        <v>504</v>
      </c>
      <c r="V191" s="4">
        <f t="shared" si="38"/>
        <v>504</v>
      </c>
      <c r="W191" s="4"/>
      <c r="X191" s="21">
        <f t="shared" si="39"/>
        <v>872</v>
      </c>
      <c r="Y191" s="6">
        <f t="shared" si="40"/>
        <v>0.42201834862385323</v>
      </c>
      <c r="Z191" s="33">
        <v>0.5</v>
      </c>
      <c r="AA191" s="4">
        <f t="shared" si="41"/>
        <v>837</v>
      </c>
      <c r="AB191" s="33">
        <f t="shared" si="42"/>
        <v>873.39130434782601</v>
      </c>
      <c r="AC191" s="6">
        <f t="shared" si="43"/>
        <v>0.42293906810035842</v>
      </c>
      <c r="AD191" s="7">
        <v>872</v>
      </c>
      <c r="AE191" s="6">
        <f t="shared" si="44"/>
        <v>0.42201834862385323</v>
      </c>
      <c r="AF191" s="4">
        <f t="shared" si="45"/>
        <v>368</v>
      </c>
      <c r="AG191" s="28"/>
      <c r="AH191" s="6"/>
      <c r="AI191" s="6"/>
      <c r="AJ191" s="6" t="str">
        <f t="shared" si="46"/>
        <v>-</v>
      </c>
      <c r="AK191" s="6">
        <f t="shared" si="47"/>
        <v>1.0430622009569377</v>
      </c>
      <c r="AL191" s="6">
        <f t="shared" si="48"/>
        <v>1.0434782608695652</v>
      </c>
      <c r="AM191" s="4" t="str">
        <f t="shared" si="52"/>
        <v>-</v>
      </c>
      <c r="AN191" s="4" t="str">
        <f>IF(Q191="","-",Q191)</f>
        <v>-</v>
      </c>
      <c r="AO191" s="4" t="str">
        <f>IF(R191="","-",R191)</f>
        <v>-</v>
      </c>
      <c r="AP191" s="4">
        <v>0</v>
      </c>
      <c r="AQ191" s="4" t="s">
        <v>837</v>
      </c>
      <c r="AR191" s="4"/>
      <c r="AS191" s="4"/>
      <c r="AT191" s="4" t="s">
        <v>835</v>
      </c>
      <c r="AU191" s="4">
        <v>837</v>
      </c>
      <c r="AV191" s="4">
        <f t="shared" si="50"/>
        <v>837</v>
      </c>
      <c r="AW191" s="19">
        <v>4</v>
      </c>
      <c r="AX191" s="19">
        <v>1</v>
      </c>
      <c r="AY191" s="16">
        <v>19</v>
      </c>
      <c r="AZ191" t="s">
        <v>699</v>
      </c>
      <c r="BA191" t="str">
        <f>IFERROR(AZ191*AL191,"-")</f>
        <v>-</v>
      </c>
      <c r="BB191">
        <v>863</v>
      </c>
      <c r="BC191">
        <f>IFERROR(BB191*AL191,"-")</f>
        <v>900.52173913043475</v>
      </c>
      <c r="BD191" t="s">
        <v>534</v>
      </c>
    </row>
    <row r="192" spans="1:56" x14ac:dyDescent="0.4">
      <c r="A192" s="3">
        <v>227</v>
      </c>
      <c r="B192" s="3">
        <v>227</v>
      </c>
      <c r="C192" s="4">
        <v>681359</v>
      </c>
      <c r="D192" s="4" t="str">
        <f t="shared" si="35"/>
        <v>681359</v>
      </c>
      <c r="E192" s="4">
        <v>681359</v>
      </c>
      <c r="F192" s="4" t="s">
        <v>333</v>
      </c>
      <c r="G192" s="5">
        <v>4535627101855</v>
      </c>
      <c r="H192" s="5"/>
      <c r="I192" s="5"/>
      <c r="J192" s="5">
        <v>1</v>
      </c>
      <c r="K192" s="5">
        <v>1</v>
      </c>
      <c r="L192" s="4">
        <v>1180</v>
      </c>
      <c r="M192" s="4">
        <v>842</v>
      </c>
      <c r="N192" s="4">
        <v>472</v>
      </c>
      <c r="O192" s="6">
        <f t="shared" si="36"/>
        <v>0.43942992874109266</v>
      </c>
      <c r="P192" s="4" t="s">
        <v>699</v>
      </c>
      <c r="Q192" s="4" t="s">
        <v>699</v>
      </c>
      <c r="R192" s="4" t="s">
        <v>699</v>
      </c>
      <c r="S192" s="4">
        <v>1270</v>
      </c>
      <c r="T192" s="4">
        <f t="shared" si="37"/>
        <v>1270</v>
      </c>
      <c r="U192" s="4">
        <v>508</v>
      </c>
      <c r="V192" s="4">
        <f t="shared" si="38"/>
        <v>508</v>
      </c>
      <c r="W192" s="4"/>
      <c r="X192" s="21">
        <f t="shared" si="39"/>
        <v>906</v>
      </c>
      <c r="Y192" s="6">
        <f t="shared" si="40"/>
        <v>0.43929359823399561</v>
      </c>
      <c r="Z192" s="33">
        <v>103.49999999999999</v>
      </c>
      <c r="AA192" s="4">
        <f t="shared" si="41"/>
        <v>842</v>
      </c>
      <c r="AB192" s="33">
        <f t="shared" si="42"/>
        <v>906.22033898305085</v>
      </c>
      <c r="AC192" s="6">
        <f t="shared" si="43"/>
        <v>0.43942992874109266</v>
      </c>
      <c r="AD192" s="7">
        <v>900</v>
      </c>
      <c r="AE192" s="6">
        <f t="shared" si="44"/>
        <v>0.43555555555555558</v>
      </c>
      <c r="AF192" s="4">
        <f t="shared" si="45"/>
        <v>392</v>
      </c>
      <c r="AG192" s="28"/>
      <c r="AH192" s="6"/>
      <c r="AI192" s="6"/>
      <c r="AJ192" s="6">
        <f t="shared" si="46"/>
        <v>1.076271186440678</v>
      </c>
      <c r="AK192" s="6">
        <f t="shared" si="47"/>
        <v>1.0688836104513064</v>
      </c>
      <c r="AL192" s="6">
        <f t="shared" si="48"/>
        <v>1.076271186440678</v>
      </c>
      <c r="AM192" s="4" t="str">
        <f t="shared" si="52"/>
        <v>-</v>
      </c>
      <c r="AN192" s="4" t="str">
        <f>IF(Q192="","-",Q192)</f>
        <v>-</v>
      </c>
      <c r="AO192" s="4" t="str">
        <f>IF(R192="","-",R192)</f>
        <v>-</v>
      </c>
      <c r="AP192" s="4" t="s">
        <v>411</v>
      </c>
      <c r="AQ192" s="4" t="s">
        <v>968</v>
      </c>
      <c r="AR192" s="4"/>
      <c r="AS192" s="4"/>
      <c r="AT192" s="4" t="s">
        <v>705</v>
      </c>
      <c r="AU192" s="4">
        <v>842</v>
      </c>
      <c r="AV192" s="4">
        <f t="shared" si="50"/>
        <v>842</v>
      </c>
      <c r="AW192" s="19">
        <v>4</v>
      </c>
      <c r="AX192" s="19">
        <v>1</v>
      </c>
      <c r="AY192" s="16">
        <v>19</v>
      </c>
      <c r="AZ192">
        <v>842</v>
      </c>
      <c r="BA192">
        <f>IFERROR(AZ192*AL192,"-")</f>
        <v>906.22033898305085</v>
      </c>
      <c r="BB192">
        <v>982</v>
      </c>
      <c r="BC192">
        <f>IFERROR(BB192*AL192,"-")</f>
        <v>1056.8983050847457</v>
      </c>
      <c r="BD192" t="s">
        <v>643</v>
      </c>
    </row>
    <row r="193" spans="1:56" x14ac:dyDescent="0.4">
      <c r="A193" s="3">
        <v>170</v>
      </c>
      <c r="B193" s="3">
        <v>170</v>
      </c>
      <c r="C193" s="4">
        <v>541242</v>
      </c>
      <c r="D193" s="4" t="str">
        <f t="shared" si="35"/>
        <v>541242</v>
      </c>
      <c r="E193" s="4">
        <v>541242</v>
      </c>
      <c r="F193" s="4" t="s">
        <v>276</v>
      </c>
      <c r="G193" s="5">
        <v>4535627101381</v>
      </c>
      <c r="H193" s="5"/>
      <c r="I193" s="5"/>
      <c r="J193" s="5">
        <v>1</v>
      </c>
      <c r="K193" s="5">
        <v>1</v>
      </c>
      <c r="L193" s="4">
        <v>1200</v>
      </c>
      <c r="M193" s="4">
        <v>1007</v>
      </c>
      <c r="N193" s="4">
        <v>480</v>
      </c>
      <c r="O193" s="6">
        <f t="shared" si="36"/>
        <v>0.52333664349553133</v>
      </c>
      <c r="P193" s="4" t="s">
        <v>699</v>
      </c>
      <c r="Q193" s="4" t="s">
        <v>699</v>
      </c>
      <c r="R193" s="4" t="s">
        <v>699</v>
      </c>
      <c r="S193" s="4">
        <v>1300</v>
      </c>
      <c r="T193" s="4">
        <f t="shared" si="37"/>
        <v>1300</v>
      </c>
      <c r="U193" s="4">
        <v>520</v>
      </c>
      <c r="V193" s="4">
        <f t="shared" si="38"/>
        <v>520</v>
      </c>
      <c r="W193" s="4"/>
      <c r="X193" s="21">
        <f t="shared" si="39"/>
        <v>1091</v>
      </c>
      <c r="Y193" s="6">
        <f t="shared" si="40"/>
        <v>0.52337305224564612</v>
      </c>
      <c r="Z193" s="33">
        <v>19</v>
      </c>
      <c r="AA193" s="4">
        <f t="shared" si="41"/>
        <v>1008</v>
      </c>
      <c r="AB193" s="33">
        <f t="shared" si="42"/>
        <v>1092</v>
      </c>
      <c r="AC193" s="6">
        <f t="shared" si="43"/>
        <v>0.52380952380952384</v>
      </c>
      <c r="AD193" s="7">
        <v>910</v>
      </c>
      <c r="AE193" s="6">
        <f t="shared" si="44"/>
        <v>0.4285714285714286</v>
      </c>
      <c r="AF193" s="4">
        <f t="shared" si="45"/>
        <v>390</v>
      </c>
      <c r="AG193" s="28"/>
      <c r="AH193" s="6"/>
      <c r="AI193" s="6"/>
      <c r="AJ193" s="6">
        <f t="shared" si="46"/>
        <v>1.0833333333333333</v>
      </c>
      <c r="AK193" s="6">
        <f t="shared" si="47"/>
        <v>0.90367428003972194</v>
      </c>
      <c r="AL193" s="6">
        <f t="shared" si="48"/>
        <v>1.0833333333333333</v>
      </c>
      <c r="AM193" s="4" t="str">
        <f t="shared" si="52"/>
        <v>-</v>
      </c>
      <c r="AN193" s="4" t="str">
        <f>IF(Q193="","-",Q193)</f>
        <v>-</v>
      </c>
      <c r="AO193" s="4" t="str">
        <f>IF(R193="","-",R193)</f>
        <v>-</v>
      </c>
      <c r="AP193" s="4" t="s">
        <v>407</v>
      </c>
      <c r="AQ193" s="4" t="s">
        <v>901</v>
      </c>
      <c r="AR193" s="4"/>
      <c r="AS193" s="4"/>
      <c r="AT193" s="4" t="s">
        <v>705</v>
      </c>
      <c r="AU193" s="4">
        <v>1008</v>
      </c>
      <c r="AV193" s="4">
        <f t="shared" si="50"/>
        <v>1008</v>
      </c>
      <c r="AW193" s="19">
        <v>4</v>
      </c>
      <c r="AX193" s="19">
        <v>1</v>
      </c>
      <c r="AY193" s="16">
        <v>19</v>
      </c>
      <c r="AZ193">
        <v>840</v>
      </c>
      <c r="BA193">
        <f>IFERROR(AZ193*AL193,"-")</f>
        <v>909.99999999999989</v>
      </c>
      <c r="BB193">
        <v>1004</v>
      </c>
      <c r="BC193">
        <f>IFERROR(BB193*AL193,"-")</f>
        <v>1087.6666666666665</v>
      </c>
      <c r="BD193" t="s">
        <v>587</v>
      </c>
    </row>
    <row r="194" spans="1:56" x14ac:dyDescent="0.4">
      <c r="A194" s="3">
        <v>273</v>
      </c>
      <c r="B194" s="3">
        <v>273</v>
      </c>
      <c r="C194" s="4" t="s">
        <v>96</v>
      </c>
      <c r="D194" s="4" t="str">
        <f t="shared" si="35"/>
        <v>J916RW</v>
      </c>
      <c r="E194" s="4" t="s">
        <v>96</v>
      </c>
      <c r="F194" s="4" t="s">
        <v>379</v>
      </c>
      <c r="G194" s="5">
        <v>4535627104825</v>
      </c>
      <c r="H194" s="5"/>
      <c r="I194" s="5"/>
      <c r="J194" s="5">
        <v>1</v>
      </c>
      <c r="K194" s="5">
        <v>1</v>
      </c>
      <c r="L194" s="4">
        <v>1200</v>
      </c>
      <c r="M194" s="4">
        <v>762</v>
      </c>
      <c r="N194" s="4">
        <v>504</v>
      </c>
      <c r="O194" s="6">
        <f t="shared" si="36"/>
        <v>0.33858267716535428</v>
      </c>
      <c r="P194" s="4" t="s">
        <v>699</v>
      </c>
      <c r="Q194" s="4" t="s">
        <v>699</v>
      </c>
      <c r="R194" s="4" t="s">
        <v>699</v>
      </c>
      <c r="S194" s="4">
        <v>1260</v>
      </c>
      <c r="T194" s="4">
        <f t="shared" si="37"/>
        <v>1260</v>
      </c>
      <c r="U194" s="4">
        <v>529</v>
      </c>
      <c r="V194" s="4">
        <f t="shared" si="38"/>
        <v>529</v>
      </c>
      <c r="W194" s="4"/>
      <c r="X194" s="21">
        <f t="shared" si="39"/>
        <v>800</v>
      </c>
      <c r="Y194" s="6">
        <f t="shared" si="40"/>
        <v>0.33875</v>
      </c>
      <c r="Z194" s="33">
        <v>1.25</v>
      </c>
      <c r="AA194" s="4">
        <f t="shared" si="41"/>
        <v>1080</v>
      </c>
      <c r="AB194" s="33">
        <f t="shared" si="42"/>
        <v>1133.5714285714287</v>
      </c>
      <c r="AC194" s="6">
        <f t="shared" si="43"/>
        <v>0.53333333333333344</v>
      </c>
      <c r="AD194" s="7">
        <v>880</v>
      </c>
      <c r="AE194" s="6">
        <f t="shared" si="44"/>
        <v>0.39886363636363631</v>
      </c>
      <c r="AF194" s="4">
        <f t="shared" si="45"/>
        <v>351</v>
      </c>
      <c r="AG194" s="28"/>
      <c r="AH194" s="6"/>
      <c r="AI194" s="6"/>
      <c r="AJ194" s="6">
        <f t="shared" si="46"/>
        <v>1.05</v>
      </c>
      <c r="AK194" s="6">
        <f t="shared" si="47"/>
        <v>1.1548556430446195</v>
      </c>
      <c r="AL194" s="6">
        <f t="shared" si="48"/>
        <v>1.0496031746031746</v>
      </c>
      <c r="AM194" s="4" t="str">
        <f t="shared" si="52"/>
        <v>-</v>
      </c>
      <c r="AN194" s="4" t="str">
        <f>IF(Q194="","-",Q194)</f>
        <v>-</v>
      </c>
      <c r="AO194" s="4" t="str">
        <f>IF(R194="","-",R194)</f>
        <v>-</v>
      </c>
      <c r="AP194" s="4" t="s">
        <v>411</v>
      </c>
      <c r="AQ194" s="4" t="s">
        <v>1017</v>
      </c>
      <c r="AR194" s="4"/>
      <c r="AS194" s="4"/>
      <c r="AT194" s="4" t="s">
        <v>705</v>
      </c>
      <c r="AU194" s="4">
        <v>1080</v>
      </c>
      <c r="AV194" s="4">
        <f t="shared" si="50"/>
        <v>1080</v>
      </c>
      <c r="AW194" s="19">
        <v>4</v>
      </c>
      <c r="AX194" s="19">
        <v>1</v>
      </c>
      <c r="AY194" s="16">
        <v>19</v>
      </c>
      <c r="AZ194" t="s">
        <v>699</v>
      </c>
      <c r="BA194" t="str">
        <f>IFERROR(AZ194*AL194,"-")</f>
        <v>-</v>
      </c>
      <c r="BB194">
        <v>1070</v>
      </c>
      <c r="BC194">
        <f>IFERROR(BB194*AL194,"-")</f>
        <v>1123.0753968253969</v>
      </c>
      <c r="BD194" t="s">
        <v>688</v>
      </c>
    </row>
    <row r="195" spans="1:56" x14ac:dyDescent="0.4">
      <c r="A195" s="3">
        <v>178</v>
      </c>
      <c r="B195" s="3">
        <v>178</v>
      </c>
      <c r="C195" s="4">
        <v>600936</v>
      </c>
      <c r="D195" s="4" t="str">
        <f t="shared" si="35"/>
        <v>600936</v>
      </c>
      <c r="E195" s="4">
        <v>600936</v>
      </c>
      <c r="F195" s="4" t="s">
        <v>284</v>
      </c>
      <c r="G195" s="5">
        <v>4535627106102</v>
      </c>
      <c r="H195" s="5"/>
      <c r="I195" s="5"/>
      <c r="J195" s="5">
        <v>1</v>
      </c>
      <c r="K195" s="5">
        <v>1</v>
      </c>
      <c r="L195" s="4">
        <v>1250</v>
      </c>
      <c r="M195" s="4">
        <v>746</v>
      </c>
      <c r="N195" s="4">
        <v>500</v>
      </c>
      <c r="O195" s="6">
        <f t="shared" si="36"/>
        <v>0.32975871313672922</v>
      </c>
      <c r="P195" s="4" t="s">
        <v>699</v>
      </c>
      <c r="Q195" s="4" t="s">
        <v>699</v>
      </c>
      <c r="R195" s="4" t="s">
        <v>699</v>
      </c>
      <c r="S195" s="4">
        <v>1350</v>
      </c>
      <c r="T195" s="4">
        <f t="shared" si="37"/>
        <v>1350</v>
      </c>
      <c r="U195" s="4">
        <v>540</v>
      </c>
      <c r="V195" s="4">
        <f t="shared" si="38"/>
        <v>540</v>
      </c>
      <c r="W195" s="4"/>
      <c r="X195" s="21">
        <f t="shared" si="39"/>
        <v>806</v>
      </c>
      <c r="Y195" s="6">
        <f t="shared" si="40"/>
        <v>0.33002481389578164</v>
      </c>
      <c r="Z195" s="33">
        <v>0.5</v>
      </c>
      <c r="AA195" s="4">
        <f t="shared" si="41"/>
        <v>1250</v>
      </c>
      <c r="AB195" s="33">
        <f t="shared" si="42"/>
        <v>1350</v>
      </c>
      <c r="AC195" s="6">
        <f t="shared" si="43"/>
        <v>0.6</v>
      </c>
      <c r="AD195" s="7">
        <v>880</v>
      </c>
      <c r="AE195" s="6">
        <f t="shared" si="44"/>
        <v>0.38636363636363635</v>
      </c>
      <c r="AF195" s="4">
        <f t="shared" si="45"/>
        <v>340</v>
      </c>
      <c r="AG195" s="28"/>
      <c r="AH195" s="6"/>
      <c r="AI195" s="6"/>
      <c r="AJ195" s="6">
        <f t="shared" si="46"/>
        <v>1.08</v>
      </c>
      <c r="AK195" s="6">
        <f t="shared" si="47"/>
        <v>1.1796246648793565</v>
      </c>
      <c r="AL195" s="6">
        <f t="shared" si="48"/>
        <v>1.08</v>
      </c>
      <c r="AM195" s="4" t="str">
        <f t="shared" si="52"/>
        <v>-</v>
      </c>
      <c r="AN195" s="4" t="str">
        <f>IF(Q195="","-",Q195)</f>
        <v>-</v>
      </c>
      <c r="AO195" s="4" t="str">
        <f>IF(R195="","-",R195)</f>
        <v>-</v>
      </c>
      <c r="AP195" s="4" t="s">
        <v>425</v>
      </c>
      <c r="AQ195" s="4" t="s">
        <v>910</v>
      </c>
      <c r="AR195" s="4"/>
      <c r="AS195" s="4"/>
      <c r="AT195" s="4" t="s">
        <v>749</v>
      </c>
      <c r="AU195" s="4">
        <v>1250</v>
      </c>
      <c r="AV195" s="4">
        <f t="shared" si="50"/>
        <v>1250</v>
      </c>
      <c r="AW195" s="19">
        <v>4</v>
      </c>
      <c r="AX195" s="19">
        <v>1</v>
      </c>
      <c r="AY195" s="16">
        <v>19</v>
      </c>
      <c r="AZ195" t="s">
        <v>699</v>
      </c>
      <c r="BA195" t="str">
        <f>IFERROR(AZ195*AL195,"-")</f>
        <v>-</v>
      </c>
      <c r="BB195">
        <v>976</v>
      </c>
      <c r="BC195">
        <f>IFERROR(BB195*AL195,"-")</f>
        <v>1054.0800000000002</v>
      </c>
      <c r="BD195" t="s">
        <v>595</v>
      </c>
    </row>
    <row r="196" spans="1:56" x14ac:dyDescent="0.4">
      <c r="A196" s="3">
        <v>276</v>
      </c>
      <c r="B196" s="3">
        <v>276</v>
      </c>
      <c r="C196" s="4" t="s">
        <v>99</v>
      </c>
      <c r="D196" s="4" t="str">
        <f t="shared" ref="D196:D259" si="53">TEXT(C196,"000000")</f>
        <v>J918RW</v>
      </c>
      <c r="E196" s="4" t="s">
        <v>99</v>
      </c>
      <c r="F196" s="4" t="s">
        <v>382</v>
      </c>
      <c r="G196" s="5">
        <v>4535627104849</v>
      </c>
      <c r="H196" s="5"/>
      <c r="I196" s="5"/>
      <c r="J196" s="5">
        <v>1</v>
      </c>
      <c r="K196" s="5">
        <v>1</v>
      </c>
      <c r="L196" s="4">
        <v>1250</v>
      </c>
      <c r="M196" s="4">
        <v>958</v>
      </c>
      <c r="N196" s="4">
        <v>525</v>
      </c>
      <c r="O196" s="6">
        <f t="shared" ref="O196:O259" si="54">IFERROR(1-N196/M196,"-")</f>
        <v>0.45198329853862218</v>
      </c>
      <c r="P196" s="4" t="s">
        <v>699</v>
      </c>
      <c r="Q196" s="4" t="s">
        <v>699</v>
      </c>
      <c r="R196" s="4" t="s">
        <v>699</v>
      </c>
      <c r="S196" s="4">
        <v>1300</v>
      </c>
      <c r="T196" s="4">
        <f t="shared" ref="T196:T259" si="55">IF(W196="",S196,S196*W196)</f>
        <v>1300</v>
      </c>
      <c r="U196" s="4">
        <v>546</v>
      </c>
      <c r="V196" s="4">
        <f t="shared" ref="V196:V259" si="56">IF(W196="",U196,U196*W196)</f>
        <v>546</v>
      </c>
      <c r="W196" s="4"/>
      <c r="X196" s="21">
        <f t="shared" ref="X196:X259" si="57">ROUND(M196*AL196,0)</f>
        <v>996</v>
      </c>
      <c r="Y196" s="6">
        <f t="shared" ref="Y196:Y259" si="58">IFERROR(1-V196/X196,"-")</f>
        <v>0.45180722891566261</v>
      </c>
      <c r="Z196" s="33">
        <v>0.5</v>
      </c>
      <c r="AA196" s="4">
        <f t="shared" ref="AA196:AA259" si="59">AV196</f>
        <v>1125</v>
      </c>
      <c r="AB196" s="33">
        <f t="shared" ref="AB196:AB259" si="60">IFERROR(AA196*AL196,"-")</f>
        <v>1170</v>
      </c>
      <c r="AC196" s="6">
        <f t="shared" ref="AC196:AC259" si="61">IFERROR(1-V196/AB196,"-")</f>
        <v>0.53333333333333333</v>
      </c>
      <c r="AD196" s="7">
        <v>1000</v>
      </c>
      <c r="AE196" s="6">
        <f t="shared" ref="AE196:AE259" si="62">1-V196/AD196</f>
        <v>0.45399999999999996</v>
      </c>
      <c r="AF196" s="4">
        <f t="shared" ref="AF196:AF259" si="63">AD196-V196</f>
        <v>454</v>
      </c>
      <c r="AG196" s="28"/>
      <c r="AH196" s="6"/>
      <c r="AI196" s="6"/>
      <c r="AJ196" s="6">
        <f t="shared" ref="AJ196:AJ259" si="64">IFERROR(T196/L196,"-")</f>
        <v>1.04</v>
      </c>
      <c r="AK196" s="6">
        <f t="shared" ref="AK196:AK259" si="65">IFERROR(AD196/M196,"-")</f>
        <v>1.0438413361169103</v>
      </c>
      <c r="AL196" s="6">
        <f t="shared" ref="AL196:AL259" si="66">IFERROR(V196/N196,"-")</f>
        <v>1.04</v>
      </c>
      <c r="AM196" s="4" t="str">
        <f t="shared" si="52"/>
        <v>-</v>
      </c>
      <c r="AN196" s="4" t="str">
        <f>IF(Q196="","-",Q196)</f>
        <v>-</v>
      </c>
      <c r="AO196" s="4" t="str">
        <f>IF(R196="","-",R196)</f>
        <v>-</v>
      </c>
      <c r="AP196" s="4" t="s">
        <v>411</v>
      </c>
      <c r="AQ196" s="4" t="s">
        <v>1020</v>
      </c>
      <c r="AR196" s="4"/>
      <c r="AS196" s="4"/>
      <c r="AT196" s="4" t="s">
        <v>705</v>
      </c>
      <c r="AU196" s="4">
        <v>1125</v>
      </c>
      <c r="AV196" s="4">
        <f t="shared" ref="AV196:AV259" si="67">IF(AR196="",AU196,AR196/AS196*AU196)</f>
        <v>1125</v>
      </c>
      <c r="AW196" s="19">
        <v>4</v>
      </c>
      <c r="AX196" s="19">
        <v>1</v>
      </c>
      <c r="AY196" s="16">
        <v>19</v>
      </c>
      <c r="AZ196" t="s">
        <v>699</v>
      </c>
      <c r="BA196" t="str">
        <f>IFERROR(AZ196*AL196,"-")</f>
        <v>-</v>
      </c>
      <c r="BB196">
        <v>1250</v>
      </c>
      <c r="BC196">
        <f>IFERROR(BB196*AL196,"-")</f>
        <v>1300</v>
      </c>
      <c r="BD196" t="s">
        <v>691</v>
      </c>
    </row>
    <row r="197" spans="1:56" x14ac:dyDescent="0.4">
      <c r="A197" s="3">
        <v>192</v>
      </c>
      <c r="B197" s="3">
        <v>192</v>
      </c>
      <c r="C197" s="4">
        <v>650067</v>
      </c>
      <c r="D197" s="4" t="str">
        <f t="shared" si="53"/>
        <v>650067</v>
      </c>
      <c r="E197" s="4">
        <v>650067</v>
      </c>
      <c r="F197" s="4" t="s">
        <v>298</v>
      </c>
      <c r="G197" s="5">
        <v>4535627305208</v>
      </c>
      <c r="H197" s="5"/>
      <c r="I197" s="5"/>
      <c r="J197" s="5">
        <v>1</v>
      </c>
      <c r="K197" s="5">
        <v>1</v>
      </c>
      <c r="L197" s="4">
        <v>0</v>
      </c>
      <c r="M197" s="4">
        <v>1070</v>
      </c>
      <c r="N197" s="4">
        <v>584</v>
      </c>
      <c r="O197" s="6">
        <f t="shared" si="54"/>
        <v>0.45420560747663552</v>
      </c>
      <c r="P197" s="4">
        <v>920</v>
      </c>
      <c r="Q197" s="4">
        <v>3</v>
      </c>
      <c r="R197" s="4">
        <v>99999</v>
      </c>
      <c r="S197" s="4">
        <v>0</v>
      </c>
      <c r="T197" s="4">
        <f t="shared" si="55"/>
        <v>0</v>
      </c>
      <c r="U197" s="4">
        <v>641</v>
      </c>
      <c r="V197" s="4">
        <f t="shared" si="56"/>
        <v>641</v>
      </c>
      <c r="W197" s="4"/>
      <c r="X197" s="21">
        <f t="shared" si="57"/>
        <v>1174</v>
      </c>
      <c r="Y197" s="6">
        <f t="shared" si="58"/>
        <v>0.45400340715502552</v>
      </c>
      <c r="Z197" s="33">
        <v>28.499999999999996</v>
      </c>
      <c r="AA197" s="4">
        <f t="shared" si="59"/>
        <v>1071</v>
      </c>
      <c r="AB197" s="33">
        <f t="shared" si="60"/>
        <v>1175.5325342465753</v>
      </c>
      <c r="AC197" s="6">
        <f t="shared" si="61"/>
        <v>0.45471521942110171</v>
      </c>
      <c r="AD197" s="7">
        <v>1150</v>
      </c>
      <c r="AE197" s="6">
        <f t="shared" si="62"/>
        <v>0.44260869565217387</v>
      </c>
      <c r="AF197" s="4">
        <f t="shared" si="63"/>
        <v>509</v>
      </c>
      <c r="AG197" s="28"/>
      <c r="AH197" s="6"/>
      <c r="AI197" s="6"/>
      <c r="AJ197" s="6" t="str">
        <f t="shared" si="64"/>
        <v>-</v>
      </c>
      <c r="AK197" s="6">
        <f t="shared" si="65"/>
        <v>1.0747663551401869</v>
      </c>
      <c r="AL197" s="6">
        <f t="shared" si="66"/>
        <v>1.0976027397260273</v>
      </c>
      <c r="AM197" s="4">
        <v>1000</v>
      </c>
      <c r="AN197" s="4">
        <f>IF(Q197="","-",Q197)</f>
        <v>3</v>
      </c>
      <c r="AO197" s="4">
        <f>IF(R197="","-",R197)</f>
        <v>99999</v>
      </c>
      <c r="AP197" s="4" t="s">
        <v>418</v>
      </c>
      <c r="AQ197" s="4" t="s">
        <v>924</v>
      </c>
      <c r="AR197" s="4"/>
      <c r="AS197" s="4"/>
      <c r="AT197" s="4" t="s">
        <v>705</v>
      </c>
      <c r="AU197" s="4">
        <v>1071</v>
      </c>
      <c r="AV197" s="4">
        <f t="shared" si="67"/>
        <v>1071</v>
      </c>
      <c r="AW197" s="19">
        <v>4</v>
      </c>
      <c r="AX197" s="19">
        <v>1</v>
      </c>
      <c r="AY197" s="16">
        <v>19</v>
      </c>
      <c r="AZ197">
        <v>915</v>
      </c>
      <c r="BA197">
        <f>IFERROR(AZ197*AL197,"-")</f>
        <v>1004.3065068493149</v>
      </c>
      <c r="BB197">
        <v>1144</v>
      </c>
      <c r="BC197">
        <f>IFERROR(BB197*AL197,"-")</f>
        <v>1255.6575342465753</v>
      </c>
      <c r="BD197" t="s">
        <v>608</v>
      </c>
    </row>
    <row r="198" spans="1:56" x14ac:dyDescent="0.4">
      <c r="A198" s="3">
        <v>117</v>
      </c>
      <c r="B198" s="3">
        <v>117</v>
      </c>
      <c r="C198" s="4">
        <v>170180</v>
      </c>
      <c r="D198" s="4" t="str">
        <f t="shared" si="53"/>
        <v>170180</v>
      </c>
      <c r="E198" s="4">
        <v>170180</v>
      </c>
      <c r="F198" s="4" t="s">
        <v>223</v>
      </c>
      <c r="G198" s="5">
        <v>4535627101886</v>
      </c>
      <c r="H198" s="5"/>
      <c r="I198" s="5"/>
      <c r="J198" s="5">
        <v>1</v>
      </c>
      <c r="K198" s="5">
        <v>1</v>
      </c>
      <c r="L198" s="4">
        <v>1500</v>
      </c>
      <c r="M198" s="4">
        <v>906</v>
      </c>
      <c r="N198" s="4">
        <v>630</v>
      </c>
      <c r="O198" s="6">
        <f t="shared" si="54"/>
        <v>0.30463576158940397</v>
      </c>
      <c r="P198" s="4" t="s">
        <v>699</v>
      </c>
      <c r="Q198" s="4" t="s">
        <v>699</v>
      </c>
      <c r="R198" s="4" t="s">
        <v>699</v>
      </c>
      <c r="S198" s="4">
        <v>1650</v>
      </c>
      <c r="T198" s="4">
        <f t="shared" si="55"/>
        <v>1650</v>
      </c>
      <c r="U198" s="4">
        <v>693</v>
      </c>
      <c r="V198" s="4">
        <f t="shared" si="56"/>
        <v>693</v>
      </c>
      <c r="W198" s="4"/>
      <c r="X198" s="21">
        <f t="shared" si="57"/>
        <v>997</v>
      </c>
      <c r="Y198" s="6">
        <f t="shared" si="58"/>
        <v>0.30491474423269804</v>
      </c>
      <c r="Z198" s="33">
        <v>3.75</v>
      </c>
      <c r="AA198" s="4">
        <f t="shared" si="59"/>
        <v>1117</v>
      </c>
      <c r="AB198" s="33">
        <f t="shared" si="60"/>
        <v>1228.7</v>
      </c>
      <c r="AC198" s="6">
        <f t="shared" si="61"/>
        <v>0.43598925693822743</v>
      </c>
      <c r="AD198" s="7">
        <v>1080</v>
      </c>
      <c r="AE198" s="6">
        <f t="shared" si="62"/>
        <v>0.35833333333333328</v>
      </c>
      <c r="AF198" s="4">
        <f t="shared" si="63"/>
        <v>387</v>
      </c>
      <c r="AG198" s="28"/>
      <c r="AH198" s="6"/>
      <c r="AI198" s="6"/>
      <c r="AJ198" s="6">
        <f t="shared" si="64"/>
        <v>1.1000000000000001</v>
      </c>
      <c r="AK198" s="6">
        <f t="shared" si="65"/>
        <v>1.1920529801324504</v>
      </c>
      <c r="AL198" s="6">
        <f t="shared" si="66"/>
        <v>1.1000000000000001</v>
      </c>
      <c r="AM198" s="4" t="str">
        <f t="shared" ref="AM198:AM210" si="68">IFERROR(ROUND($AD198*P198/$M198,0),"-")</f>
        <v>-</v>
      </c>
      <c r="AN198" s="4" t="str">
        <f>IF(Q198="","-",Q198)</f>
        <v>-</v>
      </c>
      <c r="AO198" s="4" t="str">
        <f>IF(R198="","-",R198)</f>
        <v>-</v>
      </c>
      <c r="AP198" s="4" t="s">
        <v>419</v>
      </c>
      <c r="AQ198" s="4" t="s">
        <v>833</v>
      </c>
      <c r="AR198" s="4"/>
      <c r="AS198" s="4"/>
      <c r="AT198" s="4" t="s">
        <v>705</v>
      </c>
      <c r="AU198" s="4">
        <v>1117</v>
      </c>
      <c r="AV198" s="4">
        <f t="shared" si="67"/>
        <v>1117</v>
      </c>
      <c r="AW198" s="19">
        <v>4</v>
      </c>
      <c r="AX198" s="19">
        <v>1</v>
      </c>
      <c r="AY198" s="16">
        <v>19</v>
      </c>
      <c r="AZ198" t="s">
        <v>699</v>
      </c>
      <c r="BA198" t="str">
        <f>IFERROR(AZ198*AL198,"-")</f>
        <v>-</v>
      </c>
      <c r="BB198">
        <v>1273</v>
      </c>
      <c r="BC198">
        <f>IFERROR(BB198*AL198,"-")</f>
        <v>1400.3000000000002</v>
      </c>
      <c r="BD198" t="s">
        <v>531</v>
      </c>
    </row>
    <row r="199" spans="1:56" x14ac:dyDescent="0.4">
      <c r="A199" s="3">
        <v>211</v>
      </c>
      <c r="B199" s="3">
        <v>211</v>
      </c>
      <c r="C199" s="4">
        <v>673801</v>
      </c>
      <c r="D199" s="4" t="str">
        <f t="shared" si="53"/>
        <v>673801</v>
      </c>
      <c r="E199" s="4">
        <v>673801</v>
      </c>
      <c r="F199" s="4" t="s">
        <v>317</v>
      </c>
      <c r="G199" s="5">
        <v>4535627104412</v>
      </c>
      <c r="H199" s="5"/>
      <c r="I199" s="5"/>
      <c r="J199" s="5">
        <v>1</v>
      </c>
      <c r="K199" s="5">
        <v>1</v>
      </c>
      <c r="L199" s="4">
        <v>0</v>
      </c>
      <c r="M199" s="4">
        <v>1076</v>
      </c>
      <c r="N199" s="4">
        <v>623</v>
      </c>
      <c r="O199" s="6">
        <f t="shared" si="54"/>
        <v>0.42100371747211895</v>
      </c>
      <c r="P199" s="4" t="s">
        <v>699</v>
      </c>
      <c r="Q199" s="4" t="s">
        <v>699</v>
      </c>
      <c r="R199" s="4" t="s">
        <v>699</v>
      </c>
      <c r="S199" s="4">
        <v>0</v>
      </c>
      <c r="T199" s="4">
        <f t="shared" si="55"/>
        <v>0</v>
      </c>
      <c r="U199" s="4">
        <v>703</v>
      </c>
      <c r="V199" s="4">
        <f t="shared" si="56"/>
        <v>703</v>
      </c>
      <c r="W199" s="4"/>
      <c r="X199" s="21">
        <f t="shared" si="57"/>
        <v>1214</v>
      </c>
      <c r="Y199" s="6">
        <f t="shared" si="58"/>
        <v>0.42092257001647448</v>
      </c>
      <c r="Z199" s="33">
        <v>1.5</v>
      </c>
      <c r="AA199" s="4">
        <f t="shared" si="59"/>
        <v>1080</v>
      </c>
      <c r="AB199" s="33">
        <f t="shared" si="60"/>
        <v>1218.6837881219903</v>
      </c>
      <c r="AC199" s="6">
        <f t="shared" si="61"/>
        <v>0.42314814814814816</v>
      </c>
      <c r="AD199" s="7">
        <v>1180</v>
      </c>
      <c r="AE199" s="6">
        <f t="shared" si="62"/>
        <v>0.40423728813559323</v>
      </c>
      <c r="AF199" s="4">
        <f t="shared" si="63"/>
        <v>477</v>
      </c>
      <c r="AG199" s="28"/>
      <c r="AH199" s="6"/>
      <c r="AI199" s="6"/>
      <c r="AJ199" s="6" t="str">
        <f t="shared" si="64"/>
        <v>-</v>
      </c>
      <c r="AK199" s="6">
        <f t="shared" si="65"/>
        <v>1.0966542750929369</v>
      </c>
      <c r="AL199" s="6">
        <f t="shared" si="66"/>
        <v>1.1284109149277688</v>
      </c>
      <c r="AM199" s="4" t="str">
        <f t="shared" si="68"/>
        <v>-</v>
      </c>
      <c r="AN199" s="4" t="str">
        <f>IF(Q199="","-",Q199)</f>
        <v>-</v>
      </c>
      <c r="AO199" s="4" t="str">
        <f>IF(R199="","-",R199)</f>
        <v>-</v>
      </c>
      <c r="AP199" s="4" t="s">
        <v>420</v>
      </c>
      <c r="AQ199" s="4" t="s">
        <v>948</v>
      </c>
      <c r="AR199" s="4"/>
      <c r="AS199" s="4"/>
      <c r="AT199" s="4" t="s">
        <v>949</v>
      </c>
      <c r="AU199" s="4">
        <v>1080</v>
      </c>
      <c r="AV199" s="4">
        <f t="shared" si="67"/>
        <v>1080</v>
      </c>
      <c r="AW199" s="19">
        <v>4</v>
      </c>
      <c r="AX199" s="19">
        <v>1</v>
      </c>
      <c r="AY199" s="16">
        <v>19</v>
      </c>
      <c r="AZ199">
        <v>964</v>
      </c>
      <c r="BA199">
        <f>IFERROR(AZ199*AL199,"-")</f>
        <v>1087.7881219903691</v>
      </c>
      <c r="BB199">
        <v>1052</v>
      </c>
      <c r="BC199">
        <f>IFERROR(BB199*AL199,"-")</f>
        <v>1187.0882825040128</v>
      </c>
      <c r="BD199" t="s">
        <v>627</v>
      </c>
    </row>
    <row r="200" spans="1:56" x14ac:dyDescent="0.4">
      <c r="A200" s="3">
        <v>111</v>
      </c>
      <c r="B200" s="3">
        <v>111</v>
      </c>
      <c r="C200" s="4">
        <v>168828</v>
      </c>
      <c r="D200" s="4" t="str">
        <f t="shared" si="53"/>
        <v>168828</v>
      </c>
      <c r="E200" s="4">
        <v>168828</v>
      </c>
      <c r="F200" s="4" t="s">
        <v>217</v>
      </c>
      <c r="G200" s="5">
        <v>4535627882655</v>
      </c>
      <c r="H200" s="5"/>
      <c r="I200" s="5"/>
      <c r="J200" s="5">
        <v>1</v>
      </c>
      <c r="K200" s="5">
        <v>1</v>
      </c>
      <c r="L200" s="4">
        <v>1600</v>
      </c>
      <c r="M200" s="4">
        <v>958</v>
      </c>
      <c r="N200" s="4">
        <v>672</v>
      </c>
      <c r="O200" s="6">
        <f t="shared" si="54"/>
        <v>0.29853862212943627</v>
      </c>
      <c r="P200" s="4" t="s">
        <v>699</v>
      </c>
      <c r="Q200" s="4" t="s">
        <v>699</v>
      </c>
      <c r="R200" s="4" t="s">
        <v>699</v>
      </c>
      <c r="S200" s="4">
        <v>0</v>
      </c>
      <c r="T200" s="4">
        <f t="shared" si="55"/>
        <v>0</v>
      </c>
      <c r="U200" s="4">
        <v>706</v>
      </c>
      <c r="V200" s="4">
        <f t="shared" si="56"/>
        <v>706</v>
      </c>
      <c r="W200" s="4"/>
      <c r="X200" s="21">
        <f t="shared" si="57"/>
        <v>1006</v>
      </c>
      <c r="Y200" s="6">
        <f t="shared" si="58"/>
        <v>0.29821073558648115</v>
      </c>
      <c r="Z200" s="33">
        <v>0.25</v>
      </c>
      <c r="AA200" s="4">
        <f t="shared" si="59"/>
        <v>1599</v>
      </c>
      <c r="AB200" s="33">
        <f t="shared" si="60"/>
        <v>1679.9017857142858</v>
      </c>
      <c r="AC200" s="6">
        <f t="shared" si="61"/>
        <v>0.57973733583489684</v>
      </c>
      <c r="AD200" s="7">
        <v>1130</v>
      </c>
      <c r="AE200" s="6">
        <f t="shared" si="62"/>
        <v>0.37522123893805315</v>
      </c>
      <c r="AF200" s="4">
        <f t="shared" si="63"/>
        <v>424</v>
      </c>
      <c r="AG200" s="28"/>
      <c r="AH200" s="6"/>
      <c r="AI200" s="6"/>
      <c r="AJ200" s="6">
        <f t="shared" si="64"/>
        <v>0</v>
      </c>
      <c r="AK200" s="6">
        <f t="shared" si="65"/>
        <v>1.1795407098121085</v>
      </c>
      <c r="AL200" s="6">
        <f t="shared" si="66"/>
        <v>1.0505952380952381</v>
      </c>
      <c r="AM200" s="4" t="str">
        <f t="shared" si="68"/>
        <v>-</v>
      </c>
      <c r="AN200" s="4" t="str">
        <f>IF(Q200="","-",Q200)</f>
        <v>-</v>
      </c>
      <c r="AO200" s="4" t="str">
        <f>IF(R200="","-",R200)</f>
        <v>-</v>
      </c>
      <c r="AP200" s="4">
        <v>0</v>
      </c>
      <c r="AQ200" s="4" t="s">
        <v>827</v>
      </c>
      <c r="AR200" s="4"/>
      <c r="AS200" s="4"/>
      <c r="AT200" s="4" t="s">
        <v>705</v>
      </c>
      <c r="AU200" s="4">
        <v>1599</v>
      </c>
      <c r="AV200" s="4">
        <f t="shared" si="67"/>
        <v>1599</v>
      </c>
      <c r="AW200" s="19">
        <v>4</v>
      </c>
      <c r="AX200" s="19">
        <v>1</v>
      </c>
      <c r="AY200" s="16">
        <v>19</v>
      </c>
      <c r="AZ200">
        <v>1115</v>
      </c>
      <c r="BA200">
        <f>IFERROR(AZ200*AL200,"-")</f>
        <v>1171.4136904761906</v>
      </c>
      <c r="BB200">
        <v>1350</v>
      </c>
      <c r="BC200">
        <f>IFERROR(BB200*AL200,"-")</f>
        <v>1418.3035714285716</v>
      </c>
      <c r="BD200" t="s">
        <v>525</v>
      </c>
    </row>
    <row r="201" spans="1:56" x14ac:dyDescent="0.4">
      <c r="A201" s="3">
        <v>146</v>
      </c>
      <c r="B201" s="3">
        <v>146</v>
      </c>
      <c r="C201" s="40">
        <v>369536</v>
      </c>
      <c r="D201" s="4" t="str">
        <f t="shared" si="53"/>
        <v>369536</v>
      </c>
      <c r="E201" s="4">
        <v>369536</v>
      </c>
      <c r="F201" s="4" t="s">
        <v>252</v>
      </c>
      <c r="G201" s="5">
        <v>4535627103347</v>
      </c>
      <c r="H201" s="5"/>
      <c r="I201" s="5"/>
      <c r="J201" s="5">
        <v>2</v>
      </c>
      <c r="K201" s="5">
        <v>2</v>
      </c>
      <c r="L201" s="4">
        <v>0</v>
      </c>
      <c r="M201" s="4">
        <v>967</v>
      </c>
      <c r="N201" s="4">
        <v>655</v>
      </c>
      <c r="O201" s="6">
        <f t="shared" si="54"/>
        <v>0.32264736297828334</v>
      </c>
      <c r="P201" s="4" t="s">
        <v>699</v>
      </c>
      <c r="Q201" s="4" t="s">
        <v>699</v>
      </c>
      <c r="R201" s="4" t="s">
        <v>699</v>
      </c>
      <c r="S201" s="4">
        <v>0</v>
      </c>
      <c r="T201" s="4">
        <f t="shared" si="55"/>
        <v>0</v>
      </c>
      <c r="U201" s="4">
        <v>708</v>
      </c>
      <c r="V201" s="4">
        <f t="shared" si="56"/>
        <v>708</v>
      </c>
      <c r="W201" s="4"/>
      <c r="X201" s="21">
        <f t="shared" si="57"/>
        <v>1045</v>
      </c>
      <c r="Y201" s="6">
        <f t="shared" si="58"/>
        <v>0.32248803827751193</v>
      </c>
      <c r="Z201" s="33">
        <v>2.75</v>
      </c>
      <c r="AA201" s="4">
        <f t="shared" si="59"/>
        <v>1235</v>
      </c>
      <c r="AB201" s="33">
        <f t="shared" si="60"/>
        <v>1334.9312977099235</v>
      </c>
      <c r="AC201" s="6">
        <f t="shared" si="61"/>
        <v>0.46963562753036425</v>
      </c>
      <c r="AD201" s="7">
        <v>1200</v>
      </c>
      <c r="AE201" s="6">
        <f t="shared" si="62"/>
        <v>0.41000000000000003</v>
      </c>
      <c r="AF201" s="4">
        <f t="shared" si="63"/>
        <v>492</v>
      </c>
      <c r="AG201" s="28"/>
      <c r="AH201" s="6"/>
      <c r="AI201" s="6"/>
      <c r="AJ201" s="6" t="str">
        <f t="shared" si="64"/>
        <v>-</v>
      </c>
      <c r="AK201" s="6">
        <f t="shared" si="65"/>
        <v>1.2409513960703207</v>
      </c>
      <c r="AL201" s="6">
        <f t="shared" si="66"/>
        <v>1.080916030534351</v>
      </c>
      <c r="AM201" s="4" t="str">
        <f t="shared" si="68"/>
        <v>-</v>
      </c>
      <c r="AN201" s="4" t="str">
        <f>IF(Q201="","-",Q201)</f>
        <v>-</v>
      </c>
      <c r="AO201" s="4" t="str">
        <f>IF(R201="","-",R201)</f>
        <v>-</v>
      </c>
      <c r="AP201" s="4">
        <v>0</v>
      </c>
      <c r="AQ201" s="4" t="s">
        <v>872</v>
      </c>
      <c r="AR201" s="4"/>
      <c r="AS201" s="4"/>
      <c r="AT201" s="4" t="s">
        <v>803</v>
      </c>
      <c r="AU201" s="4">
        <v>1235</v>
      </c>
      <c r="AV201" s="4">
        <f t="shared" si="67"/>
        <v>1235</v>
      </c>
      <c r="AW201" s="19">
        <v>4</v>
      </c>
      <c r="AX201" s="19">
        <v>1</v>
      </c>
      <c r="AY201" s="16">
        <v>19</v>
      </c>
      <c r="AZ201" t="s">
        <v>699</v>
      </c>
      <c r="BA201" t="str">
        <f>IFERROR(AZ201*AL201,"-")</f>
        <v>-</v>
      </c>
      <c r="BB201">
        <v>1221</v>
      </c>
      <c r="BC201">
        <f>IFERROR(BB201*AL201,"-")</f>
        <v>1319.7984732824425</v>
      </c>
      <c r="BD201" t="s">
        <v>562</v>
      </c>
    </row>
    <row r="202" spans="1:56" x14ac:dyDescent="0.4">
      <c r="A202" s="3">
        <v>293</v>
      </c>
      <c r="B202" s="3">
        <v>146</v>
      </c>
      <c r="C202" s="40">
        <v>369536</v>
      </c>
      <c r="D202" s="4" t="str">
        <f t="shared" si="53"/>
        <v>369536</v>
      </c>
      <c r="E202" s="4">
        <v>369537</v>
      </c>
      <c r="F202" s="4" t="s">
        <v>400</v>
      </c>
      <c r="G202" s="5">
        <v>4535627103347</v>
      </c>
      <c r="H202" s="5">
        <v>8</v>
      </c>
      <c r="I202" s="5" t="str">
        <f>C202&amp;H202</f>
        <v>3695368</v>
      </c>
      <c r="J202" s="5"/>
      <c r="K202" s="5"/>
      <c r="L202" s="4">
        <v>0</v>
      </c>
      <c r="M202" s="4">
        <v>9444</v>
      </c>
      <c r="N202" s="4">
        <v>6550</v>
      </c>
      <c r="O202" s="6">
        <f t="shared" si="54"/>
        <v>0.30643795002117746</v>
      </c>
      <c r="P202" s="4" t="s">
        <v>699</v>
      </c>
      <c r="Q202" s="4" t="s">
        <v>699</v>
      </c>
      <c r="R202" s="4" t="s">
        <v>699</v>
      </c>
      <c r="S202" s="4">
        <v>0</v>
      </c>
      <c r="T202" s="4">
        <f t="shared" si="55"/>
        <v>0</v>
      </c>
      <c r="U202" s="4">
        <v>708</v>
      </c>
      <c r="V202" s="4">
        <f t="shared" si="56"/>
        <v>7080</v>
      </c>
      <c r="W202" s="4">
        <v>10</v>
      </c>
      <c r="X202" s="21">
        <f t="shared" si="57"/>
        <v>10208</v>
      </c>
      <c r="Y202" s="6">
        <f t="shared" si="58"/>
        <v>0.30642633228840122</v>
      </c>
      <c r="Z202" s="33">
        <v>2.75</v>
      </c>
      <c r="AA202" s="4">
        <f t="shared" si="59"/>
        <v>12350</v>
      </c>
      <c r="AB202" s="33">
        <f t="shared" si="60"/>
        <v>13349.312977099235</v>
      </c>
      <c r="AC202" s="6">
        <f t="shared" si="61"/>
        <v>0.46963562753036425</v>
      </c>
      <c r="AD202" s="7">
        <v>11000</v>
      </c>
      <c r="AE202" s="6">
        <f t="shared" si="62"/>
        <v>0.35636363636363633</v>
      </c>
      <c r="AF202" s="4">
        <f t="shared" si="63"/>
        <v>3920</v>
      </c>
      <c r="AG202" s="28"/>
      <c r="AH202" s="6"/>
      <c r="AI202" s="6"/>
      <c r="AJ202" s="6" t="str">
        <f t="shared" si="64"/>
        <v>-</v>
      </c>
      <c r="AK202" s="6">
        <f t="shared" si="65"/>
        <v>1.1647606946209232</v>
      </c>
      <c r="AL202" s="6">
        <f t="shared" si="66"/>
        <v>1.080916030534351</v>
      </c>
      <c r="AM202" s="4" t="str">
        <f t="shared" si="68"/>
        <v>-</v>
      </c>
      <c r="AN202" s="4" t="str">
        <f>IF(Q202="","-",Q202)</f>
        <v>-</v>
      </c>
      <c r="AO202" s="4" t="str">
        <f>IF(R202="","-",R202)</f>
        <v>-</v>
      </c>
      <c r="AP202" s="4">
        <v>0</v>
      </c>
      <c r="AQ202" s="4" t="s">
        <v>872</v>
      </c>
      <c r="AR202" s="4">
        <v>10</v>
      </c>
      <c r="AS202" s="4">
        <v>1</v>
      </c>
      <c r="AT202" s="4" t="s">
        <v>803</v>
      </c>
      <c r="AU202" s="4">
        <v>1235</v>
      </c>
      <c r="AV202" s="4">
        <f t="shared" si="67"/>
        <v>12350</v>
      </c>
      <c r="AW202" s="19">
        <v>4</v>
      </c>
      <c r="AX202" s="19">
        <v>1</v>
      </c>
      <c r="AY202" s="16">
        <v>19</v>
      </c>
      <c r="AZ202" t="s">
        <v>699</v>
      </c>
      <c r="BA202" t="str">
        <f>IFERROR(AZ202*AL202,"-")</f>
        <v>-</v>
      </c>
      <c r="BB202">
        <v>1221</v>
      </c>
      <c r="BC202">
        <f>IFERROR(BB202*AL202,"-")</f>
        <v>1319.7984732824425</v>
      </c>
      <c r="BD202" t="s">
        <v>562</v>
      </c>
    </row>
    <row r="203" spans="1:56" x14ac:dyDescent="0.4">
      <c r="A203" s="3">
        <v>45</v>
      </c>
      <c r="B203" s="3">
        <v>45</v>
      </c>
      <c r="C203" s="4">
        <v>100339</v>
      </c>
      <c r="D203" s="4" t="str">
        <f t="shared" si="53"/>
        <v>100339</v>
      </c>
      <c r="E203" s="4">
        <v>100339</v>
      </c>
      <c r="F203" s="4" t="s">
        <v>151</v>
      </c>
      <c r="G203" s="5">
        <v>4535627300302</v>
      </c>
      <c r="H203" s="5"/>
      <c r="I203" s="5"/>
      <c r="J203" s="5">
        <v>1</v>
      </c>
      <c r="K203" s="5">
        <v>1</v>
      </c>
      <c r="L203" s="4">
        <v>1550</v>
      </c>
      <c r="M203" s="4">
        <v>1063</v>
      </c>
      <c r="N203" s="4">
        <v>651</v>
      </c>
      <c r="O203" s="6">
        <f t="shared" si="54"/>
        <v>0.38758231420507994</v>
      </c>
      <c r="P203" s="4" t="s">
        <v>699</v>
      </c>
      <c r="Q203" s="4" t="s">
        <v>699</v>
      </c>
      <c r="R203" s="4" t="s">
        <v>699</v>
      </c>
      <c r="S203" s="4">
        <v>1700</v>
      </c>
      <c r="T203" s="4">
        <f t="shared" si="55"/>
        <v>1700</v>
      </c>
      <c r="U203" s="4">
        <v>714</v>
      </c>
      <c r="V203" s="4">
        <f t="shared" si="56"/>
        <v>714</v>
      </c>
      <c r="W203" s="4"/>
      <c r="X203" s="21">
        <f t="shared" si="57"/>
        <v>1166</v>
      </c>
      <c r="Y203" s="6">
        <f t="shared" si="58"/>
        <v>0.3876500857632933</v>
      </c>
      <c r="Z203" s="33">
        <v>8.25</v>
      </c>
      <c r="AA203" s="4">
        <f t="shared" si="59"/>
        <v>1210</v>
      </c>
      <c r="AB203" s="33">
        <f t="shared" si="60"/>
        <v>1327.0967741935483</v>
      </c>
      <c r="AC203" s="6">
        <f t="shared" si="61"/>
        <v>0.46198347107438009</v>
      </c>
      <c r="AD203" s="7">
        <v>1160</v>
      </c>
      <c r="AE203" s="6">
        <f t="shared" si="62"/>
        <v>0.3844827586206897</v>
      </c>
      <c r="AF203" s="4">
        <f t="shared" si="63"/>
        <v>446</v>
      </c>
      <c r="AG203" s="28"/>
      <c r="AH203" s="6"/>
      <c r="AI203" s="6"/>
      <c r="AJ203" s="6">
        <f t="shared" si="64"/>
        <v>1.096774193548387</v>
      </c>
      <c r="AK203" s="6">
        <f t="shared" si="65"/>
        <v>1.0912511759172154</v>
      </c>
      <c r="AL203" s="6">
        <f t="shared" si="66"/>
        <v>1.096774193548387</v>
      </c>
      <c r="AM203" s="4" t="str">
        <f t="shared" si="68"/>
        <v>-</v>
      </c>
      <c r="AN203" s="4" t="str">
        <f>IF(Q203="","-",Q203)</f>
        <v>-</v>
      </c>
      <c r="AO203" s="4" t="str">
        <f>IF(R203="","-",R203)</f>
        <v>-</v>
      </c>
      <c r="AP203" s="4" t="s">
        <v>407</v>
      </c>
      <c r="AQ203" s="4" t="s">
        <v>745</v>
      </c>
      <c r="AR203" s="4"/>
      <c r="AS203" s="4"/>
      <c r="AT203" s="4" t="s">
        <v>734</v>
      </c>
      <c r="AU203" s="4">
        <v>1210</v>
      </c>
      <c r="AV203" s="4">
        <f t="shared" si="67"/>
        <v>1210</v>
      </c>
      <c r="AW203" s="19">
        <v>4</v>
      </c>
      <c r="AX203" s="19">
        <v>1</v>
      </c>
      <c r="AY203" s="16">
        <v>19</v>
      </c>
      <c r="AZ203">
        <v>934</v>
      </c>
      <c r="BA203">
        <f>IFERROR(AZ203*AL203,"-")</f>
        <v>1024.3870967741934</v>
      </c>
      <c r="BB203">
        <v>1401</v>
      </c>
      <c r="BC203">
        <f>IFERROR(BB203*AL203,"-")</f>
        <v>1536.5806451612902</v>
      </c>
      <c r="BD203" t="s">
        <v>459</v>
      </c>
    </row>
    <row r="204" spans="1:56" x14ac:dyDescent="0.4">
      <c r="A204" s="3">
        <v>131</v>
      </c>
      <c r="B204" s="3">
        <v>131</v>
      </c>
      <c r="C204" s="4">
        <v>207874</v>
      </c>
      <c r="D204" s="4" t="str">
        <f t="shared" si="53"/>
        <v>207874</v>
      </c>
      <c r="E204" s="4">
        <v>207874</v>
      </c>
      <c r="F204" s="4" t="s">
        <v>237</v>
      </c>
      <c r="G204" s="5">
        <v>4535627300104</v>
      </c>
      <c r="H204" s="5"/>
      <c r="I204" s="5"/>
      <c r="J204" s="5">
        <v>1</v>
      </c>
      <c r="K204" s="5">
        <v>1</v>
      </c>
      <c r="L204" s="4">
        <v>1550</v>
      </c>
      <c r="M204" s="4">
        <v>1025</v>
      </c>
      <c r="N204" s="4">
        <v>651</v>
      </c>
      <c r="O204" s="6">
        <f t="shared" si="54"/>
        <v>0.3648780487804878</v>
      </c>
      <c r="P204" s="4" t="s">
        <v>699</v>
      </c>
      <c r="Q204" s="4" t="s">
        <v>699</v>
      </c>
      <c r="R204" s="4" t="s">
        <v>699</v>
      </c>
      <c r="S204" s="4">
        <v>1700</v>
      </c>
      <c r="T204" s="4">
        <f t="shared" si="55"/>
        <v>1700</v>
      </c>
      <c r="U204" s="4">
        <v>714</v>
      </c>
      <c r="V204" s="4">
        <f t="shared" si="56"/>
        <v>714</v>
      </c>
      <c r="W204" s="4"/>
      <c r="X204" s="21">
        <f t="shared" si="57"/>
        <v>1124</v>
      </c>
      <c r="Y204" s="6">
        <f t="shared" si="58"/>
        <v>0.36476868327402134</v>
      </c>
      <c r="Z204" s="33">
        <v>12.75</v>
      </c>
      <c r="AA204" s="4">
        <f t="shared" si="59"/>
        <v>1255</v>
      </c>
      <c r="AB204" s="33">
        <f t="shared" si="60"/>
        <v>1376.4516129032256</v>
      </c>
      <c r="AC204" s="6">
        <f t="shared" si="61"/>
        <v>0.48127490039840626</v>
      </c>
      <c r="AD204" s="7">
        <v>1150</v>
      </c>
      <c r="AE204" s="6">
        <f t="shared" si="62"/>
        <v>0.37913043478260866</v>
      </c>
      <c r="AF204" s="4">
        <f t="shared" si="63"/>
        <v>436</v>
      </c>
      <c r="AG204" s="28"/>
      <c r="AH204" s="6"/>
      <c r="AI204" s="6"/>
      <c r="AJ204" s="6">
        <f t="shared" si="64"/>
        <v>1.096774193548387</v>
      </c>
      <c r="AK204" s="6">
        <f t="shared" si="65"/>
        <v>1.1219512195121952</v>
      </c>
      <c r="AL204" s="6">
        <f t="shared" si="66"/>
        <v>1.096774193548387</v>
      </c>
      <c r="AM204" s="4" t="str">
        <f t="shared" si="68"/>
        <v>-</v>
      </c>
      <c r="AN204" s="4" t="str">
        <f>IF(Q204="","-",Q204)</f>
        <v>-</v>
      </c>
      <c r="AO204" s="4" t="str">
        <f>IF(R204="","-",R204)</f>
        <v>-</v>
      </c>
      <c r="AP204" s="4" t="s">
        <v>407</v>
      </c>
      <c r="AQ204" s="4" t="s">
        <v>848</v>
      </c>
      <c r="AR204" s="4"/>
      <c r="AS204" s="4"/>
      <c r="AT204" s="4" t="s">
        <v>739</v>
      </c>
      <c r="AU204" s="4">
        <v>1255</v>
      </c>
      <c r="AV204" s="4">
        <f t="shared" si="67"/>
        <v>1255</v>
      </c>
      <c r="AW204" s="19">
        <v>4</v>
      </c>
      <c r="AX204" s="19">
        <v>1</v>
      </c>
      <c r="AY204" s="16">
        <v>19</v>
      </c>
      <c r="AZ204">
        <v>1146</v>
      </c>
      <c r="BA204">
        <f>IFERROR(AZ204*AL204,"-")</f>
        <v>1256.9032258064515</v>
      </c>
      <c r="BB204">
        <v>1201</v>
      </c>
      <c r="BC204">
        <f>IFERROR(BB204*AL204,"-")</f>
        <v>1317.2258064516127</v>
      </c>
      <c r="BD204" t="s">
        <v>544</v>
      </c>
    </row>
    <row r="205" spans="1:56" x14ac:dyDescent="0.4">
      <c r="A205" s="3">
        <v>185</v>
      </c>
      <c r="B205" s="3">
        <v>185</v>
      </c>
      <c r="C205" s="4">
        <v>634850</v>
      </c>
      <c r="D205" s="4" t="str">
        <f t="shared" si="53"/>
        <v>634850</v>
      </c>
      <c r="E205" s="4">
        <v>634850</v>
      </c>
      <c r="F205" s="4" t="s">
        <v>291</v>
      </c>
      <c r="G205" s="5">
        <v>4535627301705</v>
      </c>
      <c r="H205" s="5"/>
      <c r="I205" s="5"/>
      <c r="J205" s="5">
        <v>1</v>
      </c>
      <c r="K205" s="5">
        <v>1</v>
      </c>
      <c r="L205" s="4">
        <v>1550</v>
      </c>
      <c r="M205" s="4">
        <v>1181</v>
      </c>
      <c r="N205" s="4">
        <v>651</v>
      </c>
      <c r="O205" s="6">
        <f t="shared" si="54"/>
        <v>0.44877222692633356</v>
      </c>
      <c r="P205" s="4" t="s">
        <v>699</v>
      </c>
      <c r="Q205" s="4" t="s">
        <v>699</v>
      </c>
      <c r="R205" s="4" t="s">
        <v>699</v>
      </c>
      <c r="S205" s="4">
        <v>1700</v>
      </c>
      <c r="T205" s="4">
        <f t="shared" si="55"/>
        <v>1700</v>
      </c>
      <c r="U205" s="4">
        <v>714</v>
      </c>
      <c r="V205" s="4">
        <f t="shared" si="56"/>
        <v>714</v>
      </c>
      <c r="W205" s="4"/>
      <c r="X205" s="21">
        <f t="shared" si="57"/>
        <v>1295</v>
      </c>
      <c r="Y205" s="6">
        <f t="shared" si="58"/>
        <v>0.44864864864864862</v>
      </c>
      <c r="Z205" s="33">
        <v>10.75</v>
      </c>
      <c r="AA205" s="4">
        <f t="shared" si="59"/>
        <v>1210</v>
      </c>
      <c r="AB205" s="33">
        <f t="shared" si="60"/>
        <v>1327.0967741935483</v>
      </c>
      <c r="AC205" s="6">
        <f t="shared" si="61"/>
        <v>0.46198347107438009</v>
      </c>
      <c r="AD205" s="7">
        <v>1220</v>
      </c>
      <c r="AE205" s="6">
        <f t="shared" si="62"/>
        <v>0.41475409836065569</v>
      </c>
      <c r="AF205" s="4">
        <f t="shared" si="63"/>
        <v>506</v>
      </c>
      <c r="AG205" s="28"/>
      <c r="AH205" s="6"/>
      <c r="AI205" s="6"/>
      <c r="AJ205" s="6">
        <f t="shared" si="64"/>
        <v>1.096774193548387</v>
      </c>
      <c r="AK205" s="6">
        <f t="shared" si="65"/>
        <v>1.0330228619813717</v>
      </c>
      <c r="AL205" s="6">
        <f t="shared" si="66"/>
        <v>1.096774193548387</v>
      </c>
      <c r="AM205" s="4" t="str">
        <f t="shared" si="68"/>
        <v>-</v>
      </c>
      <c r="AN205" s="4" t="str">
        <f>IF(Q205="","-",Q205)</f>
        <v>-</v>
      </c>
      <c r="AO205" s="4" t="str">
        <f>IF(R205="","-",R205)</f>
        <v>-</v>
      </c>
      <c r="AP205" s="4" t="s">
        <v>407</v>
      </c>
      <c r="AQ205" s="4" t="s">
        <v>916</v>
      </c>
      <c r="AR205" s="4"/>
      <c r="AS205" s="4"/>
      <c r="AT205" s="4" t="s">
        <v>701</v>
      </c>
      <c r="AU205" s="4">
        <v>1210</v>
      </c>
      <c r="AV205" s="4">
        <f t="shared" si="67"/>
        <v>1210</v>
      </c>
      <c r="AW205" s="19">
        <v>4</v>
      </c>
      <c r="AX205" s="19">
        <v>1</v>
      </c>
      <c r="AY205" s="16">
        <v>19</v>
      </c>
      <c r="AZ205">
        <v>1118</v>
      </c>
      <c r="BA205">
        <f>IFERROR(AZ205*AL205,"-")</f>
        <v>1226.1935483870966</v>
      </c>
      <c r="BB205">
        <v>1272</v>
      </c>
      <c r="BC205">
        <f>IFERROR(BB205*AL205,"-")</f>
        <v>1395.0967741935483</v>
      </c>
      <c r="BD205" t="s">
        <v>601</v>
      </c>
    </row>
    <row r="206" spans="1:56" x14ac:dyDescent="0.4">
      <c r="A206" s="3">
        <v>214</v>
      </c>
      <c r="B206" s="3">
        <v>214</v>
      </c>
      <c r="C206" s="4">
        <v>673805</v>
      </c>
      <c r="D206" s="4" t="str">
        <f t="shared" si="53"/>
        <v>673805</v>
      </c>
      <c r="E206" s="4">
        <v>673805</v>
      </c>
      <c r="F206" s="4" t="s">
        <v>320</v>
      </c>
      <c r="G206" s="5">
        <v>4535627301507</v>
      </c>
      <c r="H206" s="5"/>
      <c r="I206" s="5"/>
      <c r="J206" s="5">
        <v>1</v>
      </c>
      <c r="K206" s="5">
        <v>1</v>
      </c>
      <c r="L206" s="4">
        <v>1550</v>
      </c>
      <c r="M206" s="4">
        <v>1195</v>
      </c>
      <c r="N206" s="4">
        <v>651</v>
      </c>
      <c r="O206" s="6">
        <f t="shared" si="54"/>
        <v>0.45523012552301256</v>
      </c>
      <c r="P206" s="4" t="s">
        <v>699</v>
      </c>
      <c r="Q206" s="4" t="s">
        <v>699</v>
      </c>
      <c r="R206" s="4" t="s">
        <v>699</v>
      </c>
      <c r="S206" s="4">
        <v>1700</v>
      </c>
      <c r="T206" s="4">
        <f t="shared" si="55"/>
        <v>1700</v>
      </c>
      <c r="U206" s="4">
        <v>714</v>
      </c>
      <c r="V206" s="4">
        <f t="shared" si="56"/>
        <v>714</v>
      </c>
      <c r="W206" s="4"/>
      <c r="X206" s="21">
        <f t="shared" si="57"/>
        <v>1311</v>
      </c>
      <c r="Y206" s="6">
        <f t="shared" si="58"/>
        <v>0.45537757437070936</v>
      </c>
      <c r="Z206" s="33">
        <v>8</v>
      </c>
      <c r="AA206" s="4">
        <f t="shared" si="59"/>
        <v>1510.76</v>
      </c>
      <c r="AB206" s="33">
        <f t="shared" si="60"/>
        <v>1656.9625806451611</v>
      </c>
      <c r="AC206" s="6">
        <f t="shared" si="61"/>
        <v>0.56909105350949185</v>
      </c>
      <c r="AD206" s="7">
        <v>1200</v>
      </c>
      <c r="AE206" s="6">
        <f t="shared" si="62"/>
        <v>0.40500000000000003</v>
      </c>
      <c r="AF206" s="4">
        <f t="shared" si="63"/>
        <v>486</v>
      </c>
      <c r="AG206" s="28"/>
      <c r="AH206" s="6"/>
      <c r="AI206" s="6"/>
      <c r="AJ206" s="6">
        <f t="shared" si="64"/>
        <v>1.096774193548387</v>
      </c>
      <c r="AK206" s="6">
        <f t="shared" si="65"/>
        <v>1.00418410041841</v>
      </c>
      <c r="AL206" s="6">
        <f t="shared" si="66"/>
        <v>1.096774193548387</v>
      </c>
      <c r="AM206" s="4" t="str">
        <f t="shared" si="68"/>
        <v>-</v>
      </c>
      <c r="AN206" s="4" t="str">
        <f>IF(Q206="","-",Q206)</f>
        <v>-</v>
      </c>
      <c r="AO206" s="4" t="str">
        <f>IF(R206="","-",R206)</f>
        <v>-</v>
      </c>
      <c r="AP206" s="4" t="s">
        <v>426</v>
      </c>
      <c r="AQ206" s="4" t="s">
        <v>952</v>
      </c>
      <c r="AR206" s="4">
        <v>1</v>
      </c>
      <c r="AS206" s="4">
        <v>100</v>
      </c>
      <c r="AT206" s="4" t="s">
        <v>953</v>
      </c>
      <c r="AU206" s="4">
        <v>151076</v>
      </c>
      <c r="AV206" s="4">
        <f t="shared" si="67"/>
        <v>1510.76</v>
      </c>
      <c r="AW206" s="19">
        <v>4</v>
      </c>
      <c r="AX206" s="19">
        <v>1</v>
      </c>
      <c r="AY206" s="16">
        <v>19</v>
      </c>
      <c r="AZ206">
        <v>1072</v>
      </c>
      <c r="BA206">
        <f>IFERROR(AZ206*AL206,"-")</f>
        <v>1175.741935483871</v>
      </c>
      <c r="BB206">
        <v>1082</v>
      </c>
      <c r="BC206">
        <f>IFERROR(BB206*AL206,"-")</f>
        <v>1186.7096774193546</v>
      </c>
      <c r="BD206" t="s">
        <v>630</v>
      </c>
    </row>
    <row r="207" spans="1:56" x14ac:dyDescent="0.4">
      <c r="A207" s="3">
        <v>121</v>
      </c>
      <c r="B207" s="3">
        <v>121</v>
      </c>
      <c r="C207" s="4">
        <v>172145</v>
      </c>
      <c r="D207" s="4" t="str">
        <f t="shared" si="53"/>
        <v>172145</v>
      </c>
      <c r="E207" s="4">
        <v>172145</v>
      </c>
      <c r="F207" s="4" t="s">
        <v>227</v>
      </c>
      <c r="G207" s="5">
        <v>4535627304157</v>
      </c>
      <c r="H207" s="5"/>
      <c r="I207" s="5"/>
      <c r="J207" s="5">
        <v>1</v>
      </c>
      <c r="K207" s="5">
        <v>1</v>
      </c>
      <c r="L207" s="4">
        <v>1700</v>
      </c>
      <c r="M207" s="4">
        <v>1105</v>
      </c>
      <c r="N207" s="4">
        <v>680</v>
      </c>
      <c r="O207" s="6">
        <f t="shared" si="54"/>
        <v>0.38461538461538458</v>
      </c>
      <c r="P207" s="4" t="s">
        <v>699</v>
      </c>
      <c r="Q207" s="4" t="s">
        <v>699</v>
      </c>
      <c r="R207" s="4" t="s">
        <v>699</v>
      </c>
      <c r="S207" s="4">
        <v>1800</v>
      </c>
      <c r="T207" s="4">
        <f t="shared" si="55"/>
        <v>1800</v>
      </c>
      <c r="U207" s="4">
        <v>720</v>
      </c>
      <c r="V207" s="4">
        <f t="shared" si="56"/>
        <v>720</v>
      </c>
      <c r="W207" s="4"/>
      <c r="X207" s="21">
        <f t="shared" si="57"/>
        <v>1170</v>
      </c>
      <c r="Y207" s="6">
        <f t="shared" si="58"/>
        <v>0.38461538461538458</v>
      </c>
      <c r="Z207" s="33">
        <v>1</v>
      </c>
      <c r="AA207" s="4">
        <f t="shared" si="59"/>
        <v>1171</v>
      </c>
      <c r="AB207" s="33">
        <f t="shared" si="60"/>
        <v>1239.8823529411766</v>
      </c>
      <c r="AC207" s="6">
        <f t="shared" si="61"/>
        <v>0.4192997438087106</v>
      </c>
      <c r="AD207" s="7">
        <v>1170</v>
      </c>
      <c r="AE207" s="6">
        <f t="shared" si="62"/>
        <v>0.38461538461538458</v>
      </c>
      <c r="AF207" s="4">
        <f t="shared" si="63"/>
        <v>450</v>
      </c>
      <c r="AG207" s="28"/>
      <c r="AH207" s="6"/>
      <c r="AI207" s="6"/>
      <c r="AJ207" s="6">
        <f t="shared" si="64"/>
        <v>1.0588235294117647</v>
      </c>
      <c r="AK207" s="6">
        <f t="shared" si="65"/>
        <v>1.0588235294117647</v>
      </c>
      <c r="AL207" s="6">
        <f t="shared" si="66"/>
        <v>1.0588235294117647</v>
      </c>
      <c r="AM207" s="4" t="str">
        <f t="shared" si="68"/>
        <v>-</v>
      </c>
      <c r="AN207" s="4" t="str">
        <f>IF(Q207="","-",Q207)</f>
        <v>-</v>
      </c>
      <c r="AO207" s="4" t="str">
        <f>IF(R207="","-",R207)</f>
        <v>-</v>
      </c>
      <c r="AP207" s="4" t="s">
        <v>418</v>
      </c>
      <c r="AQ207" s="4" t="s">
        <v>838</v>
      </c>
      <c r="AR207" s="4"/>
      <c r="AS207" s="4"/>
      <c r="AT207" s="4" t="s">
        <v>705</v>
      </c>
      <c r="AU207" s="4">
        <v>1171</v>
      </c>
      <c r="AV207" s="4">
        <f t="shared" si="67"/>
        <v>1171</v>
      </c>
      <c r="AW207" s="19">
        <v>4</v>
      </c>
      <c r="AX207" s="19">
        <v>1</v>
      </c>
      <c r="AY207" s="16">
        <v>19</v>
      </c>
      <c r="AZ207" t="s">
        <v>699</v>
      </c>
      <c r="BA207" t="str">
        <f>IFERROR(AZ207*AL207,"-")</f>
        <v>-</v>
      </c>
      <c r="BB207">
        <v>1169</v>
      </c>
      <c r="BC207">
        <f>IFERROR(BB207*AL207,"-")</f>
        <v>1237.7647058823529</v>
      </c>
      <c r="BD207" t="s">
        <v>535</v>
      </c>
    </row>
    <row r="208" spans="1:56" x14ac:dyDescent="0.4">
      <c r="A208" s="3">
        <v>168</v>
      </c>
      <c r="B208" s="3">
        <v>168</v>
      </c>
      <c r="C208" s="4">
        <v>541224</v>
      </c>
      <c r="D208" s="4" t="str">
        <f t="shared" si="53"/>
        <v>541224</v>
      </c>
      <c r="E208" s="4">
        <v>541224</v>
      </c>
      <c r="F208" s="4" t="s">
        <v>274</v>
      </c>
      <c r="G208" s="5">
        <v>4535627101756</v>
      </c>
      <c r="H208" s="5"/>
      <c r="I208" s="5"/>
      <c r="J208" s="5">
        <v>1</v>
      </c>
      <c r="K208" s="5">
        <v>1</v>
      </c>
      <c r="L208" s="4">
        <v>1600</v>
      </c>
      <c r="M208" s="4">
        <v>1142</v>
      </c>
      <c r="N208" s="4">
        <v>672</v>
      </c>
      <c r="O208" s="6">
        <f t="shared" si="54"/>
        <v>0.41155866900175131</v>
      </c>
      <c r="P208" s="4" t="s">
        <v>699</v>
      </c>
      <c r="Q208" s="4" t="s">
        <v>699</v>
      </c>
      <c r="R208" s="4" t="s">
        <v>699</v>
      </c>
      <c r="S208" s="4">
        <v>1750</v>
      </c>
      <c r="T208" s="4">
        <f t="shared" si="55"/>
        <v>1750</v>
      </c>
      <c r="U208" s="4">
        <v>735</v>
      </c>
      <c r="V208" s="4">
        <f t="shared" si="56"/>
        <v>735</v>
      </c>
      <c r="W208" s="4"/>
      <c r="X208" s="21">
        <f t="shared" si="57"/>
        <v>1249</v>
      </c>
      <c r="Y208" s="6">
        <f t="shared" si="58"/>
        <v>0.41152922337870301</v>
      </c>
      <c r="Z208" s="33">
        <v>1.5</v>
      </c>
      <c r="AA208" s="4">
        <f t="shared" si="59"/>
        <v>1126</v>
      </c>
      <c r="AB208" s="33">
        <f t="shared" si="60"/>
        <v>1231.5625</v>
      </c>
      <c r="AC208" s="6">
        <f t="shared" si="61"/>
        <v>0.4031971580817052</v>
      </c>
      <c r="AD208" s="7">
        <v>1200</v>
      </c>
      <c r="AE208" s="6">
        <f t="shared" si="62"/>
        <v>0.38749999999999996</v>
      </c>
      <c r="AF208" s="4">
        <f t="shared" si="63"/>
        <v>465</v>
      </c>
      <c r="AG208" s="28"/>
      <c r="AH208" s="6"/>
      <c r="AI208" s="6"/>
      <c r="AJ208" s="6">
        <f t="shared" si="64"/>
        <v>1.09375</v>
      </c>
      <c r="AK208" s="6">
        <f t="shared" si="65"/>
        <v>1.0507880910683012</v>
      </c>
      <c r="AL208" s="6">
        <f t="shared" si="66"/>
        <v>1.09375</v>
      </c>
      <c r="AM208" s="4" t="str">
        <f t="shared" si="68"/>
        <v>-</v>
      </c>
      <c r="AN208" s="4" t="str">
        <f>IF(Q208="","-",Q208)</f>
        <v>-</v>
      </c>
      <c r="AO208" s="4" t="str">
        <f>IF(R208="","-",R208)</f>
        <v>-</v>
      </c>
      <c r="AP208" s="4" t="s">
        <v>423</v>
      </c>
      <c r="AQ208" s="4" t="s">
        <v>899</v>
      </c>
      <c r="AR208" s="4"/>
      <c r="AS208" s="4"/>
      <c r="AT208" s="4" t="s">
        <v>705</v>
      </c>
      <c r="AU208" s="4">
        <v>1126</v>
      </c>
      <c r="AV208" s="4">
        <f t="shared" si="67"/>
        <v>1126</v>
      </c>
      <c r="AW208" s="19">
        <v>4</v>
      </c>
      <c r="AX208" s="19">
        <v>1</v>
      </c>
      <c r="AY208" s="16">
        <v>19</v>
      </c>
      <c r="AZ208">
        <v>1102</v>
      </c>
      <c r="BA208">
        <f>IFERROR(AZ208*AL208,"-")</f>
        <v>1205.3125</v>
      </c>
      <c r="BB208">
        <v>1410</v>
      </c>
      <c r="BC208">
        <f>IFERROR(BB208*AL208,"-")</f>
        <v>1542.1875</v>
      </c>
      <c r="BD208" t="s">
        <v>585</v>
      </c>
    </row>
    <row r="209" spans="1:56" x14ac:dyDescent="0.4">
      <c r="A209" s="3">
        <v>122</v>
      </c>
      <c r="B209" s="3">
        <v>122</v>
      </c>
      <c r="C209" s="4">
        <v>172146</v>
      </c>
      <c r="D209" s="4" t="str">
        <f t="shared" si="53"/>
        <v>172146</v>
      </c>
      <c r="E209" s="4">
        <v>172146</v>
      </c>
      <c r="F209" s="4" t="s">
        <v>228</v>
      </c>
      <c r="G209" s="5">
        <v>4535627304171</v>
      </c>
      <c r="H209" s="5"/>
      <c r="I209" s="5"/>
      <c r="J209" s="5">
        <v>1</v>
      </c>
      <c r="K209" s="5">
        <v>1</v>
      </c>
      <c r="L209" s="4">
        <v>1750</v>
      </c>
      <c r="M209" s="4">
        <v>1134</v>
      </c>
      <c r="N209" s="4">
        <v>700</v>
      </c>
      <c r="O209" s="6">
        <f t="shared" si="54"/>
        <v>0.38271604938271608</v>
      </c>
      <c r="P209" s="4" t="s">
        <v>699</v>
      </c>
      <c r="Q209" s="4" t="s">
        <v>699</v>
      </c>
      <c r="R209" s="4" t="s">
        <v>699</v>
      </c>
      <c r="S209" s="4">
        <v>1850</v>
      </c>
      <c r="T209" s="4">
        <f t="shared" si="55"/>
        <v>1850</v>
      </c>
      <c r="U209" s="4">
        <v>740</v>
      </c>
      <c r="V209" s="4">
        <f t="shared" si="56"/>
        <v>740</v>
      </c>
      <c r="W209" s="4"/>
      <c r="X209" s="21">
        <f t="shared" si="57"/>
        <v>1199</v>
      </c>
      <c r="Y209" s="6">
        <f t="shared" si="58"/>
        <v>0.38281901584653877</v>
      </c>
      <c r="Z209" s="33">
        <v>3.75</v>
      </c>
      <c r="AA209" s="4">
        <f t="shared" si="59"/>
        <v>1217</v>
      </c>
      <c r="AB209" s="33">
        <f t="shared" si="60"/>
        <v>1286.5428571428572</v>
      </c>
      <c r="AC209" s="6">
        <f t="shared" si="61"/>
        <v>0.42481511914543968</v>
      </c>
      <c r="AD209" s="7">
        <v>1200</v>
      </c>
      <c r="AE209" s="6">
        <f t="shared" si="62"/>
        <v>0.3833333333333333</v>
      </c>
      <c r="AF209" s="4">
        <f t="shared" si="63"/>
        <v>460</v>
      </c>
      <c r="AG209" s="28"/>
      <c r="AH209" s="6"/>
      <c r="AI209" s="6"/>
      <c r="AJ209" s="6">
        <f t="shared" si="64"/>
        <v>1.0571428571428572</v>
      </c>
      <c r="AK209" s="6">
        <f t="shared" si="65"/>
        <v>1.0582010582010581</v>
      </c>
      <c r="AL209" s="6">
        <f t="shared" si="66"/>
        <v>1.0571428571428572</v>
      </c>
      <c r="AM209" s="4" t="str">
        <f t="shared" si="68"/>
        <v>-</v>
      </c>
      <c r="AN209" s="4" t="str">
        <f>IF(Q209="","-",Q209)</f>
        <v>-</v>
      </c>
      <c r="AO209" s="4" t="str">
        <f>IF(R209="","-",R209)</f>
        <v>-</v>
      </c>
      <c r="AP209" s="4" t="s">
        <v>418</v>
      </c>
      <c r="AQ209" s="4" t="s">
        <v>839</v>
      </c>
      <c r="AR209" s="4"/>
      <c r="AS209" s="4"/>
      <c r="AT209" s="4" t="s">
        <v>705</v>
      </c>
      <c r="AU209" s="4">
        <v>1217</v>
      </c>
      <c r="AV209" s="4">
        <f t="shared" si="67"/>
        <v>1217</v>
      </c>
      <c r="AW209" s="19">
        <v>4</v>
      </c>
      <c r="AX209" s="19">
        <v>1</v>
      </c>
      <c r="AY209" s="16">
        <v>19</v>
      </c>
      <c r="AZ209" t="s">
        <v>699</v>
      </c>
      <c r="BA209" t="str">
        <f>IFERROR(AZ209*AL209,"-")</f>
        <v>-</v>
      </c>
      <c r="BB209">
        <v>1220</v>
      </c>
      <c r="BC209">
        <f>IFERROR(BB209*AL209,"-")</f>
        <v>1289.7142857142858</v>
      </c>
      <c r="BD209" t="s">
        <v>536</v>
      </c>
    </row>
    <row r="210" spans="1:56" x14ac:dyDescent="0.4">
      <c r="A210" s="3">
        <v>212</v>
      </c>
      <c r="B210" s="3">
        <v>212</v>
      </c>
      <c r="C210" s="4">
        <v>673802</v>
      </c>
      <c r="D210" s="4" t="str">
        <f t="shared" si="53"/>
        <v>673802</v>
      </c>
      <c r="E210" s="4">
        <v>673802</v>
      </c>
      <c r="F210" s="4" t="s">
        <v>318</v>
      </c>
      <c r="G210" s="5">
        <v>4535627104429</v>
      </c>
      <c r="H210" s="5"/>
      <c r="I210" s="5"/>
      <c r="J210" s="5">
        <v>1</v>
      </c>
      <c r="K210" s="5">
        <v>1</v>
      </c>
      <c r="L210" s="4">
        <v>0</v>
      </c>
      <c r="M210" s="4">
        <v>1218</v>
      </c>
      <c r="N210" s="4">
        <v>696</v>
      </c>
      <c r="O210" s="6">
        <f t="shared" si="54"/>
        <v>0.4285714285714286</v>
      </c>
      <c r="P210" s="4" t="s">
        <v>699</v>
      </c>
      <c r="Q210" s="4" t="s">
        <v>699</v>
      </c>
      <c r="R210" s="4" t="s">
        <v>699</v>
      </c>
      <c r="S210" s="4">
        <v>0</v>
      </c>
      <c r="T210" s="4">
        <f t="shared" si="55"/>
        <v>0</v>
      </c>
      <c r="U210" s="4">
        <v>778</v>
      </c>
      <c r="V210" s="4">
        <f t="shared" si="56"/>
        <v>778</v>
      </c>
      <c r="W210" s="4"/>
      <c r="X210" s="21">
        <f t="shared" si="57"/>
        <v>1362</v>
      </c>
      <c r="Y210" s="6">
        <f t="shared" si="58"/>
        <v>0.42878120411160059</v>
      </c>
      <c r="Z210" s="33">
        <v>5</v>
      </c>
      <c r="AA210" s="4">
        <f t="shared" si="59"/>
        <v>1199</v>
      </c>
      <c r="AB210" s="33">
        <f t="shared" si="60"/>
        <v>1340.2614942528735</v>
      </c>
      <c r="AC210" s="6">
        <f t="shared" si="61"/>
        <v>0.41951626355296079</v>
      </c>
      <c r="AD210" s="7">
        <v>1340</v>
      </c>
      <c r="AE210" s="6">
        <f t="shared" si="62"/>
        <v>0.41940298507462681</v>
      </c>
      <c r="AF210" s="4">
        <f t="shared" si="63"/>
        <v>562</v>
      </c>
      <c r="AG210" s="28"/>
      <c r="AH210" s="6"/>
      <c r="AI210" s="6"/>
      <c r="AJ210" s="6" t="str">
        <f t="shared" si="64"/>
        <v>-</v>
      </c>
      <c r="AK210" s="6">
        <f t="shared" si="65"/>
        <v>1.1001642036124795</v>
      </c>
      <c r="AL210" s="6">
        <f t="shared" si="66"/>
        <v>1.117816091954023</v>
      </c>
      <c r="AM210" s="4" t="str">
        <f t="shared" si="68"/>
        <v>-</v>
      </c>
      <c r="AN210" s="4" t="str">
        <f>IF(Q210="","-",Q210)</f>
        <v>-</v>
      </c>
      <c r="AO210" s="4" t="str">
        <f>IF(R210="","-",R210)</f>
        <v>-</v>
      </c>
      <c r="AP210" s="4" t="s">
        <v>420</v>
      </c>
      <c r="AQ210" s="4" t="s">
        <v>950</v>
      </c>
      <c r="AR210" s="4"/>
      <c r="AS210" s="4"/>
      <c r="AT210" s="4" t="s">
        <v>949</v>
      </c>
      <c r="AU210" s="4">
        <v>1199</v>
      </c>
      <c r="AV210" s="4">
        <f t="shared" si="67"/>
        <v>1199</v>
      </c>
      <c r="AW210" s="19">
        <v>4</v>
      </c>
      <c r="AX210" s="19">
        <v>1</v>
      </c>
      <c r="AY210" s="16">
        <v>19</v>
      </c>
      <c r="AZ210">
        <v>1077</v>
      </c>
      <c r="BA210">
        <f>IFERROR(AZ210*AL210,"-")</f>
        <v>1203.8879310344828</v>
      </c>
      <c r="BB210">
        <v>1207</v>
      </c>
      <c r="BC210">
        <f>IFERROR(BB210*AL210,"-")</f>
        <v>1349.2040229885058</v>
      </c>
      <c r="BD210" t="s">
        <v>628</v>
      </c>
    </row>
    <row r="211" spans="1:56" x14ac:dyDescent="0.4">
      <c r="A211" s="3">
        <v>76</v>
      </c>
      <c r="B211" s="3">
        <v>76</v>
      </c>
      <c r="C211" s="4">
        <v>112886</v>
      </c>
      <c r="D211" s="4" t="str">
        <f t="shared" si="53"/>
        <v>112886</v>
      </c>
      <c r="E211" s="4">
        <v>112886</v>
      </c>
      <c r="F211" s="4" t="s">
        <v>182</v>
      </c>
      <c r="G211" s="5">
        <v>4535627108809</v>
      </c>
      <c r="H211" s="5"/>
      <c r="I211" s="5"/>
      <c r="J211" s="5">
        <v>1</v>
      </c>
      <c r="K211" s="5">
        <v>1</v>
      </c>
      <c r="L211" s="4">
        <v>1700</v>
      </c>
      <c r="M211" s="4">
        <v>1042</v>
      </c>
      <c r="N211" s="4">
        <v>715</v>
      </c>
      <c r="O211" s="6">
        <f t="shared" si="54"/>
        <v>0.31381957773512481</v>
      </c>
      <c r="P211" s="4">
        <v>932</v>
      </c>
      <c r="Q211" s="4">
        <v>5</v>
      </c>
      <c r="R211" s="4">
        <v>99999</v>
      </c>
      <c r="S211" s="4">
        <v>1900</v>
      </c>
      <c r="T211" s="4">
        <f t="shared" si="55"/>
        <v>1900</v>
      </c>
      <c r="U211" s="4">
        <v>799</v>
      </c>
      <c r="V211" s="4">
        <f t="shared" si="56"/>
        <v>799</v>
      </c>
      <c r="W211" s="4"/>
      <c r="X211" s="21">
        <f t="shared" si="57"/>
        <v>1164</v>
      </c>
      <c r="Y211" s="6">
        <f t="shared" si="58"/>
        <v>0.31357388316151202</v>
      </c>
      <c r="Z211" s="33">
        <v>13.25</v>
      </c>
      <c r="AA211" s="4">
        <f t="shared" si="59"/>
        <v>1226</v>
      </c>
      <c r="AB211" s="33">
        <f t="shared" si="60"/>
        <v>1370.0335664335666</v>
      </c>
      <c r="AC211" s="6">
        <f t="shared" si="61"/>
        <v>0.41680261011419262</v>
      </c>
      <c r="AD211" s="7">
        <v>1220</v>
      </c>
      <c r="AE211" s="6">
        <f t="shared" si="62"/>
        <v>0.34508196721311479</v>
      </c>
      <c r="AF211" s="4">
        <f t="shared" si="63"/>
        <v>421</v>
      </c>
      <c r="AG211" s="28"/>
      <c r="AH211" s="6"/>
      <c r="AI211" s="6"/>
      <c r="AJ211" s="6">
        <f t="shared" si="64"/>
        <v>1.1176470588235294</v>
      </c>
      <c r="AK211" s="6">
        <f t="shared" si="65"/>
        <v>1.1708253358925145</v>
      </c>
      <c r="AL211" s="6">
        <f t="shared" si="66"/>
        <v>1.1174825174825176</v>
      </c>
      <c r="AM211" s="4">
        <v>1100</v>
      </c>
      <c r="AN211" s="4">
        <f>IF(Q211="","-",Q211)</f>
        <v>5</v>
      </c>
      <c r="AO211" s="4">
        <f>IF(R211="","-",R211)</f>
        <v>99999</v>
      </c>
      <c r="AP211" s="4" t="s">
        <v>414</v>
      </c>
      <c r="AQ211" s="4" t="s">
        <v>784</v>
      </c>
      <c r="AR211" s="4"/>
      <c r="AS211" s="4"/>
      <c r="AT211" s="4" t="s">
        <v>785</v>
      </c>
      <c r="AU211" s="4">
        <v>1226</v>
      </c>
      <c r="AV211" s="4">
        <f t="shared" si="67"/>
        <v>1226</v>
      </c>
      <c r="AW211" s="19">
        <v>4</v>
      </c>
      <c r="AX211" s="19">
        <v>1</v>
      </c>
      <c r="AY211" s="16">
        <v>19</v>
      </c>
      <c r="AZ211" t="s">
        <v>699</v>
      </c>
      <c r="BA211" t="str">
        <f>IFERROR(AZ211*AL211,"-")</f>
        <v>-</v>
      </c>
      <c r="BB211">
        <v>1360</v>
      </c>
      <c r="BC211">
        <f>IFERROR(BB211*AL211,"-")</f>
        <v>1519.776223776224</v>
      </c>
      <c r="BD211" t="s">
        <v>490</v>
      </c>
    </row>
    <row r="212" spans="1:56" x14ac:dyDescent="0.4">
      <c r="A212" s="3">
        <v>77</v>
      </c>
      <c r="B212" s="3">
        <v>77</v>
      </c>
      <c r="C212" s="4">
        <v>112888</v>
      </c>
      <c r="D212" s="4" t="str">
        <f t="shared" si="53"/>
        <v>112888</v>
      </c>
      <c r="E212" s="4">
        <v>112888</v>
      </c>
      <c r="F212" s="4" t="s">
        <v>183</v>
      </c>
      <c r="G212" s="5">
        <v>4535627108816</v>
      </c>
      <c r="H212" s="5"/>
      <c r="I212" s="5"/>
      <c r="J212" s="5">
        <v>1</v>
      </c>
      <c r="K212" s="5">
        <v>1</v>
      </c>
      <c r="L212" s="4">
        <v>1700</v>
      </c>
      <c r="M212" s="4">
        <v>1042</v>
      </c>
      <c r="N212" s="4">
        <v>715</v>
      </c>
      <c r="O212" s="6">
        <f t="shared" si="54"/>
        <v>0.31381957773512481</v>
      </c>
      <c r="P212" s="4">
        <v>932</v>
      </c>
      <c r="Q212" s="4">
        <v>5</v>
      </c>
      <c r="R212" s="4">
        <v>99999</v>
      </c>
      <c r="S212" s="4">
        <v>1900</v>
      </c>
      <c r="T212" s="4">
        <f t="shared" si="55"/>
        <v>1900</v>
      </c>
      <c r="U212" s="4">
        <v>799</v>
      </c>
      <c r="V212" s="4">
        <f t="shared" si="56"/>
        <v>799</v>
      </c>
      <c r="W212" s="4"/>
      <c r="X212" s="21">
        <f t="shared" si="57"/>
        <v>1164</v>
      </c>
      <c r="Y212" s="6">
        <f t="shared" si="58"/>
        <v>0.31357388316151202</v>
      </c>
      <c r="Z212" s="33">
        <v>2</v>
      </c>
      <c r="AA212" s="4">
        <f t="shared" si="59"/>
        <v>1099</v>
      </c>
      <c r="AB212" s="33">
        <f t="shared" si="60"/>
        <v>1228.1132867132869</v>
      </c>
      <c r="AC212" s="6">
        <f t="shared" si="61"/>
        <v>0.34940855323020936</v>
      </c>
      <c r="AD212" s="7">
        <v>1220</v>
      </c>
      <c r="AE212" s="6">
        <f t="shared" si="62"/>
        <v>0.34508196721311479</v>
      </c>
      <c r="AF212" s="4">
        <f t="shared" si="63"/>
        <v>421</v>
      </c>
      <c r="AG212" s="28"/>
      <c r="AH212" s="6"/>
      <c r="AI212" s="6"/>
      <c r="AJ212" s="6">
        <f t="shared" si="64"/>
        <v>1.1176470588235294</v>
      </c>
      <c r="AK212" s="6">
        <f t="shared" si="65"/>
        <v>1.1708253358925145</v>
      </c>
      <c r="AL212" s="6">
        <f t="shared" si="66"/>
        <v>1.1174825174825176</v>
      </c>
      <c r="AM212" s="4">
        <v>1100</v>
      </c>
      <c r="AN212" s="4">
        <f>IF(Q212="","-",Q212)</f>
        <v>5</v>
      </c>
      <c r="AO212" s="4">
        <f>IF(R212="","-",R212)</f>
        <v>99999</v>
      </c>
      <c r="AP212" s="4" t="s">
        <v>414</v>
      </c>
      <c r="AQ212" s="4" t="s">
        <v>786</v>
      </c>
      <c r="AR212" s="4"/>
      <c r="AS212" s="4"/>
      <c r="AT212" s="4" t="s">
        <v>785</v>
      </c>
      <c r="AU212" s="4">
        <v>1099</v>
      </c>
      <c r="AV212" s="4">
        <f t="shared" si="67"/>
        <v>1099</v>
      </c>
      <c r="AW212" s="19">
        <v>4</v>
      </c>
      <c r="AX212" s="19">
        <v>1</v>
      </c>
      <c r="AY212" s="16">
        <v>19</v>
      </c>
      <c r="AZ212" t="s">
        <v>699</v>
      </c>
      <c r="BA212" t="str">
        <f>IFERROR(AZ212*AL212,"-")</f>
        <v>-</v>
      </c>
      <c r="BB212">
        <v>1360</v>
      </c>
      <c r="BC212">
        <f>IFERROR(BB212*AL212,"-")</f>
        <v>1519.776223776224</v>
      </c>
      <c r="BD212" t="s">
        <v>491</v>
      </c>
    </row>
    <row r="213" spans="1:56" x14ac:dyDescent="0.4">
      <c r="A213" s="3">
        <v>78</v>
      </c>
      <c r="B213" s="3">
        <v>78</v>
      </c>
      <c r="C213" s="4">
        <v>112889</v>
      </c>
      <c r="D213" s="4" t="str">
        <f t="shared" si="53"/>
        <v>112889</v>
      </c>
      <c r="E213" s="4">
        <v>112889</v>
      </c>
      <c r="F213" s="4" t="s">
        <v>184</v>
      </c>
      <c r="G213" s="5">
        <v>4535627108823</v>
      </c>
      <c r="H213" s="5"/>
      <c r="I213" s="5"/>
      <c r="J213" s="5">
        <v>1</v>
      </c>
      <c r="K213" s="5">
        <v>1</v>
      </c>
      <c r="L213" s="4">
        <v>1700</v>
      </c>
      <c r="M213" s="4">
        <v>1000</v>
      </c>
      <c r="N213" s="4">
        <v>715</v>
      </c>
      <c r="O213" s="6">
        <f t="shared" si="54"/>
        <v>0.28500000000000003</v>
      </c>
      <c r="P213" s="4">
        <v>932</v>
      </c>
      <c r="Q213" s="4">
        <v>5</v>
      </c>
      <c r="R213" s="4">
        <v>99999</v>
      </c>
      <c r="S213" s="4">
        <v>1900</v>
      </c>
      <c r="T213" s="4">
        <f t="shared" si="55"/>
        <v>1900</v>
      </c>
      <c r="U213" s="4">
        <v>799</v>
      </c>
      <c r="V213" s="4">
        <f t="shared" si="56"/>
        <v>799</v>
      </c>
      <c r="W213" s="4"/>
      <c r="X213" s="21">
        <f t="shared" si="57"/>
        <v>1117</v>
      </c>
      <c r="Y213" s="6">
        <f t="shared" si="58"/>
        <v>0.28469113697403758</v>
      </c>
      <c r="Z213" s="33">
        <v>39</v>
      </c>
      <c r="AA213" s="4">
        <f t="shared" si="59"/>
        <v>1226</v>
      </c>
      <c r="AB213" s="33">
        <f t="shared" si="60"/>
        <v>1370.0335664335666</v>
      </c>
      <c r="AC213" s="6">
        <f t="shared" si="61"/>
        <v>0.41680261011419262</v>
      </c>
      <c r="AD213" s="7">
        <v>1220</v>
      </c>
      <c r="AE213" s="6">
        <f t="shared" si="62"/>
        <v>0.34508196721311479</v>
      </c>
      <c r="AF213" s="4">
        <f t="shared" si="63"/>
        <v>421</v>
      </c>
      <c r="AG213" s="28"/>
      <c r="AH213" s="6"/>
      <c r="AI213" s="6"/>
      <c r="AJ213" s="6">
        <f t="shared" si="64"/>
        <v>1.1176470588235294</v>
      </c>
      <c r="AK213" s="6">
        <f t="shared" si="65"/>
        <v>1.22</v>
      </c>
      <c r="AL213" s="6">
        <f t="shared" si="66"/>
        <v>1.1174825174825176</v>
      </c>
      <c r="AM213" s="4">
        <v>1100</v>
      </c>
      <c r="AN213" s="4">
        <f>IF(Q213="","-",Q213)</f>
        <v>5</v>
      </c>
      <c r="AO213" s="4">
        <f>IF(R213="","-",R213)</f>
        <v>99999</v>
      </c>
      <c r="AP213" s="4" t="s">
        <v>414</v>
      </c>
      <c r="AQ213" s="4" t="s">
        <v>787</v>
      </c>
      <c r="AR213" s="4"/>
      <c r="AS213" s="4"/>
      <c r="AT213" s="4" t="s">
        <v>785</v>
      </c>
      <c r="AU213" s="4">
        <v>1226</v>
      </c>
      <c r="AV213" s="4">
        <f t="shared" si="67"/>
        <v>1226</v>
      </c>
      <c r="AW213" s="19">
        <v>4</v>
      </c>
      <c r="AX213" s="19">
        <v>1</v>
      </c>
      <c r="AY213" s="16">
        <v>19</v>
      </c>
      <c r="AZ213">
        <v>1097</v>
      </c>
      <c r="BA213">
        <f>IFERROR(AZ213*AL213,"-")</f>
        <v>1225.8783216783218</v>
      </c>
      <c r="BB213">
        <v>1360</v>
      </c>
      <c r="BC213">
        <f>IFERROR(BB213*AL213,"-")</f>
        <v>1519.776223776224</v>
      </c>
      <c r="BD213" t="s">
        <v>492</v>
      </c>
    </row>
    <row r="214" spans="1:56" x14ac:dyDescent="0.4">
      <c r="A214" s="3">
        <v>88</v>
      </c>
      <c r="B214" s="3">
        <v>88</v>
      </c>
      <c r="C214" s="4">
        <v>117409</v>
      </c>
      <c r="D214" s="4" t="str">
        <f t="shared" si="53"/>
        <v>117409</v>
      </c>
      <c r="E214" s="4">
        <v>117409</v>
      </c>
      <c r="F214" s="4" t="s">
        <v>194</v>
      </c>
      <c r="G214" s="5">
        <v>4535627540005</v>
      </c>
      <c r="H214" s="5"/>
      <c r="I214" s="5"/>
      <c r="J214" s="5">
        <v>1</v>
      </c>
      <c r="K214" s="5">
        <v>1</v>
      </c>
      <c r="L214" s="4">
        <v>1900</v>
      </c>
      <c r="M214" s="4">
        <v>1106</v>
      </c>
      <c r="N214" s="4">
        <v>760</v>
      </c>
      <c r="O214" s="6">
        <f t="shared" si="54"/>
        <v>0.31283905967450276</v>
      </c>
      <c r="P214" s="4" t="s">
        <v>699</v>
      </c>
      <c r="Q214" s="4" t="s">
        <v>699</v>
      </c>
      <c r="R214" s="4" t="s">
        <v>699</v>
      </c>
      <c r="S214" s="4">
        <v>2000</v>
      </c>
      <c r="T214" s="4">
        <f t="shared" si="55"/>
        <v>2000</v>
      </c>
      <c r="U214" s="4">
        <v>800</v>
      </c>
      <c r="V214" s="4">
        <f t="shared" si="56"/>
        <v>800</v>
      </c>
      <c r="W214" s="4"/>
      <c r="X214" s="21">
        <f t="shared" si="57"/>
        <v>1164</v>
      </c>
      <c r="Y214" s="6">
        <f t="shared" si="58"/>
        <v>0.3127147766323024</v>
      </c>
      <c r="Z214" s="33">
        <v>1.5</v>
      </c>
      <c r="AA214" s="4">
        <f t="shared" si="59"/>
        <v>1900</v>
      </c>
      <c r="AB214" s="33">
        <f t="shared" si="60"/>
        <v>2000</v>
      </c>
      <c r="AC214" s="6">
        <f t="shared" si="61"/>
        <v>0.6</v>
      </c>
      <c r="AD214" s="7">
        <v>1300</v>
      </c>
      <c r="AE214" s="6">
        <f t="shared" si="62"/>
        <v>0.38461538461538458</v>
      </c>
      <c r="AF214" s="4">
        <f t="shared" si="63"/>
        <v>500</v>
      </c>
      <c r="AG214" s="28"/>
      <c r="AH214" s="6"/>
      <c r="AI214" s="6"/>
      <c r="AJ214" s="6">
        <f t="shared" si="64"/>
        <v>1.0526315789473684</v>
      </c>
      <c r="AK214" s="6">
        <f t="shared" si="65"/>
        <v>1.1754068716094033</v>
      </c>
      <c r="AL214" s="6">
        <f t="shared" si="66"/>
        <v>1.0526315789473684</v>
      </c>
      <c r="AM214" s="4" t="str">
        <f t="shared" ref="AM214:AM237" si="69">IFERROR(ROUND($AD214*P214/$M214,0),"-")</f>
        <v>-</v>
      </c>
      <c r="AN214" s="4" t="str">
        <f>IF(Q214="","-",Q214)</f>
        <v>-</v>
      </c>
      <c r="AO214" s="4" t="str">
        <f>IF(R214="","-",R214)</f>
        <v>-</v>
      </c>
      <c r="AP214" s="4" t="s">
        <v>417</v>
      </c>
      <c r="AQ214" s="4" t="s">
        <v>798</v>
      </c>
      <c r="AR214" s="4"/>
      <c r="AS214" s="4"/>
      <c r="AT214" s="4" t="s">
        <v>705</v>
      </c>
      <c r="AU214" s="4">
        <v>1900</v>
      </c>
      <c r="AV214" s="4">
        <f t="shared" si="67"/>
        <v>1900</v>
      </c>
      <c r="AW214" s="19">
        <v>4</v>
      </c>
      <c r="AX214" s="19">
        <v>1</v>
      </c>
      <c r="AY214" s="16">
        <v>19</v>
      </c>
      <c r="AZ214" t="s">
        <v>699</v>
      </c>
      <c r="BA214" t="str">
        <f>IFERROR(AZ214*AL214,"-")</f>
        <v>-</v>
      </c>
      <c r="BB214">
        <v>1592</v>
      </c>
      <c r="BC214">
        <f>IFERROR(BB214*AL214,"-")</f>
        <v>1675.7894736842104</v>
      </c>
      <c r="BD214" t="s">
        <v>502</v>
      </c>
    </row>
    <row r="215" spans="1:56" x14ac:dyDescent="0.4">
      <c r="A215" s="3">
        <v>90</v>
      </c>
      <c r="B215" s="3">
        <v>90</v>
      </c>
      <c r="C215" s="4">
        <v>117412</v>
      </c>
      <c r="D215" s="4" t="str">
        <f t="shared" si="53"/>
        <v>117412</v>
      </c>
      <c r="E215" s="4">
        <v>117412</v>
      </c>
      <c r="F215" s="4" t="s">
        <v>196</v>
      </c>
      <c r="G215" s="5">
        <v>4535627540203</v>
      </c>
      <c r="H215" s="5"/>
      <c r="I215" s="5"/>
      <c r="J215" s="5">
        <v>1</v>
      </c>
      <c r="K215" s="5">
        <v>1</v>
      </c>
      <c r="L215" s="4">
        <v>1900</v>
      </c>
      <c r="M215" s="4">
        <v>1155</v>
      </c>
      <c r="N215" s="4">
        <v>760</v>
      </c>
      <c r="O215" s="6">
        <f t="shared" si="54"/>
        <v>0.34199134199134196</v>
      </c>
      <c r="P215" s="4" t="s">
        <v>699</v>
      </c>
      <c r="Q215" s="4" t="s">
        <v>699</v>
      </c>
      <c r="R215" s="4" t="s">
        <v>699</v>
      </c>
      <c r="S215" s="4">
        <v>2000</v>
      </c>
      <c r="T215" s="4">
        <f t="shared" si="55"/>
        <v>2000</v>
      </c>
      <c r="U215" s="4">
        <v>800</v>
      </c>
      <c r="V215" s="4">
        <f t="shared" si="56"/>
        <v>800</v>
      </c>
      <c r="W215" s="4"/>
      <c r="X215" s="21">
        <f t="shared" si="57"/>
        <v>1216</v>
      </c>
      <c r="Y215" s="6">
        <f t="shared" si="58"/>
        <v>0.34210526315789469</v>
      </c>
      <c r="Z215" s="33">
        <v>1.7500000000000002</v>
      </c>
      <c r="AA215" s="4">
        <f t="shared" si="59"/>
        <v>1900</v>
      </c>
      <c r="AB215" s="33">
        <f t="shared" si="60"/>
        <v>2000</v>
      </c>
      <c r="AC215" s="6">
        <f t="shared" si="61"/>
        <v>0.6</v>
      </c>
      <c r="AD215" s="7">
        <v>1300</v>
      </c>
      <c r="AE215" s="6">
        <f t="shared" si="62"/>
        <v>0.38461538461538458</v>
      </c>
      <c r="AF215" s="4">
        <f t="shared" si="63"/>
        <v>500</v>
      </c>
      <c r="AG215" s="28"/>
      <c r="AH215" s="6"/>
      <c r="AI215" s="6"/>
      <c r="AJ215" s="6">
        <f t="shared" si="64"/>
        <v>1.0526315789473684</v>
      </c>
      <c r="AK215" s="6">
        <f t="shared" si="65"/>
        <v>1.1255411255411256</v>
      </c>
      <c r="AL215" s="6">
        <f t="shared" si="66"/>
        <v>1.0526315789473684</v>
      </c>
      <c r="AM215" s="4" t="str">
        <f t="shared" si="69"/>
        <v>-</v>
      </c>
      <c r="AN215" s="4" t="str">
        <f>IF(Q215="","-",Q215)</f>
        <v>-</v>
      </c>
      <c r="AO215" s="4" t="str">
        <f>IF(R215="","-",R215)</f>
        <v>-</v>
      </c>
      <c r="AP215" s="4" t="s">
        <v>417</v>
      </c>
      <c r="AQ215" s="4" t="s">
        <v>800</v>
      </c>
      <c r="AR215" s="4"/>
      <c r="AS215" s="4"/>
      <c r="AT215" s="4" t="s">
        <v>705</v>
      </c>
      <c r="AU215" s="4">
        <v>1900</v>
      </c>
      <c r="AV215" s="4">
        <f t="shared" si="67"/>
        <v>1900</v>
      </c>
      <c r="AW215" s="19">
        <v>4</v>
      </c>
      <c r="AX215" s="19">
        <v>1</v>
      </c>
      <c r="AY215" s="16">
        <v>19</v>
      </c>
      <c r="AZ215" t="s">
        <v>699</v>
      </c>
      <c r="BA215" t="str">
        <f>IFERROR(AZ215*AL215,"-")</f>
        <v>-</v>
      </c>
      <c r="BB215">
        <v>1425</v>
      </c>
      <c r="BC215">
        <f>IFERROR(BB215*AL215,"-")</f>
        <v>1500</v>
      </c>
      <c r="BD215" t="s">
        <v>504</v>
      </c>
    </row>
    <row r="216" spans="1:56" x14ac:dyDescent="0.4">
      <c r="A216" s="3">
        <v>213</v>
      </c>
      <c r="B216" s="3">
        <v>213</v>
      </c>
      <c r="C216" s="4">
        <v>673804</v>
      </c>
      <c r="D216" s="4" t="str">
        <f t="shared" si="53"/>
        <v>673804</v>
      </c>
      <c r="E216" s="4">
        <v>673804</v>
      </c>
      <c r="F216" s="4" t="s">
        <v>319</v>
      </c>
      <c r="G216" s="5">
        <v>4535627104436</v>
      </c>
      <c r="H216" s="5"/>
      <c r="I216" s="5"/>
      <c r="J216" s="5">
        <v>1</v>
      </c>
      <c r="K216" s="5">
        <v>1</v>
      </c>
      <c r="L216" s="4">
        <v>0</v>
      </c>
      <c r="M216" s="4">
        <v>1333</v>
      </c>
      <c r="N216" s="4">
        <v>732</v>
      </c>
      <c r="O216" s="6">
        <f t="shared" si="54"/>
        <v>0.45086271567891978</v>
      </c>
      <c r="P216" s="4" t="s">
        <v>699</v>
      </c>
      <c r="Q216" s="4" t="s">
        <v>699</v>
      </c>
      <c r="R216" s="4" t="s">
        <v>699</v>
      </c>
      <c r="S216" s="4">
        <v>0</v>
      </c>
      <c r="T216" s="4">
        <f t="shared" si="55"/>
        <v>0</v>
      </c>
      <c r="U216" s="4">
        <v>813</v>
      </c>
      <c r="V216" s="4">
        <f t="shared" si="56"/>
        <v>813</v>
      </c>
      <c r="W216" s="4"/>
      <c r="X216" s="21">
        <f t="shared" si="57"/>
        <v>1481</v>
      </c>
      <c r="Y216" s="6">
        <f t="shared" si="58"/>
        <v>0.45104659014179604</v>
      </c>
      <c r="Z216" s="33">
        <v>8.25</v>
      </c>
      <c r="AA216" s="4">
        <f t="shared" si="59"/>
        <v>1353</v>
      </c>
      <c r="AB216" s="33">
        <f t="shared" si="60"/>
        <v>1502.717213114754</v>
      </c>
      <c r="AC216" s="6">
        <f t="shared" si="61"/>
        <v>0.45898004434589801</v>
      </c>
      <c r="AD216" s="7">
        <v>1360</v>
      </c>
      <c r="AE216" s="6">
        <f t="shared" si="62"/>
        <v>0.40220588235294119</v>
      </c>
      <c r="AF216" s="4">
        <f t="shared" si="63"/>
        <v>547</v>
      </c>
      <c r="AG216" s="28"/>
      <c r="AH216" s="6"/>
      <c r="AI216" s="6"/>
      <c r="AJ216" s="6" t="str">
        <f t="shared" si="64"/>
        <v>-</v>
      </c>
      <c r="AK216" s="6">
        <f t="shared" si="65"/>
        <v>1.0202550637659416</v>
      </c>
      <c r="AL216" s="6">
        <f t="shared" si="66"/>
        <v>1.110655737704918</v>
      </c>
      <c r="AM216" s="4" t="str">
        <f t="shared" si="69"/>
        <v>-</v>
      </c>
      <c r="AN216" s="4" t="str">
        <f>IF(Q216="","-",Q216)</f>
        <v>-</v>
      </c>
      <c r="AO216" s="4" t="str">
        <f>IF(R216="","-",R216)</f>
        <v>-</v>
      </c>
      <c r="AP216" s="4" t="s">
        <v>420</v>
      </c>
      <c r="AQ216" s="4" t="s">
        <v>951</v>
      </c>
      <c r="AR216" s="4"/>
      <c r="AS216" s="4"/>
      <c r="AT216" s="4" t="s">
        <v>949</v>
      </c>
      <c r="AU216" s="4">
        <v>1353</v>
      </c>
      <c r="AV216" s="4">
        <f t="shared" si="67"/>
        <v>1353</v>
      </c>
      <c r="AW216" s="19">
        <v>4</v>
      </c>
      <c r="AX216" s="19">
        <v>1</v>
      </c>
      <c r="AY216" s="16">
        <v>19</v>
      </c>
      <c r="AZ216">
        <v>1222</v>
      </c>
      <c r="BA216">
        <f>IFERROR(AZ216*AL216,"-")</f>
        <v>1357.2213114754097</v>
      </c>
      <c r="BB216">
        <v>1332</v>
      </c>
      <c r="BC216">
        <f>IFERROR(BB216*AL216,"-")</f>
        <v>1479.3934426229507</v>
      </c>
      <c r="BD216" t="s">
        <v>629</v>
      </c>
    </row>
    <row r="217" spans="1:56" x14ac:dyDescent="0.4">
      <c r="A217" s="3">
        <v>139</v>
      </c>
      <c r="B217" s="3">
        <v>139</v>
      </c>
      <c r="C217" s="4">
        <v>328842</v>
      </c>
      <c r="D217" s="4" t="str">
        <f t="shared" si="53"/>
        <v>328842</v>
      </c>
      <c r="E217" s="4">
        <v>328842</v>
      </c>
      <c r="F217" s="4" t="s">
        <v>245</v>
      </c>
      <c r="G217" s="5">
        <v>4535627109707</v>
      </c>
      <c r="H217" s="5"/>
      <c r="I217" s="5"/>
      <c r="J217" s="5">
        <v>1</v>
      </c>
      <c r="K217" s="5">
        <v>1</v>
      </c>
      <c r="L217" s="4">
        <v>0</v>
      </c>
      <c r="M217" s="4">
        <v>1184</v>
      </c>
      <c r="N217" s="4">
        <v>790</v>
      </c>
      <c r="O217" s="6">
        <f t="shared" si="54"/>
        <v>0.33277027027027029</v>
      </c>
      <c r="P217" s="4" t="s">
        <v>699</v>
      </c>
      <c r="Q217" s="4" t="s">
        <v>699</v>
      </c>
      <c r="R217" s="4" t="s">
        <v>699</v>
      </c>
      <c r="S217" s="4">
        <v>0</v>
      </c>
      <c r="T217" s="4">
        <f t="shared" si="55"/>
        <v>0</v>
      </c>
      <c r="U217" s="4">
        <v>873</v>
      </c>
      <c r="V217" s="4">
        <f t="shared" si="56"/>
        <v>873</v>
      </c>
      <c r="W217" s="4"/>
      <c r="X217" s="21">
        <f t="shared" si="57"/>
        <v>1308</v>
      </c>
      <c r="Y217" s="6">
        <f t="shared" si="58"/>
        <v>0.33256880733944949</v>
      </c>
      <c r="Z217" s="33">
        <v>6.25</v>
      </c>
      <c r="AA217" s="4">
        <f t="shared" si="59"/>
        <v>1662</v>
      </c>
      <c r="AB217" s="33">
        <f t="shared" si="60"/>
        <v>1836.6151898734176</v>
      </c>
      <c r="AC217" s="6">
        <f t="shared" si="61"/>
        <v>0.52466907340553548</v>
      </c>
      <c r="AD217" s="7">
        <v>1400</v>
      </c>
      <c r="AE217" s="6">
        <f t="shared" si="62"/>
        <v>0.37642857142857145</v>
      </c>
      <c r="AF217" s="4">
        <f t="shared" si="63"/>
        <v>527</v>
      </c>
      <c r="AG217" s="28"/>
      <c r="AH217" s="6"/>
      <c r="AI217" s="6"/>
      <c r="AJ217" s="6" t="str">
        <f t="shared" si="64"/>
        <v>-</v>
      </c>
      <c r="AK217" s="6">
        <f t="shared" si="65"/>
        <v>1.1824324324324325</v>
      </c>
      <c r="AL217" s="6">
        <f t="shared" si="66"/>
        <v>1.1050632911392404</v>
      </c>
      <c r="AM217" s="4" t="str">
        <f t="shared" si="69"/>
        <v>-</v>
      </c>
      <c r="AN217" s="4" t="str">
        <f>IF(Q217="","-",Q217)</f>
        <v>-</v>
      </c>
      <c r="AO217" s="4" t="str">
        <f>IF(R217="","-",R217)</f>
        <v>-</v>
      </c>
      <c r="AP217" s="4" t="s">
        <v>421</v>
      </c>
      <c r="AQ217" s="4" t="s">
        <v>856</v>
      </c>
      <c r="AR217" s="4"/>
      <c r="AS217" s="4"/>
      <c r="AT217" s="4" t="s">
        <v>857</v>
      </c>
      <c r="AU217" s="4">
        <v>1662</v>
      </c>
      <c r="AV217" s="4">
        <f t="shared" si="67"/>
        <v>1662</v>
      </c>
      <c r="AW217" s="19">
        <v>4</v>
      </c>
      <c r="AX217" s="19">
        <v>1</v>
      </c>
      <c r="AY217" s="16">
        <v>19</v>
      </c>
      <c r="AZ217" t="s">
        <v>699</v>
      </c>
      <c r="BA217" t="str">
        <f>IFERROR(AZ217*AL217,"-")</f>
        <v>-</v>
      </c>
      <c r="BB217">
        <v>1500</v>
      </c>
      <c r="BC217">
        <f>IFERROR(BB217*AL217,"-")</f>
        <v>1657.5949367088606</v>
      </c>
      <c r="BD217" t="s">
        <v>551</v>
      </c>
    </row>
    <row r="218" spans="1:56" x14ac:dyDescent="0.4">
      <c r="A218" s="3">
        <v>137</v>
      </c>
      <c r="B218" s="3">
        <v>137</v>
      </c>
      <c r="C218" s="4">
        <v>328840</v>
      </c>
      <c r="D218" s="4" t="str">
        <f t="shared" si="53"/>
        <v>328840</v>
      </c>
      <c r="E218" s="4">
        <v>328840</v>
      </c>
      <c r="F218" s="4" t="s">
        <v>243</v>
      </c>
      <c r="G218" s="5">
        <v>4535627600518</v>
      </c>
      <c r="H218" s="5"/>
      <c r="I218" s="5"/>
      <c r="J218" s="5">
        <v>1</v>
      </c>
      <c r="K218" s="5">
        <v>1</v>
      </c>
      <c r="L218" s="4">
        <v>2000</v>
      </c>
      <c r="M218" s="4">
        <v>1535</v>
      </c>
      <c r="N218" s="4">
        <v>840</v>
      </c>
      <c r="O218" s="6">
        <f t="shared" si="54"/>
        <v>0.45276872964169379</v>
      </c>
      <c r="P218" s="4" t="s">
        <v>699</v>
      </c>
      <c r="Q218" s="4" t="s">
        <v>699</v>
      </c>
      <c r="R218" s="4" t="s">
        <v>699</v>
      </c>
      <c r="S218" s="4">
        <v>2100</v>
      </c>
      <c r="T218" s="4">
        <f t="shared" si="55"/>
        <v>2100</v>
      </c>
      <c r="U218" s="4">
        <v>882</v>
      </c>
      <c r="V218" s="4">
        <f t="shared" si="56"/>
        <v>882</v>
      </c>
      <c r="W218" s="4"/>
      <c r="X218" s="21">
        <f t="shared" si="57"/>
        <v>1612</v>
      </c>
      <c r="Y218" s="6">
        <f t="shared" si="58"/>
        <v>0.45285359801488834</v>
      </c>
      <c r="Z218" s="33">
        <v>9.5</v>
      </c>
      <c r="AA218" s="4">
        <f t="shared" si="59"/>
        <v>1899</v>
      </c>
      <c r="AB218" s="33">
        <f t="shared" si="60"/>
        <v>1993.95</v>
      </c>
      <c r="AC218" s="6">
        <f t="shared" si="61"/>
        <v>0.55766192733017372</v>
      </c>
      <c r="AD218" s="7">
        <v>1518</v>
      </c>
      <c r="AE218" s="6">
        <f t="shared" si="62"/>
        <v>0.4189723320158103</v>
      </c>
      <c r="AF218" s="4">
        <f t="shared" si="63"/>
        <v>636</v>
      </c>
      <c r="AG218" s="28"/>
      <c r="AH218" s="6"/>
      <c r="AI218" s="6"/>
      <c r="AJ218" s="6">
        <f t="shared" si="64"/>
        <v>1.05</v>
      </c>
      <c r="AK218" s="6">
        <f t="shared" si="65"/>
        <v>0.98892508143322477</v>
      </c>
      <c r="AL218" s="6">
        <f t="shared" si="66"/>
        <v>1.05</v>
      </c>
      <c r="AM218" s="4" t="str">
        <f t="shared" si="69"/>
        <v>-</v>
      </c>
      <c r="AN218" s="4" t="str">
        <f>IF(Q218="","-",Q218)</f>
        <v>-</v>
      </c>
      <c r="AO218" s="4" t="str">
        <f>IF(R218="","-",R218)</f>
        <v>-</v>
      </c>
      <c r="AP218" s="4" t="s">
        <v>420</v>
      </c>
      <c r="AQ218" s="4" t="s">
        <v>853</v>
      </c>
      <c r="AR218" s="4"/>
      <c r="AS218" s="4"/>
      <c r="AT218" s="4" t="s">
        <v>749</v>
      </c>
      <c r="AU218" s="4">
        <v>1899</v>
      </c>
      <c r="AV218" s="4">
        <f t="shared" si="67"/>
        <v>1899</v>
      </c>
      <c r="AW218" s="19">
        <v>4</v>
      </c>
      <c r="AX218" s="19">
        <v>1</v>
      </c>
      <c r="AY218" s="16">
        <v>19</v>
      </c>
      <c r="AZ218">
        <v>1446</v>
      </c>
      <c r="BA218">
        <f>IFERROR(AZ218*AL218,"-")</f>
        <v>1518.3</v>
      </c>
      <c r="BB218">
        <v>1779</v>
      </c>
      <c r="BC218">
        <f>IFERROR(BB218*AL218,"-")</f>
        <v>1867.95</v>
      </c>
      <c r="BD218" t="s">
        <v>549</v>
      </c>
    </row>
    <row r="219" spans="1:56" x14ac:dyDescent="0.4">
      <c r="A219" s="3">
        <v>241</v>
      </c>
      <c r="B219" s="3">
        <v>241</v>
      </c>
      <c r="C219" s="4" t="s">
        <v>64</v>
      </c>
      <c r="D219" s="4" t="str">
        <f t="shared" si="53"/>
        <v>J2107Y</v>
      </c>
      <c r="E219" s="4" t="s">
        <v>64</v>
      </c>
      <c r="F219" s="4" t="s">
        <v>347</v>
      </c>
      <c r="G219" s="5">
        <v>4535627820107</v>
      </c>
      <c r="H219" s="5"/>
      <c r="I219" s="5"/>
      <c r="J219" s="5">
        <v>1</v>
      </c>
      <c r="K219" s="5">
        <v>1</v>
      </c>
      <c r="L219" s="4">
        <v>0</v>
      </c>
      <c r="M219" s="4">
        <v>1083</v>
      </c>
      <c r="N219" s="4">
        <v>819</v>
      </c>
      <c r="O219" s="6">
        <f t="shared" si="54"/>
        <v>0.24376731301939059</v>
      </c>
      <c r="P219" s="4" t="s">
        <v>699</v>
      </c>
      <c r="Q219" s="4" t="s">
        <v>699</v>
      </c>
      <c r="R219" s="4" t="s">
        <v>699</v>
      </c>
      <c r="S219" s="4">
        <v>0</v>
      </c>
      <c r="T219" s="4">
        <f t="shared" si="55"/>
        <v>0</v>
      </c>
      <c r="U219" s="4">
        <v>889</v>
      </c>
      <c r="V219" s="4">
        <f t="shared" si="56"/>
        <v>889</v>
      </c>
      <c r="W219" s="4"/>
      <c r="X219" s="21">
        <f t="shared" si="57"/>
        <v>1176</v>
      </c>
      <c r="Y219" s="6">
        <f t="shared" si="58"/>
        <v>0.24404761904761907</v>
      </c>
      <c r="Z219" s="33">
        <v>4.25</v>
      </c>
      <c r="AA219" s="4">
        <f t="shared" si="59"/>
        <v>1480</v>
      </c>
      <c r="AB219" s="33">
        <f t="shared" si="60"/>
        <v>1606.4957264957263</v>
      </c>
      <c r="AC219" s="6">
        <f t="shared" si="61"/>
        <v>0.44662162162162156</v>
      </c>
      <c r="AD219" s="7">
        <v>1450</v>
      </c>
      <c r="AE219" s="6">
        <f t="shared" si="62"/>
        <v>0.38689655172413795</v>
      </c>
      <c r="AF219" s="4">
        <f t="shared" si="63"/>
        <v>561</v>
      </c>
      <c r="AG219" s="28"/>
      <c r="AH219" s="6"/>
      <c r="AI219" s="6"/>
      <c r="AJ219" s="6" t="str">
        <f t="shared" si="64"/>
        <v>-</v>
      </c>
      <c r="AK219" s="6">
        <f t="shared" si="65"/>
        <v>1.3388734995383196</v>
      </c>
      <c r="AL219" s="6">
        <f t="shared" si="66"/>
        <v>1.0854700854700854</v>
      </c>
      <c r="AM219" s="4" t="str">
        <f t="shared" si="69"/>
        <v>-</v>
      </c>
      <c r="AN219" s="4" t="str">
        <f>IF(Q219="","-",Q219)</f>
        <v>-</v>
      </c>
      <c r="AO219" s="4" t="str">
        <f>IF(R219="","-",R219)</f>
        <v>-</v>
      </c>
      <c r="AP219" s="4">
        <v>0</v>
      </c>
      <c r="AQ219" s="4" t="s">
        <v>984</v>
      </c>
      <c r="AR219" s="4"/>
      <c r="AS219" s="4"/>
      <c r="AT219" s="4" t="s">
        <v>721</v>
      </c>
      <c r="AU219" s="4">
        <v>1480</v>
      </c>
      <c r="AV219" s="4">
        <f t="shared" si="67"/>
        <v>1480</v>
      </c>
      <c r="AW219" s="19">
        <v>4</v>
      </c>
      <c r="AX219" s="19">
        <v>1</v>
      </c>
      <c r="AY219" s="16">
        <v>19</v>
      </c>
      <c r="AZ219">
        <v>1480</v>
      </c>
      <c r="BA219">
        <f>IFERROR(AZ219*AL219,"-")</f>
        <v>1606.4957264957263</v>
      </c>
      <c r="BB219">
        <v>1750</v>
      </c>
      <c r="BC219">
        <f>IFERROR(BB219*AL219,"-")</f>
        <v>1899.5726495726494</v>
      </c>
      <c r="BD219" t="s">
        <v>657</v>
      </c>
    </row>
    <row r="220" spans="1:56" x14ac:dyDescent="0.4">
      <c r="A220" s="3">
        <v>228</v>
      </c>
      <c r="B220" s="3">
        <v>228</v>
      </c>
      <c r="C220" s="4">
        <v>786951</v>
      </c>
      <c r="D220" s="4" t="str">
        <f t="shared" si="53"/>
        <v>786951</v>
      </c>
      <c r="E220" s="4">
        <v>786951</v>
      </c>
      <c r="F220" s="4" t="s">
        <v>334</v>
      </c>
      <c r="G220" s="5">
        <v>4535627301200</v>
      </c>
      <c r="H220" s="5"/>
      <c r="I220" s="5"/>
      <c r="J220" s="5">
        <v>1</v>
      </c>
      <c r="K220" s="5">
        <v>1</v>
      </c>
      <c r="L220" s="4">
        <v>2200</v>
      </c>
      <c r="M220" s="4">
        <v>1433</v>
      </c>
      <c r="N220" s="4">
        <v>836</v>
      </c>
      <c r="O220" s="6">
        <f t="shared" si="54"/>
        <v>0.41660851360781581</v>
      </c>
      <c r="P220" s="4" t="s">
        <v>699</v>
      </c>
      <c r="Q220" s="4" t="s">
        <v>699</v>
      </c>
      <c r="R220" s="4" t="s">
        <v>699</v>
      </c>
      <c r="S220" s="4">
        <v>2400</v>
      </c>
      <c r="T220" s="4">
        <f t="shared" si="55"/>
        <v>2400</v>
      </c>
      <c r="U220" s="4">
        <v>912</v>
      </c>
      <c r="V220" s="4">
        <f t="shared" si="56"/>
        <v>912</v>
      </c>
      <c r="W220" s="4"/>
      <c r="X220" s="21">
        <f t="shared" si="57"/>
        <v>1563</v>
      </c>
      <c r="Y220" s="6">
        <f t="shared" si="58"/>
        <v>0.41650671785028792</v>
      </c>
      <c r="Z220" s="33">
        <v>5.5</v>
      </c>
      <c r="AA220" s="4">
        <f t="shared" si="59"/>
        <v>1600</v>
      </c>
      <c r="AB220" s="33">
        <f t="shared" si="60"/>
        <v>1745.4545454545453</v>
      </c>
      <c r="AC220" s="6">
        <f t="shared" si="61"/>
        <v>0.47749999999999992</v>
      </c>
      <c r="AD220" s="7">
        <v>1560</v>
      </c>
      <c r="AE220" s="6">
        <f t="shared" si="62"/>
        <v>0.41538461538461535</v>
      </c>
      <c r="AF220" s="4">
        <f t="shared" si="63"/>
        <v>648</v>
      </c>
      <c r="AG220" s="28"/>
      <c r="AH220" s="6"/>
      <c r="AI220" s="6"/>
      <c r="AJ220" s="6">
        <f t="shared" si="64"/>
        <v>1.0909090909090908</v>
      </c>
      <c r="AK220" s="6">
        <f t="shared" si="65"/>
        <v>1.0886252616887648</v>
      </c>
      <c r="AL220" s="6">
        <f t="shared" si="66"/>
        <v>1.0909090909090908</v>
      </c>
      <c r="AM220" s="4" t="str">
        <f t="shared" si="69"/>
        <v>-</v>
      </c>
      <c r="AN220" s="4" t="str">
        <f>IF(Q220="","-",Q220)</f>
        <v>-</v>
      </c>
      <c r="AO220" s="4" t="str">
        <f>IF(R220="","-",R220)</f>
        <v>-</v>
      </c>
      <c r="AP220" s="4" t="s">
        <v>407</v>
      </c>
      <c r="AQ220" s="4" t="s">
        <v>969</v>
      </c>
      <c r="AR220" s="4"/>
      <c r="AS220" s="4"/>
      <c r="AT220" s="4" t="s">
        <v>970</v>
      </c>
      <c r="AU220" s="4">
        <v>1600</v>
      </c>
      <c r="AV220" s="4">
        <f t="shared" si="67"/>
        <v>1600</v>
      </c>
      <c r="AW220" s="19">
        <v>4</v>
      </c>
      <c r="AX220" s="19">
        <v>1</v>
      </c>
      <c r="AY220" s="16">
        <v>19</v>
      </c>
      <c r="AZ220" t="s">
        <v>699</v>
      </c>
      <c r="BA220" t="str">
        <f>IFERROR(AZ220*AL220,"-")</f>
        <v>-</v>
      </c>
      <c r="BB220">
        <v>1718</v>
      </c>
      <c r="BC220">
        <f>IFERROR(BB220*AL220,"-")</f>
        <v>1874.181818181818</v>
      </c>
      <c r="BD220" t="s">
        <v>644</v>
      </c>
    </row>
    <row r="221" spans="1:56" x14ac:dyDescent="0.4">
      <c r="A221" s="3">
        <v>129</v>
      </c>
      <c r="B221" s="3">
        <v>129</v>
      </c>
      <c r="C221" s="4">
        <v>198740</v>
      </c>
      <c r="D221" s="4" t="str">
        <f t="shared" si="53"/>
        <v>198740</v>
      </c>
      <c r="E221" s="4">
        <v>198740</v>
      </c>
      <c r="F221" s="4" t="s">
        <v>235</v>
      </c>
      <c r="G221" s="5">
        <v>4535627106379</v>
      </c>
      <c r="H221" s="5"/>
      <c r="I221" s="5"/>
      <c r="J221" s="5">
        <v>1</v>
      </c>
      <c r="K221" s="5">
        <v>1</v>
      </c>
      <c r="L221" s="4">
        <v>1950</v>
      </c>
      <c r="M221" s="4">
        <v>1244</v>
      </c>
      <c r="N221" s="4">
        <v>820</v>
      </c>
      <c r="O221" s="6">
        <f t="shared" si="54"/>
        <v>0.34083601286173637</v>
      </c>
      <c r="P221" s="4" t="s">
        <v>699</v>
      </c>
      <c r="Q221" s="4" t="s">
        <v>699</v>
      </c>
      <c r="R221" s="4" t="s">
        <v>699</v>
      </c>
      <c r="S221" s="4">
        <v>2250</v>
      </c>
      <c r="T221" s="4">
        <f t="shared" si="55"/>
        <v>2250</v>
      </c>
      <c r="U221" s="4">
        <v>946</v>
      </c>
      <c r="V221" s="4">
        <f t="shared" si="56"/>
        <v>946</v>
      </c>
      <c r="W221" s="4"/>
      <c r="X221" s="21">
        <f t="shared" si="57"/>
        <v>1435</v>
      </c>
      <c r="Y221" s="6">
        <f t="shared" si="58"/>
        <v>0.34076655052264804</v>
      </c>
      <c r="Z221" s="33">
        <v>27</v>
      </c>
      <c r="AA221" s="4">
        <f t="shared" si="59"/>
        <v>1343</v>
      </c>
      <c r="AB221" s="33">
        <f t="shared" si="60"/>
        <v>1549.3634146341462</v>
      </c>
      <c r="AC221" s="6">
        <f t="shared" si="61"/>
        <v>0.38942665673864474</v>
      </c>
      <c r="AD221" s="7">
        <v>1500</v>
      </c>
      <c r="AE221" s="6">
        <f t="shared" si="62"/>
        <v>0.36933333333333329</v>
      </c>
      <c r="AF221" s="4">
        <f t="shared" si="63"/>
        <v>554</v>
      </c>
      <c r="AG221" s="28"/>
      <c r="AH221" s="6"/>
      <c r="AI221" s="6"/>
      <c r="AJ221" s="6">
        <f t="shared" si="64"/>
        <v>1.1538461538461537</v>
      </c>
      <c r="AK221" s="6">
        <f t="shared" si="65"/>
        <v>1.2057877813504823</v>
      </c>
      <c r="AL221" s="6">
        <f t="shared" si="66"/>
        <v>1.1536585365853658</v>
      </c>
      <c r="AM221" s="4" t="str">
        <f t="shared" si="69"/>
        <v>-</v>
      </c>
      <c r="AN221" s="4" t="str">
        <f>IF(Q221="","-",Q221)</f>
        <v>-</v>
      </c>
      <c r="AO221" s="4" t="str">
        <f>IF(R221="","-",R221)</f>
        <v>-</v>
      </c>
      <c r="AP221" s="4" t="s">
        <v>415</v>
      </c>
      <c r="AQ221" s="4" t="s">
        <v>846</v>
      </c>
      <c r="AR221" s="4"/>
      <c r="AS221" s="4"/>
      <c r="AT221" s="4" t="s">
        <v>721</v>
      </c>
      <c r="AU221" s="4">
        <v>1343</v>
      </c>
      <c r="AV221" s="4">
        <f t="shared" si="67"/>
        <v>1343</v>
      </c>
      <c r="AW221" s="19">
        <v>4</v>
      </c>
      <c r="AX221" s="19">
        <v>1</v>
      </c>
      <c r="AY221" s="16">
        <v>19</v>
      </c>
      <c r="AZ221" t="s">
        <v>699</v>
      </c>
      <c r="BA221" t="str">
        <f>IFERROR(AZ221*AL221,"-")</f>
        <v>-</v>
      </c>
      <c r="BB221">
        <v>1362</v>
      </c>
      <c r="BC221">
        <f>IFERROR(BB221*AL221,"-")</f>
        <v>1571.2829268292683</v>
      </c>
      <c r="BD221" t="s">
        <v>542</v>
      </c>
    </row>
    <row r="222" spans="1:56" x14ac:dyDescent="0.4">
      <c r="A222" s="3">
        <v>130</v>
      </c>
      <c r="B222" s="3">
        <v>130</v>
      </c>
      <c r="C222" s="4">
        <v>198741</v>
      </c>
      <c r="D222" s="4" t="str">
        <f t="shared" si="53"/>
        <v>198741</v>
      </c>
      <c r="E222" s="4">
        <v>198741</v>
      </c>
      <c r="F222" s="4" t="s">
        <v>236</v>
      </c>
      <c r="G222" s="5">
        <v>4535627106577</v>
      </c>
      <c r="H222" s="5"/>
      <c r="I222" s="5"/>
      <c r="J222" s="5">
        <v>1</v>
      </c>
      <c r="K222" s="5">
        <v>1</v>
      </c>
      <c r="L222" s="4">
        <v>1950</v>
      </c>
      <c r="M222" s="4">
        <v>1244</v>
      </c>
      <c r="N222" s="4">
        <v>820</v>
      </c>
      <c r="O222" s="6">
        <f t="shared" si="54"/>
        <v>0.34083601286173637</v>
      </c>
      <c r="P222" s="4" t="s">
        <v>699</v>
      </c>
      <c r="Q222" s="4" t="s">
        <v>699</v>
      </c>
      <c r="R222" s="4" t="s">
        <v>699</v>
      </c>
      <c r="S222" s="4">
        <v>2250</v>
      </c>
      <c r="T222" s="4">
        <f t="shared" si="55"/>
        <v>2250</v>
      </c>
      <c r="U222" s="4">
        <v>946</v>
      </c>
      <c r="V222" s="4">
        <f t="shared" si="56"/>
        <v>946</v>
      </c>
      <c r="W222" s="4"/>
      <c r="X222" s="21">
        <f t="shared" si="57"/>
        <v>1435</v>
      </c>
      <c r="Y222" s="6">
        <f t="shared" si="58"/>
        <v>0.34076655052264804</v>
      </c>
      <c r="Z222" s="33">
        <v>4.25</v>
      </c>
      <c r="AA222" s="4">
        <f t="shared" si="59"/>
        <v>1418</v>
      </c>
      <c r="AB222" s="33">
        <f t="shared" si="60"/>
        <v>1635.8878048780487</v>
      </c>
      <c r="AC222" s="6">
        <f t="shared" si="61"/>
        <v>0.42172073342736249</v>
      </c>
      <c r="AD222" s="7">
        <v>1500</v>
      </c>
      <c r="AE222" s="6">
        <f t="shared" si="62"/>
        <v>0.36933333333333329</v>
      </c>
      <c r="AF222" s="4">
        <f t="shared" si="63"/>
        <v>554</v>
      </c>
      <c r="AG222" s="28"/>
      <c r="AH222" s="6"/>
      <c r="AI222" s="6"/>
      <c r="AJ222" s="6">
        <f t="shared" si="64"/>
        <v>1.1538461538461537</v>
      </c>
      <c r="AK222" s="6">
        <f t="shared" si="65"/>
        <v>1.2057877813504823</v>
      </c>
      <c r="AL222" s="6">
        <f t="shared" si="66"/>
        <v>1.1536585365853658</v>
      </c>
      <c r="AM222" s="4" t="str">
        <f t="shared" si="69"/>
        <v>-</v>
      </c>
      <c r="AN222" s="4" t="str">
        <f>IF(Q222="","-",Q222)</f>
        <v>-</v>
      </c>
      <c r="AO222" s="4" t="str">
        <f>IF(R222="","-",R222)</f>
        <v>-</v>
      </c>
      <c r="AP222" s="4" t="s">
        <v>415</v>
      </c>
      <c r="AQ222" s="4" t="s">
        <v>847</v>
      </c>
      <c r="AR222" s="4"/>
      <c r="AS222" s="4"/>
      <c r="AT222" s="4" t="s">
        <v>721</v>
      </c>
      <c r="AU222" s="4">
        <v>1418</v>
      </c>
      <c r="AV222" s="4">
        <f t="shared" si="67"/>
        <v>1418</v>
      </c>
      <c r="AW222" s="19">
        <v>4</v>
      </c>
      <c r="AX222" s="19">
        <v>1</v>
      </c>
      <c r="AY222" s="16">
        <v>19</v>
      </c>
      <c r="AZ222" t="s">
        <v>699</v>
      </c>
      <c r="BA222" t="str">
        <f>IFERROR(AZ222*AL222,"-")</f>
        <v>-</v>
      </c>
      <c r="BB222">
        <v>1430</v>
      </c>
      <c r="BC222">
        <f>IFERROR(BB222*AL222,"-")</f>
        <v>1649.731707317073</v>
      </c>
      <c r="BD222" t="s">
        <v>543</v>
      </c>
    </row>
    <row r="223" spans="1:56" x14ac:dyDescent="0.4">
      <c r="A223" s="3">
        <v>269</v>
      </c>
      <c r="B223" s="3">
        <v>269</v>
      </c>
      <c r="C223" s="4" t="s">
        <v>92</v>
      </c>
      <c r="D223" s="4" t="str">
        <f t="shared" si="53"/>
        <v>J77798</v>
      </c>
      <c r="E223" s="4" t="s">
        <v>92</v>
      </c>
      <c r="F223" s="4" t="s">
        <v>375</v>
      </c>
      <c r="G223" s="5">
        <v>4535627102289</v>
      </c>
      <c r="H223" s="5"/>
      <c r="I223" s="5"/>
      <c r="J223" s="5">
        <v>1</v>
      </c>
      <c r="K223" s="5">
        <v>1</v>
      </c>
      <c r="L223" s="4">
        <v>21000</v>
      </c>
      <c r="M223" s="4">
        <v>10320</v>
      </c>
      <c r="N223" s="4">
        <v>8820</v>
      </c>
      <c r="O223" s="6">
        <f t="shared" si="54"/>
        <v>0.14534883720930236</v>
      </c>
      <c r="P223" s="4" t="s">
        <v>699</v>
      </c>
      <c r="Q223" s="4" t="s">
        <v>699</v>
      </c>
      <c r="R223" s="4" t="s">
        <v>699</v>
      </c>
      <c r="S223" s="4">
        <v>2300</v>
      </c>
      <c r="T223" s="4">
        <f t="shared" si="55"/>
        <v>23000</v>
      </c>
      <c r="U223" s="4">
        <v>966</v>
      </c>
      <c r="V223" s="4">
        <f t="shared" si="56"/>
        <v>9660</v>
      </c>
      <c r="W223" s="4">
        <v>10</v>
      </c>
      <c r="X223" s="21">
        <f t="shared" si="57"/>
        <v>11303</v>
      </c>
      <c r="Y223" s="6">
        <f t="shared" si="58"/>
        <v>0.14535963903388482</v>
      </c>
      <c r="Z223" s="33">
        <v>2.5</v>
      </c>
      <c r="AA223" s="4">
        <f t="shared" si="59"/>
        <v>21000</v>
      </c>
      <c r="AB223" s="33">
        <f t="shared" si="60"/>
        <v>23000.000000000004</v>
      </c>
      <c r="AC223" s="6">
        <f t="shared" si="61"/>
        <v>0.58000000000000007</v>
      </c>
      <c r="AD223" s="7">
        <v>15000</v>
      </c>
      <c r="AE223" s="6">
        <f t="shared" si="62"/>
        <v>0.35599999999999998</v>
      </c>
      <c r="AF223" s="4">
        <f t="shared" si="63"/>
        <v>5340</v>
      </c>
      <c r="AG223" s="28"/>
      <c r="AH223" s="6"/>
      <c r="AI223" s="6"/>
      <c r="AJ223" s="6">
        <f t="shared" si="64"/>
        <v>1.0952380952380953</v>
      </c>
      <c r="AK223" s="6">
        <f t="shared" si="65"/>
        <v>1.4534883720930232</v>
      </c>
      <c r="AL223" s="6">
        <f t="shared" si="66"/>
        <v>1.0952380952380953</v>
      </c>
      <c r="AM223" s="4" t="str">
        <f t="shared" si="69"/>
        <v>-</v>
      </c>
      <c r="AN223" s="4" t="str">
        <f>IF(Q223="","-",Q223)</f>
        <v>-</v>
      </c>
      <c r="AO223" s="4" t="str">
        <f>IF(R223="","-",R223)</f>
        <v>-</v>
      </c>
      <c r="AP223" s="4">
        <v>0</v>
      </c>
      <c r="AQ223" s="4" t="s">
        <v>1013</v>
      </c>
      <c r="AR223" s="4">
        <v>10</v>
      </c>
      <c r="AS223" s="4">
        <v>1</v>
      </c>
      <c r="AT223" s="4" t="s">
        <v>705</v>
      </c>
      <c r="AU223" s="4">
        <v>2100</v>
      </c>
      <c r="AV223" s="4">
        <f t="shared" si="67"/>
        <v>21000</v>
      </c>
      <c r="AW223" s="19">
        <v>4</v>
      </c>
      <c r="AX223" s="19">
        <v>8</v>
      </c>
      <c r="AY223" s="16">
        <v>19</v>
      </c>
      <c r="AZ223" t="s">
        <v>699</v>
      </c>
      <c r="BA223" t="str">
        <f>IFERROR(AZ223*AL223,"-")</f>
        <v>-</v>
      </c>
      <c r="BB223">
        <v>1596</v>
      </c>
      <c r="BC223">
        <f>IFERROR(BB223*AL223,"-")</f>
        <v>1748.0000000000002</v>
      </c>
      <c r="BD223" t="s">
        <v>684</v>
      </c>
    </row>
    <row r="224" spans="1:56" x14ac:dyDescent="0.4">
      <c r="A224" s="3">
        <v>179</v>
      </c>
      <c r="B224" s="3">
        <v>179</v>
      </c>
      <c r="C224" s="4">
        <v>600937</v>
      </c>
      <c r="D224" s="4" t="str">
        <f t="shared" si="53"/>
        <v>600937</v>
      </c>
      <c r="E224" s="4">
        <v>600937</v>
      </c>
      <c r="F224" s="4" t="s">
        <v>285</v>
      </c>
      <c r="G224" s="5">
        <v>4535627230500</v>
      </c>
      <c r="H224" s="5"/>
      <c r="I224" s="5"/>
      <c r="J224" s="5">
        <v>1</v>
      </c>
      <c r="K224" s="5">
        <v>1</v>
      </c>
      <c r="L224" s="4">
        <v>2500</v>
      </c>
      <c r="M224" s="4">
        <v>1411</v>
      </c>
      <c r="N224" s="4">
        <v>900</v>
      </c>
      <c r="O224" s="6">
        <f t="shared" si="54"/>
        <v>0.36215450035435859</v>
      </c>
      <c r="P224" s="4" t="s">
        <v>699</v>
      </c>
      <c r="Q224" s="4" t="s">
        <v>699</v>
      </c>
      <c r="R224" s="4" t="s">
        <v>699</v>
      </c>
      <c r="S224" s="4">
        <v>2700</v>
      </c>
      <c r="T224" s="4">
        <f t="shared" si="55"/>
        <v>2700</v>
      </c>
      <c r="U224" s="4">
        <v>972</v>
      </c>
      <c r="V224" s="4">
        <f t="shared" si="56"/>
        <v>972</v>
      </c>
      <c r="W224" s="4"/>
      <c r="X224" s="21">
        <f t="shared" si="57"/>
        <v>1524</v>
      </c>
      <c r="Y224" s="6">
        <f t="shared" si="58"/>
        <v>0.36220472440944884</v>
      </c>
      <c r="Z224" s="33">
        <v>1</v>
      </c>
      <c r="AA224" s="4">
        <f t="shared" si="59"/>
        <v>1380</v>
      </c>
      <c r="AB224" s="33">
        <f t="shared" si="60"/>
        <v>1490.4</v>
      </c>
      <c r="AC224" s="6">
        <f t="shared" si="61"/>
        <v>0.34782608695652173</v>
      </c>
      <c r="AD224" s="7">
        <v>1490</v>
      </c>
      <c r="AE224" s="6">
        <f t="shared" si="62"/>
        <v>0.34765100671140936</v>
      </c>
      <c r="AF224" s="4">
        <f t="shared" si="63"/>
        <v>518</v>
      </c>
      <c r="AG224" s="28"/>
      <c r="AH224" s="6"/>
      <c r="AI224" s="6"/>
      <c r="AJ224" s="6">
        <f t="shared" si="64"/>
        <v>1.08</v>
      </c>
      <c r="AK224" s="6">
        <f t="shared" si="65"/>
        <v>1.0559886605244508</v>
      </c>
      <c r="AL224" s="6">
        <f t="shared" si="66"/>
        <v>1.08</v>
      </c>
      <c r="AM224" s="4" t="str">
        <f t="shared" si="69"/>
        <v>-</v>
      </c>
      <c r="AN224" s="4" t="str">
        <f>IF(Q224="","-",Q224)</f>
        <v>-</v>
      </c>
      <c r="AO224" s="4" t="str">
        <f>IF(R224="","-",R224)</f>
        <v>-</v>
      </c>
      <c r="AP224" s="4" t="s">
        <v>426</v>
      </c>
      <c r="AQ224" s="4" t="s">
        <v>911</v>
      </c>
      <c r="AR224" s="4"/>
      <c r="AS224" s="4"/>
      <c r="AT224" s="4" t="s">
        <v>705</v>
      </c>
      <c r="AU224" s="4">
        <v>1380</v>
      </c>
      <c r="AV224" s="4">
        <f t="shared" si="67"/>
        <v>1380</v>
      </c>
      <c r="AW224" s="19">
        <v>4</v>
      </c>
      <c r="AX224" s="19">
        <v>1</v>
      </c>
      <c r="AY224" s="16">
        <v>19</v>
      </c>
      <c r="AZ224" t="s">
        <v>699</v>
      </c>
      <c r="BA224" t="str">
        <f>IFERROR(AZ224*AL224,"-")</f>
        <v>-</v>
      </c>
      <c r="BB224" t="s">
        <v>699</v>
      </c>
      <c r="BC224" t="str">
        <f>IFERROR(BB224*AL224,"-")</f>
        <v>-</v>
      </c>
      <c r="BD224" t="s">
        <v>596</v>
      </c>
    </row>
    <row r="225" spans="1:56" x14ac:dyDescent="0.4">
      <c r="A225" s="3">
        <v>125</v>
      </c>
      <c r="B225" s="3">
        <v>125</v>
      </c>
      <c r="C225" s="4">
        <v>193799</v>
      </c>
      <c r="D225" s="4" t="str">
        <f t="shared" si="53"/>
        <v>193799</v>
      </c>
      <c r="E225" s="4">
        <v>193799</v>
      </c>
      <c r="F225" s="4" t="s">
        <v>231</v>
      </c>
      <c r="G225" s="5">
        <v>4535627300012</v>
      </c>
      <c r="H225" s="5"/>
      <c r="I225" s="5"/>
      <c r="J225" s="5">
        <v>1</v>
      </c>
      <c r="K225" s="5">
        <v>1</v>
      </c>
      <c r="L225" s="4">
        <v>2200</v>
      </c>
      <c r="M225" s="4">
        <v>1510</v>
      </c>
      <c r="N225" s="4">
        <v>924</v>
      </c>
      <c r="O225" s="6">
        <f t="shared" si="54"/>
        <v>0.3880794701986755</v>
      </c>
      <c r="P225" s="4" t="s">
        <v>699</v>
      </c>
      <c r="Q225" s="4" t="s">
        <v>699</v>
      </c>
      <c r="R225" s="4" t="s">
        <v>699</v>
      </c>
      <c r="S225" s="4">
        <v>2400</v>
      </c>
      <c r="T225" s="4">
        <f t="shared" si="55"/>
        <v>2400</v>
      </c>
      <c r="U225" s="4">
        <v>1008</v>
      </c>
      <c r="V225" s="4">
        <f t="shared" si="56"/>
        <v>1008</v>
      </c>
      <c r="W225" s="4"/>
      <c r="X225" s="21">
        <f t="shared" si="57"/>
        <v>1647</v>
      </c>
      <c r="Y225" s="6">
        <f t="shared" si="58"/>
        <v>0.38797814207650272</v>
      </c>
      <c r="Z225" s="33">
        <v>0.5</v>
      </c>
      <c r="AA225" s="4">
        <f t="shared" si="59"/>
        <v>1573</v>
      </c>
      <c r="AB225" s="33">
        <f t="shared" si="60"/>
        <v>1715.9999999999998</v>
      </c>
      <c r="AC225" s="6">
        <f t="shared" si="61"/>
        <v>0.41258741258741249</v>
      </c>
      <c r="AD225" s="7">
        <v>1650</v>
      </c>
      <c r="AE225" s="6">
        <f t="shared" si="62"/>
        <v>0.38909090909090904</v>
      </c>
      <c r="AF225" s="4">
        <f t="shared" si="63"/>
        <v>642</v>
      </c>
      <c r="AG225" s="28"/>
      <c r="AH225" s="6"/>
      <c r="AI225" s="6"/>
      <c r="AJ225" s="6">
        <f t="shared" si="64"/>
        <v>1.0909090909090908</v>
      </c>
      <c r="AK225" s="6">
        <f t="shared" si="65"/>
        <v>1.0927152317880795</v>
      </c>
      <c r="AL225" s="6">
        <f t="shared" si="66"/>
        <v>1.0909090909090908</v>
      </c>
      <c r="AM225" s="4" t="str">
        <f t="shared" si="69"/>
        <v>-</v>
      </c>
      <c r="AN225" s="4" t="str">
        <f>IF(Q225="","-",Q225)</f>
        <v>-</v>
      </c>
      <c r="AO225" s="4" t="str">
        <f>IF(R225="","-",R225)</f>
        <v>-</v>
      </c>
      <c r="AP225" s="4" t="s">
        <v>407</v>
      </c>
      <c r="AQ225" s="4" t="s">
        <v>842</v>
      </c>
      <c r="AR225" s="4"/>
      <c r="AS225" s="4"/>
      <c r="AT225" s="4" t="s">
        <v>701</v>
      </c>
      <c r="AU225" s="4">
        <v>1573</v>
      </c>
      <c r="AV225" s="4">
        <f t="shared" si="67"/>
        <v>1573</v>
      </c>
      <c r="AW225" s="19">
        <v>4</v>
      </c>
      <c r="AX225" s="19">
        <v>1</v>
      </c>
      <c r="AY225" s="16">
        <v>19</v>
      </c>
      <c r="AZ225">
        <v>1526</v>
      </c>
      <c r="BA225">
        <f>IFERROR(AZ225*AL225,"-")</f>
        <v>1664.7272727272725</v>
      </c>
      <c r="BB225">
        <v>1815</v>
      </c>
      <c r="BC225">
        <f>IFERROR(BB225*AL225,"-")</f>
        <v>1979.9999999999998</v>
      </c>
      <c r="BD225" t="s">
        <v>539</v>
      </c>
    </row>
    <row r="226" spans="1:56" x14ac:dyDescent="0.4">
      <c r="A226" s="3">
        <v>274</v>
      </c>
      <c r="B226" s="3">
        <v>274</v>
      </c>
      <c r="C226" s="4" t="s">
        <v>97</v>
      </c>
      <c r="D226" s="4" t="str">
        <f t="shared" si="53"/>
        <v>J917RW</v>
      </c>
      <c r="E226" s="4" t="s">
        <v>97</v>
      </c>
      <c r="F226" s="4" t="s">
        <v>380</v>
      </c>
      <c r="G226" s="5">
        <v>4535627104832</v>
      </c>
      <c r="H226" s="5"/>
      <c r="I226" s="5"/>
      <c r="J226" s="5">
        <v>1</v>
      </c>
      <c r="K226" s="5">
        <v>1</v>
      </c>
      <c r="L226" s="4">
        <v>2300</v>
      </c>
      <c r="M226" s="4">
        <v>2091</v>
      </c>
      <c r="N226" s="4">
        <v>966</v>
      </c>
      <c r="O226" s="6">
        <f t="shared" si="54"/>
        <v>0.53802008608321383</v>
      </c>
      <c r="P226" s="4" t="s">
        <v>699</v>
      </c>
      <c r="Q226" s="4" t="s">
        <v>699</v>
      </c>
      <c r="R226" s="4" t="s">
        <v>699</v>
      </c>
      <c r="S226" s="4">
        <v>2400</v>
      </c>
      <c r="T226" s="4">
        <f t="shared" si="55"/>
        <v>2400</v>
      </c>
      <c r="U226" s="4">
        <v>1008</v>
      </c>
      <c r="V226" s="4">
        <f t="shared" si="56"/>
        <v>1008</v>
      </c>
      <c r="W226" s="4"/>
      <c r="X226" s="21">
        <f t="shared" si="57"/>
        <v>2182</v>
      </c>
      <c r="Y226" s="6">
        <f t="shared" si="58"/>
        <v>0.53803849679193405</v>
      </c>
      <c r="Z226" s="33">
        <v>5.5</v>
      </c>
      <c r="AA226" s="4">
        <f t="shared" si="59"/>
        <v>2089</v>
      </c>
      <c r="AB226" s="33">
        <f t="shared" si="60"/>
        <v>2179.8260869565215</v>
      </c>
      <c r="AC226" s="6">
        <f t="shared" si="61"/>
        <v>0.53757778841550974</v>
      </c>
      <c r="AD226" s="7">
        <v>2100</v>
      </c>
      <c r="AE226" s="6">
        <f t="shared" si="62"/>
        <v>0.52</v>
      </c>
      <c r="AF226" s="4">
        <f t="shared" si="63"/>
        <v>1092</v>
      </c>
      <c r="AG226" s="28"/>
      <c r="AH226" s="6"/>
      <c r="AI226" s="6"/>
      <c r="AJ226" s="6">
        <f t="shared" si="64"/>
        <v>1.0434782608695652</v>
      </c>
      <c r="AK226" s="6">
        <f t="shared" si="65"/>
        <v>1.0043041606886658</v>
      </c>
      <c r="AL226" s="6">
        <f t="shared" si="66"/>
        <v>1.0434782608695652</v>
      </c>
      <c r="AM226" s="4" t="str">
        <f t="shared" si="69"/>
        <v>-</v>
      </c>
      <c r="AN226" s="4" t="str">
        <f>IF(Q226="","-",Q226)</f>
        <v>-</v>
      </c>
      <c r="AO226" s="4" t="str">
        <f>IF(R226="","-",R226)</f>
        <v>-</v>
      </c>
      <c r="AP226" s="4" t="s">
        <v>411</v>
      </c>
      <c r="AQ226" s="4" t="s">
        <v>1018</v>
      </c>
      <c r="AR226" s="4"/>
      <c r="AS226" s="4"/>
      <c r="AT226" s="4" t="s">
        <v>705</v>
      </c>
      <c r="AU226" s="4">
        <v>2089</v>
      </c>
      <c r="AV226" s="4">
        <f t="shared" si="67"/>
        <v>2089</v>
      </c>
      <c r="AW226" s="19">
        <v>4</v>
      </c>
      <c r="AX226" s="19">
        <v>1</v>
      </c>
      <c r="AY226" s="16">
        <v>19</v>
      </c>
      <c r="AZ226" t="s">
        <v>699</v>
      </c>
      <c r="BA226" t="str">
        <f>IFERROR(AZ226*AL226,"-")</f>
        <v>-</v>
      </c>
      <c r="BB226">
        <v>2050</v>
      </c>
      <c r="BC226">
        <f>IFERROR(BB226*AL226,"-")</f>
        <v>2139.1304347826085</v>
      </c>
      <c r="BD226" t="s">
        <v>689</v>
      </c>
    </row>
    <row r="227" spans="1:56" x14ac:dyDescent="0.4">
      <c r="A227" s="3">
        <v>270</v>
      </c>
      <c r="B227" s="3">
        <v>270</v>
      </c>
      <c r="C227" s="4" t="s">
        <v>93</v>
      </c>
      <c r="D227" s="4" t="str">
        <f t="shared" si="53"/>
        <v>J912RW</v>
      </c>
      <c r="E227" s="4" t="s">
        <v>93</v>
      </c>
      <c r="F227" s="4" t="s">
        <v>376</v>
      </c>
      <c r="G227" s="5">
        <v>4535627882372</v>
      </c>
      <c r="H227" s="5"/>
      <c r="I227" s="5"/>
      <c r="J227" s="5">
        <v>1</v>
      </c>
      <c r="K227" s="5">
        <v>1</v>
      </c>
      <c r="L227" s="4">
        <v>0</v>
      </c>
      <c r="M227" s="4">
        <v>1586</v>
      </c>
      <c r="N227" s="4">
        <v>966</v>
      </c>
      <c r="O227" s="6">
        <f t="shared" si="54"/>
        <v>0.39092055485498112</v>
      </c>
      <c r="P227" s="4" t="s">
        <v>699</v>
      </c>
      <c r="Q227" s="4" t="s">
        <v>699</v>
      </c>
      <c r="R227" s="4" t="s">
        <v>699</v>
      </c>
      <c r="S227" s="4">
        <v>0</v>
      </c>
      <c r="T227" s="4">
        <f t="shared" si="55"/>
        <v>0</v>
      </c>
      <c r="U227" s="4">
        <v>1029</v>
      </c>
      <c r="V227" s="4">
        <f t="shared" si="56"/>
        <v>1029</v>
      </c>
      <c r="W227" s="4"/>
      <c r="X227" s="21">
        <f t="shared" si="57"/>
        <v>1689</v>
      </c>
      <c r="Y227" s="6">
        <f t="shared" si="58"/>
        <v>0.39076376554174064</v>
      </c>
      <c r="Z227" s="33">
        <v>2.5</v>
      </c>
      <c r="AA227" s="4">
        <f t="shared" si="59"/>
        <v>1503</v>
      </c>
      <c r="AB227" s="33">
        <f t="shared" si="60"/>
        <v>1601.021739130435</v>
      </c>
      <c r="AC227" s="6">
        <f t="shared" si="61"/>
        <v>0.35728542914171668</v>
      </c>
      <c r="AD227" s="7">
        <v>1600</v>
      </c>
      <c r="AE227" s="6">
        <f t="shared" si="62"/>
        <v>0.35687500000000005</v>
      </c>
      <c r="AF227" s="4">
        <f t="shared" si="63"/>
        <v>571</v>
      </c>
      <c r="AG227" s="28"/>
      <c r="AH227" s="6"/>
      <c r="AI227" s="6"/>
      <c r="AJ227" s="6" t="str">
        <f t="shared" si="64"/>
        <v>-</v>
      </c>
      <c r="AK227" s="6">
        <f t="shared" si="65"/>
        <v>1.0088272383354351</v>
      </c>
      <c r="AL227" s="6">
        <f t="shared" si="66"/>
        <v>1.0652173913043479</v>
      </c>
      <c r="AM227" s="4" t="str">
        <f t="shared" si="69"/>
        <v>-</v>
      </c>
      <c r="AN227" s="4" t="str">
        <f>IF(Q227="","-",Q227)</f>
        <v>-</v>
      </c>
      <c r="AO227" s="4" t="str">
        <f>IF(R227="","-",R227)</f>
        <v>-</v>
      </c>
      <c r="AP227" s="4">
        <v>0</v>
      </c>
      <c r="AQ227" s="4" t="s">
        <v>1014</v>
      </c>
      <c r="AR227" s="4"/>
      <c r="AS227" s="4"/>
      <c r="AT227" s="4" t="s">
        <v>923</v>
      </c>
      <c r="AU227" s="4">
        <v>1503</v>
      </c>
      <c r="AV227" s="4">
        <f t="shared" si="67"/>
        <v>1503</v>
      </c>
      <c r="AW227" s="19">
        <v>4</v>
      </c>
      <c r="AX227" s="19">
        <v>1</v>
      </c>
      <c r="AY227" s="16">
        <v>19</v>
      </c>
      <c r="AZ227" t="s">
        <v>699</v>
      </c>
      <c r="BA227" t="str">
        <f>IFERROR(AZ227*AL227,"-")</f>
        <v>-</v>
      </c>
      <c r="BB227">
        <v>1725</v>
      </c>
      <c r="BC227">
        <f>IFERROR(BB227*AL227,"-")</f>
        <v>1837.5000000000002</v>
      </c>
      <c r="BD227" t="s">
        <v>685</v>
      </c>
    </row>
    <row r="228" spans="1:56" x14ac:dyDescent="0.4">
      <c r="A228" s="3">
        <v>271</v>
      </c>
      <c r="B228" s="3">
        <v>271</v>
      </c>
      <c r="C228" s="40" t="s">
        <v>94</v>
      </c>
      <c r="D228" s="4" t="str">
        <f t="shared" si="53"/>
        <v>J913RW</v>
      </c>
      <c r="E228" s="4" t="s">
        <v>94</v>
      </c>
      <c r="F228" s="4" t="s">
        <v>377</v>
      </c>
      <c r="G228" s="5">
        <v>4535627882358</v>
      </c>
      <c r="H228" s="5"/>
      <c r="I228" s="5"/>
      <c r="J228" s="5">
        <v>2</v>
      </c>
      <c r="K228" s="5">
        <v>2</v>
      </c>
      <c r="L228" s="4">
        <v>0</v>
      </c>
      <c r="M228" s="4">
        <v>1570</v>
      </c>
      <c r="N228" s="4">
        <v>966</v>
      </c>
      <c r="O228" s="6">
        <f t="shared" si="54"/>
        <v>0.38471337579617837</v>
      </c>
      <c r="P228" s="4" t="s">
        <v>699</v>
      </c>
      <c r="Q228" s="4" t="s">
        <v>699</v>
      </c>
      <c r="R228" s="4" t="s">
        <v>699</v>
      </c>
      <c r="S228" s="4">
        <v>0</v>
      </c>
      <c r="T228" s="4">
        <f t="shared" si="55"/>
        <v>0</v>
      </c>
      <c r="U228" s="4">
        <v>1029</v>
      </c>
      <c r="V228" s="4">
        <f t="shared" si="56"/>
        <v>1029</v>
      </c>
      <c r="W228" s="4"/>
      <c r="X228" s="21">
        <f t="shared" si="57"/>
        <v>1672</v>
      </c>
      <c r="Y228" s="6">
        <f t="shared" si="58"/>
        <v>0.38456937799043067</v>
      </c>
      <c r="Z228" s="33">
        <v>7.0000000000000009</v>
      </c>
      <c r="AA228" s="4">
        <f t="shared" si="59"/>
        <v>1503</v>
      </c>
      <c r="AB228" s="33">
        <f t="shared" si="60"/>
        <v>1601.021739130435</v>
      </c>
      <c r="AC228" s="6">
        <f t="shared" si="61"/>
        <v>0.35728542914171668</v>
      </c>
      <c r="AD228" s="7">
        <v>1600</v>
      </c>
      <c r="AE228" s="6">
        <f t="shared" si="62"/>
        <v>0.35687500000000005</v>
      </c>
      <c r="AF228" s="4">
        <f t="shared" si="63"/>
        <v>571</v>
      </c>
      <c r="AG228" s="28"/>
      <c r="AH228" s="6"/>
      <c r="AI228" s="6"/>
      <c r="AJ228" s="6" t="str">
        <f t="shared" si="64"/>
        <v>-</v>
      </c>
      <c r="AK228" s="6">
        <f t="shared" si="65"/>
        <v>1.0191082802547771</v>
      </c>
      <c r="AL228" s="6">
        <f t="shared" si="66"/>
        <v>1.0652173913043479</v>
      </c>
      <c r="AM228" s="4" t="str">
        <f t="shared" si="69"/>
        <v>-</v>
      </c>
      <c r="AN228" s="4" t="str">
        <f>IF(Q228="","-",Q228)</f>
        <v>-</v>
      </c>
      <c r="AO228" s="4" t="str">
        <f>IF(R228="","-",R228)</f>
        <v>-</v>
      </c>
      <c r="AP228" s="4">
        <v>0</v>
      </c>
      <c r="AQ228" s="4" t="s">
        <v>1015</v>
      </c>
      <c r="AR228" s="4"/>
      <c r="AS228" s="4"/>
      <c r="AT228" s="4" t="s">
        <v>749</v>
      </c>
      <c r="AU228" s="4">
        <v>1503</v>
      </c>
      <c r="AV228" s="4">
        <f t="shared" si="67"/>
        <v>1503</v>
      </c>
      <c r="AW228" s="19">
        <v>4</v>
      </c>
      <c r="AX228" s="19">
        <v>1</v>
      </c>
      <c r="AY228" s="16">
        <v>19</v>
      </c>
      <c r="AZ228" t="s">
        <v>699</v>
      </c>
      <c r="BA228" t="str">
        <f>IFERROR(AZ228*AL228,"-")</f>
        <v>-</v>
      </c>
      <c r="BB228">
        <v>1725</v>
      </c>
      <c r="BC228">
        <f>IFERROR(BB228*AL228,"-")</f>
        <v>1837.5000000000002</v>
      </c>
      <c r="BD228" t="s">
        <v>686</v>
      </c>
    </row>
    <row r="229" spans="1:56" x14ac:dyDescent="0.4">
      <c r="A229" s="3">
        <v>278</v>
      </c>
      <c r="B229" s="3">
        <v>278</v>
      </c>
      <c r="C229" s="4" t="s">
        <v>101</v>
      </c>
      <c r="D229" s="4" t="str">
        <f t="shared" si="53"/>
        <v>J921RW</v>
      </c>
      <c r="E229" s="4" t="s">
        <v>101</v>
      </c>
      <c r="F229" s="4" t="s">
        <v>384</v>
      </c>
      <c r="G229" s="5">
        <v>4535627230470</v>
      </c>
      <c r="H229" s="5"/>
      <c r="I229" s="5"/>
      <c r="J229" s="5">
        <v>1</v>
      </c>
      <c r="K229" s="5">
        <v>1</v>
      </c>
      <c r="L229" s="4">
        <v>2300</v>
      </c>
      <c r="M229" s="4">
        <v>1861</v>
      </c>
      <c r="N229" s="4">
        <v>966</v>
      </c>
      <c r="O229" s="6">
        <f t="shared" si="54"/>
        <v>0.48092423428264375</v>
      </c>
      <c r="P229" s="4" t="s">
        <v>699</v>
      </c>
      <c r="Q229" s="4" t="s">
        <v>699</v>
      </c>
      <c r="R229" s="4" t="s">
        <v>699</v>
      </c>
      <c r="S229" s="4">
        <v>2500</v>
      </c>
      <c r="T229" s="4">
        <f t="shared" si="55"/>
        <v>2500</v>
      </c>
      <c r="U229" s="4">
        <v>1050</v>
      </c>
      <c r="V229" s="4">
        <f t="shared" si="56"/>
        <v>1050</v>
      </c>
      <c r="W229" s="4"/>
      <c r="X229" s="21">
        <f t="shared" si="57"/>
        <v>2023</v>
      </c>
      <c r="Y229" s="6">
        <f t="shared" si="58"/>
        <v>0.48096885813148793</v>
      </c>
      <c r="Z229" s="33">
        <v>2.5</v>
      </c>
      <c r="AA229" s="4">
        <f t="shared" si="59"/>
        <v>2073</v>
      </c>
      <c r="AB229" s="33">
        <f t="shared" si="60"/>
        <v>2253.2608695652175</v>
      </c>
      <c r="AC229" s="6">
        <f t="shared" si="61"/>
        <v>0.53400868306801741</v>
      </c>
      <c r="AD229" s="7">
        <v>1700</v>
      </c>
      <c r="AE229" s="6">
        <f t="shared" si="62"/>
        <v>0.38235294117647056</v>
      </c>
      <c r="AF229" s="4">
        <f t="shared" si="63"/>
        <v>650</v>
      </c>
      <c r="AG229" s="28"/>
      <c r="AH229" s="6"/>
      <c r="AI229" s="6"/>
      <c r="AJ229" s="6">
        <f t="shared" si="64"/>
        <v>1.0869565217391304</v>
      </c>
      <c r="AK229" s="6">
        <f t="shared" si="65"/>
        <v>0.91348737238044064</v>
      </c>
      <c r="AL229" s="6">
        <f t="shared" si="66"/>
        <v>1.0869565217391304</v>
      </c>
      <c r="AM229" s="4" t="str">
        <f t="shared" si="69"/>
        <v>-</v>
      </c>
      <c r="AN229" s="4" t="str">
        <f>IF(Q229="","-",Q229)</f>
        <v>-</v>
      </c>
      <c r="AO229" s="4" t="str">
        <f>IF(R229="","-",R229)</f>
        <v>-</v>
      </c>
      <c r="AP229" s="4" t="s">
        <v>407</v>
      </c>
      <c r="AQ229" s="4" t="s">
        <v>1022</v>
      </c>
      <c r="AR229" s="4"/>
      <c r="AS229" s="4"/>
      <c r="AT229" s="4" t="s">
        <v>705</v>
      </c>
      <c r="AU229" s="4">
        <v>2073</v>
      </c>
      <c r="AV229" s="4">
        <f t="shared" si="67"/>
        <v>2073</v>
      </c>
      <c r="AW229" s="19">
        <v>4</v>
      </c>
      <c r="AX229" s="19">
        <v>1</v>
      </c>
      <c r="AY229" s="16">
        <v>19</v>
      </c>
      <c r="AZ229" t="s">
        <v>699</v>
      </c>
      <c r="BA229" t="str">
        <f>IFERROR(AZ229*AL229,"-")</f>
        <v>-</v>
      </c>
      <c r="BB229">
        <v>1650</v>
      </c>
      <c r="BC229">
        <f>IFERROR(BB229*AL229,"-")</f>
        <v>1793.478260869565</v>
      </c>
      <c r="BD229" t="s">
        <v>693</v>
      </c>
    </row>
    <row r="230" spans="1:56" x14ac:dyDescent="0.4">
      <c r="A230" s="3">
        <v>147</v>
      </c>
      <c r="B230" s="3">
        <v>147</v>
      </c>
      <c r="C230" s="40">
        <v>369540</v>
      </c>
      <c r="D230" s="4" t="str">
        <f t="shared" si="53"/>
        <v>369540</v>
      </c>
      <c r="E230" s="4">
        <v>369540</v>
      </c>
      <c r="F230" s="4" t="s">
        <v>253</v>
      </c>
      <c r="G230" s="5">
        <v>4535627103361</v>
      </c>
      <c r="H230" s="5"/>
      <c r="I230" s="5"/>
      <c r="J230" s="5">
        <v>2</v>
      </c>
      <c r="K230" s="5">
        <v>2</v>
      </c>
      <c r="L230" s="4">
        <v>0</v>
      </c>
      <c r="M230" s="4">
        <v>1452</v>
      </c>
      <c r="N230" s="4">
        <v>978</v>
      </c>
      <c r="O230" s="6">
        <f t="shared" si="54"/>
        <v>0.32644628099173556</v>
      </c>
      <c r="P230" s="4" t="s">
        <v>699</v>
      </c>
      <c r="Q230" s="4" t="s">
        <v>699</v>
      </c>
      <c r="R230" s="4" t="s">
        <v>699</v>
      </c>
      <c r="S230" s="4">
        <v>0</v>
      </c>
      <c r="T230" s="4">
        <f t="shared" si="55"/>
        <v>0</v>
      </c>
      <c r="U230" s="4">
        <v>1058</v>
      </c>
      <c r="V230" s="4">
        <f t="shared" si="56"/>
        <v>1058</v>
      </c>
      <c r="W230" s="4"/>
      <c r="X230" s="21">
        <f t="shared" si="57"/>
        <v>1571</v>
      </c>
      <c r="Y230" s="6">
        <f t="shared" si="58"/>
        <v>0.32654360280076389</v>
      </c>
      <c r="Z230" s="33">
        <v>1.25</v>
      </c>
      <c r="AA230" s="4">
        <f t="shared" si="59"/>
        <v>1817</v>
      </c>
      <c r="AB230" s="33">
        <f t="shared" si="60"/>
        <v>1965.6298568507159</v>
      </c>
      <c r="AC230" s="6">
        <f t="shared" si="61"/>
        <v>0.46175013758943317</v>
      </c>
      <c r="AD230" s="7">
        <v>1800</v>
      </c>
      <c r="AE230" s="6">
        <f t="shared" si="62"/>
        <v>0.41222222222222227</v>
      </c>
      <c r="AF230" s="4">
        <f t="shared" si="63"/>
        <v>742</v>
      </c>
      <c r="AG230" s="28"/>
      <c r="AH230" s="6"/>
      <c r="AI230" s="6"/>
      <c r="AJ230" s="6" t="str">
        <f t="shared" si="64"/>
        <v>-</v>
      </c>
      <c r="AK230" s="6">
        <f t="shared" si="65"/>
        <v>1.2396694214876034</v>
      </c>
      <c r="AL230" s="6">
        <f t="shared" si="66"/>
        <v>1.081799591002045</v>
      </c>
      <c r="AM230" s="4" t="str">
        <f t="shared" si="69"/>
        <v>-</v>
      </c>
      <c r="AN230" s="4" t="str">
        <f>IF(Q230="","-",Q230)</f>
        <v>-</v>
      </c>
      <c r="AO230" s="4" t="str">
        <f>IF(R230="","-",R230)</f>
        <v>-</v>
      </c>
      <c r="AP230" s="4">
        <v>0</v>
      </c>
      <c r="AQ230" s="4" t="s">
        <v>873</v>
      </c>
      <c r="AR230" s="4"/>
      <c r="AS230" s="4"/>
      <c r="AT230" s="4" t="s">
        <v>803</v>
      </c>
      <c r="AU230" s="4">
        <v>1817</v>
      </c>
      <c r="AV230" s="4">
        <f t="shared" si="67"/>
        <v>1817</v>
      </c>
      <c r="AW230" s="19">
        <v>4</v>
      </c>
      <c r="AX230" s="19">
        <v>1</v>
      </c>
      <c r="AY230" s="16">
        <v>19</v>
      </c>
      <c r="AZ230" t="s">
        <v>699</v>
      </c>
      <c r="BA230" t="str">
        <f>IFERROR(AZ230*AL230,"-")</f>
        <v>-</v>
      </c>
      <c r="BB230">
        <v>1825</v>
      </c>
      <c r="BC230">
        <f>IFERROR(BB230*AL230,"-")</f>
        <v>1974.2842535787322</v>
      </c>
      <c r="BD230" t="s">
        <v>563</v>
      </c>
    </row>
    <row r="231" spans="1:56" x14ac:dyDescent="0.4">
      <c r="A231" s="3">
        <v>294</v>
      </c>
      <c r="B231" s="3">
        <v>147</v>
      </c>
      <c r="C231" s="40">
        <v>369540</v>
      </c>
      <c r="D231" s="4" t="str">
        <f t="shared" si="53"/>
        <v>369540</v>
      </c>
      <c r="E231" s="4">
        <v>369541</v>
      </c>
      <c r="F231" s="4" t="s">
        <v>401</v>
      </c>
      <c r="G231" s="5">
        <v>4535627103361</v>
      </c>
      <c r="H231" s="5">
        <v>8</v>
      </c>
      <c r="I231" s="5" t="str">
        <f>C231&amp;H231</f>
        <v>3695408</v>
      </c>
      <c r="J231" s="5"/>
      <c r="K231" s="5"/>
      <c r="L231" s="4">
        <v>0</v>
      </c>
      <c r="M231" s="4">
        <v>8545</v>
      </c>
      <c r="N231" s="4">
        <v>5868</v>
      </c>
      <c r="O231" s="6">
        <f t="shared" si="54"/>
        <v>0.3132826214160328</v>
      </c>
      <c r="P231" s="4" t="s">
        <v>699</v>
      </c>
      <c r="Q231" s="4" t="s">
        <v>699</v>
      </c>
      <c r="R231" s="4" t="s">
        <v>699</v>
      </c>
      <c r="S231" s="4">
        <v>0</v>
      </c>
      <c r="T231" s="4">
        <f t="shared" si="55"/>
        <v>0</v>
      </c>
      <c r="U231" s="4">
        <v>1058</v>
      </c>
      <c r="V231" s="4">
        <f t="shared" si="56"/>
        <v>6348</v>
      </c>
      <c r="W231" s="4">
        <v>6</v>
      </c>
      <c r="X231" s="21">
        <f t="shared" si="57"/>
        <v>9244</v>
      </c>
      <c r="Y231" s="6">
        <f t="shared" si="58"/>
        <v>0.3132842925140632</v>
      </c>
      <c r="Z231" s="33">
        <v>1.25</v>
      </c>
      <c r="AA231" s="4">
        <f t="shared" si="59"/>
        <v>10902</v>
      </c>
      <c r="AB231" s="33">
        <f t="shared" si="60"/>
        <v>11793.779141104294</v>
      </c>
      <c r="AC231" s="6">
        <f t="shared" si="61"/>
        <v>0.46175013758943317</v>
      </c>
      <c r="AD231" s="7">
        <v>10000</v>
      </c>
      <c r="AE231" s="6">
        <f t="shared" si="62"/>
        <v>0.36519999999999997</v>
      </c>
      <c r="AF231" s="4">
        <f t="shared" si="63"/>
        <v>3652</v>
      </c>
      <c r="AG231" s="28"/>
      <c r="AH231" s="6"/>
      <c r="AI231" s="6"/>
      <c r="AJ231" s="6" t="str">
        <f t="shared" si="64"/>
        <v>-</v>
      </c>
      <c r="AK231" s="6">
        <f t="shared" si="65"/>
        <v>1.1702750146284377</v>
      </c>
      <c r="AL231" s="6">
        <f t="shared" si="66"/>
        <v>1.081799591002045</v>
      </c>
      <c r="AM231" s="4" t="str">
        <f t="shared" si="69"/>
        <v>-</v>
      </c>
      <c r="AN231" s="4" t="str">
        <f>IF(Q231="","-",Q231)</f>
        <v>-</v>
      </c>
      <c r="AO231" s="4" t="str">
        <f>IF(R231="","-",R231)</f>
        <v>-</v>
      </c>
      <c r="AP231" s="4">
        <v>0</v>
      </c>
      <c r="AQ231" s="4" t="s">
        <v>873</v>
      </c>
      <c r="AR231" s="4">
        <v>6</v>
      </c>
      <c r="AS231" s="4">
        <v>1</v>
      </c>
      <c r="AT231" s="4" t="s">
        <v>803</v>
      </c>
      <c r="AU231" s="4">
        <v>1817</v>
      </c>
      <c r="AV231" s="4">
        <f t="shared" si="67"/>
        <v>10902</v>
      </c>
      <c r="AW231" s="19">
        <v>4</v>
      </c>
      <c r="AX231" s="19">
        <v>1</v>
      </c>
      <c r="AY231" s="16">
        <v>19</v>
      </c>
      <c r="AZ231" t="s">
        <v>699</v>
      </c>
      <c r="BA231" t="str">
        <f>IFERROR(AZ231*AL231,"-")</f>
        <v>-</v>
      </c>
      <c r="BB231">
        <v>1825</v>
      </c>
      <c r="BC231">
        <f>IFERROR(BB231*AL231,"-")</f>
        <v>1974.2842535787322</v>
      </c>
      <c r="BD231" t="s">
        <v>563</v>
      </c>
    </row>
    <row r="232" spans="1:56" x14ac:dyDescent="0.4">
      <c r="A232" s="3">
        <v>110</v>
      </c>
      <c r="B232" s="3">
        <v>110</v>
      </c>
      <c r="C232" s="40">
        <v>169982</v>
      </c>
      <c r="D232" s="4" t="str">
        <f t="shared" si="53"/>
        <v>169982</v>
      </c>
      <c r="E232" s="4">
        <v>169982</v>
      </c>
      <c r="F232" s="4" t="s">
        <v>216</v>
      </c>
      <c r="G232" s="5">
        <v>4535627108908</v>
      </c>
      <c r="H232" s="5"/>
      <c r="I232" s="5"/>
      <c r="J232" s="5">
        <v>2</v>
      </c>
      <c r="K232" s="5">
        <v>2</v>
      </c>
      <c r="L232" s="4">
        <v>2380</v>
      </c>
      <c r="M232" s="4">
        <v>1533</v>
      </c>
      <c r="N232" s="4">
        <v>1000</v>
      </c>
      <c r="O232" s="6">
        <f t="shared" si="54"/>
        <v>0.34768427919112854</v>
      </c>
      <c r="P232" s="4" t="s">
        <v>699</v>
      </c>
      <c r="Q232" s="4" t="s">
        <v>699</v>
      </c>
      <c r="R232" s="4" t="s">
        <v>699</v>
      </c>
      <c r="S232" s="4">
        <v>2650</v>
      </c>
      <c r="T232" s="4">
        <f t="shared" si="55"/>
        <v>2650</v>
      </c>
      <c r="U232" s="4">
        <v>1113</v>
      </c>
      <c r="V232" s="4">
        <f t="shared" si="56"/>
        <v>1113</v>
      </c>
      <c r="W232" s="4"/>
      <c r="X232" s="21">
        <f t="shared" si="57"/>
        <v>1706</v>
      </c>
      <c r="Y232" s="6">
        <f t="shared" si="58"/>
        <v>0.34759671746776089</v>
      </c>
      <c r="Z232" s="33">
        <v>2.25</v>
      </c>
      <c r="AA232" s="4">
        <f t="shared" si="59"/>
        <v>2108</v>
      </c>
      <c r="AB232" s="33">
        <f t="shared" si="60"/>
        <v>2346.2040000000002</v>
      </c>
      <c r="AC232" s="6">
        <f t="shared" si="61"/>
        <v>0.52561669829222013</v>
      </c>
      <c r="AD232" s="7">
        <v>1690</v>
      </c>
      <c r="AE232" s="6">
        <f t="shared" si="62"/>
        <v>0.3414201183431953</v>
      </c>
      <c r="AF232" s="4">
        <f t="shared" si="63"/>
        <v>577</v>
      </c>
      <c r="AG232" s="28"/>
      <c r="AH232" s="6"/>
      <c r="AI232" s="6"/>
      <c r="AJ232" s="6">
        <f t="shared" si="64"/>
        <v>1.1134453781512605</v>
      </c>
      <c r="AK232" s="6">
        <f t="shared" si="65"/>
        <v>1.1024135681669929</v>
      </c>
      <c r="AL232" s="6">
        <f t="shared" si="66"/>
        <v>1.113</v>
      </c>
      <c r="AM232" s="4" t="str">
        <f t="shared" si="69"/>
        <v>-</v>
      </c>
      <c r="AN232" s="4" t="str">
        <f>IF(Q232="","-",Q232)</f>
        <v>-</v>
      </c>
      <c r="AO232" s="4" t="str">
        <f>IF(R232="","-",R232)</f>
        <v>-</v>
      </c>
      <c r="AP232" s="4" t="s">
        <v>414</v>
      </c>
      <c r="AQ232" s="4" t="s">
        <v>826</v>
      </c>
      <c r="AR232" s="4"/>
      <c r="AS232" s="4"/>
      <c r="AT232" s="4" t="s">
        <v>785</v>
      </c>
      <c r="AU232" s="4">
        <v>2108</v>
      </c>
      <c r="AV232" s="4">
        <f t="shared" si="67"/>
        <v>2108</v>
      </c>
      <c r="AW232" s="19">
        <v>4</v>
      </c>
      <c r="AX232" s="19">
        <v>1</v>
      </c>
      <c r="AY232" s="16">
        <v>19</v>
      </c>
      <c r="AZ232" t="s">
        <v>699</v>
      </c>
      <c r="BA232" t="str">
        <f>IFERROR(AZ232*AL232,"-")</f>
        <v>-</v>
      </c>
      <c r="BB232">
        <v>1904</v>
      </c>
      <c r="BC232">
        <f>IFERROR(BB232*AL232,"-")</f>
        <v>2119.152</v>
      </c>
      <c r="BD232" t="s">
        <v>524</v>
      </c>
    </row>
    <row r="233" spans="1:56" x14ac:dyDescent="0.4">
      <c r="A233" s="3">
        <v>285</v>
      </c>
      <c r="B233" s="3">
        <v>110</v>
      </c>
      <c r="C233" s="40">
        <v>169982</v>
      </c>
      <c r="D233" s="4" t="str">
        <f t="shared" si="53"/>
        <v>169982</v>
      </c>
      <c r="E233" s="4">
        <v>169983</v>
      </c>
      <c r="F233" s="4" t="s">
        <v>392</v>
      </c>
      <c r="G233" s="5">
        <v>4535627108908</v>
      </c>
      <c r="H233" s="5">
        <v>8</v>
      </c>
      <c r="I233" s="5" t="str">
        <f>C233&amp;H233</f>
        <v>1699828</v>
      </c>
      <c r="J233" s="5"/>
      <c r="K233" s="5"/>
      <c r="L233" s="4">
        <v>47600</v>
      </c>
      <c r="M233" s="4">
        <v>28360</v>
      </c>
      <c r="N233" s="4">
        <v>20000</v>
      </c>
      <c r="O233" s="6">
        <f t="shared" si="54"/>
        <v>0.29478138222849082</v>
      </c>
      <c r="P233" s="4" t="s">
        <v>699</v>
      </c>
      <c r="Q233" s="4" t="s">
        <v>699</v>
      </c>
      <c r="R233" s="4" t="s">
        <v>699</v>
      </c>
      <c r="S233" s="4">
        <v>2650</v>
      </c>
      <c r="T233" s="4">
        <f t="shared" si="55"/>
        <v>53000</v>
      </c>
      <c r="U233" s="4">
        <v>1113</v>
      </c>
      <c r="V233" s="4">
        <f t="shared" si="56"/>
        <v>22260</v>
      </c>
      <c r="W233" s="4">
        <v>20</v>
      </c>
      <c r="X233" s="21">
        <f t="shared" si="57"/>
        <v>31565</v>
      </c>
      <c r="Y233" s="6">
        <f t="shared" si="58"/>
        <v>0.29478853160145735</v>
      </c>
      <c r="Z233" s="33">
        <v>2.25</v>
      </c>
      <c r="AA233" s="4">
        <f t="shared" si="59"/>
        <v>42160</v>
      </c>
      <c r="AB233" s="33">
        <f t="shared" si="60"/>
        <v>46924.08</v>
      </c>
      <c r="AC233" s="6">
        <f t="shared" si="61"/>
        <v>0.52561669829222013</v>
      </c>
      <c r="AD233" s="7">
        <v>32100</v>
      </c>
      <c r="AE233" s="6">
        <f t="shared" si="62"/>
        <v>0.30654205607476637</v>
      </c>
      <c r="AF233" s="4">
        <f t="shared" si="63"/>
        <v>9840</v>
      </c>
      <c r="AG233" s="28"/>
      <c r="AH233" s="6"/>
      <c r="AI233" s="6"/>
      <c r="AJ233" s="6">
        <f t="shared" si="64"/>
        <v>1.1134453781512605</v>
      </c>
      <c r="AK233" s="6">
        <f t="shared" si="65"/>
        <v>1.1318758815232721</v>
      </c>
      <c r="AL233" s="6">
        <f t="shared" si="66"/>
        <v>1.113</v>
      </c>
      <c r="AM233" s="4" t="str">
        <f t="shared" si="69"/>
        <v>-</v>
      </c>
      <c r="AN233" s="4" t="str">
        <f>IF(Q233="","-",Q233)</f>
        <v>-</v>
      </c>
      <c r="AO233" s="4" t="str">
        <f>IF(R233="","-",R233)</f>
        <v>-</v>
      </c>
      <c r="AP233" s="4" t="s">
        <v>414</v>
      </c>
      <c r="AQ233" s="4" t="s">
        <v>826</v>
      </c>
      <c r="AR233" s="4">
        <v>20</v>
      </c>
      <c r="AS233" s="4">
        <v>1</v>
      </c>
      <c r="AT233" s="4" t="s">
        <v>785</v>
      </c>
      <c r="AU233" s="4">
        <v>2108</v>
      </c>
      <c r="AV233" s="4">
        <f t="shared" si="67"/>
        <v>42160</v>
      </c>
      <c r="AW233" s="19">
        <v>4</v>
      </c>
      <c r="AX233" s="19">
        <v>1</v>
      </c>
      <c r="AY233" s="16">
        <v>19</v>
      </c>
      <c r="AZ233" t="s">
        <v>699</v>
      </c>
      <c r="BA233" t="str">
        <f>IFERROR(AZ233*AL233,"-")</f>
        <v>-</v>
      </c>
      <c r="BB233">
        <v>1904</v>
      </c>
      <c r="BC233">
        <f>IFERROR(BB233*AL233,"-")</f>
        <v>2119.152</v>
      </c>
      <c r="BD233" t="s">
        <v>524</v>
      </c>
    </row>
    <row r="234" spans="1:56" x14ac:dyDescent="0.4">
      <c r="A234" s="3">
        <v>113</v>
      </c>
      <c r="B234" s="3">
        <v>113</v>
      </c>
      <c r="C234" s="40">
        <v>169984</v>
      </c>
      <c r="D234" s="4" t="str">
        <f t="shared" si="53"/>
        <v>169984</v>
      </c>
      <c r="E234" s="4">
        <v>169984</v>
      </c>
      <c r="F234" s="4" t="s">
        <v>219</v>
      </c>
      <c r="G234" s="5">
        <v>4535627108915</v>
      </c>
      <c r="H234" s="5"/>
      <c r="I234" s="5"/>
      <c r="J234" s="5">
        <v>2</v>
      </c>
      <c r="K234" s="5">
        <v>2</v>
      </c>
      <c r="L234" s="4">
        <v>2380</v>
      </c>
      <c r="M234" s="4">
        <v>1338</v>
      </c>
      <c r="N234" s="4">
        <v>1000</v>
      </c>
      <c r="O234" s="6">
        <f t="shared" si="54"/>
        <v>0.25261584454409569</v>
      </c>
      <c r="P234" s="4" t="s">
        <v>699</v>
      </c>
      <c r="Q234" s="4" t="s">
        <v>699</v>
      </c>
      <c r="R234" s="4" t="s">
        <v>699</v>
      </c>
      <c r="S234" s="4">
        <v>2650</v>
      </c>
      <c r="T234" s="4">
        <f t="shared" si="55"/>
        <v>2650</v>
      </c>
      <c r="U234" s="4">
        <v>1113</v>
      </c>
      <c r="V234" s="4">
        <f t="shared" si="56"/>
        <v>1113</v>
      </c>
      <c r="W234" s="4"/>
      <c r="X234" s="21">
        <f t="shared" si="57"/>
        <v>1489</v>
      </c>
      <c r="Y234" s="6">
        <f t="shared" si="58"/>
        <v>0.25251846877098727</v>
      </c>
      <c r="Z234" s="33">
        <v>0.5</v>
      </c>
      <c r="AA234" s="4">
        <f t="shared" si="59"/>
        <v>1880</v>
      </c>
      <c r="AB234" s="33">
        <f t="shared" si="60"/>
        <v>2092.44</v>
      </c>
      <c r="AC234" s="6">
        <f t="shared" si="61"/>
        <v>0.46808510638297873</v>
      </c>
      <c r="AD234" s="7">
        <v>1690</v>
      </c>
      <c r="AE234" s="6">
        <f t="shared" si="62"/>
        <v>0.3414201183431953</v>
      </c>
      <c r="AF234" s="4">
        <f t="shared" si="63"/>
        <v>577</v>
      </c>
      <c r="AG234" s="28"/>
      <c r="AH234" s="6"/>
      <c r="AI234" s="6"/>
      <c r="AJ234" s="6">
        <f t="shared" si="64"/>
        <v>1.1134453781512605</v>
      </c>
      <c r="AK234" s="6">
        <f t="shared" si="65"/>
        <v>1.2630792227204783</v>
      </c>
      <c r="AL234" s="6">
        <f t="shared" si="66"/>
        <v>1.113</v>
      </c>
      <c r="AM234" s="4" t="str">
        <f t="shared" si="69"/>
        <v>-</v>
      </c>
      <c r="AN234" s="4" t="str">
        <f>IF(Q234="","-",Q234)</f>
        <v>-</v>
      </c>
      <c r="AO234" s="4" t="str">
        <f>IF(R234="","-",R234)</f>
        <v>-</v>
      </c>
      <c r="AP234" s="4" t="s">
        <v>414</v>
      </c>
      <c r="AQ234" s="4" t="s">
        <v>829</v>
      </c>
      <c r="AR234" s="4"/>
      <c r="AS234" s="4"/>
      <c r="AT234" s="4" t="s">
        <v>785</v>
      </c>
      <c r="AU234" s="4">
        <v>1880</v>
      </c>
      <c r="AV234" s="4">
        <f t="shared" si="67"/>
        <v>1880</v>
      </c>
      <c r="AW234" s="19">
        <v>4</v>
      </c>
      <c r="AX234" s="19">
        <v>1</v>
      </c>
      <c r="AY234" s="16">
        <v>19</v>
      </c>
      <c r="AZ234" t="s">
        <v>699</v>
      </c>
      <c r="BA234" t="str">
        <f>IFERROR(AZ234*AL234,"-")</f>
        <v>-</v>
      </c>
      <c r="BB234">
        <v>1904</v>
      </c>
      <c r="BC234">
        <f>IFERROR(BB234*AL234,"-")</f>
        <v>2119.152</v>
      </c>
      <c r="BD234" t="s">
        <v>527</v>
      </c>
    </row>
    <row r="235" spans="1:56" x14ac:dyDescent="0.4">
      <c r="A235" s="3">
        <v>286</v>
      </c>
      <c r="B235" s="3">
        <v>113</v>
      </c>
      <c r="C235" s="40">
        <v>169984</v>
      </c>
      <c r="D235" s="4" t="str">
        <f t="shared" si="53"/>
        <v>169984</v>
      </c>
      <c r="E235" s="4">
        <v>169985</v>
      </c>
      <c r="F235" s="4" t="s">
        <v>393</v>
      </c>
      <c r="G235" s="5">
        <v>4535627108915</v>
      </c>
      <c r="H235" s="5">
        <v>8</v>
      </c>
      <c r="I235" s="5" t="str">
        <f>C235&amp;H235</f>
        <v>1699848</v>
      </c>
      <c r="J235" s="5"/>
      <c r="K235" s="5"/>
      <c r="L235" s="4">
        <v>47600</v>
      </c>
      <c r="M235" s="4">
        <v>28360</v>
      </c>
      <c r="N235" s="4">
        <v>20000</v>
      </c>
      <c r="O235" s="6">
        <f t="shared" si="54"/>
        <v>0.29478138222849082</v>
      </c>
      <c r="P235" s="4" t="s">
        <v>699</v>
      </c>
      <c r="Q235" s="4" t="s">
        <v>699</v>
      </c>
      <c r="R235" s="4" t="s">
        <v>699</v>
      </c>
      <c r="S235" s="4">
        <v>2650</v>
      </c>
      <c r="T235" s="4">
        <f t="shared" si="55"/>
        <v>53000</v>
      </c>
      <c r="U235" s="4">
        <v>1113</v>
      </c>
      <c r="V235" s="4">
        <f t="shared" si="56"/>
        <v>22260</v>
      </c>
      <c r="W235" s="4">
        <v>20</v>
      </c>
      <c r="X235" s="21">
        <f t="shared" si="57"/>
        <v>31565</v>
      </c>
      <c r="Y235" s="6">
        <f t="shared" si="58"/>
        <v>0.29478853160145735</v>
      </c>
      <c r="Z235" s="33">
        <v>0.5</v>
      </c>
      <c r="AA235" s="4">
        <f t="shared" si="59"/>
        <v>37600</v>
      </c>
      <c r="AB235" s="33">
        <f t="shared" si="60"/>
        <v>41848.800000000003</v>
      </c>
      <c r="AC235" s="6">
        <f t="shared" si="61"/>
        <v>0.46808510638297873</v>
      </c>
      <c r="AD235" s="7">
        <v>32100</v>
      </c>
      <c r="AE235" s="6">
        <f t="shared" si="62"/>
        <v>0.30654205607476637</v>
      </c>
      <c r="AF235" s="4">
        <f t="shared" si="63"/>
        <v>9840</v>
      </c>
      <c r="AG235" s="28"/>
      <c r="AH235" s="6"/>
      <c r="AI235" s="6"/>
      <c r="AJ235" s="6">
        <f t="shared" si="64"/>
        <v>1.1134453781512605</v>
      </c>
      <c r="AK235" s="6">
        <f t="shared" si="65"/>
        <v>1.1318758815232721</v>
      </c>
      <c r="AL235" s="6">
        <f t="shared" si="66"/>
        <v>1.113</v>
      </c>
      <c r="AM235" s="4" t="str">
        <f t="shared" si="69"/>
        <v>-</v>
      </c>
      <c r="AN235" s="4" t="str">
        <f>IF(Q235="","-",Q235)</f>
        <v>-</v>
      </c>
      <c r="AO235" s="4" t="str">
        <f>IF(R235="","-",R235)</f>
        <v>-</v>
      </c>
      <c r="AP235" s="4" t="s">
        <v>414</v>
      </c>
      <c r="AQ235" s="4" t="s">
        <v>829</v>
      </c>
      <c r="AR235" s="4">
        <v>20</v>
      </c>
      <c r="AS235" s="4">
        <v>1</v>
      </c>
      <c r="AT235" s="4" t="s">
        <v>785</v>
      </c>
      <c r="AU235" s="4">
        <v>1880</v>
      </c>
      <c r="AV235" s="4">
        <f t="shared" si="67"/>
        <v>37600</v>
      </c>
      <c r="AW235" s="19">
        <v>4</v>
      </c>
      <c r="AX235" s="19">
        <v>1</v>
      </c>
      <c r="AY235" s="16">
        <v>19</v>
      </c>
      <c r="AZ235" t="s">
        <v>699</v>
      </c>
      <c r="BA235" t="str">
        <f>IFERROR(AZ235*AL235,"-")</f>
        <v>-</v>
      </c>
      <c r="BB235">
        <v>1904</v>
      </c>
      <c r="BC235">
        <f>IFERROR(BB235*AL235,"-")</f>
        <v>2119.152</v>
      </c>
      <c r="BD235" t="s">
        <v>527</v>
      </c>
    </row>
    <row r="236" spans="1:56" x14ac:dyDescent="0.4">
      <c r="A236" s="3">
        <v>114</v>
      </c>
      <c r="B236" s="3">
        <v>114</v>
      </c>
      <c r="C236" s="40">
        <v>169986</v>
      </c>
      <c r="D236" s="4" t="str">
        <f t="shared" si="53"/>
        <v>169986</v>
      </c>
      <c r="E236" s="4">
        <v>169986</v>
      </c>
      <c r="F236" s="4" t="s">
        <v>220</v>
      </c>
      <c r="G236" s="5">
        <v>4535627108922</v>
      </c>
      <c r="H236" s="5"/>
      <c r="I236" s="5"/>
      <c r="J236" s="5">
        <v>2</v>
      </c>
      <c r="K236" s="5">
        <v>2</v>
      </c>
      <c r="L236" s="4">
        <v>2380</v>
      </c>
      <c r="M236" s="4">
        <v>1533</v>
      </c>
      <c r="N236" s="4">
        <v>1000</v>
      </c>
      <c r="O236" s="6">
        <f t="shared" si="54"/>
        <v>0.34768427919112854</v>
      </c>
      <c r="P236" s="4" t="s">
        <v>699</v>
      </c>
      <c r="Q236" s="4" t="s">
        <v>699</v>
      </c>
      <c r="R236" s="4" t="s">
        <v>699</v>
      </c>
      <c r="S236" s="4">
        <v>2650</v>
      </c>
      <c r="T236" s="4">
        <f t="shared" si="55"/>
        <v>2650</v>
      </c>
      <c r="U236" s="4">
        <v>1113</v>
      </c>
      <c r="V236" s="4">
        <f t="shared" si="56"/>
        <v>1113</v>
      </c>
      <c r="W236" s="4"/>
      <c r="X236" s="21">
        <f t="shared" si="57"/>
        <v>1706</v>
      </c>
      <c r="Y236" s="6">
        <f t="shared" si="58"/>
        <v>0.34759671746776089</v>
      </c>
      <c r="Z236" s="33">
        <v>15.5</v>
      </c>
      <c r="AA236" s="4">
        <f t="shared" si="59"/>
        <v>1520</v>
      </c>
      <c r="AB236" s="33">
        <f t="shared" si="60"/>
        <v>1691.76</v>
      </c>
      <c r="AC236" s="6">
        <f t="shared" si="61"/>
        <v>0.34210526315789469</v>
      </c>
      <c r="AD236" s="7">
        <v>1690</v>
      </c>
      <c r="AE236" s="6">
        <f t="shared" si="62"/>
        <v>0.3414201183431953</v>
      </c>
      <c r="AF236" s="4">
        <f t="shared" si="63"/>
        <v>577</v>
      </c>
      <c r="AG236" s="28"/>
      <c r="AH236" s="6"/>
      <c r="AI236" s="6"/>
      <c r="AJ236" s="6">
        <f t="shared" si="64"/>
        <v>1.1134453781512605</v>
      </c>
      <c r="AK236" s="6">
        <f t="shared" si="65"/>
        <v>1.1024135681669929</v>
      </c>
      <c r="AL236" s="6">
        <f t="shared" si="66"/>
        <v>1.113</v>
      </c>
      <c r="AM236" s="4" t="str">
        <f t="shared" si="69"/>
        <v>-</v>
      </c>
      <c r="AN236" s="4" t="str">
        <f>IF(Q236="","-",Q236)</f>
        <v>-</v>
      </c>
      <c r="AO236" s="4" t="str">
        <f>IF(R236="","-",R236)</f>
        <v>-</v>
      </c>
      <c r="AP236" s="4" t="s">
        <v>414</v>
      </c>
      <c r="AQ236" s="4" t="s">
        <v>830</v>
      </c>
      <c r="AR236" s="4"/>
      <c r="AS236" s="4"/>
      <c r="AT236" s="4" t="s">
        <v>785</v>
      </c>
      <c r="AU236" s="4">
        <v>1520</v>
      </c>
      <c r="AV236" s="4">
        <f t="shared" si="67"/>
        <v>1520</v>
      </c>
      <c r="AW236" s="19">
        <v>4</v>
      </c>
      <c r="AX236" s="19">
        <v>1</v>
      </c>
      <c r="AY236" s="16">
        <v>19</v>
      </c>
      <c r="AZ236">
        <v>1536</v>
      </c>
      <c r="BA236">
        <f>IFERROR(AZ236*AL236,"-")</f>
        <v>1709.568</v>
      </c>
      <c r="BB236">
        <v>1904</v>
      </c>
      <c r="BC236">
        <f>IFERROR(BB236*AL236,"-")</f>
        <v>2119.152</v>
      </c>
      <c r="BD236" t="s">
        <v>528</v>
      </c>
    </row>
    <row r="237" spans="1:56" x14ac:dyDescent="0.4">
      <c r="A237" s="3">
        <v>287</v>
      </c>
      <c r="B237" s="3">
        <v>114</v>
      </c>
      <c r="C237" s="40">
        <v>169986</v>
      </c>
      <c r="D237" s="4" t="str">
        <f t="shared" si="53"/>
        <v>169986</v>
      </c>
      <c r="E237" s="4">
        <v>169987</v>
      </c>
      <c r="F237" s="4" t="s">
        <v>394</v>
      </c>
      <c r="G237" s="5">
        <v>4535627108922</v>
      </c>
      <c r="H237" s="5">
        <v>8</v>
      </c>
      <c r="I237" s="5" t="str">
        <f>C237&amp;H237</f>
        <v>1699868</v>
      </c>
      <c r="J237" s="5"/>
      <c r="K237" s="5"/>
      <c r="L237" s="4">
        <v>47600</v>
      </c>
      <c r="M237" s="4">
        <v>28360</v>
      </c>
      <c r="N237" s="4">
        <v>20000</v>
      </c>
      <c r="O237" s="6">
        <f t="shared" si="54"/>
        <v>0.29478138222849082</v>
      </c>
      <c r="P237" s="4" t="s">
        <v>699</v>
      </c>
      <c r="Q237" s="4" t="s">
        <v>699</v>
      </c>
      <c r="R237" s="4" t="s">
        <v>699</v>
      </c>
      <c r="S237" s="4">
        <v>2650</v>
      </c>
      <c r="T237" s="4">
        <f t="shared" si="55"/>
        <v>53000</v>
      </c>
      <c r="U237" s="4">
        <v>1113</v>
      </c>
      <c r="V237" s="4">
        <f t="shared" si="56"/>
        <v>22260</v>
      </c>
      <c r="W237" s="4">
        <v>20</v>
      </c>
      <c r="X237" s="21">
        <f t="shared" si="57"/>
        <v>31565</v>
      </c>
      <c r="Y237" s="6">
        <f t="shared" si="58"/>
        <v>0.29478853160145735</v>
      </c>
      <c r="Z237" s="33">
        <v>15.5</v>
      </c>
      <c r="AA237" s="4">
        <f t="shared" si="59"/>
        <v>30400</v>
      </c>
      <c r="AB237" s="33">
        <f t="shared" si="60"/>
        <v>33835.199999999997</v>
      </c>
      <c r="AC237" s="6">
        <f t="shared" si="61"/>
        <v>0.34210526315789469</v>
      </c>
      <c r="AD237" s="7">
        <v>32100</v>
      </c>
      <c r="AE237" s="6">
        <f t="shared" si="62"/>
        <v>0.30654205607476637</v>
      </c>
      <c r="AF237" s="4">
        <f t="shared" si="63"/>
        <v>9840</v>
      </c>
      <c r="AG237" s="28"/>
      <c r="AH237" s="6"/>
      <c r="AI237" s="6"/>
      <c r="AJ237" s="6">
        <f t="shared" si="64"/>
        <v>1.1134453781512605</v>
      </c>
      <c r="AK237" s="6">
        <f t="shared" si="65"/>
        <v>1.1318758815232721</v>
      </c>
      <c r="AL237" s="6">
        <f t="shared" si="66"/>
        <v>1.113</v>
      </c>
      <c r="AM237" s="4" t="str">
        <f t="shared" si="69"/>
        <v>-</v>
      </c>
      <c r="AN237" s="4" t="str">
        <f>IF(Q237="","-",Q237)</f>
        <v>-</v>
      </c>
      <c r="AO237" s="4" t="str">
        <f>IF(R237="","-",R237)</f>
        <v>-</v>
      </c>
      <c r="AP237" s="4" t="s">
        <v>414</v>
      </c>
      <c r="AQ237" s="4" t="s">
        <v>830</v>
      </c>
      <c r="AR237" s="4">
        <v>20</v>
      </c>
      <c r="AS237" s="4">
        <v>1</v>
      </c>
      <c r="AT237" s="4" t="s">
        <v>785</v>
      </c>
      <c r="AU237" s="4">
        <v>1520</v>
      </c>
      <c r="AV237" s="4">
        <f t="shared" si="67"/>
        <v>30400</v>
      </c>
      <c r="AW237" s="19">
        <v>4</v>
      </c>
      <c r="AX237" s="19">
        <v>1</v>
      </c>
      <c r="AY237" s="16">
        <v>19</v>
      </c>
      <c r="AZ237">
        <v>1536</v>
      </c>
      <c r="BA237">
        <f>IFERROR(AZ237*AL237,"-")</f>
        <v>1709.568</v>
      </c>
      <c r="BB237">
        <v>1904</v>
      </c>
      <c r="BC237">
        <f>IFERROR(BB237*AL237,"-")</f>
        <v>2119.152</v>
      </c>
      <c r="BD237" t="s">
        <v>528</v>
      </c>
    </row>
    <row r="238" spans="1:56" x14ac:dyDescent="0.4">
      <c r="A238" s="41">
        <v>181</v>
      </c>
      <c r="B238" s="3">
        <v>181</v>
      </c>
      <c r="C238" s="4">
        <v>600941</v>
      </c>
      <c r="D238" s="4" t="str">
        <f t="shared" si="53"/>
        <v>600941</v>
      </c>
      <c r="E238" s="4">
        <v>600941</v>
      </c>
      <c r="F238" s="4" t="s">
        <v>287</v>
      </c>
      <c r="G238" s="5">
        <v>4535627305000</v>
      </c>
      <c r="H238" s="5"/>
      <c r="I238" s="5"/>
      <c r="J238" s="5">
        <v>1</v>
      </c>
      <c r="K238" s="5">
        <v>1</v>
      </c>
      <c r="L238" s="4">
        <v>0</v>
      </c>
      <c r="M238" s="4">
        <v>1924</v>
      </c>
      <c r="N238" s="4">
        <v>1043</v>
      </c>
      <c r="O238" s="6">
        <f t="shared" si="54"/>
        <v>0.45790020790020791</v>
      </c>
      <c r="P238" s="4">
        <v>1610</v>
      </c>
      <c r="Q238" s="4">
        <v>3</v>
      </c>
      <c r="R238" s="4">
        <v>99999</v>
      </c>
      <c r="S238" s="4">
        <v>0</v>
      </c>
      <c r="T238" s="4">
        <f t="shared" si="55"/>
        <v>0</v>
      </c>
      <c r="U238" s="4">
        <v>1141</v>
      </c>
      <c r="V238" s="4">
        <f t="shared" si="56"/>
        <v>1141</v>
      </c>
      <c r="W238" s="4"/>
      <c r="X238" s="21">
        <f t="shared" si="57"/>
        <v>2105</v>
      </c>
      <c r="Y238" s="6">
        <f t="shared" si="58"/>
        <v>0.45795724465558196</v>
      </c>
      <c r="Z238" s="33">
        <v>115.5</v>
      </c>
      <c r="AA238" s="4">
        <f t="shared" si="59"/>
        <v>1628</v>
      </c>
      <c r="AB238" s="33">
        <f t="shared" si="60"/>
        <v>1780.9664429530203</v>
      </c>
      <c r="AC238" s="6">
        <f t="shared" si="61"/>
        <v>0.35933660933660938</v>
      </c>
      <c r="AD238" s="7">
        <v>2000</v>
      </c>
      <c r="AE238" s="6">
        <f t="shared" si="62"/>
        <v>0.42949999999999999</v>
      </c>
      <c r="AF238" s="42">
        <f t="shared" si="63"/>
        <v>859</v>
      </c>
      <c r="AG238" s="28"/>
      <c r="AH238" s="6"/>
      <c r="AI238" s="6"/>
      <c r="AJ238" s="6" t="str">
        <f t="shared" si="64"/>
        <v>-</v>
      </c>
      <c r="AK238" s="6">
        <f t="shared" si="65"/>
        <v>1.0395010395010396</v>
      </c>
      <c r="AL238" s="6">
        <f t="shared" si="66"/>
        <v>1.0939597315436242</v>
      </c>
      <c r="AM238" s="4">
        <v>1800</v>
      </c>
      <c r="AN238" s="4">
        <f>IF(Q238="","-",Q238)</f>
        <v>3</v>
      </c>
      <c r="AO238" s="4">
        <f>IF(R238="","-",R238)</f>
        <v>99999</v>
      </c>
      <c r="AP238" s="4" t="s">
        <v>418</v>
      </c>
      <c r="AQ238" s="4" t="s">
        <v>913</v>
      </c>
      <c r="AR238" s="4"/>
      <c r="AS238" s="4"/>
      <c r="AT238" s="4" t="s">
        <v>705</v>
      </c>
      <c r="AU238" s="4">
        <v>1628</v>
      </c>
      <c r="AV238" s="4">
        <f t="shared" si="67"/>
        <v>1628</v>
      </c>
      <c r="AW238" s="19">
        <v>2</v>
      </c>
      <c r="AX238" s="19">
        <v>1</v>
      </c>
      <c r="AY238" s="16">
        <v>19</v>
      </c>
      <c r="AZ238">
        <v>1386</v>
      </c>
      <c r="BA238">
        <f>IFERROR(AZ238*AL238,"-")</f>
        <v>1516.2281879194632</v>
      </c>
      <c r="BB238">
        <v>2226</v>
      </c>
      <c r="BC238">
        <f>IFERROR(BB238*AL238,"-")</f>
        <v>2435.1543624161077</v>
      </c>
      <c r="BD238" t="s">
        <v>598</v>
      </c>
    </row>
    <row r="239" spans="1:56" x14ac:dyDescent="0.4">
      <c r="A239" s="41">
        <v>182</v>
      </c>
      <c r="B239" s="3">
        <v>182</v>
      </c>
      <c r="C239" s="4">
        <v>600942</v>
      </c>
      <c r="D239" s="4" t="str">
        <f t="shared" si="53"/>
        <v>600942</v>
      </c>
      <c r="E239" s="4">
        <v>600942</v>
      </c>
      <c r="F239" s="4" t="s">
        <v>288</v>
      </c>
      <c r="G239" s="5">
        <v>4535627305024</v>
      </c>
      <c r="H239" s="5"/>
      <c r="I239" s="5"/>
      <c r="J239" s="5">
        <v>1</v>
      </c>
      <c r="K239" s="5">
        <v>1</v>
      </c>
      <c r="L239" s="4">
        <v>0</v>
      </c>
      <c r="M239" s="4">
        <v>1997</v>
      </c>
      <c r="N239" s="4">
        <v>1095</v>
      </c>
      <c r="O239" s="6">
        <f t="shared" si="54"/>
        <v>0.45167751627441166</v>
      </c>
      <c r="P239" s="4" t="s">
        <v>699</v>
      </c>
      <c r="Q239" s="4" t="s">
        <v>699</v>
      </c>
      <c r="R239" s="4" t="s">
        <v>699</v>
      </c>
      <c r="S239" s="4">
        <v>0</v>
      </c>
      <c r="T239" s="4">
        <f t="shared" si="55"/>
        <v>0</v>
      </c>
      <c r="U239" s="4">
        <v>1217</v>
      </c>
      <c r="V239" s="4">
        <f t="shared" si="56"/>
        <v>1217</v>
      </c>
      <c r="W239" s="4"/>
      <c r="X239" s="21">
        <f t="shared" si="57"/>
        <v>2219</v>
      </c>
      <c r="Y239" s="6">
        <f t="shared" si="58"/>
        <v>0.45155475439387116</v>
      </c>
      <c r="Z239" s="33">
        <v>37.25</v>
      </c>
      <c r="AA239" s="4">
        <f t="shared" si="59"/>
        <v>2133</v>
      </c>
      <c r="AB239" s="33">
        <f t="shared" si="60"/>
        <v>2370.6493150684933</v>
      </c>
      <c r="AC239" s="6">
        <f t="shared" si="61"/>
        <v>0.48663853727144868</v>
      </c>
      <c r="AD239" s="7">
        <v>2100</v>
      </c>
      <c r="AE239" s="6">
        <f t="shared" si="62"/>
        <v>0.42047619047619045</v>
      </c>
      <c r="AF239" s="42">
        <f t="shared" si="63"/>
        <v>883</v>
      </c>
      <c r="AG239" s="28"/>
      <c r="AH239" s="6"/>
      <c r="AI239" s="6"/>
      <c r="AJ239" s="6" t="str">
        <f t="shared" si="64"/>
        <v>-</v>
      </c>
      <c r="AK239" s="6">
        <f t="shared" si="65"/>
        <v>1.0515773660490737</v>
      </c>
      <c r="AL239" s="6">
        <f t="shared" si="66"/>
        <v>1.1114155251141553</v>
      </c>
      <c r="AM239" s="4" t="str">
        <f t="shared" ref="AM239:AM250" si="70">IFERROR(ROUND($AD239*P239/$M239,0),"-")</f>
        <v>-</v>
      </c>
      <c r="AN239" s="4" t="str">
        <f>IF(Q239="","-",Q239)</f>
        <v>-</v>
      </c>
      <c r="AO239" s="4" t="str">
        <f>IF(R239="","-",R239)</f>
        <v>-</v>
      </c>
      <c r="AP239" s="4" t="s">
        <v>418</v>
      </c>
      <c r="AQ239" s="4" t="s">
        <v>914</v>
      </c>
      <c r="AR239" s="4"/>
      <c r="AS239" s="4"/>
      <c r="AT239" s="4" t="s">
        <v>705</v>
      </c>
      <c r="AU239" s="4">
        <v>2133</v>
      </c>
      <c r="AV239" s="4">
        <f t="shared" si="67"/>
        <v>2133</v>
      </c>
      <c r="AW239" s="19">
        <v>2</v>
      </c>
      <c r="AX239" s="19">
        <v>1</v>
      </c>
      <c r="AY239" s="16">
        <v>19</v>
      </c>
      <c r="AZ239">
        <v>1413</v>
      </c>
      <c r="BA239">
        <f>IFERROR(AZ239*AL239,"-")</f>
        <v>1570.4301369863015</v>
      </c>
      <c r="BB239">
        <v>1657</v>
      </c>
      <c r="BC239">
        <f>IFERROR(BB239*AL239,"-")</f>
        <v>1841.6155251141554</v>
      </c>
      <c r="BD239" t="s">
        <v>599</v>
      </c>
    </row>
    <row r="240" spans="1:56" x14ac:dyDescent="0.4">
      <c r="A240" s="3">
        <v>280</v>
      </c>
      <c r="B240" s="3">
        <v>280</v>
      </c>
      <c r="C240" s="4" t="s">
        <v>103</v>
      </c>
      <c r="D240" s="4" t="str">
        <f t="shared" si="53"/>
        <v>J922RW</v>
      </c>
      <c r="E240" s="4" t="s">
        <v>103</v>
      </c>
      <c r="F240" s="4" t="s">
        <v>386</v>
      </c>
      <c r="G240" s="5">
        <v>4535627230517</v>
      </c>
      <c r="H240" s="5"/>
      <c r="I240" s="5"/>
      <c r="J240" s="5">
        <v>1</v>
      </c>
      <c r="K240" s="5">
        <v>1</v>
      </c>
      <c r="L240" s="4">
        <v>2850</v>
      </c>
      <c r="M240" s="4">
        <v>2301</v>
      </c>
      <c r="N240" s="4">
        <v>1197</v>
      </c>
      <c r="O240" s="6">
        <f t="shared" si="54"/>
        <v>0.47979139504563229</v>
      </c>
      <c r="P240" s="4" t="s">
        <v>699</v>
      </c>
      <c r="Q240" s="4" t="s">
        <v>699</v>
      </c>
      <c r="R240" s="4" t="s">
        <v>699</v>
      </c>
      <c r="S240" s="4">
        <v>3050</v>
      </c>
      <c r="T240" s="4">
        <f t="shared" si="55"/>
        <v>3050</v>
      </c>
      <c r="U240" s="4">
        <v>1281</v>
      </c>
      <c r="V240" s="4">
        <f t="shared" si="56"/>
        <v>1281</v>
      </c>
      <c r="W240" s="4"/>
      <c r="X240" s="21">
        <f t="shared" si="57"/>
        <v>2462</v>
      </c>
      <c r="Y240" s="6">
        <f t="shared" si="58"/>
        <v>0.47969130787977254</v>
      </c>
      <c r="Z240" s="33">
        <v>1.5</v>
      </c>
      <c r="AA240" s="4">
        <f t="shared" si="59"/>
        <v>2571</v>
      </c>
      <c r="AB240" s="33">
        <f t="shared" si="60"/>
        <v>2751.4210526315787</v>
      </c>
      <c r="AC240" s="6">
        <f t="shared" si="61"/>
        <v>0.53442240373395555</v>
      </c>
      <c r="AD240" s="7">
        <v>2100</v>
      </c>
      <c r="AE240" s="6">
        <f t="shared" si="62"/>
        <v>0.39</v>
      </c>
      <c r="AF240" s="4">
        <f t="shared" si="63"/>
        <v>819</v>
      </c>
      <c r="AG240" s="28"/>
      <c r="AH240" s="6"/>
      <c r="AI240" s="6"/>
      <c r="AJ240" s="6">
        <f t="shared" si="64"/>
        <v>1.0701754385964912</v>
      </c>
      <c r="AK240" s="6">
        <f t="shared" si="65"/>
        <v>0.91264667535853972</v>
      </c>
      <c r="AL240" s="6">
        <f t="shared" si="66"/>
        <v>1.0701754385964912</v>
      </c>
      <c r="AM240" s="4" t="str">
        <f t="shared" si="70"/>
        <v>-</v>
      </c>
      <c r="AN240" s="4" t="str">
        <f>IF(Q240="","-",Q240)</f>
        <v>-</v>
      </c>
      <c r="AO240" s="4" t="str">
        <f>IF(R240="","-",R240)</f>
        <v>-</v>
      </c>
      <c r="AP240" s="4" t="s">
        <v>407</v>
      </c>
      <c r="AQ240" s="4" t="s">
        <v>1024</v>
      </c>
      <c r="AR240" s="4"/>
      <c r="AS240" s="4"/>
      <c r="AT240" s="4" t="s">
        <v>705</v>
      </c>
      <c r="AU240" s="4">
        <v>2571</v>
      </c>
      <c r="AV240" s="4">
        <f t="shared" si="67"/>
        <v>2571</v>
      </c>
      <c r="AW240" s="19">
        <v>4</v>
      </c>
      <c r="AX240" s="19">
        <v>1</v>
      </c>
      <c r="AY240" s="16">
        <v>19</v>
      </c>
      <c r="AZ240" t="s">
        <v>699</v>
      </c>
      <c r="BA240" t="str">
        <f>IFERROR(AZ240*AL240,"-")</f>
        <v>-</v>
      </c>
      <c r="BB240">
        <v>2025</v>
      </c>
      <c r="BC240">
        <f>IFERROR(BB240*AL240,"-")</f>
        <v>2167.1052631578946</v>
      </c>
      <c r="BD240" t="s">
        <v>695</v>
      </c>
    </row>
    <row r="241" spans="1:56" x14ac:dyDescent="0.4">
      <c r="A241" s="3">
        <v>116</v>
      </c>
      <c r="B241" s="3">
        <v>116</v>
      </c>
      <c r="C241" s="4">
        <v>168837</v>
      </c>
      <c r="D241" s="4" t="str">
        <f t="shared" si="53"/>
        <v>168837</v>
      </c>
      <c r="E241" s="4">
        <v>168837</v>
      </c>
      <c r="F241" s="4" t="s">
        <v>222</v>
      </c>
      <c r="G241" s="5">
        <v>4535627882693</v>
      </c>
      <c r="H241" s="5"/>
      <c r="I241" s="5"/>
      <c r="J241" s="5">
        <v>1</v>
      </c>
      <c r="K241" s="5">
        <v>1</v>
      </c>
      <c r="L241" s="4">
        <v>3000</v>
      </c>
      <c r="M241" s="4">
        <v>1889</v>
      </c>
      <c r="N241" s="4">
        <v>1260</v>
      </c>
      <c r="O241" s="6">
        <f t="shared" si="54"/>
        <v>0.33298041291688729</v>
      </c>
      <c r="P241" s="4" t="s">
        <v>699</v>
      </c>
      <c r="Q241" s="4" t="s">
        <v>699</v>
      </c>
      <c r="R241" s="4" t="s">
        <v>699</v>
      </c>
      <c r="S241" s="4">
        <v>0</v>
      </c>
      <c r="T241" s="4">
        <f t="shared" si="55"/>
        <v>0</v>
      </c>
      <c r="U241" s="4">
        <v>1323</v>
      </c>
      <c r="V241" s="4">
        <f t="shared" si="56"/>
        <v>1323</v>
      </c>
      <c r="W241" s="4"/>
      <c r="X241" s="21">
        <f t="shared" si="57"/>
        <v>1983</v>
      </c>
      <c r="Y241" s="6">
        <f t="shared" si="58"/>
        <v>0.33282904689863846</v>
      </c>
      <c r="Z241" s="33">
        <v>2.5</v>
      </c>
      <c r="AA241" s="4">
        <f t="shared" si="59"/>
        <v>2251</v>
      </c>
      <c r="AB241" s="33">
        <f t="shared" si="60"/>
        <v>2363.5500000000002</v>
      </c>
      <c r="AC241" s="6">
        <f t="shared" si="61"/>
        <v>0.44024877832074638</v>
      </c>
      <c r="AD241" s="7">
        <v>2100</v>
      </c>
      <c r="AE241" s="6">
        <f t="shared" si="62"/>
        <v>0.37</v>
      </c>
      <c r="AF241" s="4">
        <f t="shared" si="63"/>
        <v>777</v>
      </c>
      <c r="AG241" s="28"/>
      <c r="AH241" s="6"/>
      <c r="AI241" s="6"/>
      <c r="AJ241" s="6">
        <f t="shared" si="64"/>
        <v>0</v>
      </c>
      <c r="AK241" s="6">
        <f t="shared" si="65"/>
        <v>1.1116993118051879</v>
      </c>
      <c r="AL241" s="6">
        <f t="shared" si="66"/>
        <v>1.05</v>
      </c>
      <c r="AM241" s="4" t="str">
        <f t="shared" si="70"/>
        <v>-</v>
      </c>
      <c r="AN241" s="4" t="str">
        <f>IF(Q241="","-",Q241)</f>
        <v>-</v>
      </c>
      <c r="AO241" s="4" t="str">
        <f>IF(R241="","-",R241)</f>
        <v>-</v>
      </c>
      <c r="AP241" s="4">
        <v>0</v>
      </c>
      <c r="AQ241" s="4" t="s">
        <v>832</v>
      </c>
      <c r="AR241" s="4"/>
      <c r="AS241" s="4"/>
      <c r="AT241" s="4" t="s">
        <v>705</v>
      </c>
      <c r="AU241" s="4">
        <v>2251</v>
      </c>
      <c r="AV241" s="4">
        <f t="shared" si="67"/>
        <v>2251</v>
      </c>
      <c r="AW241" s="19">
        <v>4</v>
      </c>
      <c r="AX241" s="19">
        <v>1</v>
      </c>
      <c r="AY241" s="16">
        <v>19</v>
      </c>
      <c r="AZ241" t="s">
        <v>699</v>
      </c>
      <c r="BA241" t="str">
        <f>IFERROR(AZ241*AL241,"-")</f>
        <v>-</v>
      </c>
      <c r="BB241">
        <v>2250</v>
      </c>
      <c r="BC241">
        <f>IFERROR(BB241*AL241,"-")</f>
        <v>2362.5</v>
      </c>
      <c r="BD241" t="s">
        <v>530</v>
      </c>
    </row>
    <row r="242" spans="1:56" x14ac:dyDescent="0.4">
      <c r="A242" s="3">
        <v>148</v>
      </c>
      <c r="B242" s="3">
        <v>148</v>
      </c>
      <c r="C242" s="40">
        <v>369543</v>
      </c>
      <c r="D242" s="4" t="str">
        <f t="shared" si="53"/>
        <v>369543</v>
      </c>
      <c r="E242" s="4">
        <v>369543</v>
      </c>
      <c r="F242" s="4" t="s">
        <v>254</v>
      </c>
      <c r="G242" s="5">
        <v>4535627103378</v>
      </c>
      <c r="H242" s="5"/>
      <c r="I242" s="5"/>
      <c r="J242" s="5">
        <v>2</v>
      </c>
      <c r="K242" s="5">
        <v>2</v>
      </c>
      <c r="L242" s="4">
        <v>0</v>
      </c>
      <c r="M242" s="4">
        <v>1846</v>
      </c>
      <c r="N242" s="4">
        <v>1262</v>
      </c>
      <c r="O242" s="6">
        <f t="shared" si="54"/>
        <v>0.31635969664138675</v>
      </c>
      <c r="P242" s="4" t="s">
        <v>699</v>
      </c>
      <c r="Q242" s="4" t="s">
        <v>699</v>
      </c>
      <c r="R242" s="4" t="s">
        <v>699</v>
      </c>
      <c r="S242" s="4">
        <v>0</v>
      </c>
      <c r="T242" s="4">
        <f t="shared" si="55"/>
        <v>0</v>
      </c>
      <c r="U242" s="4">
        <v>1369</v>
      </c>
      <c r="V242" s="4">
        <f t="shared" si="56"/>
        <v>1369</v>
      </c>
      <c r="W242" s="4"/>
      <c r="X242" s="21">
        <f t="shared" si="57"/>
        <v>2003</v>
      </c>
      <c r="Y242" s="6">
        <f t="shared" si="58"/>
        <v>0.31652521218172736</v>
      </c>
      <c r="Z242" s="33">
        <v>1</v>
      </c>
      <c r="AA242" s="4">
        <f t="shared" si="59"/>
        <v>2580</v>
      </c>
      <c r="AB242" s="33">
        <f t="shared" si="60"/>
        <v>2798.7480190174329</v>
      </c>
      <c r="AC242" s="6">
        <f t="shared" si="61"/>
        <v>0.51085271317829462</v>
      </c>
      <c r="AD242" s="7">
        <v>2300</v>
      </c>
      <c r="AE242" s="6">
        <f t="shared" si="62"/>
        <v>0.40478260869565219</v>
      </c>
      <c r="AF242" s="4">
        <f t="shared" si="63"/>
        <v>931</v>
      </c>
      <c r="AG242" s="28"/>
      <c r="AH242" s="6"/>
      <c r="AI242" s="6"/>
      <c r="AJ242" s="6" t="str">
        <f t="shared" si="64"/>
        <v>-</v>
      </c>
      <c r="AK242" s="6">
        <f t="shared" si="65"/>
        <v>1.2459371614301191</v>
      </c>
      <c r="AL242" s="6">
        <f t="shared" si="66"/>
        <v>1.0847860538827259</v>
      </c>
      <c r="AM242" s="4" t="str">
        <f t="shared" si="70"/>
        <v>-</v>
      </c>
      <c r="AN242" s="4" t="str">
        <f>IF(Q242="","-",Q242)</f>
        <v>-</v>
      </c>
      <c r="AO242" s="4" t="str">
        <f>IF(R242="","-",R242)</f>
        <v>-</v>
      </c>
      <c r="AP242" s="4">
        <v>0</v>
      </c>
      <c r="AQ242" s="4" t="s">
        <v>874</v>
      </c>
      <c r="AR242" s="4"/>
      <c r="AS242" s="4"/>
      <c r="AT242" s="4" t="s">
        <v>803</v>
      </c>
      <c r="AU242" s="4">
        <v>2580</v>
      </c>
      <c r="AV242" s="4">
        <f t="shared" si="67"/>
        <v>2580</v>
      </c>
      <c r="AW242" s="19">
        <v>4</v>
      </c>
      <c r="AX242" s="19">
        <v>1</v>
      </c>
      <c r="AY242" s="16">
        <v>19</v>
      </c>
      <c r="AZ242" t="s">
        <v>699</v>
      </c>
      <c r="BA242" t="str">
        <f>IFERROR(AZ242*AL242,"-")</f>
        <v>-</v>
      </c>
      <c r="BB242">
        <v>2435</v>
      </c>
      <c r="BC242">
        <f>IFERROR(BB242*AL242,"-")</f>
        <v>2641.4540412044375</v>
      </c>
      <c r="BD242" t="s">
        <v>564</v>
      </c>
    </row>
    <row r="243" spans="1:56" x14ac:dyDescent="0.4">
      <c r="A243" s="3">
        <v>295</v>
      </c>
      <c r="B243" s="3">
        <v>148</v>
      </c>
      <c r="C243" s="40">
        <v>369543</v>
      </c>
      <c r="D243" s="4" t="str">
        <f t="shared" si="53"/>
        <v>369543</v>
      </c>
      <c r="E243" s="4">
        <v>369545</v>
      </c>
      <c r="F243" s="4" t="s">
        <v>402</v>
      </c>
      <c r="G243" s="5">
        <v>4535627103378</v>
      </c>
      <c r="H243" s="5">
        <v>8</v>
      </c>
      <c r="I243" s="5" t="str">
        <f>C243&amp;H243</f>
        <v>3695438</v>
      </c>
      <c r="J243" s="5"/>
      <c r="K243" s="5"/>
      <c r="L243" s="4">
        <v>0</v>
      </c>
      <c r="M243" s="4">
        <v>6878</v>
      </c>
      <c r="N243" s="4">
        <v>5048</v>
      </c>
      <c r="O243" s="6">
        <f t="shared" si="54"/>
        <v>0.26606571677813318</v>
      </c>
      <c r="P243" s="4" t="s">
        <v>699</v>
      </c>
      <c r="Q243" s="4" t="s">
        <v>699</v>
      </c>
      <c r="R243" s="4" t="s">
        <v>699</v>
      </c>
      <c r="S243" s="4">
        <v>0</v>
      </c>
      <c r="T243" s="4">
        <f t="shared" si="55"/>
        <v>0</v>
      </c>
      <c r="U243" s="4">
        <v>1369</v>
      </c>
      <c r="V243" s="4">
        <f t="shared" si="56"/>
        <v>5476</v>
      </c>
      <c r="W243" s="4">
        <v>4</v>
      </c>
      <c r="X243" s="21">
        <f t="shared" si="57"/>
        <v>7461</v>
      </c>
      <c r="Y243" s="6">
        <f t="shared" si="58"/>
        <v>0.26605012732877631</v>
      </c>
      <c r="Z243" s="33">
        <v>1</v>
      </c>
      <c r="AA243" s="4">
        <f t="shared" si="59"/>
        <v>10320</v>
      </c>
      <c r="AB243" s="33">
        <f t="shared" si="60"/>
        <v>11194.992076069731</v>
      </c>
      <c r="AC243" s="6">
        <f t="shared" si="61"/>
        <v>0.51085271317829462</v>
      </c>
      <c r="AD243" s="7">
        <v>8700</v>
      </c>
      <c r="AE243" s="6">
        <f t="shared" si="62"/>
        <v>0.37057471264367814</v>
      </c>
      <c r="AF243" s="4">
        <f t="shared" si="63"/>
        <v>3224</v>
      </c>
      <c r="AG243" s="28"/>
      <c r="AH243" s="6"/>
      <c r="AI243" s="6"/>
      <c r="AJ243" s="6" t="str">
        <f t="shared" si="64"/>
        <v>-</v>
      </c>
      <c r="AK243" s="6">
        <f t="shared" si="65"/>
        <v>1.2649025879616167</v>
      </c>
      <c r="AL243" s="6">
        <f t="shared" si="66"/>
        <v>1.0847860538827259</v>
      </c>
      <c r="AM243" s="4" t="str">
        <f t="shared" si="70"/>
        <v>-</v>
      </c>
      <c r="AN243" s="4" t="str">
        <f>IF(Q243="","-",Q243)</f>
        <v>-</v>
      </c>
      <c r="AO243" s="4" t="str">
        <f>IF(R243="","-",R243)</f>
        <v>-</v>
      </c>
      <c r="AP243" s="4">
        <v>0</v>
      </c>
      <c r="AQ243" s="4" t="s">
        <v>874</v>
      </c>
      <c r="AR243" s="4">
        <v>4</v>
      </c>
      <c r="AS243" s="4">
        <v>1</v>
      </c>
      <c r="AT243" s="4" t="s">
        <v>803</v>
      </c>
      <c r="AU243" s="4">
        <v>2580</v>
      </c>
      <c r="AV243" s="4">
        <f t="shared" si="67"/>
        <v>10320</v>
      </c>
      <c r="AW243" s="19">
        <v>4</v>
      </c>
      <c r="AX243" s="19">
        <v>1</v>
      </c>
      <c r="AY243" s="16">
        <v>19</v>
      </c>
      <c r="AZ243" t="s">
        <v>699</v>
      </c>
      <c r="BA243" t="str">
        <f>IFERROR(AZ243*AL243,"-")</f>
        <v>-</v>
      </c>
      <c r="BB243">
        <v>2435</v>
      </c>
      <c r="BC243">
        <f>IFERROR(BB243*AL243,"-")</f>
        <v>2641.4540412044375</v>
      </c>
      <c r="BD243" t="s">
        <v>564</v>
      </c>
    </row>
    <row r="244" spans="1:56" x14ac:dyDescent="0.4">
      <c r="A244" s="3">
        <v>112</v>
      </c>
      <c r="B244" s="3">
        <v>112</v>
      </c>
      <c r="C244" s="4">
        <v>168830</v>
      </c>
      <c r="D244" s="4" t="str">
        <f t="shared" si="53"/>
        <v>168830</v>
      </c>
      <c r="E244" s="4">
        <v>168830</v>
      </c>
      <c r="F244" s="4" t="s">
        <v>218</v>
      </c>
      <c r="G244" s="5">
        <v>4535627882662</v>
      </c>
      <c r="H244" s="5"/>
      <c r="I244" s="5"/>
      <c r="J244" s="5">
        <v>1</v>
      </c>
      <c r="K244" s="5">
        <v>1</v>
      </c>
      <c r="L244" s="4">
        <v>3200</v>
      </c>
      <c r="M244" s="4">
        <v>1917</v>
      </c>
      <c r="N244" s="4">
        <v>1344</v>
      </c>
      <c r="O244" s="6">
        <f t="shared" si="54"/>
        <v>0.29890453834115804</v>
      </c>
      <c r="P244" s="4" t="s">
        <v>699</v>
      </c>
      <c r="Q244" s="4" t="s">
        <v>699</v>
      </c>
      <c r="R244" s="4" t="s">
        <v>699</v>
      </c>
      <c r="S244" s="4">
        <v>0</v>
      </c>
      <c r="T244" s="4">
        <f t="shared" si="55"/>
        <v>0</v>
      </c>
      <c r="U244" s="4">
        <v>1411</v>
      </c>
      <c r="V244" s="4">
        <f t="shared" si="56"/>
        <v>1411</v>
      </c>
      <c r="W244" s="4"/>
      <c r="X244" s="21">
        <f t="shared" si="57"/>
        <v>2013</v>
      </c>
      <c r="Y244" s="6">
        <f t="shared" si="58"/>
        <v>0.29905613512170892</v>
      </c>
      <c r="Z244" s="33">
        <v>1</v>
      </c>
      <c r="AA244" s="4">
        <f t="shared" si="59"/>
        <v>3199</v>
      </c>
      <c r="AB244" s="33">
        <f t="shared" si="60"/>
        <v>3358.4739583333335</v>
      </c>
      <c r="AC244" s="6">
        <f t="shared" si="61"/>
        <v>0.57986870897155363</v>
      </c>
      <c r="AD244" s="7">
        <v>2250</v>
      </c>
      <c r="AE244" s="6">
        <f t="shared" si="62"/>
        <v>0.37288888888888894</v>
      </c>
      <c r="AF244" s="4">
        <f t="shared" si="63"/>
        <v>839</v>
      </c>
      <c r="AG244" s="28"/>
      <c r="AH244" s="6"/>
      <c r="AI244" s="6"/>
      <c r="AJ244" s="6">
        <f t="shared" si="64"/>
        <v>0</v>
      </c>
      <c r="AK244" s="6">
        <f t="shared" si="65"/>
        <v>1.1737089201877935</v>
      </c>
      <c r="AL244" s="6">
        <f t="shared" si="66"/>
        <v>1.0498511904761905</v>
      </c>
      <c r="AM244" s="4" t="str">
        <f t="shared" si="70"/>
        <v>-</v>
      </c>
      <c r="AN244" s="4" t="str">
        <f>IF(Q244="","-",Q244)</f>
        <v>-</v>
      </c>
      <c r="AO244" s="4" t="str">
        <f>IF(R244="","-",R244)</f>
        <v>-</v>
      </c>
      <c r="AP244" s="4">
        <v>0</v>
      </c>
      <c r="AQ244" s="4" t="s">
        <v>828</v>
      </c>
      <c r="AR244" s="4"/>
      <c r="AS244" s="4"/>
      <c r="AT244" s="4" t="s">
        <v>705</v>
      </c>
      <c r="AU244" s="4">
        <v>3199</v>
      </c>
      <c r="AV244" s="4">
        <f t="shared" si="67"/>
        <v>3199</v>
      </c>
      <c r="AW244" s="19">
        <v>4</v>
      </c>
      <c r="AX244" s="19">
        <v>1</v>
      </c>
      <c r="AY244" s="16">
        <v>19</v>
      </c>
      <c r="AZ244">
        <v>2241</v>
      </c>
      <c r="BA244">
        <f>IFERROR(AZ244*AL244,"-")</f>
        <v>2352.7165178571427</v>
      </c>
      <c r="BB244">
        <v>3000</v>
      </c>
      <c r="BC244">
        <f>IFERROR(BB244*AL244,"-")</f>
        <v>3149.5535714285716</v>
      </c>
      <c r="BD244" t="s">
        <v>526</v>
      </c>
    </row>
    <row r="245" spans="1:56" x14ac:dyDescent="0.4">
      <c r="A245" s="3">
        <v>36</v>
      </c>
      <c r="B245" s="3">
        <v>36</v>
      </c>
      <c r="C245" s="4">
        <v>100338</v>
      </c>
      <c r="D245" s="4" t="str">
        <f t="shared" si="53"/>
        <v>100338</v>
      </c>
      <c r="E245" s="4">
        <v>100338</v>
      </c>
      <c r="F245" s="4" t="s">
        <v>142</v>
      </c>
      <c r="G245" s="5">
        <v>4535627300319</v>
      </c>
      <c r="H245" s="5"/>
      <c r="I245" s="5"/>
      <c r="J245" s="5">
        <v>1</v>
      </c>
      <c r="K245" s="5">
        <v>1</v>
      </c>
      <c r="L245" s="4">
        <v>3100</v>
      </c>
      <c r="M245" s="4">
        <v>2126</v>
      </c>
      <c r="N245" s="4">
        <v>1302</v>
      </c>
      <c r="O245" s="6">
        <f t="shared" si="54"/>
        <v>0.38758231420507994</v>
      </c>
      <c r="P245" s="4" t="s">
        <v>699</v>
      </c>
      <c r="Q245" s="4" t="s">
        <v>699</v>
      </c>
      <c r="R245" s="4" t="s">
        <v>699</v>
      </c>
      <c r="S245" s="4">
        <v>3400</v>
      </c>
      <c r="T245" s="4">
        <f t="shared" si="55"/>
        <v>3400</v>
      </c>
      <c r="U245" s="4">
        <v>1428</v>
      </c>
      <c r="V245" s="4">
        <f t="shared" si="56"/>
        <v>1428</v>
      </c>
      <c r="W245" s="4"/>
      <c r="X245" s="21">
        <f t="shared" si="57"/>
        <v>2332</v>
      </c>
      <c r="Y245" s="6">
        <f t="shared" si="58"/>
        <v>0.3876500857632933</v>
      </c>
      <c r="Z245" s="33">
        <v>11</v>
      </c>
      <c r="AA245" s="4">
        <f t="shared" si="59"/>
        <v>2400</v>
      </c>
      <c r="AB245" s="33">
        <f t="shared" si="60"/>
        <v>2632.2580645161288</v>
      </c>
      <c r="AC245" s="6">
        <f t="shared" si="61"/>
        <v>0.45749999999999991</v>
      </c>
      <c r="AD245" s="7">
        <v>2330</v>
      </c>
      <c r="AE245" s="6">
        <f t="shared" si="62"/>
        <v>0.38712446351931329</v>
      </c>
      <c r="AF245" s="4">
        <f t="shared" si="63"/>
        <v>902</v>
      </c>
      <c r="AG245" s="28"/>
      <c r="AH245" s="6"/>
      <c r="AI245" s="6"/>
      <c r="AJ245" s="6">
        <f t="shared" si="64"/>
        <v>1.096774193548387</v>
      </c>
      <c r="AK245" s="6">
        <f t="shared" si="65"/>
        <v>1.0959548447789276</v>
      </c>
      <c r="AL245" s="6">
        <f t="shared" si="66"/>
        <v>1.096774193548387</v>
      </c>
      <c r="AM245" s="4" t="str">
        <f t="shared" si="70"/>
        <v>-</v>
      </c>
      <c r="AN245" s="4" t="str">
        <f>IF(Q245="","-",Q245)</f>
        <v>-</v>
      </c>
      <c r="AO245" s="4" t="str">
        <f>IF(R245="","-",R245)</f>
        <v>-</v>
      </c>
      <c r="AP245" s="4" t="s">
        <v>407</v>
      </c>
      <c r="AQ245" s="4" t="s">
        <v>733</v>
      </c>
      <c r="AR245" s="4"/>
      <c r="AS245" s="4"/>
      <c r="AT245" s="4" t="s">
        <v>734</v>
      </c>
      <c r="AU245" s="4">
        <v>2400</v>
      </c>
      <c r="AV245" s="4">
        <f t="shared" si="67"/>
        <v>2400</v>
      </c>
      <c r="AW245" s="19">
        <v>4</v>
      </c>
      <c r="AX245" s="19">
        <v>1</v>
      </c>
      <c r="AY245" s="16">
        <v>19</v>
      </c>
      <c r="AZ245" t="s">
        <v>699</v>
      </c>
      <c r="BA245" t="str">
        <f>IFERROR(AZ245*AL245,"-")</f>
        <v>-</v>
      </c>
      <c r="BB245">
        <v>2806</v>
      </c>
      <c r="BC245">
        <f>IFERROR(BB245*AL245,"-")</f>
        <v>3077.5483870967741</v>
      </c>
      <c r="BD245" t="s">
        <v>451</v>
      </c>
    </row>
    <row r="246" spans="1:56" x14ac:dyDescent="0.4">
      <c r="A246" s="3">
        <v>132</v>
      </c>
      <c r="B246" s="3">
        <v>132</v>
      </c>
      <c r="C246" s="4">
        <v>207875</v>
      </c>
      <c r="D246" s="4" t="str">
        <f t="shared" si="53"/>
        <v>207875</v>
      </c>
      <c r="E246" s="4">
        <v>207875</v>
      </c>
      <c r="F246" s="4" t="s">
        <v>238</v>
      </c>
      <c r="G246" s="5">
        <v>4535627300111</v>
      </c>
      <c r="H246" s="5"/>
      <c r="I246" s="5"/>
      <c r="J246" s="5">
        <v>1</v>
      </c>
      <c r="K246" s="5">
        <v>1</v>
      </c>
      <c r="L246" s="4">
        <v>3100</v>
      </c>
      <c r="M246" s="4">
        <v>2059</v>
      </c>
      <c r="N246" s="4">
        <v>1302</v>
      </c>
      <c r="O246" s="6">
        <f t="shared" si="54"/>
        <v>0.36765420106847979</v>
      </c>
      <c r="P246" s="4" t="s">
        <v>699</v>
      </c>
      <c r="Q246" s="4" t="s">
        <v>699</v>
      </c>
      <c r="R246" s="4" t="s">
        <v>699</v>
      </c>
      <c r="S246" s="4">
        <v>3400</v>
      </c>
      <c r="T246" s="4">
        <f t="shared" si="55"/>
        <v>3400</v>
      </c>
      <c r="U246" s="4">
        <v>1428</v>
      </c>
      <c r="V246" s="4">
        <f t="shared" si="56"/>
        <v>1428</v>
      </c>
      <c r="W246" s="4"/>
      <c r="X246" s="21">
        <f t="shared" si="57"/>
        <v>2258</v>
      </c>
      <c r="Y246" s="6">
        <f t="shared" si="58"/>
        <v>0.36758193091231173</v>
      </c>
      <c r="Z246" s="33">
        <v>1.7500000000000002</v>
      </c>
      <c r="AA246" s="4">
        <f t="shared" si="59"/>
        <v>2500</v>
      </c>
      <c r="AB246" s="33">
        <f t="shared" si="60"/>
        <v>2741.9354838709673</v>
      </c>
      <c r="AC246" s="6">
        <f t="shared" si="61"/>
        <v>0.47919999999999996</v>
      </c>
      <c r="AD246" s="7">
        <v>2300</v>
      </c>
      <c r="AE246" s="6">
        <f t="shared" si="62"/>
        <v>0.37913043478260866</v>
      </c>
      <c r="AF246" s="4">
        <f t="shared" si="63"/>
        <v>872</v>
      </c>
      <c r="AG246" s="28"/>
      <c r="AH246" s="6"/>
      <c r="AI246" s="6"/>
      <c r="AJ246" s="6">
        <f t="shared" si="64"/>
        <v>1.096774193548387</v>
      </c>
      <c r="AK246" s="6">
        <f t="shared" si="65"/>
        <v>1.1170471102476931</v>
      </c>
      <c r="AL246" s="6">
        <f t="shared" si="66"/>
        <v>1.096774193548387</v>
      </c>
      <c r="AM246" s="4" t="str">
        <f t="shared" si="70"/>
        <v>-</v>
      </c>
      <c r="AN246" s="4" t="str">
        <f>IF(Q246="","-",Q246)</f>
        <v>-</v>
      </c>
      <c r="AO246" s="4" t="str">
        <f>IF(R246="","-",R246)</f>
        <v>-</v>
      </c>
      <c r="AP246" s="4" t="s">
        <v>407</v>
      </c>
      <c r="AQ246" s="4" t="s">
        <v>849</v>
      </c>
      <c r="AR246" s="4"/>
      <c r="AS246" s="4"/>
      <c r="AT246" s="4" t="s">
        <v>739</v>
      </c>
      <c r="AU246" s="4">
        <v>2500</v>
      </c>
      <c r="AV246" s="4">
        <f t="shared" si="67"/>
        <v>2500</v>
      </c>
      <c r="AW246" s="19">
        <v>4</v>
      </c>
      <c r="AX246" s="19">
        <v>1</v>
      </c>
      <c r="AY246" s="16">
        <v>19</v>
      </c>
      <c r="AZ246">
        <v>2293</v>
      </c>
      <c r="BA246">
        <f>IFERROR(AZ246*AL246,"-")</f>
        <v>2514.9032258064512</v>
      </c>
      <c r="BB246">
        <v>2402</v>
      </c>
      <c r="BC246">
        <f>IFERROR(BB246*AL246,"-")</f>
        <v>2634.4516129032254</v>
      </c>
      <c r="BD246" t="s">
        <v>545</v>
      </c>
    </row>
    <row r="247" spans="1:56" x14ac:dyDescent="0.4">
      <c r="A247" s="3">
        <v>230</v>
      </c>
      <c r="B247" s="3">
        <v>230</v>
      </c>
      <c r="C247" s="4" t="s">
        <v>58</v>
      </c>
      <c r="D247" s="4" t="str">
        <f t="shared" si="53"/>
        <v>8869AR</v>
      </c>
      <c r="E247" s="4" t="s">
        <v>58</v>
      </c>
      <c r="F247" s="4" t="s">
        <v>336</v>
      </c>
      <c r="G247" s="5">
        <v>4535627882389</v>
      </c>
      <c r="H247" s="5"/>
      <c r="I247" s="5"/>
      <c r="J247" s="5">
        <v>1</v>
      </c>
      <c r="K247" s="5">
        <v>1</v>
      </c>
      <c r="L247" s="4">
        <v>0</v>
      </c>
      <c r="M247" s="4">
        <v>2200</v>
      </c>
      <c r="N247" s="4">
        <v>1430</v>
      </c>
      <c r="O247" s="6">
        <f t="shared" si="54"/>
        <v>0.35</v>
      </c>
      <c r="P247" s="4" t="s">
        <v>699</v>
      </c>
      <c r="Q247" s="4" t="s">
        <v>699</v>
      </c>
      <c r="R247" s="4" t="s">
        <v>699</v>
      </c>
      <c r="S247" s="4">
        <v>0</v>
      </c>
      <c r="T247" s="4">
        <f t="shared" si="55"/>
        <v>0</v>
      </c>
      <c r="U247" s="4">
        <v>1428</v>
      </c>
      <c r="V247" s="4">
        <f t="shared" si="56"/>
        <v>1428</v>
      </c>
      <c r="W247" s="4"/>
      <c r="X247" s="21">
        <f t="shared" si="57"/>
        <v>2197</v>
      </c>
      <c r="Y247" s="6">
        <f t="shared" si="58"/>
        <v>0.35002275830678198</v>
      </c>
      <c r="Z247" s="33">
        <v>1.7500000000000002</v>
      </c>
      <c r="AA247" s="4" t="str">
        <f t="shared" si="59"/>
        <v>-</v>
      </c>
      <c r="AB247" s="33" t="str">
        <f t="shared" si="60"/>
        <v>-</v>
      </c>
      <c r="AC247" s="6" t="str">
        <f t="shared" si="61"/>
        <v>-</v>
      </c>
      <c r="AD247" s="7">
        <v>2300</v>
      </c>
      <c r="AE247" s="6">
        <f t="shared" si="62"/>
        <v>0.37913043478260866</v>
      </c>
      <c r="AF247" s="4">
        <f t="shared" si="63"/>
        <v>872</v>
      </c>
      <c r="AG247" s="28"/>
      <c r="AH247" s="6"/>
      <c r="AI247" s="6"/>
      <c r="AJ247" s="6" t="str">
        <f t="shared" si="64"/>
        <v>-</v>
      </c>
      <c r="AK247" s="6">
        <f t="shared" si="65"/>
        <v>1.0454545454545454</v>
      </c>
      <c r="AL247" s="6">
        <f t="shared" si="66"/>
        <v>0.99860139860139863</v>
      </c>
      <c r="AM247" s="4" t="str">
        <f t="shared" si="70"/>
        <v>-</v>
      </c>
      <c r="AN247" s="4" t="str">
        <f>IF(Q247="","-",Q247)</f>
        <v>-</v>
      </c>
      <c r="AO247" s="4" t="str">
        <f>IF(R247="","-",R247)</f>
        <v>-</v>
      </c>
      <c r="AP247" s="4">
        <v>0</v>
      </c>
      <c r="AQ247" s="4" t="s">
        <v>699</v>
      </c>
      <c r="AR247" s="4"/>
      <c r="AS247" s="4"/>
      <c r="AT247" s="4" t="s">
        <v>699</v>
      </c>
      <c r="AU247" s="4" t="s">
        <v>699</v>
      </c>
      <c r="AV247" s="4" t="str">
        <f t="shared" si="67"/>
        <v>-</v>
      </c>
      <c r="AW247" s="19">
        <v>4</v>
      </c>
      <c r="AX247" s="19">
        <v>1</v>
      </c>
      <c r="AY247" s="16">
        <v>19</v>
      </c>
      <c r="AZ247" t="s">
        <v>699</v>
      </c>
      <c r="BA247" t="str">
        <f>IFERROR(AZ247*AL247,"-")</f>
        <v>-</v>
      </c>
      <c r="BB247" t="s">
        <v>699</v>
      </c>
      <c r="BC247" t="str">
        <f>IFERROR(BB247*AL247,"-")</f>
        <v>-</v>
      </c>
      <c r="BD247" t="s">
        <v>699</v>
      </c>
    </row>
    <row r="248" spans="1:56" x14ac:dyDescent="0.4">
      <c r="A248" s="3">
        <v>6</v>
      </c>
      <c r="B248" s="3">
        <v>6</v>
      </c>
      <c r="C248" s="4">
        <v>11599</v>
      </c>
      <c r="D248" s="4" t="str">
        <f t="shared" si="53"/>
        <v>011599</v>
      </c>
      <c r="E248" s="4">
        <v>528795</v>
      </c>
      <c r="F248" s="4" t="s">
        <v>112</v>
      </c>
      <c r="G248" s="5">
        <v>4535627102302</v>
      </c>
      <c r="H248" s="5"/>
      <c r="I248" s="5"/>
      <c r="J248" s="5">
        <v>1</v>
      </c>
      <c r="K248" s="5">
        <v>1</v>
      </c>
      <c r="L248" s="4">
        <v>3900</v>
      </c>
      <c r="M248" s="4">
        <v>2106</v>
      </c>
      <c r="N248" s="4">
        <v>1366</v>
      </c>
      <c r="O248" s="6">
        <f t="shared" si="54"/>
        <v>0.35137701804368471</v>
      </c>
      <c r="P248" s="4" t="s">
        <v>699</v>
      </c>
      <c r="Q248" s="4" t="s">
        <v>699</v>
      </c>
      <c r="R248" s="4" t="s">
        <v>699</v>
      </c>
      <c r="S248" s="4">
        <v>4200</v>
      </c>
      <c r="T248" s="4">
        <f t="shared" si="55"/>
        <v>4200</v>
      </c>
      <c r="U248" s="4">
        <v>1471</v>
      </c>
      <c r="V248" s="4">
        <f t="shared" si="56"/>
        <v>1471</v>
      </c>
      <c r="W248" s="4"/>
      <c r="X248" s="21">
        <f t="shared" si="57"/>
        <v>2268</v>
      </c>
      <c r="Y248" s="6">
        <f t="shared" si="58"/>
        <v>0.3514109347442681</v>
      </c>
      <c r="Z248" s="33">
        <v>1.5</v>
      </c>
      <c r="AA248" s="4">
        <f t="shared" si="59"/>
        <v>3570</v>
      </c>
      <c r="AB248" s="33">
        <f t="shared" si="60"/>
        <v>3844.4143484626647</v>
      </c>
      <c r="AC248" s="6">
        <f t="shared" si="61"/>
        <v>0.61736694677871151</v>
      </c>
      <c r="AD248" s="7">
        <v>2350</v>
      </c>
      <c r="AE248" s="6">
        <f t="shared" si="62"/>
        <v>0.37404255319148938</v>
      </c>
      <c r="AF248" s="4">
        <f t="shared" si="63"/>
        <v>879</v>
      </c>
      <c r="AG248" s="28"/>
      <c r="AH248" s="6"/>
      <c r="AI248" s="6"/>
      <c r="AJ248" s="6">
        <f t="shared" si="64"/>
        <v>1.0769230769230769</v>
      </c>
      <c r="AK248" s="6">
        <f t="shared" si="65"/>
        <v>1.1158594491927825</v>
      </c>
      <c r="AL248" s="6">
        <f t="shared" si="66"/>
        <v>1.0768667642752563</v>
      </c>
      <c r="AM248" s="4" t="str">
        <f t="shared" si="70"/>
        <v>-</v>
      </c>
      <c r="AN248" s="4" t="str">
        <f>IF(Q248="","-",Q248)</f>
        <v>-</v>
      </c>
      <c r="AO248" s="4" t="str">
        <f>IF(R248="","-",R248)</f>
        <v>-</v>
      </c>
      <c r="AP248" s="4" t="s">
        <v>408</v>
      </c>
      <c r="AQ248" s="4" t="s">
        <v>708</v>
      </c>
      <c r="AR248" s="4"/>
      <c r="AS248" s="4"/>
      <c r="AT248" s="4" t="s">
        <v>709</v>
      </c>
      <c r="AU248" s="4">
        <v>3570</v>
      </c>
      <c r="AV248" s="4">
        <f t="shared" si="67"/>
        <v>3570</v>
      </c>
      <c r="AW248" s="19">
        <v>4</v>
      </c>
      <c r="AX248" s="19">
        <v>1</v>
      </c>
      <c r="AY248" s="16">
        <v>19</v>
      </c>
      <c r="AZ248" t="s">
        <v>699</v>
      </c>
      <c r="BA248" t="str">
        <f>IFERROR(AZ248*AL248,"-")</f>
        <v>-</v>
      </c>
      <c r="BB248">
        <v>2187</v>
      </c>
      <c r="BC248">
        <f>IFERROR(BB248*AL248,"-")</f>
        <v>2355.1076134699856</v>
      </c>
      <c r="BD248" t="s">
        <v>434</v>
      </c>
    </row>
    <row r="249" spans="1:56" x14ac:dyDescent="0.4">
      <c r="A249" s="3">
        <v>231</v>
      </c>
      <c r="B249" s="3">
        <v>231</v>
      </c>
      <c r="C249" s="4">
        <v>921653</v>
      </c>
      <c r="D249" s="4" t="str">
        <f t="shared" si="53"/>
        <v>921653</v>
      </c>
      <c r="E249" s="4">
        <v>921653</v>
      </c>
      <c r="F249" s="4" t="s">
        <v>337</v>
      </c>
      <c r="G249" s="5">
        <v>4535627102722</v>
      </c>
      <c r="H249" s="5"/>
      <c r="I249" s="5"/>
      <c r="J249" s="5">
        <v>1</v>
      </c>
      <c r="K249" s="5">
        <v>1</v>
      </c>
      <c r="L249" s="4">
        <v>0</v>
      </c>
      <c r="M249" s="4">
        <v>2700</v>
      </c>
      <c r="N249" s="4">
        <v>1644</v>
      </c>
      <c r="O249" s="6">
        <f t="shared" si="54"/>
        <v>0.39111111111111108</v>
      </c>
      <c r="P249" s="4" t="s">
        <v>699</v>
      </c>
      <c r="Q249" s="4" t="s">
        <v>699</v>
      </c>
      <c r="R249" s="4" t="s">
        <v>699</v>
      </c>
      <c r="S249" s="4">
        <v>0</v>
      </c>
      <c r="T249" s="4">
        <f t="shared" si="55"/>
        <v>0</v>
      </c>
      <c r="U249" s="4">
        <v>1722</v>
      </c>
      <c r="V249" s="4">
        <f t="shared" si="56"/>
        <v>1722</v>
      </c>
      <c r="W249" s="4"/>
      <c r="X249" s="21">
        <f t="shared" si="57"/>
        <v>2828</v>
      </c>
      <c r="Y249" s="6">
        <f t="shared" si="58"/>
        <v>0.3910891089108911</v>
      </c>
      <c r="Z249" s="33">
        <v>8.5</v>
      </c>
      <c r="AA249" s="4">
        <f t="shared" si="59"/>
        <v>3062</v>
      </c>
      <c r="AB249" s="33">
        <f t="shared" si="60"/>
        <v>3207.277372262774</v>
      </c>
      <c r="AC249" s="6">
        <f t="shared" si="61"/>
        <v>0.46309601567602876</v>
      </c>
      <c r="AD249" s="7">
        <v>2900</v>
      </c>
      <c r="AE249" s="6">
        <f t="shared" si="62"/>
        <v>0.40620689655172415</v>
      </c>
      <c r="AF249" s="4">
        <f t="shared" si="63"/>
        <v>1178</v>
      </c>
      <c r="AG249" s="28"/>
      <c r="AH249" s="6"/>
      <c r="AI249" s="6"/>
      <c r="AJ249" s="6" t="str">
        <f t="shared" si="64"/>
        <v>-</v>
      </c>
      <c r="AK249" s="6">
        <f t="shared" si="65"/>
        <v>1.0740740740740742</v>
      </c>
      <c r="AL249" s="6">
        <f t="shared" si="66"/>
        <v>1.0474452554744527</v>
      </c>
      <c r="AM249" s="4" t="str">
        <f t="shared" si="70"/>
        <v>-</v>
      </c>
      <c r="AN249" s="4" t="str">
        <f>IF(Q249="","-",Q249)</f>
        <v>-</v>
      </c>
      <c r="AO249" s="4" t="str">
        <f>IF(R249="","-",R249)</f>
        <v>-</v>
      </c>
      <c r="AP249" s="4" t="s">
        <v>408</v>
      </c>
      <c r="AQ249" s="4" t="s">
        <v>974</v>
      </c>
      <c r="AR249" s="4"/>
      <c r="AS249" s="4"/>
      <c r="AT249" s="4" t="s">
        <v>705</v>
      </c>
      <c r="AU249" s="4">
        <v>3062</v>
      </c>
      <c r="AV249" s="4">
        <f t="shared" si="67"/>
        <v>3062</v>
      </c>
      <c r="AW249" s="19">
        <v>4</v>
      </c>
      <c r="AX249" s="19">
        <v>1</v>
      </c>
      <c r="AY249" s="16">
        <v>19</v>
      </c>
      <c r="AZ249">
        <v>2917</v>
      </c>
      <c r="BA249">
        <f>IFERROR(AZ249*AL249,"-")</f>
        <v>3055.3978102189785</v>
      </c>
      <c r="BB249">
        <v>2906</v>
      </c>
      <c r="BC249">
        <f>IFERROR(BB249*AL249,"-")</f>
        <v>3043.8759124087596</v>
      </c>
      <c r="BD249" t="s">
        <v>647</v>
      </c>
    </row>
    <row r="250" spans="1:56" x14ac:dyDescent="0.4">
      <c r="A250" s="3">
        <v>233</v>
      </c>
      <c r="B250" s="3">
        <v>233</v>
      </c>
      <c r="C250" s="4">
        <v>921655</v>
      </c>
      <c r="D250" s="4" t="str">
        <f t="shared" si="53"/>
        <v>921655</v>
      </c>
      <c r="E250" s="4">
        <v>921655</v>
      </c>
      <c r="F250" s="4" t="s">
        <v>339</v>
      </c>
      <c r="G250" s="5">
        <v>4535627102746</v>
      </c>
      <c r="H250" s="5"/>
      <c r="I250" s="5"/>
      <c r="J250" s="5">
        <v>1</v>
      </c>
      <c r="K250" s="5">
        <v>1</v>
      </c>
      <c r="L250" s="4">
        <v>0</v>
      </c>
      <c r="M250" s="4">
        <v>3062</v>
      </c>
      <c r="N250" s="4">
        <v>1644</v>
      </c>
      <c r="O250" s="6">
        <f t="shared" si="54"/>
        <v>0.46309601567602876</v>
      </c>
      <c r="P250" s="4" t="s">
        <v>699</v>
      </c>
      <c r="Q250" s="4" t="s">
        <v>699</v>
      </c>
      <c r="R250" s="4" t="s">
        <v>699</v>
      </c>
      <c r="S250" s="4">
        <v>0</v>
      </c>
      <c r="T250" s="4">
        <f t="shared" si="55"/>
        <v>0</v>
      </c>
      <c r="U250" s="4">
        <v>1722</v>
      </c>
      <c r="V250" s="4">
        <f t="shared" si="56"/>
        <v>1722</v>
      </c>
      <c r="W250" s="4"/>
      <c r="X250" s="21">
        <f t="shared" si="57"/>
        <v>3207</v>
      </c>
      <c r="Y250" s="6">
        <f t="shared" si="58"/>
        <v>0.46304957904583721</v>
      </c>
      <c r="Z250" s="33">
        <v>3.25</v>
      </c>
      <c r="AA250" s="4">
        <f t="shared" si="59"/>
        <v>3062</v>
      </c>
      <c r="AB250" s="33">
        <f t="shared" si="60"/>
        <v>3207.277372262774</v>
      </c>
      <c r="AC250" s="6">
        <f t="shared" si="61"/>
        <v>0.46309601567602876</v>
      </c>
      <c r="AD250" s="7">
        <v>2900</v>
      </c>
      <c r="AE250" s="6">
        <f t="shared" si="62"/>
        <v>0.40620689655172415</v>
      </c>
      <c r="AF250" s="4">
        <f t="shared" si="63"/>
        <v>1178</v>
      </c>
      <c r="AG250" s="28"/>
      <c r="AH250" s="6"/>
      <c r="AI250" s="6"/>
      <c r="AJ250" s="6" t="str">
        <f t="shared" si="64"/>
        <v>-</v>
      </c>
      <c r="AK250" s="6">
        <f t="shared" si="65"/>
        <v>0.94709340300457212</v>
      </c>
      <c r="AL250" s="6">
        <f t="shared" si="66"/>
        <v>1.0474452554744527</v>
      </c>
      <c r="AM250" s="4" t="str">
        <f t="shared" si="70"/>
        <v>-</v>
      </c>
      <c r="AN250" s="4" t="str">
        <f>IF(Q250="","-",Q250)</f>
        <v>-</v>
      </c>
      <c r="AO250" s="4" t="str">
        <f>IF(R250="","-",R250)</f>
        <v>-</v>
      </c>
      <c r="AP250" s="4" t="s">
        <v>408</v>
      </c>
      <c r="AQ250" s="4" t="s">
        <v>976</v>
      </c>
      <c r="AR250" s="4"/>
      <c r="AS250" s="4"/>
      <c r="AT250" s="4" t="s">
        <v>705</v>
      </c>
      <c r="AU250" s="4">
        <v>3062</v>
      </c>
      <c r="AV250" s="4">
        <f t="shared" si="67"/>
        <v>3062</v>
      </c>
      <c r="AW250" s="19">
        <v>4</v>
      </c>
      <c r="AX250" s="19">
        <v>1</v>
      </c>
      <c r="AY250" s="16">
        <v>19</v>
      </c>
      <c r="AZ250">
        <v>2931</v>
      </c>
      <c r="BA250">
        <f>IFERROR(AZ250*AL250,"-")</f>
        <v>3070.0620437956209</v>
      </c>
      <c r="BB250">
        <v>2906</v>
      </c>
      <c r="BC250">
        <f>IFERROR(BB250*AL250,"-")</f>
        <v>3043.8759124087596</v>
      </c>
      <c r="BD250" t="s">
        <v>649</v>
      </c>
    </row>
    <row r="251" spans="1:56" x14ac:dyDescent="0.4">
      <c r="A251" s="41">
        <v>109</v>
      </c>
      <c r="B251" s="3">
        <v>109</v>
      </c>
      <c r="C251" s="4">
        <v>117420</v>
      </c>
      <c r="D251" s="4" t="str">
        <f t="shared" si="53"/>
        <v>117420</v>
      </c>
      <c r="E251" s="4">
        <v>117420</v>
      </c>
      <c r="F251" s="4" t="s">
        <v>215</v>
      </c>
      <c r="G251" s="5">
        <v>4535627304904</v>
      </c>
      <c r="H251" s="5"/>
      <c r="I251" s="5"/>
      <c r="J251" s="5">
        <v>1</v>
      </c>
      <c r="K251" s="5">
        <v>1</v>
      </c>
      <c r="L251" s="4">
        <v>0</v>
      </c>
      <c r="M251" s="4">
        <v>2985</v>
      </c>
      <c r="N251" s="4">
        <v>1633</v>
      </c>
      <c r="O251" s="6">
        <f t="shared" si="54"/>
        <v>0.45293132328308205</v>
      </c>
      <c r="P251" s="4">
        <v>2580</v>
      </c>
      <c r="Q251" s="4">
        <v>2</v>
      </c>
      <c r="R251" s="4">
        <v>99999</v>
      </c>
      <c r="S251" s="4">
        <v>0</v>
      </c>
      <c r="T251" s="4">
        <f t="shared" si="55"/>
        <v>0</v>
      </c>
      <c r="U251" s="4">
        <v>1731</v>
      </c>
      <c r="V251" s="4">
        <f t="shared" si="56"/>
        <v>1731</v>
      </c>
      <c r="W251" s="4"/>
      <c r="X251" s="21">
        <f t="shared" si="57"/>
        <v>3164</v>
      </c>
      <c r="Y251" s="6">
        <f t="shared" si="58"/>
        <v>0.45290771175726929</v>
      </c>
      <c r="Z251" s="33">
        <v>15.75</v>
      </c>
      <c r="AA251" s="4">
        <f t="shared" si="59"/>
        <v>4168.6000000000004</v>
      </c>
      <c r="AB251" s="33">
        <f t="shared" si="60"/>
        <v>4418.7670545009187</v>
      </c>
      <c r="AC251" s="6">
        <f t="shared" si="61"/>
        <v>0.60826176654032538</v>
      </c>
      <c r="AD251" s="7">
        <v>3150</v>
      </c>
      <c r="AE251" s="6">
        <f t="shared" si="62"/>
        <v>0.45047619047619047</v>
      </c>
      <c r="AF251" s="42">
        <f t="shared" si="63"/>
        <v>1419</v>
      </c>
      <c r="AG251" s="28"/>
      <c r="AH251" s="6"/>
      <c r="AI251" s="6"/>
      <c r="AJ251" s="6" t="str">
        <f t="shared" si="64"/>
        <v>-</v>
      </c>
      <c r="AK251" s="6">
        <f t="shared" si="65"/>
        <v>1.0552763819095476</v>
      </c>
      <c r="AL251" s="6">
        <f t="shared" si="66"/>
        <v>1.0600122473974281</v>
      </c>
      <c r="AM251" s="4">
        <v>2800</v>
      </c>
      <c r="AN251" s="4">
        <f>IF(Q251="","-",Q251)</f>
        <v>2</v>
      </c>
      <c r="AO251" s="4">
        <f>IF(R251="","-",R251)</f>
        <v>99999</v>
      </c>
      <c r="AP251" s="4" t="s">
        <v>418</v>
      </c>
      <c r="AQ251" s="4" t="s">
        <v>824</v>
      </c>
      <c r="AR251" s="4">
        <v>1</v>
      </c>
      <c r="AS251" s="4">
        <v>5</v>
      </c>
      <c r="AT251" s="4" t="s">
        <v>825</v>
      </c>
      <c r="AU251" s="4">
        <v>20843</v>
      </c>
      <c r="AV251" s="4">
        <f t="shared" si="67"/>
        <v>4168.6000000000004</v>
      </c>
      <c r="AW251" s="19">
        <v>2</v>
      </c>
      <c r="AX251" s="19">
        <v>1</v>
      </c>
      <c r="AY251" s="16">
        <v>19</v>
      </c>
      <c r="AZ251">
        <v>2980</v>
      </c>
      <c r="BA251">
        <f>IFERROR(AZ251*AL251,"-")</f>
        <v>3158.8364972443355</v>
      </c>
      <c r="BB251">
        <v>3288</v>
      </c>
      <c r="BC251">
        <f>IFERROR(BB251*AL251,"-")</f>
        <v>3485.3202694427437</v>
      </c>
      <c r="BD251" t="s">
        <v>523</v>
      </c>
    </row>
    <row r="252" spans="1:56" x14ac:dyDescent="0.4">
      <c r="A252" s="3">
        <v>235</v>
      </c>
      <c r="B252" s="3">
        <v>235</v>
      </c>
      <c r="C252" s="4" t="s">
        <v>59</v>
      </c>
      <c r="D252" s="4" t="str">
        <f t="shared" si="53"/>
        <v>J060GM</v>
      </c>
      <c r="E252" s="4" t="s">
        <v>59</v>
      </c>
      <c r="F252" s="4" t="s">
        <v>341</v>
      </c>
      <c r="G252" s="5">
        <v>4535627102401</v>
      </c>
      <c r="H252" s="5"/>
      <c r="I252" s="5"/>
      <c r="J252" s="5">
        <v>1</v>
      </c>
      <c r="K252" s="5">
        <v>1</v>
      </c>
      <c r="L252" s="4">
        <v>3900</v>
      </c>
      <c r="M252" s="4">
        <v>2070</v>
      </c>
      <c r="N252" s="4">
        <v>1638</v>
      </c>
      <c r="O252" s="6">
        <f t="shared" si="54"/>
        <v>0.20869565217391306</v>
      </c>
      <c r="P252" s="4" t="s">
        <v>699</v>
      </c>
      <c r="Q252" s="4" t="s">
        <v>699</v>
      </c>
      <c r="R252" s="4" t="s">
        <v>699</v>
      </c>
      <c r="S252" s="4">
        <v>4200</v>
      </c>
      <c r="T252" s="4">
        <f t="shared" si="55"/>
        <v>4200</v>
      </c>
      <c r="U252" s="4">
        <v>1764</v>
      </c>
      <c r="V252" s="4">
        <f t="shared" si="56"/>
        <v>1764</v>
      </c>
      <c r="W252" s="4"/>
      <c r="X252" s="21">
        <f t="shared" si="57"/>
        <v>2229</v>
      </c>
      <c r="Y252" s="6">
        <f t="shared" si="58"/>
        <v>0.20861372812920587</v>
      </c>
      <c r="Z252" s="33">
        <v>0</v>
      </c>
      <c r="AA252" s="4">
        <f t="shared" si="59"/>
        <v>2838</v>
      </c>
      <c r="AB252" s="33">
        <f t="shared" si="60"/>
        <v>3056.3076923076924</v>
      </c>
      <c r="AC252" s="6">
        <f t="shared" si="61"/>
        <v>0.42283298097251587</v>
      </c>
      <c r="AD252" s="7">
        <v>2900</v>
      </c>
      <c r="AE252" s="6">
        <f t="shared" si="62"/>
        <v>0.39172413793103444</v>
      </c>
      <c r="AF252" s="4">
        <f t="shared" si="63"/>
        <v>1136</v>
      </c>
      <c r="AG252" s="28"/>
      <c r="AH252" s="6"/>
      <c r="AI252" s="6"/>
      <c r="AJ252" s="6">
        <f t="shared" si="64"/>
        <v>1.0769230769230769</v>
      </c>
      <c r="AK252" s="6">
        <f t="shared" si="65"/>
        <v>1.4009661835748792</v>
      </c>
      <c r="AL252" s="6">
        <f t="shared" si="66"/>
        <v>1.0769230769230769</v>
      </c>
      <c r="AM252" s="4" t="str">
        <f t="shared" ref="AM252:AM283" si="71">IFERROR(ROUND($AD252*P252/$M252,0),"-")</f>
        <v>-</v>
      </c>
      <c r="AN252" s="4" t="str">
        <f>IF(Q252="","-",Q252)</f>
        <v>-</v>
      </c>
      <c r="AO252" s="4" t="str">
        <f>IF(R252="","-",R252)</f>
        <v>-</v>
      </c>
      <c r="AP252" s="4">
        <v>0</v>
      </c>
      <c r="AQ252" s="4" t="s">
        <v>978</v>
      </c>
      <c r="AR252" s="4"/>
      <c r="AS252" s="4"/>
      <c r="AT252" s="4" t="s">
        <v>705</v>
      </c>
      <c r="AU252" s="4">
        <v>2838</v>
      </c>
      <c r="AV252" s="4">
        <f t="shared" si="67"/>
        <v>2838</v>
      </c>
      <c r="AW252" s="19">
        <v>4</v>
      </c>
      <c r="AX252" s="19">
        <v>8</v>
      </c>
      <c r="AY252" s="16">
        <v>19</v>
      </c>
      <c r="AZ252" t="s">
        <v>699</v>
      </c>
      <c r="BA252" t="str">
        <f>IFERROR(AZ252*AL252,"-")</f>
        <v>-</v>
      </c>
      <c r="BB252">
        <v>2925</v>
      </c>
      <c r="BC252">
        <f>IFERROR(BB252*AL252,"-")</f>
        <v>3150</v>
      </c>
      <c r="BD252" t="s">
        <v>651</v>
      </c>
    </row>
    <row r="253" spans="1:56" x14ac:dyDescent="0.4">
      <c r="A253" s="3">
        <v>217</v>
      </c>
      <c r="B253" s="3">
        <v>217</v>
      </c>
      <c r="C253" s="4">
        <v>681350</v>
      </c>
      <c r="D253" s="4" t="str">
        <f t="shared" si="53"/>
        <v>681350</v>
      </c>
      <c r="E253" s="4">
        <v>681350</v>
      </c>
      <c r="F253" s="4" t="s">
        <v>323</v>
      </c>
      <c r="G253" s="5">
        <v>4535627102203</v>
      </c>
      <c r="H253" s="5"/>
      <c r="I253" s="5"/>
      <c r="J253" s="5">
        <v>1</v>
      </c>
      <c r="K253" s="5">
        <v>1</v>
      </c>
      <c r="L253" s="4">
        <v>4000</v>
      </c>
      <c r="M253" s="4">
        <v>2359</v>
      </c>
      <c r="N253" s="4">
        <v>1680</v>
      </c>
      <c r="O253" s="6">
        <f t="shared" si="54"/>
        <v>0.28783382789317502</v>
      </c>
      <c r="P253" s="4" t="s">
        <v>699</v>
      </c>
      <c r="Q253" s="4" t="s">
        <v>699</v>
      </c>
      <c r="R253" s="4" t="s">
        <v>699</v>
      </c>
      <c r="S253" s="4">
        <v>4300</v>
      </c>
      <c r="T253" s="4">
        <f t="shared" si="55"/>
        <v>4300</v>
      </c>
      <c r="U253" s="4">
        <v>1806</v>
      </c>
      <c r="V253" s="4">
        <f t="shared" si="56"/>
        <v>1806</v>
      </c>
      <c r="W253" s="4"/>
      <c r="X253" s="21">
        <f t="shared" si="57"/>
        <v>2536</v>
      </c>
      <c r="Y253" s="6">
        <f t="shared" si="58"/>
        <v>0.28785488958990535</v>
      </c>
      <c r="Z253" s="33">
        <v>0.75</v>
      </c>
      <c r="AA253" s="4">
        <f t="shared" si="59"/>
        <v>2871</v>
      </c>
      <c r="AB253" s="33">
        <f t="shared" si="60"/>
        <v>3086.3249999999998</v>
      </c>
      <c r="AC253" s="6">
        <f t="shared" si="61"/>
        <v>0.41483803552769072</v>
      </c>
      <c r="AD253" s="7">
        <v>2900</v>
      </c>
      <c r="AE253" s="6">
        <f t="shared" si="62"/>
        <v>0.37724137931034485</v>
      </c>
      <c r="AF253" s="4">
        <f t="shared" si="63"/>
        <v>1094</v>
      </c>
      <c r="AG253" s="28"/>
      <c r="AH253" s="6"/>
      <c r="AI253" s="6"/>
      <c r="AJ253" s="6">
        <f t="shared" si="64"/>
        <v>1.075</v>
      </c>
      <c r="AK253" s="6">
        <f t="shared" si="65"/>
        <v>1.2293344637558288</v>
      </c>
      <c r="AL253" s="6">
        <f t="shared" si="66"/>
        <v>1.075</v>
      </c>
      <c r="AM253" s="4" t="str">
        <f t="shared" si="71"/>
        <v>-</v>
      </c>
      <c r="AN253" s="4" t="str">
        <f>IF(Q253="","-",Q253)</f>
        <v>-</v>
      </c>
      <c r="AO253" s="4" t="str">
        <f>IF(R253="","-",R253)</f>
        <v>-</v>
      </c>
      <c r="AP253" s="4" t="s">
        <v>428</v>
      </c>
      <c r="AQ253" s="4" t="s">
        <v>957</v>
      </c>
      <c r="AR253" s="4"/>
      <c r="AS253" s="4"/>
      <c r="AT253" s="4" t="s">
        <v>705</v>
      </c>
      <c r="AU253" s="4">
        <v>2871</v>
      </c>
      <c r="AV253" s="4">
        <f t="shared" si="67"/>
        <v>2871</v>
      </c>
      <c r="AW253" s="19">
        <v>4</v>
      </c>
      <c r="AX253" s="19">
        <v>1</v>
      </c>
      <c r="AY253" s="16">
        <v>19</v>
      </c>
      <c r="AZ253">
        <v>2786</v>
      </c>
      <c r="BA253">
        <f>IFERROR(AZ253*AL253,"-")</f>
        <v>2994.95</v>
      </c>
      <c r="BB253">
        <v>2708</v>
      </c>
      <c r="BC253">
        <f>IFERROR(BB253*AL253,"-")</f>
        <v>2911.1</v>
      </c>
      <c r="BD253" t="s">
        <v>633</v>
      </c>
    </row>
    <row r="254" spans="1:56" x14ac:dyDescent="0.4">
      <c r="A254" s="3">
        <v>180</v>
      </c>
      <c r="B254" s="3">
        <v>180</v>
      </c>
      <c r="C254" s="4">
        <v>600938</v>
      </c>
      <c r="D254" s="4" t="str">
        <f t="shared" si="53"/>
        <v>600938</v>
      </c>
      <c r="E254" s="4">
        <v>600938</v>
      </c>
      <c r="F254" s="4" t="s">
        <v>286</v>
      </c>
      <c r="G254" s="5">
        <v>4535627250607</v>
      </c>
      <c r="H254" s="5"/>
      <c r="I254" s="5"/>
      <c r="J254" s="5">
        <v>1</v>
      </c>
      <c r="K254" s="5">
        <v>1</v>
      </c>
      <c r="L254" s="4">
        <v>4900</v>
      </c>
      <c r="M254" s="4">
        <v>2328</v>
      </c>
      <c r="N254" s="4">
        <v>1764</v>
      </c>
      <c r="O254" s="6">
        <f t="shared" si="54"/>
        <v>0.24226804123711343</v>
      </c>
      <c r="P254" s="4" t="s">
        <v>699</v>
      </c>
      <c r="Q254" s="4" t="s">
        <v>699</v>
      </c>
      <c r="R254" s="4" t="s">
        <v>699</v>
      </c>
      <c r="S254" s="4">
        <v>5200</v>
      </c>
      <c r="T254" s="4">
        <f t="shared" si="55"/>
        <v>5200</v>
      </c>
      <c r="U254" s="4">
        <v>1872</v>
      </c>
      <c r="V254" s="4">
        <f t="shared" si="56"/>
        <v>1872</v>
      </c>
      <c r="W254" s="4"/>
      <c r="X254" s="21">
        <f t="shared" si="57"/>
        <v>2471</v>
      </c>
      <c r="Y254" s="6">
        <f t="shared" si="58"/>
        <v>0.24241197895588829</v>
      </c>
      <c r="Z254" s="33">
        <v>4.75</v>
      </c>
      <c r="AA254" s="4">
        <f t="shared" si="59"/>
        <v>2262</v>
      </c>
      <c r="AB254" s="33">
        <f t="shared" si="60"/>
        <v>2400.4897959183677</v>
      </c>
      <c r="AC254" s="6">
        <f t="shared" si="61"/>
        <v>0.22015915119363405</v>
      </c>
      <c r="AD254" s="7">
        <v>2800</v>
      </c>
      <c r="AE254" s="6">
        <f t="shared" si="62"/>
        <v>0.33142857142857141</v>
      </c>
      <c r="AF254" s="4">
        <f t="shared" si="63"/>
        <v>928</v>
      </c>
      <c r="AG254" s="28"/>
      <c r="AH254" s="6"/>
      <c r="AI254" s="6"/>
      <c r="AJ254" s="6">
        <f t="shared" si="64"/>
        <v>1.0612244897959184</v>
      </c>
      <c r="AK254" s="6">
        <f t="shared" si="65"/>
        <v>1.2027491408934707</v>
      </c>
      <c r="AL254" s="6">
        <f t="shared" si="66"/>
        <v>1.0612244897959184</v>
      </c>
      <c r="AM254" s="4" t="str">
        <f t="shared" si="71"/>
        <v>-</v>
      </c>
      <c r="AN254" s="4" t="str">
        <f>IF(Q254="","-",Q254)</f>
        <v>-</v>
      </c>
      <c r="AO254" s="4" t="str">
        <f>IF(R254="","-",R254)</f>
        <v>-</v>
      </c>
      <c r="AP254" s="4" t="s">
        <v>426</v>
      </c>
      <c r="AQ254" s="4" t="s">
        <v>912</v>
      </c>
      <c r="AR254" s="4"/>
      <c r="AS254" s="4"/>
      <c r="AT254" s="4" t="s">
        <v>705</v>
      </c>
      <c r="AU254" s="4">
        <v>2262</v>
      </c>
      <c r="AV254" s="4">
        <f t="shared" si="67"/>
        <v>2262</v>
      </c>
      <c r="AW254" s="19">
        <v>4</v>
      </c>
      <c r="AX254" s="19">
        <v>1</v>
      </c>
      <c r="AY254" s="16">
        <v>19</v>
      </c>
      <c r="AZ254" t="s">
        <v>699</v>
      </c>
      <c r="BA254" t="str">
        <f>IFERROR(AZ254*AL254,"-")</f>
        <v>-</v>
      </c>
      <c r="BB254" t="s">
        <v>699</v>
      </c>
      <c r="BC254" t="str">
        <f>IFERROR(BB254*AL254,"-")</f>
        <v>-</v>
      </c>
      <c r="BD254" t="s">
        <v>597</v>
      </c>
    </row>
    <row r="255" spans="1:56" x14ac:dyDescent="0.4">
      <c r="A255" s="3">
        <v>236</v>
      </c>
      <c r="B255" s="3">
        <v>236</v>
      </c>
      <c r="C255" s="4">
        <v>921657</v>
      </c>
      <c r="D255" s="4" t="str">
        <f t="shared" si="53"/>
        <v>921657</v>
      </c>
      <c r="E255" s="4">
        <v>921657</v>
      </c>
      <c r="F255" s="4" t="s">
        <v>342</v>
      </c>
      <c r="G255" s="5">
        <v>4535627102777</v>
      </c>
      <c r="H255" s="5"/>
      <c r="I255" s="5"/>
      <c r="J255" s="5">
        <v>1</v>
      </c>
      <c r="K255" s="5">
        <v>1</v>
      </c>
      <c r="L255" s="4">
        <v>0</v>
      </c>
      <c r="M255" s="4">
        <v>2954</v>
      </c>
      <c r="N255" s="4">
        <v>2247</v>
      </c>
      <c r="O255" s="6">
        <f t="shared" si="54"/>
        <v>0.23933649289099523</v>
      </c>
      <c r="P255" s="4" t="s">
        <v>699</v>
      </c>
      <c r="Q255" s="4" t="s">
        <v>699</v>
      </c>
      <c r="R255" s="4" t="s">
        <v>699</v>
      </c>
      <c r="S255" s="4">
        <v>0</v>
      </c>
      <c r="T255" s="4">
        <f t="shared" si="55"/>
        <v>0</v>
      </c>
      <c r="U255" s="4">
        <v>2372</v>
      </c>
      <c r="V255" s="4">
        <f t="shared" si="56"/>
        <v>2372</v>
      </c>
      <c r="W255" s="4"/>
      <c r="X255" s="21">
        <f t="shared" si="57"/>
        <v>3118</v>
      </c>
      <c r="Y255" s="6">
        <f t="shared" si="58"/>
        <v>0.23925593329057093</v>
      </c>
      <c r="Z255" s="33">
        <v>0.5</v>
      </c>
      <c r="AA255" s="4">
        <f t="shared" si="59"/>
        <v>4299</v>
      </c>
      <c r="AB255" s="33">
        <f t="shared" si="60"/>
        <v>4538.1522029372491</v>
      </c>
      <c r="AC255" s="6">
        <f t="shared" si="61"/>
        <v>0.47732030704815065</v>
      </c>
      <c r="AD255" s="7">
        <v>3900</v>
      </c>
      <c r="AE255" s="6">
        <f t="shared" si="62"/>
        <v>0.39179487179487182</v>
      </c>
      <c r="AF255" s="4">
        <f t="shared" si="63"/>
        <v>1528</v>
      </c>
      <c r="AG255" s="28"/>
      <c r="AH255" s="6"/>
      <c r="AI255" s="6"/>
      <c r="AJ255" s="6" t="str">
        <f t="shared" si="64"/>
        <v>-</v>
      </c>
      <c r="AK255" s="6">
        <f t="shared" si="65"/>
        <v>1.3202437373053486</v>
      </c>
      <c r="AL255" s="6">
        <f t="shared" si="66"/>
        <v>1.0556297285269247</v>
      </c>
      <c r="AM255" s="4" t="str">
        <f t="shared" si="71"/>
        <v>-</v>
      </c>
      <c r="AN255" s="4" t="str">
        <f>IF(Q255="","-",Q255)</f>
        <v>-</v>
      </c>
      <c r="AO255" s="4" t="str">
        <f>IF(R255="","-",R255)</f>
        <v>-</v>
      </c>
      <c r="AP255" s="4" t="s">
        <v>408</v>
      </c>
      <c r="AQ255" s="4" t="s">
        <v>979</v>
      </c>
      <c r="AR255" s="4"/>
      <c r="AS255" s="4"/>
      <c r="AT255" s="4" t="s">
        <v>705</v>
      </c>
      <c r="AU255" s="4">
        <v>4299</v>
      </c>
      <c r="AV255" s="4">
        <f t="shared" si="67"/>
        <v>4299</v>
      </c>
      <c r="AW255" s="19">
        <v>4</v>
      </c>
      <c r="AX255" s="19">
        <v>1</v>
      </c>
      <c r="AY255" s="16">
        <v>19</v>
      </c>
      <c r="AZ255" t="s">
        <v>699</v>
      </c>
      <c r="BA255" t="str">
        <f>IFERROR(AZ255*AL255,"-")</f>
        <v>-</v>
      </c>
      <c r="BB255">
        <v>4300</v>
      </c>
      <c r="BC255">
        <f>IFERROR(BB255*AL255,"-")</f>
        <v>4539.2078326657766</v>
      </c>
      <c r="BD255" t="s">
        <v>652</v>
      </c>
    </row>
    <row r="256" spans="1:56" x14ac:dyDescent="0.4">
      <c r="A256" s="3">
        <v>7</v>
      </c>
      <c r="B256" s="3">
        <v>7</v>
      </c>
      <c r="C256" s="4">
        <v>11600</v>
      </c>
      <c r="D256" s="4" t="str">
        <f t="shared" si="53"/>
        <v>011600</v>
      </c>
      <c r="E256" s="4">
        <v>528804</v>
      </c>
      <c r="F256" s="4" t="s">
        <v>113</v>
      </c>
      <c r="G256" s="5">
        <v>4535627102319</v>
      </c>
      <c r="H256" s="5"/>
      <c r="I256" s="5"/>
      <c r="J256" s="5">
        <v>1</v>
      </c>
      <c r="K256" s="5">
        <v>1</v>
      </c>
      <c r="L256" s="4">
        <v>6400</v>
      </c>
      <c r="M256" s="4">
        <v>3110</v>
      </c>
      <c r="N256" s="4">
        <v>2240</v>
      </c>
      <c r="O256" s="6">
        <f t="shared" si="54"/>
        <v>0.27974276527331188</v>
      </c>
      <c r="P256" s="4" t="s">
        <v>699</v>
      </c>
      <c r="Q256" s="4" t="s">
        <v>699</v>
      </c>
      <c r="R256" s="4" t="s">
        <v>699</v>
      </c>
      <c r="S256" s="4">
        <v>6800</v>
      </c>
      <c r="T256" s="4">
        <f t="shared" si="55"/>
        <v>6800</v>
      </c>
      <c r="U256" s="4">
        <v>2380</v>
      </c>
      <c r="V256" s="4">
        <f t="shared" si="56"/>
        <v>2380</v>
      </c>
      <c r="W256" s="4"/>
      <c r="X256" s="21">
        <f t="shared" si="57"/>
        <v>3304</v>
      </c>
      <c r="Y256" s="6">
        <f t="shared" si="58"/>
        <v>0.27966101694915257</v>
      </c>
      <c r="Z256" s="33">
        <v>1</v>
      </c>
      <c r="AA256" s="4">
        <f t="shared" si="59"/>
        <v>6000</v>
      </c>
      <c r="AB256" s="33">
        <f t="shared" si="60"/>
        <v>6375</v>
      </c>
      <c r="AC256" s="6">
        <f t="shared" si="61"/>
        <v>0.62666666666666671</v>
      </c>
      <c r="AD256" s="7">
        <v>3800</v>
      </c>
      <c r="AE256" s="6">
        <f t="shared" si="62"/>
        <v>0.37368421052631584</v>
      </c>
      <c r="AF256" s="4">
        <f t="shared" si="63"/>
        <v>1420</v>
      </c>
      <c r="AG256" s="28"/>
      <c r="AH256" s="6"/>
      <c r="AI256" s="6"/>
      <c r="AJ256" s="6">
        <f t="shared" si="64"/>
        <v>1.0625</v>
      </c>
      <c r="AK256" s="6">
        <f t="shared" si="65"/>
        <v>1.2218649517684887</v>
      </c>
      <c r="AL256" s="6">
        <f t="shared" si="66"/>
        <v>1.0625</v>
      </c>
      <c r="AM256" s="4" t="str">
        <f t="shared" si="71"/>
        <v>-</v>
      </c>
      <c r="AN256" s="4" t="str">
        <f>IF(Q256="","-",Q256)</f>
        <v>-</v>
      </c>
      <c r="AO256" s="4" t="str">
        <f>IF(R256="","-",R256)</f>
        <v>-</v>
      </c>
      <c r="AP256" s="4" t="s">
        <v>408</v>
      </c>
      <c r="AQ256" s="4" t="s">
        <v>710</v>
      </c>
      <c r="AR256" s="4"/>
      <c r="AS256" s="4"/>
      <c r="AT256" s="4" t="s">
        <v>709</v>
      </c>
      <c r="AU256" s="4">
        <v>6000</v>
      </c>
      <c r="AV256" s="4">
        <f t="shared" si="67"/>
        <v>6000</v>
      </c>
      <c r="AW256" s="19">
        <v>4</v>
      </c>
      <c r="AX256" s="19">
        <v>1</v>
      </c>
      <c r="AY256" s="16">
        <v>19</v>
      </c>
      <c r="AZ256" t="s">
        <v>699</v>
      </c>
      <c r="BA256" t="str">
        <f>IFERROR(AZ256*AL256,"-")</f>
        <v>-</v>
      </c>
      <c r="BB256">
        <v>3703</v>
      </c>
      <c r="BC256">
        <f>IFERROR(BB256*AL256,"-")</f>
        <v>3934.4375</v>
      </c>
      <c r="BD256" t="s">
        <v>435</v>
      </c>
    </row>
    <row r="257" spans="1:56" x14ac:dyDescent="0.4">
      <c r="A257" s="3">
        <v>281</v>
      </c>
      <c r="B257" s="3">
        <v>281</v>
      </c>
      <c r="C257" s="4" t="s">
        <v>104</v>
      </c>
      <c r="D257" s="4" t="str">
        <f t="shared" si="53"/>
        <v>J923RW</v>
      </c>
      <c r="E257" s="4" t="s">
        <v>104</v>
      </c>
      <c r="F257" s="4" t="s">
        <v>387</v>
      </c>
      <c r="G257" s="5">
        <v>4535627250614</v>
      </c>
      <c r="H257" s="5"/>
      <c r="I257" s="5"/>
      <c r="J257" s="5">
        <v>1</v>
      </c>
      <c r="K257" s="5">
        <v>1</v>
      </c>
      <c r="L257" s="4">
        <v>5600</v>
      </c>
      <c r="M257" s="4">
        <v>4542</v>
      </c>
      <c r="N257" s="4">
        <v>2352</v>
      </c>
      <c r="O257" s="6">
        <f t="shared" si="54"/>
        <v>0.48216644649933948</v>
      </c>
      <c r="P257" s="4" t="s">
        <v>699</v>
      </c>
      <c r="Q257" s="4" t="s">
        <v>699</v>
      </c>
      <c r="R257" s="4" t="s">
        <v>699</v>
      </c>
      <c r="S257" s="4">
        <v>5900</v>
      </c>
      <c r="T257" s="4">
        <f t="shared" si="55"/>
        <v>5900</v>
      </c>
      <c r="U257" s="4">
        <v>2478</v>
      </c>
      <c r="V257" s="4">
        <f t="shared" si="56"/>
        <v>2478</v>
      </c>
      <c r="W257" s="4"/>
      <c r="X257" s="21">
        <f t="shared" si="57"/>
        <v>4785</v>
      </c>
      <c r="Y257" s="6">
        <f t="shared" si="58"/>
        <v>0.48213166144200625</v>
      </c>
      <c r="Z257" s="33">
        <v>4.25</v>
      </c>
      <c r="AA257" s="4">
        <f t="shared" si="59"/>
        <v>5044</v>
      </c>
      <c r="AB257" s="33">
        <f t="shared" si="60"/>
        <v>5314.2142857142862</v>
      </c>
      <c r="AC257" s="6">
        <f t="shared" si="61"/>
        <v>0.53370340999206989</v>
      </c>
      <c r="AD257" s="7">
        <v>4600</v>
      </c>
      <c r="AE257" s="6">
        <f t="shared" si="62"/>
        <v>0.46130434782608698</v>
      </c>
      <c r="AF257" s="4">
        <f t="shared" si="63"/>
        <v>2122</v>
      </c>
      <c r="AG257" s="28"/>
      <c r="AH257" s="6"/>
      <c r="AI257" s="6"/>
      <c r="AJ257" s="6">
        <f t="shared" si="64"/>
        <v>1.0535714285714286</v>
      </c>
      <c r="AK257" s="6">
        <f t="shared" si="65"/>
        <v>1.0127697049757816</v>
      </c>
      <c r="AL257" s="6">
        <f t="shared" si="66"/>
        <v>1.0535714285714286</v>
      </c>
      <c r="AM257" s="4" t="str">
        <f t="shared" si="71"/>
        <v>-</v>
      </c>
      <c r="AN257" s="4" t="str">
        <f>IF(Q257="","-",Q257)</f>
        <v>-</v>
      </c>
      <c r="AO257" s="4" t="str">
        <f>IF(R257="","-",R257)</f>
        <v>-</v>
      </c>
      <c r="AP257" s="4" t="s">
        <v>407</v>
      </c>
      <c r="AQ257" s="4" t="s">
        <v>1025</v>
      </c>
      <c r="AR257" s="4"/>
      <c r="AS257" s="4"/>
      <c r="AT257" s="4" t="s">
        <v>705</v>
      </c>
      <c r="AU257" s="4">
        <v>5044</v>
      </c>
      <c r="AV257" s="4">
        <f t="shared" si="67"/>
        <v>5044</v>
      </c>
      <c r="AW257" s="19">
        <v>4</v>
      </c>
      <c r="AX257" s="19">
        <v>1</v>
      </c>
      <c r="AY257" s="16">
        <v>19</v>
      </c>
      <c r="AZ257" t="s">
        <v>699</v>
      </c>
      <c r="BA257" t="str">
        <f>IFERROR(AZ257*AL257,"-")</f>
        <v>-</v>
      </c>
      <c r="BB257">
        <v>5040</v>
      </c>
      <c r="BC257">
        <f>IFERROR(BB257*AL257,"-")</f>
        <v>5310</v>
      </c>
      <c r="BD257" t="s">
        <v>696</v>
      </c>
    </row>
    <row r="258" spans="1:56" x14ac:dyDescent="0.4">
      <c r="A258" s="3">
        <v>232</v>
      </c>
      <c r="B258" s="3">
        <v>232</v>
      </c>
      <c r="C258" s="4">
        <v>921654</v>
      </c>
      <c r="D258" s="4" t="str">
        <f t="shared" si="53"/>
        <v>921654</v>
      </c>
      <c r="E258" s="4">
        <v>921654</v>
      </c>
      <c r="F258" s="4" t="s">
        <v>338</v>
      </c>
      <c r="G258" s="5">
        <v>4535627102753</v>
      </c>
      <c r="H258" s="5"/>
      <c r="I258" s="5"/>
      <c r="J258" s="5">
        <v>1</v>
      </c>
      <c r="K258" s="5">
        <v>1</v>
      </c>
      <c r="L258" s="4">
        <v>0</v>
      </c>
      <c r="M258" s="4">
        <v>4581</v>
      </c>
      <c r="N258" s="4">
        <v>2417</v>
      </c>
      <c r="O258" s="6">
        <f t="shared" si="54"/>
        <v>0.47238594193407557</v>
      </c>
      <c r="P258" s="4" t="s">
        <v>699</v>
      </c>
      <c r="Q258" s="4" t="s">
        <v>699</v>
      </c>
      <c r="R258" s="4" t="s">
        <v>699</v>
      </c>
      <c r="S258" s="4">
        <v>0</v>
      </c>
      <c r="T258" s="4">
        <f t="shared" si="55"/>
        <v>0</v>
      </c>
      <c r="U258" s="4">
        <v>2542</v>
      </c>
      <c r="V258" s="4">
        <f t="shared" si="56"/>
        <v>2542</v>
      </c>
      <c r="W258" s="4"/>
      <c r="X258" s="21">
        <f t="shared" si="57"/>
        <v>4818</v>
      </c>
      <c r="Y258" s="6">
        <f t="shared" si="58"/>
        <v>0.47239518472395181</v>
      </c>
      <c r="Z258" s="33">
        <v>3</v>
      </c>
      <c r="AA258" s="4">
        <f t="shared" si="59"/>
        <v>4590</v>
      </c>
      <c r="AB258" s="33">
        <f t="shared" si="60"/>
        <v>4827.3810508895322</v>
      </c>
      <c r="AC258" s="6">
        <f t="shared" si="61"/>
        <v>0.47342047930283226</v>
      </c>
      <c r="AD258" s="7">
        <v>4680</v>
      </c>
      <c r="AE258" s="6">
        <f t="shared" si="62"/>
        <v>0.45683760683760688</v>
      </c>
      <c r="AF258" s="4">
        <f t="shared" si="63"/>
        <v>2138</v>
      </c>
      <c r="AG258" s="28"/>
      <c r="AH258" s="6"/>
      <c r="AI258" s="6"/>
      <c r="AJ258" s="6" t="str">
        <f t="shared" si="64"/>
        <v>-</v>
      </c>
      <c r="AK258" s="6">
        <f t="shared" si="65"/>
        <v>1.0216110019646365</v>
      </c>
      <c r="AL258" s="6">
        <f t="shared" si="66"/>
        <v>1.0517170045510964</v>
      </c>
      <c r="AM258" s="4" t="str">
        <f t="shared" si="71"/>
        <v>-</v>
      </c>
      <c r="AN258" s="4" t="str">
        <f>IF(Q258="","-",Q258)</f>
        <v>-</v>
      </c>
      <c r="AO258" s="4" t="str">
        <f>IF(R258="","-",R258)</f>
        <v>-</v>
      </c>
      <c r="AP258" s="4" t="s">
        <v>408</v>
      </c>
      <c r="AQ258" s="4" t="s">
        <v>975</v>
      </c>
      <c r="AR258" s="4"/>
      <c r="AS258" s="4"/>
      <c r="AT258" s="4" t="s">
        <v>705</v>
      </c>
      <c r="AU258" s="4">
        <v>4590</v>
      </c>
      <c r="AV258" s="4">
        <f t="shared" si="67"/>
        <v>4590</v>
      </c>
      <c r="AW258" s="19">
        <v>4</v>
      </c>
      <c r="AX258" s="19">
        <v>1</v>
      </c>
      <c r="AY258" s="16">
        <v>19</v>
      </c>
      <c r="AZ258">
        <v>4451</v>
      </c>
      <c r="BA258">
        <f>IFERROR(AZ258*AL258,"-")</f>
        <v>4681.1923872569305</v>
      </c>
      <c r="BB258">
        <v>4566</v>
      </c>
      <c r="BC258">
        <f>IFERROR(BB258*AL258,"-")</f>
        <v>4802.139842780306</v>
      </c>
      <c r="BD258" t="s">
        <v>648</v>
      </c>
    </row>
    <row r="259" spans="1:56" x14ac:dyDescent="0.4">
      <c r="A259" s="3">
        <v>234</v>
      </c>
      <c r="B259" s="3">
        <v>234</v>
      </c>
      <c r="C259" s="4">
        <v>921656</v>
      </c>
      <c r="D259" s="4" t="str">
        <f t="shared" si="53"/>
        <v>921656</v>
      </c>
      <c r="E259" s="4">
        <v>921656</v>
      </c>
      <c r="F259" s="4" t="s">
        <v>340</v>
      </c>
      <c r="G259" s="5">
        <v>4535627102760</v>
      </c>
      <c r="H259" s="5"/>
      <c r="I259" s="5"/>
      <c r="J259" s="5">
        <v>1</v>
      </c>
      <c r="K259" s="5">
        <v>1</v>
      </c>
      <c r="L259" s="4">
        <v>0</v>
      </c>
      <c r="M259" s="4">
        <v>4581</v>
      </c>
      <c r="N259" s="4">
        <v>2417</v>
      </c>
      <c r="O259" s="6">
        <f t="shared" si="54"/>
        <v>0.47238594193407557</v>
      </c>
      <c r="P259" s="4" t="s">
        <v>699</v>
      </c>
      <c r="Q259" s="4" t="s">
        <v>699</v>
      </c>
      <c r="R259" s="4" t="s">
        <v>699</v>
      </c>
      <c r="S259" s="4">
        <v>0</v>
      </c>
      <c r="T259" s="4">
        <f t="shared" si="55"/>
        <v>0</v>
      </c>
      <c r="U259" s="4">
        <v>2542</v>
      </c>
      <c r="V259" s="4">
        <f t="shared" si="56"/>
        <v>2542</v>
      </c>
      <c r="W259" s="4"/>
      <c r="X259" s="21">
        <f t="shared" si="57"/>
        <v>4818</v>
      </c>
      <c r="Y259" s="6">
        <f t="shared" si="58"/>
        <v>0.47239518472395181</v>
      </c>
      <c r="Z259" s="33">
        <v>5</v>
      </c>
      <c r="AA259" s="4">
        <f t="shared" si="59"/>
        <v>4590</v>
      </c>
      <c r="AB259" s="33">
        <f t="shared" si="60"/>
        <v>4827.3810508895322</v>
      </c>
      <c r="AC259" s="6">
        <f t="shared" si="61"/>
        <v>0.47342047930283226</v>
      </c>
      <c r="AD259" s="7">
        <v>4680</v>
      </c>
      <c r="AE259" s="6">
        <f t="shared" si="62"/>
        <v>0.45683760683760688</v>
      </c>
      <c r="AF259" s="4">
        <f t="shared" si="63"/>
        <v>2138</v>
      </c>
      <c r="AG259" s="28"/>
      <c r="AH259" s="6"/>
      <c r="AI259" s="6"/>
      <c r="AJ259" s="6" t="str">
        <f t="shared" si="64"/>
        <v>-</v>
      </c>
      <c r="AK259" s="6">
        <f t="shared" si="65"/>
        <v>1.0216110019646365</v>
      </c>
      <c r="AL259" s="6">
        <f t="shared" si="66"/>
        <v>1.0517170045510964</v>
      </c>
      <c r="AM259" s="4" t="str">
        <f t="shared" si="71"/>
        <v>-</v>
      </c>
      <c r="AN259" s="4" t="str">
        <f>IF(Q259="","-",Q259)</f>
        <v>-</v>
      </c>
      <c r="AO259" s="4" t="str">
        <f>IF(R259="","-",R259)</f>
        <v>-</v>
      </c>
      <c r="AP259" s="4" t="s">
        <v>408</v>
      </c>
      <c r="AQ259" s="4" t="s">
        <v>977</v>
      </c>
      <c r="AR259" s="4"/>
      <c r="AS259" s="4"/>
      <c r="AT259" s="4" t="s">
        <v>705</v>
      </c>
      <c r="AU259" s="4">
        <v>4590</v>
      </c>
      <c r="AV259" s="4">
        <f t="shared" si="67"/>
        <v>4590</v>
      </c>
      <c r="AW259" s="19">
        <v>4</v>
      </c>
      <c r="AX259" s="19">
        <v>1</v>
      </c>
      <c r="AY259" s="16">
        <v>19</v>
      </c>
      <c r="AZ259">
        <v>4451</v>
      </c>
      <c r="BA259">
        <f>IFERROR(AZ259*AL259,"-")</f>
        <v>4681.1923872569305</v>
      </c>
      <c r="BB259">
        <v>4566</v>
      </c>
      <c r="BC259">
        <f>IFERROR(BB259*AL259,"-")</f>
        <v>4802.139842780306</v>
      </c>
      <c r="BD259" t="s">
        <v>650</v>
      </c>
    </row>
    <row r="260" spans="1:56" x14ac:dyDescent="0.4">
      <c r="A260" s="3">
        <v>25</v>
      </c>
      <c r="B260" s="3">
        <v>25</v>
      </c>
      <c r="C260" s="4">
        <v>64719</v>
      </c>
      <c r="D260" s="4" t="str">
        <f t="shared" ref="D260:D302" si="72">TEXT(C260,"000000")</f>
        <v>064719</v>
      </c>
      <c r="E260" s="4">
        <v>64719</v>
      </c>
      <c r="F260" s="4" t="s">
        <v>131</v>
      </c>
      <c r="G260" s="5">
        <v>4535627106119</v>
      </c>
      <c r="H260" s="5"/>
      <c r="I260" s="5"/>
      <c r="J260" s="5">
        <v>1</v>
      </c>
      <c r="K260" s="5">
        <v>1</v>
      </c>
      <c r="L260" s="4">
        <v>18600</v>
      </c>
      <c r="M260" s="4">
        <v>14880</v>
      </c>
      <c r="N260" s="4">
        <v>7440</v>
      </c>
      <c r="O260" s="6">
        <f t="shared" ref="O260:O302" si="73">IFERROR(1-N260/M260,"-")</f>
        <v>0.5</v>
      </c>
      <c r="P260" s="4" t="s">
        <v>699</v>
      </c>
      <c r="Q260" s="4" t="s">
        <v>699</v>
      </c>
      <c r="R260" s="4" t="s">
        <v>699</v>
      </c>
      <c r="S260" s="4">
        <v>6500</v>
      </c>
      <c r="T260" s="4">
        <f t="shared" ref="T260:T302" si="74">IF(W260="",S260,S260*W260)</f>
        <v>19500</v>
      </c>
      <c r="U260" s="4">
        <v>2600</v>
      </c>
      <c r="V260" s="4">
        <f t="shared" ref="V260:V302" si="75">IF(W260="",U260,U260*W260)</f>
        <v>7800</v>
      </c>
      <c r="W260" s="4">
        <v>3</v>
      </c>
      <c r="X260" s="21">
        <f t="shared" ref="X260:X302" si="76">ROUND(M260*AL260,0)</f>
        <v>15600</v>
      </c>
      <c r="Y260" s="6">
        <f t="shared" ref="Y260:Y302" si="77">IFERROR(1-V260/X260,"-")</f>
        <v>0.5</v>
      </c>
      <c r="Z260" s="33">
        <v>0</v>
      </c>
      <c r="AA260" s="4">
        <f t="shared" ref="AA260:AA302" si="78">AV260</f>
        <v>17340</v>
      </c>
      <c r="AB260" s="33">
        <f t="shared" ref="AB260:AB302" si="79">IFERROR(AA260*AL260,"-")</f>
        <v>18179.032258064515</v>
      </c>
      <c r="AC260" s="6">
        <f t="shared" ref="AC260:AC302" si="80">IFERROR(1-V260/AB260,"-")</f>
        <v>0.5709342560553633</v>
      </c>
      <c r="AD260" s="7">
        <v>15600</v>
      </c>
      <c r="AE260" s="6">
        <f t="shared" ref="AE260:AE302" si="81">1-V260/AD260</f>
        <v>0.5</v>
      </c>
      <c r="AF260" s="4">
        <f t="shared" ref="AF260:AF302" si="82">AD260-V260</f>
        <v>7800</v>
      </c>
      <c r="AG260" s="28"/>
      <c r="AH260" s="6"/>
      <c r="AI260" s="6"/>
      <c r="AJ260" s="6">
        <f t="shared" ref="AJ260:AJ302" si="83">IFERROR(T260/L260,"-")</f>
        <v>1.0483870967741935</v>
      </c>
      <c r="AK260" s="6">
        <f t="shared" ref="AK260:AK302" si="84">IFERROR(AD260/M260,"-")</f>
        <v>1.0483870967741935</v>
      </c>
      <c r="AL260" s="6">
        <f t="shared" ref="AL260:AL302" si="85">IFERROR(V260/N260,"-")</f>
        <v>1.0483870967741935</v>
      </c>
      <c r="AM260" s="4" t="str">
        <f t="shared" si="71"/>
        <v>-</v>
      </c>
      <c r="AN260" s="4" t="str">
        <f>IF(Q260="","-",Q260)</f>
        <v>-</v>
      </c>
      <c r="AO260" s="4" t="str">
        <f>IF(R260="","-",R260)</f>
        <v>-</v>
      </c>
      <c r="AP260" s="4">
        <v>0</v>
      </c>
      <c r="AQ260" s="4" t="s">
        <v>720</v>
      </c>
      <c r="AR260" s="4">
        <v>3</v>
      </c>
      <c r="AS260" s="4">
        <v>1</v>
      </c>
      <c r="AT260" s="4" t="s">
        <v>721</v>
      </c>
      <c r="AU260" s="4">
        <v>5780</v>
      </c>
      <c r="AV260" s="4">
        <f t="shared" ref="AV260:AV323" si="86">IF(AR260="",AU260,AR260/AS260*AU260)</f>
        <v>17340</v>
      </c>
      <c r="AW260" s="19">
        <v>8</v>
      </c>
      <c r="AX260" s="19">
        <v>8</v>
      </c>
      <c r="AY260" s="16">
        <v>19</v>
      </c>
      <c r="AZ260">
        <v>5341</v>
      </c>
      <c r="BA260">
        <f>IFERROR(AZ260*AL260,"-")</f>
        <v>5599.4354838709678</v>
      </c>
      <c r="BB260">
        <v>4962</v>
      </c>
      <c r="BC260">
        <f>IFERROR(BB260*AL260,"-")</f>
        <v>5202.0967741935483</v>
      </c>
      <c r="BD260" t="s">
        <v>443</v>
      </c>
    </row>
    <row r="261" spans="1:56" x14ac:dyDescent="0.4">
      <c r="A261" s="3">
        <v>135</v>
      </c>
      <c r="B261" s="3">
        <v>135</v>
      </c>
      <c r="C261" s="4">
        <v>328843</v>
      </c>
      <c r="D261" s="4" t="str">
        <f t="shared" si="72"/>
        <v>328843</v>
      </c>
      <c r="E261" s="4">
        <v>328843</v>
      </c>
      <c r="F261" s="4" t="s">
        <v>241</v>
      </c>
      <c r="G261" s="5">
        <v>4535627102784</v>
      </c>
      <c r="H261" s="5"/>
      <c r="I261" s="5"/>
      <c r="J261" s="5">
        <v>1</v>
      </c>
      <c r="K261" s="5">
        <v>1</v>
      </c>
      <c r="L261" s="4">
        <v>0</v>
      </c>
      <c r="M261" s="4">
        <v>5102</v>
      </c>
      <c r="N261" s="4">
        <v>2624</v>
      </c>
      <c r="O261" s="6">
        <f t="shared" si="73"/>
        <v>0.48569188553508424</v>
      </c>
      <c r="P261" s="4" t="s">
        <v>699</v>
      </c>
      <c r="Q261" s="4" t="s">
        <v>699</v>
      </c>
      <c r="R261" s="4" t="s">
        <v>699</v>
      </c>
      <c r="S261" s="4">
        <v>0</v>
      </c>
      <c r="T261" s="4">
        <f t="shared" si="74"/>
        <v>0</v>
      </c>
      <c r="U261" s="4">
        <v>2751</v>
      </c>
      <c r="V261" s="4">
        <f t="shared" si="75"/>
        <v>2751</v>
      </c>
      <c r="W261" s="4"/>
      <c r="X261" s="21">
        <f t="shared" si="76"/>
        <v>5349</v>
      </c>
      <c r="Y261" s="6">
        <f t="shared" si="77"/>
        <v>0.48569826135726302</v>
      </c>
      <c r="Z261" s="33">
        <v>3.25</v>
      </c>
      <c r="AA261" s="4">
        <f t="shared" si="78"/>
        <v>5108</v>
      </c>
      <c r="AB261" s="33">
        <f t="shared" si="79"/>
        <v>5355.2240853658532</v>
      </c>
      <c r="AC261" s="6">
        <f t="shared" si="80"/>
        <v>0.48629600626468283</v>
      </c>
      <c r="AD261" s="7">
        <v>4700</v>
      </c>
      <c r="AE261" s="6">
        <f t="shared" si="81"/>
        <v>0.41468085106382979</v>
      </c>
      <c r="AF261" s="4">
        <f t="shared" si="82"/>
        <v>1949</v>
      </c>
      <c r="AG261" s="28"/>
      <c r="AH261" s="6"/>
      <c r="AI261" s="6"/>
      <c r="AJ261" s="6" t="str">
        <f t="shared" si="83"/>
        <v>-</v>
      </c>
      <c r="AK261" s="6">
        <f t="shared" si="84"/>
        <v>0.92120736965895722</v>
      </c>
      <c r="AL261" s="6">
        <f t="shared" si="85"/>
        <v>1.0483993902439024</v>
      </c>
      <c r="AM261" s="4" t="str">
        <f t="shared" si="71"/>
        <v>-</v>
      </c>
      <c r="AN261" s="4" t="str">
        <f>IF(Q261="","-",Q261)</f>
        <v>-</v>
      </c>
      <c r="AO261" s="4" t="str">
        <f>IF(R261="","-",R261)</f>
        <v>-</v>
      </c>
      <c r="AP261" s="4" t="s">
        <v>408</v>
      </c>
      <c r="AQ261" s="4" t="s">
        <v>851</v>
      </c>
      <c r="AR261" s="4"/>
      <c r="AS261" s="4"/>
      <c r="AT261" s="4" t="s">
        <v>705</v>
      </c>
      <c r="AU261" s="4">
        <v>5108</v>
      </c>
      <c r="AV261" s="4">
        <f t="shared" si="86"/>
        <v>5108</v>
      </c>
      <c r="AW261" s="19">
        <v>4</v>
      </c>
      <c r="AX261" s="19">
        <v>1</v>
      </c>
      <c r="AY261" s="16">
        <v>19</v>
      </c>
      <c r="AZ261" t="s">
        <v>699</v>
      </c>
      <c r="BA261" t="str">
        <f>IFERROR(AZ261*AL261,"-")</f>
        <v>-</v>
      </c>
      <c r="BB261">
        <v>4507</v>
      </c>
      <c r="BC261">
        <f>IFERROR(BB261*AL261,"-")</f>
        <v>4725.1360518292677</v>
      </c>
      <c r="BD261" t="s">
        <v>547</v>
      </c>
    </row>
    <row r="262" spans="1:56" x14ac:dyDescent="0.4">
      <c r="A262" s="3">
        <v>218</v>
      </c>
      <c r="B262" s="3">
        <v>218</v>
      </c>
      <c r="C262" s="4">
        <v>681351</v>
      </c>
      <c r="D262" s="4" t="str">
        <f t="shared" si="72"/>
        <v>681351</v>
      </c>
      <c r="E262" s="4">
        <v>681351</v>
      </c>
      <c r="F262" s="4" t="s">
        <v>324</v>
      </c>
      <c r="G262" s="5">
        <v>4535627102210</v>
      </c>
      <c r="H262" s="5"/>
      <c r="I262" s="5"/>
      <c r="J262" s="5">
        <v>1</v>
      </c>
      <c r="K262" s="5">
        <v>1</v>
      </c>
      <c r="L262" s="4">
        <v>6400</v>
      </c>
      <c r="M262" s="4">
        <v>4645</v>
      </c>
      <c r="N262" s="4">
        <v>2688</v>
      </c>
      <c r="O262" s="6">
        <f t="shared" si="73"/>
        <v>0.42131324004305704</v>
      </c>
      <c r="P262" s="4" t="s">
        <v>699</v>
      </c>
      <c r="Q262" s="4" t="s">
        <v>699</v>
      </c>
      <c r="R262" s="4" t="s">
        <v>699</v>
      </c>
      <c r="S262" s="4">
        <v>6800</v>
      </c>
      <c r="T262" s="4">
        <f t="shared" si="74"/>
        <v>6800</v>
      </c>
      <c r="U262" s="4">
        <v>2856</v>
      </c>
      <c r="V262" s="4">
        <f t="shared" si="75"/>
        <v>2856</v>
      </c>
      <c r="W262" s="4"/>
      <c r="X262" s="21">
        <f t="shared" si="76"/>
        <v>4935</v>
      </c>
      <c r="Y262" s="6">
        <f t="shared" si="77"/>
        <v>0.4212765957446809</v>
      </c>
      <c r="Z262" s="33">
        <v>1</v>
      </c>
      <c r="AA262" s="4">
        <f t="shared" si="78"/>
        <v>4699</v>
      </c>
      <c r="AB262" s="33">
        <f t="shared" si="79"/>
        <v>4992.6875</v>
      </c>
      <c r="AC262" s="6">
        <f t="shared" si="80"/>
        <v>0.4279633964673335</v>
      </c>
      <c r="AD262" s="7">
        <v>4680</v>
      </c>
      <c r="AE262" s="6">
        <f t="shared" si="81"/>
        <v>0.38974358974358969</v>
      </c>
      <c r="AF262" s="4">
        <f t="shared" si="82"/>
        <v>1824</v>
      </c>
      <c r="AG262" s="28"/>
      <c r="AH262" s="6"/>
      <c r="AI262" s="6"/>
      <c r="AJ262" s="6">
        <f t="shared" si="83"/>
        <v>1.0625</v>
      </c>
      <c r="AK262" s="6">
        <f t="shared" si="84"/>
        <v>1.0075349838536061</v>
      </c>
      <c r="AL262" s="6">
        <f t="shared" si="85"/>
        <v>1.0625</v>
      </c>
      <c r="AM262" s="4" t="str">
        <f t="shared" si="71"/>
        <v>-</v>
      </c>
      <c r="AN262" s="4" t="str">
        <f>IF(Q262="","-",Q262)</f>
        <v>-</v>
      </c>
      <c r="AO262" s="4" t="str">
        <f>IF(R262="","-",R262)</f>
        <v>-</v>
      </c>
      <c r="AP262" s="4" t="s">
        <v>428</v>
      </c>
      <c r="AQ262" s="4" t="s">
        <v>958</v>
      </c>
      <c r="AR262" s="4"/>
      <c r="AS262" s="4"/>
      <c r="AT262" s="4" t="s">
        <v>705</v>
      </c>
      <c r="AU262" s="4">
        <v>4699</v>
      </c>
      <c r="AV262" s="4">
        <f t="shared" si="86"/>
        <v>4699</v>
      </c>
      <c r="AW262" s="19">
        <v>4</v>
      </c>
      <c r="AX262" s="19">
        <v>1</v>
      </c>
      <c r="AY262" s="16">
        <v>19</v>
      </c>
      <c r="AZ262">
        <v>4406</v>
      </c>
      <c r="BA262">
        <f>IFERROR(AZ262*AL262,"-")</f>
        <v>4681.375</v>
      </c>
      <c r="BB262" t="s">
        <v>699</v>
      </c>
      <c r="BC262" t="str">
        <f>IFERROR(BB262*AL262,"-")</f>
        <v>-</v>
      </c>
      <c r="BD262" t="s">
        <v>634</v>
      </c>
    </row>
    <row r="263" spans="1:56" x14ac:dyDescent="0.4">
      <c r="A263" s="3">
        <v>237</v>
      </c>
      <c r="B263" s="3">
        <v>237</v>
      </c>
      <c r="C263" s="4" t="s">
        <v>60</v>
      </c>
      <c r="D263" s="4" t="str">
        <f t="shared" si="72"/>
        <v>J061GM</v>
      </c>
      <c r="E263" s="4" t="s">
        <v>60</v>
      </c>
      <c r="F263" s="4" t="s">
        <v>343</v>
      </c>
      <c r="G263" s="5">
        <v>4535627102418</v>
      </c>
      <c r="H263" s="5"/>
      <c r="I263" s="5"/>
      <c r="J263" s="5">
        <v>1</v>
      </c>
      <c r="K263" s="5">
        <v>1</v>
      </c>
      <c r="L263" s="4">
        <v>6400</v>
      </c>
      <c r="M263" s="4">
        <v>3688</v>
      </c>
      <c r="N263" s="4">
        <v>2688</v>
      </c>
      <c r="O263" s="6">
        <f t="shared" si="73"/>
        <v>0.27114967462039041</v>
      </c>
      <c r="P263" s="4" t="s">
        <v>699</v>
      </c>
      <c r="Q263" s="4" t="s">
        <v>699</v>
      </c>
      <c r="R263" s="4" t="s">
        <v>699</v>
      </c>
      <c r="S263" s="4">
        <v>6800</v>
      </c>
      <c r="T263" s="4">
        <f t="shared" si="74"/>
        <v>6800</v>
      </c>
      <c r="U263" s="4">
        <v>2856</v>
      </c>
      <c r="V263" s="4">
        <f t="shared" si="75"/>
        <v>2856</v>
      </c>
      <c r="W263" s="4"/>
      <c r="X263" s="21">
        <f t="shared" si="76"/>
        <v>3919</v>
      </c>
      <c r="Y263" s="6">
        <f t="shared" si="77"/>
        <v>0.27124266394488394</v>
      </c>
      <c r="Z263" s="33">
        <v>0.25</v>
      </c>
      <c r="AA263" s="4">
        <f t="shared" si="78"/>
        <v>4657</v>
      </c>
      <c r="AB263" s="33">
        <f t="shared" si="79"/>
        <v>4948.0625</v>
      </c>
      <c r="AC263" s="6">
        <f t="shared" si="80"/>
        <v>0.42280438050246938</v>
      </c>
      <c r="AD263" s="7">
        <v>4000</v>
      </c>
      <c r="AE263" s="6">
        <f t="shared" si="81"/>
        <v>0.28600000000000003</v>
      </c>
      <c r="AF263" s="4">
        <f t="shared" si="82"/>
        <v>1144</v>
      </c>
      <c r="AG263" s="28"/>
      <c r="AH263" s="6"/>
      <c r="AI263" s="6"/>
      <c r="AJ263" s="6">
        <f t="shared" si="83"/>
        <v>1.0625</v>
      </c>
      <c r="AK263" s="6">
        <f t="shared" si="84"/>
        <v>1.0845986984815619</v>
      </c>
      <c r="AL263" s="6">
        <f t="shared" si="85"/>
        <v>1.0625</v>
      </c>
      <c r="AM263" s="4" t="str">
        <f t="shared" si="71"/>
        <v>-</v>
      </c>
      <c r="AN263" s="4" t="str">
        <f>IF(Q263="","-",Q263)</f>
        <v>-</v>
      </c>
      <c r="AO263" s="4" t="str">
        <f>IF(R263="","-",R263)</f>
        <v>-</v>
      </c>
      <c r="AP263" s="4">
        <v>0</v>
      </c>
      <c r="AQ263" s="4" t="s">
        <v>980</v>
      </c>
      <c r="AR263" s="4"/>
      <c r="AS263" s="4"/>
      <c r="AT263" s="4" t="s">
        <v>705</v>
      </c>
      <c r="AU263" s="4">
        <v>4657</v>
      </c>
      <c r="AV263" s="4">
        <f t="shared" si="86"/>
        <v>4657</v>
      </c>
      <c r="AW263" s="19">
        <v>4</v>
      </c>
      <c r="AX263" s="19">
        <v>8</v>
      </c>
      <c r="AY263" s="16">
        <v>19</v>
      </c>
      <c r="AZ263" t="s">
        <v>699</v>
      </c>
      <c r="BA263" t="str">
        <f>IFERROR(AZ263*AL263,"-")</f>
        <v>-</v>
      </c>
      <c r="BB263">
        <v>3771</v>
      </c>
      <c r="BC263">
        <f>IFERROR(BB263*AL263,"-")</f>
        <v>4006.6875</v>
      </c>
      <c r="BD263" t="s">
        <v>653</v>
      </c>
    </row>
    <row r="264" spans="1:56" x14ac:dyDescent="0.4">
      <c r="A264" s="41">
        <v>8</v>
      </c>
      <c r="B264" s="3">
        <v>8</v>
      </c>
      <c r="C264" s="4">
        <v>11601</v>
      </c>
      <c r="D264" s="4" t="str">
        <f t="shared" si="72"/>
        <v>011601</v>
      </c>
      <c r="E264" s="4">
        <v>528813</v>
      </c>
      <c r="F264" s="4" t="s">
        <v>114</v>
      </c>
      <c r="G264" s="5">
        <v>4535627102326</v>
      </c>
      <c r="H264" s="5"/>
      <c r="I264" s="5"/>
      <c r="J264" s="5">
        <v>1</v>
      </c>
      <c r="K264" s="5">
        <v>1</v>
      </c>
      <c r="L264" s="4">
        <v>11000</v>
      </c>
      <c r="M264" s="4">
        <v>6069</v>
      </c>
      <c r="N264" s="4">
        <v>3850</v>
      </c>
      <c r="O264" s="6">
        <f t="shared" si="73"/>
        <v>0.36562860438292966</v>
      </c>
      <c r="P264" s="4" t="s">
        <v>699</v>
      </c>
      <c r="Q264" s="4" t="s">
        <v>699</v>
      </c>
      <c r="R264" s="4" t="s">
        <v>699</v>
      </c>
      <c r="S264" s="4">
        <v>11500</v>
      </c>
      <c r="T264" s="4">
        <f t="shared" si="74"/>
        <v>11500</v>
      </c>
      <c r="U264" s="4">
        <v>4025</v>
      </c>
      <c r="V264" s="4">
        <f t="shared" si="75"/>
        <v>4025</v>
      </c>
      <c r="W264" s="4"/>
      <c r="X264" s="21">
        <f t="shared" si="76"/>
        <v>6345</v>
      </c>
      <c r="Y264" s="6">
        <f t="shared" si="77"/>
        <v>0.36564223798266349</v>
      </c>
      <c r="Z264" s="33">
        <v>1.7500000000000002</v>
      </c>
      <c r="AA264" s="4">
        <f t="shared" si="78"/>
        <v>10271</v>
      </c>
      <c r="AB264" s="33">
        <f t="shared" si="79"/>
        <v>10737.863636363636</v>
      </c>
      <c r="AC264" s="6">
        <f t="shared" si="80"/>
        <v>0.62515821244280012</v>
      </c>
      <c r="AD264" s="7">
        <v>6400</v>
      </c>
      <c r="AE264" s="6">
        <f t="shared" si="81"/>
        <v>0.37109375</v>
      </c>
      <c r="AF264" s="42">
        <f t="shared" si="82"/>
        <v>2375</v>
      </c>
      <c r="AG264" s="28"/>
      <c r="AH264" s="6"/>
      <c r="AI264" s="6"/>
      <c r="AJ264" s="6">
        <f t="shared" si="83"/>
        <v>1.0454545454545454</v>
      </c>
      <c r="AK264" s="6">
        <f t="shared" si="84"/>
        <v>1.0545394628439611</v>
      </c>
      <c r="AL264" s="6">
        <f t="shared" si="85"/>
        <v>1.0454545454545454</v>
      </c>
      <c r="AM264" s="4" t="str">
        <f t="shared" si="71"/>
        <v>-</v>
      </c>
      <c r="AN264" s="4" t="str">
        <f>IF(Q264="","-",Q264)</f>
        <v>-</v>
      </c>
      <c r="AO264" s="4" t="str">
        <f>IF(R264="","-",R264)</f>
        <v>-</v>
      </c>
      <c r="AP264" s="4" t="s">
        <v>408</v>
      </c>
      <c r="AQ264" s="4" t="s">
        <v>711</v>
      </c>
      <c r="AR264" s="4"/>
      <c r="AS264" s="4"/>
      <c r="AT264" s="4" t="s">
        <v>705</v>
      </c>
      <c r="AU264" s="4">
        <v>10271</v>
      </c>
      <c r="AV264" s="4">
        <f t="shared" si="86"/>
        <v>10271</v>
      </c>
      <c r="AW264" s="19">
        <v>2</v>
      </c>
      <c r="AX264" s="19">
        <v>1</v>
      </c>
      <c r="AY264" s="16">
        <v>19</v>
      </c>
      <c r="AZ264" t="s">
        <v>699</v>
      </c>
      <c r="BA264" t="str">
        <f>IFERROR(AZ264*AL264,"-")</f>
        <v>-</v>
      </c>
      <c r="BB264">
        <v>6415</v>
      </c>
      <c r="BC264">
        <f>IFERROR(BB264*AL264,"-")</f>
        <v>6706.590909090909</v>
      </c>
      <c r="BD264" t="s">
        <v>436</v>
      </c>
    </row>
    <row r="265" spans="1:56" x14ac:dyDescent="0.4">
      <c r="A265" s="3">
        <v>254</v>
      </c>
      <c r="B265" s="3">
        <v>254</v>
      </c>
      <c r="C265" s="4" t="s">
        <v>77</v>
      </c>
      <c r="D265" s="4" t="str">
        <f t="shared" si="72"/>
        <v>J70790</v>
      </c>
      <c r="E265" s="4" t="s">
        <v>77</v>
      </c>
      <c r="F265" s="4" t="s">
        <v>360</v>
      </c>
      <c r="G265" s="5">
        <v>4535627201029</v>
      </c>
      <c r="H265" s="5"/>
      <c r="I265" s="5"/>
      <c r="J265" s="5">
        <v>1</v>
      </c>
      <c r="K265" s="5">
        <v>1</v>
      </c>
      <c r="L265" s="4">
        <v>0</v>
      </c>
      <c r="M265" s="4">
        <v>5970</v>
      </c>
      <c r="N265" s="4">
        <v>4600</v>
      </c>
      <c r="O265" s="6">
        <f t="shared" si="73"/>
        <v>0.22948073701842542</v>
      </c>
      <c r="P265" s="4" t="s">
        <v>699</v>
      </c>
      <c r="Q265" s="4" t="s">
        <v>699</v>
      </c>
      <c r="R265" s="4" t="s">
        <v>699</v>
      </c>
      <c r="S265" s="4">
        <v>0</v>
      </c>
      <c r="T265" s="4">
        <f t="shared" si="74"/>
        <v>0</v>
      </c>
      <c r="U265" s="4">
        <v>4800</v>
      </c>
      <c r="V265" s="4">
        <f t="shared" si="75"/>
        <v>4800</v>
      </c>
      <c r="W265" s="4"/>
      <c r="X265" s="21">
        <f t="shared" si="76"/>
        <v>6230</v>
      </c>
      <c r="Y265" s="6">
        <f t="shared" si="77"/>
        <v>0.2295345104333868</v>
      </c>
      <c r="Z265" s="33">
        <v>0</v>
      </c>
      <c r="AA265" s="4">
        <f t="shared" si="78"/>
        <v>7571</v>
      </c>
      <c r="AB265" s="33">
        <f t="shared" si="79"/>
        <v>7900.173913043478</v>
      </c>
      <c r="AC265" s="6">
        <f t="shared" si="80"/>
        <v>0.39241843877955351</v>
      </c>
      <c r="AD265" s="7">
        <v>7800</v>
      </c>
      <c r="AE265" s="6">
        <f t="shared" si="81"/>
        <v>0.38461538461538458</v>
      </c>
      <c r="AF265" s="4">
        <f t="shared" si="82"/>
        <v>3000</v>
      </c>
      <c r="AG265" s="28"/>
      <c r="AH265" s="6"/>
      <c r="AI265" s="6"/>
      <c r="AJ265" s="6" t="str">
        <f t="shared" si="83"/>
        <v>-</v>
      </c>
      <c r="AK265" s="6">
        <f t="shared" si="84"/>
        <v>1.306532663316583</v>
      </c>
      <c r="AL265" s="6">
        <f t="shared" si="85"/>
        <v>1.0434782608695652</v>
      </c>
      <c r="AM265" s="4" t="str">
        <f t="shared" si="71"/>
        <v>-</v>
      </c>
      <c r="AN265" s="4" t="str">
        <f>IF(Q265="","-",Q265)</f>
        <v>-</v>
      </c>
      <c r="AO265" s="4" t="str">
        <f>IF(R265="","-",R265)</f>
        <v>-</v>
      </c>
      <c r="AP265" s="4">
        <v>0</v>
      </c>
      <c r="AQ265" s="4" t="s">
        <v>998</v>
      </c>
      <c r="AR265" s="4"/>
      <c r="AS265" s="4"/>
      <c r="AT265" s="4" t="s">
        <v>803</v>
      </c>
      <c r="AU265" s="4">
        <v>7571</v>
      </c>
      <c r="AV265" s="4">
        <f t="shared" si="86"/>
        <v>7571</v>
      </c>
      <c r="AW265" s="19">
        <v>4</v>
      </c>
      <c r="AX265" s="19">
        <v>8</v>
      </c>
      <c r="AY265" s="16">
        <v>19</v>
      </c>
      <c r="AZ265" t="s">
        <v>699</v>
      </c>
      <c r="BA265" t="str">
        <f>IFERROR(AZ265*AL265,"-")</f>
        <v>-</v>
      </c>
      <c r="BB265" t="s">
        <v>699</v>
      </c>
      <c r="BC265" t="str">
        <f>IFERROR(BB265*AL265,"-")</f>
        <v>-</v>
      </c>
      <c r="BD265" t="s">
        <v>669</v>
      </c>
    </row>
    <row r="266" spans="1:56" x14ac:dyDescent="0.4">
      <c r="A266" s="41">
        <v>194</v>
      </c>
      <c r="B266" s="3">
        <v>194</v>
      </c>
      <c r="C266" s="4">
        <v>650069</v>
      </c>
      <c r="D266" s="4" t="str">
        <f t="shared" si="72"/>
        <v>650069</v>
      </c>
      <c r="E266" s="4">
        <v>650069</v>
      </c>
      <c r="F266" s="4" t="s">
        <v>300</v>
      </c>
      <c r="G266" s="5">
        <v>4535627102425</v>
      </c>
      <c r="H266" s="5"/>
      <c r="I266" s="5"/>
      <c r="J266" s="5">
        <v>1</v>
      </c>
      <c r="K266" s="5">
        <v>1</v>
      </c>
      <c r="L266" s="4">
        <v>11000</v>
      </c>
      <c r="M266" s="4">
        <v>6598</v>
      </c>
      <c r="N266" s="4">
        <v>4620</v>
      </c>
      <c r="O266" s="6">
        <f t="shared" si="73"/>
        <v>0.29978781448923919</v>
      </c>
      <c r="P266" s="4" t="s">
        <v>699</v>
      </c>
      <c r="Q266" s="4" t="s">
        <v>699</v>
      </c>
      <c r="R266" s="4" t="s">
        <v>699</v>
      </c>
      <c r="S266" s="4">
        <v>11500</v>
      </c>
      <c r="T266" s="4">
        <f t="shared" si="74"/>
        <v>11500</v>
      </c>
      <c r="U266" s="4">
        <v>4830</v>
      </c>
      <c r="V266" s="4">
        <f t="shared" si="75"/>
        <v>4830</v>
      </c>
      <c r="W266" s="4"/>
      <c r="X266" s="21">
        <f t="shared" si="76"/>
        <v>6898</v>
      </c>
      <c r="Y266" s="6">
        <f t="shared" si="77"/>
        <v>0.29979704262104956</v>
      </c>
      <c r="Z266" s="33">
        <v>0.25</v>
      </c>
      <c r="AA266" s="4">
        <f t="shared" si="78"/>
        <v>11000</v>
      </c>
      <c r="AB266" s="33">
        <f t="shared" si="79"/>
        <v>11500</v>
      </c>
      <c r="AC266" s="6">
        <f t="shared" si="80"/>
        <v>0.58000000000000007</v>
      </c>
      <c r="AD266" s="7">
        <v>6900</v>
      </c>
      <c r="AE266" s="6">
        <f t="shared" si="81"/>
        <v>0.30000000000000004</v>
      </c>
      <c r="AF266" s="42">
        <f t="shared" si="82"/>
        <v>2070</v>
      </c>
      <c r="AG266" s="28"/>
      <c r="AH266" s="6"/>
      <c r="AI266" s="6"/>
      <c r="AJ266" s="6">
        <f t="shared" si="83"/>
        <v>1.0454545454545454</v>
      </c>
      <c r="AK266" s="6">
        <f t="shared" si="84"/>
        <v>1.0457714458926948</v>
      </c>
      <c r="AL266" s="6">
        <f t="shared" si="85"/>
        <v>1.0454545454545454</v>
      </c>
      <c r="AM266" s="4" t="str">
        <f t="shared" si="71"/>
        <v>-</v>
      </c>
      <c r="AN266" s="4" t="str">
        <f>IF(Q266="","-",Q266)</f>
        <v>-</v>
      </c>
      <c r="AO266" s="4" t="str">
        <f>IF(R266="","-",R266)</f>
        <v>-</v>
      </c>
      <c r="AP266" s="4" t="s">
        <v>427</v>
      </c>
      <c r="AQ266" s="4" t="s">
        <v>926</v>
      </c>
      <c r="AR266" s="4"/>
      <c r="AS266" s="4"/>
      <c r="AT266" s="4" t="s">
        <v>705</v>
      </c>
      <c r="AU266" s="4">
        <v>11000</v>
      </c>
      <c r="AV266" s="4">
        <f t="shared" si="86"/>
        <v>11000</v>
      </c>
      <c r="AW266" s="19">
        <v>2</v>
      </c>
      <c r="AX266" s="19">
        <v>8</v>
      </c>
      <c r="AY266" s="16">
        <v>19</v>
      </c>
      <c r="AZ266">
        <v>6600</v>
      </c>
      <c r="BA266">
        <f>IFERROR(AZ266*AL266,"-")</f>
        <v>6900</v>
      </c>
      <c r="BB266">
        <v>6511</v>
      </c>
      <c r="BC266">
        <f>IFERROR(BB266*AL266,"-")</f>
        <v>6806.954545454545</v>
      </c>
      <c r="BD266" t="s">
        <v>610</v>
      </c>
    </row>
    <row r="267" spans="1:56" x14ac:dyDescent="0.4">
      <c r="A267" s="41">
        <v>219</v>
      </c>
      <c r="B267" s="3">
        <v>219</v>
      </c>
      <c r="C267" s="4">
        <v>681352</v>
      </c>
      <c r="D267" s="4" t="str">
        <f t="shared" si="72"/>
        <v>681352</v>
      </c>
      <c r="E267" s="4">
        <v>681352</v>
      </c>
      <c r="F267" s="4" t="s">
        <v>325</v>
      </c>
      <c r="G267" s="5">
        <v>4535627102227</v>
      </c>
      <c r="H267" s="5"/>
      <c r="I267" s="5"/>
      <c r="J267" s="5">
        <v>1</v>
      </c>
      <c r="K267" s="5">
        <v>1</v>
      </c>
      <c r="L267" s="4">
        <v>11000</v>
      </c>
      <c r="M267" s="4">
        <v>7380</v>
      </c>
      <c r="N267" s="4">
        <v>4620</v>
      </c>
      <c r="O267" s="6">
        <f t="shared" si="73"/>
        <v>0.37398373983739841</v>
      </c>
      <c r="P267" s="4" t="s">
        <v>699</v>
      </c>
      <c r="Q267" s="4" t="s">
        <v>699</v>
      </c>
      <c r="R267" s="4" t="s">
        <v>699</v>
      </c>
      <c r="S267" s="4">
        <v>11600</v>
      </c>
      <c r="T267" s="4">
        <f t="shared" si="74"/>
        <v>11600</v>
      </c>
      <c r="U267" s="4">
        <v>4872</v>
      </c>
      <c r="V267" s="4">
        <f t="shared" si="75"/>
        <v>4872</v>
      </c>
      <c r="W267" s="4"/>
      <c r="X267" s="21">
        <f t="shared" si="76"/>
        <v>7783</v>
      </c>
      <c r="Y267" s="6">
        <f t="shared" si="77"/>
        <v>0.37402030065527436</v>
      </c>
      <c r="Z267" s="33">
        <v>4</v>
      </c>
      <c r="AA267" s="4">
        <f t="shared" si="78"/>
        <v>8163</v>
      </c>
      <c r="AB267" s="33">
        <f t="shared" si="79"/>
        <v>8608.2545454545452</v>
      </c>
      <c r="AC267" s="6">
        <f t="shared" si="80"/>
        <v>0.43403160602719582</v>
      </c>
      <c r="AD267" s="7">
        <v>7900</v>
      </c>
      <c r="AE267" s="6">
        <f t="shared" si="81"/>
        <v>0.38329113924050628</v>
      </c>
      <c r="AF267" s="42">
        <f t="shared" si="82"/>
        <v>3028</v>
      </c>
      <c r="AG267" s="28"/>
      <c r="AH267" s="6"/>
      <c r="AI267" s="6"/>
      <c r="AJ267" s="6">
        <f t="shared" si="83"/>
        <v>1.0545454545454545</v>
      </c>
      <c r="AK267" s="6">
        <f t="shared" si="84"/>
        <v>1.070460704607046</v>
      </c>
      <c r="AL267" s="6">
        <f t="shared" si="85"/>
        <v>1.0545454545454545</v>
      </c>
      <c r="AM267" s="4" t="str">
        <f t="shared" si="71"/>
        <v>-</v>
      </c>
      <c r="AN267" s="4" t="str">
        <f>IF(Q267="","-",Q267)</f>
        <v>-</v>
      </c>
      <c r="AO267" s="4" t="str">
        <f>IF(R267="","-",R267)</f>
        <v>-</v>
      </c>
      <c r="AP267" s="4" t="s">
        <v>428</v>
      </c>
      <c r="AQ267" s="4" t="s">
        <v>959</v>
      </c>
      <c r="AR267" s="4"/>
      <c r="AS267" s="4"/>
      <c r="AT267" s="4" t="s">
        <v>705</v>
      </c>
      <c r="AU267" s="4">
        <v>8163</v>
      </c>
      <c r="AV267" s="4">
        <f t="shared" si="86"/>
        <v>8163</v>
      </c>
      <c r="AW267" s="19">
        <v>2</v>
      </c>
      <c r="AX267" s="19">
        <v>1</v>
      </c>
      <c r="AY267" s="16">
        <v>19</v>
      </c>
      <c r="AZ267" t="s">
        <v>699</v>
      </c>
      <c r="BA267" t="str">
        <f>IFERROR(AZ267*AL267,"-")</f>
        <v>-</v>
      </c>
      <c r="BB267">
        <v>7748</v>
      </c>
      <c r="BC267">
        <f>IFERROR(BB267*AL267,"-")</f>
        <v>8170.6181818181813</v>
      </c>
      <c r="BD267" t="s">
        <v>635</v>
      </c>
    </row>
    <row r="268" spans="1:56" x14ac:dyDescent="0.4">
      <c r="A268" s="41">
        <v>171</v>
      </c>
      <c r="B268" s="3">
        <v>171</v>
      </c>
      <c r="C268" s="4">
        <v>541269</v>
      </c>
      <c r="D268" s="4" t="str">
        <f t="shared" si="72"/>
        <v>541269</v>
      </c>
      <c r="E268" s="4">
        <v>541269</v>
      </c>
      <c r="F268" s="4" t="s">
        <v>277</v>
      </c>
      <c r="G268" s="5">
        <v>4535627102791</v>
      </c>
      <c r="H268" s="5"/>
      <c r="I268" s="5"/>
      <c r="J268" s="5">
        <v>1</v>
      </c>
      <c r="K268" s="5">
        <v>1</v>
      </c>
      <c r="L268" s="4">
        <v>0</v>
      </c>
      <c r="M268" s="4">
        <v>9509</v>
      </c>
      <c r="N268" s="4">
        <v>4843</v>
      </c>
      <c r="O268" s="6">
        <f t="shared" si="73"/>
        <v>0.49069302765800815</v>
      </c>
      <c r="P268" s="4" t="s">
        <v>699</v>
      </c>
      <c r="Q268" s="4" t="s">
        <v>699</v>
      </c>
      <c r="R268" s="4" t="s">
        <v>699</v>
      </c>
      <c r="S268" s="4">
        <v>0</v>
      </c>
      <c r="T268" s="4">
        <f t="shared" si="74"/>
        <v>0</v>
      </c>
      <c r="U268" s="4">
        <v>5054</v>
      </c>
      <c r="V268" s="4">
        <f t="shared" si="75"/>
        <v>5054</v>
      </c>
      <c r="W268" s="4"/>
      <c r="X268" s="21">
        <f t="shared" si="76"/>
        <v>9923</v>
      </c>
      <c r="Y268" s="6">
        <f t="shared" si="77"/>
        <v>0.49067822231180092</v>
      </c>
      <c r="Z268" s="33">
        <v>1.7500000000000002</v>
      </c>
      <c r="AA268" s="4">
        <f t="shared" si="78"/>
        <v>9664</v>
      </c>
      <c r="AB268" s="33">
        <f t="shared" si="79"/>
        <v>10085.041503200495</v>
      </c>
      <c r="AC268" s="6">
        <f t="shared" si="80"/>
        <v>0.49886175496688734</v>
      </c>
      <c r="AD268" s="7">
        <v>9400</v>
      </c>
      <c r="AE268" s="6">
        <f t="shared" si="81"/>
        <v>0.4623404255319149</v>
      </c>
      <c r="AF268" s="42">
        <f t="shared" si="82"/>
        <v>4346</v>
      </c>
      <c r="AG268" s="28"/>
      <c r="AH268" s="6"/>
      <c r="AI268" s="6"/>
      <c r="AJ268" s="6" t="str">
        <f t="shared" si="83"/>
        <v>-</v>
      </c>
      <c r="AK268" s="6">
        <f t="shared" si="84"/>
        <v>0.98853717530760332</v>
      </c>
      <c r="AL268" s="6">
        <f t="shared" si="85"/>
        <v>1.0435680363411108</v>
      </c>
      <c r="AM268" s="4" t="str">
        <f t="shared" si="71"/>
        <v>-</v>
      </c>
      <c r="AN268" s="4" t="str">
        <f>IF(Q268="","-",Q268)</f>
        <v>-</v>
      </c>
      <c r="AO268" s="4" t="str">
        <f>IF(R268="","-",R268)</f>
        <v>-</v>
      </c>
      <c r="AP268" s="4" t="s">
        <v>408</v>
      </c>
      <c r="AQ268" s="4" t="s">
        <v>902</v>
      </c>
      <c r="AR268" s="4"/>
      <c r="AS268" s="4"/>
      <c r="AT268" s="4" t="s">
        <v>705</v>
      </c>
      <c r="AU268" s="4">
        <v>9664</v>
      </c>
      <c r="AV268" s="4">
        <f t="shared" si="86"/>
        <v>9664</v>
      </c>
      <c r="AW268" s="19">
        <v>2</v>
      </c>
      <c r="AX268" s="19">
        <v>1</v>
      </c>
      <c r="AY268" s="16">
        <v>19</v>
      </c>
      <c r="AZ268" t="s">
        <v>699</v>
      </c>
      <c r="BA268" t="str">
        <f>IFERROR(AZ268*AL268,"-")</f>
        <v>-</v>
      </c>
      <c r="BB268">
        <v>9077</v>
      </c>
      <c r="BC268">
        <f>IFERROR(BB268*AL268,"-")</f>
        <v>9472.4670658682626</v>
      </c>
      <c r="BD268" t="s">
        <v>588</v>
      </c>
    </row>
    <row r="269" spans="1:56" x14ac:dyDescent="0.4">
      <c r="A269" s="3">
        <v>176</v>
      </c>
      <c r="B269" s="3">
        <v>176</v>
      </c>
      <c r="C269" s="4">
        <v>600932</v>
      </c>
      <c r="D269" s="4" t="str">
        <f t="shared" si="72"/>
        <v>600932</v>
      </c>
      <c r="E269" s="4">
        <v>600932</v>
      </c>
      <c r="F269" s="4" t="s">
        <v>282</v>
      </c>
      <c r="G269" s="5">
        <v>4535627204006</v>
      </c>
      <c r="H269" s="5"/>
      <c r="I269" s="5"/>
      <c r="J269" s="5">
        <v>1</v>
      </c>
      <c r="K269" s="5">
        <v>1</v>
      </c>
      <c r="L269" s="4">
        <v>0</v>
      </c>
      <c r="M269" s="4">
        <v>6835</v>
      </c>
      <c r="N269" s="4">
        <v>4900</v>
      </c>
      <c r="O269" s="6">
        <f t="shared" si="73"/>
        <v>0.2831016825164594</v>
      </c>
      <c r="P269" s="4" t="s">
        <v>699</v>
      </c>
      <c r="Q269" s="4" t="s">
        <v>699</v>
      </c>
      <c r="R269" s="4" t="s">
        <v>699</v>
      </c>
      <c r="S269" s="4">
        <v>0</v>
      </c>
      <c r="T269" s="4">
        <f t="shared" si="74"/>
        <v>0</v>
      </c>
      <c r="U269" s="4">
        <v>5200</v>
      </c>
      <c r="V269" s="4">
        <f t="shared" si="75"/>
        <v>5200</v>
      </c>
      <c r="W269" s="4"/>
      <c r="X269" s="21">
        <f t="shared" si="76"/>
        <v>7253</v>
      </c>
      <c r="Y269" s="6">
        <f t="shared" si="77"/>
        <v>0.28305528746725495</v>
      </c>
      <c r="Z269" s="33">
        <v>5</v>
      </c>
      <c r="AA269" s="4">
        <f t="shared" si="78"/>
        <v>6835</v>
      </c>
      <c r="AB269" s="33">
        <f t="shared" si="79"/>
        <v>7253.4693877551026</v>
      </c>
      <c r="AC269" s="6">
        <f t="shared" si="80"/>
        <v>0.28310168251645951</v>
      </c>
      <c r="AD269" s="7">
        <v>7253</v>
      </c>
      <c r="AE269" s="6">
        <f t="shared" si="81"/>
        <v>0.28305528746725495</v>
      </c>
      <c r="AF269" s="4">
        <f t="shared" si="82"/>
        <v>2053</v>
      </c>
      <c r="AG269" s="28"/>
      <c r="AH269" s="6"/>
      <c r="AI269" s="6"/>
      <c r="AJ269" s="6" t="str">
        <f t="shared" si="83"/>
        <v>-</v>
      </c>
      <c r="AK269" s="6">
        <f t="shared" si="84"/>
        <v>1.0611558156547183</v>
      </c>
      <c r="AL269" s="6">
        <f t="shared" si="85"/>
        <v>1.0612244897959184</v>
      </c>
      <c r="AM269" s="4" t="str">
        <f t="shared" si="71"/>
        <v>-</v>
      </c>
      <c r="AN269" s="4" t="str">
        <f>IF(Q269="","-",Q269)</f>
        <v>-</v>
      </c>
      <c r="AO269" s="4" t="str">
        <f>IF(R269="","-",R269)</f>
        <v>-</v>
      </c>
      <c r="AP269" s="4" t="s">
        <v>407</v>
      </c>
      <c r="AQ269" s="4" t="s">
        <v>908</v>
      </c>
      <c r="AR269" s="4"/>
      <c r="AS269" s="4"/>
      <c r="AT269" s="4" t="s">
        <v>803</v>
      </c>
      <c r="AU269" s="4">
        <v>6835</v>
      </c>
      <c r="AV269" s="4">
        <f t="shared" si="86"/>
        <v>6835</v>
      </c>
      <c r="AW269" s="19">
        <v>4</v>
      </c>
      <c r="AX269" s="19">
        <v>1</v>
      </c>
      <c r="AY269" s="16">
        <v>19</v>
      </c>
      <c r="AZ269">
        <v>7048</v>
      </c>
      <c r="BA269">
        <f>IFERROR(AZ269*AL269,"-")</f>
        <v>7479.5102040816328</v>
      </c>
      <c r="BB269">
        <v>10260</v>
      </c>
      <c r="BC269">
        <f>IFERROR(BB269*AL269,"-")</f>
        <v>10888.163265306122</v>
      </c>
      <c r="BD269" t="s">
        <v>593</v>
      </c>
    </row>
    <row r="270" spans="1:56" x14ac:dyDescent="0.4">
      <c r="A270" s="3">
        <v>247</v>
      </c>
      <c r="B270" s="3">
        <v>247</v>
      </c>
      <c r="C270" s="4" t="s">
        <v>70</v>
      </c>
      <c r="D270" s="4" t="str">
        <f t="shared" si="72"/>
        <v>J70783</v>
      </c>
      <c r="E270" s="4" t="s">
        <v>70</v>
      </c>
      <c r="F270" s="4" t="s">
        <v>353</v>
      </c>
      <c r="G270" s="5">
        <v>4535627204013</v>
      </c>
      <c r="H270" s="5"/>
      <c r="I270" s="5"/>
      <c r="J270" s="5">
        <v>1</v>
      </c>
      <c r="K270" s="5">
        <v>1</v>
      </c>
      <c r="L270" s="4">
        <v>0</v>
      </c>
      <c r="M270" s="4">
        <v>6764</v>
      </c>
      <c r="N270" s="4">
        <v>4900</v>
      </c>
      <c r="O270" s="6">
        <f t="shared" si="73"/>
        <v>0.27557658190419865</v>
      </c>
      <c r="P270" s="4" t="s">
        <v>699</v>
      </c>
      <c r="Q270" s="4" t="s">
        <v>699</v>
      </c>
      <c r="R270" s="4" t="s">
        <v>699</v>
      </c>
      <c r="S270" s="4">
        <v>0</v>
      </c>
      <c r="T270" s="4">
        <f t="shared" si="74"/>
        <v>0</v>
      </c>
      <c r="U270" s="4">
        <v>5200</v>
      </c>
      <c r="V270" s="4">
        <f t="shared" si="75"/>
        <v>5200</v>
      </c>
      <c r="W270" s="4"/>
      <c r="X270" s="21">
        <f t="shared" si="76"/>
        <v>7178</v>
      </c>
      <c r="Y270" s="6">
        <f t="shared" si="77"/>
        <v>0.27556422401783232</v>
      </c>
      <c r="Z270" s="33">
        <v>0</v>
      </c>
      <c r="AA270" s="4">
        <f t="shared" si="78"/>
        <v>10417</v>
      </c>
      <c r="AB270" s="33">
        <f t="shared" si="79"/>
        <v>11054.775510204083</v>
      </c>
      <c r="AC270" s="6">
        <f t="shared" si="80"/>
        <v>0.52961505231832584</v>
      </c>
      <c r="AD270" s="7">
        <v>7430</v>
      </c>
      <c r="AE270" s="6">
        <f t="shared" si="81"/>
        <v>0.30013458950201888</v>
      </c>
      <c r="AF270" s="4">
        <f t="shared" si="82"/>
        <v>2230</v>
      </c>
      <c r="AG270" s="28"/>
      <c r="AH270" s="6"/>
      <c r="AI270" s="6"/>
      <c r="AJ270" s="6" t="str">
        <f t="shared" si="83"/>
        <v>-</v>
      </c>
      <c r="AK270" s="6">
        <f t="shared" si="84"/>
        <v>1.0984624482554701</v>
      </c>
      <c r="AL270" s="6">
        <f t="shared" si="85"/>
        <v>1.0612244897959184</v>
      </c>
      <c r="AM270" s="4" t="str">
        <f t="shared" si="71"/>
        <v>-</v>
      </c>
      <c r="AN270" s="4" t="str">
        <f>IF(Q270="","-",Q270)</f>
        <v>-</v>
      </c>
      <c r="AO270" s="4" t="str">
        <f>IF(R270="","-",R270)</f>
        <v>-</v>
      </c>
      <c r="AP270" s="4">
        <v>0</v>
      </c>
      <c r="AQ270" s="4" t="s">
        <v>992</v>
      </c>
      <c r="AR270" s="4"/>
      <c r="AS270" s="4"/>
      <c r="AT270" s="4" t="s">
        <v>803</v>
      </c>
      <c r="AU270" s="4">
        <v>10417</v>
      </c>
      <c r="AV270" s="4">
        <f t="shared" si="86"/>
        <v>10417</v>
      </c>
      <c r="AW270" s="19">
        <v>4</v>
      </c>
      <c r="AX270" s="19">
        <v>8</v>
      </c>
      <c r="AY270" s="16">
        <v>19</v>
      </c>
      <c r="AZ270" t="s">
        <v>699</v>
      </c>
      <c r="BA270" t="str">
        <f>IFERROR(AZ270*AL270,"-")</f>
        <v>-</v>
      </c>
      <c r="BB270">
        <v>7006</v>
      </c>
      <c r="BC270">
        <f>IFERROR(BB270*AL270,"-")</f>
        <v>7434.9387755102043</v>
      </c>
      <c r="BD270" t="s">
        <v>663</v>
      </c>
    </row>
    <row r="271" spans="1:56" x14ac:dyDescent="0.4">
      <c r="A271" s="3">
        <v>248</v>
      </c>
      <c r="B271" s="3">
        <v>248</v>
      </c>
      <c r="C271" s="4" t="s">
        <v>71</v>
      </c>
      <c r="D271" s="4" t="str">
        <f t="shared" si="72"/>
        <v>J70784</v>
      </c>
      <c r="E271" s="4" t="s">
        <v>71</v>
      </c>
      <c r="F271" s="4" t="s">
        <v>354</v>
      </c>
      <c r="G271" s="5">
        <v>4535627204020</v>
      </c>
      <c r="H271" s="5"/>
      <c r="I271" s="5"/>
      <c r="J271" s="5">
        <v>1</v>
      </c>
      <c r="K271" s="5">
        <v>1</v>
      </c>
      <c r="L271" s="4">
        <v>0</v>
      </c>
      <c r="M271" s="4">
        <v>6764</v>
      </c>
      <c r="N271" s="4">
        <v>4900</v>
      </c>
      <c r="O271" s="6">
        <f t="shared" si="73"/>
        <v>0.27557658190419865</v>
      </c>
      <c r="P271" s="4" t="s">
        <v>699</v>
      </c>
      <c r="Q271" s="4" t="s">
        <v>699</v>
      </c>
      <c r="R271" s="4" t="s">
        <v>699</v>
      </c>
      <c r="S271" s="4">
        <v>0</v>
      </c>
      <c r="T271" s="4">
        <f t="shared" si="74"/>
        <v>0</v>
      </c>
      <c r="U271" s="4">
        <v>5200</v>
      </c>
      <c r="V271" s="4">
        <f t="shared" si="75"/>
        <v>5200</v>
      </c>
      <c r="W271" s="4"/>
      <c r="X271" s="21">
        <f t="shared" si="76"/>
        <v>7178</v>
      </c>
      <c r="Y271" s="6">
        <f t="shared" si="77"/>
        <v>0.27556422401783232</v>
      </c>
      <c r="Z271" s="33">
        <v>0</v>
      </c>
      <c r="AA271" s="4">
        <f t="shared" si="78"/>
        <v>9166</v>
      </c>
      <c r="AB271" s="33">
        <f t="shared" si="79"/>
        <v>9727.1836734693879</v>
      </c>
      <c r="AC271" s="6">
        <f t="shared" si="80"/>
        <v>0.46541566659393407</v>
      </c>
      <c r="AD271" s="7">
        <v>7430</v>
      </c>
      <c r="AE271" s="6">
        <f t="shared" si="81"/>
        <v>0.30013458950201888</v>
      </c>
      <c r="AF271" s="4">
        <f t="shared" si="82"/>
        <v>2230</v>
      </c>
      <c r="AG271" s="28"/>
      <c r="AH271" s="6"/>
      <c r="AI271" s="6"/>
      <c r="AJ271" s="6" t="str">
        <f t="shared" si="83"/>
        <v>-</v>
      </c>
      <c r="AK271" s="6">
        <f t="shared" si="84"/>
        <v>1.0984624482554701</v>
      </c>
      <c r="AL271" s="6">
        <f t="shared" si="85"/>
        <v>1.0612244897959184</v>
      </c>
      <c r="AM271" s="4" t="str">
        <f t="shared" si="71"/>
        <v>-</v>
      </c>
      <c r="AN271" s="4" t="str">
        <f>IF(Q271="","-",Q271)</f>
        <v>-</v>
      </c>
      <c r="AO271" s="4" t="str">
        <f>IF(R271="","-",R271)</f>
        <v>-</v>
      </c>
      <c r="AP271" s="4">
        <v>0</v>
      </c>
      <c r="AQ271" s="4" t="s">
        <v>993</v>
      </c>
      <c r="AR271" s="4"/>
      <c r="AS271" s="4"/>
      <c r="AT271" s="4" t="s">
        <v>803</v>
      </c>
      <c r="AU271" s="4">
        <v>9166</v>
      </c>
      <c r="AV271" s="4">
        <f t="shared" si="86"/>
        <v>9166</v>
      </c>
      <c r="AW271" s="19">
        <v>4</v>
      </c>
      <c r="AX271" s="19">
        <v>8</v>
      </c>
      <c r="AY271" s="16">
        <v>19</v>
      </c>
      <c r="AZ271" t="s">
        <v>699</v>
      </c>
      <c r="BA271" t="str">
        <f>IFERROR(AZ271*AL271,"-")</f>
        <v>-</v>
      </c>
      <c r="BB271" t="s">
        <v>699</v>
      </c>
      <c r="BC271" t="str">
        <f>IFERROR(BB271*AL271,"-")</f>
        <v>-</v>
      </c>
      <c r="BD271" t="s">
        <v>664</v>
      </c>
    </row>
    <row r="272" spans="1:56" x14ac:dyDescent="0.4">
      <c r="A272" s="3">
        <v>249</v>
      </c>
      <c r="B272" s="3">
        <v>249</v>
      </c>
      <c r="C272" s="4" t="s">
        <v>72</v>
      </c>
      <c r="D272" s="4" t="str">
        <f t="shared" si="72"/>
        <v>J70785</v>
      </c>
      <c r="E272" s="4" t="s">
        <v>72</v>
      </c>
      <c r="F272" s="4" t="s">
        <v>355</v>
      </c>
      <c r="G272" s="5">
        <v>4535627204037</v>
      </c>
      <c r="H272" s="5"/>
      <c r="I272" s="5"/>
      <c r="J272" s="5">
        <v>1</v>
      </c>
      <c r="K272" s="5">
        <v>1</v>
      </c>
      <c r="L272" s="4">
        <v>0</v>
      </c>
      <c r="M272" s="4">
        <v>6764</v>
      </c>
      <c r="N272" s="4">
        <v>4900</v>
      </c>
      <c r="O272" s="6">
        <f t="shared" si="73"/>
        <v>0.27557658190419865</v>
      </c>
      <c r="P272" s="4" t="s">
        <v>699</v>
      </c>
      <c r="Q272" s="4" t="s">
        <v>699</v>
      </c>
      <c r="R272" s="4" t="s">
        <v>699</v>
      </c>
      <c r="S272" s="4">
        <v>0</v>
      </c>
      <c r="T272" s="4">
        <f t="shared" si="74"/>
        <v>0</v>
      </c>
      <c r="U272" s="4">
        <v>5200</v>
      </c>
      <c r="V272" s="4">
        <f t="shared" si="75"/>
        <v>5200</v>
      </c>
      <c r="W272" s="4"/>
      <c r="X272" s="21">
        <f t="shared" si="76"/>
        <v>7178</v>
      </c>
      <c r="Y272" s="6">
        <f t="shared" si="77"/>
        <v>0.27556422401783232</v>
      </c>
      <c r="Z272" s="33">
        <v>0</v>
      </c>
      <c r="AA272" s="4">
        <f t="shared" si="78"/>
        <v>9166</v>
      </c>
      <c r="AB272" s="33">
        <f t="shared" si="79"/>
        <v>9727.1836734693879</v>
      </c>
      <c r="AC272" s="6">
        <f t="shared" si="80"/>
        <v>0.46541566659393407</v>
      </c>
      <c r="AD272" s="7">
        <v>7430</v>
      </c>
      <c r="AE272" s="6">
        <f t="shared" si="81"/>
        <v>0.30013458950201888</v>
      </c>
      <c r="AF272" s="4">
        <f t="shared" si="82"/>
        <v>2230</v>
      </c>
      <c r="AG272" s="28"/>
      <c r="AH272" s="6"/>
      <c r="AI272" s="6"/>
      <c r="AJ272" s="6" t="str">
        <f t="shared" si="83"/>
        <v>-</v>
      </c>
      <c r="AK272" s="6">
        <f t="shared" si="84"/>
        <v>1.0984624482554701</v>
      </c>
      <c r="AL272" s="6">
        <f t="shared" si="85"/>
        <v>1.0612244897959184</v>
      </c>
      <c r="AM272" s="4" t="str">
        <f t="shared" si="71"/>
        <v>-</v>
      </c>
      <c r="AN272" s="4" t="str">
        <f>IF(Q272="","-",Q272)</f>
        <v>-</v>
      </c>
      <c r="AO272" s="4" t="str">
        <f>IF(R272="","-",R272)</f>
        <v>-</v>
      </c>
      <c r="AP272" s="4">
        <v>0</v>
      </c>
      <c r="AQ272" s="4" t="s">
        <v>994</v>
      </c>
      <c r="AR272" s="4"/>
      <c r="AS272" s="4"/>
      <c r="AT272" s="4" t="s">
        <v>803</v>
      </c>
      <c r="AU272" s="4">
        <v>9166</v>
      </c>
      <c r="AV272" s="4">
        <f t="shared" si="86"/>
        <v>9166</v>
      </c>
      <c r="AW272" s="19">
        <v>4</v>
      </c>
      <c r="AX272" s="19">
        <v>8</v>
      </c>
      <c r="AY272" s="16">
        <v>19</v>
      </c>
      <c r="AZ272" t="s">
        <v>699</v>
      </c>
      <c r="BA272" t="str">
        <f>IFERROR(AZ272*AL272,"-")</f>
        <v>-</v>
      </c>
      <c r="BB272" t="s">
        <v>699</v>
      </c>
      <c r="BC272" t="str">
        <f>IFERROR(BB272*AL272,"-")</f>
        <v>-</v>
      </c>
      <c r="BD272" t="s">
        <v>665</v>
      </c>
    </row>
    <row r="273" spans="1:56" x14ac:dyDescent="0.4">
      <c r="A273" s="3">
        <v>250</v>
      </c>
      <c r="B273" s="3">
        <v>250</v>
      </c>
      <c r="C273" s="4" t="s">
        <v>73</v>
      </c>
      <c r="D273" s="4" t="str">
        <f t="shared" si="72"/>
        <v>J70786</v>
      </c>
      <c r="E273" s="4" t="s">
        <v>73</v>
      </c>
      <c r="F273" s="4" t="s">
        <v>356</v>
      </c>
      <c r="G273" s="5">
        <v>4535627204044</v>
      </c>
      <c r="H273" s="5"/>
      <c r="I273" s="5"/>
      <c r="J273" s="5">
        <v>1</v>
      </c>
      <c r="K273" s="5">
        <v>1</v>
      </c>
      <c r="L273" s="4">
        <v>0</v>
      </c>
      <c r="M273" s="4">
        <v>7334</v>
      </c>
      <c r="N273" s="4">
        <v>4900</v>
      </c>
      <c r="O273" s="6">
        <f t="shared" si="73"/>
        <v>0.33187892009817288</v>
      </c>
      <c r="P273" s="4" t="s">
        <v>699</v>
      </c>
      <c r="Q273" s="4" t="s">
        <v>699</v>
      </c>
      <c r="R273" s="4" t="s">
        <v>699</v>
      </c>
      <c r="S273" s="4">
        <v>0</v>
      </c>
      <c r="T273" s="4">
        <f t="shared" si="74"/>
        <v>0</v>
      </c>
      <c r="U273" s="4">
        <v>5200</v>
      </c>
      <c r="V273" s="4">
        <f t="shared" si="75"/>
        <v>5200</v>
      </c>
      <c r="W273" s="4"/>
      <c r="X273" s="21">
        <f t="shared" si="76"/>
        <v>7783</v>
      </c>
      <c r="Y273" s="6">
        <f t="shared" si="77"/>
        <v>0.33187716818707436</v>
      </c>
      <c r="Z273" s="33">
        <v>0</v>
      </c>
      <c r="AA273" s="4" t="str">
        <f t="shared" si="78"/>
        <v>-</v>
      </c>
      <c r="AB273" s="33" t="str">
        <f t="shared" si="79"/>
        <v>-</v>
      </c>
      <c r="AC273" s="6" t="str">
        <f t="shared" si="80"/>
        <v>-</v>
      </c>
      <c r="AD273" s="7">
        <v>7430</v>
      </c>
      <c r="AE273" s="6">
        <f t="shared" si="81"/>
        <v>0.30013458950201888</v>
      </c>
      <c r="AF273" s="4">
        <f t="shared" si="82"/>
        <v>2230</v>
      </c>
      <c r="AG273" s="28"/>
      <c r="AH273" s="6"/>
      <c r="AI273" s="6"/>
      <c r="AJ273" s="6" t="str">
        <f t="shared" si="83"/>
        <v>-</v>
      </c>
      <c r="AK273" s="6">
        <f t="shared" si="84"/>
        <v>1.0130897191164439</v>
      </c>
      <c r="AL273" s="6">
        <f t="shared" si="85"/>
        <v>1.0612244897959184</v>
      </c>
      <c r="AM273" s="4" t="str">
        <f t="shared" si="71"/>
        <v>-</v>
      </c>
      <c r="AN273" s="4" t="str">
        <f>IF(Q273="","-",Q273)</f>
        <v>-</v>
      </c>
      <c r="AO273" s="4" t="str">
        <f>IF(R273="","-",R273)</f>
        <v>-</v>
      </c>
      <c r="AP273" s="4">
        <v>0</v>
      </c>
      <c r="AQ273" s="4" t="s">
        <v>699</v>
      </c>
      <c r="AR273" s="4"/>
      <c r="AS273" s="4"/>
      <c r="AT273" s="4" t="s">
        <v>699</v>
      </c>
      <c r="AU273" s="4" t="s">
        <v>699</v>
      </c>
      <c r="AV273" s="4" t="str">
        <f t="shared" si="86"/>
        <v>-</v>
      </c>
      <c r="AW273" s="19">
        <v>4</v>
      </c>
      <c r="AX273" s="19">
        <v>8</v>
      </c>
      <c r="AY273" s="16">
        <v>19</v>
      </c>
      <c r="AZ273" t="s">
        <v>699</v>
      </c>
      <c r="BA273" t="str">
        <f>IFERROR(AZ273*AL273,"-")</f>
        <v>-</v>
      </c>
      <c r="BB273">
        <v>7006</v>
      </c>
      <c r="BC273">
        <f>IFERROR(BB273*AL273,"-")</f>
        <v>7434.9387755102043</v>
      </c>
      <c r="BD273" t="s">
        <v>699</v>
      </c>
    </row>
    <row r="274" spans="1:56" x14ac:dyDescent="0.4">
      <c r="A274" s="3">
        <v>257</v>
      </c>
      <c r="B274" s="3">
        <v>257</v>
      </c>
      <c r="C274" s="4" t="s">
        <v>80</v>
      </c>
      <c r="D274" s="4" t="str">
        <f t="shared" si="72"/>
        <v>J70793</v>
      </c>
      <c r="E274" s="4" t="s">
        <v>80</v>
      </c>
      <c r="F274" s="4" t="s">
        <v>363</v>
      </c>
      <c r="G274" s="5">
        <v>4535627201104</v>
      </c>
      <c r="H274" s="5"/>
      <c r="I274" s="5"/>
      <c r="J274" s="5">
        <v>1</v>
      </c>
      <c r="K274" s="5">
        <v>1</v>
      </c>
      <c r="L274" s="4">
        <v>0</v>
      </c>
      <c r="M274" s="4">
        <v>6915</v>
      </c>
      <c r="N274" s="4">
        <v>5000</v>
      </c>
      <c r="O274" s="6">
        <f t="shared" si="73"/>
        <v>0.27693420101229216</v>
      </c>
      <c r="P274" s="4" t="s">
        <v>699</v>
      </c>
      <c r="Q274" s="4" t="s">
        <v>699</v>
      </c>
      <c r="R274" s="4" t="s">
        <v>699</v>
      </c>
      <c r="S274" s="4">
        <v>0</v>
      </c>
      <c r="T274" s="4">
        <f t="shared" si="74"/>
        <v>0</v>
      </c>
      <c r="U274" s="4">
        <v>5300</v>
      </c>
      <c r="V274" s="4">
        <f t="shared" si="75"/>
        <v>5300</v>
      </c>
      <c r="W274" s="4"/>
      <c r="X274" s="21">
        <f t="shared" si="76"/>
        <v>7330</v>
      </c>
      <c r="Y274" s="6">
        <f t="shared" si="77"/>
        <v>0.27694406548431105</v>
      </c>
      <c r="Z274" s="33">
        <v>0</v>
      </c>
      <c r="AA274" s="4">
        <f t="shared" si="78"/>
        <v>11226</v>
      </c>
      <c r="AB274" s="33">
        <f t="shared" si="79"/>
        <v>11899.560000000001</v>
      </c>
      <c r="AC274" s="6">
        <f t="shared" si="80"/>
        <v>0.55460538036700524</v>
      </c>
      <c r="AD274" s="7">
        <v>8800</v>
      </c>
      <c r="AE274" s="6">
        <f t="shared" si="81"/>
        <v>0.39772727272727271</v>
      </c>
      <c r="AF274" s="4">
        <f t="shared" si="82"/>
        <v>3500</v>
      </c>
      <c r="AG274" s="28"/>
      <c r="AH274" s="6"/>
      <c r="AI274" s="6"/>
      <c r="AJ274" s="6" t="str">
        <f t="shared" si="83"/>
        <v>-</v>
      </c>
      <c r="AK274" s="6">
        <f t="shared" si="84"/>
        <v>1.2725958062183658</v>
      </c>
      <c r="AL274" s="6">
        <f t="shared" si="85"/>
        <v>1.06</v>
      </c>
      <c r="AM274" s="4" t="str">
        <f t="shared" si="71"/>
        <v>-</v>
      </c>
      <c r="AN274" s="4" t="str">
        <f>IF(Q274="","-",Q274)</f>
        <v>-</v>
      </c>
      <c r="AO274" s="4" t="str">
        <f>IF(R274="","-",R274)</f>
        <v>-</v>
      </c>
      <c r="AP274" s="4">
        <v>0</v>
      </c>
      <c r="AQ274" s="4" t="s">
        <v>1001</v>
      </c>
      <c r="AR274" s="4"/>
      <c r="AS274" s="4"/>
      <c r="AT274" s="4" t="s">
        <v>803</v>
      </c>
      <c r="AU274" s="4">
        <v>11226</v>
      </c>
      <c r="AV274" s="4">
        <f t="shared" si="86"/>
        <v>11226</v>
      </c>
      <c r="AW274" s="19">
        <v>4</v>
      </c>
      <c r="AX274" s="19">
        <v>8</v>
      </c>
      <c r="AY274" s="16">
        <v>19</v>
      </c>
      <c r="AZ274" t="s">
        <v>699</v>
      </c>
      <c r="BA274" t="str">
        <f>IFERROR(AZ274*AL274,"-")</f>
        <v>-</v>
      </c>
      <c r="BB274">
        <v>12000</v>
      </c>
      <c r="BC274">
        <f>IFERROR(BB274*AL274,"-")</f>
        <v>12720</v>
      </c>
      <c r="BD274" t="s">
        <v>672</v>
      </c>
    </row>
    <row r="275" spans="1:56" x14ac:dyDescent="0.4">
      <c r="A275" s="3">
        <v>187</v>
      </c>
      <c r="B275" s="3">
        <v>187</v>
      </c>
      <c r="C275" s="4">
        <v>647409</v>
      </c>
      <c r="D275" s="4" t="str">
        <f t="shared" si="72"/>
        <v>647409</v>
      </c>
      <c r="E275" s="4">
        <v>647409</v>
      </c>
      <c r="F275" s="4" t="s">
        <v>293</v>
      </c>
      <c r="G275" s="5">
        <v>4535627203009</v>
      </c>
      <c r="H275" s="5"/>
      <c r="I275" s="5"/>
      <c r="J275" s="5">
        <v>1</v>
      </c>
      <c r="K275" s="5">
        <v>1</v>
      </c>
      <c r="L275" s="4">
        <v>0</v>
      </c>
      <c r="M275" s="4">
        <v>8127</v>
      </c>
      <c r="N275" s="4">
        <v>5600</v>
      </c>
      <c r="O275" s="6">
        <f t="shared" si="73"/>
        <v>0.3109388458225667</v>
      </c>
      <c r="P275" s="4" t="s">
        <v>699</v>
      </c>
      <c r="Q275" s="4" t="s">
        <v>699</v>
      </c>
      <c r="R275" s="4" t="s">
        <v>699</v>
      </c>
      <c r="S275" s="4">
        <v>0</v>
      </c>
      <c r="T275" s="4">
        <f t="shared" si="74"/>
        <v>0</v>
      </c>
      <c r="U275" s="4">
        <v>5900</v>
      </c>
      <c r="V275" s="4">
        <f t="shared" si="75"/>
        <v>5900</v>
      </c>
      <c r="W275" s="4"/>
      <c r="X275" s="21">
        <f t="shared" si="76"/>
        <v>8562</v>
      </c>
      <c r="Y275" s="6">
        <f t="shared" si="77"/>
        <v>0.31090866619948609</v>
      </c>
      <c r="Z275" s="33">
        <v>3.25</v>
      </c>
      <c r="AA275" s="4">
        <f t="shared" si="78"/>
        <v>8127</v>
      </c>
      <c r="AB275" s="33">
        <f t="shared" si="79"/>
        <v>8562.375</v>
      </c>
      <c r="AC275" s="6">
        <f t="shared" si="80"/>
        <v>0.3109388458225667</v>
      </c>
      <c r="AD275" s="7">
        <v>8562</v>
      </c>
      <c r="AE275" s="6">
        <f t="shared" si="81"/>
        <v>0.31090866619948609</v>
      </c>
      <c r="AF275" s="4">
        <f t="shared" si="82"/>
        <v>2662</v>
      </c>
      <c r="AG275" s="28"/>
      <c r="AH275" s="6"/>
      <c r="AI275" s="6"/>
      <c r="AJ275" s="6" t="str">
        <f t="shared" si="83"/>
        <v>-</v>
      </c>
      <c r="AK275" s="6">
        <f t="shared" si="84"/>
        <v>1.0535252860834257</v>
      </c>
      <c r="AL275" s="6">
        <f t="shared" si="85"/>
        <v>1.0535714285714286</v>
      </c>
      <c r="AM275" s="4" t="str">
        <f t="shared" si="71"/>
        <v>-</v>
      </c>
      <c r="AN275" s="4" t="str">
        <f>IF(Q275="","-",Q275)</f>
        <v>-</v>
      </c>
      <c r="AO275" s="4" t="str">
        <f>IF(R275="","-",R275)</f>
        <v>-</v>
      </c>
      <c r="AP275" s="4" t="s">
        <v>411</v>
      </c>
      <c r="AQ275" s="4" t="s">
        <v>918</v>
      </c>
      <c r="AR275" s="4"/>
      <c r="AS275" s="4"/>
      <c r="AT275" s="4" t="s">
        <v>803</v>
      </c>
      <c r="AU275" s="4">
        <v>8127</v>
      </c>
      <c r="AV275" s="4">
        <f t="shared" si="86"/>
        <v>8127</v>
      </c>
      <c r="AW275" s="19">
        <v>4</v>
      </c>
      <c r="AX275" s="19">
        <v>1</v>
      </c>
      <c r="AY275" s="16">
        <v>19</v>
      </c>
      <c r="AZ275">
        <v>7751</v>
      </c>
      <c r="BA275">
        <f>IFERROR(AZ275*AL275,"-")</f>
        <v>8166.2321428571431</v>
      </c>
      <c r="BB275">
        <v>12350</v>
      </c>
      <c r="BC275">
        <f>IFERROR(BB275*AL275,"-")</f>
        <v>13011.607142857143</v>
      </c>
      <c r="BD275" t="s">
        <v>603</v>
      </c>
    </row>
    <row r="276" spans="1:56" x14ac:dyDescent="0.4">
      <c r="A276" s="41">
        <v>136</v>
      </c>
      <c r="B276" s="3">
        <v>136</v>
      </c>
      <c r="C276" s="4">
        <v>328844</v>
      </c>
      <c r="D276" s="4" t="str">
        <f t="shared" si="72"/>
        <v>328844</v>
      </c>
      <c r="E276" s="4">
        <v>328844</v>
      </c>
      <c r="F276" s="4" t="s">
        <v>242</v>
      </c>
      <c r="G276" s="5">
        <v>4535627102807</v>
      </c>
      <c r="H276" s="5"/>
      <c r="I276" s="5"/>
      <c r="J276" s="5">
        <v>1</v>
      </c>
      <c r="K276" s="5">
        <v>1</v>
      </c>
      <c r="L276" s="4">
        <v>0</v>
      </c>
      <c r="M276" s="4">
        <v>13836</v>
      </c>
      <c r="N276" s="4">
        <v>6875</v>
      </c>
      <c r="O276" s="6">
        <f t="shared" si="73"/>
        <v>0.50310783463428743</v>
      </c>
      <c r="P276" s="4" t="s">
        <v>699</v>
      </c>
      <c r="Q276" s="4" t="s">
        <v>699</v>
      </c>
      <c r="R276" s="4" t="s">
        <v>699</v>
      </c>
      <c r="S276" s="4">
        <v>0</v>
      </c>
      <c r="T276" s="4">
        <f t="shared" si="74"/>
        <v>0</v>
      </c>
      <c r="U276" s="4">
        <v>7090</v>
      </c>
      <c r="V276" s="4">
        <f t="shared" si="75"/>
        <v>7090</v>
      </c>
      <c r="W276" s="4"/>
      <c r="X276" s="21">
        <f t="shared" si="76"/>
        <v>14269</v>
      </c>
      <c r="Y276" s="6">
        <f t="shared" si="77"/>
        <v>0.50311864881911839</v>
      </c>
      <c r="Z276" s="33">
        <v>1.7500000000000002</v>
      </c>
      <c r="AA276" s="4">
        <f t="shared" si="78"/>
        <v>13991</v>
      </c>
      <c r="AB276" s="33">
        <f t="shared" si="79"/>
        <v>14428.536727272729</v>
      </c>
      <c r="AC276" s="6">
        <f t="shared" si="80"/>
        <v>0.50861267957972989</v>
      </c>
      <c r="AD276" s="7">
        <v>12800</v>
      </c>
      <c r="AE276" s="6">
        <f t="shared" si="81"/>
        <v>0.44609374999999996</v>
      </c>
      <c r="AF276" s="42">
        <f t="shared" si="82"/>
        <v>5710</v>
      </c>
      <c r="AG276" s="28"/>
      <c r="AH276" s="6"/>
      <c r="AI276" s="6"/>
      <c r="AJ276" s="6" t="str">
        <f t="shared" si="83"/>
        <v>-</v>
      </c>
      <c r="AK276" s="6">
        <f t="shared" si="84"/>
        <v>0.92512286788089038</v>
      </c>
      <c r="AL276" s="6">
        <f t="shared" si="85"/>
        <v>1.0312727272727273</v>
      </c>
      <c r="AM276" s="4" t="str">
        <f t="shared" si="71"/>
        <v>-</v>
      </c>
      <c r="AN276" s="4" t="str">
        <f>IF(Q276="","-",Q276)</f>
        <v>-</v>
      </c>
      <c r="AO276" s="4" t="str">
        <f>IF(R276="","-",R276)</f>
        <v>-</v>
      </c>
      <c r="AP276" s="4" t="s">
        <v>408</v>
      </c>
      <c r="AQ276" s="4" t="s">
        <v>852</v>
      </c>
      <c r="AR276" s="4"/>
      <c r="AS276" s="4"/>
      <c r="AT276" s="4" t="s">
        <v>705</v>
      </c>
      <c r="AU276" s="4">
        <v>13991</v>
      </c>
      <c r="AV276" s="4">
        <f t="shared" si="86"/>
        <v>13991</v>
      </c>
      <c r="AW276" s="19">
        <v>2</v>
      </c>
      <c r="AX276" s="19">
        <v>1</v>
      </c>
      <c r="AY276" s="16">
        <v>19</v>
      </c>
      <c r="AZ276" t="s">
        <v>699</v>
      </c>
      <c r="BA276" t="str">
        <f>IFERROR(AZ276*AL276,"-")</f>
        <v>-</v>
      </c>
      <c r="BB276">
        <v>12504</v>
      </c>
      <c r="BC276">
        <f>IFERROR(BB276*AL276,"-")</f>
        <v>12895.034181818182</v>
      </c>
      <c r="BD276" t="s">
        <v>548</v>
      </c>
    </row>
    <row r="277" spans="1:56" x14ac:dyDescent="0.4">
      <c r="A277" s="41">
        <v>9</v>
      </c>
      <c r="B277" s="3">
        <v>9</v>
      </c>
      <c r="C277" s="4">
        <v>11602</v>
      </c>
      <c r="D277" s="4" t="str">
        <f t="shared" si="72"/>
        <v>011602</v>
      </c>
      <c r="E277" s="4">
        <v>528822</v>
      </c>
      <c r="F277" s="4" t="s">
        <v>115</v>
      </c>
      <c r="G277" s="5">
        <v>4535627102333</v>
      </c>
      <c r="H277" s="5"/>
      <c r="I277" s="5"/>
      <c r="J277" s="5">
        <v>1</v>
      </c>
      <c r="K277" s="5">
        <v>1</v>
      </c>
      <c r="L277" s="4">
        <v>19500</v>
      </c>
      <c r="M277" s="4">
        <v>10785</v>
      </c>
      <c r="N277" s="4">
        <v>6825</v>
      </c>
      <c r="O277" s="6">
        <f t="shared" si="73"/>
        <v>0.36717663421418634</v>
      </c>
      <c r="P277" s="4" t="s">
        <v>699</v>
      </c>
      <c r="Q277" s="4" t="s">
        <v>699</v>
      </c>
      <c r="R277" s="4" t="s">
        <v>699</v>
      </c>
      <c r="S277" s="4">
        <v>20500</v>
      </c>
      <c r="T277" s="4">
        <f t="shared" si="74"/>
        <v>20500</v>
      </c>
      <c r="U277" s="4">
        <v>7175</v>
      </c>
      <c r="V277" s="4">
        <f t="shared" si="75"/>
        <v>7175</v>
      </c>
      <c r="W277" s="4"/>
      <c r="X277" s="21">
        <f t="shared" si="76"/>
        <v>11338</v>
      </c>
      <c r="Y277" s="6">
        <f t="shared" si="77"/>
        <v>0.36717234080084671</v>
      </c>
      <c r="Z277" s="33">
        <v>3.75</v>
      </c>
      <c r="AA277" s="4">
        <f t="shared" si="78"/>
        <v>18700</v>
      </c>
      <c r="AB277" s="33">
        <f t="shared" si="79"/>
        <v>19658.974358974359</v>
      </c>
      <c r="AC277" s="6">
        <f t="shared" si="80"/>
        <v>0.63502673796791442</v>
      </c>
      <c r="AD277" s="7">
        <v>11100</v>
      </c>
      <c r="AE277" s="6">
        <f t="shared" si="81"/>
        <v>0.35360360360360366</v>
      </c>
      <c r="AF277" s="42">
        <f t="shared" si="82"/>
        <v>3925</v>
      </c>
      <c r="AG277" s="28"/>
      <c r="AH277" s="6"/>
      <c r="AI277" s="6"/>
      <c r="AJ277" s="6">
        <f t="shared" si="83"/>
        <v>1.0512820512820513</v>
      </c>
      <c r="AK277" s="6">
        <f t="shared" si="84"/>
        <v>1.0292072322670376</v>
      </c>
      <c r="AL277" s="6">
        <f t="shared" si="85"/>
        <v>1.0512820512820513</v>
      </c>
      <c r="AM277" s="4" t="str">
        <f t="shared" si="71"/>
        <v>-</v>
      </c>
      <c r="AN277" s="4" t="str">
        <f>IF(Q277="","-",Q277)</f>
        <v>-</v>
      </c>
      <c r="AO277" s="4" t="str">
        <f>IF(R277="","-",R277)</f>
        <v>-</v>
      </c>
      <c r="AP277" s="4" t="s">
        <v>408</v>
      </c>
      <c r="AQ277" s="4" t="s">
        <v>712</v>
      </c>
      <c r="AR277" s="4"/>
      <c r="AS277" s="4"/>
      <c r="AT277" s="4" t="s">
        <v>709</v>
      </c>
      <c r="AU277" s="4">
        <v>18700</v>
      </c>
      <c r="AV277" s="4">
        <f t="shared" si="86"/>
        <v>18700</v>
      </c>
      <c r="AW277" s="19">
        <v>2</v>
      </c>
      <c r="AX277" s="19">
        <v>1</v>
      </c>
      <c r="AY277" s="16">
        <v>19</v>
      </c>
      <c r="AZ277" t="s">
        <v>699</v>
      </c>
      <c r="BA277" t="str">
        <f>IFERROR(AZ277*AL277,"-")</f>
        <v>-</v>
      </c>
      <c r="BB277">
        <v>10585</v>
      </c>
      <c r="BC277">
        <f>IFERROR(BB277*AL277,"-")</f>
        <v>11127.820512820514</v>
      </c>
      <c r="BD277" t="s">
        <v>437</v>
      </c>
    </row>
    <row r="278" spans="1:56" x14ac:dyDescent="0.4">
      <c r="A278" s="41">
        <v>195</v>
      </c>
      <c r="B278" s="3">
        <v>195</v>
      </c>
      <c r="C278" s="4">
        <v>650080</v>
      </c>
      <c r="D278" s="4" t="str">
        <f t="shared" si="72"/>
        <v>650080</v>
      </c>
      <c r="E278" s="4">
        <v>650080</v>
      </c>
      <c r="F278" s="4" t="s">
        <v>301</v>
      </c>
      <c r="G278" s="5">
        <v>4535627102432</v>
      </c>
      <c r="H278" s="5"/>
      <c r="I278" s="5"/>
      <c r="J278" s="5">
        <v>1</v>
      </c>
      <c r="K278" s="5">
        <v>1</v>
      </c>
      <c r="L278" s="4">
        <v>19500</v>
      </c>
      <c r="M278" s="4">
        <v>10900</v>
      </c>
      <c r="N278" s="4">
        <v>8190</v>
      </c>
      <c r="O278" s="6">
        <f t="shared" si="73"/>
        <v>0.24862385321100922</v>
      </c>
      <c r="P278" s="4" t="s">
        <v>699</v>
      </c>
      <c r="Q278" s="4" t="s">
        <v>699</v>
      </c>
      <c r="R278" s="4" t="s">
        <v>699</v>
      </c>
      <c r="S278" s="4">
        <v>20300</v>
      </c>
      <c r="T278" s="4">
        <f t="shared" si="74"/>
        <v>20300</v>
      </c>
      <c r="U278" s="4">
        <v>8526</v>
      </c>
      <c r="V278" s="4">
        <f t="shared" si="75"/>
        <v>8526</v>
      </c>
      <c r="W278" s="4"/>
      <c r="X278" s="21">
        <f t="shared" si="76"/>
        <v>11347</v>
      </c>
      <c r="Y278" s="6">
        <f t="shared" si="77"/>
        <v>0.24861196792103635</v>
      </c>
      <c r="Z278" s="33">
        <v>0.25</v>
      </c>
      <c r="AA278" s="4">
        <f t="shared" si="78"/>
        <v>18562</v>
      </c>
      <c r="AB278" s="33">
        <f t="shared" si="79"/>
        <v>19323.517948717948</v>
      </c>
      <c r="AC278" s="6">
        <f t="shared" si="80"/>
        <v>0.55877599396616739</v>
      </c>
      <c r="AD278" s="7">
        <v>11370</v>
      </c>
      <c r="AE278" s="6">
        <f t="shared" si="81"/>
        <v>0.25013192612137203</v>
      </c>
      <c r="AF278" s="42">
        <f t="shared" si="82"/>
        <v>2844</v>
      </c>
      <c r="AG278" s="28"/>
      <c r="AH278" s="6"/>
      <c r="AI278" s="6"/>
      <c r="AJ278" s="6">
        <f t="shared" si="83"/>
        <v>1.0410256410256411</v>
      </c>
      <c r="AK278" s="6">
        <f t="shared" si="84"/>
        <v>1.0431192660550459</v>
      </c>
      <c r="AL278" s="6">
        <f t="shared" si="85"/>
        <v>1.0410256410256411</v>
      </c>
      <c r="AM278" s="4" t="str">
        <f t="shared" si="71"/>
        <v>-</v>
      </c>
      <c r="AN278" s="4" t="str">
        <f>IF(Q278="","-",Q278)</f>
        <v>-</v>
      </c>
      <c r="AO278" s="4" t="str">
        <f>IF(R278="","-",R278)</f>
        <v>-</v>
      </c>
      <c r="AP278" s="4" t="s">
        <v>427</v>
      </c>
      <c r="AQ278" s="4" t="s">
        <v>927</v>
      </c>
      <c r="AR278" s="4"/>
      <c r="AS278" s="4"/>
      <c r="AT278" s="4" t="s">
        <v>705</v>
      </c>
      <c r="AU278" s="4">
        <v>18562</v>
      </c>
      <c r="AV278" s="4">
        <f t="shared" si="86"/>
        <v>18562</v>
      </c>
      <c r="AW278" s="19">
        <v>2</v>
      </c>
      <c r="AX278" s="19">
        <v>1</v>
      </c>
      <c r="AY278" s="16">
        <v>19</v>
      </c>
      <c r="AZ278">
        <v>10922</v>
      </c>
      <c r="BA278">
        <f>IFERROR(AZ278*AL278,"-")</f>
        <v>11370.082051282052</v>
      </c>
      <c r="BB278">
        <v>10449</v>
      </c>
      <c r="BC278">
        <f>IFERROR(BB278*AL278,"-")</f>
        <v>10877.676923076924</v>
      </c>
      <c r="BD278" t="s">
        <v>611</v>
      </c>
    </row>
    <row r="279" spans="1:56" x14ac:dyDescent="0.4">
      <c r="A279" s="41">
        <v>220</v>
      </c>
      <c r="B279" s="3">
        <v>220</v>
      </c>
      <c r="C279" s="4">
        <v>681353</v>
      </c>
      <c r="D279" s="4" t="str">
        <f t="shared" si="72"/>
        <v>681353</v>
      </c>
      <c r="E279" s="4">
        <v>681353</v>
      </c>
      <c r="F279" s="4" t="s">
        <v>326</v>
      </c>
      <c r="G279" s="5">
        <v>4535627102234</v>
      </c>
      <c r="H279" s="5"/>
      <c r="I279" s="5"/>
      <c r="J279" s="5">
        <v>2</v>
      </c>
      <c r="K279" s="5">
        <v>1</v>
      </c>
      <c r="L279" s="4">
        <v>20000</v>
      </c>
      <c r="M279" s="4">
        <v>14758</v>
      </c>
      <c r="N279" s="4">
        <v>8400</v>
      </c>
      <c r="O279" s="6">
        <f t="shared" si="73"/>
        <v>0.43081718390025747</v>
      </c>
      <c r="P279" s="4" t="s">
        <v>699</v>
      </c>
      <c r="Q279" s="4" t="s">
        <v>699</v>
      </c>
      <c r="R279" s="4" t="s">
        <v>699</v>
      </c>
      <c r="S279" s="4">
        <v>21000</v>
      </c>
      <c r="T279" s="4">
        <f t="shared" si="74"/>
        <v>21000</v>
      </c>
      <c r="U279" s="4">
        <v>8820</v>
      </c>
      <c r="V279" s="4">
        <f t="shared" si="75"/>
        <v>8820</v>
      </c>
      <c r="W279" s="4"/>
      <c r="X279" s="21">
        <f t="shared" si="76"/>
        <v>15496</v>
      </c>
      <c r="Y279" s="6">
        <f t="shared" si="77"/>
        <v>0.43082085699535366</v>
      </c>
      <c r="Z279" s="33">
        <v>1</v>
      </c>
      <c r="AA279" s="4">
        <f t="shared" si="78"/>
        <v>14662</v>
      </c>
      <c r="AB279" s="33">
        <f t="shared" si="79"/>
        <v>15395.1</v>
      </c>
      <c r="AC279" s="6">
        <f t="shared" si="80"/>
        <v>0.42709043786659395</v>
      </c>
      <c r="AD279" s="7">
        <v>15300</v>
      </c>
      <c r="AE279" s="6">
        <f t="shared" si="81"/>
        <v>0.42352941176470593</v>
      </c>
      <c r="AF279" s="42">
        <f t="shared" si="82"/>
        <v>6480</v>
      </c>
      <c r="AG279" s="28"/>
      <c r="AH279" s="6"/>
      <c r="AI279" s="6"/>
      <c r="AJ279" s="6">
        <f t="shared" si="83"/>
        <v>1.05</v>
      </c>
      <c r="AK279" s="6">
        <f t="shared" si="84"/>
        <v>1.0367258436102453</v>
      </c>
      <c r="AL279" s="6">
        <f t="shared" si="85"/>
        <v>1.05</v>
      </c>
      <c r="AM279" s="4" t="str">
        <f t="shared" si="71"/>
        <v>-</v>
      </c>
      <c r="AN279" s="4" t="str">
        <f>IF(Q279="","-",Q279)</f>
        <v>-</v>
      </c>
      <c r="AO279" s="4" t="str">
        <f>IF(R279="","-",R279)</f>
        <v>-</v>
      </c>
      <c r="AP279" s="4" t="s">
        <v>428</v>
      </c>
      <c r="AQ279" s="4" t="s">
        <v>960</v>
      </c>
      <c r="AR279" s="4"/>
      <c r="AS279" s="4"/>
      <c r="AT279" s="4" t="s">
        <v>705</v>
      </c>
      <c r="AU279" s="4">
        <v>14662</v>
      </c>
      <c r="AV279" s="4">
        <f t="shared" si="86"/>
        <v>14662</v>
      </c>
      <c r="AW279" s="19">
        <v>2</v>
      </c>
      <c r="AX279" s="19">
        <v>1</v>
      </c>
      <c r="AY279" s="16">
        <v>19</v>
      </c>
      <c r="AZ279">
        <v>14073</v>
      </c>
      <c r="BA279">
        <f>IFERROR(AZ279*AL279,"-")</f>
        <v>14776.650000000001</v>
      </c>
      <c r="BB279">
        <v>13882</v>
      </c>
      <c r="BC279">
        <f>IFERROR(BB279*AL279,"-")</f>
        <v>14576.1</v>
      </c>
      <c r="BD279" t="s">
        <v>636</v>
      </c>
    </row>
    <row r="280" spans="1:56" x14ac:dyDescent="0.4">
      <c r="A280" s="3">
        <v>255</v>
      </c>
      <c r="B280" s="3">
        <v>255</v>
      </c>
      <c r="C280" s="4" t="s">
        <v>78</v>
      </c>
      <c r="D280" s="4" t="str">
        <f t="shared" si="72"/>
        <v>J70791</v>
      </c>
      <c r="E280" s="4" t="s">
        <v>78</v>
      </c>
      <c r="F280" s="4" t="s">
        <v>361</v>
      </c>
      <c r="G280" s="5">
        <v>4535627201036</v>
      </c>
      <c r="H280" s="5"/>
      <c r="I280" s="5"/>
      <c r="J280" s="5">
        <v>1</v>
      </c>
      <c r="K280" s="5">
        <v>1</v>
      </c>
      <c r="L280" s="4">
        <v>0</v>
      </c>
      <c r="M280" s="4">
        <v>12350</v>
      </c>
      <c r="N280" s="4">
        <v>9300</v>
      </c>
      <c r="O280" s="6">
        <f t="shared" si="73"/>
        <v>0.24696356275303644</v>
      </c>
      <c r="P280" s="4" t="s">
        <v>699</v>
      </c>
      <c r="Q280" s="4" t="s">
        <v>699</v>
      </c>
      <c r="R280" s="4" t="s">
        <v>699</v>
      </c>
      <c r="S280" s="4">
        <v>0</v>
      </c>
      <c r="T280" s="4">
        <f t="shared" si="74"/>
        <v>0</v>
      </c>
      <c r="U280" s="4">
        <v>9800</v>
      </c>
      <c r="V280" s="4">
        <f t="shared" si="75"/>
        <v>9800</v>
      </c>
      <c r="W280" s="4"/>
      <c r="X280" s="21">
        <f t="shared" si="76"/>
        <v>13014</v>
      </c>
      <c r="Y280" s="6">
        <f t="shared" si="77"/>
        <v>0.24696480713078228</v>
      </c>
      <c r="Z280" s="33">
        <v>0.5</v>
      </c>
      <c r="AA280" s="4">
        <f t="shared" si="78"/>
        <v>9082</v>
      </c>
      <c r="AB280" s="33">
        <f t="shared" si="79"/>
        <v>9570.2795698924729</v>
      </c>
      <c r="AC280" s="6">
        <f t="shared" si="80"/>
        <v>-2.4003523452983844E-2</v>
      </c>
      <c r="AD280" s="7">
        <v>16000</v>
      </c>
      <c r="AE280" s="6">
        <f t="shared" si="81"/>
        <v>0.38749999999999996</v>
      </c>
      <c r="AF280" s="4">
        <f t="shared" si="82"/>
        <v>6200</v>
      </c>
      <c r="AG280" s="28"/>
      <c r="AH280" s="6"/>
      <c r="AI280" s="6"/>
      <c r="AJ280" s="6" t="str">
        <f t="shared" si="83"/>
        <v>-</v>
      </c>
      <c r="AK280" s="6">
        <f t="shared" si="84"/>
        <v>1.2955465587044535</v>
      </c>
      <c r="AL280" s="6">
        <f t="shared" si="85"/>
        <v>1.053763440860215</v>
      </c>
      <c r="AM280" s="4" t="str">
        <f t="shared" si="71"/>
        <v>-</v>
      </c>
      <c r="AN280" s="4" t="str">
        <f>IF(Q280="","-",Q280)</f>
        <v>-</v>
      </c>
      <c r="AO280" s="4" t="str">
        <f>IF(R280="","-",R280)</f>
        <v>-</v>
      </c>
      <c r="AP280" s="4">
        <v>0</v>
      </c>
      <c r="AQ280" s="4" t="s">
        <v>999</v>
      </c>
      <c r="AR280" s="4"/>
      <c r="AS280" s="4"/>
      <c r="AT280" s="4" t="s">
        <v>803</v>
      </c>
      <c r="AU280" s="4">
        <v>9082</v>
      </c>
      <c r="AV280" s="4">
        <f t="shared" si="86"/>
        <v>9082</v>
      </c>
      <c r="AW280" s="19">
        <v>4</v>
      </c>
      <c r="AX280" s="19">
        <v>8</v>
      </c>
      <c r="AY280" s="16">
        <v>19</v>
      </c>
      <c r="AZ280" t="s">
        <v>699</v>
      </c>
      <c r="BA280" t="str">
        <f>IFERROR(AZ280*AL280,"-")</f>
        <v>-</v>
      </c>
      <c r="BB280">
        <v>18613</v>
      </c>
      <c r="BC280">
        <f>IFERROR(BB280*AL280,"-")</f>
        <v>19613.698924731183</v>
      </c>
      <c r="BD280" t="s">
        <v>670</v>
      </c>
    </row>
    <row r="281" spans="1:56" x14ac:dyDescent="0.4">
      <c r="A281" s="3">
        <v>258</v>
      </c>
      <c r="B281" s="3">
        <v>258</v>
      </c>
      <c r="C281" s="4" t="s">
        <v>81</v>
      </c>
      <c r="D281" s="4" t="str">
        <f t="shared" si="72"/>
        <v>J70794</v>
      </c>
      <c r="E281" s="4" t="s">
        <v>81</v>
      </c>
      <c r="F281" s="4" t="s">
        <v>364</v>
      </c>
      <c r="G281" s="5">
        <v>4535627201111</v>
      </c>
      <c r="H281" s="5"/>
      <c r="I281" s="5"/>
      <c r="J281" s="5">
        <v>1</v>
      </c>
      <c r="K281" s="5">
        <v>1</v>
      </c>
      <c r="L281" s="4">
        <v>0</v>
      </c>
      <c r="M281" s="4">
        <v>12711</v>
      </c>
      <c r="N281" s="4">
        <v>9500</v>
      </c>
      <c r="O281" s="6">
        <f t="shared" si="73"/>
        <v>0.25261584454409569</v>
      </c>
      <c r="P281" s="4" t="s">
        <v>699</v>
      </c>
      <c r="Q281" s="4" t="s">
        <v>699</v>
      </c>
      <c r="R281" s="4" t="s">
        <v>699</v>
      </c>
      <c r="S281" s="4">
        <v>0</v>
      </c>
      <c r="T281" s="4">
        <f t="shared" si="74"/>
        <v>0</v>
      </c>
      <c r="U281" s="4">
        <v>10000</v>
      </c>
      <c r="V281" s="4">
        <f t="shared" si="75"/>
        <v>10000</v>
      </c>
      <c r="W281" s="4"/>
      <c r="X281" s="21">
        <f t="shared" si="76"/>
        <v>13380</v>
      </c>
      <c r="Y281" s="6">
        <f t="shared" si="77"/>
        <v>0.25261584454409569</v>
      </c>
      <c r="Z281" s="33">
        <v>0</v>
      </c>
      <c r="AA281" s="4">
        <f t="shared" si="78"/>
        <v>13054</v>
      </c>
      <c r="AB281" s="33">
        <f t="shared" si="79"/>
        <v>13741.052631578947</v>
      </c>
      <c r="AC281" s="6">
        <f t="shared" si="80"/>
        <v>0.27225371533629539</v>
      </c>
      <c r="AD281" s="7">
        <v>16000</v>
      </c>
      <c r="AE281" s="6">
        <f t="shared" si="81"/>
        <v>0.375</v>
      </c>
      <c r="AF281" s="4">
        <f t="shared" si="82"/>
        <v>6000</v>
      </c>
      <c r="AG281" s="28"/>
      <c r="AH281" s="6"/>
      <c r="AI281" s="6"/>
      <c r="AJ281" s="6" t="str">
        <f t="shared" si="83"/>
        <v>-</v>
      </c>
      <c r="AK281" s="6">
        <f t="shared" si="84"/>
        <v>1.2587522618204705</v>
      </c>
      <c r="AL281" s="6">
        <f t="shared" si="85"/>
        <v>1.0526315789473684</v>
      </c>
      <c r="AM281" s="4" t="str">
        <f t="shared" si="71"/>
        <v>-</v>
      </c>
      <c r="AN281" s="4" t="str">
        <f>IF(Q281="","-",Q281)</f>
        <v>-</v>
      </c>
      <c r="AO281" s="4" t="str">
        <f>IF(R281="","-",R281)</f>
        <v>-</v>
      </c>
      <c r="AP281" s="4">
        <v>0</v>
      </c>
      <c r="AQ281" s="4" t="s">
        <v>1002</v>
      </c>
      <c r="AR281" s="4"/>
      <c r="AS281" s="4"/>
      <c r="AT281" s="4" t="s">
        <v>803</v>
      </c>
      <c r="AU281" s="4">
        <v>13054</v>
      </c>
      <c r="AV281" s="4">
        <f t="shared" si="86"/>
        <v>13054</v>
      </c>
      <c r="AW281" s="19">
        <v>4</v>
      </c>
      <c r="AX281" s="19">
        <v>8</v>
      </c>
      <c r="AY281" s="16">
        <v>19</v>
      </c>
      <c r="AZ281" t="s">
        <v>699</v>
      </c>
      <c r="BA281" t="str">
        <f>IFERROR(AZ281*AL281,"-")</f>
        <v>-</v>
      </c>
      <c r="BB281">
        <v>24098</v>
      </c>
      <c r="BC281">
        <f>IFERROR(BB281*AL281,"-")</f>
        <v>25366.315789473683</v>
      </c>
      <c r="BD281" t="s">
        <v>673</v>
      </c>
    </row>
    <row r="282" spans="1:56" x14ac:dyDescent="0.4">
      <c r="A282" s="3">
        <v>259</v>
      </c>
      <c r="B282" s="3">
        <v>259</v>
      </c>
      <c r="C282" s="4" t="s">
        <v>82</v>
      </c>
      <c r="D282" s="4" t="str">
        <f t="shared" si="72"/>
        <v>J70795</v>
      </c>
      <c r="E282" s="4" t="s">
        <v>82</v>
      </c>
      <c r="F282" s="4" t="s">
        <v>365</v>
      </c>
      <c r="G282" s="5">
        <v>4535627201203</v>
      </c>
      <c r="H282" s="5"/>
      <c r="I282" s="5"/>
      <c r="J282" s="5">
        <v>1</v>
      </c>
      <c r="K282" s="5">
        <v>1</v>
      </c>
      <c r="L282" s="4">
        <v>0</v>
      </c>
      <c r="M282" s="4">
        <v>12711</v>
      </c>
      <c r="N282" s="4">
        <v>9500</v>
      </c>
      <c r="O282" s="6">
        <f t="shared" si="73"/>
        <v>0.25261584454409569</v>
      </c>
      <c r="P282" s="4" t="s">
        <v>699</v>
      </c>
      <c r="Q282" s="4" t="s">
        <v>699</v>
      </c>
      <c r="R282" s="4" t="s">
        <v>699</v>
      </c>
      <c r="S282" s="4">
        <v>0</v>
      </c>
      <c r="T282" s="4">
        <f t="shared" si="74"/>
        <v>0</v>
      </c>
      <c r="U282" s="4">
        <v>10000</v>
      </c>
      <c r="V282" s="4">
        <f t="shared" si="75"/>
        <v>10000</v>
      </c>
      <c r="W282" s="4"/>
      <c r="X282" s="21">
        <f t="shared" si="76"/>
        <v>13380</v>
      </c>
      <c r="Y282" s="6">
        <f t="shared" si="77"/>
        <v>0.25261584454409569</v>
      </c>
      <c r="Z282" s="33">
        <v>0</v>
      </c>
      <c r="AA282" s="4">
        <f t="shared" si="78"/>
        <v>23164</v>
      </c>
      <c r="AB282" s="33">
        <f t="shared" si="79"/>
        <v>24383.15789473684</v>
      </c>
      <c r="AC282" s="6">
        <f t="shared" si="80"/>
        <v>0.58988084959419784</v>
      </c>
      <c r="AD282" s="7">
        <v>16000</v>
      </c>
      <c r="AE282" s="6">
        <f t="shared" si="81"/>
        <v>0.375</v>
      </c>
      <c r="AF282" s="4">
        <f t="shared" si="82"/>
        <v>6000</v>
      </c>
      <c r="AG282" s="28"/>
      <c r="AH282" s="6"/>
      <c r="AI282" s="6"/>
      <c r="AJ282" s="6" t="str">
        <f t="shared" si="83"/>
        <v>-</v>
      </c>
      <c r="AK282" s="6">
        <f t="shared" si="84"/>
        <v>1.2587522618204705</v>
      </c>
      <c r="AL282" s="6">
        <f t="shared" si="85"/>
        <v>1.0526315789473684</v>
      </c>
      <c r="AM282" s="4" t="str">
        <f t="shared" si="71"/>
        <v>-</v>
      </c>
      <c r="AN282" s="4" t="str">
        <f>IF(Q282="","-",Q282)</f>
        <v>-</v>
      </c>
      <c r="AO282" s="4" t="str">
        <f>IF(R282="","-",R282)</f>
        <v>-</v>
      </c>
      <c r="AP282" s="4">
        <v>0</v>
      </c>
      <c r="AQ282" s="4" t="s">
        <v>1003</v>
      </c>
      <c r="AR282" s="4"/>
      <c r="AS282" s="4"/>
      <c r="AT282" s="4" t="s">
        <v>803</v>
      </c>
      <c r="AU282" s="4">
        <v>23164</v>
      </c>
      <c r="AV282" s="4">
        <f t="shared" si="86"/>
        <v>23164</v>
      </c>
      <c r="AW282" s="19">
        <v>4</v>
      </c>
      <c r="AX282" s="19">
        <v>8</v>
      </c>
      <c r="AY282" s="16">
        <v>19</v>
      </c>
      <c r="AZ282" t="s">
        <v>699</v>
      </c>
      <c r="BA282" t="str">
        <f>IFERROR(AZ282*AL282,"-")</f>
        <v>-</v>
      </c>
      <c r="BB282">
        <v>24098</v>
      </c>
      <c r="BC282">
        <f>IFERROR(BB282*AL282,"-")</f>
        <v>25366.315789473683</v>
      </c>
      <c r="BD282" t="s">
        <v>674</v>
      </c>
    </row>
    <row r="283" spans="1:56" x14ac:dyDescent="0.4">
      <c r="A283" s="3">
        <v>92</v>
      </c>
      <c r="B283" s="3">
        <v>92</v>
      </c>
      <c r="C283" s="4">
        <v>117419</v>
      </c>
      <c r="D283" s="4" t="str">
        <f t="shared" si="72"/>
        <v>117419</v>
      </c>
      <c r="E283" s="4">
        <v>117419</v>
      </c>
      <c r="F283" s="4" t="s">
        <v>198</v>
      </c>
      <c r="G283" s="5">
        <v>4535627204204</v>
      </c>
      <c r="H283" s="5"/>
      <c r="I283" s="5"/>
      <c r="J283" s="5">
        <v>1</v>
      </c>
      <c r="K283" s="5">
        <v>1</v>
      </c>
      <c r="L283" s="4">
        <v>0</v>
      </c>
      <c r="M283" s="4">
        <v>13712</v>
      </c>
      <c r="N283" s="4">
        <v>9600</v>
      </c>
      <c r="O283" s="6">
        <f t="shared" si="73"/>
        <v>0.2998833138856476</v>
      </c>
      <c r="P283" s="4" t="s">
        <v>699</v>
      </c>
      <c r="Q283" s="4" t="s">
        <v>699</v>
      </c>
      <c r="R283" s="4" t="s">
        <v>699</v>
      </c>
      <c r="S283" s="4">
        <v>0</v>
      </c>
      <c r="T283" s="4">
        <f t="shared" si="74"/>
        <v>0</v>
      </c>
      <c r="U283" s="4">
        <v>10100</v>
      </c>
      <c r="V283" s="4">
        <f t="shared" si="75"/>
        <v>10100</v>
      </c>
      <c r="W283" s="4"/>
      <c r="X283" s="21">
        <f t="shared" si="76"/>
        <v>14426</v>
      </c>
      <c r="Y283" s="6">
        <f t="shared" si="77"/>
        <v>0.29987522528767507</v>
      </c>
      <c r="Z283" s="33">
        <v>0.25</v>
      </c>
      <c r="AA283" s="4">
        <f t="shared" si="78"/>
        <v>14171</v>
      </c>
      <c r="AB283" s="33">
        <f t="shared" si="79"/>
        <v>14909.072916666666</v>
      </c>
      <c r="AC283" s="6">
        <f t="shared" si="80"/>
        <v>0.32256015806929639</v>
      </c>
      <c r="AD283" s="7">
        <v>14450</v>
      </c>
      <c r="AE283" s="6">
        <f t="shared" si="81"/>
        <v>0.30103806228373697</v>
      </c>
      <c r="AF283" s="4">
        <f t="shared" si="82"/>
        <v>4350</v>
      </c>
      <c r="AG283" s="28"/>
      <c r="AH283" s="6"/>
      <c r="AI283" s="6"/>
      <c r="AJ283" s="6" t="str">
        <f t="shared" si="83"/>
        <v>-</v>
      </c>
      <c r="AK283" s="6">
        <f t="shared" si="84"/>
        <v>1.0538214702450408</v>
      </c>
      <c r="AL283" s="6">
        <f t="shared" si="85"/>
        <v>1.0520833333333333</v>
      </c>
      <c r="AM283" s="4" t="str">
        <f t="shared" si="71"/>
        <v>-</v>
      </c>
      <c r="AN283" s="4" t="str">
        <f>IF(Q283="","-",Q283)</f>
        <v>-</v>
      </c>
      <c r="AO283" s="4" t="str">
        <f>IF(R283="","-",R283)</f>
        <v>-</v>
      </c>
      <c r="AP283" s="4" t="s">
        <v>407</v>
      </c>
      <c r="AQ283" s="4" t="s">
        <v>802</v>
      </c>
      <c r="AR283" s="4"/>
      <c r="AS283" s="4"/>
      <c r="AT283" s="4" t="s">
        <v>803</v>
      </c>
      <c r="AU283" s="4">
        <v>14171</v>
      </c>
      <c r="AV283" s="4">
        <f t="shared" si="86"/>
        <v>14171</v>
      </c>
      <c r="AW283" s="19">
        <v>4</v>
      </c>
      <c r="AX283" s="19">
        <v>1</v>
      </c>
      <c r="AY283" s="16">
        <v>19</v>
      </c>
      <c r="AZ283">
        <v>13736</v>
      </c>
      <c r="BA283">
        <f>IFERROR(AZ283*AL283,"-")</f>
        <v>14451.416666666666</v>
      </c>
      <c r="BB283">
        <v>12372</v>
      </c>
      <c r="BC283">
        <f>IFERROR(BB283*AL283,"-")</f>
        <v>13016.374999999998</v>
      </c>
      <c r="BD283" t="s">
        <v>506</v>
      </c>
    </row>
    <row r="284" spans="1:56" x14ac:dyDescent="0.4">
      <c r="A284" s="41">
        <v>165</v>
      </c>
      <c r="B284" s="3">
        <v>165</v>
      </c>
      <c r="C284" s="4">
        <v>541161</v>
      </c>
      <c r="D284" s="4" t="str">
        <f t="shared" si="72"/>
        <v>541161</v>
      </c>
      <c r="E284" s="4">
        <v>541161</v>
      </c>
      <c r="F284" s="4" t="s">
        <v>271</v>
      </c>
      <c r="G284" s="5">
        <v>4535627102357</v>
      </c>
      <c r="H284" s="5"/>
      <c r="I284" s="5"/>
      <c r="J284" s="5">
        <v>1</v>
      </c>
      <c r="K284" s="5">
        <v>1</v>
      </c>
      <c r="L284" s="4">
        <v>26000</v>
      </c>
      <c r="M284" s="4">
        <v>18762</v>
      </c>
      <c r="N284" s="4">
        <v>10400</v>
      </c>
      <c r="O284" s="6">
        <f t="shared" si="73"/>
        <v>0.44568809295384293</v>
      </c>
      <c r="P284" s="4" t="s">
        <v>699</v>
      </c>
      <c r="Q284" s="4" t="s">
        <v>699</v>
      </c>
      <c r="R284" s="4" t="s">
        <v>699</v>
      </c>
      <c r="S284" s="4">
        <v>27000</v>
      </c>
      <c r="T284" s="4">
        <f t="shared" si="74"/>
        <v>27000</v>
      </c>
      <c r="U284" s="4">
        <v>10800</v>
      </c>
      <c r="V284" s="4">
        <f t="shared" si="75"/>
        <v>10800</v>
      </c>
      <c r="W284" s="4"/>
      <c r="X284" s="21">
        <f t="shared" si="76"/>
        <v>19484</v>
      </c>
      <c r="Y284" s="6">
        <f t="shared" si="77"/>
        <v>0.44569903510572773</v>
      </c>
      <c r="Z284" s="33">
        <v>0.5</v>
      </c>
      <c r="AA284" s="4">
        <f t="shared" si="78"/>
        <v>19853</v>
      </c>
      <c r="AB284" s="33">
        <f t="shared" si="79"/>
        <v>20616.576923076926</v>
      </c>
      <c r="AC284" s="6">
        <f t="shared" si="80"/>
        <v>0.4761497002971844</v>
      </c>
      <c r="AD284" s="7">
        <v>19000</v>
      </c>
      <c r="AE284" s="6">
        <f t="shared" si="81"/>
        <v>0.43157894736842106</v>
      </c>
      <c r="AF284" s="42">
        <f t="shared" si="82"/>
        <v>8200</v>
      </c>
      <c r="AG284" s="28"/>
      <c r="AH284" s="6"/>
      <c r="AI284" s="6"/>
      <c r="AJ284" s="6">
        <f t="shared" si="83"/>
        <v>1.0384615384615385</v>
      </c>
      <c r="AK284" s="6">
        <f t="shared" si="84"/>
        <v>1.012685214795864</v>
      </c>
      <c r="AL284" s="6">
        <f t="shared" si="85"/>
        <v>1.0384615384615385</v>
      </c>
      <c r="AM284" s="4" t="str">
        <f t="shared" ref="AM284:AM302" si="87">IFERROR(ROUND($AD284*P284/$M284,0),"-")</f>
        <v>-</v>
      </c>
      <c r="AN284" s="4" t="str">
        <f>IF(Q284="","-",Q284)</f>
        <v>-</v>
      </c>
      <c r="AO284" s="4" t="str">
        <f>IF(R284="","-",R284)</f>
        <v>-</v>
      </c>
      <c r="AP284" s="4" t="s">
        <v>408</v>
      </c>
      <c r="AQ284" s="4" t="s">
        <v>896</v>
      </c>
      <c r="AR284" s="4"/>
      <c r="AS284" s="4"/>
      <c r="AT284" s="4" t="s">
        <v>705</v>
      </c>
      <c r="AU284" s="4">
        <v>19853</v>
      </c>
      <c r="AV284" s="4">
        <f t="shared" si="86"/>
        <v>19853</v>
      </c>
      <c r="AW284" s="19">
        <v>2</v>
      </c>
      <c r="AX284" s="19">
        <v>1</v>
      </c>
      <c r="AY284" s="16">
        <v>19</v>
      </c>
      <c r="AZ284">
        <v>26000</v>
      </c>
      <c r="BA284">
        <f>IFERROR(AZ284*AL284,"-")</f>
        <v>27000.000000000004</v>
      </c>
      <c r="BB284">
        <v>15975</v>
      </c>
      <c r="BC284">
        <f>IFERROR(BB284*AL284,"-")</f>
        <v>16589.423076923078</v>
      </c>
      <c r="BD284" t="s">
        <v>582</v>
      </c>
    </row>
    <row r="285" spans="1:56" x14ac:dyDescent="0.4">
      <c r="A285" s="41">
        <v>183</v>
      </c>
      <c r="B285" s="3">
        <v>183</v>
      </c>
      <c r="C285" s="4">
        <v>623607</v>
      </c>
      <c r="D285" s="4" t="str">
        <f t="shared" si="72"/>
        <v>623607</v>
      </c>
      <c r="E285" s="4">
        <v>623607</v>
      </c>
      <c r="F285" s="4" t="s">
        <v>289</v>
      </c>
      <c r="G285" s="5">
        <v>4535627102340</v>
      </c>
      <c r="H285" s="5"/>
      <c r="I285" s="5"/>
      <c r="J285" s="5">
        <v>1</v>
      </c>
      <c r="K285" s="5">
        <v>1</v>
      </c>
      <c r="L285" s="4">
        <v>30800</v>
      </c>
      <c r="M285" s="4">
        <v>16702</v>
      </c>
      <c r="N285" s="4">
        <v>10663</v>
      </c>
      <c r="O285" s="6">
        <f t="shared" si="73"/>
        <v>0.36157346425577774</v>
      </c>
      <c r="P285" s="4" t="s">
        <v>699</v>
      </c>
      <c r="Q285" s="4" t="s">
        <v>699</v>
      </c>
      <c r="R285" s="4" t="s">
        <v>699</v>
      </c>
      <c r="S285" s="4">
        <v>32300</v>
      </c>
      <c r="T285" s="4">
        <f t="shared" si="74"/>
        <v>32300</v>
      </c>
      <c r="U285" s="4">
        <v>11182</v>
      </c>
      <c r="V285" s="4">
        <f t="shared" si="75"/>
        <v>11182</v>
      </c>
      <c r="W285" s="4"/>
      <c r="X285" s="21">
        <f t="shared" si="76"/>
        <v>17515</v>
      </c>
      <c r="Y285" s="6">
        <f t="shared" si="77"/>
        <v>0.36157579217813307</v>
      </c>
      <c r="Z285" s="33">
        <v>1.5</v>
      </c>
      <c r="AA285" s="4">
        <f t="shared" si="78"/>
        <v>29400</v>
      </c>
      <c r="AB285" s="33">
        <f t="shared" si="79"/>
        <v>30830.985651317642</v>
      </c>
      <c r="AC285" s="6">
        <f t="shared" si="80"/>
        <v>0.63731292517006799</v>
      </c>
      <c r="AD285" s="7">
        <v>18000</v>
      </c>
      <c r="AE285" s="6">
        <f t="shared" si="81"/>
        <v>0.37877777777777777</v>
      </c>
      <c r="AF285" s="42">
        <f t="shared" si="82"/>
        <v>6818</v>
      </c>
      <c r="AG285" s="28"/>
      <c r="AH285" s="6"/>
      <c r="AI285" s="6"/>
      <c r="AJ285" s="6">
        <f t="shared" si="83"/>
        <v>1.0487012987012987</v>
      </c>
      <c r="AK285" s="6">
        <f t="shared" si="84"/>
        <v>1.0777152436833912</v>
      </c>
      <c r="AL285" s="6">
        <f t="shared" si="85"/>
        <v>1.0486729813373348</v>
      </c>
      <c r="AM285" s="4" t="str">
        <f t="shared" si="87"/>
        <v>-</v>
      </c>
      <c r="AN285" s="4" t="str">
        <f>IF(Q285="","-",Q285)</f>
        <v>-</v>
      </c>
      <c r="AO285" s="4" t="str">
        <f>IF(R285="","-",R285)</f>
        <v>-</v>
      </c>
      <c r="AP285" s="4" t="s">
        <v>408</v>
      </c>
      <c r="AQ285" s="4" t="s">
        <v>915</v>
      </c>
      <c r="AR285" s="4"/>
      <c r="AS285" s="4"/>
      <c r="AT285" s="4" t="s">
        <v>709</v>
      </c>
      <c r="AU285" s="4">
        <v>29400</v>
      </c>
      <c r="AV285" s="4">
        <f t="shared" si="86"/>
        <v>29400</v>
      </c>
      <c r="AW285" s="19">
        <v>2</v>
      </c>
      <c r="AX285" s="19">
        <v>1</v>
      </c>
      <c r="AY285" s="16">
        <v>19</v>
      </c>
      <c r="AZ285" t="s">
        <v>699</v>
      </c>
      <c r="BA285" t="str">
        <f>IFERROR(AZ285*AL285,"-")</f>
        <v>-</v>
      </c>
      <c r="BB285">
        <v>13556</v>
      </c>
      <c r="BC285">
        <f>IFERROR(BB285*AL285,"-")</f>
        <v>14215.810935008911</v>
      </c>
      <c r="BD285" t="s">
        <v>600</v>
      </c>
    </row>
    <row r="286" spans="1:56" x14ac:dyDescent="0.4">
      <c r="A286" s="41">
        <v>238</v>
      </c>
      <c r="B286" s="3">
        <v>238</v>
      </c>
      <c r="C286" s="4" t="s">
        <v>61</v>
      </c>
      <c r="D286" s="4" t="str">
        <f t="shared" si="72"/>
        <v>J0860X</v>
      </c>
      <c r="E286" s="4" t="s">
        <v>61</v>
      </c>
      <c r="F286" s="4" t="s">
        <v>344</v>
      </c>
      <c r="G286" s="5">
        <v>4535627102685</v>
      </c>
      <c r="H286" s="5"/>
      <c r="I286" s="5"/>
      <c r="J286" s="5">
        <v>1</v>
      </c>
      <c r="K286" s="5">
        <v>1</v>
      </c>
      <c r="L286" s="4">
        <v>27000</v>
      </c>
      <c r="M286" s="4">
        <v>17670</v>
      </c>
      <c r="N286" s="4">
        <v>10800</v>
      </c>
      <c r="O286" s="6">
        <f t="shared" si="73"/>
        <v>0.38879456706281834</v>
      </c>
      <c r="P286" s="4" t="s">
        <v>699</v>
      </c>
      <c r="Q286" s="4" t="s">
        <v>699</v>
      </c>
      <c r="R286" s="4" t="s">
        <v>699</v>
      </c>
      <c r="S286" s="4">
        <v>28000</v>
      </c>
      <c r="T286" s="4">
        <f t="shared" si="74"/>
        <v>28000</v>
      </c>
      <c r="U286" s="4">
        <v>11200</v>
      </c>
      <c r="V286" s="4">
        <f t="shared" si="75"/>
        <v>11200</v>
      </c>
      <c r="W286" s="4"/>
      <c r="X286" s="21">
        <f t="shared" si="76"/>
        <v>18324</v>
      </c>
      <c r="Y286" s="6">
        <f t="shared" si="77"/>
        <v>0.38877974241432001</v>
      </c>
      <c r="Z286" s="33">
        <v>0.75</v>
      </c>
      <c r="AA286" s="4">
        <f t="shared" si="78"/>
        <v>19091</v>
      </c>
      <c r="AB286" s="33">
        <f t="shared" si="79"/>
        <v>19798.074074074073</v>
      </c>
      <c r="AC286" s="6">
        <f t="shared" si="80"/>
        <v>0.43428840815043734</v>
      </c>
      <c r="AD286" s="7">
        <v>18400</v>
      </c>
      <c r="AE286" s="6">
        <f t="shared" si="81"/>
        <v>0.39130434782608692</v>
      </c>
      <c r="AF286" s="42">
        <f t="shared" si="82"/>
        <v>7200</v>
      </c>
      <c r="AG286" s="28"/>
      <c r="AH286" s="6"/>
      <c r="AI286" s="6"/>
      <c r="AJ286" s="6">
        <f t="shared" si="83"/>
        <v>1.037037037037037</v>
      </c>
      <c r="AK286" s="6">
        <f t="shared" si="84"/>
        <v>1.0413129598189022</v>
      </c>
      <c r="AL286" s="6">
        <f t="shared" si="85"/>
        <v>1.037037037037037</v>
      </c>
      <c r="AM286" s="4" t="str">
        <f t="shared" si="87"/>
        <v>-</v>
      </c>
      <c r="AN286" s="4" t="str">
        <f>IF(Q286="","-",Q286)</f>
        <v>-</v>
      </c>
      <c r="AO286" s="4" t="str">
        <f>IF(R286="","-",R286)</f>
        <v>-</v>
      </c>
      <c r="AP286" s="4" t="s">
        <v>408</v>
      </c>
      <c r="AQ286" s="4" t="s">
        <v>981</v>
      </c>
      <c r="AR286" s="4"/>
      <c r="AS286" s="4"/>
      <c r="AT286" s="4" t="s">
        <v>705</v>
      </c>
      <c r="AU286" s="4">
        <v>19091</v>
      </c>
      <c r="AV286" s="4">
        <f t="shared" si="86"/>
        <v>19091</v>
      </c>
      <c r="AW286" s="19">
        <v>2</v>
      </c>
      <c r="AX286" s="19">
        <v>8</v>
      </c>
      <c r="AY286" s="16">
        <v>19</v>
      </c>
      <c r="AZ286" t="s">
        <v>699</v>
      </c>
      <c r="BA286" t="str">
        <f>IFERROR(AZ286*AL286,"-")</f>
        <v>-</v>
      </c>
      <c r="BB286">
        <v>21600</v>
      </c>
      <c r="BC286">
        <f>IFERROR(BB286*AL286,"-")</f>
        <v>22400</v>
      </c>
      <c r="BD286" t="s">
        <v>654</v>
      </c>
    </row>
    <row r="287" spans="1:56" x14ac:dyDescent="0.4">
      <c r="A287" s="3">
        <v>261</v>
      </c>
      <c r="B287" s="3">
        <v>261</v>
      </c>
      <c r="C287" s="4" t="s">
        <v>84</v>
      </c>
      <c r="D287" s="4" t="str">
        <f t="shared" si="72"/>
        <v>J70797</v>
      </c>
      <c r="E287" s="4" t="s">
        <v>84</v>
      </c>
      <c r="F287" s="4" t="s">
        <v>367</v>
      </c>
      <c r="G287" s="5">
        <v>4535627203016</v>
      </c>
      <c r="H287" s="5"/>
      <c r="I287" s="5"/>
      <c r="J287" s="5">
        <v>1</v>
      </c>
      <c r="K287" s="5">
        <v>1</v>
      </c>
      <c r="L287" s="4">
        <v>0</v>
      </c>
      <c r="M287" s="4">
        <v>13580</v>
      </c>
      <c r="N287" s="4">
        <v>10600</v>
      </c>
      <c r="O287" s="6">
        <f t="shared" si="73"/>
        <v>0.21944035346097202</v>
      </c>
      <c r="P287" s="4" t="s">
        <v>699</v>
      </c>
      <c r="Q287" s="4" t="s">
        <v>699</v>
      </c>
      <c r="R287" s="4" t="s">
        <v>699</v>
      </c>
      <c r="S287" s="4">
        <v>0</v>
      </c>
      <c r="T287" s="4">
        <f t="shared" si="74"/>
        <v>0</v>
      </c>
      <c r="U287" s="4">
        <v>11200</v>
      </c>
      <c r="V287" s="4">
        <f t="shared" si="75"/>
        <v>11200</v>
      </c>
      <c r="W287" s="4"/>
      <c r="X287" s="21">
        <f t="shared" si="76"/>
        <v>14349</v>
      </c>
      <c r="Y287" s="6">
        <f t="shared" si="77"/>
        <v>0.21945780193741726</v>
      </c>
      <c r="Z287" s="33">
        <v>0</v>
      </c>
      <c r="AA287" s="4">
        <f t="shared" si="78"/>
        <v>15628</v>
      </c>
      <c r="AB287" s="33">
        <f t="shared" si="79"/>
        <v>16512.603773584906</v>
      </c>
      <c r="AC287" s="6">
        <f t="shared" si="80"/>
        <v>0.32173022779626315</v>
      </c>
      <c r="AD287" s="7">
        <v>16500</v>
      </c>
      <c r="AE287" s="6">
        <f t="shared" si="81"/>
        <v>0.32121212121212117</v>
      </c>
      <c r="AF287" s="4">
        <f t="shared" si="82"/>
        <v>5300</v>
      </c>
      <c r="AG287" s="28"/>
      <c r="AH287" s="6"/>
      <c r="AI287" s="6"/>
      <c r="AJ287" s="6" t="str">
        <f t="shared" si="83"/>
        <v>-</v>
      </c>
      <c r="AK287" s="6">
        <f t="shared" si="84"/>
        <v>1.215022091310751</v>
      </c>
      <c r="AL287" s="6">
        <f t="shared" si="85"/>
        <v>1.0566037735849056</v>
      </c>
      <c r="AM287" s="4" t="str">
        <f t="shared" si="87"/>
        <v>-</v>
      </c>
      <c r="AN287" s="4" t="str">
        <f>IF(Q287="","-",Q287)</f>
        <v>-</v>
      </c>
      <c r="AO287" s="4" t="str">
        <f>IF(R287="","-",R287)</f>
        <v>-</v>
      </c>
      <c r="AP287" s="4">
        <v>0</v>
      </c>
      <c r="AQ287" s="4" t="s">
        <v>1005</v>
      </c>
      <c r="AR287" s="4"/>
      <c r="AS287" s="4"/>
      <c r="AT287" s="4" t="s">
        <v>803</v>
      </c>
      <c r="AU287" s="4">
        <v>15628</v>
      </c>
      <c r="AV287" s="4">
        <f t="shared" si="86"/>
        <v>15628</v>
      </c>
      <c r="AW287" s="19">
        <v>4</v>
      </c>
      <c r="AX287" s="19">
        <v>1</v>
      </c>
      <c r="AY287" s="16">
        <v>19</v>
      </c>
      <c r="AZ287" t="s">
        <v>699</v>
      </c>
      <c r="BA287" t="str">
        <f>IFERROR(AZ287*AL287,"-")</f>
        <v>-</v>
      </c>
      <c r="BB287">
        <v>22794</v>
      </c>
      <c r="BC287">
        <f>IFERROR(BB287*AL287,"-")</f>
        <v>24084.226415094341</v>
      </c>
      <c r="BD287" t="s">
        <v>676</v>
      </c>
    </row>
    <row r="288" spans="1:56" x14ac:dyDescent="0.4">
      <c r="A288" s="3">
        <v>262</v>
      </c>
      <c r="B288" s="3">
        <v>262</v>
      </c>
      <c r="C288" s="4" t="s">
        <v>85</v>
      </c>
      <c r="D288" s="4" t="str">
        <f t="shared" si="72"/>
        <v>J70798</v>
      </c>
      <c r="E288" s="4" t="s">
        <v>85</v>
      </c>
      <c r="F288" s="4" t="s">
        <v>368</v>
      </c>
      <c r="G288" s="5">
        <v>4535627203108</v>
      </c>
      <c r="H288" s="5"/>
      <c r="I288" s="5"/>
      <c r="J288" s="5">
        <v>1</v>
      </c>
      <c r="K288" s="5">
        <v>1</v>
      </c>
      <c r="L288" s="4">
        <v>0</v>
      </c>
      <c r="M288" s="4">
        <v>14320</v>
      </c>
      <c r="N288" s="4">
        <v>11400</v>
      </c>
      <c r="O288" s="6">
        <f t="shared" si="73"/>
        <v>0.2039106145251397</v>
      </c>
      <c r="P288" s="4" t="s">
        <v>699</v>
      </c>
      <c r="Q288" s="4" t="s">
        <v>699</v>
      </c>
      <c r="R288" s="4" t="s">
        <v>699</v>
      </c>
      <c r="S288" s="4">
        <v>0</v>
      </c>
      <c r="T288" s="4">
        <f t="shared" si="74"/>
        <v>0</v>
      </c>
      <c r="U288" s="4">
        <v>12000</v>
      </c>
      <c r="V288" s="4">
        <f t="shared" si="75"/>
        <v>12000</v>
      </c>
      <c r="W288" s="4"/>
      <c r="X288" s="21">
        <f t="shared" si="76"/>
        <v>15074</v>
      </c>
      <c r="Y288" s="6">
        <f t="shared" si="77"/>
        <v>0.20392729202600501</v>
      </c>
      <c r="Z288" s="33">
        <v>0</v>
      </c>
      <c r="AA288" s="4">
        <f t="shared" si="78"/>
        <v>47318</v>
      </c>
      <c r="AB288" s="33">
        <f t="shared" si="79"/>
        <v>49808.421052631573</v>
      </c>
      <c r="AC288" s="6">
        <f t="shared" si="80"/>
        <v>0.7590768840610338</v>
      </c>
      <c r="AD288" s="7">
        <v>19000</v>
      </c>
      <c r="AE288" s="6">
        <f t="shared" si="81"/>
        <v>0.36842105263157898</v>
      </c>
      <c r="AF288" s="4">
        <f t="shared" si="82"/>
        <v>7000</v>
      </c>
      <c r="AG288" s="28"/>
      <c r="AH288" s="6"/>
      <c r="AI288" s="6"/>
      <c r="AJ288" s="6" t="str">
        <f t="shared" si="83"/>
        <v>-</v>
      </c>
      <c r="AK288" s="6">
        <f t="shared" si="84"/>
        <v>1.3268156424581006</v>
      </c>
      <c r="AL288" s="6">
        <f t="shared" si="85"/>
        <v>1.0526315789473684</v>
      </c>
      <c r="AM288" s="4" t="str">
        <f t="shared" si="87"/>
        <v>-</v>
      </c>
      <c r="AN288" s="4" t="str">
        <f>IF(Q288="","-",Q288)</f>
        <v>-</v>
      </c>
      <c r="AO288" s="4" t="str">
        <f>IF(R288="","-",R288)</f>
        <v>-</v>
      </c>
      <c r="AP288" s="4">
        <v>0</v>
      </c>
      <c r="AQ288" s="4" t="s">
        <v>1006</v>
      </c>
      <c r="AR288" s="4"/>
      <c r="AS288" s="4"/>
      <c r="AT288" s="4" t="s">
        <v>803</v>
      </c>
      <c r="AU288" s="4">
        <v>47318</v>
      </c>
      <c r="AV288" s="4">
        <f t="shared" si="86"/>
        <v>47318</v>
      </c>
      <c r="AW288" s="19">
        <v>4</v>
      </c>
      <c r="AX288" s="19">
        <v>8</v>
      </c>
      <c r="AY288" s="16">
        <v>19</v>
      </c>
      <c r="AZ288" t="s">
        <v>699</v>
      </c>
      <c r="BA288" t="str">
        <f>IFERROR(AZ288*AL288,"-")</f>
        <v>-</v>
      </c>
      <c r="BB288">
        <v>28353</v>
      </c>
      <c r="BC288">
        <f>IFERROR(BB288*AL288,"-")</f>
        <v>29845.263157894737</v>
      </c>
      <c r="BD288" t="s">
        <v>677</v>
      </c>
    </row>
    <row r="289" spans="1:56" x14ac:dyDescent="0.4">
      <c r="A289" s="41">
        <v>196</v>
      </c>
      <c r="B289" s="3">
        <v>196</v>
      </c>
      <c r="C289" s="4">
        <v>650081</v>
      </c>
      <c r="D289" s="4" t="str">
        <f t="shared" si="72"/>
        <v>650081</v>
      </c>
      <c r="E289" s="4">
        <v>650081</v>
      </c>
      <c r="F289" s="4" t="s">
        <v>302</v>
      </c>
      <c r="G289" s="5">
        <v>4535627102449</v>
      </c>
      <c r="H289" s="5"/>
      <c r="I289" s="5"/>
      <c r="J289" s="5">
        <v>1</v>
      </c>
      <c r="K289" s="5">
        <v>1</v>
      </c>
      <c r="L289" s="4">
        <v>30800</v>
      </c>
      <c r="M289" s="4">
        <v>13824</v>
      </c>
      <c r="N289" s="4">
        <v>12936</v>
      </c>
      <c r="O289" s="6">
        <f t="shared" si="73"/>
        <v>6.423611111111116E-2</v>
      </c>
      <c r="P289" s="4" t="s">
        <v>699</v>
      </c>
      <c r="Q289" s="4" t="s">
        <v>699</v>
      </c>
      <c r="R289" s="4" t="s">
        <v>699</v>
      </c>
      <c r="S289" s="4">
        <v>32000</v>
      </c>
      <c r="T289" s="4">
        <f t="shared" si="74"/>
        <v>32000</v>
      </c>
      <c r="U289" s="4">
        <v>13440</v>
      </c>
      <c r="V289" s="4">
        <f t="shared" si="75"/>
        <v>13440</v>
      </c>
      <c r="W289" s="4"/>
      <c r="X289" s="21">
        <f t="shared" si="76"/>
        <v>14363</v>
      </c>
      <c r="Y289" s="6">
        <f t="shared" si="77"/>
        <v>6.4262340736614965E-2</v>
      </c>
      <c r="Z289" s="33">
        <v>0</v>
      </c>
      <c r="AA289" s="4" t="str">
        <f t="shared" si="78"/>
        <v>-</v>
      </c>
      <c r="AB289" s="33" t="str">
        <f t="shared" si="79"/>
        <v>-</v>
      </c>
      <c r="AC289" s="6" t="str">
        <f t="shared" si="80"/>
        <v>-</v>
      </c>
      <c r="AD289" s="7">
        <v>18000</v>
      </c>
      <c r="AE289" s="6">
        <f t="shared" si="81"/>
        <v>0.2533333333333333</v>
      </c>
      <c r="AF289" s="42">
        <f t="shared" si="82"/>
        <v>4560</v>
      </c>
      <c r="AG289" s="28"/>
      <c r="AH289" s="6"/>
      <c r="AI289" s="6"/>
      <c r="AJ289" s="6">
        <f t="shared" si="83"/>
        <v>1.0389610389610389</v>
      </c>
      <c r="AK289" s="6">
        <f t="shared" si="84"/>
        <v>1.3020833333333333</v>
      </c>
      <c r="AL289" s="6">
        <f t="shared" si="85"/>
        <v>1.0389610389610389</v>
      </c>
      <c r="AM289" s="4" t="str">
        <f t="shared" si="87"/>
        <v>-</v>
      </c>
      <c r="AN289" s="4" t="str">
        <f>IF(Q289="","-",Q289)</f>
        <v>-</v>
      </c>
      <c r="AO289" s="4" t="str">
        <f>IF(R289="","-",R289)</f>
        <v>-</v>
      </c>
      <c r="AP289" s="4" t="s">
        <v>427</v>
      </c>
      <c r="AQ289" s="4" t="s">
        <v>699</v>
      </c>
      <c r="AR289" s="4"/>
      <c r="AS289" s="4"/>
      <c r="AT289" s="4" t="s">
        <v>699</v>
      </c>
      <c r="AU289" s="4" t="s">
        <v>699</v>
      </c>
      <c r="AV289" s="4" t="str">
        <f t="shared" si="86"/>
        <v>-</v>
      </c>
      <c r="AW289" s="19">
        <v>2</v>
      </c>
      <c r="AX289" s="19">
        <v>1</v>
      </c>
      <c r="AY289" s="16">
        <v>19</v>
      </c>
      <c r="AZ289">
        <v>14277</v>
      </c>
      <c r="BA289">
        <f>IFERROR(AZ289*AL289,"-")</f>
        <v>14833.246753246753</v>
      </c>
      <c r="BB289">
        <v>14981</v>
      </c>
      <c r="BC289">
        <f>IFERROR(BB289*AL289,"-")</f>
        <v>15564.675324675323</v>
      </c>
      <c r="BD289" t="s">
        <v>699</v>
      </c>
    </row>
    <row r="290" spans="1:56" x14ac:dyDescent="0.4">
      <c r="A290" s="41">
        <v>221</v>
      </c>
      <c r="B290" s="3">
        <v>221</v>
      </c>
      <c r="C290" s="4">
        <v>681355</v>
      </c>
      <c r="D290" s="4" t="str">
        <f t="shared" si="72"/>
        <v>681355</v>
      </c>
      <c r="E290" s="4">
        <v>681355</v>
      </c>
      <c r="F290" s="4" t="s">
        <v>327</v>
      </c>
      <c r="G290" s="5">
        <v>4535627102241</v>
      </c>
      <c r="H290" s="5"/>
      <c r="I290" s="5"/>
      <c r="J290" s="5">
        <v>1</v>
      </c>
      <c r="K290" s="5">
        <v>1</v>
      </c>
      <c r="L290" s="4">
        <v>31000</v>
      </c>
      <c r="M290" s="4">
        <v>22176</v>
      </c>
      <c r="N290" s="4">
        <v>13020</v>
      </c>
      <c r="O290" s="6">
        <f t="shared" si="73"/>
        <v>0.41287878787878785</v>
      </c>
      <c r="P290" s="4" t="s">
        <v>699</v>
      </c>
      <c r="Q290" s="4" t="s">
        <v>699</v>
      </c>
      <c r="R290" s="4" t="s">
        <v>699</v>
      </c>
      <c r="S290" s="4">
        <v>32300</v>
      </c>
      <c r="T290" s="4">
        <f t="shared" si="74"/>
        <v>32300</v>
      </c>
      <c r="U290" s="4">
        <v>13566</v>
      </c>
      <c r="V290" s="4">
        <f t="shared" si="75"/>
        <v>13566</v>
      </c>
      <c r="W290" s="4"/>
      <c r="X290" s="21">
        <f t="shared" si="76"/>
        <v>23106</v>
      </c>
      <c r="Y290" s="6">
        <f t="shared" si="77"/>
        <v>0.41287977148792521</v>
      </c>
      <c r="Z290" s="33">
        <v>0.75</v>
      </c>
      <c r="AA290" s="4">
        <f t="shared" si="78"/>
        <v>21900</v>
      </c>
      <c r="AB290" s="33">
        <f t="shared" si="79"/>
        <v>22818.387096774193</v>
      </c>
      <c r="AC290" s="6">
        <f t="shared" si="80"/>
        <v>0.40547945205479452</v>
      </c>
      <c r="AD290" s="7">
        <v>22300</v>
      </c>
      <c r="AE290" s="6">
        <f t="shared" si="81"/>
        <v>0.39165919282511208</v>
      </c>
      <c r="AF290" s="42">
        <f t="shared" si="82"/>
        <v>8734</v>
      </c>
      <c r="AG290" s="28"/>
      <c r="AH290" s="6"/>
      <c r="AI290" s="6"/>
      <c r="AJ290" s="6">
        <f t="shared" si="83"/>
        <v>1.0419354838709678</v>
      </c>
      <c r="AK290" s="6">
        <f t="shared" si="84"/>
        <v>1.0055916305916306</v>
      </c>
      <c r="AL290" s="6">
        <f t="shared" si="85"/>
        <v>1.0419354838709678</v>
      </c>
      <c r="AM290" s="4" t="str">
        <f t="shared" si="87"/>
        <v>-</v>
      </c>
      <c r="AN290" s="4" t="str">
        <f>IF(Q290="","-",Q290)</f>
        <v>-</v>
      </c>
      <c r="AO290" s="4" t="str">
        <f>IF(R290="","-",R290)</f>
        <v>-</v>
      </c>
      <c r="AP290" s="4" t="s">
        <v>428</v>
      </c>
      <c r="AQ290" s="4" t="s">
        <v>961</v>
      </c>
      <c r="AR290" s="4"/>
      <c r="AS290" s="4"/>
      <c r="AT290" s="4" t="s">
        <v>705</v>
      </c>
      <c r="AU290" s="4">
        <v>21900</v>
      </c>
      <c r="AV290" s="4">
        <f t="shared" si="86"/>
        <v>21900</v>
      </c>
      <c r="AW290" s="19">
        <v>2</v>
      </c>
      <c r="AX290" s="19">
        <v>1</v>
      </c>
      <c r="AY290" s="16">
        <v>19</v>
      </c>
      <c r="AZ290">
        <v>21483</v>
      </c>
      <c r="BA290">
        <f>IFERROR(AZ290*AL290,"-")</f>
        <v>22383.9</v>
      </c>
      <c r="BB290">
        <v>21805</v>
      </c>
      <c r="BC290">
        <f>IFERROR(BB290*AL290,"-")</f>
        <v>22719.403225806454</v>
      </c>
      <c r="BD290" t="s">
        <v>637</v>
      </c>
    </row>
    <row r="291" spans="1:56" x14ac:dyDescent="0.4">
      <c r="A291" s="41">
        <v>166</v>
      </c>
      <c r="B291" s="3">
        <v>166</v>
      </c>
      <c r="C291" s="4">
        <v>541197</v>
      </c>
      <c r="D291" s="4" t="str">
        <f t="shared" si="72"/>
        <v>541197</v>
      </c>
      <c r="E291" s="4">
        <v>541197</v>
      </c>
      <c r="F291" s="4" t="s">
        <v>272</v>
      </c>
      <c r="G291" s="5">
        <v>4535627102364</v>
      </c>
      <c r="H291" s="5"/>
      <c r="I291" s="5"/>
      <c r="J291" s="5">
        <v>1</v>
      </c>
      <c r="K291" s="5">
        <v>1</v>
      </c>
      <c r="L291" s="4">
        <v>33500</v>
      </c>
      <c r="M291" s="4">
        <v>23775</v>
      </c>
      <c r="N291" s="4">
        <v>13400</v>
      </c>
      <c r="O291" s="6">
        <f t="shared" si="73"/>
        <v>0.43638275499474233</v>
      </c>
      <c r="P291" s="4" t="s">
        <v>699</v>
      </c>
      <c r="Q291" s="4" t="s">
        <v>699</v>
      </c>
      <c r="R291" s="4" t="s">
        <v>699</v>
      </c>
      <c r="S291" s="4">
        <v>35000</v>
      </c>
      <c r="T291" s="4">
        <f t="shared" si="74"/>
        <v>35000</v>
      </c>
      <c r="U291" s="4">
        <v>14000</v>
      </c>
      <c r="V291" s="4">
        <f t="shared" si="75"/>
        <v>14000</v>
      </c>
      <c r="W291" s="4"/>
      <c r="X291" s="21">
        <f t="shared" si="76"/>
        <v>24840</v>
      </c>
      <c r="Y291" s="6">
        <f t="shared" si="77"/>
        <v>0.43639291465378427</v>
      </c>
      <c r="Z291" s="33">
        <v>0.25</v>
      </c>
      <c r="AA291" s="4">
        <f t="shared" si="78"/>
        <v>29669</v>
      </c>
      <c r="AB291" s="33">
        <f t="shared" si="79"/>
        <v>30997.46268656716</v>
      </c>
      <c r="AC291" s="6">
        <f t="shared" si="80"/>
        <v>0.54835012976507458</v>
      </c>
      <c r="AD291" s="7">
        <v>24000</v>
      </c>
      <c r="AE291" s="6">
        <f t="shared" si="81"/>
        <v>0.41666666666666663</v>
      </c>
      <c r="AF291" s="42">
        <f t="shared" si="82"/>
        <v>10000</v>
      </c>
      <c r="AG291" s="28"/>
      <c r="AH291" s="6"/>
      <c r="AI291" s="6"/>
      <c r="AJ291" s="6">
        <f t="shared" si="83"/>
        <v>1.044776119402985</v>
      </c>
      <c r="AK291" s="6">
        <f t="shared" si="84"/>
        <v>1.0094637223974763</v>
      </c>
      <c r="AL291" s="6">
        <f t="shared" si="85"/>
        <v>1.044776119402985</v>
      </c>
      <c r="AM291" s="4" t="str">
        <f t="shared" si="87"/>
        <v>-</v>
      </c>
      <c r="AN291" s="4" t="str">
        <f>IF(Q291="","-",Q291)</f>
        <v>-</v>
      </c>
      <c r="AO291" s="4" t="str">
        <f>IF(R291="","-",R291)</f>
        <v>-</v>
      </c>
      <c r="AP291" s="4" t="s">
        <v>408</v>
      </c>
      <c r="AQ291" s="4" t="s">
        <v>897</v>
      </c>
      <c r="AR291" s="4"/>
      <c r="AS291" s="4"/>
      <c r="AT291" s="4" t="s">
        <v>705</v>
      </c>
      <c r="AU291" s="4">
        <v>29669</v>
      </c>
      <c r="AV291" s="4">
        <f t="shared" si="86"/>
        <v>29669</v>
      </c>
      <c r="AW291" s="19">
        <v>2</v>
      </c>
      <c r="AX291" s="19">
        <v>8</v>
      </c>
      <c r="AY291" s="16">
        <v>19</v>
      </c>
      <c r="AZ291" t="s">
        <v>699</v>
      </c>
      <c r="BA291" t="str">
        <f>IFERROR(AZ291*AL291,"-")</f>
        <v>-</v>
      </c>
      <c r="BB291">
        <v>23210</v>
      </c>
      <c r="BC291">
        <f>IFERROR(BB291*AL291,"-")</f>
        <v>24249.25373134328</v>
      </c>
      <c r="BD291" t="s">
        <v>583</v>
      </c>
    </row>
    <row r="292" spans="1:56" x14ac:dyDescent="0.4">
      <c r="A292" s="41">
        <v>239</v>
      </c>
      <c r="B292" s="3">
        <v>239</v>
      </c>
      <c r="C292" s="4" t="s">
        <v>62</v>
      </c>
      <c r="D292" s="4" t="str">
        <f t="shared" si="72"/>
        <v>J0861X</v>
      </c>
      <c r="E292" s="4" t="s">
        <v>62</v>
      </c>
      <c r="F292" s="4" t="s">
        <v>345</v>
      </c>
      <c r="G292" s="5">
        <v>4535627102692</v>
      </c>
      <c r="H292" s="5"/>
      <c r="I292" s="5"/>
      <c r="J292" s="5">
        <v>1</v>
      </c>
      <c r="K292" s="5">
        <v>1</v>
      </c>
      <c r="L292" s="4">
        <v>34500</v>
      </c>
      <c r="M292" s="4">
        <v>22610</v>
      </c>
      <c r="N292" s="4">
        <v>13800</v>
      </c>
      <c r="O292" s="6">
        <f t="shared" si="73"/>
        <v>0.38965059708093763</v>
      </c>
      <c r="P292" s="4" t="s">
        <v>699</v>
      </c>
      <c r="Q292" s="4" t="s">
        <v>699</v>
      </c>
      <c r="R292" s="4" t="s">
        <v>699</v>
      </c>
      <c r="S292" s="4">
        <v>36000</v>
      </c>
      <c r="T292" s="4">
        <f t="shared" si="74"/>
        <v>36000</v>
      </c>
      <c r="U292" s="4">
        <v>14400</v>
      </c>
      <c r="V292" s="4">
        <f t="shared" si="75"/>
        <v>14400</v>
      </c>
      <c r="W292" s="4"/>
      <c r="X292" s="21">
        <f t="shared" si="76"/>
        <v>23593</v>
      </c>
      <c r="Y292" s="6">
        <f t="shared" si="77"/>
        <v>0.38964947230110625</v>
      </c>
      <c r="Z292" s="33">
        <v>0</v>
      </c>
      <c r="AA292" s="4">
        <f t="shared" si="78"/>
        <v>24445</v>
      </c>
      <c r="AB292" s="33">
        <f t="shared" si="79"/>
        <v>25507.82608695652</v>
      </c>
      <c r="AC292" s="6">
        <f t="shared" si="80"/>
        <v>0.43546737574146044</v>
      </c>
      <c r="AD292" s="7">
        <v>23600</v>
      </c>
      <c r="AE292" s="6">
        <f t="shared" si="81"/>
        <v>0.38983050847457623</v>
      </c>
      <c r="AF292" s="42">
        <f t="shared" si="82"/>
        <v>9200</v>
      </c>
      <c r="AG292" s="28"/>
      <c r="AH292" s="6"/>
      <c r="AI292" s="6"/>
      <c r="AJ292" s="6">
        <f t="shared" si="83"/>
        <v>1.0434782608695652</v>
      </c>
      <c r="AK292" s="6">
        <f t="shared" si="84"/>
        <v>1.0437859354268022</v>
      </c>
      <c r="AL292" s="6">
        <f t="shared" si="85"/>
        <v>1.0434782608695652</v>
      </c>
      <c r="AM292" s="4" t="str">
        <f t="shared" si="87"/>
        <v>-</v>
      </c>
      <c r="AN292" s="4" t="str">
        <f>IF(Q292="","-",Q292)</f>
        <v>-</v>
      </c>
      <c r="AO292" s="4" t="str">
        <f>IF(R292="","-",R292)</f>
        <v>-</v>
      </c>
      <c r="AP292" s="4" t="s">
        <v>408</v>
      </c>
      <c r="AQ292" s="4" t="s">
        <v>982</v>
      </c>
      <c r="AR292" s="4"/>
      <c r="AS292" s="4"/>
      <c r="AT292" s="4" t="s">
        <v>705</v>
      </c>
      <c r="AU292" s="4">
        <v>24445</v>
      </c>
      <c r="AV292" s="4">
        <f t="shared" si="86"/>
        <v>24445</v>
      </c>
      <c r="AW292" s="19">
        <v>2</v>
      </c>
      <c r="AX292" s="19">
        <v>8</v>
      </c>
      <c r="AY292" s="16">
        <v>19</v>
      </c>
      <c r="AZ292" t="s">
        <v>699</v>
      </c>
      <c r="BA292" t="str">
        <f>IFERROR(AZ292*AL292,"-")</f>
        <v>-</v>
      </c>
      <c r="BB292">
        <v>27600</v>
      </c>
      <c r="BC292">
        <f>IFERROR(BB292*AL292,"-")</f>
        <v>28800</v>
      </c>
      <c r="BD292" t="s">
        <v>655</v>
      </c>
    </row>
    <row r="293" spans="1:56" x14ac:dyDescent="0.4">
      <c r="A293" s="3">
        <v>263</v>
      </c>
      <c r="B293" s="3">
        <v>263</v>
      </c>
      <c r="C293" s="4" t="s">
        <v>86</v>
      </c>
      <c r="D293" s="4" t="str">
        <f t="shared" si="72"/>
        <v>J70799</v>
      </c>
      <c r="E293" s="4" t="s">
        <v>86</v>
      </c>
      <c r="F293" s="4" t="s">
        <v>369</v>
      </c>
      <c r="G293" s="5">
        <v>4535627206000</v>
      </c>
      <c r="H293" s="5"/>
      <c r="I293" s="5"/>
      <c r="J293" s="5">
        <v>1</v>
      </c>
      <c r="K293" s="5">
        <v>1</v>
      </c>
      <c r="L293" s="4">
        <v>0</v>
      </c>
      <c r="M293" s="4">
        <v>18600</v>
      </c>
      <c r="N293" s="4">
        <v>14300</v>
      </c>
      <c r="O293" s="6">
        <f t="shared" si="73"/>
        <v>0.23118279569892475</v>
      </c>
      <c r="P293" s="4" t="s">
        <v>699</v>
      </c>
      <c r="Q293" s="4" t="s">
        <v>699</v>
      </c>
      <c r="R293" s="4" t="s">
        <v>699</v>
      </c>
      <c r="S293" s="4">
        <v>0</v>
      </c>
      <c r="T293" s="4">
        <f t="shared" si="74"/>
        <v>0</v>
      </c>
      <c r="U293" s="4">
        <v>15000</v>
      </c>
      <c r="V293" s="4">
        <f t="shared" si="75"/>
        <v>15000</v>
      </c>
      <c r="W293" s="4"/>
      <c r="X293" s="21">
        <f t="shared" si="76"/>
        <v>19510</v>
      </c>
      <c r="Y293" s="6">
        <f t="shared" si="77"/>
        <v>0.23116350589441315</v>
      </c>
      <c r="Z293" s="33">
        <v>0</v>
      </c>
      <c r="AA293" s="4">
        <f t="shared" si="78"/>
        <v>34818</v>
      </c>
      <c r="AB293" s="33">
        <f t="shared" si="79"/>
        <v>36522.377622377622</v>
      </c>
      <c r="AC293" s="6">
        <f t="shared" si="80"/>
        <v>0.58929289447986677</v>
      </c>
      <c r="AD293" s="7">
        <v>24000</v>
      </c>
      <c r="AE293" s="6">
        <f t="shared" si="81"/>
        <v>0.375</v>
      </c>
      <c r="AF293" s="4">
        <f t="shared" si="82"/>
        <v>9000</v>
      </c>
      <c r="AG293" s="28"/>
      <c r="AH293" s="6"/>
      <c r="AI293" s="6"/>
      <c r="AJ293" s="6" t="str">
        <f t="shared" si="83"/>
        <v>-</v>
      </c>
      <c r="AK293" s="6">
        <f t="shared" si="84"/>
        <v>1.2903225806451613</v>
      </c>
      <c r="AL293" s="6">
        <f t="shared" si="85"/>
        <v>1.048951048951049</v>
      </c>
      <c r="AM293" s="4" t="str">
        <f t="shared" si="87"/>
        <v>-</v>
      </c>
      <c r="AN293" s="4" t="str">
        <f>IF(Q293="","-",Q293)</f>
        <v>-</v>
      </c>
      <c r="AO293" s="4" t="str">
        <f>IF(R293="","-",R293)</f>
        <v>-</v>
      </c>
      <c r="AP293" s="4">
        <v>0</v>
      </c>
      <c r="AQ293" s="4" t="s">
        <v>1007</v>
      </c>
      <c r="AR293" s="4"/>
      <c r="AS293" s="4"/>
      <c r="AT293" s="4" t="s">
        <v>803</v>
      </c>
      <c r="AU293" s="4">
        <v>34818</v>
      </c>
      <c r="AV293" s="4">
        <f t="shared" si="86"/>
        <v>34818</v>
      </c>
      <c r="AW293" s="19">
        <v>4</v>
      </c>
      <c r="AX293" s="19">
        <v>8</v>
      </c>
      <c r="AY293" s="16">
        <v>19</v>
      </c>
      <c r="AZ293" t="s">
        <v>699</v>
      </c>
      <c r="BA293" t="str">
        <f>IFERROR(AZ293*AL293,"-")</f>
        <v>-</v>
      </c>
      <c r="BB293">
        <v>36496</v>
      </c>
      <c r="BC293">
        <f>IFERROR(BB293*AL293,"-")</f>
        <v>38282.517482517484</v>
      </c>
      <c r="BD293" t="s">
        <v>678</v>
      </c>
    </row>
    <row r="294" spans="1:56" x14ac:dyDescent="0.4">
      <c r="A294" s="3">
        <v>260</v>
      </c>
      <c r="B294" s="3">
        <v>260</v>
      </c>
      <c r="C294" s="4" t="s">
        <v>83</v>
      </c>
      <c r="D294" s="4" t="str">
        <f t="shared" si="72"/>
        <v>J70796</v>
      </c>
      <c r="E294" s="4" t="s">
        <v>83</v>
      </c>
      <c r="F294" s="4" t="s">
        <v>366</v>
      </c>
      <c r="G294" s="5">
        <v>4535627201210</v>
      </c>
      <c r="H294" s="5"/>
      <c r="I294" s="5"/>
      <c r="J294" s="5">
        <v>1</v>
      </c>
      <c r="K294" s="5">
        <v>1</v>
      </c>
      <c r="L294" s="4">
        <v>0</v>
      </c>
      <c r="M294" s="4">
        <v>24054</v>
      </c>
      <c r="N294" s="4">
        <v>18900</v>
      </c>
      <c r="O294" s="6">
        <f t="shared" si="73"/>
        <v>0.21426789723122974</v>
      </c>
      <c r="P294" s="4" t="s">
        <v>699</v>
      </c>
      <c r="Q294" s="4" t="s">
        <v>699</v>
      </c>
      <c r="R294" s="4" t="s">
        <v>699</v>
      </c>
      <c r="S294" s="4">
        <v>0</v>
      </c>
      <c r="T294" s="4">
        <f t="shared" si="74"/>
        <v>0</v>
      </c>
      <c r="U294" s="4">
        <v>19800</v>
      </c>
      <c r="V294" s="4">
        <f t="shared" si="75"/>
        <v>19800</v>
      </c>
      <c r="W294" s="4"/>
      <c r="X294" s="21">
        <f t="shared" si="76"/>
        <v>25199</v>
      </c>
      <c r="Y294" s="6">
        <f t="shared" si="77"/>
        <v>0.21425453391007576</v>
      </c>
      <c r="Z294" s="33">
        <v>1.25</v>
      </c>
      <c r="AA294" s="4">
        <f t="shared" si="78"/>
        <v>46208</v>
      </c>
      <c r="AB294" s="33">
        <f t="shared" si="79"/>
        <v>48408.380952380954</v>
      </c>
      <c r="AC294" s="6">
        <f t="shared" si="80"/>
        <v>0.59097991689750695</v>
      </c>
      <c r="AD294" s="7">
        <v>31000</v>
      </c>
      <c r="AE294" s="6">
        <f t="shared" si="81"/>
        <v>0.3612903225806452</v>
      </c>
      <c r="AF294" s="4">
        <f t="shared" si="82"/>
        <v>11200</v>
      </c>
      <c r="AG294" s="28"/>
      <c r="AH294" s="6"/>
      <c r="AI294" s="6"/>
      <c r="AJ294" s="6" t="str">
        <f t="shared" si="83"/>
        <v>-</v>
      </c>
      <c r="AK294" s="6">
        <f t="shared" si="84"/>
        <v>1.2887669410493057</v>
      </c>
      <c r="AL294" s="6">
        <f t="shared" si="85"/>
        <v>1.0476190476190477</v>
      </c>
      <c r="AM294" s="4" t="str">
        <f t="shared" si="87"/>
        <v>-</v>
      </c>
      <c r="AN294" s="4" t="str">
        <f>IF(Q294="","-",Q294)</f>
        <v>-</v>
      </c>
      <c r="AO294" s="4" t="str">
        <f>IF(R294="","-",R294)</f>
        <v>-</v>
      </c>
      <c r="AP294" s="4">
        <v>0</v>
      </c>
      <c r="AQ294" s="4" t="s">
        <v>1004</v>
      </c>
      <c r="AR294" s="4"/>
      <c r="AS294" s="4"/>
      <c r="AT294" s="4" t="s">
        <v>803</v>
      </c>
      <c r="AU294" s="4">
        <v>46208</v>
      </c>
      <c r="AV294" s="4">
        <f t="shared" si="86"/>
        <v>46208</v>
      </c>
      <c r="AW294" s="19">
        <v>4</v>
      </c>
      <c r="AX294" s="19">
        <v>8</v>
      </c>
      <c r="AY294" s="16">
        <v>19</v>
      </c>
      <c r="AZ294" t="s">
        <v>699</v>
      </c>
      <c r="BA294" t="str">
        <f>IFERROR(AZ294*AL294,"-")</f>
        <v>-</v>
      </c>
      <c r="BB294">
        <v>47657</v>
      </c>
      <c r="BC294">
        <f>IFERROR(BB294*AL294,"-")</f>
        <v>49926.380952380954</v>
      </c>
      <c r="BD294" t="s">
        <v>675</v>
      </c>
    </row>
    <row r="295" spans="1:56" x14ac:dyDescent="0.4">
      <c r="A295" s="41">
        <v>167</v>
      </c>
      <c r="B295" s="3">
        <v>167</v>
      </c>
      <c r="C295" s="4">
        <v>541206</v>
      </c>
      <c r="D295" s="4" t="str">
        <f t="shared" si="72"/>
        <v>541206</v>
      </c>
      <c r="E295" s="4">
        <v>541206</v>
      </c>
      <c r="F295" s="4" t="s">
        <v>273</v>
      </c>
      <c r="G295" s="5">
        <v>4535627102371</v>
      </c>
      <c r="H295" s="5"/>
      <c r="I295" s="5"/>
      <c r="J295" s="5">
        <v>1</v>
      </c>
      <c r="K295" s="5">
        <v>1</v>
      </c>
      <c r="L295" s="4">
        <v>48500</v>
      </c>
      <c r="M295" s="4">
        <v>38618</v>
      </c>
      <c r="N295" s="4">
        <v>19400</v>
      </c>
      <c r="O295" s="6">
        <f t="shared" si="73"/>
        <v>0.49764358589258895</v>
      </c>
      <c r="P295" s="4" t="s">
        <v>699</v>
      </c>
      <c r="Q295" s="4" t="s">
        <v>699</v>
      </c>
      <c r="R295" s="4" t="s">
        <v>699</v>
      </c>
      <c r="S295" s="4">
        <v>50500</v>
      </c>
      <c r="T295" s="4">
        <f t="shared" si="74"/>
        <v>50500</v>
      </c>
      <c r="U295" s="4">
        <v>20200</v>
      </c>
      <c r="V295" s="4">
        <f t="shared" si="75"/>
        <v>20200</v>
      </c>
      <c r="W295" s="4"/>
      <c r="X295" s="21">
        <f t="shared" si="76"/>
        <v>40210</v>
      </c>
      <c r="Y295" s="6">
        <f t="shared" si="77"/>
        <v>0.49763740363093756</v>
      </c>
      <c r="Z295" s="33">
        <v>2.25</v>
      </c>
      <c r="AA295" s="4">
        <f t="shared" si="78"/>
        <v>38808</v>
      </c>
      <c r="AB295" s="33">
        <f t="shared" si="79"/>
        <v>40408.32989690722</v>
      </c>
      <c r="AC295" s="6">
        <f t="shared" si="80"/>
        <v>0.50010307153164302</v>
      </c>
      <c r="AD295" s="7">
        <v>39000</v>
      </c>
      <c r="AE295" s="6">
        <f t="shared" si="81"/>
        <v>0.482051282051282</v>
      </c>
      <c r="AF295" s="42">
        <f t="shared" si="82"/>
        <v>18800</v>
      </c>
      <c r="AG295" s="28"/>
      <c r="AH295" s="6"/>
      <c r="AI295" s="6"/>
      <c r="AJ295" s="6">
        <f t="shared" si="83"/>
        <v>1.0412371134020619</v>
      </c>
      <c r="AK295" s="6">
        <f t="shared" si="84"/>
        <v>1.0098917603190223</v>
      </c>
      <c r="AL295" s="6">
        <f t="shared" si="85"/>
        <v>1.0412371134020619</v>
      </c>
      <c r="AM295" s="4" t="str">
        <f t="shared" si="87"/>
        <v>-</v>
      </c>
      <c r="AN295" s="4" t="str">
        <f>IF(Q295="","-",Q295)</f>
        <v>-</v>
      </c>
      <c r="AO295" s="4" t="str">
        <f>IF(R295="","-",R295)</f>
        <v>-</v>
      </c>
      <c r="AP295" s="4" t="s">
        <v>408</v>
      </c>
      <c r="AQ295" s="4" t="s">
        <v>898</v>
      </c>
      <c r="AR295" s="4"/>
      <c r="AS295" s="4"/>
      <c r="AT295" s="4" t="s">
        <v>705</v>
      </c>
      <c r="AU295" s="4">
        <v>38808</v>
      </c>
      <c r="AV295" s="4">
        <f t="shared" si="86"/>
        <v>38808</v>
      </c>
      <c r="AW295" s="19">
        <v>2</v>
      </c>
      <c r="AX295" s="19">
        <v>1</v>
      </c>
      <c r="AY295" s="16">
        <v>19</v>
      </c>
      <c r="AZ295" t="s">
        <v>699</v>
      </c>
      <c r="BA295" t="str">
        <f>IFERROR(AZ295*AL295,"-")</f>
        <v>-</v>
      </c>
      <c r="BB295" t="s">
        <v>699</v>
      </c>
      <c r="BC295" t="str">
        <f>IFERROR(BB295*AL295,"-")</f>
        <v>-</v>
      </c>
      <c r="BD295" t="s">
        <v>584</v>
      </c>
    </row>
    <row r="296" spans="1:56" x14ac:dyDescent="0.4">
      <c r="A296" s="41">
        <v>240</v>
      </c>
      <c r="B296" s="3">
        <v>240</v>
      </c>
      <c r="C296" s="4" t="s">
        <v>63</v>
      </c>
      <c r="D296" s="4" t="str">
        <f t="shared" si="72"/>
        <v>J0862X</v>
      </c>
      <c r="E296" s="4" t="s">
        <v>63</v>
      </c>
      <c r="F296" s="4" t="s">
        <v>346</v>
      </c>
      <c r="G296" s="5">
        <v>4535627102708</v>
      </c>
      <c r="H296" s="5"/>
      <c r="I296" s="5"/>
      <c r="J296" s="5">
        <v>1</v>
      </c>
      <c r="K296" s="5">
        <v>1</v>
      </c>
      <c r="L296" s="4">
        <v>49500</v>
      </c>
      <c r="M296" s="4">
        <v>32775</v>
      </c>
      <c r="N296" s="4">
        <v>19800</v>
      </c>
      <c r="O296" s="6">
        <f t="shared" si="73"/>
        <v>0.39588100686498851</v>
      </c>
      <c r="P296" s="4" t="s">
        <v>699</v>
      </c>
      <c r="Q296" s="4" t="s">
        <v>699</v>
      </c>
      <c r="R296" s="4" t="s">
        <v>699</v>
      </c>
      <c r="S296" s="4">
        <v>51500</v>
      </c>
      <c r="T296" s="4">
        <f t="shared" si="74"/>
        <v>51500</v>
      </c>
      <c r="U296" s="4">
        <v>20600</v>
      </c>
      <c r="V296" s="4">
        <f t="shared" si="75"/>
        <v>20600</v>
      </c>
      <c r="W296" s="4"/>
      <c r="X296" s="21">
        <f t="shared" si="76"/>
        <v>34099</v>
      </c>
      <c r="Y296" s="6">
        <f t="shared" si="77"/>
        <v>0.395876711927036</v>
      </c>
      <c r="Z296" s="33">
        <v>0.5</v>
      </c>
      <c r="AA296" s="4">
        <f t="shared" si="78"/>
        <v>38911</v>
      </c>
      <c r="AB296" s="33">
        <f t="shared" si="79"/>
        <v>40483.161616161618</v>
      </c>
      <c r="AC296" s="6">
        <f t="shared" si="80"/>
        <v>0.49114646243992699</v>
      </c>
      <c r="AD296" s="7">
        <v>34000</v>
      </c>
      <c r="AE296" s="6">
        <f t="shared" si="81"/>
        <v>0.39411764705882357</v>
      </c>
      <c r="AF296" s="42">
        <f t="shared" si="82"/>
        <v>13400</v>
      </c>
      <c r="AG296" s="28"/>
      <c r="AH296" s="6"/>
      <c r="AI296" s="6"/>
      <c r="AJ296" s="6">
        <f t="shared" si="83"/>
        <v>1.0404040404040404</v>
      </c>
      <c r="AK296" s="6">
        <f t="shared" si="84"/>
        <v>1.0373760488176964</v>
      </c>
      <c r="AL296" s="6">
        <f t="shared" si="85"/>
        <v>1.0404040404040404</v>
      </c>
      <c r="AM296" s="4" t="str">
        <f t="shared" si="87"/>
        <v>-</v>
      </c>
      <c r="AN296" s="4" t="str">
        <f>IF(Q296="","-",Q296)</f>
        <v>-</v>
      </c>
      <c r="AO296" s="4" t="str">
        <f>IF(R296="","-",R296)</f>
        <v>-</v>
      </c>
      <c r="AP296" s="4" t="s">
        <v>408</v>
      </c>
      <c r="AQ296" s="4" t="s">
        <v>983</v>
      </c>
      <c r="AR296" s="4"/>
      <c r="AS296" s="4"/>
      <c r="AT296" s="4" t="s">
        <v>705</v>
      </c>
      <c r="AU296" s="4">
        <v>38911</v>
      </c>
      <c r="AV296" s="4">
        <f t="shared" si="86"/>
        <v>38911</v>
      </c>
      <c r="AW296" s="19">
        <v>2</v>
      </c>
      <c r="AX296" s="19">
        <v>8</v>
      </c>
      <c r="AY296" s="16">
        <v>19</v>
      </c>
      <c r="AZ296" t="s">
        <v>699</v>
      </c>
      <c r="BA296" t="str">
        <f>IFERROR(AZ296*AL296,"-")</f>
        <v>-</v>
      </c>
      <c r="BB296">
        <v>39600</v>
      </c>
      <c r="BC296">
        <f>IFERROR(BB296*AL296,"-")</f>
        <v>41200</v>
      </c>
      <c r="BD296" t="s">
        <v>656</v>
      </c>
    </row>
    <row r="297" spans="1:56" x14ac:dyDescent="0.4">
      <c r="A297" s="41">
        <v>145</v>
      </c>
      <c r="B297" s="3">
        <v>145</v>
      </c>
      <c r="C297" s="4">
        <v>369535</v>
      </c>
      <c r="D297" s="4" t="str">
        <f t="shared" si="72"/>
        <v>369535</v>
      </c>
      <c r="E297" s="4">
        <v>369535</v>
      </c>
      <c r="F297" s="4" t="s">
        <v>251</v>
      </c>
      <c r="G297" s="5">
        <v>4535627102388</v>
      </c>
      <c r="H297" s="5"/>
      <c r="I297" s="5"/>
      <c r="J297" s="5">
        <v>1</v>
      </c>
      <c r="K297" s="5">
        <v>1</v>
      </c>
      <c r="L297" s="4">
        <v>57000</v>
      </c>
      <c r="M297" s="4">
        <v>41814</v>
      </c>
      <c r="N297" s="4">
        <v>22800</v>
      </c>
      <c r="O297" s="6">
        <f t="shared" si="73"/>
        <v>0.45472808150380251</v>
      </c>
      <c r="P297" s="4" t="s">
        <v>699</v>
      </c>
      <c r="Q297" s="4" t="s">
        <v>699</v>
      </c>
      <c r="R297" s="4" t="s">
        <v>699</v>
      </c>
      <c r="S297" s="4">
        <v>59500</v>
      </c>
      <c r="T297" s="4">
        <f t="shared" si="74"/>
        <v>59500</v>
      </c>
      <c r="U297" s="4">
        <v>23800</v>
      </c>
      <c r="V297" s="4">
        <f t="shared" si="75"/>
        <v>23800</v>
      </c>
      <c r="W297" s="4"/>
      <c r="X297" s="21">
        <f t="shared" si="76"/>
        <v>43648</v>
      </c>
      <c r="Y297" s="6">
        <f t="shared" si="77"/>
        <v>0.45472873900293254</v>
      </c>
      <c r="Z297" s="33">
        <v>0</v>
      </c>
      <c r="AA297" s="4">
        <f t="shared" si="78"/>
        <v>41468</v>
      </c>
      <c r="AB297" s="33">
        <f t="shared" si="79"/>
        <v>43286.771929824557</v>
      </c>
      <c r="AC297" s="6">
        <f t="shared" si="80"/>
        <v>0.45017845085367025</v>
      </c>
      <c r="AD297" s="7">
        <v>42400</v>
      </c>
      <c r="AE297" s="6">
        <f t="shared" si="81"/>
        <v>0.43867924528301883</v>
      </c>
      <c r="AF297" s="42">
        <f t="shared" si="82"/>
        <v>18600</v>
      </c>
      <c r="AG297" s="28"/>
      <c r="AH297" s="6"/>
      <c r="AI297" s="6"/>
      <c r="AJ297" s="6">
        <f t="shared" si="83"/>
        <v>1.0438596491228069</v>
      </c>
      <c r="AK297" s="6">
        <f t="shared" si="84"/>
        <v>1.0140144449227531</v>
      </c>
      <c r="AL297" s="6">
        <f t="shared" si="85"/>
        <v>1.0438596491228069</v>
      </c>
      <c r="AM297" s="4" t="str">
        <f t="shared" si="87"/>
        <v>-</v>
      </c>
      <c r="AN297" s="4" t="str">
        <f>IF(Q297="","-",Q297)</f>
        <v>-</v>
      </c>
      <c r="AO297" s="4" t="str">
        <f>IF(R297="","-",R297)</f>
        <v>-</v>
      </c>
      <c r="AP297" s="4" t="s">
        <v>408</v>
      </c>
      <c r="AQ297" s="4" t="s">
        <v>871</v>
      </c>
      <c r="AR297" s="4"/>
      <c r="AS297" s="4"/>
      <c r="AT297" s="4" t="s">
        <v>705</v>
      </c>
      <c r="AU297" s="4">
        <v>41468</v>
      </c>
      <c r="AV297" s="4">
        <f t="shared" si="86"/>
        <v>41468</v>
      </c>
      <c r="AW297" s="19">
        <v>2</v>
      </c>
      <c r="AX297" s="19">
        <v>8</v>
      </c>
      <c r="AY297" s="16">
        <v>19</v>
      </c>
      <c r="AZ297" t="s">
        <v>699</v>
      </c>
      <c r="BA297" t="str">
        <f>IFERROR(AZ297*AL297,"-")</f>
        <v>-</v>
      </c>
      <c r="BB297">
        <v>40664</v>
      </c>
      <c r="BC297">
        <f>IFERROR(BB297*AL297,"-")</f>
        <v>42447.508771929824</v>
      </c>
      <c r="BD297" t="s">
        <v>561</v>
      </c>
    </row>
    <row r="298" spans="1:56" x14ac:dyDescent="0.4">
      <c r="A298" s="41">
        <v>256</v>
      </c>
      <c r="B298" s="3">
        <v>256</v>
      </c>
      <c r="C298" s="4" t="s">
        <v>79</v>
      </c>
      <c r="D298" s="4" t="str">
        <f t="shared" si="72"/>
        <v>J70792</v>
      </c>
      <c r="E298" s="4" t="s">
        <v>79</v>
      </c>
      <c r="F298" s="4" t="s">
        <v>362</v>
      </c>
      <c r="G298" s="5">
        <v>4535627201005</v>
      </c>
      <c r="H298" s="5"/>
      <c r="I298" s="5"/>
      <c r="J298" s="5">
        <v>1</v>
      </c>
      <c r="K298" s="5">
        <v>1</v>
      </c>
      <c r="L298" s="4">
        <v>0</v>
      </c>
      <c r="M298" s="4">
        <v>34500</v>
      </c>
      <c r="N298" s="4">
        <v>27400</v>
      </c>
      <c r="O298" s="6">
        <f t="shared" si="73"/>
        <v>0.20579710144927532</v>
      </c>
      <c r="P298" s="4" t="s">
        <v>699</v>
      </c>
      <c r="Q298" s="4" t="s">
        <v>699</v>
      </c>
      <c r="R298" s="4" t="s">
        <v>699</v>
      </c>
      <c r="S298" s="4">
        <v>0</v>
      </c>
      <c r="T298" s="4">
        <f t="shared" si="74"/>
        <v>0</v>
      </c>
      <c r="U298" s="4">
        <v>28800</v>
      </c>
      <c r="V298" s="4">
        <f t="shared" si="75"/>
        <v>28800</v>
      </c>
      <c r="W298" s="4"/>
      <c r="X298" s="21">
        <f t="shared" si="76"/>
        <v>36263</v>
      </c>
      <c r="Y298" s="6">
        <f t="shared" si="77"/>
        <v>0.20580205719328237</v>
      </c>
      <c r="Z298" s="33">
        <v>0.5</v>
      </c>
      <c r="AA298" s="4">
        <f t="shared" si="78"/>
        <v>51440</v>
      </c>
      <c r="AB298" s="33">
        <f t="shared" si="79"/>
        <v>54068.321167883216</v>
      </c>
      <c r="AC298" s="6">
        <f t="shared" si="80"/>
        <v>0.46734059097978231</v>
      </c>
      <c r="AD298" s="7">
        <v>47000</v>
      </c>
      <c r="AE298" s="6">
        <f t="shared" si="81"/>
        <v>0.38723404255319149</v>
      </c>
      <c r="AF298" s="42">
        <f t="shared" si="82"/>
        <v>18200</v>
      </c>
      <c r="AG298" s="28"/>
      <c r="AH298" s="6"/>
      <c r="AI298" s="6"/>
      <c r="AJ298" s="6" t="str">
        <f t="shared" si="83"/>
        <v>-</v>
      </c>
      <c r="AK298" s="6">
        <f t="shared" si="84"/>
        <v>1.3623188405797102</v>
      </c>
      <c r="AL298" s="6">
        <f t="shared" si="85"/>
        <v>1.051094890510949</v>
      </c>
      <c r="AM298" s="4" t="str">
        <f t="shared" si="87"/>
        <v>-</v>
      </c>
      <c r="AN298" s="4" t="str">
        <f>IF(Q298="","-",Q298)</f>
        <v>-</v>
      </c>
      <c r="AO298" s="4" t="str">
        <f>IF(R298="","-",R298)</f>
        <v>-</v>
      </c>
      <c r="AP298" s="4">
        <v>0</v>
      </c>
      <c r="AQ298" s="4" t="s">
        <v>1000</v>
      </c>
      <c r="AR298" s="4"/>
      <c r="AS298" s="4"/>
      <c r="AT298" s="4" t="s">
        <v>803</v>
      </c>
      <c r="AU298" s="4">
        <v>51440</v>
      </c>
      <c r="AV298" s="4">
        <f t="shared" si="86"/>
        <v>51440</v>
      </c>
      <c r="AW298" s="19">
        <v>2</v>
      </c>
      <c r="AX298" s="19">
        <v>8</v>
      </c>
      <c r="AY298" s="16">
        <v>19</v>
      </c>
      <c r="AZ298" t="s">
        <v>699</v>
      </c>
      <c r="BA298" t="str">
        <f>IFERROR(AZ298*AL298,"-")</f>
        <v>-</v>
      </c>
      <c r="BB298">
        <v>55443</v>
      </c>
      <c r="BC298">
        <f>IFERROR(BB298*AL298,"-")</f>
        <v>58275.854014598546</v>
      </c>
      <c r="BD298" t="s">
        <v>671</v>
      </c>
    </row>
    <row r="299" spans="1:56" x14ac:dyDescent="0.4">
      <c r="A299" s="41">
        <v>266</v>
      </c>
      <c r="B299" s="3">
        <v>266</v>
      </c>
      <c r="C299" s="4" t="s">
        <v>89</v>
      </c>
      <c r="D299" s="4" t="str">
        <f t="shared" si="72"/>
        <v>J70800</v>
      </c>
      <c r="E299" s="4" t="s">
        <v>89</v>
      </c>
      <c r="F299" s="4" t="s">
        <v>372</v>
      </c>
      <c r="G299" s="5">
        <v>4535627206017</v>
      </c>
      <c r="H299" s="5"/>
      <c r="I299" s="5"/>
      <c r="J299" s="5">
        <v>1</v>
      </c>
      <c r="K299" s="5">
        <v>1</v>
      </c>
      <c r="L299" s="4">
        <v>0</v>
      </c>
      <c r="M299" s="4">
        <v>38095</v>
      </c>
      <c r="N299" s="4">
        <v>28500</v>
      </c>
      <c r="O299" s="6">
        <f t="shared" si="73"/>
        <v>0.25187032418952615</v>
      </c>
      <c r="P299" s="4" t="s">
        <v>699</v>
      </c>
      <c r="Q299" s="4" t="s">
        <v>699</v>
      </c>
      <c r="R299" s="4" t="s">
        <v>699</v>
      </c>
      <c r="S299" s="4">
        <v>0</v>
      </c>
      <c r="T299" s="4">
        <f t="shared" si="74"/>
        <v>0</v>
      </c>
      <c r="U299" s="4">
        <v>29900</v>
      </c>
      <c r="V299" s="4">
        <f t="shared" si="75"/>
        <v>29900</v>
      </c>
      <c r="W299" s="4"/>
      <c r="X299" s="21">
        <f t="shared" si="76"/>
        <v>39966</v>
      </c>
      <c r="Y299" s="6">
        <f t="shared" si="77"/>
        <v>0.25186408447180109</v>
      </c>
      <c r="Z299" s="33">
        <v>0</v>
      </c>
      <c r="AA299" s="4">
        <f t="shared" si="78"/>
        <v>65990</v>
      </c>
      <c r="AB299" s="33">
        <f t="shared" si="79"/>
        <v>69231.61403508771</v>
      </c>
      <c r="AC299" s="6">
        <f t="shared" si="80"/>
        <v>0.56811638126988928</v>
      </c>
      <c r="AD299" s="7">
        <v>48000</v>
      </c>
      <c r="AE299" s="6">
        <f t="shared" si="81"/>
        <v>0.37708333333333333</v>
      </c>
      <c r="AF299" s="42">
        <f t="shared" si="82"/>
        <v>18100</v>
      </c>
      <c r="AG299" s="28"/>
      <c r="AH299" s="6"/>
      <c r="AI299" s="6"/>
      <c r="AJ299" s="6" t="str">
        <f t="shared" si="83"/>
        <v>-</v>
      </c>
      <c r="AK299" s="6">
        <f t="shared" si="84"/>
        <v>1.260007875049219</v>
      </c>
      <c r="AL299" s="6">
        <f t="shared" si="85"/>
        <v>1.0491228070175438</v>
      </c>
      <c r="AM299" s="4" t="str">
        <f t="shared" si="87"/>
        <v>-</v>
      </c>
      <c r="AN299" s="4" t="str">
        <f>IF(Q299="","-",Q299)</f>
        <v>-</v>
      </c>
      <c r="AO299" s="4" t="str">
        <f>IF(R299="","-",R299)</f>
        <v>-</v>
      </c>
      <c r="AP299" s="4">
        <v>0</v>
      </c>
      <c r="AQ299" s="4" t="s">
        <v>1010</v>
      </c>
      <c r="AR299" s="4"/>
      <c r="AS299" s="4"/>
      <c r="AT299" s="4" t="s">
        <v>803</v>
      </c>
      <c r="AU299" s="4">
        <v>65990</v>
      </c>
      <c r="AV299" s="4">
        <f t="shared" si="86"/>
        <v>65990</v>
      </c>
      <c r="AW299" s="19">
        <v>2</v>
      </c>
      <c r="AX299" s="19">
        <v>8</v>
      </c>
      <c r="AY299" s="16">
        <v>19</v>
      </c>
      <c r="AZ299" t="s">
        <v>699</v>
      </c>
      <c r="BA299" t="str">
        <f>IFERROR(AZ299*AL299,"-")</f>
        <v>-</v>
      </c>
      <c r="BB299">
        <v>67914</v>
      </c>
      <c r="BC299">
        <f>IFERROR(BB299*AL299,"-")</f>
        <v>71250.126315789472</v>
      </c>
      <c r="BD299" t="s">
        <v>681</v>
      </c>
    </row>
    <row r="300" spans="1:56" x14ac:dyDescent="0.4">
      <c r="A300" s="41">
        <v>251</v>
      </c>
      <c r="B300" s="3">
        <v>251</v>
      </c>
      <c r="C300" s="4" t="s">
        <v>74</v>
      </c>
      <c r="D300" s="4" t="str">
        <f t="shared" si="72"/>
        <v>J70787</v>
      </c>
      <c r="E300" s="4" t="s">
        <v>74</v>
      </c>
      <c r="F300" s="4" t="s">
        <v>357</v>
      </c>
      <c r="G300" s="5">
        <v>4535627202101</v>
      </c>
      <c r="H300" s="5"/>
      <c r="I300" s="5"/>
      <c r="J300" s="5">
        <v>1</v>
      </c>
      <c r="K300" s="5">
        <v>1</v>
      </c>
      <c r="L300" s="4">
        <v>0</v>
      </c>
      <c r="M300" s="4">
        <v>39559</v>
      </c>
      <c r="N300" s="4">
        <v>28800</v>
      </c>
      <c r="O300" s="6">
        <f t="shared" si="73"/>
        <v>0.27197350792487174</v>
      </c>
      <c r="P300" s="4" t="s">
        <v>699</v>
      </c>
      <c r="Q300" s="4" t="s">
        <v>699</v>
      </c>
      <c r="R300" s="4" t="s">
        <v>699</v>
      </c>
      <c r="S300" s="4">
        <v>0</v>
      </c>
      <c r="T300" s="4">
        <f t="shared" si="74"/>
        <v>0</v>
      </c>
      <c r="U300" s="4">
        <v>30300</v>
      </c>
      <c r="V300" s="4">
        <f t="shared" si="75"/>
        <v>30300</v>
      </c>
      <c r="W300" s="4"/>
      <c r="X300" s="21">
        <f t="shared" si="76"/>
        <v>41619</v>
      </c>
      <c r="Y300" s="6">
        <f t="shared" si="77"/>
        <v>0.27196713039717435</v>
      </c>
      <c r="Z300" s="33">
        <v>0.25</v>
      </c>
      <c r="AA300" s="4">
        <f t="shared" si="78"/>
        <v>54408</v>
      </c>
      <c r="AB300" s="33">
        <f t="shared" si="79"/>
        <v>57241.749999999993</v>
      </c>
      <c r="AC300" s="6">
        <f t="shared" si="80"/>
        <v>0.47066607851786491</v>
      </c>
      <c r="AD300" s="7">
        <v>45100</v>
      </c>
      <c r="AE300" s="6">
        <f t="shared" si="81"/>
        <v>0.32815964523281593</v>
      </c>
      <c r="AF300" s="42">
        <f t="shared" si="82"/>
        <v>14800</v>
      </c>
      <c r="AG300" s="28"/>
      <c r="AH300" s="6"/>
      <c r="AI300" s="6"/>
      <c r="AJ300" s="6" t="str">
        <f t="shared" si="83"/>
        <v>-</v>
      </c>
      <c r="AK300" s="6">
        <f t="shared" si="84"/>
        <v>1.1400692636315377</v>
      </c>
      <c r="AL300" s="6">
        <f t="shared" si="85"/>
        <v>1.0520833333333333</v>
      </c>
      <c r="AM300" s="4" t="str">
        <f t="shared" si="87"/>
        <v>-</v>
      </c>
      <c r="AN300" s="4" t="str">
        <f>IF(Q300="","-",Q300)</f>
        <v>-</v>
      </c>
      <c r="AO300" s="4" t="str">
        <f>IF(R300="","-",R300)</f>
        <v>-</v>
      </c>
      <c r="AP300" s="4">
        <v>0</v>
      </c>
      <c r="AQ300" s="4" t="s">
        <v>995</v>
      </c>
      <c r="AR300" s="4"/>
      <c r="AS300" s="4"/>
      <c r="AT300" s="4" t="s">
        <v>803</v>
      </c>
      <c r="AU300" s="4">
        <v>54408</v>
      </c>
      <c r="AV300" s="4">
        <f t="shared" si="86"/>
        <v>54408</v>
      </c>
      <c r="AW300" s="19">
        <v>2</v>
      </c>
      <c r="AX300" s="19">
        <v>8</v>
      </c>
      <c r="AY300" s="16">
        <v>19</v>
      </c>
      <c r="AZ300" t="s">
        <v>699</v>
      </c>
      <c r="BA300" t="str">
        <f>IFERROR(AZ300*AL300,"-")</f>
        <v>-</v>
      </c>
      <c r="BB300">
        <v>42885</v>
      </c>
      <c r="BC300">
        <f>IFERROR(BB300*AL300,"-")</f>
        <v>45118.59375</v>
      </c>
      <c r="BD300" t="s">
        <v>666</v>
      </c>
    </row>
    <row r="301" spans="1:56" x14ac:dyDescent="0.4">
      <c r="A301" s="3">
        <v>252</v>
      </c>
      <c r="B301" s="3">
        <v>252</v>
      </c>
      <c r="C301" s="4" t="s">
        <v>75</v>
      </c>
      <c r="D301" s="4" t="str">
        <f t="shared" si="72"/>
        <v>J70788</v>
      </c>
      <c r="E301" s="4" t="s">
        <v>75</v>
      </c>
      <c r="F301" s="4" t="s">
        <v>358</v>
      </c>
      <c r="G301" s="5">
        <v>4535627207212</v>
      </c>
      <c r="H301" s="5"/>
      <c r="I301" s="5"/>
      <c r="J301" s="5">
        <v>1</v>
      </c>
      <c r="K301" s="5">
        <v>1</v>
      </c>
      <c r="L301" s="4">
        <v>0</v>
      </c>
      <c r="M301" s="4">
        <v>38000</v>
      </c>
      <c r="N301" s="4">
        <v>30000</v>
      </c>
      <c r="O301" s="6">
        <f t="shared" si="73"/>
        <v>0.21052631578947367</v>
      </c>
      <c r="P301" s="4" t="s">
        <v>699</v>
      </c>
      <c r="Q301" s="4" t="s">
        <v>699</v>
      </c>
      <c r="R301" s="4" t="s">
        <v>699</v>
      </c>
      <c r="S301" s="4">
        <v>0</v>
      </c>
      <c r="T301" s="4">
        <f t="shared" si="74"/>
        <v>0</v>
      </c>
      <c r="U301" s="4">
        <v>31500</v>
      </c>
      <c r="V301" s="4">
        <f t="shared" si="75"/>
        <v>31500</v>
      </c>
      <c r="W301" s="4"/>
      <c r="X301" s="21">
        <f t="shared" si="76"/>
        <v>39900</v>
      </c>
      <c r="Y301" s="6">
        <f t="shared" si="77"/>
        <v>0.21052631578947367</v>
      </c>
      <c r="Z301" s="33">
        <v>0</v>
      </c>
      <c r="AA301" s="4">
        <f t="shared" si="78"/>
        <v>63930</v>
      </c>
      <c r="AB301" s="33">
        <f t="shared" si="79"/>
        <v>67126.5</v>
      </c>
      <c r="AC301" s="6">
        <f t="shared" si="80"/>
        <v>0.53073674331299858</v>
      </c>
      <c r="AD301" s="7">
        <v>48000</v>
      </c>
      <c r="AE301" s="6">
        <f t="shared" si="81"/>
        <v>0.34375</v>
      </c>
      <c r="AF301" s="4">
        <f t="shared" si="82"/>
        <v>16500</v>
      </c>
      <c r="AG301" s="28"/>
      <c r="AH301" s="6"/>
      <c r="AI301" s="6"/>
      <c r="AJ301" s="6" t="str">
        <f t="shared" si="83"/>
        <v>-</v>
      </c>
      <c r="AK301" s="6">
        <f t="shared" si="84"/>
        <v>1.263157894736842</v>
      </c>
      <c r="AL301" s="6">
        <f t="shared" si="85"/>
        <v>1.05</v>
      </c>
      <c r="AM301" s="4" t="str">
        <f t="shared" si="87"/>
        <v>-</v>
      </c>
      <c r="AN301" s="4" t="str">
        <f>IF(Q301="","-",Q301)</f>
        <v>-</v>
      </c>
      <c r="AO301" s="4" t="str">
        <f>IF(R301="","-",R301)</f>
        <v>-</v>
      </c>
      <c r="AP301" s="4">
        <v>0</v>
      </c>
      <c r="AQ301" s="4" t="s">
        <v>996</v>
      </c>
      <c r="AR301" s="4"/>
      <c r="AS301" s="4"/>
      <c r="AT301" s="4" t="s">
        <v>803</v>
      </c>
      <c r="AU301" s="4">
        <v>63930</v>
      </c>
      <c r="AV301" s="4">
        <f t="shared" si="86"/>
        <v>63930</v>
      </c>
      <c r="AW301" s="19">
        <v>4</v>
      </c>
      <c r="AX301" s="19">
        <v>8</v>
      </c>
      <c r="AY301" s="16">
        <v>19</v>
      </c>
      <c r="AZ301" t="s">
        <v>699</v>
      </c>
      <c r="BA301" t="str">
        <f>IFERROR(AZ301*AL301,"-")</f>
        <v>-</v>
      </c>
      <c r="BB301">
        <v>46188</v>
      </c>
      <c r="BC301">
        <f>IFERROR(BB301*AL301,"-")</f>
        <v>48497.4</v>
      </c>
      <c r="BD301" t="s">
        <v>667</v>
      </c>
    </row>
    <row r="302" spans="1:56" x14ac:dyDescent="0.4">
      <c r="A302" s="41">
        <v>253</v>
      </c>
      <c r="B302" s="3">
        <v>253</v>
      </c>
      <c r="C302" s="4" t="s">
        <v>76</v>
      </c>
      <c r="D302" s="4" t="str">
        <f t="shared" si="72"/>
        <v>J70789</v>
      </c>
      <c r="E302" s="4" t="s">
        <v>76</v>
      </c>
      <c r="F302" s="4" t="s">
        <v>359</v>
      </c>
      <c r="G302" s="5">
        <v>4535627207229</v>
      </c>
      <c r="H302" s="5"/>
      <c r="I302" s="5"/>
      <c r="J302" s="5">
        <v>1</v>
      </c>
      <c r="K302" s="5">
        <v>1</v>
      </c>
      <c r="L302" s="4">
        <v>0</v>
      </c>
      <c r="M302" s="4">
        <v>75506</v>
      </c>
      <c r="N302" s="4">
        <v>59600</v>
      </c>
      <c r="O302" s="6">
        <f t="shared" si="73"/>
        <v>0.21065875559558178</v>
      </c>
      <c r="P302" s="4" t="s">
        <v>699</v>
      </c>
      <c r="Q302" s="4" t="s">
        <v>699</v>
      </c>
      <c r="R302" s="4" t="s">
        <v>699</v>
      </c>
      <c r="S302" s="4">
        <v>0</v>
      </c>
      <c r="T302" s="4">
        <f t="shared" si="74"/>
        <v>0</v>
      </c>
      <c r="U302" s="4">
        <v>62600</v>
      </c>
      <c r="V302" s="4">
        <f t="shared" si="75"/>
        <v>62600</v>
      </c>
      <c r="W302" s="4"/>
      <c r="X302" s="21">
        <f t="shared" si="76"/>
        <v>79307</v>
      </c>
      <c r="Y302" s="6">
        <f t="shared" si="77"/>
        <v>0.21066236271703631</v>
      </c>
      <c r="Z302" s="33">
        <v>0</v>
      </c>
      <c r="AA302" s="4">
        <f t="shared" si="78"/>
        <v>103079</v>
      </c>
      <c r="AB302" s="33">
        <f t="shared" si="79"/>
        <v>108267.54026845639</v>
      </c>
      <c r="AC302" s="6">
        <f t="shared" si="80"/>
        <v>0.4218026950203243</v>
      </c>
      <c r="AD302" s="7">
        <v>95000</v>
      </c>
      <c r="AE302" s="6">
        <f t="shared" si="81"/>
        <v>0.34105263157894739</v>
      </c>
      <c r="AF302" s="42">
        <f t="shared" si="82"/>
        <v>32400</v>
      </c>
      <c r="AG302" s="28"/>
      <c r="AH302" s="6"/>
      <c r="AI302" s="6"/>
      <c r="AJ302" s="6" t="str">
        <f t="shared" si="83"/>
        <v>-</v>
      </c>
      <c r="AK302" s="6">
        <f t="shared" si="84"/>
        <v>1.2581781580271767</v>
      </c>
      <c r="AL302" s="6">
        <f t="shared" si="85"/>
        <v>1.0503355704697988</v>
      </c>
      <c r="AM302" s="4" t="str">
        <f t="shared" si="87"/>
        <v>-</v>
      </c>
      <c r="AN302" s="4" t="str">
        <f>IF(Q302="","-",Q302)</f>
        <v>-</v>
      </c>
      <c r="AO302" s="4" t="str">
        <f>IF(R302="","-",R302)</f>
        <v>-</v>
      </c>
      <c r="AP302" s="4">
        <v>0</v>
      </c>
      <c r="AQ302" s="4" t="s">
        <v>997</v>
      </c>
      <c r="AR302" s="4"/>
      <c r="AS302" s="4"/>
      <c r="AT302" s="4" t="s">
        <v>803</v>
      </c>
      <c r="AU302" s="4">
        <v>103079</v>
      </c>
      <c r="AV302" s="4">
        <f t="shared" si="86"/>
        <v>103079</v>
      </c>
      <c r="AW302" s="19">
        <v>2</v>
      </c>
      <c r="AX302" s="19">
        <v>8</v>
      </c>
      <c r="AY302" s="16">
        <v>19</v>
      </c>
      <c r="AZ302" t="s">
        <v>699</v>
      </c>
      <c r="BA302" t="str">
        <f>IFERROR(AZ302*AL302,"-")</f>
        <v>-</v>
      </c>
      <c r="BB302">
        <v>90468</v>
      </c>
      <c r="BC302">
        <f>IFERROR(BB302*AL302,"-")</f>
        <v>95021.758389261755</v>
      </c>
      <c r="BD302" t="s">
        <v>668</v>
      </c>
    </row>
  </sheetData>
  <autoFilter ref="A3:BD302" xr:uid="{7A1660CF-9003-4B2D-B659-7F339ED5B476}">
    <sortState xmlns:xlrd2="http://schemas.microsoft.com/office/spreadsheetml/2017/richdata2" ref="A4:BD302">
      <sortCondition ref="AY4:AY302"/>
      <sortCondition ref="U4:U302"/>
      <sortCondition ref="C4:C302"/>
    </sortState>
  </autoFilter>
  <mergeCells count="3">
    <mergeCell ref="L2:O2"/>
    <mergeCell ref="J2:K2"/>
    <mergeCell ref="S1:V1"/>
  </mergeCells>
  <phoneticPr fontId="2"/>
  <conditionalFormatting sqref="AD4:AD302">
    <cfRule type="cellIs" dxfId="2" priority="4" operator="greaterThan">
      <formula>$T4</formula>
    </cfRule>
  </conditionalFormatting>
  <conditionalFormatting sqref="AB4:AB302">
    <cfRule type="cellIs" dxfId="1" priority="2" operator="lessThan">
      <formula>$AD4</formula>
    </cfRule>
  </conditionalFormatting>
  <conditionalFormatting sqref="AE4:AE302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2026-06-12T02:57:13Z</dcterms:modified>
</cp:coreProperties>
</file>