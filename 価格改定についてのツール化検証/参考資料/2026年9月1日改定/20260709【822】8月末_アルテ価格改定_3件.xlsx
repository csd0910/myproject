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ｱ_アルテ_822\価格改定\20260709_8月末\"/>
    </mc:Choice>
  </mc:AlternateContent>
  <xr:revisionPtr revIDLastSave="0" documentId="13_ncr:1_{28790109-E679-4B29-8229-E953EE105EB4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4" i="1" l="1"/>
  <c r="BP5" i="1"/>
  <c r="BP6" i="1"/>
  <c r="BN5" i="1"/>
  <c r="BN6" i="1"/>
  <c r="AR6" i="1"/>
  <c r="P6" i="1"/>
  <c r="P5" i="1"/>
  <c r="AR5" i="1"/>
  <c r="AV4" i="1"/>
  <c r="AU4" i="1"/>
  <c r="P4" i="1" l="1"/>
  <c r="AT4" i="1"/>
  <c r="BI5" i="1" l="1"/>
  <c r="AH5" i="1" s="1"/>
  <c r="BI6" i="1"/>
  <c r="AH6" i="1" s="1"/>
  <c r="BI4" i="1"/>
  <c r="AH4" i="1" s="1"/>
  <c r="AC5" i="1"/>
  <c r="AC6" i="1"/>
  <c r="AA5" i="1"/>
  <c r="AQ5" i="1" s="1"/>
  <c r="AA6" i="1"/>
  <c r="AQ6" i="1" s="1"/>
  <c r="D5" i="1"/>
  <c r="F5" i="1" s="1"/>
  <c r="D6" i="1"/>
  <c r="F6" i="1" s="1"/>
  <c r="D4" i="1"/>
  <c r="F4" i="1" s="1"/>
  <c r="AC4" i="1"/>
  <c r="AA4" i="1"/>
  <c r="AQ4" i="1" s="1"/>
  <c r="AS6" i="1" l="1"/>
  <c r="AI6" i="1" s="1"/>
  <c r="AJ6" i="1" s="1"/>
  <c r="AS5" i="1"/>
  <c r="AS4" i="1"/>
  <c r="AE4" i="1" s="1"/>
  <c r="AF4" i="1" s="1"/>
  <c r="AL5" i="1"/>
  <c r="AL4" i="1"/>
  <c r="AM6" i="1"/>
  <c r="AM5" i="1"/>
  <c r="AL6" i="1"/>
  <c r="AO4" i="1"/>
  <c r="AP4" i="1"/>
  <c r="AM4" i="1"/>
  <c r="AE6" i="1" l="1"/>
  <c r="AF6" i="1" s="1"/>
  <c r="AI4" i="1"/>
  <c r="AJ4" i="1" s="1"/>
  <c r="BN4" i="1"/>
  <c r="BP4" i="1"/>
  <c r="AI5" i="1"/>
  <c r="AJ5" i="1" s="1"/>
  <c r="AE5" i="1"/>
  <c r="AF5" i="1" s="1"/>
</calcChain>
</file>

<file path=xl/sharedStrings.xml><?xml version="1.0" encoding="utf-8"?>
<sst xmlns="http://schemas.openxmlformats.org/spreadsheetml/2006/main" count="99" uniqueCount="83">
  <si>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</si>
  <si>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</si>
  <si>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</si>
  <si>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</si>
  <si>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</si>
  <si>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</si>
  <si>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</si>
  <si>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</si>
  <si>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</si>
  <si>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</si>
  <si>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</si>
  <si>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</si>
  <si>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</si>
  <si>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</si>
  <si>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</si>
  <si>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</si>
  <si>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</si>
  <si>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</si>
  <si>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</si>
  <si>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</si>
  <si>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</si>
  <si>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</si>
  <si>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</si>
  <si>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</si>
  <si>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</si>
  <si>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</si>
  <si>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</si>
  <si>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</si>
  <si>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</si>
  <si>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</si>
  <si>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</si>
  <si>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</si>
  <si>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</si>
  <si>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</si>
  <si>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</si>
  <si>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</si>
  <si>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</si>
  <si>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</si>
  <si>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</si>
  <si>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</si>
  <si>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</si>
  <si>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</si>
  <si>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</si>
  <si>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</si>
  <si>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</si>
  <si>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</si>
  <si>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</si>
  <si>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</si>
  <si>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</si>
  <si>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</si>
  <si>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</si>
  <si>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</si>
  <si>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</si>
  <si>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</si>
  <si>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</si>
  <si>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</si>
  <si>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</si>
  <si>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</si>
  <si>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</si>
  <si>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</si>
  <si>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</si>
  <si>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</si>
  <si>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</si>
  <si>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</si>
  <si>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</si>
  <si>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</si>
  <si>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ｱﾙﾃ/のりﾊﾟﾈ 3×6 両面 厚さ5mm 5枚ｾｯﾄ/BP-5DNP-3×6</t>
  </si>
  <si>
    <t>ｱﾙﾃ/のりﾊﾟﾈ A0 両面 厚さ5mm 5枚入ｾｯﾄ/BP-5DNP-A0</t>
  </si>
  <si>
    <t>ｱﾙﾃ/のりﾊﾟﾈ A1 両面 厚さ5mm 10枚入ｾｯﾄ/BP-5DNP-A1</t>
  </si>
  <si>
    <t>-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</si>
  <si>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</si>
  <si>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</si>
  <si>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</si>
  <si>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RR05195</t>
  </si>
  <si>
    <t>1枚</t>
  </si>
  <si>
    <t>アルテ のりパネ 両面 5mm 3X6 BP-5DNP-3X6 1枚（直送品）</t>
  </si>
  <si>
    <t>アルテ のりパネ 両面 5mm A0 BP-5DNP-A0 1セット(1枚×5)</t>
  </si>
  <si>
    <t>P017962</t>
  </si>
  <si>
    <t>1セット（1枚×5）</t>
  </si>
  <si>
    <t>アルテ のりパネ 両面 5mm A1 BP-5DNP-A1 1セット(10枚)</t>
  </si>
  <si>
    <t>P017963</t>
  </si>
  <si>
    <t>1セット（10枚）</t>
  </si>
  <si>
    <t>直送品</t>
    <rPh sb="0" eb="3">
      <t>チョクソウヒン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</si>
</sst>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177" fontId="0" fillId="6" borderId="4" xfId="0" applyNumberFormat="1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7"/>
  <sheetViews>
    <sheetView tabSelected="1" zoomScale="90" zoomScaleNormal="90" workbookViewId="0">
      <pane xSplit="8" ySplit="5" topLeftCell="M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8" width="7.625" customWidth="1"/>
  </cols>
  <sheetData>
    <row r="1" spans="1:69" x14ac:dyDescent="0.4">
      <c r="C1" s="29" t="s">
        <v>43</v>
      </c>
      <c r="Z1" s="44" t="s">
        <v>40</v>
      </c>
      <c r="AA1" s="45"/>
      <c r="AB1" s="45"/>
      <c r="AC1" s="46"/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1" t="s">
        <v>31</v>
      </c>
      <c r="L2" s="43"/>
      <c r="M2" s="41" t="s">
        <v>1</v>
      </c>
      <c r="N2" s="42"/>
      <c r="O2" s="42"/>
      <c r="P2" s="43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0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64</v>
      </c>
      <c r="AI3" s="37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70</v>
      </c>
      <c r="BI3" s="2" t="s">
        <v>12</v>
      </c>
      <c r="BJ3" s="18" t="s">
        <v>45</v>
      </c>
      <c r="BK3" s="18" t="s">
        <v>46</v>
      </c>
      <c r="BL3" s="15" t="s">
        <v>52</v>
      </c>
      <c r="BM3" s="38" t="s">
        <v>71</v>
      </c>
      <c r="BN3" s="39" t="s">
        <v>57</v>
      </c>
      <c r="BO3" s="39" t="s">
        <v>72</v>
      </c>
      <c r="BP3" s="39" t="s">
        <v>58</v>
      </c>
      <c r="BQ3" s="34" t="s">
        <v>50</v>
      </c>
    </row>
    <row r="4" spans="1:69" x14ac:dyDescent="0.4">
      <c r="A4" s="47">
        <v>1</v>
      </c>
      <c r="B4" s="3">
        <v>1</v>
      </c>
      <c r="C4" s="4">
        <v>167040</v>
      </c>
      <c r="D4" s="4" t="str">
        <f>TEXT(C4,"000000")</f>
        <v>167040</v>
      </c>
      <c r="E4" s="4">
        <v>167040</v>
      </c>
      <c r="F4" s="4" t="str">
        <f>D4&amp;I4</f>
        <v>1670405</v>
      </c>
      <c r="G4" s="4" t="s">
        <v>66</v>
      </c>
      <c r="H4" s="5">
        <v>4963783349956</v>
      </c>
      <c r="I4" s="5">
        <v>5</v>
      </c>
      <c r="J4" s="5"/>
      <c r="K4" s="5">
        <v>1</v>
      </c>
      <c r="L4" s="5">
        <v>1</v>
      </c>
      <c r="M4" s="4">
        <v>33000</v>
      </c>
      <c r="N4" s="4">
        <v>18810</v>
      </c>
      <c r="O4" s="4">
        <v>14190</v>
      </c>
      <c r="P4" s="6">
        <f>IFERROR(1-O4/N4,"-")</f>
        <v>0.24561403508771928</v>
      </c>
      <c r="Q4" s="4" t="s">
        <v>69</v>
      </c>
      <c r="R4" s="4"/>
      <c r="S4" s="4"/>
      <c r="T4" s="4"/>
      <c r="U4" s="4"/>
      <c r="V4" s="4"/>
      <c r="W4" s="4"/>
      <c r="X4" s="4"/>
      <c r="Y4" s="4"/>
      <c r="Z4" s="4">
        <v>42900</v>
      </c>
      <c r="AA4" s="4">
        <f>IF(AD4="",Z4,Z4*AD4)</f>
        <v>42900</v>
      </c>
      <c r="AB4" s="4">
        <v>18445</v>
      </c>
      <c r="AC4" s="4">
        <f>IF(AD4="",AB4,AB4*AD4)</f>
        <v>18445</v>
      </c>
      <c r="AD4" s="4"/>
      <c r="AE4" s="21">
        <f t="shared" ref="AE4:AE6" si="0">ROUND(N4*AS4,0)</f>
        <v>24450</v>
      </c>
      <c r="AF4" s="6">
        <f>IFERROR(1-AC4/AE4,"-")</f>
        <v>0.24560327198364007</v>
      </c>
      <c r="AG4" s="33">
        <v>0</v>
      </c>
      <c r="AH4" s="4">
        <f>BI4</f>
        <v>26605</v>
      </c>
      <c r="AI4" s="33">
        <f>IFERROR(AH4*AS4,"-")</f>
        <v>34582.750176180409</v>
      </c>
      <c r="AJ4" s="6">
        <f>IFERROR(1-AC4/AI4,"-")</f>
        <v>0.46664160872016536</v>
      </c>
      <c r="AK4" s="7">
        <v>25800</v>
      </c>
      <c r="AL4" s="48">
        <f t="shared" ref="AL4:AL6" si="1">1-AC4/AK4</f>
        <v>0.28507751937984493</v>
      </c>
      <c r="AM4" s="4">
        <f t="shared" ref="AM4:AM6" si="2">AK4-AC4</f>
        <v>7355</v>
      </c>
      <c r="AN4" s="28"/>
      <c r="AO4" s="6" t="e">
        <f>1-AC4/AN4</f>
        <v>#DIV/0!</v>
      </c>
      <c r="AP4" s="4">
        <f>AN4-AC4</f>
        <v>-18445</v>
      </c>
      <c r="AQ4" s="6">
        <f>IFERROR(AA4/M4,"-")</f>
        <v>1.3</v>
      </c>
      <c r="AR4" s="6">
        <f>IFERROR(AK4/N4,"-")</f>
        <v>1.3716108452950557</v>
      </c>
      <c r="AS4" s="6">
        <f>IFERROR(AC4/O4,"-")</f>
        <v>1.2998590556730092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73</v>
      </c>
      <c r="BE4" s="4">
        <v>5</v>
      </c>
      <c r="BF4" s="4">
        <v>1</v>
      </c>
      <c r="BG4" s="4" t="s">
        <v>74</v>
      </c>
      <c r="BH4" s="4">
        <v>5321</v>
      </c>
      <c r="BI4" s="4">
        <f t="shared" ref="BI4:BI5" si="3">IF(BE4="",BH4,BE4/BF4*BH4)</f>
        <v>26605</v>
      </c>
      <c r="BJ4" s="19">
        <v>4</v>
      </c>
      <c r="BK4" s="19">
        <v>9</v>
      </c>
      <c r="BL4" s="16">
        <v>19</v>
      </c>
      <c r="BM4" t="s">
        <v>69</v>
      </c>
      <c r="BN4" t="str">
        <f>IFERROR(BM4*AS4,"-")</f>
        <v>-</v>
      </c>
      <c r="BO4">
        <v>5321</v>
      </c>
      <c r="BP4">
        <f>IFERROR(BO4*AS4,"-")</f>
        <v>6916.5500352360823</v>
      </c>
      <c r="BQ4" t="s">
        <v>75</v>
      </c>
    </row>
    <row r="5" spans="1:69" x14ac:dyDescent="0.4">
      <c r="A5" s="47">
        <v>2</v>
      </c>
      <c r="B5" s="3">
        <v>2</v>
      </c>
      <c r="C5" s="4">
        <v>167043</v>
      </c>
      <c r="D5" s="4" t="str">
        <f t="shared" ref="D5:D6" si="4">TEXT(C5,"000000")</f>
        <v>167043</v>
      </c>
      <c r="E5" s="4">
        <v>167043</v>
      </c>
      <c r="F5" s="4" t="str">
        <f t="shared" ref="F5:F6" si="5">D5&amp;I5</f>
        <v>1670435</v>
      </c>
      <c r="G5" s="4" t="s">
        <v>67</v>
      </c>
      <c r="H5" s="5">
        <v>4963783349963</v>
      </c>
      <c r="I5" s="5">
        <v>5</v>
      </c>
      <c r="J5" s="5"/>
      <c r="K5" s="5">
        <v>1</v>
      </c>
      <c r="L5" s="5">
        <v>1</v>
      </c>
      <c r="M5" s="4">
        <v>22550</v>
      </c>
      <c r="N5" s="4">
        <v>13110</v>
      </c>
      <c r="O5" s="4">
        <v>9697</v>
      </c>
      <c r="P5" s="6">
        <f t="shared" ref="P5:P6" si="6">IFERROR(1-O5/N5,"-")</f>
        <v>0.26033562166285273</v>
      </c>
      <c r="Q5" s="4" t="s">
        <v>69</v>
      </c>
      <c r="R5" s="4"/>
      <c r="S5" s="4"/>
      <c r="T5" s="4"/>
      <c r="U5" s="4"/>
      <c r="V5" s="4"/>
      <c r="W5" s="4"/>
      <c r="X5" s="4"/>
      <c r="Y5" s="4"/>
      <c r="Z5" s="4">
        <v>29350</v>
      </c>
      <c r="AA5" s="4">
        <f t="shared" ref="AA5:AA6" si="7">IF(AD5="",Z5,Z5*AD5)</f>
        <v>29350</v>
      </c>
      <c r="AB5" s="4">
        <v>12620</v>
      </c>
      <c r="AC5" s="4">
        <f t="shared" ref="AC5:AC6" si="8">IF(AD5="",AB5,AB5*AD5)</f>
        <v>12620</v>
      </c>
      <c r="AD5" s="4"/>
      <c r="AE5" s="21">
        <f t="shared" si="0"/>
        <v>17062</v>
      </c>
      <c r="AF5" s="6">
        <f t="shared" ref="AF5:AF6" si="9">IFERROR(1-AC5/AE5,"-")</f>
        <v>0.26034462548353066</v>
      </c>
      <c r="AG5" s="33">
        <v>0</v>
      </c>
      <c r="AH5" s="4">
        <f t="shared" ref="AH5:AH6" si="10">BI5</f>
        <v>18595</v>
      </c>
      <c r="AI5" s="33">
        <f t="shared" ref="AI5:AI6" si="11">IFERROR(AH5*AS5,"-")</f>
        <v>24200.154687016602</v>
      </c>
      <c r="AJ5" s="6">
        <f t="shared" ref="AJ5:AJ6" si="12">IFERROR(1-AC5/AI5,"-")</f>
        <v>0.47851573003495562</v>
      </c>
      <c r="AK5" s="7">
        <v>17800</v>
      </c>
      <c r="AL5" s="48">
        <f t="shared" si="1"/>
        <v>0.29101123595505618</v>
      </c>
      <c r="AM5" s="4">
        <f t="shared" si="2"/>
        <v>5180</v>
      </c>
      <c r="AN5" s="28"/>
      <c r="AO5" s="6"/>
      <c r="AP5" s="6"/>
      <c r="AQ5" s="6">
        <f t="shared" ref="AQ5:AQ6" si="13">IFERROR(AA5/M5,"-")</f>
        <v>1.3015521064301552</v>
      </c>
      <c r="AR5" s="6">
        <f t="shared" ref="AR5:AR6" si="14">IFERROR(AK5/N5,"-")</f>
        <v>1.3577421815408086</v>
      </c>
      <c r="AS5" s="6">
        <f t="shared" ref="AS5:AS6" si="15">IFERROR(AC5/O5,"-")</f>
        <v>1.3014334330205217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77</v>
      </c>
      <c r="BE5" s="4"/>
      <c r="BF5" s="4"/>
      <c r="BG5" s="4" t="s">
        <v>78</v>
      </c>
      <c r="BH5" s="4">
        <v>18595</v>
      </c>
      <c r="BI5" s="4">
        <f t="shared" si="3"/>
        <v>18595</v>
      </c>
      <c r="BJ5" s="19">
        <v>4</v>
      </c>
      <c r="BK5" s="19">
        <v>9</v>
      </c>
      <c r="BL5" s="16">
        <v>19</v>
      </c>
      <c r="BM5" t="s">
        <v>69</v>
      </c>
      <c r="BN5" t="str">
        <f t="shared" ref="BN5:BN6" si="16">IFERROR(BM5*AS5,"-")</f>
        <v>-</v>
      </c>
      <c r="BO5">
        <v>3945</v>
      </c>
      <c r="BP5">
        <f t="shared" ref="BP5:BP6" si="17">IFERROR(BO5*AS5,"-")</f>
        <v>5134.154893265958</v>
      </c>
      <c r="BQ5" t="s">
        <v>76</v>
      </c>
    </row>
    <row r="6" spans="1:69" x14ac:dyDescent="0.4">
      <c r="A6" s="47">
        <v>3</v>
      </c>
      <c r="B6" s="3">
        <v>3</v>
      </c>
      <c r="C6" s="17">
        <v>167044</v>
      </c>
      <c r="D6" s="4" t="str">
        <f t="shared" si="4"/>
        <v>167044</v>
      </c>
      <c r="E6" s="4">
        <v>167044</v>
      </c>
      <c r="F6" s="4" t="str">
        <f t="shared" si="5"/>
        <v>1670445</v>
      </c>
      <c r="G6" s="4" t="s">
        <v>68</v>
      </c>
      <c r="H6" s="5">
        <v>4963783349987</v>
      </c>
      <c r="I6" s="5">
        <v>5</v>
      </c>
      <c r="J6" s="5"/>
      <c r="K6" s="5">
        <v>1</v>
      </c>
      <c r="L6" s="5">
        <v>1</v>
      </c>
      <c r="M6" s="4">
        <v>22600</v>
      </c>
      <c r="N6" s="4">
        <v>13110</v>
      </c>
      <c r="O6" s="4">
        <v>9718</v>
      </c>
      <c r="P6" s="6">
        <f t="shared" si="6"/>
        <v>0.25873379099923721</v>
      </c>
      <c r="Q6" s="4" t="s">
        <v>69</v>
      </c>
      <c r="R6" s="4"/>
      <c r="S6" s="4"/>
      <c r="T6" s="4"/>
      <c r="U6" s="4"/>
      <c r="V6" s="4"/>
      <c r="W6" s="4"/>
      <c r="X6" s="4"/>
      <c r="Y6" s="4"/>
      <c r="Z6" s="4">
        <v>29400</v>
      </c>
      <c r="AA6" s="4">
        <f t="shared" si="7"/>
        <v>29400</v>
      </c>
      <c r="AB6" s="4">
        <v>12640</v>
      </c>
      <c r="AC6" s="4">
        <f t="shared" si="8"/>
        <v>12640</v>
      </c>
      <c r="AD6" s="4"/>
      <c r="AE6" s="21">
        <f t="shared" si="0"/>
        <v>17052</v>
      </c>
      <c r="AF6" s="6">
        <f t="shared" si="9"/>
        <v>0.25873797794980058</v>
      </c>
      <c r="AG6" s="33">
        <v>0</v>
      </c>
      <c r="AH6" s="4">
        <f t="shared" si="10"/>
        <v>19483</v>
      </c>
      <c r="AI6" s="33">
        <f t="shared" si="11"/>
        <v>25341.131920148178</v>
      </c>
      <c r="AJ6" s="6">
        <f t="shared" si="12"/>
        <v>0.50120617974644555</v>
      </c>
      <c r="AK6" s="7">
        <v>17800</v>
      </c>
      <c r="AL6" s="48">
        <f t="shared" si="1"/>
        <v>0.28988764044943816</v>
      </c>
      <c r="AM6" s="4">
        <f t="shared" si="2"/>
        <v>5160</v>
      </c>
      <c r="AN6" s="28"/>
      <c r="AO6" s="6"/>
      <c r="AP6" s="6"/>
      <c r="AQ6" s="6">
        <f t="shared" si="13"/>
        <v>1.3008849557522124</v>
      </c>
      <c r="AR6" s="6">
        <f t="shared" si="14"/>
        <v>1.3577421815408086</v>
      </c>
      <c r="AS6" s="6">
        <f t="shared" si="15"/>
        <v>1.3006791520889072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80</v>
      </c>
      <c r="BE6" s="4"/>
      <c r="BF6" s="4"/>
      <c r="BG6" s="4" t="s">
        <v>81</v>
      </c>
      <c r="BH6" s="4">
        <v>19483</v>
      </c>
      <c r="BI6" s="4">
        <f t="shared" ref="BI6" si="18">IF(BE6="",BH6,BE6/BF6*BH6)</f>
        <v>19483</v>
      </c>
      <c r="BJ6" s="19">
        <v>4</v>
      </c>
      <c r="BK6" s="19">
        <v>9</v>
      </c>
      <c r="BL6" s="16">
        <v>19</v>
      </c>
      <c r="BM6" t="s">
        <v>69</v>
      </c>
      <c r="BN6" t="str">
        <f t="shared" si="16"/>
        <v>-</v>
      </c>
      <c r="BO6">
        <v>3000</v>
      </c>
      <c r="BP6">
        <f t="shared" si="17"/>
        <v>3902.0374562667216</v>
      </c>
      <c r="BQ6" t="s">
        <v>79</v>
      </c>
    </row>
    <row r="7" spans="1:69" x14ac:dyDescent="0.4">
      <c r="AL7" t="s">
        <v>82</v>
      </c>
    </row>
  </sheetData>
  <autoFilter ref="A3:BQ3" xr:uid="{7A1660CF-9003-4B2D-B659-7F339ED5B476}"/>
  <mergeCells count="3">
    <mergeCell ref="M2:P2"/>
    <mergeCell ref="K2:L2"/>
    <mergeCell ref="Z1:AC1"/>
  </mergeCells>
  <phoneticPr fontId="2"/>
  <conditionalFormatting sqref="AK4:AK6">
    <cfRule type="cellIs" dxfId="2" priority="4" operator="greaterThan">
      <formula>$AA4</formula>
    </cfRule>
  </conditionalFormatting>
  <conditionalFormatting sqref="AI4:AI6">
    <cfRule type="cellIs" dxfId="1" priority="2" operator="lessThan">
      <formula>$AK4</formula>
    </cfRule>
  </conditionalFormatting>
  <conditionalFormatting sqref="AL4:AL6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2026-07-09T05:07:12Z</dcterms:modified>
</cp:coreProperties>
</file>