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9月1日改定\"/>
    </mc:Choice>
  </mc:AlternateContent>
  <xr:revisionPtr revIDLastSave="0" documentId="13_ncr:1_{80CBDF62-B595-4257-896E-9D276D1BA39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6" i="1" l="1"/>
  <c r="AR6" i="1"/>
  <c r="AS6" i="1"/>
  <c r="AT6" i="1"/>
  <c r="AU6" i="1"/>
  <c r="AV6" i="1"/>
  <c r="AQ8" i="1"/>
  <c r="AR8" i="1"/>
  <c r="AS8" i="1"/>
  <c r="AT8" i="1"/>
  <c r="AU8" i="1"/>
  <c r="AV8" i="1"/>
  <c r="AQ10" i="1"/>
  <c r="AR10" i="1"/>
  <c r="AS10" i="1"/>
  <c r="AT10" i="1"/>
  <c r="AU10" i="1"/>
  <c r="AV10" i="1"/>
  <c r="AQ11" i="1"/>
  <c r="AR11" i="1"/>
  <c r="AS11" i="1"/>
  <c r="AT11" i="1"/>
  <c r="AU11" i="1"/>
  <c r="AV11" i="1"/>
  <c r="AQ13" i="1"/>
  <c r="AR13" i="1"/>
  <c r="AS13" i="1"/>
  <c r="AT13" i="1"/>
  <c r="AU13" i="1"/>
  <c r="AV13" i="1"/>
  <c r="AQ15" i="1"/>
  <c r="AR15" i="1"/>
  <c r="AS15" i="1"/>
  <c r="AT15" i="1"/>
  <c r="AU15" i="1"/>
  <c r="AV15" i="1"/>
  <c r="AQ5" i="1"/>
  <c r="AR5" i="1"/>
  <c r="AS5" i="1"/>
  <c r="AT5" i="1"/>
  <c r="AU5" i="1"/>
  <c r="AV5" i="1"/>
  <c r="AQ7" i="1"/>
  <c r="AR7" i="1"/>
  <c r="AS7" i="1"/>
  <c r="AT7" i="1"/>
  <c r="AU7" i="1"/>
  <c r="AV7" i="1"/>
  <c r="AQ14" i="1"/>
  <c r="AR14" i="1"/>
  <c r="AS14" i="1"/>
  <c r="AT14" i="1"/>
  <c r="AU14" i="1"/>
  <c r="AV14" i="1"/>
  <c r="AQ9" i="1"/>
  <c r="AR9" i="1"/>
  <c r="AS9" i="1"/>
  <c r="AT9" i="1"/>
  <c r="AU9" i="1"/>
  <c r="AV9" i="1"/>
  <c r="AQ12" i="1"/>
  <c r="AR12" i="1"/>
  <c r="AS12" i="1"/>
  <c r="AT12" i="1"/>
  <c r="AU12" i="1"/>
  <c r="AV12" i="1"/>
  <c r="AV4" i="1"/>
  <c r="AU4" i="1"/>
  <c r="AT4" i="1"/>
  <c r="AS4" i="1"/>
  <c r="AR4" i="1"/>
  <c r="X12" i="1"/>
  <c r="X9" i="1"/>
  <c r="AN9" i="1" s="1"/>
  <c r="P9" i="1"/>
  <c r="AO12" i="1"/>
  <c r="P12" i="1"/>
  <c r="AO5" i="1"/>
  <c r="X14" i="1"/>
  <c r="AN14" i="1" s="1"/>
  <c r="X7" i="1"/>
  <c r="AN7" i="1" s="1"/>
  <c r="X5" i="1"/>
  <c r="AN5" i="1" s="1"/>
  <c r="P13" i="1"/>
  <c r="AO4" i="1"/>
  <c r="P6" i="1"/>
  <c r="P8" i="1"/>
  <c r="P10" i="1"/>
  <c r="P11" i="1"/>
  <c r="P15" i="1"/>
  <c r="P7" i="1"/>
  <c r="P14" i="1"/>
  <c r="AO6" i="1"/>
  <c r="AO8" i="1"/>
  <c r="AO10" i="1"/>
  <c r="AO11" i="1"/>
  <c r="AO15" i="1"/>
  <c r="AO7" i="1"/>
  <c r="AO14" i="1"/>
  <c r="BD12" i="1"/>
  <c r="AE12" i="1" s="1"/>
  <c r="Z12" i="1"/>
  <c r="AJ12" i="1" s="1"/>
  <c r="D12" i="1"/>
  <c r="F12" i="1" s="1"/>
  <c r="BD9" i="1"/>
  <c r="AE9" i="1" s="1"/>
  <c r="Z9" i="1"/>
  <c r="AP9" i="1" s="1"/>
  <c r="BO9" i="1" s="1"/>
  <c r="D9" i="1"/>
  <c r="F9" i="1" s="1"/>
  <c r="BK9" i="1" l="1"/>
  <c r="AO9" i="1"/>
  <c r="AF9" i="1"/>
  <c r="AG9" i="1" s="1"/>
  <c r="AN12" i="1"/>
  <c r="P5" i="1"/>
  <c r="AP12" i="1"/>
  <c r="AB9" i="1"/>
  <c r="AC9" i="1" s="1"/>
  <c r="AO13" i="1"/>
  <c r="AQ4" i="1"/>
  <c r="P4" i="1"/>
  <c r="AI9" i="1"/>
  <c r="AI12" i="1"/>
  <c r="AJ9" i="1"/>
  <c r="AF12" i="1" l="1"/>
  <c r="AG12" i="1" s="1"/>
  <c r="BO12" i="1"/>
  <c r="BK12" i="1"/>
  <c r="AB12" i="1"/>
  <c r="AC12" i="1" s="1"/>
  <c r="BD6" i="1"/>
  <c r="AE6" i="1" s="1"/>
  <c r="BD8" i="1"/>
  <c r="AE8" i="1" s="1"/>
  <c r="BD10" i="1"/>
  <c r="AE10" i="1" s="1"/>
  <c r="BD11" i="1"/>
  <c r="AE11" i="1" s="1"/>
  <c r="BD13" i="1"/>
  <c r="AE13" i="1" s="1"/>
  <c r="BD15" i="1"/>
  <c r="AE15" i="1" s="1"/>
  <c r="BD5" i="1"/>
  <c r="AE5" i="1" s="1"/>
  <c r="BD7" i="1"/>
  <c r="AE7" i="1" s="1"/>
  <c r="BD14" i="1"/>
  <c r="AE14" i="1" s="1"/>
  <c r="BD4" i="1"/>
  <c r="AE4" i="1" s="1"/>
  <c r="Z6" i="1"/>
  <c r="AP6" i="1" s="1"/>
  <c r="Z8" i="1"/>
  <c r="AP8" i="1" s="1"/>
  <c r="Z10" i="1"/>
  <c r="AP10" i="1" s="1"/>
  <c r="Z11" i="1"/>
  <c r="AP11" i="1" s="1"/>
  <c r="Z13" i="1"/>
  <c r="AP13" i="1" s="1"/>
  <c r="Z15" i="1"/>
  <c r="AP15" i="1" s="1"/>
  <c r="Z5" i="1"/>
  <c r="Z7" i="1"/>
  <c r="Z14" i="1"/>
  <c r="X6" i="1"/>
  <c r="AN6" i="1" s="1"/>
  <c r="X8" i="1"/>
  <c r="AN8" i="1" s="1"/>
  <c r="X10" i="1"/>
  <c r="AN10" i="1" s="1"/>
  <c r="X11" i="1"/>
  <c r="AN11" i="1" s="1"/>
  <c r="X13" i="1"/>
  <c r="AN13" i="1" s="1"/>
  <c r="X15" i="1"/>
  <c r="AN15" i="1" s="1"/>
  <c r="D6" i="1"/>
  <c r="F6" i="1" s="1"/>
  <c r="D8" i="1"/>
  <c r="F8" i="1" s="1"/>
  <c r="D10" i="1"/>
  <c r="F10" i="1" s="1"/>
  <c r="D11" i="1"/>
  <c r="F11" i="1" s="1"/>
  <c r="D13" i="1"/>
  <c r="F13" i="1" s="1"/>
  <c r="D15" i="1"/>
  <c r="F15" i="1" s="1"/>
  <c r="D5" i="1"/>
  <c r="F5" i="1" s="1"/>
  <c r="D7" i="1"/>
  <c r="F7" i="1" s="1"/>
  <c r="D14" i="1"/>
  <c r="F14" i="1" s="1"/>
  <c r="D4" i="1"/>
  <c r="F4" i="1" s="1"/>
  <c r="Z4" i="1"/>
  <c r="AP4" i="1" s="1"/>
  <c r="X4" i="1"/>
  <c r="AN4" i="1" s="1"/>
  <c r="BO15" i="1" l="1"/>
  <c r="BK15" i="1"/>
  <c r="BO6" i="1"/>
  <c r="BK6" i="1"/>
  <c r="BO13" i="1"/>
  <c r="BK13" i="1"/>
  <c r="BO8" i="1"/>
  <c r="BK8" i="1"/>
  <c r="BO11" i="1"/>
  <c r="BK11" i="1"/>
  <c r="BK10" i="1"/>
  <c r="BO10" i="1"/>
  <c r="AF13" i="1"/>
  <c r="AG13" i="1" s="1"/>
  <c r="AF8" i="1"/>
  <c r="AG8" i="1" s="1"/>
  <c r="AF10" i="1"/>
  <c r="AG10" i="1" s="1"/>
  <c r="AF11" i="1"/>
  <c r="AG11" i="1" s="1"/>
  <c r="AF6" i="1"/>
  <c r="AG6" i="1" s="1"/>
  <c r="AF15" i="1"/>
  <c r="AG15" i="1" s="1"/>
  <c r="AP7" i="1"/>
  <c r="AP5" i="1"/>
  <c r="AP14" i="1"/>
  <c r="AF4" i="1"/>
  <c r="AG4" i="1" s="1"/>
  <c r="BO4" i="1"/>
  <c r="BK4" i="1"/>
  <c r="AB6" i="1"/>
  <c r="AC6" i="1" s="1"/>
  <c r="AI14" i="1"/>
  <c r="AI6" i="1"/>
  <c r="AI7" i="1"/>
  <c r="AJ15" i="1"/>
  <c r="AI4" i="1"/>
  <c r="AI13" i="1"/>
  <c r="AJ11" i="1"/>
  <c r="AJ5" i="1"/>
  <c r="AJ10" i="1"/>
  <c r="AB8" i="1"/>
  <c r="AC8" i="1" s="1"/>
  <c r="AB15" i="1"/>
  <c r="AC15" i="1" s="1"/>
  <c r="AB11" i="1"/>
  <c r="AC11" i="1" s="1"/>
  <c r="AJ8" i="1"/>
  <c r="AI5" i="1"/>
  <c r="AI15" i="1"/>
  <c r="AI11" i="1"/>
  <c r="AJ13" i="1"/>
  <c r="AB13" i="1"/>
  <c r="AC13" i="1" s="1"/>
  <c r="AI10" i="1"/>
  <c r="AJ14" i="1"/>
  <c r="AJ6" i="1"/>
  <c r="AB10" i="1"/>
  <c r="AC10" i="1" s="1"/>
  <c r="AI8" i="1"/>
  <c r="AJ7" i="1"/>
  <c r="AL4" i="1"/>
  <c r="AM4" i="1"/>
  <c r="AJ4" i="1"/>
  <c r="AB4" i="1"/>
  <c r="AC4" i="1" s="1"/>
  <c r="AF14" i="1" l="1"/>
  <c r="AG14" i="1" s="1"/>
  <c r="BO14" i="1"/>
  <c r="BK14" i="1"/>
  <c r="AF5" i="1"/>
  <c r="AG5" i="1" s="1"/>
  <c r="BK5" i="1"/>
  <c r="BO5" i="1"/>
  <c r="AF7" i="1"/>
  <c r="AG7" i="1" s="1"/>
  <c r="BK7" i="1"/>
  <c r="BO7" i="1"/>
  <c r="AB5" i="1"/>
  <c r="AC5" i="1" s="1"/>
  <c r="AB14" i="1"/>
  <c r="AC14" i="1" s="1"/>
  <c r="AB7" i="1"/>
  <c r="AC7" i="1" s="1"/>
</calcChain>
</file>

<file path=xl/sharedStrings.xml><?xml version="1.0" encoding="utf-8"?>
<sst xmlns="http://schemas.openxmlformats.org/spreadsheetml/2006/main" count="215" uniqueCount="119">
  <si>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</si>
  <si>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</si>
  <si>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</si>
  <si>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</si>
  <si>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</si>
  <si>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</si>
  <si>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</si>
  <si>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</si>
  <si>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</si>
  <si>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</si>
  <si>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</si>
  <si>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</si>
  <si>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</si>
  <si>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</si>
  <si>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</si>
  <si>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</si>
  <si>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</si>
  <si>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</si>
  <si>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</si>
  <si>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</si>
  <si>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</si>
  <si>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</si>
  <si>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</si>
  <si>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</si>
  <si>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</si>
  <si>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</si>
  <si>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</si>
  <si>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</si>
  <si>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</si>
  <si>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</si>
  <si>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</si>
  <si>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</si>
  <si>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</si>
  <si>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</si>
  <si>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</si>
  <si>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</si>
  <si>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</si>
  <si>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</si>
  <si>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</si>
  <si>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</si>
  <si>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</si>
  <si>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</si>
  <si>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</si>
  <si>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</si>
  <si>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</si>
  <si>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</si>
  <si>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</si>
  <si>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</si>
  <si>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</si>
  <si>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</si>
  <si>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</si>
  <si>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</si>
  <si>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</si>
  <si>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</si>
  <si>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</si>
  <si>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</si>
  <si>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</si>
  <si>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</si>
  <si>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</si>
  <si>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</si>
  <si>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</si>
  <si>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</si>
  <si>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Forestway/ふせん 75×75mm 4色ｱｿｰﾄ 10冊</t>
  </si>
  <si>
    <t>Forestway/ふせん 75×50mm 4色ｱｿｰﾄ 10冊</t>
  </si>
  <si>
    <t>Forestway/ふせん 50×15mm 4色ｱｿｰﾄ 25冊</t>
  </si>
  <si>
    <t>Forestway/ふせん 75×14mm 4色ｱｿｰﾄ 20冊</t>
  </si>
  <si>
    <t>Forestway/ふせん 75×25mm 4色ｱｿｰﾄ 20冊</t>
  </si>
  <si>
    <t>Forestway/ふせん 75×50mm ｲｴﾛｰ 10冊</t>
  </si>
  <si>
    <t>Forestway/ふせん 75×127mm ｲｴﾛｰ 5冊</t>
  </si>
  <si>
    <t>1003AK</t>
  </si>
  <si>
    <t>J225XA</t>
  </si>
  <si>
    <t>9002AM</t>
  </si>
  <si>
    <t>5852AM</t>
  </si>
  <si>
    <t>8971AM</t>
  </si>
  <si>
    <t>34/258</t>
  </si>
  <si>
    <t>-</t>
  </si>
  <si>
    <t>6月
たの</t>
    <rPh sb="1" eb="2">
      <t>ガツ</t>
    </rPh>
    <phoneticPr fontId="2"/>
  </si>
  <si>
    <t>6月
カウ</t>
    <rPh sb="1" eb="2">
      <t>ガツ</t>
    </rPh>
    <phoneticPr fontId="2"/>
  </si>
  <si>
    <t>アスクル はたらく ふせん 付箋 75×75mm パステル5色アソート （正方形） 10冊 オリジナル</t>
  </si>
  <si>
    <t>EJ05671</t>
  </si>
  <si>
    <t>1箱（10冊入）</t>
  </si>
  <si>
    <t>418-0632</t>
  </si>
  <si>
    <t>3733-9333</t>
  </si>
  <si>
    <t>アスクル はたらく ふせん 付箋 75×50mm パステル5色アソート 10冊 オリジナル</t>
  </si>
  <si>
    <t>EJ05683</t>
  </si>
  <si>
    <t>418-0625</t>
  </si>
  <si>
    <t>3733-9326</t>
  </si>
  <si>
    <t>アスクル はたらく ふせん 付箋 50×15mm パステル5色アソート（短冊） 25冊 オリジナル</t>
  </si>
  <si>
    <t>EJ05676</t>
  </si>
  <si>
    <t>1箱（25冊入）</t>
  </si>
  <si>
    <t>418-0601</t>
  </si>
  <si>
    <t>3733-9357</t>
  </si>
  <si>
    <t>換算売価</t>
    <rPh sb="0" eb="4">
      <t>カンザンバイカ</t>
    </rPh>
    <phoneticPr fontId="2"/>
  </si>
  <si>
    <t>アスクル はたらく ふせん 付箋 75×14mm パステル5色アソート （短冊スリム） 25冊 オリジナル</t>
  </si>
  <si>
    <t>EJ05728</t>
  </si>
  <si>
    <t>217-7618</t>
  </si>
  <si>
    <t>3733-9364</t>
  </si>
  <si>
    <t>アスクル はたらく ふせん 付箋 75×25mm パステル5色アソート （短冊） 25冊 オリジナル</t>
  </si>
  <si>
    <t>EJ05686</t>
  </si>
  <si>
    <t>418-0618</t>
  </si>
  <si>
    <t>3733-9340</t>
  </si>
  <si>
    <t>EJ06417</t>
  </si>
  <si>
    <t>アスクル はたらく ふせん 付箋 75×50mm パステルイエロー 10冊 （5冊×2箱） オリジナル</t>
  </si>
  <si>
    <t>1セット（10冊:5冊入×2箱）</t>
  </si>
  <si>
    <t>212-2146</t>
  </si>
  <si>
    <t>5007-0015</t>
  </si>
  <si>
    <t>アスクル はたらく ふせん 付箋 75×127mm パステルイエロー 大判 5冊 オリジナル</t>
  </si>
  <si>
    <t>EJ05716</t>
  </si>
  <si>
    <t>1箱（5冊入）</t>
  </si>
  <si>
    <t>416-6542</t>
  </si>
  <si>
    <t>5007-0053</t>
  </si>
  <si>
    <t>品目+
FW荷姿</t>
    <rPh sb="0" eb="2">
      <t>ヒンモク</t>
    </rPh>
    <rPh sb="6" eb="8">
      <t>ニスガタ</t>
    </rPh>
    <phoneticPr fontId="2"/>
  </si>
  <si>
    <t>VDあり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</si>
  <si>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</si>
  <si>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</si>
  <si>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</si>
  <si>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2026.11月末</t>
  </si>
  <si>
    <t>2027.1月末</t>
  </si>
  <si>
    <t>2026.12月末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</si>
</sst>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4" xfId="0" applyFill="1" applyBorder="1">
      <alignment vertical="center"/>
    </xf>
    <xf numFmtId="0" fontId="0" fillId="3" borderId="10" xfId="0" applyFill="1" applyBorder="1">
      <alignment vertical="center"/>
    </xf>
    <xf numFmtId="0" fontId="0" fillId="0" borderId="19" xfId="0" applyBorder="1">
      <alignment vertical="center"/>
    </xf>
    <xf numFmtId="0" fontId="0" fillId="6" borderId="0" xfId="0" applyFill="1">
      <alignment vertical="center"/>
    </xf>
    <xf numFmtId="0" fontId="0" fillId="7" borderId="2" xfId="0" applyFill="1" applyBorder="1" applyAlignment="1">
      <alignment vertical="center" wrapText="1"/>
    </xf>
    <xf numFmtId="0" fontId="3" fillId="0" borderId="0" xfId="0" applyFo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15"/>
  <sheetViews>
    <sheetView tabSelected="1" zoomScale="90" zoomScaleNormal="90" workbookViewId="0">
      <pane xSplit="8" ySplit="5" topLeftCell="BK6" activePane="bottomRight" state="frozen"/>
      <selection pane="topRight" activeCell="G1" sqref="G1"/>
      <selection pane="bottomLeft" activeCell="A5" sqref="A5"/>
      <selection pane="bottomRight" activeCell="G3" sqref="G3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2" width="7.625" hidden="1" customWidth="1" outlineLevel="1"/>
    <col min="23" max="23" width="7.5" customWidth="1" collapsed="1"/>
    <col min="24" max="26" width="7.625" customWidth="1"/>
    <col min="27" max="27" width="4.375" customWidth="1" collapsed="1"/>
    <col min="28" max="29" width="7.625" customWidth="1"/>
    <col min="30" max="30" width="6.125" customWidth="1"/>
    <col min="31" max="36" width="7.625" customWidth="1"/>
    <col min="37" max="39" width="7.625" hidden="1" customWidth="1" outlineLevel="1"/>
    <col min="40" max="40" width="7.625" customWidth="1" collapsed="1"/>
    <col min="41" max="42" width="7.625" customWidth="1"/>
    <col min="43" max="48" width="7.625" customWidth="1" outlineLevel="1"/>
    <col min="49" max="60" width="7.625" customWidth="1"/>
    <col min="61" max="61" width="7.625" hidden="1" customWidth="1" outlineLevel="1"/>
    <col min="62" max="62" width="7.625" customWidth="1" collapsed="1"/>
    <col min="63" max="64" width="7.625" customWidth="1"/>
    <col min="65" max="65" width="7.625" hidden="1" customWidth="1" outlineLevel="1"/>
    <col min="66" max="66" width="7.625" customWidth="1" collapsed="1"/>
    <col min="67" max="67" width="7.625" customWidth="1"/>
  </cols>
  <sheetData>
    <row r="1" spans="1:69" x14ac:dyDescent="0.4">
      <c r="C1" s="29" t="s">
        <v>40</v>
      </c>
      <c r="W1" s="43" t="s">
        <v>37</v>
      </c>
      <c r="X1" s="44"/>
      <c r="Y1" s="44"/>
      <c r="Z1" s="45"/>
      <c r="AP1" s="39" t="s">
        <v>112</v>
      </c>
    </row>
    <row r="2" spans="1:69" x14ac:dyDescent="0.4">
      <c r="C2" s="8" t="s">
        <v>25</v>
      </c>
      <c r="D2" s="9" t="s">
        <v>26</v>
      </c>
      <c r="E2" s="9" t="s">
        <v>27</v>
      </c>
      <c r="F2" s="9"/>
      <c r="G2" s="10"/>
      <c r="H2" s="10"/>
      <c r="I2" s="31"/>
      <c r="J2" s="31"/>
      <c r="K2" s="40" t="s">
        <v>28</v>
      </c>
      <c r="L2" s="42"/>
      <c r="M2" s="40" t="s">
        <v>1</v>
      </c>
      <c r="N2" s="41"/>
      <c r="O2" s="41"/>
      <c r="P2" s="42"/>
      <c r="Q2" s="11"/>
      <c r="R2" s="30"/>
      <c r="S2" s="30"/>
      <c r="T2" s="30"/>
      <c r="U2" s="30"/>
      <c r="V2" s="30"/>
      <c r="W2" s="23"/>
      <c r="X2" s="24" t="s">
        <v>31</v>
      </c>
      <c r="Y2" s="24"/>
      <c r="Z2" s="25" t="s">
        <v>31</v>
      </c>
      <c r="AA2" s="10"/>
      <c r="AB2" s="9" t="s">
        <v>36</v>
      </c>
      <c r="AC2" s="11"/>
      <c r="AD2" s="11"/>
      <c r="AE2" s="11"/>
      <c r="AF2" s="11"/>
      <c r="AG2" s="11"/>
      <c r="AH2" s="22" t="s">
        <v>38</v>
      </c>
      <c r="AI2" s="11"/>
      <c r="AJ2" s="11"/>
      <c r="AK2" s="27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>
        <v>51</v>
      </c>
      <c r="BE2">
        <v>14</v>
      </c>
      <c r="BF2">
        <v>28</v>
      </c>
      <c r="BI2" s="37" t="s">
        <v>92</v>
      </c>
      <c r="BJ2" s="37" t="s">
        <v>92</v>
      </c>
    </row>
    <row r="3" spans="1:69" ht="75" x14ac:dyDescent="0.4">
      <c r="A3" s="1" t="s">
        <v>47</v>
      </c>
      <c r="B3" s="1" t="s">
        <v>52</v>
      </c>
      <c r="C3" s="2" t="s">
        <v>2</v>
      </c>
      <c r="D3" s="2" t="s">
        <v>6</v>
      </c>
      <c r="E3" s="2" t="s">
        <v>7</v>
      </c>
      <c r="F3" s="38" t="s">
        <v>111</v>
      </c>
      <c r="G3" s="2" t="s">
        <v>0</v>
      </c>
      <c r="H3" s="12" t="s">
        <v>4</v>
      </c>
      <c r="I3" s="12" t="s">
        <v>49</v>
      </c>
      <c r="J3" s="12" t="s">
        <v>50</v>
      </c>
      <c r="K3" s="12" t="s">
        <v>22</v>
      </c>
      <c r="L3" s="12" t="s">
        <v>23</v>
      </c>
      <c r="M3" s="12" t="s">
        <v>60</v>
      </c>
      <c r="N3" s="2" t="s">
        <v>5</v>
      </c>
      <c r="O3" s="2" t="s">
        <v>58</v>
      </c>
      <c r="P3" s="2" t="s">
        <v>13</v>
      </c>
      <c r="Q3" s="12" t="s">
        <v>44</v>
      </c>
      <c r="R3" s="12" t="s">
        <v>17</v>
      </c>
      <c r="S3" s="12" t="s">
        <v>18</v>
      </c>
      <c r="T3" s="12" t="s">
        <v>45</v>
      </c>
      <c r="U3" s="12" t="s">
        <v>20</v>
      </c>
      <c r="V3" s="12" t="s">
        <v>21</v>
      </c>
      <c r="W3" s="12" t="s">
        <v>56</v>
      </c>
      <c r="X3" s="12" t="s">
        <v>57</v>
      </c>
      <c r="Y3" s="2" t="s">
        <v>58</v>
      </c>
      <c r="Z3" s="12" t="s">
        <v>59</v>
      </c>
      <c r="AA3" s="14" t="s">
        <v>3</v>
      </c>
      <c r="AB3" s="20" t="s">
        <v>14</v>
      </c>
      <c r="AC3" s="2" t="s">
        <v>13</v>
      </c>
      <c r="AD3" s="2" t="s">
        <v>41</v>
      </c>
      <c r="AE3" s="12" t="s">
        <v>61</v>
      </c>
      <c r="AF3" s="12" t="s">
        <v>51</v>
      </c>
      <c r="AG3" s="2" t="s">
        <v>13</v>
      </c>
      <c r="AH3" s="13" t="s">
        <v>29</v>
      </c>
      <c r="AI3" s="2" t="s">
        <v>13</v>
      </c>
      <c r="AJ3" s="2" t="s">
        <v>30</v>
      </c>
      <c r="AK3" s="26" t="s">
        <v>32</v>
      </c>
      <c r="AL3" s="12" t="s">
        <v>33</v>
      </c>
      <c r="AM3" s="12" t="s">
        <v>34</v>
      </c>
      <c r="AN3" s="12" t="s">
        <v>24</v>
      </c>
      <c r="AO3" s="12" t="s">
        <v>35</v>
      </c>
      <c r="AP3" s="12" t="s">
        <v>15</v>
      </c>
      <c r="AQ3" s="12" t="s">
        <v>16</v>
      </c>
      <c r="AR3" s="12" t="s">
        <v>17</v>
      </c>
      <c r="AS3" s="12" t="s">
        <v>18</v>
      </c>
      <c r="AT3" s="12" t="s">
        <v>19</v>
      </c>
      <c r="AU3" s="12" t="s">
        <v>20</v>
      </c>
      <c r="AV3" s="12" t="s">
        <v>21</v>
      </c>
      <c r="AW3" s="2" t="s">
        <v>8</v>
      </c>
      <c r="AX3" s="2" t="s">
        <v>9</v>
      </c>
      <c r="AY3" s="2" t="s">
        <v>10</v>
      </c>
      <c r="AZ3" s="2" t="s">
        <v>11</v>
      </c>
      <c r="BA3" s="12" t="s">
        <v>39</v>
      </c>
      <c r="BB3" s="2" t="s">
        <v>53</v>
      </c>
      <c r="BC3" s="2" t="s">
        <v>113</v>
      </c>
      <c r="BD3" s="2" t="s">
        <v>12</v>
      </c>
      <c r="BE3" s="18" t="s">
        <v>42</v>
      </c>
      <c r="BF3" s="18" t="s">
        <v>43</v>
      </c>
      <c r="BG3" s="15" t="s">
        <v>48</v>
      </c>
      <c r="BH3" s="36"/>
      <c r="BI3" s="32" t="s">
        <v>76</v>
      </c>
      <c r="BJ3" s="32" t="s">
        <v>114</v>
      </c>
      <c r="BK3" s="33" t="s">
        <v>54</v>
      </c>
      <c r="BL3" s="33"/>
      <c r="BM3" s="33" t="s">
        <v>77</v>
      </c>
      <c r="BN3" s="33" t="s">
        <v>115</v>
      </c>
      <c r="BO3" s="33" t="s">
        <v>55</v>
      </c>
      <c r="BP3" t="s">
        <v>46</v>
      </c>
    </row>
    <row r="4" spans="1:69" x14ac:dyDescent="0.4">
      <c r="A4" s="3">
        <v>1</v>
      </c>
      <c r="B4" s="3">
        <v>1</v>
      </c>
      <c r="C4" s="34">
        <v>628643</v>
      </c>
      <c r="D4" s="4" t="str">
        <f t="shared" ref="D4:D15" si="0">TEXT(C4,"000000")</f>
        <v>628643</v>
      </c>
      <c r="E4" s="4">
        <v>628643</v>
      </c>
      <c r="F4" s="4" t="str">
        <f>D4&amp;I4</f>
        <v>6286435</v>
      </c>
      <c r="G4" s="4" t="s">
        <v>62</v>
      </c>
      <c r="H4" s="5">
        <v>4560126837790</v>
      </c>
      <c r="I4" s="5">
        <v>5</v>
      </c>
      <c r="J4" s="5"/>
      <c r="K4" s="5">
        <v>2</v>
      </c>
      <c r="L4" s="5">
        <v>2</v>
      </c>
      <c r="M4" s="5">
        <v>0</v>
      </c>
      <c r="N4" s="5">
        <v>728</v>
      </c>
      <c r="O4" s="5">
        <v>540</v>
      </c>
      <c r="P4" s="6">
        <f t="shared" ref="P4:P15" si="1">IFERROR(1-O4/N4,"-")</f>
        <v>0.25824175824175821</v>
      </c>
      <c r="Q4" s="4">
        <v>780</v>
      </c>
      <c r="R4" s="4">
        <v>3</v>
      </c>
      <c r="S4" s="4">
        <v>9</v>
      </c>
      <c r="T4" s="4">
        <v>740</v>
      </c>
      <c r="U4" s="4">
        <v>10</v>
      </c>
      <c r="V4" s="4">
        <v>99999</v>
      </c>
      <c r="W4" s="4">
        <v>0</v>
      </c>
      <c r="X4" s="4">
        <f t="shared" ref="X4:X15" si="2">IF(AA4="",W4,W4*AA4)</f>
        <v>0</v>
      </c>
      <c r="Y4" s="4">
        <v>565</v>
      </c>
      <c r="Z4" s="4">
        <f t="shared" ref="Z4:Z15" si="3">IF(AA4="",Y4,Y4*AA4)</f>
        <v>565</v>
      </c>
      <c r="AA4" s="4"/>
      <c r="AB4" s="21">
        <f t="shared" ref="AB4:AB15" si="4">ROUND(N4*AP4,0)</f>
        <v>762</v>
      </c>
      <c r="AC4" s="6">
        <f t="shared" ref="AC4:AC15" si="5">IFERROR(1-Z4/AB4,"-")</f>
        <v>0.25853018372703407</v>
      </c>
      <c r="AD4" s="4">
        <v>972.00000000000011</v>
      </c>
      <c r="AE4" s="4">
        <f t="shared" ref="AE4:AE15" si="6">BD4</f>
        <v>740</v>
      </c>
      <c r="AF4" s="4">
        <f t="shared" ref="AF4:AF15" si="7">IFERROR(AE4*AP4,"-")</f>
        <v>774.25925925925924</v>
      </c>
      <c r="AG4" s="6">
        <f t="shared" ref="AG4:AG15" si="8">IFERROR(1-Z4/AF4,"-")</f>
        <v>0.27027027027027029</v>
      </c>
      <c r="AH4" s="7">
        <v>866</v>
      </c>
      <c r="AI4" s="6">
        <f t="shared" ref="AI4:AI15" si="9">1-Z4/AH4</f>
        <v>0.34757505773672059</v>
      </c>
      <c r="AJ4" s="4">
        <f t="shared" ref="AJ4:AJ15" si="10">AH4-Z4</f>
        <v>301</v>
      </c>
      <c r="AK4" s="28"/>
      <c r="AL4" s="6" t="e">
        <f>1-Z4/AK4</f>
        <v>#DIV/0!</v>
      </c>
      <c r="AM4" s="4">
        <f>AK4-Z4</f>
        <v>-565</v>
      </c>
      <c r="AN4" s="6" t="str">
        <f t="shared" ref="AN4:AN15" si="11">IFERROR(X4/M4,"-")</f>
        <v>-</v>
      </c>
      <c r="AO4" s="6">
        <f t="shared" ref="AO4:AO15" si="12">IFERROR(AH4/N4,"-")</f>
        <v>1.1895604395604396</v>
      </c>
      <c r="AP4" s="6">
        <f t="shared" ref="AP4:AP15" si="13">IFERROR(Z4/O4,"-")</f>
        <v>1.0462962962962963</v>
      </c>
      <c r="AQ4" s="4">
        <f t="shared" ref="AQ4:AQ15" si="14">IFERROR(ROUND($AH4*Q4/$N4,0),"-")</f>
        <v>928</v>
      </c>
      <c r="AR4" s="4">
        <f t="shared" ref="AR4:AR15" si="15">IF(R4="","-",R4)</f>
        <v>3</v>
      </c>
      <c r="AS4" s="4">
        <f t="shared" ref="AS4:AS15" si="16">IF(S4="","-",S4)</f>
        <v>9</v>
      </c>
      <c r="AT4" s="4">
        <f t="shared" ref="AT4:AT15" si="17">IFERROR(ROUND($AH4*T4/$N4,0),"-")</f>
        <v>880</v>
      </c>
      <c r="AU4" s="4">
        <f t="shared" ref="AU4:AU15" si="18">IF(U4="","-",U4)</f>
        <v>10</v>
      </c>
      <c r="AV4" s="4">
        <f t="shared" ref="AV4:AV15" si="19">IF(V4="","-",V4)</f>
        <v>99999</v>
      </c>
      <c r="AW4" s="4" t="s">
        <v>74</v>
      </c>
      <c r="AX4" s="4" t="s">
        <v>79</v>
      </c>
      <c r="AY4" s="4"/>
      <c r="AZ4" s="4"/>
      <c r="BA4" s="4" t="s">
        <v>80</v>
      </c>
      <c r="BB4" s="4">
        <v>740</v>
      </c>
      <c r="BC4" s="4">
        <v>740</v>
      </c>
      <c r="BD4" s="4">
        <f t="shared" ref="BD4:BD15" si="20">IF(AY4="",BC4,AY4/AZ4*BC4)</f>
        <v>740</v>
      </c>
      <c r="BE4" s="19">
        <v>4</v>
      </c>
      <c r="BF4" s="19">
        <v>1</v>
      </c>
      <c r="BG4" s="16">
        <v>4</v>
      </c>
      <c r="BH4" t="s">
        <v>81</v>
      </c>
      <c r="BI4">
        <v>765</v>
      </c>
      <c r="BJ4">
        <v>765</v>
      </c>
      <c r="BK4">
        <f>IFERROR(BJ4*AP4,"-")</f>
        <v>800.41666666666663</v>
      </c>
      <c r="BL4" t="s">
        <v>82</v>
      </c>
      <c r="BM4">
        <v>828</v>
      </c>
      <c r="BN4">
        <v>867</v>
      </c>
      <c r="BO4">
        <f>IFERROR(BN4*AP4,"-")</f>
        <v>907.13888888888891</v>
      </c>
      <c r="BP4" t="s">
        <v>78</v>
      </c>
      <c r="BQ4" t="s">
        <v>116</v>
      </c>
    </row>
    <row r="5" spans="1:69" x14ac:dyDescent="0.4">
      <c r="A5" s="3">
        <v>8</v>
      </c>
      <c r="B5" s="3">
        <v>1</v>
      </c>
      <c r="C5" s="34">
        <v>628643</v>
      </c>
      <c r="D5" s="4" t="str">
        <f t="shared" si="0"/>
        <v>628643</v>
      </c>
      <c r="E5" s="4" t="s">
        <v>69</v>
      </c>
      <c r="F5" s="4" t="str">
        <f t="shared" ref="F5:F15" si="21">D5&amp;I5</f>
        <v>6286436</v>
      </c>
      <c r="G5" s="4" t="s">
        <v>62</v>
      </c>
      <c r="H5" s="5">
        <v>4560126837790</v>
      </c>
      <c r="I5" s="5">
        <v>6</v>
      </c>
      <c r="J5" s="5"/>
      <c r="K5" s="5"/>
      <c r="L5" s="5"/>
      <c r="M5" s="5">
        <v>0</v>
      </c>
      <c r="N5" s="5">
        <v>707</v>
      </c>
      <c r="O5" s="5">
        <v>540</v>
      </c>
      <c r="P5" s="6">
        <f t="shared" si="1"/>
        <v>0.23620933521923626</v>
      </c>
      <c r="Q5" s="4" t="s">
        <v>75</v>
      </c>
      <c r="R5" s="4" t="s">
        <v>75</v>
      </c>
      <c r="S5" s="4" t="s">
        <v>75</v>
      </c>
      <c r="T5" s="4" t="s">
        <v>75</v>
      </c>
      <c r="U5" s="4" t="s">
        <v>75</v>
      </c>
      <c r="V5" s="4" t="s">
        <v>75</v>
      </c>
      <c r="W5" s="4">
        <v>0</v>
      </c>
      <c r="X5" s="4">
        <f t="shared" si="2"/>
        <v>0</v>
      </c>
      <c r="Y5" s="4">
        <v>565</v>
      </c>
      <c r="Z5" s="4">
        <f t="shared" si="3"/>
        <v>565</v>
      </c>
      <c r="AA5" s="4"/>
      <c r="AB5" s="21">
        <f t="shared" si="4"/>
        <v>740</v>
      </c>
      <c r="AC5" s="6">
        <f t="shared" si="5"/>
        <v>0.23648648648648651</v>
      </c>
      <c r="AD5" s="4">
        <v>972.00000000000011</v>
      </c>
      <c r="AE5" s="4">
        <f t="shared" si="6"/>
        <v>740</v>
      </c>
      <c r="AF5" s="4">
        <f t="shared" si="7"/>
        <v>774.25925925925924</v>
      </c>
      <c r="AG5" s="6">
        <f t="shared" si="8"/>
        <v>0.27027027027027029</v>
      </c>
      <c r="AH5" s="7">
        <v>707</v>
      </c>
      <c r="AI5" s="6">
        <f t="shared" si="9"/>
        <v>0.2008486562942009</v>
      </c>
      <c r="AJ5" s="4">
        <f t="shared" si="10"/>
        <v>142</v>
      </c>
      <c r="AK5" s="28"/>
      <c r="AL5" s="6"/>
      <c r="AM5" s="6"/>
      <c r="AN5" s="6" t="str">
        <f t="shared" si="11"/>
        <v>-</v>
      </c>
      <c r="AO5" s="6">
        <f t="shared" si="12"/>
        <v>1</v>
      </c>
      <c r="AP5" s="6">
        <f t="shared" si="13"/>
        <v>1.0462962962962963</v>
      </c>
      <c r="AQ5" s="4" t="str">
        <f t="shared" si="14"/>
        <v>-</v>
      </c>
      <c r="AR5" s="4" t="str">
        <f t="shared" si="15"/>
        <v>-</v>
      </c>
      <c r="AS5" s="4" t="str">
        <f t="shared" si="16"/>
        <v>-</v>
      </c>
      <c r="AT5" s="4" t="str">
        <f t="shared" si="17"/>
        <v>-</v>
      </c>
      <c r="AU5" s="4" t="str">
        <f t="shared" si="18"/>
        <v>-</v>
      </c>
      <c r="AV5" s="4" t="str">
        <f t="shared" si="19"/>
        <v>-</v>
      </c>
      <c r="AW5" s="4">
        <v>0</v>
      </c>
      <c r="AX5" s="4" t="s">
        <v>79</v>
      </c>
      <c r="AY5" s="4"/>
      <c r="AZ5" s="4"/>
      <c r="BA5" s="4" t="s">
        <v>80</v>
      </c>
      <c r="BB5" s="4">
        <v>740</v>
      </c>
      <c r="BC5" s="4">
        <v>740</v>
      </c>
      <c r="BD5" s="4">
        <f t="shared" si="20"/>
        <v>740</v>
      </c>
      <c r="BE5" s="19">
        <v>4</v>
      </c>
      <c r="BF5" s="19">
        <v>1</v>
      </c>
      <c r="BG5" s="16">
        <v>4</v>
      </c>
      <c r="BH5" t="s">
        <v>81</v>
      </c>
      <c r="BI5">
        <v>765</v>
      </c>
      <c r="BJ5">
        <v>765</v>
      </c>
      <c r="BK5">
        <f>IFERROR(BJ5*AP5,"-")</f>
        <v>800.41666666666663</v>
      </c>
      <c r="BL5" t="s">
        <v>82</v>
      </c>
      <c r="BM5">
        <v>828</v>
      </c>
      <c r="BN5">
        <v>867</v>
      </c>
      <c r="BO5">
        <f>IFERROR(BN5*AP5,"-")</f>
        <v>907.13888888888891</v>
      </c>
      <c r="BP5" t="s">
        <v>78</v>
      </c>
      <c r="BQ5" t="s">
        <v>116</v>
      </c>
    </row>
    <row r="6" spans="1:69" x14ac:dyDescent="0.4">
      <c r="A6" s="3">
        <v>2</v>
      </c>
      <c r="B6" s="3">
        <v>2</v>
      </c>
      <c r="C6" s="35">
        <v>628640</v>
      </c>
      <c r="D6" s="4" t="str">
        <f t="shared" si="0"/>
        <v>628640</v>
      </c>
      <c r="E6" s="4">
        <v>628640</v>
      </c>
      <c r="F6" s="4" t="str">
        <f t="shared" si="21"/>
        <v>6286405</v>
      </c>
      <c r="G6" s="4" t="s">
        <v>63</v>
      </c>
      <c r="H6" s="5">
        <v>4547452932795</v>
      </c>
      <c r="I6" s="5">
        <v>5</v>
      </c>
      <c r="J6" s="5"/>
      <c r="K6" s="5">
        <v>2</v>
      </c>
      <c r="L6" s="5">
        <v>2</v>
      </c>
      <c r="M6" s="5">
        <v>0</v>
      </c>
      <c r="N6" s="5">
        <v>648</v>
      </c>
      <c r="O6" s="5">
        <v>487</v>
      </c>
      <c r="P6" s="6">
        <f t="shared" si="1"/>
        <v>0.24845679012345678</v>
      </c>
      <c r="Q6" s="4">
        <v>716</v>
      </c>
      <c r="R6" s="4">
        <v>3</v>
      </c>
      <c r="S6" s="4">
        <v>9</v>
      </c>
      <c r="T6" s="4">
        <v>693</v>
      </c>
      <c r="U6" s="4">
        <v>10</v>
      </c>
      <c r="V6" s="4">
        <v>99999</v>
      </c>
      <c r="W6" s="4">
        <v>0</v>
      </c>
      <c r="X6" s="4">
        <f t="shared" si="2"/>
        <v>0</v>
      </c>
      <c r="Y6" s="4">
        <v>510</v>
      </c>
      <c r="Z6" s="4">
        <f t="shared" si="3"/>
        <v>510</v>
      </c>
      <c r="AA6" s="4"/>
      <c r="AB6" s="21">
        <f t="shared" si="4"/>
        <v>679</v>
      </c>
      <c r="AC6" s="6">
        <f t="shared" si="5"/>
        <v>0.24889543446244478</v>
      </c>
      <c r="AD6" s="4">
        <v>433.75000000000006</v>
      </c>
      <c r="AE6" s="4">
        <f t="shared" si="6"/>
        <v>676</v>
      </c>
      <c r="AF6" s="4">
        <f t="shared" si="7"/>
        <v>707.9260780287475</v>
      </c>
      <c r="AG6" s="6">
        <f t="shared" si="8"/>
        <v>0.27958579881656809</v>
      </c>
      <c r="AH6" s="7">
        <v>775</v>
      </c>
      <c r="AI6" s="6">
        <f t="shared" si="9"/>
        <v>0.34193548387096773</v>
      </c>
      <c r="AJ6" s="4">
        <f t="shared" si="10"/>
        <v>265</v>
      </c>
      <c r="AK6" s="28"/>
      <c r="AL6" s="6"/>
      <c r="AM6" s="6"/>
      <c r="AN6" s="6" t="str">
        <f t="shared" si="11"/>
        <v>-</v>
      </c>
      <c r="AO6" s="6">
        <f t="shared" si="12"/>
        <v>1.1959876543209877</v>
      </c>
      <c r="AP6" s="6">
        <f t="shared" si="13"/>
        <v>1.0472279260780288</v>
      </c>
      <c r="AQ6" s="4">
        <f t="shared" si="14"/>
        <v>856</v>
      </c>
      <c r="AR6" s="4">
        <f t="shared" si="15"/>
        <v>3</v>
      </c>
      <c r="AS6" s="4">
        <f t="shared" si="16"/>
        <v>9</v>
      </c>
      <c r="AT6" s="4">
        <f t="shared" si="17"/>
        <v>829</v>
      </c>
      <c r="AU6" s="4">
        <f t="shared" si="18"/>
        <v>10</v>
      </c>
      <c r="AV6" s="4">
        <f t="shared" si="19"/>
        <v>99999</v>
      </c>
      <c r="AW6" s="4" t="s">
        <v>74</v>
      </c>
      <c r="AX6" s="4" t="s">
        <v>84</v>
      </c>
      <c r="AY6" s="4"/>
      <c r="AZ6" s="4"/>
      <c r="BA6" s="4" t="s">
        <v>80</v>
      </c>
      <c r="BB6" s="4">
        <v>676</v>
      </c>
      <c r="BC6" s="4">
        <v>676</v>
      </c>
      <c r="BD6" s="4">
        <f t="shared" si="20"/>
        <v>676</v>
      </c>
      <c r="BE6" s="19">
        <v>4</v>
      </c>
      <c r="BF6" s="19">
        <v>1</v>
      </c>
      <c r="BG6" s="16">
        <v>4</v>
      </c>
      <c r="BH6" t="s">
        <v>85</v>
      </c>
      <c r="BI6">
        <v>697</v>
      </c>
      <c r="BJ6">
        <v>697</v>
      </c>
      <c r="BK6">
        <f t="shared" ref="BK6:BK15" si="22">IFERROR(BJ6*AP6,"-")</f>
        <v>729.91786447638606</v>
      </c>
      <c r="BL6" t="s">
        <v>86</v>
      </c>
      <c r="BM6">
        <v>718</v>
      </c>
      <c r="BN6">
        <v>752</v>
      </c>
      <c r="BO6">
        <f t="shared" ref="BO6:BO15" si="23">IFERROR(BN6*AP6,"-")</f>
        <v>787.51540041067767</v>
      </c>
      <c r="BP6" t="s">
        <v>83</v>
      </c>
      <c r="BQ6" t="s">
        <v>117</v>
      </c>
    </row>
    <row r="7" spans="1:69" x14ac:dyDescent="0.4">
      <c r="A7" s="3">
        <v>9</v>
      </c>
      <c r="B7" s="3">
        <v>2</v>
      </c>
      <c r="C7" s="35">
        <v>628640</v>
      </c>
      <c r="D7" s="4" t="str">
        <f t="shared" si="0"/>
        <v>628640</v>
      </c>
      <c r="E7" s="4" t="s">
        <v>70</v>
      </c>
      <c r="F7" s="4" t="str">
        <f t="shared" si="21"/>
        <v>62864099</v>
      </c>
      <c r="G7" s="4" t="s">
        <v>63</v>
      </c>
      <c r="H7" s="5">
        <v>4547452932795</v>
      </c>
      <c r="I7" s="5">
        <v>99</v>
      </c>
      <c r="J7" s="5"/>
      <c r="K7" s="5"/>
      <c r="L7" s="5"/>
      <c r="M7" s="5">
        <v>0</v>
      </c>
      <c r="N7" s="5">
        <v>698</v>
      </c>
      <c r="O7" s="5">
        <v>487</v>
      </c>
      <c r="P7" s="6">
        <f t="shared" si="1"/>
        <v>0.30229226361031514</v>
      </c>
      <c r="Q7" s="4" t="s">
        <v>75</v>
      </c>
      <c r="R7" s="4" t="s">
        <v>75</v>
      </c>
      <c r="S7" s="4" t="s">
        <v>75</v>
      </c>
      <c r="T7" s="4" t="s">
        <v>75</v>
      </c>
      <c r="U7" s="4" t="s">
        <v>75</v>
      </c>
      <c r="V7" s="4" t="s">
        <v>75</v>
      </c>
      <c r="W7" s="4">
        <v>0</v>
      </c>
      <c r="X7" s="4">
        <f t="shared" si="2"/>
        <v>0</v>
      </c>
      <c r="Y7" s="4">
        <v>510</v>
      </c>
      <c r="Z7" s="4">
        <f t="shared" si="3"/>
        <v>510</v>
      </c>
      <c r="AA7" s="4"/>
      <c r="AB7" s="21">
        <f t="shared" si="4"/>
        <v>731</v>
      </c>
      <c r="AC7" s="6">
        <f t="shared" si="5"/>
        <v>0.30232558139534882</v>
      </c>
      <c r="AD7" s="4">
        <v>433.75000000000006</v>
      </c>
      <c r="AE7" s="4">
        <f t="shared" si="6"/>
        <v>676</v>
      </c>
      <c r="AF7" s="4">
        <f t="shared" si="7"/>
        <v>707.9260780287475</v>
      </c>
      <c r="AG7" s="6">
        <f t="shared" si="8"/>
        <v>0.27958579881656809</v>
      </c>
      <c r="AH7" s="7">
        <v>698</v>
      </c>
      <c r="AI7" s="6">
        <f t="shared" si="9"/>
        <v>0.2693409742120344</v>
      </c>
      <c r="AJ7" s="4">
        <f t="shared" si="10"/>
        <v>188</v>
      </c>
      <c r="AK7" s="28"/>
      <c r="AL7" s="6"/>
      <c r="AM7" s="6"/>
      <c r="AN7" s="6" t="str">
        <f t="shared" si="11"/>
        <v>-</v>
      </c>
      <c r="AO7" s="6">
        <f t="shared" si="12"/>
        <v>1</v>
      </c>
      <c r="AP7" s="6">
        <f t="shared" si="13"/>
        <v>1.0472279260780288</v>
      </c>
      <c r="AQ7" s="4" t="str">
        <f t="shared" si="14"/>
        <v>-</v>
      </c>
      <c r="AR7" s="4" t="str">
        <f t="shared" si="15"/>
        <v>-</v>
      </c>
      <c r="AS7" s="4" t="str">
        <f t="shared" si="16"/>
        <v>-</v>
      </c>
      <c r="AT7" s="4" t="str">
        <f t="shared" si="17"/>
        <v>-</v>
      </c>
      <c r="AU7" s="4" t="str">
        <f t="shared" si="18"/>
        <v>-</v>
      </c>
      <c r="AV7" s="4" t="str">
        <f t="shared" si="19"/>
        <v>-</v>
      </c>
      <c r="AW7" s="4">
        <v>0</v>
      </c>
      <c r="AX7" s="4" t="s">
        <v>84</v>
      </c>
      <c r="AY7" s="4"/>
      <c r="AZ7" s="4"/>
      <c r="BA7" s="4" t="s">
        <v>80</v>
      </c>
      <c r="BB7" s="4">
        <v>676</v>
      </c>
      <c r="BC7" s="4">
        <v>676</v>
      </c>
      <c r="BD7" s="4">
        <f t="shared" si="20"/>
        <v>676</v>
      </c>
      <c r="BE7" s="19">
        <v>4</v>
      </c>
      <c r="BF7" s="19">
        <v>1</v>
      </c>
      <c r="BG7" s="16">
        <v>4</v>
      </c>
      <c r="BH7" t="s">
        <v>85</v>
      </c>
      <c r="BI7">
        <v>697</v>
      </c>
      <c r="BJ7">
        <v>697</v>
      </c>
      <c r="BK7">
        <f t="shared" ref="BK7" si="24">IFERROR(BJ7*AP7,"-")</f>
        <v>729.91786447638606</v>
      </c>
      <c r="BL7" t="s">
        <v>86</v>
      </c>
      <c r="BM7">
        <v>718</v>
      </c>
      <c r="BN7">
        <v>752</v>
      </c>
      <c r="BO7">
        <f t="shared" ref="BO7" si="25">IFERROR(BN7*AP7,"-")</f>
        <v>787.51540041067767</v>
      </c>
      <c r="BP7" t="s">
        <v>83</v>
      </c>
      <c r="BQ7" t="s">
        <v>117</v>
      </c>
    </row>
    <row r="8" spans="1:69" x14ac:dyDescent="0.4">
      <c r="A8" s="3">
        <v>3</v>
      </c>
      <c r="B8" s="3">
        <v>3</v>
      </c>
      <c r="C8" s="35">
        <v>628645</v>
      </c>
      <c r="D8" s="4" t="str">
        <f t="shared" si="0"/>
        <v>628645</v>
      </c>
      <c r="E8" s="4">
        <v>628645</v>
      </c>
      <c r="F8" s="4" t="str">
        <f t="shared" si="21"/>
        <v>6286455</v>
      </c>
      <c r="G8" s="4" t="s">
        <v>64</v>
      </c>
      <c r="H8" s="5">
        <v>4547452932832</v>
      </c>
      <c r="I8" s="5">
        <v>5</v>
      </c>
      <c r="J8" s="5"/>
      <c r="K8" s="5">
        <v>2</v>
      </c>
      <c r="L8" s="5">
        <v>1</v>
      </c>
      <c r="M8" s="5">
        <v>0</v>
      </c>
      <c r="N8" s="5">
        <v>568</v>
      </c>
      <c r="O8" s="5">
        <v>378</v>
      </c>
      <c r="P8" s="6">
        <f t="shared" si="1"/>
        <v>0.33450704225352113</v>
      </c>
      <c r="Q8" s="4">
        <v>615</v>
      </c>
      <c r="R8" s="4">
        <v>4</v>
      </c>
      <c r="S8" s="4">
        <v>99999</v>
      </c>
      <c r="T8" s="4" t="s">
        <v>75</v>
      </c>
      <c r="U8" s="4" t="s">
        <v>75</v>
      </c>
      <c r="V8" s="4" t="s">
        <v>75</v>
      </c>
      <c r="W8" s="4">
        <v>0</v>
      </c>
      <c r="X8" s="4">
        <f t="shared" si="2"/>
        <v>0</v>
      </c>
      <c r="Y8" s="4">
        <v>396</v>
      </c>
      <c r="Z8" s="4">
        <f t="shared" si="3"/>
        <v>396</v>
      </c>
      <c r="AA8" s="4"/>
      <c r="AB8" s="21">
        <f t="shared" si="4"/>
        <v>595</v>
      </c>
      <c r="AC8" s="6">
        <f t="shared" si="5"/>
        <v>0.33445378151260508</v>
      </c>
      <c r="AD8" s="4">
        <v>685.75</v>
      </c>
      <c r="AE8" s="4">
        <f t="shared" si="6"/>
        <v>596</v>
      </c>
      <c r="AF8" s="4">
        <f t="shared" si="7"/>
        <v>624.38095238095241</v>
      </c>
      <c r="AG8" s="6">
        <f t="shared" si="8"/>
        <v>0.365771812080537</v>
      </c>
      <c r="AH8" s="7">
        <v>650</v>
      </c>
      <c r="AI8" s="6">
        <f t="shared" si="9"/>
        <v>0.39076923076923076</v>
      </c>
      <c r="AJ8" s="4">
        <f t="shared" si="10"/>
        <v>254</v>
      </c>
      <c r="AK8" s="28"/>
      <c r="AL8" s="6"/>
      <c r="AM8" s="6"/>
      <c r="AN8" s="6" t="str">
        <f t="shared" si="11"/>
        <v>-</v>
      </c>
      <c r="AO8" s="6">
        <f t="shared" si="12"/>
        <v>1.1443661971830985</v>
      </c>
      <c r="AP8" s="6">
        <f t="shared" si="13"/>
        <v>1.0476190476190477</v>
      </c>
      <c r="AQ8" s="4">
        <f t="shared" si="14"/>
        <v>704</v>
      </c>
      <c r="AR8" s="4">
        <f t="shared" si="15"/>
        <v>4</v>
      </c>
      <c r="AS8" s="4">
        <f t="shared" si="16"/>
        <v>99999</v>
      </c>
      <c r="AT8" s="4" t="str">
        <f t="shared" si="17"/>
        <v>-</v>
      </c>
      <c r="AU8" s="4" t="str">
        <f t="shared" si="18"/>
        <v>-</v>
      </c>
      <c r="AV8" s="4" t="str">
        <f t="shared" si="19"/>
        <v>-</v>
      </c>
      <c r="AW8" s="4" t="s">
        <v>74</v>
      </c>
      <c r="AX8" s="4" t="s">
        <v>88</v>
      </c>
      <c r="AY8" s="4"/>
      <c r="AZ8" s="4"/>
      <c r="BA8" s="4" t="s">
        <v>89</v>
      </c>
      <c r="BB8" s="4">
        <v>596</v>
      </c>
      <c r="BC8" s="4">
        <v>596</v>
      </c>
      <c r="BD8" s="4">
        <f t="shared" si="20"/>
        <v>596</v>
      </c>
      <c r="BE8" s="19">
        <v>4</v>
      </c>
      <c r="BF8" s="19">
        <v>1</v>
      </c>
      <c r="BG8" s="16">
        <v>4</v>
      </c>
      <c r="BH8" t="s">
        <v>90</v>
      </c>
      <c r="BI8" s="37">
        <v>615</v>
      </c>
      <c r="BJ8" s="37">
        <v>615</v>
      </c>
      <c r="BK8">
        <f t="shared" si="22"/>
        <v>644.28571428571433</v>
      </c>
      <c r="BL8" t="s">
        <v>91</v>
      </c>
      <c r="BM8">
        <v>632</v>
      </c>
      <c r="BN8">
        <v>661</v>
      </c>
      <c r="BO8">
        <f t="shared" si="23"/>
        <v>692.47619047619048</v>
      </c>
      <c r="BP8" t="s">
        <v>87</v>
      </c>
      <c r="BQ8" t="s">
        <v>118</v>
      </c>
    </row>
    <row r="9" spans="1:69" x14ac:dyDescent="0.4">
      <c r="A9" s="3">
        <v>11</v>
      </c>
      <c r="B9" s="3">
        <v>3</v>
      </c>
      <c r="C9" s="35" t="s">
        <v>72</v>
      </c>
      <c r="D9" s="4" t="str">
        <f t="shared" si="0"/>
        <v>5852AM</v>
      </c>
      <c r="E9" s="4" t="s">
        <v>72</v>
      </c>
      <c r="F9" s="4" t="str">
        <f t="shared" si="21"/>
        <v>5852AM6</v>
      </c>
      <c r="G9" s="4" t="s">
        <v>64</v>
      </c>
      <c r="H9" s="5">
        <v>4547452932832</v>
      </c>
      <c r="I9" s="5">
        <v>6</v>
      </c>
      <c r="J9" s="5"/>
      <c r="K9" s="5"/>
      <c r="L9" s="5"/>
      <c r="M9" s="5">
        <v>0</v>
      </c>
      <c r="N9" s="5">
        <v>548</v>
      </c>
      <c r="O9" s="5">
        <v>378</v>
      </c>
      <c r="P9" s="6">
        <f t="shared" si="1"/>
        <v>0.31021897810218979</v>
      </c>
      <c r="Q9" s="4" t="s">
        <v>75</v>
      </c>
      <c r="R9" s="4" t="s">
        <v>75</v>
      </c>
      <c r="S9" s="4" t="s">
        <v>75</v>
      </c>
      <c r="T9" s="4" t="s">
        <v>75</v>
      </c>
      <c r="U9" s="4" t="s">
        <v>75</v>
      </c>
      <c r="V9" s="4" t="s">
        <v>75</v>
      </c>
      <c r="W9" s="4">
        <v>0</v>
      </c>
      <c r="X9" s="4">
        <f t="shared" si="2"/>
        <v>0</v>
      </c>
      <c r="Y9" s="4">
        <v>396</v>
      </c>
      <c r="Z9" s="4">
        <f t="shared" si="3"/>
        <v>396</v>
      </c>
      <c r="AA9" s="4"/>
      <c r="AB9" s="21">
        <f t="shared" si="4"/>
        <v>574</v>
      </c>
      <c r="AC9" s="6">
        <f t="shared" si="5"/>
        <v>0.31010452961672474</v>
      </c>
      <c r="AD9" s="4">
        <v>0</v>
      </c>
      <c r="AE9" s="4">
        <f t="shared" si="6"/>
        <v>596</v>
      </c>
      <c r="AF9" s="4">
        <f t="shared" si="7"/>
        <v>624.38095238095241</v>
      </c>
      <c r="AG9" s="6">
        <f t="shared" si="8"/>
        <v>0.365771812080537</v>
      </c>
      <c r="AH9" s="7">
        <v>548</v>
      </c>
      <c r="AI9" s="6">
        <f t="shared" si="9"/>
        <v>0.27737226277372262</v>
      </c>
      <c r="AJ9" s="4">
        <f t="shared" si="10"/>
        <v>152</v>
      </c>
      <c r="AK9" s="28"/>
      <c r="AL9" s="6"/>
      <c r="AM9" s="6"/>
      <c r="AN9" s="6" t="str">
        <f t="shared" si="11"/>
        <v>-</v>
      </c>
      <c r="AO9" s="6">
        <f t="shared" si="12"/>
        <v>1</v>
      </c>
      <c r="AP9" s="6">
        <f t="shared" si="13"/>
        <v>1.0476190476190477</v>
      </c>
      <c r="AQ9" s="4" t="str">
        <f t="shared" si="14"/>
        <v>-</v>
      </c>
      <c r="AR9" s="4" t="str">
        <f t="shared" si="15"/>
        <v>-</v>
      </c>
      <c r="AS9" s="4" t="str">
        <f t="shared" si="16"/>
        <v>-</v>
      </c>
      <c r="AT9" s="4" t="str">
        <f t="shared" si="17"/>
        <v>-</v>
      </c>
      <c r="AU9" s="4" t="str">
        <f t="shared" si="18"/>
        <v>-</v>
      </c>
      <c r="AV9" s="4" t="str">
        <f t="shared" si="19"/>
        <v>-</v>
      </c>
      <c r="AW9" s="4">
        <v>0</v>
      </c>
      <c r="AX9" s="4" t="s">
        <v>88</v>
      </c>
      <c r="AY9" s="4"/>
      <c r="AZ9" s="4"/>
      <c r="BA9" s="4" t="s">
        <v>89</v>
      </c>
      <c r="BB9" s="4">
        <v>596</v>
      </c>
      <c r="BC9" s="4">
        <v>596</v>
      </c>
      <c r="BD9" s="4">
        <f t="shared" si="20"/>
        <v>596</v>
      </c>
      <c r="BE9" s="19">
        <v>4</v>
      </c>
      <c r="BF9" s="19">
        <v>1</v>
      </c>
      <c r="BG9" s="16">
        <v>4</v>
      </c>
      <c r="BH9" t="s">
        <v>90</v>
      </c>
      <c r="BI9">
        <v>492</v>
      </c>
      <c r="BJ9">
        <v>492</v>
      </c>
      <c r="BK9">
        <f t="shared" si="22"/>
        <v>515.42857142857144</v>
      </c>
      <c r="BL9" t="s">
        <v>91</v>
      </c>
      <c r="BM9">
        <v>632</v>
      </c>
      <c r="BN9">
        <v>661</v>
      </c>
      <c r="BO9">
        <f t="shared" si="23"/>
        <v>692.47619047619048</v>
      </c>
      <c r="BP9" t="s">
        <v>87</v>
      </c>
      <c r="BQ9" t="e">
        <v>#N/A</v>
      </c>
    </row>
    <row r="10" spans="1:69" x14ac:dyDescent="0.4">
      <c r="A10" s="3">
        <v>4</v>
      </c>
      <c r="B10" s="3">
        <v>4</v>
      </c>
      <c r="C10" s="4">
        <v>628647</v>
      </c>
      <c r="D10" s="4" t="str">
        <f t="shared" si="0"/>
        <v>628647</v>
      </c>
      <c r="E10" s="4">
        <v>628647</v>
      </c>
      <c r="F10" s="4" t="str">
        <f t="shared" si="21"/>
        <v>6286475</v>
      </c>
      <c r="G10" s="4" t="s">
        <v>65</v>
      </c>
      <c r="H10" s="5">
        <v>4547452932856</v>
      </c>
      <c r="I10" s="5">
        <v>5</v>
      </c>
      <c r="J10" s="5"/>
      <c r="K10" s="5">
        <v>1</v>
      </c>
      <c r="L10" s="5">
        <v>1</v>
      </c>
      <c r="M10" s="5">
        <v>0</v>
      </c>
      <c r="N10" s="5">
        <v>568</v>
      </c>
      <c r="O10" s="5">
        <v>521</v>
      </c>
      <c r="P10" s="6">
        <f t="shared" si="1"/>
        <v>8.2746478873239382E-2</v>
      </c>
      <c r="Q10" s="4">
        <v>635</v>
      </c>
      <c r="R10" s="4">
        <v>5</v>
      </c>
      <c r="S10" s="4">
        <v>99999</v>
      </c>
      <c r="T10" s="4" t="s">
        <v>75</v>
      </c>
      <c r="U10" s="4" t="s">
        <v>75</v>
      </c>
      <c r="V10" s="4" t="s">
        <v>75</v>
      </c>
      <c r="W10" s="4">
        <v>0</v>
      </c>
      <c r="X10" s="4">
        <f t="shared" si="2"/>
        <v>0</v>
      </c>
      <c r="Y10" s="4">
        <v>545</v>
      </c>
      <c r="Z10" s="4">
        <f t="shared" si="3"/>
        <v>545</v>
      </c>
      <c r="AA10" s="4"/>
      <c r="AB10" s="21">
        <f t="shared" si="4"/>
        <v>594</v>
      </c>
      <c r="AC10" s="6">
        <f t="shared" si="5"/>
        <v>8.2491582491582505E-2</v>
      </c>
      <c r="AD10" s="4">
        <v>118</v>
      </c>
      <c r="AE10" s="4">
        <f t="shared" si="6"/>
        <v>592</v>
      </c>
      <c r="AF10" s="4">
        <f t="shared" si="7"/>
        <v>619.27063339731285</v>
      </c>
      <c r="AG10" s="6">
        <f t="shared" si="8"/>
        <v>0.11993243243243246</v>
      </c>
      <c r="AH10" s="7">
        <v>701</v>
      </c>
      <c r="AI10" s="6">
        <f t="shared" si="9"/>
        <v>0.22253922967189732</v>
      </c>
      <c r="AJ10" s="4">
        <f t="shared" si="10"/>
        <v>156</v>
      </c>
      <c r="AK10" s="28"/>
      <c r="AL10" s="6"/>
      <c r="AM10" s="6"/>
      <c r="AN10" s="6" t="str">
        <f t="shared" si="11"/>
        <v>-</v>
      </c>
      <c r="AO10" s="6">
        <f t="shared" si="12"/>
        <v>1.2341549295774648</v>
      </c>
      <c r="AP10" s="6">
        <f t="shared" si="13"/>
        <v>1.0460652591170825</v>
      </c>
      <c r="AQ10" s="4">
        <f t="shared" si="14"/>
        <v>784</v>
      </c>
      <c r="AR10" s="4">
        <f t="shared" si="15"/>
        <v>5</v>
      </c>
      <c r="AS10" s="4">
        <f t="shared" si="16"/>
        <v>99999</v>
      </c>
      <c r="AT10" s="4" t="str">
        <f t="shared" si="17"/>
        <v>-</v>
      </c>
      <c r="AU10" s="4" t="str">
        <f t="shared" si="18"/>
        <v>-</v>
      </c>
      <c r="AV10" s="4" t="str">
        <f t="shared" si="19"/>
        <v>-</v>
      </c>
      <c r="AW10" s="4" t="s">
        <v>74</v>
      </c>
      <c r="AX10" s="4" t="s">
        <v>94</v>
      </c>
      <c r="AY10" s="4">
        <v>20</v>
      </c>
      <c r="AZ10" s="4">
        <v>25</v>
      </c>
      <c r="BA10" s="4" t="s">
        <v>89</v>
      </c>
      <c r="BB10" s="4">
        <v>740</v>
      </c>
      <c r="BC10" s="4">
        <v>740</v>
      </c>
      <c r="BD10" s="4">
        <f t="shared" si="20"/>
        <v>592</v>
      </c>
      <c r="BE10" s="19">
        <v>4</v>
      </c>
      <c r="BF10" s="19">
        <v>1</v>
      </c>
      <c r="BG10" s="16">
        <v>4</v>
      </c>
      <c r="BH10" t="s">
        <v>95</v>
      </c>
      <c r="BI10" s="37">
        <v>1325</v>
      </c>
      <c r="BJ10" s="37">
        <v>1325</v>
      </c>
      <c r="BK10">
        <f t="shared" si="22"/>
        <v>1386.0364683301343</v>
      </c>
      <c r="BL10" t="s">
        <v>96</v>
      </c>
      <c r="BM10">
        <v>632</v>
      </c>
      <c r="BN10">
        <v>662</v>
      </c>
      <c r="BO10">
        <f t="shared" si="23"/>
        <v>692.49520153550861</v>
      </c>
      <c r="BP10" t="s">
        <v>93</v>
      </c>
      <c r="BQ10" t="s">
        <v>117</v>
      </c>
    </row>
    <row r="11" spans="1:69" x14ac:dyDescent="0.4">
      <c r="A11" s="3">
        <v>5</v>
      </c>
      <c r="B11" s="3">
        <v>5</v>
      </c>
      <c r="C11" s="34">
        <v>628638</v>
      </c>
      <c r="D11" s="4" t="str">
        <f t="shared" si="0"/>
        <v>628638</v>
      </c>
      <c r="E11" s="4">
        <v>628638</v>
      </c>
      <c r="F11" s="4" t="str">
        <f t="shared" si="21"/>
        <v>6286385</v>
      </c>
      <c r="G11" s="4" t="s">
        <v>66</v>
      </c>
      <c r="H11" s="5">
        <v>4560126837714</v>
      </c>
      <c r="I11" s="5">
        <v>5</v>
      </c>
      <c r="J11" s="5"/>
      <c r="K11" s="5">
        <v>2</v>
      </c>
      <c r="L11" s="5">
        <v>1</v>
      </c>
      <c r="M11" s="5">
        <v>0</v>
      </c>
      <c r="N11" s="5">
        <v>628</v>
      </c>
      <c r="O11" s="5">
        <v>431</v>
      </c>
      <c r="P11" s="6">
        <f t="shared" si="1"/>
        <v>0.31369426751592355</v>
      </c>
      <c r="Q11" s="4">
        <v>666</v>
      </c>
      <c r="R11" s="4">
        <v>5</v>
      </c>
      <c r="S11" s="4">
        <v>99999</v>
      </c>
      <c r="T11" s="4" t="s">
        <v>75</v>
      </c>
      <c r="U11" s="4" t="s">
        <v>75</v>
      </c>
      <c r="V11" s="4" t="s">
        <v>75</v>
      </c>
      <c r="W11" s="4">
        <v>0</v>
      </c>
      <c r="X11" s="4">
        <f t="shared" si="2"/>
        <v>0</v>
      </c>
      <c r="Y11" s="4">
        <v>451</v>
      </c>
      <c r="Z11" s="4">
        <f t="shared" si="3"/>
        <v>451</v>
      </c>
      <c r="AA11" s="4"/>
      <c r="AB11" s="21">
        <f t="shared" si="4"/>
        <v>657</v>
      </c>
      <c r="AC11" s="6">
        <f t="shared" si="5"/>
        <v>0.31354642313546421</v>
      </c>
      <c r="AD11" s="4">
        <v>1092.5</v>
      </c>
      <c r="AE11" s="4">
        <f t="shared" si="6"/>
        <v>687.2</v>
      </c>
      <c r="AF11" s="4">
        <f t="shared" si="7"/>
        <v>719.0886310904873</v>
      </c>
      <c r="AG11" s="6">
        <f t="shared" si="8"/>
        <v>0.37281722933643779</v>
      </c>
      <c r="AH11" s="7">
        <v>736</v>
      </c>
      <c r="AI11" s="6">
        <f t="shared" si="9"/>
        <v>0.38722826086956519</v>
      </c>
      <c r="AJ11" s="4">
        <f t="shared" si="10"/>
        <v>285</v>
      </c>
      <c r="AK11" s="28"/>
      <c r="AL11" s="6"/>
      <c r="AM11" s="6"/>
      <c r="AN11" s="6" t="str">
        <f t="shared" si="11"/>
        <v>-</v>
      </c>
      <c r="AO11" s="6">
        <f t="shared" si="12"/>
        <v>1.1719745222929936</v>
      </c>
      <c r="AP11" s="6">
        <f t="shared" si="13"/>
        <v>1.0464037122969838</v>
      </c>
      <c r="AQ11" s="4">
        <f t="shared" si="14"/>
        <v>781</v>
      </c>
      <c r="AR11" s="4">
        <f t="shared" si="15"/>
        <v>5</v>
      </c>
      <c r="AS11" s="4">
        <f t="shared" si="16"/>
        <v>99999</v>
      </c>
      <c r="AT11" s="4" t="str">
        <f t="shared" si="17"/>
        <v>-</v>
      </c>
      <c r="AU11" s="4" t="str">
        <f t="shared" si="18"/>
        <v>-</v>
      </c>
      <c r="AV11" s="4" t="str">
        <f t="shared" si="19"/>
        <v>-</v>
      </c>
      <c r="AW11" s="4" t="s">
        <v>74</v>
      </c>
      <c r="AX11" s="4" t="s">
        <v>98</v>
      </c>
      <c r="AY11" s="4">
        <v>20</v>
      </c>
      <c r="AZ11" s="4">
        <v>25</v>
      </c>
      <c r="BA11" s="4" t="s">
        <v>89</v>
      </c>
      <c r="BB11" s="4">
        <v>859</v>
      </c>
      <c r="BC11" s="4">
        <v>859</v>
      </c>
      <c r="BD11" s="4">
        <f t="shared" si="20"/>
        <v>687.2</v>
      </c>
      <c r="BE11" s="19">
        <v>4</v>
      </c>
      <c r="BF11" s="19">
        <v>1</v>
      </c>
      <c r="BG11" s="16">
        <v>4</v>
      </c>
      <c r="BH11" t="s">
        <v>99</v>
      </c>
      <c r="BI11">
        <v>709</v>
      </c>
      <c r="BJ11">
        <v>709</v>
      </c>
      <c r="BK11">
        <f t="shared" si="22"/>
        <v>741.9002320185615</v>
      </c>
      <c r="BL11" t="s">
        <v>100</v>
      </c>
      <c r="BM11">
        <v>736</v>
      </c>
      <c r="BN11">
        <v>772</v>
      </c>
      <c r="BO11">
        <f t="shared" si="23"/>
        <v>807.82366589327148</v>
      </c>
      <c r="BP11" t="s">
        <v>97</v>
      </c>
      <c r="BQ11" t="s">
        <v>116</v>
      </c>
    </row>
    <row r="12" spans="1:69" x14ac:dyDescent="0.4">
      <c r="A12" s="3">
        <v>12</v>
      </c>
      <c r="B12" s="3">
        <v>5</v>
      </c>
      <c r="C12" s="34" t="s">
        <v>73</v>
      </c>
      <c r="D12" s="4" t="str">
        <f t="shared" si="0"/>
        <v>8971AM</v>
      </c>
      <c r="E12" s="4" t="s">
        <v>73</v>
      </c>
      <c r="F12" s="4" t="str">
        <f t="shared" si="21"/>
        <v>8971AM6</v>
      </c>
      <c r="G12" s="4" t="s">
        <v>66</v>
      </c>
      <c r="H12" s="5">
        <v>4560126837714</v>
      </c>
      <c r="I12" s="5">
        <v>6</v>
      </c>
      <c r="J12" s="5"/>
      <c r="K12" s="5"/>
      <c r="L12" s="5"/>
      <c r="M12" s="5">
        <v>0</v>
      </c>
      <c r="N12" s="5">
        <v>598</v>
      </c>
      <c r="O12" s="5">
        <v>431</v>
      </c>
      <c r="P12" s="6">
        <f t="shared" si="1"/>
        <v>0.27926421404682278</v>
      </c>
      <c r="Q12" s="4" t="s">
        <v>75</v>
      </c>
      <c r="R12" s="4" t="s">
        <v>75</v>
      </c>
      <c r="S12" s="4" t="s">
        <v>75</v>
      </c>
      <c r="T12" s="4" t="s">
        <v>75</v>
      </c>
      <c r="U12" s="4" t="s">
        <v>75</v>
      </c>
      <c r="V12" s="4" t="s">
        <v>75</v>
      </c>
      <c r="W12" s="4">
        <v>0</v>
      </c>
      <c r="X12" s="4">
        <f t="shared" si="2"/>
        <v>0</v>
      </c>
      <c r="Y12" s="4">
        <v>451</v>
      </c>
      <c r="Z12" s="4">
        <f t="shared" si="3"/>
        <v>451</v>
      </c>
      <c r="AA12" s="4"/>
      <c r="AB12" s="21">
        <f t="shared" si="4"/>
        <v>626</v>
      </c>
      <c r="AC12" s="6">
        <f t="shared" si="5"/>
        <v>0.2795527156549521</v>
      </c>
      <c r="AD12" s="4">
        <v>0</v>
      </c>
      <c r="AE12" s="4">
        <f t="shared" si="6"/>
        <v>687.2</v>
      </c>
      <c r="AF12" s="4">
        <f t="shared" si="7"/>
        <v>719.0886310904873</v>
      </c>
      <c r="AG12" s="6">
        <f t="shared" si="8"/>
        <v>0.37281722933643779</v>
      </c>
      <c r="AH12" s="7">
        <v>598</v>
      </c>
      <c r="AI12" s="6">
        <f t="shared" si="9"/>
        <v>0.24581939799331098</v>
      </c>
      <c r="AJ12" s="4">
        <f t="shared" si="10"/>
        <v>147</v>
      </c>
      <c r="AK12" s="28"/>
      <c r="AL12" s="6"/>
      <c r="AM12" s="6"/>
      <c r="AN12" s="6" t="str">
        <f t="shared" si="11"/>
        <v>-</v>
      </c>
      <c r="AO12" s="6">
        <f t="shared" si="12"/>
        <v>1</v>
      </c>
      <c r="AP12" s="6">
        <f t="shared" si="13"/>
        <v>1.0464037122969838</v>
      </c>
      <c r="AQ12" s="4" t="str">
        <f t="shared" si="14"/>
        <v>-</v>
      </c>
      <c r="AR12" s="4" t="str">
        <f t="shared" si="15"/>
        <v>-</v>
      </c>
      <c r="AS12" s="4" t="str">
        <f t="shared" si="16"/>
        <v>-</v>
      </c>
      <c r="AT12" s="4" t="str">
        <f t="shared" si="17"/>
        <v>-</v>
      </c>
      <c r="AU12" s="4" t="str">
        <f t="shared" si="18"/>
        <v>-</v>
      </c>
      <c r="AV12" s="4" t="str">
        <f t="shared" si="19"/>
        <v>-</v>
      </c>
      <c r="AW12" s="4">
        <v>0</v>
      </c>
      <c r="AX12" s="4" t="s">
        <v>98</v>
      </c>
      <c r="AY12" s="4">
        <v>20</v>
      </c>
      <c r="AZ12" s="4">
        <v>25</v>
      </c>
      <c r="BA12" s="4" t="s">
        <v>89</v>
      </c>
      <c r="BB12" s="4">
        <v>859</v>
      </c>
      <c r="BC12" s="4">
        <v>859</v>
      </c>
      <c r="BD12" s="4">
        <f t="shared" si="20"/>
        <v>687.2</v>
      </c>
      <c r="BE12" s="19">
        <v>4</v>
      </c>
      <c r="BF12" s="19">
        <v>1</v>
      </c>
      <c r="BG12" s="16">
        <v>4</v>
      </c>
      <c r="BH12" t="s">
        <v>99</v>
      </c>
      <c r="BI12">
        <v>709</v>
      </c>
      <c r="BJ12">
        <v>709</v>
      </c>
      <c r="BK12">
        <f t="shared" si="22"/>
        <v>741.9002320185615</v>
      </c>
      <c r="BL12" t="s">
        <v>100</v>
      </c>
      <c r="BM12">
        <v>736</v>
      </c>
      <c r="BN12">
        <v>772</v>
      </c>
      <c r="BO12">
        <f t="shared" si="23"/>
        <v>807.82366589327148</v>
      </c>
      <c r="BP12" t="s">
        <v>97</v>
      </c>
      <c r="BQ12" t="e">
        <v>#N/A</v>
      </c>
    </row>
    <row r="13" spans="1:69" x14ac:dyDescent="0.4">
      <c r="A13" s="3">
        <v>6</v>
      </c>
      <c r="B13" s="3">
        <v>6</v>
      </c>
      <c r="C13" s="35">
        <v>628642</v>
      </c>
      <c r="D13" s="4" t="str">
        <f t="shared" si="0"/>
        <v>628642</v>
      </c>
      <c r="E13" s="4">
        <v>628642</v>
      </c>
      <c r="F13" s="4" t="str">
        <f t="shared" si="21"/>
        <v>6286425</v>
      </c>
      <c r="G13" s="4" t="s">
        <v>67</v>
      </c>
      <c r="H13" s="5">
        <v>4560126837776</v>
      </c>
      <c r="I13" s="5">
        <v>5</v>
      </c>
      <c r="J13" s="5"/>
      <c r="K13" s="5">
        <v>2</v>
      </c>
      <c r="L13" s="5">
        <v>2</v>
      </c>
      <c r="M13" s="5">
        <v>0</v>
      </c>
      <c r="N13" s="5">
        <v>768</v>
      </c>
      <c r="O13" s="5">
        <v>636</v>
      </c>
      <c r="P13" s="6">
        <f t="shared" si="1"/>
        <v>0.171875</v>
      </c>
      <c r="Q13" s="4">
        <v>735</v>
      </c>
      <c r="R13" s="4">
        <v>3</v>
      </c>
      <c r="S13" s="4">
        <v>9</v>
      </c>
      <c r="T13" s="4">
        <v>712</v>
      </c>
      <c r="U13" s="4">
        <v>10</v>
      </c>
      <c r="V13" s="4">
        <v>99999</v>
      </c>
      <c r="W13" s="4">
        <v>0</v>
      </c>
      <c r="X13" s="4">
        <f t="shared" si="2"/>
        <v>0</v>
      </c>
      <c r="Y13" s="4">
        <v>666</v>
      </c>
      <c r="Z13" s="4">
        <f t="shared" si="3"/>
        <v>666</v>
      </c>
      <c r="AA13" s="4"/>
      <c r="AB13" s="21">
        <f t="shared" si="4"/>
        <v>804</v>
      </c>
      <c r="AC13" s="6">
        <f t="shared" si="5"/>
        <v>0.17164179104477617</v>
      </c>
      <c r="AD13" s="4">
        <v>45.25</v>
      </c>
      <c r="AE13" s="4">
        <f t="shared" si="6"/>
        <v>676</v>
      </c>
      <c r="AF13" s="4">
        <f t="shared" si="7"/>
        <v>707.88679245283026</v>
      </c>
      <c r="AG13" s="6">
        <f t="shared" si="8"/>
        <v>5.9171597633136175E-2</v>
      </c>
      <c r="AH13" s="7">
        <v>810</v>
      </c>
      <c r="AI13" s="6">
        <f t="shared" si="9"/>
        <v>0.17777777777777781</v>
      </c>
      <c r="AJ13" s="4">
        <f t="shared" si="10"/>
        <v>144</v>
      </c>
      <c r="AK13" s="28"/>
      <c r="AL13" s="6"/>
      <c r="AM13" s="6"/>
      <c r="AN13" s="6" t="str">
        <f t="shared" si="11"/>
        <v>-</v>
      </c>
      <c r="AO13" s="6">
        <f t="shared" si="12"/>
        <v>1.0546875</v>
      </c>
      <c r="AP13" s="6">
        <f t="shared" si="13"/>
        <v>1.0471698113207548</v>
      </c>
      <c r="AQ13" s="4">
        <f t="shared" si="14"/>
        <v>775</v>
      </c>
      <c r="AR13" s="4">
        <f t="shared" si="15"/>
        <v>3</v>
      </c>
      <c r="AS13" s="4">
        <f t="shared" si="16"/>
        <v>9</v>
      </c>
      <c r="AT13" s="4">
        <f t="shared" si="17"/>
        <v>751</v>
      </c>
      <c r="AU13" s="4">
        <f t="shared" si="18"/>
        <v>10</v>
      </c>
      <c r="AV13" s="4">
        <f t="shared" si="19"/>
        <v>99999</v>
      </c>
      <c r="AW13" s="4" t="s">
        <v>74</v>
      </c>
      <c r="AX13" s="4" t="s">
        <v>101</v>
      </c>
      <c r="AY13" s="4"/>
      <c r="AZ13" s="4"/>
      <c r="BA13" s="4" t="s">
        <v>103</v>
      </c>
      <c r="BB13" s="4">
        <v>676</v>
      </c>
      <c r="BC13" s="4">
        <v>676</v>
      </c>
      <c r="BD13" s="4">
        <f t="shared" si="20"/>
        <v>676</v>
      </c>
      <c r="BE13" s="19">
        <v>4</v>
      </c>
      <c r="BF13" s="19">
        <v>1</v>
      </c>
      <c r="BG13" s="16">
        <v>4</v>
      </c>
      <c r="BH13" t="s">
        <v>104</v>
      </c>
      <c r="BI13">
        <v>697</v>
      </c>
      <c r="BJ13">
        <v>697</v>
      </c>
      <c r="BK13">
        <f t="shared" si="22"/>
        <v>729.87735849056605</v>
      </c>
      <c r="BL13" t="s">
        <v>105</v>
      </c>
      <c r="BM13">
        <v>718</v>
      </c>
      <c r="BN13">
        <v>753</v>
      </c>
      <c r="BO13">
        <f t="shared" si="23"/>
        <v>788.51886792452842</v>
      </c>
      <c r="BP13" t="s">
        <v>102</v>
      </c>
      <c r="BQ13" t="s">
        <v>117</v>
      </c>
    </row>
    <row r="14" spans="1:69" x14ac:dyDescent="0.4">
      <c r="A14" s="3">
        <v>10</v>
      </c>
      <c r="B14" s="3">
        <v>6</v>
      </c>
      <c r="C14" s="35">
        <v>628642</v>
      </c>
      <c r="D14" s="4" t="str">
        <f t="shared" si="0"/>
        <v>628642</v>
      </c>
      <c r="E14" s="4" t="s">
        <v>71</v>
      </c>
      <c r="F14" s="4" t="str">
        <f t="shared" si="21"/>
        <v>62864299</v>
      </c>
      <c r="G14" s="4" t="s">
        <v>67</v>
      </c>
      <c r="H14" s="5">
        <v>4560126837776</v>
      </c>
      <c r="I14" s="5">
        <v>99</v>
      </c>
      <c r="J14" s="5"/>
      <c r="K14" s="5"/>
      <c r="L14" s="5"/>
      <c r="M14" s="5">
        <v>0</v>
      </c>
      <c r="N14" s="5">
        <v>698</v>
      </c>
      <c r="O14" s="5">
        <v>636</v>
      </c>
      <c r="P14" s="6">
        <f t="shared" si="1"/>
        <v>8.8825214899713512E-2</v>
      </c>
      <c r="Q14" s="4" t="s">
        <v>75</v>
      </c>
      <c r="R14" s="4" t="s">
        <v>75</v>
      </c>
      <c r="S14" s="4" t="s">
        <v>75</v>
      </c>
      <c r="T14" s="4" t="s">
        <v>75</v>
      </c>
      <c r="U14" s="4" t="s">
        <v>75</v>
      </c>
      <c r="V14" s="4" t="s">
        <v>75</v>
      </c>
      <c r="W14" s="4">
        <v>0</v>
      </c>
      <c r="X14" s="4">
        <f t="shared" si="2"/>
        <v>0</v>
      </c>
      <c r="Y14" s="4">
        <v>666</v>
      </c>
      <c r="Z14" s="4">
        <f t="shared" si="3"/>
        <v>666</v>
      </c>
      <c r="AA14" s="4"/>
      <c r="AB14" s="21">
        <f t="shared" si="4"/>
        <v>731</v>
      </c>
      <c r="AC14" s="6">
        <f t="shared" si="5"/>
        <v>8.8919288645690875E-2</v>
      </c>
      <c r="AD14" s="4">
        <v>45.25</v>
      </c>
      <c r="AE14" s="4">
        <f t="shared" si="6"/>
        <v>676</v>
      </c>
      <c r="AF14" s="4">
        <f t="shared" si="7"/>
        <v>707.88679245283026</v>
      </c>
      <c r="AG14" s="6">
        <f t="shared" si="8"/>
        <v>5.9171597633136175E-2</v>
      </c>
      <c r="AH14" s="7">
        <v>698</v>
      </c>
      <c r="AI14" s="6">
        <f t="shared" si="9"/>
        <v>4.5845272206303744E-2</v>
      </c>
      <c r="AJ14" s="4">
        <f t="shared" si="10"/>
        <v>32</v>
      </c>
      <c r="AK14" s="28"/>
      <c r="AL14" s="6"/>
      <c r="AM14" s="6"/>
      <c r="AN14" s="6" t="str">
        <f t="shared" si="11"/>
        <v>-</v>
      </c>
      <c r="AO14" s="6">
        <f t="shared" si="12"/>
        <v>1</v>
      </c>
      <c r="AP14" s="6">
        <f t="shared" si="13"/>
        <v>1.0471698113207548</v>
      </c>
      <c r="AQ14" s="4" t="str">
        <f t="shared" si="14"/>
        <v>-</v>
      </c>
      <c r="AR14" s="4" t="str">
        <f t="shared" si="15"/>
        <v>-</v>
      </c>
      <c r="AS14" s="4" t="str">
        <f t="shared" si="16"/>
        <v>-</v>
      </c>
      <c r="AT14" s="4" t="str">
        <f t="shared" si="17"/>
        <v>-</v>
      </c>
      <c r="AU14" s="4" t="str">
        <f t="shared" si="18"/>
        <v>-</v>
      </c>
      <c r="AV14" s="4" t="str">
        <f t="shared" si="19"/>
        <v>-</v>
      </c>
      <c r="AW14" s="4">
        <v>0</v>
      </c>
      <c r="AX14" s="4" t="s">
        <v>101</v>
      </c>
      <c r="AY14" s="4"/>
      <c r="AZ14" s="4"/>
      <c r="BA14" s="4" t="s">
        <v>103</v>
      </c>
      <c r="BB14" s="4">
        <v>676</v>
      </c>
      <c r="BC14" s="4">
        <v>676</v>
      </c>
      <c r="BD14" s="4">
        <f t="shared" si="20"/>
        <v>676</v>
      </c>
      <c r="BE14" s="19">
        <v>4</v>
      </c>
      <c r="BF14" s="19">
        <v>1</v>
      </c>
      <c r="BG14" s="16">
        <v>4</v>
      </c>
      <c r="BH14" t="s">
        <v>104</v>
      </c>
      <c r="BI14">
        <v>697</v>
      </c>
      <c r="BJ14">
        <v>697</v>
      </c>
      <c r="BK14">
        <f t="shared" si="22"/>
        <v>729.87735849056605</v>
      </c>
      <c r="BL14" t="s">
        <v>105</v>
      </c>
      <c r="BM14">
        <v>718</v>
      </c>
      <c r="BN14">
        <v>753</v>
      </c>
      <c r="BO14">
        <f t="shared" si="23"/>
        <v>788.51886792452842</v>
      </c>
      <c r="BP14" t="s">
        <v>102</v>
      </c>
      <c r="BQ14" t="s">
        <v>117</v>
      </c>
    </row>
    <row r="15" spans="1:69" x14ac:dyDescent="0.4">
      <c r="A15" s="3">
        <v>7</v>
      </c>
      <c r="B15" s="3">
        <v>7</v>
      </c>
      <c r="C15" s="17">
        <v>628649</v>
      </c>
      <c r="D15" s="4" t="str">
        <f t="shared" si="0"/>
        <v>628649</v>
      </c>
      <c r="E15" s="4">
        <v>628649</v>
      </c>
      <c r="F15" s="4" t="str">
        <f t="shared" si="21"/>
        <v>6286495</v>
      </c>
      <c r="G15" s="4" t="s">
        <v>68</v>
      </c>
      <c r="H15" s="5">
        <v>4560126837905</v>
      </c>
      <c r="I15" s="5">
        <v>5</v>
      </c>
      <c r="J15" s="5"/>
      <c r="K15" s="5">
        <v>1</v>
      </c>
      <c r="L15" s="5">
        <v>1</v>
      </c>
      <c r="M15" s="5">
        <v>0</v>
      </c>
      <c r="N15" s="5">
        <v>889</v>
      </c>
      <c r="O15" s="5">
        <v>743</v>
      </c>
      <c r="P15" s="6">
        <f t="shared" si="1"/>
        <v>0.16422947131608545</v>
      </c>
      <c r="Q15" s="4">
        <v>850</v>
      </c>
      <c r="R15" s="4">
        <v>3</v>
      </c>
      <c r="S15" s="4">
        <v>9</v>
      </c>
      <c r="T15" s="4">
        <v>836</v>
      </c>
      <c r="U15" s="4">
        <v>10</v>
      </c>
      <c r="V15" s="4">
        <v>99999</v>
      </c>
      <c r="W15" s="4">
        <v>0</v>
      </c>
      <c r="X15" s="4">
        <f t="shared" si="2"/>
        <v>0</v>
      </c>
      <c r="Y15" s="4">
        <v>778</v>
      </c>
      <c r="Z15" s="4">
        <f t="shared" si="3"/>
        <v>778</v>
      </c>
      <c r="AA15" s="4"/>
      <c r="AB15" s="21">
        <f t="shared" si="4"/>
        <v>931</v>
      </c>
      <c r="AC15" s="6">
        <f t="shared" si="5"/>
        <v>0.16433941997851775</v>
      </c>
      <c r="AD15" s="4">
        <v>61.5</v>
      </c>
      <c r="AE15" s="4">
        <f t="shared" si="6"/>
        <v>581</v>
      </c>
      <c r="AF15" s="4">
        <f t="shared" si="7"/>
        <v>608.36877523553164</v>
      </c>
      <c r="AG15" s="6">
        <f t="shared" si="8"/>
        <v>-0.27882960413080893</v>
      </c>
      <c r="AH15" s="7">
        <v>940</v>
      </c>
      <c r="AI15" s="6">
        <f t="shared" si="9"/>
        <v>0.17234042553191486</v>
      </c>
      <c r="AJ15" s="4">
        <f t="shared" si="10"/>
        <v>162</v>
      </c>
      <c r="AK15" s="28"/>
      <c r="AL15" s="6"/>
      <c r="AM15" s="6"/>
      <c r="AN15" s="6" t="str">
        <f t="shared" si="11"/>
        <v>-</v>
      </c>
      <c r="AO15" s="6">
        <f t="shared" si="12"/>
        <v>1.0573678290213724</v>
      </c>
      <c r="AP15" s="6">
        <f t="shared" si="13"/>
        <v>1.0471063257065949</v>
      </c>
      <c r="AQ15" s="4">
        <f t="shared" si="14"/>
        <v>899</v>
      </c>
      <c r="AR15" s="4">
        <f t="shared" si="15"/>
        <v>3</v>
      </c>
      <c r="AS15" s="4">
        <f t="shared" si="16"/>
        <v>9</v>
      </c>
      <c r="AT15" s="4">
        <f t="shared" si="17"/>
        <v>884</v>
      </c>
      <c r="AU15" s="4">
        <f t="shared" si="18"/>
        <v>10</v>
      </c>
      <c r="AV15" s="4">
        <f t="shared" si="19"/>
        <v>99999</v>
      </c>
      <c r="AW15" s="4" t="s">
        <v>74</v>
      </c>
      <c r="AX15" s="4" t="s">
        <v>107</v>
      </c>
      <c r="AY15" s="4"/>
      <c r="AZ15" s="4"/>
      <c r="BA15" s="4" t="s">
        <v>108</v>
      </c>
      <c r="BB15" s="4">
        <v>581</v>
      </c>
      <c r="BC15" s="4">
        <v>581</v>
      </c>
      <c r="BD15" s="4">
        <f t="shared" si="20"/>
        <v>581</v>
      </c>
      <c r="BE15" s="19">
        <v>4</v>
      </c>
      <c r="BF15" s="19">
        <v>1</v>
      </c>
      <c r="BG15" s="16">
        <v>4</v>
      </c>
      <c r="BH15" t="s">
        <v>109</v>
      </c>
      <c r="BI15" s="37">
        <v>1415</v>
      </c>
      <c r="BJ15" s="37">
        <v>1415</v>
      </c>
      <c r="BK15">
        <f t="shared" si="22"/>
        <v>1481.6554508748318</v>
      </c>
      <c r="BL15" t="s">
        <v>110</v>
      </c>
      <c r="BM15">
        <v>595</v>
      </c>
      <c r="BN15">
        <v>624</v>
      </c>
      <c r="BO15">
        <f t="shared" si="23"/>
        <v>653.39434724091518</v>
      </c>
      <c r="BP15" t="s">
        <v>106</v>
      </c>
      <c r="BQ15" t="s">
        <v>116</v>
      </c>
    </row>
  </sheetData>
  <sortState xmlns:xlrd2="http://schemas.microsoft.com/office/spreadsheetml/2017/richdata2" ref="A4:BP15">
    <sortCondition ref="B4:B15"/>
  </sortState>
  <mergeCells count="3">
    <mergeCell ref="M2:P2"/>
    <mergeCell ref="K2:L2"/>
    <mergeCell ref="W1:Z1"/>
  </mergeCells>
  <phoneticPr fontId="2"/>
  <conditionalFormatting sqref="AF4:AF15">
    <cfRule type="cellIs" dxfId="4" priority="4" operator="lessThan">
      <formula>$AH4</formula>
    </cfRule>
  </conditionalFormatting>
  <conditionalFormatting sqref="AH4:AH15">
    <cfRule type="cellIs" dxfId="3" priority="6" operator="greaterThan">
      <formula>$X4</formula>
    </cfRule>
  </conditionalFormatting>
  <conditionalFormatting sqref="AI4:AI15">
    <cfRule type="cellIs" dxfId="2" priority="3" operator="lessThan">
      <formula>0.2</formula>
    </cfRule>
  </conditionalFormatting>
  <conditionalFormatting sqref="BC4:BC15">
    <cfRule type="cellIs" dxfId="1" priority="2" operator="notEqual">
      <formula>$BB4</formula>
    </cfRule>
  </conditionalFormatting>
  <conditionalFormatting sqref="BN4:BN15">
    <cfRule type="cellIs" dxfId="0" priority="1" operator="notEqual">
      <formula>$BM4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2026-07-15T09:09:48Z</dcterms:modified>
</cp:coreProperties>
</file>