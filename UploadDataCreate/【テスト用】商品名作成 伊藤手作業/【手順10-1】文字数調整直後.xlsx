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EDC61C9C-D8A2-417E-9550-87CCBE3C5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目玉" sheetId="2" r:id="rId2"/>
    <sheet name="その他" sheetId="3" r:id="rId3"/>
  </sheets>
  <definedNames>
    <definedName name="_xlnm._FilterDatabase" localSheetId="0" hidden="1">Sheet1!$A$1:$AI$41</definedName>
    <definedName name="_xlnm._FilterDatabase" localSheetId="2" hidden="1">その他!$A$1:$AL$39</definedName>
    <definedName name="_xlnm._FilterDatabase" localSheetId="1" hidden="1">目玉!$A$1:$AL$1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" i="3" l="1"/>
  <c r="W14" i="3"/>
  <c r="W19" i="3"/>
  <c r="W13" i="3"/>
  <c r="W20" i="3"/>
  <c r="W21" i="3"/>
  <c r="W8" i="3"/>
  <c r="W7" i="3"/>
  <c r="W12" i="3"/>
  <c r="W9" i="3"/>
  <c r="W17" i="3"/>
  <c r="W4" i="3"/>
  <c r="W23" i="3"/>
  <c r="W32" i="3"/>
  <c r="W38" i="3"/>
  <c r="W28" i="3"/>
  <c r="W26" i="3"/>
  <c r="W36" i="3"/>
  <c r="W37" i="3"/>
  <c r="W33" i="3"/>
  <c r="W39" i="3"/>
  <c r="W29" i="3"/>
  <c r="W15" i="3"/>
  <c r="W27" i="3"/>
  <c r="W6" i="3"/>
  <c r="W2" i="3"/>
  <c r="W5" i="3"/>
  <c r="W10" i="3"/>
  <c r="W3" i="3"/>
  <c r="W30" i="3"/>
  <c r="W34" i="3"/>
  <c r="W35" i="3"/>
  <c r="W25" i="3"/>
  <c r="W22" i="3"/>
  <c r="W16" i="3"/>
  <c r="W11" i="3"/>
  <c r="W31" i="3"/>
  <c r="W24" i="3"/>
  <c r="W2" i="2"/>
  <c r="W3" i="2"/>
</calcChain>
</file>

<file path=xl/sharedStrings.xml><?xml version="1.0" encoding="utf-8"?>
<sst xmlns="http://schemas.openxmlformats.org/spreadsheetml/2006/main" count="1431" uniqueCount="468">
  <si>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</si>
  <si>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</si>
  <si>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</si>
  <si>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</si>
  <si>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</si>
  <si>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</si>
  <si>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</si>
  <si>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</si>
  <si>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</si>
  <si>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</si>
  <si>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</si>
  <si>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</si>
  <si>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</si>
  <si>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</si>
  <si>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</si>
  <si>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</si>
  <si>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</si>
  <si>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</si>
  <si>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</si>
  <si>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</si>
  <si>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</si>
  <si>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</si>
  <si>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</si>
  <si>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</si>
  <si>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</si>
  <si>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</si>
  <si>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</si>
  <si>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</si>
  <si>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</si>
  <si>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</si>
  <si>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</si>
  <si>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</si>
  <si>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</si>
  <si>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</si>
  <si>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</si>
  <si>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</si>
  <si>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</si>
  <si>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</si>
  <si>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</si>
  <si>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</si>
  <si>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</si>
  <si>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</si>
  <si>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</si>
  <si>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</si>
  <si>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</si>
  <si>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</si>
  <si>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</si>
  <si>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</si>
  <si>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</si>
  <si>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</si>
  <si>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</si>
  <si>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</si>
  <si>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</si>
  <si>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</si>
  <si>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</si>
  <si>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</si>
  <si>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</si>
  <si>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</si>
  <si>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</si>
  <si>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</si>
  <si>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</si>
  <si>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</si>
  <si>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</si>
  <si>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</si>
  <si>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</si>
  <si>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</si>
  <si>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</si>
  <si>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</si>
  <si>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</si>
  <si>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</si>
  <si>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</si>
  <si>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</si>
  <si>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</si>
  <si>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</si>
  <si>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</si>
  <si>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</si>
  <si>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</si>
  <si>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</si>
  <si>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</si>
  <si>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</si>
  <si>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</si>
  <si>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</si>
  <si>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</si>
  <si>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</si>
  <si>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</si>
  <si>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</si>
  <si>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</si>
  <si>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</si>
  <si>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</si>
  <si>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</si>
  <si>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</si>
  <si>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</si>
  <si>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</si>
  <si>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</si>
  <si>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</si>
  <si>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</si>
  <si>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</si>
  <si>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</si>
  <si>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</si>
  <si>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</si>
  <si>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</si>
  <si>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</si>
  <si>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</si>
  <si>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</si>
  <si>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</si>
  <si>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</si>
  <si>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</si>
  <si>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</si>
  <si>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</si>
  <si>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</si>
  <si>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</si>
  <si>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</si>
  <si>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</si>
  <si>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</si>
  <si>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</si>
  <si>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</si>
  <si>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本</t>
  </si>
  <si>
    <t>箱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</si>
  <si>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</si>
  <si>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</si>
  <si>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</si>
  <si>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</si>
  <si>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</si>
  <si>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</si>
  <si>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</si>
  <si>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</si>
  <si>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</si>
  <si>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</si>
  <si>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</si>
  <si>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</si>
  <si>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</si>
  <si>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</si>
  <si>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</si>
  <si>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</si>
  <si>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</si>
  <si>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</si>
  <si>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</si>
  <si>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</si>
  <si>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</si>
  <si>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</si>
  <si>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</si>
  <si>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</si>
  <si>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</si>
  <si>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</si>
  <si>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</si>
  <si>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</si>
  <si>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</si>
  <si>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</si>
  <si>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</si>
  <si>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</si>
  <si>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</si>
  <si>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</si>
  <si>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</si>
  <si>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</si>
  <si>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</si>
  <si>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</si>
  <si>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</si>
  <si>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</si>
  <si>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</si>
  <si>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</si>
  <si>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</si>
  <si>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</si>
  <si>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</si>
  <si>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</si>
  <si>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</si>
  <si>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</si>
  <si>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</si>
  <si>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</si>
  <si>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</si>
  <si>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</si>
  <si>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</si>
  <si>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</si>
  <si>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</si>
  <si>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</si>
  <si>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</si>
  <si>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</si>
  <si>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</si>
  <si>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</si>
  <si>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</si>
  <si>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</si>
  <si>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</si>
  <si>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</si>
  <si>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</si>
  <si>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</si>
  <si>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</si>
  <si>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</si>
  <si>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</si>
  <si>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</si>
  <si>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</si>
  <si>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</si>
  <si>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</si>
  <si>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</si>
  <si>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</si>
  <si>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</si>
  <si>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</si>
  <si>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</si>
  <si>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</si>
  <si>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</si>
  <si>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</si>
  <si>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</si>
  <si>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</si>
  <si>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</si>
  <si>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</si>
  <si>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</si>
  <si>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</si>
  <si>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</si>
  <si>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</si>
  <si>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</si>
  <si>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</si>
  <si>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</si>
  <si>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</si>
  <si>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</si>
  <si>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</si>
  <si>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</si>
  <si>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</si>
  <si>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</si>
  <si>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</si>
  <si>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</si>
  <si>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</si>
  <si>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</si>
  <si>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</si>
  <si>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</si>
  <si>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</si>
  <si>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</si>
  <si>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</si>
  <si>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</si>
  <si>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</si>
  <si>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</si>
  <si>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</si>
  <si>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</si>
  <si>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</si>
  <si>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</si>
  <si>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</si>
  <si>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</si>
  <si>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</si>
  <si>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</si>
  <si>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</si>
  <si>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</si>
  <si>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</si>
  <si>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</si>
  <si>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</si>
  <si>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</si>
  <si>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</si>
  <si>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</si>
  <si>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</si>
  <si>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</si>
  <si>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</si>
  <si>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</si>
  <si>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</si>
  <si>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</si>
  <si>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</si>
  <si>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</si>
  <si>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</si>
  <si>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</si>
  <si>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</si>
  <si>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</si>
  <si>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</si>
  <si>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</si>
  <si>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</si>
  <si>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</si>
  <si>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</si>
  <si>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</si>
  <si>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</si>
  <si>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</si>
  <si>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</si>
  <si>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</si>
  <si>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</si>
  <si>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</si>
  <si>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</si>
  <si>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</si>
  <si>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</si>
  <si>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</si>
  <si>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</si>
  <si>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</si>
  <si>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</si>
  <si>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</si>
  <si>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</si>
  <si>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</si>
  <si>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</si>
  <si>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</si>
  <si>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</si>
  <si>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</si>
  <si>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</si>
  <si>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</si>
  <si>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</si>
  <si>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</si>
  <si>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</si>
  <si>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</si>
  <si>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</si>
  <si>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</si>
  <si>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</si>
  <si>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</si>
  <si>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</si>
  <si>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</si>
  <si>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</si>
  <si>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</si>
  <si>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</si>
  <si>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</si>
  <si>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</si>
  <si>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</si>
  <si>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</si>
  <si>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</si>
  <si>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</si>
  <si>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</si>
  <si>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</si>
  <si>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</si>
  <si>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</si>
  <si>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</si>
  <si>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</si>
  <si>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</si>
  <si>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</si>
  <si>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</si>
  <si>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</si>
  <si>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</si>
  <si>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</si>
  <si>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</si>
  <si>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</si>
  <si>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</si>
  <si>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</si>
  <si>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</si>
  <si>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</si>
  <si>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</si>
  <si>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</si>
  <si>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</si>
  <si>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</si>
  <si>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</si>
  <si>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</si>
  <si>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</si>
  <si>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</si>
  <si>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</si>
  <si>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</si>
  <si>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</si>
  <si>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</si>
  <si>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</si>
  <si>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</si>
  <si>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</si>
  <si>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</si>
  <si>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</si>
  <si>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</si>
  <si>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</si>
  <si>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</si>
  <si>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</si>
  <si>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</si>
  <si>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</si>
  <si>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</si>
  <si>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</si>
  <si>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</si>
  <si>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</si>
  <si>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</si>
  <si>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</si>
  <si>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</si>
  <si>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</si>
  <si>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</si>
  <si>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</si>
  <si>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</si>
  <si>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</si>
  <si>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</si>
  <si>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</si>
  <si>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</si>
  <si>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</si>
  <si>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</si>
  <si>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</si>
  <si>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</si>
  <si>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</si>
  <si>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</si>
  <si>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</si>
  <si>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</si>
  <si>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</si>
  <si>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</si>
  <si>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</si>
  <si>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</si>
  <si>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</si>
  <si>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</si>
  <si>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</si>
  <si>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</si>
  <si>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</si>
  <si>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</si>
  <si>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</si>
  <si>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</si>
  <si>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</si>
  <si>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</si>
  <si>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</si>
  <si>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</si>
  <si>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</si>
  <si>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</si>
  <si>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</si>
  <si>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</si>
  <si>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</si>
  <si>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</si>
  <si>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</si>
  <si>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</si>
  <si>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</si>
  <si>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</si>
  <si>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</si>
  <si>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</si>
  <si>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</si>
  <si>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</si>
  <si>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</si>
  <si>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</si>
  <si>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</si>
  <si>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</si>
  <si>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</si>
  <si>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</si>
  <si>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</si>
  <si>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</si>
  <si>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</si>
  <si>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</si>
  <si>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</si>
  <si>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</si>
  <si>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</si>
  <si>
    <t>倉庫コード</t>
    <rPh sb="0" eb="2">
      <t>ソウコ</t>
    </rPh>
    <phoneticPr fontId="1"/>
  </si>
  <si>
    <t>直送</t>
  </si>
  <si>
    <t>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  <phoneticPr fontId="1"/>
  </si>
  <si>
    <t>送料無料 【お取り寄せ】キングジム スタックバスケット ベージュ 15個 KSP002S-BE まとめ買い 箱買い 買いだめ 買い置き 業務用 収納家具 インテリア 収納</t>
    <phoneticPr fontId="1"/>
  </si>
  <si>
    <t>送料無料 【お取り寄せ】システムポリマー 石灰石約25%を使用したエコポリ袋 30L 50枚*30 まとめ買い 箱買い 買いだめ 買い置き 業務用 半透明タイプ ゴミ袋 ゴミ箱 清掃</t>
    <phoneticPr fontId="1"/>
  </si>
  <si>
    <t>送料無料 【お取り寄せ】アズワン カラーペール(キャスター付き)70L グレー CK-70 大型ごみ箱 キャスター付き</t>
    <phoneticPr fontId="1"/>
  </si>
  <si>
    <t>送料無料 【お取り寄せ】アイオン ベルクリンモップ 450×1300mm MFM-S</t>
    <phoneticPr fontId="1"/>
  </si>
  <si>
    <t>送料無料 【お取り寄せ】アズワン ブチルゴム便器(エアーポンプ付) MO502-IIR</t>
    <phoneticPr fontId="1"/>
  </si>
  <si>
    <t>送料無料 北越コーポレーション ニューファインカラー A3 ライトクリーム 500枚×3冊 まとめ買い 業務用 箱売り 箱買い ケース買い A3用紙 a3 コピー用紙 A3コピー用紙 Ａ３サイズ イエロー系 黄 カラーコピー用紙</t>
    <phoneticPr fontId="1"/>
  </si>
  <si>
    <t>送料無料 北越コーポレーション ニューファインカラー B4 クリーム 500枚×5冊 まとめ買い 業務用 箱売り 箱買い ケース買い Ｂ４サイズ イエロー系 黄 カラーコピー用紙</t>
    <phoneticPr fontId="1"/>
  </si>
  <si>
    <t>送料無料 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  <phoneticPr fontId="1"/>
  </si>
  <si>
    <t>送料無料 デルモンテ リコピンリッチ トマト飲料 800mL×15本 ペットボトル 野菜ジュース 飲料 ジュース</t>
    <phoneticPr fontId="1"/>
  </si>
  <si>
    <t>目玉商品</t>
    <rPh sb="0" eb="4">
      <t>メダマショウヒン</t>
    </rPh>
    <phoneticPr fontId="1"/>
  </si>
  <si>
    <t>【マラソン最安値挑戦】</t>
  </si>
  <si>
    <t>足し算+キーワードを付与したもの</t>
    <rPh sb="10" eb="12">
      <t>フヨ</t>
    </rPh>
    <phoneticPr fontId="1"/>
  </si>
  <si>
    <t>文字数チェック</t>
    <rPh sb="0" eb="3">
      <t>モジスウ</t>
    </rPh>
    <phoneticPr fontId="1"/>
  </si>
  <si>
    <t>その他</t>
    <rPh sb="2" eb="3">
      <t>タ</t>
    </rPh>
    <phoneticPr fontId="1"/>
  </si>
  <si>
    <t>【スーパーSALE★店内全品ポイント2倍★さらに2,000円クーポン発行中】</t>
  </si>
  <si>
    <t>【スーパーSALE★店内全品ポイント2倍★さらに2,000円クーポン発行中】【お取り寄せ】コクヨ スティックのり 四角 しっかり貼る S 20個 タ-G301N-1P かわいい おしゃれ 幼稚園 小学校 保育園 業務用 まとめ買い 大容量 工作のり 学校 スティックのり のり 接着剤 切る 貼る</t>
  </si>
  <si>
    <t>【スーパーSALE★店内全品ポイント2倍★さらに2,000円クーポン発行中】【お取り寄せ】フーバー マイクロファイバーグローブ インサイドベルトモデル 黒 キャメル L ポリウレタン手袋 革手袋 合皮手袋 ＰＵ手袋 作業用手袋</t>
  </si>
  <si>
    <t>【スーパーSALE★店内全品ポイント2倍★さらに2,000円クーポン発行中】【お取り寄せ】トンボ鉛筆 液体のり アクアピット 15本 HCA-311 工作のり 学校 スティックのり のり 接着剤 切る 貼る 留める 文具 事務</t>
  </si>
  <si>
    <t>【スーパーSALE★店内全品ポイント2倍★さらに2,000円クーポン発行中】【お取り寄せ】富士手袋 合皮手袋 ブレリスストロングキャッチ ブルー迷彩 L ポリウレタン手袋 革手袋 合皮手袋 ＰＵ手袋 作業用手袋</t>
  </si>
  <si>
    <t>【スーパーSALE★店内全品ポイント2倍★さらに2,000円クーポン発行中】【お取り寄せ】マグマックス マグマックス インソール 女性用 2枚組 1足 フットケア バス ボディケア スキンケア</t>
  </si>
  <si>
    <t>【スーパーSALE★店内全品ポイント2倍★さらに2,000円クーポン発行中】【お取り寄せ】マグマックス マグマックス フットケア 2個入 フットケア バス ボディケア スキンケア</t>
  </si>
  <si>
    <t>【スーパーSALE★店内全品ポイント2倍★さらに2,000円クーポン発行中】【お取り寄せ】エスコ タイヤブラシ グリップ付 120×120×100mm EA928AG-543</t>
  </si>
  <si>
    <t>【スーパーSALE★店内全品ポイント2倍★さらに2,000円クーポン発行中】【お取り寄せ】オオサキメディカル 救急ガーゼ 大きめサイズ 15枚入</t>
  </si>
  <si>
    <t>【スーパーSALE★店内全品ポイント2倍★さらに2,000円クーポン発行中】【お取り寄せ】ナガイレーベン 一重四角巾 450×450mm Ad90100-544</t>
  </si>
  <si>
    <t>【スーパーSALE★店内全品ポイント2倍★さらに2,000円クーポン発行中】【お取り寄せ】サンメディカル カコー カットガーゼ滅菌 L 100枚</t>
  </si>
  <si>
    <t>【スーパーSALE★店内全品ポイント2倍★さらに2,000円クーポン発行中】【お取り寄せ】サンメディカル カコー カットガーゼ滅菌 M 100枚</t>
  </si>
  <si>
    <t>【スーパーSALE★店内全品ポイント2倍★さらに2,000円クーポン発行中】【お取り寄せ】アズワン ブラシ 注射器用 小 195×21×40 1本入</t>
  </si>
  <si>
    <t>【スーパーSALE★店内全品ポイント2倍★さらに2,000円クーポン発行中】【お取り寄せ】アズワン ブラシ 注射器用 中 245×25×60 1本入</t>
  </si>
  <si>
    <t>【スーパーSALE★店内全品ポイント2倍★さらに2,000円クーポン発行中】【お取り寄せ】松本製器 カストシート 200×70mm用 No.21</t>
  </si>
  <si>
    <t>【スーパーSALE★店内全品ポイント2倍★さらに2,000円クーポン発行中】スマートバリュー カラーペーパー A3 桃 500枚 A266J-7 まとめ買い 業務用 500 500枚 コピー用紙A3 a3コピー用紙 A3コピ-用紙 a3 カラー ピンク 事務用品 プリンター用紙 レーザープリンター用紙</t>
  </si>
  <si>
    <t>【スーパーSALE★店内全品ポイント2倍★さらに2,000円クーポン発行中】送料無料 北越コーポレーション ニューファインカラー A4 グリーン 500枚×5冊 まとめ買い 業務用 箱売り 箱買い ケース買い コピー用紙A4 コピー用紙 a4 A4 2500枚 2500 カラー ライトグリーン</t>
  </si>
  <si>
    <t>【スーパーSALE★店内全品ポイント2倍★さらに2,000円クーポン発行中】送料無料 北越コーポレーション ニューファインカラー A3 ライトクリーム 500枚×3冊 まとめ買い 業務用 箱売り 箱買い ケース買い A3用紙 a3 コピー用紙 A3コピー用紙 Ａ３サイズ イエロー系 黄</t>
  </si>
  <si>
    <t>【スーパーSALE★店内全品ポイント2倍★さらに2,000円クーポン発行中】ソニック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</si>
  <si>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【スーパーSALE★店内全品ポイント2倍★さらに2,000円クーポン発行中】【メーカー直送】コクヨ オフィスラウンジ エニーソファ 背なし アッシュターコイズ【代引不可】【組立・設置・送料無料】キャスター脚 カフェ ラウンジチェア ミーティングチェア オフィス家具</t>
  </si>
  <si>
    <t>【スーパーSALE★店内全品ポイント2倍★さらに2,000円クーポン発行中】【メーカー直送】コクヨ オフィスラウンジ エニーソファ 背なし オリーブイエロー【代引不可】【組立・設置・送料無料】キャスター脚 カフェ ラウンジチェア ミーティングチェア オフィス家具</t>
  </si>
  <si>
    <t>【スーパーSALE★店内全品ポイント2倍★さらに2,000円クーポン発行中】送料無料【お取り寄せ】システムポリマー 石灰石約25%を使用したエコポリ袋 30L 50枚*30 まとめ買い 箱買い 買いだめ 買い置き 業務用 半透明タイプ ゴミ袋 ゴミ箱 清掃</t>
  </si>
  <si>
    <t>【スーパーSALE★店内全品ポイント2倍★さらに2,000円クーポン発行中】送料無料 北越コーポレーション ニューファインカラー B4 クリーム 500枚×5冊 まとめ買い 業務用 箱売り 箱買い ケース買い Ｂ４サイズ イエロー系 黄 カラーコピー用紙</t>
  </si>
  <si>
    <t>【スーパーSALE★店内全品ポイント2倍★さらに2,000円クーポン発行中】タカラトミー トイ・ストーリー5 リアルサイズトーキングフィギュア ハイテク版 バズ・ライトイヤー フィギュア アクションフィギュア ホビー おもちゃ ゲーム 誕プレ</t>
  </si>
  <si>
    <t>【スーパーSALE★店内全品ポイント2倍★さらに2,000円クーポン発行中】送料無料【お取り寄せ】キングジム スタックバスケット ベージュ 15個 KSP002S-BE まとめ買い 箱買い 買いだめ 買い置き 業務用 収納家具 インテリア 収納</t>
  </si>
  <si>
    <t>【スーパーSALE★店内全品ポイント2倍★さらに2,000円クーポン発行中】【メーカー直送】アール・エフ・ヤマカワ indice ブックエンド 5色セット RFBS-JP【代引不可】本立て ブックスタンド デスクトップ収納 デスク周り 文具</t>
  </si>
  <si>
    <t>【スーパーSALE★店内全品ポイント2倍★さらに2,000円クーポン発行中】ナカバヤシ ダイヤル式キーボックス 30個 NKB-D03 暗証番号 暗証番号鍵 鍵入れボックス 鍵保管庫 キーボックス 事務備品 医療 介護施設用家具 看護</t>
  </si>
  <si>
    <t>【スーパーSALE★店内全品ポイント2倍★さらに2,000円クーポン発行中】バンダイ ウルトラアクションフィギュアNEO ウルトラマンゼロコスモライズ フィギュア アクションフィギュア ホビー おもちゃ ゲーム 誕プレ</t>
  </si>
  <si>
    <t>【スーパーSALE★店内全品ポイント2倍★さらに2,000円クーポン発行中】【メーカー直送】ライオン事務器 電動パンチ 2穴式 穿孔500枚 DP-500S 20170【代引不可】オートパワーパンチ 電動 パンチ 文具 事務</t>
  </si>
  <si>
    <t>【スーパーSALE★店内全品ポイント2倍★さらに2,000円クーポン発行中】【メーカー直送】フジテックス PET製仕切りボード Mサイズ 1611204005【代引不可】【お客様組立】デスク周り 文具</t>
  </si>
  <si>
    <t>【スーパーSALE★店内全品ポイント2倍★さらに2,000円クーポン発行中】【メーカー直送】フジテックス PET製仕切りボード Sサイズ 1611204004【代引不可】【お客様組立】デスク周り 文具</t>
  </si>
  <si>
    <t>【スーパーSALE★店内全品ポイント2倍★さらに2,000円クーポン発行中】送料無料【お取り寄せ】アズワン カラーペール(キャスター付き)70L グレー CK-70 大型ごみ箱 キャスター付き</t>
  </si>
  <si>
    <t>【スーパーSALE★店内全品ポイント2倍★さらに2,000円クーポン発行中】送料無料 デルモンテ リコピンリッチ トマト飲料 800mL×15本 ペットボトル 野菜ジュース 飲料 ジュース</t>
  </si>
  <si>
    <t>【スーパーSALE★店内全品ポイント2倍★さらに2,000円クーポン発行中】送料無料【お取り寄せ】アズワン ブチルゴム便器(エアーポンプ付) MO502-IIR</t>
  </si>
  <si>
    <t>【スーパーSALE★店内全品ポイント2倍★さらに2,000円クーポン発行中】送料無料【お取り寄せ】アイオン ベルクリンモップ 450×1300mm MFM-S</t>
  </si>
  <si>
    <t>【スーパーSALE★店内全品ポイント2倍★さらに2,000円クーポン発行中】オオサキメディカル 検診用ロールシーツ NS3730 グリーン 120回 84135</t>
  </si>
  <si>
    <t>【スーパーSALE★店内全品ポイント2倍★さらに2,000円クーポン発行中】和光堂 本格派ミルクココア 16g×20包 スティック ココア 紅茶 飲料</t>
  </si>
  <si>
    <t>【スーパーSALE★店内全品ポイント2倍★さらに2,000円クーポン発行中】サラヤ サラサイド除菌クロス 詰替タイプ 480枚×4個入 67-3075-17</t>
  </si>
  <si>
    <t>【スーパーSALE★店内全品ポイント2倍★さらに2,000円クーポン発行中】アズツール アズツール粉石鹸(ピンク石鹸) APC-6</t>
  </si>
  <si>
    <t>【マラソン最安値挑戦】送料無料 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</t>
  </si>
  <si>
    <t>【マラソン最安値挑戦】【メーカー直送】ミヨシ石鹸 無添加せっけん 泡のボディソープ スパウト 1L×9個【代引不可】まとめ買い 箱買い 買いだめ 買い置き 業務用 ボディソープ バス ボディケア スキンケア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</si>
</sst>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1079767</xdr:colOff>
      <xdr:row>4</xdr:row>
      <xdr:rowOff>36820</xdr:rowOff>
    </xdr:from>
    <xdr:to>
      <xdr:col>30</xdr:col>
      <xdr:colOff>566767</xdr:colOff>
      <xdr:row>31</xdr:row>
      <xdr:rowOff>112201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009D635F-7E54-41A3-8325-B7F179C14F2D}"/>
            </a:ext>
          </a:extLst>
        </xdr:cNvPr>
        <xdr:cNvSpPr/>
      </xdr:nvSpPr>
      <xdr:spPr>
        <a:xfrm>
          <a:off x="22628679" y="709173"/>
          <a:ext cx="6277764" cy="4613763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85"/>
            <a:gd name="adj6" fmla="val -356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10.</a:t>
          </a:r>
          <a:r>
            <a:rPr kumimoji="1" lang="ja-JP" altLang="en-US" sz="1100"/>
            <a:t>シートを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コピーし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てキーワードを付与した後の作業</a:t>
          </a:r>
          <a:r>
            <a:rPr kumimoji="1" lang="ja-JP" altLang="en-US" sz="1100"/>
            <a:t>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各サイトの文字数に合わせキーワードを後ろから削除する。</a:t>
          </a:r>
          <a:endParaRPr kumimoji="1" lang="en-US" altLang="ja-JP" sz="1100"/>
        </a:p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キーワード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の定義は</a:t>
          </a:r>
          <a:r>
            <a:rPr kumimoji="1" lang="ja-JP" altLang="en-US" sz="1100"/>
            <a:t>半角の空白ごとに区切られている。</a:t>
          </a:r>
          <a:br>
            <a:rPr kumimoji="1" lang="en-US" altLang="ja-JP" sz="1100"/>
          </a:b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サイトの文字数に引っかからないようになるまで</a:t>
          </a:r>
          <a:r>
            <a:rPr kumimoji="1" lang="ja-JP" altLang="en-US" sz="1100"/>
            <a:t>キーワードを一つずつを削除。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余分な空白の削除を行う。</a:t>
          </a:r>
          <a:br>
            <a:rPr kumimoji="1" lang="en-US" altLang="ja-JP" sz="1100"/>
          </a:br>
          <a:r>
            <a:rPr kumimoji="1" lang="ja-JP" altLang="en-US" sz="1100"/>
            <a:t>値の中の「</a:t>
          </a:r>
          <a:r>
            <a:rPr kumimoji="1" lang="en-US" altLang="ja-JP" sz="1100"/>
            <a:t>】</a:t>
          </a:r>
          <a:r>
            <a:rPr kumimoji="1" lang="ja-JP" altLang="en-US" sz="1100"/>
            <a:t> 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や「 </a:t>
          </a:r>
          <a:r>
            <a:rPr kumimoji="1" lang="en-US" altLang="ja-JP" sz="1100"/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のような、</a:t>
          </a:r>
          <a:r>
            <a:rPr kumimoji="1" lang="en-US" altLang="ja-JP" sz="1100"/>
            <a:t>【】</a:t>
          </a:r>
          <a:r>
            <a:rPr kumimoji="1" lang="ja-JP" altLang="en-US" sz="1100"/>
            <a:t>の前後にある半角空白は、半角空白の除外。</a:t>
          </a:r>
          <a:endParaRPr kumimoji="1" lang="en-US" altLang="ja-JP" sz="1100"/>
        </a:p>
        <a:p>
          <a:pPr algn="l"/>
          <a:r>
            <a:rPr kumimoji="1" lang="ja-JP" altLang="en-US" sz="1100"/>
            <a:t>半角の空白が</a:t>
          </a:r>
          <a:r>
            <a:rPr kumimoji="1" lang="en-US" altLang="ja-JP" sz="1100"/>
            <a:t>2</a:t>
          </a:r>
          <a:r>
            <a:rPr kumimoji="1" lang="ja-JP" altLang="en-US" sz="1100"/>
            <a:t>つ以上重なっているものは、半角空白を一つにする。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そのあと、サイトにアップするための</a:t>
          </a:r>
          <a:r>
            <a:rPr kumimoji="1" lang="en-US" altLang="ja-JP" sz="1100"/>
            <a:t>CSV</a:t>
          </a:r>
          <a:r>
            <a:rPr kumimoji="1" lang="ja-JP" altLang="en-US" sz="1100"/>
            <a:t>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いつもの作業</a:t>
          </a:r>
          <a:r>
            <a:rPr kumimoji="1" lang="en-US" altLang="ja-JP" sz="1100"/>
            <a:t>)</a:t>
          </a:r>
        </a:p>
        <a:p>
          <a:pPr algn="l"/>
          <a:r>
            <a:rPr kumimoji="1" lang="ja-JP" altLang="en-US" sz="1100"/>
            <a:t>サイト上にアップする形に整えるツールが存在するため、そのツールにかけるための</a:t>
          </a:r>
          <a:r>
            <a:rPr kumimoji="1" lang="en-US" altLang="ja-JP" sz="1100"/>
            <a:t>Excel</a:t>
          </a:r>
          <a:r>
            <a:rPr kumimoji="1" lang="ja-JP" altLang="en-US" sz="1100"/>
            <a:t>の形式に整える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参考）</a:t>
          </a:r>
          <a:r>
            <a:rPr kumimoji="1" lang="en-US" altLang="ja-JP" sz="1100"/>
            <a:t>normal</a:t>
          </a:r>
          <a:r>
            <a:rPr kumimoji="1" lang="ja-JP" altLang="en-US" sz="1100"/>
            <a:t> </a:t>
          </a:r>
          <a:r>
            <a:rPr kumimoji="1" lang="en-US" altLang="ja-JP" sz="1100"/>
            <a:t>item</a:t>
          </a:r>
        </a:p>
        <a:p>
          <a:pPr algn="l"/>
          <a:r>
            <a:rPr kumimoji="1" lang="ja-JP" altLang="en-US" sz="1100"/>
            <a:t>商品管理番号の項目に注文番号を、</a:t>
          </a:r>
          <a:endParaRPr kumimoji="1" lang="en-US" altLang="ja-JP" sz="1100"/>
        </a:p>
        <a:p>
          <a:pPr algn="l"/>
          <a:r>
            <a:rPr kumimoji="1" lang="ja-JP" altLang="en-US" sz="1100"/>
            <a:t>商品名の項目に足し算</a:t>
          </a:r>
          <a:r>
            <a:rPr kumimoji="1" lang="en-US" altLang="ja-JP" sz="1100"/>
            <a:t>(</a:t>
          </a:r>
          <a:r>
            <a:rPr kumimoji="1" lang="ja-JP" altLang="en-US" sz="1100"/>
            <a:t>最終的にキーワードを付与して文字数を整えたもの</a:t>
          </a:r>
          <a:r>
            <a:rPr kumimoji="1" lang="en-US" altLang="ja-JP" sz="1100"/>
            <a:t>)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l"/>
          <a:r>
            <a:rPr kumimoji="1" lang="ja-JP" altLang="en-US" sz="1100"/>
            <a:t>この際、注文番号と商品名の項目は元データから絶対にずれないように</a:t>
          </a:r>
          <a:endParaRPr kumimoji="1" lang="en-US" altLang="ja-JP" sz="1100"/>
        </a:p>
        <a:p>
          <a:pPr algn="l"/>
          <a:r>
            <a:rPr kumimoji="1" lang="ja-JP" altLang="en-US" sz="1100"/>
            <a:t>商品管理番号を</a:t>
          </a:r>
          <a:r>
            <a:rPr kumimoji="1" lang="en-US" altLang="ja-JP" sz="1100"/>
            <a:t>LOWER</a:t>
          </a:r>
          <a:r>
            <a:rPr kumimoji="1" lang="ja-JP" altLang="en-US" sz="1100"/>
            <a:t>関数で小文字に変換し、降順に並び替える</a:t>
          </a:r>
          <a:endParaRPr kumimoji="1" lang="en-US" altLang="ja-JP" sz="1100"/>
        </a:p>
        <a:p>
          <a:pPr algn="l"/>
          <a:r>
            <a:rPr kumimoji="1" lang="ja-JP" altLang="en-US" sz="1100"/>
            <a:t>採番の項目に上から１，２，と数字をプルダウンで割り当てる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ツールにかける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1533525</xdr:colOff>
      <xdr:row>4</xdr:row>
      <xdr:rowOff>142875</xdr:rowOff>
    </xdr:from>
    <xdr:to>
      <xdr:col>29</xdr:col>
      <xdr:colOff>172800</xdr:colOff>
      <xdr:row>32</xdr:row>
      <xdr:rowOff>46806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15AB3A34-908B-4F8D-AA4C-B43541186643}"/>
            </a:ext>
          </a:extLst>
        </xdr:cNvPr>
        <xdr:cNvSpPr/>
      </xdr:nvSpPr>
      <xdr:spPr>
        <a:xfrm>
          <a:off x="23040975" y="828675"/>
          <a:ext cx="6297375" cy="470453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785"/>
            <a:gd name="adj6" fmla="val -3568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10.</a:t>
          </a:r>
          <a:r>
            <a:rPr kumimoji="1" lang="ja-JP" altLang="en-US" sz="1100"/>
            <a:t>シートを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コピーし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てキーワードを付与した後の作業</a:t>
          </a:r>
          <a:r>
            <a:rPr kumimoji="1" lang="ja-JP" altLang="en-US" sz="1100"/>
            <a:t>　（楽天ココデカウのみの作業</a:t>
          </a:r>
          <a:br>
            <a:rPr kumimoji="1" lang="en-US" altLang="ja-JP" sz="1100"/>
          </a:br>
          <a:r>
            <a:rPr kumimoji="1" lang="ja-JP" altLang="en-US" sz="1100"/>
            <a:t>楽天は２５５バイト ヤフーとジェットプライスは作業無し ヤフーは１５０バイト）</a:t>
          </a:r>
          <a:br>
            <a:rPr kumimoji="1" lang="en-US" altLang="ja-JP" sz="1100"/>
          </a:br>
          <a:br>
            <a:rPr kumimoji="1" lang="en-US" altLang="ja-JP" sz="1100"/>
          </a:br>
          <a:r>
            <a:rPr kumimoji="1" lang="ja-JP" altLang="en-US" sz="1100"/>
            <a:t>各サイトの文字数に合わせキーワードを後ろから削除する。</a:t>
          </a:r>
          <a:endParaRPr kumimoji="1" lang="en-US" altLang="ja-JP" sz="1100"/>
        </a:p>
        <a:p>
          <a:pPr algn="l"/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キーワード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の定義は</a:t>
          </a:r>
          <a:r>
            <a:rPr kumimoji="1" lang="ja-JP" altLang="en-US" sz="1100"/>
            <a:t>半角の空白ごとに区切られている。</a:t>
          </a:r>
          <a:br>
            <a:rPr kumimoji="1" lang="en-US" altLang="ja-JP" sz="1100"/>
          </a:b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サイトの文字数に引っかからないようになるまで</a:t>
          </a:r>
          <a:r>
            <a:rPr kumimoji="1" lang="ja-JP" altLang="en-US" sz="1100"/>
            <a:t>キーワードを一つずつを削除。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余分な空白の削除を行う。</a:t>
          </a:r>
          <a:br>
            <a:rPr kumimoji="1" lang="en-US" altLang="ja-JP" sz="1100"/>
          </a:br>
          <a:r>
            <a:rPr kumimoji="1" lang="ja-JP" altLang="en-US" sz="1100"/>
            <a:t>値の中の「</a:t>
          </a:r>
          <a:r>
            <a:rPr kumimoji="1" lang="en-US" altLang="ja-JP" sz="1100"/>
            <a:t>】</a:t>
          </a:r>
          <a:r>
            <a:rPr kumimoji="1" lang="ja-JP" altLang="en-US" sz="1100"/>
            <a:t> 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や「 </a:t>
          </a:r>
          <a:r>
            <a:rPr kumimoji="1" lang="en-US" altLang="ja-JP" sz="1100"/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kumimoji="1" lang="ja-JP" altLang="en-US" sz="1100"/>
            <a:t>のような、</a:t>
          </a:r>
          <a:r>
            <a:rPr kumimoji="1" lang="en-US" altLang="ja-JP" sz="1100"/>
            <a:t>【】</a:t>
          </a:r>
          <a:r>
            <a:rPr kumimoji="1" lang="ja-JP" altLang="en-US" sz="1100"/>
            <a:t>の前後にある半角空白は、半角空白の除外。</a:t>
          </a:r>
          <a:endParaRPr kumimoji="1" lang="en-US" altLang="ja-JP" sz="1100"/>
        </a:p>
        <a:p>
          <a:pPr algn="l"/>
          <a:r>
            <a:rPr kumimoji="1" lang="ja-JP" altLang="en-US" sz="1100"/>
            <a:t>半角の空白が</a:t>
          </a:r>
          <a:r>
            <a:rPr kumimoji="1" lang="en-US" altLang="ja-JP" sz="1100"/>
            <a:t>2</a:t>
          </a:r>
          <a:r>
            <a:rPr kumimoji="1" lang="ja-JP" altLang="en-US" sz="1100"/>
            <a:t>つ以上重なっているものは、半角空白を一つにする。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そのあと、サイトにアップするための</a:t>
          </a:r>
          <a:r>
            <a:rPr kumimoji="1" lang="en-US" altLang="ja-JP" sz="1100"/>
            <a:t>CSV</a:t>
          </a:r>
          <a:r>
            <a:rPr kumimoji="1" lang="ja-JP" altLang="en-US" sz="1100"/>
            <a:t>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en-US" altLang="ja-JP" sz="1100"/>
            <a:t>(</a:t>
          </a:r>
          <a:r>
            <a:rPr kumimoji="1" lang="ja-JP" altLang="en-US" sz="1100"/>
            <a:t>いつもの作業</a:t>
          </a:r>
          <a:r>
            <a:rPr kumimoji="1" lang="en-US" altLang="ja-JP" sz="1100"/>
            <a:t>)</a:t>
          </a:r>
        </a:p>
        <a:p>
          <a:pPr algn="l"/>
          <a:r>
            <a:rPr kumimoji="1" lang="ja-JP" altLang="en-US" sz="1100"/>
            <a:t>サイト上にアップする形に整えるツールが存在するため、そのツールにかけるための</a:t>
          </a:r>
          <a:r>
            <a:rPr kumimoji="1" lang="en-US" altLang="ja-JP" sz="1100"/>
            <a:t>Excel</a:t>
          </a:r>
          <a:r>
            <a:rPr kumimoji="1" lang="ja-JP" altLang="en-US" sz="1100"/>
            <a:t>の形式に整える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参考）</a:t>
          </a:r>
          <a:r>
            <a:rPr kumimoji="1" lang="en-US" altLang="ja-JP" sz="1100"/>
            <a:t>normal</a:t>
          </a:r>
          <a:r>
            <a:rPr kumimoji="1" lang="ja-JP" altLang="en-US" sz="1100"/>
            <a:t> </a:t>
          </a:r>
          <a:r>
            <a:rPr kumimoji="1" lang="en-US" altLang="ja-JP" sz="1100"/>
            <a:t>item</a:t>
          </a:r>
        </a:p>
        <a:p>
          <a:pPr algn="l"/>
          <a:r>
            <a:rPr kumimoji="1" lang="ja-JP" altLang="en-US" sz="1100"/>
            <a:t>商品管理番号の項目に注文番号を、</a:t>
          </a:r>
          <a:endParaRPr kumimoji="1" lang="en-US" altLang="ja-JP" sz="1100"/>
        </a:p>
        <a:p>
          <a:pPr algn="l"/>
          <a:r>
            <a:rPr kumimoji="1" lang="ja-JP" altLang="en-US" sz="1100"/>
            <a:t>商品名の項目に足し算</a:t>
          </a:r>
          <a:r>
            <a:rPr kumimoji="1" lang="en-US" altLang="ja-JP" sz="1100"/>
            <a:t>(</a:t>
          </a:r>
          <a:r>
            <a:rPr kumimoji="1" lang="ja-JP" altLang="en-US" sz="1100"/>
            <a:t>最終的にキーワードを付与して文字数を整えたもの</a:t>
          </a:r>
          <a:r>
            <a:rPr kumimoji="1" lang="en-US" altLang="ja-JP" sz="1100"/>
            <a:t>)</a:t>
          </a:r>
          <a:r>
            <a:rPr kumimoji="1" lang="ja-JP" altLang="en-US" sz="1100"/>
            <a:t>を</a:t>
          </a:r>
          <a:endParaRPr kumimoji="1" lang="en-US" altLang="ja-JP" sz="1100"/>
        </a:p>
        <a:p>
          <a:pPr algn="l"/>
          <a:r>
            <a:rPr kumimoji="1" lang="ja-JP" altLang="en-US" sz="1100"/>
            <a:t>この際、注文番号と商品名の項目は元データから絶対にずれないように</a:t>
          </a:r>
          <a:endParaRPr kumimoji="1" lang="en-US" altLang="ja-JP" sz="1100"/>
        </a:p>
        <a:p>
          <a:pPr algn="l"/>
          <a:r>
            <a:rPr kumimoji="1" lang="ja-JP" altLang="en-US" sz="1100"/>
            <a:t>商品管理番号を</a:t>
          </a:r>
          <a:r>
            <a:rPr kumimoji="1" lang="en-US" altLang="ja-JP" sz="1100"/>
            <a:t>LOWER</a:t>
          </a:r>
          <a:r>
            <a:rPr kumimoji="1" lang="ja-JP" altLang="en-US" sz="1100"/>
            <a:t>関数で小文字に変換し、降順に並び替える</a:t>
          </a:r>
          <a:endParaRPr kumimoji="1" lang="en-US" altLang="ja-JP" sz="1100"/>
        </a:p>
        <a:p>
          <a:pPr algn="l"/>
          <a:r>
            <a:rPr kumimoji="1" lang="ja-JP" altLang="en-US" sz="1100"/>
            <a:t>採番の項目に上から１，２，と数字をプルダウンで割り当てる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ツールにかける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1"/>
  <sheetViews>
    <sheetView tabSelected="1" workbookViewId="0">
      <selection activeCell="D19" sqref="D19"/>
    </sheetView>
  </sheetViews>
  <sheetFormatPr defaultRowHeight="13.5" x14ac:dyDescent="0.15"/>
  <cols>
    <col min="5" max="6" width="10.25" customWidth="1"/>
    <col min="7" max="7" width="9.75" customWidth="1"/>
    <col min="8" max="8" width="14.625" style="2" customWidth="1"/>
    <col min="20" max="20" width="46.5" customWidth="1"/>
    <col min="27" max="27" width="10.625" customWidth="1"/>
    <col min="28" max="28" width="10" customWidth="1"/>
  </cols>
  <sheetData>
    <row r="1" spans="1:35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s="2" t="s">
        <v>410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</row>
    <row r="2" spans="1:35" x14ac:dyDescent="0.15">
      <c r="A2" s="1">
        <v>111</v>
      </c>
      <c r="B2" t="s">
        <v>31</v>
      </c>
      <c r="C2" t="s">
        <v>32</v>
      </c>
      <c r="D2" t="s">
        <v>33</v>
      </c>
      <c r="E2" t="e">
        <v>#N/A</v>
      </c>
      <c r="F2" t="e">
        <v>#N/A</v>
      </c>
      <c r="G2" t="e">
        <v>#N/A</v>
      </c>
      <c r="H2" s="2">
        <v>4</v>
      </c>
      <c r="I2" t="s">
        <v>34</v>
      </c>
      <c r="K2" t="s">
        <v>35</v>
      </c>
      <c r="N2" t="s">
        <v>36</v>
      </c>
      <c r="P2" t="s">
        <v>37</v>
      </c>
      <c r="S2" t="s">
        <v>38</v>
      </c>
      <c r="T2" t="s">
        <v>39</v>
      </c>
      <c r="U2" t="s">
        <v>40</v>
      </c>
      <c r="V2" s="1">
        <v>12</v>
      </c>
      <c r="W2" t="s">
        <v>41</v>
      </c>
      <c r="X2" s="1">
        <v>415</v>
      </c>
      <c r="Y2" s="1">
        <v>41502</v>
      </c>
      <c r="Z2" s="1">
        <v>101870</v>
      </c>
      <c r="AA2" s="1">
        <v>17</v>
      </c>
      <c r="AB2" t="s">
        <v>42</v>
      </c>
      <c r="AC2" s="1">
        <v>1716</v>
      </c>
      <c r="AD2" t="s">
        <v>43</v>
      </c>
      <c r="AE2" s="1">
        <v>171610</v>
      </c>
      <c r="AF2" t="s">
        <v>44</v>
      </c>
      <c r="AG2" s="1">
        <v>17161035</v>
      </c>
      <c r="AH2" t="s">
        <v>45</v>
      </c>
      <c r="AI2" s="1">
        <v>211224</v>
      </c>
    </row>
    <row r="3" spans="1:35" x14ac:dyDescent="0.15">
      <c r="A3" s="1">
        <v>111</v>
      </c>
      <c r="B3" t="s">
        <v>31</v>
      </c>
      <c r="C3" t="s">
        <v>46</v>
      </c>
      <c r="D3" t="s">
        <v>47</v>
      </c>
      <c r="E3" t="e">
        <v>#N/A</v>
      </c>
      <c r="F3" t="e">
        <v>#N/A</v>
      </c>
      <c r="G3" t="e">
        <v>#N/A</v>
      </c>
      <c r="H3" s="2">
        <v>4</v>
      </c>
      <c r="I3" t="s">
        <v>48</v>
      </c>
      <c r="K3" t="s">
        <v>35</v>
      </c>
      <c r="N3" t="s">
        <v>49</v>
      </c>
      <c r="P3" t="s">
        <v>50</v>
      </c>
      <c r="S3" t="s">
        <v>38</v>
      </c>
      <c r="T3" t="s">
        <v>51</v>
      </c>
      <c r="U3" t="s">
        <v>52</v>
      </c>
      <c r="V3" s="1">
        <v>12</v>
      </c>
      <c r="W3" t="s">
        <v>41</v>
      </c>
      <c r="X3" s="1">
        <v>415</v>
      </c>
      <c r="Y3" s="1">
        <v>41502</v>
      </c>
      <c r="Z3" s="1">
        <v>100691</v>
      </c>
      <c r="AA3" s="1">
        <v>17</v>
      </c>
      <c r="AB3" t="s">
        <v>42</v>
      </c>
      <c r="AC3" s="1">
        <v>1716</v>
      </c>
      <c r="AD3" t="s">
        <v>43</v>
      </c>
      <c r="AE3" s="1">
        <v>171610</v>
      </c>
      <c r="AF3" t="s">
        <v>44</v>
      </c>
      <c r="AG3" s="1">
        <v>17161035</v>
      </c>
      <c r="AH3" t="s">
        <v>45</v>
      </c>
      <c r="AI3" s="1">
        <v>211224</v>
      </c>
    </row>
    <row r="4" spans="1:35" x14ac:dyDescent="0.15">
      <c r="A4" s="1">
        <v>111</v>
      </c>
      <c r="B4" t="s">
        <v>31</v>
      </c>
      <c r="C4" t="s">
        <v>53</v>
      </c>
      <c r="D4" t="s">
        <v>54</v>
      </c>
      <c r="E4" t="e">
        <v>#N/A</v>
      </c>
      <c r="F4" t="e">
        <v>#N/A</v>
      </c>
      <c r="G4" t="e">
        <v>#N/A</v>
      </c>
      <c r="H4" s="2" t="s">
        <v>411</v>
      </c>
      <c r="I4" t="s">
        <v>55</v>
      </c>
      <c r="J4" t="s">
        <v>55</v>
      </c>
      <c r="K4" t="s">
        <v>56</v>
      </c>
      <c r="M4" t="s">
        <v>57</v>
      </c>
      <c r="N4" t="s">
        <v>58</v>
      </c>
      <c r="P4" t="s">
        <v>59</v>
      </c>
      <c r="S4" t="s">
        <v>60</v>
      </c>
      <c r="T4" t="s">
        <v>61</v>
      </c>
      <c r="U4" t="s">
        <v>62</v>
      </c>
      <c r="V4" s="1">
        <v>12</v>
      </c>
      <c r="W4" t="s">
        <v>63</v>
      </c>
      <c r="X4" s="1">
        <v>401</v>
      </c>
      <c r="Y4" s="1">
        <v>40109</v>
      </c>
      <c r="Z4" s="1">
        <v>401712</v>
      </c>
      <c r="AA4" s="1">
        <v>6</v>
      </c>
      <c r="AB4" t="s">
        <v>64</v>
      </c>
      <c r="AC4" s="1">
        <v>605</v>
      </c>
      <c r="AD4" t="s">
        <v>65</v>
      </c>
      <c r="AE4" s="1">
        <v>60525</v>
      </c>
      <c r="AF4" t="s">
        <v>66</v>
      </c>
      <c r="AG4" s="1">
        <v>6052515</v>
      </c>
      <c r="AH4" t="s">
        <v>67</v>
      </c>
      <c r="AI4" s="1">
        <v>241115</v>
      </c>
    </row>
    <row r="5" spans="1:35" x14ac:dyDescent="0.15">
      <c r="A5" s="1">
        <v>111</v>
      </c>
      <c r="B5" t="s">
        <v>31</v>
      </c>
      <c r="C5" t="s">
        <v>68</v>
      </c>
      <c r="D5" t="s">
        <v>69</v>
      </c>
      <c r="E5" t="e">
        <v>#N/A</v>
      </c>
      <c r="F5" t="e">
        <v>#N/A</v>
      </c>
      <c r="G5" t="e">
        <v>#N/A</v>
      </c>
      <c r="H5" s="2" t="s">
        <v>411</v>
      </c>
      <c r="I5" t="s">
        <v>70</v>
      </c>
      <c r="J5" t="s">
        <v>70</v>
      </c>
      <c r="K5" t="s">
        <v>56</v>
      </c>
      <c r="M5" t="s">
        <v>57</v>
      </c>
      <c r="N5" t="s">
        <v>71</v>
      </c>
      <c r="P5" t="s">
        <v>72</v>
      </c>
      <c r="S5" t="s">
        <v>73</v>
      </c>
      <c r="T5" t="s">
        <v>74</v>
      </c>
      <c r="U5" t="s">
        <v>75</v>
      </c>
      <c r="V5" s="1">
        <v>12</v>
      </c>
      <c r="W5" t="s">
        <v>63</v>
      </c>
      <c r="X5" s="1">
        <v>401</v>
      </c>
      <c r="Y5" s="1">
        <v>40101</v>
      </c>
      <c r="Z5" s="1">
        <v>301692</v>
      </c>
      <c r="AA5" s="1">
        <v>6</v>
      </c>
      <c r="AB5" t="s">
        <v>64</v>
      </c>
      <c r="AC5" s="1">
        <v>610</v>
      </c>
      <c r="AD5" t="s">
        <v>76</v>
      </c>
      <c r="AE5" s="1">
        <v>61005</v>
      </c>
      <c r="AF5" t="s">
        <v>77</v>
      </c>
      <c r="AG5" s="1">
        <v>6100530</v>
      </c>
      <c r="AH5" t="s">
        <v>78</v>
      </c>
      <c r="AI5" s="1">
        <v>260703</v>
      </c>
    </row>
    <row r="6" spans="1:35" x14ac:dyDescent="0.15">
      <c r="A6" s="1">
        <v>111</v>
      </c>
      <c r="B6" t="s">
        <v>31</v>
      </c>
      <c r="C6" t="s">
        <v>79</v>
      </c>
      <c r="D6" t="s">
        <v>80</v>
      </c>
      <c r="E6" t="e">
        <v>#N/A</v>
      </c>
      <c r="F6" t="e">
        <v>#N/A</v>
      </c>
      <c r="G6" t="e">
        <v>#N/A</v>
      </c>
      <c r="H6" s="2" t="s">
        <v>411</v>
      </c>
      <c r="I6" t="s">
        <v>81</v>
      </c>
      <c r="K6" t="s">
        <v>56</v>
      </c>
      <c r="M6" t="s">
        <v>82</v>
      </c>
      <c r="N6" t="s">
        <v>83</v>
      </c>
      <c r="P6" t="s">
        <v>84</v>
      </c>
      <c r="S6" t="s">
        <v>85</v>
      </c>
      <c r="T6" t="s">
        <v>86</v>
      </c>
      <c r="U6" t="s">
        <v>87</v>
      </c>
      <c r="V6" s="1">
        <v>12</v>
      </c>
      <c r="W6" t="s">
        <v>88</v>
      </c>
      <c r="X6" s="1">
        <v>401</v>
      </c>
      <c r="Y6" s="1">
        <v>40101</v>
      </c>
      <c r="Z6" s="1">
        <v>205749</v>
      </c>
      <c r="AA6" s="1">
        <v>6</v>
      </c>
      <c r="AB6" t="s">
        <v>64</v>
      </c>
      <c r="AC6" s="1">
        <v>610</v>
      </c>
      <c r="AD6" t="s">
        <v>76</v>
      </c>
      <c r="AE6" s="1">
        <v>61090</v>
      </c>
      <c r="AF6" t="s">
        <v>89</v>
      </c>
      <c r="AG6" s="1">
        <v>6109005</v>
      </c>
      <c r="AH6" t="s">
        <v>89</v>
      </c>
      <c r="AI6" s="1">
        <v>200709</v>
      </c>
    </row>
    <row r="7" spans="1:35" x14ac:dyDescent="0.15">
      <c r="A7" s="1">
        <v>111</v>
      </c>
      <c r="B7" t="s">
        <v>31</v>
      </c>
      <c r="C7" t="s">
        <v>90</v>
      </c>
      <c r="D7" t="s">
        <v>91</v>
      </c>
      <c r="E7" t="e">
        <v>#N/A</v>
      </c>
      <c r="F7" t="e">
        <v>#N/A</v>
      </c>
      <c r="G7" t="e">
        <v>#N/A</v>
      </c>
      <c r="H7" s="2" t="s">
        <v>411</v>
      </c>
      <c r="I7" t="s">
        <v>92</v>
      </c>
      <c r="K7" t="s">
        <v>56</v>
      </c>
      <c r="M7" t="s">
        <v>82</v>
      </c>
      <c r="N7" t="s">
        <v>93</v>
      </c>
      <c r="P7" t="s">
        <v>94</v>
      </c>
      <c r="S7" t="s">
        <v>85</v>
      </c>
      <c r="T7" t="s">
        <v>95</v>
      </c>
      <c r="U7" t="s">
        <v>87</v>
      </c>
      <c r="V7" s="1">
        <v>12</v>
      </c>
      <c r="W7" t="s">
        <v>88</v>
      </c>
      <c r="X7" s="1">
        <v>401</v>
      </c>
      <c r="Y7" s="1">
        <v>40101</v>
      </c>
      <c r="Z7" s="1">
        <v>205749</v>
      </c>
      <c r="AA7" s="1">
        <v>6</v>
      </c>
      <c r="AB7" t="s">
        <v>64</v>
      </c>
      <c r="AC7" s="1">
        <v>610</v>
      </c>
      <c r="AD7" t="s">
        <v>76</v>
      </c>
      <c r="AE7" s="1">
        <v>61090</v>
      </c>
      <c r="AF7" t="s">
        <v>89</v>
      </c>
      <c r="AG7" s="1">
        <v>6109005</v>
      </c>
      <c r="AH7" t="s">
        <v>89</v>
      </c>
      <c r="AI7" s="1">
        <v>200709</v>
      </c>
    </row>
    <row r="8" spans="1:35" x14ac:dyDescent="0.15">
      <c r="A8" s="1">
        <v>111</v>
      </c>
      <c r="B8" t="s">
        <v>31</v>
      </c>
      <c r="C8" t="s">
        <v>96</v>
      </c>
      <c r="D8" t="s">
        <v>97</v>
      </c>
      <c r="E8" t="e">
        <v>#N/A</v>
      </c>
      <c r="F8" t="e">
        <v>#N/A</v>
      </c>
      <c r="G8" t="e">
        <v>#N/A</v>
      </c>
      <c r="H8" s="2" t="s">
        <v>411</v>
      </c>
      <c r="I8" t="s">
        <v>98</v>
      </c>
      <c r="K8" t="s">
        <v>56</v>
      </c>
      <c r="M8" t="s">
        <v>99</v>
      </c>
      <c r="N8" t="s">
        <v>100</v>
      </c>
      <c r="P8" t="s">
        <v>101</v>
      </c>
      <c r="S8" t="s">
        <v>102</v>
      </c>
      <c r="T8" t="s">
        <v>103</v>
      </c>
      <c r="U8" t="s">
        <v>104</v>
      </c>
      <c r="V8" s="1">
        <v>12</v>
      </c>
      <c r="W8" t="s">
        <v>105</v>
      </c>
      <c r="X8" s="1">
        <v>405</v>
      </c>
      <c r="Y8" s="1">
        <v>40501</v>
      </c>
      <c r="Z8" s="1">
        <v>205754</v>
      </c>
      <c r="AA8" s="1">
        <v>20</v>
      </c>
      <c r="AB8" t="s">
        <v>106</v>
      </c>
      <c r="AC8" s="1">
        <v>2013</v>
      </c>
      <c r="AD8" t="s">
        <v>107</v>
      </c>
      <c r="AE8" s="1">
        <v>201350</v>
      </c>
      <c r="AF8" t="s">
        <v>108</v>
      </c>
      <c r="AG8" s="1">
        <v>20135010</v>
      </c>
      <c r="AH8" t="s">
        <v>109</v>
      </c>
      <c r="AI8" s="1">
        <v>230623</v>
      </c>
    </row>
    <row r="9" spans="1:35" x14ac:dyDescent="0.15">
      <c r="A9" s="1">
        <v>111</v>
      </c>
      <c r="B9" t="s">
        <v>31</v>
      </c>
      <c r="C9" t="s">
        <v>110</v>
      </c>
      <c r="D9" t="s">
        <v>111</v>
      </c>
      <c r="E9" t="e">
        <v>#N/A</v>
      </c>
      <c r="F9" t="e">
        <v>#N/A</v>
      </c>
      <c r="G9" t="e">
        <v>#N/A</v>
      </c>
      <c r="H9" s="2" t="s">
        <v>411</v>
      </c>
      <c r="I9" t="s">
        <v>112</v>
      </c>
      <c r="K9" t="s">
        <v>56</v>
      </c>
      <c r="M9" t="s">
        <v>99</v>
      </c>
      <c r="N9" t="s">
        <v>113</v>
      </c>
      <c r="P9" t="s">
        <v>114</v>
      </c>
      <c r="S9" t="s">
        <v>102</v>
      </c>
      <c r="T9" t="s">
        <v>115</v>
      </c>
      <c r="U9" t="s">
        <v>104</v>
      </c>
      <c r="V9" s="1">
        <v>12</v>
      </c>
      <c r="W9" t="s">
        <v>105</v>
      </c>
      <c r="X9" s="1">
        <v>405</v>
      </c>
      <c r="Y9" s="1">
        <v>40501</v>
      </c>
      <c r="Z9" s="1">
        <v>205754</v>
      </c>
      <c r="AA9" s="1">
        <v>20</v>
      </c>
      <c r="AB9" t="s">
        <v>106</v>
      </c>
      <c r="AC9" s="1">
        <v>2013</v>
      </c>
      <c r="AD9" t="s">
        <v>107</v>
      </c>
      <c r="AE9" s="1">
        <v>201350</v>
      </c>
      <c r="AF9" t="s">
        <v>108</v>
      </c>
      <c r="AG9" s="1">
        <v>20135010</v>
      </c>
      <c r="AH9" t="s">
        <v>109</v>
      </c>
      <c r="AI9" s="1">
        <v>230623</v>
      </c>
    </row>
    <row r="10" spans="1:35" x14ac:dyDescent="0.15">
      <c r="A10" s="1">
        <v>111</v>
      </c>
      <c r="B10" t="s">
        <v>31</v>
      </c>
      <c r="C10">
        <v>624959</v>
      </c>
      <c r="D10">
        <v>766492</v>
      </c>
      <c r="E10" t="e">
        <v>#N/A</v>
      </c>
      <c r="F10" t="e">
        <v>#N/A</v>
      </c>
      <c r="G10" t="e">
        <v>#N/A</v>
      </c>
      <c r="H10" s="2">
        <v>2</v>
      </c>
      <c r="I10" t="s">
        <v>121</v>
      </c>
      <c r="N10" t="s">
        <v>122</v>
      </c>
      <c r="O10" t="s">
        <v>123</v>
      </c>
      <c r="P10" t="s">
        <v>124</v>
      </c>
      <c r="Q10" t="s">
        <v>125</v>
      </c>
      <c r="S10" t="s">
        <v>126</v>
      </c>
      <c r="T10" t="s">
        <v>412</v>
      </c>
      <c r="U10" t="s">
        <v>127</v>
      </c>
      <c r="V10" s="1">
        <v>12</v>
      </c>
      <c r="W10" t="s">
        <v>117</v>
      </c>
      <c r="X10" s="1">
        <v>403</v>
      </c>
      <c r="Y10" s="1">
        <v>40301</v>
      </c>
      <c r="Z10" s="1">
        <v>501098</v>
      </c>
      <c r="AA10" s="1">
        <v>13</v>
      </c>
      <c r="AB10" t="s">
        <v>128</v>
      </c>
      <c r="AC10" s="1">
        <v>1305</v>
      </c>
      <c r="AD10" t="s">
        <v>129</v>
      </c>
      <c r="AE10" s="1">
        <v>130520</v>
      </c>
      <c r="AF10" t="s">
        <v>123</v>
      </c>
      <c r="AG10" s="1">
        <v>13052005</v>
      </c>
      <c r="AH10" t="s">
        <v>130</v>
      </c>
      <c r="AI10" s="1">
        <v>850101</v>
      </c>
    </row>
    <row r="11" spans="1:35" x14ac:dyDescent="0.15">
      <c r="A11" s="1">
        <v>111</v>
      </c>
      <c r="B11" t="s">
        <v>31</v>
      </c>
      <c r="C11" t="s">
        <v>131</v>
      </c>
      <c r="D11" t="s">
        <v>132</v>
      </c>
      <c r="E11" t="e">
        <v>#N/A</v>
      </c>
      <c r="F11" t="e">
        <v>#N/A</v>
      </c>
      <c r="G11" t="e">
        <v>#N/A</v>
      </c>
      <c r="H11" s="2">
        <v>2</v>
      </c>
      <c r="I11" t="s">
        <v>133</v>
      </c>
      <c r="K11" t="s">
        <v>35</v>
      </c>
      <c r="N11" t="s">
        <v>134</v>
      </c>
      <c r="P11" t="s">
        <v>135</v>
      </c>
      <c r="R11" t="s">
        <v>136</v>
      </c>
      <c r="S11" t="s">
        <v>137</v>
      </c>
      <c r="T11" t="s">
        <v>413</v>
      </c>
      <c r="U11" t="s">
        <v>138</v>
      </c>
      <c r="V11" s="1">
        <v>12</v>
      </c>
      <c r="W11" t="s">
        <v>117</v>
      </c>
      <c r="X11" s="1">
        <v>405</v>
      </c>
      <c r="Y11" s="1">
        <v>40504</v>
      </c>
      <c r="Z11" s="1">
        <v>406605</v>
      </c>
      <c r="AA11" s="1">
        <v>21</v>
      </c>
      <c r="AB11" t="s">
        <v>139</v>
      </c>
      <c r="AC11" s="1">
        <v>2105</v>
      </c>
      <c r="AD11" t="s">
        <v>140</v>
      </c>
      <c r="AE11" s="1">
        <v>210590</v>
      </c>
      <c r="AF11" t="s">
        <v>141</v>
      </c>
      <c r="AG11" s="1">
        <v>21059005</v>
      </c>
      <c r="AH11" t="s">
        <v>141</v>
      </c>
      <c r="AI11" s="1">
        <v>210902</v>
      </c>
    </row>
    <row r="12" spans="1:35" x14ac:dyDescent="0.15">
      <c r="A12" s="1">
        <v>111</v>
      </c>
      <c r="B12" t="s">
        <v>31</v>
      </c>
      <c r="C12">
        <v>171245</v>
      </c>
      <c r="D12" t="s">
        <v>142</v>
      </c>
      <c r="E12" t="e">
        <v>#N/A</v>
      </c>
      <c r="F12" t="e">
        <v>#N/A</v>
      </c>
      <c r="G12" t="e">
        <v>#N/A</v>
      </c>
      <c r="H12" s="2">
        <v>2</v>
      </c>
      <c r="I12" t="s">
        <v>143</v>
      </c>
      <c r="K12" t="s">
        <v>35</v>
      </c>
      <c r="N12" t="s">
        <v>144</v>
      </c>
      <c r="P12" t="s">
        <v>145</v>
      </c>
      <c r="R12" t="s">
        <v>136</v>
      </c>
      <c r="S12" t="s">
        <v>146</v>
      </c>
      <c r="T12" t="s">
        <v>414</v>
      </c>
      <c r="U12" t="s">
        <v>147</v>
      </c>
      <c r="V12" s="1">
        <v>12</v>
      </c>
      <c r="W12" t="s">
        <v>117</v>
      </c>
      <c r="X12" s="1">
        <v>403</v>
      </c>
      <c r="Y12" s="1">
        <v>40302</v>
      </c>
      <c r="Z12" s="1">
        <v>216044</v>
      </c>
      <c r="AA12" s="1">
        <v>12</v>
      </c>
      <c r="AB12" t="s">
        <v>148</v>
      </c>
      <c r="AC12" s="1">
        <v>1225</v>
      </c>
      <c r="AD12" t="s">
        <v>149</v>
      </c>
      <c r="AE12" s="1">
        <v>122505</v>
      </c>
      <c r="AF12" t="s">
        <v>150</v>
      </c>
      <c r="AG12" s="1">
        <v>12250505</v>
      </c>
      <c r="AH12" t="s">
        <v>151</v>
      </c>
      <c r="AI12" s="1">
        <v>221222</v>
      </c>
    </row>
    <row r="13" spans="1:35" x14ac:dyDescent="0.15">
      <c r="A13" s="1">
        <v>111</v>
      </c>
      <c r="B13" t="s">
        <v>31</v>
      </c>
      <c r="C13" t="s">
        <v>152</v>
      </c>
      <c r="D13" t="s">
        <v>153</v>
      </c>
      <c r="E13" t="e">
        <v>#N/A</v>
      </c>
      <c r="F13" t="e">
        <v>#N/A</v>
      </c>
      <c r="G13" t="e">
        <v>#N/A</v>
      </c>
      <c r="H13" s="2">
        <v>4</v>
      </c>
      <c r="I13" t="s">
        <v>154</v>
      </c>
      <c r="K13" t="s">
        <v>35</v>
      </c>
      <c r="N13" t="s">
        <v>155</v>
      </c>
      <c r="P13" t="s">
        <v>156</v>
      </c>
      <c r="Q13" t="s">
        <v>157</v>
      </c>
      <c r="S13" t="s">
        <v>158</v>
      </c>
      <c r="T13" t="s">
        <v>159</v>
      </c>
      <c r="U13" t="s">
        <v>160</v>
      </c>
      <c r="V13" s="1">
        <v>13</v>
      </c>
      <c r="W13" t="s">
        <v>88</v>
      </c>
      <c r="X13" s="1">
        <v>401</v>
      </c>
      <c r="Y13" s="1">
        <v>40106</v>
      </c>
      <c r="Z13" s="1">
        <v>301683</v>
      </c>
      <c r="AA13" s="1">
        <v>6</v>
      </c>
      <c r="AB13" t="s">
        <v>64</v>
      </c>
      <c r="AC13" s="1">
        <v>605</v>
      </c>
      <c r="AD13" t="s">
        <v>65</v>
      </c>
      <c r="AE13" s="1">
        <v>60510</v>
      </c>
      <c r="AF13" t="s">
        <v>161</v>
      </c>
      <c r="AG13" s="1">
        <v>6051005</v>
      </c>
      <c r="AH13" t="s">
        <v>162</v>
      </c>
      <c r="AI13" s="1">
        <v>191022</v>
      </c>
    </row>
    <row r="14" spans="1:35" x14ac:dyDescent="0.15">
      <c r="A14" s="1">
        <v>111</v>
      </c>
      <c r="B14" t="s">
        <v>31</v>
      </c>
      <c r="C14" t="s">
        <v>163</v>
      </c>
      <c r="D14" t="s">
        <v>164</v>
      </c>
      <c r="E14" t="e">
        <v>#N/A</v>
      </c>
      <c r="F14" t="e">
        <v>#N/A</v>
      </c>
      <c r="G14" t="e">
        <v>#N/A</v>
      </c>
      <c r="H14" s="2">
        <v>4</v>
      </c>
      <c r="I14" t="s">
        <v>165</v>
      </c>
      <c r="K14" t="s">
        <v>35</v>
      </c>
      <c r="N14" t="s">
        <v>166</v>
      </c>
      <c r="P14" t="s">
        <v>167</v>
      </c>
      <c r="Q14" t="s">
        <v>168</v>
      </c>
      <c r="S14" t="s">
        <v>158</v>
      </c>
      <c r="T14" t="s">
        <v>169</v>
      </c>
      <c r="U14" t="s">
        <v>104</v>
      </c>
      <c r="V14" s="1">
        <v>13</v>
      </c>
      <c r="W14" t="s">
        <v>170</v>
      </c>
      <c r="X14" s="1">
        <v>401</v>
      </c>
      <c r="Y14" s="1">
        <v>40106</v>
      </c>
      <c r="Z14" s="1">
        <v>301683</v>
      </c>
      <c r="AA14" s="1">
        <v>6</v>
      </c>
      <c r="AB14" t="s">
        <v>64</v>
      </c>
      <c r="AC14" s="1">
        <v>605</v>
      </c>
      <c r="AD14" t="s">
        <v>65</v>
      </c>
      <c r="AE14" s="1">
        <v>60510</v>
      </c>
      <c r="AF14" t="s">
        <v>161</v>
      </c>
      <c r="AG14" s="1">
        <v>6051005</v>
      </c>
      <c r="AH14" t="s">
        <v>162</v>
      </c>
      <c r="AI14" s="1">
        <v>190722</v>
      </c>
    </row>
    <row r="15" spans="1:35" x14ac:dyDescent="0.15">
      <c r="A15" s="1">
        <v>111</v>
      </c>
      <c r="B15" t="s">
        <v>31</v>
      </c>
      <c r="C15" t="s">
        <v>175</v>
      </c>
      <c r="D15" t="s">
        <v>176</v>
      </c>
      <c r="E15" t="e">
        <v>#N/A</v>
      </c>
      <c r="F15" t="e">
        <v>#N/A</v>
      </c>
      <c r="G15" t="e">
        <v>#N/A</v>
      </c>
      <c r="H15" s="2">
        <v>2</v>
      </c>
      <c r="I15" t="s">
        <v>177</v>
      </c>
      <c r="J15" t="s">
        <v>177</v>
      </c>
      <c r="K15" t="s">
        <v>35</v>
      </c>
      <c r="N15" t="s">
        <v>178</v>
      </c>
      <c r="P15" t="s">
        <v>179</v>
      </c>
      <c r="Q15" t="s">
        <v>180</v>
      </c>
      <c r="T15" t="s">
        <v>415</v>
      </c>
      <c r="U15" t="s">
        <v>181</v>
      </c>
      <c r="V15" s="1">
        <v>12</v>
      </c>
      <c r="W15" t="s">
        <v>174</v>
      </c>
      <c r="X15" s="1">
        <v>422</v>
      </c>
      <c r="Y15" s="1">
        <v>42209</v>
      </c>
      <c r="Z15" s="1">
        <v>101870</v>
      </c>
      <c r="AA15" s="1">
        <v>46</v>
      </c>
      <c r="AB15" t="s">
        <v>182</v>
      </c>
      <c r="AC15" s="1">
        <v>4619</v>
      </c>
      <c r="AD15" t="s">
        <v>183</v>
      </c>
      <c r="AE15" s="1">
        <v>461910</v>
      </c>
      <c r="AF15" t="s">
        <v>184</v>
      </c>
      <c r="AG15" s="1">
        <v>46191011</v>
      </c>
      <c r="AH15" t="s">
        <v>185</v>
      </c>
      <c r="AI15" s="1">
        <v>210427</v>
      </c>
    </row>
    <row r="16" spans="1:35" x14ac:dyDescent="0.15">
      <c r="A16" s="1">
        <v>111</v>
      </c>
      <c r="B16" t="s">
        <v>31</v>
      </c>
      <c r="C16" t="s">
        <v>186</v>
      </c>
      <c r="D16" t="s">
        <v>187</v>
      </c>
      <c r="E16" t="e">
        <v>#N/A</v>
      </c>
      <c r="F16" t="e">
        <v>#N/A</v>
      </c>
      <c r="G16" t="e">
        <v>#N/A</v>
      </c>
      <c r="H16" s="2">
        <v>4</v>
      </c>
      <c r="I16" t="s">
        <v>188</v>
      </c>
      <c r="J16" t="s">
        <v>188</v>
      </c>
      <c r="K16" t="s">
        <v>35</v>
      </c>
      <c r="N16" t="s">
        <v>189</v>
      </c>
      <c r="P16" t="s">
        <v>190</v>
      </c>
      <c r="T16" t="s">
        <v>190</v>
      </c>
      <c r="U16" t="s">
        <v>191</v>
      </c>
      <c r="V16" s="1">
        <v>12</v>
      </c>
      <c r="W16" t="s">
        <v>192</v>
      </c>
      <c r="X16" s="1">
        <v>420</v>
      </c>
      <c r="Y16" s="1">
        <v>42003</v>
      </c>
      <c r="Z16" s="1">
        <v>101870</v>
      </c>
      <c r="AA16" s="1">
        <v>44</v>
      </c>
      <c r="AB16" t="s">
        <v>193</v>
      </c>
      <c r="AC16" s="1">
        <v>4412</v>
      </c>
      <c r="AD16" t="s">
        <v>194</v>
      </c>
      <c r="AE16" s="1">
        <v>441217</v>
      </c>
      <c r="AF16" t="s">
        <v>195</v>
      </c>
      <c r="AG16" s="1">
        <v>44121713</v>
      </c>
      <c r="AH16" t="s">
        <v>196</v>
      </c>
      <c r="AI16" s="1">
        <v>210414</v>
      </c>
    </row>
    <row r="17" spans="1:35" x14ac:dyDescent="0.15">
      <c r="A17" s="1">
        <v>111</v>
      </c>
      <c r="B17" t="s">
        <v>31</v>
      </c>
      <c r="C17" t="s">
        <v>197</v>
      </c>
      <c r="D17" t="s">
        <v>198</v>
      </c>
      <c r="E17" t="e">
        <v>#N/A</v>
      </c>
      <c r="F17" t="e">
        <v>#N/A</v>
      </c>
      <c r="G17" t="e">
        <v>#N/A</v>
      </c>
      <c r="H17" s="2">
        <v>4</v>
      </c>
      <c r="I17" t="s">
        <v>199</v>
      </c>
      <c r="J17" t="s">
        <v>199</v>
      </c>
      <c r="K17" t="s">
        <v>35</v>
      </c>
      <c r="N17" t="s">
        <v>200</v>
      </c>
      <c r="P17" t="s">
        <v>201</v>
      </c>
      <c r="T17" t="s">
        <v>201</v>
      </c>
      <c r="U17" t="s">
        <v>202</v>
      </c>
      <c r="V17" s="1">
        <v>12</v>
      </c>
      <c r="W17" t="s">
        <v>203</v>
      </c>
      <c r="X17" s="1">
        <v>420</v>
      </c>
      <c r="Y17" s="1">
        <v>42009</v>
      </c>
      <c r="Z17" s="1">
        <v>101870</v>
      </c>
      <c r="AA17" s="1">
        <v>44</v>
      </c>
      <c r="AB17" t="s">
        <v>193</v>
      </c>
      <c r="AC17" s="1">
        <v>4418</v>
      </c>
      <c r="AD17" t="s">
        <v>204</v>
      </c>
      <c r="AE17" s="1">
        <v>441814</v>
      </c>
      <c r="AF17" t="s">
        <v>205</v>
      </c>
      <c r="AG17" s="1">
        <v>44181410</v>
      </c>
      <c r="AH17" t="s">
        <v>206</v>
      </c>
      <c r="AI17" s="1">
        <v>210414</v>
      </c>
    </row>
    <row r="18" spans="1:35" x14ac:dyDescent="0.15">
      <c r="A18" s="1">
        <v>111</v>
      </c>
      <c r="B18" t="s">
        <v>31</v>
      </c>
      <c r="C18" t="s">
        <v>207</v>
      </c>
      <c r="D18" t="s">
        <v>208</v>
      </c>
      <c r="E18" t="e">
        <v>#N/A</v>
      </c>
      <c r="F18" t="e">
        <v>#N/A</v>
      </c>
      <c r="G18" t="e">
        <v>#N/A</v>
      </c>
      <c r="H18" s="2">
        <v>2</v>
      </c>
      <c r="I18" t="s">
        <v>209</v>
      </c>
      <c r="J18" t="s">
        <v>209</v>
      </c>
      <c r="K18" t="s">
        <v>35</v>
      </c>
      <c r="N18" t="s">
        <v>210</v>
      </c>
      <c r="P18" t="s">
        <v>211</v>
      </c>
      <c r="T18" t="s">
        <v>416</v>
      </c>
      <c r="U18" t="s">
        <v>212</v>
      </c>
      <c r="V18" s="1">
        <v>12</v>
      </c>
      <c r="W18" t="s">
        <v>174</v>
      </c>
      <c r="X18" s="1">
        <v>422</v>
      </c>
      <c r="Y18" s="1">
        <v>42209</v>
      </c>
      <c r="Z18" s="1">
        <v>101870</v>
      </c>
      <c r="AA18" s="1">
        <v>46</v>
      </c>
      <c r="AB18" t="s">
        <v>182</v>
      </c>
      <c r="AC18" s="1">
        <v>4619</v>
      </c>
      <c r="AD18" t="s">
        <v>183</v>
      </c>
      <c r="AE18" s="1">
        <v>461910</v>
      </c>
      <c r="AF18" t="s">
        <v>184</v>
      </c>
      <c r="AG18" s="1">
        <v>46191013</v>
      </c>
      <c r="AH18" t="s">
        <v>213</v>
      </c>
      <c r="AI18" s="1">
        <v>210415</v>
      </c>
    </row>
    <row r="19" spans="1:35" x14ac:dyDescent="0.15">
      <c r="A19" s="1">
        <v>111</v>
      </c>
      <c r="B19" t="s">
        <v>31</v>
      </c>
      <c r="C19" t="s">
        <v>214</v>
      </c>
      <c r="D19" t="s">
        <v>215</v>
      </c>
      <c r="E19" t="e">
        <v>#N/A</v>
      </c>
      <c r="F19" t="e">
        <v>#N/A</v>
      </c>
      <c r="G19" t="e">
        <v>#N/A</v>
      </c>
      <c r="H19" s="2">
        <v>4</v>
      </c>
      <c r="I19" t="s">
        <v>216</v>
      </c>
      <c r="J19" t="s">
        <v>216</v>
      </c>
      <c r="K19" t="s">
        <v>35</v>
      </c>
      <c r="N19" t="s">
        <v>217</v>
      </c>
      <c r="P19" t="s">
        <v>218</v>
      </c>
      <c r="T19" t="s">
        <v>218</v>
      </c>
      <c r="U19" t="s">
        <v>219</v>
      </c>
      <c r="V19" s="1">
        <v>12</v>
      </c>
      <c r="W19" t="s">
        <v>174</v>
      </c>
      <c r="X19" s="1">
        <v>423</v>
      </c>
      <c r="Y19" s="1">
        <v>42304</v>
      </c>
      <c r="Z19" s="1">
        <v>101870</v>
      </c>
      <c r="AA19" s="1">
        <v>46</v>
      </c>
      <c r="AB19" t="s">
        <v>182</v>
      </c>
      <c r="AC19" s="1">
        <v>4619</v>
      </c>
      <c r="AD19" t="s">
        <v>183</v>
      </c>
      <c r="AE19" s="1">
        <v>461910</v>
      </c>
      <c r="AF19" t="s">
        <v>184</v>
      </c>
      <c r="AG19" s="1">
        <v>46191012</v>
      </c>
      <c r="AH19" t="s">
        <v>220</v>
      </c>
      <c r="AI19" s="1">
        <v>211029</v>
      </c>
    </row>
    <row r="20" spans="1:35" x14ac:dyDescent="0.15">
      <c r="A20" s="1">
        <v>111</v>
      </c>
      <c r="B20" t="s">
        <v>31</v>
      </c>
      <c r="C20" t="s">
        <v>221</v>
      </c>
      <c r="D20" t="s">
        <v>222</v>
      </c>
      <c r="E20" t="e">
        <v>#N/A</v>
      </c>
      <c r="F20" t="e">
        <v>#N/A</v>
      </c>
      <c r="G20" t="e">
        <v>#N/A</v>
      </c>
      <c r="H20" s="2">
        <v>4</v>
      </c>
      <c r="I20" t="s">
        <v>223</v>
      </c>
      <c r="J20" t="s">
        <v>223</v>
      </c>
      <c r="K20" t="s">
        <v>35</v>
      </c>
      <c r="N20" t="s">
        <v>224</v>
      </c>
      <c r="P20" t="s">
        <v>225</v>
      </c>
      <c r="T20" t="s">
        <v>225</v>
      </c>
      <c r="U20" t="s">
        <v>181</v>
      </c>
      <c r="V20" s="1">
        <v>12</v>
      </c>
      <c r="W20" t="s">
        <v>116</v>
      </c>
      <c r="X20" s="1">
        <v>420</v>
      </c>
      <c r="Y20" s="1">
        <v>42009</v>
      </c>
      <c r="Z20" s="1">
        <v>101870</v>
      </c>
      <c r="AA20" s="1">
        <v>44</v>
      </c>
      <c r="AB20" t="s">
        <v>193</v>
      </c>
      <c r="AC20" s="1">
        <v>4418</v>
      </c>
      <c r="AD20" t="s">
        <v>204</v>
      </c>
      <c r="AE20" s="1">
        <v>441817</v>
      </c>
      <c r="AF20" t="s">
        <v>226</v>
      </c>
      <c r="AG20" s="1">
        <v>44181710</v>
      </c>
      <c r="AH20" t="s">
        <v>227</v>
      </c>
      <c r="AI20" s="1">
        <v>210414</v>
      </c>
    </row>
    <row r="21" spans="1:35" x14ac:dyDescent="0.15">
      <c r="A21" s="1">
        <v>111</v>
      </c>
      <c r="B21" t="s">
        <v>31</v>
      </c>
      <c r="C21" t="s">
        <v>228</v>
      </c>
      <c r="D21" t="s">
        <v>229</v>
      </c>
      <c r="E21" t="e">
        <v>#N/A</v>
      </c>
      <c r="F21" t="e">
        <v>#N/A</v>
      </c>
      <c r="G21" t="e">
        <v>#N/A</v>
      </c>
      <c r="H21" s="2">
        <v>4</v>
      </c>
      <c r="I21" t="s">
        <v>230</v>
      </c>
      <c r="J21" t="s">
        <v>230</v>
      </c>
      <c r="K21" t="s">
        <v>35</v>
      </c>
      <c r="N21" t="s">
        <v>231</v>
      </c>
      <c r="P21" t="s">
        <v>232</v>
      </c>
      <c r="T21" t="s">
        <v>232</v>
      </c>
      <c r="U21" t="s">
        <v>181</v>
      </c>
      <c r="V21" s="1">
        <v>12</v>
      </c>
      <c r="W21" t="s">
        <v>116</v>
      </c>
      <c r="X21" s="1">
        <v>420</v>
      </c>
      <c r="Y21" s="1">
        <v>42009</v>
      </c>
      <c r="Z21" s="1">
        <v>101891</v>
      </c>
      <c r="AA21" s="1">
        <v>44</v>
      </c>
      <c r="AB21" t="s">
        <v>193</v>
      </c>
      <c r="AC21" s="1">
        <v>4418</v>
      </c>
      <c r="AD21" t="s">
        <v>204</v>
      </c>
      <c r="AE21" s="1">
        <v>441817</v>
      </c>
      <c r="AF21" t="s">
        <v>226</v>
      </c>
      <c r="AG21" s="1">
        <v>44181710</v>
      </c>
      <c r="AH21" t="s">
        <v>227</v>
      </c>
      <c r="AI21" s="1">
        <v>210414</v>
      </c>
    </row>
    <row r="22" spans="1:35" x14ac:dyDescent="0.15">
      <c r="A22" s="1">
        <v>111</v>
      </c>
      <c r="B22" t="s">
        <v>31</v>
      </c>
      <c r="C22" t="s">
        <v>233</v>
      </c>
      <c r="D22" t="s">
        <v>234</v>
      </c>
      <c r="E22" t="e">
        <v>#N/A</v>
      </c>
      <c r="F22" t="e">
        <v>#N/A</v>
      </c>
      <c r="G22" t="e">
        <v>#N/A</v>
      </c>
      <c r="H22" s="2">
        <v>4</v>
      </c>
      <c r="I22" t="s">
        <v>235</v>
      </c>
      <c r="J22" t="s">
        <v>235</v>
      </c>
      <c r="N22" t="s">
        <v>236</v>
      </c>
      <c r="P22" t="s">
        <v>237</v>
      </c>
      <c r="T22" t="s">
        <v>237</v>
      </c>
      <c r="U22" t="s">
        <v>238</v>
      </c>
      <c r="V22" s="1">
        <v>12</v>
      </c>
      <c r="W22" t="s">
        <v>239</v>
      </c>
      <c r="X22" s="1">
        <v>423</v>
      </c>
      <c r="Y22" s="1">
        <v>42304</v>
      </c>
      <c r="Z22" s="1">
        <v>508447</v>
      </c>
      <c r="AA22" s="1">
        <v>46</v>
      </c>
      <c r="AB22" t="s">
        <v>182</v>
      </c>
      <c r="AC22" s="1">
        <v>4619</v>
      </c>
      <c r="AD22" t="s">
        <v>183</v>
      </c>
      <c r="AE22" s="1">
        <v>461910</v>
      </c>
      <c r="AF22" t="s">
        <v>184</v>
      </c>
      <c r="AG22" s="1">
        <v>46191010</v>
      </c>
      <c r="AH22" t="s">
        <v>240</v>
      </c>
      <c r="AI22" s="1">
        <v>260306</v>
      </c>
    </row>
    <row r="23" spans="1:35" x14ac:dyDescent="0.15">
      <c r="A23" s="1">
        <v>111</v>
      </c>
      <c r="B23" t="s">
        <v>31</v>
      </c>
      <c r="C23" t="s">
        <v>241</v>
      </c>
      <c r="D23" t="s">
        <v>242</v>
      </c>
      <c r="E23" t="e">
        <v>#N/A</v>
      </c>
      <c r="F23" t="e">
        <v>#N/A</v>
      </c>
      <c r="G23" t="e">
        <v>#N/A</v>
      </c>
      <c r="H23" s="2">
        <v>4</v>
      </c>
      <c r="I23" t="s">
        <v>243</v>
      </c>
      <c r="J23" t="s">
        <v>243</v>
      </c>
      <c r="N23" t="s">
        <v>244</v>
      </c>
      <c r="P23" t="s">
        <v>245</v>
      </c>
      <c r="T23" t="s">
        <v>245</v>
      </c>
      <c r="U23" t="s">
        <v>246</v>
      </c>
      <c r="V23" s="1">
        <v>12</v>
      </c>
      <c r="W23" t="s">
        <v>117</v>
      </c>
      <c r="X23" s="1">
        <v>422</v>
      </c>
      <c r="Y23" s="1">
        <v>42209</v>
      </c>
      <c r="Z23" s="1">
        <v>101870</v>
      </c>
      <c r="AA23" s="1">
        <v>46</v>
      </c>
      <c r="AB23" t="s">
        <v>182</v>
      </c>
      <c r="AC23" s="1">
        <v>4619</v>
      </c>
      <c r="AD23" t="s">
        <v>183</v>
      </c>
      <c r="AE23" s="1">
        <v>461911</v>
      </c>
      <c r="AF23" t="s">
        <v>247</v>
      </c>
      <c r="AG23" s="1">
        <v>46191111</v>
      </c>
      <c r="AH23" t="s">
        <v>248</v>
      </c>
      <c r="AI23" s="1">
        <v>210511</v>
      </c>
    </row>
    <row r="24" spans="1:35" x14ac:dyDescent="0.15">
      <c r="A24" s="1">
        <v>111</v>
      </c>
      <c r="B24" t="s">
        <v>31</v>
      </c>
      <c r="C24" t="s">
        <v>249</v>
      </c>
      <c r="D24" t="s">
        <v>250</v>
      </c>
      <c r="E24" t="e">
        <v>#N/A</v>
      </c>
      <c r="F24" t="e">
        <v>#N/A</v>
      </c>
      <c r="G24" t="e">
        <v>#N/A</v>
      </c>
      <c r="H24" s="2">
        <v>4</v>
      </c>
      <c r="I24" t="s">
        <v>251</v>
      </c>
      <c r="J24" t="s">
        <v>251</v>
      </c>
      <c r="N24" t="s">
        <v>252</v>
      </c>
      <c r="P24" t="s">
        <v>253</v>
      </c>
      <c r="T24" t="s">
        <v>253</v>
      </c>
      <c r="U24" t="s">
        <v>254</v>
      </c>
      <c r="V24" s="1">
        <v>12</v>
      </c>
      <c r="W24" t="s">
        <v>255</v>
      </c>
      <c r="X24" s="1">
        <v>420</v>
      </c>
      <c r="Y24" s="1">
        <v>42009</v>
      </c>
      <c r="Z24" s="1">
        <v>568420</v>
      </c>
      <c r="AA24" s="1">
        <v>44</v>
      </c>
      <c r="AB24" t="s">
        <v>193</v>
      </c>
      <c r="AC24" s="1">
        <v>4418</v>
      </c>
      <c r="AD24" t="s">
        <v>204</v>
      </c>
      <c r="AE24" s="1">
        <v>441815</v>
      </c>
      <c r="AF24" t="s">
        <v>256</v>
      </c>
      <c r="AG24" s="1">
        <v>44181510</v>
      </c>
      <c r="AH24" t="s">
        <v>257</v>
      </c>
      <c r="AI24" s="1">
        <v>260218</v>
      </c>
    </row>
    <row r="25" spans="1:35" x14ac:dyDescent="0.15">
      <c r="A25" s="1">
        <v>111</v>
      </c>
      <c r="B25" t="s">
        <v>31</v>
      </c>
      <c r="C25" t="s">
        <v>258</v>
      </c>
      <c r="D25" t="s">
        <v>259</v>
      </c>
      <c r="E25" t="e">
        <v>#N/A</v>
      </c>
      <c r="F25" t="e">
        <v>#N/A</v>
      </c>
      <c r="G25" t="e">
        <v>#N/A</v>
      </c>
      <c r="H25" s="2">
        <v>4</v>
      </c>
      <c r="I25" t="s">
        <v>260</v>
      </c>
      <c r="J25" t="s">
        <v>260</v>
      </c>
      <c r="N25" t="s">
        <v>261</v>
      </c>
      <c r="P25" t="s">
        <v>262</v>
      </c>
      <c r="Q25" t="s">
        <v>263</v>
      </c>
      <c r="S25" t="s">
        <v>264</v>
      </c>
      <c r="T25" t="s">
        <v>265</v>
      </c>
      <c r="U25" t="s">
        <v>266</v>
      </c>
      <c r="V25" s="1">
        <v>12</v>
      </c>
      <c r="W25" t="s">
        <v>174</v>
      </c>
      <c r="X25" s="1">
        <v>420</v>
      </c>
      <c r="Y25" s="1">
        <v>42002</v>
      </c>
      <c r="Z25" s="1">
        <v>101870</v>
      </c>
      <c r="AA25" s="1">
        <v>44</v>
      </c>
      <c r="AB25" t="s">
        <v>193</v>
      </c>
      <c r="AC25" s="1">
        <v>4411</v>
      </c>
      <c r="AD25" t="s">
        <v>267</v>
      </c>
      <c r="AE25" s="1">
        <v>441112</v>
      </c>
      <c r="AF25" t="s">
        <v>268</v>
      </c>
      <c r="AG25" s="1">
        <v>44111214</v>
      </c>
      <c r="AH25" t="s">
        <v>172</v>
      </c>
      <c r="AI25" s="1">
        <v>210414</v>
      </c>
    </row>
    <row r="26" spans="1:35" x14ac:dyDescent="0.15">
      <c r="A26" s="1">
        <v>111</v>
      </c>
      <c r="B26" t="s">
        <v>31</v>
      </c>
      <c r="C26" t="s">
        <v>269</v>
      </c>
      <c r="D26" t="s">
        <v>270</v>
      </c>
      <c r="E26" t="e">
        <v>#N/A</v>
      </c>
      <c r="F26" t="e">
        <v>#N/A</v>
      </c>
      <c r="G26" t="e">
        <v>#N/A</v>
      </c>
      <c r="H26" s="2">
        <v>2</v>
      </c>
      <c r="I26" t="s">
        <v>271</v>
      </c>
      <c r="J26" t="s">
        <v>271</v>
      </c>
      <c r="K26" t="s">
        <v>35</v>
      </c>
      <c r="N26" t="s">
        <v>272</v>
      </c>
      <c r="P26" t="s">
        <v>273</v>
      </c>
      <c r="T26" t="s">
        <v>417</v>
      </c>
      <c r="U26" t="s">
        <v>181</v>
      </c>
      <c r="V26" s="1">
        <v>12</v>
      </c>
      <c r="W26" t="s">
        <v>174</v>
      </c>
      <c r="X26" s="1">
        <v>421</v>
      </c>
      <c r="Y26" s="1">
        <v>42101</v>
      </c>
      <c r="Z26" s="1">
        <v>101870</v>
      </c>
      <c r="AA26" s="1">
        <v>44</v>
      </c>
      <c r="AB26" t="s">
        <v>193</v>
      </c>
      <c r="AC26" s="1">
        <v>4423</v>
      </c>
      <c r="AD26" t="s">
        <v>274</v>
      </c>
      <c r="AE26" s="1">
        <v>442320</v>
      </c>
      <c r="AF26" t="s">
        <v>275</v>
      </c>
      <c r="AG26" s="1">
        <v>44232018</v>
      </c>
      <c r="AH26" t="s">
        <v>276</v>
      </c>
      <c r="AI26" s="1">
        <v>210429</v>
      </c>
    </row>
    <row r="27" spans="1:35" x14ac:dyDescent="0.15">
      <c r="A27" s="1">
        <v>111</v>
      </c>
      <c r="B27" t="s">
        <v>31</v>
      </c>
      <c r="C27" t="s">
        <v>277</v>
      </c>
      <c r="D27" t="s">
        <v>278</v>
      </c>
      <c r="E27" t="e">
        <v>#N/A</v>
      </c>
      <c r="F27" t="e">
        <v>#N/A</v>
      </c>
      <c r="G27" t="e">
        <v>#N/A</v>
      </c>
      <c r="H27" s="2" t="s">
        <v>411</v>
      </c>
      <c r="I27" t="s">
        <v>279</v>
      </c>
      <c r="K27" t="s">
        <v>56</v>
      </c>
      <c r="M27" t="s">
        <v>57</v>
      </c>
      <c r="N27" t="s">
        <v>280</v>
      </c>
      <c r="P27" t="s">
        <v>281</v>
      </c>
      <c r="R27" t="s">
        <v>136</v>
      </c>
      <c r="S27" t="s">
        <v>282</v>
      </c>
      <c r="T27" t="s">
        <v>283</v>
      </c>
      <c r="U27" t="s">
        <v>284</v>
      </c>
      <c r="V27" s="1">
        <v>12</v>
      </c>
      <c r="W27" t="s">
        <v>117</v>
      </c>
      <c r="X27" s="1">
        <v>407</v>
      </c>
      <c r="Y27" s="1">
        <v>40703</v>
      </c>
      <c r="Z27" s="1">
        <v>100962</v>
      </c>
      <c r="AA27" s="1">
        <v>13</v>
      </c>
      <c r="AB27" t="s">
        <v>128</v>
      </c>
      <c r="AC27" s="1">
        <v>1310</v>
      </c>
      <c r="AD27" t="s">
        <v>285</v>
      </c>
      <c r="AE27" s="1">
        <v>131035</v>
      </c>
      <c r="AF27" t="s">
        <v>286</v>
      </c>
      <c r="AG27" s="1">
        <v>13103505</v>
      </c>
      <c r="AH27" t="s">
        <v>287</v>
      </c>
      <c r="AI27" s="1">
        <v>211109</v>
      </c>
    </row>
    <row r="28" spans="1:35" x14ac:dyDescent="0.15">
      <c r="A28" s="1">
        <v>111</v>
      </c>
      <c r="B28" t="s">
        <v>31</v>
      </c>
      <c r="C28" t="s">
        <v>288</v>
      </c>
      <c r="D28" t="s">
        <v>289</v>
      </c>
      <c r="E28" t="e">
        <v>#N/A</v>
      </c>
      <c r="F28" t="e">
        <v>#N/A</v>
      </c>
      <c r="G28" t="s">
        <v>288</v>
      </c>
      <c r="H28" s="2">
        <v>4</v>
      </c>
      <c r="I28" t="s">
        <v>290</v>
      </c>
      <c r="K28" t="s">
        <v>35</v>
      </c>
      <c r="N28" t="s">
        <v>291</v>
      </c>
      <c r="P28" t="s">
        <v>292</v>
      </c>
      <c r="Q28" t="s">
        <v>293</v>
      </c>
      <c r="S28" t="s">
        <v>294</v>
      </c>
      <c r="T28" t="s">
        <v>403</v>
      </c>
      <c r="U28" t="s">
        <v>171</v>
      </c>
      <c r="V28" s="1">
        <v>12</v>
      </c>
      <c r="W28" t="s">
        <v>174</v>
      </c>
      <c r="X28" s="1">
        <v>401</v>
      </c>
      <c r="Y28" s="1">
        <v>40112</v>
      </c>
      <c r="Z28" s="1">
        <v>301713</v>
      </c>
      <c r="AA28" s="1">
        <v>6</v>
      </c>
      <c r="AB28" t="s">
        <v>64</v>
      </c>
      <c r="AC28" s="1">
        <v>610</v>
      </c>
      <c r="AD28" t="s">
        <v>76</v>
      </c>
      <c r="AE28" s="1">
        <v>61005</v>
      </c>
      <c r="AF28" t="s">
        <v>77</v>
      </c>
      <c r="AG28" s="1">
        <v>6100525</v>
      </c>
      <c r="AH28" t="s">
        <v>295</v>
      </c>
      <c r="AI28" s="1">
        <v>200701</v>
      </c>
    </row>
    <row r="29" spans="1:35" x14ac:dyDescent="0.15">
      <c r="A29" s="1">
        <v>111</v>
      </c>
      <c r="B29" t="s">
        <v>31</v>
      </c>
      <c r="C29" t="s">
        <v>296</v>
      </c>
      <c r="D29" t="s">
        <v>297</v>
      </c>
      <c r="E29" t="e">
        <v>#N/A</v>
      </c>
      <c r="F29" t="e">
        <v>#N/A</v>
      </c>
      <c r="G29" t="s">
        <v>296</v>
      </c>
      <c r="H29" s="2">
        <v>4</v>
      </c>
      <c r="I29" t="s">
        <v>298</v>
      </c>
      <c r="K29" t="s">
        <v>35</v>
      </c>
      <c r="N29" t="s">
        <v>299</v>
      </c>
      <c r="P29" t="s">
        <v>300</v>
      </c>
      <c r="Q29" t="s">
        <v>301</v>
      </c>
      <c r="S29" t="s">
        <v>302</v>
      </c>
      <c r="T29" t="s">
        <v>404</v>
      </c>
      <c r="U29" t="s">
        <v>303</v>
      </c>
      <c r="V29" s="1">
        <v>12</v>
      </c>
      <c r="W29" t="s">
        <v>304</v>
      </c>
      <c r="X29" s="1">
        <v>401</v>
      </c>
      <c r="Y29" s="1">
        <v>40104</v>
      </c>
      <c r="Z29" s="1">
        <v>565206</v>
      </c>
      <c r="AA29" s="1">
        <v>1</v>
      </c>
      <c r="AB29" t="s">
        <v>119</v>
      </c>
      <c r="AC29" s="1">
        <v>110</v>
      </c>
      <c r="AD29" t="s">
        <v>305</v>
      </c>
      <c r="AE29" s="1">
        <v>11005</v>
      </c>
      <c r="AF29" t="s">
        <v>306</v>
      </c>
      <c r="AG29" s="1">
        <v>1100520</v>
      </c>
      <c r="AH29" t="s">
        <v>307</v>
      </c>
      <c r="AI29" s="1">
        <v>231027</v>
      </c>
    </row>
    <row r="30" spans="1:35" x14ac:dyDescent="0.15">
      <c r="A30" s="1">
        <v>111</v>
      </c>
      <c r="B30" t="s">
        <v>31</v>
      </c>
      <c r="C30">
        <v>207385</v>
      </c>
      <c r="D30" t="s">
        <v>308</v>
      </c>
      <c r="E30" t="e">
        <v>#N/A</v>
      </c>
      <c r="F30" t="e">
        <v>#N/A</v>
      </c>
      <c r="G30">
        <v>207385</v>
      </c>
      <c r="H30" s="2">
        <v>2</v>
      </c>
      <c r="I30" t="s">
        <v>309</v>
      </c>
      <c r="K30" t="s">
        <v>35</v>
      </c>
      <c r="N30" t="s">
        <v>310</v>
      </c>
      <c r="P30" t="s">
        <v>311</v>
      </c>
      <c r="Q30" t="s">
        <v>312</v>
      </c>
      <c r="S30" t="s">
        <v>313</v>
      </c>
      <c r="T30" t="s">
        <v>418</v>
      </c>
      <c r="U30" t="s">
        <v>314</v>
      </c>
      <c r="V30" s="1">
        <v>12</v>
      </c>
      <c r="W30" t="s">
        <v>117</v>
      </c>
      <c r="X30" s="1">
        <v>401</v>
      </c>
      <c r="Y30" s="1">
        <v>40104</v>
      </c>
      <c r="Z30" s="1">
        <v>303145</v>
      </c>
      <c r="AA30" s="1">
        <v>1</v>
      </c>
      <c r="AB30" t="s">
        <v>119</v>
      </c>
      <c r="AC30" s="1">
        <v>110</v>
      </c>
      <c r="AD30" t="s">
        <v>305</v>
      </c>
      <c r="AE30" s="1">
        <v>11015</v>
      </c>
      <c r="AF30" t="s">
        <v>315</v>
      </c>
      <c r="AG30" s="1">
        <v>1101520</v>
      </c>
      <c r="AH30" t="s">
        <v>307</v>
      </c>
      <c r="AI30" s="1">
        <v>231214</v>
      </c>
    </row>
    <row r="31" spans="1:35" x14ac:dyDescent="0.15">
      <c r="A31" s="1">
        <v>111</v>
      </c>
      <c r="B31" t="s">
        <v>31</v>
      </c>
      <c r="C31">
        <v>207485</v>
      </c>
      <c r="D31" t="s">
        <v>316</v>
      </c>
      <c r="E31" t="e">
        <v>#N/A</v>
      </c>
      <c r="F31" t="e">
        <v>#N/A</v>
      </c>
      <c r="G31">
        <v>207485</v>
      </c>
      <c r="H31" s="2">
        <v>2</v>
      </c>
      <c r="I31" t="s">
        <v>317</v>
      </c>
      <c r="K31" t="s">
        <v>35</v>
      </c>
      <c r="N31" t="s">
        <v>318</v>
      </c>
      <c r="P31" t="s">
        <v>319</v>
      </c>
      <c r="Q31" t="s">
        <v>118</v>
      </c>
      <c r="S31" t="s">
        <v>320</v>
      </c>
      <c r="T31" t="s">
        <v>419</v>
      </c>
      <c r="U31" t="s">
        <v>314</v>
      </c>
      <c r="V31" s="1">
        <v>12</v>
      </c>
      <c r="W31" t="s">
        <v>117</v>
      </c>
      <c r="X31" s="1">
        <v>401</v>
      </c>
      <c r="Y31" s="1">
        <v>40104</v>
      </c>
      <c r="Z31" s="1">
        <v>303145</v>
      </c>
      <c r="AA31" s="1">
        <v>1</v>
      </c>
      <c r="AB31" t="s">
        <v>119</v>
      </c>
      <c r="AC31" s="1">
        <v>110</v>
      </c>
      <c r="AD31" t="s">
        <v>305</v>
      </c>
      <c r="AE31" s="1">
        <v>11015</v>
      </c>
      <c r="AF31" t="s">
        <v>315</v>
      </c>
      <c r="AG31" s="1">
        <v>1101515</v>
      </c>
      <c r="AH31" t="s">
        <v>321</v>
      </c>
      <c r="AI31" s="1">
        <v>231214</v>
      </c>
    </row>
    <row r="32" spans="1:35" x14ac:dyDescent="0.15">
      <c r="A32" s="1">
        <v>111</v>
      </c>
      <c r="B32" t="s">
        <v>31</v>
      </c>
      <c r="C32">
        <v>636463</v>
      </c>
      <c r="D32">
        <v>751677</v>
      </c>
      <c r="E32" t="e">
        <v>#N/A</v>
      </c>
      <c r="F32" t="e">
        <v>#N/A</v>
      </c>
      <c r="G32">
        <v>636463</v>
      </c>
      <c r="H32" s="2">
        <v>2</v>
      </c>
      <c r="I32" t="s">
        <v>322</v>
      </c>
      <c r="K32" t="s">
        <v>35</v>
      </c>
      <c r="N32" t="s">
        <v>323</v>
      </c>
      <c r="P32" t="s">
        <v>324</v>
      </c>
      <c r="Q32" t="s">
        <v>325</v>
      </c>
      <c r="S32" t="s">
        <v>326</v>
      </c>
      <c r="T32" t="s">
        <v>420</v>
      </c>
      <c r="U32" t="s">
        <v>314</v>
      </c>
      <c r="V32" s="1">
        <v>12</v>
      </c>
      <c r="W32" t="s">
        <v>117</v>
      </c>
      <c r="X32" s="1">
        <v>401</v>
      </c>
      <c r="Y32" s="1">
        <v>40104</v>
      </c>
      <c r="Z32" s="1">
        <v>303145</v>
      </c>
      <c r="AA32" s="1">
        <v>1</v>
      </c>
      <c r="AB32" t="s">
        <v>119</v>
      </c>
      <c r="AC32" s="1">
        <v>110</v>
      </c>
      <c r="AD32" t="s">
        <v>305</v>
      </c>
      <c r="AE32" s="1">
        <v>11020</v>
      </c>
      <c r="AF32" t="s">
        <v>327</v>
      </c>
      <c r="AG32" s="1">
        <v>1102010</v>
      </c>
      <c r="AH32" t="s">
        <v>120</v>
      </c>
      <c r="AI32" s="1">
        <v>850101</v>
      </c>
    </row>
    <row r="33" spans="1:35" x14ac:dyDescent="0.15">
      <c r="A33" s="1">
        <v>111</v>
      </c>
      <c r="B33" t="s">
        <v>31</v>
      </c>
      <c r="C33" t="s">
        <v>328</v>
      </c>
      <c r="D33" t="s">
        <v>329</v>
      </c>
      <c r="E33" t="e">
        <v>#N/A</v>
      </c>
      <c r="F33" t="e">
        <v>#N/A</v>
      </c>
      <c r="G33" t="e">
        <v>#N/A</v>
      </c>
      <c r="H33" s="2">
        <v>4</v>
      </c>
      <c r="I33" t="s">
        <v>330</v>
      </c>
      <c r="J33" t="s">
        <v>330</v>
      </c>
      <c r="K33" t="s">
        <v>35</v>
      </c>
      <c r="N33" t="s">
        <v>331</v>
      </c>
      <c r="P33" t="s">
        <v>332</v>
      </c>
      <c r="T33" t="s">
        <v>405</v>
      </c>
      <c r="U33" t="s">
        <v>254</v>
      </c>
      <c r="V33" s="1">
        <v>12</v>
      </c>
      <c r="W33" t="s">
        <v>174</v>
      </c>
      <c r="X33" s="1">
        <v>420</v>
      </c>
      <c r="Y33" s="1">
        <v>42003</v>
      </c>
      <c r="Z33" s="1">
        <v>208243</v>
      </c>
      <c r="AA33" s="1">
        <v>44</v>
      </c>
      <c r="AB33" t="s">
        <v>193</v>
      </c>
      <c r="AC33" s="1">
        <v>4405</v>
      </c>
      <c r="AD33" t="s">
        <v>333</v>
      </c>
      <c r="AE33" s="1">
        <v>440511</v>
      </c>
      <c r="AF33" t="s">
        <v>334</v>
      </c>
      <c r="AG33" s="1">
        <v>44051111</v>
      </c>
      <c r="AH33" t="s">
        <v>334</v>
      </c>
      <c r="AI33" s="1">
        <v>220705</v>
      </c>
    </row>
    <row r="34" spans="1:35" x14ac:dyDescent="0.15">
      <c r="A34" s="1">
        <v>111</v>
      </c>
      <c r="B34" t="s">
        <v>31</v>
      </c>
      <c r="C34" t="s">
        <v>335</v>
      </c>
      <c r="D34" t="s">
        <v>336</v>
      </c>
      <c r="E34" t="e">
        <v>#N/A</v>
      </c>
      <c r="F34" t="e">
        <v>#N/A</v>
      </c>
      <c r="G34" t="e">
        <v>#N/A</v>
      </c>
      <c r="H34" s="2">
        <v>4</v>
      </c>
      <c r="I34" t="s">
        <v>337</v>
      </c>
      <c r="J34" t="s">
        <v>337</v>
      </c>
      <c r="K34" t="s">
        <v>35</v>
      </c>
      <c r="N34" t="s">
        <v>338</v>
      </c>
      <c r="P34" t="s">
        <v>339</v>
      </c>
      <c r="T34" t="s">
        <v>406</v>
      </c>
      <c r="U34" t="s">
        <v>340</v>
      </c>
      <c r="V34" s="1">
        <v>12</v>
      </c>
      <c r="W34" t="s">
        <v>174</v>
      </c>
      <c r="X34" s="1">
        <v>420</v>
      </c>
      <c r="Y34" s="1">
        <v>42003</v>
      </c>
      <c r="Z34" s="1">
        <v>208243</v>
      </c>
      <c r="AA34" s="1">
        <v>44</v>
      </c>
      <c r="AB34" t="s">
        <v>193</v>
      </c>
      <c r="AC34" s="1">
        <v>4405</v>
      </c>
      <c r="AD34" t="s">
        <v>333</v>
      </c>
      <c r="AE34" s="1">
        <v>440511</v>
      </c>
      <c r="AF34" t="s">
        <v>334</v>
      </c>
      <c r="AG34" s="1">
        <v>44051110</v>
      </c>
      <c r="AH34" t="s">
        <v>341</v>
      </c>
      <c r="AI34" s="1">
        <v>220705</v>
      </c>
    </row>
    <row r="35" spans="1:35" x14ac:dyDescent="0.15">
      <c r="A35" s="1">
        <v>111</v>
      </c>
      <c r="B35" t="s">
        <v>31</v>
      </c>
      <c r="C35" t="s">
        <v>342</v>
      </c>
      <c r="D35" t="s">
        <v>343</v>
      </c>
      <c r="E35" t="e">
        <v>#N/A</v>
      </c>
      <c r="F35" t="e">
        <v>#N/A</v>
      </c>
      <c r="G35" t="e">
        <v>#N/A</v>
      </c>
      <c r="H35" s="2">
        <v>4</v>
      </c>
      <c r="I35" t="s">
        <v>344</v>
      </c>
      <c r="J35" t="s">
        <v>344</v>
      </c>
      <c r="K35" t="s">
        <v>35</v>
      </c>
      <c r="N35" t="s">
        <v>345</v>
      </c>
      <c r="P35" t="s">
        <v>346</v>
      </c>
      <c r="T35" t="s">
        <v>407</v>
      </c>
      <c r="U35" t="s">
        <v>340</v>
      </c>
      <c r="V35" s="1">
        <v>12</v>
      </c>
      <c r="W35" t="s">
        <v>174</v>
      </c>
      <c r="X35" s="1">
        <v>420</v>
      </c>
      <c r="Y35" s="1">
        <v>42003</v>
      </c>
      <c r="Z35" s="1">
        <v>208243</v>
      </c>
      <c r="AA35" s="1">
        <v>44</v>
      </c>
      <c r="AB35" t="s">
        <v>193</v>
      </c>
      <c r="AC35" s="1">
        <v>4405</v>
      </c>
      <c r="AD35" t="s">
        <v>333</v>
      </c>
      <c r="AE35" s="1">
        <v>440511</v>
      </c>
      <c r="AF35" t="s">
        <v>334</v>
      </c>
      <c r="AG35" s="1">
        <v>44051110</v>
      </c>
      <c r="AH35" t="s">
        <v>341</v>
      </c>
      <c r="AI35" s="1">
        <v>220705</v>
      </c>
    </row>
    <row r="36" spans="1:35" x14ac:dyDescent="0.15">
      <c r="A36" s="1">
        <v>111</v>
      </c>
      <c r="B36" t="s">
        <v>31</v>
      </c>
      <c r="C36" t="s">
        <v>347</v>
      </c>
      <c r="D36" t="s">
        <v>348</v>
      </c>
      <c r="E36" t="e">
        <v>#N/A</v>
      </c>
      <c r="F36" t="e">
        <v>#N/A</v>
      </c>
      <c r="G36" t="e">
        <v>#N/A</v>
      </c>
      <c r="H36" s="2">
        <v>4</v>
      </c>
      <c r="I36" t="s">
        <v>349</v>
      </c>
      <c r="J36" t="s">
        <v>349</v>
      </c>
      <c r="K36" t="s">
        <v>35</v>
      </c>
      <c r="N36" t="s">
        <v>350</v>
      </c>
      <c r="P36" t="s">
        <v>351</v>
      </c>
      <c r="S36" t="s">
        <v>352</v>
      </c>
      <c r="T36" t="s">
        <v>408</v>
      </c>
      <c r="U36" t="s">
        <v>353</v>
      </c>
      <c r="V36" s="1">
        <v>12</v>
      </c>
      <c r="W36" t="s">
        <v>117</v>
      </c>
      <c r="X36" s="1">
        <v>408</v>
      </c>
      <c r="Y36" s="1">
        <v>40806</v>
      </c>
      <c r="Z36" s="1">
        <v>216173</v>
      </c>
      <c r="AA36" s="1">
        <v>13</v>
      </c>
      <c r="AB36" t="s">
        <v>128</v>
      </c>
      <c r="AC36" s="1">
        <v>1310</v>
      </c>
      <c r="AD36" t="s">
        <v>285</v>
      </c>
      <c r="AE36" s="1">
        <v>131035</v>
      </c>
      <c r="AF36" t="s">
        <v>286</v>
      </c>
      <c r="AG36" s="1">
        <v>13103535</v>
      </c>
      <c r="AH36" t="s">
        <v>354</v>
      </c>
      <c r="AI36" s="1">
        <v>220630</v>
      </c>
    </row>
    <row r="37" spans="1:35" x14ac:dyDescent="0.15">
      <c r="A37" s="1">
        <v>111</v>
      </c>
      <c r="B37" t="s">
        <v>31</v>
      </c>
      <c r="C37" t="s">
        <v>355</v>
      </c>
      <c r="D37" t="s">
        <v>356</v>
      </c>
      <c r="E37" t="e">
        <v>#N/A</v>
      </c>
      <c r="F37" t="e">
        <v>#N/A</v>
      </c>
      <c r="G37" t="e">
        <v>#N/A</v>
      </c>
      <c r="H37" s="2">
        <v>4</v>
      </c>
      <c r="I37" t="s">
        <v>357</v>
      </c>
      <c r="J37" t="s">
        <v>357</v>
      </c>
      <c r="K37" t="s">
        <v>35</v>
      </c>
      <c r="N37" t="s">
        <v>358</v>
      </c>
      <c r="P37" t="s">
        <v>359</v>
      </c>
      <c r="S37" t="s">
        <v>352</v>
      </c>
      <c r="T37" t="s">
        <v>409</v>
      </c>
      <c r="U37" t="s">
        <v>353</v>
      </c>
      <c r="V37" s="1">
        <v>12</v>
      </c>
      <c r="W37" t="s">
        <v>360</v>
      </c>
      <c r="X37" s="1">
        <v>408</v>
      </c>
      <c r="Y37" s="1">
        <v>40806</v>
      </c>
      <c r="Z37" s="1">
        <v>216173</v>
      </c>
      <c r="AA37" s="1">
        <v>13</v>
      </c>
      <c r="AB37" t="s">
        <v>128</v>
      </c>
      <c r="AC37" s="1">
        <v>1310</v>
      </c>
      <c r="AD37" t="s">
        <v>285</v>
      </c>
      <c r="AE37" s="1">
        <v>131035</v>
      </c>
      <c r="AF37" t="s">
        <v>286</v>
      </c>
      <c r="AG37" s="1">
        <v>13103535</v>
      </c>
      <c r="AH37" t="s">
        <v>354</v>
      </c>
      <c r="AI37" s="1">
        <v>220630</v>
      </c>
    </row>
    <row r="38" spans="1:35" x14ac:dyDescent="0.15">
      <c r="A38" s="1">
        <v>111</v>
      </c>
      <c r="B38" t="s">
        <v>31</v>
      </c>
      <c r="C38" t="s">
        <v>361</v>
      </c>
      <c r="D38" t="s">
        <v>362</v>
      </c>
      <c r="E38" t="e">
        <v>#N/A</v>
      </c>
      <c r="F38" t="e">
        <v>#N/A</v>
      </c>
      <c r="G38" t="e">
        <v>#N/A</v>
      </c>
      <c r="H38" s="2">
        <v>4</v>
      </c>
      <c r="I38" t="s">
        <v>363</v>
      </c>
      <c r="J38" t="s">
        <v>363</v>
      </c>
      <c r="N38" t="s">
        <v>364</v>
      </c>
      <c r="P38" t="s">
        <v>365</v>
      </c>
      <c r="S38" t="s">
        <v>366</v>
      </c>
      <c r="T38" t="s">
        <v>367</v>
      </c>
      <c r="U38" t="s">
        <v>368</v>
      </c>
      <c r="V38" s="1">
        <v>12</v>
      </c>
      <c r="W38" t="s">
        <v>174</v>
      </c>
      <c r="X38" s="1">
        <v>418</v>
      </c>
      <c r="Y38" s="1">
        <v>41801</v>
      </c>
      <c r="Z38" s="1">
        <v>112203</v>
      </c>
      <c r="AA38" s="1">
        <v>49</v>
      </c>
      <c r="AB38" t="s">
        <v>369</v>
      </c>
      <c r="AC38" s="1">
        <v>4950</v>
      </c>
      <c r="AD38" t="s">
        <v>370</v>
      </c>
      <c r="AE38" s="1">
        <v>495055</v>
      </c>
      <c r="AF38" t="s">
        <v>371</v>
      </c>
      <c r="AG38" s="1">
        <v>49505505</v>
      </c>
      <c r="AH38" t="s">
        <v>372</v>
      </c>
      <c r="AI38" s="1">
        <v>260724</v>
      </c>
    </row>
    <row r="39" spans="1:35" x14ac:dyDescent="0.15">
      <c r="A39" s="1">
        <v>111</v>
      </c>
      <c r="B39" t="s">
        <v>31</v>
      </c>
      <c r="C39" t="s">
        <v>373</v>
      </c>
      <c r="D39" t="s">
        <v>374</v>
      </c>
      <c r="E39" t="e">
        <v>#N/A</v>
      </c>
      <c r="F39" t="e">
        <v>#N/A</v>
      </c>
      <c r="G39" t="e">
        <v>#N/A</v>
      </c>
      <c r="H39" s="2">
        <v>4</v>
      </c>
      <c r="I39" t="s">
        <v>375</v>
      </c>
      <c r="J39" t="s">
        <v>376</v>
      </c>
      <c r="N39" t="s">
        <v>377</v>
      </c>
      <c r="P39" t="s">
        <v>378</v>
      </c>
      <c r="S39" t="s">
        <v>366</v>
      </c>
      <c r="T39" t="s">
        <v>379</v>
      </c>
      <c r="U39" t="s">
        <v>380</v>
      </c>
      <c r="V39" s="1">
        <v>12</v>
      </c>
      <c r="W39" t="s">
        <v>174</v>
      </c>
      <c r="X39" s="1">
        <v>418</v>
      </c>
      <c r="Y39" s="1">
        <v>41801</v>
      </c>
      <c r="Z39" s="1">
        <v>112203</v>
      </c>
      <c r="AA39" s="1">
        <v>49</v>
      </c>
      <c r="AB39" t="s">
        <v>369</v>
      </c>
      <c r="AC39" s="1">
        <v>4950</v>
      </c>
      <c r="AD39" t="s">
        <v>370</v>
      </c>
      <c r="AE39" s="1">
        <v>495055</v>
      </c>
      <c r="AF39" t="s">
        <v>371</v>
      </c>
      <c r="AG39" s="1">
        <v>49505505</v>
      </c>
      <c r="AH39" t="s">
        <v>372</v>
      </c>
      <c r="AI39" s="1">
        <v>260710</v>
      </c>
    </row>
    <row r="40" spans="1:35" x14ac:dyDescent="0.15">
      <c r="A40" s="1">
        <v>111</v>
      </c>
      <c r="B40" t="s">
        <v>31</v>
      </c>
      <c r="C40">
        <v>769554</v>
      </c>
      <c r="D40">
        <v>780221</v>
      </c>
      <c r="E40" t="e">
        <v>#N/A</v>
      </c>
      <c r="F40" t="e">
        <v>#N/A</v>
      </c>
      <c r="G40" t="e">
        <v>#N/A</v>
      </c>
      <c r="H40" s="2">
        <v>4</v>
      </c>
      <c r="I40" t="s">
        <v>381</v>
      </c>
      <c r="N40" t="s">
        <v>382</v>
      </c>
      <c r="P40" t="s">
        <v>383</v>
      </c>
      <c r="S40" t="s">
        <v>384</v>
      </c>
      <c r="T40" t="s">
        <v>385</v>
      </c>
      <c r="U40" t="s">
        <v>386</v>
      </c>
      <c r="V40" s="1">
        <v>12</v>
      </c>
      <c r="W40" t="s">
        <v>117</v>
      </c>
      <c r="X40" s="1">
        <v>406</v>
      </c>
      <c r="Y40" s="1">
        <v>40601</v>
      </c>
      <c r="Z40" s="1">
        <v>502134</v>
      </c>
      <c r="AA40" s="1">
        <v>15</v>
      </c>
      <c r="AB40" t="s">
        <v>173</v>
      </c>
      <c r="AC40" s="1">
        <v>1514</v>
      </c>
      <c r="AD40" t="s">
        <v>387</v>
      </c>
      <c r="AE40" s="1">
        <v>151410</v>
      </c>
      <c r="AF40" t="s">
        <v>388</v>
      </c>
      <c r="AG40" s="1">
        <v>15141010</v>
      </c>
      <c r="AH40" t="s">
        <v>389</v>
      </c>
      <c r="AI40" s="1">
        <v>850101</v>
      </c>
    </row>
    <row r="41" spans="1:35" x14ac:dyDescent="0.15">
      <c r="A41" s="1">
        <v>111</v>
      </c>
      <c r="B41" t="s">
        <v>31</v>
      </c>
      <c r="C41" t="s">
        <v>390</v>
      </c>
      <c r="D41" t="s">
        <v>391</v>
      </c>
      <c r="E41" t="e">
        <v>#N/A</v>
      </c>
      <c r="F41" t="e">
        <v>#N/A</v>
      </c>
      <c r="G41" t="e">
        <v>#N/A</v>
      </c>
      <c r="H41" s="2">
        <v>2</v>
      </c>
      <c r="I41" t="s">
        <v>392</v>
      </c>
      <c r="J41" t="s">
        <v>392</v>
      </c>
      <c r="N41" t="s">
        <v>393</v>
      </c>
      <c r="P41" t="s">
        <v>394</v>
      </c>
      <c r="S41" t="s">
        <v>395</v>
      </c>
      <c r="T41" t="s">
        <v>421</v>
      </c>
      <c r="U41" t="s">
        <v>396</v>
      </c>
      <c r="V41" s="1">
        <v>12</v>
      </c>
      <c r="W41" t="s">
        <v>117</v>
      </c>
      <c r="X41" s="1">
        <v>406</v>
      </c>
      <c r="Y41" s="1">
        <v>40601</v>
      </c>
      <c r="Z41" s="1">
        <v>110692</v>
      </c>
      <c r="AA41" s="1">
        <v>15</v>
      </c>
      <c r="AB41" t="s">
        <v>173</v>
      </c>
      <c r="AC41" s="1">
        <v>1518</v>
      </c>
      <c r="AD41" t="s">
        <v>397</v>
      </c>
      <c r="AE41" s="1">
        <v>151810</v>
      </c>
      <c r="AF41" t="s">
        <v>398</v>
      </c>
      <c r="AG41" s="1">
        <v>15181010</v>
      </c>
      <c r="AH41" t="s">
        <v>399</v>
      </c>
      <c r="AI41" s="1">
        <v>250408</v>
      </c>
    </row>
  </sheetData>
  <autoFilter ref="A1:AI41" xr:uid="{00000000-0001-0000-0000-000000000000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1EA1-D75B-45BF-8A00-BE17EFC4AAD9}">
  <dimension ref="A1:AL3"/>
  <sheetViews>
    <sheetView zoomScaleNormal="100" workbookViewId="0">
      <selection activeCell="F8" sqref="F8"/>
    </sheetView>
  </sheetViews>
  <sheetFormatPr defaultRowHeight="13.5" x14ac:dyDescent="0.15"/>
  <cols>
    <col min="5" max="6" width="10.25" customWidth="1"/>
    <col min="7" max="7" width="9.75" customWidth="1"/>
    <col min="8" max="8" width="10.375" customWidth="1"/>
    <col min="9" max="9" width="14.625" style="2" customWidth="1"/>
    <col min="21" max="22" width="46.5" style="2" customWidth="1"/>
    <col min="23" max="23" width="24.75" style="2" customWidth="1"/>
    <col min="30" max="30" width="10.625" customWidth="1"/>
    <col min="31" max="31" width="10" customWidth="1"/>
  </cols>
  <sheetData>
    <row r="1" spans="1:38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t="s">
        <v>410</v>
      </c>
      <c r="I1" s="2" t="s">
        <v>422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s="2" t="s">
        <v>15</v>
      </c>
      <c r="V1" s="2" t="s">
        <v>424</v>
      </c>
      <c r="W1" s="2" t="s">
        <v>425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15">
      <c r="A2" s="1">
        <v>111</v>
      </c>
      <c r="B2" t="s">
        <v>31</v>
      </c>
      <c r="C2">
        <v>624959</v>
      </c>
      <c r="D2">
        <v>766492</v>
      </c>
      <c r="E2" t="e">
        <v>#N/A</v>
      </c>
      <c r="F2" t="e">
        <v>#N/A</v>
      </c>
      <c r="G2" t="e">
        <v>#N/A</v>
      </c>
      <c r="H2">
        <v>2</v>
      </c>
      <c r="I2" s="2" t="s">
        <v>423</v>
      </c>
      <c r="J2" t="s">
        <v>121</v>
      </c>
      <c r="O2" t="s">
        <v>122</v>
      </c>
      <c r="P2" t="s">
        <v>123</v>
      </c>
      <c r="Q2" t="s">
        <v>124</v>
      </c>
      <c r="R2" t="s">
        <v>125</v>
      </c>
      <c r="T2" t="s">
        <v>126</v>
      </c>
      <c r="U2" s="2" t="s">
        <v>412</v>
      </c>
      <c r="V2" s="2" t="s">
        <v>466</v>
      </c>
      <c r="W2" s="2">
        <f>LENB(V2)</f>
        <v>254</v>
      </c>
      <c r="X2" t="s">
        <v>127</v>
      </c>
      <c r="Y2" s="1">
        <v>12</v>
      </c>
      <c r="Z2" t="s">
        <v>117</v>
      </c>
      <c r="AA2" s="1">
        <v>403</v>
      </c>
      <c r="AB2" s="1">
        <v>40301</v>
      </c>
      <c r="AC2" s="1">
        <v>501098</v>
      </c>
      <c r="AD2" s="1">
        <v>13</v>
      </c>
      <c r="AE2" t="s">
        <v>128</v>
      </c>
      <c r="AF2" s="1">
        <v>1305</v>
      </c>
      <c r="AG2" t="s">
        <v>129</v>
      </c>
      <c r="AH2" s="1">
        <v>130520</v>
      </c>
      <c r="AI2" t="s">
        <v>123</v>
      </c>
      <c r="AJ2" s="1">
        <v>13052005</v>
      </c>
      <c r="AK2" t="s">
        <v>130</v>
      </c>
      <c r="AL2" s="1">
        <v>850101</v>
      </c>
    </row>
    <row r="3" spans="1:38" x14ac:dyDescent="0.15">
      <c r="A3" s="1">
        <v>111</v>
      </c>
      <c r="B3" t="s">
        <v>31</v>
      </c>
      <c r="C3" t="s">
        <v>277</v>
      </c>
      <c r="D3" t="s">
        <v>278</v>
      </c>
      <c r="E3" t="e">
        <v>#N/A</v>
      </c>
      <c r="F3" t="e">
        <v>#N/A</v>
      </c>
      <c r="G3" t="e">
        <v>#N/A</v>
      </c>
      <c r="H3" t="s">
        <v>411</v>
      </c>
      <c r="I3" s="2" t="s">
        <v>423</v>
      </c>
      <c r="J3" t="s">
        <v>279</v>
      </c>
      <c r="L3" t="s">
        <v>56</v>
      </c>
      <c r="N3" t="s">
        <v>57</v>
      </c>
      <c r="O3" t="s">
        <v>280</v>
      </c>
      <c r="Q3" t="s">
        <v>281</v>
      </c>
      <c r="S3" t="s">
        <v>136</v>
      </c>
      <c r="T3" t="s">
        <v>282</v>
      </c>
      <c r="U3" s="2" t="s">
        <v>283</v>
      </c>
      <c r="V3" s="2" t="s">
        <v>467</v>
      </c>
      <c r="W3" s="2">
        <f>LENB(V3)</f>
        <v>191</v>
      </c>
      <c r="X3" t="s">
        <v>284</v>
      </c>
      <c r="Y3" s="1">
        <v>12</v>
      </c>
      <c r="Z3" t="s">
        <v>117</v>
      </c>
      <c r="AA3" s="1">
        <v>407</v>
      </c>
      <c r="AB3" s="1">
        <v>40703</v>
      </c>
      <c r="AC3" s="1">
        <v>100962</v>
      </c>
      <c r="AD3" s="1">
        <v>13</v>
      </c>
      <c r="AE3" t="s">
        <v>128</v>
      </c>
      <c r="AF3" s="1">
        <v>1310</v>
      </c>
      <c r="AG3" t="s">
        <v>285</v>
      </c>
      <c r="AH3" s="1">
        <v>131035</v>
      </c>
      <c r="AI3" t="s">
        <v>286</v>
      </c>
      <c r="AJ3" s="1">
        <v>13103505</v>
      </c>
      <c r="AK3" t="s">
        <v>287</v>
      </c>
      <c r="AL3" s="1">
        <v>211109</v>
      </c>
    </row>
  </sheetData>
  <autoFilter ref="A1:AL1" xr:uid="{71DA1EA1-D75B-45BF-8A00-BE17EFC4AAD9}"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DFEA-3151-4285-904C-A6C8A861DD31}">
  <dimension ref="A1:AL39"/>
  <sheetViews>
    <sheetView topLeftCell="R1" workbookViewId="0">
      <selection activeCell="U1" sqref="U1"/>
    </sheetView>
  </sheetViews>
  <sheetFormatPr defaultRowHeight="13.5" x14ac:dyDescent="0.15"/>
  <cols>
    <col min="5" max="6" width="10.25" customWidth="1"/>
    <col min="7" max="7" width="9.75" customWidth="1"/>
    <col min="8" max="8" width="9.375" customWidth="1"/>
    <col min="9" max="9" width="14.625" style="2" customWidth="1"/>
    <col min="21" max="23" width="46.5" style="2" customWidth="1"/>
    <col min="30" max="30" width="10.625" customWidth="1"/>
    <col min="31" max="31" width="10" customWidth="1"/>
  </cols>
  <sheetData>
    <row r="1" spans="1:38" x14ac:dyDescent="0.15">
      <c r="A1" t="s">
        <v>0</v>
      </c>
      <c r="B1" t="s">
        <v>1</v>
      </c>
      <c r="C1" t="s">
        <v>2</v>
      </c>
      <c r="D1" t="s">
        <v>3</v>
      </c>
      <c r="E1" t="s">
        <v>400</v>
      </c>
      <c r="F1" t="s">
        <v>401</v>
      </c>
      <c r="G1" t="s">
        <v>402</v>
      </c>
      <c r="H1" t="s">
        <v>410</v>
      </c>
      <c r="I1" s="2" t="s">
        <v>426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s="2" t="s">
        <v>15</v>
      </c>
      <c r="V1" s="2" t="s">
        <v>424</v>
      </c>
      <c r="W1" s="2" t="s">
        <v>425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</row>
    <row r="2" spans="1:38" x14ac:dyDescent="0.15">
      <c r="A2" s="1">
        <v>111</v>
      </c>
      <c r="B2" t="s">
        <v>31</v>
      </c>
      <c r="C2" t="s">
        <v>296</v>
      </c>
      <c r="D2" t="s">
        <v>297</v>
      </c>
      <c r="E2" t="e">
        <v>#N/A</v>
      </c>
      <c r="F2" t="e">
        <v>#N/A</v>
      </c>
      <c r="G2" t="s">
        <v>296</v>
      </c>
      <c r="H2">
        <v>4</v>
      </c>
      <c r="I2" s="2" t="s">
        <v>427</v>
      </c>
      <c r="J2" t="s">
        <v>298</v>
      </c>
      <c r="L2" t="s">
        <v>35</v>
      </c>
      <c r="O2" t="s">
        <v>299</v>
      </c>
      <c r="Q2" t="s">
        <v>300</v>
      </c>
      <c r="R2" t="s">
        <v>301</v>
      </c>
      <c r="T2" t="s">
        <v>302</v>
      </c>
      <c r="U2" s="2" t="s">
        <v>404</v>
      </c>
      <c r="V2" s="2" t="s">
        <v>442</v>
      </c>
      <c r="W2" s="2">
        <f t="shared" ref="W2:W39" si="0">LENB(V2)</f>
        <v>247</v>
      </c>
      <c r="X2" t="s">
        <v>303</v>
      </c>
      <c r="Y2" s="1">
        <v>12</v>
      </c>
      <c r="Z2" t="s">
        <v>304</v>
      </c>
      <c r="AA2" s="1">
        <v>401</v>
      </c>
      <c r="AB2" s="1">
        <v>40104</v>
      </c>
      <c r="AC2" s="1">
        <v>565206</v>
      </c>
      <c r="AD2" s="1">
        <v>1</v>
      </c>
      <c r="AE2" t="s">
        <v>119</v>
      </c>
      <c r="AF2" s="1">
        <v>110</v>
      </c>
      <c r="AG2" t="s">
        <v>305</v>
      </c>
      <c r="AH2" s="1">
        <v>11005</v>
      </c>
      <c r="AI2" t="s">
        <v>306</v>
      </c>
      <c r="AJ2" s="1">
        <v>1100520</v>
      </c>
      <c r="AK2" t="s">
        <v>307</v>
      </c>
      <c r="AL2" s="1">
        <v>231027</v>
      </c>
    </row>
    <row r="3" spans="1:38" x14ac:dyDescent="0.15">
      <c r="A3" s="1">
        <v>111</v>
      </c>
      <c r="B3" t="s">
        <v>31</v>
      </c>
      <c r="C3">
        <v>636463</v>
      </c>
      <c r="D3">
        <v>751677</v>
      </c>
      <c r="E3" t="e">
        <v>#N/A</v>
      </c>
      <c r="F3" t="e">
        <v>#N/A</v>
      </c>
      <c r="G3">
        <v>636463</v>
      </c>
      <c r="H3">
        <v>2</v>
      </c>
      <c r="I3" s="2" t="s">
        <v>427</v>
      </c>
      <c r="J3" t="s">
        <v>322</v>
      </c>
      <c r="L3" t="s">
        <v>35</v>
      </c>
      <c r="O3" t="s">
        <v>323</v>
      </c>
      <c r="Q3" t="s">
        <v>324</v>
      </c>
      <c r="R3" t="s">
        <v>325</v>
      </c>
      <c r="T3" t="s">
        <v>326</v>
      </c>
      <c r="U3" s="2" t="s">
        <v>420</v>
      </c>
      <c r="V3" s="2" t="s">
        <v>443</v>
      </c>
      <c r="W3" s="2">
        <f t="shared" si="0"/>
        <v>246</v>
      </c>
      <c r="X3" t="s">
        <v>314</v>
      </c>
      <c r="Y3" s="1">
        <v>12</v>
      </c>
      <c r="Z3" t="s">
        <v>117</v>
      </c>
      <c r="AA3" s="1">
        <v>401</v>
      </c>
      <c r="AB3" s="1">
        <v>40104</v>
      </c>
      <c r="AC3" s="1">
        <v>303145</v>
      </c>
      <c r="AD3" s="1">
        <v>1</v>
      </c>
      <c r="AE3" t="s">
        <v>119</v>
      </c>
      <c r="AF3" s="1">
        <v>110</v>
      </c>
      <c r="AG3" t="s">
        <v>305</v>
      </c>
      <c r="AH3" s="1">
        <v>11020</v>
      </c>
      <c r="AI3" t="s">
        <v>327</v>
      </c>
      <c r="AJ3" s="1">
        <v>1102010</v>
      </c>
      <c r="AK3" t="s">
        <v>120</v>
      </c>
      <c r="AL3" s="1">
        <v>850101</v>
      </c>
    </row>
    <row r="4" spans="1:38" x14ac:dyDescent="0.15">
      <c r="A4" s="1">
        <v>111</v>
      </c>
      <c r="B4" t="s">
        <v>31</v>
      </c>
      <c r="C4" t="s">
        <v>163</v>
      </c>
      <c r="D4" t="s">
        <v>164</v>
      </c>
      <c r="E4" t="e">
        <v>#N/A</v>
      </c>
      <c r="F4" t="e">
        <v>#N/A</v>
      </c>
      <c r="G4" t="e">
        <v>#N/A</v>
      </c>
      <c r="H4">
        <v>4</v>
      </c>
      <c r="I4" s="2" t="s">
        <v>427</v>
      </c>
      <c r="J4" t="s">
        <v>165</v>
      </c>
      <c r="L4" t="s">
        <v>35</v>
      </c>
      <c r="O4" t="s">
        <v>166</v>
      </c>
      <c r="Q4" t="s">
        <v>167</v>
      </c>
      <c r="R4" t="s">
        <v>168</v>
      </c>
      <c r="T4" t="s">
        <v>158</v>
      </c>
      <c r="U4" s="2" t="s">
        <v>169</v>
      </c>
      <c r="V4" s="2" t="s">
        <v>428</v>
      </c>
      <c r="W4" s="2">
        <f t="shared" si="0"/>
        <v>253</v>
      </c>
      <c r="X4" t="s">
        <v>104</v>
      </c>
      <c r="Y4" s="1">
        <v>13</v>
      </c>
      <c r="Z4" t="s">
        <v>170</v>
      </c>
      <c r="AA4" s="1">
        <v>401</v>
      </c>
      <c r="AB4" s="1">
        <v>40106</v>
      </c>
      <c r="AC4" s="1">
        <v>301683</v>
      </c>
      <c r="AD4" s="1">
        <v>6</v>
      </c>
      <c r="AE4" t="s">
        <v>64</v>
      </c>
      <c r="AF4" s="1">
        <v>605</v>
      </c>
      <c r="AG4" t="s">
        <v>65</v>
      </c>
      <c r="AH4" s="1">
        <v>60510</v>
      </c>
      <c r="AI4" t="s">
        <v>161</v>
      </c>
      <c r="AJ4" s="1">
        <v>6051005</v>
      </c>
      <c r="AK4" t="s">
        <v>162</v>
      </c>
      <c r="AL4" s="1">
        <v>190722</v>
      </c>
    </row>
    <row r="5" spans="1:38" x14ac:dyDescent="0.15">
      <c r="A5" s="1">
        <v>111</v>
      </c>
      <c r="B5" t="s">
        <v>31</v>
      </c>
      <c r="C5">
        <v>207385</v>
      </c>
      <c r="D5" t="s">
        <v>308</v>
      </c>
      <c r="E5" t="e">
        <v>#N/A</v>
      </c>
      <c r="F5" t="e">
        <v>#N/A</v>
      </c>
      <c r="G5">
        <v>207385</v>
      </c>
      <c r="H5">
        <v>2</v>
      </c>
      <c r="I5" s="2" t="s">
        <v>427</v>
      </c>
      <c r="J5" t="s">
        <v>309</v>
      </c>
      <c r="L5" t="s">
        <v>35</v>
      </c>
      <c r="O5" t="s">
        <v>310</v>
      </c>
      <c r="Q5" t="s">
        <v>311</v>
      </c>
      <c r="R5" t="s">
        <v>312</v>
      </c>
      <c r="T5" t="s">
        <v>313</v>
      </c>
      <c r="U5" s="2" t="s">
        <v>418</v>
      </c>
      <c r="V5" s="2" t="s">
        <v>444</v>
      </c>
      <c r="W5" s="2">
        <f t="shared" si="0"/>
        <v>247</v>
      </c>
      <c r="X5" t="s">
        <v>314</v>
      </c>
      <c r="Y5" s="1">
        <v>12</v>
      </c>
      <c r="Z5" t="s">
        <v>117</v>
      </c>
      <c r="AA5" s="1">
        <v>401</v>
      </c>
      <c r="AB5" s="1">
        <v>40104</v>
      </c>
      <c r="AC5" s="1">
        <v>303145</v>
      </c>
      <c r="AD5" s="1">
        <v>1</v>
      </c>
      <c r="AE5" t="s">
        <v>119</v>
      </c>
      <c r="AF5" s="1">
        <v>110</v>
      </c>
      <c r="AG5" t="s">
        <v>305</v>
      </c>
      <c r="AH5" s="1">
        <v>11015</v>
      </c>
      <c r="AI5" t="s">
        <v>315</v>
      </c>
      <c r="AJ5" s="1">
        <v>1101520</v>
      </c>
      <c r="AK5" t="s">
        <v>307</v>
      </c>
      <c r="AL5" s="1">
        <v>231214</v>
      </c>
    </row>
    <row r="6" spans="1:38" x14ac:dyDescent="0.15">
      <c r="A6" s="1">
        <v>111</v>
      </c>
      <c r="B6" t="s">
        <v>31</v>
      </c>
      <c r="C6" t="s">
        <v>288</v>
      </c>
      <c r="D6" t="s">
        <v>289</v>
      </c>
      <c r="E6" t="e">
        <v>#N/A</v>
      </c>
      <c r="F6" t="e">
        <v>#N/A</v>
      </c>
      <c r="G6" t="s">
        <v>288</v>
      </c>
      <c r="H6">
        <v>4</v>
      </c>
      <c r="I6" s="2" t="s">
        <v>427</v>
      </c>
      <c r="J6" t="s">
        <v>290</v>
      </c>
      <c r="L6" t="s">
        <v>35</v>
      </c>
      <c r="O6" t="s">
        <v>291</v>
      </c>
      <c r="Q6" t="s">
        <v>292</v>
      </c>
      <c r="R6" t="s">
        <v>293</v>
      </c>
      <c r="T6" t="s">
        <v>294</v>
      </c>
      <c r="U6" s="2" t="s">
        <v>403</v>
      </c>
      <c r="V6" s="2" t="s">
        <v>445</v>
      </c>
      <c r="W6" s="2">
        <f t="shared" si="0"/>
        <v>252</v>
      </c>
      <c r="X6" t="s">
        <v>171</v>
      </c>
      <c r="Y6" s="1">
        <v>12</v>
      </c>
      <c r="Z6" t="s">
        <v>174</v>
      </c>
      <c r="AA6" s="1">
        <v>401</v>
      </c>
      <c r="AB6" s="1">
        <v>40112</v>
      </c>
      <c r="AC6" s="1">
        <v>301713</v>
      </c>
      <c r="AD6" s="1">
        <v>6</v>
      </c>
      <c r="AE6" t="s">
        <v>64</v>
      </c>
      <c r="AF6" s="1">
        <v>610</v>
      </c>
      <c r="AG6" t="s">
        <v>76</v>
      </c>
      <c r="AH6" s="1">
        <v>61005</v>
      </c>
      <c r="AI6" t="s">
        <v>77</v>
      </c>
      <c r="AJ6" s="1">
        <v>6100525</v>
      </c>
      <c r="AK6" t="s">
        <v>295</v>
      </c>
      <c r="AL6" s="1">
        <v>200701</v>
      </c>
    </row>
    <row r="7" spans="1:38" x14ac:dyDescent="0.15">
      <c r="A7" s="1">
        <v>111</v>
      </c>
      <c r="B7" t="s">
        <v>31</v>
      </c>
      <c r="C7" t="s">
        <v>110</v>
      </c>
      <c r="D7" t="s">
        <v>111</v>
      </c>
      <c r="E7" t="e">
        <v>#N/A</v>
      </c>
      <c r="F7" t="e">
        <v>#N/A</v>
      </c>
      <c r="G7" t="e">
        <v>#N/A</v>
      </c>
      <c r="H7" t="s">
        <v>411</v>
      </c>
      <c r="I7" s="2" t="s">
        <v>427</v>
      </c>
      <c r="J7" t="s">
        <v>112</v>
      </c>
      <c r="L7" t="s">
        <v>56</v>
      </c>
      <c r="N7" t="s">
        <v>99</v>
      </c>
      <c r="O7" t="s">
        <v>113</v>
      </c>
      <c r="Q7" t="s">
        <v>114</v>
      </c>
      <c r="T7" t="s">
        <v>102</v>
      </c>
      <c r="U7" s="2" t="s">
        <v>115</v>
      </c>
      <c r="V7" s="2" t="s">
        <v>446</v>
      </c>
      <c r="W7" s="2">
        <f t="shared" si="0"/>
        <v>246</v>
      </c>
      <c r="X7" t="s">
        <v>104</v>
      </c>
      <c r="Y7" s="1">
        <v>12</v>
      </c>
      <c r="Z7" t="s">
        <v>105</v>
      </c>
      <c r="AA7" s="1">
        <v>405</v>
      </c>
      <c r="AB7" s="1">
        <v>40501</v>
      </c>
      <c r="AC7" s="1">
        <v>205754</v>
      </c>
      <c r="AD7" s="1">
        <v>20</v>
      </c>
      <c r="AE7" t="s">
        <v>106</v>
      </c>
      <c r="AF7" s="1">
        <v>2013</v>
      </c>
      <c r="AG7" t="s">
        <v>107</v>
      </c>
      <c r="AH7" s="1">
        <v>201350</v>
      </c>
      <c r="AI7" t="s">
        <v>108</v>
      </c>
      <c r="AJ7" s="1">
        <v>20135010</v>
      </c>
      <c r="AK7" t="s">
        <v>109</v>
      </c>
      <c r="AL7" s="1">
        <v>230623</v>
      </c>
    </row>
    <row r="8" spans="1:38" x14ac:dyDescent="0.15">
      <c r="A8" s="1">
        <v>111</v>
      </c>
      <c r="B8" t="s">
        <v>31</v>
      </c>
      <c r="C8" t="s">
        <v>96</v>
      </c>
      <c r="D8" t="s">
        <v>97</v>
      </c>
      <c r="E8" t="e">
        <v>#N/A</v>
      </c>
      <c r="F8" t="e">
        <v>#N/A</v>
      </c>
      <c r="G8" t="e">
        <v>#N/A</v>
      </c>
      <c r="H8" t="s">
        <v>411</v>
      </c>
      <c r="I8" s="2" t="s">
        <v>427</v>
      </c>
      <c r="J8" t="s">
        <v>98</v>
      </c>
      <c r="L8" t="s">
        <v>56</v>
      </c>
      <c r="N8" t="s">
        <v>99</v>
      </c>
      <c r="O8" t="s">
        <v>100</v>
      </c>
      <c r="Q8" t="s">
        <v>101</v>
      </c>
      <c r="T8" t="s">
        <v>102</v>
      </c>
      <c r="U8" s="2" t="s">
        <v>103</v>
      </c>
      <c r="V8" s="2" t="s">
        <v>447</v>
      </c>
      <c r="W8" s="2">
        <f t="shared" si="0"/>
        <v>244</v>
      </c>
      <c r="X8" t="s">
        <v>104</v>
      </c>
      <c r="Y8" s="1">
        <v>12</v>
      </c>
      <c r="Z8" t="s">
        <v>105</v>
      </c>
      <c r="AA8" s="1">
        <v>405</v>
      </c>
      <c r="AB8" s="1">
        <v>40501</v>
      </c>
      <c r="AC8" s="1">
        <v>205754</v>
      </c>
      <c r="AD8" s="1">
        <v>20</v>
      </c>
      <c r="AE8" t="s">
        <v>106</v>
      </c>
      <c r="AF8" s="1">
        <v>2013</v>
      </c>
      <c r="AG8" t="s">
        <v>107</v>
      </c>
      <c r="AH8" s="1">
        <v>201350</v>
      </c>
      <c r="AI8" t="s">
        <v>108</v>
      </c>
      <c r="AJ8" s="1">
        <v>20135010</v>
      </c>
      <c r="AK8" t="s">
        <v>109</v>
      </c>
      <c r="AL8" s="1">
        <v>230623</v>
      </c>
    </row>
    <row r="9" spans="1:38" x14ac:dyDescent="0.15">
      <c r="A9" s="1">
        <v>111</v>
      </c>
      <c r="B9" t="s">
        <v>31</v>
      </c>
      <c r="C9">
        <v>171245</v>
      </c>
      <c r="D9" t="s">
        <v>142</v>
      </c>
      <c r="E9" t="e">
        <v>#N/A</v>
      </c>
      <c r="F9" t="e">
        <v>#N/A</v>
      </c>
      <c r="G9" t="e">
        <v>#N/A</v>
      </c>
      <c r="H9">
        <v>2</v>
      </c>
      <c r="I9" s="2" t="s">
        <v>427</v>
      </c>
      <c r="J9" t="s">
        <v>143</v>
      </c>
      <c r="L9" t="s">
        <v>35</v>
      </c>
      <c r="O9" t="s">
        <v>144</v>
      </c>
      <c r="Q9" t="s">
        <v>145</v>
      </c>
      <c r="S9" t="s">
        <v>136</v>
      </c>
      <c r="T9" t="s">
        <v>146</v>
      </c>
      <c r="U9" s="2" t="s">
        <v>414</v>
      </c>
      <c r="V9" s="2" t="s">
        <v>448</v>
      </c>
      <c r="W9" s="2">
        <f t="shared" si="0"/>
        <v>223</v>
      </c>
      <c r="X9" t="s">
        <v>147</v>
      </c>
      <c r="Y9" s="1">
        <v>12</v>
      </c>
      <c r="Z9" t="s">
        <v>117</v>
      </c>
      <c r="AA9" s="1">
        <v>403</v>
      </c>
      <c r="AB9" s="1">
        <v>40302</v>
      </c>
      <c r="AC9" s="1">
        <v>216044</v>
      </c>
      <c r="AD9" s="1">
        <v>12</v>
      </c>
      <c r="AE9" t="s">
        <v>148</v>
      </c>
      <c r="AF9" s="1">
        <v>1225</v>
      </c>
      <c r="AG9" t="s">
        <v>149</v>
      </c>
      <c r="AH9" s="1">
        <v>122505</v>
      </c>
      <c r="AI9" t="s">
        <v>150</v>
      </c>
      <c r="AJ9" s="1">
        <v>12250505</v>
      </c>
      <c r="AK9" t="s">
        <v>151</v>
      </c>
      <c r="AL9" s="1">
        <v>221222</v>
      </c>
    </row>
    <row r="10" spans="1:38" x14ac:dyDescent="0.15">
      <c r="A10" s="1">
        <v>111</v>
      </c>
      <c r="B10" t="s">
        <v>31</v>
      </c>
      <c r="C10">
        <v>207485</v>
      </c>
      <c r="D10" t="s">
        <v>316</v>
      </c>
      <c r="E10" t="e">
        <v>#N/A</v>
      </c>
      <c r="F10" t="e">
        <v>#N/A</v>
      </c>
      <c r="G10">
        <v>207485</v>
      </c>
      <c r="H10">
        <v>2</v>
      </c>
      <c r="I10" s="2" t="s">
        <v>427</v>
      </c>
      <c r="J10" t="s">
        <v>317</v>
      </c>
      <c r="L10" t="s">
        <v>35</v>
      </c>
      <c r="O10" t="s">
        <v>318</v>
      </c>
      <c r="Q10" t="s">
        <v>319</v>
      </c>
      <c r="R10" t="s">
        <v>118</v>
      </c>
      <c r="T10" t="s">
        <v>320</v>
      </c>
      <c r="U10" s="2" t="s">
        <v>419</v>
      </c>
      <c r="V10" s="2" t="s">
        <v>449</v>
      </c>
      <c r="W10" s="2">
        <f t="shared" si="0"/>
        <v>224</v>
      </c>
      <c r="X10" t="s">
        <v>314</v>
      </c>
      <c r="Y10" s="1">
        <v>12</v>
      </c>
      <c r="Z10" t="s">
        <v>117</v>
      </c>
      <c r="AA10" s="1">
        <v>401</v>
      </c>
      <c r="AB10" s="1">
        <v>40104</v>
      </c>
      <c r="AC10" s="1">
        <v>303145</v>
      </c>
      <c r="AD10" s="1">
        <v>1</v>
      </c>
      <c r="AE10" t="s">
        <v>119</v>
      </c>
      <c r="AF10" s="1">
        <v>110</v>
      </c>
      <c r="AG10" t="s">
        <v>305</v>
      </c>
      <c r="AH10" s="1">
        <v>11015</v>
      </c>
      <c r="AI10" t="s">
        <v>315</v>
      </c>
      <c r="AJ10" s="1">
        <v>1101515</v>
      </c>
      <c r="AK10" t="s">
        <v>321</v>
      </c>
      <c r="AL10" s="1">
        <v>231214</v>
      </c>
    </row>
    <row r="11" spans="1:38" x14ac:dyDescent="0.15">
      <c r="A11" s="1">
        <v>111</v>
      </c>
      <c r="B11" t="s">
        <v>31</v>
      </c>
      <c r="C11" t="s">
        <v>373</v>
      </c>
      <c r="D11" t="s">
        <v>374</v>
      </c>
      <c r="E11" t="e">
        <v>#N/A</v>
      </c>
      <c r="F11" t="e">
        <v>#N/A</v>
      </c>
      <c r="G11" t="e">
        <v>#N/A</v>
      </c>
      <c r="H11">
        <v>4</v>
      </c>
      <c r="I11" s="2" t="s">
        <v>427</v>
      </c>
      <c r="J11" t="s">
        <v>375</v>
      </c>
      <c r="K11" t="s">
        <v>376</v>
      </c>
      <c r="O11" t="s">
        <v>377</v>
      </c>
      <c r="Q11" t="s">
        <v>378</v>
      </c>
      <c r="T11" t="s">
        <v>366</v>
      </c>
      <c r="U11" s="2" t="s">
        <v>379</v>
      </c>
      <c r="V11" s="2" t="s">
        <v>450</v>
      </c>
      <c r="W11" s="2">
        <f t="shared" si="0"/>
        <v>221</v>
      </c>
      <c r="X11" t="s">
        <v>380</v>
      </c>
      <c r="Y11" s="1">
        <v>12</v>
      </c>
      <c r="Z11" t="s">
        <v>174</v>
      </c>
      <c r="AA11" s="1">
        <v>418</v>
      </c>
      <c r="AB11" s="1">
        <v>41801</v>
      </c>
      <c r="AC11" s="1">
        <v>112203</v>
      </c>
      <c r="AD11" s="1">
        <v>49</v>
      </c>
      <c r="AE11" t="s">
        <v>369</v>
      </c>
      <c r="AF11" s="1">
        <v>4950</v>
      </c>
      <c r="AG11" t="s">
        <v>370</v>
      </c>
      <c r="AH11" s="1">
        <v>495055</v>
      </c>
      <c r="AI11" t="s">
        <v>371</v>
      </c>
      <c r="AJ11" s="1">
        <v>49505505</v>
      </c>
      <c r="AK11" t="s">
        <v>372</v>
      </c>
      <c r="AL11" s="1">
        <v>260710</v>
      </c>
    </row>
    <row r="12" spans="1:38" x14ac:dyDescent="0.15">
      <c r="A12" s="1">
        <v>111</v>
      </c>
      <c r="B12" t="s">
        <v>31</v>
      </c>
      <c r="C12" t="s">
        <v>131</v>
      </c>
      <c r="D12" t="s">
        <v>132</v>
      </c>
      <c r="E12" t="e">
        <v>#N/A</v>
      </c>
      <c r="F12" t="e">
        <v>#N/A</v>
      </c>
      <c r="G12" t="e">
        <v>#N/A</v>
      </c>
      <c r="H12">
        <v>2</v>
      </c>
      <c r="I12" s="2" t="s">
        <v>427</v>
      </c>
      <c r="J12" t="s">
        <v>133</v>
      </c>
      <c r="L12" t="s">
        <v>35</v>
      </c>
      <c r="O12" t="s">
        <v>134</v>
      </c>
      <c r="Q12" t="s">
        <v>135</v>
      </c>
      <c r="S12" t="s">
        <v>136</v>
      </c>
      <c r="T12" t="s">
        <v>137</v>
      </c>
      <c r="U12" s="2" t="s">
        <v>413</v>
      </c>
      <c r="V12" s="2" t="s">
        <v>451</v>
      </c>
      <c r="W12" s="2">
        <f t="shared" si="0"/>
        <v>210</v>
      </c>
      <c r="X12" t="s">
        <v>138</v>
      </c>
      <c r="Y12" s="1">
        <v>12</v>
      </c>
      <c r="Z12" t="s">
        <v>117</v>
      </c>
      <c r="AA12" s="1">
        <v>405</v>
      </c>
      <c r="AB12" s="1">
        <v>40504</v>
      </c>
      <c r="AC12" s="1">
        <v>406605</v>
      </c>
      <c r="AD12" s="1">
        <v>21</v>
      </c>
      <c r="AE12" t="s">
        <v>139</v>
      </c>
      <c r="AF12" s="1">
        <v>2105</v>
      </c>
      <c r="AG12" t="s">
        <v>140</v>
      </c>
      <c r="AH12" s="1">
        <v>210590</v>
      </c>
      <c r="AI12" t="s">
        <v>141</v>
      </c>
      <c r="AJ12" s="1">
        <v>21059005</v>
      </c>
      <c r="AK12" t="s">
        <v>141</v>
      </c>
      <c r="AL12" s="1">
        <v>210902</v>
      </c>
    </row>
    <row r="13" spans="1:38" x14ac:dyDescent="0.15">
      <c r="A13" s="1">
        <v>111</v>
      </c>
      <c r="B13" t="s">
        <v>31</v>
      </c>
      <c r="C13" t="s">
        <v>68</v>
      </c>
      <c r="D13" t="s">
        <v>69</v>
      </c>
      <c r="E13" t="e">
        <v>#N/A</v>
      </c>
      <c r="F13" t="e">
        <v>#N/A</v>
      </c>
      <c r="G13" t="e">
        <v>#N/A</v>
      </c>
      <c r="H13" t="s">
        <v>411</v>
      </c>
      <c r="I13" s="2" t="s">
        <v>427</v>
      </c>
      <c r="J13" t="s">
        <v>70</v>
      </c>
      <c r="K13" t="s">
        <v>70</v>
      </c>
      <c r="L13" t="s">
        <v>56</v>
      </c>
      <c r="N13" t="s">
        <v>57</v>
      </c>
      <c r="O13" t="s">
        <v>71</v>
      </c>
      <c r="Q13" t="s">
        <v>72</v>
      </c>
      <c r="T13" t="s">
        <v>73</v>
      </c>
      <c r="U13" s="2" t="s">
        <v>74</v>
      </c>
      <c r="V13" s="2" t="s">
        <v>452</v>
      </c>
      <c r="W13" s="2">
        <f t="shared" si="0"/>
        <v>208</v>
      </c>
      <c r="X13" t="s">
        <v>75</v>
      </c>
      <c r="Y13" s="1">
        <v>12</v>
      </c>
      <c r="Z13" t="s">
        <v>63</v>
      </c>
      <c r="AA13" s="1">
        <v>401</v>
      </c>
      <c r="AB13" s="1">
        <v>40101</v>
      </c>
      <c r="AC13" s="1">
        <v>301692</v>
      </c>
      <c r="AD13" s="1">
        <v>6</v>
      </c>
      <c r="AE13" t="s">
        <v>64</v>
      </c>
      <c r="AF13" s="1">
        <v>610</v>
      </c>
      <c r="AG13" t="s">
        <v>76</v>
      </c>
      <c r="AH13" s="1">
        <v>61005</v>
      </c>
      <c r="AI13" t="s">
        <v>77</v>
      </c>
      <c r="AJ13" s="1">
        <v>6100530</v>
      </c>
      <c r="AK13" t="s">
        <v>78</v>
      </c>
      <c r="AL13" s="1">
        <v>260703</v>
      </c>
    </row>
    <row r="14" spans="1:38" x14ac:dyDescent="0.15">
      <c r="A14" s="1">
        <v>111</v>
      </c>
      <c r="B14" t="s">
        <v>31</v>
      </c>
      <c r="C14" t="s">
        <v>46</v>
      </c>
      <c r="D14" t="s">
        <v>47</v>
      </c>
      <c r="E14" t="e">
        <v>#N/A</v>
      </c>
      <c r="F14" t="e">
        <v>#N/A</v>
      </c>
      <c r="G14" t="e">
        <v>#N/A</v>
      </c>
      <c r="H14">
        <v>4</v>
      </c>
      <c r="I14" s="2" t="s">
        <v>427</v>
      </c>
      <c r="J14" t="s">
        <v>48</v>
      </c>
      <c r="L14" t="s">
        <v>35</v>
      </c>
      <c r="O14" t="s">
        <v>49</v>
      </c>
      <c r="Q14" t="s">
        <v>50</v>
      </c>
      <c r="T14" t="s">
        <v>38</v>
      </c>
      <c r="U14" s="2" t="s">
        <v>51</v>
      </c>
      <c r="V14" s="2" t="s">
        <v>429</v>
      </c>
      <c r="W14" s="2">
        <f t="shared" si="0"/>
        <v>205</v>
      </c>
      <c r="X14" t="s">
        <v>52</v>
      </c>
      <c r="Y14" s="1">
        <v>12</v>
      </c>
      <c r="Z14" t="s">
        <v>41</v>
      </c>
      <c r="AA14" s="1">
        <v>415</v>
      </c>
      <c r="AB14" s="1">
        <v>41502</v>
      </c>
      <c r="AC14" s="1">
        <v>100691</v>
      </c>
      <c r="AD14" s="1">
        <v>17</v>
      </c>
      <c r="AE14" t="s">
        <v>42</v>
      </c>
      <c r="AF14" s="1">
        <v>1716</v>
      </c>
      <c r="AG14" t="s">
        <v>43</v>
      </c>
      <c r="AH14" s="1">
        <v>171610</v>
      </c>
      <c r="AI14" t="s">
        <v>44</v>
      </c>
      <c r="AJ14" s="1">
        <v>17161035</v>
      </c>
      <c r="AK14" t="s">
        <v>45</v>
      </c>
      <c r="AL14" s="1">
        <v>211224</v>
      </c>
    </row>
    <row r="15" spans="1:38" x14ac:dyDescent="0.15">
      <c r="A15" s="1">
        <v>111</v>
      </c>
      <c r="B15" t="s">
        <v>31</v>
      </c>
      <c r="C15" t="s">
        <v>258</v>
      </c>
      <c r="D15" t="s">
        <v>259</v>
      </c>
      <c r="E15" t="e">
        <v>#N/A</v>
      </c>
      <c r="F15" t="e">
        <v>#N/A</v>
      </c>
      <c r="G15" t="e">
        <v>#N/A</v>
      </c>
      <c r="H15">
        <v>4</v>
      </c>
      <c r="I15" s="2" t="s">
        <v>427</v>
      </c>
      <c r="J15" t="s">
        <v>260</v>
      </c>
      <c r="K15" t="s">
        <v>260</v>
      </c>
      <c r="O15" t="s">
        <v>261</v>
      </c>
      <c r="Q15" t="s">
        <v>262</v>
      </c>
      <c r="R15" t="s">
        <v>263</v>
      </c>
      <c r="T15" t="s">
        <v>264</v>
      </c>
      <c r="U15" s="2" t="s">
        <v>265</v>
      </c>
      <c r="V15" s="2" t="s">
        <v>453</v>
      </c>
      <c r="W15" s="2">
        <f t="shared" si="0"/>
        <v>203</v>
      </c>
      <c r="X15" t="s">
        <v>266</v>
      </c>
      <c r="Y15" s="1">
        <v>12</v>
      </c>
      <c r="Z15" t="s">
        <v>174</v>
      </c>
      <c r="AA15" s="1">
        <v>420</v>
      </c>
      <c r="AB15" s="1">
        <v>42002</v>
      </c>
      <c r="AC15" s="1">
        <v>101870</v>
      </c>
      <c r="AD15" s="1">
        <v>44</v>
      </c>
      <c r="AE15" t="s">
        <v>193</v>
      </c>
      <c r="AF15" s="1">
        <v>4411</v>
      </c>
      <c r="AG15" t="s">
        <v>267</v>
      </c>
      <c r="AH15" s="1">
        <v>441112</v>
      </c>
      <c r="AI15" t="s">
        <v>268</v>
      </c>
      <c r="AJ15" s="1">
        <v>44111214</v>
      </c>
      <c r="AK15" t="s">
        <v>172</v>
      </c>
      <c r="AL15" s="1">
        <v>210414</v>
      </c>
    </row>
    <row r="16" spans="1:38" x14ac:dyDescent="0.15">
      <c r="A16" s="1">
        <v>111</v>
      </c>
      <c r="B16" t="s">
        <v>31</v>
      </c>
      <c r="C16" t="s">
        <v>361</v>
      </c>
      <c r="D16" t="s">
        <v>362</v>
      </c>
      <c r="E16" t="e">
        <v>#N/A</v>
      </c>
      <c r="F16" t="e">
        <v>#N/A</v>
      </c>
      <c r="G16" t="e">
        <v>#N/A</v>
      </c>
      <c r="H16">
        <v>4</v>
      </c>
      <c r="I16" s="2" t="s">
        <v>427</v>
      </c>
      <c r="J16" t="s">
        <v>363</v>
      </c>
      <c r="K16" t="s">
        <v>363</v>
      </c>
      <c r="O16" t="s">
        <v>364</v>
      </c>
      <c r="Q16" t="s">
        <v>365</v>
      </c>
      <c r="T16" t="s">
        <v>366</v>
      </c>
      <c r="U16" s="2" t="s">
        <v>367</v>
      </c>
      <c r="V16" s="2" t="s">
        <v>454</v>
      </c>
      <c r="W16" s="2">
        <f t="shared" si="0"/>
        <v>197</v>
      </c>
      <c r="X16" t="s">
        <v>368</v>
      </c>
      <c r="Y16" s="1">
        <v>12</v>
      </c>
      <c r="Z16" t="s">
        <v>174</v>
      </c>
      <c r="AA16" s="1">
        <v>418</v>
      </c>
      <c r="AB16" s="1">
        <v>41801</v>
      </c>
      <c r="AC16" s="1">
        <v>112203</v>
      </c>
      <c r="AD16" s="1">
        <v>49</v>
      </c>
      <c r="AE16" t="s">
        <v>369</v>
      </c>
      <c r="AF16" s="1">
        <v>4950</v>
      </c>
      <c r="AG16" t="s">
        <v>370</v>
      </c>
      <c r="AH16" s="1">
        <v>495055</v>
      </c>
      <c r="AI16" t="s">
        <v>371</v>
      </c>
      <c r="AJ16" s="1">
        <v>49505505</v>
      </c>
      <c r="AK16" t="s">
        <v>372</v>
      </c>
      <c r="AL16" s="1">
        <v>260724</v>
      </c>
    </row>
    <row r="17" spans="1:38" x14ac:dyDescent="0.15">
      <c r="A17" s="1">
        <v>111</v>
      </c>
      <c r="B17" t="s">
        <v>31</v>
      </c>
      <c r="C17" t="s">
        <v>152</v>
      </c>
      <c r="D17" t="s">
        <v>153</v>
      </c>
      <c r="E17" t="e">
        <v>#N/A</v>
      </c>
      <c r="F17" t="e">
        <v>#N/A</v>
      </c>
      <c r="G17" t="e">
        <v>#N/A</v>
      </c>
      <c r="H17">
        <v>4</v>
      </c>
      <c r="I17" s="2" t="s">
        <v>427</v>
      </c>
      <c r="J17" t="s">
        <v>154</v>
      </c>
      <c r="L17" t="s">
        <v>35</v>
      </c>
      <c r="O17" t="s">
        <v>155</v>
      </c>
      <c r="Q17" t="s">
        <v>156</v>
      </c>
      <c r="R17" t="s">
        <v>157</v>
      </c>
      <c r="T17" t="s">
        <v>158</v>
      </c>
      <c r="U17" s="2" t="s">
        <v>159</v>
      </c>
      <c r="V17" s="2" t="s">
        <v>430</v>
      </c>
      <c r="W17" s="2">
        <f t="shared" si="0"/>
        <v>193</v>
      </c>
      <c r="X17" t="s">
        <v>160</v>
      </c>
      <c r="Y17" s="1">
        <v>13</v>
      </c>
      <c r="Z17" t="s">
        <v>88</v>
      </c>
      <c r="AA17" s="1">
        <v>401</v>
      </c>
      <c r="AB17" s="1">
        <v>40106</v>
      </c>
      <c r="AC17" s="1">
        <v>301683</v>
      </c>
      <c r="AD17" s="1">
        <v>6</v>
      </c>
      <c r="AE17" t="s">
        <v>64</v>
      </c>
      <c r="AF17" s="1">
        <v>605</v>
      </c>
      <c r="AG17" t="s">
        <v>65</v>
      </c>
      <c r="AH17" s="1">
        <v>60510</v>
      </c>
      <c r="AI17" t="s">
        <v>161</v>
      </c>
      <c r="AJ17" s="1">
        <v>6051005</v>
      </c>
      <c r="AK17" t="s">
        <v>162</v>
      </c>
      <c r="AL17" s="1">
        <v>191022</v>
      </c>
    </row>
    <row r="18" spans="1:38" x14ac:dyDescent="0.15">
      <c r="A18" s="1">
        <v>111</v>
      </c>
      <c r="B18" t="s">
        <v>31</v>
      </c>
      <c r="C18" t="s">
        <v>32</v>
      </c>
      <c r="D18" t="s">
        <v>33</v>
      </c>
      <c r="E18" t="e">
        <v>#N/A</v>
      </c>
      <c r="F18" t="e">
        <v>#N/A</v>
      </c>
      <c r="G18" t="e">
        <v>#N/A</v>
      </c>
      <c r="H18">
        <v>4</v>
      </c>
      <c r="I18" s="2" t="s">
        <v>427</v>
      </c>
      <c r="J18" t="s">
        <v>34</v>
      </c>
      <c r="L18" t="s">
        <v>35</v>
      </c>
      <c r="O18" t="s">
        <v>36</v>
      </c>
      <c r="Q18" t="s">
        <v>37</v>
      </c>
      <c r="T18" t="s">
        <v>38</v>
      </c>
      <c r="U18" s="2" t="s">
        <v>39</v>
      </c>
      <c r="V18" s="2" t="s">
        <v>431</v>
      </c>
      <c r="W18" s="2">
        <f t="shared" si="0"/>
        <v>190</v>
      </c>
      <c r="X18" t="s">
        <v>40</v>
      </c>
      <c r="Y18" s="1">
        <v>12</v>
      </c>
      <c r="Z18" t="s">
        <v>41</v>
      </c>
      <c r="AA18" s="1">
        <v>415</v>
      </c>
      <c r="AB18" s="1">
        <v>41502</v>
      </c>
      <c r="AC18" s="1">
        <v>101870</v>
      </c>
      <c r="AD18" s="1">
        <v>17</v>
      </c>
      <c r="AE18" t="s">
        <v>42</v>
      </c>
      <c r="AF18" s="1">
        <v>1716</v>
      </c>
      <c r="AG18" t="s">
        <v>43</v>
      </c>
      <c r="AH18" s="1">
        <v>171610</v>
      </c>
      <c r="AI18" t="s">
        <v>44</v>
      </c>
      <c r="AJ18" s="1">
        <v>17161035</v>
      </c>
      <c r="AK18" t="s">
        <v>45</v>
      </c>
      <c r="AL18" s="1">
        <v>211224</v>
      </c>
    </row>
    <row r="19" spans="1:38" x14ac:dyDescent="0.15">
      <c r="A19" s="1">
        <v>111</v>
      </c>
      <c r="B19" t="s">
        <v>31</v>
      </c>
      <c r="C19" t="s">
        <v>53</v>
      </c>
      <c r="D19" t="s">
        <v>54</v>
      </c>
      <c r="E19" t="e">
        <v>#N/A</v>
      </c>
      <c r="F19" t="e">
        <v>#N/A</v>
      </c>
      <c r="G19" t="e">
        <v>#N/A</v>
      </c>
      <c r="H19" t="s">
        <v>411</v>
      </c>
      <c r="I19" s="2" t="s">
        <v>427</v>
      </c>
      <c r="J19" t="s">
        <v>55</v>
      </c>
      <c r="K19" t="s">
        <v>55</v>
      </c>
      <c r="L19" t="s">
        <v>56</v>
      </c>
      <c r="N19" t="s">
        <v>57</v>
      </c>
      <c r="O19" t="s">
        <v>58</v>
      </c>
      <c r="Q19" t="s">
        <v>59</v>
      </c>
      <c r="T19" t="s">
        <v>60</v>
      </c>
      <c r="U19" s="2" t="s">
        <v>61</v>
      </c>
      <c r="V19" s="2" t="s">
        <v>455</v>
      </c>
      <c r="W19" s="2">
        <f t="shared" si="0"/>
        <v>189</v>
      </c>
      <c r="X19" t="s">
        <v>62</v>
      </c>
      <c r="Y19" s="1">
        <v>12</v>
      </c>
      <c r="Z19" t="s">
        <v>63</v>
      </c>
      <c r="AA19" s="1">
        <v>401</v>
      </c>
      <c r="AB19" s="1">
        <v>40109</v>
      </c>
      <c r="AC19" s="1">
        <v>401712</v>
      </c>
      <c r="AD19" s="1">
        <v>6</v>
      </c>
      <c r="AE19" t="s">
        <v>64</v>
      </c>
      <c r="AF19" s="1">
        <v>605</v>
      </c>
      <c r="AG19" t="s">
        <v>65</v>
      </c>
      <c r="AH19" s="1">
        <v>60525</v>
      </c>
      <c r="AI19" t="s">
        <v>66</v>
      </c>
      <c r="AJ19" s="1">
        <v>6052515</v>
      </c>
      <c r="AK19" t="s">
        <v>67</v>
      </c>
      <c r="AL19" s="1">
        <v>241115</v>
      </c>
    </row>
    <row r="20" spans="1:38" x14ac:dyDescent="0.15">
      <c r="A20" s="1">
        <v>111</v>
      </c>
      <c r="B20" t="s">
        <v>31</v>
      </c>
      <c r="C20" t="s">
        <v>79</v>
      </c>
      <c r="D20" t="s">
        <v>80</v>
      </c>
      <c r="E20" t="e">
        <v>#N/A</v>
      </c>
      <c r="F20" t="e">
        <v>#N/A</v>
      </c>
      <c r="G20" t="e">
        <v>#N/A</v>
      </c>
      <c r="H20" t="s">
        <v>411</v>
      </c>
      <c r="I20" s="2" t="s">
        <v>427</v>
      </c>
      <c r="J20" t="s">
        <v>81</v>
      </c>
      <c r="L20" t="s">
        <v>56</v>
      </c>
      <c r="N20" t="s">
        <v>82</v>
      </c>
      <c r="O20" t="s">
        <v>83</v>
      </c>
      <c r="Q20" t="s">
        <v>84</v>
      </c>
      <c r="T20" t="s">
        <v>85</v>
      </c>
      <c r="U20" s="2" t="s">
        <v>86</v>
      </c>
      <c r="V20" s="2" t="s">
        <v>456</v>
      </c>
      <c r="W20" s="2">
        <f t="shared" si="0"/>
        <v>172</v>
      </c>
      <c r="X20" t="s">
        <v>87</v>
      </c>
      <c r="Y20" s="1">
        <v>12</v>
      </c>
      <c r="Z20" t="s">
        <v>88</v>
      </c>
      <c r="AA20" s="1">
        <v>401</v>
      </c>
      <c r="AB20" s="1">
        <v>40101</v>
      </c>
      <c r="AC20" s="1">
        <v>205749</v>
      </c>
      <c r="AD20" s="1">
        <v>6</v>
      </c>
      <c r="AE20" t="s">
        <v>64</v>
      </c>
      <c r="AF20" s="1">
        <v>610</v>
      </c>
      <c r="AG20" t="s">
        <v>76</v>
      </c>
      <c r="AH20" s="1">
        <v>61090</v>
      </c>
      <c r="AI20" t="s">
        <v>89</v>
      </c>
      <c r="AJ20" s="1">
        <v>6109005</v>
      </c>
      <c r="AK20" t="s">
        <v>89</v>
      </c>
      <c r="AL20" s="1">
        <v>200709</v>
      </c>
    </row>
    <row r="21" spans="1:38" x14ac:dyDescent="0.15">
      <c r="A21" s="1">
        <v>111</v>
      </c>
      <c r="B21" t="s">
        <v>31</v>
      </c>
      <c r="C21" t="s">
        <v>90</v>
      </c>
      <c r="D21" t="s">
        <v>91</v>
      </c>
      <c r="E21" t="e">
        <v>#N/A</v>
      </c>
      <c r="F21" t="e">
        <v>#N/A</v>
      </c>
      <c r="G21" t="e">
        <v>#N/A</v>
      </c>
      <c r="H21" t="s">
        <v>411</v>
      </c>
      <c r="I21" s="2" t="s">
        <v>427</v>
      </c>
      <c r="J21" t="s">
        <v>92</v>
      </c>
      <c r="L21" t="s">
        <v>56</v>
      </c>
      <c r="N21" t="s">
        <v>82</v>
      </c>
      <c r="O21" t="s">
        <v>93</v>
      </c>
      <c r="Q21" t="s">
        <v>94</v>
      </c>
      <c r="T21" t="s">
        <v>85</v>
      </c>
      <c r="U21" s="2" t="s">
        <v>95</v>
      </c>
      <c r="V21" s="2" t="s">
        <v>457</v>
      </c>
      <c r="W21" s="2">
        <f t="shared" si="0"/>
        <v>172</v>
      </c>
      <c r="X21" t="s">
        <v>87</v>
      </c>
      <c r="Y21" s="1">
        <v>12</v>
      </c>
      <c r="Z21" t="s">
        <v>88</v>
      </c>
      <c r="AA21" s="1">
        <v>401</v>
      </c>
      <c r="AB21" s="1">
        <v>40101</v>
      </c>
      <c r="AC21" s="1">
        <v>205749</v>
      </c>
      <c r="AD21" s="1">
        <v>6</v>
      </c>
      <c r="AE21" t="s">
        <v>64</v>
      </c>
      <c r="AF21" s="1">
        <v>610</v>
      </c>
      <c r="AG21" t="s">
        <v>76</v>
      </c>
      <c r="AH21" s="1">
        <v>61090</v>
      </c>
      <c r="AI21" t="s">
        <v>89</v>
      </c>
      <c r="AJ21" s="1">
        <v>6109005</v>
      </c>
      <c r="AK21" t="s">
        <v>89</v>
      </c>
      <c r="AL21" s="1">
        <v>200709</v>
      </c>
    </row>
    <row r="22" spans="1:38" x14ac:dyDescent="0.15">
      <c r="A22" s="1">
        <v>111</v>
      </c>
      <c r="B22" t="s">
        <v>31</v>
      </c>
      <c r="C22" t="s">
        <v>355</v>
      </c>
      <c r="D22" t="s">
        <v>356</v>
      </c>
      <c r="E22" t="e">
        <v>#N/A</v>
      </c>
      <c r="F22" t="e">
        <v>#N/A</v>
      </c>
      <c r="G22" t="e">
        <v>#N/A</v>
      </c>
      <c r="H22">
        <v>4</v>
      </c>
      <c r="I22" s="2" t="s">
        <v>427</v>
      </c>
      <c r="J22" t="s">
        <v>357</v>
      </c>
      <c r="K22" t="s">
        <v>357</v>
      </c>
      <c r="L22" t="s">
        <v>35</v>
      </c>
      <c r="O22" t="s">
        <v>358</v>
      </c>
      <c r="Q22" t="s">
        <v>359</v>
      </c>
      <c r="T22" t="s">
        <v>352</v>
      </c>
      <c r="U22" s="2" t="s">
        <v>409</v>
      </c>
      <c r="V22" s="2" t="s">
        <v>432</v>
      </c>
      <c r="W22" s="2">
        <f t="shared" si="0"/>
        <v>171</v>
      </c>
      <c r="X22" t="s">
        <v>353</v>
      </c>
      <c r="Y22" s="1">
        <v>12</v>
      </c>
      <c r="Z22" t="s">
        <v>360</v>
      </c>
      <c r="AA22" s="1">
        <v>408</v>
      </c>
      <c r="AB22" s="1">
        <v>40806</v>
      </c>
      <c r="AC22" s="1">
        <v>216173</v>
      </c>
      <c r="AD22" s="1">
        <v>13</v>
      </c>
      <c r="AE22" t="s">
        <v>128</v>
      </c>
      <c r="AF22" s="1">
        <v>1310</v>
      </c>
      <c r="AG22" t="s">
        <v>285</v>
      </c>
      <c r="AH22" s="1">
        <v>131035</v>
      </c>
      <c r="AI22" t="s">
        <v>286</v>
      </c>
      <c r="AJ22" s="1">
        <v>13103535</v>
      </c>
      <c r="AK22" t="s">
        <v>354</v>
      </c>
      <c r="AL22" s="1">
        <v>220630</v>
      </c>
    </row>
    <row r="23" spans="1:38" x14ac:dyDescent="0.15">
      <c r="A23" s="1">
        <v>111</v>
      </c>
      <c r="B23" t="s">
        <v>31</v>
      </c>
      <c r="C23" t="s">
        <v>175</v>
      </c>
      <c r="D23" t="s">
        <v>176</v>
      </c>
      <c r="E23" t="e">
        <v>#N/A</v>
      </c>
      <c r="F23" t="e">
        <v>#N/A</v>
      </c>
      <c r="G23" t="e">
        <v>#N/A</v>
      </c>
      <c r="H23">
        <v>2</v>
      </c>
      <c r="I23" s="2" t="s">
        <v>427</v>
      </c>
      <c r="J23" t="s">
        <v>177</v>
      </c>
      <c r="K23" t="s">
        <v>177</v>
      </c>
      <c r="L23" t="s">
        <v>35</v>
      </c>
      <c r="O23" t="s">
        <v>178</v>
      </c>
      <c r="Q23" t="s">
        <v>179</v>
      </c>
      <c r="R23" t="s">
        <v>180</v>
      </c>
      <c r="U23" s="2" t="s">
        <v>415</v>
      </c>
      <c r="V23" s="2" t="s">
        <v>458</v>
      </c>
      <c r="W23" s="2">
        <f t="shared" si="0"/>
        <v>167</v>
      </c>
      <c r="X23" t="s">
        <v>181</v>
      </c>
      <c r="Y23" s="1">
        <v>12</v>
      </c>
      <c r="Z23" t="s">
        <v>174</v>
      </c>
      <c r="AA23" s="1">
        <v>422</v>
      </c>
      <c r="AB23" s="1">
        <v>42209</v>
      </c>
      <c r="AC23" s="1">
        <v>101870</v>
      </c>
      <c r="AD23" s="1">
        <v>46</v>
      </c>
      <c r="AE23" t="s">
        <v>182</v>
      </c>
      <c r="AF23" s="1">
        <v>4619</v>
      </c>
      <c r="AG23" t="s">
        <v>183</v>
      </c>
      <c r="AH23" s="1">
        <v>461910</v>
      </c>
      <c r="AI23" t="s">
        <v>184</v>
      </c>
      <c r="AJ23" s="1">
        <v>46191011</v>
      </c>
      <c r="AK23" t="s">
        <v>185</v>
      </c>
      <c r="AL23" s="1">
        <v>210427</v>
      </c>
    </row>
    <row r="24" spans="1:38" x14ac:dyDescent="0.15">
      <c r="A24" s="1">
        <v>111</v>
      </c>
      <c r="B24" t="s">
        <v>31</v>
      </c>
      <c r="C24" t="s">
        <v>390</v>
      </c>
      <c r="D24" t="s">
        <v>391</v>
      </c>
      <c r="E24" t="e">
        <v>#N/A</v>
      </c>
      <c r="F24" t="e">
        <v>#N/A</v>
      </c>
      <c r="G24" t="e">
        <v>#N/A</v>
      </c>
      <c r="H24">
        <v>2</v>
      </c>
      <c r="I24" s="2" t="s">
        <v>427</v>
      </c>
      <c r="J24" t="s">
        <v>392</v>
      </c>
      <c r="K24" t="s">
        <v>392</v>
      </c>
      <c r="O24" t="s">
        <v>393</v>
      </c>
      <c r="Q24" t="s">
        <v>394</v>
      </c>
      <c r="T24" t="s">
        <v>395</v>
      </c>
      <c r="U24" s="2" t="s">
        <v>421</v>
      </c>
      <c r="V24" s="2" t="s">
        <v>459</v>
      </c>
      <c r="W24" s="2">
        <f t="shared" si="0"/>
        <v>163</v>
      </c>
      <c r="X24" t="s">
        <v>396</v>
      </c>
      <c r="Y24" s="1">
        <v>12</v>
      </c>
      <c r="Z24" t="s">
        <v>117</v>
      </c>
      <c r="AA24" s="1">
        <v>406</v>
      </c>
      <c r="AB24" s="1">
        <v>40601</v>
      </c>
      <c r="AC24" s="1">
        <v>110692</v>
      </c>
      <c r="AD24" s="1">
        <v>15</v>
      </c>
      <c r="AE24" t="s">
        <v>173</v>
      </c>
      <c r="AF24" s="1">
        <v>1518</v>
      </c>
      <c r="AG24" t="s">
        <v>397</v>
      </c>
      <c r="AH24" s="1">
        <v>151810</v>
      </c>
      <c r="AI24" t="s">
        <v>398</v>
      </c>
      <c r="AJ24" s="1">
        <v>15181010</v>
      </c>
      <c r="AK24" t="s">
        <v>399</v>
      </c>
      <c r="AL24" s="1">
        <v>250408</v>
      </c>
    </row>
    <row r="25" spans="1:38" x14ac:dyDescent="0.15">
      <c r="A25" s="1">
        <v>111</v>
      </c>
      <c r="B25" t="s">
        <v>31</v>
      </c>
      <c r="C25" t="s">
        <v>347</v>
      </c>
      <c r="D25" t="s">
        <v>348</v>
      </c>
      <c r="E25" t="e">
        <v>#N/A</v>
      </c>
      <c r="F25" t="e">
        <v>#N/A</v>
      </c>
      <c r="G25" t="e">
        <v>#N/A</v>
      </c>
      <c r="H25">
        <v>4</v>
      </c>
      <c r="I25" s="2" t="s">
        <v>427</v>
      </c>
      <c r="J25" t="s">
        <v>349</v>
      </c>
      <c r="K25" t="s">
        <v>349</v>
      </c>
      <c r="L25" t="s">
        <v>35</v>
      </c>
      <c r="O25" t="s">
        <v>350</v>
      </c>
      <c r="Q25" t="s">
        <v>351</v>
      </c>
      <c r="T25" t="s">
        <v>352</v>
      </c>
      <c r="U25" s="2" t="s">
        <v>408</v>
      </c>
      <c r="V25" s="2" t="s">
        <v>433</v>
      </c>
      <c r="W25" s="2">
        <f t="shared" si="0"/>
        <v>160</v>
      </c>
      <c r="X25" t="s">
        <v>353</v>
      </c>
      <c r="Y25" s="1">
        <v>12</v>
      </c>
      <c r="Z25" t="s">
        <v>117</v>
      </c>
      <c r="AA25" s="1">
        <v>408</v>
      </c>
      <c r="AB25" s="1">
        <v>40806</v>
      </c>
      <c r="AC25" s="1">
        <v>216173</v>
      </c>
      <c r="AD25" s="1">
        <v>13</v>
      </c>
      <c r="AE25" t="s">
        <v>128</v>
      </c>
      <c r="AF25" s="1">
        <v>1310</v>
      </c>
      <c r="AG25" t="s">
        <v>285</v>
      </c>
      <c r="AH25" s="1">
        <v>131035</v>
      </c>
      <c r="AI25" t="s">
        <v>286</v>
      </c>
      <c r="AJ25" s="1">
        <v>13103535</v>
      </c>
      <c r="AK25" t="s">
        <v>354</v>
      </c>
      <c r="AL25" s="1">
        <v>220630</v>
      </c>
    </row>
    <row r="26" spans="1:38" x14ac:dyDescent="0.15">
      <c r="A26" s="1">
        <v>111</v>
      </c>
      <c r="B26" t="s">
        <v>31</v>
      </c>
      <c r="C26" t="s">
        <v>214</v>
      </c>
      <c r="D26" t="s">
        <v>215</v>
      </c>
      <c r="E26" t="e">
        <v>#N/A</v>
      </c>
      <c r="F26" t="e">
        <v>#N/A</v>
      </c>
      <c r="G26" t="e">
        <v>#N/A</v>
      </c>
      <c r="H26">
        <v>4</v>
      </c>
      <c r="I26" s="2" t="s">
        <v>427</v>
      </c>
      <c r="J26" t="s">
        <v>216</v>
      </c>
      <c r="K26" t="s">
        <v>216</v>
      </c>
      <c r="L26" t="s">
        <v>35</v>
      </c>
      <c r="O26" t="s">
        <v>217</v>
      </c>
      <c r="Q26" t="s">
        <v>218</v>
      </c>
      <c r="U26" s="2" t="s">
        <v>218</v>
      </c>
      <c r="V26" s="2" t="s">
        <v>434</v>
      </c>
      <c r="W26" s="2">
        <f t="shared" si="0"/>
        <v>138</v>
      </c>
      <c r="X26" t="s">
        <v>219</v>
      </c>
      <c r="Y26" s="1">
        <v>12</v>
      </c>
      <c r="Z26" t="s">
        <v>174</v>
      </c>
      <c r="AA26" s="1">
        <v>423</v>
      </c>
      <c r="AB26" s="1">
        <v>42304</v>
      </c>
      <c r="AC26" s="1">
        <v>101870</v>
      </c>
      <c r="AD26" s="1">
        <v>46</v>
      </c>
      <c r="AE26" t="s">
        <v>182</v>
      </c>
      <c r="AF26" s="1">
        <v>4619</v>
      </c>
      <c r="AG26" t="s">
        <v>183</v>
      </c>
      <c r="AH26" s="1">
        <v>461910</v>
      </c>
      <c r="AI26" t="s">
        <v>184</v>
      </c>
      <c r="AJ26" s="1">
        <v>46191012</v>
      </c>
      <c r="AK26" t="s">
        <v>220</v>
      </c>
      <c r="AL26" s="1">
        <v>211029</v>
      </c>
    </row>
    <row r="27" spans="1:38" x14ac:dyDescent="0.15">
      <c r="A27" s="1">
        <v>111</v>
      </c>
      <c r="B27" t="s">
        <v>31</v>
      </c>
      <c r="C27" t="s">
        <v>269</v>
      </c>
      <c r="D27" t="s">
        <v>270</v>
      </c>
      <c r="E27" t="e">
        <v>#N/A</v>
      </c>
      <c r="F27" t="e">
        <v>#N/A</v>
      </c>
      <c r="G27" t="e">
        <v>#N/A</v>
      </c>
      <c r="H27">
        <v>2</v>
      </c>
      <c r="I27" s="2" t="s">
        <v>427</v>
      </c>
      <c r="J27" t="s">
        <v>271</v>
      </c>
      <c r="K27" t="s">
        <v>271</v>
      </c>
      <c r="L27" t="s">
        <v>35</v>
      </c>
      <c r="O27" t="s">
        <v>272</v>
      </c>
      <c r="Q27" t="s">
        <v>273</v>
      </c>
      <c r="U27" s="2" t="s">
        <v>417</v>
      </c>
      <c r="V27" s="2" t="s">
        <v>460</v>
      </c>
      <c r="W27" s="2">
        <f t="shared" si="0"/>
        <v>137</v>
      </c>
      <c r="X27" t="s">
        <v>181</v>
      </c>
      <c r="Y27" s="1">
        <v>12</v>
      </c>
      <c r="Z27" t="s">
        <v>174</v>
      </c>
      <c r="AA27" s="1">
        <v>421</v>
      </c>
      <c r="AB27" s="1">
        <v>42101</v>
      </c>
      <c r="AC27" s="1">
        <v>101870</v>
      </c>
      <c r="AD27" s="1">
        <v>44</v>
      </c>
      <c r="AE27" t="s">
        <v>193</v>
      </c>
      <c r="AF27" s="1">
        <v>4423</v>
      </c>
      <c r="AG27" t="s">
        <v>274</v>
      </c>
      <c r="AH27" s="1">
        <v>442320</v>
      </c>
      <c r="AI27" t="s">
        <v>275</v>
      </c>
      <c r="AJ27" s="1">
        <v>44232018</v>
      </c>
      <c r="AK27" t="s">
        <v>276</v>
      </c>
      <c r="AL27" s="1">
        <v>210429</v>
      </c>
    </row>
    <row r="28" spans="1:38" x14ac:dyDescent="0.15">
      <c r="A28" s="1">
        <v>111</v>
      </c>
      <c r="B28" t="s">
        <v>31</v>
      </c>
      <c r="C28" t="s">
        <v>207</v>
      </c>
      <c r="D28" t="s">
        <v>208</v>
      </c>
      <c r="E28" t="e">
        <v>#N/A</v>
      </c>
      <c r="F28" t="e">
        <v>#N/A</v>
      </c>
      <c r="G28" t="e">
        <v>#N/A</v>
      </c>
      <c r="H28">
        <v>2</v>
      </c>
      <c r="I28" s="2" t="s">
        <v>427</v>
      </c>
      <c r="J28" t="s">
        <v>209</v>
      </c>
      <c r="K28" t="s">
        <v>209</v>
      </c>
      <c r="L28" t="s">
        <v>35</v>
      </c>
      <c r="O28" t="s">
        <v>210</v>
      </c>
      <c r="Q28" t="s">
        <v>211</v>
      </c>
      <c r="U28" s="2" t="s">
        <v>416</v>
      </c>
      <c r="V28" s="2" t="s">
        <v>461</v>
      </c>
      <c r="W28" s="2">
        <f t="shared" si="0"/>
        <v>131</v>
      </c>
      <c r="X28" t="s">
        <v>212</v>
      </c>
      <c r="Y28" s="1">
        <v>12</v>
      </c>
      <c r="Z28" t="s">
        <v>174</v>
      </c>
      <c r="AA28" s="1">
        <v>422</v>
      </c>
      <c r="AB28" s="1">
        <v>42209</v>
      </c>
      <c r="AC28" s="1">
        <v>101870</v>
      </c>
      <c r="AD28" s="1">
        <v>46</v>
      </c>
      <c r="AE28" t="s">
        <v>182</v>
      </c>
      <c r="AF28" s="1">
        <v>4619</v>
      </c>
      <c r="AG28" t="s">
        <v>183</v>
      </c>
      <c r="AH28" s="1">
        <v>461910</v>
      </c>
      <c r="AI28" t="s">
        <v>184</v>
      </c>
      <c r="AJ28" s="1">
        <v>46191013</v>
      </c>
      <c r="AK28" t="s">
        <v>213</v>
      </c>
      <c r="AL28" s="1">
        <v>210415</v>
      </c>
    </row>
    <row r="29" spans="1:38" x14ac:dyDescent="0.15">
      <c r="A29" s="1">
        <v>111</v>
      </c>
      <c r="B29" t="s">
        <v>31</v>
      </c>
      <c r="C29" t="s">
        <v>249</v>
      </c>
      <c r="D29" t="s">
        <v>250</v>
      </c>
      <c r="E29" t="e">
        <v>#N/A</v>
      </c>
      <c r="F29" t="e">
        <v>#N/A</v>
      </c>
      <c r="G29" t="e">
        <v>#N/A</v>
      </c>
      <c r="H29">
        <v>4</v>
      </c>
      <c r="I29" s="2" t="s">
        <v>427</v>
      </c>
      <c r="J29" t="s">
        <v>251</v>
      </c>
      <c r="K29" t="s">
        <v>251</v>
      </c>
      <c r="O29" t="s">
        <v>252</v>
      </c>
      <c r="Q29" t="s">
        <v>253</v>
      </c>
      <c r="U29" s="2" t="s">
        <v>253</v>
      </c>
      <c r="V29" s="2" t="s">
        <v>462</v>
      </c>
      <c r="W29" s="2">
        <f t="shared" si="0"/>
        <v>131</v>
      </c>
      <c r="X29" t="s">
        <v>254</v>
      </c>
      <c r="Y29" s="1">
        <v>12</v>
      </c>
      <c r="Z29" t="s">
        <v>255</v>
      </c>
      <c r="AA29" s="1">
        <v>420</v>
      </c>
      <c r="AB29" s="1">
        <v>42009</v>
      </c>
      <c r="AC29" s="1">
        <v>568420</v>
      </c>
      <c r="AD29" s="1">
        <v>44</v>
      </c>
      <c r="AE29" t="s">
        <v>193</v>
      </c>
      <c r="AF29" s="1">
        <v>4418</v>
      </c>
      <c r="AG29" t="s">
        <v>204</v>
      </c>
      <c r="AH29" s="1">
        <v>441815</v>
      </c>
      <c r="AI29" t="s">
        <v>256</v>
      </c>
      <c r="AJ29" s="1">
        <v>44181510</v>
      </c>
      <c r="AK29" t="s">
        <v>257</v>
      </c>
      <c r="AL29" s="1">
        <v>260218</v>
      </c>
    </row>
    <row r="30" spans="1:38" x14ac:dyDescent="0.15">
      <c r="A30" s="1">
        <v>111</v>
      </c>
      <c r="B30" t="s">
        <v>31</v>
      </c>
      <c r="C30" t="s">
        <v>328</v>
      </c>
      <c r="D30" t="s">
        <v>329</v>
      </c>
      <c r="E30" t="e">
        <v>#N/A</v>
      </c>
      <c r="F30" t="e">
        <v>#N/A</v>
      </c>
      <c r="G30" t="e">
        <v>#N/A</v>
      </c>
      <c r="H30">
        <v>4</v>
      </c>
      <c r="I30" s="2" t="s">
        <v>427</v>
      </c>
      <c r="J30" t="s">
        <v>330</v>
      </c>
      <c r="K30" t="s">
        <v>330</v>
      </c>
      <c r="L30" t="s">
        <v>35</v>
      </c>
      <c r="O30" t="s">
        <v>331</v>
      </c>
      <c r="Q30" t="s">
        <v>332</v>
      </c>
      <c r="U30" s="2" t="s">
        <v>405</v>
      </c>
      <c r="V30" s="2" t="s">
        <v>435</v>
      </c>
      <c r="W30" s="2">
        <f t="shared" si="0"/>
        <v>129</v>
      </c>
      <c r="X30" t="s">
        <v>254</v>
      </c>
      <c r="Y30" s="1">
        <v>12</v>
      </c>
      <c r="Z30" t="s">
        <v>174</v>
      </c>
      <c r="AA30" s="1">
        <v>420</v>
      </c>
      <c r="AB30" s="1">
        <v>42003</v>
      </c>
      <c r="AC30" s="1">
        <v>208243</v>
      </c>
      <c r="AD30" s="1">
        <v>44</v>
      </c>
      <c r="AE30" t="s">
        <v>193</v>
      </c>
      <c r="AF30" s="1">
        <v>4405</v>
      </c>
      <c r="AG30" t="s">
        <v>333</v>
      </c>
      <c r="AH30" s="1">
        <v>440511</v>
      </c>
      <c r="AI30" t="s">
        <v>334</v>
      </c>
      <c r="AJ30" s="1">
        <v>44051111</v>
      </c>
      <c r="AK30" t="s">
        <v>334</v>
      </c>
      <c r="AL30" s="1">
        <v>220705</v>
      </c>
    </row>
    <row r="31" spans="1:38" x14ac:dyDescent="0.15">
      <c r="A31" s="1">
        <v>111</v>
      </c>
      <c r="B31" t="s">
        <v>31</v>
      </c>
      <c r="C31">
        <v>769554</v>
      </c>
      <c r="D31">
        <v>780221</v>
      </c>
      <c r="E31" t="e">
        <v>#N/A</v>
      </c>
      <c r="F31" t="e">
        <v>#N/A</v>
      </c>
      <c r="G31" t="e">
        <v>#N/A</v>
      </c>
      <c r="H31">
        <v>4</v>
      </c>
      <c r="I31" s="2" t="s">
        <v>427</v>
      </c>
      <c r="J31" t="s">
        <v>381</v>
      </c>
      <c r="O31" t="s">
        <v>382</v>
      </c>
      <c r="Q31" t="s">
        <v>383</v>
      </c>
      <c r="T31" t="s">
        <v>384</v>
      </c>
      <c r="U31" s="2" t="s">
        <v>385</v>
      </c>
      <c r="V31" s="2" t="s">
        <v>463</v>
      </c>
      <c r="W31" s="2">
        <f t="shared" si="0"/>
        <v>129</v>
      </c>
      <c r="X31" t="s">
        <v>386</v>
      </c>
      <c r="Y31" s="1">
        <v>12</v>
      </c>
      <c r="Z31" t="s">
        <v>117</v>
      </c>
      <c r="AA31" s="1">
        <v>406</v>
      </c>
      <c r="AB31" s="1">
        <v>40601</v>
      </c>
      <c r="AC31" s="1">
        <v>502134</v>
      </c>
      <c r="AD31" s="1">
        <v>15</v>
      </c>
      <c r="AE31" t="s">
        <v>173</v>
      </c>
      <c r="AF31" s="1">
        <v>1514</v>
      </c>
      <c r="AG31" t="s">
        <v>387</v>
      </c>
      <c r="AH31" s="1">
        <v>151410</v>
      </c>
      <c r="AI31" t="s">
        <v>388</v>
      </c>
      <c r="AJ31" s="1">
        <v>15141010</v>
      </c>
      <c r="AK31" t="s">
        <v>389</v>
      </c>
      <c r="AL31" s="1">
        <v>850101</v>
      </c>
    </row>
    <row r="32" spans="1:38" x14ac:dyDescent="0.15">
      <c r="A32" s="1">
        <v>111</v>
      </c>
      <c r="B32" t="s">
        <v>31</v>
      </c>
      <c r="C32" t="s">
        <v>186</v>
      </c>
      <c r="D32" t="s">
        <v>187</v>
      </c>
      <c r="E32" t="e">
        <v>#N/A</v>
      </c>
      <c r="F32" t="e">
        <v>#N/A</v>
      </c>
      <c r="G32" t="e">
        <v>#N/A</v>
      </c>
      <c r="H32">
        <v>4</v>
      </c>
      <c r="I32" s="2" t="s">
        <v>427</v>
      </c>
      <c r="J32" t="s">
        <v>188</v>
      </c>
      <c r="K32" t="s">
        <v>188</v>
      </c>
      <c r="L32" t="s">
        <v>35</v>
      </c>
      <c r="O32" t="s">
        <v>189</v>
      </c>
      <c r="Q32" t="s">
        <v>190</v>
      </c>
      <c r="U32" s="2" t="s">
        <v>190</v>
      </c>
      <c r="V32" s="2" t="s">
        <v>436</v>
      </c>
      <c r="W32" s="2">
        <f t="shared" si="0"/>
        <v>128</v>
      </c>
      <c r="X32" t="s">
        <v>191</v>
      </c>
      <c r="Y32" s="1">
        <v>12</v>
      </c>
      <c r="Z32" t="s">
        <v>192</v>
      </c>
      <c r="AA32" s="1">
        <v>420</v>
      </c>
      <c r="AB32" s="1">
        <v>42003</v>
      </c>
      <c r="AC32" s="1">
        <v>101870</v>
      </c>
      <c r="AD32" s="1">
        <v>44</v>
      </c>
      <c r="AE32" t="s">
        <v>193</v>
      </c>
      <c r="AF32" s="1">
        <v>4412</v>
      </c>
      <c r="AG32" t="s">
        <v>194</v>
      </c>
      <c r="AH32" s="1">
        <v>441217</v>
      </c>
      <c r="AI32" t="s">
        <v>195</v>
      </c>
      <c r="AJ32" s="1">
        <v>44121713</v>
      </c>
      <c r="AK32" t="s">
        <v>196</v>
      </c>
      <c r="AL32" s="1">
        <v>210414</v>
      </c>
    </row>
    <row r="33" spans="1:38" x14ac:dyDescent="0.15">
      <c r="A33" s="1">
        <v>111</v>
      </c>
      <c r="B33" t="s">
        <v>31</v>
      </c>
      <c r="C33" t="s">
        <v>233</v>
      </c>
      <c r="D33" t="s">
        <v>234</v>
      </c>
      <c r="E33" t="e">
        <v>#N/A</v>
      </c>
      <c r="F33" t="e">
        <v>#N/A</v>
      </c>
      <c r="G33" t="e">
        <v>#N/A</v>
      </c>
      <c r="H33">
        <v>4</v>
      </c>
      <c r="I33" s="2" t="s">
        <v>427</v>
      </c>
      <c r="J33" t="s">
        <v>235</v>
      </c>
      <c r="K33" t="s">
        <v>235</v>
      </c>
      <c r="O33" t="s">
        <v>236</v>
      </c>
      <c r="Q33" t="s">
        <v>237</v>
      </c>
      <c r="U33" s="2" t="s">
        <v>237</v>
      </c>
      <c r="V33" s="2" t="s">
        <v>464</v>
      </c>
      <c r="W33" s="2">
        <f t="shared" si="0"/>
        <v>128</v>
      </c>
      <c r="X33" t="s">
        <v>238</v>
      </c>
      <c r="Y33" s="1">
        <v>12</v>
      </c>
      <c r="Z33" t="s">
        <v>239</v>
      </c>
      <c r="AA33" s="1">
        <v>423</v>
      </c>
      <c r="AB33" s="1">
        <v>42304</v>
      </c>
      <c r="AC33" s="1">
        <v>508447</v>
      </c>
      <c r="AD33" s="1">
        <v>46</v>
      </c>
      <c r="AE33" t="s">
        <v>182</v>
      </c>
      <c r="AF33" s="1">
        <v>4619</v>
      </c>
      <c r="AG33" t="s">
        <v>183</v>
      </c>
      <c r="AH33" s="1">
        <v>461910</v>
      </c>
      <c r="AI33" t="s">
        <v>184</v>
      </c>
      <c r="AJ33" s="1">
        <v>46191010</v>
      </c>
      <c r="AK33" t="s">
        <v>240</v>
      </c>
      <c r="AL33" s="1">
        <v>260306</v>
      </c>
    </row>
    <row r="34" spans="1:38" x14ac:dyDescent="0.15">
      <c r="A34" s="1">
        <v>111</v>
      </c>
      <c r="B34" t="s">
        <v>31</v>
      </c>
      <c r="C34" t="s">
        <v>335</v>
      </c>
      <c r="D34" t="s">
        <v>336</v>
      </c>
      <c r="E34" t="e">
        <v>#N/A</v>
      </c>
      <c r="F34" t="e">
        <v>#N/A</v>
      </c>
      <c r="G34" t="e">
        <v>#N/A</v>
      </c>
      <c r="H34">
        <v>4</v>
      </c>
      <c r="I34" s="2" t="s">
        <v>427</v>
      </c>
      <c r="J34" t="s">
        <v>337</v>
      </c>
      <c r="K34" t="s">
        <v>337</v>
      </c>
      <c r="L34" t="s">
        <v>35</v>
      </c>
      <c r="O34" t="s">
        <v>338</v>
      </c>
      <c r="Q34" t="s">
        <v>339</v>
      </c>
      <c r="U34" s="2" t="s">
        <v>406</v>
      </c>
      <c r="V34" s="2" t="s">
        <v>437</v>
      </c>
      <c r="W34" s="2">
        <f t="shared" si="0"/>
        <v>126</v>
      </c>
      <c r="X34" t="s">
        <v>340</v>
      </c>
      <c r="Y34" s="1">
        <v>12</v>
      </c>
      <c r="Z34" t="s">
        <v>174</v>
      </c>
      <c r="AA34" s="1">
        <v>420</v>
      </c>
      <c r="AB34" s="1">
        <v>42003</v>
      </c>
      <c r="AC34" s="1">
        <v>208243</v>
      </c>
      <c r="AD34" s="1">
        <v>44</v>
      </c>
      <c r="AE34" t="s">
        <v>193</v>
      </c>
      <c r="AF34" s="1">
        <v>4405</v>
      </c>
      <c r="AG34" t="s">
        <v>333</v>
      </c>
      <c r="AH34" s="1">
        <v>440511</v>
      </c>
      <c r="AI34" t="s">
        <v>334</v>
      </c>
      <c r="AJ34" s="1">
        <v>44051110</v>
      </c>
      <c r="AK34" t="s">
        <v>341</v>
      </c>
      <c r="AL34" s="1">
        <v>220705</v>
      </c>
    </row>
    <row r="35" spans="1:38" x14ac:dyDescent="0.15">
      <c r="A35" s="1">
        <v>111</v>
      </c>
      <c r="B35" t="s">
        <v>31</v>
      </c>
      <c r="C35" t="s">
        <v>342</v>
      </c>
      <c r="D35" t="s">
        <v>343</v>
      </c>
      <c r="E35" t="e">
        <v>#N/A</v>
      </c>
      <c r="F35" t="e">
        <v>#N/A</v>
      </c>
      <c r="G35" t="e">
        <v>#N/A</v>
      </c>
      <c r="H35">
        <v>4</v>
      </c>
      <c r="I35" s="2" t="s">
        <v>427</v>
      </c>
      <c r="J35" t="s">
        <v>344</v>
      </c>
      <c r="K35" t="s">
        <v>344</v>
      </c>
      <c r="L35" t="s">
        <v>35</v>
      </c>
      <c r="O35" t="s">
        <v>345</v>
      </c>
      <c r="Q35" t="s">
        <v>346</v>
      </c>
      <c r="U35" s="2" t="s">
        <v>407</v>
      </c>
      <c r="V35" s="2" t="s">
        <v>438</v>
      </c>
      <c r="W35" s="2">
        <f t="shared" si="0"/>
        <v>126</v>
      </c>
      <c r="X35" t="s">
        <v>340</v>
      </c>
      <c r="Y35" s="1">
        <v>12</v>
      </c>
      <c r="Z35" t="s">
        <v>174</v>
      </c>
      <c r="AA35" s="1">
        <v>420</v>
      </c>
      <c r="AB35" s="1">
        <v>42003</v>
      </c>
      <c r="AC35" s="1">
        <v>208243</v>
      </c>
      <c r="AD35" s="1">
        <v>44</v>
      </c>
      <c r="AE35" t="s">
        <v>193</v>
      </c>
      <c r="AF35" s="1">
        <v>4405</v>
      </c>
      <c r="AG35" t="s">
        <v>333</v>
      </c>
      <c r="AH35" s="1">
        <v>440511</v>
      </c>
      <c r="AI35" t="s">
        <v>334</v>
      </c>
      <c r="AJ35" s="1">
        <v>44051110</v>
      </c>
      <c r="AK35" t="s">
        <v>341</v>
      </c>
      <c r="AL35" s="1">
        <v>220705</v>
      </c>
    </row>
    <row r="36" spans="1:38" x14ac:dyDescent="0.15">
      <c r="A36" s="1">
        <v>111</v>
      </c>
      <c r="B36" t="s">
        <v>31</v>
      </c>
      <c r="C36" t="s">
        <v>221</v>
      </c>
      <c r="D36" t="s">
        <v>222</v>
      </c>
      <c r="E36" t="e">
        <v>#N/A</v>
      </c>
      <c r="F36" t="e">
        <v>#N/A</v>
      </c>
      <c r="G36" t="e">
        <v>#N/A</v>
      </c>
      <c r="H36">
        <v>4</v>
      </c>
      <c r="I36" s="2" t="s">
        <v>427</v>
      </c>
      <c r="J36" t="s">
        <v>223</v>
      </c>
      <c r="K36" t="s">
        <v>223</v>
      </c>
      <c r="L36" t="s">
        <v>35</v>
      </c>
      <c r="O36" t="s">
        <v>224</v>
      </c>
      <c r="Q36" t="s">
        <v>225</v>
      </c>
      <c r="U36" s="2" t="s">
        <v>225</v>
      </c>
      <c r="V36" s="2" t="s">
        <v>439</v>
      </c>
      <c r="W36" s="2">
        <f t="shared" si="0"/>
        <v>125</v>
      </c>
      <c r="X36" t="s">
        <v>181</v>
      </c>
      <c r="Y36" s="1">
        <v>12</v>
      </c>
      <c r="Z36" t="s">
        <v>116</v>
      </c>
      <c r="AA36" s="1">
        <v>420</v>
      </c>
      <c r="AB36" s="1">
        <v>42009</v>
      </c>
      <c r="AC36" s="1">
        <v>101870</v>
      </c>
      <c r="AD36" s="1">
        <v>44</v>
      </c>
      <c r="AE36" t="s">
        <v>193</v>
      </c>
      <c r="AF36" s="1">
        <v>4418</v>
      </c>
      <c r="AG36" t="s">
        <v>204</v>
      </c>
      <c r="AH36" s="1">
        <v>441817</v>
      </c>
      <c r="AI36" t="s">
        <v>226</v>
      </c>
      <c r="AJ36" s="1">
        <v>44181710</v>
      </c>
      <c r="AK36" t="s">
        <v>227</v>
      </c>
      <c r="AL36" s="1">
        <v>210414</v>
      </c>
    </row>
    <row r="37" spans="1:38" x14ac:dyDescent="0.15">
      <c r="A37" s="1">
        <v>111</v>
      </c>
      <c r="B37" t="s">
        <v>31</v>
      </c>
      <c r="C37" t="s">
        <v>228</v>
      </c>
      <c r="D37" t="s">
        <v>229</v>
      </c>
      <c r="E37" t="e">
        <v>#N/A</v>
      </c>
      <c r="F37" t="e">
        <v>#N/A</v>
      </c>
      <c r="G37" t="e">
        <v>#N/A</v>
      </c>
      <c r="H37">
        <v>4</v>
      </c>
      <c r="I37" s="2" t="s">
        <v>427</v>
      </c>
      <c r="J37" t="s">
        <v>230</v>
      </c>
      <c r="K37" t="s">
        <v>230</v>
      </c>
      <c r="L37" t="s">
        <v>35</v>
      </c>
      <c r="O37" t="s">
        <v>231</v>
      </c>
      <c r="Q37" t="s">
        <v>232</v>
      </c>
      <c r="U37" s="2" t="s">
        <v>232</v>
      </c>
      <c r="V37" s="2" t="s">
        <v>440</v>
      </c>
      <c r="W37" s="2">
        <f t="shared" si="0"/>
        <v>125</v>
      </c>
      <c r="X37" t="s">
        <v>181</v>
      </c>
      <c r="Y37" s="1">
        <v>12</v>
      </c>
      <c r="Z37" t="s">
        <v>116</v>
      </c>
      <c r="AA37" s="1">
        <v>420</v>
      </c>
      <c r="AB37" s="1">
        <v>42009</v>
      </c>
      <c r="AC37" s="1">
        <v>101891</v>
      </c>
      <c r="AD37" s="1">
        <v>44</v>
      </c>
      <c r="AE37" t="s">
        <v>193</v>
      </c>
      <c r="AF37" s="1">
        <v>4418</v>
      </c>
      <c r="AG37" t="s">
        <v>204</v>
      </c>
      <c r="AH37" s="1">
        <v>441817</v>
      </c>
      <c r="AI37" t="s">
        <v>226</v>
      </c>
      <c r="AJ37" s="1">
        <v>44181710</v>
      </c>
      <c r="AK37" t="s">
        <v>227</v>
      </c>
      <c r="AL37" s="1">
        <v>210414</v>
      </c>
    </row>
    <row r="38" spans="1:38" x14ac:dyDescent="0.15">
      <c r="A38" s="1">
        <v>111</v>
      </c>
      <c r="B38" t="s">
        <v>31</v>
      </c>
      <c r="C38" t="s">
        <v>197</v>
      </c>
      <c r="D38" t="s">
        <v>198</v>
      </c>
      <c r="E38" t="e">
        <v>#N/A</v>
      </c>
      <c r="F38" t="e">
        <v>#N/A</v>
      </c>
      <c r="G38" t="e">
        <v>#N/A</v>
      </c>
      <c r="H38">
        <v>4</v>
      </c>
      <c r="I38" s="2" t="s">
        <v>427</v>
      </c>
      <c r="J38" t="s">
        <v>199</v>
      </c>
      <c r="K38" t="s">
        <v>199</v>
      </c>
      <c r="L38" t="s">
        <v>35</v>
      </c>
      <c r="O38" t="s">
        <v>200</v>
      </c>
      <c r="Q38" t="s">
        <v>201</v>
      </c>
      <c r="U38" s="2" t="s">
        <v>201</v>
      </c>
      <c r="V38" s="2" t="s">
        <v>441</v>
      </c>
      <c r="W38" s="2">
        <f t="shared" si="0"/>
        <v>119</v>
      </c>
      <c r="X38" t="s">
        <v>202</v>
      </c>
      <c r="Y38" s="1">
        <v>12</v>
      </c>
      <c r="Z38" t="s">
        <v>203</v>
      </c>
      <c r="AA38" s="1">
        <v>420</v>
      </c>
      <c r="AB38" s="1">
        <v>42009</v>
      </c>
      <c r="AC38" s="1">
        <v>101870</v>
      </c>
      <c r="AD38" s="1">
        <v>44</v>
      </c>
      <c r="AE38" t="s">
        <v>193</v>
      </c>
      <c r="AF38" s="1">
        <v>4418</v>
      </c>
      <c r="AG38" t="s">
        <v>204</v>
      </c>
      <c r="AH38" s="1">
        <v>441814</v>
      </c>
      <c r="AI38" t="s">
        <v>205</v>
      </c>
      <c r="AJ38" s="1">
        <v>44181410</v>
      </c>
      <c r="AK38" t="s">
        <v>206</v>
      </c>
      <c r="AL38" s="1">
        <v>210414</v>
      </c>
    </row>
    <row r="39" spans="1:38" x14ac:dyDescent="0.15">
      <c r="A39" s="1">
        <v>111</v>
      </c>
      <c r="B39" t="s">
        <v>31</v>
      </c>
      <c r="C39" t="s">
        <v>241</v>
      </c>
      <c r="D39" t="s">
        <v>242</v>
      </c>
      <c r="E39" t="e">
        <v>#N/A</v>
      </c>
      <c r="F39" t="e">
        <v>#N/A</v>
      </c>
      <c r="G39" t="e">
        <v>#N/A</v>
      </c>
      <c r="H39">
        <v>4</v>
      </c>
      <c r="I39" s="2" t="s">
        <v>427</v>
      </c>
      <c r="J39" t="s">
        <v>243</v>
      </c>
      <c r="K39" t="s">
        <v>243</v>
      </c>
      <c r="O39" t="s">
        <v>244</v>
      </c>
      <c r="Q39" t="s">
        <v>245</v>
      </c>
      <c r="U39" s="2" t="s">
        <v>245</v>
      </c>
      <c r="V39" s="2" t="s">
        <v>465</v>
      </c>
      <c r="W39" s="2">
        <f t="shared" si="0"/>
        <v>111</v>
      </c>
      <c r="X39" t="s">
        <v>246</v>
      </c>
      <c r="Y39" s="1">
        <v>12</v>
      </c>
      <c r="Z39" t="s">
        <v>117</v>
      </c>
      <c r="AA39" s="1">
        <v>422</v>
      </c>
      <c r="AB39" s="1">
        <v>42209</v>
      </c>
      <c r="AC39" s="1">
        <v>101870</v>
      </c>
      <c r="AD39" s="1">
        <v>46</v>
      </c>
      <c r="AE39" t="s">
        <v>182</v>
      </c>
      <c r="AF39" s="1">
        <v>4619</v>
      </c>
      <c r="AG39" t="s">
        <v>183</v>
      </c>
      <c r="AH39" s="1">
        <v>461911</v>
      </c>
      <c r="AI39" t="s">
        <v>247</v>
      </c>
      <c r="AJ39" s="1">
        <v>46191111</v>
      </c>
      <c r="AK39" t="s">
        <v>248</v>
      </c>
      <c r="AL39" s="1">
        <v>210511</v>
      </c>
    </row>
  </sheetData>
  <autoFilter ref="A1:AL39" xr:uid="{C2A3DFEA-3151-4285-904C-A6C8A861DD31}">
    <sortState xmlns:xlrd2="http://schemas.microsoft.com/office/spreadsheetml/2017/richdata2" ref="A2:AL39">
      <sortCondition descending="1" ref="W1:W39"/>
    </sortState>
  </autoFilter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目玉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2026-08-19T08:06:18Z</dcterms:modified>
</cp:coreProperties>
</file>