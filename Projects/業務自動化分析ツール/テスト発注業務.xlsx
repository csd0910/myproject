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フォーレスト026\MyProject\業務自動化分析ツール\"/>
    </mc:Choice>
  </mc:AlternateContent>
  <xr:revisionPtr revIDLastSave="0" documentId="8_{F35DC2C9-A070-4D4D-BE9C-6523E862BB38}" xr6:coauthVersionLast="47" xr6:coauthVersionMax="47" xr10:uidLastSave="{00000000-0000-0000-0000-000000000000}"/>
  <bookViews>
    <workbookView xWindow="-120" yWindow="-120" windowWidth="20730" windowHeight="11040" xr2:uid="{56ABF083-BAE3-4E1D-B6A7-5D3397DC3187}"/>
  </bookViews>
  <sheets>
    <sheet name="発注データ入力" sheetId="2" r:id="rId1"/>
    <sheet name="商品マスタ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2" l="1"/>
  <c r="D5" i="2"/>
  <c r="C5" i="2"/>
  <c r="F4" i="2"/>
  <c r="D4" i="2"/>
  <c r="C4" i="2"/>
  <c r="F3" i="2"/>
  <c r="D3" i="2"/>
  <c r="C3" i="2"/>
  <c r="F2" i="2"/>
  <c r="D2" i="2"/>
  <c r="C2" i="2"/>
</calcChain>
</file>

<file path=xl/sharedStrings.xml><?xml version="1.0" encoding="utf-8"?>
<sst xmlns="http://schemas.openxmlformats.org/spreadsheetml/2006/main" count="23" uniqueCount="17">
  <si>
    <t>商品コード</t>
  </si>
  <si>
    <t>商品名</t>
  </si>
  <si>
    <t>単価</t>
  </si>
  <si>
    <t>A001</t>
  </si>
  <si>
    <t>ノートPC</t>
  </si>
  <si>
    <t>A002</t>
  </si>
  <si>
    <t>マウス</t>
  </si>
  <si>
    <t>A003</t>
  </si>
  <si>
    <t>キーボード</t>
  </si>
  <si>
    <t>A004</t>
  </si>
  <si>
    <t>モニター</t>
  </si>
  <si>
    <t>発注日</t>
  </si>
  <si>
    <t>数量</t>
  </si>
  <si>
    <t>合計金額</t>
  </si>
  <si>
    <t>備考</t>
  </si>
  <si>
    <t>急ぎ（手入力）</t>
  </si>
  <si>
    <t>ここにコードと数量を手入力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</si>
</sst>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74EF3-949B-43FB-9F61-80339D0597ED}">
  <dimension ref="A1:G5"/>
  <sheetViews>
    <sheetView tabSelected="1" workbookViewId="0"/>
  </sheetViews>
  <sheetFormatPr defaultRowHeight="18.75" x14ac:dyDescent="0.4"/>
  <sheetData>
    <row r="1" spans="1:7" x14ac:dyDescent="0.4">
      <c r="A1" t="s">
        <v>11</v>
      </c>
      <c r="B1" t="s">
        <v>0</v>
      </c>
      <c r="C1" t="s">
        <v>1</v>
      </c>
      <c r="D1" t="s">
        <v>2</v>
      </c>
      <c r="E1" t="s">
        <v>12</v>
      </c>
      <c r="F1" t="s">
        <v>13</v>
      </c>
      <c r="G1" t="s">
        <v>14</v>
      </c>
    </row>
    <row r="2" spans="1:7" x14ac:dyDescent="0.4">
      <c r="A2" s="1">
        <v>46244</v>
      </c>
      <c r="B2" t="s">
        <v>3</v>
      </c>
      <c r="C2" t="str">
        <f>IF(B2="","",VLOOKUP(B2,商品マスタ!A:C,2,FALSE))</f>
        <v>ノートPC</v>
      </c>
      <c r="D2">
        <f>IF(B2="","",VLOOKUP(B2,商品マスタ!A:C,3,FALSE))</f>
        <v>120000</v>
      </c>
      <c r="E2">
        <v>2</v>
      </c>
      <c r="F2">
        <f>IF(OR(D2="",E2=""),"",D2*E2)</f>
        <v>240000</v>
      </c>
      <c r="G2" t="s">
        <v>15</v>
      </c>
    </row>
    <row r="3" spans="1:7" x14ac:dyDescent="0.4">
      <c r="A3" s="1">
        <v>46244</v>
      </c>
      <c r="B3" t="s">
        <v>7</v>
      </c>
      <c r="C3" t="str">
        <f>IF(B3="","",VLOOKUP(B3,商品マスタ!A:C,2,FALSE))</f>
        <v>キーボード</v>
      </c>
      <c r="D3">
        <f>IF(B3="","",VLOOKUP(B3,商品マスタ!A:C,3,FALSE))</f>
        <v>8000</v>
      </c>
      <c r="E3">
        <v>5</v>
      </c>
      <c r="F3">
        <f>IF(OR(D3="",E3=""),"",D3*E3)</f>
        <v>40000</v>
      </c>
    </row>
    <row r="4" spans="1:7" x14ac:dyDescent="0.4">
      <c r="A4" s="1">
        <v>46244</v>
      </c>
      <c r="B4" t="s">
        <v>5</v>
      </c>
      <c r="C4" t="str">
        <f>IF(B4="","",VLOOKUP(B4,商品マスタ!A:C,2,FALSE))</f>
        <v>マウス</v>
      </c>
      <c r="D4">
        <f>IF(B4="","",VLOOKUP(B4,商品マスタ!A:C,3,FALSE))</f>
        <v>3500</v>
      </c>
      <c r="E4">
        <v>10</v>
      </c>
      <c r="F4">
        <f>IF(OR(D4="",E4=""),"",D4*E4)</f>
        <v>35000</v>
      </c>
    </row>
    <row r="5" spans="1:7" x14ac:dyDescent="0.4">
      <c r="A5" s="1">
        <v>46244</v>
      </c>
      <c r="C5" t="str">
        <f>IF(B5="","",VLOOKUP(B5,商品マスタ!A:C,2,FALSE))</f>
        <v/>
      </c>
      <c r="D5" t="str">
        <f>IF(B5="","",VLOOKUP(B5,商品マスタ!A:C,3,FALSE))</f>
        <v/>
      </c>
      <c r="F5" t="str">
        <f>IF(OR(D5="",E5=""),"",D5*E5)</f>
        <v/>
      </c>
      <c r="G5" t="s">
        <v>16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CF03F-0E6D-4A4F-B3FE-F600BD5814EB}">
  <dimension ref="A1:C5"/>
  <sheetViews>
    <sheetView workbookViewId="0"/>
  </sheetViews>
  <sheetFormatPr defaultRowHeight="18.75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>
        <v>120000</v>
      </c>
    </row>
    <row r="3" spans="1:3" x14ac:dyDescent="0.4">
      <c r="A3" t="s">
        <v>5</v>
      </c>
      <c r="B3" t="s">
        <v>6</v>
      </c>
      <c r="C3">
        <v>3500</v>
      </c>
    </row>
    <row r="4" spans="1:3" x14ac:dyDescent="0.4">
      <c r="A4" t="s">
        <v>7</v>
      </c>
      <c r="B4" t="s">
        <v>8</v>
      </c>
      <c r="C4">
        <v>8000</v>
      </c>
    </row>
    <row r="5" spans="1:3" x14ac:dyDescent="0.4">
      <c r="A5" t="s">
        <v>9</v>
      </c>
      <c r="B5" t="s">
        <v>10</v>
      </c>
      <c r="C5">
        <v>25000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発注データ入力</vt:lpstr>
      <vt:lpstr>商品マスタ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 健人</dc:creator>
  <cp:lastModifiedBy>伊藤 健人</cp:lastModifiedBy>
  <dcterms:created xsi:type="dcterms:W3CDTF">2026-08-10T01:33:30Z</dcterms:created>
  <dcterms:modified xsi:type="dcterms:W3CDTF">2026-08-10T01:33:33Z</dcterms:modified>
</cp:coreProperties>
</file>