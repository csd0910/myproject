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フォーレスト026\MyProject\業務自動化分析ツール\"/>
    </mc:Choice>
  </mc:AlternateContent>
  <xr:revisionPtr revIDLastSave="0" documentId="8_{B06E2EA7-B196-4178-979E-82124E558059}" xr6:coauthVersionLast="47" xr6:coauthVersionMax="47" xr10:uidLastSave="{00000000-0000-0000-0000-000000000000}"/>
  <bookViews>
    <workbookView xWindow="-120" yWindow="-120" windowWidth="20730" windowHeight="11040" activeTab="1" xr2:uid="{0F9B6A61-6B28-4D3C-B463-36099FAAE218}"/>
  </bookViews>
  <sheets>
    <sheet name="発注データ入力" sheetId="2" r:id="rId1"/>
    <sheet name="発注データ入力_AI図解" sheetId="3" r:id="rId2"/>
    <sheet name="商品マスタ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3" l="1"/>
  <c r="C14" i="3"/>
  <c r="C13" i="3"/>
  <c r="C12" i="3"/>
  <c r="C11" i="3"/>
  <c r="C10" i="3"/>
  <c r="F9" i="3"/>
  <c r="C9" i="3"/>
  <c r="F8" i="3"/>
  <c r="C8" i="3"/>
  <c r="F7" i="3"/>
  <c r="C7" i="3"/>
  <c r="F6" i="3"/>
  <c r="C6" i="3"/>
  <c r="F5" i="3"/>
  <c r="C5" i="3"/>
  <c r="F4" i="3"/>
  <c r="C4" i="3"/>
  <c r="F3" i="3"/>
  <c r="C3" i="3"/>
  <c r="F2" i="3"/>
  <c r="C2" i="3"/>
  <c r="F9" i="2"/>
  <c r="F8" i="2"/>
  <c r="F7" i="2"/>
  <c r="F6" i="2"/>
  <c r="C15" i="2"/>
  <c r="C14" i="2"/>
  <c r="C13" i="2"/>
  <c r="C12" i="2"/>
  <c r="C11" i="2"/>
  <c r="C10" i="2"/>
  <c r="C9" i="2"/>
  <c r="C8" i="2"/>
  <c r="C7" i="2"/>
  <c r="C6" i="2"/>
  <c r="C3" i="2"/>
  <c r="C4" i="2"/>
  <c r="C5" i="2"/>
  <c r="C2" i="2"/>
  <c r="F3" i="2"/>
  <c r="F4" i="2"/>
  <c r="F5" i="2"/>
  <c r="F2" i="2"/>
</calcChain>
</file>

<file path=xl/sharedStrings.xml><?xml version="1.0" encoding="utf-8"?>
<sst xmlns="http://schemas.openxmlformats.org/spreadsheetml/2006/main" count="67" uniqueCount="31">
  <si>
    <t>商品コード</t>
  </si>
  <si>
    <t>商品名</t>
  </si>
  <si>
    <t>単価</t>
  </si>
  <si>
    <t>A001</t>
  </si>
  <si>
    <t>ノートPC</t>
  </si>
  <si>
    <t>A002</t>
  </si>
  <si>
    <t>マウス</t>
  </si>
  <si>
    <t>A003</t>
  </si>
  <si>
    <t>キーボード</t>
  </si>
  <si>
    <t>A004</t>
  </si>
  <si>
    <t>モニター</t>
  </si>
  <si>
    <t>発注日</t>
  </si>
  <si>
    <t>数量</t>
  </si>
  <si>
    <t>合計金額</t>
  </si>
  <si>
    <t>備考</t>
  </si>
  <si>
    <t>急ぎ</t>
  </si>
  <si>
    <t>通常</t>
  </si>
  <si>
    <t>VLOOKUP(B7,商品マスタ!A:C,2,FALSE)</t>
  </si>
  <si>
    <t>A001</t>
    <phoneticPr fontId="1"/>
  </si>
  <si>
    <t>A002</t>
    <phoneticPr fontId="1"/>
  </si>
  <si>
    <t>急ぎ</t>
    <phoneticPr fontId="1"/>
  </si>
  <si>
    <t>発注</t>
    <rPh sb="0" eb="2">
      <t>ハッチュウ</t>
    </rPh>
    <phoneticPr fontId="1"/>
  </si>
  <si>
    <t>A003</t>
    <phoneticPr fontId="1"/>
  </si>
  <si>
    <t>A004</t>
    <phoneticPr fontId="1"/>
  </si>
  <si>
    <t>A005</t>
  </si>
  <si>
    <t>A006</t>
  </si>
  <si>
    <t>A007</t>
  </si>
  <si>
    <t>A008</t>
  </si>
  <si>
    <t>A009</t>
  </si>
  <si>
    <t>A010</t>
  </si>
  <si>
    <t>見積</t>
    <rPh sb="0" eb="2">
      <t>ミツモリ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</si>
</sst>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463550</xdr:colOff>
      <xdr:row>1</xdr:row>
      <xdr:rowOff>15875</xdr:rowOff>
    </xdr:from>
    <xdr:to>
      <xdr:col>17</xdr:col>
      <xdr:colOff>107950</xdr:colOff>
      <xdr:row>4</xdr:row>
      <xdr:rowOff>114287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A438E95-E8CE-648F-113D-07243585755D}"/>
            </a:ext>
          </a:extLst>
        </xdr:cNvPr>
        <xdr:cNvSpPr txBox="1"/>
      </xdr:nvSpPr>
      <xdr:spPr>
        <a:xfrm>
          <a:off x="8255000" y="254000"/>
          <a:ext cx="4445000" cy="812787"/>
        </a:xfrm>
        <a:prstGeom prst="rect">
          <a:avLst/>
        </a:prstGeom>
        <a:solidFill>
          <a:srgbClr val="EFF6FF">
            <a:alpha val="95000"/>
          </a:srgbClr>
        </a:solidFill>
        <a:ln w="19050" cmpd="sng">
          <a:solidFill>
            <a:srgbClr val="3B82F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>
          <a:spAutoFit/>
        </a:bodyPr>
        <a:lstStyle/>
        <a:p>
          <a:r>
            <a:rPr kumimoji="1" lang="en-US" altLang="ja-JP" sz="900" b="0">
              <a:solidFill>
                <a:srgbClr val="000000"/>
              </a:solidFill>
            </a:rPr>
            <a:t>[1] 2026-08-10 13:54:44
</a:t>
          </a:r>
          <a:r>
            <a:rPr kumimoji="1" lang="ja-JP" altLang="en-US" sz="900" b="0">
              <a:solidFill>
                <a:srgbClr val="000000"/>
              </a:solidFill>
            </a:rPr>
            <a:t>「発注データ入力」シートのセル</a:t>
          </a:r>
          <a:r>
            <a:rPr kumimoji="1" lang="en-US" altLang="ja-JP" sz="900" b="0">
              <a:solidFill>
                <a:srgbClr val="000000"/>
              </a:solidFill>
            </a:rPr>
            <a:t>A6</a:t>
          </a:r>
          <a:r>
            <a:rPr kumimoji="1" lang="ja-JP" altLang="en-US" sz="900" b="0">
              <a:solidFill>
                <a:srgbClr val="000000"/>
              </a:solidFill>
            </a:rPr>
            <a:t>から</a:t>
          </a:r>
          <a:r>
            <a:rPr kumimoji="1" lang="en-US" altLang="ja-JP" sz="900" b="0">
              <a:solidFill>
                <a:srgbClr val="000000"/>
              </a:solidFill>
            </a:rPr>
            <a:t>G15</a:t>
          </a:r>
          <a:r>
            <a:rPr kumimoji="1" lang="ja-JP" altLang="en-US" sz="900" b="0">
              <a:solidFill>
                <a:srgbClr val="000000"/>
              </a:solidFill>
            </a:rPr>
            <a:t>の範囲のデータをクリアしている（</a:t>
          </a:r>
          <a:r>
            <a:rPr kumimoji="1" lang="en-US" altLang="ja-JP" sz="900" b="0">
              <a:solidFill>
                <a:srgbClr val="000000"/>
              </a:solidFill>
            </a:rPr>
            <a:t>Value</a:t>
          </a:r>
          <a:r>
            <a:rPr kumimoji="1" lang="ja-JP" altLang="en-US" sz="900" b="0">
              <a:solidFill>
                <a:srgbClr val="000000"/>
              </a:solidFill>
            </a:rPr>
            <a:t>が</a:t>
          </a:r>
          <a:r>
            <a:rPr kumimoji="1" lang="en-US" altLang="ja-JP" sz="900" b="0">
              <a:solidFill>
                <a:srgbClr val="000000"/>
              </a:solidFill>
            </a:rPr>
            <a:t>None</a:t>
          </a:r>
          <a:r>
            <a:rPr kumimoji="1" lang="ja-JP" altLang="en-US" sz="900" b="0">
              <a:solidFill>
                <a:srgbClr val="000000"/>
              </a:solidFill>
            </a:rPr>
            <a:t>に設定されている）。
</a:t>
          </a:r>
          <a:r>
            <a:rPr kumimoji="1" lang="en-US" altLang="ja-JP" sz="900" b="0">
              <a:solidFill>
                <a:srgbClr val="000000"/>
              </a:solidFill>
            </a:rPr>
            <a:t>【</a:t>
          </a:r>
          <a:r>
            <a:rPr kumimoji="1" lang="ja-JP" altLang="en-US" sz="900" b="0">
              <a:solidFill>
                <a:srgbClr val="000000"/>
              </a:solidFill>
            </a:rPr>
            <a:t>入力値</a:t>
          </a:r>
          <a:r>
            <a:rPr kumimoji="1" lang="en-US" altLang="ja-JP" sz="900" b="0">
              <a:solidFill>
                <a:srgbClr val="000000"/>
              </a:solidFill>
            </a:rPr>
            <a:t>】: ((None</a:t>
          </a:r>
          <a:endParaRPr kumimoji="1" lang="ja-JP" altLang="en-US" sz="900" b="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1504950</xdr:colOff>
      <xdr:row>4</xdr:row>
      <xdr:rowOff>123825</xdr:rowOff>
    </xdr:from>
    <xdr:to>
      <xdr:col>1</xdr:col>
      <xdr:colOff>114300</xdr:colOff>
      <xdr:row>5</xdr:row>
      <xdr:rowOff>114300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63FA96B7-3CC6-56DE-B089-1E8D228620C5}"/>
            </a:ext>
          </a:extLst>
        </xdr:cNvPr>
        <xdr:cNvSpPr/>
      </xdr:nvSpPr>
      <xdr:spPr>
        <a:xfrm>
          <a:off x="1504950" y="1076325"/>
          <a:ext cx="228600" cy="228600"/>
        </a:xfrm>
        <a:prstGeom prst="ellipse">
          <a:avLst/>
        </a:prstGeom>
        <a:solidFill>
          <a:srgbClr val="3B82F6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1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463550</xdr:colOff>
      <xdr:row>5</xdr:row>
      <xdr:rowOff>226705</xdr:rowOff>
    </xdr:from>
    <xdr:to>
      <xdr:col>17</xdr:col>
      <xdr:colOff>107950</xdr:colOff>
      <xdr:row>10</xdr:row>
      <xdr:rowOff>235254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58B2700-0B97-E293-EF87-F3AC34E3AC9B}"/>
            </a:ext>
          </a:extLst>
        </xdr:cNvPr>
        <xdr:cNvSpPr txBox="1"/>
      </xdr:nvSpPr>
      <xdr:spPr>
        <a:xfrm>
          <a:off x="8255000" y="1417330"/>
          <a:ext cx="4445000" cy="1199174"/>
        </a:xfrm>
        <a:prstGeom prst="rect">
          <a:avLst/>
        </a:prstGeom>
        <a:solidFill>
          <a:srgbClr val="EFF6FF">
            <a:alpha val="95000"/>
          </a:srgbClr>
        </a:solidFill>
        <a:ln w="19050" cmpd="sng">
          <a:solidFill>
            <a:srgbClr val="3B82F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>
          <a:spAutoFit/>
        </a:bodyPr>
        <a:lstStyle/>
        <a:p>
          <a:r>
            <a:rPr kumimoji="1" lang="en-US" altLang="ja-JP" sz="900" b="0">
              <a:solidFill>
                <a:srgbClr val="000000"/>
              </a:solidFill>
            </a:rPr>
            <a:t>[2] 2026-08-10 13:54:49
</a:t>
          </a:r>
          <a:r>
            <a:rPr kumimoji="1" lang="ja-JP" altLang="en-US" sz="900" b="0">
              <a:solidFill>
                <a:srgbClr val="000000"/>
              </a:solidFill>
            </a:rPr>
            <a:t>「発注データ入力」シートのセル</a:t>
          </a:r>
          <a:r>
            <a:rPr kumimoji="1" lang="en-US" altLang="ja-JP" sz="900" b="0">
              <a:solidFill>
                <a:srgbClr val="000000"/>
              </a:solidFill>
            </a:rPr>
            <a:t>A6</a:t>
          </a:r>
          <a:r>
            <a:rPr kumimoji="1" lang="ja-JP" altLang="en-US" sz="900" b="0">
              <a:solidFill>
                <a:srgbClr val="000000"/>
              </a:solidFill>
            </a:rPr>
            <a:t>に「</a:t>
          </a:r>
          <a:r>
            <a:rPr kumimoji="1" lang="en-US" altLang="ja-JP" sz="900" b="0">
              <a:solidFill>
                <a:srgbClr val="000000"/>
              </a:solidFill>
            </a:rPr>
            <a:t>2026/8/12</a:t>
          </a:r>
          <a:r>
            <a:rPr kumimoji="1" lang="ja-JP" altLang="en-US" sz="900" b="0">
              <a:solidFill>
                <a:srgbClr val="000000"/>
              </a:solidFill>
            </a:rPr>
            <a:t>」、セル</a:t>
          </a:r>
          <a:r>
            <a:rPr kumimoji="1" lang="en-US" altLang="ja-JP" sz="900" b="0">
              <a:solidFill>
                <a:srgbClr val="000000"/>
              </a:solidFill>
            </a:rPr>
            <a:t>A7</a:t>
          </a:r>
          <a:r>
            <a:rPr kumimoji="1" lang="ja-JP" altLang="en-US" sz="900" b="0">
              <a:solidFill>
                <a:srgbClr val="000000"/>
              </a:solidFill>
            </a:rPr>
            <a:t>に「</a:t>
          </a:r>
          <a:r>
            <a:rPr kumimoji="1" lang="en-US" altLang="ja-JP" sz="900" b="0">
              <a:solidFill>
                <a:srgbClr val="000000"/>
              </a:solidFill>
            </a:rPr>
            <a:t>2026/8/13</a:t>
          </a:r>
          <a:r>
            <a:rPr kumimoji="1" lang="ja-JP" altLang="en-US" sz="900" b="0">
              <a:solidFill>
                <a:srgbClr val="000000"/>
              </a:solidFill>
            </a:rPr>
            <a:t>」、セル</a:t>
          </a:r>
          <a:r>
            <a:rPr kumimoji="1" lang="en-US" altLang="ja-JP" sz="900" b="0">
              <a:solidFill>
                <a:srgbClr val="000000"/>
              </a:solidFill>
            </a:rPr>
            <a:t>A8</a:t>
          </a:r>
          <a:r>
            <a:rPr kumimoji="1" lang="ja-JP" altLang="en-US" sz="900" b="0">
              <a:solidFill>
                <a:srgbClr val="000000"/>
              </a:solidFill>
            </a:rPr>
            <a:t>に「</a:t>
          </a:r>
          <a:r>
            <a:rPr kumimoji="1" lang="en-US" altLang="ja-JP" sz="900" b="0">
              <a:solidFill>
                <a:srgbClr val="000000"/>
              </a:solidFill>
            </a:rPr>
            <a:t>2026/8/14</a:t>
          </a:r>
          <a:r>
            <a:rPr kumimoji="1" lang="ja-JP" altLang="en-US" sz="900" b="0">
              <a:solidFill>
                <a:srgbClr val="000000"/>
              </a:solidFill>
            </a:rPr>
            <a:t>」をそれぞれ手入力している。その後、セル</a:t>
          </a:r>
          <a:r>
            <a:rPr kumimoji="1" lang="en-US" altLang="ja-JP" sz="900" b="0">
              <a:solidFill>
                <a:srgbClr val="000000"/>
              </a:solidFill>
            </a:rPr>
            <a:t>A6</a:t>
          </a:r>
          <a:r>
            <a:rPr kumimoji="1" lang="ja-JP" altLang="en-US" sz="900" b="0">
              <a:solidFill>
                <a:srgbClr val="000000"/>
              </a:solidFill>
            </a:rPr>
            <a:t>から</a:t>
          </a:r>
          <a:r>
            <a:rPr kumimoji="1" lang="en-US" altLang="ja-JP" sz="900" b="0">
              <a:solidFill>
                <a:srgbClr val="000000"/>
              </a:solidFill>
            </a:rPr>
            <a:t>A15</a:t>
          </a:r>
          <a:r>
            <a:rPr kumimoji="1" lang="ja-JP" altLang="en-US" sz="900" b="0">
              <a:solidFill>
                <a:srgbClr val="000000"/>
              </a:solidFill>
            </a:rPr>
            <a:t>までをオートフィル機能（ドラッグ）で連続する日付データ（</a:t>
          </a:r>
          <a:r>
            <a:rPr kumimoji="1" lang="en-US" altLang="ja-JP" sz="900" b="0">
              <a:solidFill>
                <a:srgbClr val="000000"/>
              </a:solidFill>
            </a:rPr>
            <a:t>A9</a:t>
          </a:r>
          <a:r>
            <a:rPr kumimoji="1" lang="ja-JP" altLang="en-US" sz="900" b="0">
              <a:solidFill>
                <a:srgbClr val="000000"/>
              </a:solidFill>
            </a:rPr>
            <a:t>には「</a:t>
          </a:r>
          <a:r>
            <a:rPr kumimoji="1" lang="en-US" altLang="ja-JP" sz="900" b="0">
              <a:solidFill>
                <a:srgbClr val="000000"/>
              </a:solidFill>
            </a:rPr>
            <a:t>2026/8/15</a:t>
          </a:r>
          <a:r>
            <a:rPr kumimoji="1" lang="ja-JP" altLang="en-US" sz="900" b="0">
              <a:solidFill>
                <a:srgbClr val="000000"/>
              </a:solidFill>
            </a:rPr>
            <a:t>」以降、</a:t>
          </a:r>
          <a:r>
            <a:rPr kumimoji="1" lang="en-US" altLang="ja-JP" sz="900" b="0">
              <a:solidFill>
                <a:srgbClr val="000000"/>
              </a:solidFill>
            </a:rPr>
            <a:t>A15</a:t>
          </a:r>
          <a:r>
            <a:rPr kumimoji="1" lang="ja-JP" altLang="en-US" sz="900" b="0">
              <a:solidFill>
                <a:srgbClr val="000000"/>
              </a:solidFill>
            </a:rPr>
            <a:t>には「</a:t>
          </a:r>
          <a:r>
            <a:rPr kumimoji="1" lang="en-US" altLang="ja-JP" sz="900" b="0">
              <a:solidFill>
                <a:srgbClr val="000000"/>
              </a:solidFill>
            </a:rPr>
            <a:t>2026/8/21</a:t>
          </a:r>
          <a:r>
            <a:rPr kumimoji="1" lang="ja-JP" altLang="en-US" sz="900" b="0">
              <a:solidFill>
                <a:srgbClr val="000000"/>
              </a:solidFill>
            </a:rPr>
            <a:t>」）を入力している。
</a:t>
          </a:r>
          <a:r>
            <a:rPr kumimoji="1" lang="en-US" altLang="ja-JP" sz="900" b="0">
              <a:solidFill>
                <a:srgbClr val="000000"/>
              </a:solidFill>
            </a:rPr>
            <a:t>【</a:t>
          </a:r>
          <a:r>
            <a:rPr kumimoji="1" lang="ja-JP" altLang="en-US" sz="900" b="0">
              <a:solidFill>
                <a:srgbClr val="000000"/>
              </a:solidFill>
            </a:rPr>
            <a:t>入力値</a:t>
          </a:r>
          <a:r>
            <a:rPr kumimoji="1" lang="en-US" altLang="ja-JP" sz="900" b="0">
              <a:solidFill>
                <a:srgbClr val="000000"/>
              </a:solidFill>
            </a:rPr>
            <a:t>】: (2026-08-12 00:00:00+00:00</a:t>
          </a:r>
          <a:endParaRPr kumimoji="1" lang="ja-JP" altLang="en-US" sz="900" b="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1504950</xdr:colOff>
      <xdr:row>4</xdr:row>
      <xdr:rowOff>123825</xdr:rowOff>
    </xdr:from>
    <xdr:to>
      <xdr:col>1</xdr:col>
      <xdr:colOff>114300</xdr:colOff>
      <xdr:row>5</xdr:row>
      <xdr:rowOff>114300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4B5700E7-60B7-C383-E094-DE91C6637478}"/>
            </a:ext>
          </a:extLst>
        </xdr:cNvPr>
        <xdr:cNvSpPr/>
      </xdr:nvSpPr>
      <xdr:spPr>
        <a:xfrm>
          <a:off x="1504950" y="1076325"/>
          <a:ext cx="228600" cy="228600"/>
        </a:xfrm>
        <a:prstGeom prst="ellipse">
          <a:avLst/>
        </a:prstGeom>
        <a:solidFill>
          <a:srgbClr val="3B82F6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2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10</xdr:col>
      <xdr:colOff>463550</xdr:colOff>
      <xdr:row>13</xdr:row>
      <xdr:rowOff>193306</xdr:rowOff>
    </xdr:from>
    <xdr:to>
      <xdr:col>17</xdr:col>
      <xdr:colOff>107950</xdr:colOff>
      <xdr:row>19</xdr:row>
      <xdr:rowOff>156925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5C7C167-9E4C-EB2B-A1C1-B540A199E76B}"/>
            </a:ext>
          </a:extLst>
        </xdr:cNvPr>
        <xdr:cNvSpPr txBox="1"/>
      </xdr:nvSpPr>
      <xdr:spPr>
        <a:xfrm>
          <a:off x="8255000" y="3288931"/>
          <a:ext cx="4445000" cy="1392369"/>
        </a:xfrm>
        <a:prstGeom prst="rect">
          <a:avLst/>
        </a:prstGeom>
        <a:solidFill>
          <a:srgbClr val="EFF6FF">
            <a:alpha val="95000"/>
          </a:srgbClr>
        </a:solidFill>
        <a:ln w="19050" cmpd="sng">
          <a:solidFill>
            <a:srgbClr val="3B82F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>
          <a:spAutoFit/>
        </a:bodyPr>
        <a:lstStyle/>
        <a:p>
          <a:r>
            <a:rPr kumimoji="1" lang="en-US" altLang="ja-JP" sz="900" b="0">
              <a:solidFill>
                <a:srgbClr val="000000"/>
              </a:solidFill>
            </a:rPr>
            <a:t>[3] 2026-08-10 13:55:04
</a:t>
          </a:r>
          <a:r>
            <a:rPr kumimoji="1" lang="ja-JP" altLang="en-US" sz="900" b="0">
              <a:solidFill>
                <a:srgbClr val="000000"/>
              </a:solidFill>
            </a:rPr>
            <a:t>「発注データ入力」シートのセル</a:t>
          </a:r>
          <a:r>
            <a:rPr kumimoji="1" lang="en-US" altLang="ja-JP" sz="900" b="0">
              <a:solidFill>
                <a:srgbClr val="000000"/>
              </a:solidFill>
            </a:rPr>
            <a:t>B6</a:t>
          </a:r>
          <a:r>
            <a:rPr kumimoji="1" lang="ja-JP" altLang="en-US" sz="900" b="0">
              <a:solidFill>
                <a:srgbClr val="000000"/>
              </a:solidFill>
            </a:rPr>
            <a:t>に「</a:t>
          </a:r>
          <a:r>
            <a:rPr kumimoji="1" lang="en-US" altLang="ja-JP" sz="900" b="0">
              <a:solidFill>
                <a:srgbClr val="000000"/>
              </a:solidFill>
            </a:rPr>
            <a:t>A001</a:t>
          </a:r>
          <a:r>
            <a:rPr kumimoji="1" lang="ja-JP" altLang="en-US" sz="900" b="0">
              <a:solidFill>
                <a:srgbClr val="000000"/>
              </a:solidFill>
            </a:rPr>
            <a:t>」、セル</a:t>
          </a:r>
          <a:r>
            <a:rPr kumimoji="1" lang="en-US" altLang="ja-JP" sz="900" b="0">
              <a:solidFill>
                <a:srgbClr val="000000"/>
              </a:solidFill>
            </a:rPr>
            <a:t>B7</a:t>
          </a:r>
          <a:r>
            <a:rPr kumimoji="1" lang="ja-JP" altLang="en-US" sz="900" b="0">
              <a:solidFill>
                <a:srgbClr val="000000"/>
              </a:solidFill>
            </a:rPr>
            <a:t>に「</a:t>
          </a:r>
          <a:r>
            <a:rPr kumimoji="1" lang="en-US" altLang="ja-JP" sz="900" b="0">
              <a:solidFill>
                <a:srgbClr val="000000"/>
              </a:solidFill>
            </a:rPr>
            <a:t>A002</a:t>
          </a:r>
          <a:r>
            <a:rPr kumimoji="1" lang="ja-JP" altLang="en-US" sz="900" b="0">
              <a:solidFill>
                <a:srgbClr val="000000"/>
              </a:solidFill>
            </a:rPr>
            <a:t>」、セル</a:t>
          </a:r>
          <a:r>
            <a:rPr kumimoji="1" lang="en-US" altLang="ja-JP" sz="900" b="0">
              <a:solidFill>
                <a:srgbClr val="000000"/>
              </a:solidFill>
            </a:rPr>
            <a:t>B8</a:t>
          </a:r>
          <a:r>
            <a:rPr kumimoji="1" lang="ja-JP" altLang="en-US" sz="900" b="0">
              <a:solidFill>
                <a:srgbClr val="000000"/>
              </a:solidFill>
            </a:rPr>
            <a:t>に「</a:t>
          </a:r>
          <a:r>
            <a:rPr kumimoji="1" lang="en-US" altLang="ja-JP" sz="900" b="0">
              <a:solidFill>
                <a:srgbClr val="000000"/>
              </a:solidFill>
            </a:rPr>
            <a:t>A003</a:t>
          </a:r>
          <a:r>
            <a:rPr kumimoji="1" lang="ja-JP" altLang="en-US" sz="900" b="0">
              <a:solidFill>
                <a:srgbClr val="000000"/>
              </a:solidFill>
            </a:rPr>
            <a:t>」、セル</a:t>
          </a:r>
          <a:r>
            <a:rPr kumimoji="1" lang="en-US" altLang="ja-JP" sz="900" b="0">
              <a:solidFill>
                <a:srgbClr val="000000"/>
              </a:solidFill>
            </a:rPr>
            <a:t>B9</a:t>
          </a:r>
          <a:r>
            <a:rPr kumimoji="1" lang="ja-JP" altLang="en-US" sz="900" b="0">
              <a:solidFill>
                <a:srgbClr val="000000"/>
              </a:solidFill>
            </a:rPr>
            <a:t>に「</a:t>
          </a:r>
          <a:r>
            <a:rPr kumimoji="1" lang="en-US" altLang="ja-JP" sz="900" b="0">
              <a:solidFill>
                <a:srgbClr val="000000"/>
              </a:solidFill>
            </a:rPr>
            <a:t>A004</a:t>
          </a:r>
          <a:r>
            <a:rPr kumimoji="1" lang="ja-JP" altLang="en-US" sz="900" b="0">
              <a:solidFill>
                <a:srgbClr val="000000"/>
              </a:solidFill>
            </a:rPr>
            <a:t>」をそれぞれキーボードで手入力している。さらに、セル</a:t>
          </a:r>
          <a:r>
            <a:rPr kumimoji="1" lang="en-US" altLang="ja-JP" sz="900" b="0">
              <a:solidFill>
                <a:srgbClr val="000000"/>
              </a:solidFill>
            </a:rPr>
            <a:t>B10</a:t>
          </a:r>
          <a:r>
            <a:rPr kumimoji="1" lang="ja-JP" altLang="en-US" sz="900" b="0">
              <a:solidFill>
                <a:srgbClr val="000000"/>
              </a:solidFill>
            </a:rPr>
            <a:t>から</a:t>
          </a:r>
          <a:r>
            <a:rPr kumimoji="1" lang="en-US" altLang="ja-JP" sz="900" b="0">
              <a:solidFill>
                <a:srgbClr val="000000"/>
              </a:solidFill>
            </a:rPr>
            <a:t>B15</a:t>
          </a:r>
          <a:r>
            <a:rPr kumimoji="1" lang="ja-JP" altLang="en-US" sz="900" b="0">
              <a:solidFill>
                <a:srgbClr val="000000"/>
              </a:solidFill>
            </a:rPr>
            <a:t>まで「</a:t>
          </a:r>
          <a:r>
            <a:rPr kumimoji="1" lang="en-US" altLang="ja-JP" sz="900" b="0">
              <a:solidFill>
                <a:srgbClr val="000000"/>
              </a:solidFill>
            </a:rPr>
            <a:t>A005</a:t>
          </a:r>
          <a:r>
            <a:rPr kumimoji="1" lang="ja-JP" altLang="en-US" sz="900" b="0">
              <a:solidFill>
                <a:srgbClr val="000000"/>
              </a:solidFill>
            </a:rPr>
            <a:t>」から「</a:t>
          </a:r>
          <a:r>
            <a:rPr kumimoji="1" lang="en-US" altLang="ja-JP" sz="900" b="0">
              <a:solidFill>
                <a:srgbClr val="000000"/>
              </a:solidFill>
            </a:rPr>
            <a:t>A010</a:t>
          </a:r>
          <a:r>
            <a:rPr kumimoji="1" lang="ja-JP" altLang="en-US" sz="900" b="0">
              <a:solidFill>
                <a:srgbClr val="000000"/>
              </a:solidFill>
            </a:rPr>
            <a:t>」をキーボードで連続して手入力している。この際、</a:t>
          </a:r>
          <a:r>
            <a:rPr kumimoji="1" lang="en-US" altLang="ja-JP" sz="900" b="0">
              <a:solidFill>
                <a:srgbClr val="000000"/>
              </a:solidFill>
            </a:rPr>
            <a:t>[shift]</a:t>
          </a:r>
          <a:r>
            <a:rPr kumimoji="1" lang="ja-JP" altLang="en-US" sz="900" b="0">
              <a:solidFill>
                <a:srgbClr val="000000"/>
              </a:solidFill>
            </a:rPr>
            <a:t>キーを繰り返し使用し、</a:t>
          </a:r>
          <a:r>
            <a:rPr kumimoji="1" lang="en-US" altLang="ja-JP" sz="900" b="0">
              <a:solidFill>
                <a:srgbClr val="000000"/>
              </a:solidFill>
            </a:rPr>
            <a:t>[backspace]</a:t>
          </a:r>
          <a:r>
            <a:rPr kumimoji="1" lang="ja-JP" altLang="en-US" sz="900" b="0">
              <a:solidFill>
                <a:srgbClr val="000000"/>
              </a:solidFill>
            </a:rPr>
            <a:t>キーで修正しながら入力し、</a:t>
          </a:r>
          <a:r>
            <a:rPr kumimoji="1" lang="en-US" altLang="ja-JP" sz="900" b="0">
              <a:solidFill>
                <a:srgbClr val="000000"/>
              </a:solidFill>
            </a:rPr>
            <a:t>[enter]</a:t>
          </a:r>
          <a:r>
            <a:rPr kumimoji="1" lang="ja-JP" altLang="en-US" sz="900" b="0">
              <a:solidFill>
                <a:srgbClr val="000000"/>
              </a:solidFill>
            </a:rPr>
            <a:t>キーで確定している。
</a:t>
          </a:r>
          <a:r>
            <a:rPr kumimoji="1" lang="en-US" altLang="ja-JP" sz="900" b="0">
              <a:solidFill>
                <a:srgbClr val="000000"/>
              </a:solidFill>
            </a:rPr>
            <a:t>【</a:t>
          </a:r>
          <a:r>
            <a:rPr kumimoji="1" lang="ja-JP" altLang="en-US" sz="900" b="0">
              <a:solidFill>
                <a:srgbClr val="000000"/>
              </a:solidFill>
            </a:rPr>
            <a:t>入力値</a:t>
          </a:r>
          <a:r>
            <a:rPr kumimoji="1" lang="en-US" altLang="ja-JP" sz="900" b="0">
              <a:solidFill>
                <a:srgbClr val="000000"/>
              </a:solidFill>
            </a:rPr>
            <a:t>】: (A001</a:t>
          </a:r>
          <a:endParaRPr kumimoji="1" lang="ja-JP" altLang="en-US" sz="900" b="0">
            <a:solidFill>
              <a:srgbClr val="000000"/>
            </a:solidFill>
          </a:endParaRPr>
        </a:p>
      </xdr:txBody>
    </xdr:sp>
    <xdr:clientData/>
  </xdr:twoCellAnchor>
  <xdr:twoCellAnchor>
    <xdr:from>
      <xdr:col>1</xdr:col>
      <xdr:colOff>571500</xdr:colOff>
      <xdr:row>4</xdr:row>
      <xdr:rowOff>123825</xdr:rowOff>
    </xdr:from>
    <xdr:to>
      <xdr:col>2</xdr:col>
      <xdr:colOff>114300</xdr:colOff>
      <xdr:row>5</xdr:row>
      <xdr:rowOff>114300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E031FE94-630E-A2C7-89B6-B6AE7C0E2B77}"/>
            </a:ext>
          </a:extLst>
        </xdr:cNvPr>
        <xdr:cNvSpPr/>
      </xdr:nvSpPr>
      <xdr:spPr>
        <a:xfrm>
          <a:off x="2190750" y="1076325"/>
          <a:ext cx="228600" cy="228600"/>
        </a:xfrm>
        <a:prstGeom prst="ellipse">
          <a:avLst/>
        </a:prstGeom>
        <a:solidFill>
          <a:srgbClr val="3B82F6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3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2D62-F456-4AD2-812E-BE629DCA8EB3}">
  <dimension ref="A1:I17"/>
  <sheetViews>
    <sheetView workbookViewId="0">
      <selection activeCell="I20" sqref="I20"/>
    </sheetView>
  </sheetViews>
  <sheetFormatPr defaultRowHeight="18.75" x14ac:dyDescent="0.4"/>
  <cols>
    <col min="1" max="1" width="21.25" customWidth="1"/>
  </cols>
  <sheetData>
    <row r="1" spans="1:9" x14ac:dyDescent="0.4">
      <c r="A1" t="s">
        <v>11</v>
      </c>
      <c r="B1" t="s">
        <v>0</v>
      </c>
      <c r="C1" t="s">
        <v>1</v>
      </c>
      <c r="D1" t="s">
        <v>2</v>
      </c>
      <c r="E1" t="s">
        <v>12</v>
      </c>
      <c r="F1" t="s">
        <v>13</v>
      </c>
      <c r="G1" t="s">
        <v>14</v>
      </c>
      <c r="I1" t="s">
        <v>17</v>
      </c>
    </row>
    <row r="2" spans="1:9" x14ac:dyDescent="0.4">
      <c r="A2" s="1">
        <v>46244</v>
      </c>
      <c r="B2" t="s">
        <v>3</v>
      </c>
      <c r="C2" s="2" t="str">
        <f>VLOOKUP(B2,商品マスタ!A:C,2,FALSE)</f>
        <v>ノートPC</v>
      </c>
      <c r="D2" s="2">
        <v>120000</v>
      </c>
      <c r="E2">
        <v>3</v>
      </c>
      <c r="F2" s="2">
        <f>D2*E2</f>
        <v>360000</v>
      </c>
      <c r="G2" t="s">
        <v>15</v>
      </c>
    </row>
    <row r="3" spans="1:9" x14ac:dyDescent="0.4">
      <c r="A3" s="1">
        <v>46244</v>
      </c>
      <c r="B3" t="s">
        <v>7</v>
      </c>
      <c r="C3" s="2" t="str">
        <f>VLOOKUP(B3,商品マスタ!A:C,2,FALSE)</f>
        <v>キーボード</v>
      </c>
      <c r="D3" s="2">
        <v>2000</v>
      </c>
      <c r="E3">
        <v>5</v>
      </c>
      <c r="F3" s="2">
        <f t="shared" ref="F3:F9" si="0">D3*E3</f>
        <v>10000</v>
      </c>
    </row>
    <row r="4" spans="1:9" x14ac:dyDescent="0.4">
      <c r="A4" s="1">
        <v>46244</v>
      </c>
      <c r="B4" t="s">
        <v>5</v>
      </c>
      <c r="C4" s="2" t="str">
        <f>VLOOKUP(B4,商品マスタ!A:C,2,FALSE)</f>
        <v>マウス</v>
      </c>
      <c r="D4" s="2">
        <v>1000</v>
      </c>
      <c r="E4">
        <v>15</v>
      </c>
      <c r="F4" s="2">
        <f t="shared" si="0"/>
        <v>15000</v>
      </c>
    </row>
    <row r="5" spans="1:9" x14ac:dyDescent="0.4">
      <c r="A5" s="1">
        <v>46245</v>
      </c>
      <c r="B5" t="s">
        <v>9</v>
      </c>
      <c r="C5" s="2" t="str">
        <f>VLOOKUP(B5,商品マスタ!A:C,2,FALSE)</f>
        <v>モニター</v>
      </c>
      <c r="D5" s="2">
        <v>12000</v>
      </c>
      <c r="E5">
        <v>4</v>
      </c>
      <c r="F5" s="2">
        <f t="shared" si="0"/>
        <v>48000</v>
      </c>
      <c r="G5" t="s">
        <v>16</v>
      </c>
    </row>
    <row r="6" spans="1:9" x14ac:dyDescent="0.4">
      <c r="A6" s="1">
        <v>46246</v>
      </c>
      <c r="B6" t="s">
        <v>18</v>
      </c>
      <c r="C6" s="2" t="str">
        <f>VLOOKUP(B6,商品マスタ!A:C,2,FALSE)</f>
        <v>ノートPC</v>
      </c>
      <c r="D6" s="2">
        <v>140000</v>
      </c>
      <c r="E6">
        <v>3</v>
      </c>
      <c r="F6" s="2">
        <f t="shared" si="0"/>
        <v>420000</v>
      </c>
      <c r="G6" t="s">
        <v>20</v>
      </c>
    </row>
    <row r="7" spans="1:9" x14ac:dyDescent="0.4">
      <c r="A7" s="1">
        <v>46247</v>
      </c>
      <c r="B7" t="s">
        <v>19</v>
      </c>
      <c r="C7" s="2" t="str">
        <f>VLOOKUP(B7,商品マスタ!A:C,2,FALSE)</f>
        <v>マウス</v>
      </c>
      <c r="D7" s="2">
        <v>1000</v>
      </c>
      <c r="E7">
        <v>4</v>
      </c>
      <c r="F7" s="2">
        <f t="shared" si="0"/>
        <v>4000</v>
      </c>
      <c r="G7" t="s">
        <v>21</v>
      </c>
    </row>
    <row r="8" spans="1:9" x14ac:dyDescent="0.4">
      <c r="A8" s="1">
        <v>46248</v>
      </c>
      <c r="B8" t="s">
        <v>22</v>
      </c>
      <c r="C8" s="2" t="str">
        <f>VLOOKUP(B8,商品マスタ!A:C,2,FALSE)</f>
        <v>キーボード</v>
      </c>
      <c r="D8" s="2">
        <v>1500</v>
      </c>
      <c r="E8">
        <v>5</v>
      </c>
      <c r="F8" s="2">
        <f t="shared" si="0"/>
        <v>7500</v>
      </c>
      <c r="G8" t="s">
        <v>30</v>
      </c>
    </row>
    <row r="9" spans="1:9" x14ac:dyDescent="0.4">
      <c r="A9" s="1">
        <v>46249</v>
      </c>
      <c r="B9" t="s">
        <v>23</v>
      </c>
      <c r="C9" s="2" t="str">
        <f>VLOOKUP(B9,商品マスタ!A:C,2,FALSE)</f>
        <v>モニター</v>
      </c>
      <c r="D9" s="2">
        <v>15000</v>
      </c>
      <c r="E9">
        <v>1</v>
      </c>
      <c r="F9" s="2">
        <f t="shared" si="0"/>
        <v>15000</v>
      </c>
      <c r="G9" t="s">
        <v>20</v>
      </c>
    </row>
    <row r="10" spans="1:9" x14ac:dyDescent="0.4">
      <c r="A10" s="1">
        <v>46250</v>
      </c>
      <c r="B10" t="s">
        <v>24</v>
      </c>
      <c r="C10" s="2" t="e">
        <f>VLOOKUP(B10,商品マスタ!A:C,2,FALSE)</f>
        <v>#N/A</v>
      </c>
      <c r="D10" s="2"/>
      <c r="F10" s="2"/>
    </row>
    <row r="11" spans="1:9" x14ac:dyDescent="0.4">
      <c r="A11" s="1">
        <v>46251</v>
      </c>
      <c r="B11" t="s">
        <v>25</v>
      </c>
      <c r="C11" s="2" t="e">
        <f>VLOOKUP(B11,商品マスタ!A:C,2,FALSE)</f>
        <v>#N/A</v>
      </c>
      <c r="D11" s="2"/>
      <c r="F11" s="2"/>
    </row>
    <row r="12" spans="1:9" x14ac:dyDescent="0.4">
      <c r="A12" s="1">
        <v>46252</v>
      </c>
      <c r="B12" t="s">
        <v>26</v>
      </c>
      <c r="C12" s="2" t="e">
        <f>VLOOKUP(B12,商品マスタ!A:C,2,FALSE)</f>
        <v>#N/A</v>
      </c>
      <c r="D12" s="2"/>
      <c r="F12" s="2"/>
    </row>
    <row r="13" spans="1:9" x14ac:dyDescent="0.4">
      <c r="A13" s="1">
        <v>46253</v>
      </c>
      <c r="B13" t="s">
        <v>27</v>
      </c>
      <c r="C13" s="2" t="e">
        <f>VLOOKUP(B13,商品マスタ!A:C,2,FALSE)</f>
        <v>#N/A</v>
      </c>
      <c r="D13" s="2"/>
      <c r="F13" s="2"/>
    </row>
    <row r="14" spans="1:9" x14ac:dyDescent="0.4">
      <c r="A14" s="1">
        <v>46254</v>
      </c>
      <c r="B14" t="s">
        <v>28</v>
      </c>
      <c r="C14" s="2" t="e">
        <f>VLOOKUP(B14,商品マスタ!A:C,2,FALSE)</f>
        <v>#N/A</v>
      </c>
      <c r="D14" s="2"/>
      <c r="F14" s="2"/>
    </row>
    <row r="15" spans="1:9" x14ac:dyDescent="0.4">
      <c r="A15" s="1">
        <v>46255</v>
      </c>
      <c r="B15" t="s">
        <v>29</v>
      </c>
      <c r="C15" s="2" t="e">
        <f>VLOOKUP(B15,商品マスタ!A:C,2,FALSE)</f>
        <v>#N/A</v>
      </c>
      <c r="D15" s="2"/>
      <c r="F15" s="2"/>
    </row>
    <row r="16" spans="1:9" x14ac:dyDescent="0.4">
      <c r="A16" s="1"/>
      <c r="D16" s="2"/>
      <c r="F16" s="2"/>
    </row>
    <row r="17" spans="6:6" x14ac:dyDescent="0.4">
      <c r="F17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F548-D7EC-4E85-9E6E-0D6281FC16B6}">
  <dimension ref="A1:I17"/>
  <sheetViews>
    <sheetView tabSelected="1" workbookViewId="0">
      <selection activeCell="I20" sqref="I20"/>
    </sheetView>
  </sheetViews>
  <sheetFormatPr defaultRowHeight="18.75" x14ac:dyDescent="0.4"/>
  <cols>
    <col min="1" max="1" width="21.25" customWidth="1"/>
  </cols>
  <sheetData>
    <row r="1" spans="1:9" x14ac:dyDescent="0.4">
      <c r="A1" t="s">
        <v>11</v>
      </c>
      <c r="B1" t="s">
        <v>0</v>
      </c>
      <c r="C1" t="s">
        <v>1</v>
      </c>
      <c r="D1" t="s">
        <v>2</v>
      </c>
      <c r="E1" t="s">
        <v>12</v>
      </c>
      <c r="F1" t="s">
        <v>13</v>
      </c>
      <c r="G1" t="s">
        <v>14</v>
      </c>
      <c r="I1" t="s">
        <v>17</v>
      </c>
    </row>
    <row r="2" spans="1:9" x14ac:dyDescent="0.4">
      <c r="A2" s="1">
        <v>46244</v>
      </c>
      <c r="B2" t="s">
        <v>3</v>
      </c>
      <c r="C2" s="2" t="str">
        <f>VLOOKUP(B2,商品マスタ!A:C,2,FALSE)</f>
        <v>ノートPC</v>
      </c>
      <c r="D2" s="2">
        <v>120000</v>
      </c>
      <c r="E2">
        <v>3</v>
      </c>
      <c r="F2" s="2">
        <f>D2*E2</f>
        <v>360000</v>
      </c>
      <c r="G2" t="s">
        <v>15</v>
      </c>
    </row>
    <row r="3" spans="1:9" x14ac:dyDescent="0.4">
      <c r="A3" s="1">
        <v>46244</v>
      </c>
      <c r="B3" t="s">
        <v>7</v>
      </c>
      <c r="C3" s="2" t="str">
        <f>VLOOKUP(B3,商品マスタ!A:C,2,FALSE)</f>
        <v>キーボード</v>
      </c>
      <c r="D3" s="2">
        <v>2000</v>
      </c>
      <c r="E3">
        <v>5</v>
      </c>
      <c r="F3" s="2">
        <f t="shared" ref="F3:F9" si="0">D3*E3</f>
        <v>10000</v>
      </c>
    </row>
    <row r="4" spans="1:9" x14ac:dyDescent="0.4">
      <c r="A4" s="1">
        <v>46244</v>
      </c>
      <c r="B4" t="s">
        <v>5</v>
      </c>
      <c r="C4" s="2" t="str">
        <f>VLOOKUP(B4,商品マスタ!A:C,2,FALSE)</f>
        <v>マウス</v>
      </c>
      <c r="D4" s="2">
        <v>1000</v>
      </c>
      <c r="E4">
        <v>15</v>
      </c>
      <c r="F4" s="2">
        <f t="shared" si="0"/>
        <v>15000</v>
      </c>
    </row>
    <row r="5" spans="1:9" x14ac:dyDescent="0.4">
      <c r="A5" s="1">
        <v>46245</v>
      </c>
      <c r="B5" t="s">
        <v>9</v>
      </c>
      <c r="C5" s="2" t="str">
        <f>VLOOKUP(B5,商品マスタ!A:C,2,FALSE)</f>
        <v>モニター</v>
      </c>
      <c r="D5" s="2">
        <v>12000</v>
      </c>
      <c r="E5">
        <v>4</v>
      </c>
      <c r="F5" s="2">
        <f t="shared" si="0"/>
        <v>48000</v>
      </c>
      <c r="G5" t="s">
        <v>16</v>
      </c>
    </row>
    <row r="6" spans="1:9" x14ac:dyDescent="0.4">
      <c r="A6" s="1">
        <v>46246</v>
      </c>
      <c r="B6" t="s">
        <v>18</v>
      </c>
      <c r="C6" s="2" t="str">
        <f>VLOOKUP(B6,商品マスタ!A:C,2,FALSE)</f>
        <v>ノートPC</v>
      </c>
      <c r="D6" s="2">
        <v>140000</v>
      </c>
      <c r="E6">
        <v>3</v>
      </c>
      <c r="F6" s="2">
        <f t="shared" si="0"/>
        <v>420000</v>
      </c>
      <c r="G6" t="s">
        <v>20</v>
      </c>
    </row>
    <row r="7" spans="1:9" x14ac:dyDescent="0.4">
      <c r="A7" s="1">
        <v>46247</v>
      </c>
      <c r="B7" t="s">
        <v>19</v>
      </c>
      <c r="C7" s="2" t="str">
        <f>VLOOKUP(B7,商品マスタ!A:C,2,FALSE)</f>
        <v>マウス</v>
      </c>
      <c r="D7" s="2">
        <v>1000</v>
      </c>
      <c r="E7">
        <v>4</v>
      </c>
      <c r="F7" s="2">
        <f t="shared" si="0"/>
        <v>4000</v>
      </c>
      <c r="G7" t="s">
        <v>21</v>
      </c>
    </row>
    <row r="8" spans="1:9" x14ac:dyDescent="0.4">
      <c r="A8" s="1">
        <v>46248</v>
      </c>
      <c r="B8" t="s">
        <v>22</v>
      </c>
      <c r="C8" s="2" t="str">
        <f>VLOOKUP(B8,商品マスタ!A:C,2,FALSE)</f>
        <v>キーボード</v>
      </c>
      <c r="D8" s="2">
        <v>1500</v>
      </c>
      <c r="E8">
        <v>5</v>
      </c>
      <c r="F8" s="2">
        <f t="shared" si="0"/>
        <v>7500</v>
      </c>
      <c r="G8" t="s">
        <v>30</v>
      </c>
    </row>
    <row r="9" spans="1:9" x14ac:dyDescent="0.4">
      <c r="A9" s="1">
        <v>46249</v>
      </c>
      <c r="B9" t="s">
        <v>23</v>
      </c>
      <c r="C9" s="2" t="str">
        <f>VLOOKUP(B9,商品マスタ!A:C,2,FALSE)</f>
        <v>モニター</v>
      </c>
      <c r="D9" s="2">
        <v>15000</v>
      </c>
      <c r="E9">
        <v>1</v>
      </c>
      <c r="F9" s="2">
        <f t="shared" si="0"/>
        <v>15000</v>
      </c>
      <c r="G9" t="s">
        <v>20</v>
      </c>
    </row>
    <row r="10" spans="1:9" x14ac:dyDescent="0.4">
      <c r="A10" s="1">
        <v>46250</v>
      </c>
      <c r="B10" t="s">
        <v>24</v>
      </c>
      <c r="C10" s="2" t="e">
        <f>VLOOKUP(B10,商品マスタ!A:C,2,FALSE)</f>
        <v>#N/A</v>
      </c>
      <c r="D10" s="2"/>
      <c r="F10" s="2"/>
    </row>
    <row r="11" spans="1:9" x14ac:dyDescent="0.4">
      <c r="A11" s="1">
        <v>46251</v>
      </c>
      <c r="B11" t="s">
        <v>25</v>
      </c>
      <c r="C11" s="2" t="e">
        <f>VLOOKUP(B11,商品マスタ!A:C,2,FALSE)</f>
        <v>#N/A</v>
      </c>
      <c r="D11" s="2"/>
      <c r="F11" s="2"/>
    </row>
    <row r="12" spans="1:9" x14ac:dyDescent="0.4">
      <c r="A12" s="1">
        <v>46252</v>
      </c>
      <c r="B12" t="s">
        <v>26</v>
      </c>
      <c r="C12" s="2" t="e">
        <f>VLOOKUP(B12,商品マスタ!A:C,2,FALSE)</f>
        <v>#N/A</v>
      </c>
      <c r="D12" s="2"/>
      <c r="F12" s="2"/>
    </row>
    <row r="13" spans="1:9" x14ac:dyDescent="0.4">
      <c r="A13" s="1">
        <v>46253</v>
      </c>
      <c r="B13" t="s">
        <v>27</v>
      </c>
      <c r="C13" s="2" t="e">
        <f>VLOOKUP(B13,商品マスタ!A:C,2,FALSE)</f>
        <v>#N/A</v>
      </c>
      <c r="D13" s="2"/>
      <c r="F13" s="2"/>
    </row>
    <row r="14" spans="1:9" x14ac:dyDescent="0.4">
      <c r="A14" s="1">
        <v>46254</v>
      </c>
      <c r="B14" t="s">
        <v>28</v>
      </c>
      <c r="C14" s="2" t="e">
        <f>VLOOKUP(B14,商品マスタ!A:C,2,FALSE)</f>
        <v>#N/A</v>
      </c>
      <c r="D14" s="2"/>
      <c r="F14" s="2"/>
    </row>
    <row r="15" spans="1:9" x14ac:dyDescent="0.4">
      <c r="A15" s="1">
        <v>46255</v>
      </c>
      <c r="B15" t="s">
        <v>29</v>
      </c>
      <c r="C15" s="2" t="e">
        <f>VLOOKUP(B15,商品マスタ!A:C,2,FALSE)</f>
        <v>#N/A</v>
      </c>
      <c r="D15" s="2"/>
      <c r="F15" s="2"/>
    </row>
    <row r="16" spans="1:9" x14ac:dyDescent="0.4">
      <c r="A16" s="1"/>
      <c r="D16" s="2"/>
      <c r="F16" s="2"/>
    </row>
    <row r="17" spans="6:6" x14ac:dyDescent="0.4">
      <c r="F17" s="2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0190-3DD0-4CFB-86A5-DE118C3FF334}">
  <dimension ref="A1:C5"/>
  <sheetViews>
    <sheetView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120000</v>
      </c>
    </row>
    <row r="3" spans="1:3" x14ac:dyDescent="0.4">
      <c r="A3" t="s">
        <v>5</v>
      </c>
      <c r="B3" t="s">
        <v>6</v>
      </c>
      <c r="C3">
        <v>3500</v>
      </c>
    </row>
    <row r="4" spans="1:3" x14ac:dyDescent="0.4">
      <c r="A4" t="s">
        <v>7</v>
      </c>
      <c r="B4" t="s">
        <v>8</v>
      </c>
      <c r="C4">
        <v>8000</v>
      </c>
    </row>
    <row r="5" spans="1:3" x14ac:dyDescent="0.4">
      <c r="A5" t="s">
        <v>9</v>
      </c>
      <c r="B5" t="s">
        <v>10</v>
      </c>
      <c r="C5">
        <v>25000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発注データ入力</vt:lpstr>
      <vt:lpstr>発注データ入力_AI図解</vt:lpstr>
      <vt:lpstr>商品マスタ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健人</dc:creator>
  <cp:lastModifiedBy>伊藤 健人</cp:lastModifiedBy>
  <dcterms:created xsi:type="dcterms:W3CDTF">2026-08-10T01:46:23Z</dcterms:created>
  <dcterms:modified xsi:type="dcterms:W3CDTF">2026-08-10T05:01:31Z</dcterms:modified>
</cp:coreProperties>
</file>