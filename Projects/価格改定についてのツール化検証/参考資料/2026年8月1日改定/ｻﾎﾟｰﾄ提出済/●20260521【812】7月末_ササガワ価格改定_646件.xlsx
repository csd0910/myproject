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F328DB21-33A5-4DE7-B017-8EBFB909AD7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Sheet1!$A$3:$BM$649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39" i="1" l="1"/>
  <c r="AB139" i="1" s="1"/>
  <c r="AZ140" i="1"/>
  <c r="AB140" i="1" s="1"/>
  <c r="AZ142" i="1"/>
  <c r="AB142" i="1" s="1"/>
  <c r="AZ145" i="1"/>
  <c r="AB145" i="1" s="1"/>
  <c r="AZ148" i="1"/>
  <c r="AB148" i="1" s="1"/>
  <c r="AZ150" i="1"/>
  <c r="AB150" i="1" s="1"/>
  <c r="AZ151" i="1"/>
  <c r="AB151" i="1" s="1"/>
  <c r="AZ156" i="1"/>
  <c r="AB156" i="1" s="1"/>
  <c r="AZ164" i="1"/>
  <c r="AB164" i="1" s="1"/>
  <c r="AZ172" i="1"/>
  <c r="AB172" i="1" s="1"/>
  <c r="AZ174" i="1"/>
  <c r="AB174" i="1" s="1"/>
  <c r="AZ178" i="1"/>
  <c r="AB178" i="1" s="1"/>
  <c r="AZ181" i="1"/>
  <c r="AB181" i="1" s="1"/>
  <c r="AZ186" i="1"/>
  <c r="AB186" i="1" s="1"/>
  <c r="AZ188" i="1"/>
  <c r="AB188" i="1" s="1"/>
  <c r="AZ189" i="1"/>
  <c r="AB189" i="1" s="1"/>
  <c r="AZ196" i="1"/>
  <c r="AB196" i="1" s="1"/>
  <c r="AZ197" i="1"/>
  <c r="AB197" i="1" s="1"/>
  <c r="AZ204" i="1"/>
  <c r="AB204" i="1" s="1"/>
  <c r="AZ205" i="1"/>
  <c r="AB205" i="1" s="1"/>
  <c r="AZ210" i="1"/>
  <c r="AB210" i="1" s="1"/>
  <c r="AZ211" i="1"/>
  <c r="AB211" i="1" s="1"/>
  <c r="AZ212" i="1"/>
  <c r="AB212" i="1" s="1"/>
  <c r="AZ214" i="1"/>
  <c r="AB214" i="1" s="1"/>
  <c r="AZ220" i="1"/>
  <c r="AB220" i="1" s="1"/>
  <c r="AZ221" i="1"/>
  <c r="AB221" i="1" s="1"/>
  <c r="AZ223" i="1"/>
  <c r="AB223" i="1" s="1"/>
  <c r="AZ227" i="1"/>
  <c r="AB227" i="1" s="1"/>
  <c r="AZ228" i="1"/>
  <c r="AB228" i="1" s="1"/>
  <c r="AZ230" i="1"/>
  <c r="AB230" i="1" s="1"/>
  <c r="AZ233" i="1"/>
  <c r="AB233" i="1" s="1"/>
  <c r="AZ235" i="1"/>
  <c r="AB235" i="1" s="1"/>
  <c r="AZ236" i="1"/>
  <c r="AB236" i="1" s="1"/>
  <c r="AZ244" i="1"/>
  <c r="AB244" i="1" s="1"/>
  <c r="AZ250" i="1"/>
  <c r="AB250" i="1" s="1"/>
  <c r="AZ252" i="1"/>
  <c r="AB252" i="1" s="1"/>
  <c r="AZ254" i="1"/>
  <c r="AB254" i="1" s="1"/>
  <c r="AZ267" i="1"/>
  <c r="AB267" i="1" s="1"/>
  <c r="AZ268" i="1"/>
  <c r="AB268" i="1" s="1"/>
  <c r="AZ276" i="1"/>
  <c r="AB276" i="1" s="1"/>
  <c r="AZ277" i="1"/>
  <c r="AB277" i="1" s="1"/>
  <c r="AZ278" i="1"/>
  <c r="AB278" i="1" s="1"/>
  <c r="AZ284" i="1"/>
  <c r="AB284" i="1" s="1"/>
  <c r="AZ286" i="1"/>
  <c r="AB286" i="1" s="1"/>
  <c r="AZ290" i="1"/>
  <c r="AB290" i="1" s="1"/>
  <c r="AZ291" i="1"/>
  <c r="AB291" i="1" s="1"/>
  <c r="AZ292" i="1"/>
  <c r="AB292" i="1" s="1"/>
  <c r="AZ293" i="1"/>
  <c r="AB293" i="1" s="1"/>
  <c r="AZ300" i="1"/>
  <c r="AB300" i="1" s="1"/>
  <c r="AZ302" i="1"/>
  <c r="AB302" i="1" s="1"/>
  <c r="AZ308" i="1"/>
  <c r="AB308" i="1" s="1"/>
  <c r="AZ314" i="1"/>
  <c r="AB314" i="1" s="1"/>
  <c r="AZ316" i="1"/>
  <c r="AB316" i="1" s="1"/>
  <c r="AZ317" i="1"/>
  <c r="AB317" i="1" s="1"/>
  <c r="AZ318" i="1"/>
  <c r="AB318" i="1" s="1"/>
  <c r="AZ324" i="1"/>
  <c r="AB324" i="1" s="1"/>
  <c r="AZ325" i="1"/>
  <c r="AB325" i="1" s="1"/>
  <c r="AZ330" i="1"/>
  <c r="AB330" i="1" s="1"/>
  <c r="AZ332" i="1"/>
  <c r="AB332" i="1" s="1"/>
  <c r="AZ333" i="1"/>
  <c r="AB333" i="1" s="1"/>
  <c r="AZ334" i="1"/>
  <c r="AB334" i="1" s="1"/>
  <c r="AZ335" i="1"/>
  <c r="AB335" i="1" s="1"/>
  <c r="AZ340" i="1"/>
  <c r="AB340" i="1" s="1"/>
  <c r="AZ346" i="1"/>
  <c r="AB346" i="1" s="1"/>
  <c r="AZ348" i="1"/>
  <c r="AB348" i="1" s="1"/>
  <c r="AZ354" i="1"/>
  <c r="AB354" i="1" s="1"/>
  <c r="AZ355" i="1"/>
  <c r="AB355" i="1" s="1"/>
  <c r="AZ356" i="1"/>
  <c r="AB356" i="1" s="1"/>
  <c r="AZ362" i="1"/>
  <c r="AB362" i="1" s="1"/>
  <c r="AZ363" i="1"/>
  <c r="AB363" i="1" s="1"/>
  <c r="AZ366" i="1"/>
  <c r="AB366" i="1" s="1"/>
  <c r="AZ367" i="1"/>
  <c r="AB367" i="1" s="1"/>
  <c r="AZ370" i="1"/>
  <c r="AB370" i="1" s="1"/>
  <c r="AZ371" i="1"/>
  <c r="AB371" i="1" s="1"/>
  <c r="AZ372" i="1"/>
  <c r="AB372" i="1" s="1"/>
  <c r="AZ377" i="1"/>
  <c r="AB377" i="1" s="1"/>
  <c r="AZ378" i="1"/>
  <c r="AB378" i="1" s="1"/>
  <c r="AZ380" i="1"/>
  <c r="AB380" i="1" s="1"/>
  <c r="AZ382" i="1"/>
  <c r="AB382" i="1" s="1"/>
  <c r="AZ386" i="1"/>
  <c r="AB386" i="1" s="1"/>
  <c r="AZ387" i="1"/>
  <c r="AB387" i="1" s="1"/>
  <c r="AZ388" i="1"/>
  <c r="AB388" i="1" s="1"/>
  <c r="AZ393" i="1"/>
  <c r="AB393" i="1" s="1"/>
  <c r="AZ394" i="1"/>
  <c r="AB394" i="1" s="1"/>
  <c r="AZ395" i="1"/>
  <c r="AB395" i="1" s="1"/>
  <c r="AZ396" i="1"/>
  <c r="AB396" i="1" s="1"/>
  <c r="AZ404" i="1"/>
  <c r="AB404" i="1" s="1"/>
  <c r="AZ405" i="1"/>
  <c r="AB405" i="1" s="1"/>
  <c r="AZ406" i="1"/>
  <c r="AB406" i="1" s="1"/>
  <c r="AZ410" i="1"/>
  <c r="AB410" i="1" s="1"/>
  <c r="AZ412" i="1"/>
  <c r="AB412" i="1" s="1"/>
  <c r="AZ414" i="1"/>
  <c r="AB414" i="1" s="1"/>
  <c r="AZ418" i="1"/>
  <c r="AB418" i="1" s="1"/>
  <c r="AZ420" i="1"/>
  <c r="AB420" i="1" s="1"/>
  <c r="AZ428" i="1"/>
  <c r="AB428" i="1" s="1"/>
  <c r="AZ430" i="1"/>
  <c r="AB430" i="1" s="1"/>
  <c r="AZ434" i="1"/>
  <c r="AB434" i="1" s="1"/>
  <c r="AZ435" i="1"/>
  <c r="AB435" i="1" s="1"/>
  <c r="AZ436" i="1"/>
  <c r="AB436" i="1" s="1"/>
  <c r="AZ444" i="1"/>
  <c r="AB444" i="1" s="1"/>
  <c r="AZ445" i="1"/>
  <c r="AB445" i="1" s="1"/>
  <c r="AZ446" i="1"/>
  <c r="AB446" i="1" s="1"/>
  <c r="AZ452" i="1"/>
  <c r="AB452" i="1" s="1"/>
  <c r="AZ454" i="1"/>
  <c r="AB454" i="1" s="1"/>
  <c r="AZ459" i="1"/>
  <c r="AB459" i="1" s="1"/>
  <c r="AZ463" i="1"/>
  <c r="AB463" i="1" s="1"/>
  <c r="AZ467" i="1"/>
  <c r="AB467" i="1" s="1"/>
  <c r="AZ468" i="1"/>
  <c r="AB468" i="1" s="1"/>
  <c r="AZ470" i="1"/>
  <c r="AB470" i="1" s="1"/>
  <c r="AZ476" i="1"/>
  <c r="AB476" i="1" s="1"/>
  <c r="AZ478" i="1"/>
  <c r="AB478" i="1" s="1"/>
  <c r="AZ482" i="1"/>
  <c r="AB482" i="1" s="1"/>
  <c r="AZ484" i="1"/>
  <c r="AB484" i="1" s="1"/>
  <c r="AZ486" i="1"/>
  <c r="AB486" i="1" s="1"/>
  <c r="AZ489" i="1"/>
  <c r="AB489" i="1" s="1"/>
  <c r="AZ491" i="1"/>
  <c r="AB491" i="1" s="1"/>
  <c r="AZ492" i="1"/>
  <c r="AB492" i="1" s="1"/>
  <c r="AZ493" i="1"/>
  <c r="AB493" i="1" s="1"/>
  <c r="AZ494" i="1"/>
  <c r="AB494" i="1" s="1"/>
  <c r="AZ499" i="1"/>
  <c r="AB499" i="1" s="1"/>
  <c r="AZ500" i="1"/>
  <c r="AB500" i="1" s="1"/>
  <c r="AZ501" i="1"/>
  <c r="AB501" i="1" s="1"/>
  <c r="AZ502" i="1"/>
  <c r="AB502" i="1" s="1"/>
  <c r="AZ505" i="1"/>
  <c r="AB505" i="1" s="1"/>
  <c r="AZ506" i="1"/>
  <c r="AB506" i="1" s="1"/>
  <c r="AZ508" i="1"/>
  <c r="AB508" i="1" s="1"/>
  <c r="AZ513" i="1"/>
  <c r="AB513" i="1" s="1"/>
  <c r="AZ515" i="1"/>
  <c r="AB515" i="1" s="1"/>
  <c r="AZ516" i="1"/>
  <c r="AB516" i="1" s="1"/>
  <c r="AZ517" i="1"/>
  <c r="AB517" i="1" s="1"/>
  <c r="AZ518" i="1"/>
  <c r="AB518" i="1" s="1"/>
  <c r="AZ523" i="1"/>
  <c r="AB523" i="1" s="1"/>
  <c r="AZ524" i="1"/>
  <c r="AB524" i="1" s="1"/>
  <c r="AZ526" i="1"/>
  <c r="AB526" i="1" s="1"/>
  <c r="AZ530" i="1"/>
  <c r="AB530" i="1" s="1"/>
  <c r="AZ532" i="1"/>
  <c r="AB532" i="1" s="1"/>
  <c r="AZ533" i="1"/>
  <c r="AB533" i="1" s="1"/>
  <c r="AZ534" i="1"/>
  <c r="AB534" i="1" s="1"/>
  <c r="AZ538" i="1"/>
  <c r="AB538" i="1" s="1"/>
  <c r="AZ540" i="1"/>
  <c r="AB540" i="1" s="1"/>
  <c r="AZ541" i="1"/>
  <c r="AB541" i="1" s="1"/>
  <c r="AZ542" i="1"/>
  <c r="AB542" i="1" s="1"/>
  <c r="AZ548" i="1"/>
  <c r="AB548" i="1" s="1"/>
  <c r="AZ549" i="1"/>
  <c r="AB549" i="1" s="1"/>
  <c r="AZ550" i="1"/>
  <c r="AB550" i="1" s="1"/>
  <c r="AZ554" i="1"/>
  <c r="AB554" i="1" s="1"/>
  <c r="AZ556" i="1"/>
  <c r="AB556" i="1" s="1"/>
  <c r="AZ561" i="1"/>
  <c r="AB561" i="1" s="1"/>
  <c r="AZ562" i="1"/>
  <c r="AB562" i="1" s="1"/>
  <c r="AZ563" i="1"/>
  <c r="AB563" i="1" s="1"/>
  <c r="AZ564" i="1"/>
  <c r="AB564" i="1" s="1"/>
  <c r="AZ565" i="1"/>
  <c r="AB565" i="1" s="1"/>
  <c r="AZ566" i="1"/>
  <c r="AB566" i="1" s="1"/>
  <c r="AZ570" i="1"/>
  <c r="AB570" i="1" s="1"/>
  <c r="AZ571" i="1"/>
  <c r="AB571" i="1" s="1"/>
  <c r="AZ572" i="1"/>
  <c r="AB572" i="1" s="1"/>
  <c r="AZ574" i="1"/>
  <c r="AB574" i="1" s="1"/>
  <c r="AZ578" i="1"/>
  <c r="AB578" i="1" s="1"/>
  <c r="AZ580" i="1"/>
  <c r="AB580" i="1" s="1"/>
  <c r="AZ581" i="1"/>
  <c r="AB581" i="1" s="1"/>
  <c r="AZ582" i="1"/>
  <c r="AB582" i="1" s="1"/>
  <c r="AZ586" i="1"/>
  <c r="AB586" i="1" s="1"/>
  <c r="AZ588" i="1"/>
  <c r="AB588" i="1" s="1"/>
  <c r="AZ590" i="1"/>
  <c r="AB590" i="1" s="1"/>
  <c r="AZ591" i="1"/>
  <c r="AB591" i="1" s="1"/>
  <c r="AZ595" i="1"/>
  <c r="AB595" i="1" s="1"/>
  <c r="AZ596" i="1"/>
  <c r="AB596" i="1" s="1"/>
  <c r="AZ598" i="1"/>
  <c r="AB598" i="1" s="1"/>
  <c r="AZ602" i="1"/>
  <c r="AB602" i="1" s="1"/>
  <c r="AZ603" i="1"/>
  <c r="AB603" i="1" s="1"/>
  <c r="AZ604" i="1"/>
  <c r="AB604" i="1" s="1"/>
  <c r="AZ606" i="1"/>
  <c r="AB606" i="1" s="1"/>
  <c r="AZ609" i="1"/>
  <c r="AB609" i="1" s="1"/>
  <c r="AZ611" i="1"/>
  <c r="AB611" i="1" s="1"/>
  <c r="AZ612" i="1"/>
  <c r="AB612" i="1" s="1"/>
  <c r="AZ614" i="1"/>
  <c r="AB614" i="1" s="1"/>
  <c r="AZ615" i="1"/>
  <c r="AB615" i="1" s="1"/>
  <c r="AZ618" i="1"/>
  <c r="AB618" i="1" s="1"/>
  <c r="AZ619" i="1"/>
  <c r="AB619" i="1" s="1"/>
  <c r="AZ620" i="1"/>
  <c r="AB620" i="1" s="1"/>
  <c r="AZ622" i="1"/>
  <c r="AB622" i="1" s="1"/>
  <c r="AZ623" i="1"/>
  <c r="AB623" i="1" s="1"/>
  <c r="AZ626" i="1"/>
  <c r="AB626" i="1" s="1"/>
  <c r="AZ627" i="1"/>
  <c r="AB627" i="1" s="1"/>
  <c r="AZ628" i="1"/>
  <c r="AB628" i="1" s="1"/>
  <c r="AZ630" i="1"/>
  <c r="AB630" i="1" s="1"/>
  <c r="AZ636" i="1"/>
  <c r="AB636" i="1" s="1"/>
  <c r="AZ638" i="1"/>
  <c r="AB638" i="1" s="1"/>
  <c r="AZ642" i="1"/>
  <c r="AB642" i="1" s="1"/>
  <c r="AZ644" i="1"/>
  <c r="AB644" i="1" s="1"/>
  <c r="AZ645" i="1"/>
  <c r="AB645" i="1" s="1"/>
  <c r="AZ646" i="1"/>
  <c r="AB646" i="1" s="1"/>
  <c r="AZ374" i="1"/>
  <c r="AB374" i="1" s="1"/>
  <c r="AZ179" i="1"/>
  <c r="AB179" i="1" s="1"/>
  <c r="AZ347" i="1"/>
  <c r="AB347" i="1" s="1"/>
  <c r="AZ134" i="1"/>
  <c r="AB134" i="1" s="1"/>
  <c r="AZ9" i="1"/>
  <c r="AB9" i="1" s="1"/>
  <c r="AZ30" i="1"/>
  <c r="AB30" i="1" s="1"/>
  <c r="AZ34" i="1"/>
  <c r="AB34" i="1" s="1"/>
  <c r="AZ266" i="1"/>
  <c r="AB266" i="1" s="1"/>
  <c r="AZ22" i="1"/>
  <c r="AB22" i="1" s="1"/>
  <c r="AZ147" i="1"/>
  <c r="AB147" i="1" s="1"/>
  <c r="AZ195" i="1"/>
  <c r="AB195" i="1" s="1"/>
  <c r="AZ51" i="1"/>
  <c r="AB51" i="1" s="1"/>
  <c r="AZ208" i="1"/>
  <c r="AB208" i="1" s="1"/>
  <c r="AZ105" i="1"/>
  <c r="AB105" i="1" s="1"/>
  <c r="AZ62" i="1"/>
  <c r="AB62" i="1" s="1"/>
  <c r="AZ376" i="1"/>
  <c r="AB376" i="1" s="1"/>
  <c r="AZ222" i="1"/>
  <c r="AB222" i="1" s="1"/>
  <c r="AZ487" i="1"/>
  <c r="AB487" i="1" s="1"/>
  <c r="AZ631" i="1"/>
  <c r="AB631" i="1" s="1"/>
  <c r="AZ4" i="1"/>
  <c r="AB4" i="1" s="1"/>
  <c r="AZ600" i="1"/>
  <c r="AB600" i="1" s="1"/>
  <c r="AZ601" i="1"/>
  <c r="AB601" i="1" s="1"/>
  <c r="AZ309" i="1"/>
  <c r="AB309" i="1" s="1"/>
  <c r="AZ480" i="1"/>
  <c r="AB480" i="1" s="1"/>
  <c r="AZ607" i="1"/>
  <c r="AB607" i="1" s="1"/>
  <c r="AZ587" i="1"/>
  <c r="AB587" i="1" s="1"/>
  <c r="AZ455" i="1"/>
  <c r="AB455" i="1" s="1"/>
  <c r="AZ460" i="1"/>
  <c r="AB460" i="1" s="1"/>
  <c r="AZ466" i="1"/>
  <c r="AB466" i="1" s="1"/>
  <c r="AZ474" i="1"/>
  <c r="AB474" i="1" s="1"/>
  <c r="AZ272" i="1"/>
  <c r="AB272" i="1" s="1"/>
  <c r="AZ165" i="1"/>
  <c r="AB165" i="1" s="1"/>
  <c r="AZ439" i="1"/>
  <c r="AB439" i="1" s="1"/>
  <c r="AZ488" i="1"/>
  <c r="AB488" i="1" s="1"/>
  <c r="AZ555" i="1"/>
  <c r="AB555" i="1" s="1"/>
  <c r="AZ483" i="1"/>
  <c r="AB483" i="1" s="1"/>
  <c r="AZ122" i="1"/>
  <c r="AB122" i="1" s="1"/>
  <c r="AZ417" i="1"/>
  <c r="AB417" i="1" s="1"/>
  <c r="AZ25" i="1"/>
  <c r="AB25" i="1" s="1"/>
  <c r="AZ124" i="1"/>
  <c r="AB124" i="1" s="1"/>
  <c r="AZ344" i="1"/>
  <c r="AB344" i="1" s="1"/>
  <c r="AZ397" i="1"/>
  <c r="AB397" i="1" s="1"/>
  <c r="AZ345" i="1"/>
  <c r="AB345" i="1" s="1"/>
  <c r="AZ352" i="1"/>
  <c r="AB352" i="1" s="1"/>
  <c r="AZ349" i="1"/>
  <c r="AB349" i="1" s="1"/>
  <c r="AZ649" i="1"/>
  <c r="AB649" i="1" s="1"/>
  <c r="AZ383" i="1"/>
  <c r="AB383" i="1" s="1"/>
  <c r="AZ350" i="1"/>
  <c r="AB350" i="1" s="1"/>
  <c r="AZ369" i="1"/>
  <c r="AB369" i="1" s="1"/>
  <c r="AZ45" i="1"/>
  <c r="AB45" i="1" s="1"/>
  <c r="AZ116" i="1"/>
  <c r="AB116" i="1" s="1"/>
  <c r="AZ585" i="1"/>
  <c r="AB585" i="1" s="1"/>
  <c r="AZ326" i="1"/>
  <c r="AB326" i="1" s="1"/>
  <c r="AZ583" i="1"/>
  <c r="AB583" i="1" s="1"/>
  <c r="AZ512" i="1"/>
  <c r="AB512" i="1" s="1"/>
  <c r="AZ485" i="1"/>
  <c r="AB485" i="1" s="1"/>
  <c r="AZ440" i="1"/>
  <c r="AB440" i="1" s="1"/>
  <c r="AZ303" i="1"/>
  <c r="AB303" i="1" s="1"/>
  <c r="AZ567" i="1"/>
  <c r="AB567" i="1" s="1"/>
  <c r="AZ449" i="1"/>
  <c r="AB449" i="1" s="1"/>
  <c r="AZ126" i="1"/>
  <c r="AB126" i="1" s="1"/>
  <c r="AZ450" i="1"/>
  <c r="AB450" i="1" s="1"/>
  <c r="AZ451" i="1"/>
  <c r="AB451" i="1" s="1"/>
  <c r="AZ89" i="1"/>
  <c r="AB89" i="1" s="1"/>
  <c r="AZ504" i="1"/>
  <c r="AB504" i="1" s="1"/>
  <c r="AZ553" i="1"/>
  <c r="AB553" i="1" s="1"/>
  <c r="AZ307" i="1"/>
  <c r="AB307" i="1" s="1"/>
  <c r="AZ118" i="1"/>
  <c r="AB118" i="1" s="1"/>
  <c r="AZ384" i="1"/>
  <c r="AB384" i="1" s="1"/>
  <c r="AZ401" i="1"/>
  <c r="AB401" i="1" s="1"/>
  <c r="AZ351" i="1"/>
  <c r="AB351" i="1" s="1"/>
  <c r="AZ402" i="1"/>
  <c r="AB402" i="1" s="1"/>
  <c r="AZ415" i="1"/>
  <c r="AB415" i="1" s="1"/>
  <c r="AZ343" i="1"/>
  <c r="AB343" i="1" s="1"/>
  <c r="AZ108" i="1"/>
  <c r="AB108" i="1" s="1"/>
  <c r="AZ498" i="1"/>
  <c r="AB498" i="1" s="1"/>
  <c r="AZ537" i="1"/>
  <c r="AB537" i="1" s="1"/>
  <c r="AZ558" i="1"/>
  <c r="AB558" i="1" s="1"/>
  <c r="AZ575" i="1"/>
  <c r="AB575" i="1" s="1"/>
  <c r="AZ599" i="1"/>
  <c r="AB599" i="1" s="1"/>
  <c r="AZ259" i="1"/>
  <c r="AB259" i="1" s="1"/>
  <c r="AZ240" i="1"/>
  <c r="AB240" i="1" s="1"/>
  <c r="AO157" i="1"/>
  <c r="AP157" i="1"/>
  <c r="AQ157" i="1"/>
  <c r="AO158" i="1"/>
  <c r="AP158" i="1"/>
  <c r="AQ158" i="1"/>
  <c r="AO159" i="1"/>
  <c r="AP159" i="1"/>
  <c r="AQ159" i="1"/>
  <c r="AO160" i="1"/>
  <c r="AP160" i="1"/>
  <c r="AQ160" i="1"/>
  <c r="AO161" i="1"/>
  <c r="AP161" i="1"/>
  <c r="AQ161" i="1"/>
  <c r="AO162" i="1"/>
  <c r="AP162" i="1"/>
  <c r="AQ162" i="1"/>
  <c r="AO163" i="1"/>
  <c r="AP163" i="1"/>
  <c r="AQ163" i="1"/>
  <c r="AO429" i="1"/>
  <c r="AP429" i="1"/>
  <c r="AQ429" i="1"/>
  <c r="AO411" i="1"/>
  <c r="AP411" i="1"/>
  <c r="AQ411" i="1"/>
  <c r="AO436" i="1"/>
  <c r="AP436" i="1"/>
  <c r="AQ436" i="1"/>
  <c r="AO437" i="1"/>
  <c r="AP437" i="1"/>
  <c r="AQ437" i="1"/>
  <c r="AO438" i="1"/>
  <c r="AP438" i="1"/>
  <c r="AQ438" i="1"/>
  <c r="AO138" i="1"/>
  <c r="AP138" i="1"/>
  <c r="AQ138" i="1"/>
  <c r="AO139" i="1"/>
  <c r="AP139" i="1"/>
  <c r="AQ139" i="1"/>
  <c r="AO140" i="1"/>
  <c r="AP140" i="1"/>
  <c r="AQ140" i="1"/>
  <c r="AO141" i="1"/>
  <c r="AP141" i="1"/>
  <c r="AQ141" i="1"/>
  <c r="AO81" i="1"/>
  <c r="AP81" i="1"/>
  <c r="AQ81" i="1"/>
  <c r="AO82" i="1"/>
  <c r="AP82" i="1"/>
  <c r="AQ82" i="1"/>
  <c r="AO83" i="1"/>
  <c r="AP83" i="1"/>
  <c r="AQ83" i="1"/>
  <c r="AO84" i="1"/>
  <c r="AP84" i="1"/>
  <c r="AQ84" i="1"/>
  <c r="AO85" i="1"/>
  <c r="AP85" i="1"/>
  <c r="AQ85" i="1"/>
  <c r="AO86" i="1"/>
  <c r="AP86" i="1"/>
  <c r="AQ86" i="1"/>
  <c r="AO87" i="1"/>
  <c r="AP87" i="1"/>
  <c r="AQ87" i="1"/>
  <c r="AO88" i="1"/>
  <c r="AP88" i="1"/>
  <c r="AQ88" i="1"/>
  <c r="AO421" i="1"/>
  <c r="AP421" i="1"/>
  <c r="AQ421" i="1"/>
  <c r="AO513" i="1"/>
  <c r="AP513" i="1"/>
  <c r="AQ513" i="1"/>
  <c r="AO39" i="1"/>
  <c r="AP39" i="1"/>
  <c r="AQ39" i="1"/>
  <c r="AO109" i="1"/>
  <c r="AP109" i="1"/>
  <c r="AQ109" i="1"/>
  <c r="AO110" i="1"/>
  <c r="AP110" i="1"/>
  <c r="AQ110" i="1"/>
  <c r="AO136" i="1"/>
  <c r="AP136" i="1"/>
  <c r="AQ136" i="1"/>
  <c r="AO171" i="1"/>
  <c r="AP171" i="1"/>
  <c r="AQ171" i="1"/>
  <c r="AO153" i="1"/>
  <c r="AP153" i="1"/>
  <c r="AQ153" i="1"/>
  <c r="AO154" i="1"/>
  <c r="AP154" i="1"/>
  <c r="AQ154" i="1"/>
  <c r="AO406" i="1"/>
  <c r="AP406" i="1"/>
  <c r="AQ406" i="1"/>
  <c r="AO407" i="1"/>
  <c r="AP407" i="1"/>
  <c r="AQ407" i="1"/>
  <c r="AO408" i="1"/>
  <c r="AP408" i="1"/>
  <c r="AQ408" i="1"/>
  <c r="AO409" i="1"/>
  <c r="AP409" i="1"/>
  <c r="AQ409" i="1"/>
  <c r="AO410" i="1"/>
  <c r="AP410" i="1"/>
  <c r="AQ410" i="1"/>
  <c r="AO184" i="1"/>
  <c r="AP184" i="1"/>
  <c r="AQ184" i="1"/>
  <c r="AO373" i="1"/>
  <c r="AP373" i="1"/>
  <c r="AQ373" i="1"/>
  <c r="AO374" i="1"/>
  <c r="AP374" i="1"/>
  <c r="AQ374" i="1"/>
  <c r="AO177" i="1"/>
  <c r="AP177" i="1"/>
  <c r="AQ177" i="1"/>
  <c r="AO5" i="1"/>
  <c r="AP5" i="1"/>
  <c r="AQ5" i="1"/>
  <c r="AO66" i="1"/>
  <c r="AP66" i="1"/>
  <c r="AQ66" i="1"/>
  <c r="AO67" i="1"/>
  <c r="AP67" i="1"/>
  <c r="AQ67" i="1"/>
  <c r="AO71" i="1"/>
  <c r="AP71" i="1"/>
  <c r="AQ71" i="1"/>
  <c r="AO6" i="1"/>
  <c r="AP6" i="1"/>
  <c r="AQ6" i="1"/>
  <c r="AO185" i="1"/>
  <c r="AP185" i="1"/>
  <c r="AQ185" i="1"/>
  <c r="AO179" i="1"/>
  <c r="AP179" i="1"/>
  <c r="AQ179" i="1"/>
  <c r="AO338" i="1"/>
  <c r="AP338" i="1"/>
  <c r="AQ338" i="1"/>
  <c r="AO111" i="1"/>
  <c r="AP111" i="1"/>
  <c r="AQ111" i="1"/>
  <c r="AO112" i="1"/>
  <c r="AP112" i="1"/>
  <c r="AQ112" i="1"/>
  <c r="AO538" i="1"/>
  <c r="AP538" i="1"/>
  <c r="AQ538" i="1"/>
  <c r="AO519" i="1"/>
  <c r="AP519" i="1"/>
  <c r="AQ519" i="1"/>
  <c r="AO127" i="1"/>
  <c r="AP127" i="1"/>
  <c r="AQ127" i="1"/>
  <c r="AO40" i="1"/>
  <c r="AP40" i="1"/>
  <c r="AQ40" i="1"/>
  <c r="AO347" i="1"/>
  <c r="AP347" i="1"/>
  <c r="AQ347" i="1"/>
  <c r="AO284" i="1"/>
  <c r="AP284" i="1"/>
  <c r="AQ284" i="1"/>
  <c r="AO339" i="1"/>
  <c r="AP339" i="1"/>
  <c r="AQ339" i="1"/>
  <c r="AO119" i="1"/>
  <c r="AP119" i="1"/>
  <c r="AQ119" i="1"/>
  <c r="AO180" i="1"/>
  <c r="AP180" i="1"/>
  <c r="AQ180" i="1"/>
  <c r="AO422" i="1"/>
  <c r="AP422" i="1"/>
  <c r="AQ422" i="1"/>
  <c r="AO589" i="1"/>
  <c r="AP589" i="1"/>
  <c r="AQ589" i="1"/>
  <c r="AO120" i="1"/>
  <c r="AP120" i="1"/>
  <c r="AQ120" i="1"/>
  <c r="AO121" i="1"/>
  <c r="AP121" i="1"/>
  <c r="AQ121" i="1"/>
  <c r="AO72" i="1"/>
  <c r="AP72" i="1"/>
  <c r="AQ72" i="1"/>
  <c r="AO73" i="1"/>
  <c r="AP73" i="1"/>
  <c r="AQ73" i="1"/>
  <c r="AO26" i="1"/>
  <c r="AP26" i="1"/>
  <c r="AQ26" i="1"/>
  <c r="AO27" i="1"/>
  <c r="AP27" i="1"/>
  <c r="AQ27" i="1"/>
  <c r="AO246" i="1"/>
  <c r="AP246" i="1"/>
  <c r="AQ246" i="1"/>
  <c r="AO288" i="1"/>
  <c r="AP288" i="1"/>
  <c r="AQ288" i="1"/>
  <c r="AO308" i="1"/>
  <c r="AP308" i="1"/>
  <c r="AQ308" i="1"/>
  <c r="AO547" i="1"/>
  <c r="AP547" i="1"/>
  <c r="AQ547" i="1"/>
  <c r="AO531" i="1"/>
  <c r="AP531" i="1"/>
  <c r="AQ531" i="1"/>
  <c r="AO532" i="1"/>
  <c r="AP532" i="1"/>
  <c r="AQ532" i="1"/>
  <c r="AO190" i="1"/>
  <c r="AP190" i="1"/>
  <c r="AQ190" i="1"/>
  <c r="AO191" i="1"/>
  <c r="AP191" i="1"/>
  <c r="AQ191" i="1"/>
  <c r="AO192" i="1"/>
  <c r="AP192" i="1"/>
  <c r="AQ192" i="1"/>
  <c r="AO193" i="1"/>
  <c r="AP193" i="1"/>
  <c r="AQ193" i="1"/>
  <c r="AO634" i="1"/>
  <c r="AP634" i="1"/>
  <c r="AQ634" i="1"/>
  <c r="AO310" i="1"/>
  <c r="AP310" i="1"/>
  <c r="AQ310" i="1"/>
  <c r="AO194" i="1"/>
  <c r="AP194" i="1"/>
  <c r="AQ194" i="1"/>
  <c r="AO311" i="1"/>
  <c r="AP311" i="1"/>
  <c r="AQ311" i="1"/>
  <c r="AO641" i="1"/>
  <c r="AP641" i="1"/>
  <c r="AQ641" i="1"/>
  <c r="AO312" i="1"/>
  <c r="AP312" i="1"/>
  <c r="AQ312" i="1"/>
  <c r="AO74" i="1"/>
  <c r="AP74" i="1"/>
  <c r="AQ74" i="1"/>
  <c r="AO128" i="1"/>
  <c r="AP128" i="1"/>
  <c r="AQ128" i="1"/>
  <c r="AO47" i="1"/>
  <c r="AP47" i="1"/>
  <c r="AQ47" i="1"/>
  <c r="AO129" i="1"/>
  <c r="AP129" i="1"/>
  <c r="AQ129" i="1"/>
  <c r="AO130" i="1"/>
  <c r="AP130" i="1"/>
  <c r="AQ130" i="1"/>
  <c r="AO48" i="1"/>
  <c r="AP48" i="1"/>
  <c r="AQ48" i="1"/>
  <c r="AO75" i="1"/>
  <c r="AP75" i="1"/>
  <c r="AQ75" i="1"/>
  <c r="AO131" i="1"/>
  <c r="AP131" i="1"/>
  <c r="AQ131" i="1"/>
  <c r="AO132" i="1"/>
  <c r="AP132" i="1"/>
  <c r="AQ132" i="1"/>
  <c r="AO133" i="1"/>
  <c r="AP133" i="1"/>
  <c r="AQ133" i="1"/>
  <c r="AO134" i="1"/>
  <c r="AP134" i="1"/>
  <c r="AQ134" i="1"/>
  <c r="AO13" i="1"/>
  <c r="AP13" i="1"/>
  <c r="AQ13" i="1"/>
  <c r="AO14" i="1"/>
  <c r="AP14" i="1"/>
  <c r="AQ14" i="1"/>
  <c r="AO148" i="1"/>
  <c r="AP148" i="1"/>
  <c r="AQ148" i="1"/>
  <c r="AO113" i="1"/>
  <c r="AP113" i="1"/>
  <c r="AQ113" i="1"/>
  <c r="AO7" i="1"/>
  <c r="AP7" i="1"/>
  <c r="AQ7" i="1"/>
  <c r="AO8" i="1"/>
  <c r="AP8" i="1"/>
  <c r="AQ8" i="1"/>
  <c r="AO135" i="1"/>
  <c r="AP135" i="1"/>
  <c r="AQ135" i="1"/>
  <c r="AO9" i="1"/>
  <c r="AP9" i="1"/>
  <c r="AQ9" i="1"/>
  <c r="AO90" i="1"/>
  <c r="AP90" i="1"/>
  <c r="AQ90" i="1"/>
  <c r="AO91" i="1"/>
  <c r="AP91" i="1"/>
  <c r="AQ91" i="1"/>
  <c r="AO10" i="1"/>
  <c r="AP10" i="1"/>
  <c r="AQ10" i="1"/>
  <c r="AO28" i="1"/>
  <c r="AP28" i="1"/>
  <c r="AQ28" i="1"/>
  <c r="AO29" i="1"/>
  <c r="AP29" i="1"/>
  <c r="AQ29" i="1"/>
  <c r="AO76" i="1"/>
  <c r="AP76" i="1"/>
  <c r="AQ76" i="1"/>
  <c r="AO30" i="1"/>
  <c r="AP30" i="1"/>
  <c r="AQ30" i="1"/>
  <c r="AO31" i="1"/>
  <c r="AP31" i="1"/>
  <c r="AQ31" i="1"/>
  <c r="AO32" i="1"/>
  <c r="AP32" i="1"/>
  <c r="AQ32" i="1"/>
  <c r="AO77" i="1"/>
  <c r="AP77" i="1"/>
  <c r="AQ77" i="1"/>
  <c r="AO78" i="1"/>
  <c r="AP78" i="1"/>
  <c r="AQ78" i="1"/>
  <c r="AO261" i="1"/>
  <c r="AP261" i="1"/>
  <c r="AQ261" i="1"/>
  <c r="AO33" i="1"/>
  <c r="AP33" i="1"/>
  <c r="AQ33" i="1"/>
  <c r="AO262" i="1"/>
  <c r="AP262" i="1"/>
  <c r="AQ262" i="1"/>
  <c r="AO34" i="1"/>
  <c r="AP34" i="1"/>
  <c r="AQ34" i="1"/>
  <c r="AO263" i="1"/>
  <c r="AP263" i="1"/>
  <c r="AQ263" i="1"/>
  <c r="AO79" i="1"/>
  <c r="AP79" i="1"/>
  <c r="AQ79" i="1"/>
  <c r="AO35" i="1"/>
  <c r="AP35" i="1"/>
  <c r="AQ35" i="1"/>
  <c r="AO264" i="1"/>
  <c r="AP264" i="1"/>
  <c r="AQ264" i="1"/>
  <c r="AO44" i="1"/>
  <c r="AP44" i="1"/>
  <c r="AQ44" i="1"/>
  <c r="AO265" i="1"/>
  <c r="AP265" i="1"/>
  <c r="AQ265" i="1"/>
  <c r="AO92" i="1"/>
  <c r="AP92" i="1"/>
  <c r="AQ92" i="1"/>
  <c r="AO266" i="1"/>
  <c r="AP266" i="1"/>
  <c r="AQ266" i="1"/>
  <c r="AO93" i="1"/>
  <c r="AP93" i="1"/>
  <c r="AQ93" i="1"/>
  <c r="AO94" i="1"/>
  <c r="AP94" i="1"/>
  <c r="AQ94" i="1"/>
  <c r="AO80" i="1"/>
  <c r="AP80" i="1"/>
  <c r="AQ80" i="1"/>
  <c r="AO95" i="1"/>
  <c r="AP95" i="1"/>
  <c r="AQ95" i="1"/>
  <c r="AO96" i="1"/>
  <c r="AP96" i="1"/>
  <c r="AQ96" i="1"/>
  <c r="AO313" i="1"/>
  <c r="AP313" i="1"/>
  <c r="AQ313" i="1"/>
  <c r="AO314" i="1"/>
  <c r="AP314" i="1"/>
  <c r="AQ314" i="1"/>
  <c r="AO315" i="1"/>
  <c r="AP315" i="1"/>
  <c r="AQ315" i="1"/>
  <c r="AO22" i="1"/>
  <c r="AP22" i="1"/>
  <c r="AQ22" i="1"/>
  <c r="AO23" i="1"/>
  <c r="AP23" i="1"/>
  <c r="AQ23" i="1"/>
  <c r="AO137" i="1"/>
  <c r="AP137" i="1"/>
  <c r="AQ137" i="1"/>
  <c r="AO70" i="1"/>
  <c r="AP70" i="1"/>
  <c r="AQ70" i="1"/>
  <c r="AO275" i="1"/>
  <c r="AP275" i="1"/>
  <c r="AQ275" i="1"/>
  <c r="AO247" i="1"/>
  <c r="AP247" i="1"/>
  <c r="AQ247" i="1"/>
  <c r="AO248" i="1"/>
  <c r="AP248" i="1"/>
  <c r="AQ248" i="1"/>
  <c r="AO155" i="1"/>
  <c r="AP155" i="1"/>
  <c r="AQ155" i="1"/>
  <c r="AO147" i="1"/>
  <c r="AP147" i="1"/>
  <c r="AQ147" i="1"/>
  <c r="AO142" i="1"/>
  <c r="AP142" i="1"/>
  <c r="AQ142" i="1"/>
  <c r="AO149" i="1"/>
  <c r="AP149" i="1"/>
  <c r="AQ149" i="1"/>
  <c r="AO514" i="1"/>
  <c r="AP514" i="1"/>
  <c r="AQ514" i="1"/>
  <c r="AO271" i="1"/>
  <c r="AP271" i="1"/>
  <c r="AQ271" i="1"/>
  <c r="AO172" i="1"/>
  <c r="AP172" i="1"/>
  <c r="AQ172" i="1"/>
  <c r="AO173" i="1"/>
  <c r="AP173" i="1"/>
  <c r="AQ173" i="1"/>
  <c r="AO166" i="1"/>
  <c r="AP166" i="1"/>
  <c r="AQ166" i="1"/>
  <c r="AO195" i="1"/>
  <c r="AP195" i="1"/>
  <c r="AQ195" i="1"/>
  <c r="AO167" i="1"/>
  <c r="AP167" i="1"/>
  <c r="AQ167" i="1"/>
  <c r="AO97" i="1"/>
  <c r="AP97" i="1"/>
  <c r="AQ97" i="1"/>
  <c r="AO49" i="1"/>
  <c r="AP49" i="1"/>
  <c r="AQ49" i="1"/>
  <c r="AO98" i="1"/>
  <c r="AP98" i="1"/>
  <c r="AQ98" i="1"/>
  <c r="AO50" i="1"/>
  <c r="AP50" i="1"/>
  <c r="AQ50" i="1"/>
  <c r="AO146" i="1"/>
  <c r="AP146" i="1"/>
  <c r="AQ146" i="1"/>
  <c r="AO416" i="1"/>
  <c r="AP416" i="1"/>
  <c r="AQ416" i="1"/>
  <c r="AO396" i="1"/>
  <c r="AP396" i="1"/>
  <c r="AQ396" i="1"/>
  <c r="AO15" i="1"/>
  <c r="AP15" i="1"/>
  <c r="AQ15" i="1"/>
  <c r="AO16" i="1"/>
  <c r="AP16" i="1"/>
  <c r="AQ16" i="1"/>
  <c r="AO17" i="1"/>
  <c r="AP17" i="1"/>
  <c r="AQ17" i="1"/>
  <c r="AO18" i="1"/>
  <c r="AP18" i="1"/>
  <c r="AQ18" i="1"/>
  <c r="AO19" i="1"/>
  <c r="AP19" i="1"/>
  <c r="AQ19" i="1"/>
  <c r="AO20" i="1"/>
  <c r="AP20" i="1"/>
  <c r="AQ20" i="1"/>
  <c r="AO99" i="1"/>
  <c r="AP99" i="1"/>
  <c r="AQ99" i="1"/>
  <c r="AO51" i="1"/>
  <c r="AP51" i="1"/>
  <c r="AQ51" i="1"/>
  <c r="AO100" i="1"/>
  <c r="AP100" i="1"/>
  <c r="AQ100" i="1"/>
  <c r="AO52" i="1"/>
  <c r="AP52" i="1"/>
  <c r="AQ52" i="1"/>
  <c r="AO196" i="1"/>
  <c r="AP196" i="1"/>
  <c r="AQ196" i="1"/>
  <c r="AO197" i="1"/>
  <c r="AP197" i="1"/>
  <c r="AQ197" i="1"/>
  <c r="AO198" i="1"/>
  <c r="AP198" i="1"/>
  <c r="AQ198" i="1"/>
  <c r="AO199" i="1"/>
  <c r="AP199" i="1"/>
  <c r="AQ199" i="1"/>
  <c r="AO200" i="1"/>
  <c r="AP200" i="1"/>
  <c r="AQ200" i="1"/>
  <c r="AO201" i="1"/>
  <c r="AP201" i="1"/>
  <c r="AQ201" i="1"/>
  <c r="AO202" i="1"/>
  <c r="AP202" i="1"/>
  <c r="AQ202" i="1"/>
  <c r="AO203" i="1"/>
  <c r="AP203" i="1"/>
  <c r="AQ203" i="1"/>
  <c r="AO204" i="1"/>
  <c r="AP204" i="1"/>
  <c r="AQ204" i="1"/>
  <c r="AO205" i="1"/>
  <c r="AP205" i="1"/>
  <c r="AQ205" i="1"/>
  <c r="AO206" i="1"/>
  <c r="AP206" i="1"/>
  <c r="AQ206" i="1"/>
  <c r="AO207" i="1"/>
  <c r="AP207" i="1"/>
  <c r="AQ207" i="1"/>
  <c r="AO208" i="1"/>
  <c r="AP208" i="1"/>
  <c r="AQ208" i="1"/>
  <c r="AO209" i="1"/>
  <c r="AP209" i="1"/>
  <c r="AQ209" i="1"/>
  <c r="AO210" i="1"/>
  <c r="AP210" i="1"/>
  <c r="AQ210" i="1"/>
  <c r="AO211" i="1"/>
  <c r="AP211" i="1"/>
  <c r="AQ211" i="1"/>
  <c r="AO212" i="1"/>
  <c r="AP212" i="1"/>
  <c r="AQ212" i="1"/>
  <c r="AO213" i="1"/>
  <c r="AP213" i="1"/>
  <c r="AQ213" i="1"/>
  <c r="AO316" i="1"/>
  <c r="AP316" i="1"/>
  <c r="AQ316" i="1"/>
  <c r="AO317" i="1"/>
  <c r="AP317" i="1"/>
  <c r="AQ317" i="1"/>
  <c r="AO318" i="1"/>
  <c r="AP318" i="1"/>
  <c r="AQ318" i="1"/>
  <c r="AO319" i="1"/>
  <c r="AP319" i="1"/>
  <c r="AQ319" i="1"/>
  <c r="AO320" i="1"/>
  <c r="AP320" i="1"/>
  <c r="AQ320" i="1"/>
  <c r="AO321" i="1"/>
  <c r="AP321" i="1"/>
  <c r="AQ321" i="1"/>
  <c r="AO214" i="1"/>
  <c r="AP214" i="1"/>
  <c r="AQ214" i="1"/>
  <c r="AO322" i="1"/>
  <c r="AP322" i="1"/>
  <c r="AQ322" i="1"/>
  <c r="AO323" i="1"/>
  <c r="AP323" i="1"/>
  <c r="AQ323" i="1"/>
  <c r="AO324" i="1"/>
  <c r="AP324" i="1"/>
  <c r="AQ324" i="1"/>
  <c r="AO325" i="1"/>
  <c r="AP325" i="1"/>
  <c r="AQ325" i="1"/>
  <c r="AO294" i="1"/>
  <c r="AP294" i="1"/>
  <c r="AQ294" i="1"/>
  <c r="AO241" i="1"/>
  <c r="AP241" i="1"/>
  <c r="AQ241" i="1"/>
  <c r="AO281" i="1"/>
  <c r="AP281" i="1"/>
  <c r="AQ281" i="1"/>
  <c r="AO295" i="1"/>
  <c r="AP295" i="1"/>
  <c r="AQ295" i="1"/>
  <c r="AO296" i="1"/>
  <c r="AP296" i="1"/>
  <c r="AQ296" i="1"/>
  <c r="AO249" i="1"/>
  <c r="AP249" i="1"/>
  <c r="AQ249" i="1"/>
  <c r="AO250" i="1"/>
  <c r="AP250" i="1"/>
  <c r="AQ250" i="1"/>
  <c r="AO297" i="1"/>
  <c r="AP297" i="1"/>
  <c r="AQ297" i="1"/>
  <c r="AO298" i="1"/>
  <c r="AP298" i="1"/>
  <c r="AQ298" i="1"/>
  <c r="AO289" i="1"/>
  <c r="AP289" i="1"/>
  <c r="AQ289" i="1"/>
  <c r="AO290" i="1"/>
  <c r="AP290" i="1"/>
  <c r="AQ290" i="1"/>
  <c r="AO101" i="1"/>
  <c r="AP101" i="1"/>
  <c r="AQ101" i="1"/>
  <c r="AO102" i="1"/>
  <c r="AP102" i="1"/>
  <c r="AQ102" i="1"/>
  <c r="AO53" i="1"/>
  <c r="AP53" i="1"/>
  <c r="AQ53" i="1"/>
  <c r="AO291" i="1"/>
  <c r="AP291" i="1"/>
  <c r="AQ291" i="1"/>
  <c r="AO54" i="1"/>
  <c r="AP54" i="1"/>
  <c r="AQ54" i="1"/>
  <c r="AO55" i="1"/>
  <c r="AP55" i="1"/>
  <c r="AQ55" i="1"/>
  <c r="AO56" i="1"/>
  <c r="AP56" i="1"/>
  <c r="AQ56" i="1"/>
  <c r="AO57" i="1"/>
  <c r="AP57" i="1"/>
  <c r="AQ57" i="1"/>
  <c r="AO41" i="1"/>
  <c r="AP41" i="1"/>
  <c r="AQ41" i="1"/>
  <c r="AO42" i="1"/>
  <c r="AP42" i="1"/>
  <c r="AQ42" i="1"/>
  <c r="AO43" i="1"/>
  <c r="AP43" i="1"/>
  <c r="AQ43" i="1"/>
  <c r="AO103" i="1"/>
  <c r="AP103" i="1"/>
  <c r="AQ103" i="1"/>
  <c r="AO176" i="1"/>
  <c r="AP176" i="1"/>
  <c r="AQ176" i="1"/>
  <c r="AO104" i="1"/>
  <c r="AP104" i="1"/>
  <c r="AQ104" i="1"/>
  <c r="AO105" i="1"/>
  <c r="AP105" i="1"/>
  <c r="AQ105" i="1"/>
  <c r="AO106" i="1"/>
  <c r="AP106" i="1"/>
  <c r="AQ106" i="1"/>
  <c r="AO107" i="1"/>
  <c r="AP107" i="1"/>
  <c r="AQ107" i="1"/>
  <c r="AO58" i="1"/>
  <c r="AP58" i="1"/>
  <c r="AQ58" i="1"/>
  <c r="AO59" i="1"/>
  <c r="AP59" i="1"/>
  <c r="AQ59" i="1"/>
  <c r="AO60" i="1"/>
  <c r="AP60" i="1"/>
  <c r="AQ60" i="1"/>
  <c r="AO61" i="1"/>
  <c r="AP61" i="1"/>
  <c r="AQ61" i="1"/>
  <c r="AO62" i="1"/>
  <c r="AP62" i="1"/>
  <c r="AQ62" i="1"/>
  <c r="AO220" i="1"/>
  <c r="AP220" i="1"/>
  <c r="AQ220" i="1"/>
  <c r="AO242" i="1"/>
  <c r="AP242" i="1"/>
  <c r="AQ242" i="1"/>
  <c r="AO251" i="1"/>
  <c r="AP251" i="1"/>
  <c r="AQ251" i="1"/>
  <c r="AO375" i="1"/>
  <c r="AP375" i="1"/>
  <c r="AQ375" i="1"/>
  <c r="AO221" i="1"/>
  <c r="AP221" i="1"/>
  <c r="AQ221" i="1"/>
  <c r="AO243" i="1"/>
  <c r="AP243" i="1"/>
  <c r="AQ243" i="1"/>
  <c r="AO252" i="1"/>
  <c r="AP252" i="1"/>
  <c r="AQ252" i="1"/>
  <c r="AO376" i="1"/>
  <c r="AP376" i="1"/>
  <c r="AQ376" i="1"/>
  <c r="AO222" i="1"/>
  <c r="AP222" i="1"/>
  <c r="AQ222" i="1"/>
  <c r="AO244" i="1"/>
  <c r="AP244" i="1"/>
  <c r="AQ244" i="1"/>
  <c r="AO253" i="1"/>
  <c r="AP253" i="1"/>
  <c r="AQ253" i="1"/>
  <c r="AO377" i="1"/>
  <c r="AP377" i="1"/>
  <c r="AQ377" i="1"/>
  <c r="AO224" i="1"/>
  <c r="AP224" i="1"/>
  <c r="AQ224" i="1"/>
  <c r="AO225" i="1"/>
  <c r="AP225" i="1"/>
  <c r="AQ225" i="1"/>
  <c r="AO226" i="1"/>
  <c r="AP226" i="1"/>
  <c r="AQ226" i="1"/>
  <c r="AO227" i="1"/>
  <c r="AP227" i="1"/>
  <c r="AQ227" i="1"/>
  <c r="AO228" i="1"/>
  <c r="AP228" i="1"/>
  <c r="AQ228" i="1"/>
  <c r="AO229" i="1"/>
  <c r="AP229" i="1"/>
  <c r="AQ229" i="1"/>
  <c r="AO230" i="1"/>
  <c r="AP230" i="1"/>
  <c r="AQ230" i="1"/>
  <c r="AO231" i="1"/>
  <c r="AP231" i="1"/>
  <c r="AQ231" i="1"/>
  <c r="AO232" i="1"/>
  <c r="AP232" i="1"/>
  <c r="AQ232" i="1"/>
  <c r="AO63" i="1"/>
  <c r="AP63" i="1"/>
  <c r="AQ63" i="1"/>
  <c r="AO486" i="1"/>
  <c r="AP486" i="1"/>
  <c r="AQ486" i="1"/>
  <c r="AO487" i="1"/>
  <c r="AP487" i="1"/>
  <c r="AQ487" i="1"/>
  <c r="AO378" i="1"/>
  <c r="AP378" i="1"/>
  <c r="AQ378" i="1"/>
  <c r="AO233" i="1"/>
  <c r="AP233" i="1"/>
  <c r="AQ233" i="1"/>
  <c r="AO234" i="1"/>
  <c r="AP234" i="1"/>
  <c r="AQ234" i="1"/>
  <c r="AO379" i="1"/>
  <c r="AP379" i="1"/>
  <c r="AQ379" i="1"/>
  <c r="AO380" i="1"/>
  <c r="AP380" i="1"/>
  <c r="AQ380" i="1"/>
  <c r="AO235" i="1"/>
  <c r="AP235" i="1"/>
  <c r="AQ235" i="1"/>
  <c r="AO236" i="1"/>
  <c r="AP236" i="1"/>
  <c r="AQ236" i="1"/>
  <c r="AO381" i="1"/>
  <c r="AP381" i="1"/>
  <c r="AQ381" i="1"/>
  <c r="AO340" i="1"/>
  <c r="AP340" i="1"/>
  <c r="AQ340" i="1"/>
  <c r="AO563" i="1"/>
  <c r="AP563" i="1"/>
  <c r="AQ563" i="1"/>
  <c r="AO524" i="1"/>
  <c r="AP524" i="1"/>
  <c r="AQ524" i="1"/>
  <c r="AO630" i="1"/>
  <c r="AP630" i="1"/>
  <c r="AQ630" i="1"/>
  <c r="AO144" i="1"/>
  <c r="AP144" i="1"/>
  <c r="AQ144" i="1"/>
  <c r="AO525" i="1"/>
  <c r="AP525" i="1"/>
  <c r="AQ525" i="1"/>
  <c r="AO631" i="1"/>
  <c r="AP631" i="1"/>
  <c r="AQ631" i="1"/>
  <c r="AO548" i="1"/>
  <c r="AP548" i="1"/>
  <c r="AQ548" i="1"/>
  <c r="AO639" i="1"/>
  <c r="AP639" i="1"/>
  <c r="AQ639" i="1"/>
  <c r="AO21" i="1"/>
  <c r="AP21" i="1"/>
  <c r="AQ21" i="1"/>
  <c r="AO4" i="1"/>
  <c r="AP4" i="1"/>
  <c r="AQ4" i="1"/>
  <c r="AO145" i="1"/>
  <c r="AP145" i="1"/>
  <c r="AQ145" i="1"/>
  <c r="AO237" i="1"/>
  <c r="AP237" i="1"/>
  <c r="AQ237" i="1"/>
  <c r="AO245" i="1"/>
  <c r="AP245" i="1"/>
  <c r="AQ245" i="1"/>
  <c r="AO330" i="1"/>
  <c r="AP330" i="1"/>
  <c r="AQ330" i="1"/>
  <c r="AO302" i="1"/>
  <c r="AP302" i="1"/>
  <c r="AQ302" i="1"/>
  <c r="AO304" i="1"/>
  <c r="AP304" i="1"/>
  <c r="AQ304" i="1"/>
  <c r="AO390" i="1"/>
  <c r="AP390" i="1"/>
  <c r="AQ390" i="1"/>
  <c r="AO600" i="1"/>
  <c r="AP600" i="1"/>
  <c r="AQ600" i="1"/>
  <c r="AO426" i="1"/>
  <c r="AP426" i="1"/>
  <c r="AQ426" i="1"/>
  <c r="AO427" i="1"/>
  <c r="AP427" i="1"/>
  <c r="AQ427" i="1"/>
  <c r="AO301" i="1"/>
  <c r="AP301" i="1"/>
  <c r="AQ301" i="1"/>
  <c r="AO601" i="1"/>
  <c r="AP601" i="1"/>
  <c r="AQ601" i="1"/>
  <c r="AO602" i="1"/>
  <c r="AP602" i="1"/>
  <c r="AQ602" i="1"/>
  <c r="AO36" i="1"/>
  <c r="AP36" i="1"/>
  <c r="AQ36" i="1"/>
  <c r="AO603" i="1"/>
  <c r="AP603" i="1"/>
  <c r="AQ603" i="1"/>
  <c r="AO604" i="1"/>
  <c r="AP604" i="1"/>
  <c r="AQ604" i="1"/>
  <c r="AO37" i="1"/>
  <c r="AP37" i="1"/>
  <c r="AQ37" i="1"/>
  <c r="AO520" i="1"/>
  <c r="AP520" i="1"/>
  <c r="AQ520" i="1"/>
  <c r="AO292" i="1"/>
  <c r="AP292" i="1"/>
  <c r="AQ292" i="1"/>
  <c r="AO309" i="1"/>
  <c r="AP309" i="1"/>
  <c r="AQ309" i="1"/>
  <c r="AO605" i="1"/>
  <c r="AP605" i="1"/>
  <c r="AQ605" i="1"/>
  <c r="AO606" i="1"/>
  <c r="AP606" i="1"/>
  <c r="AQ606" i="1"/>
  <c r="AO293" i="1"/>
  <c r="AP293" i="1"/>
  <c r="AQ293" i="1"/>
  <c r="AO170" i="1"/>
  <c r="AP170" i="1"/>
  <c r="AQ170" i="1"/>
  <c r="AO215" i="1"/>
  <c r="AP215" i="1"/>
  <c r="AQ215" i="1"/>
  <c r="AO479" i="1"/>
  <c r="AP479" i="1"/>
  <c r="AQ479" i="1"/>
  <c r="AO254" i="1"/>
  <c r="AP254" i="1"/>
  <c r="AQ254" i="1"/>
  <c r="AO480" i="1"/>
  <c r="AP480" i="1"/>
  <c r="AQ480" i="1"/>
  <c r="AO573" i="1"/>
  <c r="AP573" i="1"/>
  <c r="AQ573" i="1"/>
  <c r="AO607" i="1"/>
  <c r="AP607" i="1"/>
  <c r="AQ607" i="1"/>
  <c r="AO608" i="1"/>
  <c r="AP608" i="1"/>
  <c r="AQ608" i="1"/>
  <c r="AO586" i="1"/>
  <c r="AP586" i="1"/>
  <c r="AQ586" i="1"/>
  <c r="AO622" i="1"/>
  <c r="AP622" i="1"/>
  <c r="AQ622" i="1"/>
  <c r="AO645" i="1"/>
  <c r="AP645" i="1"/>
  <c r="AQ645" i="1"/>
  <c r="AO574" i="1"/>
  <c r="AP574" i="1"/>
  <c r="AQ574" i="1"/>
  <c r="AO587" i="1"/>
  <c r="AP587" i="1"/>
  <c r="AQ587" i="1"/>
  <c r="AO623" i="1"/>
  <c r="AP623" i="1"/>
  <c r="AQ623" i="1"/>
  <c r="AO609" i="1"/>
  <c r="AP609" i="1"/>
  <c r="AQ609" i="1"/>
  <c r="AO610" i="1"/>
  <c r="AP610" i="1"/>
  <c r="AQ610" i="1"/>
  <c r="AO611" i="1"/>
  <c r="AP611" i="1"/>
  <c r="AQ611" i="1"/>
  <c r="AO612" i="1"/>
  <c r="AP612" i="1"/>
  <c r="AQ612" i="1"/>
  <c r="AO613" i="1"/>
  <c r="AP613" i="1"/>
  <c r="AQ613" i="1"/>
  <c r="AO614" i="1"/>
  <c r="AP614" i="1"/>
  <c r="AQ614" i="1"/>
  <c r="AO615" i="1"/>
  <c r="AP615" i="1"/>
  <c r="AQ615" i="1"/>
  <c r="AO616" i="1"/>
  <c r="AP616" i="1"/>
  <c r="AQ616" i="1"/>
  <c r="AO455" i="1"/>
  <c r="AP455" i="1"/>
  <c r="AQ455" i="1"/>
  <c r="AO456" i="1"/>
  <c r="AP456" i="1"/>
  <c r="AQ456" i="1"/>
  <c r="AO457" i="1"/>
  <c r="AP457" i="1"/>
  <c r="AQ457" i="1"/>
  <c r="AO458" i="1"/>
  <c r="AP458" i="1"/>
  <c r="AQ458" i="1"/>
  <c r="AO646" i="1"/>
  <c r="AP646" i="1"/>
  <c r="AQ646" i="1"/>
  <c r="AO617" i="1"/>
  <c r="AP617" i="1"/>
  <c r="AQ617" i="1"/>
  <c r="AO459" i="1"/>
  <c r="AP459" i="1"/>
  <c r="AQ459" i="1"/>
  <c r="AO460" i="1"/>
  <c r="AP460" i="1"/>
  <c r="AQ460" i="1"/>
  <c r="AO618" i="1"/>
  <c r="AP618" i="1"/>
  <c r="AQ618" i="1"/>
  <c r="AO619" i="1"/>
  <c r="AP619" i="1"/>
  <c r="AQ619" i="1"/>
  <c r="AO461" i="1"/>
  <c r="AP461" i="1"/>
  <c r="AQ461" i="1"/>
  <c r="AO462" i="1"/>
  <c r="AP462" i="1"/>
  <c r="AQ462" i="1"/>
  <c r="AO620" i="1"/>
  <c r="AP620" i="1"/>
  <c r="AQ620" i="1"/>
  <c r="AO463" i="1"/>
  <c r="AP463" i="1"/>
  <c r="AQ463" i="1"/>
  <c r="AO464" i="1"/>
  <c r="AP464" i="1"/>
  <c r="AQ464" i="1"/>
  <c r="AO465" i="1"/>
  <c r="AP465" i="1"/>
  <c r="AQ465" i="1"/>
  <c r="AO466" i="1"/>
  <c r="AP466" i="1"/>
  <c r="AQ466" i="1"/>
  <c r="AO467" i="1"/>
  <c r="AP467" i="1"/>
  <c r="AQ467" i="1"/>
  <c r="AO468" i="1"/>
  <c r="AP468" i="1"/>
  <c r="AQ468" i="1"/>
  <c r="AO469" i="1"/>
  <c r="AP469" i="1"/>
  <c r="AQ469" i="1"/>
  <c r="AO470" i="1"/>
  <c r="AP470" i="1"/>
  <c r="AQ470" i="1"/>
  <c r="AO471" i="1"/>
  <c r="AP471" i="1"/>
  <c r="AQ471" i="1"/>
  <c r="AO472" i="1"/>
  <c r="AP472" i="1"/>
  <c r="AQ472" i="1"/>
  <c r="AO473" i="1"/>
  <c r="AP473" i="1"/>
  <c r="AQ473" i="1"/>
  <c r="AO474" i="1"/>
  <c r="AP474" i="1"/>
  <c r="AQ474" i="1"/>
  <c r="AO475" i="1"/>
  <c r="AP475" i="1"/>
  <c r="AQ475" i="1"/>
  <c r="AO476" i="1"/>
  <c r="AP476" i="1"/>
  <c r="AQ476" i="1"/>
  <c r="AO477" i="1"/>
  <c r="AP477" i="1"/>
  <c r="AQ477" i="1"/>
  <c r="AO356" i="1"/>
  <c r="AP356" i="1"/>
  <c r="AQ356" i="1"/>
  <c r="AO327" i="1"/>
  <c r="AP327" i="1"/>
  <c r="AQ327" i="1"/>
  <c r="AO357" i="1"/>
  <c r="AP357" i="1"/>
  <c r="AQ357" i="1"/>
  <c r="AO358" i="1"/>
  <c r="AP358" i="1"/>
  <c r="AQ358" i="1"/>
  <c r="AO542" i="1"/>
  <c r="AP542" i="1"/>
  <c r="AQ542" i="1"/>
  <c r="AO543" i="1"/>
  <c r="AP543" i="1"/>
  <c r="AQ543" i="1"/>
  <c r="AO544" i="1"/>
  <c r="AP544" i="1"/>
  <c r="AQ544" i="1"/>
  <c r="AO478" i="1"/>
  <c r="AP478" i="1"/>
  <c r="AQ478" i="1"/>
  <c r="AO359" i="1"/>
  <c r="AP359" i="1"/>
  <c r="AQ359" i="1"/>
  <c r="AO360" i="1"/>
  <c r="AP360" i="1"/>
  <c r="AQ360" i="1"/>
  <c r="AO361" i="1"/>
  <c r="AP361" i="1"/>
  <c r="AQ361" i="1"/>
  <c r="AO362" i="1"/>
  <c r="AP362" i="1"/>
  <c r="AQ362" i="1"/>
  <c r="AO363" i="1"/>
  <c r="AP363" i="1"/>
  <c r="AQ363" i="1"/>
  <c r="AO364" i="1"/>
  <c r="AP364" i="1"/>
  <c r="AQ364" i="1"/>
  <c r="AO365" i="1"/>
  <c r="AP365" i="1"/>
  <c r="AQ365" i="1"/>
  <c r="AO366" i="1"/>
  <c r="AP366" i="1"/>
  <c r="AQ366" i="1"/>
  <c r="AO545" i="1"/>
  <c r="AP545" i="1"/>
  <c r="AQ545" i="1"/>
  <c r="AO559" i="1"/>
  <c r="AP559" i="1"/>
  <c r="AQ559" i="1"/>
  <c r="AO560" i="1"/>
  <c r="AP560" i="1"/>
  <c r="AQ560" i="1"/>
  <c r="AO335" i="1"/>
  <c r="AP335" i="1"/>
  <c r="AQ335" i="1"/>
  <c r="AO561" i="1"/>
  <c r="AP561" i="1"/>
  <c r="AQ561" i="1"/>
  <c r="AO562" i="1"/>
  <c r="AP562" i="1"/>
  <c r="AQ562" i="1"/>
  <c r="AO186" i="1"/>
  <c r="AP186" i="1"/>
  <c r="AQ186" i="1"/>
  <c r="AO277" i="1"/>
  <c r="AP277" i="1"/>
  <c r="AQ277" i="1"/>
  <c r="AO530" i="1"/>
  <c r="AP530" i="1"/>
  <c r="AQ530" i="1"/>
  <c r="AO328" i="1"/>
  <c r="AP328" i="1"/>
  <c r="AQ328" i="1"/>
  <c r="AO278" i="1"/>
  <c r="AP278" i="1"/>
  <c r="AQ278" i="1"/>
  <c r="AO279" i="1"/>
  <c r="AP279" i="1"/>
  <c r="AQ279" i="1"/>
  <c r="AO395" i="1"/>
  <c r="AP395" i="1"/>
  <c r="AQ395" i="1"/>
  <c r="AO287" i="1"/>
  <c r="AP287" i="1"/>
  <c r="AQ287" i="1"/>
  <c r="AO280" i="1"/>
  <c r="AP280" i="1"/>
  <c r="AQ280" i="1"/>
  <c r="AO269" i="1"/>
  <c r="AP269" i="1"/>
  <c r="AQ269" i="1"/>
  <c r="AO270" i="1"/>
  <c r="AP270" i="1"/>
  <c r="AQ270" i="1"/>
  <c r="AO164" i="1"/>
  <c r="AP164" i="1"/>
  <c r="AQ164" i="1"/>
  <c r="AO178" i="1"/>
  <c r="AP178" i="1"/>
  <c r="AQ178" i="1"/>
  <c r="AO272" i="1"/>
  <c r="AP272" i="1"/>
  <c r="AQ272" i="1"/>
  <c r="AO165" i="1"/>
  <c r="AP165" i="1"/>
  <c r="AQ165" i="1"/>
  <c r="AO189" i="1"/>
  <c r="AP189" i="1"/>
  <c r="AQ189" i="1"/>
  <c r="AO439" i="1"/>
  <c r="AP439" i="1"/>
  <c r="AQ439" i="1"/>
  <c r="AO481" i="1"/>
  <c r="AP481" i="1"/>
  <c r="AQ481" i="1"/>
  <c r="AO482" i="1"/>
  <c r="AP482" i="1"/>
  <c r="AQ482" i="1"/>
  <c r="AO382" i="1"/>
  <c r="AP382" i="1"/>
  <c r="AQ382" i="1"/>
  <c r="AO488" i="1"/>
  <c r="AP488" i="1"/>
  <c r="AQ488" i="1"/>
  <c r="AO555" i="1"/>
  <c r="AP555" i="1"/>
  <c r="AQ555" i="1"/>
  <c r="AO489" i="1"/>
  <c r="AP489" i="1"/>
  <c r="AQ489" i="1"/>
  <c r="AO490" i="1"/>
  <c r="AP490" i="1"/>
  <c r="AQ490" i="1"/>
  <c r="AO348" i="1"/>
  <c r="AP348" i="1"/>
  <c r="AQ348" i="1"/>
  <c r="AO564" i="1"/>
  <c r="AP564" i="1"/>
  <c r="AQ564" i="1"/>
  <c r="AO566" i="1"/>
  <c r="AP566" i="1"/>
  <c r="AQ566" i="1"/>
  <c r="AO539" i="1"/>
  <c r="AP539" i="1"/>
  <c r="AQ539" i="1"/>
  <c r="AO515" i="1"/>
  <c r="AP515" i="1"/>
  <c r="AQ515" i="1"/>
  <c r="AO483" i="1"/>
  <c r="AP483" i="1"/>
  <c r="AQ483" i="1"/>
  <c r="AO122" i="1"/>
  <c r="AP122" i="1"/>
  <c r="AQ122" i="1"/>
  <c r="AO577" i="1"/>
  <c r="AP577" i="1"/>
  <c r="AQ577" i="1"/>
  <c r="AO417" i="1"/>
  <c r="AP417" i="1"/>
  <c r="AQ417" i="1"/>
  <c r="AO123" i="1"/>
  <c r="AP123" i="1"/>
  <c r="AQ123" i="1"/>
  <c r="AO181" i="1"/>
  <c r="AP181" i="1"/>
  <c r="AQ181" i="1"/>
  <c r="AO24" i="1"/>
  <c r="AP24" i="1"/>
  <c r="AQ24" i="1"/>
  <c r="AO25" i="1"/>
  <c r="AP25" i="1"/>
  <c r="AQ25" i="1"/>
  <c r="AO124" i="1"/>
  <c r="AP124" i="1"/>
  <c r="AQ124" i="1"/>
  <c r="AO418" i="1"/>
  <c r="AP418" i="1"/>
  <c r="AQ418" i="1"/>
  <c r="AO556" i="1"/>
  <c r="AP556" i="1"/>
  <c r="AQ556" i="1"/>
  <c r="AO526" i="1"/>
  <c r="AP526" i="1"/>
  <c r="AQ526" i="1"/>
  <c r="AO423" i="1"/>
  <c r="AP423" i="1"/>
  <c r="AQ423" i="1"/>
  <c r="AO260" i="1"/>
  <c r="AP260" i="1"/>
  <c r="AQ260" i="1"/>
  <c r="AO282" i="1"/>
  <c r="AP282" i="1"/>
  <c r="AQ282" i="1"/>
  <c r="AO344" i="1"/>
  <c r="AP344" i="1"/>
  <c r="AQ344" i="1"/>
  <c r="AO397" i="1"/>
  <c r="AP397" i="1"/>
  <c r="AQ397" i="1"/>
  <c r="AO372" i="1"/>
  <c r="AP372" i="1"/>
  <c r="AQ372" i="1"/>
  <c r="AO391" i="1"/>
  <c r="AP391" i="1"/>
  <c r="AQ391" i="1"/>
  <c r="AO276" i="1"/>
  <c r="AP276" i="1"/>
  <c r="AQ276" i="1"/>
  <c r="AO424" i="1"/>
  <c r="AP424" i="1"/>
  <c r="AQ424" i="1"/>
  <c r="AO549" i="1"/>
  <c r="AP549" i="1"/>
  <c r="AQ549" i="1"/>
  <c r="AO632" i="1"/>
  <c r="AP632" i="1"/>
  <c r="AQ632" i="1"/>
  <c r="AO550" i="1"/>
  <c r="AP550" i="1"/>
  <c r="AQ550" i="1"/>
  <c r="AO430" i="1"/>
  <c r="AP430" i="1"/>
  <c r="AQ430" i="1"/>
  <c r="AO595" i="1"/>
  <c r="AP595" i="1"/>
  <c r="AQ595" i="1"/>
  <c r="AO596" i="1"/>
  <c r="AP596" i="1"/>
  <c r="AQ596" i="1"/>
  <c r="AO431" i="1"/>
  <c r="AP431" i="1"/>
  <c r="AQ431" i="1"/>
  <c r="AO432" i="1"/>
  <c r="AP432" i="1"/>
  <c r="AQ432" i="1"/>
  <c r="AO597" i="1"/>
  <c r="AP597" i="1"/>
  <c r="AQ597" i="1"/>
  <c r="AO644" i="1"/>
  <c r="AP644" i="1"/>
  <c r="AQ644" i="1"/>
  <c r="AO578" i="1"/>
  <c r="AP578" i="1"/>
  <c r="AQ578" i="1"/>
  <c r="AO425" i="1"/>
  <c r="AP425" i="1"/>
  <c r="AQ425" i="1"/>
  <c r="AO621" i="1"/>
  <c r="AP621" i="1"/>
  <c r="AQ621" i="1"/>
  <c r="AO590" i="1"/>
  <c r="AP590" i="1"/>
  <c r="AQ590" i="1"/>
  <c r="AO591" i="1"/>
  <c r="AP591" i="1"/>
  <c r="AQ591" i="1"/>
  <c r="AO637" i="1"/>
  <c r="AP637" i="1"/>
  <c r="AQ637" i="1"/>
  <c r="AO581" i="1"/>
  <c r="AP581" i="1"/>
  <c r="AQ581" i="1"/>
  <c r="AO592" i="1"/>
  <c r="AP592" i="1"/>
  <c r="AQ592" i="1"/>
  <c r="AO598" i="1"/>
  <c r="AP598" i="1"/>
  <c r="AQ598" i="1"/>
  <c r="AO594" i="1"/>
  <c r="AP594" i="1"/>
  <c r="AQ594" i="1"/>
  <c r="AO551" i="1"/>
  <c r="AP551" i="1"/>
  <c r="AQ551" i="1"/>
  <c r="AO345" i="1"/>
  <c r="AP345" i="1"/>
  <c r="AQ345" i="1"/>
  <c r="AO346" i="1"/>
  <c r="AP346" i="1"/>
  <c r="AQ346" i="1"/>
  <c r="AO496" i="1"/>
  <c r="AP496" i="1"/>
  <c r="AQ496" i="1"/>
  <c r="AO398" i="1"/>
  <c r="AP398" i="1"/>
  <c r="AQ398" i="1"/>
  <c r="AO527" i="1"/>
  <c r="AP527" i="1"/>
  <c r="AQ527" i="1"/>
  <c r="AO582" i="1"/>
  <c r="AP582" i="1"/>
  <c r="AQ582" i="1"/>
  <c r="AO506" i="1"/>
  <c r="AP506" i="1"/>
  <c r="AQ506" i="1"/>
  <c r="AO507" i="1"/>
  <c r="AP507" i="1"/>
  <c r="AQ507" i="1"/>
  <c r="AO352" i="1"/>
  <c r="AP352" i="1"/>
  <c r="AQ352" i="1"/>
  <c r="AO399" i="1"/>
  <c r="AP399" i="1"/>
  <c r="AQ399" i="1"/>
  <c r="AO238" i="1"/>
  <c r="AP238" i="1"/>
  <c r="AQ238" i="1"/>
  <c r="AO239" i="1"/>
  <c r="AP239" i="1"/>
  <c r="AQ239" i="1"/>
  <c r="AO588" i="1"/>
  <c r="AP588" i="1"/>
  <c r="AQ588" i="1"/>
  <c r="AO624" i="1"/>
  <c r="AP624" i="1"/>
  <c r="AQ624" i="1"/>
  <c r="AO285" i="1"/>
  <c r="AP285" i="1"/>
  <c r="AQ285" i="1"/>
  <c r="AO484" i="1"/>
  <c r="AP484" i="1"/>
  <c r="AQ484" i="1"/>
  <c r="AO349" i="1"/>
  <c r="AP349" i="1"/>
  <c r="AQ349" i="1"/>
  <c r="AO497" i="1"/>
  <c r="AP497" i="1"/>
  <c r="AQ497" i="1"/>
  <c r="AO216" i="1"/>
  <c r="AP216" i="1"/>
  <c r="AQ216" i="1"/>
  <c r="AO217" i="1"/>
  <c r="AP217" i="1"/>
  <c r="AQ217" i="1"/>
  <c r="AO625" i="1"/>
  <c r="AP625" i="1"/>
  <c r="AQ625" i="1"/>
  <c r="AO540" i="1"/>
  <c r="AP540" i="1"/>
  <c r="AQ540" i="1"/>
  <c r="AO643" i="1"/>
  <c r="AP643" i="1"/>
  <c r="AQ643" i="1"/>
  <c r="AO647" i="1"/>
  <c r="AP647" i="1"/>
  <c r="AQ647" i="1"/>
  <c r="AO649" i="1"/>
  <c r="AP649" i="1"/>
  <c r="AQ649" i="1"/>
  <c r="AO331" i="1"/>
  <c r="AP331" i="1"/>
  <c r="AQ331" i="1"/>
  <c r="AO299" i="1"/>
  <c r="AP299" i="1"/>
  <c r="AQ299" i="1"/>
  <c r="AO223" i="1"/>
  <c r="AP223" i="1"/>
  <c r="AQ223" i="1"/>
  <c r="AO38" i="1"/>
  <c r="AP38" i="1"/>
  <c r="AQ38" i="1"/>
  <c r="AO64" i="1"/>
  <c r="AP64" i="1"/>
  <c r="AQ64" i="1"/>
  <c r="AO383" i="1"/>
  <c r="AP383" i="1"/>
  <c r="AQ383" i="1"/>
  <c r="AO350" i="1"/>
  <c r="AP350" i="1"/>
  <c r="AQ350" i="1"/>
  <c r="AO182" i="1"/>
  <c r="AP182" i="1"/>
  <c r="AQ182" i="1"/>
  <c r="AO68" i="1"/>
  <c r="AP68" i="1"/>
  <c r="AQ68" i="1"/>
  <c r="AO114" i="1"/>
  <c r="AP114" i="1"/>
  <c r="AQ114" i="1"/>
  <c r="AO412" i="1"/>
  <c r="AP412" i="1"/>
  <c r="AQ412" i="1"/>
  <c r="AO117" i="1"/>
  <c r="AP117" i="1"/>
  <c r="AQ117" i="1"/>
  <c r="AO546" i="1"/>
  <c r="AP546" i="1"/>
  <c r="AQ546" i="1"/>
  <c r="AO168" i="1"/>
  <c r="AP168" i="1"/>
  <c r="AQ168" i="1"/>
  <c r="AO174" i="1"/>
  <c r="AP174" i="1"/>
  <c r="AQ174" i="1"/>
  <c r="AO156" i="1"/>
  <c r="AP156" i="1"/>
  <c r="AQ156" i="1"/>
  <c r="AO183" i="1"/>
  <c r="AP183" i="1"/>
  <c r="AQ183" i="1"/>
  <c r="AO576" i="1"/>
  <c r="AP576" i="1"/>
  <c r="AQ576" i="1"/>
  <c r="AO273" i="1"/>
  <c r="AP273" i="1"/>
  <c r="AQ273" i="1"/>
  <c r="AO274" i="1"/>
  <c r="AP274" i="1"/>
  <c r="AQ274" i="1"/>
  <c r="AO367" i="1"/>
  <c r="AP367" i="1"/>
  <c r="AQ367" i="1"/>
  <c r="AO368" i="1"/>
  <c r="AP368" i="1"/>
  <c r="AQ368" i="1"/>
  <c r="AO369" i="1"/>
  <c r="AP369" i="1"/>
  <c r="AQ369" i="1"/>
  <c r="AO370" i="1"/>
  <c r="AP370" i="1"/>
  <c r="AQ370" i="1"/>
  <c r="AO152" i="1"/>
  <c r="AP152" i="1"/>
  <c r="AQ152" i="1"/>
  <c r="AO255" i="1"/>
  <c r="AP255" i="1"/>
  <c r="AQ255" i="1"/>
  <c r="AO256" i="1"/>
  <c r="AP256" i="1"/>
  <c r="AQ256" i="1"/>
  <c r="AO257" i="1"/>
  <c r="AP257" i="1"/>
  <c r="AQ257" i="1"/>
  <c r="AO45" i="1"/>
  <c r="AP45" i="1"/>
  <c r="AQ45" i="1"/>
  <c r="AO115" i="1"/>
  <c r="AP115" i="1"/>
  <c r="AQ115" i="1"/>
  <c r="AO116" i="1"/>
  <c r="AP116" i="1"/>
  <c r="AQ116" i="1"/>
  <c r="AO636" i="1"/>
  <c r="AP636" i="1"/>
  <c r="AQ636" i="1"/>
  <c r="AO46" i="1"/>
  <c r="AP46" i="1"/>
  <c r="AQ46" i="1"/>
  <c r="AO585" i="1"/>
  <c r="AP585" i="1"/>
  <c r="AQ585" i="1"/>
  <c r="AO640" i="1"/>
  <c r="AP640" i="1"/>
  <c r="AQ640" i="1"/>
  <c r="AO218" i="1"/>
  <c r="AP218" i="1"/>
  <c r="AQ218" i="1"/>
  <c r="AO648" i="1"/>
  <c r="AP648" i="1"/>
  <c r="AQ648" i="1"/>
  <c r="AO326" i="1"/>
  <c r="AP326" i="1"/>
  <c r="AQ326" i="1"/>
  <c r="AO583" i="1"/>
  <c r="AP583" i="1"/>
  <c r="AQ583" i="1"/>
  <c r="AO557" i="1"/>
  <c r="AP557" i="1"/>
  <c r="AQ557" i="1"/>
  <c r="AO187" i="1"/>
  <c r="AP187" i="1"/>
  <c r="AQ187" i="1"/>
  <c r="AO188" i="1"/>
  <c r="AP188" i="1"/>
  <c r="AQ188" i="1"/>
  <c r="AO433" i="1"/>
  <c r="AP433" i="1"/>
  <c r="AQ433" i="1"/>
  <c r="AO434" i="1"/>
  <c r="AP434" i="1"/>
  <c r="AQ434" i="1"/>
  <c r="AO435" i="1"/>
  <c r="AP435" i="1"/>
  <c r="AQ435" i="1"/>
  <c r="AO511" i="1"/>
  <c r="AP511" i="1"/>
  <c r="AQ511" i="1"/>
  <c r="AO512" i="1"/>
  <c r="AP512" i="1"/>
  <c r="AQ512" i="1"/>
  <c r="AO638" i="1"/>
  <c r="AP638" i="1"/>
  <c r="AQ638" i="1"/>
  <c r="AO500" i="1"/>
  <c r="AP500" i="1"/>
  <c r="AQ500" i="1"/>
  <c r="AO501" i="1"/>
  <c r="AP501" i="1"/>
  <c r="AQ501" i="1"/>
  <c r="AO571" i="1"/>
  <c r="AP571" i="1"/>
  <c r="AQ571" i="1"/>
  <c r="AO502" i="1"/>
  <c r="AP502" i="1"/>
  <c r="AQ502" i="1"/>
  <c r="AO572" i="1"/>
  <c r="AP572" i="1"/>
  <c r="AQ572" i="1"/>
  <c r="AO485" i="1"/>
  <c r="AP485" i="1"/>
  <c r="AQ485" i="1"/>
  <c r="AO440" i="1"/>
  <c r="AP440" i="1"/>
  <c r="AQ440" i="1"/>
  <c r="AO441" i="1"/>
  <c r="AP441" i="1"/>
  <c r="AQ441" i="1"/>
  <c r="AO442" i="1"/>
  <c r="AP442" i="1"/>
  <c r="AQ442" i="1"/>
  <c r="AO443" i="1"/>
  <c r="AP443" i="1"/>
  <c r="AQ443" i="1"/>
  <c r="AO494" i="1"/>
  <c r="AP494" i="1"/>
  <c r="AQ494" i="1"/>
  <c r="AO444" i="1"/>
  <c r="AP444" i="1"/>
  <c r="AQ444" i="1"/>
  <c r="AO495" i="1"/>
  <c r="AP495" i="1"/>
  <c r="AQ495" i="1"/>
  <c r="AO445" i="1"/>
  <c r="AP445" i="1"/>
  <c r="AQ445" i="1"/>
  <c r="AO446" i="1"/>
  <c r="AP446" i="1"/>
  <c r="AQ446" i="1"/>
  <c r="AO447" i="1"/>
  <c r="AP447" i="1"/>
  <c r="AQ447" i="1"/>
  <c r="AO508" i="1"/>
  <c r="AP508" i="1"/>
  <c r="AQ508" i="1"/>
  <c r="AO509" i="1"/>
  <c r="AP509" i="1"/>
  <c r="AQ509" i="1"/>
  <c r="AO510" i="1"/>
  <c r="AP510" i="1"/>
  <c r="AQ510" i="1"/>
  <c r="AO150" i="1"/>
  <c r="AP150" i="1"/>
  <c r="AQ150" i="1"/>
  <c r="AO303" i="1"/>
  <c r="AP303" i="1"/>
  <c r="AQ303" i="1"/>
  <c r="AO151" i="1"/>
  <c r="AP151" i="1"/>
  <c r="AQ151" i="1"/>
  <c r="AO567" i="1"/>
  <c r="AP567" i="1"/>
  <c r="AQ567" i="1"/>
  <c r="AO521" i="1"/>
  <c r="AP521" i="1"/>
  <c r="AQ521" i="1"/>
  <c r="AO522" i="1"/>
  <c r="AP522" i="1"/>
  <c r="AQ522" i="1"/>
  <c r="AO568" i="1"/>
  <c r="AP568" i="1"/>
  <c r="AQ568" i="1"/>
  <c r="AO523" i="1"/>
  <c r="AP523" i="1"/>
  <c r="AQ523" i="1"/>
  <c r="AO419" i="1"/>
  <c r="AP419" i="1"/>
  <c r="AQ419" i="1"/>
  <c r="AO413" i="1"/>
  <c r="AP413" i="1"/>
  <c r="AQ413" i="1"/>
  <c r="AO491" i="1"/>
  <c r="AP491" i="1"/>
  <c r="AQ491" i="1"/>
  <c r="AO516" i="1"/>
  <c r="AP516" i="1"/>
  <c r="AQ516" i="1"/>
  <c r="AO492" i="1"/>
  <c r="AP492" i="1"/>
  <c r="AQ492" i="1"/>
  <c r="AO517" i="1"/>
  <c r="AP517" i="1"/>
  <c r="AQ517" i="1"/>
  <c r="AO518" i="1"/>
  <c r="AP518" i="1"/>
  <c r="AQ518" i="1"/>
  <c r="AO125" i="1"/>
  <c r="AP125" i="1"/>
  <c r="AQ125" i="1"/>
  <c r="AO258" i="1"/>
  <c r="AP258" i="1"/>
  <c r="AQ258" i="1"/>
  <c r="AO449" i="1"/>
  <c r="AP449" i="1"/>
  <c r="AQ449" i="1"/>
  <c r="AO126" i="1"/>
  <c r="AP126" i="1"/>
  <c r="AQ126" i="1"/>
  <c r="AO450" i="1"/>
  <c r="AP450" i="1"/>
  <c r="AQ450" i="1"/>
  <c r="AO451" i="1"/>
  <c r="AP451" i="1"/>
  <c r="AQ451" i="1"/>
  <c r="AO69" i="1"/>
  <c r="AP69" i="1"/>
  <c r="AQ69" i="1"/>
  <c r="AO89" i="1"/>
  <c r="AP89" i="1"/>
  <c r="AQ89" i="1"/>
  <c r="AO503" i="1"/>
  <c r="AP503" i="1"/>
  <c r="AQ503" i="1"/>
  <c r="AO143" i="1"/>
  <c r="AP143" i="1"/>
  <c r="AQ143" i="1"/>
  <c r="AO504" i="1"/>
  <c r="AP504" i="1"/>
  <c r="AQ504" i="1"/>
  <c r="AO505" i="1"/>
  <c r="AP505" i="1"/>
  <c r="AQ505" i="1"/>
  <c r="AO371" i="1"/>
  <c r="AP371" i="1"/>
  <c r="AQ371" i="1"/>
  <c r="AO553" i="1"/>
  <c r="AP553" i="1"/>
  <c r="AQ553" i="1"/>
  <c r="AO307" i="1"/>
  <c r="AP307" i="1"/>
  <c r="AQ307" i="1"/>
  <c r="AO329" i="1"/>
  <c r="AP329" i="1"/>
  <c r="AQ329" i="1"/>
  <c r="AO341" i="1"/>
  <c r="AP341" i="1"/>
  <c r="AQ341" i="1"/>
  <c r="AO626" i="1"/>
  <c r="AP626" i="1"/>
  <c r="AQ626" i="1"/>
  <c r="AO627" i="1"/>
  <c r="AP627" i="1"/>
  <c r="AQ627" i="1"/>
  <c r="AO628" i="1"/>
  <c r="AP628" i="1"/>
  <c r="AQ628" i="1"/>
  <c r="AO629" i="1"/>
  <c r="AP629" i="1"/>
  <c r="AQ629" i="1"/>
  <c r="AO528" i="1"/>
  <c r="AP528" i="1"/>
  <c r="AQ528" i="1"/>
  <c r="AO267" i="1"/>
  <c r="AP267" i="1"/>
  <c r="AQ267" i="1"/>
  <c r="AO633" i="1"/>
  <c r="AP633" i="1"/>
  <c r="AQ633" i="1"/>
  <c r="AO342" i="1"/>
  <c r="AP342" i="1"/>
  <c r="AQ342" i="1"/>
  <c r="AO533" i="1"/>
  <c r="AP533" i="1"/>
  <c r="AQ533" i="1"/>
  <c r="AO169" i="1"/>
  <c r="AP169" i="1"/>
  <c r="AQ169" i="1"/>
  <c r="AO118" i="1"/>
  <c r="AP118" i="1"/>
  <c r="AQ118" i="1"/>
  <c r="AO305" i="1"/>
  <c r="AP305" i="1"/>
  <c r="AQ305" i="1"/>
  <c r="AO306" i="1"/>
  <c r="AP306" i="1"/>
  <c r="AQ306" i="1"/>
  <c r="AO384" i="1"/>
  <c r="AP384" i="1"/>
  <c r="AQ384" i="1"/>
  <c r="AO385" i="1"/>
  <c r="AP385" i="1"/>
  <c r="AQ385" i="1"/>
  <c r="AO386" i="1"/>
  <c r="AP386" i="1"/>
  <c r="AQ386" i="1"/>
  <c r="AO337" i="1"/>
  <c r="AP337" i="1"/>
  <c r="AQ337" i="1"/>
  <c r="AO268" i="1"/>
  <c r="AP268" i="1"/>
  <c r="AQ268" i="1"/>
  <c r="AO493" i="1"/>
  <c r="AP493" i="1"/>
  <c r="AQ493" i="1"/>
  <c r="AO452" i="1"/>
  <c r="AP452" i="1"/>
  <c r="AQ452" i="1"/>
  <c r="AO453" i="1"/>
  <c r="AP453" i="1"/>
  <c r="AQ453" i="1"/>
  <c r="AO534" i="1"/>
  <c r="AP534" i="1"/>
  <c r="AQ534" i="1"/>
  <c r="AO535" i="1"/>
  <c r="AP535" i="1"/>
  <c r="AQ535" i="1"/>
  <c r="AO536" i="1"/>
  <c r="AP536" i="1"/>
  <c r="AQ536" i="1"/>
  <c r="AO400" i="1"/>
  <c r="AP400" i="1"/>
  <c r="AQ400" i="1"/>
  <c r="AO401" i="1"/>
  <c r="AP401" i="1"/>
  <c r="AQ401" i="1"/>
  <c r="AO351" i="1"/>
  <c r="AP351" i="1"/>
  <c r="AQ351" i="1"/>
  <c r="AO414" i="1"/>
  <c r="AP414" i="1"/>
  <c r="AQ414" i="1"/>
  <c r="AO402" i="1"/>
  <c r="AP402" i="1"/>
  <c r="AQ402" i="1"/>
  <c r="AO403" i="1"/>
  <c r="AP403" i="1"/>
  <c r="AQ403" i="1"/>
  <c r="AO415" i="1"/>
  <c r="AP415" i="1"/>
  <c r="AQ415" i="1"/>
  <c r="AO336" i="1"/>
  <c r="AP336" i="1"/>
  <c r="AQ336" i="1"/>
  <c r="AO353" i="1"/>
  <c r="AP353" i="1"/>
  <c r="AQ353" i="1"/>
  <c r="AO354" i="1"/>
  <c r="AP354" i="1"/>
  <c r="AQ354" i="1"/>
  <c r="AO300" i="1"/>
  <c r="AP300" i="1"/>
  <c r="AQ300" i="1"/>
  <c r="AO355" i="1"/>
  <c r="AP355" i="1"/>
  <c r="AQ355" i="1"/>
  <c r="AO332" i="1"/>
  <c r="AP332" i="1"/>
  <c r="AQ332" i="1"/>
  <c r="AO343" i="1"/>
  <c r="AP343" i="1"/>
  <c r="AQ343" i="1"/>
  <c r="AO428" i="1"/>
  <c r="AP428" i="1"/>
  <c r="AQ428" i="1"/>
  <c r="AO11" i="1"/>
  <c r="AP11" i="1"/>
  <c r="AQ11" i="1"/>
  <c r="AO12" i="1"/>
  <c r="AP12" i="1"/>
  <c r="AQ12" i="1"/>
  <c r="AO108" i="1"/>
  <c r="AP108" i="1"/>
  <c r="AQ108" i="1"/>
  <c r="AO286" i="1"/>
  <c r="AP286" i="1"/>
  <c r="AQ286" i="1"/>
  <c r="AO498" i="1"/>
  <c r="AP498" i="1"/>
  <c r="AQ498" i="1"/>
  <c r="AO448" i="1"/>
  <c r="AP448" i="1"/>
  <c r="AQ448" i="1"/>
  <c r="AO537" i="1"/>
  <c r="AP537" i="1"/>
  <c r="AQ537" i="1"/>
  <c r="AO420" i="1"/>
  <c r="AP420" i="1"/>
  <c r="AQ420" i="1"/>
  <c r="AO283" i="1"/>
  <c r="AP283" i="1"/>
  <c r="AQ283" i="1"/>
  <c r="AO552" i="1"/>
  <c r="AP552" i="1"/>
  <c r="AQ552" i="1"/>
  <c r="AO333" i="1"/>
  <c r="AP333" i="1"/>
  <c r="AQ333" i="1"/>
  <c r="AO554" i="1"/>
  <c r="AP554" i="1"/>
  <c r="AQ554" i="1"/>
  <c r="AO404" i="1"/>
  <c r="AP404" i="1"/>
  <c r="AQ404" i="1"/>
  <c r="AO499" i="1"/>
  <c r="AP499" i="1"/>
  <c r="AQ499" i="1"/>
  <c r="AO541" i="1"/>
  <c r="AP541" i="1"/>
  <c r="AQ541" i="1"/>
  <c r="AO387" i="1"/>
  <c r="AP387" i="1"/>
  <c r="AQ387" i="1"/>
  <c r="AO392" i="1"/>
  <c r="AP392" i="1"/>
  <c r="AQ392" i="1"/>
  <c r="AO219" i="1"/>
  <c r="AP219" i="1"/>
  <c r="AQ219" i="1"/>
  <c r="AO529" i="1"/>
  <c r="AP529" i="1"/>
  <c r="AQ529" i="1"/>
  <c r="AO569" i="1"/>
  <c r="AP569" i="1"/>
  <c r="AQ569" i="1"/>
  <c r="AO558" i="1"/>
  <c r="AP558" i="1"/>
  <c r="AQ558" i="1"/>
  <c r="AO570" i="1"/>
  <c r="AP570" i="1"/>
  <c r="AQ570" i="1"/>
  <c r="AO575" i="1"/>
  <c r="AP575" i="1"/>
  <c r="AQ575" i="1"/>
  <c r="AO565" i="1"/>
  <c r="AP565" i="1"/>
  <c r="AQ565" i="1"/>
  <c r="AO579" i="1"/>
  <c r="AP579" i="1"/>
  <c r="AQ579" i="1"/>
  <c r="AO593" i="1"/>
  <c r="AP593" i="1"/>
  <c r="AQ593" i="1"/>
  <c r="AO580" i="1"/>
  <c r="AP580" i="1"/>
  <c r="AQ580" i="1"/>
  <c r="AO599" i="1"/>
  <c r="AP599" i="1"/>
  <c r="AQ599" i="1"/>
  <c r="AO393" i="1"/>
  <c r="AP393" i="1"/>
  <c r="AQ393" i="1"/>
  <c r="AO642" i="1"/>
  <c r="AP642" i="1"/>
  <c r="AQ642" i="1"/>
  <c r="AO584" i="1"/>
  <c r="AP584" i="1"/>
  <c r="AQ584" i="1"/>
  <c r="AO635" i="1"/>
  <c r="AP635" i="1"/>
  <c r="AQ635" i="1"/>
  <c r="AO388" i="1"/>
  <c r="AP388" i="1"/>
  <c r="AQ388" i="1"/>
  <c r="AO334" i="1"/>
  <c r="AP334" i="1"/>
  <c r="AQ334" i="1"/>
  <c r="AO389" i="1"/>
  <c r="AP389" i="1"/>
  <c r="AQ389" i="1"/>
  <c r="AO394" i="1"/>
  <c r="AP394" i="1"/>
  <c r="AQ394" i="1"/>
  <c r="AO259" i="1"/>
  <c r="AP259" i="1"/>
  <c r="AQ259" i="1"/>
  <c r="AO240" i="1"/>
  <c r="AP240" i="1"/>
  <c r="AQ240" i="1"/>
  <c r="AO175" i="1"/>
  <c r="AP175" i="1"/>
  <c r="AQ175" i="1"/>
  <c r="AO405" i="1"/>
  <c r="AP405" i="1"/>
  <c r="AQ405" i="1"/>
  <c r="AO454" i="1"/>
  <c r="AP454" i="1"/>
  <c r="AQ454" i="1"/>
  <c r="AQ65" i="1"/>
  <c r="AP65" i="1"/>
  <c r="AO65" i="1"/>
  <c r="P435" i="1"/>
  <c r="P502" i="1"/>
  <c r="P572" i="1"/>
  <c r="P443" i="1"/>
  <c r="P444" i="1"/>
  <c r="AM495" i="1"/>
  <c r="P495" i="1"/>
  <c r="AM445" i="1"/>
  <c r="AM508" i="1"/>
  <c r="P508" i="1"/>
  <c r="P150" i="1"/>
  <c r="P151" i="1"/>
  <c r="P521" i="1"/>
  <c r="AM522" i="1"/>
  <c r="P522" i="1"/>
  <c r="AM568" i="1"/>
  <c r="P419" i="1"/>
  <c r="P491" i="1"/>
  <c r="P517" i="1"/>
  <c r="P518" i="1"/>
  <c r="P258" i="1"/>
  <c r="AM449" i="1"/>
  <c r="P451" i="1"/>
  <c r="AM69" i="1"/>
  <c r="P89" i="1"/>
  <c r="P143" i="1"/>
  <c r="AM505" i="1"/>
  <c r="P553" i="1"/>
  <c r="P329" i="1"/>
  <c r="AM628" i="1"/>
  <c r="AM267" i="1"/>
  <c r="AM633" i="1"/>
  <c r="P169" i="1"/>
  <c r="P306" i="1"/>
  <c r="AM384" i="1"/>
  <c r="P384" i="1"/>
  <c r="P385" i="1"/>
  <c r="P337" i="1"/>
  <c r="P534" i="1"/>
  <c r="P401" i="1"/>
  <c r="AM351" i="1"/>
  <c r="P353" i="1"/>
  <c r="P428" i="1"/>
  <c r="P12" i="1"/>
  <c r="AM108" i="1"/>
  <c r="P108" i="1"/>
  <c r="P286" i="1"/>
  <c r="P448" i="1"/>
  <c r="AM537" i="1"/>
  <c r="P537" i="1"/>
  <c r="P420" i="1"/>
  <c r="AM552" i="1"/>
  <c r="P552" i="1"/>
  <c r="AM333" i="1"/>
  <c r="P333" i="1"/>
  <c r="P404" i="1"/>
  <c r="P499" i="1"/>
  <c r="AM541" i="1"/>
  <c r="AM569" i="1"/>
  <c r="P575" i="1"/>
  <c r="P565" i="1"/>
  <c r="P593" i="1"/>
  <c r="AM599" i="1"/>
  <c r="P393" i="1"/>
  <c r="P642" i="1"/>
  <c r="P584" i="1"/>
  <c r="AM635" i="1"/>
  <c r="P334" i="1"/>
  <c r="AM389" i="1"/>
  <c r="P389" i="1"/>
  <c r="P259" i="1"/>
  <c r="P240" i="1"/>
  <c r="AM175" i="1"/>
  <c r="P175" i="1"/>
  <c r="P405" i="1"/>
  <c r="AM454" i="1"/>
  <c r="W454" i="1"/>
  <c r="U454" i="1"/>
  <c r="AL454" i="1" s="1"/>
  <c r="P454" i="1"/>
  <c r="D454" i="1"/>
  <c r="F454" i="1" s="1"/>
  <c r="AM405" i="1"/>
  <c r="W405" i="1"/>
  <c r="U405" i="1"/>
  <c r="AL405" i="1" s="1"/>
  <c r="D405" i="1"/>
  <c r="F405" i="1" s="1"/>
  <c r="AZ175" i="1"/>
  <c r="AB175" i="1" s="1"/>
  <c r="W175" i="1"/>
  <c r="U175" i="1"/>
  <c r="AL175" i="1" s="1"/>
  <c r="D175" i="1"/>
  <c r="F175" i="1" s="1"/>
  <c r="AM240" i="1"/>
  <c r="W240" i="1"/>
  <c r="U240" i="1"/>
  <c r="AL240" i="1" s="1"/>
  <c r="D240" i="1"/>
  <c r="F240" i="1" s="1"/>
  <c r="AM259" i="1"/>
  <c r="W259" i="1"/>
  <c r="AN259" i="1" s="1"/>
  <c r="U259" i="1"/>
  <c r="D259" i="1"/>
  <c r="F259" i="1" s="1"/>
  <c r="W394" i="1"/>
  <c r="U394" i="1"/>
  <c r="AL394" i="1" s="1"/>
  <c r="D394" i="1"/>
  <c r="F394" i="1" s="1"/>
  <c r="AZ389" i="1"/>
  <c r="AB389" i="1" s="1"/>
  <c r="W389" i="1"/>
  <c r="U389" i="1"/>
  <c r="AL389" i="1" s="1"/>
  <c r="D389" i="1"/>
  <c r="F389" i="1" s="1"/>
  <c r="AM334" i="1"/>
  <c r="W334" i="1"/>
  <c r="U334" i="1"/>
  <c r="AL334" i="1" s="1"/>
  <c r="D334" i="1"/>
  <c r="F334" i="1" s="1"/>
  <c r="AM388" i="1"/>
  <c r="W388" i="1"/>
  <c r="U388" i="1"/>
  <c r="AL388" i="1" s="1"/>
  <c r="P388" i="1"/>
  <c r="D388" i="1"/>
  <c r="F388" i="1" s="1"/>
  <c r="AZ635" i="1"/>
  <c r="AB635" i="1" s="1"/>
  <c r="W635" i="1"/>
  <c r="U635" i="1"/>
  <c r="AL635" i="1" s="1"/>
  <c r="D635" i="1"/>
  <c r="F635" i="1" s="1"/>
  <c r="AZ584" i="1"/>
  <c r="AB584" i="1" s="1"/>
  <c r="AM584" i="1"/>
  <c r="W584" i="1"/>
  <c r="U584" i="1"/>
  <c r="AL584" i="1" s="1"/>
  <c r="D584" i="1"/>
  <c r="F584" i="1" s="1"/>
  <c r="AM642" i="1"/>
  <c r="W642" i="1"/>
  <c r="U642" i="1"/>
  <c r="AL642" i="1" s="1"/>
  <c r="D642" i="1"/>
  <c r="F642" i="1" s="1"/>
  <c r="AM393" i="1"/>
  <c r="W393" i="1"/>
  <c r="U393" i="1"/>
  <c r="AL393" i="1" s="1"/>
  <c r="D393" i="1"/>
  <c r="F393" i="1" s="1"/>
  <c r="W599" i="1"/>
  <c r="U599" i="1"/>
  <c r="AL599" i="1" s="1"/>
  <c r="P599" i="1"/>
  <c r="D599" i="1"/>
  <c r="F599" i="1" s="1"/>
  <c r="AM580" i="1"/>
  <c r="W580" i="1"/>
  <c r="U580" i="1"/>
  <c r="AL580" i="1" s="1"/>
  <c r="P580" i="1"/>
  <c r="D580" i="1"/>
  <c r="F580" i="1" s="1"/>
  <c r="AZ593" i="1"/>
  <c r="AB593" i="1" s="1"/>
  <c r="AM593" i="1"/>
  <c r="W593" i="1"/>
  <c r="U593" i="1"/>
  <c r="AL593" i="1" s="1"/>
  <c r="D593" i="1"/>
  <c r="F593" i="1" s="1"/>
  <c r="AZ579" i="1"/>
  <c r="AB579" i="1" s="1"/>
  <c r="AM579" i="1"/>
  <c r="W579" i="1"/>
  <c r="U579" i="1"/>
  <c r="AL579" i="1" s="1"/>
  <c r="P579" i="1"/>
  <c r="D579" i="1"/>
  <c r="F579" i="1" s="1"/>
  <c r="AM565" i="1"/>
  <c r="W565" i="1"/>
  <c r="U565" i="1"/>
  <c r="AL565" i="1" s="1"/>
  <c r="D565" i="1"/>
  <c r="F565" i="1" s="1"/>
  <c r="AM575" i="1"/>
  <c r="W575" i="1"/>
  <c r="U575" i="1"/>
  <c r="AL575" i="1" s="1"/>
  <c r="D575" i="1"/>
  <c r="F575" i="1" s="1"/>
  <c r="AM570" i="1"/>
  <c r="W570" i="1"/>
  <c r="U570" i="1"/>
  <c r="AL570" i="1" s="1"/>
  <c r="P570" i="1"/>
  <c r="D570" i="1"/>
  <c r="F570" i="1" s="1"/>
  <c r="AM558" i="1"/>
  <c r="W558" i="1"/>
  <c r="U558" i="1"/>
  <c r="AL558" i="1" s="1"/>
  <c r="P558" i="1"/>
  <c r="D558" i="1"/>
  <c r="F558" i="1" s="1"/>
  <c r="AZ569" i="1"/>
  <c r="AB569" i="1" s="1"/>
  <c r="W569" i="1"/>
  <c r="U569" i="1"/>
  <c r="AL569" i="1" s="1"/>
  <c r="D569" i="1"/>
  <c r="F569" i="1" s="1"/>
  <c r="AZ529" i="1"/>
  <c r="AB529" i="1" s="1"/>
  <c r="AM529" i="1"/>
  <c r="W529" i="1"/>
  <c r="U529" i="1"/>
  <c r="AL529" i="1" s="1"/>
  <c r="P529" i="1"/>
  <c r="D529" i="1"/>
  <c r="F529" i="1" s="1"/>
  <c r="AZ219" i="1"/>
  <c r="AB219" i="1" s="1"/>
  <c r="AM219" i="1"/>
  <c r="W219" i="1"/>
  <c r="U219" i="1"/>
  <c r="AL219" i="1" s="1"/>
  <c r="P219" i="1"/>
  <c r="D219" i="1"/>
  <c r="F219" i="1" s="1"/>
  <c r="AZ392" i="1"/>
  <c r="AB392" i="1" s="1"/>
  <c r="AM392" i="1"/>
  <c r="W392" i="1"/>
  <c r="U392" i="1"/>
  <c r="AL392" i="1" s="1"/>
  <c r="P392" i="1"/>
  <c r="D392" i="1"/>
  <c r="F392" i="1" s="1"/>
  <c r="W387" i="1"/>
  <c r="U387" i="1"/>
  <c r="AL387" i="1" s="1"/>
  <c r="D387" i="1"/>
  <c r="F387" i="1" s="1"/>
  <c r="W541" i="1"/>
  <c r="U541" i="1"/>
  <c r="AL541" i="1" s="1"/>
  <c r="P541" i="1"/>
  <c r="D541" i="1"/>
  <c r="F541" i="1" s="1"/>
  <c r="AM499" i="1"/>
  <c r="W499" i="1"/>
  <c r="U499" i="1"/>
  <c r="AL499" i="1" s="1"/>
  <c r="D499" i="1"/>
  <c r="F499" i="1" s="1"/>
  <c r="AM404" i="1"/>
  <c r="W404" i="1"/>
  <c r="U404" i="1"/>
  <c r="AL404" i="1" s="1"/>
  <c r="D404" i="1"/>
  <c r="F404" i="1" s="1"/>
  <c r="W554" i="1"/>
  <c r="U554" i="1"/>
  <c r="AL554" i="1" s="1"/>
  <c r="D554" i="1"/>
  <c r="F554" i="1" s="1"/>
  <c r="W333" i="1"/>
  <c r="U333" i="1"/>
  <c r="AL333" i="1" s="1"/>
  <c r="D333" i="1"/>
  <c r="F333" i="1" s="1"/>
  <c r="AZ552" i="1"/>
  <c r="AB552" i="1" s="1"/>
  <c r="W552" i="1"/>
  <c r="U552" i="1"/>
  <c r="AL552" i="1" s="1"/>
  <c r="D552" i="1"/>
  <c r="F552" i="1" s="1"/>
  <c r="AZ283" i="1"/>
  <c r="AB283" i="1" s="1"/>
  <c r="AM283" i="1"/>
  <c r="W283" i="1"/>
  <c r="U283" i="1"/>
  <c r="AL283" i="1" s="1"/>
  <c r="P283" i="1"/>
  <c r="D283" i="1"/>
  <c r="F283" i="1" s="1"/>
  <c r="W420" i="1"/>
  <c r="U420" i="1"/>
  <c r="AL420" i="1" s="1"/>
  <c r="D420" i="1"/>
  <c r="F420" i="1" s="1"/>
  <c r="W537" i="1"/>
  <c r="U537" i="1"/>
  <c r="AL537" i="1" s="1"/>
  <c r="D537" i="1"/>
  <c r="F537" i="1" s="1"/>
  <c r="AZ448" i="1"/>
  <c r="AB448" i="1" s="1"/>
  <c r="AM448" i="1"/>
  <c r="W448" i="1"/>
  <c r="U448" i="1"/>
  <c r="AL448" i="1" s="1"/>
  <c r="D448" i="1"/>
  <c r="F448" i="1" s="1"/>
  <c r="AM498" i="1"/>
  <c r="W498" i="1"/>
  <c r="U498" i="1"/>
  <c r="AL498" i="1" s="1"/>
  <c r="P498" i="1"/>
  <c r="D498" i="1"/>
  <c r="F498" i="1" s="1"/>
  <c r="W286" i="1"/>
  <c r="AG286" i="1" s="1"/>
  <c r="U286" i="1"/>
  <c r="AL286" i="1" s="1"/>
  <c r="D286" i="1"/>
  <c r="F286" i="1" s="1"/>
  <c r="W108" i="1"/>
  <c r="U108" i="1"/>
  <c r="AL108" i="1" s="1"/>
  <c r="D108" i="1"/>
  <c r="F108" i="1" s="1"/>
  <c r="AZ12" i="1"/>
  <c r="AB12" i="1" s="1"/>
  <c r="AM12" i="1"/>
  <c r="W12" i="1"/>
  <c r="U12" i="1"/>
  <c r="AL12" i="1" s="1"/>
  <c r="D12" i="1"/>
  <c r="F12" i="1" s="1"/>
  <c r="AZ11" i="1"/>
  <c r="AB11" i="1" s="1"/>
  <c r="AM11" i="1"/>
  <c r="W11" i="1"/>
  <c r="U11" i="1"/>
  <c r="AE11" i="1" s="1"/>
  <c r="P11" i="1"/>
  <c r="D11" i="1"/>
  <c r="F11" i="1" s="1"/>
  <c r="W428" i="1"/>
  <c r="AN428" i="1" s="1"/>
  <c r="U428" i="1"/>
  <c r="AE428" i="1" s="1"/>
  <c r="D428" i="1"/>
  <c r="F428" i="1" s="1"/>
  <c r="W343" i="1"/>
  <c r="AH343" i="1" s="1"/>
  <c r="U343" i="1"/>
  <c r="AL343" i="1" s="1"/>
  <c r="D343" i="1"/>
  <c r="F343" i="1" s="1"/>
  <c r="AM332" i="1"/>
  <c r="W332" i="1"/>
  <c r="AH332" i="1" s="1"/>
  <c r="U332" i="1"/>
  <c r="AL332" i="1" s="1"/>
  <c r="P332" i="1"/>
  <c r="D332" i="1"/>
  <c r="F332" i="1" s="1"/>
  <c r="AM355" i="1"/>
  <c r="W355" i="1"/>
  <c r="AN355" i="1" s="1"/>
  <c r="BG355" i="1" s="1"/>
  <c r="U355" i="1"/>
  <c r="AE355" i="1" s="1"/>
  <c r="P355" i="1"/>
  <c r="D355" i="1"/>
  <c r="F355" i="1" s="1"/>
  <c r="W300" i="1"/>
  <c r="U300" i="1"/>
  <c r="AE300" i="1" s="1"/>
  <c r="D300" i="1"/>
  <c r="F300" i="1" s="1"/>
  <c r="AM354" i="1"/>
  <c r="W354" i="1"/>
  <c r="U354" i="1"/>
  <c r="AL354" i="1" s="1"/>
  <c r="P354" i="1"/>
  <c r="D354" i="1"/>
  <c r="F354" i="1" s="1"/>
  <c r="AZ353" i="1"/>
  <c r="AB353" i="1" s="1"/>
  <c r="AM353" i="1"/>
  <c r="W353" i="1"/>
  <c r="U353" i="1"/>
  <c r="AL353" i="1" s="1"/>
  <c r="D353" i="1"/>
  <c r="F353" i="1" s="1"/>
  <c r="AZ336" i="1"/>
  <c r="AB336" i="1" s="1"/>
  <c r="AM336" i="1"/>
  <c r="W336" i="1"/>
  <c r="U336" i="1"/>
  <c r="AE336" i="1" s="1"/>
  <c r="P336" i="1"/>
  <c r="D336" i="1"/>
  <c r="F336" i="1" s="1"/>
  <c r="W415" i="1"/>
  <c r="AN415" i="1" s="1"/>
  <c r="U415" i="1"/>
  <c r="AE415" i="1" s="1"/>
  <c r="D415" i="1"/>
  <c r="F415" i="1" s="1"/>
  <c r="AZ403" i="1"/>
  <c r="AB403" i="1" s="1"/>
  <c r="W403" i="1"/>
  <c r="AG403" i="1" s="1"/>
  <c r="U403" i="1"/>
  <c r="AL403" i="1" s="1"/>
  <c r="D403" i="1"/>
  <c r="F403" i="1" s="1"/>
  <c r="AM402" i="1"/>
  <c r="W402" i="1"/>
  <c r="U402" i="1"/>
  <c r="AL402" i="1" s="1"/>
  <c r="D402" i="1"/>
  <c r="F402" i="1" s="1"/>
  <c r="AM414" i="1"/>
  <c r="W414" i="1"/>
  <c r="U414" i="1"/>
  <c r="AL414" i="1" s="1"/>
  <c r="P414" i="1"/>
  <c r="D414" i="1"/>
  <c r="F414" i="1" s="1"/>
  <c r="W351" i="1"/>
  <c r="AN351" i="1" s="1"/>
  <c r="U351" i="1"/>
  <c r="AE351" i="1" s="1"/>
  <c r="D351" i="1"/>
  <c r="F351" i="1" s="1"/>
  <c r="AM401" i="1"/>
  <c r="W401" i="1"/>
  <c r="AN401" i="1" s="1"/>
  <c r="BK401" i="1" s="1"/>
  <c r="U401" i="1"/>
  <c r="AL401" i="1" s="1"/>
  <c r="D401" i="1"/>
  <c r="F401" i="1" s="1"/>
  <c r="AZ400" i="1"/>
  <c r="AB400" i="1" s="1"/>
  <c r="AM400" i="1"/>
  <c r="W400" i="1"/>
  <c r="AH400" i="1" s="1"/>
  <c r="U400" i="1"/>
  <c r="AL400" i="1" s="1"/>
  <c r="D400" i="1"/>
  <c r="F400" i="1" s="1"/>
  <c r="AZ536" i="1"/>
  <c r="AB536" i="1" s="1"/>
  <c r="AM536" i="1"/>
  <c r="W536" i="1"/>
  <c r="AN536" i="1" s="1"/>
  <c r="U536" i="1"/>
  <c r="AE536" i="1" s="1"/>
  <c r="P536" i="1"/>
  <c r="D536" i="1"/>
  <c r="F536" i="1" s="1"/>
  <c r="AZ535" i="1"/>
  <c r="AB535" i="1" s="1"/>
  <c r="W535" i="1"/>
  <c r="U535" i="1"/>
  <c r="AL535" i="1" s="1"/>
  <c r="D535" i="1"/>
  <c r="F535" i="1" s="1"/>
  <c r="W534" i="1"/>
  <c r="AG534" i="1" s="1"/>
  <c r="U534" i="1"/>
  <c r="AL534" i="1" s="1"/>
  <c r="D534" i="1"/>
  <c r="F534" i="1" s="1"/>
  <c r="AZ453" i="1"/>
  <c r="AB453" i="1" s="1"/>
  <c r="AM453" i="1"/>
  <c r="W453" i="1"/>
  <c r="U453" i="1"/>
  <c r="AL453" i="1" s="1"/>
  <c r="P453" i="1"/>
  <c r="D453" i="1"/>
  <c r="F453" i="1" s="1"/>
  <c r="AM452" i="1"/>
  <c r="W452" i="1"/>
  <c r="U452" i="1"/>
  <c r="AE452" i="1" s="1"/>
  <c r="P452" i="1"/>
  <c r="D452" i="1"/>
  <c r="F452" i="1" s="1"/>
  <c r="W493" i="1"/>
  <c r="AG493" i="1" s="1"/>
  <c r="U493" i="1"/>
  <c r="AE493" i="1" s="1"/>
  <c r="D493" i="1"/>
  <c r="F493" i="1" s="1"/>
  <c r="W268" i="1"/>
  <c r="U268" i="1"/>
  <c r="AL268" i="1" s="1"/>
  <c r="D268" i="1"/>
  <c r="F268" i="1" s="1"/>
  <c r="AZ337" i="1"/>
  <c r="AB337" i="1" s="1"/>
  <c r="AM337" i="1"/>
  <c r="W337" i="1"/>
  <c r="AN337" i="1" s="1"/>
  <c r="BG337" i="1" s="1"/>
  <c r="U337" i="1"/>
  <c r="AL337" i="1" s="1"/>
  <c r="D337" i="1"/>
  <c r="F337" i="1" s="1"/>
  <c r="AM386" i="1"/>
  <c r="W386" i="1"/>
  <c r="U386" i="1"/>
  <c r="AE386" i="1" s="1"/>
  <c r="P386" i="1"/>
  <c r="D386" i="1"/>
  <c r="F386" i="1" s="1"/>
  <c r="AZ385" i="1"/>
  <c r="AB385" i="1" s="1"/>
  <c r="AM385" i="1"/>
  <c r="W385" i="1"/>
  <c r="U385" i="1"/>
  <c r="AE385" i="1" s="1"/>
  <c r="D385" i="1"/>
  <c r="F385" i="1" s="1"/>
  <c r="W384" i="1"/>
  <c r="U384" i="1"/>
  <c r="AL384" i="1" s="1"/>
  <c r="D384" i="1"/>
  <c r="F384" i="1" s="1"/>
  <c r="AZ306" i="1"/>
  <c r="AB306" i="1" s="1"/>
  <c r="AM306" i="1"/>
  <c r="W306" i="1"/>
  <c r="AN306" i="1" s="1"/>
  <c r="U306" i="1"/>
  <c r="AL306" i="1" s="1"/>
  <c r="D306" i="1"/>
  <c r="F306" i="1" s="1"/>
  <c r="AZ305" i="1"/>
  <c r="AB305" i="1" s="1"/>
  <c r="AM305" i="1"/>
  <c r="W305" i="1"/>
  <c r="AH305" i="1" s="1"/>
  <c r="U305" i="1"/>
  <c r="AE305" i="1" s="1"/>
  <c r="P305" i="1"/>
  <c r="D305" i="1"/>
  <c r="F305" i="1" s="1"/>
  <c r="W118" i="1"/>
  <c r="AN118" i="1" s="1"/>
  <c r="U118" i="1"/>
  <c r="AE118" i="1" s="1"/>
  <c r="D118" i="1"/>
  <c r="F118" i="1" s="1"/>
  <c r="AZ169" i="1"/>
  <c r="AB169" i="1" s="1"/>
  <c r="AM169" i="1"/>
  <c r="W169" i="1"/>
  <c r="AH169" i="1" s="1"/>
  <c r="U169" i="1"/>
  <c r="AL169" i="1" s="1"/>
  <c r="D169" i="1"/>
  <c r="F169" i="1" s="1"/>
  <c r="AM533" i="1"/>
  <c r="W533" i="1"/>
  <c r="AN533" i="1" s="1"/>
  <c r="U533" i="1"/>
  <c r="AL533" i="1" s="1"/>
  <c r="D533" i="1"/>
  <c r="F533" i="1" s="1"/>
  <c r="AZ342" i="1"/>
  <c r="AB342" i="1" s="1"/>
  <c r="AM342" i="1"/>
  <c r="W342" i="1"/>
  <c r="AH342" i="1" s="1"/>
  <c r="U342" i="1"/>
  <c r="AE342" i="1" s="1"/>
  <c r="P342" i="1"/>
  <c r="D342" i="1"/>
  <c r="F342" i="1" s="1"/>
  <c r="AZ633" i="1"/>
  <c r="AB633" i="1" s="1"/>
  <c r="W633" i="1"/>
  <c r="AN633" i="1" s="1"/>
  <c r="BK633" i="1" s="1"/>
  <c r="U633" i="1"/>
  <c r="AE633" i="1" s="1"/>
  <c r="D633" i="1"/>
  <c r="F633" i="1" s="1"/>
  <c r="W267" i="1"/>
  <c r="U267" i="1"/>
  <c r="AL267" i="1" s="1"/>
  <c r="D267" i="1"/>
  <c r="F267" i="1" s="1"/>
  <c r="AZ528" i="1"/>
  <c r="AB528" i="1" s="1"/>
  <c r="AM528" i="1"/>
  <c r="W528" i="1"/>
  <c r="U528" i="1"/>
  <c r="AL528" i="1" s="1"/>
  <c r="P528" i="1"/>
  <c r="D528" i="1"/>
  <c r="F528" i="1" s="1"/>
  <c r="AZ629" i="1"/>
  <c r="AB629" i="1" s="1"/>
  <c r="AM629" i="1"/>
  <c r="W629" i="1"/>
  <c r="U629" i="1"/>
  <c r="AE629" i="1" s="1"/>
  <c r="P629" i="1"/>
  <c r="D629" i="1"/>
  <c r="F629" i="1" s="1"/>
  <c r="W628" i="1"/>
  <c r="U628" i="1"/>
  <c r="AE628" i="1" s="1"/>
  <c r="D628" i="1"/>
  <c r="F628" i="1" s="1"/>
  <c r="W627" i="1"/>
  <c r="U627" i="1"/>
  <c r="AL627" i="1" s="1"/>
  <c r="D627" i="1"/>
  <c r="F627" i="1" s="1"/>
  <c r="AM626" i="1"/>
  <c r="W626" i="1"/>
  <c r="U626" i="1"/>
  <c r="AL626" i="1" s="1"/>
  <c r="P626" i="1"/>
  <c r="D626" i="1"/>
  <c r="F626" i="1" s="1"/>
  <c r="AZ341" i="1"/>
  <c r="AB341" i="1" s="1"/>
  <c r="AM341" i="1"/>
  <c r="W341" i="1"/>
  <c r="AH341" i="1" s="1"/>
  <c r="U341" i="1"/>
  <c r="AE341" i="1" s="1"/>
  <c r="P341" i="1"/>
  <c r="D341" i="1"/>
  <c r="F341" i="1" s="1"/>
  <c r="AZ329" i="1"/>
  <c r="AB329" i="1" s="1"/>
  <c r="AM329" i="1"/>
  <c r="W329" i="1"/>
  <c r="U329" i="1"/>
  <c r="AE329" i="1" s="1"/>
  <c r="D329" i="1"/>
  <c r="F329" i="1" s="1"/>
  <c r="AM307" i="1"/>
  <c r="W307" i="1"/>
  <c r="AH307" i="1" s="1"/>
  <c r="U307" i="1"/>
  <c r="AL307" i="1" s="1"/>
  <c r="D307" i="1"/>
  <c r="F307" i="1" s="1"/>
  <c r="AM553" i="1"/>
  <c r="W553" i="1"/>
  <c r="AG553" i="1" s="1"/>
  <c r="U553" i="1"/>
  <c r="AL553" i="1" s="1"/>
  <c r="D553" i="1"/>
  <c r="F553" i="1" s="1"/>
  <c r="AM371" i="1"/>
  <c r="W371" i="1"/>
  <c r="AG371" i="1" s="1"/>
  <c r="U371" i="1"/>
  <c r="AE371" i="1" s="1"/>
  <c r="P371" i="1"/>
  <c r="D371" i="1"/>
  <c r="F371" i="1" s="1"/>
  <c r="W505" i="1"/>
  <c r="AN505" i="1" s="1"/>
  <c r="BK505" i="1" s="1"/>
  <c r="U505" i="1"/>
  <c r="AL505" i="1" s="1"/>
  <c r="P505" i="1"/>
  <c r="D505" i="1"/>
  <c r="F505" i="1" s="1"/>
  <c r="AM504" i="1"/>
  <c r="W504" i="1"/>
  <c r="AH504" i="1" s="1"/>
  <c r="U504" i="1"/>
  <c r="AL504" i="1" s="1"/>
  <c r="D504" i="1"/>
  <c r="F504" i="1" s="1"/>
  <c r="AZ143" i="1"/>
  <c r="AB143" i="1" s="1"/>
  <c r="AM143" i="1"/>
  <c r="W143" i="1"/>
  <c r="AH143" i="1" s="1"/>
  <c r="U143" i="1"/>
  <c r="AL143" i="1" s="1"/>
  <c r="D143" i="1"/>
  <c r="F143" i="1" s="1"/>
  <c r="AZ503" i="1"/>
  <c r="AB503" i="1" s="1"/>
  <c r="AM503" i="1"/>
  <c r="W503" i="1"/>
  <c r="U503" i="1"/>
  <c r="AE503" i="1" s="1"/>
  <c r="P503" i="1"/>
  <c r="D503" i="1"/>
  <c r="F503" i="1" s="1"/>
  <c r="W89" i="1"/>
  <c r="AH89" i="1" s="1"/>
  <c r="U89" i="1"/>
  <c r="AL89" i="1" s="1"/>
  <c r="D89" i="1"/>
  <c r="F89" i="1" s="1"/>
  <c r="AZ69" i="1"/>
  <c r="AB69" i="1" s="1"/>
  <c r="W69" i="1"/>
  <c r="AG69" i="1" s="1"/>
  <c r="U69" i="1"/>
  <c r="AL69" i="1" s="1"/>
  <c r="D69" i="1"/>
  <c r="F69" i="1" s="1"/>
  <c r="AM451" i="1"/>
  <c r="W451" i="1"/>
  <c r="AH451" i="1" s="1"/>
  <c r="U451" i="1"/>
  <c r="AL451" i="1" s="1"/>
  <c r="D451" i="1"/>
  <c r="F451" i="1" s="1"/>
  <c r="AM450" i="1"/>
  <c r="W450" i="1"/>
  <c r="U450" i="1"/>
  <c r="AE450" i="1" s="1"/>
  <c r="P450" i="1"/>
  <c r="D450" i="1"/>
  <c r="F450" i="1" s="1"/>
  <c r="W126" i="1"/>
  <c r="AN126" i="1" s="1"/>
  <c r="U126" i="1"/>
  <c r="AE126" i="1" s="1"/>
  <c r="D126" i="1"/>
  <c r="F126" i="1" s="1"/>
  <c r="W449" i="1"/>
  <c r="AN449" i="1" s="1"/>
  <c r="U449" i="1"/>
  <c r="AL449" i="1" s="1"/>
  <c r="D449" i="1"/>
  <c r="F449" i="1" s="1"/>
  <c r="AZ258" i="1"/>
  <c r="AB258" i="1" s="1"/>
  <c r="AM258" i="1"/>
  <c r="W258" i="1"/>
  <c r="AG258" i="1" s="1"/>
  <c r="U258" i="1"/>
  <c r="AL258" i="1" s="1"/>
  <c r="D258" i="1"/>
  <c r="F258" i="1" s="1"/>
  <c r="AZ125" i="1"/>
  <c r="AB125" i="1" s="1"/>
  <c r="AM125" i="1"/>
  <c r="W125" i="1"/>
  <c r="AN125" i="1" s="1"/>
  <c r="U125" i="1"/>
  <c r="AE125" i="1" s="1"/>
  <c r="P125" i="1"/>
  <c r="D125" i="1"/>
  <c r="F125" i="1" s="1"/>
  <c r="W518" i="1"/>
  <c r="U518" i="1"/>
  <c r="AE518" i="1" s="1"/>
  <c r="D518" i="1"/>
  <c r="F518" i="1" s="1"/>
  <c r="W517" i="1"/>
  <c r="AG517" i="1" s="1"/>
  <c r="U517" i="1"/>
  <c r="AL517" i="1" s="1"/>
  <c r="D517" i="1"/>
  <c r="F517" i="1" s="1"/>
  <c r="AM492" i="1"/>
  <c r="W492" i="1"/>
  <c r="AG492" i="1" s="1"/>
  <c r="U492" i="1"/>
  <c r="AL492" i="1" s="1"/>
  <c r="D492" i="1"/>
  <c r="F492" i="1" s="1"/>
  <c r="AM516" i="1"/>
  <c r="W516" i="1"/>
  <c r="U516" i="1"/>
  <c r="AE516" i="1" s="1"/>
  <c r="P516" i="1"/>
  <c r="D516" i="1"/>
  <c r="F516" i="1" s="1"/>
  <c r="W491" i="1"/>
  <c r="AG491" i="1" s="1"/>
  <c r="U491" i="1"/>
  <c r="AE491" i="1" s="1"/>
  <c r="D491" i="1"/>
  <c r="F491" i="1" s="1"/>
  <c r="AZ413" i="1"/>
  <c r="AB413" i="1" s="1"/>
  <c r="AM413" i="1"/>
  <c r="W413" i="1"/>
  <c r="U413" i="1"/>
  <c r="AL413" i="1" s="1"/>
  <c r="D413" i="1"/>
  <c r="F413" i="1" s="1"/>
  <c r="AZ419" i="1"/>
  <c r="AB419" i="1" s="1"/>
  <c r="AM419" i="1"/>
  <c r="W419" i="1"/>
  <c r="U419" i="1"/>
  <c r="AL419" i="1" s="1"/>
  <c r="D419" i="1"/>
  <c r="F419" i="1" s="1"/>
  <c r="AM523" i="1"/>
  <c r="W523" i="1"/>
  <c r="AH523" i="1" s="1"/>
  <c r="U523" i="1"/>
  <c r="AL523" i="1" s="1"/>
  <c r="P523" i="1"/>
  <c r="D523" i="1"/>
  <c r="F523" i="1" s="1"/>
  <c r="AZ568" i="1"/>
  <c r="AB568" i="1" s="1"/>
  <c r="W568" i="1"/>
  <c r="AH568" i="1" s="1"/>
  <c r="U568" i="1"/>
  <c r="AL568" i="1" s="1"/>
  <c r="D568" i="1"/>
  <c r="F568" i="1" s="1"/>
  <c r="AZ522" i="1"/>
  <c r="AB522" i="1" s="1"/>
  <c r="W522" i="1"/>
  <c r="U522" i="1"/>
  <c r="AL522" i="1" s="1"/>
  <c r="D522" i="1"/>
  <c r="F522" i="1" s="1"/>
  <c r="AZ521" i="1"/>
  <c r="AB521" i="1" s="1"/>
  <c r="AM521" i="1"/>
  <c r="W521" i="1"/>
  <c r="AH521" i="1" s="1"/>
  <c r="U521" i="1"/>
  <c r="AL521" i="1" s="1"/>
  <c r="D521" i="1"/>
  <c r="F521" i="1" s="1"/>
  <c r="AM567" i="1"/>
  <c r="W567" i="1"/>
  <c r="AH567" i="1" s="1"/>
  <c r="U567" i="1"/>
  <c r="AE567" i="1" s="1"/>
  <c r="P567" i="1"/>
  <c r="D567" i="1"/>
  <c r="F567" i="1" s="1"/>
  <c r="W151" i="1"/>
  <c r="AH151" i="1" s="1"/>
  <c r="U151" i="1"/>
  <c r="AL151" i="1" s="1"/>
  <c r="D151" i="1"/>
  <c r="F151" i="1" s="1"/>
  <c r="AM303" i="1"/>
  <c r="W303" i="1"/>
  <c r="AH303" i="1" s="1"/>
  <c r="U303" i="1"/>
  <c r="AL303" i="1" s="1"/>
  <c r="P303" i="1"/>
  <c r="D303" i="1"/>
  <c r="F303" i="1" s="1"/>
  <c r="AM150" i="1"/>
  <c r="W150" i="1"/>
  <c r="U150" i="1"/>
  <c r="AL150" i="1" s="1"/>
  <c r="D150" i="1"/>
  <c r="F150" i="1" s="1"/>
  <c r="AZ510" i="1"/>
  <c r="AB510" i="1" s="1"/>
  <c r="AM510" i="1"/>
  <c r="W510" i="1"/>
  <c r="AH510" i="1" s="1"/>
  <c r="U510" i="1"/>
  <c r="AL510" i="1" s="1"/>
  <c r="P510" i="1"/>
  <c r="D510" i="1"/>
  <c r="F510" i="1" s="1"/>
  <c r="AZ509" i="1"/>
  <c r="AB509" i="1" s="1"/>
  <c r="W509" i="1"/>
  <c r="AH509" i="1" s="1"/>
  <c r="U509" i="1"/>
  <c r="AL509" i="1" s="1"/>
  <c r="D509" i="1"/>
  <c r="F509" i="1" s="1"/>
  <c r="W508" i="1"/>
  <c r="U508" i="1"/>
  <c r="AL508" i="1" s="1"/>
  <c r="D508" i="1"/>
  <c r="F508" i="1" s="1"/>
  <c r="AZ447" i="1"/>
  <c r="AB447" i="1" s="1"/>
  <c r="AM447" i="1"/>
  <c r="W447" i="1"/>
  <c r="AH447" i="1" s="1"/>
  <c r="U447" i="1"/>
  <c r="AL447" i="1" s="1"/>
  <c r="P447" i="1"/>
  <c r="D447" i="1"/>
  <c r="F447" i="1" s="1"/>
  <c r="AM446" i="1"/>
  <c r="W446" i="1"/>
  <c r="U446" i="1"/>
  <c r="AE446" i="1" s="1"/>
  <c r="P446" i="1"/>
  <c r="D446" i="1"/>
  <c r="F446" i="1" s="1"/>
  <c r="W445" i="1"/>
  <c r="AH445" i="1" s="1"/>
  <c r="U445" i="1"/>
  <c r="AE445" i="1" s="1"/>
  <c r="D445" i="1"/>
  <c r="F445" i="1" s="1"/>
  <c r="AZ495" i="1"/>
  <c r="AB495" i="1" s="1"/>
  <c r="W495" i="1"/>
  <c r="AH495" i="1" s="1"/>
  <c r="U495" i="1"/>
  <c r="AL495" i="1" s="1"/>
  <c r="D495" i="1"/>
  <c r="F495" i="1" s="1"/>
  <c r="AM444" i="1"/>
  <c r="W444" i="1"/>
  <c r="U444" i="1"/>
  <c r="AL444" i="1" s="1"/>
  <c r="D444" i="1"/>
  <c r="F444" i="1" s="1"/>
  <c r="AM494" i="1"/>
  <c r="W494" i="1"/>
  <c r="AH494" i="1" s="1"/>
  <c r="U494" i="1"/>
  <c r="AL494" i="1" s="1"/>
  <c r="P494" i="1"/>
  <c r="D494" i="1"/>
  <c r="F494" i="1" s="1"/>
  <c r="AZ443" i="1"/>
  <c r="AB443" i="1" s="1"/>
  <c r="W443" i="1"/>
  <c r="AH443" i="1" s="1"/>
  <c r="U443" i="1"/>
  <c r="AE443" i="1" s="1"/>
  <c r="D443" i="1"/>
  <c r="F443" i="1" s="1"/>
  <c r="AZ442" i="1"/>
  <c r="AB442" i="1" s="1"/>
  <c r="AM442" i="1"/>
  <c r="W442" i="1"/>
  <c r="U442" i="1"/>
  <c r="AL442" i="1" s="1"/>
  <c r="P442" i="1"/>
  <c r="D442" i="1"/>
  <c r="F442" i="1" s="1"/>
  <c r="AZ441" i="1"/>
  <c r="AB441" i="1" s="1"/>
  <c r="AM441" i="1"/>
  <c r="W441" i="1"/>
  <c r="U441" i="1"/>
  <c r="AL441" i="1" s="1"/>
  <c r="P441" i="1"/>
  <c r="D441" i="1"/>
  <c r="F441" i="1" s="1"/>
  <c r="AM440" i="1"/>
  <c r="W440" i="1"/>
  <c r="AH440" i="1" s="1"/>
  <c r="U440" i="1"/>
  <c r="AL440" i="1" s="1"/>
  <c r="P440" i="1"/>
  <c r="D440" i="1"/>
  <c r="F440" i="1" s="1"/>
  <c r="AM485" i="1"/>
  <c r="W485" i="1"/>
  <c r="AH485" i="1" s="1"/>
  <c r="U485" i="1"/>
  <c r="AL485" i="1" s="1"/>
  <c r="P485" i="1"/>
  <c r="D485" i="1"/>
  <c r="F485" i="1" s="1"/>
  <c r="AM572" i="1"/>
  <c r="W572" i="1"/>
  <c r="U572" i="1"/>
  <c r="AL572" i="1" s="1"/>
  <c r="D572" i="1"/>
  <c r="F572" i="1" s="1"/>
  <c r="AM502" i="1"/>
  <c r="W502" i="1"/>
  <c r="AH502" i="1" s="1"/>
  <c r="U502" i="1"/>
  <c r="AL502" i="1" s="1"/>
  <c r="D502" i="1"/>
  <c r="F502" i="1" s="1"/>
  <c r="AM571" i="1"/>
  <c r="W571" i="1"/>
  <c r="AH571" i="1" s="1"/>
  <c r="U571" i="1"/>
  <c r="AE571" i="1" s="1"/>
  <c r="P571" i="1"/>
  <c r="D571" i="1"/>
  <c r="F571" i="1" s="1"/>
  <c r="AM501" i="1"/>
  <c r="W501" i="1"/>
  <c r="AH501" i="1" s="1"/>
  <c r="U501" i="1"/>
  <c r="AL501" i="1" s="1"/>
  <c r="P501" i="1"/>
  <c r="D501" i="1"/>
  <c r="F501" i="1" s="1"/>
  <c r="AM500" i="1"/>
  <c r="W500" i="1"/>
  <c r="AH500" i="1" s="1"/>
  <c r="U500" i="1"/>
  <c r="AL500" i="1" s="1"/>
  <c r="P500" i="1"/>
  <c r="D500" i="1"/>
  <c r="F500" i="1" s="1"/>
  <c r="AM638" i="1"/>
  <c r="W638" i="1"/>
  <c r="U638" i="1"/>
  <c r="AL638" i="1" s="1"/>
  <c r="P638" i="1"/>
  <c r="D638" i="1"/>
  <c r="F638" i="1" s="1"/>
  <c r="AM512" i="1"/>
  <c r="W512" i="1"/>
  <c r="AH512" i="1" s="1"/>
  <c r="U512" i="1"/>
  <c r="AL512" i="1" s="1"/>
  <c r="P512" i="1"/>
  <c r="D512" i="1"/>
  <c r="F512" i="1" s="1"/>
  <c r="AZ511" i="1"/>
  <c r="AB511" i="1" s="1"/>
  <c r="AM511" i="1"/>
  <c r="W511" i="1"/>
  <c r="AH511" i="1" s="1"/>
  <c r="U511" i="1"/>
  <c r="AL511" i="1" s="1"/>
  <c r="P511" i="1"/>
  <c r="D511" i="1"/>
  <c r="F511" i="1" s="1"/>
  <c r="AM435" i="1"/>
  <c r="W435" i="1"/>
  <c r="U435" i="1"/>
  <c r="AL435" i="1" s="1"/>
  <c r="D435" i="1"/>
  <c r="F435" i="1" s="1"/>
  <c r="AM434" i="1"/>
  <c r="W434" i="1"/>
  <c r="U434" i="1"/>
  <c r="AL434" i="1" s="1"/>
  <c r="P434" i="1"/>
  <c r="D434" i="1"/>
  <c r="F434" i="1" s="1"/>
  <c r="AZ433" i="1"/>
  <c r="AB433" i="1" s="1"/>
  <c r="AM433" i="1"/>
  <c r="W433" i="1"/>
  <c r="AH433" i="1" s="1"/>
  <c r="U433" i="1"/>
  <c r="AL433" i="1" s="1"/>
  <c r="P433" i="1"/>
  <c r="D433" i="1"/>
  <c r="F433" i="1" s="1"/>
  <c r="AM188" i="1"/>
  <c r="W188" i="1"/>
  <c r="U188" i="1"/>
  <c r="AL188" i="1" s="1"/>
  <c r="P188" i="1"/>
  <c r="D188" i="1"/>
  <c r="F188" i="1" s="1"/>
  <c r="AZ187" i="1"/>
  <c r="AB187" i="1" s="1"/>
  <c r="AM187" i="1"/>
  <c r="W187" i="1"/>
  <c r="AH187" i="1" s="1"/>
  <c r="U187" i="1"/>
  <c r="AL187" i="1" s="1"/>
  <c r="P187" i="1"/>
  <c r="D187" i="1"/>
  <c r="F187" i="1" s="1"/>
  <c r="AZ557" i="1"/>
  <c r="AB557" i="1" s="1"/>
  <c r="AM557" i="1"/>
  <c r="W557" i="1"/>
  <c r="U557" i="1"/>
  <c r="AL557" i="1" s="1"/>
  <c r="P557" i="1"/>
  <c r="D557" i="1"/>
  <c r="F557" i="1" s="1"/>
  <c r="AM583" i="1"/>
  <c r="W583" i="1"/>
  <c r="AH583" i="1" s="1"/>
  <c r="U583" i="1"/>
  <c r="AL583" i="1" s="1"/>
  <c r="P583" i="1"/>
  <c r="D583" i="1"/>
  <c r="F583" i="1" s="1"/>
  <c r="AM326" i="1"/>
  <c r="W326" i="1"/>
  <c r="AH326" i="1" s="1"/>
  <c r="U326" i="1"/>
  <c r="AL326" i="1" s="1"/>
  <c r="P326" i="1"/>
  <c r="D326" i="1"/>
  <c r="F326" i="1" s="1"/>
  <c r="AZ648" i="1"/>
  <c r="AB648" i="1" s="1"/>
  <c r="AM648" i="1"/>
  <c r="W648" i="1"/>
  <c r="AG648" i="1" s="1"/>
  <c r="U648" i="1"/>
  <c r="AL648" i="1" s="1"/>
  <c r="P648" i="1"/>
  <c r="D648" i="1"/>
  <c r="F648" i="1" s="1"/>
  <c r="AZ218" i="1"/>
  <c r="AB218" i="1" s="1"/>
  <c r="AM218" i="1"/>
  <c r="W218" i="1"/>
  <c r="U218" i="1"/>
  <c r="AL218" i="1" s="1"/>
  <c r="P218" i="1"/>
  <c r="D218" i="1"/>
  <c r="F218" i="1" s="1"/>
  <c r="AZ640" i="1"/>
  <c r="AB640" i="1" s="1"/>
  <c r="AM640" i="1"/>
  <c r="W640" i="1"/>
  <c r="U640" i="1"/>
  <c r="AL640" i="1" s="1"/>
  <c r="P640" i="1"/>
  <c r="D640" i="1"/>
  <c r="F640" i="1" s="1"/>
  <c r="AM585" i="1"/>
  <c r="W585" i="1"/>
  <c r="AG585" i="1" s="1"/>
  <c r="U585" i="1"/>
  <c r="AL585" i="1" s="1"/>
  <c r="P585" i="1"/>
  <c r="D585" i="1"/>
  <c r="F585" i="1" s="1"/>
  <c r="AZ46" i="1"/>
  <c r="AB46" i="1" s="1"/>
  <c r="AM46" i="1"/>
  <c r="W46" i="1"/>
  <c r="AG46" i="1" s="1"/>
  <c r="U46" i="1"/>
  <c r="AL46" i="1" s="1"/>
  <c r="P46" i="1"/>
  <c r="D46" i="1"/>
  <c r="F46" i="1" s="1"/>
  <c r="AM636" i="1"/>
  <c r="W636" i="1"/>
  <c r="U636" i="1"/>
  <c r="AL636" i="1" s="1"/>
  <c r="P636" i="1"/>
  <c r="D636" i="1"/>
  <c r="F636" i="1" s="1"/>
  <c r="AM116" i="1"/>
  <c r="W116" i="1"/>
  <c r="AG116" i="1" s="1"/>
  <c r="U116" i="1"/>
  <c r="AE116" i="1" s="1"/>
  <c r="P116" i="1"/>
  <c r="D116" i="1"/>
  <c r="F116" i="1" s="1"/>
  <c r="AZ115" i="1"/>
  <c r="AB115" i="1" s="1"/>
  <c r="AM115" i="1"/>
  <c r="W115" i="1"/>
  <c r="AG115" i="1" s="1"/>
  <c r="U115" i="1"/>
  <c r="AL115" i="1" s="1"/>
  <c r="P115" i="1"/>
  <c r="D115" i="1"/>
  <c r="F115" i="1" s="1"/>
  <c r="AM45" i="1"/>
  <c r="W45" i="1"/>
  <c r="AG45" i="1" s="1"/>
  <c r="U45" i="1"/>
  <c r="AL45" i="1" s="1"/>
  <c r="P45" i="1"/>
  <c r="D45" i="1"/>
  <c r="F45" i="1" s="1"/>
  <c r="AZ257" i="1"/>
  <c r="AB257" i="1" s="1"/>
  <c r="AM257" i="1"/>
  <c r="W257" i="1"/>
  <c r="U257" i="1"/>
  <c r="AL257" i="1" s="1"/>
  <c r="P257" i="1"/>
  <c r="D257" i="1"/>
  <c r="F257" i="1" s="1"/>
  <c r="AZ256" i="1"/>
  <c r="AB256" i="1" s="1"/>
  <c r="AM256" i="1"/>
  <c r="W256" i="1"/>
  <c r="U256" i="1"/>
  <c r="AL256" i="1" s="1"/>
  <c r="P256" i="1"/>
  <c r="D256" i="1"/>
  <c r="F256" i="1" s="1"/>
  <c r="AZ255" i="1"/>
  <c r="AB255" i="1" s="1"/>
  <c r="AM255" i="1"/>
  <c r="W255" i="1"/>
  <c r="AG255" i="1" s="1"/>
  <c r="U255" i="1"/>
  <c r="AL255" i="1" s="1"/>
  <c r="P255" i="1"/>
  <c r="D255" i="1"/>
  <c r="F255" i="1" s="1"/>
  <c r="AZ152" i="1"/>
  <c r="AB152" i="1" s="1"/>
  <c r="AM152" i="1"/>
  <c r="W152" i="1"/>
  <c r="AG152" i="1" s="1"/>
  <c r="U152" i="1"/>
  <c r="AL152" i="1" s="1"/>
  <c r="P152" i="1"/>
  <c r="D152" i="1"/>
  <c r="F152" i="1" s="1"/>
  <c r="AM370" i="1"/>
  <c r="W370" i="1"/>
  <c r="U370" i="1"/>
  <c r="AL370" i="1" s="1"/>
  <c r="P370" i="1"/>
  <c r="D370" i="1"/>
  <c r="F370" i="1" s="1"/>
  <c r="AM369" i="1"/>
  <c r="W369" i="1"/>
  <c r="AG369" i="1" s="1"/>
  <c r="U369" i="1"/>
  <c r="AL369" i="1" s="1"/>
  <c r="P369" i="1"/>
  <c r="D369" i="1"/>
  <c r="F369" i="1" s="1"/>
  <c r="AZ368" i="1"/>
  <c r="AB368" i="1" s="1"/>
  <c r="AM368" i="1"/>
  <c r="W368" i="1"/>
  <c r="U368" i="1"/>
  <c r="AL368" i="1" s="1"/>
  <c r="P368" i="1"/>
  <c r="D368" i="1"/>
  <c r="F368" i="1" s="1"/>
  <c r="AM367" i="1"/>
  <c r="W367" i="1"/>
  <c r="AG367" i="1" s="1"/>
  <c r="U367" i="1"/>
  <c r="AL367" i="1" s="1"/>
  <c r="P367" i="1"/>
  <c r="D367" i="1"/>
  <c r="F367" i="1" s="1"/>
  <c r="AZ274" i="1"/>
  <c r="AB274" i="1" s="1"/>
  <c r="AM274" i="1"/>
  <c r="W274" i="1"/>
  <c r="U274" i="1"/>
  <c r="AL274" i="1" s="1"/>
  <c r="P274" i="1"/>
  <c r="D274" i="1"/>
  <c r="F274" i="1" s="1"/>
  <c r="AZ273" i="1"/>
  <c r="AB273" i="1" s="1"/>
  <c r="AM273" i="1"/>
  <c r="W273" i="1"/>
  <c r="U273" i="1"/>
  <c r="AL273" i="1" s="1"/>
  <c r="P273" i="1"/>
  <c r="D273" i="1"/>
  <c r="F273" i="1" s="1"/>
  <c r="AZ576" i="1"/>
  <c r="AB576" i="1" s="1"/>
  <c r="AM576" i="1"/>
  <c r="W576" i="1"/>
  <c r="AG576" i="1" s="1"/>
  <c r="U576" i="1"/>
  <c r="AL576" i="1" s="1"/>
  <c r="P576" i="1"/>
  <c r="D576" i="1"/>
  <c r="F576" i="1" s="1"/>
  <c r="AZ183" i="1"/>
  <c r="AB183" i="1" s="1"/>
  <c r="AM183" i="1"/>
  <c r="W183" i="1"/>
  <c r="AN183" i="1" s="1"/>
  <c r="U183" i="1"/>
  <c r="AL183" i="1" s="1"/>
  <c r="P183" i="1"/>
  <c r="D183" i="1"/>
  <c r="F183" i="1" s="1"/>
  <c r="AM156" i="1"/>
  <c r="W156" i="1"/>
  <c r="U156" i="1"/>
  <c r="AL156" i="1" s="1"/>
  <c r="P156" i="1"/>
  <c r="D156" i="1"/>
  <c r="F156" i="1" s="1"/>
  <c r="AM174" i="1"/>
  <c r="W174" i="1"/>
  <c r="U174" i="1"/>
  <c r="AL174" i="1" s="1"/>
  <c r="P174" i="1"/>
  <c r="D174" i="1"/>
  <c r="F174" i="1" s="1"/>
  <c r="AZ168" i="1"/>
  <c r="AB168" i="1" s="1"/>
  <c r="AM168" i="1"/>
  <c r="W168" i="1"/>
  <c r="U168" i="1"/>
  <c r="AL168" i="1" s="1"/>
  <c r="P168" i="1"/>
  <c r="D168" i="1"/>
  <c r="F168" i="1" s="1"/>
  <c r="AZ546" i="1"/>
  <c r="AB546" i="1" s="1"/>
  <c r="AM546" i="1"/>
  <c r="W546" i="1"/>
  <c r="AG546" i="1" s="1"/>
  <c r="U546" i="1"/>
  <c r="AL546" i="1" s="1"/>
  <c r="P546" i="1"/>
  <c r="D546" i="1"/>
  <c r="F546" i="1" s="1"/>
  <c r="AZ117" i="1"/>
  <c r="AB117" i="1" s="1"/>
  <c r="AM117" i="1"/>
  <c r="W117" i="1"/>
  <c r="AH117" i="1" s="1"/>
  <c r="U117" i="1"/>
  <c r="AL117" i="1" s="1"/>
  <c r="P117" i="1"/>
  <c r="D117" i="1"/>
  <c r="F117" i="1" s="1"/>
  <c r="AM412" i="1"/>
  <c r="W412" i="1"/>
  <c r="U412" i="1"/>
  <c r="AL412" i="1" s="1"/>
  <c r="P412" i="1"/>
  <c r="D412" i="1"/>
  <c r="F412" i="1" s="1"/>
  <c r="AZ114" i="1"/>
  <c r="AB114" i="1" s="1"/>
  <c r="AM114" i="1"/>
  <c r="W114" i="1"/>
  <c r="AN114" i="1" s="1"/>
  <c r="BG114" i="1" s="1"/>
  <c r="U114" i="1"/>
  <c r="AL114" i="1" s="1"/>
  <c r="P114" i="1"/>
  <c r="D114" i="1"/>
  <c r="F114" i="1" s="1"/>
  <c r="AZ68" i="1"/>
  <c r="AB68" i="1" s="1"/>
  <c r="AM68" i="1"/>
  <c r="W68" i="1"/>
  <c r="AH68" i="1" s="1"/>
  <c r="U68" i="1"/>
  <c r="AL68" i="1" s="1"/>
  <c r="P68" i="1"/>
  <c r="D68" i="1"/>
  <c r="F68" i="1" s="1"/>
  <c r="AZ182" i="1"/>
  <c r="AB182" i="1" s="1"/>
  <c r="AM182" i="1"/>
  <c r="W182" i="1"/>
  <c r="AH182" i="1" s="1"/>
  <c r="U182" i="1"/>
  <c r="AL182" i="1" s="1"/>
  <c r="P182" i="1"/>
  <c r="D182" i="1"/>
  <c r="F182" i="1" s="1"/>
  <c r="AM350" i="1"/>
  <c r="W350" i="1"/>
  <c r="U350" i="1"/>
  <c r="AL350" i="1" s="1"/>
  <c r="P350" i="1"/>
  <c r="D350" i="1"/>
  <c r="F350" i="1" s="1"/>
  <c r="AM383" i="1"/>
  <c r="W383" i="1"/>
  <c r="U383" i="1"/>
  <c r="AL383" i="1" s="1"/>
  <c r="P383" i="1"/>
  <c r="D383" i="1"/>
  <c r="F383" i="1" s="1"/>
  <c r="AZ64" i="1"/>
  <c r="AB64" i="1" s="1"/>
  <c r="AM64" i="1"/>
  <c r="W64" i="1"/>
  <c r="U64" i="1"/>
  <c r="AL64" i="1" s="1"/>
  <c r="P64" i="1"/>
  <c r="D64" i="1"/>
  <c r="F64" i="1" s="1"/>
  <c r="AZ38" i="1"/>
  <c r="AB38" i="1" s="1"/>
  <c r="AM38" i="1"/>
  <c r="W38" i="1"/>
  <c r="AG38" i="1" s="1"/>
  <c r="U38" i="1"/>
  <c r="AL38" i="1" s="1"/>
  <c r="P38" i="1"/>
  <c r="D38" i="1"/>
  <c r="F38" i="1" s="1"/>
  <c r="AM223" i="1"/>
  <c r="W223" i="1"/>
  <c r="AH223" i="1" s="1"/>
  <c r="U223" i="1"/>
  <c r="AL223" i="1" s="1"/>
  <c r="P223" i="1"/>
  <c r="D223" i="1"/>
  <c r="F223" i="1" s="1"/>
  <c r="AZ299" i="1"/>
  <c r="AB299" i="1" s="1"/>
  <c r="AM299" i="1"/>
  <c r="W299" i="1"/>
  <c r="AN299" i="1" s="1"/>
  <c r="U299" i="1"/>
  <c r="AL299" i="1" s="1"/>
  <c r="P299" i="1"/>
  <c r="D299" i="1"/>
  <c r="F299" i="1" s="1"/>
  <c r="AZ331" i="1"/>
  <c r="AB331" i="1" s="1"/>
  <c r="AM331" i="1"/>
  <c r="W331" i="1"/>
  <c r="AH331" i="1" s="1"/>
  <c r="U331" i="1"/>
  <c r="AL331" i="1" s="1"/>
  <c r="P331" i="1"/>
  <c r="D331" i="1"/>
  <c r="F331" i="1" s="1"/>
  <c r="AM649" i="1"/>
  <c r="W649" i="1"/>
  <c r="U649" i="1"/>
  <c r="AL649" i="1" s="1"/>
  <c r="P649" i="1"/>
  <c r="D649" i="1"/>
  <c r="F649" i="1" s="1"/>
  <c r="AZ647" i="1"/>
  <c r="AB647" i="1" s="1"/>
  <c r="AM647" i="1"/>
  <c r="W647" i="1"/>
  <c r="U647" i="1"/>
  <c r="AL647" i="1" s="1"/>
  <c r="P647" i="1"/>
  <c r="D647" i="1"/>
  <c r="F647" i="1" s="1"/>
  <c r="AZ643" i="1"/>
  <c r="AB643" i="1" s="1"/>
  <c r="AM643" i="1"/>
  <c r="W643" i="1"/>
  <c r="U643" i="1"/>
  <c r="AL643" i="1" s="1"/>
  <c r="P643" i="1"/>
  <c r="D643" i="1"/>
  <c r="F643" i="1" s="1"/>
  <c r="AM540" i="1"/>
  <c r="W540" i="1"/>
  <c r="U540" i="1"/>
  <c r="AL540" i="1" s="1"/>
  <c r="P540" i="1"/>
  <c r="D540" i="1"/>
  <c r="F540" i="1" s="1"/>
  <c r="AZ625" i="1"/>
  <c r="AB625" i="1" s="1"/>
  <c r="AM625" i="1"/>
  <c r="W625" i="1"/>
  <c r="AG625" i="1" s="1"/>
  <c r="U625" i="1"/>
  <c r="AL625" i="1" s="1"/>
  <c r="P625" i="1"/>
  <c r="D625" i="1"/>
  <c r="F625" i="1" s="1"/>
  <c r="AZ217" i="1"/>
  <c r="AB217" i="1" s="1"/>
  <c r="AM217" i="1"/>
  <c r="W217" i="1"/>
  <c r="AG217" i="1" s="1"/>
  <c r="U217" i="1"/>
  <c r="AL217" i="1" s="1"/>
  <c r="P217" i="1"/>
  <c r="D217" i="1"/>
  <c r="F217" i="1" s="1"/>
  <c r="AZ216" i="1"/>
  <c r="AB216" i="1" s="1"/>
  <c r="AM216" i="1"/>
  <c r="W216" i="1"/>
  <c r="AH216" i="1" s="1"/>
  <c r="U216" i="1"/>
  <c r="AL216" i="1" s="1"/>
  <c r="P216" i="1"/>
  <c r="D216" i="1"/>
  <c r="F216" i="1" s="1"/>
  <c r="AZ497" i="1"/>
  <c r="AB497" i="1" s="1"/>
  <c r="AM497" i="1"/>
  <c r="W497" i="1"/>
  <c r="AH497" i="1" s="1"/>
  <c r="U497" i="1"/>
  <c r="AL497" i="1" s="1"/>
  <c r="P497" i="1"/>
  <c r="D497" i="1"/>
  <c r="F497" i="1" s="1"/>
  <c r="AM349" i="1"/>
  <c r="W349" i="1"/>
  <c r="U349" i="1"/>
  <c r="AL349" i="1" s="1"/>
  <c r="P349" i="1"/>
  <c r="D349" i="1"/>
  <c r="F349" i="1" s="1"/>
  <c r="AM484" i="1"/>
  <c r="W484" i="1"/>
  <c r="AG484" i="1" s="1"/>
  <c r="U484" i="1"/>
  <c r="AL484" i="1" s="1"/>
  <c r="P484" i="1"/>
  <c r="D484" i="1"/>
  <c r="F484" i="1" s="1"/>
  <c r="AZ285" i="1"/>
  <c r="AB285" i="1" s="1"/>
  <c r="AM285" i="1"/>
  <c r="W285" i="1"/>
  <c r="AG285" i="1" s="1"/>
  <c r="U285" i="1"/>
  <c r="AL285" i="1" s="1"/>
  <c r="P285" i="1"/>
  <c r="D285" i="1"/>
  <c r="F285" i="1" s="1"/>
  <c r="AZ624" i="1"/>
  <c r="AB624" i="1" s="1"/>
  <c r="AM624" i="1"/>
  <c r="W624" i="1"/>
  <c r="AG624" i="1" s="1"/>
  <c r="U624" i="1"/>
  <c r="AL624" i="1" s="1"/>
  <c r="P624" i="1"/>
  <c r="D624" i="1"/>
  <c r="F624" i="1" s="1"/>
  <c r="AM588" i="1"/>
  <c r="W588" i="1"/>
  <c r="AG588" i="1" s="1"/>
  <c r="U588" i="1"/>
  <c r="AL588" i="1" s="1"/>
  <c r="P588" i="1"/>
  <c r="D588" i="1"/>
  <c r="F588" i="1" s="1"/>
  <c r="AZ239" i="1"/>
  <c r="AB239" i="1" s="1"/>
  <c r="AM239" i="1"/>
  <c r="W239" i="1"/>
  <c r="AG239" i="1" s="1"/>
  <c r="U239" i="1"/>
  <c r="AL239" i="1" s="1"/>
  <c r="P239" i="1"/>
  <c r="D239" i="1"/>
  <c r="F239" i="1" s="1"/>
  <c r="AZ238" i="1"/>
  <c r="AB238" i="1" s="1"/>
  <c r="AM238" i="1"/>
  <c r="W238" i="1"/>
  <c r="U238" i="1"/>
  <c r="AL238" i="1" s="1"/>
  <c r="P238" i="1"/>
  <c r="D238" i="1"/>
  <c r="F238" i="1" s="1"/>
  <c r="AZ399" i="1"/>
  <c r="AB399" i="1" s="1"/>
  <c r="AM399" i="1"/>
  <c r="W399" i="1"/>
  <c r="AG399" i="1" s="1"/>
  <c r="U399" i="1"/>
  <c r="AL399" i="1" s="1"/>
  <c r="P399" i="1"/>
  <c r="D399" i="1"/>
  <c r="F399" i="1" s="1"/>
  <c r="AM352" i="1"/>
  <c r="W352" i="1"/>
  <c r="U352" i="1"/>
  <c r="AL352" i="1" s="1"/>
  <c r="P352" i="1"/>
  <c r="D352" i="1"/>
  <c r="F352" i="1" s="1"/>
  <c r="AZ507" i="1"/>
  <c r="AB507" i="1" s="1"/>
  <c r="AM507" i="1"/>
  <c r="W507" i="1"/>
  <c r="U507" i="1"/>
  <c r="AL507" i="1" s="1"/>
  <c r="P507" i="1"/>
  <c r="D507" i="1"/>
  <c r="F507" i="1" s="1"/>
  <c r="AM506" i="1"/>
  <c r="W506" i="1"/>
  <c r="AN506" i="1" s="1"/>
  <c r="U506" i="1"/>
  <c r="AL506" i="1" s="1"/>
  <c r="P506" i="1"/>
  <c r="D506" i="1"/>
  <c r="F506" i="1" s="1"/>
  <c r="AM582" i="1"/>
  <c r="W582" i="1"/>
  <c r="U582" i="1"/>
  <c r="AL582" i="1" s="1"/>
  <c r="P582" i="1"/>
  <c r="D582" i="1"/>
  <c r="F582" i="1" s="1"/>
  <c r="AZ527" i="1"/>
  <c r="AB527" i="1" s="1"/>
  <c r="AM527" i="1"/>
  <c r="W527" i="1"/>
  <c r="AN527" i="1" s="1"/>
  <c r="U527" i="1"/>
  <c r="AL527" i="1" s="1"/>
  <c r="P527" i="1"/>
  <c r="D527" i="1"/>
  <c r="F527" i="1" s="1"/>
  <c r="AZ398" i="1"/>
  <c r="AB398" i="1" s="1"/>
  <c r="AM398" i="1"/>
  <c r="W398" i="1"/>
  <c r="U398" i="1"/>
  <c r="AL398" i="1" s="1"/>
  <c r="P398" i="1"/>
  <c r="D398" i="1"/>
  <c r="F398" i="1" s="1"/>
  <c r="AZ496" i="1"/>
  <c r="AB496" i="1" s="1"/>
  <c r="AM496" i="1"/>
  <c r="W496" i="1"/>
  <c r="U496" i="1"/>
  <c r="AL496" i="1" s="1"/>
  <c r="P496" i="1"/>
  <c r="D496" i="1"/>
  <c r="F496" i="1" s="1"/>
  <c r="AM346" i="1"/>
  <c r="W346" i="1"/>
  <c r="U346" i="1"/>
  <c r="AL346" i="1" s="1"/>
  <c r="P346" i="1"/>
  <c r="D346" i="1"/>
  <c r="F346" i="1" s="1"/>
  <c r="AM345" i="1"/>
  <c r="W345" i="1"/>
  <c r="AG345" i="1" s="1"/>
  <c r="U345" i="1"/>
  <c r="AL345" i="1" s="1"/>
  <c r="P345" i="1"/>
  <c r="D345" i="1"/>
  <c r="F345" i="1" s="1"/>
  <c r="AZ551" i="1"/>
  <c r="AB551" i="1" s="1"/>
  <c r="AM551" i="1"/>
  <c r="W551" i="1"/>
  <c r="U551" i="1"/>
  <c r="AL551" i="1" s="1"/>
  <c r="P551" i="1"/>
  <c r="D551" i="1"/>
  <c r="F551" i="1" s="1"/>
  <c r="AZ594" i="1"/>
  <c r="AB594" i="1" s="1"/>
  <c r="AM594" i="1"/>
  <c r="W594" i="1"/>
  <c r="AN594" i="1" s="1"/>
  <c r="BK594" i="1" s="1"/>
  <c r="U594" i="1"/>
  <c r="AL594" i="1" s="1"/>
  <c r="P594" i="1"/>
  <c r="D594" i="1"/>
  <c r="F594" i="1" s="1"/>
  <c r="AM598" i="1"/>
  <c r="W598" i="1"/>
  <c r="U598" i="1"/>
  <c r="AL598" i="1" s="1"/>
  <c r="P598" i="1"/>
  <c r="D598" i="1"/>
  <c r="F598" i="1" s="1"/>
  <c r="AZ592" i="1"/>
  <c r="AB592" i="1" s="1"/>
  <c r="AM592" i="1"/>
  <c r="W592" i="1"/>
  <c r="U592" i="1"/>
  <c r="AL592" i="1" s="1"/>
  <c r="P592" i="1"/>
  <c r="D592" i="1"/>
  <c r="F592" i="1" s="1"/>
  <c r="AM581" i="1"/>
  <c r="W581" i="1"/>
  <c r="AN581" i="1" s="1"/>
  <c r="BG581" i="1" s="1"/>
  <c r="U581" i="1"/>
  <c r="AL581" i="1" s="1"/>
  <c r="P581" i="1"/>
  <c r="D581" i="1"/>
  <c r="F581" i="1" s="1"/>
  <c r="AZ637" i="1"/>
  <c r="AB637" i="1" s="1"/>
  <c r="AM637" i="1"/>
  <c r="W637" i="1"/>
  <c r="AG637" i="1" s="1"/>
  <c r="U637" i="1"/>
  <c r="AL637" i="1" s="1"/>
  <c r="P637" i="1"/>
  <c r="D637" i="1"/>
  <c r="F637" i="1" s="1"/>
  <c r="AM591" i="1"/>
  <c r="W591" i="1"/>
  <c r="U591" i="1"/>
  <c r="AL591" i="1" s="1"/>
  <c r="P591" i="1"/>
  <c r="D591" i="1"/>
  <c r="F591" i="1" s="1"/>
  <c r="AM590" i="1"/>
  <c r="W590" i="1"/>
  <c r="U590" i="1"/>
  <c r="AL590" i="1" s="1"/>
  <c r="P590" i="1"/>
  <c r="D590" i="1"/>
  <c r="F590" i="1" s="1"/>
  <c r="AZ621" i="1"/>
  <c r="AB621" i="1" s="1"/>
  <c r="AM621" i="1"/>
  <c r="W621" i="1"/>
  <c r="AN621" i="1" s="1"/>
  <c r="U621" i="1"/>
  <c r="AL621" i="1" s="1"/>
  <c r="P621" i="1"/>
  <c r="D621" i="1"/>
  <c r="F621" i="1" s="1"/>
  <c r="AZ425" i="1"/>
  <c r="AB425" i="1" s="1"/>
  <c r="AM425" i="1"/>
  <c r="W425" i="1"/>
  <c r="U425" i="1"/>
  <c r="AL425" i="1" s="1"/>
  <c r="P425" i="1"/>
  <c r="D425" i="1"/>
  <c r="F425" i="1" s="1"/>
  <c r="AM578" i="1"/>
  <c r="W578" i="1"/>
  <c r="AH578" i="1" s="1"/>
  <c r="U578" i="1"/>
  <c r="AL578" i="1" s="1"/>
  <c r="P578" i="1"/>
  <c r="D578" i="1"/>
  <c r="F578" i="1" s="1"/>
  <c r="AM644" i="1"/>
  <c r="W644" i="1"/>
  <c r="AH644" i="1" s="1"/>
  <c r="U644" i="1"/>
  <c r="AL644" i="1" s="1"/>
  <c r="P644" i="1"/>
  <c r="D644" i="1"/>
  <c r="F644" i="1" s="1"/>
  <c r="AZ597" i="1"/>
  <c r="AB597" i="1" s="1"/>
  <c r="AM597" i="1"/>
  <c r="W597" i="1"/>
  <c r="AH597" i="1" s="1"/>
  <c r="U597" i="1"/>
  <c r="AL597" i="1" s="1"/>
  <c r="P597" i="1"/>
  <c r="D597" i="1"/>
  <c r="F597" i="1" s="1"/>
  <c r="AZ432" i="1"/>
  <c r="AB432" i="1" s="1"/>
  <c r="AM432" i="1"/>
  <c r="W432" i="1"/>
  <c r="U432" i="1"/>
  <c r="AL432" i="1" s="1"/>
  <c r="P432" i="1"/>
  <c r="D432" i="1"/>
  <c r="F432" i="1" s="1"/>
  <c r="AZ431" i="1"/>
  <c r="AB431" i="1" s="1"/>
  <c r="AM431" i="1"/>
  <c r="W431" i="1"/>
  <c r="AH431" i="1" s="1"/>
  <c r="U431" i="1"/>
  <c r="AL431" i="1" s="1"/>
  <c r="P431" i="1"/>
  <c r="D431" i="1"/>
  <c r="F431" i="1" s="1"/>
  <c r="AM596" i="1"/>
  <c r="W596" i="1"/>
  <c r="U596" i="1"/>
  <c r="AL596" i="1" s="1"/>
  <c r="P596" i="1"/>
  <c r="D596" i="1"/>
  <c r="F596" i="1" s="1"/>
  <c r="AM595" i="1"/>
  <c r="W595" i="1"/>
  <c r="U595" i="1"/>
  <c r="AL595" i="1" s="1"/>
  <c r="P595" i="1"/>
  <c r="D595" i="1"/>
  <c r="F595" i="1" s="1"/>
  <c r="AM430" i="1"/>
  <c r="W430" i="1"/>
  <c r="U430" i="1"/>
  <c r="AL430" i="1" s="1"/>
  <c r="P430" i="1"/>
  <c r="D430" i="1"/>
  <c r="F430" i="1" s="1"/>
  <c r="AM550" i="1"/>
  <c r="W550" i="1"/>
  <c r="AG550" i="1" s="1"/>
  <c r="U550" i="1"/>
  <c r="AL550" i="1" s="1"/>
  <c r="P550" i="1"/>
  <c r="D550" i="1"/>
  <c r="F550" i="1" s="1"/>
  <c r="AZ632" i="1"/>
  <c r="AB632" i="1" s="1"/>
  <c r="AM632" i="1"/>
  <c r="W632" i="1"/>
  <c r="U632" i="1"/>
  <c r="AL632" i="1" s="1"/>
  <c r="P632" i="1"/>
  <c r="D632" i="1"/>
  <c r="F632" i="1" s="1"/>
  <c r="AM549" i="1"/>
  <c r="W549" i="1"/>
  <c r="U549" i="1"/>
  <c r="AL549" i="1" s="1"/>
  <c r="P549" i="1"/>
  <c r="D549" i="1"/>
  <c r="F549" i="1" s="1"/>
  <c r="AZ424" i="1"/>
  <c r="AB424" i="1" s="1"/>
  <c r="AM424" i="1"/>
  <c r="W424" i="1"/>
  <c r="U424" i="1"/>
  <c r="AL424" i="1" s="1"/>
  <c r="P424" i="1"/>
  <c r="D424" i="1"/>
  <c r="F424" i="1" s="1"/>
  <c r="AM276" i="1"/>
  <c r="W276" i="1"/>
  <c r="AG276" i="1" s="1"/>
  <c r="U276" i="1"/>
  <c r="AL276" i="1" s="1"/>
  <c r="P276" i="1"/>
  <c r="D276" i="1"/>
  <c r="F276" i="1" s="1"/>
  <c r="AZ391" i="1"/>
  <c r="AB391" i="1" s="1"/>
  <c r="AM391" i="1"/>
  <c r="W391" i="1"/>
  <c r="U391" i="1"/>
  <c r="AL391" i="1" s="1"/>
  <c r="P391" i="1"/>
  <c r="D391" i="1"/>
  <c r="F391" i="1" s="1"/>
  <c r="AM372" i="1"/>
  <c r="W372" i="1"/>
  <c r="AH372" i="1" s="1"/>
  <c r="U372" i="1"/>
  <c r="AL372" i="1" s="1"/>
  <c r="P372" i="1"/>
  <c r="D372" i="1"/>
  <c r="F372" i="1" s="1"/>
  <c r="AM397" i="1"/>
  <c r="W397" i="1"/>
  <c r="U397" i="1"/>
  <c r="AL397" i="1" s="1"/>
  <c r="P397" i="1"/>
  <c r="D397" i="1"/>
  <c r="F397" i="1" s="1"/>
  <c r="AM344" i="1"/>
  <c r="W344" i="1"/>
  <c r="AG344" i="1" s="1"/>
  <c r="U344" i="1"/>
  <c r="AL344" i="1" s="1"/>
  <c r="P344" i="1"/>
  <c r="D344" i="1"/>
  <c r="F344" i="1" s="1"/>
  <c r="AZ282" i="1"/>
  <c r="AB282" i="1" s="1"/>
  <c r="AM282" i="1"/>
  <c r="W282" i="1"/>
  <c r="U282" i="1"/>
  <c r="AL282" i="1" s="1"/>
  <c r="P282" i="1"/>
  <c r="D282" i="1"/>
  <c r="F282" i="1" s="1"/>
  <c r="AZ260" i="1"/>
  <c r="AB260" i="1" s="1"/>
  <c r="AC260" i="1" s="1"/>
  <c r="AD260" i="1" s="1"/>
  <c r="AM260" i="1"/>
  <c r="W260" i="1"/>
  <c r="AN260" i="1" s="1"/>
  <c r="U260" i="1"/>
  <c r="AL260" i="1" s="1"/>
  <c r="P260" i="1"/>
  <c r="D260" i="1"/>
  <c r="F260" i="1" s="1"/>
  <c r="AZ423" i="1"/>
  <c r="AB423" i="1" s="1"/>
  <c r="AM423" i="1"/>
  <c r="W423" i="1"/>
  <c r="AH423" i="1" s="1"/>
  <c r="U423" i="1"/>
  <c r="AL423" i="1" s="1"/>
  <c r="P423" i="1"/>
  <c r="D423" i="1"/>
  <c r="F423" i="1" s="1"/>
  <c r="AM526" i="1"/>
  <c r="W526" i="1"/>
  <c r="AH526" i="1" s="1"/>
  <c r="U526" i="1"/>
  <c r="AL526" i="1" s="1"/>
  <c r="P526" i="1"/>
  <c r="D526" i="1"/>
  <c r="F526" i="1" s="1"/>
  <c r="AM556" i="1"/>
  <c r="W556" i="1"/>
  <c r="AH556" i="1" s="1"/>
  <c r="U556" i="1"/>
  <c r="AL556" i="1" s="1"/>
  <c r="P556" i="1"/>
  <c r="D556" i="1"/>
  <c r="F556" i="1" s="1"/>
  <c r="AM418" i="1"/>
  <c r="W418" i="1"/>
  <c r="U418" i="1"/>
  <c r="AL418" i="1" s="1"/>
  <c r="P418" i="1"/>
  <c r="D418" i="1"/>
  <c r="F418" i="1" s="1"/>
  <c r="AM124" i="1"/>
  <c r="W124" i="1"/>
  <c r="U124" i="1"/>
  <c r="AL124" i="1" s="1"/>
  <c r="P124" i="1"/>
  <c r="D124" i="1"/>
  <c r="F124" i="1" s="1"/>
  <c r="AM25" i="1"/>
  <c r="W25" i="1"/>
  <c r="U25" i="1"/>
  <c r="AL25" i="1" s="1"/>
  <c r="P25" i="1"/>
  <c r="D25" i="1"/>
  <c r="F25" i="1" s="1"/>
  <c r="AZ24" i="1"/>
  <c r="AB24" i="1" s="1"/>
  <c r="AM24" i="1"/>
  <c r="W24" i="1"/>
  <c r="U24" i="1"/>
  <c r="AL24" i="1" s="1"/>
  <c r="P24" i="1"/>
  <c r="D24" i="1"/>
  <c r="F24" i="1" s="1"/>
  <c r="AM181" i="1"/>
  <c r="W181" i="1"/>
  <c r="U181" i="1"/>
  <c r="AL181" i="1" s="1"/>
  <c r="P181" i="1"/>
  <c r="D181" i="1"/>
  <c r="F181" i="1" s="1"/>
  <c r="AZ123" i="1"/>
  <c r="AB123" i="1" s="1"/>
  <c r="AM123" i="1"/>
  <c r="W123" i="1"/>
  <c r="U123" i="1"/>
  <c r="AL123" i="1" s="1"/>
  <c r="P123" i="1"/>
  <c r="D123" i="1"/>
  <c r="F123" i="1" s="1"/>
  <c r="AM417" i="1"/>
  <c r="W417" i="1"/>
  <c r="AH417" i="1" s="1"/>
  <c r="U417" i="1"/>
  <c r="AL417" i="1" s="1"/>
  <c r="P417" i="1"/>
  <c r="D417" i="1"/>
  <c r="F417" i="1" s="1"/>
  <c r="AZ577" i="1"/>
  <c r="AB577" i="1" s="1"/>
  <c r="AM577" i="1"/>
  <c r="W577" i="1"/>
  <c r="U577" i="1"/>
  <c r="AL577" i="1" s="1"/>
  <c r="P577" i="1"/>
  <c r="D577" i="1"/>
  <c r="F577" i="1" s="1"/>
  <c r="AM122" i="1"/>
  <c r="W122" i="1"/>
  <c r="AH122" i="1" s="1"/>
  <c r="U122" i="1"/>
  <c r="AL122" i="1" s="1"/>
  <c r="P122" i="1"/>
  <c r="D122" i="1"/>
  <c r="F122" i="1" s="1"/>
  <c r="AM483" i="1"/>
  <c r="W483" i="1"/>
  <c r="AH483" i="1" s="1"/>
  <c r="U483" i="1"/>
  <c r="AL483" i="1" s="1"/>
  <c r="P483" i="1"/>
  <c r="D483" i="1"/>
  <c r="F483" i="1" s="1"/>
  <c r="AM515" i="1"/>
  <c r="W515" i="1"/>
  <c r="AH515" i="1" s="1"/>
  <c r="U515" i="1"/>
  <c r="AL515" i="1" s="1"/>
  <c r="P515" i="1"/>
  <c r="D515" i="1"/>
  <c r="F515" i="1" s="1"/>
  <c r="AZ539" i="1"/>
  <c r="AB539" i="1" s="1"/>
  <c r="AM539" i="1"/>
  <c r="W539" i="1"/>
  <c r="U539" i="1"/>
  <c r="AL539" i="1" s="1"/>
  <c r="P539" i="1"/>
  <c r="D539" i="1"/>
  <c r="F539" i="1" s="1"/>
  <c r="AM566" i="1"/>
  <c r="W566" i="1"/>
  <c r="AN566" i="1" s="1"/>
  <c r="U566" i="1"/>
  <c r="AL566" i="1" s="1"/>
  <c r="P566" i="1"/>
  <c r="D566" i="1"/>
  <c r="F566" i="1" s="1"/>
  <c r="AM564" i="1"/>
  <c r="W564" i="1"/>
  <c r="AN564" i="1" s="1"/>
  <c r="U564" i="1"/>
  <c r="AL564" i="1" s="1"/>
  <c r="P564" i="1"/>
  <c r="D564" i="1"/>
  <c r="F564" i="1" s="1"/>
  <c r="AM348" i="1"/>
  <c r="W348" i="1"/>
  <c r="AN348" i="1" s="1"/>
  <c r="BK348" i="1" s="1"/>
  <c r="U348" i="1"/>
  <c r="AL348" i="1" s="1"/>
  <c r="P348" i="1"/>
  <c r="D348" i="1"/>
  <c r="F348" i="1" s="1"/>
  <c r="AZ490" i="1"/>
  <c r="AB490" i="1" s="1"/>
  <c r="AM490" i="1"/>
  <c r="W490" i="1"/>
  <c r="U490" i="1"/>
  <c r="AL490" i="1" s="1"/>
  <c r="P490" i="1"/>
  <c r="D490" i="1"/>
  <c r="F490" i="1" s="1"/>
  <c r="AM489" i="1"/>
  <c r="W489" i="1"/>
  <c r="U489" i="1"/>
  <c r="AL489" i="1" s="1"/>
  <c r="P489" i="1"/>
  <c r="D489" i="1"/>
  <c r="F489" i="1" s="1"/>
  <c r="AM555" i="1"/>
  <c r="W555" i="1"/>
  <c r="AN555" i="1" s="1"/>
  <c r="U555" i="1"/>
  <c r="AL555" i="1" s="1"/>
  <c r="P555" i="1"/>
  <c r="D555" i="1"/>
  <c r="F555" i="1" s="1"/>
  <c r="AM488" i="1"/>
  <c r="W488" i="1"/>
  <c r="U488" i="1"/>
  <c r="AL488" i="1" s="1"/>
  <c r="P488" i="1"/>
  <c r="D488" i="1"/>
  <c r="F488" i="1" s="1"/>
  <c r="AM382" i="1"/>
  <c r="W382" i="1"/>
  <c r="U382" i="1"/>
  <c r="AL382" i="1" s="1"/>
  <c r="P382" i="1"/>
  <c r="D382" i="1"/>
  <c r="F382" i="1" s="1"/>
  <c r="AM482" i="1"/>
  <c r="W482" i="1"/>
  <c r="U482" i="1"/>
  <c r="AL482" i="1" s="1"/>
  <c r="P482" i="1"/>
  <c r="D482" i="1"/>
  <c r="F482" i="1" s="1"/>
  <c r="AZ481" i="1"/>
  <c r="AB481" i="1" s="1"/>
  <c r="AM481" i="1"/>
  <c r="W481" i="1"/>
  <c r="AN481" i="1" s="1"/>
  <c r="BG481" i="1" s="1"/>
  <c r="U481" i="1"/>
  <c r="AL481" i="1" s="1"/>
  <c r="P481" i="1"/>
  <c r="D481" i="1"/>
  <c r="F481" i="1" s="1"/>
  <c r="AM439" i="1"/>
  <c r="W439" i="1"/>
  <c r="AN439" i="1" s="1"/>
  <c r="U439" i="1"/>
  <c r="AL439" i="1" s="1"/>
  <c r="P439" i="1"/>
  <c r="D439" i="1"/>
  <c r="F439" i="1" s="1"/>
  <c r="AM189" i="1"/>
  <c r="W189" i="1"/>
  <c r="AN189" i="1" s="1"/>
  <c r="U189" i="1"/>
  <c r="AL189" i="1" s="1"/>
  <c r="P189" i="1"/>
  <c r="D189" i="1"/>
  <c r="F189" i="1" s="1"/>
  <c r="AM165" i="1"/>
  <c r="W165" i="1"/>
  <c r="U165" i="1"/>
  <c r="AL165" i="1" s="1"/>
  <c r="P165" i="1"/>
  <c r="D165" i="1"/>
  <c r="F165" i="1" s="1"/>
  <c r="AM272" i="1"/>
  <c r="W272" i="1"/>
  <c r="U272" i="1"/>
  <c r="AL272" i="1" s="1"/>
  <c r="P272" i="1"/>
  <c r="D272" i="1"/>
  <c r="F272" i="1" s="1"/>
  <c r="AM178" i="1"/>
  <c r="W178" i="1"/>
  <c r="U178" i="1"/>
  <c r="AL178" i="1" s="1"/>
  <c r="P178" i="1"/>
  <c r="D178" i="1"/>
  <c r="F178" i="1" s="1"/>
  <c r="AM164" i="1"/>
  <c r="W164" i="1"/>
  <c r="AN164" i="1" s="1"/>
  <c r="U164" i="1"/>
  <c r="AL164" i="1" s="1"/>
  <c r="P164" i="1"/>
  <c r="D164" i="1"/>
  <c r="F164" i="1" s="1"/>
  <c r="AZ270" i="1"/>
  <c r="AB270" i="1" s="1"/>
  <c r="AM270" i="1"/>
  <c r="W270" i="1"/>
  <c r="U270" i="1"/>
  <c r="AL270" i="1" s="1"/>
  <c r="P270" i="1"/>
  <c r="D270" i="1"/>
  <c r="F270" i="1" s="1"/>
  <c r="AZ269" i="1"/>
  <c r="AB269" i="1" s="1"/>
  <c r="AM269" i="1"/>
  <c r="W269" i="1"/>
  <c r="AN269" i="1" s="1"/>
  <c r="U269" i="1"/>
  <c r="AL269" i="1" s="1"/>
  <c r="P269" i="1"/>
  <c r="D269" i="1"/>
  <c r="F269" i="1" s="1"/>
  <c r="AZ280" i="1"/>
  <c r="AB280" i="1" s="1"/>
  <c r="AM280" i="1"/>
  <c r="W280" i="1"/>
  <c r="AN280" i="1" s="1"/>
  <c r="U280" i="1"/>
  <c r="AL280" i="1" s="1"/>
  <c r="P280" i="1"/>
  <c r="D280" i="1"/>
  <c r="F280" i="1" s="1"/>
  <c r="AZ287" i="1"/>
  <c r="AB287" i="1" s="1"/>
  <c r="AM287" i="1"/>
  <c r="W287" i="1"/>
  <c r="AN287" i="1" s="1"/>
  <c r="U287" i="1"/>
  <c r="AL287" i="1" s="1"/>
  <c r="P287" i="1"/>
  <c r="D287" i="1"/>
  <c r="F287" i="1" s="1"/>
  <c r="AM395" i="1"/>
  <c r="W395" i="1"/>
  <c r="U395" i="1"/>
  <c r="AL395" i="1" s="1"/>
  <c r="P395" i="1"/>
  <c r="D395" i="1"/>
  <c r="F395" i="1" s="1"/>
  <c r="AZ279" i="1"/>
  <c r="AB279" i="1" s="1"/>
  <c r="AM279" i="1"/>
  <c r="W279" i="1"/>
  <c r="AG279" i="1" s="1"/>
  <c r="U279" i="1"/>
  <c r="AL279" i="1" s="1"/>
  <c r="P279" i="1"/>
  <c r="D279" i="1"/>
  <c r="F279" i="1" s="1"/>
  <c r="AM278" i="1"/>
  <c r="W278" i="1"/>
  <c r="U278" i="1"/>
  <c r="AL278" i="1" s="1"/>
  <c r="P278" i="1"/>
  <c r="D278" i="1"/>
  <c r="F278" i="1" s="1"/>
  <c r="AZ328" i="1"/>
  <c r="AB328" i="1" s="1"/>
  <c r="AM328" i="1"/>
  <c r="W328" i="1"/>
  <c r="U328" i="1"/>
  <c r="AL328" i="1" s="1"/>
  <c r="P328" i="1"/>
  <c r="D328" i="1"/>
  <c r="F328" i="1" s="1"/>
  <c r="AM530" i="1"/>
  <c r="W530" i="1"/>
  <c r="U530" i="1"/>
  <c r="AL530" i="1" s="1"/>
  <c r="P530" i="1"/>
  <c r="D530" i="1"/>
  <c r="F530" i="1" s="1"/>
  <c r="AM277" i="1"/>
  <c r="W277" i="1"/>
  <c r="U277" i="1"/>
  <c r="AL277" i="1" s="1"/>
  <c r="P277" i="1"/>
  <c r="D277" i="1"/>
  <c r="F277" i="1" s="1"/>
  <c r="AM186" i="1"/>
  <c r="W186" i="1"/>
  <c r="U186" i="1"/>
  <c r="AL186" i="1" s="1"/>
  <c r="P186" i="1"/>
  <c r="D186" i="1"/>
  <c r="F186" i="1" s="1"/>
  <c r="AM562" i="1"/>
  <c r="W562" i="1"/>
  <c r="AG562" i="1" s="1"/>
  <c r="U562" i="1"/>
  <c r="AL562" i="1" s="1"/>
  <c r="P562" i="1"/>
  <c r="D562" i="1"/>
  <c r="F562" i="1" s="1"/>
  <c r="AM561" i="1"/>
  <c r="W561" i="1"/>
  <c r="U561" i="1"/>
  <c r="AL561" i="1" s="1"/>
  <c r="P561" i="1"/>
  <c r="D561" i="1"/>
  <c r="F561" i="1" s="1"/>
  <c r="AM335" i="1"/>
  <c r="W335" i="1"/>
  <c r="U335" i="1"/>
  <c r="AL335" i="1" s="1"/>
  <c r="P335" i="1"/>
  <c r="D335" i="1"/>
  <c r="F335" i="1" s="1"/>
  <c r="AZ560" i="1"/>
  <c r="AB560" i="1" s="1"/>
  <c r="AM560" i="1"/>
  <c r="W560" i="1"/>
  <c r="AN560" i="1" s="1"/>
  <c r="BG560" i="1" s="1"/>
  <c r="U560" i="1"/>
  <c r="AL560" i="1" s="1"/>
  <c r="P560" i="1"/>
  <c r="D560" i="1"/>
  <c r="F560" i="1" s="1"/>
  <c r="AZ559" i="1"/>
  <c r="AB559" i="1" s="1"/>
  <c r="AM559" i="1"/>
  <c r="W559" i="1"/>
  <c r="AG559" i="1" s="1"/>
  <c r="U559" i="1"/>
  <c r="AL559" i="1" s="1"/>
  <c r="P559" i="1"/>
  <c r="D559" i="1"/>
  <c r="F559" i="1" s="1"/>
  <c r="AZ545" i="1"/>
  <c r="AB545" i="1" s="1"/>
  <c r="AM545" i="1"/>
  <c r="W545" i="1"/>
  <c r="AG545" i="1" s="1"/>
  <c r="U545" i="1"/>
  <c r="AL545" i="1" s="1"/>
  <c r="P545" i="1"/>
  <c r="D545" i="1"/>
  <c r="F545" i="1" s="1"/>
  <c r="AM366" i="1"/>
  <c r="W366" i="1"/>
  <c r="U366" i="1"/>
  <c r="AL366" i="1" s="1"/>
  <c r="P366" i="1"/>
  <c r="D366" i="1"/>
  <c r="F366" i="1" s="1"/>
  <c r="AZ365" i="1"/>
  <c r="AB365" i="1" s="1"/>
  <c r="AM365" i="1"/>
  <c r="W365" i="1"/>
  <c r="AH365" i="1" s="1"/>
  <c r="U365" i="1"/>
  <c r="AL365" i="1" s="1"/>
  <c r="P365" i="1"/>
  <c r="D365" i="1"/>
  <c r="F365" i="1" s="1"/>
  <c r="AZ364" i="1"/>
  <c r="AB364" i="1" s="1"/>
  <c r="AM364" i="1"/>
  <c r="W364" i="1"/>
  <c r="AH364" i="1" s="1"/>
  <c r="U364" i="1"/>
  <c r="AL364" i="1" s="1"/>
  <c r="P364" i="1"/>
  <c r="D364" i="1"/>
  <c r="F364" i="1" s="1"/>
  <c r="AM363" i="1"/>
  <c r="W363" i="1"/>
  <c r="AN363" i="1" s="1"/>
  <c r="BK363" i="1" s="1"/>
  <c r="U363" i="1"/>
  <c r="AL363" i="1" s="1"/>
  <c r="P363" i="1"/>
  <c r="D363" i="1"/>
  <c r="F363" i="1" s="1"/>
  <c r="AM362" i="1"/>
  <c r="W362" i="1"/>
  <c r="U362" i="1"/>
  <c r="AL362" i="1" s="1"/>
  <c r="P362" i="1"/>
  <c r="D362" i="1"/>
  <c r="F362" i="1" s="1"/>
  <c r="AZ361" i="1"/>
  <c r="AB361" i="1" s="1"/>
  <c r="AM361" i="1"/>
  <c r="W361" i="1"/>
  <c r="U361" i="1"/>
  <c r="AL361" i="1" s="1"/>
  <c r="P361" i="1"/>
  <c r="D361" i="1"/>
  <c r="F361" i="1" s="1"/>
  <c r="AZ360" i="1"/>
  <c r="AB360" i="1" s="1"/>
  <c r="AM360" i="1"/>
  <c r="W360" i="1"/>
  <c r="AH360" i="1" s="1"/>
  <c r="U360" i="1"/>
  <c r="AL360" i="1" s="1"/>
  <c r="P360" i="1"/>
  <c r="D360" i="1"/>
  <c r="F360" i="1" s="1"/>
  <c r="AZ359" i="1"/>
  <c r="AB359" i="1" s="1"/>
  <c r="AM359" i="1"/>
  <c r="W359" i="1"/>
  <c r="AH359" i="1" s="1"/>
  <c r="U359" i="1"/>
  <c r="AL359" i="1" s="1"/>
  <c r="P359" i="1"/>
  <c r="D359" i="1"/>
  <c r="F359" i="1" s="1"/>
  <c r="AM478" i="1"/>
  <c r="W478" i="1"/>
  <c r="AH478" i="1" s="1"/>
  <c r="U478" i="1"/>
  <c r="AL478" i="1" s="1"/>
  <c r="P478" i="1"/>
  <c r="D478" i="1"/>
  <c r="F478" i="1" s="1"/>
  <c r="AZ544" i="1"/>
  <c r="AB544" i="1" s="1"/>
  <c r="AM544" i="1"/>
  <c r="W544" i="1"/>
  <c r="AH544" i="1" s="1"/>
  <c r="U544" i="1"/>
  <c r="AL544" i="1" s="1"/>
  <c r="P544" i="1"/>
  <c r="D544" i="1"/>
  <c r="F544" i="1" s="1"/>
  <c r="AZ543" i="1"/>
  <c r="AB543" i="1" s="1"/>
  <c r="AM543" i="1"/>
  <c r="W543" i="1"/>
  <c r="U543" i="1"/>
  <c r="AL543" i="1" s="1"/>
  <c r="P543" i="1"/>
  <c r="D543" i="1"/>
  <c r="F543" i="1" s="1"/>
  <c r="AM542" i="1"/>
  <c r="W542" i="1"/>
  <c r="U542" i="1"/>
  <c r="AL542" i="1" s="1"/>
  <c r="P542" i="1"/>
  <c r="D542" i="1"/>
  <c r="F542" i="1" s="1"/>
  <c r="AZ358" i="1"/>
  <c r="AB358" i="1" s="1"/>
  <c r="AM358" i="1"/>
  <c r="W358" i="1"/>
  <c r="U358" i="1"/>
  <c r="AL358" i="1" s="1"/>
  <c r="P358" i="1"/>
  <c r="D358" i="1"/>
  <c r="F358" i="1" s="1"/>
  <c r="AZ357" i="1"/>
  <c r="AB357" i="1" s="1"/>
  <c r="AM357" i="1"/>
  <c r="W357" i="1"/>
  <c r="U357" i="1"/>
  <c r="AL357" i="1" s="1"/>
  <c r="P357" i="1"/>
  <c r="D357" i="1"/>
  <c r="F357" i="1" s="1"/>
  <c r="AZ327" i="1"/>
  <c r="AB327" i="1" s="1"/>
  <c r="AM327" i="1"/>
  <c r="W327" i="1"/>
  <c r="AH327" i="1" s="1"/>
  <c r="U327" i="1"/>
  <c r="AL327" i="1" s="1"/>
  <c r="P327" i="1"/>
  <c r="D327" i="1"/>
  <c r="F327" i="1" s="1"/>
  <c r="AM356" i="1"/>
  <c r="W356" i="1"/>
  <c r="AH356" i="1" s="1"/>
  <c r="U356" i="1"/>
  <c r="AL356" i="1" s="1"/>
  <c r="P356" i="1"/>
  <c r="D356" i="1"/>
  <c r="F356" i="1" s="1"/>
  <c r="AZ477" i="1"/>
  <c r="AB477" i="1" s="1"/>
  <c r="AM477" i="1"/>
  <c r="W477" i="1"/>
  <c r="AH477" i="1" s="1"/>
  <c r="U477" i="1"/>
  <c r="AL477" i="1" s="1"/>
  <c r="P477" i="1"/>
  <c r="D477" i="1"/>
  <c r="F477" i="1" s="1"/>
  <c r="AM476" i="1"/>
  <c r="W476" i="1"/>
  <c r="AH476" i="1" s="1"/>
  <c r="U476" i="1"/>
  <c r="AL476" i="1" s="1"/>
  <c r="P476" i="1"/>
  <c r="D476" i="1"/>
  <c r="F476" i="1" s="1"/>
  <c r="AZ475" i="1"/>
  <c r="AB475" i="1" s="1"/>
  <c r="AM475" i="1"/>
  <c r="W475" i="1"/>
  <c r="U475" i="1"/>
  <c r="AL475" i="1" s="1"/>
  <c r="P475" i="1"/>
  <c r="D475" i="1"/>
  <c r="F475" i="1" s="1"/>
  <c r="AM474" i="1"/>
  <c r="W474" i="1"/>
  <c r="U474" i="1"/>
  <c r="AL474" i="1" s="1"/>
  <c r="P474" i="1"/>
  <c r="D474" i="1"/>
  <c r="F474" i="1" s="1"/>
  <c r="AZ473" i="1"/>
  <c r="AB473" i="1" s="1"/>
  <c r="AM473" i="1"/>
  <c r="W473" i="1"/>
  <c r="U473" i="1"/>
  <c r="AL473" i="1" s="1"/>
  <c r="P473" i="1"/>
  <c r="D473" i="1"/>
  <c r="F473" i="1" s="1"/>
  <c r="AZ472" i="1"/>
  <c r="AB472" i="1" s="1"/>
  <c r="AM472" i="1"/>
  <c r="W472" i="1"/>
  <c r="U472" i="1"/>
  <c r="AL472" i="1" s="1"/>
  <c r="P472" i="1"/>
  <c r="D472" i="1"/>
  <c r="F472" i="1" s="1"/>
  <c r="AZ471" i="1"/>
  <c r="AB471" i="1" s="1"/>
  <c r="AM471" i="1"/>
  <c r="W471" i="1"/>
  <c r="U471" i="1"/>
  <c r="AL471" i="1" s="1"/>
  <c r="P471" i="1"/>
  <c r="D471" i="1"/>
  <c r="F471" i="1" s="1"/>
  <c r="AM470" i="1"/>
  <c r="W470" i="1"/>
  <c r="AG470" i="1" s="1"/>
  <c r="U470" i="1"/>
  <c r="AL470" i="1" s="1"/>
  <c r="P470" i="1"/>
  <c r="D470" i="1"/>
  <c r="F470" i="1" s="1"/>
  <c r="AZ469" i="1"/>
  <c r="AB469" i="1" s="1"/>
  <c r="AM469" i="1"/>
  <c r="W469" i="1"/>
  <c r="AH469" i="1" s="1"/>
  <c r="U469" i="1"/>
  <c r="AL469" i="1" s="1"/>
  <c r="P469" i="1"/>
  <c r="D469" i="1"/>
  <c r="F469" i="1" s="1"/>
  <c r="AM468" i="1"/>
  <c r="W468" i="1"/>
  <c r="U468" i="1"/>
  <c r="AL468" i="1" s="1"/>
  <c r="P468" i="1"/>
  <c r="D468" i="1"/>
  <c r="F468" i="1" s="1"/>
  <c r="AM467" i="1"/>
  <c r="W467" i="1"/>
  <c r="U467" i="1"/>
  <c r="AL467" i="1" s="1"/>
  <c r="P467" i="1"/>
  <c r="D467" i="1"/>
  <c r="F467" i="1" s="1"/>
  <c r="AM466" i="1"/>
  <c r="W466" i="1"/>
  <c r="U466" i="1"/>
  <c r="AL466" i="1" s="1"/>
  <c r="P466" i="1"/>
  <c r="D466" i="1"/>
  <c r="F466" i="1" s="1"/>
  <c r="AZ465" i="1"/>
  <c r="AB465" i="1" s="1"/>
  <c r="AM465" i="1"/>
  <c r="W465" i="1"/>
  <c r="U465" i="1"/>
  <c r="AL465" i="1" s="1"/>
  <c r="P465" i="1"/>
  <c r="D465" i="1"/>
  <c r="F465" i="1" s="1"/>
  <c r="AZ464" i="1"/>
  <c r="AB464" i="1" s="1"/>
  <c r="AM464" i="1"/>
  <c r="W464" i="1"/>
  <c r="U464" i="1"/>
  <c r="AL464" i="1" s="1"/>
  <c r="P464" i="1"/>
  <c r="D464" i="1"/>
  <c r="F464" i="1" s="1"/>
  <c r="AM463" i="1"/>
  <c r="W463" i="1"/>
  <c r="AG463" i="1" s="1"/>
  <c r="U463" i="1"/>
  <c r="AL463" i="1" s="1"/>
  <c r="P463" i="1"/>
  <c r="D463" i="1"/>
  <c r="F463" i="1" s="1"/>
  <c r="AM620" i="1"/>
  <c r="W620" i="1"/>
  <c r="U620" i="1"/>
  <c r="AL620" i="1" s="1"/>
  <c r="P620" i="1"/>
  <c r="D620" i="1"/>
  <c r="F620" i="1" s="1"/>
  <c r="AZ462" i="1"/>
  <c r="AB462" i="1" s="1"/>
  <c r="AM462" i="1"/>
  <c r="W462" i="1"/>
  <c r="U462" i="1"/>
  <c r="AL462" i="1" s="1"/>
  <c r="P462" i="1"/>
  <c r="D462" i="1"/>
  <c r="F462" i="1" s="1"/>
  <c r="AZ461" i="1"/>
  <c r="AB461" i="1" s="1"/>
  <c r="AM461" i="1"/>
  <c r="W461" i="1"/>
  <c r="AG461" i="1" s="1"/>
  <c r="U461" i="1"/>
  <c r="AL461" i="1" s="1"/>
  <c r="P461" i="1"/>
  <c r="D461" i="1"/>
  <c r="F461" i="1" s="1"/>
  <c r="AM619" i="1"/>
  <c r="W619" i="1"/>
  <c r="U619" i="1"/>
  <c r="AL619" i="1" s="1"/>
  <c r="P619" i="1"/>
  <c r="D619" i="1"/>
  <c r="F619" i="1" s="1"/>
  <c r="AM618" i="1"/>
  <c r="W618" i="1"/>
  <c r="U618" i="1"/>
  <c r="AL618" i="1" s="1"/>
  <c r="P618" i="1"/>
  <c r="D618" i="1"/>
  <c r="F618" i="1" s="1"/>
  <c r="AM460" i="1"/>
  <c r="W460" i="1"/>
  <c r="AH460" i="1" s="1"/>
  <c r="U460" i="1"/>
  <c r="AL460" i="1" s="1"/>
  <c r="P460" i="1"/>
  <c r="D460" i="1"/>
  <c r="F460" i="1" s="1"/>
  <c r="AM459" i="1"/>
  <c r="W459" i="1"/>
  <c r="AG459" i="1" s="1"/>
  <c r="U459" i="1"/>
  <c r="AL459" i="1" s="1"/>
  <c r="P459" i="1"/>
  <c r="D459" i="1"/>
  <c r="F459" i="1" s="1"/>
  <c r="AZ617" i="1"/>
  <c r="AB617" i="1" s="1"/>
  <c r="AM617" i="1"/>
  <c r="W617" i="1"/>
  <c r="U617" i="1"/>
  <c r="AL617" i="1" s="1"/>
  <c r="P617" i="1"/>
  <c r="D617" i="1"/>
  <c r="F617" i="1" s="1"/>
  <c r="AM646" i="1"/>
  <c r="W646" i="1"/>
  <c r="AG646" i="1" s="1"/>
  <c r="U646" i="1"/>
  <c r="AL646" i="1" s="1"/>
  <c r="P646" i="1"/>
  <c r="D646" i="1"/>
  <c r="F646" i="1" s="1"/>
  <c r="AZ458" i="1"/>
  <c r="AB458" i="1" s="1"/>
  <c r="AM458" i="1"/>
  <c r="W458" i="1"/>
  <c r="U458" i="1"/>
  <c r="AL458" i="1" s="1"/>
  <c r="P458" i="1"/>
  <c r="D458" i="1"/>
  <c r="F458" i="1" s="1"/>
  <c r="AZ457" i="1"/>
  <c r="AB457" i="1" s="1"/>
  <c r="AM457" i="1"/>
  <c r="W457" i="1"/>
  <c r="U457" i="1"/>
  <c r="AL457" i="1" s="1"/>
  <c r="P457" i="1"/>
  <c r="D457" i="1"/>
  <c r="F457" i="1" s="1"/>
  <c r="AZ456" i="1"/>
  <c r="AB456" i="1" s="1"/>
  <c r="AM456" i="1"/>
  <c r="W456" i="1"/>
  <c r="AG456" i="1" s="1"/>
  <c r="U456" i="1"/>
  <c r="AL456" i="1" s="1"/>
  <c r="P456" i="1"/>
  <c r="D456" i="1"/>
  <c r="F456" i="1" s="1"/>
  <c r="AM455" i="1"/>
  <c r="W455" i="1"/>
  <c r="AG455" i="1" s="1"/>
  <c r="U455" i="1"/>
  <c r="AL455" i="1" s="1"/>
  <c r="P455" i="1"/>
  <c r="D455" i="1"/>
  <c r="F455" i="1" s="1"/>
  <c r="AZ616" i="1"/>
  <c r="AB616" i="1" s="1"/>
  <c r="AM616" i="1"/>
  <c r="W616" i="1"/>
  <c r="U616" i="1"/>
  <c r="AL616" i="1" s="1"/>
  <c r="P616" i="1"/>
  <c r="D616" i="1"/>
  <c r="F616" i="1" s="1"/>
  <c r="AM615" i="1"/>
  <c r="W615" i="1"/>
  <c r="AH615" i="1" s="1"/>
  <c r="U615" i="1"/>
  <c r="AL615" i="1" s="1"/>
  <c r="P615" i="1"/>
  <c r="D615" i="1"/>
  <c r="F615" i="1" s="1"/>
  <c r="AM614" i="1"/>
  <c r="W614" i="1"/>
  <c r="U614" i="1"/>
  <c r="AL614" i="1" s="1"/>
  <c r="P614" i="1"/>
  <c r="D614" i="1"/>
  <c r="F614" i="1" s="1"/>
  <c r="AZ613" i="1"/>
  <c r="AB613" i="1" s="1"/>
  <c r="AM613" i="1"/>
  <c r="W613" i="1"/>
  <c r="AG613" i="1" s="1"/>
  <c r="U613" i="1"/>
  <c r="AL613" i="1" s="1"/>
  <c r="P613" i="1"/>
  <c r="D613" i="1"/>
  <c r="F613" i="1" s="1"/>
  <c r="AM612" i="1"/>
  <c r="W612" i="1"/>
  <c r="U612" i="1"/>
  <c r="AL612" i="1" s="1"/>
  <c r="P612" i="1"/>
  <c r="D612" i="1"/>
  <c r="F612" i="1" s="1"/>
  <c r="AM611" i="1"/>
  <c r="W611" i="1"/>
  <c r="U611" i="1"/>
  <c r="AL611" i="1" s="1"/>
  <c r="P611" i="1"/>
  <c r="D611" i="1"/>
  <c r="F611" i="1" s="1"/>
  <c r="AZ610" i="1"/>
  <c r="AB610" i="1" s="1"/>
  <c r="AM610" i="1"/>
  <c r="W610" i="1"/>
  <c r="AG610" i="1" s="1"/>
  <c r="U610" i="1"/>
  <c r="AL610" i="1" s="1"/>
  <c r="P610" i="1"/>
  <c r="D610" i="1"/>
  <c r="F610" i="1" s="1"/>
  <c r="AM609" i="1"/>
  <c r="W609" i="1"/>
  <c r="AG609" i="1" s="1"/>
  <c r="U609" i="1"/>
  <c r="AL609" i="1" s="1"/>
  <c r="P609" i="1"/>
  <c r="D609" i="1"/>
  <c r="F609" i="1" s="1"/>
  <c r="AM623" i="1"/>
  <c r="W623" i="1"/>
  <c r="U623" i="1"/>
  <c r="AL623" i="1" s="1"/>
  <c r="P623" i="1"/>
  <c r="D623" i="1"/>
  <c r="F623" i="1" s="1"/>
  <c r="AM587" i="1"/>
  <c r="W587" i="1"/>
  <c r="AH587" i="1" s="1"/>
  <c r="U587" i="1"/>
  <c r="AL587" i="1" s="1"/>
  <c r="P587" i="1"/>
  <c r="D587" i="1"/>
  <c r="F587" i="1" s="1"/>
  <c r="AM574" i="1"/>
  <c r="W574" i="1"/>
  <c r="U574" i="1"/>
  <c r="AL574" i="1" s="1"/>
  <c r="P574" i="1"/>
  <c r="D574" i="1"/>
  <c r="F574" i="1" s="1"/>
  <c r="AM645" i="1"/>
  <c r="W645" i="1"/>
  <c r="AH645" i="1" s="1"/>
  <c r="U645" i="1"/>
  <c r="AL645" i="1" s="1"/>
  <c r="P645" i="1"/>
  <c r="D645" i="1"/>
  <c r="F645" i="1" s="1"/>
  <c r="AM622" i="1"/>
  <c r="W622" i="1"/>
  <c r="U622" i="1"/>
  <c r="AL622" i="1" s="1"/>
  <c r="P622" i="1"/>
  <c r="D622" i="1"/>
  <c r="F622" i="1" s="1"/>
  <c r="AM586" i="1"/>
  <c r="W586" i="1"/>
  <c r="AG586" i="1" s="1"/>
  <c r="U586" i="1"/>
  <c r="AL586" i="1" s="1"/>
  <c r="P586" i="1"/>
  <c r="D586" i="1"/>
  <c r="F586" i="1" s="1"/>
  <c r="AZ608" i="1"/>
  <c r="AB608" i="1" s="1"/>
  <c r="AM608" i="1"/>
  <c r="W608" i="1"/>
  <c r="AG608" i="1" s="1"/>
  <c r="U608" i="1"/>
  <c r="AL608" i="1" s="1"/>
  <c r="P608" i="1"/>
  <c r="D608" i="1"/>
  <c r="F608" i="1" s="1"/>
  <c r="AM607" i="1"/>
  <c r="W607" i="1"/>
  <c r="AH607" i="1" s="1"/>
  <c r="U607" i="1"/>
  <c r="AL607" i="1" s="1"/>
  <c r="P607" i="1"/>
  <c r="D607" i="1"/>
  <c r="F607" i="1" s="1"/>
  <c r="AZ573" i="1"/>
  <c r="AB573" i="1" s="1"/>
  <c r="AM573" i="1"/>
  <c r="W573" i="1"/>
  <c r="U573" i="1"/>
  <c r="AL573" i="1" s="1"/>
  <c r="P573" i="1"/>
  <c r="D573" i="1"/>
  <c r="F573" i="1" s="1"/>
  <c r="AM480" i="1"/>
  <c r="W480" i="1"/>
  <c r="U480" i="1"/>
  <c r="AL480" i="1" s="1"/>
  <c r="P480" i="1"/>
  <c r="D480" i="1"/>
  <c r="F480" i="1" s="1"/>
  <c r="AM254" i="1"/>
  <c r="W254" i="1"/>
  <c r="AN254" i="1" s="1"/>
  <c r="U254" i="1"/>
  <c r="AL254" i="1" s="1"/>
  <c r="P254" i="1"/>
  <c r="D254" i="1"/>
  <c r="F254" i="1" s="1"/>
  <c r="AZ479" i="1"/>
  <c r="AB479" i="1" s="1"/>
  <c r="AM479" i="1"/>
  <c r="W479" i="1"/>
  <c r="U479" i="1"/>
  <c r="AL479" i="1" s="1"/>
  <c r="P479" i="1"/>
  <c r="D479" i="1"/>
  <c r="F479" i="1" s="1"/>
  <c r="AZ215" i="1"/>
  <c r="AB215" i="1" s="1"/>
  <c r="AM215" i="1"/>
  <c r="W215" i="1"/>
  <c r="AH215" i="1" s="1"/>
  <c r="U215" i="1"/>
  <c r="AL215" i="1" s="1"/>
  <c r="P215" i="1"/>
  <c r="D215" i="1"/>
  <c r="F215" i="1" s="1"/>
  <c r="AZ170" i="1"/>
  <c r="AB170" i="1" s="1"/>
  <c r="AM170" i="1"/>
  <c r="W170" i="1"/>
  <c r="U170" i="1"/>
  <c r="AL170" i="1" s="1"/>
  <c r="P170" i="1"/>
  <c r="D170" i="1"/>
  <c r="F170" i="1" s="1"/>
  <c r="AM293" i="1"/>
  <c r="W293" i="1"/>
  <c r="AG293" i="1" s="1"/>
  <c r="U293" i="1"/>
  <c r="AL293" i="1" s="1"/>
  <c r="P293" i="1"/>
  <c r="D293" i="1"/>
  <c r="F293" i="1" s="1"/>
  <c r="AM606" i="1"/>
  <c r="W606" i="1"/>
  <c r="U606" i="1"/>
  <c r="AL606" i="1" s="1"/>
  <c r="P606" i="1"/>
  <c r="D606" i="1"/>
  <c r="F606" i="1" s="1"/>
  <c r="AZ605" i="1"/>
  <c r="AB605" i="1" s="1"/>
  <c r="AM605" i="1"/>
  <c r="W605" i="1"/>
  <c r="AN605" i="1" s="1"/>
  <c r="U605" i="1"/>
  <c r="AL605" i="1" s="1"/>
  <c r="P605" i="1"/>
  <c r="D605" i="1"/>
  <c r="F605" i="1" s="1"/>
  <c r="AM309" i="1"/>
  <c r="W309" i="1"/>
  <c r="U309" i="1"/>
  <c r="AL309" i="1" s="1"/>
  <c r="P309" i="1"/>
  <c r="D309" i="1"/>
  <c r="F309" i="1" s="1"/>
  <c r="AM292" i="1"/>
  <c r="W292" i="1"/>
  <c r="U292" i="1"/>
  <c r="AL292" i="1" s="1"/>
  <c r="P292" i="1"/>
  <c r="D292" i="1"/>
  <c r="F292" i="1" s="1"/>
  <c r="AZ520" i="1"/>
  <c r="AB520" i="1" s="1"/>
  <c r="AM520" i="1"/>
  <c r="W520" i="1"/>
  <c r="AN520" i="1" s="1"/>
  <c r="U520" i="1"/>
  <c r="AL520" i="1" s="1"/>
  <c r="P520" i="1"/>
  <c r="D520" i="1"/>
  <c r="F520" i="1" s="1"/>
  <c r="AZ37" i="1"/>
  <c r="AB37" i="1" s="1"/>
  <c r="AM37" i="1"/>
  <c r="W37" i="1"/>
  <c r="AG37" i="1" s="1"/>
  <c r="U37" i="1"/>
  <c r="AL37" i="1" s="1"/>
  <c r="P37" i="1"/>
  <c r="D37" i="1"/>
  <c r="F37" i="1" s="1"/>
  <c r="AM604" i="1"/>
  <c r="W604" i="1"/>
  <c r="U604" i="1"/>
  <c r="AL604" i="1" s="1"/>
  <c r="P604" i="1"/>
  <c r="D604" i="1"/>
  <c r="F604" i="1" s="1"/>
  <c r="AM603" i="1"/>
  <c r="W603" i="1"/>
  <c r="AN603" i="1" s="1"/>
  <c r="U603" i="1"/>
  <c r="AL603" i="1" s="1"/>
  <c r="P603" i="1"/>
  <c r="D603" i="1"/>
  <c r="F603" i="1" s="1"/>
  <c r="AZ36" i="1"/>
  <c r="AB36" i="1" s="1"/>
  <c r="AM36" i="1"/>
  <c r="W36" i="1"/>
  <c r="U36" i="1"/>
  <c r="AL36" i="1" s="1"/>
  <c r="P36" i="1"/>
  <c r="D36" i="1"/>
  <c r="F36" i="1" s="1"/>
  <c r="AM602" i="1"/>
  <c r="W602" i="1"/>
  <c r="AH602" i="1" s="1"/>
  <c r="U602" i="1"/>
  <c r="AL602" i="1" s="1"/>
  <c r="P602" i="1"/>
  <c r="D602" i="1"/>
  <c r="F602" i="1" s="1"/>
  <c r="AM601" i="1"/>
  <c r="W601" i="1"/>
  <c r="U601" i="1"/>
  <c r="AL601" i="1" s="1"/>
  <c r="P601" i="1"/>
  <c r="D601" i="1"/>
  <c r="F601" i="1" s="1"/>
  <c r="AZ301" i="1"/>
  <c r="AB301" i="1" s="1"/>
  <c r="AM301" i="1"/>
  <c r="W301" i="1"/>
  <c r="AH301" i="1" s="1"/>
  <c r="U301" i="1"/>
  <c r="AL301" i="1" s="1"/>
  <c r="P301" i="1"/>
  <c r="D301" i="1"/>
  <c r="F301" i="1" s="1"/>
  <c r="AZ427" i="1"/>
  <c r="AB427" i="1" s="1"/>
  <c r="AM427" i="1"/>
  <c r="W427" i="1"/>
  <c r="AN427" i="1" s="1"/>
  <c r="BK427" i="1" s="1"/>
  <c r="U427" i="1"/>
  <c r="AL427" i="1" s="1"/>
  <c r="P427" i="1"/>
  <c r="D427" i="1"/>
  <c r="F427" i="1" s="1"/>
  <c r="AZ426" i="1"/>
  <c r="AB426" i="1" s="1"/>
  <c r="AM426" i="1"/>
  <c r="W426" i="1"/>
  <c r="U426" i="1"/>
  <c r="AL426" i="1" s="1"/>
  <c r="P426" i="1"/>
  <c r="D426" i="1"/>
  <c r="F426" i="1" s="1"/>
  <c r="AM600" i="1"/>
  <c r="W600" i="1"/>
  <c r="AN600" i="1" s="1"/>
  <c r="U600" i="1"/>
  <c r="AL600" i="1" s="1"/>
  <c r="P600" i="1"/>
  <c r="D600" i="1"/>
  <c r="F600" i="1" s="1"/>
  <c r="AZ390" i="1"/>
  <c r="AB390" i="1" s="1"/>
  <c r="AM390" i="1"/>
  <c r="W390" i="1"/>
  <c r="U390" i="1"/>
  <c r="AL390" i="1" s="1"/>
  <c r="P390" i="1"/>
  <c r="D390" i="1"/>
  <c r="F390" i="1" s="1"/>
  <c r="AZ304" i="1"/>
  <c r="AB304" i="1" s="1"/>
  <c r="AM304" i="1"/>
  <c r="W304" i="1"/>
  <c r="U304" i="1"/>
  <c r="AL304" i="1" s="1"/>
  <c r="P304" i="1"/>
  <c r="D304" i="1"/>
  <c r="F304" i="1" s="1"/>
  <c r="AM302" i="1"/>
  <c r="W302" i="1"/>
  <c r="AN302" i="1" s="1"/>
  <c r="U302" i="1"/>
  <c r="AL302" i="1" s="1"/>
  <c r="P302" i="1"/>
  <c r="D302" i="1"/>
  <c r="F302" i="1" s="1"/>
  <c r="AM330" i="1"/>
  <c r="W330" i="1"/>
  <c r="AN330" i="1" s="1"/>
  <c r="U330" i="1"/>
  <c r="AL330" i="1" s="1"/>
  <c r="P330" i="1"/>
  <c r="D330" i="1"/>
  <c r="F330" i="1" s="1"/>
  <c r="AZ245" i="1"/>
  <c r="AB245" i="1" s="1"/>
  <c r="AM245" i="1"/>
  <c r="W245" i="1"/>
  <c r="U245" i="1"/>
  <c r="AL245" i="1" s="1"/>
  <c r="P245" i="1"/>
  <c r="D245" i="1"/>
  <c r="F245" i="1" s="1"/>
  <c r="AZ237" i="1"/>
  <c r="AB237" i="1" s="1"/>
  <c r="AM237" i="1"/>
  <c r="W237" i="1"/>
  <c r="AN237" i="1" s="1"/>
  <c r="U237" i="1"/>
  <c r="AL237" i="1" s="1"/>
  <c r="P237" i="1"/>
  <c r="D237" i="1"/>
  <c r="F237" i="1" s="1"/>
  <c r="AM145" i="1"/>
  <c r="W145" i="1"/>
  <c r="U145" i="1"/>
  <c r="AL145" i="1" s="1"/>
  <c r="P145" i="1"/>
  <c r="D145" i="1"/>
  <c r="F145" i="1" s="1"/>
  <c r="AM4" i="1"/>
  <c r="W4" i="1"/>
  <c r="U4" i="1"/>
  <c r="AL4" i="1" s="1"/>
  <c r="P4" i="1"/>
  <c r="D4" i="1"/>
  <c r="F4" i="1" s="1"/>
  <c r="AZ21" i="1"/>
  <c r="AB21" i="1" s="1"/>
  <c r="AM21" i="1"/>
  <c r="W21" i="1"/>
  <c r="AN21" i="1" s="1"/>
  <c r="U21" i="1"/>
  <c r="AL21" i="1" s="1"/>
  <c r="P21" i="1"/>
  <c r="D21" i="1"/>
  <c r="F21" i="1" s="1"/>
  <c r="AZ639" i="1"/>
  <c r="AB639" i="1" s="1"/>
  <c r="AM639" i="1"/>
  <c r="W639" i="1"/>
  <c r="U639" i="1"/>
  <c r="AL639" i="1" s="1"/>
  <c r="P639" i="1"/>
  <c r="D639" i="1"/>
  <c r="F639" i="1" s="1"/>
  <c r="AM548" i="1"/>
  <c r="W548" i="1"/>
  <c r="AG548" i="1" s="1"/>
  <c r="U548" i="1"/>
  <c r="AL548" i="1" s="1"/>
  <c r="P548" i="1"/>
  <c r="D548" i="1"/>
  <c r="F548" i="1" s="1"/>
  <c r="AM631" i="1"/>
  <c r="W631" i="1"/>
  <c r="AG631" i="1" s="1"/>
  <c r="U631" i="1"/>
  <c r="AL631" i="1" s="1"/>
  <c r="P631" i="1"/>
  <c r="D631" i="1"/>
  <c r="F631" i="1" s="1"/>
  <c r="AZ525" i="1"/>
  <c r="AB525" i="1" s="1"/>
  <c r="AM525" i="1"/>
  <c r="W525" i="1"/>
  <c r="AG525" i="1" s="1"/>
  <c r="U525" i="1"/>
  <c r="AL525" i="1" s="1"/>
  <c r="P525" i="1"/>
  <c r="D525" i="1"/>
  <c r="F525" i="1" s="1"/>
  <c r="AZ144" i="1"/>
  <c r="AB144" i="1" s="1"/>
  <c r="AM144" i="1"/>
  <c r="W144" i="1"/>
  <c r="U144" i="1"/>
  <c r="AL144" i="1" s="1"/>
  <c r="P144" i="1"/>
  <c r="D144" i="1"/>
  <c r="F144" i="1" s="1"/>
  <c r="AM630" i="1"/>
  <c r="W630" i="1"/>
  <c r="U630" i="1"/>
  <c r="AL630" i="1" s="1"/>
  <c r="P630" i="1"/>
  <c r="D630" i="1"/>
  <c r="F630" i="1" s="1"/>
  <c r="AM524" i="1"/>
  <c r="W524" i="1"/>
  <c r="AG524" i="1" s="1"/>
  <c r="U524" i="1"/>
  <c r="AL524" i="1" s="1"/>
  <c r="P524" i="1"/>
  <c r="D524" i="1"/>
  <c r="F524" i="1" s="1"/>
  <c r="AM563" i="1"/>
  <c r="W563" i="1"/>
  <c r="U563" i="1"/>
  <c r="AL563" i="1" s="1"/>
  <c r="P563" i="1"/>
  <c r="D563" i="1"/>
  <c r="F563" i="1" s="1"/>
  <c r="AM340" i="1"/>
  <c r="W340" i="1"/>
  <c r="AN340" i="1" s="1"/>
  <c r="U340" i="1"/>
  <c r="AL340" i="1" s="1"/>
  <c r="P340" i="1"/>
  <c r="D340" i="1"/>
  <c r="F340" i="1" s="1"/>
  <c r="AZ381" i="1"/>
  <c r="AB381" i="1" s="1"/>
  <c r="AM381" i="1"/>
  <c r="W381" i="1"/>
  <c r="U381" i="1"/>
  <c r="AL381" i="1" s="1"/>
  <c r="P381" i="1"/>
  <c r="D381" i="1"/>
  <c r="F381" i="1" s="1"/>
  <c r="AM236" i="1"/>
  <c r="W236" i="1"/>
  <c r="AG236" i="1" s="1"/>
  <c r="U236" i="1"/>
  <c r="AL236" i="1" s="1"/>
  <c r="P236" i="1"/>
  <c r="D236" i="1"/>
  <c r="F236" i="1" s="1"/>
  <c r="AM235" i="1"/>
  <c r="W235" i="1"/>
  <c r="U235" i="1"/>
  <c r="AL235" i="1" s="1"/>
  <c r="P235" i="1"/>
  <c r="D235" i="1"/>
  <c r="F235" i="1" s="1"/>
  <c r="AM380" i="1"/>
  <c r="W380" i="1"/>
  <c r="AN380" i="1" s="1"/>
  <c r="U380" i="1"/>
  <c r="AL380" i="1" s="1"/>
  <c r="P380" i="1"/>
  <c r="D380" i="1"/>
  <c r="F380" i="1" s="1"/>
  <c r="AZ379" i="1"/>
  <c r="AB379" i="1" s="1"/>
  <c r="AM379" i="1"/>
  <c r="W379" i="1"/>
  <c r="AN379" i="1" s="1"/>
  <c r="BK379" i="1" s="1"/>
  <c r="U379" i="1"/>
  <c r="AL379" i="1" s="1"/>
  <c r="P379" i="1"/>
  <c r="D379" i="1"/>
  <c r="F379" i="1" s="1"/>
  <c r="AZ234" i="1"/>
  <c r="AB234" i="1" s="1"/>
  <c r="AM234" i="1"/>
  <c r="W234" i="1"/>
  <c r="AH234" i="1" s="1"/>
  <c r="U234" i="1"/>
  <c r="AL234" i="1" s="1"/>
  <c r="P234" i="1"/>
  <c r="D234" i="1"/>
  <c r="F234" i="1" s="1"/>
  <c r="AM233" i="1"/>
  <c r="W233" i="1"/>
  <c r="AG233" i="1" s="1"/>
  <c r="U233" i="1"/>
  <c r="AL233" i="1" s="1"/>
  <c r="P233" i="1"/>
  <c r="D233" i="1"/>
  <c r="F233" i="1" s="1"/>
  <c r="AM378" i="1"/>
  <c r="W378" i="1"/>
  <c r="U378" i="1"/>
  <c r="AL378" i="1" s="1"/>
  <c r="P378" i="1"/>
  <c r="D378" i="1"/>
  <c r="F378" i="1" s="1"/>
  <c r="AM487" i="1"/>
  <c r="W487" i="1"/>
  <c r="U487" i="1"/>
  <c r="AL487" i="1" s="1"/>
  <c r="P487" i="1"/>
  <c r="D487" i="1"/>
  <c r="F487" i="1" s="1"/>
  <c r="AM486" i="1"/>
  <c r="W486" i="1"/>
  <c r="U486" i="1"/>
  <c r="AL486" i="1" s="1"/>
  <c r="P486" i="1"/>
  <c r="D486" i="1"/>
  <c r="F486" i="1" s="1"/>
  <c r="AZ63" i="1"/>
  <c r="AB63" i="1" s="1"/>
  <c r="AM63" i="1"/>
  <c r="W63" i="1"/>
  <c r="AN63" i="1" s="1"/>
  <c r="U63" i="1"/>
  <c r="AL63" i="1" s="1"/>
  <c r="P63" i="1"/>
  <c r="D63" i="1"/>
  <c r="F63" i="1" s="1"/>
  <c r="AZ232" i="1"/>
  <c r="AB232" i="1" s="1"/>
  <c r="AM232" i="1"/>
  <c r="W232" i="1"/>
  <c r="U232" i="1"/>
  <c r="AL232" i="1" s="1"/>
  <c r="P232" i="1"/>
  <c r="D232" i="1"/>
  <c r="F232" i="1" s="1"/>
  <c r="AZ231" i="1"/>
  <c r="AB231" i="1" s="1"/>
  <c r="AM231" i="1"/>
  <c r="W231" i="1"/>
  <c r="AG231" i="1" s="1"/>
  <c r="U231" i="1"/>
  <c r="AL231" i="1" s="1"/>
  <c r="P231" i="1"/>
  <c r="D231" i="1"/>
  <c r="F231" i="1" s="1"/>
  <c r="AM230" i="1"/>
  <c r="W230" i="1"/>
  <c r="U230" i="1"/>
  <c r="AL230" i="1" s="1"/>
  <c r="P230" i="1"/>
  <c r="D230" i="1"/>
  <c r="F230" i="1" s="1"/>
  <c r="AZ229" i="1"/>
  <c r="AB229" i="1" s="1"/>
  <c r="AM229" i="1"/>
  <c r="W229" i="1"/>
  <c r="U229" i="1"/>
  <c r="AL229" i="1" s="1"/>
  <c r="P229" i="1"/>
  <c r="D229" i="1"/>
  <c r="F229" i="1" s="1"/>
  <c r="AM228" i="1"/>
  <c r="W228" i="1"/>
  <c r="AG228" i="1" s="1"/>
  <c r="U228" i="1"/>
  <c r="AL228" i="1" s="1"/>
  <c r="P228" i="1"/>
  <c r="D228" i="1"/>
  <c r="F228" i="1" s="1"/>
  <c r="AM227" i="1"/>
  <c r="W227" i="1"/>
  <c r="U227" i="1"/>
  <c r="AL227" i="1" s="1"/>
  <c r="P227" i="1"/>
  <c r="D227" i="1"/>
  <c r="F227" i="1" s="1"/>
  <c r="AZ226" i="1"/>
  <c r="AB226" i="1" s="1"/>
  <c r="AM226" i="1"/>
  <c r="W226" i="1"/>
  <c r="AH226" i="1" s="1"/>
  <c r="U226" i="1"/>
  <c r="AL226" i="1" s="1"/>
  <c r="P226" i="1"/>
  <c r="D226" i="1"/>
  <c r="F226" i="1" s="1"/>
  <c r="AZ225" i="1"/>
  <c r="AB225" i="1" s="1"/>
  <c r="AM225" i="1"/>
  <c r="W225" i="1"/>
  <c r="AN225" i="1" s="1"/>
  <c r="BK225" i="1" s="1"/>
  <c r="U225" i="1"/>
  <c r="AL225" i="1" s="1"/>
  <c r="P225" i="1"/>
  <c r="D225" i="1"/>
  <c r="F225" i="1" s="1"/>
  <c r="AZ224" i="1"/>
  <c r="AB224" i="1" s="1"/>
  <c r="AM224" i="1"/>
  <c r="W224" i="1"/>
  <c r="U224" i="1"/>
  <c r="AL224" i="1" s="1"/>
  <c r="P224" i="1"/>
  <c r="D224" i="1"/>
  <c r="F224" i="1" s="1"/>
  <c r="AM377" i="1"/>
  <c r="W377" i="1"/>
  <c r="AH377" i="1" s="1"/>
  <c r="U377" i="1"/>
  <c r="AL377" i="1" s="1"/>
  <c r="P377" i="1"/>
  <c r="D377" i="1"/>
  <c r="F377" i="1" s="1"/>
  <c r="AZ253" i="1"/>
  <c r="AB253" i="1" s="1"/>
  <c r="AM253" i="1"/>
  <c r="W253" i="1"/>
  <c r="AH253" i="1" s="1"/>
  <c r="U253" i="1"/>
  <c r="AL253" i="1" s="1"/>
  <c r="P253" i="1"/>
  <c r="D253" i="1"/>
  <c r="F253" i="1" s="1"/>
  <c r="AM244" i="1"/>
  <c r="W244" i="1"/>
  <c r="AH244" i="1" s="1"/>
  <c r="U244" i="1"/>
  <c r="AL244" i="1" s="1"/>
  <c r="P244" i="1"/>
  <c r="D244" i="1"/>
  <c r="F244" i="1" s="1"/>
  <c r="AM222" i="1"/>
  <c r="W222" i="1"/>
  <c r="AN222" i="1" s="1"/>
  <c r="U222" i="1"/>
  <c r="AL222" i="1" s="1"/>
  <c r="P222" i="1"/>
  <c r="D222" i="1"/>
  <c r="F222" i="1" s="1"/>
  <c r="AM376" i="1"/>
  <c r="W376" i="1"/>
  <c r="AG376" i="1" s="1"/>
  <c r="U376" i="1"/>
  <c r="AL376" i="1" s="1"/>
  <c r="P376" i="1"/>
  <c r="D376" i="1"/>
  <c r="F376" i="1" s="1"/>
  <c r="AM252" i="1"/>
  <c r="W252" i="1"/>
  <c r="U252" i="1"/>
  <c r="AL252" i="1" s="1"/>
  <c r="P252" i="1"/>
  <c r="D252" i="1"/>
  <c r="F252" i="1" s="1"/>
  <c r="AZ243" i="1"/>
  <c r="AB243" i="1" s="1"/>
  <c r="AM243" i="1"/>
  <c r="W243" i="1"/>
  <c r="U243" i="1"/>
  <c r="AL243" i="1" s="1"/>
  <c r="P243" i="1"/>
  <c r="D243" i="1"/>
  <c r="F243" i="1" s="1"/>
  <c r="AM221" i="1"/>
  <c r="W221" i="1"/>
  <c r="AG221" i="1" s="1"/>
  <c r="U221" i="1"/>
  <c r="AL221" i="1" s="1"/>
  <c r="P221" i="1"/>
  <c r="D221" i="1"/>
  <c r="F221" i="1" s="1"/>
  <c r="AZ375" i="1"/>
  <c r="AB375" i="1" s="1"/>
  <c r="AM375" i="1"/>
  <c r="W375" i="1"/>
  <c r="AH375" i="1" s="1"/>
  <c r="U375" i="1"/>
  <c r="AL375" i="1" s="1"/>
  <c r="P375" i="1"/>
  <c r="D375" i="1"/>
  <c r="F375" i="1" s="1"/>
  <c r="AZ251" i="1"/>
  <c r="AB251" i="1" s="1"/>
  <c r="AM251" i="1"/>
  <c r="W251" i="1"/>
  <c r="AH251" i="1" s="1"/>
  <c r="U251" i="1"/>
  <c r="AL251" i="1" s="1"/>
  <c r="P251" i="1"/>
  <c r="D251" i="1"/>
  <c r="F251" i="1" s="1"/>
  <c r="AZ242" i="1"/>
  <c r="AB242" i="1" s="1"/>
  <c r="AM242" i="1"/>
  <c r="W242" i="1"/>
  <c r="U242" i="1"/>
  <c r="AL242" i="1" s="1"/>
  <c r="P242" i="1"/>
  <c r="D242" i="1"/>
  <c r="F242" i="1" s="1"/>
  <c r="AM220" i="1"/>
  <c r="W220" i="1"/>
  <c r="U220" i="1"/>
  <c r="AL220" i="1" s="1"/>
  <c r="P220" i="1"/>
  <c r="D220" i="1"/>
  <c r="F220" i="1" s="1"/>
  <c r="AM62" i="1"/>
  <c r="W62" i="1"/>
  <c r="AH62" i="1" s="1"/>
  <c r="U62" i="1"/>
  <c r="AL62" i="1" s="1"/>
  <c r="P62" i="1"/>
  <c r="D62" i="1"/>
  <c r="F62" i="1" s="1"/>
  <c r="AZ61" i="1"/>
  <c r="AB61" i="1" s="1"/>
  <c r="AM61" i="1"/>
  <c r="W61" i="1"/>
  <c r="AH61" i="1" s="1"/>
  <c r="U61" i="1"/>
  <c r="AL61" i="1" s="1"/>
  <c r="P61" i="1"/>
  <c r="D61" i="1"/>
  <c r="F61" i="1" s="1"/>
  <c r="AZ60" i="1"/>
  <c r="AB60" i="1" s="1"/>
  <c r="AM60" i="1"/>
  <c r="W60" i="1"/>
  <c r="U60" i="1"/>
  <c r="AL60" i="1" s="1"/>
  <c r="P60" i="1"/>
  <c r="D60" i="1"/>
  <c r="F60" i="1" s="1"/>
  <c r="AZ59" i="1"/>
  <c r="AB59" i="1" s="1"/>
  <c r="AM59" i="1"/>
  <c r="W59" i="1"/>
  <c r="U59" i="1"/>
  <c r="AL59" i="1" s="1"/>
  <c r="P59" i="1"/>
  <c r="D59" i="1"/>
  <c r="F59" i="1" s="1"/>
  <c r="AZ58" i="1"/>
  <c r="AB58" i="1" s="1"/>
  <c r="AM58" i="1"/>
  <c r="W58" i="1"/>
  <c r="AG58" i="1" s="1"/>
  <c r="U58" i="1"/>
  <c r="AL58" i="1" s="1"/>
  <c r="P58" i="1"/>
  <c r="D58" i="1"/>
  <c r="F58" i="1" s="1"/>
  <c r="AZ107" i="1"/>
  <c r="AB107" i="1" s="1"/>
  <c r="AM107" i="1"/>
  <c r="W107" i="1"/>
  <c r="AH107" i="1" s="1"/>
  <c r="U107" i="1"/>
  <c r="AL107" i="1" s="1"/>
  <c r="P107" i="1"/>
  <c r="D107" i="1"/>
  <c r="F107" i="1" s="1"/>
  <c r="AZ106" i="1"/>
  <c r="AB106" i="1" s="1"/>
  <c r="AM106" i="1"/>
  <c r="W106" i="1"/>
  <c r="U106" i="1"/>
  <c r="AL106" i="1" s="1"/>
  <c r="P106" i="1"/>
  <c r="D106" i="1"/>
  <c r="F106" i="1" s="1"/>
  <c r="AM105" i="1"/>
  <c r="W105" i="1"/>
  <c r="AN105" i="1" s="1"/>
  <c r="BK105" i="1" s="1"/>
  <c r="U105" i="1"/>
  <c r="AL105" i="1" s="1"/>
  <c r="P105" i="1"/>
  <c r="D105" i="1"/>
  <c r="F105" i="1" s="1"/>
  <c r="AZ104" i="1"/>
  <c r="AB104" i="1" s="1"/>
  <c r="AM104" i="1"/>
  <c r="W104" i="1"/>
  <c r="AN104" i="1" s="1"/>
  <c r="U104" i="1"/>
  <c r="AL104" i="1" s="1"/>
  <c r="P104" i="1"/>
  <c r="D104" i="1"/>
  <c r="F104" i="1" s="1"/>
  <c r="AZ176" i="1"/>
  <c r="AB176" i="1" s="1"/>
  <c r="AM176" i="1"/>
  <c r="W176" i="1"/>
  <c r="U176" i="1"/>
  <c r="AL176" i="1" s="1"/>
  <c r="P176" i="1"/>
  <c r="D176" i="1"/>
  <c r="F176" i="1" s="1"/>
  <c r="AZ103" i="1"/>
  <c r="AB103" i="1" s="1"/>
  <c r="AM103" i="1"/>
  <c r="W103" i="1"/>
  <c r="AN103" i="1" s="1"/>
  <c r="U103" i="1"/>
  <c r="AL103" i="1" s="1"/>
  <c r="P103" i="1"/>
  <c r="D103" i="1"/>
  <c r="F103" i="1" s="1"/>
  <c r="AZ43" i="1"/>
  <c r="AB43" i="1" s="1"/>
  <c r="AC43" i="1" s="1"/>
  <c r="AD43" i="1" s="1"/>
  <c r="AM43" i="1"/>
  <c r="W43" i="1"/>
  <c r="AN43" i="1" s="1"/>
  <c r="BK43" i="1" s="1"/>
  <c r="U43" i="1"/>
  <c r="AL43" i="1" s="1"/>
  <c r="P43" i="1"/>
  <c r="D43" i="1"/>
  <c r="F43" i="1" s="1"/>
  <c r="AZ42" i="1"/>
  <c r="AB42" i="1" s="1"/>
  <c r="AM42" i="1"/>
  <c r="W42" i="1"/>
  <c r="AN42" i="1" s="1"/>
  <c r="U42" i="1"/>
  <c r="AL42" i="1" s="1"/>
  <c r="P42" i="1"/>
  <c r="D42" i="1"/>
  <c r="F42" i="1" s="1"/>
  <c r="AZ41" i="1"/>
  <c r="AB41" i="1" s="1"/>
  <c r="AM41" i="1"/>
  <c r="W41" i="1"/>
  <c r="AN41" i="1" s="1"/>
  <c r="BK41" i="1" s="1"/>
  <c r="U41" i="1"/>
  <c r="AL41" i="1" s="1"/>
  <c r="P41" i="1"/>
  <c r="D41" i="1"/>
  <c r="F41" i="1" s="1"/>
  <c r="AZ57" i="1"/>
  <c r="AB57" i="1" s="1"/>
  <c r="AM57" i="1"/>
  <c r="W57" i="1"/>
  <c r="AN57" i="1" s="1"/>
  <c r="BK57" i="1" s="1"/>
  <c r="U57" i="1"/>
  <c r="AL57" i="1" s="1"/>
  <c r="P57" i="1"/>
  <c r="D57" i="1"/>
  <c r="F57" i="1" s="1"/>
  <c r="AZ56" i="1"/>
  <c r="AB56" i="1" s="1"/>
  <c r="AM56" i="1"/>
  <c r="W56" i="1"/>
  <c r="U56" i="1"/>
  <c r="AL56" i="1" s="1"/>
  <c r="P56" i="1"/>
  <c r="D56" i="1"/>
  <c r="F56" i="1" s="1"/>
  <c r="AZ55" i="1"/>
  <c r="AB55" i="1" s="1"/>
  <c r="AM55" i="1"/>
  <c r="W55" i="1"/>
  <c r="AN55" i="1" s="1"/>
  <c r="U55" i="1"/>
  <c r="AL55" i="1" s="1"/>
  <c r="P55" i="1"/>
  <c r="D55" i="1"/>
  <c r="F55" i="1" s="1"/>
  <c r="AZ54" i="1"/>
  <c r="AB54" i="1" s="1"/>
  <c r="AM54" i="1"/>
  <c r="W54" i="1"/>
  <c r="U54" i="1"/>
  <c r="AL54" i="1" s="1"/>
  <c r="P54" i="1"/>
  <c r="D54" i="1"/>
  <c r="F54" i="1" s="1"/>
  <c r="AM291" i="1"/>
  <c r="W291" i="1"/>
  <c r="U291" i="1"/>
  <c r="AL291" i="1" s="1"/>
  <c r="P291" i="1"/>
  <c r="D291" i="1"/>
  <c r="F291" i="1" s="1"/>
  <c r="AZ53" i="1"/>
  <c r="AB53" i="1" s="1"/>
  <c r="AC53" i="1" s="1"/>
  <c r="AD53" i="1" s="1"/>
  <c r="AM53" i="1"/>
  <c r="W53" i="1"/>
  <c r="AN53" i="1" s="1"/>
  <c r="U53" i="1"/>
  <c r="AL53" i="1" s="1"/>
  <c r="P53" i="1"/>
  <c r="D53" i="1"/>
  <c r="F53" i="1" s="1"/>
  <c r="AZ102" i="1"/>
  <c r="AB102" i="1" s="1"/>
  <c r="AM102" i="1"/>
  <c r="W102" i="1"/>
  <c r="AN102" i="1" s="1"/>
  <c r="U102" i="1"/>
  <c r="AL102" i="1" s="1"/>
  <c r="P102" i="1"/>
  <c r="D102" i="1"/>
  <c r="F102" i="1" s="1"/>
  <c r="AZ101" i="1"/>
  <c r="AB101" i="1" s="1"/>
  <c r="AM101" i="1"/>
  <c r="W101" i="1"/>
  <c r="AN101" i="1" s="1"/>
  <c r="U101" i="1"/>
  <c r="AL101" i="1" s="1"/>
  <c r="P101" i="1"/>
  <c r="D101" i="1"/>
  <c r="F101" i="1" s="1"/>
  <c r="AM290" i="1"/>
  <c r="W290" i="1"/>
  <c r="AN290" i="1" s="1"/>
  <c r="Y290" i="1" s="1"/>
  <c r="U290" i="1"/>
  <c r="AL290" i="1" s="1"/>
  <c r="P290" i="1"/>
  <c r="D290" i="1"/>
  <c r="F290" i="1" s="1"/>
  <c r="AZ289" i="1"/>
  <c r="AB289" i="1" s="1"/>
  <c r="AM289" i="1"/>
  <c r="W289" i="1"/>
  <c r="U289" i="1"/>
  <c r="AL289" i="1" s="1"/>
  <c r="P289" i="1"/>
  <c r="D289" i="1"/>
  <c r="F289" i="1" s="1"/>
  <c r="AZ298" i="1"/>
  <c r="AB298" i="1" s="1"/>
  <c r="AM298" i="1"/>
  <c r="W298" i="1"/>
  <c r="AN298" i="1" s="1"/>
  <c r="U298" i="1"/>
  <c r="AL298" i="1" s="1"/>
  <c r="P298" i="1"/>
  <c r="D298" i="1"/>
  <c r="F298" i="1" s="1"/>
  <c r="AZ297" i="1"/>
  <c r="AB297" i="1" s="1"/>
  <c r="AM297" i="1"/>
  <c r="W297" i="1"/>
  <c r="U297" i="1"/>
  <c r="AL297" i="1" s="1"/>
  <c r="P297" i="1"/>
  <c r="D297" i="1"/>
  <c r="F297" i="1" s="1"/>
  <c r="AM250" i="1"/>
  <c r="W250" i="1"/>
  <c r="U250" i="1"/>
  <c r="AL250" i="1" s="1"/>
  <c r="P250" i="1"/>
  <c r="D250" i="1"/>
  <c r="F250" i="1" s="1"/>
  <c r="AZ249" i="1"/>
  <c r="AB249" i="1" s="1"/>
  <c r="AM249" i="1"/>
  <c r="W249" i="1"/>
  <c r="AN249" i="1" s="1"/>
  <c r="BK249" i="1" s="1"/>
  <c r="U249" i="1"/>
  <c r="AL249" i="1" s="1"/>
  <c r="P249" i="1"/>
  <c r="D249" i="1"/>
  <c r="F249" i="1" s="1"/>
  <c r="AZ296" i="1"/>
  <c r="AB296" i="1" s="1"/>
  <c r="AM296" i="1"/>
  <c r="W296" i="1"/>
  <c r="U296" i="1"/>
  <c r="AL296" i="1" s="1"/>
  <c r="P296" i="1"/>
  <c r="D296" i="1"/>
  <c r="F296" i="1" s="1"/>
  <c r="AZ295" i="1"/>
  <c r="AB295" i="1" s="1"/>
  <c r="AM295" i="1"/>
  <c r="W295" i="1"/>
  <c r="AG295" i="1" s="1"/>
  <c r="U295" i="1"/>
  <c r="AL295" i="1" s="1"/>
  <c r="P295" i="1"/>
  <c r="D295" i="1"/>
  <c r="F295" i="1" s="1"/>
  <c r="AZ281" i="1"/>
  <c r="AB281" i="1" s="1"/>
  <c r="AM281" i="1"/>
  <c r="W281" i="1"/>
  <c r="U281" i="1"/>
  <c r="AL281" i="1" s="1"/>
  <c r="P281" i="1"/>
  <c r="D281" i="1"/>
  <c r="F281" i="1" s="1"/>
  <c r="AZ241" i="1"/>
  <c r="AB241" i="1" s="1"/>
  <c r="AM241" i="1"/>
  <c r="W241" i="1"/>
  <c r="AG241" i="1" s="1"/>
  <c r="U241" i="1"/>
  <c r="AL241" i="1" s="1"/>
  <c r="P241" i="1"/>
  <c r="D241" i="1"/>
  <c r="F241" i="1" s="1"/>
  <c r="AZ294" i="1"/>
  <c r="AB294" i="1" s="1"/>
  <c r="AM294" i="1"/>
  <c r="W294" i="1"/>
  <c r="U294" i="1"/>
  <c r="AL294" i="1" s="1"/>
  <c r="P294" i="1"/>
  <c r="D294" i="1"/>
  <c r="F294" i="1" s="1"/>
  <c r="AM325" i="1"/>
  <c r="W325" i="1"/>
  <c r="AG325" i="1" s="1"/>
  <c r="U325" i="1"/>
  <c r="AL325" i="1" s="1"/>
  <c r="P325" i="1"/>
  <c r="D325" i="1"/>
  <c r="F325" i="1" s="1"/>
  <c r="AM324" i="1"/>
  <c r="W324" i="1"/>
  <c r="U324" i="1"/>
  <c r="AL324" i="1" s="1"/>
  <c r="P324" i="1"/>
  <c r="D324" i="1"/>
  <c r="F324" i="1" s="1"/>
  <c r="AZ323" i="1"/>
  <c r="AB323" i="1" s="1"/>
  <c r="AM323" i="1"/>
  <c r="W323" i="1"/>
  <c r="AG323" i="1" s="1"/>
  <c r="U323" i="1"/>
  <c r="AL323" i="1" s="1"/>
  <c r="P323" i="1"/>
  <c r="D323" i="1"/>
  <c r="F323" i="1" s="1"/>
  <c r="AZ322" i="1"/>
  <c r="AB322" i="1" s="1"/>
  <c r="AM322" i="1"/>
  <c r="W322" i="1"/>
  <c r="AG322" i="1" s="1"/>
  <c r="U322" i="1"/>
  <c r="AL322" i="1" s="1"/>
  <c r="P322" i="1"/>
  <c r="D322" i="1"/>
  <c r="F322" i="1" s="1"/>
  <c r="AM214" i="1"/>
  <c r="W214" i="1"/>
  <c r="AG214" i="1" s="1"/>
  <c r="U214" i="1"/>
  <c r="AL214" i="1" s="1"/>
  <c r="P214" i="1"/>
  <c r="D214" i="1"/>
  <c r="F214" i="1" s="1"/>
  <c r="AZ321" i="1"/>
  <c r="AB321" i="1" s="1"/>
  <c r="AM321" i="1"/>
  <c r="W321" i="1"/>
  <c r="U321" i="1"/>
  <c r="AL321" i="1" s="1"/>
  <c r="P321" i="1"/>
  <c r="D321" i="1"/>
  <c r="F321" i="1" s="1"/>
  <c r="AZ320" i="1"/>
  <c r="AB320" i="1" s="1"/>
  <c r="AM320" i="1"/>
  <c r="W320" i="1"/>
  <c r="U320" i="1"/>
  <c r="AL320" i="1" s="1"/>
  <c r="P320" i="1"/>
  <c r="D320" i="1"/>
  <c r="F320" i="1" s="1"/>
  <c r="AZ319" i="1"/>
  <c r="AB319" i="1" s="1"/>
  <c r="AM319" i="1"/>
  <c r="W319" i="1"/>
  <c r="U319" i="1"/>
  <c r="AL319" i="1" s="1"/>
  <c r="P319" i="1"/>
  <c r="D319" i="1"/>
  <c r="F319" i="1" s="1"/>
  <c r="AM318" i="1"/>
  <c r="W318" i="1"/>
  <c r="AG318" i="1" s="1"/>
  <c r="U318" i="1"/>
  <c r="AL318" i="1" s="1"/>
  <c r="P318" i="1"/>
  <c r="D318" i="1"/>
  <c r="F318" i="1" s="1"/>
  <c r="AM317" i="1"/>
  <c r="W317" i="1"/>
  <c r="U317" i="1"/>
  <c r="AL317" i="1" s="1"/>
  <c r="P317" i="1"/>
  <c r="D317" i="1"/>
  <c r="F317" i="1" s="1"/>
  <c r="AM316" i="1"/>
  <c r="W316" i="1"/>
  <c r="U316" i="1"/>
  <c r="AL316" i="1" s="1"/>
  <c r="P316" i="1"/>
  <c r="D316" i="1"/>
  <c r="F316" i="1" s="1"/>
  <c r="AZ213" i="1"/>
  <c r="AB213" i="1" s="1"/>
  <c r="AM213" i="1"/>
  <c r="W213" i="1"/>
  <c r="AG213" i="1" s="1"/>
  <c r="U213" i="1"/>
  <c r="AL213" i="1" s="1"/>
  <c r="P213" i="1"/>
  <c r="D213" i="1"/>
  <c r="F213" i="1" s="1"/>
  <c r="AM212" i="1"/>
  <c r="W212" i="1"/>
  <c r="U212" i="1"/>
  <c r="AL212" i="1" s="1"/>
  <c r="P212" i="1"/>
  <c r="D212" i="1"/>
  <c r="F212" i="1" s="1"/>
  <c r="AM211" i="1"/>
  <c r="W211" i="1"/>
  <c r="AG211" i="1" s="1"/>
  <c r="U211" i="1"/>
  <c r="AL211" i="1" s="1"/>
  <c r="P211" i="1"/>
  <c r="D211" i="1"/>
  <c r="F211" i="1" s="1"/>
  <c r="AM210" i="1"/>
  <c r="W210" i="1"/>
  <c r="U210" i="1"/>
  <c r="AL210" i="1" s="1"/>
  <c r="P210" i="1"/>
  <c r="D210" i="1"/>
  <c r="F210" i="1" s="1"/>
  <c r="AZ209" i="1"/>
  <c r="AB209" i="1" s="1"/>
  <c r="AM209" i="1"/>
  <c r="W209" i="1"/>
  <c r="AG209" i="1" s="1"/>
  <c r="U209" i="1"/>
  <c r="AL209" i="1" s="1"/>
  <c r="P209" i="1"/>
  <c r="D209" i="1"/>
  <c r="F209" i="1" s="1"/>
  <c r="AM208" i="1"/>
  <c r="W208" i="1"/>
  <c r="U208" i="1"/>
  <c r="AL208" i="1" s="1"/>
  <c r="P208" i="1"/>
  <c r="D208" i="1"/>
  <c r="F208" i="1" s="1"/>
  <c r="AZ207" i="1"/>
  <c r="AB207" i="1" s="1"/>
  <c r="AM207" i="1"/>
  <c r="W207" i="1"/>
  <c r="AG207" i="1" s="1"/>
  <c r="U207" i="1"/>
  <c r="AL207" i="1" s="1"/>
  <c r="P207" i="1"/>
  <c r="D207" i="1"/>
  <c r="F207" i="1" s="1"/>
  <c r="AZ206" i="1"/>
  <c r="AB206" i="1" s="1"/>
  <c r="AM206" i="1"/>
  <c r="W206" i="1"/>
  <c r="U206" i="1"/>
  <c r="AL206" i="1" s="1"/>
  <c r="P206" i="1"/>
  <c r="D206" i="1"/>
  <c r="F206" i="1" s="1"/>
  <c r="AM205" i="1"/>
  <c r="W205" i="1"/>
  <c r="AG205" i="1" s="1"/>
  <c r="U205" i="1"/>
  <c r="AL205" i="1" s="1"/>
  <c r="P205" i="1"/>
  <c r="D205" i="1"/>
  <c r="F205" i="1" s="1"/>
  <c r="AM204" i="1"/>
  <c r="W204" i="1"/>
  <c r="U204" i="1"/>
  <c r="AL204" i="1" s="1"/>
  <c r="P204" i="1"/>
  <c r="D204" i="1"/>
  <c r="F204" i="1" s="1"/>
  <c r="AZ203" i="1"/>
  <c r="AB203" i="1" s="1"/>
  <c r="AM203" i="1"/>
  <c r="W203" i="1"/>
  <c r="AG203" i="1" s="1"/>
  <c r="U203" i="1"/>
  <c r="AL203" i="1" s="1"/>
  <c r="P203" i="1"/>
  <c r="D203" i="1"/>
  <c r="F203" i="1" s="1"/>
  <c r="AZ202" i="1"/>
  <c r="AB202" i="1" s="1"/>
  <c r="AM202" i="1"/>
  <c r="W202" i="1"/>
  <c r="U202" i="1"/>
  <c r="AL202" i="1" s="1"/>
  <c r="P202" i="1"/>
  <c r="D202" i="1"/>
  <c r="F202" i="1" s="1"/>
  <c r="AZ201" i="1"/>
  <c r="AB201" i="1" s="1"/>
  <c r="AM201" i="1"/>
  <c r="W201" i="1"/>
  <c r="AG201" i="1" s="1"/>
  <c r="U201" i="1"/>
  <c r="AL201" i="1" s="1"/>
  <c r="P201" i="1"/>
  <c r="D201" i="1"/>
  <c r="F201" i="1" s="1"/>
  <c r="AZ200" i="1"/>
  <c r="AB200" i="1" s="1"/>
  <c r="AM200" i="1"/>
  <c r="W200" i="1"/>
  <c r="U200" i="1"/>
  <c r="AL200" i="1" s="1"/>
  <c r="P200" i="1"/>
  <c r="D200" i="1"/>
  <c r="F200" i="1" s="1"/>
  <c r="AZ199" i="1"/>
  <c r="AB199" i="1" s="1"/>
  <c r="AM199" i="1"/>
  <c r="W199" i="1"/>
  <c r="AG199" i="1" s="1"/>
  <c r="U199" i="1"/>
  <c r="AL199" i="1" s="1"/>
  <c r="P199" i="1"/>
  <c r="D199" i="1"/>
  <c r="F199" i="1" s="1"/>
  <c r="AZ198" i="1"/>
  <c r="AB198" i="1" s="1"/>
  <c r="AM198" i="1"/>
  <c r="W198" i="1"/>
  <c r="U198" i="1"/>
  <c r="AL198" i="1" s="1"/>
  <c r="P198" i="1"/>
  <c r="D198" i="1"/>
  <c r="F198" i="1" s="1"/>
  <c r="AM197" i="1"/>
  <c r="W197" i="1"/>
  <c r="AG197" i="1" s="1"/>
  <c r="U197" i="1"/>
  <c r="AL197" i="1" s="1"/>
  <c r="P197" i="1"/>
  <c r="D197" i="1"/>
  <c r="F197" i="1" s="1"/>
  <c r="AM196" i="1"/>
  <c r="W196" i="1"/>
  <c r="U196" i="1"/>
  <c r="AL196" i="1" s="1"/>
  <c r="P196" i="1"/>
  <c r="D196" i="1"/>
  <c r="F196" i="1" s="1"/>
  <c r="AZ52" i="1"/>
  <c r="AB52" i="1" s="1"/>
  <c r="AM52" i="1"/>
  <c r="W52" i="1"/>
  <c r="AG52" i="1" s="1"/>
  <c r="U52" i="1"/>
  <c r="AL52" i="1" s="1"/>
  <c r="P52" i="1"/>
  <c r="D52" i="1"/>
  <c r="F52" i="1" s="1"/>
  <c r="AZ100" i="1"/>
  <c r="AB100" i="1" s="1"/>
  <c r="AM100" i="1"/>
  <c r="W100" i="1"/>
  <c r="U100" i="1"/>
  <c r="AL100" i="1" s="1"/>
  <c r="P100" i="1"/>
  <c r="D100" i="1"/>
  <c r="F100" i="1" s="1"/>
  <c r="AM51" i="1"/>
  <c r="W51" i="1"/>
  <c r="AG51" i="1" s="1"/>
  <c r="U51" i="1"/>
  <c r="AL51" i="1" s="1"/>
  <c r="P51" i="1"/>
  <c r="D51" i="1"/>
  <c r="F51" i="1" s="1"/>
  <c r="AZ99" i="1"/>
  <c r="AB99" i="1" s="1"/>
  <c r="AM99" i="1"/>
  <c r="W99" i="1"/>
  <c r="U99" i="1"/>
  <c r="AL99" i="1" s="1"/>
  <c r="P99" i="1"/>
  <c r="D99" i="1"/>
  <c r="F99" i="1" s="1"/>
  <c r="AZ20" i="1"/>
  <c r="AB20" i="1" s="1"/>
  <c r="AM20" i="1"/>
  <c r="W20" i="1"/>
  <c r="AG20" i="1" s="1"/>
  <c r="U20" i="1"/>
  <c r="AL20" i="1" s="1"/>
  <c r="P20" i="1"/>
  <c r="D20" i="1"/>
  <c r="F20" i="1" s="1"/>
  <c r="AZ19" i="1"/>
  <c r="AB19" i="1" s="1"/>
  <c r="AM19" i="1"/>
  <c r="W19" i="1"/>
  <c r="U19" i="1"/>
  <c r="AL19" i="1" s="1"/>
  <c r="P19" i="1"/>
  <c r="D19" i="1"/>
  <c r="F19" i="1" s="1"/>
  <c r="AZ18" i="1"/>
  <c r="AB18" i="1" s="1"/>
  <c r="AM18" i="1"/>
  <c r="W18" i="1"/>
  <c r="AG18" i="1" s="1"/>
  <c r="U18" i="1"/>
  <c r="AL18" i="1" s="1"/>
  <c r="P18" i="1"/>
  <c r="D18" i="1"/>
  <c r="F18" i="1" s="1"/>
  <c r="AZ17" i="1"/>
  <c r="AB17" i="1" s="1"/>
  <c r="AM17" i="1"/>
  <c r="W17" i="1"/>
  <c r="AN17" i="1" s="1"/>
  <c r="U17" i="1"/>
  <c r="AL17" i="1" s="1"/>
  <c r="P17" i="1"/>
  <c r="D17" i="1"/>
  <c r="F17" i="1" s="1"/>
  <c r="AZ16" i="1"/>
  <c r="AB16" i="1" s="1"/>
  <c r="AC16" i="1" s="1"/>
  <c r="AD16" i="1" s="1"/>
  <c r="AM16" i="1"/>
  <c r="W16" i="1"/>
  <c r="AN16" i="1" s="1"/>
  <c r="U16" i="1"/>
  <c r="AL16" i="1" s="1"/>
  <c r="P16" i="1"/>
  <c r="D16" i="1"/>
  <c r="F16" i="1" s="1"/>
  <c r="AZ15" i="1"/>
  <c r="AB15" i="1" s="1"/>
  <c r="AM15" i="1"/>
  <c r="W15" i="1"/>
  <c r="AN15" i="1" s="1"/>
  <c r="U15" i="1"/>
  <c r="AL15" i="1" s="1"/>
  <c r="P15" i="1"/>
  <c r="D15" i="1"/>
  <c r="F15" i="1" s="1"/>
  <c r="AM396" i="1"/>
  <c r="W396" i="1"/>
  <c r="AH396" i="1" s="1"/>
  <c r="U396" i="1"/>
  <c r="AL396" i="1" s="1"/>
  <c r="P396" i="1"/>
  <c r="D396" i="1"/>
  <c r="F396" i="1" s="1"/>
  <c r="AZ416" i="1"/>
  <c r="AB416" i="1" s="1"/>
  <c r="AM416" i="1"/>
  <c r="W416" i="1"/>
  <c r="AN416" i="1" s="1"/>
  <c r="U416" i="1"/>
  <c r="AL416" i="1" s="1"/>
  <c r="P416" i="1"/>
  <c r="D416" i="1"/>
  <c r="F416" i="1" s="1"/>
  <c r="AZ146" i="1"/>
  <c r="AB146" i="1" s="1"/>
  <c r="AC146" i="1" s="1"/>
  <c r="AD146" i="1" s="1"/>
  <c r="AM146" i="1"/>
  <c r="W146" i="1"/>
  <c r="AN146" i="1" s="1"/>
  <c r="BG146" i="1" s="1"/>
  <c r="U146" i="1"/>
  <c r="AL146" i="1" s="1"/>
  <c r="P146" i="1"/>
  <c r="D146" i="1"/>
  <c r="F146" i="1" s="1"/>
  <c r="AZ50" i="1"/>
  <c r="AB50" i="1" s="1"/>
  <c r="AM50" i="1"/>
  <c r="W50" i="1"/>
  <c r="U50" i="1"/>
  <c r="AL50" i="1" s="1"/>
  <c r="P50" i="1"/>
  <c r="D50" i="1"/>
  <c r="F50" i="1" s="1"/>
  <c r="AZ98" i="1"/>
  <c r="AB98" i="1" s="1"/>
  <c r="AM98" i="1"/>
  <c r="W98" i="1"/>
  <c r="AH98" i="1" s="1"/>
  <c r="U98" i="1"/>
  <c r="AL98" i="1" s="1"/>
  <c r="P98" i="1"/>
  <c r="D98" i="1"/>
  <c r="F98" i="1" s="1"/>
  <c r="AZ49" i="1"/>
  <c r="AB49" i="1" s="1"/>
  <c r="AM49" i="1"/>
  <c r="W49" i="1"/>
  <c r="AN49" i="1" s="1"/>
  <c r="BK49" i="1" s="1"/>
  <c r="U49" i="1"/>
  <c r="AL49" i="1" s="1"/>
  <c r="P49" i="1"/>
  <c r="D49" i="1"/>
  <c r="F49" i="1" s="1"/>
  <c r="AZ97" i="1"/>
  <c r="AB97" i="1" s="1"/>
  <c r="AM97" i="1"/>
  <c r="W97" i="1"/>
  <c r="U97" i="1"/>
  <c r="AL97" i="1" s="1"/>
  <c r="P97" i="1"/>
  <c r="D97" i="1"/>
  <c r="F97" i="1" s="1"/>
  <c r="AZ167" i="1"/>
  <c r="AB167" i="1" s="1"/>
  <c r="AM167" i="1"/>
  <c r="W167" i="1"/>
  <c r="AN167" i="1" s="1"/>
  <c r="U167" i="1"/>
  <c r="AL167" i="1" s="1"/>
  <c r="P167" i="1"/>
  <c r="D167" i="1"/>
  <c r="F167" i="1" s="1"/>
  <c r="AM195" i="1"/>
  <c r="W195" i="1"/>
  <c r="AN195" i="1" s="1"/>
  <c r="U195" i="1"/>
  <c r="AL195" i="1" s="1"/>
  <c r="P195" i="1"/>
  <c r="D195" i="1"/>
  <c r="F195" i="1" s="1"/>
  <c r="AZ166" i="1"/>
  <c r="AB166" i="1" s="1"/>
  <c r="AC166" i="1" s="1"/>
  <c r="AD166" i="1" s="1"/>
  <c r="AM166" i="1"/>
  <c r="W166" i="1"/>
  <c r="AN166" i="1" s="1"/>
  <c r="U166" i="1"/>
  <c r="AL166" i="1" s="1"/>
  <c r="P166" i="1"/>
  <c r="D166" i="1"/>
  <c r="F166" i="1" s="1"/>
  <c r="AZ173" i="1"/>
  <c r="AB173" i="1" s="1"/>
  <c r="AM173" i="1"/>
  <c r="W173" i="1"/>
  <c r="AN173" i="1" s="1"/>
  <c r="U173" i="1"/>
  <c r="AL173" i="1" s="1"/>
  <c r="P173" i="1"/>
  <c r="D173" i="1"/>
  <c r="F173" i="1" s="1"/>
  <c r="AM172" i="1"/>
  <c r="W172" i="1"/>
  <c r="AN172" i="1" s="1"/>
  <c r="U172" i="1"/>
  <c r="AL172" i="1" s="1"/>
  <c r="P172" i="1"/>
  <c r="D172" i="1"/>
  <c r="F172" i="1" s="1"/>
  <c r="AZ271" i="1"/>
  <c r="AB271" i="1" s="1"/>
  <c r="AM271" i="1"/>
  <c r="W271" i="1"/>
  <c r="AN271" i="1" s="1"/>
  <c r="U271" i="1"/>
  <c r="AL271" i="1" s="1"/>
  <c r="P271" i="1"/>
  <c r="D271" i="1"/>
  <c r="F271" i="1" s="1"/>
  <c r="AZ514" i="1"/>
  <c r="AB514" i="1" s="1"/>
  <c r="AM514" i="1"/>
  <c r="W514" i="1"/>
  <c r="U514" i="1"/>
  <c r="AL514" i="1" s="1"/>
  <c r="P514" i="1"/>
  <c r="D514" i="1"/>
  <c r="F514" i="1" s="1"/>
  <c r="AZ149" i="1"/>
  <c r="AB149" i="1" s="1"/>
  <c r="AM149" i="1"/>
  <c r="W149" i="1"/>
  <c r="U149" i="1"/>
  <c r="AL149" i="1" s="1"/>
  <c r="P149" i="1"/>
  <c r="D149" i="1"/>
  <c r="F149" i="1" s="1"/>
  <c r="AM142" i="1"/>
  <c r="W142" i="1"/>
  <c r="AN142" i="1" s="1"/>
  <c r="U142" i="1"/>
  <c r="AL142" i="1" s="1"/>
  <c r="P142" i="1"/>
  <c r="D142" i="1"/>
  <c r="F142" i="1" s="1"/>
  <c r="AM147" i="1"/>
  <c r="W147" i="1"/>
  <c r="AG147" i="1" s="1"/>
  <c r="U147" i="1"/>
  <c r="AL147" i="1" s="1"/>
  <c r="P147" i="1"/>
  <c r="D147" i="1"/>
  <c r="F147" i="1" s="1"/>
  <c r="AZ155" i="1"/>
  <c r="AB155" i="1" s="1"/>
  <c r="AM155" i="1"/>
  <c r="W155" i="1"/>
  <c r="U155" i="1"/>
  <c r="AL155" i="1" s="1"/>
  <c r="P155" i="1"/>
  <c r="D155" i="1"/>
  <c r="F155" i="1" s="1"/>
  <c r="AZ248" i="1"/>
  <c r="AB248" i="1" s="1"/>
  <c r="AM248" i="1"/>
  <c r="W248" i="1"/>
  <c r="U248" i="1"/>
  <c r="AL248" i="1" s="1"/>
  <c r="P248" i="1"/>
  <c r="D248" i="1"/>
  <c r="F248" i="1" s="1"/>
  <c r="AZ247" i="1"/>
  <c r="AB247" i="1" s="1"/>
  <c r="AM247" i="1"/>
  <c r="W247" i="1"/>
  <c r="U247" i="1"/>
  <c r="AL247" i="1" s="1"/>
  <c r="P247" i="1"/>
  <c r="D247" i="1"/>
  <c r="F247" i="1" s="1"/>
  <c r="AZ275" i="1"/>
  <c r="AB275" i="1" s="1"/>
  <c r="AM275" i="1"/>
  <c r="W275" i="1"/>
  <c r="AH275" i="1" s="1"/>
  <c r="U275" i="1"/>
  <c r="AL275" i="1" s="1"/>
  <c r="P275" i="1"/>
  <c r="D275" i="1"/>
  <c r="F275" i="1" s="1"/>
  <c r="AZ70" i="1"/>
  <c r="AB70" i="1" s="1"/>
  <c r="AM70" i="1"/>
  <c r="W70" i="1"/>
  <c r="AH70" i="1" s="1"/>
  <c r="U70" i="1"/>
  <c r="AL70" i="1" s="1"/>
  <c r="P70" i="1"/>
  <c r="D70" i="1"/>
  <c r="F70" i="1" s="1"/>
  <c r="AZ137" i="1"/>
  <c r="AB137" i="1" s="1"/>
  <c r="AM137" i="1"/>
  <c r="W137" i="1"/>
  <c r="AN137" i="1" s="1"/>
  <c r="BK137" i="1" s="1"/>
  <c r="U137" i="1"/>
  <c r="AL137" i="1" s="1"/>
  <c r="P137" i="1"/>
  <c r="D137" i="1"/>
  <c r="F137" i="1" s="1"/>
  <c r="AZ23" i="1"/>
  <c r="AB23" i="1" s="1"/>
  <c r="AM23" i="1"/>
  <c r="W23" i="1"/>
  <c r="U23" i="1"/>
  <c r="AL23" i="1" s="1"/>
  <c r="P23" i="1"/>
  <c r="D23" i="1"/>
  <c r="F23" i="1" s="1"/>
  <c r="AM22" i="1"/>
  <c r="W22" i="1"/>
  <c r="U22" i="1"/>
  <c r="AL22" i="1" s="1"/>
  <c r="P22" i="1"/>
  <c r="D22" i="1"/>
  <c r="F22" i="1" s="1"/>
  <c r="AZ315" i="1"/>
  <c r="AB315" i="1" s="1"/>
  <c r="AM315" i="1"/>
  <c r="W315" i="1"/>
  <c r="U315" i="1"/>
  <c r="AL315" i="1" s="1"/>
  <c r="P315" i="1"/>
  <c r="D315" i="1"/>
  <c r="F315" i="1" s="1"/>
  <c r="AM314" i="1"/>
  <c r="W314" i="1"/>
  <c r="AN314" i="1" s="1"/>
  <c r="U314" i="1"/>
  <c r="AL314" i="1" s="1"/>
  <c r="P314" i="1"/>
  <c r="D314" i="1"/>
  <c r="F314" i="1" s="1"/>
  <c r="AZ313" i="1"/>
  <c r="AB313" i="1" s="1"/>
  <c r="AC313" i="1" s="1"/>
  <c r="AD313" i="1" s="1"/>
  <c r="AM313" i="1"/>
  <c r="W313" i="1"/>
  <c r="AN313" i="1" s="1"/>
  <c r="BK313" i="1" s="1"/>
  <c r="U313" i="1"/>
  <c r="AL313" i="1" s="1"/>
  <c r="P313" i="1"/>
  <c r="D313" i="1"/>
  <c r="F313" i="1" s="1"/>
  <c r="AZ96" i="1"/>
  <c r="AB96" i="1" s="1"/>
  <c r="AM96" i="1"/>
  <c r="W96" i="1"/>
  <c r="AH96" i="1" s="1"/>
  <c r="U96" i="1"/>
  <c r="AL96" i="1" s="1"/>
  <c r="P96" i="1"/>
  <c r="D96" i="1"/>
  <c r="F96" i="1" s="1"/>
  <c r="AZ95" i="1"/>
  <c r="AB95" i="1" s="1"/>
  <c r="AM95" i="1"/>
  <c r="W95" i="1"/>
  <c r="AH95" i="1" s="1"/>
  <c r="U95" i="1"/>
  <c r="AL95" i="1" s="1"/>
  <c r="P95" i="1"/>
  <c r="D95" i="1"/>
  <c r="F95" i="1" s="1"/>
  <c r="AZ80" i="1"/>
  <c r="AB80" i="1" s="1"/>
  <c r="AM80" i="1"/>
  <c r="W80" i="1"/>
  <c r="U80" i="1"/>
  <c r="AL80" i="1" s="1"/>
  <c r="P80" i="1"/>
  <c r="D80" i="1"/>
  <c r="F80" i="1" s="1"/>
  <c r="AZ94" i="1"/>
  <c r="AB94" i="1" s="1"/>
  <c r="AC94" i="1" s="1"/>
  <c r="AD94" i="1" s="1"/>
  <c r="AM94" i="1"/>
  <c r="W94" i="1"/>
  <c r="AN94" i="1" s="1"/>
  <c r="U94" i="1"/>
  <c r="AL94" i="1" s="1"/>
  <c r="P94" i="1"/>
  <c r="D94" i="1"/>
  <c r="F94" i="1" s="1"/>
  <c r="AZ93" i="1"/>
  <c r="AB93" i="1" s="1"/>
  <c r="AM93" i="1"/>
  <c r="W93" i="1"/>
  <c r="AH93" i="1" s="1"/>
  <c r="U93" i="1"/>
  <c r="AL93" i="1" s="1"/>
  <c r="P93" i="1"/>
  <c r="D93" i="1"/>
  <c r="F93" i="1" s="1"/>
  <c r="AM266" i="1"/>
  <c r="W266" i="1"/>
  <c r="U266" i="1"/>
  <c r="AL266" i="1" s="1"/>
  <c r="P266" i="1"/>
  <c r="D266" i="1"/>
  <c r="F266" i="1" s="1"/>
  <c r="AZ92" i="1"/>
  <c r="AB92" i="1" s="1"/>
  <c r="AM92" i="1"/>
  <c r="W92" i="1"/>
  <c r="U92" i="1"/>
  <c r="AL92" i="1" s="1"/>
  <c r="P92" i="1"/>
  <c r="D92" i="1"/>
  <c r="F92" i="1" s="1"/>
  <c r="AZ265" i="1"/>
  <c r="AB265" i="1" s="1"/>
  <c r="AM265" i="1"/>
  <c r="W265" i="1"/>
  <c r="AH265" i="1" s="1"/>
  <c r="U265" i="1"/>
  <c r="AL265" i="1" s="1"/>
  <c r="P265" i="1"/>
  <c r="D265" i="1"/>
  <c r="F265" i="1" s="1"/>
  <c r="AZ44" i="1"/>
  <c r="AB44" i="1" s="1"/>
  <c r="AM44" i="1"/>
  <c r="W44" i="1"/>
  <c r="U44" i="1"/>
  <c r="AL44" i="1" s="1"/>
  <c r="P44" i="1"/>
  <c r="D44" i="1"/>
  <c r="F44" i="1" s="1"/>
  <c r="AZ264" i="1"/>
  <c r="AB264" i="1" s="1"/>
  <c r="AM264" i="1"/>
  <c r="W264" i="1"/>
  <c r="AH264" i="1" s="1"/>
  <c r="U264" i="1"/>
  <c r="AL264" i="1" s="1"/>
  <c r="P264" i="1"/>
  <c r="D264" i="1"/>
  <c r="F264" i="1" s="1"/>
  <c r="AZ35" i="1"/>
  <c r="AB35" i="1" s="1"/>
  <c r="AM35" i="1"/>
  <c r="W35" i="1"/>
  <c r="AH35" i="1" s="1"/>
  <c r="U35" i="1"/>
  <c r="AL35" i="1" s="1"/>
  <c r="P35" i="1"/>
  <c r="D35" i="1"/>
  <c r="F35" i="1" s="1"/>
  <c r="AZ79" i="1"/>
  <c r="AB79" i="1" s="1"/>
  <c r="AM79" i="1"/>
  <c r="W79" i="1"/>
  <c r="AH79" i="1" s="1"/>
  <c r="U79" i="1"/>
  <c r="AL79" i="1" s="1"/>
  <c r="P79" i="1"/>
  <c r="D79" i="1"/>
  <c r="F79" i="1" s="1"/>
  <c r="AZ263" i="1"/>
  <c r="AB263" i="1" s="1"/>
  <c r="AM263" i="1"/>
  <c r="W263" i="1"/>
  <c r="AH263" i="1" s="1"/>
  <c r="U263" i="1"/>
  <c r="AL263" i="1" s="1"/>
  <c r="P263" i="1"/>
  <c r="D263" i="1"/>
  <c r="F263" i="1" s="1"/>
  <c r="AM34" i="1"/>
  <c r="W34" i="1"/>
  <c r="U34" i="1"/>
  <c r="AL34" i="1" s="1"/>
  <c r="P34" i="1"/>
  <c r="D34" i="1"/>
  <c r="F34" i="1" s="1"/>
  <c r="AZ262" i="1"/>
  <c r="AB262" i="1" s="1"/>
  <c r="AM262" i="1"/>
  <c r="W262" i="1"/>
  <c r="AH262" i="1" s="1"/>
  <c r="U262" i="1"/>
  <c r="AL262" i="1" s="1"/>
  <c r="P262" i="1"/>
  <c r="D262" i="1"/>
  <c r="F262" i="1" s="1"/>
  <c r="AZ33" i="1"/>
  <c r="AB33" i="1" s="1"/>
  <c r="AM33" i="1"/>
  <c r="W33" i="1"/>
  <c r="AH33" i="1" s="1"/>
  <c r="U33" i="1"/>
  <c r="AL33" i="1" s="1"/>
  <c r="P33" i="1"/>
  <c r="D33" i="1"/>
  <c r="F33" i="1" s="1"/>
  <c r="AZ261" i="1"/>
  <c r="AB261" i="1" s="1"/>
  <c r="AM261" i="1"/>
  <c r="W261" i="1"/>
  <c r="U261" i="1"/>
  <c r="AL261" i="1" s="1"/>
  <c r="P261" i="1"/>
  <c r="D261" i="1"/>
  <c r="F261" i="1" s="1"/>
  <c r="AZ78" i="1"/>
  <c r="AB78" i="1" s="1"/>
  <c r="AM78" i="1"/>
  <c r="W78" i="1"/>
  <c r="AH78" i="1" s="1"/>
  <c r="U78" i="1"/>
  <c r="AL78" i="1" s="1"/>
  <c r="P78" i="1"/>
  <c r="D78" i="1"/>
  <c r="F78" i="1" s="1"/>
  <c r="AZ77" i="1"/>
  <c r="AB77" i="1" s="1"/>
  <c r="AM77" i="1"/>
  <c r="W77" i="1"/>
  <c r="AH77" i="1" s="1"/>
  <c r="U77" i="1"/>
  <c r="AL77" i="1" s="1"/>
  <c r="P77" i="1"/>
  <c r="D77" i="1"/>
  <c r="F77" i="1" s="1"/>
  <c r="AZ32" i="1"/>
  <c r="AB32" i="1" s="1"/>
  <c r="AM32" i="1"/>
  <c r="W32" i="1"/>
  <c r="AH32" i="1" s="1"/>
  <c r="U32" i="1"/>
  <c r="AL32" i="1" s="1"/>
  <c r="P32" i="1"/>
  <c r="D32" i="1"/>
  <c r="F32" i="1" s="1"/>
  <c r="AZ31" i="1"/>
  <c r="AB31" i="1" s="1"/>
  <c r="AM31" i="1"/>
  <c r="W31" i="1"/>
  <c r="AH31" i="1" s="1"/>
  <c r="U31" i="1"/>
  <c r="AL31" i="1" s="1"/>
  <c r="P31" i="1"/>
  <c r="D31" i="1"/>
  <c r="F31" i="1" s="1"/>
  <c r="AM30" i="1"/>
  <c r="W30" i="1"/>
  <c r="AH30" i="1" s="1"/>
  <c r="U30" i="1"/>
  <c r="AL30" i="1" s="1"/>
  <c r="P30" i="1"/>
  <c r="D30" i="1"/>
  <c r="F30" i="1" s="1"/>
  <c r="AZ76" i="1"/>
  <c r="AB76" i="1" s="1"/>
  <c r="AM76" i="1"/>
  <c r="W76" i="1"/>
  <c r="U76" i="1"/>
  <c r="AL76" i="1" s="1"/>
  <c r="P76" i="1"/>
  <c r="D76" i="1"/>
  <c r="F76" i="1" s="1"/>
  <c r="AZ29" i="1"/>
  <c r="AB29" i="1" s="1"/>
  <c r="AM29" i="1"/>
  <c r="W29" i="1"/>
  <c r="AN29" i="1" s="1"/>
  <c r="U29" i="1"/>
  <c r="AL29" i="1" s="1"/>
  <c r="P29" i="1"/>
  <c r="D29" i="1"/>
  <c r="F29" i="1" s="1"/>
  <c r="AZ28" i="1"/>
  <c r="AB28" i="1" s="1"/>
  <c r="AM28" i="1"/>
  <c r="W28" i="1"/>
  <c r="U28" i="1"/>
  <c r="AL28" i="1" s="1"/>
  <c r="P28" i="1"/>
  <c r="D28" i="1"/>
  <c r="F28" i="1" s="1"/>
  <c r="AZ10" i="1"/>
  <c r="AB10" i="1" s="1"/>
  <c r="AM10" i="1"/>
  <c r="W10" i="1"/>
  <c r="U10" i="1"/>
  <c r="AL10" i="1" s="1"/>
  <c r="P10" i="1"/>
  <c r="D10" i="1"/>
  <c r="F10" i="1" s="1"/>
  <c r="AZ91" i="1"/>
  <c r="AB91" i="1" s="1"/>
  <c r="AM91" i="1"/>
  <c r="W91" i="1"/>
  <c r="AN91" i="1" s="1"/>
  <c r="BK91" i="1" s="1"/>
  <c r="U91" i="1"/>
  <c r="AL91" i="1" s="1"/>
  <c r="P91" i="1"/>
  <c r="D91" i="1"/>
  <c r="F91" i="1" s="1"/>
  <c r="AZ90" i="1"/>
  <c r="AB90" i="1" s="1"/>
  <c r="AM90" i="1"/>
  <c r="W90" i="1"/>
  <c r="AN90" i="1" s="1"/>
  <c r="BK90" i="1" s="1"/>
  <c r="U90" i="1"/>
  <c r="AL90" i="1" s="1"/>
  <c r="P90" i="1"/>
  <c r="D90" i="1"/>
  <c r="F90" i="1" s="1"/>
  <c r="AM9" i="1"/>
  <c r="W9" i="1"/>
  <c r="AG9" i="1" s="1"/>
  <c r="U9" i="1"/>
  <c r="AL9" i="1" s="1"/>
  <c r="P9" i="1"/>
  <c r="D9" i="1"/>
  <c r="F9" i="1" s="1"/>
  <c r="AZ135" i="1"/>
  <c r="AB135" i="1" s="1"/>
  <c r="AM135" i="1"/>
  <c r="W135" i="1"/>
  <c r="U135" i="1"/>
  <c r="AL135" i="1" s="1"/>
  <c r="P135" i="1"/>
  <c r="D135" i="1"/>
  <c r="F135" i="1" s="1"/>
  <c r="AZ8" i="1"/>
  <c r="AB8" i="1" s="1"/>
  <c r="AM8" i="1"/>
  <c r="W8" i="1"/>
  <c r="U8" i="1"/>
  <c r="AL8" i="1" s="1"/>
  <c r="P8" i="1"/>
  <c r="D8" i="1"/>
  <c r="F8" i="1" s="1"/>
  <c r="AZ7" i="1"/>
  <c r="AB7" i="1" s="1"/>
  <c r="AM7" i="1"/>
  <c r="W7" i="1"/>
  <c r="U7" i="1"/>
  <c r="AL7" i="1" s="1"/>
  <c r="P7" i="1"/>
  <c r="D7" i="1"/>
  <c r="F7" i="1" s="1"/>
  <c r="AZ113" i="1"/>
  <c r="AB113" i="1" s="1"/>
  <c r="AM113" i="1"/>
  <c r="W113" i="1"/>
  <c r="U113" i="1"/>
  <c r="AL113" i="1" s="1"/>
  <c r="P113" i="1"/>
  <c r="D113" i="1"/>
  <c r="F113" i="1" s="1"/>
  <c r="AM148" i="1"/>
  <c r="W148" i="1"/>
  <c r="U148" i="1"/>
  <c r="AL148" i="1" s="1"/>
  <c r="P148" i="1"/>
  <c r="D148" i="1"/>
  <c r="F148" i="1" s="1"/>
  <c r="AZ14" i="1"/>
  <c r="AB14" i="1" s="1"/>
  <c r="AM14" i="1"/>
  <c r="W14" i="1"/>
  <c r="U14" i="1"/>
  <c r="AL14" i="1" s="1"/>
  <c r="P14" i="1"/>
  <c r="D14" i="1"/>
  <c r="F14" i="1" s="1"/>
  <c r="AZ13" i="1"/>
  <c r="AB13" i="1" s="1"/>
  <c r="AM13" i="1"/>
  <c r="W13" i="1"/>
  <c r="U13" i="1"/>
  <c r="AL13" i="1" s="1"/>
  <c r="P13" i="1"/>
  <c r="D13" i="1"/>
  <c r="F13" i="1" s="1"/>
  <c r="AM134" i="1"/>
  <c r="W134" i="1"/>
  <c r="AG134" i="1" s="1"/>
  <c r="U134" i="1"/>
  <c r="AL134" i="1" s="1"/>
  <c r="P134" i="1"/>
  <c r="D134" i="1"/>
  <c r="F134" i="1" s="1"/>
  <c r="AZ133" i="1"/>
  <c r="AB133" i="1" s="1"/>
  <c r="AM133" i="1"/>
  <c r="W133" i="1"/>
  <c r="AG133" i="1" s="1"/>
  <c r="U133" i="1"/>
  <c r="AL133" i="1" s="1"/>
  <c r="P133" i="1"/>
  <c r="D133" i="1"/>
  <c r="F133" i="1" s="1"/>
  <c r="AZ132" i="1"/>
  <c r="AB132" i="1" s="1"/>
  <c r="AM132" i="1"/>
  <c r="W132" i="1"/>
  <c r="U132" i="1"/>
  <c r="AL132" i="1" s="1"/>
  <c r="P132" i="1"/>
  <c r="D132" i="1"/>
  <c r="F132" i="1" s="1"/>
  <c r="AZ131" i="1"/>
  <c r="AB131" i="1" s="1"/>
  <c r="AM131" i="1"/>
  <c r="W131" i="1"/>
  <c r="AG131" i="1" s="1"/>
  <c r="U131" i="1"/>
  <c r="AL131" i="1" s="1"/>
  <c r="P131" i="1"/>
  <c r="D131" i="1"/>
  <c r="F131" i="1" s="1"/>
  <c r="AZ75" i="1"/>
  <c r="AB75" i="1" s="1"/>
  <c r="AM75" i="1"/>
  <c r="W75" i="1"/>
  <c r="AG75" i="1" s="1"/>
  <c r="U75" i="1"/>
  <c r="AL75" i="1" s="1"/>
  <c r="P75" i="1"/>
  <c r="D75" i="1"/>
  <c r="F75" i="1" s="1"/>
  <c r="AZ48" i="1"/>
  <c r="AB48" i="1" s="1"/>
  <c r="AM48" i="1"/>
  <c r="W48" i="1"/>
  <c r="U48" i="1"/>
  <c r="AL48" i="1" s="1"/>
  <c r="P48" i="1"/>
  <c r="D48" i="1"/>
  <c r="F48" i="1" s="1"/>
  <c r="AZ130" i="1"/>
  <c r="AB130" i="1" s="1"/>
  <c r="AM130" i="1"/>
  <c r="W130" i="1"/>
  <c r="U130" i="1"/>
  <c r="AL130" i="1" s="1"/>
  <c r="P130" i="1"/>
  <c r="D130" i="1"/>
  <c r="F130" i="1" s="1"/>
  <c r="AZ129" i="1"/>
  <c r="AB129" i="1" s="1"/>
  <c r="AM129" i="1"/>
  <c r="W129" i="1"/>
  <c r="U129" i="1"/>
  <c r="AL129" i="1" s="1"/>
  <c r="P129" i="1"/>
  <c r="D129" i="1"/>
  <c r="F129" i="1" s="1"/>
  <c r="AZ47" i="1"/>
  <c r="AB47" i="1" s="1"/>
  <c r="AM47" i="1"/>
  <c r="W47" i="1"/>
  <c r="AG47" i="1" s="1"/>
  <c r="U47" i="1"/>
  <c r="AL47" i="1" s="1"/>
  <c r="P47" i="1"/>
  <c r="D47" i="1"/>
  <c r="F47" i="1" s="1"/>
  <c r="AZ128" i="1"/>
  <c r="AB128" i="1" s="1"/>
  <c r="AM128" i="1"/>
  <c r="W128" i="1"/>
  <c r="U128" i="1"/>
  <c r="AL128" i="1" s="1"/>
  <c r="P128" i="1"/>
  <c r="D128" i="1"/>
  <c r="F128" i="1" s="1"/>
  <c r="AZ74" i="1"/>
  <c r="AB74" i="1" s="1"/>
  <c r="AM74" i="1"/>
  <c r="W74" i="1"/>
  <c r="U74" i="1"/>
  <c r="AL74" i="1" s="1"/>
  <c r="P74" i="1"/>
  <c r="D74" i="1"/>
  <c r="F74" i="1" s="1"/>
  <c r="AZ312" i="1"/>
  <c r="AB312" i="1" s="1"/>
  <c r="AM312" i="1"/>
  <c r="W312" i="1"/>
  <c r="U312" i="1"/>
  <c r="AL312" i="1" s="1"/>
  <c r="P312" i="1"/>
  <c r="D312" i="1"/>
  <c r="F312" i="1" s="1"/>
  <c r="AZ641" i="1"/>
  <c r="AB641" i="1" s="1"/>
  <c r="AM641" i="1"/>
  <c r="W641" i="1"/>
  <c r="AG641" i="1" s="1"/>
  <c r="U641" i="1"/>
  <c r="AL641" i="1" s="1"/>
  <c r="P641" i="1"/>
  <c r="D641" i="1"/>
  <c r="F641" i="1" s="1"/>
  <c r="AZ311" i="1"/>
  <c r="AB311" i="1" s="1"/>
  <c r="AM311" i="1"/>
  <c r="W311" i="1"/>
  <c r="AG311" i="1" s="1"/>
  <c r="U311" i="1"/>
  <c r="AL311" i="1" s="1"/>
  <c r="P311" i="1"/>
  <c r="D311" i="1"/>
  <c r="F311" i="1" s="1"/>
  <c r="AZ194" i="1"/>
  <c r="AB194" i="1" s="1"/>
  <c r="AM194" i="1"/>
  <c r="W194" i="1"/>
  <c r="U194" i="1"/>
  <c r="AL194" i="1" s="1"/>
  <c r="P194" i="1"/>
  <c r="D194" i="1"/>
  <c r="F194" i="1" s="1"/>
  <c r="AZ310" i="1"/>
  <c r="AB310" i="1" s="1"/>
  <c r="AM310" i="1"/>
  <c r="W310" i="1"/>
  <c r="AG310" i="1" s="1"/>
  <c r="U310" i="1"/>
  <c r="AL310" i="1" s="1"/>
  <c r="P310" i="1"/>
  <c r="D310" i="1"/>
  <c r="F310" i="1" s="1"/>
  <c r="AZ634" i="1"/>
  <c r="AB634" i="1" s="1"/>
  <c r="AM634" i="1"/>
  <c r="W634" i="1"/>
  <c r="U634" i="1"/>
  <c r="AL634" i="1" s="1"/>
  <c r="P634" i="1"/>
  <c r="D634" i="1"/>
  <c r="F634" i="1" s="1"/>
  <c r="AZ193" i="1"/>
  <c r="AB193" i="1" s="1"/>
  <c r="AM193" i="1"/>
  <c r="W193" i="1"/>
  <c r="AG193" i="1" s="1"/>
  <c r="U193" i="1"/>
  <c r="AL193" i="1" s="1"/>
  <c r="P193" i="1"/>
  <c r="D193" i="1"/>
  <c r="F193" i="1" s="1"/>
  <c r="AZ192" i="1"/>
  <c r="AB192" i="1" s="1"/>
  <c r="AM192" i="1"/>
  <c r="W192" i="1"/>
  <c r="AG192" i="1" s="1"/>
  <c r="U192" i="1"/>
  <c r="AL192" i="1" s="1"/>
  <c r="P192" i="1"/>
  <c r="D192" i="1"/>
  <c r="F192" i="1" s="1"/>
  <c r="AZ191" i="1"/>
  <c r="AB191" i="1" s="1"/>
  <c r="AM191" i="1"/>
  <c r="W191" i="1"/>
  <c r="AG191" i="1" s="1"/>
  <c r="U191" i="1"/>
  <c r="AL191" i="1" s="1"/>
  <c r="P191" i="1"/>
  <c r="D191" i="1"/>
  <c r="F191" i="1" s="1"/>
  <c r="AZ190" i="1"/>
  <c r="AB190" i="1" s="1"/>
  <c r="AM190" i="1"/>
  <c r="W190" i="1"/>
  <c r="AG190" i="1" s="1"/>
  <c r="U190" i="1"/>
  <c r="AL190" i="1" s="1"/>
  <c r="P190" i="1"/>
  <c r="D190" i="1"/>
  <c r="F190" i="1" s="1"/>
  <c r="AM532" i="1"/>
  <c r="W532" i="1"/>
  <c r="AG532" i="1" s="1"/>
  <c r="U532" i="1"/>
  <c r="AL532" i="1" s="1"/>
  <c r="P532" i="1"/>
  <c r="D532" i="1"/>
  <c r="F532" i="1" s="1"/>
  <c r="AZ531" i="1"/>
  <c r="AB531" i="1" s="1"/>
  <c r="AM531" i="1"/>
  <c r="W531" i="1"/>
  <c r="AG531" i="1" s="1"/>
  <c r="U531" i="1"/>
  <c r="AL531" i="1" s="1"/>
  <c r="P531" i="1"/>
  <c r="D531" i="1"/>
  <c r="F531" i="1" s="1"/>
  <c r="AZ547" i="1"/>
  <c r="AB547" i="1" s="1"/>
  <c r="AM547" i="1"/>
  <c r="W547" i="1"/>
  <c r="U547" i="1"/>
  <c r="AL547" i="1" s="1"/>
  <c r="P547" i="1"/>
  <c r="D547" i="1"/>
  <c r="F547" i="1" s="1"/>
  <c r="AM308" i="1"/>
  <c r="W308" i="1"/>
  <c r="AG308" i="1" s="1"/>
  <c r="U308" i="1"/>
  <c r="AL308" i="1" s="1"/>
  <c r="P308" i="1"/>
  <c r="D308" i="1"/>
  <c r="F308" i="1" s="1"/>
  <c r="AZ288" i="1"/>
  <c r="AB288" i="1" s="1"/>
  <c r="AM288" i="1"/>
  <c r="W288" i="1"/>
  <c r="AG288" i="1" s="1"/>
  <c r="U288" i="1"/>
  <c r="AL288" i="1" s="1"/>
  <c r="P288" i="1"/>
  <c r="D288" i="1"/>
  <c r="F288" i="1" s="1"/>
  <c r="AZ246" i="1"/>
  <c r="AB246" i="1" s="1"/>
  <c r="AM246" i="1"/>
  <c r="W246" i="1"/>
  <c r="U246" i="1"/>
  <c r="AL246" i="1" s="1"/>
  <c r="P246" i="1"/>
  <c r="D246" i="1"/>
  <c r="F246" i="1" s="1"/>
  <c r="AZ27" i="1"/>
  <c r="AB27" i="1" s="1"/>
  <c r="AM27" i="1"/>
  <c r="W27" i="1"/>
  <c r="AG27" i="1" s="1"/>
  <c r="U27" i="1"/>
  <c r="AL27" i="1" s="1"/>
  <c r="P27" i="1"/>
  <c r="D27" i="1"/>
  <c r="F27" i="1" s="1"/>
  <c r="AZ26" i="1"/>
  <c r="AB26" i="1" s="1"/>
  <c r="AM26" i="1"/>
  <c r="W26" i="1"/>
  <c r="U26" i="1"/>
  <c r="AL26" i="1" s="1"/>
  <c r="P26" i="1"/>
  <c r="D26" i="1"/>
  <c r="F26" i="1" s="1"/>
  <c r="AZ73" i="1"/>
  <c r="AB73" i="1" s="1"/>
  <c r="AM73" i="1"/>
  <c r="W73" i="1"/>
  <c r="AG73" i="1" s="1"/>
  <c r="U73" i="1"/>
  <c r="AL73" i="1" s="1"/>
  <c r="P73" i="1"/>
  <c r="D73" i="1"/>
  <c r="F73" i="1" s="1"/>
  <c r="AZ72" i="1"/>
  <c r="AB72" i="1" s="1"/>
  <c r="AM72" i="1"/>
  <c r="W72" i="1"/>
  <c r="U72" i="1"/>
  <c r="AL72" i="1" s="1"/>
  <c r="P72" i="1"/>
  <c r="D72" i="1"/>
  <c r="F72" i="1" s="1"/>
  <c r="AZ121" i="1"/>
  <c r="AB121" i="1" s="1"/>
  <c r="AM121" i="1"/>
  <c r="W121" i="1"/>
  <c r="AG121" i="1" s="1"/>
  <c r="U121" i="1"/>
  <c r="AL121" i="1" s="1"/>
  <c r="P121" i="1"/>
  <c r="D121" i="1"/>
  <c r="F121" i="1" s="1"/>
  <c r="AZ120" i="1"/>
  <c r="AB120" i="1" s="1"/>
  <c r="AM120" i="1"/>
  <c r="W120" i="1"/>
  <c r="AG120" i="1" s="1"/>
  <c r="U120" i="1"/>
  <c r="AL120" i="1" s="1"/>
  <c r="P120" i="1"/>
  <c r="D120" i="1"/>
  <c r="F120" i="1" s="1"/>
  <c r="AZ589" i="1"/>
  <c r="AB589" i="1" s="1"/>
  <c r="AM589" i="1"/>
  <c r="W589" i="1"/>
  <c r="AG589" i="1" s="1"/>
  <c r="U589" i="1"/>
  <c r="AL589" i="1" s="1"/>
  <c r="P589" i="1"/>
  <c r="D589" i="1"/>
  <c r="F589" i="1" s="1"/>
  <c r="AZ422" i="1"/>
  <c r="AB422" i="1" s="1"/>
  <c r="AM422" i="1"/>
  <c r="W422" i="1"/>
  <c r="U422" i="1"/>
  <c r="AL422" i="1" s="1"/>
  <c r="P422" i="1"/>
  <c r="D422" i="1"/>
  <c r="F422" i="1" s="1"/>
  <c r="AZ180" i="1"/>
  <c r="AB180" i="1" s="1"/>
  <c r="AM180" i="1"/>
  <c r="W180" i="1"/>
  <c r="AG180" i="1" s="1"/>
  <c r="U180" i="1"/>
  <c r="AL180" i="1" s="1"/>
  <c r="P180" i="1"/>
  <c r="D180" i="1"/>
  <c r="F180" i="1" s="1"/>
  <c r="AZ119" i="1"/>
  <c r="AB119" i="1" s="1"/>
  <c r="AM119" i="1"/>
  <c r="W119" i="1"/>
  <c r="U119" i="1"/>
  <c r="AL119" i="1" s="1"/>
  <c r="P119" i="1"/>
  <c r="D119" i="1"/>
  <c r="F119" i="1" s="1"/>
  <c r="AZ339" i="1"/>
  <c r="AB339" i="1" s="1"/>
  <c r="AM339" i="1"/>
  <c r="W339" i="1"/>
  <c r="AG339" i="1" s="1"/>
  <c r="U339" i="1"/>
  <c r="AL339" i="1" s="1"/>
  <c r="P339" i="1"/>
  <c r="D339" i="1"/>
  <c r="F339" i="1" s="1"/>
  <c r="AM284" i="1"/>
  <c r="W284" i="1"/>
  <c r="U284" i="1"/>
  <c r="AL284" i="1" s="1"/>
  <c r="P284" i="1"/>
  <c r="D284" i="1"/>
  <c r="F284" i="1" s="1"/>
  <c r="AM347" i="1"/>
  <c r="W347" i="1"/>
  <c r="AG347" i="1" s="1"/>
  <c r="U347" i="1"/>
  <c r="AL347" i="1" s="1"/>
  <c r="P347" i="1"/>
  <c r="D347" i="1"/>
  <c r="F347" i="1" s="1"/>
  <c r="AZ40" i="1"/>
  <c r="AB40" i="1" s="1"/>
  <c r="AM40" i="1"/>
  <c r="W40" i="1"/>
  <c r="U40" i="1"/>
  <c r="AL40" i="1" s="1"/>
  <c r="P40" i="1"/>
  <c r="D40" i="1"/>
  <c r="F40" i="1" s="1"/>
  <c r="AZ127" i="1"/>
  <c r="AB127" i="1" s="1"/>
  <c r="AM127" i="1"/>
  <c r="W127" i="1"/>
  <c r="AH127" i="1" s="1"/>
  <c r="U127" i="1"/>
  <c r="AL127" i="1" s="1"/>
  <c r="P127" i="1"/>
  <c r="D127" i="1"/>
  <c r="F127" i="1" s="1"/>
  <c r="AZ519" i="1"/>
  <c r="AB519" i="1" s="1"/>
  <c r="AM519" i="1"/>
  <c r="W519" i="1"/>
  <c r="AG519" i="1" s="1"/>
  <c r="U519" i="1"/>
  <c r="AL519" i="1" s="1"/>
  <c r="P519" i="1"/>
  <c r="D519" i="1"/>
  <c r="F519" i="1" s="1"/>
  <c r="AM538" i="1"/>
  <c r="W538" i="1"/>
  <c r="AH538" i="1" s="1"/>
  <c r="U538" i="1"/>
  <c r="AL538" i="1" s="1"/>
  <c r="P538" i="1"/>
  <c r="D538" i="1"/>
  <c r="F538" i="1" s="1"/>
  <c r="AZ112" i="1"/>
  <c r="AB112" i="1" s="1"/>
  <c r="AM112" i="1"/>
  <c r="W112" i="1"/>
  <c r="U112" i="1"/>
  <c r="AL112" i="1" s="1"/>
  <c r="P112" i="1"/>
  <c r="D112" i="1"/>
  <c r="F112" i="1" s="1"/>
  <c r="AZ111" i="1"/>
  <c r="AB111" i="1" s="1"/>
  <c r="AM111" i="1"/>
  <c r="W111" i="1"/>
  <c r="AG111" i="1" s="1"/>
  <c r="U111" i="1"/>
  <c r="AL111" i="1" s="1"/>
  <c r="P111" i="1"/>
  <c r="D111" i="1"/>
  <c r="F111" i="1" s="1"/>
  <c r="AZ338" i="1"/>
  <c r="AB338" i="1" s="1"/>
  <c r="AM338" i="1"/>
  <c r="W338" i="1"/>
  <c r="AG338" i="1" s="1"/>
  <c r="U338" i="1"/>
  <c r="AL338" i="1" s="1"/>
  <c r="P338" i="1"/>
  <c r="D338" i="1"/>
  <c r="F338" i="1" s="1"/>
  <c r="AM179" i="1"/>
  <c r="W179" i="1"/>
  <c r="AG179" i="1" s="1"/>
  <c r="U179" i="1"/>
  <c r="AL179" i="1" s="1"/>
  <c r="P179" i="1"/>
  <c r="D179" i="1"/>
  <c r="F179" i="1" s="1"/>
  <c r="AZ185" i="1"/>
  <c r="AB185" i="1" s="1"/>
  <c r="AM185" i="1"/>
  <c r="W185" i="1"/>
  <c r="AG185" i="1" s="1"/>
  <c r="U185" i="1"/>
  <c r="AL185" i="1" s="1"/>
  <c r="P185" i="1"/>
  <c r="D185" i="1"/>
  <c r="F185" i="1" s="1"/>
  <c r="AZ6" i="1"/>
  <c r="AB6" i="1" s="1"/>
  <c r="AM6" i="1"/>
  <c r="W6" i="1"/>
  <c r="AG6" i="1" s="1"/>
  <c r="U6" i="1"/>
  <c r="AL6" i="1" s="1"/>
  <c r="P6" i="1"/>
  <c r="D6" i="1"/>
  <c r="F6" i="1" s="1"/>
  <c r="AZ71" i="1"/>
  <c r="AB71" i="1" s="1"/>
  <c r="AM71" i="1"/>
  <c r="W71" i="1"/>
  <c r="AG71" i="1" s="1"/>
  <c r="U71" i="1"/>
  <c r="AL71" i="1" s="1"/>
  <c r="P71" i="1"/>
  <c r="D71" i="1"/>
  <c r="F71" i="1" s="1"/>
  <c r="AZ67" i="1"/>
  <c r="AB67" i="1" s="1"/>
  <c r="AM67" i="1"/>
  <c r="W67" i="1"/>
  <c r="AH67" i="1" s="1"/>
  <c r="U67" i="1"/>
  <c r="AL67" i="1" s="1"/>
  <c r="P67" i="1"/>
  <c r="D67" i="1"/>
  <c r="F67" i="1" s="1"/>
  <c r="AZ66" i="1"/>
  <c r="AB66" i="1" s="1"/>
  <c r="AM66" i="1"/>
  <c r="W66" i="1"/>
  <c r="AG66" i="1" s="1"/>
  <c r="U66" i="1"/>
  <c r="AL66" i="1" s="1"/>
  <c r="P66" i="1"/>
  <c r="D66" i="1"/>
  <c r="F66" i="1" s="1"/>
  <c r="AZ5" i="1"/>
  <c r="AB5" i="1" s="1"/>
  <c r="AM5" i="1"/>
  <c r="W5" i="1"/>
  <c r="U5" i="1"/>
  <c r="AL5" i="1" s="1"/>
  <c r="P5" i="1"/>
  <c r="D5" i="1"/>
  <c r="F5" i="1" s="1"/>
  <c r="AZ177" i="1"/>
  <c r="AB177" i="1" s="1"/>
  <c r="AM177" i="1"/>
  <c r="W177" i="1"/>
  <c r="AH177" i="1" s="1"/>
  <c r="U177" i="1"/>
  <c r="AL177" i="1" s="1"/>
  <c r="P177" i="1"/>
  <c r="D177" i="1"/>
  <c r="F177" i="1" s="1"/>
  <c r="AM374" i="1"/>
  <c r="W374" i="1"/>
  <c r="U374" i="1"/>
  <c r="AL374" i="1" s="1"/>
  <c r="P374" i="1"/>
  <c r="D374" i="1"/>
  <c r="F374" i="1" s="1"/>
  <c r="AZ373" i="1"/>
  <c r="AB373" i="1" s="1"/>
  <c r="AM373" i="1"/>
  <c r="W373" i="1"/>
  <c r="AG373" i="1" s="1"/>
  <c r="U373" i="1"/>
  <c r="AL373" i="1" s="1"/>
  <c r="P373" i="1"/>
  <c r="D373" i="1"/>
  <c r="F373" i="1" s="1"/>
  <c r="AZ184" i="1"/>
  <c r="AB184" i="1" s="1"/>
  <c r="AM184" i="1"/>
  <c r="W184" i="1"/>
  <c r="AH184" i="1" s="1"/>
  <c r="U184" i="1"/>
  <c r="AL184" i="1" s="1"/>
  <c r="P184" i="1"/>
  <c r="D184" i="1"/>
  <c r="F184" i="1" s="1"/>
  <c r="AM410" i="1"/>
  <c r="W410" i="1"/>
  <c r="U410" i="1"/>
  <c r="AL410" i="1" s="1"/>
  <c r="P410" i="1"/>
  <c r="D410" i="1"/>
  <c r="F410" i="1" s="1"/>
  <c r="AZ409" i="1"/>
  <c r="AB409" i="1" s="1"/>
  <c r="AM409" i="1"/>
  <c r="W409" i="1"/>
  <c r="U409" i="1"/>
  <c r="AL409" i="1" s="1"/>
  <c r="P409" i="1"/>
  <c r="D409" i="1"/>
  <c r="F409" i="1" s="1"/>
  <c r="AZ408" i="1"/>
  <c r="AB408" i="1" s="1"/>
  <c r="AM408" i="1"/>
  <c r="W408" i="1"/>
  <c r="AG408" i="1" s="1"/>
  <c r="U408" i="1"/>
  <c r="AL408" i="1" s="1"/>
  <c r="P408" i="1"/>
  <c r="D408" i="1"/>
  <c r="F408" i="1" s="1"/>
  <c r="AZ407" i="1"/>
  <c r="AB407" i="1" s="1"/>
  <c r="AM407" i="1"/>
  <c r="W407" i="1"/>
  <c r="U407" i="1"/>
  <c r="AL407" i="1" s="1"/>
  <c r="P407" i="1"/>
  <c r="D407" i="1"/>
  <c r="F407" i="1" s="1"/>
  <c r="AM406" i="1"/>
  <c r="W406" i="1"/>
  <c r="U406" i="1"/>
  <c r="AL406" i="1" s="1"/>
  <c r="P406" i="1"/>
  <c r="D406" i="1"/>
  <c r="F406" i="1" s="1"/>
  <c r="AZ154" i="1"/>
  <c r="AB154" i="1" s="1"/>
  <c r="AM154" i="1"/>
  <c r="W154" i="1"/>
  <c r="AH154" i="1" s="1"/>
  <c r="U154" i="1"/>
  <c r="AL154" i="1" s="1"/>
  <c r="P154" i="1"/>
  <c r="D154" i="1"/>
  <c r="F154" i="1" s="1"/>
  <c r="AZ153" i="1"/>
  <c r="AB153" i="1" s="1"/>
  <c r="AM153" i="1"/>
  <c r="W153" i="1"/>
  <c r="AH153" i="1" s="1"/>
  <c r="U153" i="1"/>
  <c r="AL153" i="1" s="1"/>
  <c r="P153" i="1"/>
  <c r="D153" i="1"/>
  <c r="F153" i="1" s="1"/>
  <c r="AZ171" i="1"/>
  <c r="AB171" i="1" s="1"/>
  <c r="AM171" i="1"/>
  <c r="W171" i="1"/>
  <c r="AH171" i="1" s="1"/>
  <c r="U171" i="1"/>
  <c r="AL171" i="1" s="1"/>
  <c r="P171" i="1"/>
  <c r="D171" i="1"/>
  <c r="F171" i="1" s="1"/>
  <c r="AZ136" i="1"/>
  <c r="AB136" i="1" s="1"/>
  <c r="AM136" i="1"/>
  <c r="W136" i="1"/>
  <c r="U136" i="1"/>
  <c r="AL136" i="1" s="1"/>
  <c r="P136" i="1"/>
  <c r="D136" i="1"/>
  <c r="F136" i="1" s="1"/>
  <c r="AZ110" i="1"/>
  <c r="AB110" i="1" s="1"/>
  <c r="AM110" i="1"/>
  <c r="W110" i="1"/>
  <c r="U110" i="1"/>
  <c r="AL110" i="1" s="1"/>
  <c r="P110" i="1"/>
  <c r="D110" i="1"/>
  <c r="F110" i="1" s="1"/>
  <c r="AZ109" i="1"/>
  <c r="AB109" i="1" s="1"/>
  <c r="AM109" i="1"/>
  <c r="W109" i="1"/>
  <c r="AG109" i="1" s="1"/>
  <c r="U109" i="1"/>
  <c r="AL109" i="1" s="1"/>
  <c r="P109" i="1"/>
  <c r="D109" i="1"/>
  <c r="F109" i="1" s="1"/>
  <c r="AZ39" i="1"/>
  <c r="AB39" i="1" s="1"/>
  <c r="AM39" i="1"/>
  <c r="W39" i="1"/>
  <c r="U39" i="1"/>
  <c r="AL39" i="1" s="1"/>
  <c r="P39" i="1"/>
  <c r="D39" i="1"/>
  <c r="F39" i="1" s="1"/>
  <c r="AM513" i="1"/>
  <c r="W513" i="1"/>
  <c r="AG513" i="1" s="1"/>
  <c r="U513" i="1"/>
  <c r="AL513" i="1" s="1"/>
  <c r="P513" i="1"/>
  <c r="D513" i="1"/>
  <c r="F513" i="1" s="1"/>
  <c r="AZ421" i="1"/>
  <c r="AB421" i="1" s="1"/>
  <c r="AM421" i="1"/>
  <c r="W421" i="1"/>
  <c r="AH421" i="1" s="1"/>
  <c r="U421" i="1"/>
  <c r="AL421" i="1" s="1"/>
  <c r="P421" i="1"/>
  <c r="D421" i="1"/>
  <c r="F421" i="1" s="1"/>
  <c r="AZ88" i="1"/>
  <c r="AB88" i="1" s="1"/>
  <c r="AM88" i="1"/>
  <c r="W88" i="1"/>
  <c r="AH88" i="1" s="1"/>
  <c r="U88" i="1"/>
  <c r="AL88" i="1" s="1"/>
  <c r="P88" i="1"/>
  <c r="D88" i="1"/>
  <c r="F88" i="1" s="1"/>
  <c r="AZ87" i="1"/>
  <c r="AB87" i="1" s="1"/>
  <c r="AM87" i="1"/>
  <c r="W87" i="1"/>
  <c r="AH87" i="1" s="1"/>
  <c r="U87" i="1"/>
  <c r="AL87" i="1" s="1"/>
  <c r="P87" i="1"/>
  <c r="D87" i="1"/>
  <c r="F87" i="1" s="1"/>
  <c r="AZ86" i="1"/>
  <c r="AB86" i="1" s="1"/>
  <c r="AM86" i="1"/>
  <c r="W86" i="1"/>
  <c r="U86" i="1"/>
  <c r="AL86" i="1" s="1"/>
  <c r="P86" i="1"/>
  <c r="D86" i="1"/>
  <c r="F86" i="1" s="1"/>
  <c r="AZ85" i="1"/>
  <c r="AB85" i="1" s="1"/>
  <c r="AM85" i="1"/>
  <c r="W85" i="1"/>
  <c r="AG85" i="1" s="1"/>
  <c r="U85" i="1"/>
  <c r="AL85" i="1" s="1"/>
  <c r="P85" i="1"/>
  <c r="D85" i="1"/>
  <c r="F85" i="1" s="1"/>
  <c r="AZ84" i="1"/>
  <c r="AB84" i="1" s="1"/>
  <c r="AM84" i="1"/>
  <c r="W84" i="1"/>
  <c r="AG84" i="1" s="1"/>
  <c r="U84" i="1"/>
  <c r="AL84" i="1" s="1"/>
  <c r="P84" i="1"/>
  <c r="D84" i="1"/>
  <c r="F84" i="1" s="1"/>
  <c r="AZ83" i="1"/>
  <c r="AB83" i="1" s="1"/>
  <c r="AM83" i="1"/>
  <c r="W83" i="1"/>
  <c r="AG83" i="1" s="1"/>
  <c r="U83" i="1"/>
  <c r="AL83" i="1" s="1"/>
  <c r="P83" i="1"/>
  <c r="D83" i="1"/>
  <c r="F83" i="1" s="1"/>
  <c r="AZ82" i="1"/>
  <c r="AB82" i="1" s="1"/>
  <c r="AM82" i="1"/>
  <c r="W82" i="1"/>
  <c r="AN82" i="1" s="1"/>
  <c r="U82" i="1"/>
  <c r="AL82" i="1" s="1"/>
  <c r="P82" i="1"/>
  <c r="D82" i="1"/>
  <c r="F82" i="1" s="1"/>
  <c r="AZ81" i="1"/>
  <c r="AB81" i="1" s="1"/>
  <c r="AM81" i="1"/>
  <c r="W81" i="1"/>
  <c r="AH81" i="1" s="1"/>
  <c r="U81" i="1"/>
  <c r="AL81" i="1" s="1"/>
  <c r="P81" i="1"/>
  <c r="D81" i="1"/>
  <c r="F81" i="1" s="1"/>
  <c r="AZ141" i="1"/>
  <c r="AB141" i="1" s="1"/>
  <c r="AM141" i="1"/>
  <c r="W141" i="1"/>
  <c r="U141" i="1"/>
  <c r="AL141" i="1" s="1"/>
  <c r="P141" i="1"/>
  <c r="D141" i="1"/>
  <c r="F141" i="1" s="1"/>
  <c r="AM140" i="1"/>
  <c r="W140" i="1"/>
  <c r="U140" i="1"/>
  <c r="AL140" i="1" s="1"/>
  <c r="P140" i="1"/>
  <c r="D140" i="1"/>
  <c r="F140" i="1" s="1"/>
  <c r="AM139" i="1"/>
  <c r="W139" i="1"/>
  <c r="AG139" i="1" s="1"/>
  <c r="U139" i="1"/>
  <c r="AL139" i="1" s="1"/>
  <c r="P139" i="1"/>
  <c r="D139" i="1"/>
  <c r="F139" i="1" s="1"/>
  <c r="AZ138" i="1"/>
  <c r="AB138" i="1" s="1"/>
  <c r="AM138" i="1"/>
  <c r="W138" i="1"/>
  <c r="AG138" i="1" s="1"/>
  <c r="U138" i="1"/>
  <c r="AL138" i="1" s="1"/>
  <c r="P138" i="1"/>
  <c r="D138" i="1"/>
  <c r="F138" i="1" s="1"/>
  <c r="AZ438" i="1"/>
  <c r="AB438" i="1" s="1"/>
  <c r="AM438" i="1"/>
  <c r="W438" i="1"/>
  <c r="U438" i="1"/>
  <c r="AL438" i="1" s="1"/>
  <c r="P438" i="1"/>
  <c r="D438" i="1"/>
  <c r="F438" i="1" s="1"/>
  <c r="AZ437" i="1"/>
  <c r="AB437" i="1" s="1"/>
  <c r="AM437" i="1"/>
  <c r="W437" i="1"/>
  <c r="AH437" i="1" s="1"/>
  <c r="U437" i="1"/>
  <c r="AL437" i="1" s="1"/>
  <c r="P437" i="1"/>
  <c r="D437" i="1"/>
  <c r="F437" i="1" s="1"/>
  <c r="AM436" i="1"/>
  <c r="W436" i="1"/>
  <c r="AN436" i="1" s="1"/>
  <c r="U436" i="1"/>
  <c r="AL436" i="1" s="1"/>
  <c r="P436" i="1"/>
  <c r="D436" i="1"/>
  <c r="F436" i="1" s="1"/>
  <c r="AC337" i="1" l="1"/>
  <c r="AD337" i="1" s="1"/>
  <c r="AC506" i="1"/>
  <c r="AD506" i="1" s="1"/>
  <c r="AC299" i="1"/>
  <c r="AD299" i="1" s="1"/>
  <c r="AC351" i="1"/>
  <c r="AD351" i="1" s="1"/>
  <c r="AC564" i="1"/>
  <c r="AD564" i="1" s="1"/>
  <c r="AC428" i="1"/>
  <c r="AD428" i="1" s="1"/>
  <c r="AC340" i="1"/>
  <c r="AD340" i="1" s="1"/>
  <c r="AC581" i="1"/>
  <c r="AD581" i="1" s="1"/>
  <c r="AC189" i="1"/>
  <c r="AD189" i="1" s="1"/>
  <c r="AH188" i="1"/>
  <c r="AN518" i="1"/>
  <c r="BG518" i="1" s="1"/>
  <c r="AN626" i="1"/>
  <c r="BK626" i="1" s="1"/>
  <c r="AC173" i="1"/>
  <c r="AD173" i="1" s="1"/>
  <c r="AC15" i="1"/>
  <c r="AD15" i="1" s="1"/>
  <c r="AC55" i="1"/>
  <c r="AD55" i="1" s="1"/>
  <c r="AC42" i="1"/>
  <c r="AD42" i="1" s="1"/>
  <c r="AC104" i="1"/>
  <c r="AD104" i="1" s="1"/>
  <c r="AN232" i="1"/>
  <c r="BK232" i="1" s="1"/>
  <c r="AC63" i="1"/>
  <c r="AD63" i="1" s="1"/>
  <c r="AC379" i="1"/>
  <c r="AD379" i="1" s="1"/>
  <c r="AN426" i="1"/>
  <c r="AC426" i="1" s="1"/>
  <c r="AD426" i="1" s="1"/>
  <c r="AC427" i="1"/>
  <c r="AD427" i="1" s="1"/>
  <c r="AG574" i="1"/>
  <c r="AG636" i="1"/>
  <c r="AG530" i="1"/>
  <c r="AG40" i="1"/>
  <c r="AC102" i="1"/>
  <c r="AD102" i="1" s="1"/>
  <c r="AH458" i="1"/>
  <c r="AG619" i="1"/>
  <c r="AH542" i="1"/>
  <c r="AH362" i="1"/>
  <c r="AC594" i="1"/>
  <c r="AD594" i="1" s="1"/>
  <c r="AN378" i="1"/>
  <c r="BG378" i="1" s="1"/>
  <c r="AH4" i="1"/>
  <c r="AC90" i="1"/>
  <c r="AD90" i="1" s="1"/>
  <c r="AG28" i="1"/>
  <c r="AC29" i="1"/>
  <c r="AD29" i="1" s="1"/>
  <c r="AH76" i="1"/>
  <c r="AH64" i="1"/>
  <c r="AG128" i="1"/>
  <c r="AH418" i="1"/>
  <c r="AC91" i="1"/>
  <c r="AD91" i="1" s="1"/>
  <c r="AC167" i="1"/>
  <c r="AD167" i="1" s="1"/>
  <c r="AN296" i="1"/>
  <c r="AC296" i="1" s="1"/>
  <c r="AD296" i="1" s="1"/>
  <c r="AC249" i="1"/>
  <c r="AD249" i="1" s="1"/>
  <c r="AH374" i="1"/>
  <c r="AG72" i="1"/>
  <c r="AN590" i="1"/>
  <c r="BG590" i="1" s="1"/>
  <c r="AH438" i="1"/>
  <c r="AH410" i="1"/>
  <c r="AG284" i="1"/>
  <c r="AG547" i="1"/>
  <c r="AG48" i="1"/>
  <c r="AH140" i="1"/>
  <c r="AH136" i="1"/>
  <c r="AH406" i="1"/>
  <c r="AG112" i="1"/>
  <c r="AC82" i="1"/>
  <c r="AD82" i="1" s="1"/>
  <c r="AG466" i="1"/>
  <c r="AC269" i="1"/>
  <c r="AD269" i="1" s="1"/>
  <c r="AC633" i="1"/>
  <c r="AD633" i="1" s="1"/>
  <c r="AN354" i="1"/>
  <c r="BG354" i="1" s="1"/>
  <c r="AC401" i="1"/>
  <c r="AD401" i="1" s="1"/>
  <c r="AC105" i="1"/>
  <c r="AD105" i="1" s="1"/>
  <c r="AC380" i="1"/>
  <c r="AD380" i="1" s="1"/>
  <c r="AC363" i="1"/>
  <c r="AD363" i="1" s="1"/>
  <c r="AG168" i="1"/>
  <c r="AG370" i="1"/>
  <c r="AH434" i="1"/>
  <c r="AH442" i="1"/>
  <c r="AG386" i="1"/>
  <c r="AN394" i="1"/>
  <c r="BK394" i="1" s="1"/>
  <c r="AC126" i="1"/>
  <c r="AD126" i="1" s="1"/>
  <c r="AC600" i="1"/>
  <c r="AD600" i="1" s="1"/>
  <c r="AC290" i="1"/>
  <c r="AD290" i="1" s="1"/>
  <c r="AC254" i="1"/>
  <c r="AD254" i="1" s="1"/>
  <c r="AG320" i="1"/>
  <c r="AC298" i="1"/>
  <c r="AD298" i="1" s="1"/>
  <c r="AC41" i="1"/>
  <c r="AD41" i="1" s="1"/>
  <c r="AN220" i="1"/>
  <c r="Y220" i="1" s="1"/>
  <c r="Z220" i="1" s="1"/>
  <c r="AG620" i="1"/>
  <c r="AC560" i="1"/>
  <c r="AD560" i="1" s="1"/>
  <c r="AC280" i="1"/>
  <c r="AD280" i="1" s="1"/>
  <c r="AC481" i="1"/>
  <c r="AD481" i="1" s="1"/>
  <c r="AH124" i="1"/>
  <c r="AC118" i="1"/>
  <c r="AD118" i="1" s="1"/>
  <c r="AC449" i="1"/>
  <c r="AD449" i="1" s="1"/>
  <c r="AC505" i="1"/>
  <c r="AD505" i="1" s="1"/>
  <c r="AC314" i="1"/>
  <c r="AD314" i="1" s="1"/>
  <c r="AN80" i="1"/>
  <c r="Y80" i="1" s="1"/>
  <c r="Z80" i="1" s="1"/>
  <c r="AC137" i="1"/>
  <c r="AD137" i="1" s="1"/>
  <c r="AC101" i="1"/>
  <c r="AD101" i="1" s="1"/>
  <c r="AG224" i="1"/>
  <c r="AC225" i="1"/>
  <c r="AD225" i="1" s="1"/>
  <c r="AG639" i="1"/>
  <c r="AC21" i="1"/>
  <c r="AD21" i="1" s="1"/>
  <c r="AC237" i="1"/>
  <c r="AD237" i="1" s="1"/>
  <c r="AH358" i="1"/>
  <c r="AC621" i="1"/>
  <c r="AD621" i="1" s="1"/>
  <c r="AG398" i="1"/>
  <c r="AC527" i="1"/>
  <c r="AD527" i="1" s="1"/>
  <c r="AC183" i="1"/>
  <c r="AD183" i="1" s="1"/>
  <c r="AH446" i="1"/>
  <c r="AG450" i="1"/>
  <c r="AC555" i="1"/>
  <c r="AD555" i="1" s="1"/>
  <c r="AC195" i="1"/>
  <c r="AD195" i="1" s="1"/>
  <c r="AC436" i="1"/>
  <c r="AD436" i="1" s="1"/>
  <c r="AC355" i="1"/>
  <c r="AD355" i="1" s="1"/>
  <c r="AC142" i="1"/>
  <c r="AD142" i="1" s="1"/>
  <c r="AH92" i="1"/>
  <c r="AC17" i="1"/>
  <c r="AD17" i="1" s="1"/>
  <c r="AC57" i="1"/>
  <c r="AD57" i="1" s="1"/>
  <c r="AC103" i="1"/>
  <c r="AD103" i="1" s="1"/>
  <c r="AH252" i="1"/>
  <c r="AC520" i="1"/>
  <c r="AD520" i="1" s="1"/>
  <c r="AC605" i="1"/>
  <c r="AD605" i="1" s="1"/>
  <c r="AC287" i="1"/>
  <c r="AD287" i="1" s="1"/>
  <c r="AC114" i="1"/>
  <c r="AD114" i="1" s="1"/>
  <c r="AH156" i="1"/>
  <c r="AC125" i="1"/>
  <c r="AD125" i="1" s="1"/>
  <c r="AG300" i="1"/>
  <c r="AC603" i="1"/>
  <c r="AD603" i="1" s="1"/>
  <c r="AC330" i="1"/>
  <c r="AD330" i="1" s="1"/>
  <c r="AC302" i="1"/>
  <c r="AD302" i="1" s="1"/>
  <c r="AC172" i="1"/>
  <c r="AD172" i="1" s="1"/>
  <c r="AG634" i="1"/>
  <c r="AN514" i="1"/>
  <c r="Y514" i="1" s="1"/>
  <c r="Z514" i="1" s="1"/>
  <c r="AC271" i="1"/>
  <c r="AD271" i="1" s="1"/>
  <c r="AC49" i="1"/>
  <c r="AD49" i="1" s="1"/>
  <c r="AC416" i="1"/>
  <c r="AD416" i="1" s="1"/>
  <c r="AG316" i="1"/>
  <c r="AG144" i="1"/>
  <c r="AH390" i="1"/>
  <c r="AH595" i="1"/>
  <c r="AN628" i="1"/>
  <c r="AC628" i="1" s="1"/>
  <c r="AD628" i="1" s="1"/>
  <c r="AC306" i="1"/>
  <c r="AD306" i="1" s="1"/>
  <c r="AC536" i="1"/>
  <c r="AD536" i="1" s="1"/>
  <c r="AH414" i="1"/>
  <c r="AH336" i="1"/>
  <c r="AG12" i="1"/>
  <c r="AN454" i="1"/>
  <c r="Y454" i="1" s="1"/>
  <c r="Z454" i="1" s="1"/>
  <c r="AC259" i="1"/>
  <c r="AD259" i="1" s="1"/>
  <c r="AC415" i="1"/>
  <c r="AD415" i="1" s="1"/>
  <c r="AC439" i="1"/>
  <c r="AD439" i="1" s="1"/>
  <c r="AC222" i="1"/>
  <c r="AD222" i="1" s="1"/>
  <c r="AC566" i="1"/>
  <c r="AD566" i="1" s="1"/>
  <c r="AC533" i="1"/>
  <c r="AD533" i="1" s="1"/>
  <c r="AC348" i="1"/>
  <c r="AD348" i="1" s="1"/>
  <c r="AC164" i="1"/>
  <c r="AD164" i="1" s="1"/>
  <c r="BK518" i="1"/>
  <c r="BK581" i="1"/>
  <c r="BK195" i="1"/>
  <c r="BK164" i="1"/>
  <c r="BK566" i="1"/>
  <c r="BK621" i="1"/>
  <c r="BK605" i="1"/>
  <c r="BK260" i="1"/>
  <c r="BK506" i="1"/>
  <c r="BG506" i="1"/>
  <c r="BG505" i="1"/>
  <c r="BG105" i="1"/>
  <c r="BG401" i="1"/>
  <c r="BG41" i="1"/>
  <c r="BG379" i="1"/>
  <c r="BG603" i="1"/>
  <c r="BG314" i="1"/>
  <c r="BG306" i="1"/>
  <c r="BG260" i="1"/>
  <c r="BG259" i="1"/>
  <c r="BK271" i="1"/>
  <c r="BG271" i="1"/>
  <c r="BK416" i="1"/>
  <c r="BG416" i="1"/>
  <c r="Y380" i="1"/>
  <c r="Z380" i="1" s="1"/>
  <c r="BG380" i="1"/>
  <c r="Y600" i="1"/>
  <c r="Z600" i="1" s="1"/>
  <c r="BK600" i="1"/>
  <c r="BK53" i="1"/>
  <c r="BG53" i="1"/>
  <c r="Y330" i="1"/>
  <c r="Z330" i="1" s="1"/>
  <c r="BK330" i="1"/>
  <c r="Y555" i="1"/>
  <c r="Z555" i="1" s="1"/>
  <c r="BK555" i="1"/>
  <c r="Y348" i="1"/>
  <c r="Z348" i="1" s="1"/>
  <c r="BG348" i="1"/>
  <c r="Y299" i="1"/>
  <c r="Z299" i="1" s="1"/>
  <c r="BK299" i="1"/>
  <c r="Y337" i="1"/>
  <c r="Z337" i="1" s="1"/>
  <c r="BK337" i="1"/>
  <c r="BG633" i="1"/>
  <c r="BG313" i="1"/>
  <c r="BG290" i="1"/>
  <c r="BG249" i="1"/>
  <c r="BG57" i="1"/>
  <c r="Y82" i="1"/>
  <c r="Z82" i="1" s="1"/>
  <c r="BK82" i="1"/>
  <c r="Y439" i="1"/>
  <c r="Z439" i="1" s="1"/>
  <c r="BK439" i="1"/>
  <c r="BG439" i="1"/>
  <c r="BG82" i="1"/>
  <c r="BK254" i="1"/>
  <c r="BG254" i="1"/>
  <c r="Y449" i="1"/>
  <c r="Z449" i="1" s="1"/>
  <c r="BK449" i="1"/>
  <c r="BG428" i="1"/>
  <c r="BK428" i="1"/>
  <c r="BK94" i="1"/>
  <c r="BG94" i="1"/>
  <c r="Y146" i="1"/>
  <c r="Z146" i="1" s="1"/>
  <c r="BK146" i="1"/>
  <c r="Y436" i="1"/>
  <c r="Z436" i="1" s="1"/>
  <c r="BG436" i="1"/>
  <c r="BK436" i="1"/>
  <c r="Y173" i="1"/>
  <c r="BK173" i="1"/>
  <c r="BG173" i="1"/>
  <c r="Y15" i="1"/>
  <c r="Z15" i="1" s="1"/>
  <c r="BG15" i="1"/>
  <c r="BK15" i="1"/>
  <c r="Y55" i="1"/>
  <c r="Z55" i="1" s="1"/>
  <c r="BK55" i="1"/>
  <c r="BG55" i="1"/>
  <c r="Y42" i="1"/>
  <c r="Z42" i="1" s="1"/>
  <c r="BK42" i="1"/>
  <c r="Y104" i="1"/>
  <c r="Z104" i="1" s="1"/>
  <c r="BK104" i="1"/>
  <c r="BG104" i="1"/>
  <c r="BK222" i="1"/>
  <c r="BG222" i="1"/>
  <c r="Y63" i="1"/>
  <c r="Z63" i="1" s="1"/>
  <c r="BK63" i="1"/>
  <c r="BG63" i="1"/>
  <c r="BK378" i="1"/>
  <c r="Y269" i="1"/>
  <c r="Z269" i="1" s="1"/>
  <c r="BK269" i="1"/>
  <c r="BG269" i="1"/>
  <c r="Y189" i="1"/>
  <c r="Z189" i="1" s="1"/>
  <c r="BK189" i="1"/>
  <c r="BG189" i="1"/>
  <c r="BG605" i="1"/>
  <c r="BG330" i="1"/>
  <c r="BG225" i="1"/>
  <c r="Y314" i="1"/>
  <c r="Z314" i="1" s="1"/>
  <c r="BK314" i="1"/>
  <c r="BK126" i="1"/>
  <c r="BG126" i="1"/>
  <c r="BG594" i="1"/>
  <c r="BG137" i="1"/>
  <c r="BG91" i="1"/>
  <c r="BG16" i="1"/>
  <c r="BK16" i="1"/>
  <c r="BK29" i="1"/>
  <c r="BG29" i="1"/>
  <c r="Y298" i="1"/>
  <c r="Z298" i="1" s="1"/>
  <c r="BK298" i="1"/>
  <c r="Y560" i="1"/>
  <c r="Z560" i="1" s="1"/>
  <c r="BK560" i="1"/>
  <c r="Y280" i="1"/>
  <c r="Z280" i="1" s="1"/>
  <c r="BK280" i="1"/>
  <c r="BG280" i="1"/>
  <c r="Y481" i="1"/>
  <c r="Z481" i="1" s="1"/>
  <c r="BK481" i="1"/>
  <c r="Y355" i="1"/>
  <c r="Z355" i="1" s="1"/>
  <c r="BK355" i="1"/>
  <c r="BG621" i="1"/>
  <c r="BG566" i="1"/>
  <c r="BG555" i="1"/>
  <c r="BG195" i="1"/>
  <c r="BG90" i="1"/>
  <c r="BG49" i="1"/>
  <c r="BK80" i="1"/>
  <c r="Y536" i="1"/>
  <c r="Z536" i="1" s="1"/>
  <c r="BK536" i="1"/>
  <c r="BG536" i="1"/>
  <c r="BK166" i="1"/>
  <c r="BG166" i="1"/>
  <c r="Y259" i="1"/>
  <c r="Z259" i="1" s="1"/>
  <c r="BK259" i="1"/>
  <c r="BK167" i="1"/>
  <c r="BG167" i="1"/>
  <c r="Y102" i="1"/>
  <c r="BK102" i="1"/>
  <c r="BG102" i="1"/>
  <c r="Y172" i="1"/>
  <c r="BG172" i="1"/>
  <c r="BK172" i="1"/>
  <c r="Y296" i="1"/>
  <c r="Z296" i="1" s="1"/>
  <c r="BK296" i="1"/>
  <c r="BK101" i="1"/>
  <c r="BG101" i="1"/>
  <c r="Y340" i="1"/>
  <c r="Z340" i="1" s="1"/>
  <c r="BG340" i="1"/>
  <c r="BK340" i="1"/>
  <c r="Y21" i="1"/>
  <c r="Z21" i="1" s="1"/>
  <c r="BK21" i="1"/>
  <c r="BG21" i="1"/>
  <c r="Y237" i="1"/>
  <c r="Z237" i="1" s="1"/>
  <c r="BK237" i="1"/>
  <c r="BG237" i="1"/>
  <c r="BK527" i="1"/>
  <c r="BG527" i="1"/>
  <c r="Y183" i="1"/>
  <c r="Z183" i="1" s="1"/>
  <c r="BK183" i="1"/>
  <c r="BG183" i="1"/>
  <c r="Y533" i="1"/>
  <c r="Z533" i="1" s="1"/>
  <c r="BK533" i="1"/>
  <c r="BG533" i="1"/>
  <c r="Y351" i="1"/>
  <c r="Z351" i="1" s="1"/>
  <c r="BK351" i="1"/>
  <c r="BG351" i="1"/>
  <c r="Y415" i="1"/>
  <c r="Z415" i="1" s="1"/>
  <c r="BK415" i="1"/>
  <c r="BG415" i="1"/>
  <c r="BG427" i="1"/>
  <c r="BG363" i="1"/>
  <c r="BG299" i="1"/>
  <c r="BG43" i="1"/>
  <c r="BK380" i="1"/>
  <c r="BK290" i="1"/>
  <c r="Y306" i="1"/>
  <c r="Z306" i="1" s="1"/>
  <c r="BK306" i="1"/>
  <c r="Y142" i="1"/>
  <c r="Z142" i="1" s="1"/>
  <c r="BK142" i="1"/>
  <c r="BG142" i="1"/>
  <c r="BG17" i="1"/>
  <c r="BK17" i="1"/>
  <c r="BK103" i="1"/>
  <c r="BG103" i="1"/>
  <c r="BK302" i="1"/>
  <c r="BG302" i="1"/>
  <c r="Y603" i="1"/>
  <c r="Z603" i="1" s="1"/>
  <c r="BK603" i="1"/>
  <c r="Y520" i="1"/>
  <c r="Z520" i="1" s="1"/>
  <c r="BK520" i="1"/>
  <c r="BG520" i="1"/>
  <c r="BK287" i="1"/>
  <c r="BG287" i="1"/>
  <c r="Y164" i="1"/>
  <c r="Z164" i="1" s="1"/>
  <c r="BG164" i="1"/>
  <c r="Y564" i="1"/>
  <c r="Z564" i="1" s="1"/>
  <c r="BG564" i="1"/>
  <c r="BK564" i="1"/>
  <c r="Y114" i="1"/>
  <c r="Z114" i="1" s="1"/>
  <c r="BK114" i="1"/>
  <c r="BK125" i="1"/>
  <c r="BG125" i="1"/>
  <c r="Y118" i="1"/>
  <c r="Z118" i="1" s="1"/>
  <c r="BK118" i="1"/>
  <c r="BG118" i="1"/>
  <c r="BG600" i="1"/>
  <c r="BG449" i="1"/>
  <c r="BG298" i="1"/>
  <c r="BG42" i="1"/>
  <c r="Y379" i="1"/>
  <c r="Z379" i="1" s="1"/>
  <c r="Y566" i="1"/>
  <c r="Z566" i="1" s="1"/>
  <c r="AL259" i="1"/>
  <c r="AE259" i="1"/>
  <c r="Y16" i="1"/>
  <c r="Z16" i="1" s="1"/>
  <c r="Y427" i="1"/>
  <c r="Z427" i="1" s="1"/>
  <c r="Y260" i="1"/>
  <c r="Z260" i="1" s="1"/>
  <c r="Y581" i="1"/>
  <c r="Z581" i="1" s="1"/>
  <c r="Y137" i="1"/>
  <c r="Z137" i="1" s="1"/>
  <c r="Y222" i="1"/>
  <c r="Z222" i="1" s="1"/>
  <c r="Y302" i="1"/>
  <c r="Z302" i="1" s="1"/>
  <c r="Y254" i="1"/>
  <c r="Z254" i="1" s="1"/>
  <c r="Y363" i="1"/>
  <c r="Y167" i="1"/>
  <c r="Z167" i="1" s="1"/>
  <c r="Y101" i="1"/>
  <c r="Z101" i="1" s="1"/>
  <c r="Y41" i="1"/>
  <c r="Z41" i="1" s="1"/>
  <c r="Y166" i="1"/>
  <c r="Y57" i="1"/>
  <c r="Z57" i="1" s="1"/>
  <c r="Y103" i="1"/>
  <c r="Z103" i="1" s="1"/>
  <c r="Y225" i="1"/>
  <c r="Z225" i="1" s="1"/>
  <c r="Y94" i="1"/>
  <c r="Z94" i="1" s="1"/>
  <c r="Y313" i="1"/>
  <c r="Z313" i="1" s="1"/>
  <c r="Y271" i="1"/>
  <c r="Z271" i="1" s="1"/>
  <c r="Y195" i="1"/>
  <c r="Z195" i="1" s="1"/>
  <c r="Y17" i="1"/>
  <c r="Z17" i="1" s="1"/>
  <c r="Y605" i="1"/>
  <c r="Z605" i="1" s="1"/>
  <c r="Y91" i="1"/>
  <c r="Z91" i="1" s="1"/>
  <c r="Y49" i="1"/>
  <c r="Z49" i="1" s="1"/>
  <c r="Y416" i="1"/>
  <c r="Y249" i="1"/>
  <c r="Z249" i="1" s="1"/>
  <c r="Y53" i="1"/>
  <c r="Y43" i="1"/>
  <c r="Z43" i="1" s="1"/>
  <c r="Y105" i="1"/>
  <c r="Z105" i="1" s="1"/>
  <c r="AE579" i="1"/>
  <c r="AE627" i="1"/>
  <c r="AE267" i="1"/>
  <c r="AE419" i="1"/>
  <c r="AE403" i="1"/>
  <c r="AE387" i="1"/>
  <c r="AE307" i="1"/>
  <c r="AE283" i="1"/>
  <c r="AE644" i="1"/>
  <c r="AE636" i="1"/>
  <c r="AE620" i="1"/>
  <c r="AE612" i="1"/>
  <c r="AE604" i="1"/>
  <c r="AE596" i="1"/>
  <c r="AE588" i="1"/>
  <c r="AE580" i="1"/>
  <c r="AE572" i="1"/>
  <c r="AE564" i="1"/>
  <c r="AE556" i="1"/>
  <c r="AE548" i="1"/>
  <c r="AE540" i="1"/>
  <c r="AE532" i="1"/>
  <c r="AE524" i="1"/>
  <c r="AE508" i="1"/>
  <c r="AE500" i="1"/>
  <c r="AE492" i="1"/>
  <c r="AE484" i="1"/>
  <c r="AE476" i="1"/>
  <c r="AE468" i="1"/>
  <c r="AE460" i="1"/>
  <c r="AE444" i="1"/>
  <c r="AE436" i="1"/>
  <c r="AE420" i="1"/>
  <c r="AE412" i="1"/>
  <c r="AE404" i="1"/>
  <c r="AE396" i="1"/>
  <c r="AE388" i="1"/>
  <c r="AE380" i="1"/>
  <c r="AE372" i="1"/>
  <c r="AE364" i="1"/>
  <c r="AE356" i="1"/>
  <c r="AE348" i="1"/>
  <c r="AE340" i="1"/>
  <c r="AE332" i="1"/>
  <c r="AE324" i="1"/>
  <c r="AE316" i="1"/>
  <c r="AE308" i="1"/>
  <c r="AE292" i="1"/>
  <c r="AE284" i="1"/>
  <c r="AE276" i="1"/>
  <c r="AE268" i="1"/>
  <c r="AE260" i="1"/>
  <c r="AE252" i="1"/>
  <c r="AE244" i="1"/>
  <c r="AE236" i="1"/>
  <c r="AE228" i="1"/>
  <c r="AE220" i="1"/>
  <c r="AE212" i="1"/>
  <c r="AE204" i="1"/>
  <c r="AE196" i="1"/>
  <c r="AE188" i="1"/>
  <c r="AE180" i="1"/>
  <c r="AE172" i="1"/>
  <c r="AE164" i="1"/>
  <c r="AE156" i="1"/>
  <c r="AE148" i="1"/>
  <c r="AE140" i="1"/>
  <c r="AE132" i="1"/>
  <c r="AE124" i="1"/>
  <c r="AE108" i="1"/>
  <c r="AE100" i="1"/>
  <c r="AE92" i="1"/>
  <c r="AE84" i="1"/>
  <c r="AE76" i="1"/>
  <c r="AE68" i="1"/>
  <c r="AE60" i="1"/>
  <c r="AE52" i="1"/>
  <c r="AE44" i="1"/>
  <c r="AE36" i="1"/>
  <c r="AE28" i="1"/>
  <c r="AE20" i="1"/>
  <c r="AE12" i="1"/>
  <c r="AE643" i="1"/>
  <c r="AE635" i="1"/>
  <c r="AE619" i="1"/>
  <c r="AE611" i="1"/>
  <c r="AE603" i="1"/>
  <c r="AE595" i="1"/>
  <c r="AE587" i="1"/>
  <c r="AE563" i="1"/>
  <c r="AE555" i="1"/>
  <c r="AE547" i="1"/>
  <c r="AE539" i="1"/>
  <c r="AE531" i="1"/>
  <c r="AE523" i="1"/>
  <c r="AE515" i="1"/>
  <c r="AE507" i="1"/>
  <c r="AE499" i="1"/>
  <c r="AE483" i="1"/>
  <c r="AE475" i="1"/>
  <c r="AE467" i="1"/>
  <c r="AE459" i="1"/>
  <c r="AE451" i="1"/>
  <c r="AE435" i="1"/>
  <c r="AE427" i="1"/>
  <c r="AE395" i="1"/>
  <c r="AE379" i="1"/>
  <c r="AE363" i="1"/>
  <c r="AE347" i="1"/>
  <c r="AE339" i="1"/>
  <c r="AE331" i="1"/>
  <c r="AE323" i="1"/>
  <c r="AE315" i="1"/>
  <c r="AE299" i="1"/>
  <c r="AE291" i="1"/>
  <c r="AE275" i="1"/>
  <c r="AE251" i="1"/>
  <c r="AE243" i="1"/>
  <c r="AE235" i="1"/>
  <c r="AE227" i="1"/>
  <c r="AE219" i="1"/>
  <c r="AE211" i="1"/>
  <c r="AE203" i="1"/>
  <c r="AE195" i="1"/>
  <c r="AE187" i="1"/>
  <c r="AE179" i="1"/>
  <c r="AE171" i="1"/>
  <c r="AE155" i="1"/>
  <c r="AE147" i="1"/>
  <c r="AE139" i="1"/>
  <c r="AE131" i="1"/>
  <c r="AE123" i="1"/>
  <c r="AE115" i="1"/>
  <c r="AE107" i="1"/>
  <c r="AE99" i="1"/>
  <c r="AE91" i="1"/>
  <c r="AE83" i="1"/>
  <c r="AE75" i="1"/>
  <c r="AE67" i="1"/>
  <c r="AE59" i="1"/>
  <c r="AE51" i="1"/>
  <c r="AE43" i="1"/>
  <c r="AE35" i="1"/>
  <c r="AE27" i="1"/>
  <c r="AE19" i="1"/>
  <c r="AE4" i="1"/>
  <c r="AE642" i="1"/>
  <c r="AE634" i="1"/>
  <c r="AE626" i="1"/>
  <c r="AE618" i="1"/>
  <c r="AE610" i="1"/>
  <c r="AE602" i="1"/>
  <c r="AE594" i="1"/>
  <c r="AE586" i="1"/>
  <c r="AE578" i="1"/>
  <c r="AE570" i="1"/>
  <c r="AE562" i="1"/>
  <c r="AE554" i="1"/>
  <c r="AE546" i="1"/>
  <c r="AE538" i="1"/>
  <c r="AE530" i="1"/>
  <c r="AE522" i="1"/>
  <c r="AE514" i="1"/>
  <c r="AE506" i="1"/>
  <c r="AE498" i="1"/>
  <c r="AE490" i="1"/>
  <c r="AE482" i="1"/>
  <c r="AE474" i="1"/>
  <c r="AE466" i="1"/>
  <c r="AE458" i="1"/>
  <c r="AE442" i="1"/>
  <c r="AE434" i="1"/>
  <c r="AE426" i="1"/>
  <c r="AE418" i="1"/>
  <c r="AE410" i="1"/>
  <c r="AE402" i="1"/>
  <c r="AE394" i="1"/>
  <c r="AE378" i="1"/>
  <c r="AE370" i="1"/>
  <c r="AE362" i="1"/>
  <c r="AE354" i="1"/>
  <c r="AE346" i="1"/>
  <c r="AE338" i="1"/>
  <c r="AE330" i="1"/>
  <c r="AE322" i="1"/>
  <c r="AE314" i="1"/>
  <c r="AE306" i="1"/>
  <c r="AE298" i="1"/>
  <c r="AE290" i="1"/>
  <c r="AE282" i="1"/>
  <c r="AE274" i="1"/>
  <c r="AE266" i="1"/>
  <c r="AE258" i="1"/>
  <c r="AE250" i="1"/>
  <c r="AE242" i="1"/>
  <c r="AE234" i="1"/>
  <c r="AE226" i="1"/>
  <c r="AE218" i="1"/>
  <c r="AE210" i="1"/>
  <c r="AE202" i="1"/>
  <c r="AE194" i="1"/>
  <c r="AE186" i="1"/>
  <c r="AE178" i="1"/>
  <c r="AE170" i="1"/>
  <c r="AE154" i="1"/>
  <c r="AE146" i="1"/>
  <c r="AE138" i="1"/>
  <c r="AE130" i="1"/>
  <c r="AE122" i="1"/>
  <c r="AE114" i="1"/>
  <c r="AE106" i="1"/>
  <c r="AE98" i="1"/>
  <c r="AE90" i="1"/>
  <c r="AE82" i="1"/>
  <c r="AE74" i="1"/>
  <c r="AE66" i="1"/>
  <c r="AE58" i="1"/>
  <c r="AE50" i="1"/>
  <c r="AE42" i="1"/>
  <c r="AE34" i="1"/>
  <c r="AE26" i="1"/>
  <c r="AE18" i="1"/>
  <c r="AE10" i="1"/>
  <c r="AE649" i="1"/>
  <c r="AE641" i="1"/>
  <c r="AE625" i="1"/>
  <c r="AE617" i="1"/>
  <c r="AE609" i="1"/>
  <c r="AE601" i="1"/>
  <c r="AE593" i="1"/>
  <c r="AE585" i="1"/>
  <c r="AE577" i="1"/>
  <c r="AE569" i="1"/>
  <c r="AE561" i="1"/>
  <c r="AE553" i="1"/>
  <c r="AE545" i="1"/>
  <c r="AE537" i="1"/>
  <c r="AE529" i="1"/>
  <c r="AE521" i="1"/>
  <c r="AE513" i="1"/>
  <c r="AE505" i="1"/>
  <c r="AE497" i="1"/>
  <c r="AE489" i="1"/>
  <c r="AE481" i="1"/>
  <c r="AE473" i="1"/>
  <c r="AE465" i="1"/>
  <c r="AE457" i="1"/>
  <c r="AE449" i="1"/>
  <c r="AE441" i="1"/>
  <c r="AE433" i="1"/>
  <c r="AE425" i="1"/>
  <c r="AE417" i="1"/>
  <c r="AE409" i="1"/>
  <c r="AE401" i="1"/>
  <c r="AE393" i="1"/>
  <c r="AE377" i="1"/>
  <c r="AE369" i="1"/>
  <c r="AE361" i="1"/>
  <c r="AE353" i="1"/>
  <c r="AE345" i="1"/>
  <c r="AE337" i="1"/>
  <c r="AE321" i="1"/>
  <c r="AE313" i="1"/>
  <c r="AE297" i="1"/>
  <c r="AE289" i="1"/>
  <c r="AE281" i="1"/>
  <c r="AE273" i="1"/>
  <c r="AE265" i="1"/>
  <c r="AE257" i="1"/>
  <c r="AE249" i="1"/>
  <c r="AE241" i="1"/>
  <c r="AE233" i="1"/>
  <c r="AE225" i="1"/>
  <c r="AE217" i="1"/>
  <c r="AE209" i="1"/>
  <c r="AE201" i="1"/>
  <c r="AE193" i="1"/>
  <c r="AE185" i="1"/>
  <c r="AE177" i="1"/>
  <c r="AE169" i="1"/>
  <c r="AE153" i="1"/>
  <c r="AE145" i="1"/>
  <c r="AE137" i="1"/>
  <c r="AE129" i="1"/>
  <c r="AE121" i="1"/>
  <c r="AE113" i="1"/>
  <c r="AE105" i="1"/>
  <c r="AE97" i="1"/>
  <c r="AE89" i="1"/>
  <c r="AE81" i="1"/>
  <c r="AE73" i="1"/>
  <c r="AE57" i="1"/>
  <c r="AE49" i="1"/>
  <c r="AE41" i="1"/>
  <c r="AE33" i="1"/>
  <c r="AE25" i="1"/>
  <c r="AE17" i="1"/>
  <c r="AE9" i="1"/>
  <c r="AE648" i="1"/>
  <c r="AE640" i="1"/>
  <c r="AE632" i="1"/>
  <c r="AE624" i="1"/>
  <c r="AE616" i="1"/>
  <c r="AE608" i="1"/>
  <c r="AE600" i="1"/>
  <c r="AE592" i="1"/>
  <c r="AE584" i="1"/>
  <c r="AE576" i="1"/>
  <c r="AE568" i="1"/>
  <c r="AE560" i="1"/>
  <c r="AE552" i="1"/>
  <c r="AE544" i="1"/>
  <c r="AE528" i="1"/>
  <c r="AE520" i="1"/>
  <c r="AE512" i="1"/>
  <c r="AE504" i="1"/>
  <c r="AE496" i="1"/>
  <c r="AE488" i="1"/>
  <c r="AE480" i="1"/>
  <c r="AE472" i="1"/>
  <c r="AE464" i="1"/>
  <c r="AE456" i="1"/>
  <c r="AE448" i="1"/>
  <c r="AE440" i="1"/>
  <c r="AE432" i="1"/>
  <c r="AE424" i="1"/>
  <c r="AE416" i="1"/>
  <c r="AE408" i="1"/>
  <c r="AE400" i="1"/>
  <c r="AE392" i="1"/>
  <c r="AE384" i="1"/>
  <c r="AE376" i="1"/>
  <c r="AE368" i="1"/>
  <c r="AE360" i="1"/>
  <c r="AE352" i="1"/>
  <c r="AE344" i="1"/>
  <c r="AE328" i="1"/>
  <c r="AE320" i="1"/>
  <c r="AE312" i="1"/>
  <c r="AE304" i="1"/>
  <c r="AE296" i="1"/>
  <c r="AE288" i="1"/>
  <c r="AE280" i="1"/>
  <c r="AE272" i="1"/>
  <c r="AE264" i="1"/>
  <c r="AE256" i="1"/>
  <c r="AE248" i="1"/>
  <c r="AE240" i="1"/>
  <c r="AE232" i="1"/>
  <c r="AE224" i="1"/>
  <c r="AE216" i="1"/>
  <c r="AE208" i="1"/>
  <c r="AE200" i="1"/>
  <c r="AE192" i="1"/>
  <c r="AE184" i="1"/>
  <c r="AE176" i="1"/>
  <c r="AE168" i="1"/>
  <c r="AE152" i="1"/>
  <c r="AE144" i="1"/>
  <c r="AE136" i="1"/>
  <c r="AE128" i="1"/>
  <c r="AE120" i="1"/>
  <c r="AE112" i="1"/>
  <c r="AE104" i="1"/>
  <c r="AE96" i="1"/>
  <c r="AE88" i="1"/>
  <c r="AE80" i="1"/>
  <c r="AE72" i="1"/>
  <c r="AE64" i="1"/>
  <c r="AE56" i="1"/>
  <c r="AE48" i="1"/>
  <c r="AE40" i="1"/>
  <c r="AE32" i="1"/>
  <c r="AE24" i="1"/>
  <c r="AE16" i="1"/>
  <c r="AE8" i="1"/>
  <c r="AE647" i="1"/>
  <c r="AE639" i="1"/>
  <c r="AE631" i="1"/>
  <c r="AE623" i="1"/>
  <c r="AE615" i="1"/>
  <c r="AE607" i="1"/>
  <c r="AE599" i="1"/>
  <c r="AE591" i="1"/>
  <c r="AE583" i="1"/>
  <c r="AE575" i="1"/>
  <c r="AE559" i="1"/>
  <c r="AE551" i="1"/>
  <c r="AE543" i="1"/>
  <c r="AE535" i="1"/>
  <c r="AE527" i="1"/>
  <c r="AE519" i="1"/>
  <c r="AE511" i="1"/>
  <c r="AE495" i="1"/>
  <c r="AE487" i="1"/>
  <c r="AE479" i="1"/>
  <c r="AE471" i="1"/>
  <c r="AE463" i="1"/>
  <c r="AE455" i="1"/>
  <c r="AE447" i="1"/>
  <c r="AE439" i="1"/>
  <c r="AE431" i="1"/>
  <c r="AE423" i="1"/>
  <c r="AE407" i="1"/>
  <c r="AE399" i="1"/>
  <c r="AE391" i="1"/>
  <c r="AE383" i="1"/>
  <c r="AE375" i="1"/>
  <c r="AE367" i="1"/>
  <c r="AE359" i="1"/>
  <c r="AE343" i="1"/>
  <c r="AE335" i="1"/>
  <c r="AE327" i="1"/>
  <c r="AE319" i="1"/>
  <c r="AE311" i="1"/>
  <c r="AE303" i="1"/>
  <c r="AE295" i="1"/>
  <c r="AE287" i="1"/>
  <c r="AE279" i="1"/>
  <c r="AE271" i="1"/>
  <c r="AE263" i="1"/>
  <c r="AE255" i="1"/>
  <c r="AE247" i="1"/>
  <c r="AE239" i="1"/>
  <c r="AE231" i="1"/>
  <c r="AE223" i="1"/>
  <c r="AE215" i="1"/>
  <c r="AE207" i="1"/>
  <c r="AE199" i="1"/>
  <c r="AE191" i="1"/>
  <c r="AE183" i="1"/>
  <c r="AE175" i="1"/>
  <c r="AE167" i="1"/>
  <c r="AE151" i="1"/>
  <c r="AE143" i="1"/>
  <c r="AE135" i="1"/>
  <c r="AE127" i="1"/>
  <c r="AE119" i="1"/>
  <c r="AE111" i="1"/>
  <c r="AE103" i="1"/>
  <c r="AE95" i="1"/>
  <c r="AE87" i="1"/>
  <c r="AE79" i="1"/>
  <c r="AE71" i="1"/>
  <c r="AE63" i="1"/>
  <c r="AE55" i="1"/>
  <c r="AE47" i="1"/>
  <c r="AE39" i="1"/>
  <c r="AE31" i="1"/>
  <c r="AE23" i="1"/>
  <c r="AE15" i="1"/>
  <c r="AE7" i="1"/>
  <c r="AE646" i="1"/>
  <c r="AE638" i="1"/>
  <c r="AE630" i="1"/>
  <c r="AE622" i="1"/>
  <c r="AE614" i="1"/>
  <c r="AE606" i="1"/>
  <c r="AE598" i="1"/>
  <c r="AE590" i="1"/>
  <c r="AE582" i="1"/>
  <c r="AE574" i="1"/>
  <c r="AE566" i="1"/>
  <c r="AE558" i="1"/>
  <c r="AE550" i="1"/>
  <c r="AE542" i="1"/>
  <c r="AE534" i="1"/>
  <c r="AE526" i="1"/>
  <c r="AE510" i="1"/>
  <c r="AE502" i="1"/>
  <c r="AE494" i="1"/>
  <c r="AE486" i="1"/>
  <c r="AE478" i="1"/>
  <c r="AE470" i="1"/>
  <c r="AE462" i="1"/>
  <c r="AE454" i="1"/>
  <c r="AE438" i="1"/>
  <c r="AE430" i="1"/>
  <c r="AE422" i="1"/>
  <c r="AE414" i="1"/>
  <c r="AE406" i="1"/>
  <c r="AE398" i="1"/>
  <c r="AE390" i="1"/>
  <c r="AE382" i="1"/>
  <c r="AE374" i="1"/>
  <c r="AE366" i="1"/>
  <c r="AE358" i="1"/>
  <c r="AE350" i="1"/>
  <c r="AE334" i="1"/>
  <c r="AE326" i="1"/>
  <c r="AE318" i="1"/>
  <c r="AE310" i="1"/>
  <c r="AE302" i="1"/>
  <c r="AE294" i="1"/>
  <c r="AE286" i="1"/>
  <c r="AE278" i="1"/>
  <c r="AE270" i="1"/>
  <c r="AE262" i="1"/>
  <c r="AE254" i="1"/>
  <c r="AE246" i="1"/>
  <c r="AE238" i="1"/>
  <c r="AE230" i="1"/>
  <c r="AE222" i="1"/>
  <c r="AE214" i="1"/>
  <c r="AE206" i="1"/>
  <c r="AE198" i="1"/>
  <c r="AE190" i="1"/>
  <c r="AE182" i="1"/>
  <c r="AE174" i="1"/>
  <c r="AE166" i="1"/>
  <c r="AE150" i="1"/>
  <c r="AE142" i="1"/>
  <c r="AE134" i="1"/>
  <c r="AE110" i="1"/>
  <c r="AE102" i="1"/>
  <c r="AE94" i="1"/>
  <c r="AE86" i="1"/>
  <c r="AE78" i="1"/>
  <c r="AE70" i="1"/>
  <c r="AE62" i="1"/>
  <c r="AE54" i="1"/>
  <c r="AE46" i="1"/>
  <c r="AE38" i="1"/>
  <c r="AE30" i="1"/>
  <c r="AE22" i="1"/>
  <c r="AE14" i="1"/>
  <c r="AE6" i="1"/>
  <c r="AE645" i="1"/>
  <c r="AE637" i="1"/>
  <c r="AE621" i="1"/>
  <c r="AE613" i="1"/>
  <c r="AE605" i="1"/>
  <c r="AE597" i="1"/>
  <c r="AE589" i="1"/>
  <c r="AE581" i="1"/>
  <c r="AE573" i="1"/>
  <c r="AE565" i="1"/>
  <c r="AE557" i="1"/>
  <c r="AE549" i="1"/>
  <c r="AE541" i="1"/>
  <c r="AE533" i="1"/>
  <c r="AE525" i="1"/>
  <c r="AE517" i="1"/>
  <c r="AE509" i="1"/>
  <c r="AE501" i="1"/>
  <c r="AE485" i="1"/>
  <c r="AE477" i="1"/>
  <c r="AE469" i="1"/>
  <c r="AE461" i="1"/>
  <c r="AE453" i="1"/>
  <c r="AE437" i="1"/>
  <c r="AE421" i="1"/>
  <c r="AE413" i="1"/>
  <c r="AE405" i="1"/>
  <c r="AE397" i="1"/>
  <c r="AE389" i="1"/>
  <c r="AE381" i="1"/>
  <c r="AE373" i="1"/>
  <c r="AE365" i="1"/>
  <c r="AE357" i="1"/>
  <c r="AE349" i="1"/>
  <c r="AE333" i="1"/>
  <c r="AE325" i="1"/>
  <c r="AE317" i="1"/>
  <c r="AE309" i="1"/>
  <c r="AE301" i="1"/>
  <c r="AE293" i="1"/>
  <c r="AE285" i="1"/>
  <c r="AE277" i="1"/>
  <c r="AE269" i="1"/>
  <c r="AE261" i="1"/>
  <c r="AE253" i="1"/>
  <c r="AE245" i="1"/>
  <c r="AE237" i="1"/>
  <c r="AE229" i="1"/>
  <c r="AE221" i="1"/>
  <c r="AE213" i="1"/>
  <c r="AE205" i="1"/>
  <c r="AE197" i="1"/>
  <c r="AE189" i="1"/>
  <c r="AE181" i="1"/>
  <c r="AE173" i="1"/>
  <c r="AE165" i="1"/>
  <c r="AE149" i="1"/>
  <c r="AE141" i="1"/>
  <c r="AE133" i="1"/>
  <c r="AE117" i="1"/>
  <c r="AE109" i="1"/>
  <c r="AE101" i="1"/>
  <c r="AE93" i="1"/>
  <c r="AE85" i="1"/>
  <c r="AE77" i="1"/>
  <c r="AE69" i="1"/>
  <c r="AE61" i="1"/>
  <c r="AE53" i="1"/>
  <c r="AE45" i="1"/>
  <c r="AE37" i="1"/>
  <c r="AE29" i="1"/>
  <c r="AE21" i="1"/>
  <c r="AE13" i="1"/>
  <c r="AE5" i="1"/>
  <c r="AN168" i="1"/>
  <c r="AC168" i="1" s="1"/>
  <c r="AD168" i="1" s="1"/>
  <c r="AH80" i="1"/>
  <c r="AG331" i="1"/>
  <c r="AG126" i="1"/>
  <c r="AH461" i="1"/>
  <c r="AN116" i="1"/>
  <c r="AC116" i="1" s="1"/>
  <c r="AD116" i="1" s="1"/>
  <c r="AG431" i="1"/>
  <c r="AH168" i="1"/>
  <c r="AN28" i="1"/>
  <c r="AC28" i="1" s="1"/>
  <c r="AD28" i="1" s="1"/>
  <c r="AH620" i="1"/>
  <c r="AH340" i="1"/>
  <c r="AN559" i="1"/>
  <c r="AC559" i="1" s="1"/>
  <c r="AD559" i="1" s="1"/>
  <c r="AH344" i="1"/>
  <c r="AH625" i="1"/>
  <c r="AG298" i="1"/>
  <c r="AN221" i="1"/>
  <c r="AC221" i="1" s="1"/>
  <c r="AD221" i="1" s="1"/>
  <c r="AN624" i="1"/>
  <c r="AC624" i="1" s="1"/>
  <c r="AD624" i="1" s="1"/>
  <c r="AH559" i="1"/>
  <c r="AH299" i="1"/>
  <c r="AG340" i="1"/>
  <c r="AN451" i="1"/>
  <c r="AC451" i="1" s="1"/>
  <c r="AD451" i="1" s="1"/>
  <c r="AG336" i="1"/>
  <c r="AG234" i="1"/>
  <c r="AG55" i="1"/>
  <c r="AN525" i="1"/>
  <c r="AC525" i="1" s="1"/>
  <c r="AD525" i="1" s="1"/>
  <c r="AN602" i="1"/>
  <c r="AC602" i="1" s="1"/>
  <c r="AD602" i="1" s="1"/>
  <c r="AN588" i="1"/>
  <c r="AC588" i="1" s="1"/>
  <c r="AD588" i="1" s="1"/>
  <c r="AN336" i="1"/>
  <c r="AC336" i="1" s="1"/>
  <c r="AD336" i="1" s="1"/>
  <c r="AN144" i="1"/>
  <c r="AC144" i="1" s="1"/>
  <c r="AD144" i="1" s="1"/>
  <c r="AN223" i="1"/>
  <c r="AC223" i="1" s="1"/>
  <c r="AD223" i="1" s="1"/>
  <c r="AN371" i="1"/>
  <c r="AC371" i="1" s="1"/>
  <c r="AD371" i="1" s="1"/>
  <c r="AH94" i="1"/>
  <c r="AG253" i="1"/>
  <c r="AG615" i="1"/>
  <c r="AH217" i="1"/>
  <c r="AH222" i="1"/>
  <c r="AH639" i="1"/>
  <c r="AH91" i="1"/>
  <c r="AG225" i="1"/>
  <c r="AH37" i="1"/>
  <c r="AG520" i="1"/>
  <c r="AN217" i="1"/>
  <c r="AC217" i="1" s="1"/>
  <c r="AD217" i="1" s="1"/>
  <c r="AN625" i="1"/>
  <c r="AC625" i="1" s="1"/>
  <c r="AD625" i="1" s="1"/>
  <c r="AN89" i="1"/>
  <c r="AC89" i="1" s="1"/>
  <c r="AD89" i="1" s="1"/>
  <c r="AG633" i="1"/>
  <c r="AH337" i="1"/>
  <c r="AH354" i="1"/>
  <c r="AN300" i="1"/>
  <c r="AC300" i="1" s="1"/>
  <c r="AD300" i="1" s="1"/>
  <c r="AH586" i="1"/>
  <c r="AG497" i="1"/>
  <c r="AH300" i="1"/>
  <c r="AG220" i="1"/>
  <c r="AN376" i="1"/>
  <c r="AC376" i="1" s="1"/>
  <c r="AD376" i="1" s="1"/>
  <c r="AH225" i="1"/>
  <c r="AH380" i="1"/>
  <c r="AH520" i="1"/>
  <c r="AN345" i="1"/>
  <c r="AC345" i="1" s="1"/>
  <c r="AD345" i="1" s="1"/>
  <c r="AN497" i="1"/>
  <c r="AC497" i="1" s="1"/>
  <c r="AD497" i="1" s="1"/>
  <c r="AH633" i="1"/>
  <c r="AH345" i="1"/>
  <c r="AH220" i="1"/>
  <c r="AG603" i="1"/>
  <c r="AN37" i="1"/>
  <c r="AC37" i="1" s="1"/>
  <c r="AD37" i="1" s="1"/>
  <c r="AG458" i="1"/>
  <c r="AN399" i="1"/>
  <c r="AC399" i="1" s="1"/>
  <c r="AD399" i="1" s="1"/>
  <c r="AH386" i="1"/>
  <c r="AH351" i="1"/>
  <c r="AG91" i="1"/>
  <c r="AH152" i="1"/>
  <c r="AH29" i="1"/>
  <c r="AG94" i="1"/>
  <c r="AG80" i="1"/>
  <c r="AG645" i="1"/>
  <c r="AN398" i="1"/>
  <c r="AC398" i="1" s="1"/>
  <c r="AD398" i="1" s="1"/>
  <c r="AH588" i="1"/>
  <c r="AH624" i="1"/>
  <c r="AN38" i="1"/>
  <c r="AC38" i="1" s="1"/>
  <c r="AD38" i="1" s="1"/>
  <c r="AH546" i="1"/>
  <c r="AH116" i="1"/>
  <c r="AN143" i="1"/>
  <c r="AC143" i="1" s="1"/>
  <c r="AD143" i="1" s="1"/>
  <c r="AH371" i="1"/>
  <c r="AN553" i="1"/>
  <c r="AC553" i="1" s="1"/>
  <c r="AD553" i="1" s="1"/>
  <c r="AH373" i="1"/>
  <c r="AG184" i="1"/>
  <c r="AG29" i="1"/>
  <c r="AG79" i="1"/>
  <c r="AG275" i="1"/>
  <c r="AH376" i="1"/>
  <c r="AG222" i="1"/>
  <c r="AH231" i="1"/>
  <c r="AH525" i="1"/>
  <c r="AH631" i="1"/>
  <c r="AN639" i="1"/>
  <c r="AC639" i="1" s="1"/>
  <c r="AD639" i="1" s="1"/>
  <c r="AG602" i="1"/>
  <c r="AH455" i="1"/>
  <c r="AH459" i="1"/>
  <c r="AH527" i="1"/>
  <c r="AH399" i="1"/>
  <c r="AG299" i="1"/>
  <c r="AG223" i="1"/>
  <c r="AN152" i="1"/>
  <c r="AC152" i="1" s="1"/>
  <c r="AD152" i="1" s="1"/>
  <c r="AG451" i="1"/>
  <c r="AH553" i="1"/>
  <c r="AH534" i="1"/>
  <c r="AG61" i="1"/>
  <c r="AH609" i="1"/>
  <c r="AG182" i="1"/>
  <c r="AG68" i="1"/>
  <c r="AG183" i="1"/>
  <c r="AG118" i="1"/>
  <c r="AG536" i="1"/>
  <c r="AG32" i="1"/>
  <c r="AG77" i="1"/>
  <c r="AG265" i="1"/>
  <c r="AN147" i="1"/>
  <c r="AC147" i="1" s="1"/>
  <c r="AD147" i="1" s="1"/>
  <c r="AG390" i="1"/>
  <c r="AG600" i="1"/>
  <c r="AG426" i="1"/>
  <c r="AG427" i="1"/>
  <c r="AG301" i="1"/>
  <c r="AG215" i="1"/>
  <c r="AG578" i="1"/>
  <c r="AG156" i="1"/>
  <c r="AH183" i="1"/>
  <c r="AH258" i="1"/>
  <c r="AH536" i="1"/>
  <c r="AG414" i="1"/>
  <c r="AG92" i="1"/>
  <c r="AG57" i="1"/>
  <c r="AN61" i="1"/>
  <c r="AC61" i="1" s="1"/>
  <c r="AD61" i="1" s="1"/>
  <c r="AH600" i="1"/>
  <c r="AH426" i="1"/>
  <c r="AH427" i="1"/>
  <c r="AG587" i="1"/>
  <c r="AN515" i="1"/>
  <c r="AC515" i="1" s="1"/>
  <c r="AD515" i="1" s="1"/>
  <c r="AN483" i="1"/>
  <c r="AC483" i="1" s="1"/>
  <c r="AD483" i="1" s="1"/>
  <c r="AN122" i="1"/>
  <c r="AC122" i="1" s="1"/>
  <c r="AD122" i="1" s="1"/>
  <c r="AG644" i="1"/>
  <c r="AN68" i="1"/>
  <c r="AC68" i="1" s="1"/>
  <c r="AD68" i="1" s="1"/>
  <c r="AN648" i="1"/>
  <c r="AC648" i="1" s="1"/>
  <c r="AD648" i="1" s="1"/>
  <c r="AG89" i="1"/>
  <c r="AG169" i="1"/>
  <c r="AG337" i="1"/>
  <c r="AG355" i="1"/>
  <c r="AN390" i="1"/>
  <c r="AC390" i="1" s="1"/>
  <c r="AD390" i="1" s="1"/>
  <c r="AN215" i="1"/>
  <c r="AC215" i="1" s="1"/>
  <c r="AD215" i="1" s="1"/>
  <c r="AN414" i="1"/>
  <c r="AC414" i="1" s="1"/>
  <c r="AD414" i="1" s="1"/>
  <c r="AH355" i="1"/>
  <c r="AG226" i="1"/>
  <c r="AH232" i="1"/>
  <c r="AH548" i="1"/>
  <c r="AH603" i="1"/>
  <c r="AN293" i="1"/>
  <c r="AC293" i="1" s="1"/>
  <c r="AD293" i="1" s="1"/>
  <c r="AH466" i="1"/>
  <c r="AN362" i="1"/>
  <c r="AC362" i="1" s="1"/>
  <c r="AD362" i="1" s="1"/>
  <c r="AH550" i="1"/>
  <c r="AH398" i="1"/>
  <c r="AG527" i="1"/>
  <c r="AH493" i="1"/>
  <c r="AH106" i="1"/>
  <c r="AG106" i="1"/>
  <c r="AN107" i="1"/>
  <c r="AC107" i="1" s="1"/>
  <c r="AD107" i="1" s="1"/>
  <c r="AG107" i="1"/>
  <c r="AH221" i="1"/>
  <c r="AN253" i="1"/>
  <c r="AC253" i="1" s="1"/>
  <c r="AD253" i="1" s="1"/>
  <c r="AG232" i="1"/>
  <c r="AG63" i="1"/>
  <c r="AH63" i="1"/>
  <c r="AH379" i="1"/>
  <c r="AG379" i="1"/>
  <c r="AN630" i="1"/>
  <c r="AC630" i="1" s="1"/>
  <c r="AD630" i="1" s="1"/>
  <c r="AH630" i="1"/>
  <c r="AG630" i="1"/>
  <c r="AG237" i="1"/>
  <c r="AH237" i="1"/>
  <c r="AG601" i="1"/>
  <c r="AH601" i="1"/>
  <c r="AH293" i="1"/>
  <c r="AH573" i="1"/>
  <c r="AG573" i="1"/>
  <c r="AG114" i="1"/>
  <c r="AH114" i="1"/>
  <c r="AG374" i="1"/>
  <c r="AG177" i="1"/>
  <c r="AH185" i="1"/>
  <c r="AH338" i="1"/>
  <c r="AG33" i="1"/>
  <c r="AG262" i="1"/>
  <c r="AG264" i="1"/>
  <c r="AG314" i="1"/>
  <c r="AH229" i="1"/>
  <c r="AG229" i="1"/>
  <c r="AG606" i="1"/>
  <c r="AH606" i="1"/>
  <c r="AN606" i="1"/>
  <c r="AC606" i="1" s="1"/>
  <c r="AD606" i="1" s="1"/>
  <c r="AG457" i="1"/>
  <c r="AH457" i="1"/>
  <c r="AG618" i="1"/>
  <c r="AH618" i="1"/>
  <c r="AH596" i="1"/>
  <c r="AG596" i="1"/>
  <c r="AN649" i="1"/>
  <c r="AC649" i="1" s="1"/>
  <c r="AD649" i="1" s="1"/>
  <c r="AH649" i="1"/>
  <c r="AG649" i="1"/>
  <c r="AH408" i="1"/>
  <c r="AH314" i="1"/>
  <c r="AG43" i="1"/>
  <c r="AG103" i="1"/>
  <c r="AG104" i="1"/>
  <c r="AN381" i="1"/>
  <c r="AC381" i="1" s="1"/>
  <c r="AD381" i="1" s="1"/>
  <c r="AG381" i="1"/>
  <c r="AN563" i="1"/>
  <c r="AC563" i="1" s="1"/>
  <c r="AD563" i="1" s="1"/>
  <c r="AH563" i="1"/>
  <c r="AG563" i="1"/>
  <c r="AH480" i="1"/>
  <c r="AG480" i="1"/>
  <c r="AH612" i="1"/>
  <c r="AG612" i="1"/>
  <c r="AG290" i="1"/>
  <c r="AG101" i="1"/>
  <c r="AN106" i="1"/>
  <c r="AC106" i="1" s="1"/>
  <c r="AD106" i="1" s="1"/>
  <c r="AN62" i="1"/>
  <c r="AC62" i="1" s="1"/>
  <c r="AD62" i="1" s="1"/>
  <c r="AG62" i="1"/>
  <c r="AN229" i="1"/>
  <c r="AC229" i="1" s="1"/>
  <c r="AD229" i="1" s="1"/>
  <c r="AN234" i="1"/>
  <c r="AC234" i="1" s="1"/>
  <c r="AD234" i="1" s="1"/>
  <c r="AH381" i="1"/>
  <c r="AN524" i="1"/>
  <c r="AC524" i="1" s="1"/>
  <c r="AD524" i="1" s="1"/>
  <c r="AH302" i="1"/>
  <c r="AG302" i="1"/>
  <c r="AG254" i="1"/>
  <c r="AH254" i="1"/>
  <c r="AH622" i="1"/>
  <c r="AG622" i="1"/>
  <c r="AG611" i="1"/>
  <c r="AH611" i="1"/>
  <c r="AN562" i="1"/>
  <c r="AC562" i="1" s="1"/>
  <c r="AD562" i="1" s="1"/>
  <c r="AH562" i="1"/>
  <c r="AG31" i="1"/>
  <c r="AN96" i="1"/>
  <c r="AC96" i="1" s="1"/>
  <c r="AD96" i="1" s="1"/>
  <c r="AN227" i="1"/>
  <c r="AC227" i="1" s="1"/>
  <c r="AD227" i="1" s="1"/>
  <c r="AH227" i="1"/>
  <c r="AG227" i="1"/>
  <c r="AH123" i="1"/>
  <c r="AN123" i="1"/>
  <c r="AC123" i="1" s="1"/>
  <c r="AD123" i="1" s="1"/>
  <c r="AN275" i="1"/>
  <c r="AC275" i="1" s="1"/>
  <c r="AD275" i="1" s="1"/>
  <c r="AN59" i="1"/>
  <c r="AC59" i="1" s="1"/>
  <c r="AD59" i="1" s="1"/>
  <c r="AG59" i="1"/>
  <c r="AN377" i="1"/>
  <c r="AC377" i="1" s="1"/>
  <c r="AD377" i="1" s="1"/>
  <c r="AG377" i="1"/>
  <c r="AH462" i="1"/>
  <c r="AG462" i="1"/>
  <c r="AG561" i="1"/>
  <c r="AH561" i="1"/>
  <c r="AN592" i="1"/>
  <c r="AC592" i="1" s="1"/>
  <c r="AD592" i="1" s="1"/>
  <c r="AH592" i="1"/>
  <c r="AG592" i="1"/>
  <c r="AN528" i="1"/>
  <c r="AC528" i="1" s="1"/>
  <c r="AD528" i="1" s="1"/>
  <c r="AH528" i="1"/>
  <c r="AG528" i="1"/>
  <c r="AN385" i="1"/>
  <c r="AC385" i="1" s="1"/>
  <c r="AD385" i="1" s="1"/>
  <c r="AH385" i="1"/>
  <c r="AG385" i="1"/>
  <c r="AG88" i="1"/>
  <c r="AG154" i="1"/>
  <c r="AH66" i="1"/>
  <c r="AN36" i="1"/>
  <c r="AC36" i="1" s="1"/>
  <c r="AD36" i="1" s="1"/>
  <c r="AG36" i="1"/>
  <c r="AH470" i="1"/>
  <c r="AH474" i="1"/>
  <c r="AG474" i="1"/>
  <c r="AG328" i="1"/>
  <c r="AH328" i="1"/>
  <c r="AN328" i="1"/>
  <c r="AC328" i="1" s="1"/>
  <c r="AD328" i="1" s="1"/>
  <c r="AG171" i="1"/>
  <c r="AH112" i="1"/>
  <c r="AN250" i="1"/>
  <c r="AC250" i="1" s="1"/>
  <c r="AD250" i="1" s="1"/>
  <c r="AG250" i="1"/>
  <c r="AN291" i="1"/>
  <c r="AC291" i="1" s="1"/>
  <c r="AD291" i="1" s="1"/>
  <c r="AG291" i="1"/>
  <c r="AH59" i="1"/>
  <c r="AN226" i="1"/>
  <c r="AC226" i="1" s="1"/>
  <c r="AD226" i="1" s="1"/>
  <c r="AH486" i="1"/>
  <c r="AG486" i="1"/>
  <c r="AN245" i="1"/>
  <c r="AC245" i="1" s="1"/>
  <c r="AD245" i="1" s="1"/>
  <c r="AH245" i="1"/>
  <c r="AG245" i="1"/>
  <c r="AH36" i="1"/>
  <c r="AG607" i="1"/>
  <c r="AH646" i="1"/>
  <c r="AN231" i="1"/>
  <c r="AC231" i="1" s="1"/>
  <c r="AD231" i="1" s="1"/>
  <c r="AN631" i="1"/>
  <c r="AC631" i="1" s="1"/>
  <c r="AD631" i="1" s="1"/>
  <c r="AG372" i="1"/>
  <c r="AN576" i="1"/>
  <c r="AC576" i="1" s="1"/>
  <c r="AD576" i="1" s="1"/>
  <c r="AN369" i="1"/>
  <c r="AC369" i="1" s="1"/>
  <c r="AD369" i="1" s="1"/>
  <c r="AN493" i="1"/>
  <c r="AC493" i="1" s="1"/>
  <c r="AD493" i="1" s="1"/>
  <c r="AG428" i="1"/>
  <c r="AN546" i="1"/>
  <c r="AC546" i="1" s="1"/>
  <c r="AD546" i="1" s="1"/>
  <c r="AH428" i="1"/>
  <c r="AN124" i="1"/>
  <c r="AC124" i="1" s="1"/>
  <c r="AD124" i="1" s="1"/>
  <c r="AN418" i="1"/>
  <c r="AC418" i="1" s="1"/>
  <c r="AD418" i="1" s="1"/>
  <c r="AN556" i="1"/>
  <c r="AC556" i="1" s="1"/>
  <c r="AD556" i="1" s="1"/>
  <c r="AN526" i="1"/>
  <c r="AC526" i="1" s="1"/>
  <c r="AD526" i="1" s="1"/>
  <c r="AN423" i="1"/>
  <c r="AC423" i="1" s="1"/>
  <c r="AD423" i="1" s="1"/>
  <c r="AH585" i="1"/>
  <c r="AH517" i="1"/>
  <c r="AH126" i="1"/>
  <c r="AH450" i="1"/>
  <c r="AG628" i="1"/>
  <c r="AG533" i="1"/>
  <c r="AG306" i="1"/>
  <c r="AG332" i="1"/>
  <c r="AG380" i="1"/>
  <c r="AH144" i="1"/>
  <c r="AG460" i="1"/>
  <c r="AH484" i="1"/>
  <c r="AG216" i="1"/>
  <c r="AH38" i="1"/>
  <c r="AH492" i="1"/>
  <c r="AG449" i="1"/>
  <c r="AG143" i="1"/>
  <c r="AG505" i="1"/>
  <c r="AH628" i="1"/>
  <c r="AH306" i="1"/>
  <c r="AN386" i="1"/>
  <c r="AC386" i="1" s="1"/>
  <c r="AD386" i="1" s="1"/>
  <c r="AG415" i="1"/>
  <c r="AH449" i="1"/>
  <c r="AN450" i="1"/>
  <c r="AC450" i="1" s="1"/>
  <c r="AD450" i="1" s="1"/>
  <c r="AH505" i="1"/>
  <c r="AH415" i="1"/>
  <c r="AG621" i="1"/>
  <c r="AG117" i="1"/>
  <c r="AH576" i="1"/>
  <c r="AH369" i="1"/>
  <c r="AH125" i="1"/>
  <c r="AH403" i="1"/>
  <c r="AH248" i="1"/>
  <c r="AG248" i="1"/>
  <c r="AN248" i="1"/>
  <c r="AC248" i="1" s="1"/>
  <c r="AD248" i="1" s="1"/>
  <c r="AN278" i="1"/>
  <c r="AC278" i="1" s="1"/>
  <c r="AD278" i="1" s="1"/>
  <c r="AH278" i="1"/>
  <c r="AN487" i="1"/>
  <c r="AC487" i="1" s="1"/>
  <c r="AD487" i="1" s="1"/>
  <c r="AH487" i="1"/>
  <c r="AG487" i="1"/>
  <c r="AN238" i="1"/>
  <c r="AC238" i="1" s="1"/>
  <c r="AD238" i="1" s="1"/>
  <c r="AG238" i="1"/>
  <c r="AG503" i="1"/>
  <c r="AN503" i="1"/>
  <c r="AC503" i="1" s="1"/>
  <c r="AD503" i="1" s="1"/>
  <c r="AH503" i="1"/>
  <c r="AG406" i="1"/>
  <c r="AH71" i="1"/>
  <c r="AG76" i="1"/>
  <c r="AG30" i="1"/>
  <c r="AN297" i="1"/>
  <c r="AC297" i="1" s="1"/>
  <c r="AD297" i="1" s="1"/>
  <c r="AG297" i="1"/>
  <c r="AG60" i="1"/>
  <c r="AN60" i="1"/>
  <c r="AC60" i="1" s="1"/>
  <c r="AD60" i="1" s="1"/>
  <c r="AH60" i="1"/>
  <c r="AN289" i="1"/>
  <c r="AC289" i="1" s="1"/>
  <c r="AD289" i="1" s="1"/>
  <c r="AG289" i="1"/>
  <c r="AH366" i="1"/>
  <c r="AN366" i="1"/>
  <c r="AC366" i="1" s="1"/>
  <c r="AD366" i="1" s="1"/>
  <c r="AG366" i="1"/>
  <c r="AN551" i="1"/>
  <c r="AC551" i="1" s="1"/>
  <c r="AD551" i="1" s="1"/>
  <c r="AG551" i="1"/>
  <c r="AH266" i="1"/>
  <c r="AG266" i="1"/>
  <c r="AH25" i="1"/>
  <c r="AN25" i="1"/>
  <c r="AC25" i="1" s="1"/>
  <c r="AD25" i="1" s="1"/>
  <c r="AH282" i="1"/>
  <c r="AG282" i="1"/>
  <c r="AH261" i="1"/>
  <c r="AG261" i="1"/>
  <c r="AH34" i="1"/>
  <c r="AG34" i="1"/>
  <c r="AH44" i="1"/>
  <c r="AG44" i="1"/>
  <c r="AG23" i="1"/>
  <c r="AN23" i="1"/>
  <c r="AC23" i="1" s="1"/>
  <c r="AD23" i="1" s="1"/>
  <c r="AN56" i="1"/>
  <c r="AC56" i="1" s="1"/>
  <c r="AD56" i="1" s="1"/>
  <c r="AG56" i="1"/>
  <c r="AN604" i="1"/>
  <c r="AC604" i="1" s="1"/>
  <c r="AD604" i="1" s="1"/>
  <c r="AH604" i="1"/>
  <c r="AG604" i="1"/>
  <c r="AN292" i="1"/>
  <c r="AC292" i="1" s="1"/>
  <c r="AD292" i="1" s="1"/>
  <c r="AH292" i="1"/>
  <c r="AG292" i="1"/>
  <c r="AH465" i="1"/>
  <c r="AG465" i="1"/>
  <c r="AN243" i="1"/>
  <c r="AC243" i="1" s="1"/>
  <c r="AD243" i="1" s="1"/>
  <c r="AH243" i="1"/>
  <c r="AG243" i="1"/>
  <c r="AG153" i="1"/>
  <c r="AH519" i="1"/>
  <c r="AG78" i="1"/>
  <c r="AG35" i="1"/>
  <c r="AN242" i="1"/>
  <c r="AC242" i="1" s="1"/>
  <c r="AD242" i="1" s="1"/>
  <c r="AH242" i="1"/>
  <c r="AG242" i="1"/>
  <c r="AH84" i="1"/>
  <c r="AG421" i="1"/>
  <c r="AH109" i="1"/>
  <c r="AH22" i="1"/>
  <c r="AG22" i="1"/>
  <c r="AN230" i="1"/>
  <c r="AC230" i="1" s="1"/>
  <c r="AD230" i="1" s="1"/>
  <c r="AH230" i="1"/>
  <c r="AG230" i="1"/>
  <c r="AN235" i="1"/>
  <c r="AC235" i="1" s="1"/>
  <c r="AD235" i="1" s="1"/>
  <c r="AH235" i="1"/>
  <c r="AG235" i="1"/>
  <c r="AH9" i="1"/>
  <c r="AN9" i="1"/>
  <c r="AC9" i="1" s="1"/>
  <c r="AD9" i="1" s="1"/>
  <c r="AG263" i="1"/>
  <c r="AG93" i="1"/>
  <c r="AG249" i="1"/>
  <c r="AG53" i="1"/>
  <c r="AN54" i="1"/>
  <c r="AC54" i="1" s="1"/>
  <c r="AD54" i="1" s="1"/>
  <c r="AG54" i="1"/>
  <c r="AH58" i="1"/>
  <c r="AN251" i="1"/>
  <c r="AC251" i="1" s="1"/>
  <c r="AD251" i="1" s="1"/>
  <c r="AG375" i="1"/>
  <c r="AN252" i="1"/>
  <c r="AC252" i="1" s="1"/>
  <c r="AD252" i="1" s="1"/>
  <c r="AN224" i="1"/>
  <c r="AC224" i="1" s="1"/>
  <c r="AD224" i="1" s="1"/>
  <c r="AH224" i="1"/>
  <c r="AN233" i="1"/>
  <c r="AC233" i="1" s="1"/>
  <c r="AD233" i="1" s="1"/>
  <c r="AN301" i="1"/>
  <c r="AC301" i="1" s="1"/>
  <c r="AD301" i="1" s="1"/>
  <c r="AN601" i="1"/>
  <c r="AC601" i="1" s="1"/>
  <c r="AD601" i="1" s="1"/>
  <c r="AH395" i="1"/>
  <c r="AG395" i="1"/>
  <c r="AH391" i="1"/>
  <c r="AG391" i="1"/>
  <c r="AN58" i="1"/>
  <c r="AC58" i="1" s="1"/>
  <c r="AD58" i="1" s="1"/>
  <c r="AN375" i="1"/>
  <c r="AC375" i="1" s="1"/>
  <c r="AD375" i="1" s="1"/>
  <c r="AN309" i="1"/>
  <c r="AC309" i="1" s="1"/>
  <c r="AD309" i="1" s="1"/>
  <c r="AG309" i="1"/>
  <c r="AH616" i="1"/>
  <c r="AG616" i="1"/>
  <c r="AH277" i="1"/>
  <c r="AG277" i="1"/>
  <c r="AN272" i="1"/>
  <c r="AC272" i="1" s="1"/>
  <c r="AD272" i="1" s="1"/>
  <c r="AH24" i="1"/>
  <c r="AN24" i="1"/>
  <c r="AC24" i="1" s="1"/>
  <c r="AD24" i="1" s="1"/>
  <c r="AN412" i="1"/>
  <c r="AC412" i="1" s="1"/>
  <c r="AD412" i="1" s="1"/>
  <c r="AH412" i="1"/>
  <c r="AG412" i="1"/>
  <c r="AN170" i="1"/>
  <c r="AC170" i="1" s="1"/>
  <c r="AD170" i="1" s="1"/>
  <c r="AG170" i="1"/>
  <c r="AN479" i="1"/>
  <c r="AC479" i="1" s="1"/>
  <c r="AD479" i="1" s="1"/>
  <c r="AH479" i="1"/>
  <c r="AG479" i="1"/>
  <c r="AH464" i="1"/>
  <c r="AG464" i="1"/>
  <c r="AH181" i="1"/>
  <c r="AN181" i="1"/>
  <c r="AC181" i="1" s="1"/>
  <c r="AD181" i="1" s="1"/>
  <c r="AG352" i="1"/>
  <c r="AN352" i="1"/>
  <c r="AC352" i="1" s="1"/>
  <c r="AD352" i="1" s="1"/>
  <c r="AH352" i="1"/>
  <c r="AG137" i="1"/>
  <c r="AG41" i="1"/>
  <c r="AG42" i="1"/>
  <c r="AN228" i="1"/>
  <c r="AC228" i="1" s="1"/>
  <c r="AD228" i="1" s="1"/>
  <c r="AH228" i="1"/>
  <c r="AN486" i="1"/>
  <c r="AC486" i="1" s="1"/>
  <c r="AD486" i="1" s="1"/>
  <c r="AG378" i="1"/>
  <c r="AH524" i="1"/>
  <c r="AN548" i="1"/>
  <c r="AC548" i="1" s="1"/>
  <c r="AD548" i="1" s="1"/>
  <c r="AG21" i="1"/>
  <c r="AN145" i="1"/>
  <c r="AC145" i="1" s="1"/>
  <c r="AD145" i="1" s="1"/>
  <c r="AH145" i="1"/>
  <c r="AG145" i="1"/>
  <c r="AG330" i="1"/>
  <c r="AH309" i="1"/>
  <c r="AH613" i="1"/>
  <c r="AG364" i="1"/>
  <c r="AN364" i="1"/>
  <c r="AC364" i="1" s="1"/>
  <c r="AD364" i="1" s="1"/>
  <c r="AN277" i="1"/>
  <c r="AC277" i="1" s="1"/>
  <c r="AD277" i="1" s="1"/>
  <c r="AH632" i="1"/>
  <c r="AG632" i="1"/>
  <c r="AG413" i="1"/>
  <c r="AN413" i="1"/>
  <c r="AC413" i="1" s="1"/>
  <c r="AD413" i="1" s="1"/>
  <c r="AH413" i="1"/>
  <c r="AH137" i="1"/>
  <c r="AN176" i="1"/>
  <c r="AC176" i="1" s="1"/>
  <c r="AD176" i="1" s="1"/>
  <c r="AG176" i="1"/>
  <c r="AG251" i="1"/>
  <c r="AG244" i="1"/>
  <c r="AH378" i="1"/>
  <c r="AH236" i="1"/>
  <c r="AH21" i="1"/>
  <c r="AG4" i="1"/>
  <c r="AH330" i="1"/>
  <c r="AH170" i="1"/>
  <c r="AH468" i="1"/>
  <c r="AG468" i="1"/>
  <c r="AH473" i="1"/>
  <c r="AG473" i="1"/>
  <c r="AH549" i="1"/>
  <c r="AG549" i="1"/>
  <c r="AH591" i="1"/>
  <c r="AN591" i="1"/>
  <c r="AC591" i="1" s="1"/>
  <c r="AD591" i="1" s="1"/>
  <c r="AG643" i="1"/>
  <c r="AN643" i="1"/>
  <c r="AC643" i="1" s="1"/>
  <c r="AD643" i="1" s="1"/>
  <c r="AH643" i="1"/>
  <c r="AN383" i="1"/>
  <c r="AC383" i="1" s="1"/>
  <c r="AD383" i="1" s="1"/>
  <c r="AG383" i="1"/>
  <c r="AH383" i="1"/>
  <c r="AG252" i="1"/>
  <c r="AH233" i="1"/>
  <c r="AN304" i="1"/>
  <c r="AC304" i="1" s="1"/>
  <c r="AD304" i="1" s="1"/>
  <c r="AH304" i="1"/>
  <c r="AG304" i="1"/>
  <c r="AH623" i="1"/>
  <c r="AG623" i="1"/>
  <c r="AH384" i="1"/>
  <c r="AG384" i="1"/>
  <c r="AG296" i="1"/>
  <c r="AG102" i="1"/>
  <c r="AG105" i="1"/>
  <c r="AN244" i="1"/>
  <c r="AC244" i="1" s="1"/>
  <c r="AD244" i="1" s="1"/>
  <c r="AN236" i="1"/>
  <c r="AC236" i="1" s="1"/>
  <c r="AD236" i="1" s="1"/>
  <c r="AN4" i="1"/>
  <c r="AC4" i="1" s="1"/>
  <c r="AD4" i="1" s="1"/>
  <c r="AH472" i="1"/>
  <c r="AG472" i="1"/>
  <c r="AH276" i="1"/>
  <c r="AG540" i="1"/>
  <c r="AH540" i="1"/>
  <c r="AN540" i="1"/>
  <c r="AC540" i="1" s="1"/>
  <c r="AD540" i="1" s="1"/>
  <c r="AG64" i="1"/>
  <c r="AN64" i="1"/>
  <c r="AC64" i="1" s="1"/>
  <c r="AD64" i="1" s="1"/>
  <c r="AG342" i="1"/>
  <c r="AN342" i="1"/>
  <c r="AC342" i="1" s="1"/>
  <c r="AD342" i="1" s="1"/>
  <c r="AN305" i="1"/>
  <c r="AC305" i="1" s="1"/>
  <c r="AD305" i="1" s="1"/>
  <c r="AG305" i="1"/>
  <c r="AG343" i="1"/>
  <c r="AN343" i="1"/>
  <c r="AC343" i="1" s="1"/>
  <c r="AD343" i="1" s="1"/>
  <c r="AG469" i="1"/>
  <c r="AN274" i="1"/>
  <c r="AC274" i="1" s="1"/>
  <c r="AD274" i="1" s="1"/>
  <c r="AH274" i="1"/>
  <c r="AN627" i="1"/>
  <c r="AC627" i="1" s="1"/>
  <c r="AD627" i="1" s="1"/>
  <c r="AH627" i="1"/>
  <c r="AG627" i="1"/>
  <c r="AN453" i="1"/>
  <c r="AC453" i="1" s="1"/>
  <c r="AD453" i="1" s="1"/>
  <c r="AH453" i="1"/>
  <c r="AG453" i="1"/>
  <c r="AG452" i="1"/>
  <c r="AN452" i="1"/>
  <c r="AC452" i="1" s="1"/>
  <c r="AD452" i="1" s="1"/>
  <c r="AH353" i="1"/>
  <c r="AG353" i="1"/>
  <c r="AG605" i="1"/>
  <c r="AH577" i="1"/>
  <c r="AN577" i="1"/>
  <c r="AC577" i="1" s="1"/>
  <c r="AD577" i="1" s="1"/>
  <c r="AG346" i="1"/>
  <c r="AH346" i="1"/>
  <c r="AN346" i="1"/>
  <c r="AC346" i="1" s="1"/>
  <c r="AD346" i="1" s="1"/>
  <c r="Y527" i="1"/>
  <c r="Z527" i="1" s="1"/>
  <c r="AN349" i="1"/>
  <c r="AC349" i="1" s="1"/>
  <c r="AD349" i="1" s="1"/>
  <c r="AH349" i="1"/>
  <c r="AG349" i="1"/>
  <c r="AH69" i="1"/>
  <c r="AH626" i="1"/>
  <c r="AG626" i="1"/>
  <c r="AG267" i="1"/>
  <c r="AN267" i="1"/>
  <c r="AC267" i="1" s="1"/>
  <c r="AD267" i="1" s="1"/>
  <c r="AH452" i="1"/>
  <c r="AH605" i="1"/>
  <c r="AG362" i="1"/>
  <c r="AH560" i="1"/>
  <c r="AN490" i="1"/>
  <c r="AC490" i="1" s="1"/>
  <c r="AD490" i="1" s="1"/>
  <c r="AH581" i="1"/>
  <c r="AG581" i="1"/>
  <c r="AH239" i="1"/>
  <c r="AN285" i="1"/>
  <c r="AC285" i="1" s="1"/>
  <c r="AD285" i="1" s="1"/>
  <c r="AH285" i="1"/>
  <c r="AN647" i="1"/>
  <c r="AC647" i="1" s="1"/>
  <c r="AD647" i="1" s="1"/>
  <c r="AH647" i="1"/>
  <c r="AG647" i="1"/>
  <c r="AN174" i="1"/>
  <c r="AC174" i="1" s="1"/>
  <c r="AD174" i="1" s="1"/>
  <c r="AH174" i="1"/>
  <c r="AG174" i="1"/>
  <c r="AN516" i="1"/>
  <c r="AC516" i="1" s="1"/>
  <c r="AD516" i="1" s="1"/>
  <c r="AH516" i="1"/>
  <c r="AG516" i="1"/>
  <c r="AN504" i="1"/>
  <c r="AC504" i="1" s="1"/>
  <c r="AD504" i="1" s="1"/>
  <c r="AG504" i="1"/>
  <c r="AN341" i="1"/>
  <c r="AC341" i="1" s="1"/>
  <c r="AD341" i="1" s="1"/>
  <c r="AG341" i="1"/>
  <c r="AN629" i="1"/>
  <c r="AC629" i="1" s="1"/>
  <c r="AD629" i="1" s="1"/>
  <c r="AH629" i="1"/>
  <c r="AG629" i="1"/>
  <c r="AH267" i="1"/>
  <c r="AN535" i="1"/>
  <c r="AC535" i="1" s="1"/>
  <c r="AD535" i="1" s="1"/>
  <c r="AH535" i="1"/>
  <c r="AG535" i="1"/>
  <c r="AG329" i="1"/>
  <c r="AN329" i="1"/>
  <c r="AC329" i="1" s="1"/>
  <c r="AD329" i="1" s="1"/>
  <c r="AG268" i="1"/>
  <c r="AN268" i="1"/>
  <c r="AC268" i="1" s="1"/>
  <c r="AD268" i="1" s="1"/>
  <c r="AN402" i="1"/>
  <c r="AC402" i="1" s="1"/>
  <c r="AD402" i="1" s="1"/>
  <c r="AG402" i="1"/>
  <c r="AN417" i="1"/>
  <c r="AC417" i="1" s="1"/>
  <c r="AD417" i="1" s="1"/>
  <c r="AN350" i="1"/>
  <c r="AC350" i="1" s="1"/>
  <c r="AD350" i="1" s="1"/>
  <c r="AH350" i="1"/>
  <c r="AG350" i="1"/>
  <c r="AN491" i="1"/>
  <c r="AC491" i="1" s="1"/>
  <c r="AD491" i="1" s="1"/>
  <c r="AH491" i="1"/>
  <c r="AH518" i="1"/>
  <c r="AG518" i="1"/>
  <c r="AG307" i="1"/>
  <c r="AN307" i="1"/>
  <c r="AC307" i="1" s="1"/>
  <c r="AD307" i="1" s="1"/>
  <c r="AH329" i="1"/>
  <c r="AH268" i="1"/>
  <c r="AH402" i="1"/>
  <c r="AN216" i="1"/>
  <c r="AC216" i="1" s="1"/>
  <c r="AD216" i="1" s="1"/>
  <c r="AN331" i="1"/>
  <c r="AC331" i="1" s="1"/>
  <c r="AD331" i="1" s="1"/>
  <c r="AN182" i="1"/>
  <c r="AC182" i="1" s="1"/>
  <c r="AD182" i="1" s="1"/>
  <c r="AN117" i="1"/>
  <c r="AC117" i="1" s="1"/>
  <c r="AD117" i="1" s="1"/>
  <c r="AN156" i="1"/>
  <c r="AC156" i="1" s="1"/>
  <c r="AD156" i="1" s="1"/>
  <c r="AN46" i="1"/>
  <c r="AC46" i="1" s="1"/>
  <c r="AD46" i="1" s="1"/>
  <c r="AH533" i="1"/>
  <c r="AH118" i="1"/>
  <c r="AN332" i="1"/>
  <c r="AC332" i="1" s="1"/>
  <c r="AD332" i="1" s="1"/>
  <c r="AN484" i="1"/>
  <c r="AC484" i="1" s="1"/>
  <c r="AD484" i="1" s="1"/>
  <c r="AN585" i="1"/>
  <c r="AC585" i="1" s="1"/>
  <c r="AD585" i="1" s="1"/>
  <c r="AG125" i="1"/>
  <c r="AG354" i="1"/>
  <c r="AG400" i="1"/>
  <c r="AG401" i="1"/>
  <c r="AH255" i="1"/>
  <c r="AH401" i="1"/>
  <c r="AG351" i="1"/>
  <c r="AN367" i="1"/>
  <c r="AC367" i="1" s="1"/>
  <c r="AD367" i="1" s="1"/>
  <c r="AN255" i="1"/>
  <c r="AC255" i="1" s="1"/>
  <c r="AD255" i="1" s="1"/>
  <c r="AN45" i="1"/>
  <c r="AC45" i="1" s="1"/>
  <c r="AD45" i="1" s="1"/>
  <c r="AH46" i="1"/>
  <c r="Y518" i="1"/>
  <c r="Z518" i="1" s="1"/>
  <c r="AM415" i="1"/>
  <c r="P415" i="1"/>
  <c r="AM443" i="1"/>
  <c r="P568" i="1"/>
  <c r="AL126" i="1"/>
  <c r="P533" i="1"/>
  <c r="AM300" i="1"/>
  <c r="P300" i="1"/>
  <c r="AM554" i="1"/>
  <c r="P554" i="1"/>
  <c r="P69" i="1"/>
  <c r="AN69" i="1"/>
  <c r="AC69" i="1" s="1"/>
  <c r="AD69" i="1" s="1"/>
  <c r="AM343" i="1"/>
  <c r="P413" i="1"/>
  <c r="AM517" i="1"/>
  <c r="AN258" i="1"/>
  <c r="AC258" i="1" s="1"/>
  <c r="AD258" i="1" s="1"/>
  <c r="AM89" i="1"/>
  <c r="P267" i="1"/>
  <c r="AN534" i="1"/>
  <c r="AC534" i="1" s="1"/>
  <c r="AD534" i="1" s="1"/>
  <c r="AL300" i="1"/>
  <c r="AL11" i="1"/>
  <c r="AM420" i="1"/>
  <c r="P403" i="1"/>
  <c r="AN403" i="1"/>
  <c r="AC403" i="1" s="1"/>
  <c r="AD403" i="1" s="1"/>
  <c r="AN400" i="1"/>
  <c r="AC400" i="1" s="1"/>
  <c r="AD400" i="1" s="1"/>
  <c r="P400" i="1"/>
  <c r="AM534" i="1"/>
  <c r="AN517" i="1"/>
  <c r="AC517" i="1" s="1"/>
  <c r="AD517" i="1" s="1"/>
  <c r="AL125" i="1"/>
  <c r="AL371" i="1"/>
  <c r="P627" i="1"/>
  <c r="AL628" i="1"/>
  <c r="P633" i="1"/>
  <c r="AL305" i="1"/>
  <c r="AN384" i="1"/>
  <c r="AC384" i="1" s="1"/>
  <c r="AD384" i="1" s="1"/>
  <c r="Y428" i="1"/>
  <c r="Z428" i="1" s="1"/>
  <c r="AM286" i="1"/>
  <c r="AM493" i="1"/>
  <c r="P493" i="1"/>
  <c r="P118" i="1"/>
  <c r="AM118" i="1"/>
  <c r="P628" i="1"/>
  <c r="Y628" i="1"/>
  <c r="Z628" i="1" s="1"/>
  <c r="AM394" i="1"/>
  <c r="P394" i="1"/>
  <c r="Y126" i="1"/>
  <c r="Z126" i="1" s="1"/>
  <c r="P126" i="1"/>
  <c r="AM126" i="1"/>
  <c r="P569" i="1"/>
  <c r="P387" i="1"/>
  <c r="AM387" i="1"/>
  <c r="AM151" i="1"/>
  <c r="AL536" i="1"/>
  <c r="P343" i="1"/>
  <c r="AM535" i="1"/>
  <c r="AM509" i="1"/>
  <c r="P509" i="1"/>
  <c r="AL567" i="1"/>
  <c r="AM491" i="1"/>
  <c r="AM518" i="1"/>
  <c r="Y125" i="1"/>
  <c r="Z125" i="1" s="1"/>
  <c r="P504" i="1"/>
  <c r="AN169" i="1"/>
  <c r="AC169" i="1" s="1"/>
  <c r="AD169" i="1" s="1"/>
  <c r="P268" i="1"/>
  <c r="AL493" i="1"/>
  <c r="P351" i="1"/>
  <c r="AN353" i="1"/>
  <c r="AC353" i="1" s="1"/>
  <c r="AD353" i="1" s="1"/>
  <c r="Y394" i="1"/>
  <c r="Z394" i="1" s="1"/>
  <c r="Y29" i="1"/>
  <c r="Z29" i="1" s="1"/>
  <c r="P445" i="1"/>
  <c r="P449" i="1"/>
  <c r="P307" i="1"/>
  <c r="Y633" i="1"/>
  <c r="Z633" i="1" s="1"/>
  <c r="AL342" i="1"/>
  <c r="P535" i="1"/>
  <c r="AM403" i="1"/>
  <c r="AM428" i="1"/>
  <c r="AL518" i="1"/>
  <c r="AM627" i="1"/>
  <c r="AL633" i="1"/>
  <c r="AL118" i="1"/>
  <c r="AM268" i="1"/>
  <c r="AL351" i="1"/>
  <c r="AL336" i="1"/>
  <c r="AL571" i="1"/>
  <c r="AL516" i="1"/>
  <c r="AL503" i="1"/>
  <c r="Y505" i="1"/>
  <c r="Z505" i="1" s="1"/>
  <c r="AL329" i="1"/>
  <c r="AL629" i="1"/>
  <c r="AL385" i="1"/>
  <c r="AL452" i="1"/>
  <c r="AN240" i="1"/>
  <c r="AC240" i="1" s="1"/>
  <c r="AD240" i="1" s="1"/>
  <c r="AN175" i="1"/>
  <c r="AC175" i="1" s="1"/>
  <c r="AD175" i="1" s="1"/>
  <c r="AN405" i="1"/>
  <c r="AC405" i="1" s="1"/>
  <c r="AD405" i="1" s="1"/>
  <c r="AN389" i="1"/>
  <c r="AC389" i="1" s="1"/>
  <c r="AD389" i="1" s="1"/>
  <c r="AL445" i="1"/>
  <c r="AL446" i="1"/>
  <c r="AL450" i="1"/>
  <c r="AL386" i="1"/>
  <c r="P402" i="1"/>
  <c r="AL415" i="1"/>
  <c r="AL355" i="1"/>
  <c r="AL428" i="1"/>
  <c r="P635" i="1"/>
  <c r="Y401" i="1"/>
  <c r="Z401" i="1" s="1"/>
  <c r="AN492" i="1"/>
  <c r="AC492" i="1" s="1"/>
  <c r="AD492" i="1" s="1"/>
  <c r="P492" i="1"/>
  <c r="AL116" i="1"/>
  <c r="AL443" i="1"/>
  <c r="AL491" i="1"/>
  <c r="AL341" i="1"/>
  <c r="AN334" i="1"/>
  <c r="AC334" i="1" s="1"/>
  <c r="AD334" i="1" s="1"/>
  <c r="AH312" i="1"/>
  <c r="AN312" i="1"/>
  <c r="AC312" i="1" s="1"/>
  <c r="AD312" i="1" s="1"/>
  <c r="AH129" i="1"/>
  <c r="AN129" i="1"/>
  <c r="AC129" i="1" s="1"/>
  <c r="AD129" i="1" s="1"/>
  <c r="AH13" i="1"/>
  <c r="AN13" i="1"/>
  <c r="AC13" i="1" s="1"/>
  <c r="AD13" i="1" s="1"/>
  <c r="AH85" i="1"/>
  <c r="AN86" i="1"/>
  <c r="AC86" i="1" s="1"/>
  <c r="AD86" i="1" s="1"/>
  <c r="AN83" i="1"/>
  <c r="AC83" i="1" s="1"/>
  <c r="AD83" i="1" s="1"/>
  <c r="AG87" i="1"/>
  <c r="AN39" i="1"/>
  <c r="AC39" i="1" s="1"/>
  <c r="AD39" i="1" s="1"/>
  <c r="AN407" i="1"/>
  <c r="AC407" i="1" s="1"/>
  <c r="AD407" i="1" s="1"/>
  <c r="AN5" i="1"/>
  <c r="AC5" i="1" s="1"/>
  <c r="AD5" i="1" s="1"/>
  <c r="AH422" i="1"/>
  <c r="AN422" i="1"/>
  <c r="AC422" i="1" s="1"/>
  <c r="AD422" i="1" s="1"/>
  <c r="AH246" i="1"/>
  <c r="AN246" i="1"/>
  <c r="AC246" i="1" s="1"/>
  <c r="AD246" i="1" s="1"/>
  <c r="AN88" i="1"/>
  <c r="AC88" i="1" s="1"/>
  <c r="AD88" i="1" s="1"/>
  <c r="AN153" i="1"/>
  <c r="AC153" i="1" s="1"/>
  <c r="AD153" i="1" s="1"/>
  <c r="AN373" i="1"/>
  <c r="AC373" i="1" s="1"/>
  <c r="AD373" i="1" s="1"/>
  <c r="AH347" i="1"/>
  <c r="AN347" i="1"/>
  <c r="AC347" i="1" s="1"/>
  <c r="AD347" i="1" s="1"/>
  <c r="AH121" i="1"/>
  <c r="AN121" i="1"/>
  <c r="AC121" i="1" s="1"/>
  <c r="AD121" i="1" s="1"/>
  <c r="AH547" i="1"/>
  <c r="AN547" i="1"/>
  <c r="AC547" i="1" s="1"/>
  <c r="AD547" i="1" s="1"/>
  <c r="AH310" i="1"/>
  <c r="AN310" i="1"/>
  <c r="AC310" i="1" s="1"/>
  <c r="AD310" i="1" s="1"/>
  <c r="AH8" i="1"/>
  <c r="AG8" i="1"/>
  <c r="AN8" i="1"/>
  <c r="AC8" i="1" s="1"/>
  <c r="AD8" i="1" s="1"/>
  <c r="AG86" i="1"/>
  <c r="AG136" i="1"/>
  <c r="AN406" i="1"/>
  <c r="AC406" i="1" s="1"/>
  <c r="AD406" i="1" s="1"/>
  <c r="AG410" i="1"/>
  <c r="AN177" i="1"/>
  <c r="AC177" i="1" s="1"/>
  <c r="AD177" i="1" s="1"/>
  <c r="AG422" i="1"/>
  <c r="AH589" i="1"/>
  <c r="AN589" i="1"/>
  <c r="AC589" i="1" s="1"/>
  <c r="AD589" i="1" s="1"/>
  <c r="AG246" i="1"/>
  <c r="AH288" i="1"/>
  <c r="AN288" i="1"/>
  <c r="AC288" i="1" s="1"/>
  <c r="AD288" i="1" s="1"/>
  <c r="AH193" i="1"/>
  <c r="AN193" i="1"/>
  <c r="AC193" i="1" s="1"/>
  <c r="AD193" i="1" s="1"/>
  <c r="AH26" i="1"/>
  <c r="AN26" i="1"/>
  <c r="AC26" i="1" s="1"/>
  <c r="AD26" i="1" s="1"/>
  <c r="AH135" i="1"/>
  <c r="AG135" i="1"/>
  <c r="AN135" i="1"/>
  <c r="AC135" i="1" s="1"/>
  <c r="AD135" i="1" s="1"/>
  <c r="AH86" i="1"/>
  <c r="AN171" i="1"/>
  <c r="AC171" i="1" s="1"/>
  <c r="AD171" i="1" s="1"/>
  <c r="AG407" i="1"/>
  <c r="AN184" i="1"/>
  <c r="AC184" i="1" s="1"/>
  <c r="AD184" i="1" s="1"/>
  <c r="AG5" i="1"/>
  <c r="AH284" i="1"/>
  <c r="AN284" i="1"/>
  <c r="AC284" i="1" s="1"/>
  <c r="AD284" i="1" s="1"/>
  <c r="AH72" i="1"/>
  <c r="AN72" i="1"/>
  <c r="AC72" i="1" s="1"/>
  <c r="AD72" i="1" s="1"/>
  <c r="AH531" i="1"/>
  <c r="AN531" i="1"/>
  <c r="AC531" i="1" s="1"/>
  <c r="AD531" i="1" s="1"/>
  <c r="AH194" i="1"/>
  <c r="AN194" i="1"/>
  <c r="AC194" i="1" s="1"/>
  <c r="AD194" i="1" s="1"/>
  <c r="AG312" i="1"/>
  <c r="AH74" i="1"/>
  <c r="AN74" i="1"/>
  <c r="AC74" i="1" s="1"/>
  <c r="AD74" i="1" s="1"/>
  <c r="AG129" i="1"/>
  <c r="AH130" i="1"/>
  <c r="AN130" i="1"/>
  <c r="AC130" i="1" s="1"/>
  <c r="AD130" i="1" s="1"/>
  <c r="AH132" i="1"/>
  <c r="AN132" i="1"/>
  <c r="AC132" i="1" s="1"/>
  <c r="AD132" i="1" s="1"/>
  <c r="AG13" i="1"/>
  <c r="AH14" i="1"/>
  <c r="AN14" i="1"/>
  <c r="AC14" i="1" s="1"/>
  <c r="AD14" i="1" s="1"/>
  <c r="Y90" i="1"/>
  <c r="Z90" i="1" s="1"/>
  <c r="AN155" i="1"/>
  <c r="AC155" i="1" s="1"/>
  <c r="AD155" i="1" s="1"/>
  <c r="AG155" i="1"/>
  <c r="AH155" i="1"/>
  <c r="AH119" i="1"/>
  <c r="AN119" i="1"/>
  <c r="AC119" i="1" s="1"/>
  <c r="AD119" i="1" s="1"/>
  <c r="AH131" i="1"/>
  <c r="AN131" i="1"/>
  <c r="AC131" i="1" s="1"/>
  <c r="AD131" i="1" s="1"/>
  <c r="AN513" i="1"/>
  <c r="AC513" i="1" s="1"/>
  <c r="AD513" i="1" s="1"/>
  <c r="AN87" i="1"/>
  <c r="AC87" i="1" s="1"/>
  <c r="AD87" i="1" s="1"/>
  <c r="AG39" i="1"/>
  <c r="AH83" i="1"/>
  <c r="AN84" i="1"/>
  <c r="AC84" i="1" s="1"/>
  <c r="AD84" i="1" s="1"/>
  <c r="AH39" i="1"/>
  <c r="AN109" i="1"/>
  <c r="AC109" i="1" s="1"/>
  <c r="AD109" i="1" s="1"/>
  <c r="AH407" i="1"/>
  <c r="AN408" i="1"/>
  <c r="AC408" i="1" s="1"/>
  <c r="AD408" i="1" s="1"/>
  <c r="AH5" i="1"/>
  <c r="AN66" i="1"/>
  <c r="AC66" i="1" s="1"/>
  <c r="AD66" i="1" s="1"/>
  <c r="AG67" i="1"/>
  <c r="AG538" i="1"/>
  <c r="AG127" i="1"/>
  <c r="AG119" i="1"/>
  <c r="AH180" i="1"/>
  <c r="AN180" i="1"/>
  <c r="AC180" i="1" s="1"/>
  <c r="AD180" i="1" s="1"/>
  <c r="AG26" i="1"/>
  <c r="AH27" i="1"/>
  <c r="AN27" i="1"/>
  <c r="AC27" i="1" s="1"/>
  <c r="AD27" i="1" s="1"/>
  <c r="AH191" i="1"/>
  <c r="AN191" i="1"/>
  <c r="AC191" i="1" s="1"/>
  <c r="AD191" i="1" s="1"/>
  <c r="AH149" i="1"/>
  <c r="AG149" i="1"/>
  <c r="AN149" i="1"/>
  <c r="AC149" i="1" s="1"/>
  <c r="AD149" i="1" s="1"/>
  <c r="AN110" i="1"/>
  <c r="AC110" i="1" s="1"/>
  <c r="AD110" i="1" s="1"/>
  <c r="AN409" i="1"/>
  <c r="AC409" i="1" s="1"/>
  <c r="AD409" i="1" s="1"/>
  <c r="AN6" i="1"/>
  <c r="AC6" i="1" s="1"/>
  <c r="AD6" i="1" s="1"/>
  <c r="AN179" i="1"/>
  <c r="AC179" i="1" s="1"/>
  <c r="AD179" i="1" s="1"/>
  <c r="AN111" i="1"/>
  <c r="AC111" i="1" s="1"/>
  <c r="AD111" i="1" s="1"/>
  <c r="AH190" i="1"/>
  <c r="AN190" i="1"/>
  <c r="AC190" i="1" s="1"/>
  <c r="AD190" i="1" s="1"/>
  <c r="AN421" i="1"/>
  <c r="AC421" i="1" s="1"/>
  <c r="AD421" i="1" s="1"/>
  <c r="AG110" i="1"/>
  <c r="AN154" i="1"/>
  <c r="AC154" i="1" s="1"/>
  <c r="AD154" i="1" s="1"/>
  <c r="AG409" i="1"/>
  <c r="AN374" i="1"/>
  <c r="AC374" i="1" s="1"/>
  <c r="AD374" i="1" s="1"/>
  <c r="AN71" i="1"/>
  <c r="AC71" i="1" s="1"/>
  <c r="AD71" i="1" s="1"/>
  <c r="AH6" i="1"/>
  <c r="AN185" i="1"/>
  <c r="AC185" i="1" s="1"/>
  <c r="AD185" i="1" s="1"/>
  <c r="AH179" i="1"/>
  <c r="AN338" i="1"/>
  <c r="AC338" i="1" s="1"/>
  <c r="AD338" i="1" s="1"/>
  <c r="AH111" i="1"/>
  <c r="AN112" i="1"/>
  <c r="AC112" i="1" s="1"/>
  <c r="AD112" i="1" s="1"/>
  <c r="AN519" i="1"/>
  <c r="AC519" i="1" s="1"/>
  <c r="AD519" i="1" s="1"/>
  <c r="AH40" i="1"/>
  <c r="AN40" i="1"/>
  <c r="AC40" i="1" s="1"/>
  <c r="AD40" i="1" s="1"/>
  <c r="AH120" i="1"/>
  <c r="AN120" i="1"/>
  <c r="AC120" i="1" s="1"/>
  <c r="AD120" i="1" s="1"/>
  <c r="AH308" i="1"/>
  <c r="AN308" i="1"/>
  <c r="AC308" i="1" s="1"/>
  <c r="AD308" i="1" s="1"/>
  <c r="AH634" i="1"/>
  <c r="AN634" i="1"/>
  <c r="AC634" i="1" s="1"/>
  <c r="AD634" i="1" s="1"/>
  <c r="AG194" i="1"/>
  <c r="AH311" i="1"/>
  <c r="AN311" i="1"/>
  <c r="AC311" i="1" s="1"/>
  <c r="AD311" i="1" s="1"/>
  <c r="AG74" i="1"/>
  <c r="AH128" i="1"/>
  <c r="AN128" i="1"/>
  <c r="AC128" i="1" s="1"/>
  <c r="AD128" i="1" s="1"/>
  <c r="AG130" i="1"/>
  <c r="AH48" i="1"/>
  <c r="AN48" i="1"/>
  <c r="AC48" i="1" s="1"/>
  <c r="AD48" i="1" s="1"/>
  <c r="AG132" i="1"/>
  <c r="AH133" i="1"/>
  <c r="AN133" i="1"/>
  <c r="AC133" i="1" s="1"/>
  <c r="AD133" i="1" s="1"/>
  <c r="AG14" i="1"/>
  <c r="AH148" i="1"/>
  <c r="AG148" i="1"/>
  <c r="AN148" i="1"/>
  <c r="AC148" i="1" s="1"/>
  <c r="AD148" i="1" s="1"/>
  <c r="AN85" i="1"/>
  <c r="AC85" i="1" s="1"/>
  <c r="AD85" i="1" s="1"/>
  <c r="AN67" i="1"/>
  <c r="AC67" i="1" s="1"/>
  <c r="AD67" i="1" s="1"/>
  <c r="AN538" i="1"/>
  <c r="AC538" i="1" s="1"/>
  <c r="AD538" i="1" s="1"/>
  <c r="AN127" i="1"/>
  <c r="AC127" i="1" s="1"/>
  <c r="AD127" i="1" s="1"/>
  <c r="AH50" i="1"/>
  <c r="AG50" i="1"/>
  <c r="AN50" i="1"/>
  <c r="AC50" i="1" s="1"/>
  <c r="AD50" i="1" s="1"/>
  <c r="AH339" i="1"/>
  <c r="AN339" i="1"/>
  <c r="AC339" i="1" s="1"/>
  <c r="AD339" i="1" s="1"/>
  <c r="AH73" i="1"/>
  <c r="AN73" i="1"/>
  <c r="AC73" i="1" s="1"/>
  <c r="AD73" i="1" s="1"/>
  <c r="AH532" i="1"/>
  <c r="AN532" i="1"/>
  <c r="AC532" i="1" s="1"/>
  <c r="AD532" i="1" s="1"/>
  <c r="AH113" i="1"/>
  <c r="AG113" i="1"/>
  <c r="AN113" i="1"/>
  <c r="AC113" i="1" s="1"/>
  <c r="AD113" i="1" s="1"/>
  <c r="AH97" i="1"/>
  <c r="AG97" i="1"/>
  <c r="AN97" i="1"/>
  <c r="AC97" i="1" s="1"/>
  <c r="AD97" i="1" s="1"/>
  <c r="AH110" i="1"/>
  <c r="AN136" i="1"/>
  <c r="AC136" i="1" s="1"/>
  <c r="AD136" i="1" s="1"/>
  <c r="AH409" i="1"/>
  <c r="AN410" i="1"/>
  <c r="AC410" i="1" s="1"/>
  <c r="AD410" i="1" s="1"/>
  <c r="AH513" i="1"/>
  <c r="AH192" i="1"/>
  <c r="AN192" i="1"/>
  <c r="AC192" i="1" s="1"/>
  <c r="AD192" i="1" s="1"/>
  <c r="AH641" i="1"/>
  <c r="AN641" i="1"/>
  <c r="AC641" i="1" s="1"/>
  <c r="AD641" i="1" s="1"/>
  <c r="AH47" i="1"/>
  <c r="AN47" i="1"/>
  <c r="AC47" i="1" s="1"/>
  <c r="AD47" i="1" s="1"/>
  <c r="AH75" i="1"/>
  <c r="AN75" i="1"/>
  <c r="AC75" i="1" s="1"/>
  <c r="AD75" i="1" s="1"/>
  <c r="AH134" i="1"/>
  <c r="AN134" i="1"/>
  <c r="AC134" i="1" s="1"/>
  <c r="AD134" i="1" s="1"/>
  <c r="AH7" i="1"/>
  <c r="AG7" i="1"/>
  <c r="AN7" i="1"/>
  <c r="AC7" i="1" s="1"/>
  <c r="AD7" i="1" s="1"/>
  <c r="AN315" i="1"/>
  <c r="AC315" i="1" s="1"/>
  <c r="AD315" i="1" s="1"/>
  <c r="AG315" i="1"/>
  <c r="AH315" i="1"/>
  <c r="AG10" i="1"/>
  <c r="AH28" i="1"/>
  <c r="AN76" i="1"/>
  <c r="AC76" i="1" s="1"/>
  <c r="AD76" i="1" s="1"/>
  <c r="AN77" i="1"/>
  <c r="AC77" i="1" s="1"/>
  <c r="AD77" i="1" s="1"/>
  <c r="AN262" i="1"/>
  <c r="AC262" i="1" s="1"/>
  <c r="AD262" i="1" s="1"/>
  <c r="AN35" i="1"/>
  <c r="AC35" i="1" s="1"/>
  <c r="AD35" i="1" s="1"/>
  <c r="AN92" i="1"/>
  <c r="AC92" i="1" s="1"/>
  <c r="AD92" i="1" s="1"/>
  <c r="AH172" i="1"/>
  <c r="AG172" i="1"/>
  <c r="Z172" i="1"/>
  <c r="AH10" i="1"/>
  <c r="AG313" i="1"/>
  <c r="AG70" i="1"/>
  <c r="AN70" i="1"/>
  <c r="AC70" i="1" s="1"/>
  <c r="AD70" i="1" s="1"/>
  <c r="AN247" i="1"/>
  <c r="AC247" i="1" s="1"/>
  <c r="AD247" i="1" s="1"/>
  <c r="AG247" i="1"/>
  <c r="AH195" i="1"/>
  <c r="AG195" i="1"/>
  <c r="AH15" i="1"/>
  <c r="AG15" i="1"/>
  <c r="AN321" i="1"/>
  <c r="AC321" i="1" s="1"/>
  <c r="AD321" i="1" s="1"/>
  <c r="AH321" i="1"/>
  <c r="AG321" i="1"/>
  <c r="AG90" i="1"/>
  <c r="AN32" i="1"/>
  <c r="AC32" i="1" s="1"/>
  <c r="AD32" i="1" s="1"/>
  <c r="AN33" i="1"/>
  <c r="AC33" i="1" s="1"/>
  <c r="AD33" i="1" s="1"/>
  <c r="AN79" i="1"/>
  <c r="AC79" i="1" s="1"/>
  <c r="AD79" i="1" s="1"/>
  <c r="AN265" i="1"/>
  <c r="AC265" i="1" s="1"/>
  <c r="AD265" i="1" s="1"/>
  <c r="AH313" i="1"/>
  <c r="AN22" i="1"/>
  <c r="AC22" i="1" s="1"/>
  <c r="AD22" i="1" s="1"/>
  <c r="AH514" i="1"/>
  <c r="AG514" i="1"/>
  <c r="AH49" i="1"/>
  <c r="AG49" i="1"/>
  <c r="AH146" i="1"/>
  <c r="AG146" i="1"/>
  <c r="AH90" i="1"/>
  <c r="AH173" i="1"/>
  <c r="AG173" i="1"/>
  <c r="Z173" i="1"/>
  <c r="AN10" i="1"/>
  <c r="AC10" i="1" s="1"/>
  <c r="AD10" i="1" s="1"/>
  <c r="AN31" i="1"/>
  <c r="AC31" i="1" s="1"/>
  <c r="AD31" i="1" s="1"/>
  <c r="AN261" i="1"/>
  <c r="AC261" i="1" s="1"/>
  <c r="AD261" i="1" s="1"/>
  <c r="AN263" i="1"/>
  <c r="AC263" i="1" s="1"/>
  <c r="AD263" i="1" s="1"/>
  <c r="AN44" i="1"/>
  <c r="AC44" i="1" s="1"/>
  <c r="AD44" i="1" s="1"/>
  <c r="AN93" i="1"/>
  <c r="AC93" i="1" s="1"/>
  <c r="AD93" i="1" s="1"/>
  <c r="AG95" i="1"/>
  <c r="AN95" i="1"/>
  <c r="AC95" i="1" s="1"/>
  <c r="AD95" i="1" s="1"/>
  <c r="AG96" i="1"/>
  <c r="AH23" i="1"/>
  <c r="AH247" i="1"/>
  <c r="AH142" i="1"/>
  <c r="AG142" i="1"/>
  <c r="AH167" i="1"/>
  <c r="AG167" i="1"/>
  <c r="AH416" i="1"/>
  <c r="Z416" i="1"/>
  <c r="AG416" i="1"/>
  <c r="AH16" i="1"/>
  <c r="AG16" i="1"/>
  <c r="AH271" i="1"/>
  <c r="AG271" i="1"/>
  <c r="AN30" i="1"/>
  <c r="AC30" i="1" s="1"/>
  <c r="AD30" i="1" s="1"/>
  <c r="AN78" i="1"/>
  <c r="AC78" i="1" s="1"/>
  <c r="AD78" i="1" s="1"/>
  <c r="AN34" i="1"/>
  <c r="AC34" i="1" s="1"/>
  <c r="AD34" i="1" s="1"/>
  <c r="AN264" i="1"/>
  <c r="AC264" i="1" s="1"/>
  <c r="AD264" i="1" s="1"/>
  <c r="AN266" i="1"/>
  <c r="AC266" i="1" s="1"/>
  <c r="AD266" i="1" s="1"/>
  <c r="AH166" i="1"/>
  <c r="Z166" i="1"/>
  <c r="AG166" i="1"/>
  <c r="AH17" i="1"/>
  <c r="AG17" i="1"/>
  <c r="AN281" i="1"/>
  <c r="AC281" i="1" s="1"/>
  <c r="AD281" i="1" s="1"/>
  <c r="AH281" i="1"/>
  <c r="AG281" i="1"/>
  <c r="AH147" i="1"/>
  <c r="AG98" i="1"/>
  <c r="AG396" i="1"/>
  <c r="AN19" i="1"/>
  <c r="AC19" i="1" s="1"/>
  <c r="AD19" i="1" s="1"/>
  <c r="AH19" i="1"/>
  <c r="AN99" i="1"/>
  <c r="AC99" i="1" s="1"/>
  <c r="AD99" i="1" s="1"/>
  <c r="AH99" i="1"/>
  <c r="AN100" i="1"/>
  <c r="AC100" i="1" s="1"/>
  <c r="AD100" i="1" s="1"/>
  <c r="AH100" i="1"/>
  <c r="AN196" i="1"/>
  <c r="AC196" i="1" s="1"/>
  <c r="AD196" i="1" s="1"/>
  <c r="AH196" i="1"/>
  <c r="AN198" i="1"/>
  <c r="AC198" i="1" s="1"/>
  <c r="AD198" i="1" s="1"/>
  <c r="AH198" i="1"/>
  <c r="AN200" i="1"/>
  <c r="AC200" i="1" s="1"/>
  <c r="AD200" i="1" s="1"/>
  <c r="AH200" i="1"/>
  <c r="AN202" i="1"/>
  <c r="AC202" i="1" s="1"/>
  <c r="AD202" i="1" s="1"/>
  <c r="AH202" i="1"/>
  <c r="AN204" i="1"/>
  <c r="AC204" i="1" s="1"/>
  <c r="AD204" i="1" s="1"/>
  <c r="AH204" i="1"/>
  <c r="AN206" i="1"/>
  <c r="AC206" i="1" s="1"/>
  <c r="AD206" i="1" s="1"/>
  <c r="AH206" i="1"/>
  <c r="AN208" i="1"/>
  <c r="AC208" i="1" s="1"/>
  <c r="AD208" i="1" s="1"/>
  <c r="AH208" i="1"/>
  <c r="AN210" i="1"/>
  <c r="AC210" i="1" s="1"/>
  <c r="AD210" i="1" s="1"/>
  <c r="AH210" i="1"/>
  <c r="AN212" i="1"/>
  <c r="AC212" i="1" s="1"/>
  <c r="AD212" i="1" s="1"/>
  <c r="AH212" i="1"/>
  <c r="AN316" i="1"/>
  <c r="AC316" i="1" s="1"/>
  <c r="AD316" i="1" s="1"/>
  <c r="AH316" i="1"/>
  <c r="AN323" i="1"/>
  <c r="AC323" i="1" s="1"/>
  <c r="AD323" i="1" s="1"/>
  <c r="AH323" i="1"/>
  <c r="AN319" i="1"/>
  <c r="AC319" i="1" s="1"/>
  <c r="AD319" i="1" s="1"/>
  <c r="AH319" i="1"/>
  <c r="AN294" i="1"/>
  <c r="AC294" i="1" s="1"/>
  <c r="AD294" i="1" s="1"/>
  <c r="AH294" i="1"/>
  <c r="AN214" i="1"/>
  <c r="AC214" i="1" s="1"/>
  <c r="AD214" i="1" s="1"/>
  <c r="AH214" i="1"/>
  <c r="AN295" i="1"/>
  <c r="AC295" i="1" s="1"/>
  <c r="AD295" i="1" s="1"/>
  <c r="AH295" i="1"/>
  <c r="AH178" i="1"/>
  <c r="AG178" i="1"/>
  <c r="AN178" i="1"/>
  <c r="AC178" i="1" s="1"/>
  <c r="AD178" i="1" s="1"/>
  <c r="AN98" i="1"/>
  <c r="AC98" i="1" s="1"/>
  <c r="AD98" i="1" s="1"/>
  <c r="AN396" i="1"/>
  <c r="AC396" i="1" s="1"/>
  <c r="AD396" i="1" s="1"/>
  <c r="AN18" i="1"/>
  <c r="AC18" i="1" s="1"/>
  <c r="AD18" i="1" s="1"/>
  <c r="AH18" i="1"/>
  <c r="AN317" i="1"/>
  <c r="AC317" i="1" s="1"/>
  <c r="AD317" i="1" s="1"/>
  <c r="AH317" i="1"/>
  <c r="AN324" i="1"/>
  <c r="AC324" i="1" s="1"/>
  <c r="AD324" i="1" s="1"/>
  <c r="AH324" i="1"/>
  <c r="AN614" i="1"/>
  <c r="AC614" i="1" s="1"/>
  <c r="AD614" i="1" s="1"/>
  <c r="AH614" i="1"/>
  <c r="AG614" i="1"/>
  <c r="AG19" i="1"/>
  <c r="AN20" i="1"/>
  <c r="AC20" i="1" s="1"/>
  <c r="AD20" i="1" s="1"/>
  <c r="AH20" i="1"/>
  <c r="AG99" i="1"/>
  <c r="AN51" i="1"/>
  <c r="AC51" i="1" s="1"/>
  <c r="AD51" i="1" s="1"/>
  <c r="AH51" i="1"/>
  <c r="AG100" i="1"/>
  <c r="AN52" i="1"/>
  <c r="AC52" i="1" s="1"/>
  <c r="AD52" i="1" s="1"/>
  <c r="AH52" i="1"/>
  <c r="AG196" i="1"/>
  <c r="AN197" i="1"/>
  <c r="AC197" i="1" s="1"/>
  <c r="AD197" i="1" s="1"/>
  <c r="AH197" i="1"/>
  <c r="AG198" i="1"/>
  <c r="AN199" i="1"/>
  <c r="AC199" i="1" s="1"/>
  <c r="AD199" i="1" s="1"/>
  <c r="AH199" i="1"/>
  <c r="AG200" i="1"/>
  <c r="AN201" i="1"/>
  <c r="AC201" i="1" s="1"/>
  <c r="AD201" i="1" s="1"/>
  <c r="AH201" i="1"/>
  <c r="AG202" i="1"/>
  <c r="AN203" i="1"/>
  <c r="AC203" i="1" s="1"/>
  <c r="AD203" i="1" s="1"/>
  <c r="AH203" i="1"/>
  <c r="AG204" i="1"/>
  <c r="AN205" i="1"/>
  <c r="AC205" i="1" s="1"/>
  <c r="AD205" i="1" s="1"/>
  <c r="AH205" i="1"/>
  <c r="AG206" i="1"/>
  <c r="AN207" i="1"/>
  <c r="AC207" i="1" s="1"/>
  <c r="AD207" i="1" s="1"/>
  <c r="AH207" i="1"/>
  <c r="AG208" i="1"/>
  <c r="AN209" i="1"/>
  <c r="AC209" i="1" s="1"/>
  <c r="AD209" i="1" s="1"/>
  <c r="AH209" i="1"/>
  <c r="AG210" i="1"/>
  <c r="AN211" i="1"/>
  <c r="AC211" i="1" s="1"/>
  <c r="AD211" i="1" s="1"/>
  <c r="AH211" i="1"/>
  <c r="AG212" i="1"/>
  <c r="AN213" i="1"/>
  <c r="AC213" i="1" s="1"/>
  <c r="AD213" i="1" s="1"/>
  <c r="AH213" i="1"/>
  <c r="AG319" i="1"/>
  <c r="AN320" i="1"/>
  <c r="AC320" i="1" s="1"/>
  <c r="AD320" i="1" s="1"/>
  <c r="AH320" i="1"/>
  <c r="AG294" i="1"/>
  <c r="AN241" i="1"/>
  <c r="AC241" i="1" s="1"/>
  <c r="AD241" i="1" s="1"/>
  <c r="AH241" i="1"/>
  <c r="AN322" i="1"/>
  <c r="AC322" i="1" s="1"/>
  <c r="AD322" i="1" s="1"/>
  <c r="AH322" i="1"/>
  <c r="AG317" i="1"/>
  <c r="AN318" i="1"/>
  <c r="AC318" i="1" s="1"/>
  <c r="AD318" i="1" s="1"/>
  <c r="AH318" i="1"/>
  <c r="AG324" i="1"/>
  <c r="AN325" i="1"/>
  <c r="AC325" i="1" s="1"/>
  <c r="AD325" i="1" s="1"/>
  <c r="AH325" i="1"/>
  <c r="AN471" i="1"/>
  <c r="AC471" i="1" s="1"/>
  <c r="AD471" i="1" s="1"/>
  <c r="AH471" i="1"/>
  <c r="AG471" i="1"/>
  <c r="AN619" i="1"/>
  <c r="AC619" i="1" s="1"/>
  <c r="AD619" i="1" s="1"/>
  <c r="AH619" i="1"/>
  <c r="AN467" i="1"/>
  <c r="AC467" i="1" s="1"/>
  <c r="AD467" i="1" s="1"/>
  <c r="AH467" i="1"/>
  <c r="AG467" i="1"/>
  <c r="AG363" i="1"/>
  <c r="AH363" i="1"/>
  <c r="Z363" i="1"/>
  <c r="AH296" i="1"/>
  <c r="AH249" i="1"/>
  <c r="AH250" i="1"/>
  <c r="AH297" i="1"/>
  <c r="AH298" i="1"/>
  <c r="AH289" i="1"/>
  <c r="AH290" i="1"/>
  <c r="AH101" i="1"/>
  <c r="AH102" i="1"/>
  <c r="AH53" i="1"/>
  <c r="AH291" i="1"/>
  <c r="AH54" i="1"/>
  <c r="AH55" i="1"/>
  <c r="AH56" i="1"/>
  <c r="AH57" i="1"/>
  <c r="AH41" i="1"/>
  <c r="AH42" i="1"/>
  <c r="AH43" i="1"/>
  <c r="AH103" i="1"/>
  <c r="AH176" i="1"/>
  <c r="AH104" i="1"/>
  <c r="AH105" i="1"/>
  <c r="AN608" i="1"/>
  <c r="AC608" i="1" s="1"/>
  <c r="AD608" i="1" s="1"/>
  <c r="AH608" i="1"/>
  <c r="AN475" i="1"/>
  <c r="AC475" i="1" s="1"/>
  <c r="AD475" i="1" s="1"/>
  <c r="AG475" i="1"/>
  <c r="AH475" i="1"/>
  <c r="AN335" i="1"/>
  <c r="AC335" i="1" s="1"/>
  <c r="AD335" i="1" s="1"/>
  <c r="AH335" i="1"/>
  <c r="AG335" i="1"/>
  <c r="AH279" i="1"/>
  <c r="AN279" i="1"/>
  <c r="AC279" i="1" s="1"/>
  <c r="AD279" i="1" s="1"/>
  <c r="AG425" i="1"/>
  <c r="AH425" i="1"/>
  <c r="AN425" i="1"/>
  <c r="AC425" i="1" s="1"/>
  <c r="AD425" i="1" s="1"/>
  <c r="AN617" i="1"/>
  <c r="AC617" i="1" s="1"/>
  <c r="AD617" i="1" s="1"/>
  <c r="AH617" i="1"/>
  <c r="AN357" i="1"/>
  <c r="AC357" i="1" s="1"/>
  <c r="AD357" i="1" s="1"/>
  <c r="AG357" i="1"/>
  <c r="AH357" i="1"/>
  <c r="AN610" i="1"/>
  <c r="AC610" i="1" s="1"/>
  <c r="AD610" i="1" s="1"/>
  <c r="AH610" i="1"/>
  <c r="AN542" i="1"/>
  <c r="AC542" i="1" s="1"/>
  <c r="AD542" i="1" s="1"/>
  <c r="AG542" i="1"/>
  <c r="AN543" i="1"/>
  <c r="AC543" i="1" s="1"/>
  <c r="AD543" i="1" s="1"/>
  <c r="AG543" i="1"/>
  <c r="AH543" i="1"/>
  <c r="AN361" i="1"/>
  <c r="AC361" i="1" s="1"/>
  <c r="AD361" i="1" s="1"/>
  <c r="AG361" i="1"/>
  <c r="AH361" i="1"/>
  <c r="AG186" i="1"/>
  <c r="AN186" i="1"/>
  <c r="AC186" i="1" s="1"/>
  <c r="AD186" i="1" s="1"/>
  <c r="AH186" i="1"/>
  <c r="Z290" i="1"/>
  <c r="Z102" i="1"/>
  <c r="Z53" i="1"/>
  <c r="AN463" i="1"/>
  <c r="AC463" i="1" s="1"/>
  <c r="AD463" i="1" s="1"/>
  <c r="AH463" i="1"/>
  <c r="AN456" i="1"/>
  <c r="AC456" i="1" s="1"/>
  <c r="AD456" i="1" s="1"/>
  <c r="AH456" i="1"/>
  <c r="AG617" i="1"/>
  <c r="AN574" i="1"/>
  <c r="AC574" i="1" s="1"/>
  <c r="AD574" i="1" s="1"/>
  <c r="AH574" i="1"/>
  <c r="Y287" i="1"/>
  <c r="Z287" i="1" s="1"/>
  <c r="AH382" i="1"/>
  <c r="AG382" i="1"/>
  <c r="AN382" i="1"/>
  <c r="AC382" i="1" s="1"/>
  <c r="AD382" i="1" s="1"/>
  <c r="AH488" i="1"/>
  <c r="AG488" i="1"/>
  <c r="AN488" i="1"/>
  <c r="AC488" i="1" s="1"/>
  <c r="AD488" i="1" s="1"/>
  <c r="AH539" i="1"/>
  <c r="AG539" i="1"/>
  <c r="AN607" i="1"/>
  <c r="AC607" i="1" s="1"/>
  <c r="AD607" i="1" s="1"/>
  <c r="AN645" i="1"/>
  <c r="AC645" i="1" s="1"/>
  <c r="AD645" i="1" s="1"/>
  <c r="AN609" i="1"/>
  <c r="AC609" i="1" s="1"/>
  <c r="AD609" i="1" s="1"/>
  <c r="AN613" i="1"/>
  <c r="AC613" i="1" s="1"/>
  <c r="AD613" i="1" s="1"/>
  <c r="AN455" i="1"/>
  <c r="AC455" i="1" s="1"/>
  <c r="AD455" i="1" s="1"/>
  <c r="AN646" i="1"/>
  <c r="AC646" i="1" s="1"/>
  <c r="AD646" i="1" s="1"/>
  <c r="AN618" i="1"/>
  <c r="AC618" i="1" s="1"/>
  <c r="AD618" i="1" s="1"/>
  <c r="AN620" i="1"/>
  <c r="AC620" i="1" s="1"/>
  <c r="AD620" i="1" s="1"/>
  <c r="AN466" i="1"/>
  <c r="AC466" i="1" s="1"/>
  <c r="AD466" i="1" s="1"/>
  <c r="AN470" i="1"/>
  <c r="AC470" i="1" s="1"/>
  <c r="AD470" i="1" s="1"/>
  <c r="AN474" i="1"/>
  <c r="AC474" i="1" s="1"/>
  <c r="AD474" i="1" s="1"/>
  <c r="AN477" i="1"/>
  <c r="AC477" i="1" s="1"/>
  <c r="AD477" i="1" s="1"/>
  <c r="AG477" i="1"/>
  <c r="AN478" i="1"/>
  <c r="AC478" i="1" s="1"/>
  <c r="AD478" i="1" s="1"/>
  <c r="AG478" i="1"/>
  <c r="AN561" i="1"/>
  <c r="AC561" i="1" s="1"/>
  <c r="AD561" i="1" s="1"/>
  <c r="AN530" i="1"/>
  <c r="AC530" i="1" s="1"/>
  <c r="AD530" i="1" s="1"/>
  <c r="AH530" i="1"/>
  <c r="AN573" i="1"/>
  <c r="AC573" i="1" s="1"/>
  <c r="AD573" i="1" s="1"/>
  <c r="AN622" i="1"/>
  <c r="AC622" i="1" s="1"/>
  <c r="AD622" i="1" s="1"/>
  <c r="AN623" i="1"/>
  <c r="AC623" i="1" s="1"/>
  <c r="AD623" i="1" s="1"/>
  <c r="AN612" i="1"/>
  <c r="AC612" i="1" s="1"/>
  <c r="AD612" i="1" s="1"/>
  <c r="AN616" i="1"/>
  <c r="AC616" i="1" s="1"/>
  <c r="AD616" i="1" s="1"/>
  <c r="AN458" i="1"/>
  <c r="AC458" i="1" s="1"/>
  <c r="AD458" i="1" s="1"/>
  <c r="AN460" i="1"/>
  <c r="AC460" i="1" s="1"/>
  <c r="AD460" i="1" s="1"/>
  <c r="AN462" i="1"/>
  <c r="AC462" i="1" s="1"/>
  <c r="AD462" i="1" s="1"/>
  <c r="AN465" i="1"/>
  <c r="AC465" i="1" s="1"/>
  <c r="AD465" i="1" s="1"/>
  <c r="AN469" i="1"/>
  <c r="AC469" i="1" s="1"/>
  <c r="AD469" i="1" s="1"/>
  <c r="AN473" i="1"/>
  <c r="AC473" i="1" s="1"/>
  <c r="AD473" i="1" s="1"/>
  <c r="AN327" i="1"/>
  <c r="AC327" i="1" s="1"/>
  <c r="AD327" i="1" s="1"/>
  <c r="AG327" i="1"/>
  <c r="AN360" i="1"/>
  <c r="AC360" i="1" s="1"/>
  <c r="AD360" i="1" s="1"/>
  <c r="AG360" i="1"/>
  <c r="AG365" i="1"/>
  <c r="AN365" i="1"/>
  <c r="AC365" i="1" s="1"/>
  <c r="AD365" i="1" s="1"/>
  <c r="AN545" i="1"/>
  <c r="AC545" i="1" s="1"/>
  <c r="AD545" i="1" s="1"/>
  <c r="AH545" i="1"/>
  <c r="AH165" i="1"/>
  <c r="AG165" i="1"/>
  <c r="AN165" i="1"/>
  <c r="AC165" i="1" s="1"/>
  <c r="AD165" i="1" s="1"/>
  <c r="AN539" i="1"/>
  <c r="AC539" i="1" s="1"/>
  <c r="AD539" i="1" s="1"/>
  <c r="AN476" i="1"/>
  <c r="AC476" i="1" s="1"/>
  <c r="AD476" i="1" s="1"/>
  <c r="AG476" i="1"/>
  <c r="AN544" i="1"/>
  <c r="AC544" i="1" s="1"/>
  <c r="AD544" i="1" s="1"/>
  <c r="AG544" i="1"/>
  <c r="AH489" i="1"/>
  <c r="AG489" i="1"/>
  <c r="AN489" i="1"/>
  <c r="AC489" i="1" s="1"/>
  <c r="AD489" i="1" s="1"/>
  <c r="AN480" i="1"/>
  <c r="AC480" i="1" s="1"/>
  <c r="AD480" i="1" s="1"/>
  <c r="AN586" i="1"/>
  <c r="AC586" i="1" s="1"/>
  <c r="AD586" i="1" s="1"/>
  <c r="AN587" i="1"/>
  <c r="AC587" i="1" s="1"/>
  <c r="AD587" i="1" s="1"/>
  <c r="AN611" i="1"/>
  <c r="AC611" i="1" s="1"/>
  <c r="AD611" i="1" s="1"/>
  <c r="AN615" i="1"/>
  <c r="AC615" i="1" s="1"/>
  <c r="AD615" i="1" s="1"/>
  <c r="AN457" i="1"/>
  <c r="AC457" i="1" s="1"/>
  <c r="AD457" i="1" s="1"/>
  <c r="AN459" i="1"/>
  <c r="AC459" i="1" s="1"/>
  <c r="AD459" i="1" s="1"/>
  <c r="AN461" i="1"/>
  <c r="AC461" i="1" s="1"/>
  <c r="AD461" i="1" s="1"/>
  <c r="AN464" i="1"/>
  <c r="AC464" i="1" s="1"/>
  <c r="AD464" i="1" s="1"/>
  <c r="AN468" i="1"/>
  <c r="AC468" i="1" s="1"/>
  <c r="AD468" i="1" s="1"/>
  <c r="AN472" i="1"/>
  <c r="AC472" i="1" s="1"/>
  <c r="AD472" i="1" s="1"/>
  <c r="AN358" i="1"/>
  <c r="AC358" i="1" s="1"/>
  <c r="AD358" i="1" s="1"/>
  <c r="AG358" i="1"/>
  <c r="AH270" i="1"/>
  <c r="AG270" i="1"/>
  <c r="AN270" i="1"/>
  <c r="AC270" i="1" s="1"/>
  <c r="AD270" i="1" s="1"/>
  <c r="AN356" i="1"/>
  <c r="AC356" i="1" s="1"/>
  <c r="AD356" i="1" s="1"/>
  <c r="AG356" i="1"/>
  <c r="AN359" i="1"/>
  <c r="AC359" i="1" s="1"/>
  <c r="AD359" i="1" s="1"/>
  <c r="AG359" i="1"/>
  <c r="AH164" i="1"/>
  <c r="AG164" i="1"/>
  <c r="AH482" i="1"/>
  <c r="AG482" i="1"/>
  <c r="AN482" i="1"/>
  <c r="AC482" i="1" s="1"/>
  <c r="AD482" i="1" s="1"/>
  <c r="Y621" i="1"/>
  <c r="Z621" i="1" s="1"/>
  <c r="AG560" i="1"/>
  <c r="AG278" i="1"/>
  <c r="AN395" i="1"/>
  <c r="AC395" i="1" s="1"/>
  <c r="AD395" i="1" s="1"/>
  <c r="AH269" i="1"/>
  <c r="AG269" i="1"/>
  <c r="AH481" i="1"/>
  <c r="AG481" i="1"/>
  <c r="AH564" i="1"/>
  <c r="AG564" i="1"/>
  <c r="AH280" i="1"/>
  <c r="AG280" i="1"/>
  <c r="AH439" i="1"/>
  <c r="AG439" i="1"/>
  <c r="AH348" i="1"/>
  <c r="AG348" i="1"/>
  <c r="AH272" i="1"/>
  <c r="AG272" i="1"/>
  <c r="AH555" i="1"/>
  <c r="AG555" i="1"/>
  <c r="AH507" i="1"/>
  <c r="AG507" i="1"/>
  <c r="AN507" i="1"/>
  <c r="AC507" i="1" s="1"/>
  <c r="AD507" i="1" s="1"/>
  <c r="AH566" i="1"/>
  <c r="AG566" i="1"/>
  <c r="AN432" i="1"/>
  <c r="AC432" i="1" s="1"/>
  <c r="AD432" i="1" s="1"/>
  <c r="AG432" i="1"/>
  <c r="AH432" i="1"/>
  <c r="AH287" i="1"/>
  <c r="AG287" i="1"/>
  <c r="AH189" i="1"/>
  <c r="AG189" i="1"/>
  <c r="AH490" i="1"/>
  <c r="AG490" i="1"/>
  <c r="AN598" i="1"/>
  <c r="AC598" i="1" s="1"/>
  <c r="AD598" i="1" s="1"/>
  <c r="AG598" i="1"/>
  <c r="AH598" i="1"/>
  <c r="Y594" i="1"/>
  <c r="Z594" i="1" s="1"/>
  <c r="AN397" i="1"/>
  <c r="AC397" i="1" s="1"/>
  <c r="AD397" i="1" s="1"/>
  <c r="AG397" i="1"/>
  <c r="AH397" i="1"/>
  <c r="AN424" i="1"/>
  <c r="AC424" i="1" s="1"/>
  <c r="AD424" i="1" s="1"/>
  <c r="AG424" i="1"/>
  <c r="AH424" i="1"/>
  <c r="AN430" i="1"/>
  <c r="AC430" i="1" s="1"/>
  <c r="AD430" i="1" s="1"/>
  <c r="AG430" i="1"/>
  <c r="AH430" i="1"/>
  <c r="AN372" i="1"/>
  <c r="AC372" i="1" s="1"/>
  <c r="AD372" i="1" s="1"/>
  <c r="AN549" i="1"/>
  <c r="AC549" i="1" s="1"/>
  <c r="AD549" i="1" s="1"/>
  <c r="AN595" i="1"/>
  <c r="AC595" i="1" s="1"/>
  <c r="AD595" i="1" s="1"/>
  <c r="AN597" i="1"/>
  <c r="AC597" i="1" s="1"/>
  <c r="AD597" i="1" s="1"/>
  <c r="Y506" i="1"/>
  <c r="Z506" i="1" s="1"/>
  <c r="AG590" i="1"/>
  <c r="AG594" i="1"/>
  <c r="AH594" i="1"/>
  <c r="AN496" i="1"/>
  <c r="AC496" i="1" s="1"/>
  <c r="AD496" i="1" s="1"/>
  <c r="AH496" i="1"/>
  <c r="AN344" i="1"/>
  <c r="AC344" i="1" s="1"/>
  <c r="AD344" i="1" s="1"/>
  <c r="AN276" i="1"/>
  <c r="AC276" i="1" s="1"/>
  <c r="AD276" i="1" s="1"/>
  <c r="AN550" i="1"/>
  <c r="AC550" i="1" s="1"/>
  <c r="AD550" i="1" s="1"/>
  <c r="AN431" i="1"/>
  <c r="AC431" i="1" s="1"/>
  <c r="AD431" i="1" s="1"/>
  <c r="AN578" i="1"/>
  <c r="AC578" i="1" s="1"/>
  <c r="AD578" i="1" s="1"/>
  <c r="AN637" i="1"/>
  <c r="AC637" i="1" s="1"/>
  <c r="AD637" i="1" s="1"/>
  <c r="AH637" i="1"/>
  <c r="AG515" i="1"/>
  <c r="AG483" i="1"/>
  <c r="AG122" i="1"/>
  <c r="AG577" i="1"/>
  <c r="AG417" i="1"/>
  <c r="AG123" i="1"/>
  <c r="AG181" i="1"/>
  <c r="AG24" i="1"/>
  <c r="AG25" i="1"/>
  <c r="AG124" i="1"/>
  <c r="AG418" i="1"/>
  <c r="AG556" i="1"/>
  <c r="AG526" i="1"/>
  <c r="AG423" i="1"/>
  <c r="AG260" i="1"/>
  <c r="AG595" i="1"/>
  <c r="AG597" i="1"/>
  <c r="AH260" i="1"/>
  <c r="AN282" i="1"/>
  <c r="AC282" i="1" s="1"/>
  <c r="AD282" i="1" s="1"/>
  <c r="AN391" i="1"/>
  <c r="AC391" i="1" s="1"/>
  <c r="AD391" i="1" s="1"/>
  <c r="AN632" i="1"/>
  <c r="AC632" i="1" s="1"/>
  <c r="AD632" i="1" s="1"/>
  <c r="AN596" i="1"/>
  <c r="AC596" i="1" s="1"/>
  <c r="AD596" i="1" s="1"/>
  <c r="AN644" i="1"/>
  <c r="AC644" i="1" s="1"/>
  <c r="AD644" i="1" s="1"/>
  <c r="AH551" i="1"/>
  <c r="AG496" i="1"/>
  <c r="AN582" i="1"/>
  <c r="AC582" i="1" s="1"/>
  <c r="AD582" i="1" s="1"/>
  <c r="AG582" i="1"/>
  <c r="AG572" i="1"/>
  <c r="AN572" i="1"/>
  <c r="AC572" i="1" s="1"/>
  <c r="AD572" i="1" s="1"/>
  <c r="AH572" i="1"/>
  <c r="AG441" i="1"/>
  <c r="AN441" i="1"/>
  <c r="AC441" i="1" s="1"/>
  <c r="AD441" i="1" s="1"/>
  <c r="AH441" i="1"/>
  <c r="AH621" i="1"/>
  <c r="AH590" i="1"/>
  <c r="AH582" i="1"/>
  <c r="AG506" i="1"/>
  <c r="AH506" i="1"/>
  <c r="AG257" i="1"/>
  <c r="AH257" i="1"/>
  <c r="AG218" i="1"/>
  <c r="AH218" i="1"/>
  <c r="AG368" i="1"/>
  <c r="AH368" i="1"/>
  <c r="AN368" i="1"/>
  <c r="AC368" i="1" s="1"/>
  <c r="AD368" i="1" s="1"/>
  <c r="AG435" i="1"/>
  <c r="AN435" i="1"/>
  <c r="AC435" i="1" s="1"/>
  <c r="AD435" i="1" s="1"/>
  <c r="AH435" i="1"/>
  <c r="AG638" i="1"/>
  <c r="AN638" i="1"/>
  <c r="AC638" i="1" s="1"/>
  <c r="AD638" i="1" s="1"/>
  <c r="AH638" i="1"/>
  <c r="AG522" i="1"/>
  <c r="AN522" i="1"/>
  <c r="AC522" i="1" s="1"/>
  <c r="AD522" i="1" s="1"/>
  <c r="AH522" i="1"/>
  <c r="AH419" i="1"/>
  <c r="AG419" i="1"/>
  <c r="AN419" i="1"/>
  <c r="AC419" i="1" s="1"/>
  <c r="AD419" i="1" s="1"/>
  <c r="AG591" i="1"/>
  <c r="AH238" i="1"/>
  <c r="AG273" i="1"/>
  <c r="AN273" i="1"/>
  <c r="AC273" i="1" s="1"/>
  <c r="AD273" i="1" s="1"/>
  <c r="AH273" i="1"/>
  <c r="AN257" i="1"/>
  <c r="AC257" i="1" s="1"/>
  <c r="AD257" i="1" s="1"/>
  <c r="AN218" i="1"/>
  <c r="AC218" i="1" s="1"/>
  <c r="AD218" i="1" s="1"/>
  <c r="AG508" i="1"/>
  <c r="AN508" i="1"/>
  <c r="AC508" i="1" s="1"/>
  <c r="AD508" i="1" s="1"/>
  <c r="AH508" i="1"/>
  <c r="AG150" i="1"/>
  <c r="AN150" i="1"/>
  <c r="AC150" i="1" s="1"/>
  <c r="AD150" i="1" s="1"/>
  <c r="AH150" i="1"/>
  <c r="AN239" i="1"/>
  <c r="AC239" i="1" s="1"/>
  <c r="AD239" i="1" s="1"/>
  <c r="AG557" i="1"/>
  <c r="AN557" i="1"/>
  <c r="AC557" i="1" s="1"/>
  <c r="AD557" i="1" s="1"/>
  <c r="AH557" i="1"/>
  <c r="AG444" i="1"/>
  <c r="AN444" i="1"/>
  <c r="AC444" i="1" s="1"/>
  <c r="AD444" i="1" s="1"/>
  <c r="AH444" i="1"/>
  <c r="AG274" i="1"/>
  <c r="AG256" i="1"/>
  <c r="AN256" i="1"/>
  <c r="AC256" i="1" s="1"/>
  <c r="AD256" i="1" s="1"/>
  <c r="AH256" i="1"/>
  <c r="AG640" i="1"/>
  <c r="AN640" i="1"/>
  <c r="AC640" i="1" s="1"/>
  <c r="AD640" i="1" s="1"/>
  <c r="AH640" i="1"/>
  <c r="AN115" i="1"/>
  <c r="AC115" i="1" s="1"/>
  <c r="AD115" i="1" s="1"/>
  <c r="AG433" i="1"/>
  <c r="AN433" i="1"/>
  <c r="AC433" i="1" s="1"/>
  <c r="AD433" i="1" s="1"/>
  <c r="AG571" i="1"/>
  <c r="AN571" i="1"/>
  <c r="AC571" i="1" s="1"/>
  <c r="AD571" i="1" s="1"/>
  <c r="AG445" i="1"/>
  <c r="AN445" i="1"/>
  <c r="AC445" i="1" s="1"/>
  <c r="AD445" i="1" s="1"/>
  <c r="AG151" i="1"/>
  <c r="AN151" i="1"/>
  <c r="AC151" i="1" s="1"/>
  <c r="AD151" i="1" s="1"/>
  <c r="AH370" i="1"/>
  <c r="AH636" i="1"/>
  <c r="AG188" i="1"/>
  <c r="AN188" i="1"/>
  <c r="AC188" i="1" s="1"/>
  <c r="AD188" i="1" s="1"/>
  <c r="AG501" i="1"/>
  <c r="AN501" i="1"/>
  <c r="AC501" i="1" s="1"/>
  <c r="AD501" i="1" s="1"/>
  <c r="AG443" i="1"/>
  <c r="AN443" i="1"/>
  <c r="AC443" i="1" s="1"/>
  <c r="AD443" i="1" s="1"/>
  <c r="AG446" i="1"/>
  <c r="AN446" i="1"/>
  <c r="AC446" i="1" s="1"/>
  <c r="AD446" i="1" s="1"/>
  <c r="AG567" i="1"/>
  <c r="AN567" i="1"/>
  <c r="AC567" i="1" s="1"/>
  <c r="AD567" i="1" s="1"/>
  <c r="AG583" i="1"/>
  <c r="AN583" i="1"/>
  <c r="AC583" i="1" s="1"/>
  <c r="AD583" i="1" s="1"/>
  <c r="AG512" i="1"/>
  <c r="AN512" i="1"/>
  <c r="AC512" i="1" s="1"/>
  <c r="AD512" i="1" s="1"/>
  <c r="AG440" i="1"/>
  <c r="AN440" i="1"/>
  <c r="AC440" i="1" s="1"/>
  <c r="AD440" i="1" s="1"/>
  <c r="AG509" i="1"/>
  <c r="AN509" i="1"/>
  <c r="AC509" i="1" s="1"/>
  <c r="AD509" i="1" s="1"/>
  <c r="AG568" i="1"/>
  <c r="AN568" i="1"/>
  <c r="AC568" i="1" s="1"/>
  <c r="AD568" i="1" s="1"/>
  <c r="AH115" i="1"/>
  <c r="AG434" i="1"/>
  <c r="AN434" i="1"/>
  <c r="AC434" i="1" s="1"/>
  <c r="AD434" i="1" s="1"/>
  <c r="AG502" i="1"/>
  <c r="AN502" i="1"/>
  <c r="AC502" i="1" s="1"/>
  <c r="AD502" i="1" s="1"/>
  <c r="AG495" i="1"/>
  <c r="AN495" i="1"/>
  <c r="AC495" i="1" s="1"/>
  <c r="AD495" i="1" s="1"/>
  <c r="AG303" i="1"/>
  <c r="AN303" i="1"/>
  <c r="AC303" i="1" s="1"/>
  <c r="AD303" i="1" s="1"/>
  <c r="AH367" i="1"/>
  <c r="AN370" i="1"/>
  <c r="AC370" i="1" s="1"/>
  <c r="AD370" i="1" s="1"/>
  <c r="AH45" i="1"/>
  <c r="AN636" i="1"/>
  <c r="AC636" i="1" s="1"/>
  <c r="AD636" i="1" s="1"/>
  <c r="AH648" i="1"/>
  <c r="AG187" i="1"/>
  <c r="AN187" i="1"/>
  <c r="AC187" i="1" s="1"/>
  <c r="AD187" i="1" s="1"/>
  <c r="AG500" i="1"/>
  <c r="AN500" i="1"/>
  <c r="AC500" i="1" s="1"/>
  <c r="AD500" i="1" s="1"/>
  <c r="AG442" i="1"/>
  <c r="AN442" i="1"/>
  <c r="AC442" i="1" s="1"/>
  <c r="AD442" i="1" s="1"/>
  <c r="AG447" i="1"/>
  <c r="AN447" i="1"/>
  <c r="AC447" i="1" s="1"/>
  <c r="AD447" i="1" s="1"/>
  <c r="AG521" i="1"/>
  <c r="AN521" i="1"/>
  <c r="AC521" i="1" s="1"/>
  <c r="AD521" i="1" s="1"/>
  <c r="AG326" i="1"/>
  <c r="AN326" i="1"/>
  <c r="AC326" i="1" s="1"/>
  <c r="AD326" i="1" s="1"/>
  <c r="AG511" i="1"/>
  <c r="AN511" i="1"/>
  <c r="AC511" i="1" s="1"/>
  <c r="AD511" i="1" s="1"/>
  <c r="AG485" i="1"/>
  <c r="AN485" i="1"/>
  <c r="AC485" i="1" s="1"/>
  <c r="AD485" i="1" s="1"/>
  <c r="AG494" i="1"/>
  <c r="AN494" i="1"/>
  <c r="AC494" i="1" s="1"/>
  <c r="AD494" i="1" s="1"/>
  <c r="AG510" i="1"/>
  <c r="AN510" i="1"/>
  <c r="AC510" i="1" s="1"/>
  <c r="AD510" i="1" s="1"/>
  <c r="AG523" i="1"/>
  <c r="AN523" i="1"/>
  <c r="AC523" i="1" s="1"/>
  <c r="AD523" i="1" s="1"/>
  <c r="AN420" i="1"/>
  <c r="AC420" i="1" s="1"/>
  <c r="AD420" i="1" s="1"/>
  <c r="AH420" i="1"/>
  <c r="AG420" i="1"/>
  <c r="AN552" i="1"/>
  <c r="AC552" i="1" s="1"/>
  <c r="AD552" i="1" s="1"/>
  <c r="AH552" i="1"/>
  <c r="AG552" i="1"/>
  <c r="AN11" i="1"/>
  <c r="AC11" i="1" s="1"/>
  <c r="AD11" i="1" s="1"/>
  <c r="AH11" i="1"/>
  <c r="AG11" i="1"/>
  <c r="AN108" i="1"/>
  <c r="AC108" i="1" s="1"/>
  <c r="AD108" i="1" s="1"/>
  <c r="AH108" i="1"/>
  <c r="AG108" i="1"/>
  <c r="AN541" i="1"/>
  <c r="AC541" i="1" s="1"/>
  <c r="AD541" i="1" s="1"/>
  <c r="AH541" i="1"/>
  <c r="AG541" i="1"/>
  <c r="AN498" i="1"/>
  <c r="AC498" i="1" s="1"/>
  <c r="AD498" i="1" s="1"/>
  <c r="AH498" i="1"/>
  <c r="AG498" i="1"/>
  <c r="AN219" i="1"/>
  <c r="AC219" i="1" s="1"/>
  <c r="AD219" i="1" s="1"/>
  <c r="AH219" i="1"/>
  <c r="AG219" i="1"/>
  <c r="AN537" i="1"/>
  <c r="AC537" i="1" s="1"/>
  <c r="AD537" i="1" s="1"/>
  <c r="AH537" i="1"/>
  <c r="AG537" i="1"/>
  <c r="AN387" i="1"/>
  <c r="AC387" i="1" s="1"/>
  <c r="AD387" i="1" s="1"/>
  <c r="AH387" i="1"/>
  <c r="AG387" i="1"/>
  <c r="AN593" i="1"/>
  <c r="AC593" i="1" s="1"/>
  <c r="AD593" i="1" s="1"/>
  <c r="AH593" i="1"/>
  <c r="AG593" i="1"/>
  <c r="AN575" i="1"/>
  <c r="AC575" i="1" s="1"/>
  <c r="AD575" i="1" s="1"/>
  <c r="AH575" i="1"/>
  <c r="AG575" i="1"/>
  <c r="AN584" i="1"/>
  <c r="AC584" i="1" s="1"/>
  <c r="AD584" i="1" s="1"/>
  <c r="AH584" i="1"/>
  <c r="AG584" i="1"/>
  <c r="AN404" i="1"/>
  <c r="AC404" i="1" s="1"/>
  <c r="AD404" i="1" s="1"/>
  <c r="AH404" i="1"/>
  <c r="AG404" i="1"/>
  <c r="AN558" i="1"/>
  <c r="AC558" i="1" s="1"/>
  <c r="AD558" i="1" s="1"/>
  <c r="AH558" i="1"/>
  <c r="AG558" i="1"/>
  <c r="AN393" i="1"/>
  <c r="AC393" i="1" s="1"/>
  <c r="AD393" i="1" s="1"/>
  <c r="AH393" i="1"/>
  <c r="AG393" i="1"/>
  <c r="AN565" i="1"/>
  <c r="AC565" i="1" s="1"/>
  <c r="AD565" i="1" s="1"/>
  <c r="AH565" i="1"/>
  <c r="AG565" i="1"/>
  <c r="AN635" i="1"/>
  <c r="AC635" i="1" s="1"/>
  <c r="AD635" i="1" s="1"/>
  <c r="AH635" i="1"/>
  <c r="AG635" i="1"/>
  <c r="AN333" i="1"/>
  <c r="AC333" i="1" s="1"/>
  <c r="AD333" i="1" s="1"/>
  <c r="AH333" i="1"/>
  <c r="AG333" i="1"/>
  <c r="AN529" i="1"/>
  <c r="AC529" i="1" s="1"/>
  <c r="AD529" i="1" s="1"/>
  <c r="AH529" i="1"/>
  <c r="AG529" i="1"/>
  <c r="AN580" i="1"/>
  <c r="AC580" i="1" s="1"/>
  <c r="AD580" i="1" s="1"/>
  <c r="AH580" i="1"/>
  <c r="AG580" i="1"/>
  <c r="AN12" i="1"/>
  <c r="AC12" i="1" s="1"/>
  <c r="AD12" i="1" s="1"/>
  <c r="AH12" i="1"/>
  <c r="AN286" i="1"/>
  <c r="AC286" i="1" s="1"/>
  <c r="AD286" i="1" s="1"/>
  <c r="AH286" i="1"/>
  <c r="AN448" i="1"/>
  <c r="AC448" i="1" s="1"/>
  <c r="AD448" i="1" s="1"/>
  <c r="AH448" i="1"/>
  <c r="AG448" i="1"/>
  <c r="AN499" i="1"/>
  <c r="AC499" i="1" s="1"/>
  <c r="AD499" i="1" s="1"/>
  <c r="AH499" i="1"/>
  <c r="AG499" i="1"/>
  <c r="AN570" i="1"/>
  <c r="AC570" i="1" s="1"/>
  <c r="AD570" i="1" s="1"/>
  <c r="AH570" i="1"/>
  <c r="AG570" i="1"/>
  <c r="AN642" i="1"/>
  <c r="AC642" i="1" s="1"/>
  <c r="AD642" i="1" s="1"/>
  <c r="AH642" i="1"/>
  <c r="AG642" i="1"/>
  <c r="AN283" i="1"/>
  <c r="AC283" i="1" s="1"/>
  <c r="AD283" i="1" s="1"/>
  <c r="AH283" i="1"/>
  <c r="AG283" i="1"/>
  <c r="AN392" i="1"/>
  <c r="AC392" i="1" s="1"/>
  <c r="AD392" i="1" s="1"/>
  <c r="AH392" i="1"/>
  <c r="AG392" i="1"/>
  <c r="AN579" i="1"/>
  <c r="AC579" i="1" s="1"/>
  <c r="AD579" i="1" s="1"/>
  <c r="AH579" i="1"/>
  <c r="AG579" i="1"/>
  <c r="AN388" i="1"/>
  <c r="AC388" i="1" s="1"/>
  <c r="AD388" i="1" s="1"/>
  <c r="AH388" i="1"/>
  <c r="AG388" i="1"/>
  <c r="AN554" i="1"/>
  <c r="AC554" i="1" s="1"/>
  <c r="AD554" i="1" s="1"/>
  <c r="AH554" i="1"/>
  <c r="AG554" i="1"/>
  <c r="AN569" i="1"/>
  <c r="AC569" i="1" s="1"/>
  <c r="AD569" i="1" s="1"/>
  <c r="AH569" i="1"/>
  <c r="AG569" i="1"/>
  <c r="AN599" i="1"/>
  <c r="AC599" i="1" s="1"/>
  <c r="AD599" i="1" s="1"/>
  <c r="AH599" i="1"/>
  <c r="AG599" i="1"/>
  <c r="AG334" i="1"/>
  <c r="AG389" i="1"/>
  <c r="AG394" i="1"/>
  <c r="AG259" i="1"/>
  <c r="AG240" i="1"/>
  <c r="AG175" i="1"/>
  <c r="AG405" i="1"/>
  <c r="AG454" i="1"/>
  <c r="AH334" i="1"/>
  <c r="AH389" i="1"/>
  <c r="AH394" i="1"/>
  <c r="AH259" i="1"/>
  <c r="AH240" i="1"/>
  <c r="AH175" i="1"/>
  <c r="AH405" i="1"/>
  <c r="AH454" i="1"/>
  <c r="AN140" i="1"/>
  <c r="AC140" i="1" s="1"/>
  <c r="AD140" i="1" s="1"/>
  <c r="AN81" i="1"/>
  <c r="AC81" i="1" s="1"/>
  <c r="AD81" i="1" s="1"/>
  <c r="AG81" i="1"/>
  <c r="AG436" i="1"/>
  <c r="AG437" i="1"/>
  <c r="AH436" i="1"/>
  <c r="AG82" i="1"/>
  <c r="AH82" i="1"/>
  <c r="AH139" i="1"/>
  <c r="AG438" i="1"/>
  <c r="AH138" i="1"/>
  <c r="AN141" i="1"/>
  <c r="AC141" i="1" s="1"/>
  <c r="AD141" i="1" s="1"/>
  <c r="AN139" i="1"/>
  <c r="AC139" i="1" s="1"/>
  <c r="AD139" i="1" s="1"/>
  <c r="AN438" i="1"/>
  <c r="AC438" i="1" s="1"/>
  <c r="AD438" i="1" s="1"/>
  <c r="AG141" i="1"/>
  <c r="AN138" i="1"/>
  <c r="AC138" i="1" s="1"/>
  <c r="AD138" i="1" s="1"/>
  <c r="AN437" i="1"/>
  <c r="AC437" i="1" s="1"/>
  <c r="AD437" i="1" s="1"/>
  <c r="AG140" i="1"/>
  <c r="AH141" i="1"/>
  <c r="BK628" i="1" l="1"/>
  <c r="BG220" i="1"/>
  <c r="AC220" i="1"/>
  <c r="AD220" i="1" s="1"/>
  <c r="BG394" i="1"/>
  <c r="BK220" i="1"/>
  <c r="BG514" i="1"/>
  <c r="BG626" i="1"/>
  <c r="Y107" i="1"/>
  <c r="Z107" i="1" s="1"/>
  <c r="Y626" i="1"/>
  <c r="Z626" i="1" s="1"/>
  <c r="BG296" i="1"/>
  <c r="AC626" i="1"/>
  <c r="AD626" i="1" s="1"/>
  <c r="BG426" i="1"/>
  <c r="AC354" i="1"/>
  <c r="AD354" i="1" s="1"/>
  <c r="BK426" i="1"/>
  <c r="Y426" i="1"/>
  <c r="Z426" i="1" s="1"/>
  <c r="BK354" i="1"/>
  <c r="AC80" i="1"/>
  <c r="AD80" i="1" s="1"/>
  <c r="AC518" i="1"/>
  <c r="AD518" i="1" s="1"/>
  <c r="BG80" i="1"/>
  <c r="BK590" i="1"/>
  <c r="Y590" i="1"/>
  <c r="Z590" i="1" s="1"/>
  <c r="Y378" i="1"/>
  <c r="Z378" i="1" s="1"/>
  <c r="Y354" i="1"/>
  <c r="Z354" i="1" s="1"/>
  <c r="BG232" i="1"/>
  <c r="AC232" i="1"/>
  <c r="AD232" i="1" s="1"/>
  <c r="Y232" i="1"/>
  <c r="Z232" i="1" s="1"/>
  <c r="AC394" i="1"/>
  <c r="AD394" i="1" s="1"/>
  <c r="AC378" i="1"/>
  <c r="AD378" i="1" s="1"/>
  <c r="BK514" i="1"/>
  <c r="BG628" i="1"/>
  <c r="Y559" i="1"/>
  <c r="Z559" i="1" s="1"/>
  <c r="AC590" i="1"/>
  <c r="AD590" i="1" s="1"/>
  <c r="BG454" i="1"/>
  <c r="AC514" i="1"/>
  <c r="AD514" i="1" s="1"/>
  <c r="BK454" i="1"/>
  <c r="AC454" i="1"/>
  <c r="AD454" i="1" s="1"/>
  <c r="BG140" i="1"/>
  <c r="BK140" i="1"/>
  <c r="BK283" i="1"/>
  <c r="BG283" i="1"/>
  <c r="BK184" i="1"/>
  <c r="BG184" i="1"/>
  <c r="BK491" i="1"/>
  <c r="BG491" i="1"/>
  <c r="BG228" i="1"/>
  <c r="BK228" i="1"/>
  <c r="BK487" i="1"/>
  <c r="BG487" i="1"/>
  <c r="BK546" i="1"/>
  <c r="BG546" i="1"/>
  <c r="BK639" i="1"/>
  <c r="BG639" i="1"/>
  <c r="BG644" i="1"/>
  <c r="BK644" i="1"/>
  <c r="BK472" i="1"/>
  <c r="BG472" i="1"/>
  <c r="BK211" i="1"/>
  <c r="BG211" i="1"/>
  <c r="BK110" i="1"/>
  <c r="BG110" i="1"/>
  <c r="BK535" i="1"/>
  <c r="BG535" i="1"/>
  <c r="BK274" i="1"/>
  <c r="BG274" i="1"/>
  <c r="BG604" i="1"/>
  <c r="BK604" i="1"/>
  <c r="BK328" i="1"/>
  <c r="BG328" i="1"/>
  <c r="BK562" i="1"/>
  <c r="BG562" i="1"/>
  <c r="BK569" i="1"/>
  <c r="BG569" i="1"/>
  <c r="BK499" i="1"/>
  <c r="BG499" i="1"/>
  <c r="BK333" i="1"/>
  <c r="BG333" i="1"/>
  <c r="BK593" i="1"/>
  <c r="BG593" i="1"/>
  <c r="BK541" i="1"/>
  <c r="BG541" i="1"/>
  <c r="BK510" i="1"/>
  <c r="BG510" i="1"/>
  <c r="BK326" i="1"/>
  <c r="BG326" i="1"/>
  <c r="BG500" i="1"/>
  <c r="BK500" i="1"/>
  <c r="BK512" i="1"/>
  <c r="BG512" i="1"/>
  <c r="BK443" i="1"/>
  <c r="BG443" i="1"/>
  <c r="BK151" i="1"/>
  <c r="BG151" i="1"/>
  <c r="BK115" i="1"/>
  <c r="BG115" i="1"/>
  <c r="BK150" i="1"/>
  <c r="BG150" i="1"/>
  <c r="BK273" i="1"/>
  <c r="BG273" i="1"/>
  <c r="BK522" i="1"/>
  <c r="BG522" i="1"/>
  <c r="BK368" i="1"/>
  <c r="BG368" i="1"/>
  <c r="BG596" i="1"/>
  <c r="BK596" i="1"/>
  <c r="BK496" i="1"/>
  <c r="BG496" i="1"/>
  <c r="BG372" i="1"/>
  <c r="BK372" i="1"/>
  <c r="BK482" i="1"/>
  <c r="BG482" i="1"/>
  <c r="BG468" i="1"/>
  <c r="BK468" i="1"/>
  <c r="BK586" i="1"/>
  <c r="BG586" i="1"/>
  <c r="BK544" i="1"/>
  <c r="BG544" i="1"/>
  <c r="BK545" i="1"/>
  <c r="BG545" i="1"/>
  <c r="BK469" i="1"/>
  <c r="BG469" i="1"/>
  <c r="BK622" i="1"/>
  <c r="BG622" i="1"/>
  <c r="BK477" i="1"/>
  <c r="BG477" i="1"/>
  <c r="BK613" i="1"/>
  <c r="BG613" i="1"/>
  <c r="BK617" i="1"/>
  <c r="BG617" i="1"/>
  <c r="BK335" i="1"/>
  <c r="BG335" i="1"/>
  <c r="BG322" i="1"/>
  <c r="BK322" i="1"/>
  <c r="BK205" i="1"/>
  <c r="BG205" i="1"/>
  <c r="BG396" i="1"/>
  <c r="BK396" i="1"/>
  <c r="BK295" i="1"/>
  <c r="BG295" i="1"/>
  <c r="BK210" i="1"/>
  <c r="BG210" i="1"/>
  <c r="BK202" i="1"/>
  <c r="BG202" i="1"/>
  <c r="BG100" i="1"/>
  <c r="BK100" i="1"/>
  <c r="BG10" i="1"/>
  <c r="BK10" i="1"/>
  <c r="BK134" i="1"/>
  <c r="BG134" i="1"/>
  <c r="BK192" i="1"/>
  <c r="BG192" i="1"/>
  <c r="BK67" i="1"/>
  <c r="BG67" i="1"/>
  <c r="BK133" i="1"/>
  <c r="BG133" i="1"/>
  <c r="BK120" i="1"/>
  <c r="BG120" i="1"/>
  <c r="BK421" i="1"/>
  <c r="BG421" i="1"/>
  <c r="BK149" i="1"/>
  <c r="BG149" i="1"/>
  <c r="BK87" i="1"/>
  <c r="BG87" i="1"/>
  <c r="BK155" i="1"/>
  <c r="BG155" i="1"/>
  <c r="BG130" i="1"/>
  <c r="BK130" i="1"/>
  <c r="BK531" i="1"/>
  <c r="BG531" i="1"/>
  <c r="BK193" i="1"/>
  <c r="BG193" i="1"/>
  <c r="BK177" i="1"/>
  <c r="BG177" i="1"/>
  <c r="BK310" i="1"/>
  <c r="BG310" i="1"/>
  <c r="BK373" i="1"/>
  <c r="BG373" i="1"/>
  <c r="BK407" i="1"/>
  <c r="BG407" i="1"/>
  <c r="BK129" i="1"/>
  <c r="BG129" i="1"/>
  <c r="BK405" i="1"/>
  <c r="BG405" i="1"/>
  <c r="BK353" i="1"/>
  <c r="BG353" i="1"/>
  <c r="BG268" i="1"/>
  <c r="BK268" i="1"/>
  <c r="BK591" i="1"/>
  <c r="BG591" i="1"/>
  <c r="BK277" i="1"/>
  <c r="BG277" i="1"/>
  <c r="BK145" i="1"/>
  <c r="BG145" i="1"/>
  <c r="BK251" i="1"/>
  <c r="BG251" i="1"/>
  <c r="BG9" i="1"/>
  <c r="BK9" i="1"/>
  <c r="BK242" i="1"/>
  <c r="BG242" i="1"/>
  <c r="BG60" i="1"/>
  <c r="BK60" i="1"/>
  <c r="BK423" i="1"/>
  <c r="BG423" i="1"/>
  <c r="BK377" i="1"/>
  <c r="BG377" i="1"/>
  <c r="BG524" i="1"/>
  <c r="BK524" i="1"/>
  <c r="BK606" i="1"/>
  <c r="BG606" i="1"/>
  <c r="BK630" i="1"/>
  <c r="BG630" i="1"/>
  <c r="BK362" i="1"/>
  <c r="BG362" i="1"/>
  <c r="BK414" i="1"/>
  <c r="BG414" i="1"/>
  <c r="BG68" i="1"/>
  <c r="BK68" i="1"/>
  <c r="BK147" i="1"/>
  <c r="BG147" i="1"/>
  <c r="BK38" i="1"/>
  <c r="BG38" i="1"/>
  <c r="BK376" i="1"/>
  <c r="BG376" i="1"/>
  <c r="BK144" i="1"/>
  <c r="BG144" i="1"/>
  <c r="BK451" i="1"/>
  <c r="BG451" i="1"/>
  <c r="BG116" i="1"/>
  <c r="BK116" i="1"/>
  <c r="BK598" i="1"/>
  <c r="BG598" i="1"/>
  <c r="BK359" i="1"/>
  <c r="BG359" i="1"/>
  <c r="BK623" i="1"/>
  <c r="BG623" i="1"/>
  <c r="BK186" i="1"/>
  <c r="BG186" i="1"/>
  <c r="BG52" i="1"/>
  <c r="BK52" i="1"/>
  <c r="BK538" i="1"/>
  <c r="BG538" i="1"/>
  <c r="BK402" i="1"/>
  <c r="BG402" i="1"/>
  <c r="BK243" i="1"/>
  <c r="BG243" i="1"/>
  <c r="BK563" i="1"/>
  <c r="BG563" i="1"/>
  <c r="BG572" i="1"/>
  <c r="BK572" i="1"/>
  <c r="BK632" i="1"/>
  <c r="BG632" i="1"/>
  <c r="BK637" i="1"/>
  <c r="BG637" i="1"/>
  <c r="BK432" i="1"/>
  <c r="BG432" i="1"/>
  <c r="BG356" i="1"/>
  <c r="BK356" i="1"/>
  <c r="BK464" i="1"/>
  <c r="BG464" i="1"/>
  <c r="BK480" i="1"/>
  <c r="BG480" i="1"/>
  <c r="BK365" i="1"/>
  <c r="BG365" i="1"/>
  <c r="BK465" i="1"/>
  <c r="BG465" i="1"/>
  <c r="BK573" i="1"/>
  <c r="BG573" i="1"/>
  <c r="BK474" i="1"/>
  <c r="BG474" i="1"/>
  <c r="BK609" i="1"/>
  <c r="BG609" i="1"/>
  <c r="BK574" i="1"/>
  <c r="BG574" i="1"/>
  <c r="BK542" i="1"/>
  <c r="BG542" i="1"/>
  <c r="BK425" i="1"/>
  <c r="BG425" i="1"/>
  <c r="BK320" i="1"/>
  <c r="BG320" i="1"/>
  <c r="BK199" i="1"/>
  <c r="BG199" i="1"/>
  <c r="BK614" i="1"/>
  <c r="BG614" i="1"/>
  <c r="BG98" i="1"/>
  <c r="BK98" i="1"/>
  <c r="BK95" i="1"/>
  <c r="BG95" i="1"/>
  <c r="BK339" i="1"/>
  <c r="BG339" i="1"/>
  <c r="BK85" i="1"/>
  <c r="BG85" i="1"/>
  <c r="BK311" i="1"/>
  <c r="BG311" i="1"/>
  <c r="BK185" i="1"/>
  <c r="BG185" i="1"/>
  <c r="BK190" i="1"/>
  <c r="BG190" i="1"/>
  <c r="BG180" i="1"/>
  <c r="BK180" i="1"/>
  <c r="BK408" i="1"/>
  <c r="BG408" i="1"/>
  <c r="BK513" i="1"/>
  <c r="BG513" i="1"/>
  <c r="BK171" i="1"/>
  <c r="BG171" i="1"/>
  <c r="BK153" i="1"/>
  <c r="BG153" i="1"/>
  <c r="BK39" i="1"/>
  <c r="BG39" i="1"/>
  <c r="BK175" i="1"/>
  <c r="BG175" i="1"/>
  <c r="BK400" i="1"/>
  <c r="BG400" i="1"/>
  <c r="BK45" i="1"/>
  <c r="BG45" i="1"/>
  <c r="BK46" i="1"/>
  <c r="BG46" i="1"/>
  <c r="BK647" i="1"/>
  <c r="BG647" i="1"/>
  <c r="BK577" i="1"/>
  <c r="BG577" i="1"/>
  <c r="BK64" i="1"/>
  <c r="BG64" i="1"/>
  <c r="BK4" i="1"/>
  <c r="BG4" i="1"/>
  <c r="BK176" i="1"/>
  <c r="BG176" i="1"/>
  <c r="BG364" i="1"/>
  <c r="BK364" i="1"/>
  <c r="BG412" i="1"/>
  <c r="BK412" i="1"/>
  <c r="BK601" i="1"/>
  <c r="BG601" i="1"/>
  <c r="BK56" i="1"/>
  <c r="BG56" i="1"/>
  <c r="BK551" i="1"/>
  <c r="BG551" i="1"/>
  <c r="BK503" i="1"/>
  <c r="BG503" i="1"/>
  <c r="BK278" i="1"/>
  <c r="BG278" i="1"/>
  <c r="BG386" i="1"/>
  <c r="BK386" i="1"/>
  <c r="BK526" i="1"/>
  <c r="BG526" i="1"/>
  <c r="BK493" i="1"/>
  <c r="BG493" i="1"/>
  <c r="BK381" i="1"/>
  <c r="BG381" i="1"/>
  <c r="BK649" i="1"/>
  <c r="BG649" i="1"/>
  <c r="BK107" i="1"/>
  <c r="BG107" i="1"/>
  <c r="BK215" i="1"/>
  <c r="BG215" i="1"/>
  <c r="BK61" i="1"/>
  <c r="BG61" i="1"/>
  <c r="BK89" i="1"/>
  <c r="BG89" i="1"/>
  <c r="BK336" i="1"/>
  <c r="BG336" i="1"/>
  <c r="BK559" i="1"/>
  <c r="BG559" i="1"/>
  <c r="BK370" i="1"/>
  <c r="BG370" i="1"/>
  <c r="BK549" i="1"/>
  <c r="BG549" i="1"/>
  <c r="BK488" i="1"/>
  <c r="BG488" i="1"/>
  <c r="BK543" i="1"/>
  <c r="BG543" i="1"/>
  <c r="BK471" i="1"/>
  <c r="BG471" i="1"/>
  <c r="BG32" i="1"/>
  <c r="BK32" i="1"/>
  <c r="BK97" i="1"/>
  <c r="BG97" i="1"/>
  <c r="BK338" i="1"/>
  <c r="BG338" i="1"/>
  <c r="BK5" i="1"/>
  <c r="BG5" i="1"/>
  <c r="BK384" i="1"/>
  <c r="BG384" i="1"/>
  <c r="BK69" i="1"/>
  <c r="BG69" i="1"/>
  <c r="BK504" i="1"/>
  <c r="BG504" i="1"/>
  <c r="BK230" i="1"/>
  <c r="BG230" i="1"/>
  <c r="BK223" i="1"/>
  <c r="BG223" i="1"/>
  <c r="BK438" i="1"/>
  <c r="BG438" i="1"/>
  <c r="BK579" i="1"/>
  <c r="BG579" i="1"/>
  <c r="BK393" i="1"/>
  <c r="BG393" i="1"/>
  <c r="BK303" i="1"/>
  <c r="BG303" i="1"/>
  <c r="BG444" i="1"/>
  <c r="BK444" i="1"/>
  <c r="BK139" i="1"/>
  <c r="BG139" i="1"/>
  <c r="BK642" i="1"/>
  <c r="BG642" i="1"/>
  <c r="BG580" i="1"/>
  <c r="BK580" i="1"/>
  <c r="BK584" i="1"/>
  <c r="BG584" i="1"/>
  <c r="BK219" i="1"/>
  <c r="BG219" i="1"/>
  <c r="BK552" i="1"/>
  <c r="BG552" i="1"/>
  <c r="BK494" i="1"/>
  <c r="BG494" i="1"/>
  <c r="BK521" i="1"/>
  <c r="BG521" i="1"/>
  <c r="BK187" i="1"/>
  <c r="BG187" i="1"/>
  <c r="BK568" i="1"/>
  <c r="BG568" i="1"/>
  <c r="BK583" i="1"/>
  <c r="BG583" i="1"/>
  <c r="BK501" i="1"/>
  <c r="BG501" i="1"/>
  <c r="BK445" i="1"/>
  <c r="BG445" i="1"/>
  <c r="BK640" i="1"/>
  <c r="BG640" i="1"/>
  <c r="BK391" i="1"/>
  <c r="BG391" i="1"/>
  <c r="BK578" i="1"/>
  <c r="BG578" i="1"/>
  <c r="BK397" i="1"/>
  <c r="BG397" i="1"/>
  <c r="BK270" i="1"/>
  <c r="BG270" i="1"/>
  <c r="BK461" i="1"/>
  <c r="BG461" i="1"/>
  <c r="BK489" i="1"/>
  <c r="BG489" i="1"/>
  <c r="BG476" i="1"/>
  <c r="BK476" i="1"/>
  <c r="BK462" i="1"/>
  <c r="BG462" i="1"/>
  <c r="BK470" i="1"/>
  <c r="BG470" i="1"/>
  <c r="BK645" i="1"/>
  <c r="BG645" i="1"/>
  <c r="BK467" i="1"/>
  <c r="BG467" i="1"/>
  <c r="BK325" i="1"/>
  <c r="BG325" i="1"/>
  <c r="BK209" i="1"/>
  <c r="BG209" i="1"/>
  <c r="BK51" i="1"/>
  <c r="BG51" i="1"/>
  <c r="BK178" i="1"/>
  <c r="BG178" i="1"/>
  <c r="BK214" i="1"/>
  <c r="BG214" i="1"/>
  <c r="BK323" i="1"/>
  <c r="BG323" i="1"/>
  <c r="BK208" i="1"/>
  <c r="BG208" i="1"/>
  <c r="BK200" i="1"/>
  <c r="BG200" i="1"/>
  <c r="BK99" i="1"/>
  <c r="BG99" i="1"/>
  <c r="BK281" i="1"/>
  <c r="BG281" i="1"/>
  <c r="BK266" i="1"/>
  <c r="BG266" i="1"/>
  <c r="BK22" i="1"/>
  <c r="BG22" i="1"/>
  <c r="BK75" i="1"/>
  <c r="BG75" i="1"/>
  <c r="BK113" i="1"/>
  <c r="BG113" i="1"/>
  <c r="BK40" i="1"/>
  <c r="BG40" i="1"/>
  <c r="BK131" i="1"/>
  <c r="BG131" i="1"/>
  <c r="BK72" i="1"/>
  <c r="BG72" i="1"/>
  <c r="BK288" i="1"/>
  <c r="BG288" i="1"/>
  <c r="BK406" i="1"/>
  <c r="BG406" i="1"/>
  <c r="BK547" i="1"/>
  <c r="BG547" i="1"/>
  <c r="BK88" i="1"/>
  <c r="BG88" i="1"/>
  <c r="BK312" i="1"/>
  <c r="BG312" i="1"/>
  <c r="BK240" i="1"/>
  <c r="BG240" i="1"/>
  <c r="BK403" i="1"/>
  <c r="BG403" i="1"/>
  <c r="BG258" i="1"/>
  <c r="BK258" i="1"/>
  <c r="BK255" i="1"/>
  <c r="BG255" i="1"/>
  <c r="BG156" i="1"/>
  <c r="BK156" i="1"/>
  <c r="BK307" i="1"/>
  <c r="BG307" i="1"/>
  <c r="BK350" i="1"/>
  <c r="BG350" i="1"/>
  <c r="BK329" i="1"/>
  <c r="BG329" i="1"/>
  <c r="BK453" i="1"/>
  <c r="BG453" i="1"/>
  <c r="BK343" i="1"/>
  <c r="BG343" i="1"/>
  <c r="BG236" i="1"/>
  <c r="BK236" i="1"/>
  <c r="BG548" i="1"/>
  <c r="BK548" i="1"/>
  <c r="BG24" i="1"/>
  <c r="BK24" i="1"/>
  <c r="BK309" i="1"/>
  <c r="BG309" i="1"/>
  <c r="BK301" i="1"/>
  <c r="BG301" i="1"/>
  <c r="BG23" i="1"/>
  <c r="BK23" i="1"/>
  <c r="BK248" i="1"/>
  <c r="BG248" i="1"/>
  <c r="BG556" i="1"/>
  <c r="BK556" i="1"/>
  <c r="BK369" i="1"/>
  <c r="BG369" i="1"/>
  <c r="BK291" i="1"/>
  <c r="BG291" i="1"/>
  <c r="BK592" i="1"/>
  <c r="BG592" i="1"/>
  <c r="BK59" i="1"/>
  <c r="BG59" i="1"/>
  <c r="BK227" i="1"/>
  <c r="BG227" i="1"/>
  <c r="BK234" i="1"/>
  <c r="BG234" i="1"/>
  <c r="BK293" i="1"/>
  <c r="BG293" i="1"/>
  <c r="BK390" i="1"/>
  <c r="BG390" i="1"/>
  <c r="BK122" i="1"/>
  <c r="BG122" i="1"/>
  <c r="BK553" i="1"/>
  <c r="BG553" i="1"/>
  <c r="BK625" i="1"/>
  <c r="BG625" i="1"/>
  <c r="Y588" i="1"/>
  <c r="Z588" i="1" s="1"/>
  <c r="BG588" i="1"/>
  <c r="BK588" i="1"/>
  <c r="BG76" i="1"/>
  <c r="BK76" i="1"/>
  <c r="BK490" i="1"/>
  <c r="BG490" i="1"/>
  <c r="BK226" i="1"/>
  <c r="BG226" i="1"/>
  <c r="BK367" i="1"/>
  <c r="BG367" i="1"/>
  <c r="BK117" i="1"/>
  <c r="BG117" i="1"/>
  <c r="BK417" i="1"/>
  <c r="BG417" i="1"/>
  <c r="BK629" i="1"/>
  <c r="BG629" i="1"/>
  <c r="BG516" i="1"/>
  <c r="BK516" i="1"/>
  <c r="BK285" i="1"/>
  <c r="BG285" i="1"/>
  <c r="BK349" i="1"/>
  <c r="BG349" i="1"/>
  <c r="BG540" i="1"/>
  <c r="BK540" i="1"/>
  <c r="BK375" i="1"/>
  <c r="BG375" i="1"/>
  <c r="BK233" i="1"/>
  <c r="BG233" i="1"/>
  <c r="BK54" i="1"/>
  <c r="BG54" i="1"/>
  <c r="BK366" i="1"/>
  <c r="BG366" i="1"/>
  <c r="BK297" i="1"/>
  <c r="BG297" i="1"/>
  <c r="BK418" i="1"/>
  <c r="BG418" i="1"/>
  <c r="BK576" i="1"/>
  <c r="BG576" i="1"/>
  <c r="BK96" i="1"/>
  <c r="BG96" i="1"/>
  <c r="BK229" i="1"/>
  <c r="BG229" i="1"/>
  <c r="BK483" i="1"/>
  <c r="BG483" i="1"/>
  <c r="BK398" i="1"/>
  <c r="BG398" i="1"/>
  <c r="BK497" i="1"/>
  <c r="BG497" i="1"/>
  <c r="BK217" i="1"/>
  <c r="BG217" i="1"/>
  <c r="BK602" i="1"/>
  <c r="BG602" i="1"/>
  <c r="BK141" i="1"/>
  <c r="BG141" i="1"/>
  <c r="BK554" i="1"/>
  <c r="BG554" i="1"/>
  <c r="BK635" i="1"/>
  <c r="BG635" i="1"/>
  <c r="BK387" i="1"/>
  <c r="BG387" i="1"/>
  <c r="BG108" i="1"/>
  <c r="BK108" i="1"/>
  <c r="BK638" i="1"/>
  <c r="BG638" i="1"/>
  <c r="BK431" i="1"/>
  <c r="BG431" i="1"/>
  <c r="BG460" i="1"/>
  <c r="BK460" i="1"/>
  <c r="BK264" i="1"/>
  <c r="BG264" i="1"/>
  <c r="BK247" i="1"/>
  <c r="BG247" i="1"/>
  <c r="BK50" i="1"/>
  <c r="BG50" i="1"/>
  <c r="BK71" i="1"/>
  <c r="BG71" i="1"/>
  <c r="BK111" i="1"/>
  <c r="BG111" i="1"/>
  <c r="BK14" i="1"/>
  <c r="BG14" i="1"/>
  <c r="BK246" i="1"/>
  <c r="BG246" i="1"/>
  <c r="BK558" i="1"/>
  <c r="BG558" i="1"/>
  <c r="BK485" i="1"/>
  <c r="BG485" i="1"/>
  <c r="BK447" i="1"/>
  <c r="BG447" i="1"/>
  <c r="BK509" i="1"/>
  <c r="BG509" i="1"/>
  <c r="BK567" i="1"/>
  <c r="BG567" i="1"/>
  <c r="BG188" i="1"/>
  <c r="BK188" i="1"/>
  <c r="BK571" i="1"/>
  <c r="BG571" i="1"/>
  <c r="BK557" i="1"/>
  <c r="BG557" i="1"/>
  <c r="BK419" i="1"/>
  <c r="BG419" i="1"/>
  <c r="BK582" i="1"/>
  <c r="BG582" i="1"/>
  <c r="BK550" i="1"/>
  <c r="BG550" i="1"/>
  <c r="BK430" i="1"/>
  <c r="BG430" i="1"/>
  <c r="BK507" i="1"/>
  <c r="BG507" i="1"/>
  <c r="BK457" i="1"/>
  <c r="BG457" i="1"/>
  <c r="BK165" i="1"/>
  <c r="BG165" i="1"/>
  <c r="BK360" i="1"/>
  <c r="BG360" i="1"/>
  <c r="BK458" i="1"/>
  <c r="BG458" i="1"/>
  <c r="BK561" i="1"/>
  <c r="BG561" i="1"/>
  <c r="BG620" i="1"/>
  <c r="BK620" i="1"/>
  <c r="BK456" i="1"/>
  <c r="BG456" i="1"/>
  <c r="BK361" i="1"/>
  <c r="BG361" i="1"/>
  <c r="BK279" i="1"/>
  <c r="BG279" i="1"/>
  <c r="BK619" i="1"/>
  <c r="BG619" i="1"/>
  <c r="BK213" i="1"/>
  <c r="BG213" i="1"/>
  <c r="BK197" i="1"/>
  <c r="BG197" i="1"/>
  <c r="BK294" i="1"/>
  <c r="BG294" i="1"/>
  <c r="BG316" i="1"/>
  <c r="BK316" i="1"/>
  <c r="BK206" i="1"/>
  <c r="BG206" i="1"/>
  <c r="BK198" i="1"/>
  <c r="BG198" i="1"/>
  <c r="BG19" i="1"/>
  <c r="BK19" i="1"/>
  <c r="BG34" i="1"/>
  <c r="BK34" i="1"/>
  <c r="BG44" i="1"/>
  <c r="BK44" i="1"/>
  <c r="BK265" i="1"/>
  <c r="BG265" i="1"/>
  <c r="BK70" i="1"/>
  <c r="BG70" i="1"/>
  <c r="BG35" i="1"/>
  <c r="BK35" i="1"/>
  <c r="BK315" i="1"/>
  <c r="BG315" i="1"/>
  <c r="BK47" i="1"/>
  <c r="BG47" i="1"/>
  <c r="BG148" i="1"/>
  <c r="BK148" i="1"/>
  <c r="BK634" i="1"/>
  <c r="BG634" i="1"/>
  <c r="BK519" i="1"/>
  <c r="BG519" i="1"/>
  <c r="BK374" i="1"/>
  <c r="BG374" i="1"/>
  <c r="BK179" i="1"/>
  <c r="BG179" i="1"/>
  <c r="BK191" i="1"/>
  <c r="BG191" i="1"/>
  <c r="BK119" i="1"/>
  <c r="BG119" i="1"/>
  <c r="BG284" i="1"/>
  <c r="BK284" i="1"/>
  <c r="BK121" i="1"/>
  <c r="BG121" i="1"/>
  <c r="BK86" i="1"/>
  <c r="BG86" i="1"/>
  <c r="BK334" i="1"/>
  <c r="BG334" i="1"/>
  <c r="BG492" i="1"/>
  <c r="BK492" i="1"/>
  <c r="BK169" i="1"/>
  <c r="BG169" i="1"/>
  <c r="BK585" i="1"/>
  <c r="BG585" i="1"/>
  <c r="BK182" i="1"/>
  <c r="BG182" i="1"/>
  <c r="BK267" i="1"/>
  <c r="BG267" i="1"/>
  <c r="BK383" i="1"/>
  <c r="BG383" i="1"/>
  <c r="BK413" i="1"/>
  <c r="BG413" i="1"/>
  <c r="BK352" i="1"/>
  <c r="BG352" i="1"/>
  <c r="BK479" i="1"/>
  <c r="BG479" i="1"/>
  <c r="BK272" i="1"/>
  <c r="BG272" i="1"/>
  <c r="BK58" i="1"/>
  <c r="BG58" i="1"/>
  <c r="BK235" i="1"/>
  <c r="BG235" i="1"/>
  <c r="BG292" i="1"/>
  <c r="BK292" i="1"/>
  <c r="BG25" i="1"/>
  <c r="BK25" i="1"/>
  <c r="BK238" i="1"/>
  <c r="BG238" i="1"/>
  <c r="BG124" i="1"/>
  <c r="BK124" i="1"/>
  <c r="BK245" i="1"/>
  <c r="BG245" i="1"/>
  <c r="BK250" i="1"/>
  <c r="BG250" i="1"/>
  <c r="BK385" i="1"/>
  <c r="BG385" i="1"/>
  <c r="BK275" i="1"/>
  <c r="BG275" i="1"/>
  <c r="BK515" i="1"/>
  <c r="BG515" i="1"/>
  <c r="BK143" i="1"/>
  <c r="BG143" i="1"/>
  <c r="BK399" i="1"/>
  <c r="BG399" i="1"/>
  <c r="BK345" i="1"/>
  <c r="BG345" i="1"/>
  <c r="BK525" i="1"/>
  <c r="BG525" i="1"/>
  <c r="BK624" i="1"/>
  <c r="BG624" i="1"/>
  <c r="BK138" i="1"/>
  <c r="BG138" i="1"/>
  <c r="BK12" i="1"/>
  <c r="BG12" i="1"/>
  <c r="BK434" i="1"/>
  <c r="BG434" i="1"/>
  <c r="BK587" i="1"/>
  <c r="BG587" i="1"/>
  <c r="BK473" i="1"/>
  <c r="BG473" i="1"/>
  <c r="BK455" i="1"/>
  <c r="BG455" i="1"/>
  <c r="BK463" i="1"/>
  <c r="BG463" i="1"/>
  <c r="BG18" i="1"/>
  <c r="BK18" i="1"/>
  <c r="BG31" i="1"/>
  <c r="BK31" i="1"/>
  <c r="BK73" i="1"/>
  <c r="BG73" i="1"/>
  <c r="BG66" i="1"/>
  <c r="BK66" i="1"/>
  <c r="BK389" i="1"/>
  <c r="BG389" i="1"/>
  <c r="BK534" i="1"/>
  <c r="BG534" i="1"/>
  <c r="BK528" i="1"/>
  <c r="BG528" i="1"/>
  <c r="BK648" i="1"/>
  <c r="BG648" i="1"/>
  <c r="BK152" i="1"/>
  <c r="BG152" i="1"/>
  <c r="BG508" i="1"/>
  <c r="BK508" i="1"/>
  <c r="BK539" i="1"/>
  <c r="BG539" i="1"/>
  <c r="BK466" i="1"/>
  <c r="BG466" i="1"/>
  <c r="BK382" i="1"/>
  <c r="BG382" i="1"/>
  <c r="BK610" i="1"/>
  <c r="BG610" i="1"/>
  <c r="BK321" i="1"/>
  <c r="BG321" i="1"/>
  <c r="BG92" i="1"/>
  <c r="BK92" i="1"/>
  <c r="BK410" i="1"/>
  <c r="BG410" i="1"/>
  <c r="BK48" i="1"/>
  <c r="BG48" i="1"/>
  <c r="BK74" i="1"/>
  <c r="BG74" i="1"/>
  <c r="BK135" i="1"/>
  <c r="BG135" i="1"/>
  <c r="BK83" i="1"/>
  <c r="BG83" i="1"/>
  <c r="BK392" i="1"/>
  <c r="BG392" i="1"/>
  <c r="BK81" i="1"/>
  <c r="BG81" i="1"/>
  <c r="BK599" i="1"/>
  <c r="BG599" i="1"/>
  <c r="BK570" i="1"/>
  <c r="BG570" i="1"/>
  <c r="BK286" i="1"/>
  <c r="BG286" i="1"/>
  <c r="BK529" i="1"/>
  <c r="BG529" i="1"/>
  <c r="BK575" i="1"/>
  <c r="BG575" i="1"/>
  <c r="BK498" i="1"/>
  <c r="BG498" i="1"/>
  <c r="BG420" i="1"/>
  <c r="BK420" i="1"/>
  <c r="BG636" i="1"/>
  <c r="BK636" i="1"/>
  <c r="BK502" i="1"/>
  <c r="BG502" i="1"/>
  <c r="BK256" i="1"/>
  <c r="BG256" i="1"/>
  <c r="BK218" i="1"/>
  <c r="BG218" i="1"/>
  <c r="BG276" i="1"/>
  <c r="BK276" i="1"/>
  <c r="BK597" i="1"/>
  <c r="BG597" i="1"/>
  <c r="BK615" i="1"/>
  <c r="BG615" i="1"/>
  <c r="BK616" i="1"/>
  <c r="BG616" i="1"/>
  <c r="BK618" i="1"/>
  <c r="BG618" i="1"/>
  <c r="BK608" i="1"/>
  <c r="BG608" i="1"/>
  <c r="BK318" i="1"/>
  <c r="BG318" i="1"/>
  <c r="BK207" i="1"/>
  <c r="BG207" i="1"/>
  <c r="BK20" i="1"/>
  <c r="BG20" i="1"/>
  <c r="BK317" i="1"/>
  <c r="BG317" i="1"/>
  <c r="BK78" i="1"/>
  <c r="BG78" i="1"/>
  <c r="BK263" i="1"/>
  <c r="BG263" i="1"/>
  <c r="BK79" i="1"/>
  <c r="BG79" i="1"/>
  <c r="BK262" i="1"/>
  <c r="BG262" i="1"/>
  <c r="BG7" i="1"/>
  <c r="BK7" i="1"/>
  <c r="BK136" i="1"/>
  <c r="BG136" i="1"/>
  <c r="BG532" i="1"/>
  <c r="BK532" i="1"/>
  <c r="BK112" i="1"/>
  <c r="BG112" i="1"/>
  <c r="BK6" i="1"/>
  <c r="BG6" i="1"/>
  <c r="BG84" i="1"/>
  <c r="BK84" i="1"/>
  <c r="BK589" i="1"/>
  <c r="BG589" i="1"/>
  <c r="BG8" i="1"/>
  <c r="BK8" i="1"/>
  <c r="BK422" i="1"/>
  <c r="BG422" i="1"/>
  <c r="BG484" i="1"/>
  <c r="BK484" i="1"/>
  <c r="BK331" i="1"/>
  <c r="BG331" i="1"/>
  <c r="BK341" i="1"/>
  <c r="BG341" i="1"/>
  <c r="BK627" i="1"/>
  <c r="BG627" i="1"/>
  <c r="BK305" i="1"/>
  <c r="BG305" i="1"/>
  <c r="BG244" i="1"/>
  <c r="BK244" i="1"/>
  <c r="BK486" i="1"/>
  <c r="BG486" i="1"/>
  <c r="BK224" i="1"/>
  <c r="BG224" i="1"/>
  <c r="BK450" i="1"/>
  <c r="BG450" i="1"/>
  <c r="BK631" i="1"/>
  <c r="BG631" i="1"/>
  <c r="BK62" i="1"/>
  <c r="BG62" i="1"/>
  <c r="BG300" i="1"/>
  <c r="BK300" i="1"/>
  <c r="BK221" i="1"/>
  <c r="BG221" i="1"/>
  <c r="BK28" i="1"/>
  <c r="BG28" i="1"/>
  <c r="BK168" i="1"/>
  <c r="BG168" i="1"/>
  <c r="BG404" i="1"/>
  <c r="BK404" i="1"/>
  <c r="BK424" i="1"/>
  <c r="BG424" i="1"/>
  <c r="BK304" i="1"/>
  <c r="BG304" i="1"/>
  <c r="BK448" i="1"/>
  <c r="BG448" i="1"/>
  <c r="BK495" i="1"/>
  <c r="BG495" i="1"/>
  <c r="BK282" i="1"/>
  <c r="BG282" i="1"/>
  <c r="BK395" i="1"/>
  <c r="BG395" i="1"/>
  <c r="BK459" i="1"/>
  <c r="BG459" i="1"/>
  <c r="BK530" i="1"/>
  <c r="BG530" i="1"/>
  <c r="BK607" i="1"/>
  <c r="BG607" i="1"/>
  <c r="BK475" i="1"/>
  <c r="BG475" i="1"/>
  <c r="BK203" i="1"/>
  <c r="BG203" i="1"/>
  <c r="BG324" i="1"/>
  <c r="BK324" i="1"/>
  <c r="BK93" i="1"/>
  <c r="BG93" i="1"/>
  <c r="BK109" i="1"/>
  <c r="BG109" i="1"/>
  <c r="BK437" i="1"/>
  <c r="BG437" i="1"/>
  <c r="BG388" i="1"/>
  <c r="BK388" i="1"/>
  <c r="BK565" i="1"/>
  <c r="BG565" i="1"/>
  <c r="BK537" i="1"/>
  <c r="BG537" i="1"/>
  <c r="BG11" i="1"/>
  <c r="BK11" i="1"/>
  <c r="BK523" i="1"/>
  <c r="BG523" i="1"/>
  <c r="BK511" i="1"/>
  <c r="BG511" i="1"/>
  <c r="BK442" i="1"/>
  <c r="BG442" i="1"/>
  <c r="BK440" i="1"/>
  <c r="BG440" i="1"/>
  <c r="BK446" i="1"/>
  <c r="BG446" i="1"/>
  <c r="BK433" i="1"/>
  <c r="BG433" i="1"/>
  <c r="BK239" i="1"/>
  <c r="BG239" i="1"/>
  <c r="BK257" i="1"/>
  <c r="BG257" i="1"/>
  <c r="BK435" i="1"/>
  <c r="BG435" i="1"/>
  <c r="BK441" i="1"/>
  <c r="BG441" i="1"/>
  <c r="BK344" i="1"/>
  <c r="BG344" i="1"/>
  <c r="BK595" i="1"/>
  <c r="BG595" i="1"/>
  <c r="BK358" i="1"/>
  <c r="BG358" i="1"/>
  <c r="BK611" i="1"/>
  <c r="BG611" i="1"/>
  <c r="BK327" i="1"/>
  <c r="BG327" i="1"/>
  <c r="BG612" i="1"/>
  <c r="BK612" i="1"/>
  <c r="BK478" i="1"/>
  <c r="BG478" i="1"/>
  <c r="BK646" i="1"/>
  <c r="BG646" i="1"/>
  <c r="BK357" i="1"/>
  <c r="BG357" i="1"/>
  <c r="BK241" i="1"/>
  <c r="BG241" i="1"/>
  <c r="BK201" i="1"/>
  <c r="BG201" i="1"/>
  <c r="BK319" i="1"/>
  <c r="BG319" i="1"/>
  <c r="BG212" i="1"/>
  <c r="BK212" i="1"/>
  <c r="BG204" i="1"/>
  <c r="BK204" i="1"/>
  <c r="BG196" i="1"/>
  <c r="BK196" i="1"/>
  <c r="BK30" i="1"/>
  <c r="BG30" i="1"/>
  <c r="BK261" i="1"/>
  <c r="BG261" i="1"/>
  <c r="BG33" i="1"/>
  <c r="BK33" i="1"/>
  <c r="BK77" i="1"/>
  <c r="BG77" i="1"/>
  <c r="BK641" i="1"/>
  <c r="BG641" i="1"/>
  <c r="BK127" i="1"/>
  <c r="BG127" i="1"/>
  <c r="BK128" i="1"/>
  <c r="BG128" i="1"/>
  <c r="BG308" i="1"/>
  <c r="BK308" i="1"/>
  <c r="BK154" i="1"/>
  <c r="BG154" i="1"/>
  <c r="BK409" i="1"/>
  <c r="BG409" i="1"/>
  <c r="BG27" i="1"/>
  <c r="BK27" i="1"/>
  <c r="BG132" i="1"/>
  <c r="BK132" i="1"/>
  <c r="BK194" i="1"/>
  <c r="BG194" i="1"/>
  <c r="BG26" i="1"/>
  <c r="BK26" i="1"/>
  <c r="BK347" i="1"/>
  <c r="BG347" i="1"/>
  <c r="BK13" i="1"/>
  <c r="BG13" i="1"/>
  <c r="BK517" i="1"/>
  <c r="BG517" i="1"/>
  <c r="BG332" i="1"/>
  <c r="BK332" i="1"/>
  <c r="BK216" i="1"/>
  <c r="BG216" i="1"/>
  <c r="BK174" i="1"/>
  <c r="BG174" i="1"/>
  <c r="BK346" i="1"/>
  <c r="BG346" i="1"/>
  <c r="BG452" i="1"/>
  <c r="BK452" i="1"/>
  <c r="BK342" i="1"/>
  <c r="BG342" i="1"/>
  <c r="BK643" i="1"/>
  <c r="BG643" i="1"/>
  <c r="BK181" i="1"/>
  <c r="BG181" i="1"/>
  <c r="BK170" i="1"/>
  <c r="BG170" i="1"/>
  <c r="BG252" i="1"/>
  <c r="BK252" i="1"/>
  <c r="BK289" i="1"/>
  <c r="BG289" i="1"/>
  <c r="BK231" i="1"/>
  <c r="BG231" i="1"/>
  <c r="BG36" i="1"/>
  <c r="BK36" i="1"/>
  <c r="BK123" i="1"/>
  <c r="BG123" i="1"/>
  <c r="BK106" i="1"/>
  <c r="BG106" i="1"/>
  <c r="BK253" i="1"/>
  <c r="BG253" i="1"/>
  <c r="BK37" i="1"/>
  <c r="BG37" i="1"/>
  <c r="BK371" i="1"/>
  <c r="BG371" i="1"/>
  <c r="Y369" i="1"/>
  <c r="Z369" i="1" s="1"/>
  <c r="Y554" i="1"/>
  <c r="Z554" i="1" s="1"/>
  <c r="Y635" i="1"/>
  <c r="Z635" i="1" s="1"/>
  <c r="Y108" i="1"/>
  <c r="Z108" i="1" s="1"/>
  <c r="Y638" i="1"/>
  <c r="Z638" i="1" s="1"/>
  <c r="Y496" i="1"/>
  <c r="Z496" i="1" s="1"/>
  <c r="Y482" i="1"/>
  <c r="Z482" i="1" s="1"/>
  <c r="Y472" i="1"/>
  <c r="Z472" i="1" s="1"/>
  <c r="Y199" i="1"/>
  <c r="Z199" i="1" s="1"/>
  <c r="Y210" i="1"/>
  <c r="Z210" i="1" s="1"/>
  <c r="Y154" i="1"/>
  <c r="Z154" i="1" s="1"/>
  <c r="Y194" i="1"/>
  <c r="Z194" i="1" s="1"/>
  <c r="Y267" i="1"/>
  <c r="Z267" i="1" s="1"/>
  <c r="Y54" i="1"/>
  <c r="Z54" i="1" s="1"/>
  <c r="Y398" i="1"/>
  <c r="Z398" i="1" s="1"/>
  <c r="Y602" i="1"/>
  <c r="Z602" i="1" s="1"/>
  <c r="Y447" i="1"/>
  <c r="Z447" i="1" s="1"/>
  <c r="Y567" i="1"/>
  <c r="Z567" i="1" s="1"/>
  <c r="Y637" i="1"/>
  <c r="Z637" i="1" s="1"/>
  <c r="Y356" i="1"/>
  <c r="Z356" i="1" s="1"/>
  <c r="Y468" i="1"/>
  <c r="Z468" i="1" s="1"/>
  <c r="Y469" i="1"/>
  <c r="Z469" i="1" s="1"/>
  <c r="Y463" i="1"/>
  <c r="Z463" i="1" s="1"/>
  <c r="Y209" i="1"/>
  <c r="Z209" i="1" s="1"/>
  <c r="Y51" i="1"/>
  <c r="Z51" i="1" s="1"/>
  <c r="Y332" i="1"/>
  <c r="Z332" i="1" s="1"/>
  <c r="Y25" i="1"/>
  <c r="Z25" i="1" s="1"/>
  <c r="Y245" i="1"/>
  <c r="Z245" i="1" s="1"/>
  <c r="Y140" i="1"/>
  <c r="Z140" i="1" s="1"/>
  <c r="Y579" i="1"/>
  <c r="Z579" i="1" s="1"/>
  <c r="Y139" i="1"/>
  <c r="Z139" i="1" s="1"/>
  <c r="Y642" i="1"/>
  <c r="Z642" i="1" s="1"/>
  <c r="Y580" i="1"/>
  <c r="Z580" i="1" s="1"/>
  <c r="Y584" i="1"/>
  <c r="Z584" i="1" s="1"/>
  <c r="Y219" i="1"/>
  <c r="Z219" i="1" s="1"/>
  <c r="Y494" i="1"/>
  <c r="Z494" i="1" s="1"/>
  <c r="Y521" i="1"/>
  <c r="Z521" i="1" s="1"/>
  <c r="Y568" i="1"/>
  <c r="Z568" i="1" s="1"/>
  <c r="Y583" i="1"/>
  <c r="Z583" i="1" s="1"/>
  <c r="Y501" i="1"/>
  <c r="Z501" i="1" s="1"/>
  <c r="Y445" i="1"/>
  <c r="Z445" i="1" s="1"/>
  <c r="Y640" i="1"/>
  <c r="Z640" i="1" s="1"/>
  <c r="Y391" i="1"/>
  <c r="Z391" i="1" s="1"/>
  <c r="Y424" i="1"/>
  <c r="Z424" i="1" s="1"/>
  <c r="Y359" i="1"/>
  <c r="Z359" i="1" s="1"/>
  <c r="Y358" i="1"/>
  <c r="Z358" i="1" s="1"/>
  <c r="Y327" i="1"/>
  <c r="Z327" i="1" s="1"/>
  <c r="Y478" i="1"/>
  <c r="Z478" i="1" s="1"/>
  <c r="Y646" i="1"/>
  <c r="Z646" i="1" s="1"/>
  <c r="Y542" i="1"/>
  <c r="Z542" i="1" s="1"/>
  <c r="Y205" i="1"/>
  <c r="Z205" i="1" s="1"/>
  <c r="Y396" i="1"/>
  <c r="Z396" i="1" s="1"/>
  <c r="Y97" i="1"/>
  <c r="Z97" i="1" s="1"/>
  <c r="Y538" i="1"/>
  <c r="Z538" i="1" s="1"/>
  <c r="Y6" i="1"/>
  <c r="Z6" i="1" s="1"/>
  <c r="Y589" i="1"/>
  <c r="Z589" i="1" s="1"/>
  <c r="Y422" i="1"/>
  <c r="Z422" i="1" s="1"/>
  <c r="Y585" i="1"/>
  <c r="Z585" i="1" s="1"/>
  <c r="Y182" i="1"/>
  <c r="Z182" i="1" s="1"/>
  <c r="Y417" i="1"/>
  <c r="Z417" i="1" s="1"/>
  <c r="Y629" i="1"/>
  <c r="Z629" i="1" s="1"/>
  <c r="Y285" i="1"/>
  <c r="Z285" i="1" s="1"/>
  <c r="Y540" i="1"/>
  <c r="Z540" i="1" s="1"/>
  <c r="Y548" i="1"/>
  <c r="Z548" i="1" s="1"/>
  <c r="Y24" i="1"/>
  <c r="Z24" i="1" s="1"/>
  <c r="Y309" i="1"/>
  <c r="Z309" i="1" s="1"/>
  <c r="Y301" i="1"/>
  <c r="Z301" i="1" s="1"/>
  <c r="Y23" i="1"/>
  <c r="Z23" i="1" s="1"/>
  <c r="Y248" i="1"/>
  <c r="Z248" i="1" s="1"/>
  <c r="Y556" i="1"/>
  <c r="Z556" i="1" s="1"/>
  <c r="Y291" i="1"/>
  <c r="Z291" i="1" s="1"/>
  <c r="Y59" i="1"/>
  <c r="Z59" i="1" s="1"/>
  <c r="Y227" i="1"/>
  <c r="Z227" i="1" s="1"/>
  <c r="Y234" i="1"/>
  <c r="Z234" i="1" s="1"/>
  <c r="Y293" i="1"/>
  <c r="Z293" i="1" s="1"/>
  <c r="Y390" i="1"/>
  <c r="Z390" i="1" s="1"/>
  <c r="Y122" i="1"/>
  <c r="Z122" i="1" s="1"/>
  <c r="Y141" i="1"/>
  <c r="Z141" i="1" s="1"/>
  <c r="Y387" i="1"/>
  <c r="Z387" i="1" s="1"/>
  <c r="Y282" i="1"/>
  <c r="Z282" i="1" s="1"/>
  <c r="Y372" i="1"/>
  <c r="Z372" i="1" s="1"/>
  <c r="Y587" i="1"/>
  <c r="Z587" i="1" s="1"/>
  <c r="Y623" i="1"/>
  <c r="Z623" i="1" s="1"/>
  <c r="Y409" i="1"/>
  <c r="Z409" i="1" s="1"/>
  <c r="Y132" i="1"/>
  <c r="Z132" i="1" s="1"/>
  <c r="Y418" i="1"/>
  <c r="Z418" i="1" s="1"/>
  <c r="Y477" i="1"/>
  <c r="Z477" i="1" s="1"/>
  <c r="Y475" i="1"/>
  <c r="Z475" i="1" s="1"/>
  <c r="Y178" i="1"/>
  <c r="Z178" i="1" s="1"/>
  <c r="Y95" i="1"/>
  <c r="Z95" i="1" s="1"/>
  <c r="Y216" i="1"/>
  <c r="Z216" i="1" s="1"/>
  <c r="Y341" i="1"/>
  <c r="Z341" i="1" s="1"/>
  <c r="Y383" i="1"/>
  <c r="Z383" i="1" s="1"/>
  <c r="Y352" i="1"/>
  <c r="Z352" i="1" s="1"/>
  <c r="Y515" i="1"/>
  <c r="Z515" i="1" s="1"/>
  <c r="Y345" i="1"/>
  <c r="Z345" i="1" s="1"/>
  <c r="Y624" i="1"/>
  <c r="Z624" i="1" s="1"/>
  <c r="Y81" i="1"/>
  <c r="Z81" i="1" s="1"/>
  <c r="Y570" i="1"/>
  <c r="Z570" i="1" s="1"/>
  <c r="Y286" i="1"/>
  <c r="Z286" i="1" s="1"/>
  <c r="Y529" i="1"/>
  <c r="Z529" i="1" s="1"/>
  <c r="Y575" i="1"/>
  <c r="Z575" i="1" s="1"/>
  <c r="Y498" i="1"/>
  <c r="Z498" i="1" s="1"/>
  <c r="Y420" i="1"/>
  <c r="Z420" i="1" s="1"/>
  <c r="Y502" i="1"/>
  <c r="Z502" i="1" s="1"/>
  <c r="Y256" i="1"/>
  <c r="Z256" i="1" s="1"/>
  <c r="Y578" i="1"/>
  <c r="Z578" i="1" s="1"/>
  <c r="Y397" i="1"/>
  <c r="Z397" i="1" s="1"/>
  <c r="Y464" i="1"/>
  <c r="Z464" i="1" s="1"/>
  <c r="Y480" i="1"/>
  <c r="Z480" i="1" s="1"/>
  <c r="Y365" i="1"/>
  <c r="Z365" i="1" s="1"/>
  <c r="Y573" i="1"/>
  <c r="Z573" i="1" s="1"/>
  <c r="Y474" i="1"/>
  <c r="Z474" i="1" s="1"/>
  <c r="Y361" i="1"/>
  <c r="Z361" i="1" s="1"/>
  <c r="Y619" i="1"/>
  <c r="Z619" i="1" s="1"/>
  <c r="Y203" i="1"/>
  <c r="Z203" i="1" s="1"/>
  <c r="Y324" i="1"/>
  <c r="Z324" i="1" s="1"/>
  <c r="Y323" i="1"/>
  <c r="Z323" i="1" s="1"/>
  <c r="Y208" i="1"/>
  <c r="Z208" i="1" s="1"/>
  <c r="Y200" i="1"/>
  <c r="Z200" i="1" s="1"/>
  <c r="Y99" i="1"/>
  <c r="Z99" i="1" s="1"/>
  <c r="Y281" i="1"/>
  <c r="Z281" i="1" s="1"/>
  <c r="Y75" i="1"/>
  <c r="Z75" i="1" s="1"/>
  <c r="Y421" i="1"/>
  <c r="Z421" i="1" s="1"/>
  <c r="Y149" i="1"/>
  <c r="Z149" i="1" s="1"/>
  <c r="Y87" i="1"/>
  <c r="Z87" i="1" s="1"/>
  <c r="Y155" i="1"/>
  <c r="Z155" i="1" s="1"/>
  <c r="Y130" i="1"/>
  <c r="Z130" i="1" s="1"/>
  <c r="Y531" i="1"/>
  <c r="Z531" i="1" s="1"/>
  <c r="Y193" i="1"/>
  <c r="Z193" i="1" s="1"/>
  <c r="Y177" i="1"/>
  <c r="Z177" i="1" s="1"/>
  <c r="Y373" i="1"/>
  <c r="Z373" i="1" s="1"/>
  <c r="Y407" i="1"/>
  <c r="Z407" i="1" s="1"/>
  <c r="Y129" i="1"/>
  <c r="Z129" i="1" s="1"/>
  <c r="Y405" i="1"/>
  <c r="Z405" i="1" s="1"/>
  <c r="Y384" i="1"/>
  <c r="Z384" i="1" s="1"/>
  <c r="Y174" i="1"/>
  <c r="Z174" i="1" s="1"/>
  <c r="Y346" i="1"/>
  <c r="Z346" i="1" s="1"/>
  <c r="Y452" i="1"/>
  <c r="Z452" i="1" s="1"/>
  <c r="Y342" i="1"/>
  <c r="Z342" i="1" s="1"/>
  <c r="Y486" i="1"/>
  <c r="Z486" i="1" s="1"/>
  <c r="Y224" i="1"/>
  <c r="Z224" i="1" s="1"/>
  <c r="Y631" i="1"/>
  <c r="Z631" i="1" s="1"/>
  <c r="Y62" i="1"/>
  <c r="Z62" i="1" s="1"/>
  <c r="Y221" i="1"/>
  <c r="Z221" i="1" s="1"/>
  <c r="Y168" i="1"/>
  <c r="Z168" i="1" s="1"/>
  <c r="Y448" i="1"/>
  <c r="Z448" i="1" s="1"/>
  <c r="Y495" i="1"/>
  <c r="Z495" i="1" s="1"/>
  <c r="Y508" i="1"/>
  <c r="Z508" i="1" s="1"/>
  <c r="Y467" i="1"/>
  <c r="Z467" i="1" s="1"/>
  <c r="Y320" i="1"/>
  <c r="Z320" i="1" s="1"/>
  <c r="Y98" i="1"/>
  <c r="Z98" i="1" s="1"/>
  <c r="Y202" i="1"/>
  <c r="Z202" i="1" s="1"/>
  <c r="Y192" i="1"/>
  <c r="Z192" i="1" s="1"/>
  <c r="Y67" i="1"/>
  <c r="Z67" i="1" s="1"/>
  <c r="Y233" i="1"/>
  <c r="Z233" i="1" s="1"/>
  <c r="Y366" i="1"/>
  <c r="Z366" i="1" s="1"/>
  <c r="Y483" i="1"/>
  <c r="Z483" i="1" s="1"/>
  <c r="Y217" i="1"/>
  <c r="Z217" i="1" s="1"/>
  <c r="Y545" i="1"/>
  <c r="Z545" i="1" s="1"/>
  <c r="Y389" i="1"/>
  <c r="Z389" i="1" s="1"/>
  <c r="Y437" i="1"/>
  <c r="Z437" i="1" s="1"/>
  <c r="Y388" i="1"/>
  <c r="Z388" i="1" s="1"/>
  <c r="Y565" i="1"/>
  <c r="Z565" i="1" s="1"/>
  <c r="Y537" i="1"/>
  <c r="Z537" i="1" s="1"/>
  <c r="Y11" i="1"/>
  <c r="Z11" i="1" s="1"/>
  <c r="Y523" i="1"/>
  <c r="Z523" i="1" s="1"/>
  <c r="Y511" i="1"/>
  <c r="Z511" i="1" s="1"/>
  <c r="Y440" i="1"/>
  <c r="Z440" i="1" s="1"/>
  <c r="Y446" i="1"/>
  <c r="Z446" i="1" s="1"/>
  <c r="Y433" i="1"/>
  <c r="Z433" i="1" s="1"/>
  <c r="Y435" i="1"/>
  <c r="Z435" i="1" s="1"/>
  <c r="Y441" i="1"/>
  <c r="Z441" i="1" s="1"/>
  <c r="Y431" i="1"/>
  <c r="Z431" i="1" s="1"/>
  <c r="Y395" i="1"/>
  <c r="Z395" i="1" s="1"/>
  <c r="Y270" i="1"/>
  <c r="Z270" i="1" s="1"/>
  <c r="Y461" i="1"/>
  <c r="Z461" i="1" s="1"/>
  <c r="Y489" i="1"/>
  <c r="Z489" i="1" s="1"/>
  <c r="Y476" i="1"/>
  <c r="Z476" i="1" s="1"/>
  <c r="Y470" i="1"/>
  <c r="Z470" i="1" s="1"/>
  <c r="Y645" i="1"/>
  <c r="Z645" i="1" s="1"/>
  <c r="Y608" i="1"/>
  <c r="Z608" i="1" s="1"/>
  <c r="Y213" i="1"/>
  <c r="Z213" i="1" s="1"/>
  <c r="Y197" i="1"/>
  <c r="Z197" i="1" s="1"/>
  <c r="Y321" i="1"/>
  <c r="Z321" i="1" s="1"/>
  <c r="Y247" i="1"/>
  <c r="Z247" i="1" s="1"/>
  <c r="Y410" i="1"/>
  <c r="Z410" i="1" s="1"/>
  <c r="Y50" i="1"/>
  <c r="Z50" i="1" s="1"/>
  <c r="Y513" i="1"/>
  <c r="Z513" i="1" s="1"/>
  <c r="Y171" i="1"/>
  <c r="Z171" i="1" s="1"/>
  <c r="Y153" i="1"/>
  <c r="Z153" i="1" s="1"/>
  <c r="Y39" i="1"/>
  <c r="Z39" i="1" s="1"/>
  <c r="Y175" i="1"/>
  <c r="Z175" i="1" s="1"/>
  <c r="Y353" i="1"/>
  <c r="Z353" i="1" s="1"/>
  <c r="Y576" i="1"/>
  <c r="Z576" i="1" s="1"/>
  <c r="Y402" i="1"/>
  <c r="Z402" i="1" s="1"/>
  <c r="Y490" i="1"/>
  <c r="Z490" i="1" s="1"/>
  <c r="Y304" i="1"/>
  <c r="Z304" i="1" s="1"/>
  <c r="Y643" i="1"/>
  <c r="Z643" i="1" s="1"/>
  <c r="Y181" i="1"/>
  <c r="Z181" i="1" s="1"/>
  <c r="Y170" i="1"/>
  <c r="Z170" i="1" s="1"/>
  <c r="Y252" i="1"/>
  <c r="Z252" i="1" s="1"/>
  <c r="Y289" i="1"/>
  <c r="Z289" i="1" s="1"/>
  <c r="Y231" i="1"/>
  <c r="Z231" i="1" s="1"/>
  <c r="Y36" i="1"/>
  <c r="Z36" i="1" s="1"/>
  <c r="Y123" i="1"/>
  <c r="Z123" i="1" s="1"/>
  <c r="Y106" i="1"/>
  <c r="Z106" i="1" s="1"/>
  <c r="Y37" i="1"/>
  <c r="Z37" i="1" s="1"/>
  <c r="Y371" i="1"/>
  <c r="Z371" i="1" s="1"/>
  <c r="Y134" i="1"/>
  <c r="Z134" i="1" s="1"/>
  <c r="Y297" i="1"/>
  <c r="Z297" i="1" s="1"/>
  <c r="Y497" i="1"/>
  <c r="Z497" i="1" s="1"/>
  <c r="Y392" i="1"/>
  <c r="Z392" i="1" s="1"/>
  <c r="Y558" i="1"/>
  <c r="Z558" i="1" s="1"/>
  <c r="Y571" i="1"/>
  <c r="Z571" i="1" s="1"/>
  <c r="Y432" i="1"/>
  <c r="Z432" i="1" s="1"/>
  <c r="Y586" i="1"/>
  <c r="Z586" i="1" s="1"/>
  <c r="Y613" i="1"/>
  <c r="Z613" i="1" s="1"/>
  <c r="Y5" i="1"/>
  <c r="Z5" i="1" s="1"/>
  <c r="Y272" i="1"/>
  <c r="Z272" i="1" s="1"/>
  <c r="Y238" i="1"/>
  <c r="Z238" i="1" s="1"/>
  <c r="Y275" i="1"/>
  <c r="Z275" i="1" s="1"/>
  <c r="Y12" i="1"/>
  <c r="Z12" i="1" s="1"/>
  <c r="Y434" i="1"/>
  <c r="Z434" i="1" s="1"/>
  <c r="Y430" i="1"/>
  <c r="Z430" i="1" s="1"/>
  <c r="Y459" i="1"/>
  <c r="Z459" i="1" s="1"/>
  <c r="Y539" i="1"/>
  <c r="Z539" i="1" s="1"/>
  <c r="Y460" i="1"/>
  <c r="Z460" i="1" s="1"/>
  <c r="Y530" i="1"/>
  <c r="Z530" i="1" s="1"/>
  <c r="Y466" i="1"/>
  <c r="Z466" i="1" s="1"/>
  <c r="Y357" i="1"/>
  <c r="Z357" i="1" s="1"/>
  <c r="Y207" i="1"/>
  <c r="Z207" i="1" s="1"/>
  <c r="Y20" i="1"/>
  <c r="Z20" i="1" s="1"/>
  <c r="Y317" i="1"/>
  <c r="Z317" i="1" s="1"/>
  <c r="Y316" i="1"/>
  <c r="Z316" i="1" s="1"/>
  <c r="Y206" i="1"/>
  <c r="Z206" i="1" s="1"/>
  <c r="Y198" i="1"/>
  <c r="Z198" i="1" s="1"/>
  <c r="Y19" i="1"/>
  <c r="Z19" i="1" s="1"/>
  <c r="Y70" i="1"/>
  <c r="Z70" i="1" s="1"/>
  <c r="Y315" i="1"/>
  <c r="Z315" i="1" s="1"/>
  <c r="Y47" i="1"/>
  <c r="Z47" i="1" s="1"/>
  <c r="Y96" i="1"/>
  <c r="Z96" i="1" s="1"/>
  <c r="Y131" i="1"/>
  <c r="Z131" i="1" s="1"/>
  <c r="Y72" i="1"/>
  <c r="Z72" i="1" s="1"/>
  <c r="Y288" i="1"/>
  <c r="Z288" i="1" s="1"/>
  <c r="Y406" i="1"/>
  <c r="Z406" i="1" s="1"/>
  <c r="Y88" i="1"/>
  <c r="Z88" i="1" s="1"/>
  <c r="Y312" i="1"/>
  <c r="Z312" i="1" s="1"/>
  <c r="Y240" i="1"/>
  <c r="Z240" i="1" s="1"/>
  <c r="Y400" i="1"/>
  <c r="Z400" i="1" s="1"/>
  <c r="Y45" i="1"/>
  <c r="Z45" i="1" s="1"/>
  <c r="Y46" i="1"/>
  <c r="Z46" i="1" s="1"/>
  <c r="Y268" i="1"/>
  <c r="Z268" i="1" s="1"/>
  <c r="Y228" i="1"/>
  <c r="Z228" i="1" s="1"/>
  <c r="Y230" i="1"/>
  <c r="Z230" i="1" s="1"/>
  <c r="Y243" i="1"/>
  <c r="Z243" i="1" s="1"/>
  <c r="Y604" i="1"/>
  <c r="Z604" i="1" s="1"/>
  <c r="Y487" i="1"/>
  <c r="Z487" i="1" s="1"/>
  <c r="Y546" i="1"/>
  <c r="Z546" i="1" s="1"/>
  <c r="Y226" i="1"/>
  <c r="Z226" i="1" s="1"/>
  <c r="Y328" i="1"/>
  <c r="Z328" i="1" s="1"/>
  <c r="Y528" i="1"/>
  <c r="Z528" i="1" s="1"/>
  <c r="Y562" i="1"/>
  <c r="Z562" i="1" s="1"/>
  <c r="Y563" i="1"/>
  <c r="Z563" i="1" s="1"/>
  <c r="Y648" i="1"/>
  <c r="Z648" i="1" s="1"/>
  <c r="Y152" i="1"/>
  <c r="Z152" i="1" s="1"/>
  <c r="Y639" i="1"/>
  <c r="Z639" i="1" s="1"/>
  <c r="Y223" i="1"/>
  <c r="Z223" i="1" s="1"/>
  <c r="Y13" i="1"/>
  <c r="Z13" i="1" s="1"/>
  <c r="Y375" i="1"/>
  <c r="Z375" i="1" s="1"/>
  <c r="Y509" i="1"/>
  <c r="Z509" i="1" s="1"/>
  <c r="Y557" i="1"/>
  <c r="Z557" i="1" s="1"/>
  <c r="Y58" i="1"/>
  <c r="Z58" i="1" s="1"/>
  <c r="Y250" i="1"/>
  <c r="Z250" i="1" s="1"/>
  <c r="Y138" i="1"/>
  <c r="Z138" i="1" s="1"/>
  <c r="Y283" i="1"/>
  <c r="Z283" i="1" s="1"/>
  <c r="Y404" i="1"/>
  <c r="Z404" i="1" s="1"/>
  <c r="Y499" i="1"/>
  <c r="Z499" i="1" s="1"/>
  <c r="Y333" i="1"/>
  <c r="Z333" i="1" s="1"/>
  <c r="Y593" i="1"/>
  <c r="Z593" i="1" s="1"/>
  <c r="Y541" i="1"/>
  <c r="Z541" i="1" s="1"/>
  <c r="Y510" i="1"/>
  <c r="Z510" i="1" s="1"/>
  <c r="Y326" i="1"/>
  <c r="Z326" i="1" s="1"/>
  <c r="Y500" i="1"/>
  <c r="Z500" i="1" s="1"/>
  <c r="Y512" i="1"/>
  <c r="Z512" i="1" s="1"/>
  <c r="Y443" i="1"/>
  <c r="Z443" i="1" s="1"/>
  <c r="Y151" i="1"/>
  <c r="Z151" i="1" s="1"/>
  <c r="Y115" i="1"/>
  <c r="Z115" i="1" s="1"/>
  <c r="Y150" i="1"/>
  <c r="Z150" i="1" s="1"/>
  <c r="Y273" i="1"/>
  <c r="Z273" i="1" s="1"/>
  <c r="Y522" i="1"/>
  <c r="Z522" i="1" s="1"/>
  <c r="Y368" i="1"/>
  <c r="Z368" i="1" s="1"/>
  <c r="Y596" i="1"/>
  <c r="Z596" i="1" s="1"/>
  <c r="Y597" i="1"/>
  <c r="Z597" i="1" s="1"/>
  <c r="Y457" i="1"/>
  <c r="Z457" i="1" s="1"/>
  <c r="Y165" i="1"/>
  <c r="Z165" i="1" s="1"/>
  <c r="Y360" i="1"/>
  <c r="Z360" i="1" s="1"/>
  <c r="Y561" i="1"/>
  <c r="Z561" i="1" s="1"/>
  <c r="Y620" i="1"/>
  <c r="Z620" i="1" s="1"/>
  <c r="Y456" i="1"/>
  <c r="Z456" i="1" s="1"/>
  <c r="Y186" i="1"/>
  <c r="Z186" i="1" s="1"/>
  <c r="Y543" i="1"/>
  <c r="Z543" i="1" s="1"/>
  <c r="Y241" i="1"/>
  <c r="Z241" i="1" s="1"/>
  <c r="Y201" i="1"/>
  <c r="Z201" i="1" s="1"/>
  <c r="Y7" i="1"/>
  <c r="Z7" i="1" s="1"/>
  <c r="Y136" i="1"/>
  <c r="Z136" i="1" s="1"/>
  <c r="Y111" i="1"/>
  <c r="Z111" i="1" s="1"/>
  <c r="Y14" i="1"/>
  <c r="Z14" i="1" s="1"/>
  <c r="Y74" i="1"/>
  <c r="Z74" i="1" s="1"/>
  <c r="Y246" i="1"/>
  <c r="Z246" i="1" s="1"/>
  <c r="Y83" i="1"/>
  <c r="Z83" i="1" s="1"/>
  <c r="Y255" i="1"/>
  <c r="Z255" i="1" s="1"/>
  <c r="Y156" i="1"/>
  <c r="Z156" i="1" s="1"/>
  <c r="Y647" i="1"/>
  <c r="Z647" i="1" s="1"/>
  <c r="Y577" i="1"/>
  <c r="Z577" i="1" s="1"/>
  <c r="Y64" i="1"/>
  <c r="Z64" i="1" s="1"/>
  <c r="Y4" i="1"/>
  <c r="Z4" i="1" s="1"/>
  <c r="Y229" i="1"/>
  <c r="Z229" i="1" s="1"/>
  <c r="Y591" i="1"/>
  <c r="Z591" i="1" s="1"/>
  <c r="Y277" i="1"/>
  <c r="Z277" i="1" s="1"/>
  <c r="Y145" i="1"/>
  <c r="Z145" i="1" s="1"/>
  <c r="Y242" i="1"/>
  <c r="Z242" i="1" s="1"/>
  <c r="Y60" i="1"/>
  <c r="Z60" i="1" s="1"/>
  <c r="Y423" i="1"/>
  <c r="Z423" i="1" s="1"/>
  <c r="Y377" i="1"/>
  <c r="Z377" i="1" s="1"/>
  <c r="Y524" i="1"/>
  <c r="Z524" i="1" s="1"/>
  <c r="Y606" i="1"/>
  <c r="Z606" i="1" s="1"/>
  <c r="Y630" i="1"/>
  <c r="Z630" i="1" s="1"/>
  <c r="Y362" i="1"/>
  <c r="Z362" i="1" s="1"/>
  <c r="Y414" i="1"/>
  <c r="Z414" i="1" s="1"/>
  <c r="Y68" i="1"/>
  <c r="Z68" i="1" s="1"/>
  <c r="Y147" i="1"/>
  <c r="Z147" i="1" s="1"/>
  <c r="Y376" i="1"/>
  <c r="Z376" i="1" s="1"/>
  <c r="Y144" i="1"/>
  <c r="Z144" i="1" s="1"/>
  <c r="Y116" i="1"/>
  <c r="Z116" i="1" s="1"/>
  <c r="Y614" i="1"/>
  <c r="Z614" i="1" s="1"/>
  <c r="Y100" i="1"/>
  <c r="Z100" i="1" s="1"/>
  <c r="Y331" i="1"/>
  <c r="Z331" i="1" s="1"/>
  <c r="Y188" i="1"/>
  <c r="Z188" i="1" s="1"/>
  <c r="Y85" i="1"/>
  <c r="Z85" i="1" s="1"/>
  <c r="Y110" i="1"/>
  <c r="Z110" i="1" s="1"/>
  <c r="Y184" i="1"/>
  <c r="Z184" i="1" s="1"/>
  <c r="Y305" i="1"/>
  <c r="Z305" i="1" s="1"/>
  <c r="Y479" i="1"/>
  <c r="Z479" i="1" s="1"/>
  <c r="Y235" i="1"/>
  <c r="Z235" i="1" s="1"/>
  <c r="Y292" i="1"/>
  <c r="Z292" i="1" s="1"/>
  <c r="Y124" i="1"/>
  <c r="Z124" i="1" s="1"/>
  <c r="Y385" i="1"/>
  <c r="Z385" i="1" s="1"/>
  <c r="Y525" i="1"/>
  <c r="Z525" i="1" s="1"/>
  <c r="Y438" i="1"/>
  <c r="Z438" i="1" s="1"/>
  <c r="Y393" i="1"/>
  <c r="Z393" i="1" s="1"/>
  <c r="Y303" i="1"/>
  <c r="Z303" i="1" s="1"/>
  <c r="Y444" i="1"/>
  <c r="Z444" i="1" s="1"/>
  <c r="Y572" i="1"/>
  <c r="Z572" i="1" s="1"/>
  <c r="Y595" i="1"/>
  <c r="Z595" i="1" s="1"/>
  <c r="Y615" i="1"/>
  <c r="Z615" i="1" s="1"/>
  <c r="Y616" i="1"/>
  <c r="Z616" i="1" s="1"/>
  <c r="Y617" i="1"/>
  <c r="Z617" i="1" s="1"/>
  <c r="Y335" i="1"/>
  <c r="Z335" i="1" s="1"/>
  <c r="Y211" i="1"/>
  <c r="Z211" i="1" s="1"/>
  <c r="Y52" i="1"/>
  <c r="Z52" i="1" s="1"/>
  <c r="Y18" i="1"/>
  <c r="Z18" i="1" s="1"/>
  <c r="Y212" i="1"/>
  <c r="Z212" i="1" s="1"/>
  <c r="Y204" i="1"/>
  <c r="Z204" i="1" s="1"/>
  <c r="Y196" i="1"/>
  <c r="Z196" i="1" s="1"/>
  <c r="Y641" i="1"/>
  <c r="Z641" i="1" s="1"/>
  <c r="Y127" i="1"/>
  <c r="Z127" i="1" s="1"/>
  <c r="Y374" i="1"/>
  <c r="Z374" i="1" s="1"/>
  <c r="Y179" i="1"/>
  <c r="Z179" i="1" s="1"/>
  <c r="Y284" i="1"/>
  <c r="Z284" i="1" s="1"/>
  <c r="Y86" i="1"/>
  <c r="Z86" i="1" s="1"/>
  <c r="Y334" i="1"/>
  <c r="Z334" i="1" s="1"/>
  <c r="Y367" i="1"/>
  <c r="Z367" i="1" s="1"/>
  <c r="Y117" i="1"/>
  <c r="Z117" i="1" s="1"/>
  <c r="Y350" i="1"/>
  <c r="Z350" i="1" s="1"/>
  <c r="Y453" i="1"/>
  <c r="Z453" i="1" s="1"/>
  <c r="Y343" i="1"/>
  <c r="Z343" i="1" s="1"/>
  <c r="Y236" i="1"/>
  <c r="Z236" i="1" s="1"/>
  <c r="Y176" i="1"/>
  <c r="Z176" i="1" s="1"/>
  <c r="Y364" i="1"/>
  <c r="Z364" i="1" s="1"/>
  <c r="Y412" i="1"/>
  <c r="Z412" i="1" s="1"/>
  <c r="Y601" i="1"/>
  <c r="Z601" i="1" s="1"/>
  <c r="Y56" i="1"/>
  <c r="Z56" i="1" s="1"/>
  <c r="Y503" i="1"/>
  <c r="Z503" i="1" s="1"/>
  <c r="Y278" i="1"/>
  <c r="Z278" i="1" s="1"/>
  <c r="Y386" i="1"/>
  <c r="Z386" i="1" s="1"/>
  <c r="Y526" i="1"/>
  <c r="Z526" i="1" s="1"/>
  <c r="Y493" i="1"/>
  <c r="Z493" i="1" s="1"/>
  <c r="Y381" i="1"/>
  <c r="Z381" i="1" s="1"/>
  <c r="Y649" i="1"/>
  <c r="Z649" i="1" s="1"/>
  <c r="Y215" i="1"/>
  <c r="Z215" i="1" s="1"/>
  <c r="Y61" i="1"/>
  <c r="Z61" i="1" s="1"/>
  <c r="Y89" i="1"/>
  <c r="Z89" i="1" s="1"/>
  <c r="Y336" i="1"/>
  <c r="Z336" i="1" s="1"/>
  <c r="Y451" i="1"/>
  <c r="Z451" i="1" s="1"/>
  <c r="Y38" i="1"/>
  <c r="Z38" i="1" s="1"/>
  <c r="Y274" i="1"/>
  <c r="Z274" i="1" s="1"/>
  <c r="Y450" i="1"/>
  <c r="Z450" i="1" s="1"/>
  <c r="Y403" i="1"/>
  <c r="Z403" i="1" s="1"/>
  <c r="Y28" i="1"/>
  <c r="Z28" i="1" s="1"/>
  <c r="Y349" i="1"/>
  <c r="Z349" i="1" s="1"/>
  <c r="Y244" i="1"/>
  <c r="Z244" i="1" s="1"/>
  <c r="Y399" i="1"/>
  <c r="Z399" i="1" s="1"/>
  <c r="Y300" i="1"/>
  <c r="Z300" i="1" s="1"/>
  <c r="Y143" i="1"/>
  <c r="Z143" i="1" s="1"/>
  <c r="Y625" i="1"/>
  <c r="Z625" i="1" s="1"/>
  <c r="Y553" i="1"/>
  <c r="Z553" i="1" s="1"/>
  <c r="Y491" i="1"/>
  <c r="Z491" i="1" s="1"/>
  <c r="Y535" i="1"/>
  <c r="Z535" i="1" s="1"/>
  <c r="Y504" i="1"/>
  <c r="Z504" i="1" s="1"/>
  <c r="Y307" i="1"/>
  <c r="Z307" i="1" s="1"/>
  <c r="Y551" i="1"/>
  <c r="Z551" i="1" s="1"/>
  <c r="Y253" i="1"/>
  <c r="Z253" i="1" s="1"/>
  <c r="Y251" i="1"/>
  <c r="Z251" i="1" s="1"/>
  <c r="Y329" i="1"/>
  <c r="Z329" i="1" s="1"/>
  <c r="Y9" i="1"/>
  <c r="Z9" i="1" s="1"/>
  <c r="Y592" i="1"/>
  <c r="Z592" i="1" s="1"/>
  <c r="Y627" i="1"/>
  <c r="Z627" i="1" s="1"/>
  <c r="Y484" i="1"/>
  <c r="Z484" i="1" s="1"/>
  <c r="Y413" i="1"/>
  <c r="Z413" i="1" s="1"/>
  <c r="Y516" i="1"/>
  <c r="Z516" i="1" s="1"/>
  <c r="Y258" i="1"/>
  <c r="Z258" i="1" s="1"/>
  <c r="Y169" i="1"/>
  <c r="Z169" i="1" s="1"/>
  <c r="Y517" i="1"/>
  <c r="Z517" i="1" s="1"/>
  <c r="Y69" i="1"/>
  <c r="Z69" i="1" s="1"/>
  <c r="Y492" i="1"/>
  <c r="Z492" i="1" s="1"/>
  <c r="Y534" i="1"/>
  <c r="Z534" i="1" s="1"/>
  <c r="Y644" i="1"/>
  <c r="Z644" i="1" s="1"/>
  <c r="Y442" i="1"/>
  <c r="Z442" i="1" s="1"/>
  <c r="Y550" i="1"/>
  <c r="Z550" i="1" s="1"/>
  <c r="Y507" i="1"/>
  <c r="Z507" i="1" s="1"/>
  <c r="Y465" i="1"/>
  <c r="Z465" i="1" s="1"/>
  <c r="Y610" i="1"/>
  <c r="Z610" i="1" s="1"/>
  <c r="Y471" i="1"/>
  <c r="Z471" i="1" s="1"/>
  <c r="Y325" i="1"/>
  <c r="Z325" i="1" s="1"/>
  <c r="Y295" i="1"/>
  <c r="Z295" i="1" s="1"/>
  <c r="Y319" i="1"/>
  <c r="Z319" i="1" s="1"/>
  <c r="Y263" i="1"/>
  <c r="Z263" i="1" s="1"/>
  <c r="Y10" i="1"/>
  <c r="Z10" i="1" s="1"/>
  <c r="Y265" i="1"/>
  <c r="Z265" i="1" s="1"/>
  <c r="Y92" i="1"/>
  <c r="Z92" i="1" s="1"/>
  <c r="Y76" i="1"/>
  <c r="Z76" i="1" s="1"/>
  <c r="Y532" i="1"/>
  <c r="Z532" i="1" s="1"/>
  <c r="Y148" i="1"/>
  <c r="Z148" i="1" s="1"/>
  <c r="Y128" i="1"/>
  <c r="Z128" i="1" s="1"/>
  <c r="Y180" i="1"/>
  <c r="Z180" i="1" s="1"/>
  <c r="Y135" i="1"/>
  <c r="Z135" i="1" s="1"/>
  <c r="Y599" i="1"/>
  <c r="Z599" i="1" s="1"/>
  <c r="Y618" i="1"/>
  <c r="Z618" i="1" s="1"/>
  <c r="Y609" i="1"/>
  <c r="Z609" i="1" s="1"/>
  <c r="Y382" i="1"/>
  <c r="Z382" i="1" s="1"/>
  <c r="Y279" i="1"/>
  <c r="Z279" i="1" s="1"/>
  <c r="Y519" i="1"/>
  <c r="Z519" i="1" s="1"/>
  <c r="Y185" i="1"/>
  <c r="Z185" i="1" s="1"/>
  <c r="Y84" i="1"/>
  <c r="Z84" i="1" s="1"/>
  <c r="Y93" i="1"/>
  <c r="Z93" i="1" s="1"/>
  <c r="Y79" i="1"/>
  <c r="Z79" i="1" s="1"/>
  <c r="Y35" i="1"/>
  <c r="Z35" i="1" s="1"/>
  <c r="Y634" i="1"/>
  <c r="Z634" i="1" s="1"/>
  <c r="Y120" i="1"/>
  <c r="Z120" i="1" s="1"/>
  <c r="Y190" i="1"/>
  <c r="Z190" i="1" s="1"/>
  <c r="Y408" i="1"/>
  <c r="Z408" i="1" s="1"/>
  <c r="Y121" i="1"/>
  <c r="Z121" i="1" s="1"/>
  <c r="Y419" i="1"/>
  <c r="Z419" i="1" s="1"/>
  <c r="Y612" i="1"/>
  <c r="Z612" i="1" s="1"/>
  <c r="Y485" i="1"/>
  <c r="Z485" i="1" s="1"/>
  <c r="Y257" i="1"/>
  <c r="Z257" i="1" s="1"/>
  <c r="Y425" i="1"/>
  <c r="Z425" i="1" s="1"/>
  <c r="Y322" i="1"/>
  <c r="Z322" i="1" s="1"/>
  <c r="Y214" i="1"/>
  <c r="Z214" i="1" s="1"/>
  <c r="Y266" i="1"/>
  <c r="Z266" i="1" s="1"/>
  <c r="Y261" i="1"/>
  <c r="Z261" i="1" s="1"/>
  <c r="Y113" i="1"/>
  <c r="Z113" i="1" s="1"/>
  <c r="Y73" i="1"/>
  <c r="Z73" i="1" s="1"/>
  <c r="Y48" i="1"/>
  <c r="Z48" i="1" s="1"/>
  <c r="Y112" i="1"/>
  <c r="Z112" i="1" s="1"/>
  <c r="Y27" i="1"/>
  <c r="Z27" i="1" s="1"/>
  <c r="Y636" i="1"/>
  <c r="Z636" i="1" s="1"/>
  <c r="Y218" i="1"/>
  <c r="Z218" i="1" s="1"/>
  <c r="Y632" i="1"/>
  <c r="Z632" i="1" s="1"/>
  <c r="Y276" i="1"/>
  <c r="Z276" i="1" s="1"/>
  <c r="Y462" i="1"/>
  <c r="Z462" i="1" s="1"/>
  <c r="Y239" i="1"/>
  <c r="Z239" i="1" s="1"/>
  <c r="Y344" i="1"/>
  <c r="Z344" i="1" s="1"/>
  <c r="Y611" i="1"/>
  <c r="Z611" i="1" s="1"/>
  <c r="Y473" i="1"/>
  <c r="Z473" i="1" s="1"/>
  <c r="Y318" i="1"/>
  <c r="Z318" i="1" s="1"/>
  <c r="Y264" i="1"/>
  <c r="Z264" i="1" s="1"/>
  <c r="Y33" i="1"/>
  <c r="Z33" i="1" s="1"/>
  <c r="Y262" i="1"/>
  <c r="Z262" i="1" s="1"/>
  <c r="Y71" i="1"/>
  <c r="Z71" i="1" s="1"/>
  <c r="Y310" i="1"/>
  <c r="Z310" i="1" s="1"/>
  <c r="Y370" i="1"/>
  <c r="Z370" i="1" s="1"/>
  <c r="Y549" i="1"/>
  <c r="Z549" i="1" s="1"/>
  <c r="Y598" i="1"/>
  <c r="Z598" i="1" s="1"/>
  <c r="Y455" i="1"/>
  <c r="Z455" i="1" s="1"/>
  <c r="Y607" i="1"/>
  <c r="Z607" i="1" s="1"/>
  <c r="Y488" i="1"/>
  <c r="Z488" i="1" s="1"/>
  <c r="Y294" i="1"/>
  <c r="Z294" i="1" s="1"/>
  <c r="Y34" i="1"/>
  <c r="Z34" i="1" s="1"/>
  <c r="Y44" i="1"/>
  <c r="Z44" i="1" s="1"/>
  <c r="Y22" i="1"/>
  <c r="Z22" i="1" s="1"/>
  <c r="Y311" i="1"/>
  <c r="Z311" i="1" s="1"/>
  <c r="Y109" i="1"/>
  <c r="Z109" i="1" s="1"/>
  <c r="Y119" i="1"/>
  <c r="Z119" i="1" s="1"/>
  <c r="Y26" i="1"/>
  <c r="Z26" i="1" s="1"/>
  <c r="Y347" i="1"/>
  <c r="Z347" i="1" s="1"/>
  <c r="Y569" i="1"/>
  <c r="Z569" i="1" s="1"/>
  <c r="Y187" i="1"/>
  <c r="Z187" i="1" s="1"/>
  <c r="Y622" i="1"/>
  <c r="Z622" i="1" s="1"/>
  <c r="Y78" i="1"/>
  <c r="Z78" i="1" s="1"/>
  <c r="Y31" i="1"/>
  <c r="Z31" i="1" s="1"/>
  <c r="Y32" i="1"/>
  <c r="Z32" i="1" s="1"/>
  <c r="Y77" i="1"/>
  <c r="Z77" i="1" s="1"/>
  <c r="Y339" i="1"/>
  <c r="Z339" i="1" s="1"/>
  <c r="Y133" i="1"/>
  <c r="Z133" i="1" s="1"/>
  <c r="Y308" i="1"/>
  <c r="Z308" i="1" s="1"/>
  <c r="Y40" i="1"/>
  <c r="Z40" i="1" s="1"/>
  <c r="Y338" i="1"/>
  <c r="Z338" i="1" s="1"/>
  <c r="Y544" i="1"/>
  <c r="Z544" i="1" s="1"/>
  <c r="Y458" i="1"/>
  <c r="Z458" i="1" s="1"/>
  <c r="Y574" i="1"/>
  <c r="Z574" i="1" s="1"/>
  <c r="Y552" i="1"/>
  <c r="Z552" i="1" s="1"/>
  <c r="Y582" i="1"/>
  <c r="Z582" i="1" s="1"/>
  <c r="Y30" i="1"/>
  <c r="Z30" i="1" s="1"/>
  <c r="Y191" i="1"/>
  <c r="Z191" i="1" s="1"/>
  <c r="Y66" i="1"/>
  <c r="Z66" i="1" s="1"/>
  <c r="Y8" i="1"/>
  <c r="Z8" i="1" s="1"/>
  <c r="Y547" i="1"/>
  <c r="Z547" i="1" s="1"/>
  <c r="AZ157" i="1"/>
  <c r="AB157" i="1" s="1"/>
  <c r="AZ158" i="1"/>
  <c r="AB158" i="1" s="1"/>
  <c r="AZ159" i="1"/>
  <c r="AB159" i="1" s="1"/>
  <c r="AZ161" i="1"/>
  <c r="AB161" i="1" s="1"/>
  <c r="AZ162" i="1"/>
  <c r="AB162" i="1" s="1"/>
  <c r="AZ163" i="1"/>
  <c r="AB163" i="1" s="1"/>
  <c r="AZ429" i="1"/>
  <c r="AB429" i="1" s="1"/>
  <c r="AZ411" i="1"/>
  <c r="AB411" i="1" s="1"/>
  <c r="AZ65" i="1"/>
  <c r="AB65" i="1" s="1"/>
  <c r="W157" i="1"/>
  <c r="W158" i="1"/>
  <c r="W159" i="1"/>
  <c r="W160" i="1"/>
  <c r="W161" i="1"/>
  <c r="W162" i="1"/>
  <c r="W163" i="1"/>
  <c r="W429" i="1"/>
  <c r="W411" i="1"/>
  <c r="U157" i="1"/>
  <c r="U158" i="1"/>
  <c r="U159" i="1"/>
  <c r="U160" i="1"/>
  <c r="U161" i="1"/>
  <c r="U162" i="1"/>
  <c r="U163" i="1"/>
  <c r="U429" i="1"/>
  <c r="U411" i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429" i="1"/>
  <c r="F429" i="1" s="1"/>
  <c r="D411" i="1"/>
  <c r="F411" i="1" s="1"/>
  <c r="D65" i="1"/>
  <c r="F65" i="1" s="1"/>
  <c r="W65" i="1"/>
  <c r="U65" i="1"/>
  <c r="AM411" i="1"/>
  <c r="P411" i="1"/>
  <c r="AM429" i="1"/>
  <c r="P429" i="1"/>
  <c r="AM163" i="1"/>
  <c r="P163" i="1"/>
  <c r="AM162" i="1"/>
  <c r="P162" i="1"/>
  <c r="AM65" i="1"/>
  <c r="AM161" i="1"/>
  <c r="P161" i="1"/>
  <c r="AZ160" i="1"/>
  <c r="AB160" i="1" s="1"/>
  <c r="AM160" i="1"/>
  <c r="P160" i="1"/>
  <c r="AM159" i="1"/>
  <c r="P159" i="1"/>
  <c r="AM158" i="1"/>
  <c r="P158" i="1"/>
  <c r="AN157" i="1"/>
  <c r="AM157" i="1"/>
  <c r="P157" i="1"/>
  <c r="P65" i="1"/>
  <c r="AC157" i="1" l="1"/>
  <c r="AD157" i="1" s="1"/>
  <c r="BK157" i="1"/>
  <c r="BG157" i="1"/>
  <c r="Y157" i="1"/>
  <c r="Z157" i="1" s="1"/>
  <c r="AL163" i="1"/>
  <c r="AE163" i="1"/>
  <c r="AL162" i="1"/>
  <c r="AE162" i="1"/>
  <c r="AL161" i="1"/>
  <c r="AE161" i="1"/>
  <c r="AL65" i="1"/>
  <c r="AE65" i="1"/>
  <c r="AL160" i="1"/>
  <c r="AE160" i="1"/>
  <c r="AL429" i="1"/>
  <c r="AE429" i="1"/>
  <c r="AL159" i="1"/>
  <c r="AE159" i="1"/>
  <c r="AL158" i="1"/>
  <c r="AE158" i="1"/>
  <c r="AL411" i="1"/>
  <c r="AE411" i="1"/>
  <c r="AL157" i="1"/>
  <c r="AE157" i="1"/>
  <c r="AG411" i="1"/>
  <c r="AG157" i="1"/>
  <c r="AG429" i="1"/>
  <c r="AH162" i="1"/>
  <c r="AG65" i="1"/>
  <c r="AG161" i="1"/>
  <c r="AH160" i="1"/>
  <c r="AH163" i="1"/>
  <c r="AH159" i="1"/>
  <c r="AN158" i="1"/>
  <c r="AC158" i="1" s="1"/>
  <c r="AD158" i="1" s="1"/>
  <c r="AN162" i="1"/>
  <c r="AC162" i="1" s="1"/>
  <c r="AD162" i="1" s="1"/>
  <c r="AN429" i="1"/>
  <c r="AC429" i="1" s="1"/>
  <c r="AD429" i="1" s="1"/>
  <c r="AN160" i="1"/>
  <c r="AC160" i="1" s="1"/>
  <c r="AD160" i="1" s="1"/>
  <c r="AH158" i="1"/>
  <c r="AN411" i="1"/>
  <c r="AC411" i="1" s="1"/>
  <c r="AD411" i="1" s="1"/>
  <c r="AG163" i="1"/>
  <c r="AG162" i="1"/>
  <c r="AG160" i="1"/>
  <c r="AN163" i="1"/>
  <c r="AC163" i="1" s="1"/>
  <c r="AD163" i="1" s="1"/>
  <c r="AH161" i="1"/>
  <c r="AN161" i="1"/>
  <c r="AC161" i="1" s="1"/>
  <c r="AD161" i="1" s="1"/>
  <c r="AG159" i="1"/>
  <c r="AH411" i="1"/>
  <c r="AH157" i="1"/>
  <c r="AN159" i="1"/>
  <c r="AC159" i="1" s="1"/>
  <c r="AD159" i="1" s="1"/>
  <c r="AG158" i="1"/>
  <c r="AH429" i="1"/>
  <c r="AJ65" i="1"/>
  <c r="AK65" i="1"/>
  <c r="AH65" i="1"/>
  <c r="AN65" i="1"/>
  <c r="AC65" i="1" s="1"/>
  <c r="AD65" i="1" s="1"/>
  <c r="BK159" i="1" l="1"/>
  <c r="BG159" i="1"/>
  <c r="BK158" i="1"/>
  <c r="BG158" i="1"/>
  <c r="BK65" i="1"/>
  <c r="BG65" i="1"/>
  <c r="BK411" i="1"/>
  <c r="BG411" i="1"/>
  <c r="BK161" i="1"/>
  <c r="BG161" i="1"/>
  <c r="BK160" i="1"/>
  <c r="BG160" i="1"/>
  <c r="BK429" i="1"/>
  <c r="BG429" i="1"/>
  <c r="BK163" i="1"/>
  <c r="BG163" i="1"/>
  <c r="BK162" i="1"/>
  <c r="BG162" i="1"/>
  <c r="Y65" i="1"/>
  <c r="Z65" i="1" s="1"/>
  <c r="Y411" i="1"/>
  <c r="Z411" i="1" s="1"/>
  <c r="Y161" i="1"/>
  <c r="Z161" i="1" s="1"/>
  <c r="Y159" i="1"/>
  <c r="Z159" i="1" s="1"/>
  <c r="Y158" i="1"/>
  <c r="Z158" i="1" s="1"/>
  <c r="Y160" i="1"/>
  <c r="Z160" i="1" s="1"/>
  <c r="Y429" i="1"/>
  <c r="Z429" i="1" s="1"/>
  <c r="Y163" i="1"/>
  <c r="Z163" i="1" s="1"/>
  <c r="Y162" i="1"/>
  <c r="Z162" i="1" s="1"/>
</calcChain>
</file>

<file path=xl/sharedStrings.xml><?xml version="1.0" encoding="utf-8"?>
<sst xmlns="http://schemas.openxmlformats.org/spreadsheetml/2006/main" count="8614" uniqueCount="2217">
  <si>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</si>
  <si>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</si>
  <si>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</si>
  <si>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</si>
  <si>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</si>
  <si>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</si>
  <si>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</si>
  <si>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</si>
  <si>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</si>
  <si>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</si>
  <si>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</si>
  <si>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</si>
  <si>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</si>
  <si>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</si>
  <si>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</si>
  <si>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</si>
  <si>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</si>
  <si>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</si>
  <si>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</si>
  <si>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</si>
  <si>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</si>
  <si>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</si>
  <si>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</si>
  <si>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</si>
  <si>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</si>
  <si>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</si>
  <si>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</si>
  <si>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</si>
  <si>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</si>
  <si>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</si>
  <si>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</si>
  <si>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</si>
  <si>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</si>
  <si>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</si>
  <si>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</si>
  <si>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</si>
  <si>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</si>
  <si>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</si>
  <si>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</si>
  <si>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</si>
  <si>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</si>
  <si>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</si>
  <si>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</si>
  <si>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</si>
  <si>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</si>
  <si>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</si>
  <si>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</si>
  <si>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</si>
  <si>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</si>
  <si>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</si>
  <si>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</si>
  <si>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</si>
  <si>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</si>
  <si>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</si>
  <si>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</si>
  <si>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</si>
  <si>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6266AM</t>
  </si>
  <si>
    <t>7901AM</t>
  </si>
  <si>
    <t>7902AM</t>
  </si>
  <si>
    <t>7903AM</t>
  </si>
  <si>
    <t>7904AM</t>
  </si>
  <si>
    <t>J021WG</t>
  </si>
  <si>
    <t>J022WG</t>
  </si>
  <si>
    <t>J028WG</t>
  </si>
  <si>
    <t>J030WG</t>
  </si>
  <si>
    <t>J029WG</t>
  </si>
  <si>
    <t>J033WG</t>
  </si>
  <si>
    <t>J034WG</t>
  </si>
  <si>
    <t>J036WG</t>
  </si>
  <si>
    <t>J038WG</t>
  </si>
  <si>
    <t>J040WG</t>
  </si>
  <si>
    <t>J042WG</t>
  </si>
  <si>
    <t>J037WG</t>
  </si>
  <si>
    <t>J044WG</t>
  </si>
  <si>
    <t>J0813T</t>
  </si>
  <si>
    <t>J045WG</t>
  </si>
  <si>
    <t>J0850T</t>
  </si>
  <si>
    <t>J0852T</t>
  </si>
  <si>
    <t>J0847T</t>
  </si>
  <si>
    <t>J0853T</t>
  </si>
  <si>
    <t>J0854T</t>
  </si>
  <si>
    <t>J0848T</t>
  </si>
  <si>
    <t>J0849T</t>
  </si>
  <si>
    <t>J0855T</t>
  </si>
  <si>
    <t>J0856T</t>
  </si>
  <si>
    <t>J0857T</t>
  </si>
  <si>
    <t>J0858T</t>
  </si>
  <si>
    <t>J0860T</t>
  </si>
  <si>
    <t>J0861T</t>
  </si>
  <si>
    <t>J0864T</t>
  </si>
  <si>
    <t>J0865T</t>
  </si>
  <si>
    <t>J0866T</t>
  </si>
  <si>
    <t>J0868T</t>
  </si>
  <si>
    <t>J0859T</t>
  </si>
  <si>
    <t>J0870T</t>
  </si>
  <si>
    <t>J0871T</t>
  </si>
  <si>
    <t>J0872T</t>
  </si>
  <si>
    <t>J0869T</t>
  </si>
  <si>
    <t>J1783W</t>
  </si>
  <si>
    <t>J1784W</t>
  </si>
  <si>
    <t>J1789W</t>
  </si>
  <si>
    <t>J1785W</t>
  </si>
  <si>
    <t>J1786W</t>
  </si>
  <si>
    <t>J1787W</t>
  </si>
  <si>
    <t>J1788W</t>
  </si>
  <si>
    <t>J1792W</t>
  </si>
  <si>
    <t>J1793P</t>
  </si>
  <si>
    <t>J1793W</t>
  </si>
  <si>
    <t>J1794P</t>
  </si>
  <si>
    <t>J1794W</t>
  </si>
  <si>
    <t>J1795P</t>
  </si>
  <si>
    <t>J1790W</t>
  </si>
  <si>
    <t>J1795W</t>
  </si>
  <si>
    <t>J1796P</t>
  </si>
  <si>
    <t>J1796W</t>
  </si>
  <si>
    <t>J1797P</t>
  </si>
  <si>
    <t>J1797W</t>
  </si>
  <si>
    <t>J1798P</t>
  </si>
  <si>
    <t>J1798W</t>
  </si>
  <si>
    <t>J1799W</t>
  </si>
  <si>
    <t>J1791W</t>
  </si>
  <si>
    <t>J1800W</t>
  </si>
  <si>
    <t>J1801W</t>
  </si>
  <si>
    <t>J1807P</t>
  </si>
  <si>
    <t>J1808P</t>
  </si>
  <si>
    <t>J1809P</t>
  </si>
  <si>
    <t>J1825W</t>
  </si>
  <si>
    <t>J1826W</t>
  </si>
  <si>
    <t>J1820W</t>
  </si>
  <si>
    <t>J1821W</t>
  </si>
  <si>
    <t>J1840W</t>
  </si>
  <si>
    <t>J1841W</t>
  </si>
  <si>
    <t>J1842W</t>
  </si>
  <si>
    <t>J1843W</t>
  </si>
  <si>
    <t>J1844W</t>
  </si>
  <si>
    <t>J1845W</t>
  </si>
  <si>
    <t>J1846W</t>
  </si>
  <si>
    <t>J1862P</t>
  </si>
  <si>
    <t>J1847W</t>
  </si>
  <si>
    <t>J1876W</t>
  </si>
  <si>
    <t>J1877W</t>
  </si>
  <si>
    <t>J1878W</t>
  </si>
  <si>
    <t>J1879W</t>
  </si>
  <si>
    <t>J1880W</t>
  </si>
  <si>
    <t>J2127Y</t>
  </si>
  <si>
    <t>J2128Y</t>
  </si>
  <si>
    <t>J2129Y</t>
  </si>
  <si>
    <t>J2130Y</t>
  </si>
  <si>
    <t>J2490X</t>
  </si>
  <si>
    <t>J2491X</t>
  </si>
  <si>
    <t>J2492X</t>
  </si>
  <si>
    <t>J2497X</t>
  </si>
  <si>
    <t>J2500X</t>
  </si>
  <si>
    <t>J2501X</t>
  </si>
  <si>
    <t>J2502X</t>
  </si>
  <si>
    <t>J2498X</t>
  </si>
  <si>
    <t>J2499X</t>
  </si>
  <si>
    <t>J2919X</t>
  </si>
  <si>
    <t>J2920X</t>
  </si>
  <si>
    <t>J2921X</t>
  </si>
  <si>
    <t>J2922X</t>
  </si>
  <si>
    <t>J3031N</t>
  </si>
  <si>
    <t>J3032N</t>
  </si>
  <si>
    <t>J3033N</t>
  </si>
  <si>
    <t>J3034N</t>
  </si>
  <si>
    <t>J3035N</t>
  </si>
  <si>
    <t>J3036N</t>
  </si>
  <si>
    <t>J3040N</t>
  </si>
  <si>
    <t>J3041N</t>
  </si>
  <si>
    <t>J3038N</t>
  </si>
  <si>
    <t>J3039N</t>
  </si>
  <si>
    <t>J3042N</t>
  </si>
  <si>
    <t>J3043N</t>
  </si>
  <si>
    <t>J3044N</t>
  </si>
  <si>
    <t>J3045N</t>
  </si>
  <si>
    <t>J3048N</t>
  </si>
  <si>
    <t>J3049N</t>
  </si>
  <si>
    <t>J3046N</t>
  </si>
  <si>
    <t>J3051N</t>
  </si>
  <si>
    <t>J3052N</t>
  </si>
  <si>
    <t>J3053N</t>
  </si>
  <si>
    <t>J3054N</t>
  </si>
  <si>
    <t>J3056N</t>
  </si>
  <si>
    <t>J3057N</t>
  </si>
  <si>
    <t>J3058N</t>
  </si>
  <si>
    <t>J3050N</t>
  </si>
  <si>
    <t>J3060N</t>
  </si>
  <si>
    <t>J3061N</t>
  </si>
  <si>
    <t>J3062N</t>
  </si>
  <si>
    <t>J3059N</t>
  </si>
  <si>
    <t>J3070N</t>
  </si>
  <si>
    <t>J3063N</t>
  </si>
  <si>
    <t>J3064N</t>
  </si>
  <si>
    <t>J3071N</t>
  </si>
  <si>
    <t>J3072N</t>
  </si>
  <si>
    <t>J3065N</t>
  </si>
  <si>
    <t>J3066N</t>
  </si>
  <si>
    <t>J3073N</t>
  </si>
  <si>
    <t>J3074N</t>
  </si>
  <si>
    <t>J3067N</t>
  </si>
  <si>
    <t>J3068N</t>
  </si>
  <si>
    <t>J3075N</t>
  </si>
  <si>
    <t>J3076N</t>
  </si>
  <si>
    <t>J3078N</t>
  </si>
  <si>
    <t>J3069N</t>
  </si>
  <si>
    <t>J347NB</t>
  </si>
  <si>
    <t>J344NB</t>
  </si>
  <si>
    <t>J348NB</t>
  </si>
  <si>
    <t>J349NB</t>
  </si>
  <si>
    <t>J358NB</t>
  </si>
  <si>
    <t>J361NB</t>
  </si>
  <si>
    <t>J365NB</t>
  </si>
  <si>
    <t>J369NB</t>
  </si>
  <si>
    <t>J3715R</t>
  </si>
  <si>
    <t>J373NB</t>
  </si>
  <si>
    <t>J374NB</t>
  </si>
  <si>
    <t>J371NB</t>
  </si>
  <si>
    <t>J376NB</t>
  </si>
  <si>
    <t>J377NB</t>
  </si>
  <si>
    <t>J379NB</t>
  </si>
  <si>
    <t>J378NB</t>
  </si>
  <si>
    <t>J381NB</t>
  </si>
  <si>
    <t>J382NB</t>
  </si>
  <si>
    <t>J38338</t>
  </si>
  <si>
    <t>J38339</t>
  </si>
  <si>
    <t>J38340</t>
  </si>
  <si>
    <t>J38341</t>
  </si>
  <si>
    <t>J38342</t>
  </si>
  <si>
    <t>J38343</t>
  </si>
  <si>
    <t>J38344</t>
  </si>
  <si>
    <t>J38345</t>
  </si>
  <si>
    <t>J38346</t>
  </si>
  <si>
    <t>J38347</t>
  </si>
  <si>
    <t>J38348</t>
  </si>
  <si>
    <t>J38349</t>
  </si>
  <si>
    <t>J38785</t>
  </si>
  <si>
    <t>J38786</t>
  </si>
  <si>
    <t>J38787</t>
  </si>
  <si>
    <t>J38788</t>
  </si>
  <si>
    <t>J38789</t>
  </si>
  <si>
    <t>J38791</t>
  </si>
  <si>
    <t>J38792</t>
  </si>
  <si>
    <t>J38793</t>
  </si>
  <si>
    <t>J38794</t>
  </si>
  <si>
    <t>J384NB</t>
  </si>
  <si>
    <t>J38800</t>
  </si>
  <si>
    <t>J38803</t>
  </si>
  <si>
    <t>J38804</t>
  </si>
  <si>
    <t>J38795</t>
  </si>
  <si>
    <t>J38797</t>
  </si>
  <si>
    <t>J38805</t>
  </si>
  <si>
    <t>J38806</t>
  </si>
  <si>
    <t>J38798</t>
  </si>
  <si>
    <t>J38799</t>
  </si>
  <si>
    <t>J38807</t>
  </si>
  <si>
    <t>J38814</t>
  </si>
  <si>
    <t>J38872</t>
  </si>
  <si>
    <t>J38920</t>
  </si>
  <si>
    <t>J38921</t>
  </si>
  <si>
    <t>J38879</t>
  </si>
  <si>
    <t>J38922</t>
  </si>
  <si>
    <t>J38923</t>
  </si>
  <si>
    <t>J38926</t>
  </si>
  <si>
    <t>J38927</t>
  </si>
  <si>
    <t>J38880</t>
  </si>
  <si>
    <t>J38949</t>
  </si>
  <si>
    <t>J38950</t>
  </si>
  <si>
    <t>J38993</t>
  </si>
  <si>
    <t>J38994</t>
  </si>
  <si>
    <t>J38995</t>
  </si>
  <si>
    <t>J38996</t>
  </si>
  <si>
    <t>J38997</t>
  </si>
  <si>
    <t>J38998</t>
  </si>
  <si>
    <t>J3951N</t>
  </si>
  <si>
    <t>J39000</t>
  </si>
  <si>
    <t>J39001</t>
  </si>
  <si>
    <t>J39005</t>
  </si>
  <si>
    <t>J3952N</t>
  </si>
  <si>
    <t>J3953N</t>
  </si>
  <si>
    <t>J39024</t>
  </si>
  <si>
    <t>J3954N</t>
  </si>
  <si>
    <t>J3955N</t>
  </si>
  <si>
    <t>J39026</t>
  </si>
  <si>
    <t>J39033</t>
  </si>
  <si>
    <t>J39034</t>
  </si>
  <si>
    <t>J39036</t>
  </si>
  <si>
    <t>J3956N</t>
  </si>
  <si>
    <t>J3957N</t>
  </si>
  <si>
    <t>J39039</t>
  </si>
  <si>
    <t>J39044</t>
  </si>
  <si>
    <t>J39045</t>
  </si>
  <si>
    <t>J39047</t>
  </si>
  <si>
    <t>J39048</t>
  </si>
  <si>
    <t>J39050</t>
  </si>
  <si>
    <t>J39059</t>
  </si>
  <si>
    <t>J3958N</t>
  </si>
  <si>
    <t>J3959N</t>
  </si>
  <si>
    <t>J39060</t>
  </si>
  <si>
    <t>J39061</t>
  </si>
  <si>
    <t>J39062</t>
  </si>
  <si>
    <t>J39063</t>
  </si>
  <si>
    <t>J39064</t>
  </si>
  <si>
    <t>J39065</t>
  </si>
  <si>
    <t>J3960N</t>
  </si>
  <si>
    <t>J3961N</t>
  </si>
  <si>
    <t>J3962N</t>
  </si>
  <si>
    <t>J3963N</t>
  </si>
  <si>
    <t>J3966N</t>
  </si>
  <si>
    <t>J3967N</t>
  </si>
  <si>
    <t>J3968N</t>
  </si>
  <si>
    <t>J3969N</t>
  </si>
  <si>
    <t>J3975N</t>
  </si>
  <si>
    <t>J3976N</t>
  </si>
  <si>
    <t>J3977N</t>
  </si>
  <si>
    <t>J3978N</t>
  </si>
  <si>
    <t>J39066</t>
  </si>
  <si>
    <t>J3970N</t>
  </si>
  <si>
    <t>J3979N</t>
  </si>
  <si>
    <t>J3980N</t>
  </si>
  <si>
    <t>J3971N</t>
  </si>
  <si>
    <t>J3972N</t>
  </si>
  <si>
    <t>J3981N</t>
  </si>
  <si>
    <t>J3982N</t>
  </si>
  <si>
    <t>J3973N</t>
  </si>
  <si>
    <t>J3974N</t>
  </si>
  <si>
    <t>J3983N</t>
  </si>
  <si>
    <t>J3984N</t>
  </si>
  <si>
    <t>J3985N</t>
  </si>
  <si>
    <t>J3986N</t>
  </si>
  <si>
    <t>J3987N</t>
  </si>
  <si>
    <t>J3988N</t>
  </si>
  <si>
    <t>J3990N</t>
  </si>
  <si>
    <t>J3992N</t>
  </si>
  <si>
    <t>J3989N</t>
  </si>
  <si>
    <t>J3998N</t>
  </si>
  <si>
    <t>J3994N</t>
  </si>
  <si>
    <t>J3995N</t>
  </si>
  <si>
    <t>J3996N</t>
  </si>
  <si>
    <t>J3997N</t>
  </si>
  <si>
    <t>J4002N</t>
  </si>
  <si>
    <t>J4003N</t>
  </si>
  <si>
    <t>J4000N</t>
  </si>
  <si>
    <t>J4001N</t>
  </si>
  <si>
    <t>J4004N</t>
  </si>
  <si>
    <t>J4005N</t>
  </si>
  <si>
    <t>J4006N</t>
  </si>
  <si>
    <t>J4007N</t>
  </si>
  <si>
    <t>J4008N</t>
  </si>
  <si>
    <t>J4009N</t>
  </si>
  <si>
    <t>J4010N</t>
  </si>
  <si>
    <t>J4011N</t>
  </si>
  <si>
    <t>J4012N</t>
  </si>
  <si>
    <t>J4013N</t>
  </si>
  <si>
    <t>J4014N</t>
  </si>
  <si>
    <t>J4015N</t>
  </si>
  <si>
    <t>J4016N</t>
  </si>
  <si>
    <t>J4017N</t>
  </si>
  <si>
    <t>J4018N</t>
  </si>
  <si>
    <t>J4030N</t>
  </si>
  <si>
    <t>J4022N</t>
  </si>
  <si>
    <t>J4023N</t>
  </si>
  <si>
    <t>J4031N</t>
  </si>
  <si>
    <t>J4032N</t>
  </si>
  <si>
    <t>J4026N</t>
  </si>
  <si>
    <t>J4027N</t>
  </si>
  <si>
    <t>J4033N</t>
  </si>
  <si>
    <t>J4034N</t>
  </si>
  <si>
    <t>J4028N</t>
  </si>
  <si>
    <t>J4029N</t>
  </si>
  <si>
    <t>J4035N</t>
  </si>
  <si>
    <t>J4036N</t>
  </si>
  <si>
    <t>J4037N</t>
  </si>
  <si>
    <t>J4038N</t>
  </si>
  <si>
    <t>J4040N</t>
  </si>
  <si>
    <t>J4041N</t>
  </si>
  <si>
    <t>J4039N</t>
  </si>
  <si>
    <t>J4042N</t>
  </si>
  <si>
    <t>J441MP</t>
  </si>
  <si>
    <t>J54403</t>
  </si>
  <si>
    <t>J54404</t>
  </si>
  <si>
    <t>J54405</t>
  </si>
  <si>
    <t>J54408</t>
  </si>
  <si>
    <t>J54409</t>
  </si>
  <si>
    <t>J54410</t>
  </si>
  <si>
    <t>J54411</t>
  </si>
  <si>
    <t>J54475</t>
  </si>
  <si>
    <t>J54413</t>
  </si>
  <si>
    <t>J54415</t>
  </si>
  <si>
    <t>J54476</t>
  </si>
  <si>
    <t>J54477</t>
  </si>
  <si>
    <t>J54416</t>
  </si>
  <si>
    <t>J54417</t>
  </si>
  <si>
    <t>J54478</t>
  </si>
  <si>
    <t>J54479</t>
  </si>
  <si>
    <t>J54418</t>
  </si>
  <si>
    <t>J54421</t>
  </si>
  <si>
    <t>J54422</t>
  </si>
  <si>
    <t>J54426</t>
  </si>
  <si>
    <t>J54427</t>
  </si>
  <si>
    <t>J54480</t>
  </si>
  <si>
    <t>J54481</t>
  </si>
  <si>
    <t>J54482</t>
  </si>
  <si>
    <t>J54483</t>
  </si>
  <si>
    <t>J54433</t>
  </si>
  <si>
    <t>J54434</t>
  </si>
  <si>
    <t>J54435</t>
  </si>
  <si>
    <t>J54484</t>
  </si>
  <si>
    <t>J54485</t>
  </si>
  <si>
    <t>J54436</t>
  </si>
  <si>
    <t>J54437</t>
  </si>
  <si>
    <t>J54486</t>
  </si>
  <si>
    <t>J54488</t>
  </si>
  <si>
    <t>J54448</t>
  </si>
  <si>
    <t>J54489</t>
  </si>
  <si>
    <t>J54493</t>
  </si>
  <si>
    <t>J54494</t>
  </si>
  <si>
    <t>J54495</t>
  </si>
  <si>
    <t>J54468</t>
  </si>
  <si>
    <t>J54469</t>
  </si>
  <si>
    <t>J54496</t>
  </si>
  <si>
    <t>J54497</t>
  </si>
  <si>
    <t>J54470</t>
  </si>
  <si>
    <t>J54472</t>
  </si>
  <si>
    <t>J54498</t>
  </si>
  <si>
    <t>J54500</t>
  </si>
  <si>
    <t>J54501</t>
  </si>
  <si>
    <t>J54502</t>
  </si>
  <si>
    <t>J54503</t>
  </si>
  <si>
    <t>J54504</t>
  </si>
  <si>
    <t>J54505</t>
  </si>
  <si>
    <t>J54506</t>
  </si>
  <si>
    <t>J54474</t>
  </si>
  <si>
    <t>J54520</t>
  </si>
  <si>
    <t>J54521</t>
  </si>
  <si>
    <t>J54523</t>
  </si>
  <si>
    <t>J54525</t>
  </si>
  <si>
    <t>J54526</t>
  </si>
  <si>
    <t>J54527</t>
  </si>
  <si>
    <t>J54510</t>
  </si>
  <si>
    <t>J54511</t>
  </si>
  <si>
    <t>J54529</t>
  </si>
  <si>
    <t>J54530</t>
  </si>
  <si>
    <t>J54515</t>
  </si>
  <si>
    <t>J54517</t>
  </si>
  <si>
    <t>J54532</t>
  </si>
  <si>
    <t>J54533</t>
  </si>
  <si>
    <t>J54518</t>
  </si>
  <si>
    <t>J54519</t>
  </si>
  <si>
    <t>J54534</t>
  </si>
  <si>
    <t>J54535</t>
  </si>
  <si>
    <t>J54537</t>
  </si>
  <si>
    <t>J54538</t>
  </si>
  <si>
    <t>J54539</t>
  </si>
  <si>
    <t>J54541</t>
  </si>
  <si>
    <t>J54543</t>
  </si>
  <si>
    <t>J54544</t>
  </si>
  <si>
    <t>J54547</t>
  </si>
  <si>
    <t>J54552</t>
  </si>
  <si>
    <t>J54554</t>
  </si>
  <si>
    <t>J54556</t>
  </si>
  <si>
    <t>J54558</t>
  </si>
  <si>
    <t>J54559</t>
  </si>
  <si>
    <t>J54560</t>
  </si>
  <si>
    <t>J54561</t>
  </si>
  <si>
    <t>J54562</t>
  </si>
  <si>
    <t>J54564</t>
  </si>
  <si>
    <t>J54569</t>
  </si>
  <si>
    <t>J54570</t>
  </si>
  <si>
    <t>J54572</t>
  </si>
  <si>
    <t>J54575</t>
  </si>
  <si>
    <t>J54578</t>
  </si>
  <si>
    <t>J54581</t>
  </si>
  <si>
    <t>J54582</t>
  </si>
  <si>
    <t>J54584</t>
  </si>
  <si>
    <t>J54585</t>
  </si>
  <si>
    <t>J54592</t>
  </si>
  <si>
    <t>J54593</t>
  </si>
  <si>
    <t>J6480N</t>
  </si>
  <si>
    <t>J6479N</t>
  </si>
  <si>
    <t>J6481N</t>
  </si>
  <si>
    <t>J6482N</t>
  </si>
  <si>
    <t>J73454</t>
  </si>
  <si>
    <t>J743MU</t>
  </si>
  <si>
    <t>J744MU</t>
  </si>
  <si>
    <t>J746MU</t>
  </si>
  <si>
    <t>J749RZ</t>
  </si>
  <si>
    <t>J750RZ</t>
  </si>
  <si>
    <t>J752RZ</t>
  </si>
  <si>
    <t>J755RZ</t>
  </si>
  <si>
    <t>J751RZ</t>
  </si>
  <si>
    <t>J757RZ</t>
  </si>
  <si>
    <t>J756RZ</t>
  </si>
  <si>
    <t>J759RZ</t>
  </si>
  <si>
    <t>J758RZ</t>
  </si>
  <si>
    <t>J760RZ</t>
  </si>
  <si>
    <t>J767RZ</t>
  </si>
  <si>
    <t>J768RZ</t>
  </si>
  <si>
    <t>J770RZ</t>
  </si>
  <si>
    <t>J771RZ</t>
  </si>
  <si>
    <t>J772RZ</t>
  </si>
  <si>
    <t>J773RZ</t>
  </si>
  <si>
    <t>J774RZ</t>
  </si>
  <si>
    <t>J776RZ</t>
  </si>
  <si>
    <t>J775RZ</t>
  </si>
  <si>
    <t>J779RZ</t>
  </si>
  <si>
    <t>J780RZ</t>
  </si>
  <si>
    <t>J781RZ</t>
  </si>
  <si>
    <t>J783RZ</t>
  </si>
  <si>
    <t>J782RZ</t>
  </si>
  <si>
    <t>J784RZ</t>
  </si>
  <si>
    <t>J852MZ</t>
  </si>
  <si>
    <t>J853MZ</t>
  </si>
  <si>
    <t>J854MZ</t>
  </si>
  <si>
    <t>J855MZ</t>
  </si>
  <si>
    <t>J856MZ</t>
  </si>
  <si>
    <t>J858MZ</t>
  </si>
  <si>
    <t>J860MZ</t>
  </si>
  <si>
    <t>J859MZ</t>
  </si>
  <si>
    <t>J861MZ</t>
  </si>
  <si>
    <t>J862MZ</t>
  </si>
  <si>
    <t>J863MZ</t>
  </si>
  <si>
    <t>J865MZ</t>
  </si>
  <si>
    <t>J864MZ</t>
  </si>
  <si>
    <t>J866MZ</t>
  </si>
  <si>
    <t>J885WN</t>
  </si>
  <si>
    <t>J888WN</t>
  </si>
  <si>
    <t>J887WN</t>
  </si>
  <si>
    <t>J894WN</t>
  </si>
  <si>
    <t>J895WN</t>
  </si>
  <si>
    <t>J897WN</t>
  </si>
  <si>
    <t>J898WN</t>
  </si>
  <si>
    <t>J896WN</t>
  </si>
  <si>
    <t>J899WN</t>
  </si>
  <si>
    <t>J900WN</t>
  </si>
  <si>
    <t>J901WN</t>
  </si>
  <si>
    <t>J902WN</t>
  </si>
  <si>
    <t>J904WN</t>
  </si>
  <si>
    <t>J903WN</t>
  </si>
  <si>
    <t>J905WN</t>
  </si>
  <si>
    <t>J908WN</t>
  </si>
  <si>
    <t>J907WN</t>
  </si>
  <si>
    <t>J910SA</t>
  </si>
  <si>
    <t>J909WN</t>
  </si>
  <si>
    <t>J912SA</t>
  </si>
  <si>
    <t>J916SA</t>
  </si>
  <si>
    <t>J918SA</t>
  </si>
  <si>
    <t>J919SA</t>
  </si>
  <si>
    <t>J919WN</t>
  </si>
  <si>
    <t>J920SA</t>
  </si>
  <si>
    <t>J921WN</t>
  </si>
  <si>
    <t>J920WN</t>
  </si>
  <si>
    <t>J924WN</t>
  </si>
  <si>
    <t>J922WN</t>
  </si>
  <si>
    <t>J925WN</t>
  </si>
  <si>
    <t>J927WN</t>
  </si>
  <si>
    <t>J926WN</t>
  </si>
  <si>
    <t>J928WN</t>
  </si>
  <si>
    <t>J929WN</t>
  </si>
  <si>
    <t>J931WN</t>
  </si>
  <si>
    <t>J930WN</t>
  </si>
  <si>
    <t>J937SA</t>
  </si>
  <si>
    <t>J9395W</t>
  </si>
  <si>
    <t>J938SA</t>
  </si>
  <si>
    <t>J9394W</t>
  </si>
  <si>
    <t>J942SA</t>
  </si>
  <si>
    <t>J941WN</t>
  </si>
  <si>
    <t>J942WN</t>
  </si>
  <si>
    <t>J94429</t>
  </si>
  <si>
    <t>J94436</t>
  </si>
  <si>
    <t>J94438</t>
  </si>
  <si>
    <t>J94439</t>
  </si>
  <si>
    <t>J94440</t>
  </si>
  <si>
    <t>J94441</t>
  </si>
  <si>
    <t>J94442</t>
  </si>
  <si>
    <t>J94448</t>
  </si>
  <si>
    <t>J94456</t>
  </si>
  <si>
    <t>J94460</t>
  </si>
  <si>
    <t>J943SA</t>
  </si>
  <si>
    <t>J944SA</t>
  </si>
  <si>
    <t>J945SA</t>
  </si>
  <si>
    <t>J94611</t>
  </si>
  <si>
    <t>J94612</t>
  </si>
  <si>
    <t>J94613</t>
  </si>
  <si>
    <t>J94614</t>
  </si>
  <si>
    <t>J94616</t>
  </si>
  <si>
    <t>J94617</t>
  </si>
  <si>
    <t>J94618</t>
  </si>
  <si>
    <t>J94638</t>
  </si>
  <si>
    <t>J94639</t>
  </si>
  <si>
    <t>J94641</t>
  </si>
  <si>
    <t>J94652</t>
  </si>
  <si>
    <t>J94655</t>
  </si>
  <si>
    <t>J94656</t>
  </si>
  <si>
    <t>J94582</t>
  </si>
  <si>
    <t>J94586</t>
  </si>
  <si>
    <t>J947WN</t>
  </si>
  <si>
    <t>J948WN</t>
  </si>
  <si>
    <t>J949WN</t>
  </si>
  <si>
    <t>J951WN</t>
  </si>
  <si>
    <t>J952WN</t>
  </si>
  <si>
    <t>J953WN</t>
  </si>
  <si>
    <t>J955WN</t>
  </si>
  <si>
    <t>J954WN</t>
  </si>
  <si>
    <t>J957WN</t>
  </si>
  <si>
    <t>J956WN</t>
  </si>
  <si>
    <t>J958WN</t>
  </si>
  <si>
    <t>J959SA</t>
  </si>
  <si>
    <t>J959WN</t>
  </si>
  <si>
    <t>J961WN</t>
  </si>
  <si>
    <t>J962WN</t>
  </si>
  <si>
    <t>J960WN</t>
  </si>
  <si>
    <t>J963WN</t>
  </si>
  <si>
    <t>J965SA</t>
  </si>
  <si>
    <t>J965WN</t>
  </si>
  <si>
    <t>J964WN</t>
  </si>
  <si>
    <t>J966WN</t>
  </si>
  <si>
    <t>J967WN</t>
  </si>
  <si>
    <t>J969WN</t>
  </si>
  <si>
    <t>J970WN</t>
  </si>
  <si>
    <t>J971WN</t>
  </si>
  <si>
    <t>J973WN</t>
  </si>
  <si>
    <t>J972WN</t>
  </si>
  <si>
    <t>J974WN</t>
  </si>
  <si>
    <t>J975WN</t>
  </si>
  <si>
    <t>J976WN</t>
  </si>
  <si>
    <t>J978WN</t>
  </si>
  <si>
    <t>J979SA</t>
  </si>
  <si>
    <t>J979WN</t>
  </si>
  <si>
    <t>J980WN</t>
  </si>
  <si>
    <t>J981WN</t>
  </si>
  <si>
    <t>J983WN</t>
  </si>
  <si>
    <t>J982WN</t>
  </si>
  <si>
    <t>J984WN</t>
  </si>
  <si>
    <t>J986WN</t>
  </si>
  <si>
    <t>JB4453</t>
  </si>
  <si>
    <t>JB4461</t>
  </si>
  <si>
    <t>●ﾀｶ印/28-517(100枚*10冊)/札紙 五本結切 御佛前字入</t>
  </si>
  <si>
    <t>ﾀｶ印/OA対応 証書用紙 A4判 ｱﾆﾏﾙ 10枚/10-1700</t>
  </si>
  <si>
    <t>ﾀｶ印/OA対応 証書用紙 A4判 桜 10枚/10-1701</t>
  </si>
  <si>
    <t>ﾀｶ印/OA対応 証書用紙 A4判 ｸﾛｰﾊﾞｰ 10枚/10-1703</t>
  </si>
  <si>
    <t>ﾀｶ印/OA対応 証書用紙 A4判 金桜 10枚/10-1705</t>
  </si>
  <si>
    <t>ﾀｶ印/OA対応 証書用紙 A4判 彩紋 10枚/10-1706</t>
  </si>
  <si>
    <t>ﾀｶ印/OA対応 証書用紙 A4判 ﾙｰﾌﾟ 10枚/10-1707</t>
  </si>
  <si>
    <t>ﾀｶ印/OA対応 証書用紙 A4判 ﾚﾘｰﾌ 5枚/10-1708</t>
  </si>
  <si>
    <t>ﾀｶ印/黄ﾎﾟｽﾀｰ 5号 大 無地 100枚/11-1005</t>
  </si>
  <si>
    <t>ﾀｶ印/包装紙 飛翔 半才判(528×750mm) 50枚/49-1802</t>
  </si>
  <si>
    <t>ｻｻｶﾞﾜ/包装紙 ﾚｯﾄﾞｱｯﾌﾟﾙ 半才判(530×770mm) 50枚</t>
  </si>
  <si>
    <t>ｻｻｶﾞﾜ/包装紙 ﾌﾞﾙｰﾏﾘﾝ 半才判(530×770mm) 50枚</t>
  </si>
  <si>
    <t>ｻｻｶﾞﾜ/包装紙 ﾀﾞｰｸﾁｮｺ 半才判(530×770mm) 50枚</t>
  </si>
  <si>
    <t>ｻｻｶﾞﾜ/ゆびPOP 中 無字 5枚入/13-4115</t>
  </si>
  <si>
    <t>ｻｻｶﾞﾜ/ゆびPOP 中 当店のおすすめ品 5枚入/13-4117</t>
  </si>
  <si>
    <t>ｻｻｶﾞﾜ/ゆびPOP 中 今､売れています! 5枚入/13-4118</t>
  </si>
  <si>
    <t>ｻｻｶﾞﾜ/手書きPOP用ｶｰﾄﾞ 爆発型 無地 5枚入/13-4200</t>
  </si>
  <si>
    <t>ｻｻｶﾞﾜ/ゆびPOP 小 無字 5枚入/13-4230</t>
  </si>
  <si>
    <t>ｻｻｶﾞﾜ/ゆびPOP 小 お買得品! 5枚入/13-4231</t>
  </si>
  <si>
    <t>ｻｻｶﾞﾜ/ゆびPOP 小 当店のおすすめ品! 5枚入/13-4233</t>
  </si>
  <si>
    <t>ｻｻｶﾞﾜ/ゆびPOP ﾌﾟﾗｶｰﾄﾞ ｽﾞﾊﾞﾘお買得! 5枚入/13-4281</t>
  </si>
  <si>
    <t>ｻｻｶﾞﾜ/ゆびPOP ﾌﾟﾗｶｰﾄﾞ 当店おすすめ! 5枚入/13-4282</t>
  </si>
  <si>
    <t>ｻｻｶﾞﾜ/ゆびPOP ﾌﾟﾗｶｰﾄﾞ 今売れてます! 5枚入/13-4283</t>
  </si>
  <si>
    <t>ｻｻｶﾞﾜ/ゆびPOP ﾌﾟﾗｶｰﾄﾞ NEW新商品! 5枚入/13-4284</t>
  </si>
  <si>
    <t>ｻｻｶﾞﾜ/ゆびPOP ﾌﾟﾗｶｰﾄﾞ 限定! 5枚入/13-4286</t>
  </si>
  <si>
    <t>ﾀｶ印/包装紙 佛事用 ｸﾗｲｽ 半才判(528×750mm) 50枚</t>
  </si>
  <si>
    <t>ﾀｶ印/包装紙 楽園 半才判(528×750mm) 50枚/49-1507</t>
  </si>
  <si>
    <t>ﾀｶ印/抽選箱 小 黒/37-7910</t>
  </si>
  <si>
    <t>ﾀｶ印/抽選箱 小 金/37-7907</t>
  </si>
  <si>
    <t>ﾀｶ印/抽選箱 小 銀/37-7908</t>
  </si>
  <si>
    <t>ﾀｶ印/抽選箱 LUCKYBOX/37-7912</t>
  </si>
  <si>
    <t>ﾀｶ印/抽選箱 招き猫(窓付)/37-7909</t>
  </si>
  <si>
    <t>ﾀｶ印/抽せん箱 ﾗｯｷｰﾎﾞｯｸｽ/37-7901</t>
  </si>
  <si>
    <t>ﾀｶ印/抽せん箱 おたのしみ抽せん箱/37-7902</t>
  </si>
  <si>
    <t>ﾀｶ印/包装紙 薄葉紙 ｱｲﾎﾞﾘｰ 半才判(545×788mm) 200枚</t>
  </si>
  <si>
    <t>ﾀｶ印/包装紙 薄葉紙 ﾋﾟﾝｸ 半才判(545×788mm) 200枚</t>
  </si>
  <si>
    <t>ﾀｶ印/包装紙 薄葉紙 ﾌﾞﾙｰ 半才判(545×788mm) 200枚</t>
  </si>
  <si>
    <t>ﾀｶ印/包装紙 薄葉紙 ﾗｲﾄｸﾞﾘｰﾝ 半才(545×788mm) 200枚</t>
  </si>
  <si>
    <t>ﾀｶ印/包装紙 薄葉紙 ﾊﾞｲｵﾚｯﾄ 半才判(545×788mm)200枚</t>
  </si>
  <si>
    <t>ﾀｶ印/家賃通(1年用)/9-30</t>
  </si>
  <si>
    <t>ﾀｶ印/提札ｶﾗｰﾐｼﾝ目入り 40×32mm 黄 500枚/18122</t>
  </si>
  <si>
    <t>ﾀｶ印/提札ｶﾗｰﾐｼﾝ目入り 40×32mm 白 500枚/18132</t>
  </si>
  <si>
    <t>●ﾀｶ印/28-82(100枚入*5冊)/のし 札紙｢命名｣</t>
  </si>
  <si>
    <t>ﾀｶ印/大入袋 千型 10枚入×20袋/5-1608</t>
  </si>
  <si>
    <t>ﾀｶ印/札紙 花結び 無字 100枚×10冊/28-508</t>
  </si>
  <si>
    <t>ﾀｶ印/手提げﾊﾞｯｸﾞ ﾌﾞﾗｲﾄ ｼｺﾝ/50-6424</t>
  </si>
  <si>
    <t>ﾀｶ印/手提げﾊﾞｯｸﾞ ﾌﾞﾗｲﾄ ｼｺﾝ/50-6524</t>
  </si>
  <si>
    <t>ﾀｶ印/多当のし袋 御花料/6-5095</t>
  </si>
  <si>
    <t>ﾀｶ印/金領収 1枚もの (1年用) 100枚入/9-31</t>
  </si>
  <si>
    <t>ﾀｶ印/ﾎﾟｽﾀｰ 2号 黄 100枚/11-1002</t>
  </si>
  <si>
    <t>ｻｻｶﾞﾜ/OA対応ｼｰﾙ札紙A4 御中元 5片×20ｼｰﾄ/24-1921</t>
  </si>
  <si>
    <t>ﾀｶ印/ｽｲﾝｸﾞPOP ゆらりん 1g用 10枚/37-530</t>
  </si>
  <si>
    <t>ﾀｶ印/ｽｲﾝｸﾞPOP ゆらりん 2g用 10枚/37-531</t>
  </si>
  <si>
    <t>ﾀｶ印/包装紙 薄葉紙 白 全判(788×1091mm) 200枚</t>
  </si>
  <si>
    <t>ﾀｶ印/ﾎﾟｽﾀｰ 6号 黄 100枚/11-1006</t>
  </si>
  <si>
    <t>ﾀｶ印/ﾎﾟｽﾀｰ 1号 黄 100枚/11-1001</t>
  </si>
  <si>
    <t>ﾀｶ印/抽選箱 小 白/37-7906</t>
  </si>
  <si>
    <t>ﾀｶ印/包装紙 薄葉紙 白 半才判(545×788mm) 200枚</t>
  </si>
  <si>
    <t>ﾀｶ印/ﾎﾟｽﾀｰ 3号 黄 100枚/11-1003</t>
  </si>
  <si>
    <t>ﾀｶ印/ﾎﾟｽﾀｰ 4号 黄 100枚/11-1004</t>
  </si>
  <si>
    <t>ｻｻｶﾞﾜ/ｼｮｰｶｰﾄﾞ 大 ｱﾐ目入 無字 50枚/17-5308</t>
  </si>
  <si>
    <t>ｻｻｶﾞﾜ/ｷﾞﾌﾄｼｰﾙ For You 赤 16片/22-917</t>
  </si>
  <si>
    <t>ｻｻｶﾞﾜ/包装紙 ﾌﾗｰﾙﾘﾎﾞﾝ銀 半才判 50枚/49-1805</t>
  </si>
  <si>
    <t>ｻｻｶﾞﾜ/包装紙 ﾚﾃﾞｨﾛｰｽﾞ 全判 50枚/49-2501</t>
  </si>
  <si>
    <t>ﾀｶ印/ｼｮｰｶｰﾄﾞ 大 ﾋﾟﾝｸ枠 \入り 50枚/17-5347</t>
  </si>
  <si>
    <t>ﾀｶ印/ｼｮｰｶｰﾄﾞ 大 ﾌﾞﾙｰ枠 \入り 50枚/17-5349</t>
  </si>
  <si>
    <t>ﾀｶ印/ｼｮｰｶｰﾄﾞ 中 ﾋﾟﾝｸ枠 \入り 50枚/17-5247</t>
  </si>
  <si>
    <t>ﾀｶ印/ｼｮｰｶｰﾄﾞ 中 ﾌﾞﾙｰ枠 \入り 50枚/17-5249</t>
  </si>
  <si>
    <t>ﾀｶ印/ｼｮｰｶｰﾄﾞ 小 ﾋﾟﾝｸ枠 \入り 50枚/17-5147</t>
  </si>
  <si>
    <t>ﾀｶ印/ｼｮｰｶｰﾄﾞ 小 ﾌﾞﾙｰ枠 \入り 50枚/17-5149</t>
  </si>
  <si>
    <t>ﾀｶ印/OA対応ｼｰﾙ札紙 無字 A5 5片×20ｼｰﾄ/24-1910</t>
  </si>
  <si>
    <t>ｻｻｶﾞﾜ/ｱﾄﾞﾃｰﾌﾟ ｸﾘｽﾏｽ/21-61</t>
  </si>
  <si>
    <t>ｻｻｶﾞﾜ/ｱﾄﾞﾃｰﾌﾟ Merry Christmas/21-89</t>
  </si>
  <si>
    <t>ｻｻｶﾞﾜ/包装紙 ｸﾜﾄﾞﾗｰﾄﾞ 半才判/49-3023</t>
  </si>
  <si>
    <t>ｻｻｶﾞﾜ/包装紙 ﾘﾄﾙｻﾝﾀ緑 半才判/49-3062</t>
  </si>
  <si>
    <t>ｻｻｶﾞﾜ/包装紙 ﾈｰｼﾞｭ赤 半才判/49-3025</t>
  </si>
  <si>
    <t>ｻｻｶﾞﾜ/包装紙10枚ﾛｰﾙｸﾜﾄﾞﾗｰﾄﾞ半才判/49-3558</t>
  </si>
  <si>
    <t>ｻｻｶﾞﾜ/包装紙10枚ﾛｰﾙ ﾎｰﾘｰﾃﾞｺ 半才判/49-3624</t>
  </si>
  <si>
    <t>ｻｻｶﾞﾜ/包装紙10枚ﾛｰﾙ ﾈｰｼﾞｭ緑 半才判/49-3626</t>
  </si>
  <si>
    <t>ｻｻｶﾞﾜ/包装紙10枚ﾛｰﾙ ﾘﾄﾙｻﾝﾀ緑 半才判/49-3662</t>
  </si>
  <si>
    <t>ｻｻｶﾞﾜ/包装紙 ﾘﾄﾙｻﾝﾀ赤 全判/49-4061</t>
  </si>
  <si>
    <t>ｻｻｶﾞﾜ/包装紙10枚ﾛｰﾙｸﾜﾄﾞﾗｰﾄﾞ全判/49-4558</t>
  </si>
  <si>
    <t>ｻｻｶﾞﾜ/包装紙10枚ﾛｰﾙ ﾘﾄﾙｻﾝﾀ赤 半才判/49-3661</t>
  </si>
  <si>
    <t>ｻｻｶﾞﾜ/包装紙10枚ﾛｰﾙ ﾘﾄﾙｻﾝﾀ赤 全判/49-4661</t>
  </si>
  <si>
    <t>ｻｻｶﾞﾜ/三角くじ 小槌 手貼り 等級なし 1200枚入/5-450</t>
  </si>
  <si>
    <t>ｻｻｶﾞﾜ/包装紙10枚ﾛｰﾙ ﾘﾄﾙｻﾝﾀ緑 全判/49-4662</t>
  </si>
  <si>
    <t>ｻｻｶﾞﾜ/ﾃﾞｻﾞｲﾝくじ ｴﾚｶﾞﾝｽ 100枚入り/5-816</t>
  </si>
  <si>
    <t>ｻｻｶﾞﾜ/抽選球 直径12mm ﾋﾟﾝｸ 10個/37-7801</t>
  </si>
  <si>
    <t>ｻｻｶﾞﾜ/ﾃﾞｻﾞｲﾝくじ 小槌(こづち)100枚/5-810</t>
  </si>
  <si>
    <t>ｻｻｶﾞﾜ/抽選球 直径12mm 赤 10個/37-7802</t>
  </si>
  <si>
    <t>ｻｻｶﾞﾜ/抽選球 直径12mm 水 10個/37-7803</t>
  </si>
  <si>
    <t>ｻｻｶﾞﾜ/ﾃﾞｻﾞｲﾝくじ ﾗｯｷｰﾁｬﾝｽ 100枚/5-811</t>
  </si>
  <si>
    <t>ｻｻｶﾞﾜ/ﾃﾞｻﾞｲﾝくじ ｱﾆﾏﾙ 100枚入り/5-813</t>
  </si>
  <si>
    <t>ｻｻｶﾞﾜ/抽選球 直径12mm 紺 10個/37-7804</t>
  </si>
  <si>
    <t>ｻｻｶﾞﾜ/抽選球 直径12mm 緑 10個/37-7805</t>
  </si>
  <si>
    <t>ｻｻｶﾞﾜ/抽選球 直径12mm ｵﾚﾝｼﾞ 10個/37-7806</t>
  </si>
  <si>
    <t>ｻｻｶﾞﾜ/抽選球 直径12mm 黒 10個/37-7807</t>
  </si>
  <si>
    <t>ｻｻｶﾞﾜ/抽選球 直径12mm 金/37-7818</t>
  </si>
  <si>
    <t>ｻｻｶﾞﾜ/抽選球 直径12mm 銀/37-7819</t>
  </si>
  <si>
    <t>ｻｻｶﾞﾜ/斜め型抽選箱 LUCKY BOX/37-7915</t>
  </si>
  <si>
    <t>ｻｻｶﾞﾜ/抽選箱用 目隠しｰと 大/37-7917</t>
  </si>
  <si>
    <t>ｻｻｶﾞﾜ/削りｶｽの出ないｽｸﾗｯﾁくじ 特賞 25枚/44-2010</t>
  </si>
  <si>
    <t>ｻｻｶﾞﾜ/削りｶｽの出ないｽｸﾗｯﾁくじ 2等 25枚/44-2012</t>
  </si>
  <si>
    <t>ｻｻｶﾞﾜ/抽選球 直径12mm 黄 10個/37-7812</t>
  </si>
  <si>
    <t>ｻｻｶﾞﾜ/削りｶｽの出ないｽｸﾗｯﾁくじ 5等 25枚/44-2015</t>
  </si>
  <si>
    <t>ｻｻｶﾞﾜ/削りｶｽの出ないｽｸﾗｯﾁくじ 当り 25枚/44-2016</t>
  </si>
  <si>
    <t>ｻｻｶﾞﾜ/削りｶｽの出ないｽｸﾗｯﾁくじ 残念 25枚/44-2018</t>
  </si>
  <si>
    <t>ｻｻｶﾞﾜ/削りｶｽの出ないｽｸﾗｯﾁくじ 4等 25枚/44-2014</t>
  </si>
  <si>
    <t>ｻｻｶﾞﾜ/ｸﾘｴｲﾃｨﾌﾞｶｰﾄﾞ 名刺ｻｲｽﾞ ｸﾗﾌﾄ 30枚×5冊/16-3001</t>
  </si>
  <si>
    <t>ｻｻｶﾞﾜ/ｸﾘｴｲﾃｨﾌﾞｶｰﾄﾞ 名刺ｻｲｽﾞ ﾎﾞﾙﾄﾞｰ 30枚×5/16-3005</t>
  </si>
  <si>
    <t>ｻｻｶﾞﾜ/ｸﾘｴｲﾃｨﾌﾞｶｰﾄﾞ はがき ﾎﾞﾙﾄ 20枚×5冊/16-3055</t>
  </si>
  <si>
    <t>ｻｻｶﾞﾜ/ｸﾘｴｲﾃｨﾌﾞｶｰﾄﾞ 名刺ｻｲｽﾞ ｵﾘｰﾌﾞ 30枚×5/16-3006</t>
  </si>
  <si>
    <t>ｻｻｶﾞﾜ/ｸﾘｴｲﾃｨﾌﾞｶｰﾄﾞ 名刺ｻｲｽﾞ ｲﾝﾃﾞｨ 30枚×5/16-3007</t>
  </si>
  <si>
    <t>ｻｻｶﾞﾜ/ｸﾘｴｲﾃｨﾌﾞｶｰﾄﾞ 名刺ｻｲｽﾞ ﾌﾞﾗｯｸ 30枚×5/16-3008</t>
  </si>
  <si>
    <t>ｻｻｶﾞﾜ/ｸﾘｴｲﾃｨﾌﾞｶｰﾄﾞ はがき ｸﾗﾌﾄ 20枚×5冊/16-3051</t>
  </si>
  <si>
    <t>ｻｻｶﾞﾜ/ｸﾘｴｲﾃｨﾌﾞｶｰﾄﾞ はがき ﾌﾞﾗｯｸ 20枚×5冊/16-3058</t>
  </si>
  <si>
    <t>ｻｻｶﾞﾜ/芳名帳 紙表紙 7行罫 草/31-131</t>
  </si>
  <si>
    <t>ｻｻｶﾞﾜ/糸付き提札 S 白 50枚×5冊/19-1750</t>
  </si>
  <si>
    <t>ｻｻｶﾞﾜ/芳名帳 紙表紙 7行罫 桃/31-132</t>
  </si>
  <si>
    <t>ｻｻｶﾞﾜ/糸付き提札 M 白 50枚×5冊/19-1751</t>
  </si>
  <si>
    <t>ｻｻｶﾞﾜ/芳名帳 紙表紙 7行罫 茶/31-133</t>
  </si>
  <si>
    <t>ｻｻｶﾞﾜ/ｸﾘｴｲﾃｨﾌﾞｶｰﾄﾞ はがき ｵﾘｰﾌ 20枚×5冊/16-3056</t>
  </si>
  <si>
    <t>ｻｻｶﾞﾜ/糸付き提札 丸型 白 50枚×5冊/19-1752</t>
  </si>
  <si>
    <t>ｻｻｶﾞﾜ/芳名帳 紙表紙 郵便番号枠付き 5行罫 草/31-141</t>
  </si>
  <si>
    <t>ｻｻｶﾞﾜ/糸付き提札 S ﾍﾞｰｼﾞｭ 50枚×5冊/19-1754</t>
  </si>
  <si>
    <t>ｻｻｶﾞﾜ/芳名帳 紙表紙 郵便番号枠付き 5行罫 桃/31-142</t>
  </si>
  <si>
    <t>ｻｻｶﾞﾜ/糸付き提札 M ﾍﾞｰｼﾞｭ 50枚×5冊/19-1755</t>
  </si>
  <si>
    <t>ｻｻｶﾞﾜ/芳名帳 紙表紙 郵便番号枠付き 5行罫 茶/31-143</t>
  </si>
  <si>
    <t>ｻｻｶﾞﾜ/ﾋﾟｱｽ･ｲﾔﾘﾝｸﾞ台紙 ﾌﾞﾗｯｸ 名刺 20枚×5冊/19-2400</t>
  </si>
  <si>
    <t>ｻｻｶﾞﾜ/ﾋﾟｱｽ･ｲﾔﾘﾝｸﾞ台紙 ﾎﾜｲﾄ 名刺 20枚×5冊/19-2402</t>
  </si>
  <si>
    <t>ｻｻｶﾞﾜ/ｸﾘｴｲﾃｨﾌﾞｶｰﾄﾞ はがき ｲﾝﾃﾞ 20枚×5冊/16-3057</t>
  </si>
  <si>
    <t>ｻｻｶﾞﾜ/ﾋﾟｱｽ･ｲﾔﾘﾝｸﾞ台紙 ﾌﾞﾗｯｸ 丸型 20枚×5冊/19-2410</t>
  </si>
  <si>
    <t>ｻｻｶﾞﾜ/ﾋﾟｱｽ･ｲﾔﾘﾝｸﾞ台紙 ﾎﾜｲﾄ 丸型 20枚×5冊/19-2412</t>
  </si>
  <si>
    <t>ｻｻｶﾞﾜ/御集印帳 うるし紙 黒/31-1023</t>
  </si>
  <si>
    <t>ｻｻｶﾞﾜ/御集印帳 うるし紙 赤/31-1024</t>
  </si>
  <si>
    <t>ｻｻｶﾞﾜ/御集印帳 うるし紙 茶/31-1025</t>
  </si>
  <si>
    <t>ｻｻｶﾞﾜ/ｷﾞﾌﾄｼｰﾙ 楕円 透明 小 120片×5冊/22-991</t>
  </si>
  <si>
    <t>ｻｻｶﾞﾜ/ｷﾞﾌﾄｼｰﾙ 楕円 透明 大 64片×5冊/22-992</t>
  </si>
  <si>
    <t>ｻｻｶﾞﾜ/固定用透明ｼｰﾙ ﾒｶﾞﾈ型 100片×10冊/20-588</t>
  </si>
  <si>
    <t>ｻｻｶﾞﾜ/貼ってはがせるｸﾗﾌﾄ値札 長型280片×10/20-1500</t>
  </si>
  <si>
    <t>ｻｻｶﾞﾜ/ｱｸﾘﾙﾌﾞﾛｯｸ B7/32-9513</t>
  </si>
  <si>
    <t>ｻｻｶﾞﾜ/ｱｸﾘﾙﾌﾞﾛｯｸ A7/32-9514</t>
  </si>
  <si>
    <t>ｻｻｶﾞﾜ/ｱｸﾘﾙﾌﾞﾛｯｸ B7 1/2/32-9515</t>
  </si>
  <si>
    <t>ｻｻｶﾞﾜ/ｱｸﾘﾙﾌﾞﾛｯｸ 名刺ｻｲｽﾞ/32-9516</t>
  </si>
  <si>
    <t>ｻｻｶﾞﾜ/ｱｸﾘﾙﾌﾞﾛｯｸ A8/32-9517</t>
  </si>
  <si>
    <t>ｻｻｶﾞﾜ/ｱｸﾘﾙﾌﾞﾛｯｸ A9/32-9518</t>
  </si>
  <si>
    <t>ｻｻｶﾞﾜ/ｱｸﾘﾙﾌﾞﾛｯｸ ﾛﾝｸﾞﾐﾆ/32-9519</t>
  </si>
  <si>
    <t>ﾀｶ印/提札 角丸四角型 花枠 40×32mm 500枚入</t>
  </si>
  <si>
    <t>ｻｻｶﾞﾜ/ｱｸﾘﾙﾌﾞﾛｯｸ ﾐﾆ 5個入/32-9520</t>
  </si>
  <si>
    <t>ｻｻｶﾞﾜ/OAｵﾘｼﾞﾅﾙTAG作成用紙 ｸﾗﾌﾄ L 15ｼｰﾄ入/44-7102</t>
  </si>
  <si>
    <t>ｻｻｶﾞﾜ/OAｵﾘｼﾞﾅﾙTAG作成用紙 ｸﾗﾌﾄ S 15ｼｰﾄ入/44-7152</t>
  </si>
  <si>
    <t>ｻｻｶﾞﾜ/OAﾋﾟｱｽ･ｲﾔﾘﾝｸﾞ専用台紙 ﾎﾜｲﾄ L 15ｼｰﾄ入/44-7601</t>
  </si>
  <si>
    <t>ｻｻｶﾞﾜ/OAﾋﾟｱｽ･ｲﾔﾘﾝｸﾞ専用台紙 ﾎﾜｲﾄ LL 10ｼｰﾄ/44-7641</t>
  </si>
  <si>
    <t>ｻｻｶﾞﾜ/OAﾋﾟｱｽ･ｲﾔﾘﾝｸﾞ専用台紙 ﾎﾜｲﾄ S 15ｼｰﾄ入/44-7651</t>
  </si>
  <si>
    <t>ｻｻｶﾞﾜ/のしﾉｰﾄ ﾊﾟｰﾙ 大 NYANKO/50-9800</t>
  </si>
  <si>
    <t>ｻｻｶﾞﾜ/のしﾉｰﾄ ﾊﾟｰﾙ 小 NYANKO/50-9810</t>
  </si>
  <si>
    <t>ｻｻｶﾞﾜ/のしﾉｰﾄ ﾊﾟｰﾙ 大 KOTORI/50-9801</t>
  </si>
  <si>
    <t>ｻｻｶﾞﾜ/のしﾉｰﾄ ﾊﾟｰﾙ 小 KOTORI/50-9811</t>
  </si>
  <si>
    <t>ｻｻｶﾞﾜ/OA辞令用紙 三重枠 A4 20枚/9-1401</t>
  </si>
  <si>
    <t>ｻｻｶﾞﾜ/OA辞令用紙 三重枠 A4 箱入 100枚/9-402</t>
  </si>
  <si>
    <t>ｻｻｶﾞﾜ/OA辞令用紙 三重枠 B5 箱入 100枚/9-403</t>
  </si>
  <si>
    <t>ｻｻｶﾞﾜ/ﾎﾟﾁ袋 mutsuiro むついろ 万型 美桜 ﾐｵ 2枚</t>
  </si>
  <si>
    <t>ｻｻｶﾞﾜ/ﾎﾟﾁ袋 mutsuiro むついろ 万型 黄華 ｷｯｶ 2枚</t>
  </si>
  <si>
    <t>ｻｻｶﾞﾜ/ﾎﾟﾁ袋 mutsuiro むついろ 万型 心緑 ｺｺﾐ 2枚</t>
  </si>
  <si>
    <t>ｻｻｶﾞﾜ/ﾎﾟﾁ袋 mutsuiro むついろ 万型 藤佳 ﾄｳｶ 2枚</t>
  </si>
  <si>
    <t>ｻｻｶﾞﾜ/ﾎﾟﾁ袋 mutsuiro むついろ 万型 蒼空 ｱｵｲ 2枚</t>
  </si>
  <si>
    <t>ｻｻｶﾞﾜ/ﾎﾟﾁ袋 mutsuiro むついろ 万型 白乃 ｼﾛﾉ 2枚</t>
  </si>
  <si>
    <t>ｻｻｶﾞﾜ/のしﾉｰﾄ ﾊﾟｰﾙ 大 MESSAGE/50-9802</t>
  </si>
  <si>
    <t>ｻｻｶﾞﾜ/のしﾉｰﾄ ﾊﾟｰﾙ 小 MESSAGE/50-9812</t>
  </si>
  <si>
    <t>ｻｻｶﾞﾜ/のしﾉｰﾄ ﾊﾟｰﾙ 大 OSHIKATSU/50-9803</t>
  </si>
  <si>
    <t>ｻｻｶﾞﾜ/のしﾉｰﾄ ﾊﾟｰﾙ 小 OSHIKATSU/50-9813</t>
  </si>
  <si>
    <t>ｻｻｶﾞﾜ/包装紙10枚ﾛｰﾙ ﾙｰｼﾞｭ 半才判/49-7220</t>
  </si>
  <si>
    <t>ｻｻｶﾞﾜ/包装紙10枚ﾛｰﾙ ﾏﾘﾝ 半才判/49-7221</t>
  </si>
  <si>
    <t>ｻｻｶﾞﾜ/包装紙10枚ﾛｰﾙ ｴﾒﾗﾙﾄﾞ 半才判/49-7222</t>
  </si>
  <si>
    <t>ｻｻｶﾞﾜ/包装紙10枚ﾛｰﾙ ﾀｰﾀﾝﾁｪｯｸR ﾚｯﾄﾞ 半才判/49-7256</t>
  </si>
  <si>
    <t>ｻｻｶﾞﾜ/包装紙10枚ﾛｰﾙ ﾀｰﾀﾝﾁｪｯｸB ﾌﾞﾙｰ 半才判/49-7257</t>
  </si>
  <si>
    <t>ｻｻｶﾞﾜ/包装紙10枚ﾛｰﾙ ｶﾝﾄﾘｰﾍﾞｱ 半才判/49-7350</t>
  </si>
  <si>
    <t>ｻｻｶﾞﾜ/包装紙10枚ﾛｰﾙ ﾌﾟﾃｨﾌﾙｰﾙ 半才判/49-7554</t>
  </si>
  <si>
    <t>ｻｻｶﾞﾜ/包装紙10枚ﾛｰﾙ 楽園 半才判/49-7557</t>
  </si>
  <si>
    <t>ｻｻｶﾞﾜ/包装紙10枚ﾛｰﾙ ｱﾆﾏﾙｽﾀﾃﾞｨ 半才判/49-7521</t>
  </si>
  <si>
    <t>ｻｻｶﾞﾜ/包装紙10枚ﾛｰﾙ ｱﾓｰﾙ 半才判/49-7552</t>
  </si>
  <si>
    <t>ｻｻｶﾞﾜ/包装紙10枚ﾛｰﾙ ﾊｯﾋﾟｰｸﾛｰﾊﾞｰ 半才判/49-7564</t>
  </si>
  <si>
    <t>ｻｻｶﾞﾜ/包装紙10枚ﾛｰﾙ ﾀｲﾑｽﾞﾌﾗﾜｰ 半才判/49-7569</t>
  </si>
  <si>
    <t>ｻｻｶﾞﾜ/包装紙10枚ﾛｰﾙ ﾌﾗﾜｰﾘﾝｸ 半才判/49-7585</t>
  </si>
  <si>
    <t>ｻｻｶﾞﾜ/包装紙10枚ﾛｰﾙ 祝い梅 半才判/49-7772</t>
  </si>
  <si>
    <t>ｻｻｶﾞﾜ/包装紙10枚ﾛｰﾙ ｸﾗｲｽ 半才判/49-7856</t>
  </si>
  <si>
    <t>ｻｻｶﾞﾜ/包装紙10枚ﾛｰﾙ 菊凪 半才判/49-7858</t>
  </si>
  <si>
    <t>ｻｻｶﾞﾜ/包装紙10枚ﾛｰﾙ 飛翔 半才判/49-7852</t>
  </si>
  <si>
    <t>ｻｻｶﾞﾜ/包装紙10枚ﾛｰﾙ ﾚﾌｨﾅｰﾄﾞ 半才判/49-7905</t>
  </si>
  <si>
    <t>ｻｻｶﾞﾜ/包装紙10枚ﾛｰﾙ ﾙｰｼﾞｭ 全判/49-8220</t>
  </si>
  <si>
    <t>ｻｻｶﾞﾜ/包装紙10枚ﾛｰﾙ ﾏﾘﾝ 全判/49-8221</t>
  </si>
  <si>
    <t>ｻｻｶﾞﾜ/包装紙10枚ﾛｰﾙ ｴﾒﾗﾙﾄﾞ 全判/49-8222</t>
  </si>
  <si>
    <t>ｻｻｶﾞﾜ/包装紙10枚ﾛｰﾙ ｱﾓｰﾙ 全判/49-8552</t>
  </si>
  <si>
    <t>ｻｻｶﾞﾜ/包装紙10枚ﾛｰﾙ 楽園 全判/49-8557</t>
  </si>
  <si>
    <t>ｻｻｶﾞﾜ/包装紙10枚ﾛｰﾙ ﾊｯﾋﾟｰｸﾛｰﾊﾞｰ 全判/49-8564</t>
  </si>
  <si>
    <t>ｻｻｶﾞﾜ/包装紙10枚ﾛｰﾙ ﾐﾙﾄﾌﾞﾙｰ 半才判/49-7903</t>
  </si>
  <si>
    <t>ｻｻｶﾞﾜ/包装紙10枚ﾛｰﾙ ﾌﾗｰﾙﾘﾎﾞﾝ銀 全判/49-8855</t>
  </si>
  <si>
    <t>ｻｻｶﾞﾜ/包装紙10枚ﾛｰﾙ ﾐﾙﾄﾌﾞﾙｰ 全判/49-8903</t>
  </si>
  <si>
    <t>ｻｻｶﾞﾜ/包装紙10枚ﾛｰﾙ ﾚﾌｨﾅｰﾄﾞ 全判/49-8905</t>
  </si>
  <si>
    <t>ｻｻｶﾞﾜ/包装紙10枚ﾛｰﾙ 飛翔 全判/49-8852</t>
  </si>
  <si>
    <t>ｻｻｶﾞﾜ/手提げ袋 ﾋﾟﾝｸ 240×140×270mm 5枚/50-6041</t>
  </si>
  <si>
    <t>ｻｻｶﾞﾜ/平袋 未晒 245×220mm 100枚/50-1420</t>
  </si>
  <si>
    <t>ｻｻｶﾞﾜ/平袋 未晒 290×270mm 100枚/50-1421</t>
  </si>
  <si>
    <t>ｻｻｶﾞﾜ/手提げ袋 ﾌﾞﾙｰ 240×140×270mm 5枚/50-6042</t>
  </si>
  <si>
    <t>ｻｻｶﾞﾜ/手提げ袋 ｱｰﾓﾝﾄﾞ 240×140×270mm 5枚/50-6043</t>
  </si>
  <si>
    <t>ｻｻｶﾞﾜ/ﾌﾗｲﾄﾞﾎﾟﾃﾄ用耐油袋 茶無地 100枚/50-3890</t>
  </si>
  <si>
    <t>ｻｻｶﾞﾜ/食品対応袋 耐油 S 100枚/50-3895</t>
  </si>
  <si>
    <t>ｻｻｶﾞﾜ/手提げ袋 ﾓｶ 240×140×270mm 5枚/50-6044</t>
  </si>
  <si>
    <t>ｻｻｶﾞﾜ/手提げ袋 ｵﾘｰﾌﾞ 240×140×270mm 5枚/50-6045</t>
  </si>
  <si>
    <t>ｻｻｶﾞﾜ/食品対応袋 耐油 M ﾐｼﾝ目入 100枚/50-3896</t>
  </si>
  <si>
    <t>ｻｻｶﾞﾜ/食品対応袋 耐油 L 100枚/50-3897</t>
  </si>
  <si>
    <t>ｻｻｶﾞﾜ/のしﾉｰﾄ ﾊﾟｰﾙ 大 HINATA/50-9768</t>
  </si>
  <si>
    <t>ｻｻｶﾞﾜ/のしﾉｰﾄ ﾊﾟｰﾙ 大 TSUMUGI/50-9769</t>
  </si>
  <si>
    <t>ｻｻｶﾞﾜ/のしﾉｰﾄ ﾊﾟｰﾙ 小 TSUMUGI/50-9779</t>
  </si>
  <si>
    <t>ｻｻｶﾞﾜ/食品対応袋 耐油 LL 100枚/50-3898</t>
  </si>
  <si>
    <t>ｻｻｶﾞﾜ/のしふせん ｶﾞｰﾃﾞﾝ/22-5003</t>
  </si>
  <si>
    <t>ｻｻｶﾞﾜ/のしふせん 梅乃花/22-5000</t>
  </si>
  <si>
    <t>ｻｻｶﾞﾜ/のしふせん ﾐﾓｻﾞ/22-5004</t>
  </si>
  <si>
    <t>ｻｻｶﾞﾜ/のしふせん ｸﾞﾘｰﾝ/22-5005</t>
  </si>
  <si>
    <t>ｻｻｶﾞﾜ/注意喚起ｽﾃｯｶｰ 現金支払いのみ/24-549</t>
  </si>
  <si>
    <t>ｻｻｶﾞﾜ/注意喚起ｽﾃｯｶｰ お静かに/24-552</t>
  </si>
  <si>
    <t>ｻｻｶﾞﾜ/注意喚起ｽﾃｯｶｰ 防犯ｶﾒﾗ/24-556</t>
  </si>
  <si>
    <t>ｻｻｶﾞﾜ/のしﾉｰﾄ ﾊﾟｰﾙ 大 MIYABI/50-9760</t>
  </si>
  <si>
    <t>ｻｻｶﾞﾜ/証書用紙 A5判 ｱﾆﾏﾙ 20枚/10-1720</t>
  </si>
  <si>
    <t>ｻｻｶﾞﾜ/のしﾉｰﾄ ﾊﾟｰﾙ 大 KAREN/50-9764</t>
  </si>
  <si>
    <t>ｻｻｶﾞﾜ/のしﾉｰﾄ ﾊﾟｰﾙ 大 IRODORI/50-9765</t>
  </si>
  <si>
    <t>ｻｻｶﾞﾜ/のしﾉｰﾄ ﾊﾟｰﾙ 大 COCOLO/50-9762</t>
  </si>
  <si>
    <t>ｻｻｶﾞﾜ/のしﾉｰﾄ ﾊﾟｰﾙ 大 RETRO MODERN/50-9767</t>
  </si>
  <si>
    <t>ｻｻｶﾞﾜ/のしﾉｰﾄ ﾊﾟｰﾙ 小 MIYABI/50-9770</t>
  </si>
  <si>
    <t>ｻｻｶﾞﾜ/のしﾉｰﾄ ﾊﾟｰﾙ 小 COCOLO/50-9772</t>
  </si>
  <si>
    <t>ｻｻｶﾞﾜ/のしﾉｰﾄ ﾊﾟｰﾙ 小 MODERN/50-9771</t>
  </si>
  <si>
    <t>ｻｻｶﾞﾜ/のしﾉｰﾄ ﾊﾟｰﾙ 小 KAREN/50-9774</t>
  </si>
  <si>
    <t>ｻｻｶﾞﾜ/のしﾉｰﾄ ﾊﾟｰﾙ 小 IRODORI/50-9775</t>
  </si>
  <si>
    <t>ﾀｶ印/手提げﾊﾞｯｸﾞ ﾙｰｼﾞｭ 小 10枚/50-6106</t>
  </si>
  <si>
    <t>ﾀｶ印/手提げﾊﾞｯｸﾞ ﾙｰｼﾞｭ 中 10枚/50-6206</t>
  </si>
  <si>
    <t>ﾀｶ印/手提げﾊﾞｯｸﾞ ﾙｰｼﾞｭ 大 10枚/50-6306</t>
  </si>
  <si>
    <t>ﾀｶ印/手提げﾊﾞｯｸﾞ ﾙｰｼﾞｭ 特大 10枚/50-6406</t>
  </si>
  <si>
    <t>ﾀｶ印/手提げﾊﾞｯｸﾞ ﾏﾘﾝ 小 10枚/50-6107</t>
  </si>
  <si>
    <t>ﾀｶ印/手提げﾊﾞｯｸﾞ ﾏﾘﾝ 中 10枚/50-6207</t>
  </si>
  <si>
    <t>ﾀｶ印/手提げﾊﾞｯｸﾞ ﾏﾘﾝ 大 10枚/50-6307</t>
  </si>
  <si>
    <t>ﾀｶ印/手提げﾊﾞｯｸﾞ ﾏﾘﾝ 特大 10枚/50-6407</t>
  </si>
  <si>
    <t>ﾀｶ印/手提げﾊﾞｯｸﾞ ｴﾒﾗﾙﾄﾞ 小 10枚/50-6108</t>
  </si>
  <si>
    <t>ﾀｶ印/手提げﾊﾞｯｸﾞ ｴﾒﾗﾙﾄﾞ 中 10枚/50-6208</t>
  </si>
  <si>
    <t>ﾀｶ印/手提げﾊﾞｯｸﾞ ｴﾒﾗﾙﾄﾞ 大 10枚/50-6308</t>
  </si>
  <si>
    <t>ﾀｶ印/手提げﾊﾞｯｸﾞ ｴﾒﾗﾙﾄﾞ 特大 10枚/50-6408</t>
  </si>
  <si>
    <t>ﾀｶ印/Fｶｰﾄﾞ ﾗﾋﾞｯﾄｱﾘｽ 100枚/16-586</t>
  </si>
  <si>
    <t>ﾀｶ印/Fｶｰﾄﾞ ﾛｰｼﾞｰ 100枚/16-570</t>
  </si>
  <si>
    <t>ﾀｶ印/Fｶｰﾄﾞ ｻﾝｼｬｲﾝ 100枚/16-571</t>
  </si>
  <si>
    <t>ﾀｶ印/Fｶｰﾄﾞ ｸﾞﾘｰﾝﾗﾌﾞ 100枚/16-572</t>
  </si>
  <si>
    <t>ﾀｶ印/Fｶｰﾄﾞ ｶﾗﾌﾙ 100枚/16-573</t>
  </si>
  <si>
    <t>ﾀｶ印/Fｶｰﾄﾞ ﾌｧﾝｼｰｸﾛｰﾊﾞｰ 100枚/16-880</t>
  </si>
  <si>
    <t>ﾀｶ印/Fｶｰﾄﾞ ﾁｪﾘｰﾋﾟﾝｸ 100枚/16-881</t>
  </si>
  <si>
    <t>ﾀｶ印/Fｶｰﾄﾞ ﾌﾗﾜｰﾎﾞﾑ 100枚/16-882</t>
  </si>
  <si>
    <t>ﾀｶ印/Fｶｰﾄﾞ ｶﾗﾌﾙｸﾛｰﾊﾞｰ 100枚/16-883</t>
  </si>
  <si>
    <t>ｻｻｶﾞﾜ/のしﾉｰﾄ ﾊﾟｰﾙ 小 RETRO MODERN/50-9777</t>
  </si>
  <si>
    <t>ﾀｶ印/ｷﾞﾌﾄｼｰﾙ for you 60片/22-2912</t>
  </si>
  <si>
    <t>ﾀｶ印/ｷﾞﾌﾄｼｰﾙ FOR YOU 60片/22-2929</t>
  </si>
  <si>
    <t>ﾀｶ印/ことばｼｰﾙ ありがとうございます 96片/22-2970</t>
  </si>
  <si>
    <t>ﾀｶ印/Fｶｰﾄﾞ ｴﾝｾﾞﾙﾍﾞｱ 100枚/16-884</t>
  </si>
  <si>
    <t>ﾀｶ印/Fｶｰﾄﾞ ｽｳｨｰﾄﾛｰｽﾞ 100枚/16-886</t>
  </si>
  <si>
    <t>ﾀｶ印/ことばｼｰﾙ ほんの気持ちです 96片/22-2971</t>
  </si>
  <si>
    <t>ﾀｶ印/ことばｼｰﾙ おめでとうございます 96片/22-2972</t>
  </si>
  <si>
    <t>ﾀｶ印/Fｶｰﾄﾞ ﾛﾏﾝﾌﾗﾜｰ 100枚/16-887</t>
  </si>
  <si>
    <t>ﾀｶ印/Fｶｰﾄﾞ ｶﾗﾌﾙﾌﾗｯｸﾞ 100枚/16-874</t>
  </si>
  <si>
    <t>ﾀｶ印/ことばｼｰﾙ 感謝の気持ちです 96片/22-2973</t>
  </si>
  <si>
    <t>ﾀｶ印/OA対応ｼｰﾙ札紙 A4 無字 100片/24-1920</t>
  </si>
  <si>
    <t>ﾀｶ印/薄葉紙 白 全判(788×1091mm) 200枚/35-8499</t>
  </si>
  <si>
    <t>ﾀｶ印/包装紙 ﾀｰﾀﾝﾁｪｯｸ R 半才判(528×750mm) 50枚</t>
  </si>
  <si>
    <t>ﾀｶ印/包装紙 ﾀｰﾀﾝﾁｪｯｸ R 全判(757×1060mm) 50枚</t>
  </si>
  <si>
    <t>ﾀｶ印/ｸﾘｱ抽選箱 (透明)/37-7911</t>
  </si>
  <si>
    <t>ﾀｶ印/包装紙 ﾀｰﾀﾝﾁｪｯｸ B 半才判(528×750mm) 50枚</t>
  </si>
  <si>
    <t>ﾀｶ印/包装紙 ﾀｰﾀﾝﾁｪｯｸ B 全判(757×1060mm) 50枚</t>
  </si>
  <si>
    <t>ﾀｶ印/包装紙 ﾌｧﾝﾀｼﾞｱ 半才判(528×750mm) 50枚</t>
  </si>
  <si>
    <t>ﾀｶ印/包装紙 ﾌｧﾝﾀｼﾞｱ 全判(757×1060mm) 50枚/49-2305</t>
  </si>
  <si>
    <t>ﾀｶ印/抽選箱用 目隠しｰと/37-7914</t>
  </si>
  <si>
    <t>ﾀｶ印/大入袋 角型 上質紙 10枚×60冊/5-1606</t>
  </si>
  <si>
    <t>ﾀｶ印/OA辞令用紙 三重枠 20枚×5冊/9-1400</t>
  </si>
  <si>
    <t>ﾀｶ印/ｶｰﾄﾞ立 L型 ﾄｰﾒｲ･ﾍﾟｯﾄ 40×65mm 10個/34-3120</t>
  </si>
  <si>
    <t>ﾀｶ印/ｶｰﾄﾞ立 L型 ﾄｰﾒｲ･ﾍﾟｯﾄ 35×52mm 10個/34-3121</t>
  </si>
  <si>
    <t>ﾀｶ印/ｶｰﾄﾞ立 L型 ﾄｰﾒｲ･ﾍﾟｯﾄ 62×93mm 10個/34-3124</t>
  </si>
  <si>
    <t>ﾀｶ印/ｶｰﾄﾞ立 L型 ﾄｰﾒｲ･ﾍﾟｯﾄ 65×95mm 10個/34-3320</t>
  </si>
  <si>
    <t>ﾀｶ印/ｶｰﾄﾞ立 L型 ｱｸﾘﾙ･ﾄｰﾒｲ 40×65mm 20個/34-3514</t>
  </si>
  <si>
    <t>ﾀｶ印/ｶｰﾄﾞ立 L型 ｱｸﾘﾙ･ﾄｰﾒｲ 55×85mm 20個/34-3524</t>
  </si>
  <si>
    <t>ｻｻｶﾞﾜ/精肉札 部位ﾌﾟﾚｰﾄ大 ﾐｽｼﾞ 100枚/41-10020</t>
  </si>
  <si>
    <t>ｵﾘｼﾞﾅﾙﾜｰｸｽ/組立式 3段飾り棚 ﾎﾜｲﾄ/44-5800</t>
  </si>
  <si>
    <t>ｵﾘｼﾞﾅﾙﾜｰｸｽ/組立式 3段飾り棚 ﾌﾞﾗｳﾝ/44-5802</t>
  </si>
  <si>
    <t>ｵﾘｼﾞﾅﾙﾜｰｸｽ/組立式 ｻﾎﾟｰﾄ台 白/44-5809</t>
  </si>
  <si>
    <t>ｻｻｶﾞﾜ/精肉札 部位ﾌﾟﾚｰﾄ大 ｲﾁﾎﾞ 100枚/41-10021</t>
  </si>
  <si>
    <t>ｻｻｶﾞﾜ/精肉札 部位ﾌﾟﾚｰﾄ大 ﾗﾝﾌﾟ 100枚/41-10022</t>
  </si>
  <si>
    <t>ﾀｶ印/手提げﾊﾞｯｸﾞ ｽﾘﾑ 紺 10枚/50-6832</t>
  </si>
  <si>
    <t>ｻｻｶﾞﾜ/精肉札 部位ﾌﾟﾚｰﾄ大 ｻﾞﾌﾞﾄﾝ 100枚/41-10023</t>
  </si>
  <si>
    <t>ｻｻｶﾞﾜ/精肉札 部位ﾌﾟﾚｰﾄ大 ｼｬﾄｰﾌﾞﾘｱﾝ 100枚/41-10024</t>
  </si>
  <si>
    <t>ﾀｶ印/手提げﾊﾞｯｸﾞ ｽﾘﾑ 赤 10枚/50-6834</t>
  </si>
  <si>
    <t>ﾀｶ印/ｱﾄﾞﾃｰﾌﾟ For you 500片/21-57</t>
  </si>
  <si>
    <t>ﾀｶ印/ｱﾄﾞﾃｰﾌﾟ For You 500片/21-86</t>
  </si>
  <si>
    <t>ﾀｶ印/ｱﾄﾞﾃｰﾌﾟ For You 王冠 500片/21-90</t>
  </si>
  <si>
    <t>ｻｻｶﾞﾜ/精肉札 部位ﾌﾟﾚｰﾄ大 三角ﾊﾞﾗ 100枚/41-10025</t>
  </si>
  <si>
    <t>ｻｻｶﾞﾜ/精肉札 部位ﾌﾟﾚｰﾄ大 中落ｶﾙﾋﾞ 100枚/41-10026</t>
  </si>
  <si>
    <t>ﾀｶ印/ｱﾄﾞﾃｰﾌﾟ 金 Especially 500片/21-98</t>
  </si>
  <si>
    <t>ﾀｶ印/ｱﾄﾞﾃｰﾌﾟ 楕円 透明 小(13×25mm) 500片/21-111</t>
  </si>
  <si>
    <t>ﾀｶ印/ｱﾄﾞﾃｰﾌﾟ 楕円 透明 大(18×35mm) 500片/21-112</t>
  </si>
  <si>
    <t>ﾀｶ印/ｱﾄﾞﾃｰﾌﾟ ｸﾛｰﾊﾞｰ 直径35mm 500片/21-107</t>
  </si>
  <si>
    <t>ﾀｶ印/ｱﾄﾞﾃｰﾌﾟ FOR YOU 500片/21-72</t>
  </si>
  <si>
    <t>ﾀｶ印/ｱﾄﾞﾃｰﾌﾟ For You 500片/21-108</t>
  </si>
  <si>
    <t>ﾀｶ印/巾着袋 ﾚｯﾄﾞ 小 50枚/50-3359</t>
  </si>
  <si>
    <t>ｻｻｶﾞﾜ/精肉札 部位ﾌﾟﾚｰﾄ大 ｶｲﾉﾐ 100枚/41-10027</t>
  </si>
  <si>
    <t>ｻｻｶﾞﾜ/精肉札 部位ﾌﾟﾚｰﾄ大 ｻｻﾊﾞﾗ 100枚/41-10028</t>
  </si>
  <si>
    <t>ﾀｶ印/巾着袋 ﾚｯﾄﾞ 中 50枚/50-3459</t>
  </si>
  <si>
    <t>ﾀｶ印/巾着袋 ﾚｯﾄﾞ 大 50枚/50-3559</t>
  </si>
  <si>
    <t>ﾀｶ印/巾着袋 ﾚｯﾄﾞ 特大 50枚/50-3659</t>
  </si>
  <si>
    <t>ﾀｶ印/巾着袋 ﾈｲﾋﾞｰ 小 50枚/50-3360</t>
  </si>
  <si>
    <t>ﾀｶ印/巾着袋 ﾈｲﾋﾞｰ 中 50枚/50-3460</t>
  </si>
  <si>
    <t>ﾀｶ印/巾着袋 ﾈｲﾋﾞｰ 大 50枚/50-3560</t>
  </si>
  <si>
    <t>ｻｻｶﾞﾜ/精肉札 部位ﾌﾟﾚｰﾄ大 ﾄﾓｻﾝｶｸ 100枚/41-10029</t>
  </si>
  <si>
    <t>ｻｻｶﾞﾜ/精肉札 部位ﾌﾟﾚｰﾄ大 ﾛｰｽ 100枚/41-10030</t>
  </si>
  <si>
    <t>ｻｻｶﾞﾜ/精肉札 部位ﾌﾟﾚｰﾄ大 ﾋｳﾁ 100枚/41-10031</t>
  </si>
  <si>
    <t>ｻｻｶﾞﾜ/精肉札 部位ﾌﾟﾚｰﾄ大 黒毛和牛 100枚/41-10032</t>
  </si>
  <si>
    <t>ｻｻｶﾞﾜ/精肉札 部位ﾌﾟﾚｰﾄ大 肩ﾛｰｽ 100枚/41-10035</t>
  </si>
  <si>
    <t>ｻｻｶﾞﾜ/精肉札 部位ﾌﾟﾚｰﾄ大 ﾓﾓ 100枚/41-10036</t>
  </si>
  <si>
    <t>ｻｻｶﾞﾜ/精肉札 部位ﾌﾟﾚｰﾄ大 ﾊﾞﾗ 100枚/41-10037</t>
  </si>
  <si>
    <t>ｻｻｶﾞﾜ/精肉札 部位ﾌﾟﾚｰﾄ大 ｻｰﾛｲﾝ 100枚/41-10038</t>
  </si>
  <si>
    <t>ｻｻｶﾞﾜ/精肉札 部位ﾌﾟﾚｰﾄ小 ｲﾁﾎﾞ 100枚/41-10044</t>
  </si>
  <si>
    <t>ｻｻｶﾞﾜ/精肉札 部位ﾌﾟﾚｰﾄ小 ﾗﾝﾌﾟ 100枚/41-10045</t>
  </si>
  <si>
    <t>ｻｻｶﾞﾜ/精肉札 部位ﾌﾟﾚｰﾄ小 ｻﾞﾌﾞﾄﾝ 100枚/41-10046</t>
  </si>
  <si>
    <t>ｻｻｶﾞﾜ/精肉札 部位ﾌﾟﾚｰﾄ小 ｼｬﾄｰﾌﾞﾘｱﾝ 100枚/41-10047</t>
  </si>
  <si>
    <t>ﾀｶ印/巾着袋 ﾈｲﾋﾞｰ 特大 50枚/50-3660</t>
  </si>
  <si>
    <t>ｻｻｶﾞﾜ/精肉札 部位ﾌﾟﾚｰﾄ大 ｶﾙﾋﾞ 100枚/41-10039</t>
  </si>
  <si>
    <t>ｻｻｶﾞﾜ/精肉札 部位ﾌﾟﾚｰﾄ小 三角ﾊﾞﾗ 100枚/41-10048</t>
  </si>
  <si>
    <t>ｻｻｶﾞﾜ/精肉札 部位ﾌﾟﾚｰﾄ小 中落ｶﾙﾋﾞ 100枚/41-10049</t>
  </si>
  <si>
    <t>ｻｻｶﾞﾜ/精肉札 部位ﾌﾟﾚｰﾄ大 ﾘﾌﾞ芯 100枚/41-10040</t>
  </si>
  <si>
    <t>ｻｻｶﾞﾜ/精肉札 部位ﾌﾟﾚｰﾄ大 ﾊﾈｼﾀ 100枚/41-10041</t>
  </si>
  <si>
    <t>ｻｻｶﾞﾜ/精肉札 部位ﾌﾟﾚｰﾄ小 ｶｲﾉﾐ 100枚/41-10050</t>
  </si>
  <si>
    <t>ｻｻｶﾞﾜ/精肉札 部位ﾌﾟﾚｰﾄ小 ｻｻﾊﾞﾗ 100枚/41-10051</t>
  </si>
  <si>
    <t>ｻｻｶﾞﾜ/精肉札 部位ﾌﾟﾚｰﾄ大 ﾊﾗﾐ 100枚/41-10042</t>
  </si>
  <si>
    <t>ｻｻｶﾞﾜ/精肉札 部位ﾌﾟﾚｰﾄ小 ﾐｽｼﾞ 100枚/41-10043</t>
  </si>
  <si>
    <t>ｻｻｶﾞﾜ/精肉札 部位ﾌﾟﾚｰﾄ小 ﾄﾓｻﾝｶｸ 100枚/41-10052</t>
  </si>
  <si>
    <t>ｻｻｶﾞﾜ/精肉札 部位ﾌﾟﾚｰﾄ小 ﾛｰｽ 100枚/41-10053</t>
  </si>
  <si>
    <t>ｻｻｶﾞﾜ/精肉札 部位ﾌﾟﾚｰﾄ小 ﾋｳﾁ 100枚/41-10054</t>
  </si>
  <si>
    <t>ｻｻｶﾞﾜ/精肉札 部位ﾌﾟﾚｰﾄ小 肩ﾛｰｽ 100枚/41-10055</t>
  </si>
  <si>
    <t>ｻｻｶﾞﾜ/精肉札 部位ﾌﾟﾚｰﾄ小 ﾓﾓ 100枚/41-10056</t>
  </si>
  <si>
    <t>ｻｻｶﾞﾜ/精肉札 部位ﾌﾟﾚｰﾄ小 ﾊﾞﾗ 100枚/41-10057</t>
  </si>
  <si>
    <t>ｻｻｶﾞﾜ/精肉札 部位ﾌﾟﾚｰﾄ小 ﾏﾙｶﾜ 100枚/41-10059</t>
  </si>
  <si>
    <t>ｻｻｶﾞﾜ/精肉札 部位ﾌﾟﾚｰﾄ小 内ﾓﾓ 100枚/41-10061</t>
  </si>
  <si>
    <t>ｻｻｶﾞﾜ/精肉札 部位ﾌﾟﾚｰﾄ小 ﾏﾙｼﾝ 100枚/41-10058</t>
  </si>
  <si>
    <t>ｻｻｶﾞﾜ/精肉札 部位ﾌﾟﾚｰﾄ小 ﾘﾌﾞﾛｰｽ 100枚/41-10067</t>
  </si>
  <si>
    <t>ｻｻｶﾞﾜ/精肉札 部位ﾌﾟﾚｰﾄ小 ｶﾒﾉｺ 100枚/41-10063</t>
  </si>
  <si>
    <t>ｻｻｶﾞﾜ/精肉札 部位ﾌﾟﾚｰﾄ小 ｶﾙﾋﾞ 100枚/41-10064</t>
  </si>
  <si>
    <t>ｻｻｶﾞﾜ/精肉札 部位ﾌﾟﾚｰﾄ小 ﾊﾈｼﾀ 100枚/41-10065</t>
  </si>
  <si>
    <t>ｻｻｶﾞﾜ/精肉札 部位ﾌﾟﾚｰﾄ小 ｻｰﾛｲﾝ 100枚/41-10066</t>
  </si>
  <si>
    <t>ｻｻｶﾞﾜ/食品管理ﾗﾍﾞﾙ ｼｰﾙ 上質C 500枚/41-10204</t>
  </si>
  <si>
    <t>ｻｻｶﾞﾜ/食品管理ﾗﾍﾞﾙ ｼｰﾙ 上質D 500枚/41-10205</t>
  </si>
  <si>
    <t>ｻｻｶﾞﾜ/食品管理ﾗﾍﾞﾙ ｼｰﾙ 上質A 500枚/41-10202</t>
  </si>
  <si>
    <t>ｻｻｶﾞﾜ/食品管理ﾗﾍﾞﾙ ｼｰﾙ 上質B 500枚/41-10203</t>
  </si>
  <si>
    <t>ｻｻｶﾞﾜ/食品管理ﾗﾍﾞﾙ ｼｰﾙ ﾕﾎﾟA 500枚/41-10206</t>
  </si>
  <si>
    <t>ｻｻｶﾞﾜ/食品管理ﾗﾍﾞﾙ ｼｰﾙ ﾕﾎﾟB 500枚/41-10207</t>
  </si>
  <si>
    <t>ｻｻｶﾞﾜ/食品管理ﾗﾍﾞﾙ ｼｰﾙ ﾕﾎﾟC 500枚/41-10208</t>
  </si>
  <si>
    <t>ｻｻｶﾞﾜ/食品管理ﾗﾍﾞﾙ ｼｰﾙ ﾕﾎﾟD 500枚/41-10209</t>
  </si>
  <si>
    <t>ｻｻｶﾞﾜ/食品管理ﾗﾍﾞﾙ ｼｰﾙ 日曜日 500枚/41-10210</t>
  </si>
  <si>
    <t>ｻｻｶﾞﾜ/食品管理ﾗﾍﾞﾙ ｼｰﾙ 月曜日 500枚/41-10211</t>
  </si>
  <si>
    <t>ｻｻｶﾞﾜ/食品管理ﾗﾍﾞﾙ ｼｰﾙ 火曜日 500枚/41-10212</t>
  </si>
  <si>
    <t>ｻｻｶﾞﾜ/食品管理ﾗﾍﾞﾙ ｼｰﾙ 水曜日 500枚/41-10213</t>
  </si>
  <si>
    <t>ｻｻｶﾞﾜ/食品管理ﾗﾍﾞﾙ ｼｰﾙ 木曜日 500枚/41-10214</t>
  </si>
  <si>
    <t>ｻｻｶﾞﾜ/食品管理ﾗﾍﾞﾙ ｼｰﾙ 金曜日 500枚/41-10215</t>
  </si>
  <si>
    <t>ｻｻｶﾞﾜ/食品管理ﾗﾍﾞﾙ ｼｰﾙ 土曜日 500枚/41-10216</t>
  </si>
  <si>
    <t>ｻｻｶﾞﾜ/食品管理ﾗﾍﾞﾙ ｼｰﾙ 上質E 500枚/41-10217</t>
  </si>
  <si>
    <t>ｻｻｶﾞﾜ/食品管理ﾗﾍﾞﾙ ｼｰﾙ ﾕﾎﾟE 500枚/41-10218</t>
  </si>
  <si>
    <t>ｻｻｶﾞﾜ/識別表示ﾗﾍﾞﾙ ｼｰﾙ 紙 2000枚/41-10219</t>
  </si>
  <si>
    <t>ｻｻｶﾞﾜ/識別表示ﾗﾍﾞﾙ ｼｰﾙ ﾌﾟﾗ 2000枚/41-10220</t>
  </si>
  <si>
    <t>ｻｻｶﾞﾜ/食品管理ﾗﾍﾞﾙ ｼｰﾙ 製造年月日 1000枚/41-10232</t>
  </si>
  <si>
    <t>ｻｻｶﾞﾜ/識別表示ﾗﾍﾞﾙ ｼｰﾙ ﾌﾟﾗ 2000枚/41-10224</t>
  </si>
  <si>
    <t>ｻｻｶﾞﾜ/識別表示ﾗﾍﾞﾙ ｼｰﾙ ﾌﾟﾗPP 2000枚/41-10225</t>
  </si>
  <si>
    <t>ｻｻｶﾞﾜ/食品管理ﾗﾍﾞﾙ ｼｰﾙ 調整 500枚/41-10233</t>
  </si>
  <si>
    <t>ｻｻｶﾞﾜ/食品管理ﾗﾍﾞﾙ ｼｰﾙ お願い2時間以内 500枚</t>
  </si>
  <si>
    <t>ｻｻｶﾞﾜ/識別表示ﾗﾍﾞﾙ ｼｰﾙ 紙 2000枚/41-10228</t>
  </si>
  <si>
    <t>ｻｻｶﾞﾜ/透明ｼｰﾙ 楕円 500枚/41-10229</t>
  </si>
  <si>
    <t>ｻｻｶﾞﾜ/食品管理ﾗﾍﾞﾙ ｼｰﾙ お願い 時間以内 500枚</t>
  </si>
  <si>
    <t>ｻｻｶﾞﾜ/透明ｼｰﾙ 長方形 500枚/41-10230</t>
  </si>
  <si>
    <t>ｻｻｶﾞﾜ/食品管理ﾗﾍﾞﾙ ｼｰﾙ 時節柄お早めに 500枚</t>
  </si>
  <si>
    <t>ｻｻｶﾞﾜ/食品管理ﾗﾍﾞﾙ ｼｰﾙ お願い 消費期限 500枚</t>
  </si>
  <si>
    <t>ｻｻｶﾞﾜ/食品管理ﾗﾍﾞﾙ ｼｰﾙ お願い 賞味期限 500枚</t>
  </si>
  <si>
    <t>ｻｻｶﾞﾜ/食品管理ﾗﾍﾞﾙ ｼｰﾙ 消費期限 500枚/41-10240</t>
  </si>
  <si>
    <t>ｻｻｶﾞﾜ/食品管理ﾗﾍﾞﾙ ｼｰﾙ 消費期限 500枚/41-10242</t>
  </si>
  <si>
    <t>ｻｻｶﾞﾜ/食品表示ﾗﾍﾞﾙ ｼｰﾙ 時節柄お早く 500枚</t>
  </si>
  <si>
    <t>ｻｻｶﾞﾜ/食品管理ﾗﾍﾞﾙ ｼｰﾙ 賞味期限 500枚/41-10241</t>
  </si>
  <si>
    <t>ｻｻｶﾞﾜ/食品表示ﾗﾍﾞﾙ ｼｰﾙ 生物ですのでお早く 1000枚</t>
  </si>
  <si>
    <t>G)ﾀｶ印/包装紙 ﾐｯﾄﾞﾅｲﾄﾌﾞﾗｯｸ 半才判(530×770mm) 50枚</t>
  </si>
  <si>
    <t>ﾀｶ印/提札 長型 小物用 白無地 13×26mm 1000枚</t>
  </si>
  <si>
    <t>ﾀｶ印/提札 丸型 小物用 白無地 1000枚/18-106</t>
  </si>
  <si>
    <t>ﾀｶ印/提札 ﾐｼﾝ目入 桃地 小(40×32mm) 500枚/18-120</t>
  </si>
  <si>
    <t>ﾀｶ印/提札 ﾐｼﾝ目入 白 大(57×35mm) 500枚/18-146</t>
  </si>
  <si>
    <t>ﾀｶ印/提札 長型 小物用 白無地 9×25mm 1000枚</t>
  </si>
  <si>
    <t>ﾀｶ印/提札 ﾐｼﾝ目入 白 糸なし 70×38mm 500枚</t>
  </si>
  <si>
    <t>ﾀｶ印/提札 ﾐｼﾝ目入 白 糸なし 57×35mm 500枚</t>
  </si>
  <si>
    <t>ﾀｶ印/包装紙 ｶｰﾃﾞｨｱﾝｸﾞﾚｰ茶 半才判(545×788mm) 50枚</t>
  </si>
  <si>
    <t>ﾀｶ印/提札 長型 ｺﾞｰﾙﾄﾞ 500枚/18-1942</t>
  </si>
  <si>
    <t>ﾀｶ印/提札 ｶﾊﾞﾝ型 小物用 白 1000枚/18-500</t>
  </si>
  <si>
    <t>ﾀｶ印/包装紙 ﾋﾞｱﾁｭｰﾚ 半才判(530×770mm) 50枚</t>
  </si>
  <si>
    <t>ﾀｶ印/包装紙 筋入ﾆｭｰｽﾚﾀｰ 半才判(530×757mm) 50枚</t>
  </si>
  <si>
    <t>ﾀｶ印/提札 ﾐｼﾝ目入 白 四角型 70×38mm 500枚/18-81</t>
  </si>
  <si>
    <t>ﾀｶ印/ﾎﾟｯﾌﾟｼｰﾙ 2割引 500片/22-2202</t>
  </si>
  <si>
    <t>ﾀｶ印/包装紙 ﾆｭｰｽﾍﾟｰﾊﾟｰ 半才判(530×770mm) 50枚</t>
  </si>
  <si>
    <t>ﾀｶ印/包装紙 ｱﾓｰﾙ 半才判(528×750mm) 50枚/49-1502</t>
  </si>
  <si>
    <t>ﾀｶ印/ﾎﾟｯﾌﾟｼｰﾙ 3割引 500片/22-2203</t>
  </si>
  <si>
    <t>ﾀｶ印/ｷﾞﾌﾄｼｰﾙ for you 160片/22-912</t>
  </si>
  <si>
    <t>ﾀｶ印/ｱﾄﾞﾎﾟｯﾌﾟ 要冷蔵 300片×20冊/23-328</t>
  </si>
  <si>
    <t>ﾀｶ印/ｱﾄﾞﾎﾟｯﾌﾟ 値引ｼｰﾙ 半額 150片×20冊/23-614</t>
  </si>
  <si>
    <t>ﾀｶ印/ｼｰﾙ札紙 無字 50片×5冊/24-1900</t>
  </si>
  <si>
    <t>ﾀｶ印/包装紙 ﾌﾟﾃｨﾌﾙｰﾙ 半才判(528×750mm) 50枚</t>
  </si>
  <si>
    <t>ﾀｶ印/包装紙 和ごころ桜 半才判(528×750mm) 50枚</t>
  </si>
  <si>
    <t>ﾀｶ印/包装紙 ﾗﾌﾞﾘｰﾌｫｰ 半才判(528×750mm) 50枚</t>
  </si>
  <si>
    <t>ﾀｶ印/包装紙 ﾌﾗﾜｰﾚﾀｰP 半才判(530×770mm) 50枚</t>
  </si>
  <si>
    <t>ﾀｶ印/ｶｰﾄﾞ立 L型 ﾄｰﾒｲ･ﾍﾟｯﾄ 44×67mm 10個/34-3122</t>
  </si>
  <si>
    <t>ﾀｶ印/ｶｰﾄﾞ立 L型 ﾄｰﾒｲ･ﾍﾟｯﾄ 52×79mm 10個/34-3123</t>
  </si>
  <si>
    <t>ﾀｶ印/ｶｰﾄﾞ立 L型 ﾄｰﾒｲ･ﾍﾟｯﾄ 72×108mm 10個/34-3125</t>
  </si>
  <si>
    <t>ﾀｶ印/包装紙 ﾛﾏﾈｽｸ 半才判(530×757mm) 50枚/49-1560</t>
  </si>
  <si>
    <t>ﾀｶ印/包装紙 ｵﾘﾋﾞｱ 半才判(530×757mm) 50枚/49-1562</t>
  </si>
  <si>
    <t>ﾀｶ印/ｶｰﾄﾞ立 L型 ﾄｰﾒｲ･ﾍﾟｯﾄ 83×122mm 10個/34-3126</t>
  </si>
  <si>
    <t>ﾀｶ印/ｶｰﾄﾞ立 L型 ﾄｰﾒｲ･ﾍﾟｯﾄ 55×85mm 10個/34-3220</t>
  </si>
  <si>
    <t>ﾀｶ印/包装紙 彩流紺 半才判(530×758mm) 50枚</t>
  </si>
  <si>
    <t>ﾀｶ印/包装紙 千代紙合わせ 赤 半才判(530×770mm)50枚</t>
  </si>
  <si>
    <t>ﾀｶ印/手提げ ﾊﾟｰﾙB 大 10枚/35-5721</t>
  </si>
  <si>
    <t>ﾀｶ印/包装紙 千代紙合わせ 紺 半才判(530×770mm)50枚</t>
  </si>
  <si>
    <t>ﾀｶ印/包装紙 菊凪 半才判(528×750mm) 50枚/49-1808</t>
  </si>
  <si>
    <t>ﾀｶ印/包装紙 ﾙｰｼﾞｭ 全判(753×1050mm) 50枚/49-2120</t>
  </si>
  <si>
    <t>ﾀｶ印/包装紙 ﾏﾘﾝ 全判(753×1050mm) 50枚/49-2121</t>
  </si>
  <si>
    <t>ﾀｶ印/包装紙 ﾙｰｼﾞｭ 半才判(525×753mm) 50枚/49-1120</t>
  </si>
  <si>
    <t>ﾀｶ印/包装紙 ﾏﾘﾝ 半才判(525×753mm) 50枚/49-1121</t>
  </si>
  <si>
    <t>ﾀｶ印/包装紙 ｴﾒﾗﾙﾄﾞ 全判(753×1050mm) 50枚/49-2122</t>
  </si>
  <si>
    <t>ﾀｶ印/包装紙 ﾗﾌｸﾗﾌﾄ 全判(757×1060mm) 50枚/49-2123</t>
  </si>
  <si>
    <t>ﾀｶ印/包装紙 ﾗﾌｸﾗﾌﾄ 半才判(530×770mm) 50枚/49-1123</t>
  </si>
  <si>
    <t>ﾀｶ印/包装紙 ｼﾙﾊﾞｰﾗｲﾝ 半才判(530×770mm) 50枚</t>
  </si>
  <si>
    <t>ﾀｶ印/包装紙 ｸﾘｽﾀﾙﾌﾞﾙｰ 全判(753×1050mm) 50枚</t>
  </si>
  <si>
    <t>ﾀｶ印/包装紙 ｱﾓｰﾙ 全判(757×1060mm) 50枚/49-2502</t>
  </si>
  <si>
    <t>ﾀｶ印/包装紙 ﾌﾟﾃｨﾌﾙｰﾙ 全判(757×1060mm) 50枚</t>
  </si>
  <si>
    <t>ﾀｶ印/包装紙 ﾀﾚｲｱ 全判(757×1060mm) 50枚/49-2506</t>
  </si>
  <si>
    <t>ﾀｶ印/包装紙 ﾛﾏﾈｽｸ 全判(757×1058mm) 50枚/49-2560</t>
  </si>
  <si>
    <t>ﾀｶ印/包装紙 ｶﾌﾟﾘｽ 全判(757×1060mm) 50枚/49-2703</t>
  </si>
  <si>
    <t>ﾀｶ印/包装紙 ﾏﾄﾞﾝﾅﾘﾘｰ金 全判(757×1058mm) 50枚</t>
  </si>
  <si>
    <t>ﾀｶ印/包装紙 ｸﾗｲｽ 全判(757×1060mm) 50枚/49-2806</t>
  </si>
  <si>
    <t>ﾀｶ印/包装紙 ﾚﾄﾛｶﾞｰﾘｰ 半才判(528×750mm) 50枚</t>
  </si>
  <si>
    <t>ﾀｶ印/ｷﾞﾌﾄﾊﾞｯｸﾞ 平袋 ﾙｰｼﾞｭ 小(125×160mm) 200枚</t>
  </si>
  <si>
    <t>ﾀｶ印/ｷﾞﾌﾄﾊﾞｯｸﾞ 平袋 ﾏﾘﾝ 小(125×160mm) 200枚</t>
  </si>
  <si>
    <t>ﾀｶ印/ｷﾞﾌﾄﾊﾞｯｸﾞ 平袋 ﾏﾘﾝ 中(180×245mm) 200枚</t>
  </si>
  <si>
    <t>ﾀｶ印/ｷﾞﾌﾄﾊﾞｯｸﾞ 平袋 ﾚｰｽｨ 180×250mm 100枚/50-1512</t>
  </si>
  <si>
    <t>ﾀｶ印/ｷﾞﾌﾄﾊﾞｯｸﾞ 平袋 ｷﾞﾝｶﾞﾑあか 215×290mm 200枚</t>
  </si>
  <si>
    <t>ﾀｶ印/ｷﾞﾌﾄﾊﾞｯｸﾞ 平袋 ｷﾞﾝｶﾞﾑあか 250×330mm 200枚</t>
  </si>
  <si>
    <t>ﾀｶ印/包装紙 ﾙｰｼﾞｭ ﾊﾄﾛﾝ 半才判(590×870mm) 50枚</t>
  </si>
  <si>
    <t>ﾀｶ印/包装紙 ﾏﾘﾝ ﾊﾄﾛﾝ 半才判(590×870mm) 50枚</t>
  </si>
  <si>
    <t>ﾀｶ印/ｷﾞﾌﾄﾊﾞｯｸﾞ 角底袋ｸﾘｽﾀﾙﾌﾞﾙｰ120×60×220mm 100枚</t>
  </si>
  <si>
    <t>ﾀｶ印/ｷﾞﾌﾄﾊﾞｯｸﾞ 角底袋ｸﾘｽﾀﾙﾌﾞﾙｰ145×65×280mm 100枚</t>
  </si>
  <si>
    <t>ﾀｶ印/ｷﾞﾌﾄﾊﾞｯｸﾞ 平袋 ｷﾞﾝｶﾞﾑあか 105×150mm 200枚</t>
  </si>
  <si>
    <t>ﾀｶ印/ｷﾞﾌﾄﾊﾞｯｸﾞ 平袋 ﾌｧﾝｼｰあか 105×150mm 200枚</t>
  </si>
  <si>
    <t>ﾀｶ印/巾着袋 ﾌﾞﾗｳﾝ 中 50枚/50-3461</t>
  </si>
  <si>
    <t>ﾀｶ印/巾着袋 ﾌﾞﾗｳﾝ 大 50枚/50-3561</t>
  </si>
  <si>
    <t>ﾀｶ印/ｷﾞﾌﾄﾊﾞｯｸﾞ 平袋 ｷﾞﾝｶﾞﾑあか 140×180mm 200枚</t>
  </si>
  <si>
    <t>ﾀｶ印/ｷﾞﾌﾄﾊﾞｯｸﾞ 平袋 ﾚｰｽｨ 125×170mm 200枚/50-1312</t>
  </si>
  <si>
    <t>ﾀｶ印/ｲｰｸﾞﾘｯﾌﾟ 未晒 180×105×225mm 50枚/50-3601</t>
  </si>
  <si>
    <t>ﾀｶ印/ｷﾞﾌﾄﾊﾞｯｸﾞ 角底袋ｸﾘｽﾀﾙﾌﾞﾙｰ180×65×340mm 100枚</t>
  </si>
  <si>
    <t>ﾀｶ印/ｿﾌﾄﾊﾞｯｸﾞ 赤 超BIG(750×1000×240mm) 5枚</t>
  </si>
  <si>
    <t>ﾀｶ印/ｿﾌﾄﾊﾞｯｸﾞ 緑 超BIG(750×1000×240mm) 5枚</t>
  </si>
  <si>
    <t>ﾀｶ印/手提げﾊﾞｯｸﾞ 白無地 幅広小 50枚/50-5000</t>
  </si>
  <si>
    <t>ﾀｶ印/手提げﾊﾞｯｸﾞ 白無地 小 50枚/50-5100</t>
  </si>
  <si>
    <t>ﾀｶ印/手提げﾊﾞｯｸﾞ 白無地 特大 50枚/50-5400</t>
  </si>
  <si>
    <t>ﾀｶ印/手提げﾊﾞｯｸﾞ 白無地 特々大 50枚/50-5500</t>
  </si>
  <si>
    <t>ﾀｶ印/手提げﾊﾞｯｸﾞ 白無地 超特大横長 50枚/50-5700</t>
  </si>
  <si>
    <t>ﾀｶ印/手提げﾊﾞｯｸﾞ 茶無地 特小 25枚/50-5914</t>
  </si>
  <si>
    <t>ﾀｶ印/手提げﾊﾞｯｸﾞ 白無地 幅広小 10枚/50-6000</t>
  </si>
  <si>
    <t>ﾀｶ印/手提げﾊﾞｯｸﾞ 白無地 小 10枚/50-6100</t>
  </si>
  <si>
    <t>ﾀｶ印/手提げﾊﾞｯｸﾞ ﾏｯﾄ 黒 S18 10枚/50-6221</t>
  </si>
  <si>
    <t>ﾀｶ印/手提げﾊﾞｯｸﾞ ﾏｯﾄ 黒 S22 10枚/50-6321</t>
  </si>
  <si>
    <t>ﾀｶ印/手提げﾊﾞｯｸﾞ 白無地 特大 10枚/50-6400</t>
  </si>
  <si>
    <t>ﾀｶ印/手提げﾊﾞｯｸﾞ 未晒無地 特大 10枚/50-6401</t>
  </si>
  <si>
    <t>ﾀｶ印/手提げﾊﾞｯｸﾞ ﾚｰｽｨ 小 10枚/50-6412</t>
  </si>
  <si>
    <t>ﾀｶ印/手提げﾊﾞｯｸﾞ ﾏｯﾄ 黒 SｰT 10枚/50-6421</t>
  </si>
  <si>
    <t>ﾀｶ印/手提げﾊﾞｯｸﾞ ﾏｯﾄ 黒 M 10枚/50-6521</t>
  </si>
  <si>
    <t>ﾀｶ印/手提げﾊﾞｯｸﾞ 白無地 特大角 10枚/50-6600</t>
  </si>
  <si>
    <t>ﾀｶ印/手提げﾊﾞｯｸﾞ ﾏｯﾄ 黒 L 10枚/50-6621</t>
  </si>
  <si>
    <t>ﾀｶ印/手提げﾊﾞｯｸﾞ 白無地 超特大横長 10枚/50-6700</t>
  </si>
  <si>
    <t>ﾀｶ印/手提げﾊﾞｯｸﾞ ﾏｯﾄ 黒 LL 10枚/50-6721</t>
  </si>
  <si>
    <t>ﾀｶ印/手提げﾊﾞｯｸﾞ ﾚｰｽｨ 大 10枚/50-6812</t>
  </si>
  <si>
    <t>ﾀｶ印/手提げﾊﾞｯｸﾞ ﾏｯﾄ 黒 Yｰ45 10枚/50-6821</t>
  </si>
  <si>
    <t>ﾀｶ印/手提げﾊﾞｯｸﾞ ﾏｯﾄ 黒 Yｰ55 10枚/50-6921</t>
  </si>
  <si>
    <t>ﾀｶ印/手提げﾊﾞｯｸﾞ 一升瓶1本用 10枚/50-6929</t>
  </si>
  <si>
    <t>ﾀｶ印/三角くじ 小槌 1000枚/5-410</t>
  </si>
  <si>
    <t>ﾀｶ印/三角くじ ﾗｯｷｰﾁｬﾝｽ 1000枚/5-411</t>
  </si>
  <si>
    <t>ｻｻｶﾞﾜ/証書ﾌｧｲﾙ A4 ﾚｻﾞｰ調 濃紺青/10-6001</t>
  </si>
  <si>
    <t>ｻｻｶﾞﾜ/証書ﾌｧｲﾙ A4 ﾚｻﾞｰ調 濃緋紅/10-6000</t>
  </si>
  <si>
    <t>ｻｻｶﾞﾜ/証書ﾌｧｲﾙ A4 ﾚｻﾞｰ調 焦茶栗/10-6002</t>
  </si>
  <si>
    <t>ｻｻｶﾞﾜ/証書ﾌｧｲﾙ A4 ﾚｻﾞｰ調 銀灰黒/10-6003</t>
  </si>
  <si>
    <t>ﾀｶ印/品切れｶｰﾄﾞ お詫び 大(85×47mm) 50枚×5冊</t>
  </si>
  <si>
    <t>ﾀｶ印/ﾌﾟﾘﾝﾀｰ対応ｼｰﾙ札紙 A5 蝶結び 10片×20ｼｰﾄ</t>
  </si>
  <si>
    <t>ﾀｶ印/ﾌﾟﾘﾝﾀｰ対応ｼｰﾙ札紙 A5 赤棒 10片×20ｼｰﾄ</t>
  </si>
  <si>
    <t>ﾀｶ印/ﾌﾟﾘﾝﾀｰ対応ｼｰﾙ札紙 A5 都のし 10片×20ｼｰﾄ</t>
  </si>
  <si>
    <t>ｻｻｶﾞﾜ/ｵﾘｼﾞﾅﾙﾜｰｸｽ 貼ってはがせるｸﾗﾌﾄ値札 長型 560片</t>
  </si>
  <si>
    <t>ｻｻｶﾞﾜ/ｵﾘｼﾞﾅﾙﾜｰｸｽ OA対応はがせるｸﾗﾌﾄ値札 長型 240片</t>
  </si>
  <si>
    <t>ｻｻｶﾞﾜ/ｵﾘｼﾞﾅﾙﾜｰｸｽ OA対応はがせるｸﾗﾌﾄ値札ﾒｶﾞﾈ型 64片</t>
  </si>
  <si>
    <t>ｻｻｶﾞﾜ/ｶﾀﾛｸﾞﾎﾙﾀﾞｰ A4 3段/32-8765</t>
  </si>
  <si>
    <t>ｻｻｶﾞﾜ/ｵﾘｼﾞﾅﾙﾜｰｸｽ 貼ってはがせるｸﾗﾌﾄ値札ﾒｶﾞﾈ型96片</t>
  </si>
  <si>
    <t>ｻｻｶﾞﾜ/ｶﾀﾛｸﾞﾎﾙﾀﾞｰ A4 2段/32-8768</t>
  </si>
  <si>
    <t>ｻｻｶﾞﾜ/ｶﾀﾛｸﾞｽﾀﾝﾄﾞ A4 4段/32-8766</t>
  </si>
  <si>
    <t>ｻｻｶﾞﾜ/ｶﾀﾛｸﾞﾎﾙﾀﾞｰ A4 三ｯ折/32-8770</t>
  </si>
  <si>
    <t>ｻｻｶﾞﾜ/ｶﾀﾛｸﾞﾎﾙﾀﾞｰ A4 ﾖｺ 4段/32-8769</t>
  </si>
  <si>
    <t>ｻｻｶﾞﾜ/ﾎﾟｯﾌﾟｲﾝ ﾊﾟﾈﾙ用 透明/32-8779</t>
  </si>
  <si>
    <t>ｻｻｶﾞﾜ/ｱｸﾘﾙﾃﾞｨｽﾌﾟﾚｲ ｺの字 特大/32-8790</t>
  </si>
  <si>
    <t>ｻｻｶﾞﾜ/ｱｸﾘﾙﾃﾞｨｽﾌﾟﾚｲ ｺの字 大/32-8791</t>
  </si>
  <si>
    <t>ｻｻｶﾞﾜ/ｵﾘｼﾞﾅﾙﾜｰｸｽ 組立式ﾈｯｸﾚｽｽﾀﾝﾄﾞ ﾎﾜｲﾄ 3台入</t>
  </si>
  <si>
    <t>ｻｻｶﾞﾜ/ｵﾘｼﾞﾅﾙﾜｰｸｽ 組立式ﾈｯｸﾚｽｽﾀﾝﾄﾞ ﾌﾞﾗｯｸ 3台入</t>
  </si>
  <si>
    <t>ｻｻｶﾞﾜ/ｵﾘｼﾞﾅﾙﾜｰｸｽ 組立式傾斜かざり棚 ﾎﾜｲﾄ 2台入</t>
  </si>
  <si>
    <t>ｻｻｶﾞﾜ/ｵﾘｼﾞﾅﾙﾜｰｸｽ 組立式傾斜かざり棚 ﾌﾞﾗｯｸ 2台入</t>
  </si>
  <si>
    <t>ｻｻｶﾞﾜ/ｵﾘｼﾞﾅﾙﾜｰｸｽ 組立式傾斜かざり棚 ﾌﾞﾗｳﾝ 2台入</t>
  </si>
  <si>
    <t>ｻｻｶﾞﾜ/ｵﾘｼﾞﾅﾙﾜｰｸｽ 組立式5段飾り棚 ﾌﾞﾗｯｸ 2台入</t>
  </si>
  <si>
    <t>ｻｻｶﾞﾜ/ｵﾘｼﾞﾅﾙﾜｰｸｽ 組立式5段飾り棚 ﾎﾜｲﾄ 2台入</t>
  </si>
  <si>
    <t>ｻｻｶﾞﾜ/ｵﾘｼﾞﾅﾙﾜｰｸｽ 組立式木製傾斜飾り棚/44-5852</t>
  </si>
  <si>
    <t>ｻｻｶﾞﾜ/ｵﾘｼﾞﾅﾙﾜｰｸｽ 組立式3段飾り棚 BIG ﾎﾜｲﾄ/44-5860</t>
  </si>
  <si>
    <t>ｻｻｶﾞﾜ/ｵﾘｼﾞﾅﾙﾜｰｸｽ 組立式3段飾り棚 BIG ﾌﾞﾗｯｸ/44-5861</t>
  </si>
  <si>
    <t>ｻｻｶﾞﾜ/ｵﾘｼﾞﾅﾙﾜｰｸｽ 組立式傾斜かざり棚 BIG ﾎﾜｲﾄ</t>
  </si>
  <si>
    <t>ｻｻｶﾞﾜ/ｵﾘｼﾞﾅﾙﾜｰｸｽ 組立式3段飾り棚 BIG ﾌﾞﾗｳﾝ/44-5862</t>
  </si>
  <si>
    <t>ｻｻｶﾞﾜ/ｵﾘｼﾞﾅﾙﾜｰｸｽ 組立式傾斜かざり棚 BIG ﾌﾞﾗｯｸ</t>
  </si>
  <si>
    <t>ｻｻｶﾞﾜ/包装紙 ｽﾉｰﾎﾜｲﾄ 半才判 50枚/49-1200</t>
  </si>
  <si>
    <t>ｻｻｶﾞﾜ/包装紙 ﾋﾟｭｱﾋﾟﾝｸ 半才判 50枚/49-1203</t>
  </si>
  <si>
    <t>ｻｻｶﾞﾜ/包装紙 ｱｲﾎﾞﾘｰｻﾝﾄﾞ 半才判 50枚/49-1205</t>
  </si>
  <si>
    <t>ｻｻｶﾞﾜ/包装紙 ｸﾘｽﾀﾙｸﾞﾚｰ 半才判 50枚/49-1206</t>
  </si>
  <si>
    <t>ｻｻｶﾞﾜ/包装紙 ｽｶｲﾌﾞﾙｰ 半才判 50枚/49-1207</t>
  </si>
  <si>
    <t>ｻｻｶﾞﾜ/包装紙 ｱﾝﾃｨｰｸｺﾞｰﾙﾄﾞ 半才判 50枚/49-1210</t>
  </si>
  <si>
    <t>ｻｻｶﾞﾜ/包装紙 ｻﾆｰｵﾚﾝｼﾞ 半才判 50枚/49-1212</t>
  </si>
  <si>
    <t>ｻｻｶﾞﾜ/包装紙 ｽﾀｰｼﾙﾊﾞｰ 半才判 50枚/49-1211</t>
  </si>
  <si>
    <t>ｻｻｶﾞﾜ/包装紙 ﾃﾞｨｰﾌﾟｸﾞﾘｰﾝ 半才判 50枚/49-1215</t>
  </si>
  <si>
    <t>ｻｻｶﾞﾜ/包装紙 ﾎﾞﾙﾄﾞｰﾚｯﾄﾞ 半才判 50枚/49-1216</t>
  </si>
  <si>
    <t>ｻｻｶﾞﾜ/包装紙 ｶﾘﾋﾞｱﾝﾌﾞﾙｰ 半才判 50枚/49-1217</t>
  </si>
  <si>
    <t>ｻｻｶﾞﾜ/包装紙 ｸﾘｽﾀﾙﾌﾞﾙｰ 半才判 50枚/49-1632</t>
  </si>
  <si>
    <t>ｻｻｶﾞﾜ/包装紙 ｸﾘｽﾀﾙﾋﾟﾝｸ 半才判 50枚/49-1631</t>
  </si>
  <si>
    <t>ｻｻｶﾞﾜ/包装紙 ｸﾘｽﾀﾙｲｴﾛｰ 半才判 50枚/49-1633</t>
  </si>
  <si>
    <t>ｻｻｶﾞﾜ/黄ﾎﾟｽﾀｰ 小 赤枠 ｢\｣ 100枚/11-1700</t>
  </si>
  <si>
    <t>ｻｻｶﾞﾜ/黄ﾎﾟｽﾀｰ B4判 お買得品 50枚/11A1766</t>
  </si>
  <si>
    <t>ｻｻｶﾞﾜ/黄ﾎﾟｽﾀｰ 小 お買得品 100枚/11-1704</t>
  </si>
  <si>
    <t>ｻｻｶﾞﾜ/提札 長型 小物用 白無地 1000枚/18-600</t>
  </si>
  <si>
    <t>ｻｻｶﾞﾜ/提札 ｶﾊﾞﾝ型 金箔 500枚/18-1911</t>
  </si>
  <si>
    <t>ｻｻｶﾞﾜ/提札 ｶﾊﾞﾝ型 金箔 500枚/18-1923</t>
  </si>
  <si>
    <t>ｻｻｶﾞﾜ/提札 長型 金箔 500枚/18-1943</t>
  </si>
  <si>
    <t>ｻｻｶﾞﾜ/提札 ｶﾊﾞﾝ型 金箔 PRICE 500枚/18-1922</t>
  </si>
  <si>
    <t>ｻｻｶﾞﾜ/提札 四角型 桃 SALE 500枚/18-3330</t>
  </si>
  <si>
    <t>ｻｻｶﾞﾜ/提札 四角型 青 PRICE 500枚/18-3336</t>
  </si>
  <si>
    <t>ｻｻｶﾞﾜ/提札 四角型 高級 FASHION 500枚/18-3675</t>
  </si>
  <si>
    <t>ｻｻｶﾞﾜ/提札 角丸四角型 ｸﾛｰﾊﾞｰ 500枚/18-3701</t>
  </si>
  <si>
    <t>ｻｻｶﾞﾜ/提札 長型 四つ葉のｸﾛｰﾊﾞｰ 500枚/18-3720</t>
  </si>
  <si>
    <t>ｻｻｶﾞﾜ/提札 長型 花枠 500枚/18-3710</t>
  </si>
  <si>
    <t>ｻｻｶﾞﾜ/提札 長型四つ葉のｸﾛｰﾊﾞｰ 500枚/18-3730</t>
  </si>
  <si>
    <t>ｻｻｶﾞﾜ/ﾎﾟｯﾌﾟｼｰﾙ 無地 500片/22-2200</t>
  </si>
  <si>
    <t>ｻｻｶﾞﾜ/ｱﾄﾞﾃｰﾌﾟ For You 500片/21-68</t>
  </si>
  <si>
    <t>ｻｻｶﾞﾜ/ｷﾞﾌﾄｼｰﾙ Merry Christmas 100片/22-4037</t>
  </si>
  <si>
    <t>ｻｻｶﾞﾜ/ﾎﾟｯﾌﾟｼｰﾙ 5割引 500片/22-2205</t>
  </si>
  <si>
    <t>ｻｻｶﾞﾜ/ｷﾞﾌﾄｼｰﾙ Merry Christmas 白 50片/22-4050</t>
  </si>
  <si>
    <t>ｻｻｶﾞﾜ/ｷﾞﾌﾄｼｰﾙ Merry Christmas 100片/22-4056</t>
  </si>
  <si>
    <t>ｻｻｶﾞﾜ/福袋ｼｰﾙ 小 50片/24-610</t>
  </si>
  <si>
    <t>ｻｻｶﾞﾜ/福袋ｼｰﾙ 中 40片/24-611</t>
  </si>
  <si>
    <t>ｻｻｶﾞﾜ/ｽﾗｲﾄﾞ式ひな段 ﾎﾜｲﾄ/32-4560</t>
  </si>
  <si>
    <t>ｻｻｶﾞﾜ/福袋ｼｰﾙ 大 30片/24-612</t>
  </si>
  <si>
    <t>ｻｻｶﾞﾜ/ｽﾗｲﾄﾞ式ひな段 ｸﾘｱ/32-4562</t>
  </si>
  <si>
    <t>ｻｻｶﾞﾜ/ｽﾗｲﾄﾞ式ひな段 ﾌﾞﾗｯｸ/32-4561</t>
  </si>
  <si>
    <t>ｻｻｶﾞﾜ/万能ｶｰﾄﾞ立 中 10個/32-8775</t>
  </si>
  <si>
    <t>ｻｻｶﾞﾜ/ｱｸﾘﾙ募金箱 ﾛｯｸｷｰ付/32-5640</t>
  </si>
  <si>
    <t>ｻｻｶﾞﾜ/万能ｶｰﾄﾞ立 小 10個/32-8776</t>
  </si>
  <si>
    <t>ｻｻｶﾞﾜ/ｱｸﾘﾙﾃﾞｨｽﾌﾟﾚｲ ｺの字 小/32-8793</t>
  </si>
  <si>
    <t>ｻｻｶﾞﾜ/万能ｶｰﾄﾞ立 小 ﾌﾞﾗｯｸ 10個/32-8777</t>
  </si>
  <si>
    <t>ｻｻｶﾞﾜ/番号札 小 1～100 青/32-8795</t>
  </si>
  <si>
    <t>ｻｻｶﾞﾜ/番号札 小 1～100 桃/32-8797</t>
  </si>
  <si>
    <t>ｻｻｶﾞﾜ/番号札 小 1～100 水色/32-8799</t>
  </si>
  <si>
    <t>ｻｻｶﾞﾜ/番号札 小 1～100 赤/32-8798</t>
  </si>
  <si>
    <t>ｻｻｶﾞﾜ/包装紙 ﾊｯﾋﾟｰｸﾛｰﾊﾞｰ 半才判 50枚/49-1514</t>
  </si>
  <si>
    <t>ﾀｶ印/黄ﾎﾟｽﾀｰ B4判 無地 50枚/11-2903</t>
  </si>
  <si>
    <t>ｻｻｶﾞﾜ/包装紙 ﾊｯﾋﾟｰｸﾛｰﾊﾞｰ 全判 50枚/49-2514</t>
  </si>
  <si>
    <t>ﾀｶ印/黄ﾎﾟｽﾀｰ A3判 無地 50枚/11-2904</t>
  </si>
  <si>
    <t>ｻｻｶﾞﾜ/包装紙 ﾈｰｼﾞｭ緑 半才判 50枚/49-3026</t>
  </si>
  <si>
    <t>ｻｻｶﾞﾜ/BIG抽選箱 白 27cm角/37-7916</t>
  </si>
  <si>
    <t>ｻｻｶﾞﾜ/抽選箱 20cm角 白/37-7918</t>
  </si>
  <si>
    <t>ｵﾘｼﾞﾅﾙﾜｰｸｽ/ｸﾘｴｲﾃｨﾌﾞｶｰﾄﾞ はがきｻｲｽﾞ ｸﾗﾌﾄ 100枚</t>
  </si>
  <si>
    <t>ｵﾘｼﾞﾅﾙﾜｰｸｽ/ｸﾘｴｲﾃｨﾌﾞｶｰﾄﾞ はがきｻｲｽﾞ ﾌﾞﾗｯｸ 100枚</t>
  </si>
  <si>
    <t>ﾀｶ印/提札 ﾐｼﾝ目入 水地 小(40×32mm) 500枚/18-124</t>
  </si>
  <si>
    <t>ﾀｶ印/提札 ﾐｼﾝ目入 灰地 小(40×32mm) 500枚/18-125</t>
  </si>
  <si>
    <t>ﾀｶ印/提札 ﾐｼﾝ目入 白 糸なし 40×32mm 500枚</t>
  </si>
  <si>
    <t>ｵﾘｼﾞﾅﾙﾜｰｸｽ/固定用透明ｼｰﾙ ﾒｶﾞﾈ型 500片/20-1588</t>
  </si>
  <si>
    <t>ﾀｶ印/ｱﾄﾞﾃｰﾌﾟ For You 500片/21-69</t>
  </si>
  <si>
    <t>ﾀｶ印/ｷﾞﾌﾄｼｰﾙ For You 赤 60片/22-2917</t>
  </si>
  <si>
    <t>ﾀｶ印/ｷﾞﾌﾄｼｰﾙ For You 100片/22-4024</t>
  </si>
  <si>
    <t>ﾀｶ印/ｷﾞﾌﾄｼｰﾙ For You 直径32mm 100片/22-4036</t>
  </si>
  <si>
    <t>ｻｻｶﾞﾜ/包装紙 ｳｰﾙｻﾝﾀ赤 半才判 50枚/49-3049</t>
  </si>
  <si>
    <t>ｻｻｶﾞﾜ/包装紙 ｳｰﾙｻﾝﾀ緑 半才判 50枚/49-3050</t>
  </si>
  <si>
    <t>ｻｻｶﾞﾜ/包装紙 ﾘﾄﾙｻﾝﾀ赤 半才判 50枚/49-3061</t>
  </si>
  <si>
    <t>ﾀｶ印/包装紙 ﾚﾄﾛｷﾞﾝｶﾞﾑ 赤 半才判(528×750mm) 50枚</t>
  </si>
  <si>
    <t>ﾀｶ印/包装紙 ﾚﾄﾛｷﾞﾝｶﾞﾑ 青 半才判(528×750mm) 50枚</t>
  </si>
  <si>
    <t>ﾀｶ印/包装紙 ｶｰﾃﾞｨｱﾝｸﾞﾚｰ白 半才判(545×788mm) 50枚</t>
  </si>
  <si>
    <t>ﾀｶ印/包装紙 ﾌﾞﾙｰﾌﾗﾜｰ 半才判(528×750mm) 50枚</t>
  </si>
  <si>
    <t>ﾀｶ印/包装紙 ｸﾗｳﾄﾞ ﾌﾞﾙｰ 半才判(528×750mm) 50枚</t>
  </si>
  <si>
    <t>ﾀｶ印/包装紙 ｸﾗｳﾄﾞ ｸﾞﾚｰ 半才判(528×750mm) 50枚</t>
  </si>
  <si>
    <t>ﾀｶ印/包装紙 ｱﾑｰﾙ ﾋﾟﾝｸ 半才判(530×770mm) 50枚</t>
  </si>
  <si>
    <t>ﾀｶ印/平袋 ｼﾙﾊﾞｰｽﾐｽ 125×160mm 200枚/50-1409</t>
  </si>
  <si>
    <t>ﾀｶ印/平袋 ｷﾞﾝｶﾞﾑあか 180×230mm 200枚/50-1500</t>
  </si>
  <si>
    <t>ﾀｶ印/平袋 ﾌｧﾝｼｰあか 180×230mm 200枚/50-1503</t>
  </si>
  <si>
    <t>ﾀｶ印/角底袋 白無地 90×40×175mm 100枚/50-3000</t>
  </si>
  <si>
    <t>ﾀｶ印/角底袋 ｸﾘｽﾀﾙﾋﾟﾝｸ 120×60×220mm 100枚</t>
  </si>
  <si>
    <t>ﾀｶ印/角底袋 白無地 130×65×250mm 100枚/50-3200</t>
  </si>
  <si>
    <t>ﾀｶ印/水引 450mm 白赤15 100本/44-115</t>
  </si>
  <si>
    <t>ｵﾘｼﾞﾅﾙﾜｰｸｽ/組立式 3段飾り棚 ﾌﾞﾗｯｸ/44-5801</t>
  </si>
  <si>
    <t>ｻｻｶﾞﾜ/削りｶｽの出ないｽｸﾗｯﾁくじ 1等 25枚/44-2011</t>
  </si>
  <si>
    <t>ｻｻｶﾞﾜ/削りｶｽの出ないｽｸﾗｯﾁくじ 3等 25枚/44-2013</t>
  </si>
  <si>
    <t>ｻｻｶﾞﾜ/削りｶｽの出ないｽｸﾗｯﾁくじ ﾊｽﾞﾚ 50枚/44-2017</t>
  </si>
  <si>
    <t>ｻｻｶﾞﾜ/平袋 ﾌｧﾝｼｰあか 140×180mm 200枚/50-1303</t>
  </si>
  <si>
    <t>ｻｻｶﾞﾜ/平袋 ﾙｰｼﾞｭ 180×245mm 200枚/50-1506</t>
  </si>
  <si>
    <t>ｻｻｶﾞﾜ/平袋 ﾌﾟﾁｽﾀﾝﾌﾟ 230×335mm 50枚/50-1608</t>
  </si>
  <si>
    <t>ｻｻｶﾞﾜ/平袋 ﾛﾏﾈｽｸ 215×290mm 200枚/50-1705</t>
  </si>
  <si>
    <t>ｻｻｶﾞﾜ/平袋 ﾌｧﾝｼｰあか 215×290mm 200枚/50-1703</t>
  </si>
  <si>
    <t>ｻｻｶﾞﾜ/角底袋 ﾏﾘﾝ 130×80×235mm 100枚/50-3207</t>
  </si>
  <si>
    <t>ｻｻｶﾞﾜ/平袋 ﾙｰｼﾞｭ 215×275mm 200枚/50-1706</t>
  </si>
  <si>
    <t>ｻｻｶﾞﾜ/角底袋 ｼﾙﾊﾞｰｽﾐｽ 130×80×235mm 100枚/50-3209</t>
  </si>
  <si>
    <t>ｻｻｶﾞﾜ/包装紙 ﾉﾝﾌﾞﾙｰﾊｰﾄP 半才判 50枚/49-3419</t>
  </si>
  <si>
    <t>ｻｻｶﾞﾜ/角底袋 ｸﾘｽﾀﾙﾋﾟﾝｸ 145×65×280mm 100枚</t>
  </si>
  <si>
    <t>ｻｻｶﾞﾜ/角底袋 ｸﾘｽﾀﾙﾋﾟﾝｸ 180×65×340mm 100枚</t>
  </si>
  <si>
    <t>ｻｻｶﾞﾜ/角底袋 白無地 210×75×385mm 100枚/50-3800</t>
  </si>
  <si>
    <t>ｻｻｶﾞﾜ/角底袋 白無地 160×65×310mm 100枚/50-3500</t>
  </si>
  <si>
    <t>ｻｻｶﾞﾜ/角底袋 未晒 195×120×365mm 100枚/50-3801</t>
  </si>
  <si>
    <t>ｻｻｶﾞﾜ/包装紙10枚ﾛｰﾙ ｳｰﾙｻﾝﾀ緑 半才判/49-3650</t>
  </si>
  <si>
    <t>ｻｻｶﾞﾜ/手提げ袋 未晒 260×100×310mm 50枚/50-5101</t>
  </si>
  <si>
    <t>ｻｻｶﾞﾜ/角底袋 福袋 208×80×390mm 100枚/50-3843</t>
  </si>
  <si>
    <t>ｻｻｶﾞﾜ/手提げ袋 白無地 320×110×320mm 50枚/50-5200</t>
  </si>
  <si>
    <t>ｻｻｶﾞﾜ/手提げ袋 ｴﾒﾗﾙﾄﾞ 320×110×320mm 50枚/50-5208</t>
  </si>
  <si>
    <t>ｻｻｶﾞﾜ/手提げ袋 白無地 320×110×420mm 50枚/50-5300</t>
  </si>
  <si>
    <t>ｻｻｶﾞﾜ/手提げ袋 未晒 320×110×400mm 50枚/50-5301</t>
  </si>
  <si>
    <t>ｻｻｶﾞﾜ/手提げ袋 ﾏﾘﾝ 320×110×400mm 50枚/50-5307</t>
  </si>
  <si>
    <t>ｻｻｶﾞﾜ/手提げ袋 福袋 320×110×330mm 50枚/50-5343</t>
  </si>
  <si>
    <t>ｻｻｶﾞﾜ/手提げ袋 ﾍﾞｱﾚｯﾄﾞ 320×110×430mm 50枚</t>
  </si>
  <si>
    <t>ｻｻｶﾞﾜ/手提げ袋 福袋 320×110×430mm 50枚/50-5344</t>
  </si>
  <si>
    <t>ｻｻｶﾞﾜ/手提げ袋 ﾚｰｽｨ 200×120×250mm 25枚/50-5412</t>
  </si>
  <si>
    <t>ｻｻｶﾞﾜ/手提げ袋 福袋 380×145×500mm 50枚/50-5443</t>
  </si>
  <si>
    <t>ｻｻｶﾞﾜ/手提げ袋 ﾚｰｽｨ 260×150×280mm 50枚/50-5612</t>
  </si>
  <si>
    <t>ｻｻｶﾞﾜ/包装紙 ﾘﾄﾙｻﾝﾀ緑 全判 50枚/49-4062</t>
  </si>
  <si>
    <t>ｻｻｶﾞﾜ/手提げ袋 赤 180×100×210mm 25枚/50-5910</t>
  </si>
  <si>
    <t>ｻｻｶﾞﾜ/手提げ袋 白無地 180×100×210mm 25枚/50-5913</t>
  </si>
  <si>
    <t>ｻｻｶﾞﾜ/手提げ袋 ｺｺｱ 180×100×210mm 25枚/50-5915</t>
  </si>
  <si>
    <t>ｻｻｶﾞﾜ/手提げ袋 白無地 420×160×535mm 10枚/50-6500</t>
  </si>
  <si>
    <t>ｻｻｶﾞﾜ/手提げ袋 白無地 320×110×420mm 10枚/50-6300</t>
  </si>
  <si>
    <t>ｻｻｶﾞﾜ/手提げ袋 ﾚｰｽｨ 260×150×280mm 10枚/50-6612</t>
  </si>
  <si>
    <t>ｻｻｶﾞﾜ/手提げ袋 赤 180×100×210mm 10枚/50-6910</t>
  </si>
  <si>
    <t>ﾀｶ印/ｱﾄﾞﾃｰﾌﾟ Especially For You 500片/21-67</t>
  </si>
  <si>
    <t>ﾀｶ印/ﾏﾁ付封筒 A4(330×235×30mm) 50枚/32-1432</t>
  </si>
  <si>
    <t>-</t>
  </si>
  <si>
    <t>34/577</t>
  </si>
  <si>
    <t>33/582</t>
  </si>
  <si>
    <t>34/583</t>
  </si>
  <si>
    <t>34/581</t>
  </si>
  <si>
    <t>25/901</t>
  </si>
  <si>
    <t>25/908</t>
  </si>
  <si>
    <t>ササガワ 証書用紙 A4判 アニマル 10-1700 5袋(10枚×5)</t>
  </si>
  <si>
    <t>ササガワ タカ印 証書用紙 A4判 桜 10-1701 1セット（50枚：10枚×5袋）</t>
  </si>
  <si>
    <t>ササガワ *証書用紙 A4判 クローバー 10-1703 1袋(10枚)</t>
  </si>
  <si>
    <t>ササガワ *証書用紙 A4判 金桜 10-1705 1冊(10枚)</t>
  </si>
  <si>
    <t>ササガワ *証書用紙 A4判 彩紋 10-1706 1冊(10枚)</t>
  </si>
  <si>
    <t>ササガワ 証書用紙 A4判 ループ 10-1707 1袋(10枚入)</t>
  </si>
  <si>
    <t>ササガワ *証書用紙 A4判 レリーフ 10-1708 1冊(5枚)</t>
  </si>
  <si>
    <t>ササガワ 黄ポスター 5号大 70K 無地 11-1005 1セット(100枚入)</t>
  </si>
  <si>
    <t>ササガワ 包装紙 半才判 飛翔 49-1802 1袋（50枚入）</t>
  </si>
  <si>
    <t>ササガワ 包装紙 レッドアップル 半才判 49-1213 1包(50枚袋入)</t>
  </si>
  <si>
    <t>ササガワ 包装紙 ブルーマリン 半才判 49-1214 1包(50枚袋入)</t>
  </si>
  <si>
    <t>ササガワ 包装紙 ダークチョコ 半才判 49-1218 1包(50枚袋入)</t>
  </si>
  <si>
    <t>ササガワ POP用品 13ー4115 ゆびPOP 中 無字 5枚入/袋 4974268454522 1箱(5袋)（直送品）</t>
  </si>
  <si>
    <t>ササガワ POP用品 13ー4233 ゆびPOP 小 当店のおすすめ品! 5枚入/袋 4974268454584 1箱(5袋)（直送品）</t>
  </si>
  <si>
    <t>ササガワ POP用品 13ー4281 ゆびPOP プラカード ズバリお買得! 5枚入/袋 4974268454607 1箱(5袋)（直送品）</t>
  </si>
  <si>
    <t>ササガワ POP用品 13ー4282 ゆびPOP プラカード 当店おすすめ! 5枚入/袋 4974268454614 1箱(5袋)（直送品）</t>
  </si>
  <si>
    <t>ササガワ POP用品 13ー4283 ゆびPOP プラカード 今売れてます! 5枚入/袋 4974268454621 1箱(5袋)（直送品）</t>
  </si>
  <si>
    <t>ササガワ POP用品 13ー4284 ゆびPOP プラカード NEW新商品! 5枚入/袋 4974268454638 1箱(5袋)（直送品）</t>
  </si>
  <si>
    <t>ササガワ POP用品 13ー4286 ゆびPOP プラカード 限定! 5枚入/袋 4974268454645 1箱(5袋)（直送品）</t>
  </si>
  <si>
    <t>ササガワ 包装紙 半才判 クライス 49-1806 1袋（50枚入）</t>
  </si>
  <si>
    <t>ササガワ 包装紙 楽園 49-1507 1袋(50枚入)</t>
  </si>
  <si>
    <t>ササガワ 抽選箱 小 黒 37-7910</t>
  </si>
  <si>
    <t>ササガワ 抽選箱 金 37-7907 1個</t>
  </si>
  <si>
    <t>ササガワ 抽選箱 小 銀 37-7908 1個</t>
  </si>
  <si>
    <t>【イベント用品・販促用品】ササガワ 抽選箱 LUCKYBOX 37-7912 1個</t>
  </si>
  <si>
    <t>ササガワ 抽選箱 招き猫(窓付) 37-7909 1個</t>
  </si>
  <si>
    <t>【イベント用品・販促用品】ササガワ 抽せん箱 ラッキーボックス 37-7901 1個</t>
  </si>
  <si>
    <t>【イベント用品・販促用品】ササガワ 抽せん箱 おたのしみ抽せん箱 37-7902 1個</t>
  </si>
  <si>
    <t>ササガワ　包装紙　薄葉紙　半才判　アイボリー　35-1491　ラッピング　1袋（200枚入）</t>
  </si>
  <si>
    <t>ササガワ　包装紙　薄葉紙　半才判　ピンク　35-1492　ラッピング　1袋（200枚入）</t>
  </si>
  <si>
    <t>ササガワ 薄葉紙 ブルー 35-1493 1袋(200枚入)</t>
  </si>
  <si>
    <t>ササガワ　包装紙　薄葉紙　半才判　ライトグリーン　35-1494　ラッピング　1袋（200枚入）</t>
  </si>
  <si>
    <t>ササガワ　包装紙　薄葉紙　半才判　バイオレット　35-1495　ラッピング　1袋（200枚入）</t>
  </si>
  <si>
    <t>ササガワ 家賃通・１枚もの　１年用 9-30 5冊（直送品）</t>
  </si>
  <si>
    <t>ササガワ タカ印 提札 黄地 小 ミシン目入 18-122 1箱（500枚入）</t>
  </si>
  <si>
    <t>ササガワ タカ印 提札 白無地 小 ミシン目入 18-132 1箱（500枚入）</t>
  </si>
  <si>
    <t>ササガワ 大入袋 千型 上質紙 5-1608 1冊(10枚)</t>
  </si>
  <si>
    <t>ササガワ 不祝儀袋 特選多当のし袋 御花料 6-5095 1枚</t>
  </si>
  <si>
    <t>ササガワ 黄ポスター 2号大 70K 無地 11-1002 1セット(1セット(100枚入)×5)</t>
  </si>
  <si>
    <t>ササガワ OA対応シール札紙 A4 御中元 24-1921 1冊(100片入)</t>
  </si>
  <si>
    <t>ササガワ スイングPOP ゆらりん1g対応 37-530 1セット(1冊(10枚)×5)</t>
  </si>
  <si>
    <t>ササガワ タカ印 スイングPOP ゆらりん2g対応 37-531 1袋（10枚袋入×5冊）</t>
  </si>
  <si>
    <t>ササガワ 黄ポスター 6号大 70K 無地 11-1006 100枚</t>
  </si>
  <si>
    <t>【イベント用品・販促用品】ササガワ 抽選箱 小 白 37-7906 1個</t>
  </si>
  <si>
    <t>ササガワ 薄葉紙 半才判 ホワイト 35-1490 1セット（1000枚：200枚入×5袋）</t>
  </si>
  <si>
    <t>ササガワ 黄ポスター 3号大 70K 無地 11-1003 1セット(100枚入)</t>
  </si>
  <si>
    <t>ササガワ 黄ポスター 4号大 70K 無地 11-1004 1セット(100枚入)</t>
  </si>
  <si>
    <t>ササガワ ショーカード 大 アミ目入 無字 17-5308 1袋(50冊)</t>
  </si>
  <si>
    <t>ササガワ ギフトシール ForYou赤 22-917 1セット(1冊(16片)×10)</t>
  </si>
  <si>
    <t>ササガワ 包装紙 フラールリボン銀 半才判 49-1805 1包</t>
  </si>
  <si>
    <t>ササガワ ショーカード 大 ピンク枠¥入り 17-5347 1セット(1冊(50枚)×5)</t>
  </si>
  <si>
    <t>ササガワ ショーカード 大 ブルー枠¥入り 17-5349 1冊(50枚)</t>
  </si>
  <si>
    <t>ササガワ ショーカード 中 ピンク枠¥入り 17-5247 1冊(50枚)</t>
  </si>
  <si>
    <t>ササガワ ショーカード 中 ブルー枠¥入り 17-5249 1冊(50枚)</t>
  </si>
  <si>
    <t>ササガワ ショーカード 小 ピンク枠¥入り 17-5147 1冊(50枚)</t>
  </si>
  <si>
    <t>ササガワ ショーカード 小 ブルー枠¥入り 17-5149 1冊(50枚)</t>
  </si>
  <si>
    <t>ササガワ OA対応シール札紙 無字 24-1910 1袋(100片:5片×20シ</t>
  </si>
  <si>
    <t>【アウトレット】ササガワ クリスマス アドテープ Merry Xmas 21-61 1巻（500片）</t>
  </si>
  <si>
    <t>【アウトレット】ササガワ クリスマス アドテープ Merry Xmas 21-89 1巻（500片）</t>
  </si>
  <si>
    <t>ササガワ 三角くじ 小槌 手貼り 等級なし 5-450 1箱 (1200枚箱入)</t>
  </si>
  <si>
    <t>ササガワ デザインくじ エレガンス 5-816 100枚</t>
  </si>
  <si>
    <t>ササガワ 抽選球 直径12mm ピンク 37-7801 1個(10個袋入)</t>
  </si>
  <si>
    <t>ササガワ デザインくじ 小槌(こづち) 5-810 1冊(100枚)</t>
  </si>
  <si>
    <t>ササガワ 抽選球 直径12mm 赤 37-7802 1個(10個袋入)</t>
  </si>
  <si>
    <t>ササガワ 抽選球 直径12mm 水 37-7803 1個(10個袋入)</t>
  </si>
  <si>
    <t>ササガワ デザインくじ ラッキーチャンス 5-811 1冊(100枚)</t>
  </si>
  <si>
    <t>ササガワ デザインくじ アニマル 5-813 1セット(100枚入)</t>
  </si>
  <si>
    <t>ササガワ 抽選球 直径12mm 紺 37-7804 1個(10個袋入)</t>
  </si>
  <si>
    <t>ササガワ 抽選球 直径12mm 緑 37-7805 1個(10個袋入)</t>
  </si>
  <si>
    <t>ササガワ 抽選球 直径12mm オレンジ 37-7806 1個(10個袋入)</t>
  </si>
  <si>
    <t>ササガワ 抽選球 直径12mm 金 37-7818 1個</t>
  </si>
  <si>
    <t>ササガワ 抽選球 直径12mm 銀 37-7819 1個(1個袋入)</t>
  </si>
  <si>
    <t>ササガワ 抽選箱用 目隠しーと 大 37-7917 1袋(1枚入)</t>
  </si>
  <si>
    <t>ササガワ 削りカスの出ないスクラッチくじ 特賞 1セット（25枚袋入×50）</t>
  </si>
  <si>
    <t>ササガワ 削りカスの出ないスクラッチくじ 2等 1冊（1袋25枚入）</t>
  </si>
  <si>
    <t>ササガワ 抽選球 直径12mm 黄 37-7812 1個(10個袋入)</t>
  </si>
  <si>
    <t>ササガワ 削りカスの出ないスクラッチくじ 5等 1セット（25枚袋入×50）</t>
  </si>
  <si>
    <t>ササガワ 削りカスの出ないスクラッチくじ 当り 1冊（1袋50枚入）</t>
  </si>
  <si>
    <t>ササガワ 削りカスの出ないスクラッチくじ 残念賞 1冊（1袋50枚入）</t>
  </si>
  <si>
    <t>ササガワ 削りカスの出ないスクラッチくじ 4等 1セット（25枚袋入×300）</t>
  </si>
  <si>
    <t>ササガワ 【OW】カード 名刺大 クラフト 16-3001 1セット(1冊(30枚)×5)</t>
  </si>
  <si>
    <t>【アウトレット】ササガワ 【OW】カード 名刺大 インディゴ 16-3007 1冊(30枚)</t>
  </si>
  <si>
    <t>ササガワ 【OW】カード 名刺大 ブラック 16-3008 1セット(1冊(30枚)×5)</t>
  </si>
  <si>
    <t>ササガワ 【OW】カード はがき大 クラフト 16-3051 1冊(20枚)</t>
  </si>
  <si>
    <t>ササガワ 【OW】カード はがき大 ブラック 16-3058 1冊(20枚)</t>
  </si>
  <si>
    <t>ササガワ 芳名帳 紙表紙 7行罫 草 31-131 1セット(3冊)（直送品）</t>
  </si>
  <si>
    <t>ササガワ 【OW】糸付き提札 S 白 19-1750 1セット(1袋(50枚)×5)</t>
  </si>
  <si>
    <t>ササガワ 芳名帳 紙表紙 7行罫 桃 31-132 1セット(1冊×3)</t>
  </si>
  <si>
    <t>ササガワ 【OW】糸付き提札 M 白 19-1751 1セット(1袋(50枚入)×5)</t>
  </si>
  <si>
    <t>ササガワ 芳名帳 紙表紙 7行罫 茶 31-133 1セット(3冊)（直送品）</t>
  </si>
  <si>
    <t>ササガワ 【OW】カード はがき大 オリーブ 16-3056 1セット(1袋(20枚)×5)</t>
  </si>
  <si>
    <t>ササガワ 芳名帳 郵便番号枠付き 5行罫 草 31-141 1セット(1冊×3)</t>
  </si>
  <si>
    <t>ササガワ 【OW】糸付き提札 S ベージュ 19-1754 1セット(1袋(50枚)×5)</t>
  </si>
  <si>
    <t>ササガワ 芳名帳 郵便番号枠付き 5行罫 桃 31-142 1セット(1冊×3)</t>
  </si>
  <si>
    <t>ササガワ 【OW】糸付き提札 M ベージュ 19-1755 1袋(50枚)</t>
  </si>
  <si>
    <t>ササガワ 芳名帳 郵便番号枠付き 5行罫 茶 31-143 1セット(3冊)（直送品）</t>
  </si>
  <si>
    <t>【アウトレット】ササガワ 【OW】ピアス・イヤリング専用台紙 ブラック 名刺サイズ 19-2400 1セット(20枚入)</t>
  </si>
  <si>
    <t>ササガワ 朱印帳うるし紙 黒 31-1023 1セット(2冊)（直送品）</t>
  </si>
  <si>
    <t>ササガワ 朱印帳うるし紙 赤 31-1024 1セット(2冊)（直送品）</t>
  </si>
  <si>
    <t>ササガワ 朱印帳うるし紙 茶 31-1025 1セット(2冊)（直送品）</t>
  </si>
  <si>
    <t>ササガワ ギフトシール 楕円 透明 小 22-991 1セット(1冊(120片)×5)</t>
  </si>
  <si>
    <t>ササガワ ギフトシール 楕円 透明 大 22-992 1冊(64片)</t>
  </si>
  <si>
    <t>ササガワ 固定用透明シール メガネ型 20-588 1冊(100片入)</t>
  </si>
  <si>
    <t>ササガワ 提札 花枠 18-3711 1箱(500枚入)</t>
  </si>
  <si>
    <t>ササガワ 44ー7102 プリンタ対応TAG クラフト L 15シート/袋 007190641 1セット(1袋(15シート入)×4)（直送品）</t>
  </si>
  <si>
    <t>ササガワ 44ー7152 プリンタ対応TAG クラフト S 15シート/袋 007190642 1セット(1袋(15シート入)×4)（直送品）</t>
  </si>
  <si>
    <t>ササガワ 44ー7601 OA対応ピアス台紙 ホワイト L 15シート/袋 007190631 1セット(1袋(15シート入)×4)（直送品）</t>
  </si>
  <si>
    <t>ササガワ 【OW】OA対応ピアス・イヤリング専用台紙 ホワイト LL 44-7641 1冊(10シート袋入(1シー</t>
  </si>
  <si>
    <t>ササガワ 44ー7651 OA対応ピアス台紙 ホワイト S 15シート/袋 007190632 1セット(1袋(15シート入)×4)（直送品）</t>
  </si>
  <si>
    <t>ササガワ 包装紙 プティフルール 半才判 49-7554 1本(10枚巻)</t>
  </si>
  <si>
    <t>ササガワ 包装紙10枚ロール 楽園 半才判 49-7557 1本(10枚巻)</t>
  </si>
  <si>
    <t>ササガワ 包装紙 アニマルスタディ 半才判 49-7521 1本(10枚巻)</t>
  </si>
  <si>
    <t>ササガワ 包装紙10枚ロール アモール 半才判 49-7552 1本10枚巻</t>
  </si>
  <si>
    <t>ササガワ 包装紙 ハッピークローバー半才判 49-7564 1本(10枚巻)</t>
  </si>
  <si>
    <t>ササガワ 包装紙10枚ロール タイムズフラワー 半才判 49-7569 1本(10枚巻)</t>
  </si>
  <si>
    <t>ササガワ 包装紙 祝い梅 半才判 49-7772 1本(10枚巻)</t>
  </si>
  <si>
    <t>ササガワ 包装紙 クライス 半才判 49-7856 1本(10枚巻)</t>
  </si>
  <si>
    <t>ササガワ 包装紙10枚ロール 菊凪 半才判 49-7858 1本(10枚巻)</t>
  </si>
  <si>
    <t>ササガワ 包装紙 エメラルド 全判 49-8222 1本(10枚巻)</t>
  </si>
  <si>
    <t>ササガワ 包装紙 アモール 全判 49-8552 1本(10枚巻)</t>
  </si>
  <si>
    <t>ササガワ 包装紙10枚ロール 楽園 全判 49-8557 1本(10枚巻)</t>
  </si>
  <si>
    <t>ササガワ 包装紙10枚ロール ハッピークローバー 全判 49-8564 1本(10枚巻)</t>
  </si>
  <si>
    <t>ササガワ 包装紙10枚ロール ミルトブルー 半才判 49-7903 1本(10枚巻)</t>
  </si>
  <si>
    <t>ササガワ 包装紙 フラールリボン銀 全判 49-8855 1本(10枚巻)</t>
  </si>
  <si>
    <t>ササガワ 包装紙10枚ロール ミルトブルー 全判 49-8903 1本(10枚巻)</t>
  </si>
  <si>
    <t>ササガワ 包装紙 レフィナード 全判 49-8905 1本(10枚巻)</t>
  </si>
  <si>
    <t>ササガワ のしふせん 梅乃花 22-5000 1袋(20枚綴り×5冊入)</t>
  </si>
  <si>
    <t>ササガワ のしふせん ミモザ 22-5004 1セット(1冊(20枚綴り)×5)</t>
  </si>
  <si>
    <t>ササガワ のしふせん グリーン 22-5005 1セット(1冊(20枚綴り)×5)</t>
  </si>
  <si>
    <t>ササガワ のしノート パール 大 MIYABI 50-9760 1冊</t>
  </si>
  <si>
    <t>ササガワ 証書用紙 A5判 アニマル 10-1720 5袋(20枚×5)</t>
  </si>
  <si>
    <t>ササガワ 手提げバッグ 10Pマリン 小 50-6107 1包 (10枚袋入)</t>
  </si>
  <si>
    <t>ササガワ 手提げバッグ マリン 特大 50-6407 1袋(10枚入)</t>
  </si>
  <si>
    <t>ササガワ 手提げバッグ 10Pエメラルド 小 50-6108 1包 (10枚袋入)</t>
  </si>
  <si>
    <t>ササガワ 手提げバッグ 10Pエメラルド 特大 50-6408 1袋(10枚入)</t>
  </si>
  <si>
    <t>ササガワ ファンタジーカード ラビットアリス 16-586 1冊(100枚)</t>
  </si>
  <si>
    <t>ササガワ ファンタジーカード ロージー 16-570 1冊(100枚)</t>
  </si>
  <si>
    <t>ササガワ ファンタジーカード サンシャイン 16-571 1セット(100枚入)</t>
  </si>
  <si>
    <t>ササガワ ファンタジーカード グリーンラブ 16-572 1セット(100枚入)</t>
  </si>
  <si>
    <t>ササガワ ファンタジーカード カラフル 16-573 1セット(100枚入)</t>
  </si>
  <si>
    <t>ササガワ ファンタジーカード ファンシークローバー 16-880 1セット(100枚入)</t>
  </si>
  <si>
    <t>ササガワ ファンタジーカード パック チェリーピンク 16-881 100枚</t>
  </si>
  <si>
    <t>ササガワ ファンタジーカード フラワーボム 16-882 1セット(100枚入)</t>
  </si>
  <si>
    <t>ササガワ ファンタジーカード カラフルクローバー 16-883 1セット(100枚入)</t>
  </si>
  <si>
    <t>ササガワ ギフトシール for you 22-2912 1袋(4片×15シート入)</t>
  </si>
  <si>
    <t>ササガワ ギフトシール FOR YOU 22-2929 1袋(4片×15シート入)</t>
  </si>
  <si>
    <t>ササガワ ことばシール ありがとうございます 22-2970 1袋(6片×16シート入)</t>
  </si>
  <si>
    <t>ササガワ ファンタジーカード エンゼルベア 16-884 1セット(100枚入)</t>
  </si>
  <si>
    <t>ササガワ ファンタジーカード パック スウィートローズ 16-886 100枚</t>
  </si>
  <si>
    <t>ササガワ ことばシール おめでとうございます 22-2972 1袋(6片×16シート入)</t>
  </si>
  <si>
    <t>ササガワ ファンタジーカード ロマンフラワー 16-887 1セット(100枚入)</t>
  </si>
  <si>
    <t>ササガワ ファンタジーカード カラフルフラッグ 16-874 1冊（100枚袋入）</t>
  </si>
  <si>
    <t>ササガワ ことばシール 感謝の気持ちです 22-2973 1袋(6片×16シート入)</t>
  </si>
  <si>
    <t>ササガワ OA対応シール札紙 A4 無字 24-1920 1冊:100片袋入(5片×2</t>
  </si>
  <si>
    <t>ササガワ 薄葉紙 白 全判 35-8499 1箱200枚入</t>
  </si>
  <si>
    <t>ササガワ 37-7911 抽選箱クリア（透明） 007275982 1セット（100個）（直送品）</t>
  </si>
  <si>
    <t>ササガワ 包装紙 タータンチェック 49-1157 1袋(50枚入)</t>
  </si>
  <si>
    <t>ササガワ 包装紙 ファンタジア 半才判 49-1305 1袋(50枚入)</t>
  </si>
  <si>
    <t>ササガワ 包装紙 ファンタジア 全判 49-2305 1袋(50枚入)</t>
  </si>
  <si>
    <t>ササガワ 37-7914 抽選箱用 目隠しーと 007275985 1セット（100枚）（直送品）</t>
  </si>
  <si>
    <t>ササガワ OA辞令用紙 B5判 三重枠 9-1400 1冊(20枚)</t>
  </si>
  <si>
    <t>ササガワ カード立 L型 トーメイ・ペット 34-3120 1セット(1箱 (10個)×5)</t>
  </si>
  <si>
    <t>ササガワ カード立 L型 トーメイ・ペット 34-3121 1箱 (10個入)</t>
  </si>
  <si>
    <t>ササガワ カード立 L型 トーメイ・ペット 34-3124 1箱 (10個箱入)</t>
  </si>
  <si>
    <t>ササガワ カード立 Ｌ型 トーメイ・ペット 34-3320 1箱 【10個箱入】</t>
  </si>
  <si>
    <t>アクリル製 カード立 片面用（L型） 34-3514 1箱（10個入×2袋）  ササガワ</t>
  </si>
  <si>
    <t>ササガワ カード立 L型アクリル・トーメイ 34-3524 1セット(1袋(10個)×2)</t>
  </si>
  <si>
    <t>ササガワ 【OW】3段ディスプレイ ホワイト 組立式 44-5800 1セット(3個:3個入×1袋</t>
  </si>
  <si>
    <t>ササガワ 【OW】3段ディスプレイ ブラウン 組立式 44-5802 1セット(3個:3個入×1袋</t>
  </si>
  <si>
    <t>ササガワ 【OW】紙製組立式サポート台 白 44-5809 1セット(3個袋入)</t>
  </si>
  <si>
    <t>ササガワ For You 21-86 1巻（500枚入）</t>
  </si>
  <si>
    <t>ササガワ アドテープ For You 王冠 21-90 1袋(500片入)</t>
  </si>
  <si>
    <t>ササガワ アドテープ 金 Especially 21-98 1袋(500片入)</t>
  </si>
  <si>
    <t>ササガワ ギフトシール 楕円 透明 小 21-111 1セット(500片入)</t>
  </si>
  <si>
    <t>ササガワ ギフトシール 楕円 透明 大 21-112 1巻(500片袋入)</t>
  </si>
  <si>
    <t>【アウトレット】ササガワ アドテープ クローバー 21-107 1袋(500片入)</t>
  </si>
  <si>
    <t>ササガワ アドテープ FOR YOU 21-72 1袋(500片入)</t>
  </si>
  <si>
    <t>カミイソ産商 食材管理ラベル B-0903 Dタイプ (上質再剥離) 51020903 1袋(500個)（直送品）</t>
  </si>
  <si>
    <t>カミイソ産商 ラベル 食材管理シール B-0908 日曜日 51020908 1ケース(500個)（直送品）</t>
  </si>
  <si>
    <t>カミイソ産商 ラベル 食材管理シール B-0909 月曜日 51020909 1ケース(500個)（直送品）</t>
  </si>
  <si>
    <t>カミイソ産商 ラベル 食材管理シール B-0910 火曜日 51020910 1ケース(500個)（直送品）</t>
  </si>
  <si>
    <t>カミイソ産商 ラベル 食材管理シール B-0911 水曜日 51020911 1ケース(500個)（直送品）</t>
  </si>
  <si>
    <t>カミイソ産商 ラベル 食材管理シール B-0912 木曜日 51020912 1ケース(500個)（直送品）</t>
  </si>
  <si>
    <t>カミイソ産商 ラベル 食材管理シール B-0913 金曜日 51020913 1ケース(500個)（直送品）</t>
  </si>
  <si>
    <t>カミイソ産商 ラベル 食材管理シール B-0914 土曜日 51020914 1ケース(500個)（直送品）</t>
  </si>
  <si>
    <t>カミイソ産商 食材管理ラベル B-0916 Eタイプ (ユポ再剥離) 51020916 1袋(500個)（直送品）</t>
  </si>
  <si>
    <t>ササガワ 包装紙 ミッドナイトブラック 半才判 49-1219 1包(50枚袋入)</t>
  </si>
  <si>
    <t>ササガワ タカ印 提札 長型 小物用 白無地 18-101 1箱（1000枚入）</t>
  </si>
  <si>
    <t>ササガワ タカ印 提札 桃地 小 ミシン目入 18-120 1箱（500枚入）</t>
  </si>
  <si>
    <t>ササガワ タカ印 提札 白無地 大 ミシン目入 18-146 1箱（500枚入）</t>
  </si>
  <si>
    <t>ササガワ タカ印 提札 長型 小物用 白無地 18-150 1箱（1000枚入）</t>
  </si>
  <si>
    <t>ササガワ タカ印 提札 糸なし 白無地 ミシン入 18-1506 1箱（500枚入）</t>
  </si>
  <si>
    <t>ササガワ タカ印 提札 糸なし 白無地 ミシン入 18-1508 1箱（500枚入）</t>
  </si>
  <si>
    <t>ササガワ　包装紙　半才判　カーディアングレー茶　49-1421　ラッピング　1袋（50枚入）</t>
  </si>
  <si>
    <t>ササガワ 提札 長型 ゴールド 18-1942 1箱(500枚入)</t>
  </si>
  <si>
    <t>ササガワ 提札 カバン型 小物用 白無地 18-500 1箱(1000枚入)</t>
  </si>
  <si>
    <t>ササガワ 包装紙 ビアチューレ 半才判 49-1427 1袋(50枚入)</t>
  </si>
  <si>
    <t>ササガワ　包装紙　半才判　筋入ニューレター　49-1428　ラッピング　1袋（50枚入）</t>
  </si>
  <si>
    <t>ササガワ タカ印 提札 四角型 白無地 ミシン入 18-81 1箱（500枚入）</t>
  </si>
  <si>
    <t>ササガワ 割引シール 2割引 22-2202 1冊(500片)</t>
  </si>
  <si>
    <t>ササガワ 包装紙 アモール 半才判 49-1502 1包</t>
  </si>
  <si>
    <t>ササガワ 割引シール 3割引 22-2203 1冊(500片)</t>
  </si>
  <si>
    <t>ササガワ ギフトシール for you 22-912 1冊(16片)</t>
  </si>
  <si>
    <t>ササガワ アドポップ 要冷蔵 23-328 1冊(300片)</t>
  </si>
  <si>
    <t>ササガワ アドポップ 値引シール 半額 23-614 1セット(1冊(150片)×20)</t>
  </si>
  <si>
    <t>ササガワ シール札紙 無字 24-1900 1セット</t>
  </si>
  <si>
    <t>ササガワ 包装紙 半才判 プティフルール 49-1504 1包（50枚入）</t>
  </si>
  <si>
    <t>ササガワ 包装紙 和ごころ桜 49-1510 1袋(50枚入)</t>
  </si>
  <si>
    <t>ササガワ 包装紙 半才判 ラブリーフォー 49-1513 1袋（50枚入）</t>
  </si>
  <si>
    <t>ササガワ 包装紙 フラワーレターP 半才判 49-1524 1袋(50枚入)</t>
  </si>
  <si>
    <t>ササガワ カード立 L型 トーメイ・ペット 34-3122 1箱 (10個箱入)</t>
  </si>
  <si>
    <t>ササガワ カード立 L型 トーメイ・ペット 34-3123 1箱 (10個箱入)</t>
  </si>
  <si>
    <t>ササガワ カード立 L型 トーメイ・ペット 34-3125 1箱 (10個箱入)</t>
  </si>
  <si>
    <t>ササガワ 包装紙 ロマネスク 半才判 49-1560 1包50枚入</t>
  </si>
  <si>
    <t>ササガワ 包装紙 オリビア 半才判 49-1562 1包50枚入</t>
  </si>
  <si>
    <t>ササガワ カード立 L型 トーメイ・ペット 34-3126 1箱 (10個箱入)</t>
  </si>
  <si>
    <t>ササガワ カード立 Ｌ型 トーメイ・ペット 34-3220 1箱 【10個箱入】</t>
  </si>
  <si>
    <t>ササガワ　包装紙　半才判　彩流紺　49-1701　ラッピング　1袋（50枚入）</t>
  </si>
  <si>
    <t>ササガワ 包装紙 千代紙合わせ 赤 49-1715 1袋(50枚入)</t>
  </si>
  <si>
    <t>ササガワ 手提げ紙袋 パールB 大 35-5721 1袋（10枚入）</t>
  </si>
  <si>
    <t>ササガワ 包装紙 全判 ルージュ 49-2120 1袋（50枚入）</t>
  </si>
  <si>
    <t>ササガワ 包装紙 全判 マリン 49-2121 1袋（50枚入）</t>
  </si>
  <si>
    <t>ササガワ 包装紙 赤 ルージュ 半才判 49-1120 1包</t>
  </si>
  <si>
    <t>ササガワ 包装紙 青 マリン 半才判 49-1121 1袋(50枚入)</t>
  </si>
  <si>
    <t>ササガワ 包装紙 ラフクラフト 全判 49-2123 1袋(50枚入)</t>
  </si>
  <si>
    <t>ササガワ 包装紙 ラフクラフト 半才判 49-1123 1包</t>
  </si>
  <si>
    <t>ササガワ 包装紙 半才判 シルバーライン 49-1139 1袋（50枚入）</t>
  </si>
  <si>
    <t>ササガワ 包装紙 クリスタルブルー 49-2132 1袋(50枚入)</t>
  </si>
  <si>
    <t>ササガワ　包装紙　全判　アモール　49-2502　ラッピング　1袋（50枚入）</t>
  </si>
  <si>
    <t>ササガワ 包装紙 プティフルール 49-2504 1袋(50枚入)</t>
  </si>
  <si>
    <t>ササガワ 包装紙 タレイア 全判 49-2506 1袋(50枚入)</t>
  </si>
  <si>
    <t>ササガワ 包装紙 ロマネスク 全判 49-2560 1包50枚入</t>
  </si>
  <si>
    <t>ササガワ 包装紙 クライス 全判 49-2806 1袋(50枚入)</t>
  </si>
  <si>
    <t>ササガワ 包装紙 レトロガーリー 半才判 49-1415 1袋(50枚入)</t>
  </si>
  <si>
    <t>ササガワ 平袋 マリン 小 50-1407 1セット(1袋(200枚入)×3)</t>
  </si>
  <si>
    <t>ササガワ 平袋 マリン 中 50-1507 1セット(1袋(200枚入)×2)</t>
  </si>
  <si>
    <t>ササガワ ギフトバッグ 平袋 レースィ 50-1512 1包100枚入</t>
  </si>
  <si>
    <t>ササガワ ギフトバッグ 平袋 ギンガムあか 50-1700 1袋(200枚入)</t>
  </si>
  <si>
    <t>ササガワ ギフトバッグ 平袋 ギンガムあか 50-1800 1袋(200枚入)</t>
  </si>
  <si>
    <t>ササガワ 包装紙 ルージュ ハトロン半才判 49-9120 1袋(50枚入)</t>
  </si>
  <si>
    <t>ササガワ　包装紙　ハトロン半才判　マリン　49-9121　ラッピング　1袋（50枚入）</t>
  </si>
  <si>
    <t>ササガワ 角底袋 クリスタルブルー 50-3111 1セット(1包(100枚)×2)</t>
  </si>
  <si>
    <t>ササガワ 角底袋 クリスタルブルー 50-3411 1セット(1包(100枚)×2)</t>
  </si>
  <si>
    <t>ササガワ ギフトバッグ 平袋 幅105×高さ150mm ギンガムあか 50-1200 1袋（200枚入）</t>
  </si>
  <si>
    <t>ササガワ ギフトバッグ 平袋ファンシーあか 50-1203 1袋(200枚入)</t>
  </si>
  <si>
    <t>ササガワ ギフトバッグ 平袋 ギンガムあか 50-1300 1袋(200枚入)</t>
  </si>
  <si>
    <t>ササガワ ギフトバッグ 平袋 レースィ 50-1312 1包(200枚入)</t>
  </si>
  <si>
    <t>ササガワ 角底袋 クリスタルブルー 50-3711 1包(100枚)</t>
  </si>
  <si>
    <t>ササガワ 不織布巾着袋 赤 超BIG 1P 50-3951 1枚</t>
  </si>
  <si>
    <t>ササガワ 不織布巾着袋 緑 超BIG 1P 50-3952 1枚</t>
  </si>
  <si>
    <t>ササガワ 手提げバッグ 白無地 幅広小 50-5000 1袋(50枚入)</t>
  </si>
  <si>
    <t>ササガワ 手提げバッグ 白無地 小 50-5100 1袋(50枚入)</t>
  </si>
  <si>
    <t>ササガワ 手提げバッグ 白無地 特大 50-5400 1袋(50枚入)</t>
  </si>
  <si>
    <t>ササガワ 手提げバッグ 白無地 特々大 50-5500 1袋(50枚入)</t>
  </si>
  <si>
    <t>ササガワ 手提げバッグ 茶無地 特小 50-5914 1袋(25枚入)</t>
  </si>
  <si>
    <t>ササガワ 手提げバッグ 白無地 小 50-6100 1包 (10枚袋入)</t>
  </si>
  <si>
    <t>ササガワ 手提げ袋 マット黒 S22 50-6321 1セット(1枚×20)</t>
  </si>
  <si>
    <t>ササガワ 手提げバッグ 白無地 特大 50-6400 1袋(10枚入)</t>
  </si>
  <si>
    <t>ササガワ 手提げバッグ 10Pレースィ 小 50-6412 1包 (10枚袋入)</t>
  </si>
  <si>
    <t>ササガワ 手提げ袋 マット黒 SーT 50-6421 1セット(1枚×20)</t>
  </si>
  <si>
    <t>ササガワ 手提げ袋 マット黒 M 50-6521 1セット(1枚×10)</t>
  </si>
  <si>
    <t>ササガワ 手提げ紙袋 10P白無地 特大角 50-6600 1袋(10枚入)</t>
  </si>
  <si>
    <t>ササガワ 手提げ紙袋 10P白無地 超特大横長 50-6700 1袋(10枚入)</t>
  </si>
  <si>
    <t>ササガワ 手提げ袋 マット黒 LL 50-6721 1セット(1枚×10)</t>
  </si>
  <si>
    <t>ササガワ 手提げバッグ 10Pレースィ 大 50-6812 1包 (10枚袋入)</t>
  </si>
  <si>
    <t>ササガワ 手提げ袋 マット黒 Yー45 50-6821 1枚</t>
  </si>
  <si>
    <t>ササガワ 手提げ袋 マット黒 Yー55 50-6921 1セット(1枚×10)</t>
  </si>
  <si>
    <t>ササガワ 手提袋 一升瓶 1本用 50-6929 1袋(10枚入)</t>
  </si>
  <si>
    <t>ササガワ 三角くじ 小槌 5-410 1、000枚</t>
  </si>
  <si>
    <t>ササガワ 三角くじ ラッキーチャンス 5-411 1箱</t>
  </si>
  <si>
    <t>ササガワ 証書ファイル A4 レザー調 濃紺青 10-6001 1セット(1冊×10)</t>
  </si>
  <si>
    <t>ササガワ 証書ファイル A4 レザー調 濃緋紅 10-6000 1セット(1冊×10)</t>
  </si>
  <si>
    <t>ササガワ 証書ファイル A4 レザー調 焦茶栗 10-6002 1セット(1冊×10)</t>
  </si>
  <si>
    <t>ササガワ 証書ファイル A4 レザー調 銀灰黒 10-6003 1セット（1冊×10）</t>
  </si>
  <si>
    <t>ササガワ プリンター対応シール札紙A5 蝶結び 24-1916 1冊:200片袋入(10片×</t>
  </si>
  <si>
    <t>ササガワ プリンター対応シール札紙A5 赤棒 24-1917 1冊(200片入)</t>
  </si>
  <si>
    <t>ササガワ プリンター対応シール札紙A5 都のし 24-1919 1セット(200片入)</t>
  </si>
  <si>
    <t>ササガワ 【OW】OA対応貼ってはがせるクラフト値札 長型 20-508 1冊(240片)</t>
  </si>
  <si>
    <t>ササガワ カタログホルダー A4 3段 32-8765 1個</t>
  </si>
  <si>
    <t>ササガワ 【OW】クラフト値札 メガネ型 20-570 1冊(96片)</t>
  </si>
  <si>
    <t>ササガワ カタログスタンド A4 4段 32-8766 1個</t>
  </si>
  <si>
    <t>ササガワ カタログホルダー A4三ッ折 32-8770 1個袋入り</t>
  </si>
  <si>
    <t>ササガワ アクリルディスプレイ コの字 大 32-8791 1個袋入</t>
  </si>
  <si>
    <t>ササガワ 44ー5810 ネックレススタンド ホワイト組立式 3枚/袋 007190637 1セット(1袋(3枚入)×4)（直送品）</t>
  </si>
  <si>
    <t>ササガワ 44ー5811 ネックレススタンド ブラック組立式 3枚/袋 007190638 1セット(1袋(3枚入)×4)（直送品）</t>
  </si>
  <si>
    <t>ササガワ 【OW】組立式5段飾り棚 ホワイト 44-5840 1セット(2台袋入)</t>
  </si>
  <si>
    <t>ササガワ 紙製組立式3段かざり棚 BIG ホワイト 44-5860 1台袋入</t>
  </si>
  <si>
    <t>ササガワ 紙製組立式3段かざり棚 BIG ブラック 44-5861 1台袋入</t>
  </si>
  <si>
    <t>ササガワ 紙製組立式傾斜かざり棚 BIG ホワイト 44-5865 1台袋入</t>
  </si>
  <si>
    <t>ササガワ 紙製組立式3段かざり棚 BIG ブラウン 44-5862 1個</t>
  </si>
  <si>
    <t>ササガワ 紙製組立式傾斜かざり棚 BIG ブラック 44-5866 1台</t>
  </si>
  <si>
    <t>ササガワ 包装紙 ピュアピンク 半才判 49-1203 1包(50枚袋入)</t>
  </si>
  <si>
    <t>ササガワ 包装紙 アイボリーサンド 半才判 49-1205 1包(50枚袋入)</t>
  </si>
  <si>
    <t>ササガワ 包装紙 クリスタルグレー 半才判 49-1206 1包(50枚袋入)</t>
  </si>
  <si>
    <t>ササガワ 包装紙 スカイブルー 半才判 49-1207 1包(50枚袋入)</t>
  </si>
  <si>
    <t>ササガワ 包装紙 スターシルバー 半才判 49-1211 1包(50枚袋入)</t>
  </si>
  <si>
    <t>ササガワ 包装紙 ディープグリーン 半才判 49-1215 1包(50枚袋入)</t>
  </si>
  <si>
    <t>ササガワ 包装紙 ボルドーレッド 半才判 49-1216 1包(50枚袋入)</t>
  </si>
  <si>
    <t>ササガワ 包装紙 カリビアンブルー 半才判 49-1217 1包(50枚袋入)</t>
  </si>
  <si>
    <t>ササガワ 黄ポスター 小 赤枠¥入り 11-1700 1セット(1冊(100枚)×10)</t>
  </si>
  <si>
    <t>【アウトレット】ササガワ 黄ポスター B4判 お買得品 11A1766 1冊(50枚入)</t>
  </si>
  <si>
    <t>ササガワ 黄ポスター 小 お買得品 11-1704 1セット(1冊(100枚)×10)</t>
  </si>
  <si>
    <t>ササガワ 提札 長型 小物用 白無地 18-600 1箱(1000枚入)</t>
  </si>
  <si>
    <t>ササガワ 提札 カバン型 ゴールド 18-1911 1箱(500枚入)</t>
  </si>
  <si>
    <t>ササガワ 提札 カバン型 ゴールド 18-1923 1箱(500枚入)</t>
  </si>
  <si>
    <t>ササガワ タカ印 提札 長型 ゴールド 18-1943 1箱（500枚入）</t>
  </si>
  <si>
    <t>ササガワ 提札 カバン型 金箔 PRICE 18-1922 1箱(500枚入)</t>
  </si>
  <si>
    <t>ササガワ タカ印 提札 四角型 桃 SALE 18-3330 1箱（500枚入）</t>
  </si>
  <si>
    <t>ササガワ 提札 四角型 青 PRICE 18-3336 1箱(500枚入)</t>
  </si>
  <si>
    <t>ササガワ 提札 高級 FASHION 18-3675 1箱(500枚入)</t>
  </si>
  <si>
    <t>ササガワ 提札 クローバー 18-3701 1箱(500枚入)</t>
  </si>
  <si>
    <t>【アウトレット】ササガワ 提札 四つ葉のクローバー 18-3720 1箱(500枚入)</t>
  </si>
  <si>
    <t>【アウトレット】ササガワ 提札 花枠 18-3710 1箱(500枚入)</t>
  </si>
  <si>
    <t>ササガワ 提札 四つ葉のクローバー 18-3730 1箱(500枚入)</t>
  </si>
  <si>
    <t>ササガワ ポップシール 無地 22-2200 1冊 (500片入)</t>
  </si>
  <si>
    <t>ササガワ アドテープ 通年用 For You 21-68 1袋(500片入)</t>
  </si>
  <si>
    <t>【アウトレット】ササガワ クリスマス ギフトシール Merry Christmas リース 22-4037 1冊（100片）</t>
  </si>
  <si>
    <t>ササガワ 割引シール 5割引 22-2205 1冊（500片）</t>
  </si>
  <si>
    <t>【アウトレット】ササガワ クリスマス ギフトシール Merry Christmas 白 22-4050 1冊（50片）</t>
  </si>
  <si>
    <t>【アウトレット】ササガワ クリスマス ギフトシール Merry Xmas 22-4056 1冊（100片）</t>
  </si>
  <si>
    <t>ササガワ 福袋シール 小 24-610 1パック(50片)</t>
  </si>
  <si>
    <t>ササガワ 福袋シール 中 24-611 1パック(40片)</t>
  </si>
  <si>
    <t>ササガワ スライド式ひな段ディスプレイ ホワイト 32-4560 1個</t>
  </si>
  <si>
    <t>ササガワ 福袋シール 大 24-612 1パック(30片)</t>
  </si>
  <si>
    <t>ササガワ スライド式ひな段ディスプレイ クリア 32-4562 1個</t>
  </si>
  <si>
    <t>ササガワ スライド式ひな段ディスプレイ ブラック 32-4561 1個箱入</t>
  </si>
  <si>
    <t>ササガワ 万能カード立 中 32-8775 1箱(10個入)</t>
  </si>
  <si>
    <t>ササガワ アクリル募金箱 ロックキー付 32-5640 1台袋入</t>
  </si>
  <si>
    <t>ササガワ 万能カード立 小 32-8776 1箱(10個入)</t>
  </si>
  <si>
    <t>ササガワ アクリルディスプレイ コの字 小 32-8793 1個</t>
  </si>
  <si>
    <t>ササガワ 万能カード立 小 ブラック 32-8777 1箱(10個入)</t>
  </si>
  <si>
    <t>ササガワ 番号札 青 1~100 小 32-8795 1箱</t>
  </si>
  <si>
    <t>ササガワ 番号札 桃 1~100 小 32-8797 1箱</t>
  </si>
  <si>
    <t>ササガワ 番号札 水色 1~100 小 32-8799 1箱</t>
  </si>
  <si>
    <t>ササガワ 番号札 赤 1~100 小 32-8798 1箱</t>
  </si>
  <si>
    <t>ササガワ 包装紙 ハッピークローバー 49-1514 1包(50枚)</t>
  </si>
  <si>
    <t>ササガワ 包装紙 ハッピークローバー 49-2514 1袋(50枚入)</t>
  </si>
  <si>
    <t>ササガワ BIG抽選箱 白 27cm角 37-7916 1袋(1個入)</t>
  </si>
  <si>
    <t>【イベント用品・販促用品】ササガワ 抽選箱 白 20cm角 37-7918 1個</t>
  </si>
  <si>
    <t>ササガワ １６ー３１５１　カード　はがき大　クラフト１００　100枚／冊 007401745 100枚／冊×3冊（直送品）</t>
  </si>
  <si>
    <t>ササガワ １６ー３１５８　カード　はがき大　ブラック１００　100枚／冊 007401751 100枚／冊×3冊（直送品）</t>
  </si>
  <si>
    <t>ササガワ 提札 水地 小 ミシン目入 18-124 1箱(500枚入)</t>
  </si>
  <si>
    <t>ササガワ タカ印 提札 灰地 小 ミシン目入 18-125 1箱（500枚入）</t>
  </si>
  <si>
    <t>ササガワ タカ印 提札 糸なし 白無地 ミシン入 18-1507 1箱（500枚入）</t>
  </si>
  <si>
    <t>ササガワ 固定用透明シール メガネ型 20-1588 1冊(500片入)</t>
  </si>
  <si>
    <t>ササガワ ギフトシール For You 金 21-69 1巻(500枚入)</t>
  </si>
  <si>
    <t>ササガワ ギフトシール ForYou赤 22-2917 1袋(4片×15シート入)</t>
  </si>
  <si>
    <t>ササガワ 機械貼ギフトシール 通年 22-4024 1袋(4片×25シート入)</t>
  </si>
  <si>
    <t>ササガワ 包装紙 レトロギンガム赤 半才判 49-1154 1袋(50枚入)</t>
  </si>
  <si>
    <t>ササガワ 包装紙 レトロギンガム青 半才判 49-1155 1袋(50枚入)</t>
  </si>
  <si>
    <t>ササガワ 包装紙 ブルーフラワー 半才判 49-1500 1袋(50枚入)</t>
  </si>
  <si>
    <t>ササガワ 包装紙 クラウド ブルー 半才判 49-1812 1袋(50枚入)</t>
  </si>
  <si>
    <t>ササガワ 包装紙 半才判 クラウド グレー 49-1813 1袋（50枚入）</t>
  </si>
  <si>
    <t>ササガワ 平袋シルバースミス小 50-1409 1包(200枚)</t>
  </si>
  <si>
    <t>ササガワ ギフトバッグ 平袋 ギンガムあか 50-1500 1袋(200枚入)</t>
  </si>
  <si>
    <t>ササガワ ギフトバッグ 平袋ファンシーあか 50-1503 1袋(200枚入)</t>
  </si>
  <si>
    <t>ササガワ ギフトバッグ 角底袋 しろ 無地 50-3000 1袋(100枚入)</t>
  </si>
  <si>
    <t>ササガワ 角底袋 クリスタルピンク 50-3110 1包(100枚)</t>
  </si>
  <si>
    <t>ササガワ ギフトバッグ 角底袋 幅130×マチ65×高さ250mm しろ 無地 50-3200 1袋（100枚入）</t>
  </si>
  <si>
    <t>ササガワ タカ印 水引 白赤15 44-115 100本（100本包装）</t>
  </si>
  <si>
    <t>ササガワ 【OW】3段ディスプレイ ブラック 組立式 44-5801 1セット(3個:3個入×1袋</t>
  </si>
  <si>
    <t>ササガワ 削りカスの出ないスクラッチくじ 1等 1セット（25枚袋入×50）</t>
  </si>
  <si>
    <t>ササガワ 削りカスの出ないスクラッチくじ 3等 1セット（25枚袋入×300）</t>
  </si>
  <si>
    <t>ササガワ 削りカスの出ないスクラッチくじ ハズレ 1セット（50枚袋入×500）</t>
  </si>
  <si>
    <t>ササガワ ギフトバッグ 平袋ファンシーあか 50-1303 1袋(200枚入)</t>
  </si>
  <si>
    <t>ササガワ 平袋 ルージュ 中 50-1506 1セット(1包(200枚)×2)</t>
  </si>
  <si>
    <t>ササガワ ギフトバッグ 平袋 プチスタンプ 50-1608 1包(50枚入)</t>
  </si>
  <si>
    <t>ササガワ ギフトバッグ 平袋ファンシーあか 50-1703 1袋(200枚入)</t>
  </si>
  <si>
    <t>ササガワ ギフトバッグ 角底袋 マリン 50-3207 1袋(100枚入)</t>
  </si>
  <si>
    <t>ササガワ 平袋 ルージュ 大 50-1706 1袋(200枚入)</t>
  </si>
  <si>
    <t>【アウトレット】ササガワ 角底袋シルバースミス中 50-3209 1包(100枚)</t>
  </si>
  <si>
    <t>ササガワ 包装紙 ノンブルーハートP 半才判 49-3419 1袋(50枚入)</t>
  </si>
  <si>
    <t>ササガワ 角底袋 クリスタルピンク 50-3410 1セット(1包(100枚)×2)</t>
  </si>
  <si>
    <t>ササガワ 角底袋 クリスタルピンク 50-3710 1セット(1袋(100枚入)×2)</t>
  </si>
  <si>
    <t>ササガワ ギフトバッグ 角底袋 しろ 無地 50-3800 1袋(100枚入)</t>
  </si>
  <si>
    <t>ササガワ ギフトバッグ 角底袋 しろ 無地 50-3500 1袋(100枚入)</t>
  </si>
  <si>
    <t>【アウトレット】ササガワ ギフトバッグ 角底袋 未晒 超特大 50-3801 1袋(100枚入)</t>
  </si>
  <si>
    <t>ササガワ 手提げバッグ 未晒 小 50-5101 1袋(50枚入)</t>
  </si>
  <si>
    <t>ササガワ 手提げバッグ 白無地 中 50-5200 1袋(50枚入)</t>
  </si>
  <si>
    <t>ササガワ 手提げバッグ エメラルド 中 50-5208 1袋(50枚入)</t>
  </si>
  <si>
    <t>ササガワ 手提げバッグ 白無地 大 50-5300 1袋(50枚入)</t>
  </si>
  <si>
    <t>ササガワ 手提げバッグ 未晒 大 50-5301 1袋(50枚入)</t>
  </si>
  <si>
    <t>ササガワ 手提げバッグ マリン 大 50-5307 1袋(50枚入)</t>
  </si>
  <si>
    <t>ササガワ 手提げバッグ レースィ 小 50-5412 1包 (25枚袋入)</t>
  </si>
  <si>
    <t>ササガワ 手提げバッグ レースィ 中 50-5612 1包 (50枚袋入)</t>
  </si>
  <si>
    <t>ササガワ 手提げバッグ 赤 特小 50-5910 1袋(25枚入)</t>
  </si>
  <si>
    <t>ササガワ 手提げバッグ 特小 白無地 50-5913 1袋（25枚入）</t>
  </si>
  <si>
    <t>ササガワ 手提げバッグ 茶 特小 50-5915 1袋(25枚入)</t>
  </si>
  <si>
    <t>ササガワ 手提げ紙袋 10P白無地 特々大 50-6500 1袋(10枚入)</t>
  </si>
  <si>
    <t>ササガワ 手提げバッグ 白無地 大 50-6300 1包 (10枚袋入)</t>
  </si>
  <si>
    <t>ササガワ 手提げバッグ レースィ 中 50-6612 1包 (10枚袋入)</t>
  </si>
  <si>
    <t>ササガワ 手提げバッグ 10P赤 特小 50-6910 1包 (10枚袋入)</t>
  </si>
  <si>
    <t>ササガワ アドテープ 通年用 Especially 21-67 1袋(500片入)</t>
  </si>
  <si>
    <t>ササガワ マチ付封筒 A4 32-1432 1袋(50枚入)</t>
  </si>
  <si>
    <t>EX64221</t>
  </si>
  <si>
    <t>5袋（10枚×5）</t>
  </si>
  <si>
    <t>W568487</t>
  </si>
  <si>
    <t>1セット（50枚</t>
  </si>
  <si>
    <t>RN98967</t>
  </si>
  <si>
    <t>1袋（10枚）</t>
  </si>
  <si>
    <t>RX48537</t>
  </si>
  <si>
    <t>1冊（10枚）</t>
  </si>
  <si>
    <t>RE35358</t>
  </si>
  <si>
    <t>RE35360</t>
  </si>
  <si>
    <t>1袋（10枚入）</t>
  </si>
  <si>
    <t>RX48556</t>
  </si>
  <si>
    <t>1冊（5枚）</t>
  </si>
  <si>
    <t>W568498</t>
  </si>
  <si>
    <t>1セット（100枚入）</t>
  </si>
  <si>
    <t>2031445</t>
  </si>
  <si>
    <t>1袋（50枚入）</t>
  </si>
  <si>
    <t>HK29514</t>
  </si>
  <si>
    <t>1包（50枚袋入）</t>
  </si>
  <si>
    <t>HK29516</t>
  </si>
  <si>
    <t>HK29517</t>
  </si>
  <si>
    <t>XU14881</t>
  </si>
  <si>
    <t>1箱（5袋）</t>
  </si>
  <si>
    <t>XU14886</t>
  </si>
  <si>
    <t>XU14888</t>
  </si>
  <si>
    <t>XU14890</t>
  </si>
  <si>
    <t>XU14891</t>
  </si>
  <si>
    <t>XU14892</t>
  </si>
  <si>
    <t>XU14893</t>
  </si>
  <si>
    <t>2031507</t>
  </si>
  <si>
    <t>3605756</t>
  </si>
  <si>
    <t>E734551</t>
  </si>
  <si>
    <t>1個</t>
  </si>
  <si>
    <t>E358896</t>
  </si>
  <si>
    <t>E734513</t>
  </si>
  <si>
    <t>NN43877</t>
  </si>
  <si>
    <t>E734548</t>
  </si>
  <si>
    <t>NN43870</t>
  </si>
  <si>
    <t>NN43863</t>
  </si>
  <si>
    <t>3606950</t>
  </si>
  <si>
    <t>1袋（200枚入）</t>
  </si>
  <si>
    <t>3606978</t>
  </si>
  <si>
    <t>3606987</t>
  </si>
  <si>
    <t>3606996</t>
  </si>
  <si>
    <t>3607008</t>
  </si>
  <si>
    <t>NK42083</t>
  </si>
  <si>
    <t>1セット(5冊)</t>
  </si>
  <si>
    <t>2096074</t>
  </si>
  <si>
    <t>1箱（500枚入）</t>
  </si>
  <si>
    <t>2096127</t>
  </si>
  <si>
    <t>RE31144</t>
  </si>
  <si>
    <t>RE34022</t>
  </si>
  <si>
    <t>1枚</t>
  </si>
  <si>
    <t>HK27306</t>
  </si>
  <si>
    <t>1セット（1セット（100枚入）×5）</t>
  </si>
  <si>
    <t>P737402</t>
  </si>
  <si>
    <t>1冊（100片入）</t>
  </si>
  <si>
    <t>2728312</t>
  </si>
  <si>
    <t>1セット(1冊（10枚）×5)</t>
  </si>
  <si>
    <t>2728368</t>
  </si>
  <si>
    <t>1袋（10枚袋入×5冊）</t>
  </si>
  <si>
    <t>W568499</t>
  </si>
  <si>
    <t>100枚</t>
  </si>
  <si>
    <t>NN43872</t>
  </si>
  <si>
    <t>J480411</t>
  </si>
  <si>
    <t>1セット（1000枚</t>
  </si>
  <si>
    <t>W568496</t>
  </si>
  <si>
    <t>W568497</t>
  </si>
  <si>
    <t>RE49195</t>
  </si>
  <si>
    <t>1袋（50冊）</t>
  </si>
  <si>
    <t>X732044</t>
  </si>
  <si>
    <t>1セット(1冊（16片）×10)</t>
  </si>
  <si>
    <t>P435436</t>
  </si>
  <si>
    <t>1包</t>
  </si>
  <si>
    <t>X730756</t>
  </si>
  <si>
    <t>1セット(1冊（50枚）×5)</t>
  </si>
  <si>
    <t>RE35393</t>
  </si>
  <si>
    <t>1冊（50枚）</t>
  </si>
  <si>
    <t>RE33971</t>
  </si>
  <si>
    <t>RX47407</t>
  </si>
  <si>
    <t>RE33990</t>
  </si>
  <si>
    <t>RX47408</t>
  </si>
  <si>
    <t>A526224</t>
  </si>
  <si>
    <t>1袋（100片</t>
  </si>
  <si>
    <t>5444734</t>
  </si>
  <si>
    <t>1巻</t>
  </si>
  <si>
    <t>J977657</t>
  </si>
  <si>
    <t>X731370</t>
  </si>
  <si>
    <t>1箱 （1200枚箱入）</t>
  </si>
  <si>
    <t>W568783</t>
  </si>
  <si>
    <t>X731014</t>
  </si>
  <si>
    <t>1個（10個袋入）</t>
  </si>
  <si>
    <t>W568777</t>
  </si>
  <si>
    <t>1冊（100枚）</t>
  </si>
  <si>
    <t>X731016</t>
  </si>
  <si>
    <t>X731022</t>
  </si>
  <si>
    <t>W568778</t>
  </si>
  <si>
    <t>W568780</t>
  </si>
  <si>
    <t>X731018</t>
  </si>
  <si>
    <t>X731024</t>
  </si>
  <si>
    <t>X731017</t>
  </si>
  <si>
    <t>X731023</t>
  </si>
  <si>
    <t>X731019</t>
  </si>
  <si>
    <t>1個（1個袋入）</t>
  </si>
  <si>
    <t>X611204</t>
  </si>
  <si>
    <t>1袋（1枚入）</t>
  </si>
  <si>
    <t>P390998</t>
  </si>
  <si>
    <t>1セット（25枚袋入×50）</t>
  </si>
  <si>
    <t>RP70843</t>
  </si>
  <si>
    <t>1袋（1袋25枚入）</t>
  </si>
  <si>
    <t>X731021</t>
  </si>
  <si>
    <t>P391003</t>
  </si>
  <si>
    <t>RP70851</t>
  </si>
  <si>
    <t>1袋（1袋50枚入）</t>
  </si>
  <si>
    <t>RP70845</t>
  </si>
  <si>
    <t>P391002</t>
  </si>
  <si>
    <t>1セット（25枚袋入×300）</t>
  </si>
  <si>
    <t>A074837</t>
  </si>
  <si>
    <t>1セット(1冊（30枚）×5)</t>
  </si>
  <si>
    <t>UK27507</t>
  </si>
  <si>
    <t>1冊（30枚）</t>
  </si>
  <si>
    <t>A074844</t>
  </si>
  <si>
    <t>RX48529</t>
  </si>
  <si>
    <t>1冊（20枚）</t>
  </si>
  <si>
    <t>RE35214</t>
  </si>
  <si>
    <t>RK93039</t>
  </si>
  <si>
    <t>1セット（3冊）</t>
  </si>
  <si>
    <t>A074853</t>
  </si>
  <si>
    <t>1セット(1袋（50枚）×5)</t>
  </si>
  <si>
    <t>RK93306</t>
  </si>
  <si>
    <t>1セット(1冊×3)</t>
  </si>
  <si>
    <t>A074854</t>
  </si>
  <si>
    <t>1セット(1袋（50枚入）×5)</t>
  </si>
  <si>
    <t>RK91854</t>
  </si>
  <si>
    <t>A074850</t>
  </si>
  <si>
    <t>1セット(1袋（20枚）×5)</t>
  </si>
  <si>
    <t>RK93516</t>
  </si>
  <si>
    <t>A074857</t>
  </si>
  <si>
    <t>RK93298</t>
  </si>
  <si>
    <t>RE30207</t>
  </si>
  <si>
    <t>1袋（50枚）</t>
  </si>
  <si>
    <t>RK91855</t>
  </si>
  <si>
    <t>RE49190</t>
  </si>
  <si>
    <t>1セット（20枚入）</t>
  </si>
  <si>
    <t>RK91851</t>
  </si>
  <si>
    <t>1セット（2冊）</t>
  </si>
  <si>
    <t>RK91853</t>
  </si>
  <si>
    <t>RK91852</t>
  </si>
  <si>
    <t>E340000</t>
  </si>
  <si>
    <t>1セット(1冊（120片）×5)</t>
  </si>
  <si>
    <t>RX44935</t>
  </si>
  <si>
    <t>1冊（64片）</t>
  </si>
  <si>
    <t>AWW5504</t>
  </si>
  <si>
    <t>2097920</t>
  </si>
  <si>
    <t>U174392</t>
  </si>
  <si>
    <t>1セット（1袋（15シート入）×4）</t>
  </si>
  <si>
    <t>U174394</t>
  </si>
  <si>
    <t>U174386</t>
  </si>
  <si>
    <t>P301947</t>
  </si>
  <si>
    <t>1冊（10シート袋入（1シー</t>
  </si>
  <si>
    <t>U174382</t>
  </si>
  <si>
    <t>HK29538</t>
  </si>
  <si>
    <t>1本（10枚巻）</t>
  </si>
  <si>
    <t>HK29539</t>
  </si>
  <si>
    <t>HK29535</t>
  </si>
  <si>
    <t>HK29536</t>
  </si>
  <si>
    <t>HK29541</t>
  </si>
  <si>
    <t>HK29537</t>
  </si>
  <si>
    <t>HK29542</t>
  </si>
  <si>
    <t>HK29544</t>
  </si>
  <si>
    <t>HK29546</t>
  </si>
  <si>
    <t>HK29550</t>
  </si>
  <si>
    <t>HK29553</t>
  </si>
  <si>
    <t>HK29554</t>
  </si>
  <si>
    <t>HK29557</t>
  </si>
  <si>
    <t>HK29549</t>
  </si>
  <si>
    <t>HK29555</t>
  </si>
  <si>
    <t>HK29558</t>
  </si>
  <si>
    <t>HK29559</t>
  </si>
  <si>
    <t>HE74581</t>
  </si>
  <si>
    <t>1袋（20枚綴り×5冊入）</t>
  </si>
  <si>
    <t>HE74580</t>
  </si>
  <si>
    <t>1セット(1冊（20枚綴り）×5)</t>
  </si>
  <si>
    <t>HE74577</t>
  </si>
  <si>
    <t>UH34221</t>
  </si>
  <si>
    <t>1冊</t>
  </si>
  <si>
    <t>EX64222</t>
  </si>
  <si>
    <t>5袋（20枚×5）</t>
  </si>
  <si>
    <t>X731193</t>
  </si>
  <si>
    <t>1包 （10枚袋入）</t>
  </si>
  <si>
    <t>2831476</t>
  </si>
  <si>
    <t>X731197</t>
  </si>
  <si>
    <t>2831485</t>
  </si>
  <si>
    <t>W568711</t>
  </si>
  <si>
    <t>W568705</t>
  </si>
  <si>
    <t>W568706</t>
  </si>
  <si>
    <t>W568707</t>
  </si>
  <si>
    <t>W568708</t>
  </si>
  <si>
    <t>W568712</t>
  </si>
  <si>
    <t>W568713</t>
  </si>
  <si>
    <t>W568714</t>
  </si>
  <si>
    <t>W568715</t>
  </si>
  <si>
    <t>2025958</t>
  </si>
  <si>
    <t>1袋（4片×15シート入）</t>
  </si>
  <si>
    <t>2026024</t>
  </si>
  <si>
    <t>2026104</t>
  </si>
  <si>
    <t>1袋（6片×16シート入）</t>
  </si>
  <si>
    <t>W568716</t>
  </si>
  <si>
    <t>W568718</t>
  </si>
  <si>
    <t>2026122</t>
  </si>
  <si>
    <t>W568719</t>
  </si>
  <si>
    <t>E340037</t>
  </si>
  <si>
    <t>1冊（100枚袋入）</t>
  </si>
  <si>
    <t>2026131</t>
  </si>
  <si>
    <t>P737400</t>
  </si>
  <si>
    <t>3264165</t>
  </si>
  <si>
    <t>1箱（200枚入）</t>
  </si>
  <si>
    <t>P390109</t>
  </si>
  <si>
    <t>1セット（100個）</t>
  </si>
  <si>
    <t>3606243</t>
  </si>
  <si>
    <t>2029975</t>
  </si>
  <si>
    <t>2031703</t>
  </si>
  <si>
    <t>P390110</t>
  </si>
  <si>
    <t>1セット（100枚）</t>
  </si>
  <si>
    <t>RX47348</t>
  </si>
  <si>
    <t>HK27135</t>
  </si>
  <si>
    <t>1セット(1箱 （10個）×5)</t>
  </si>
  <si>
    <t>X730903</t>
  </si>
  <si>
    <t>1箱 （10個入）</t>
  </si>
  <si>
    <t>X730905</t>
  </si>
  <si>
    <t>1箱 （10個箱入）</t>
  </si>
  <si>
    <t>X730907</t>
  </si>
  <si>
    <t>2696827</t>
  </si>
  <si>
    <t>1箱（10個袋入×2袋）</t>
  </si>
  <si>
    <t>2696836</t>
  </si>
  <si>
    <t>1セット(1袋（10個）×2)</t>
  </si>
  <si>
    <t>A074887</t>
  </si>
  <si>
    <t>1セット（3個</t>
  </si>
  <si>
    <t>A074889</t>
  </si>
  <si>
    <t>W612726</t>
  </si>
  <si>
    <t>1セット（3個袋入）</t>
  </si>
  <si>
    <t>284306</t>
  </si>
  <si>
    <t>1巻（500枚入）</t>
  </si>
  <si>
    <t>2042574</t>
  </si>
  <si>
    <t>1袋（500片入）</t>
  </si>
  <si>
    <t>2025887</t>
  </si>
  <si>
    <t>E340002</t>
  </si>
  <si>
    <t>1セット（500片入）</t>
  </si>
  <si>
    <t>E340013</t>
  </si>
  <si>
    <t>1巻（500片袋入）</t>
  </si>
  <si>
    <t>2025644</t>
  </si>
  <si>
    <t>2025789</t>
  </si>
  <si>
    <t>WNU0120</t>
  </si>
  <si>
    <t>1袋(500個)</t>
  </si>
  <si>
    <t>WNU0122</t>
  </si>
  <si>
    <t>1ケース(500個)</t>
  </si>
  <si>
    <t>WNU0125</t>
  </si>
  <si>
    <t>WNU0123</t>
  </si>
  <si>
    <t>WNU0124</t>
  </si>
  <si>
    <t>WNU0126</t>
  </si>
  <si>
    <t>WNU0127</t>
  </si>
  <si>
    <t>WNU0128</t>
  </si>
  <si>
    <t>WNU0129</t>
  </si>
  <si>
    <t>HK29518</t>
  </si>
  <si>
    <t>2096029</t>
  </si>
  <si>
    <t>1箱（1000枚入）</t>
  </si>
  <si>
    <t>2096047</t>
  </si>
  <si>
    <t>2096216</t>
  </si>
  <si>
    <t>2096225</t>
  </si>
  <si>
    <t>2096280</t>
  </si>
  <si>
    <t>2096305</t>
  </si>
  <si>
    <t>3606029</t>
  </si>
  <si>
    <t>2096575</t>
  </si>
  <si>
    <t>2098103</t>
  </si>
  <si>
    <t>2030635</t>
  </si>
  <si>
    <t>3606038</t>
  </si>
  <si>
    <t>2098177</t>
  </si>
  <si>
    <t>E358897</t>
  </si>
  <si>
    <t>1冊（500片）</t>
  </si>
  <si>
    <t>P435426</t>
  </si>
  <si>
    <t>E358899</t>
  </si>
  <si>
    <t>UA23253</t>
  </si>
  <si>
    <t>1冊（16片）</t>
  </si>
  <si>
    <t>RX44077</t>
  </si>
  <si>
    <t>1冊（300片）</t>
  </si>
  <si>
    <t>2694045</t>
  </si>
  <si>
    <t>1セット(1冊（150片）×20)</t>
  </si>
  <si>
    <t>X732068</t>
  </si>
  <si>
    <t>1セット</t>
  </si>
  <si>
    <t>J096269</t>
  </si>
  <si>
    <t>1包（50枚入）</t>
  </si>
  <si>
    <t>3605818</t>
  </si>
  <si>
    <t>2030751</t>
  </si>
  <si>
    <t>2030896</t>
  </si>
  <si>
    <t>X730895</t>
  </si>
  <si>
    <t>X730896</t>
  </si>
  <si>
    <t>X730902</t>
  </si>
  <si>
    <t>3264343</t>
  </si>
  <si>
    <t>1包50枚入</t>
  </si>
  <si>
    <t>3264361</t>
  </si>
  <si>
    <t>X730904</t>
  </si>
  <si>
    <t>X730906</t>
  </si>
  <si>
    <t>3606655</t>
  </si>
  <si>
    <t>3606584</t>
  </si>
  <si>
    <t>X335469</t>
  </si>
  <si>
    <t>2031552</t>
  </si>
  <si>
    <t>2031561</t>
  </si>
  <si>
    <t>P435432</t>
  </si>
  <si>
    <t>P435433</t>
  </si>
  <si>
    <t>3606922</t>
  </si>
  <si>
    <t>P435435</t>
  </si>
  <si>
    <t>3606207</t>
  </si>
  <si>
    <t>3606332</t>
  </si>
  <si>
    <t>3605783</t>
  </si>
  <si>
    <t>3605809</t>
  </si>
  <si>
    <t>2031839</t>
  </si>
  <si>
    <t>3264460</t>
  </si>
  <si>
    <t>2032077</t>
  </si>
  <si>
    <t>2030546</t>
  </si>
  <si>
    <t>4789587</t>
  </si>
  <si>
    <t>1セット(1袋（200枚入）×3)</t>
  </si>
  <si>
    <t>4789596</t>
  </si>
  <si>
    <t>1セット(1袋（200枚入）×2)</t>
  </si>
  <si>
    <t>3264586</t>
  </si>
  <si>
    <t>1包100枚入</t>
  </si>
  <si>
    <t>2032934</t>
  </si>
  <si>
    <t>2033010</t>
  </si>
  <si>
    <t>3606851</t>
  </si>
  <si>
    <t>3606898</t>
  </si>
  <si>
    <t>4789255</t>
  </si>
  <si>
    <t>1セット(1包（100枚）×2)</t>
  </si>
  <si>
    <t>4789282</t>
  </si>
  <si>
    <t>2032710</t>
  </si>
  <si>
    <t>1包（200枚入）</t>
  </si>
  <si>
    <t>2032756</t>
  </si>
  <si>
    <t>2032774</t>
  </si>
  <si>
    <t>3264577</t>
  </si>
  <si>
    <t>UK27510</t>
  </si>
  <si>
    <t>1包（100枚）</t>
  </si>
  <si>
    <t>P435424</t>
  </si>
  <si>
    <t>P435425</t>
  </si>
  <si>
    <t>2033619</t>
  </si>
  <si>
    <t>2033646</t>
  </si>
  <si>
    <t>2033898</t>
  </si>
  <si>
    <t>2033978</t>
  </si>
  <si>
    <t>2034106</t>
  </si>
  <si>
    <t>1袋（25枚入）</t>
  </si>
  <si>
    <t>X731190</t>
  </si>
  <si>
    <t>4789077</t>
  </si>
  <si>
    <t>1セット(1枚×20)</t>
  </si>
  <si>
    <t>2831430</t>
  </si>
  <si>
    <t>X731216</t>
  </si>
  <si>
    <t>4789086</t>
  </si>
  <si>
    <t>4789101</t>
  </si>
  <si>
    <t>1セット(1枚×10)</t>
  </si>
  <si>
    <t>X335472</t>
  </si>
  <si>
    <t>X335468</t>
  </si>
  <si>
    <t>4789139</t>
  </si>
  <si>
    <t>X731244</t>
  </si>
  <si>
    <t>RX48524</t>
  </si>
  <si>
    <t>4789157</t>
  </si>
  <si>
    <t>4789237</t>
  </si>
  <si>
    <t>W575846</t>
  </si>
  <si>
    <t>1、000枚</t>
  </si>
  <si>
    <t>W568754</t>
  </si>
  <si>
    <t>1箱</t>
  </si>
  <si>
    <t>XE70935</t>
  </si>
  <si>
    <t>1セット（1冊×10）</t>
  </si>
  <si>
    <t>XE70934</t>
  </si>
  <si>
    <t>XE70933</t>
  </si>
  <si>
    <t>XE70930</t>
  </si>
  <si>
    <t>HK29496</t>
  </si>
  <si>
    <t>HK29497</t>
  </si>
  <si>
    <t>1冊（200片入）</t>
  </si>
  <si>
    <t>HK29499</t>
  </si>
  <si>
    <t>1セット（200片入）</t>
  </si>
  <si>
    <t>RE33606</t>
  </si>
  <si>
    <t>1冊（240片）</t>
  </si>
  <si>
    <t>KR50893</t>
  </si>
  <si>
    <t>RX44586</t>
  </si>
  <si>
    <t>1冊（96片）</t>
  </si>
  <si>
    <t>KR50878</t>
  </si>
  <si>
    <t>KR50873</t>
  </si>
  <si>
    <t>1個袋入</t>
  </si>
  <si>
    <t>KR49784</t>
  </si>
  <si>
    <t>U174388</t>
  </si>
  <si>
    <t>1セット（1袋（3枚入）×4）</t>
  </si>
  <si>
    <t>U174389</t>
  </si>
  <si>
    <t>P301944</t>
  </si>
  <si>
    <t>1セット（2台袋入）</t>
  </si>
  <si>
    <t>X313602</t>
  </si>
  <si>
    <t>1台袋入</t>
  </si>
  <si>
    <t>X313599</t>
  </si>
  <si>
    <t>X313603</t>
  </si>
  <si>
    <t>X313601</t>
  </si>
  <si>
    <t>X313608</t>
  </si>
  <si>
    <t>1台</t>
  </si>
  <si>
    <t>HK29505</t>
  </si>
  <si>
    <t>HK29507</t>
  </si>
  <si>
    <t>HK29510</t>
  </si>
  <si>
    <t>HK29509</t>
  </si>
  <si>
    <t>HK29513</t>
  </si>
  <si>
    <t>HK29515</t>
  </si>
  <si>
    <t>HK29522</t>
  </si>
  <si>
    <t>HK29520</t>
  </si>
  <si>
    <t>W568527</t>
  </si>
  <si>
    <t>1セット(1冊（100枚）×10)</t>
  </si>
  <si>
    <t>W568556</t>
  </si>
  <si>
    <t>1冊(50枚入)</t>
  </si>
  <si>
    <t>W568531</t>
  </si>
  <si>
    <t>2098140</t>
  </si>
  <si>
    <t>2096397</t>
  </si>
  <si>
    <t>2096501</t>
  </si>
  <si>
    <t>2096593</t>
  </si>
  <si>
    <t>2096495</t>
  </si>
  <si>
    <t>2096870</t>
  </si>
  <si>
    <t>2096922</t>
  </si>
  <si>
    <t>2097705</t>
  </si>
  <si>
    <t>2097840</t>
  </si>
  <si>
    <t>2097957</t>
  </si>
  <si>
    <t>2097901</t>
  </si>
  <si>
    <t>2097993</t>
  </si>
  <si>
    <t>X730819</t>
  </si>
  <si>
    <t>1冊 （500片入）</t>
  </si>
  <si>
    <t>2025751</t>
  </si>
  <si>
    <t>J977658</t>
  </si>
  <si>
    <t>E358898</t>
  </si>
  <si>
    <t>1冊（500片入）</t>
  </si>
  <si>
    <t>E342297</t>
  </si>
  <si>
    <t>A607630</t>
  </si>
  <si>
    <t>3364680</t>
  </si>
  <si>
    <t>1パック（50片）</t>
  </si>
  <si>
    <t>3364705</t>
  </si>
  <si>
    <t>1パック（40片）</t>
  </si>
  <si>
    <t>X885936</t>
  </si>
  <si>
    <t>3364643</t>
  </si>
  <si>
    <t>1パック（30片）</t>
  </si>
  <si>
    <t>X885920</t>
  </si>
  <si>
    <t>X885922</t>
  </si>
  <si>
    <t>1個箱入</t>
  </si>
  <si>
    <t>KR49788</t>
  </si>
  <si>
    <t>1箱（10個入）</t>
  </si>
  <si>
    <t>E734550</t>
  </si>
  <si>
    <t>KR49783</t>
  </si>
  <si>
    <t>KR49799</t>
  </si>
  <si>
    <t>KR49786</t>
  </si>
  <si>
    <t>KR49792</t>
  </si>
  <si>
    <t>KR49793</t>
  </si>
  <si>
    <t>KR49798</t>
  </si>
  <si>
    <t>KR49791</t>
  </si>
  <si>
    <t>3605738</t>
  </si>
  <si>
    <t>1包（50枚）</t>
  </si>
  <si>
    <t>3605747</t>
  </si>
  <si>
    <t>X611208</t>
  </si>
  <si>
    <t>1袋(1個入)</t>
  </si>
  <si>
    <t>NN43864</t>
  </si>
  <si>
    <t>U174730</t>
  </si>
  <si>
    <t>1セット（300枚</t>
  </si>
  <si>
    <t>U174737</t>
  </si>
  <si>
    <t>2096109</t>
  </si>
  <si>
    <t>2096118</t>
  </si>
  <si>
    <t>2096299</t>
  </si>
  <si>
    <t>X313606</t>
  </si>
  <si>
    <t>E358987</t>
  </si>
  <si>
    <t>2025985</t>
  </si>
  <si>
    <t>2026196</t>
  </si>
  <si>
    <t>1袋（4片×25シート入）</t>
  </si>
  <si>
    <t>2029859</t>
  </si>
  <si>
    <t>2029868</t>
  </si>
  <si>
    <t>2030671</t>
  </si>
  <si>
    <t>2031534</t>
  </si>
  <si>
    <t>2031543</t>
  </si>
  <si>
    <t>UA24644</t>
  </si>
  <si>
    <t>1包（200枚）</t>
  </si>
  <si>
    <t>2032845</t>
  </si>
  <si>
    <t>2032872</t>
  </si>
  <si>
    <t>2033065</t>
  </si>
  <si>
    <t>1袋（100枚入）</t>
  </si>
  <si>
    <t>RR51820</t>
  </si>
  <si>
    <t>2033136</t>
  </si>
  <si>
    <t>J097349</t>
  </si>
  <si>
    <t>100本（100本包装）</t>
  </si>
  <si>
    <t>A074888</t>
  </si>
  <si>
    <t>P390999</t>
  </si>
  <si>
    <t>P391001</t>
  </si>
  <si>
    <t>P391005</t>
  </si>
  <si>
    <t>1セット（50枚袋入×500）</t>
  </si>
  <si>
    <t>2032809</t>
  </si>
  <si>
    <t>4789676</t>
  </si>
  <si>
    <t>1セット(1包（200枚）×2)</t>
  </si>
  <si>
    <t>A607676</t>
  </si>
  <si>
    <t>2032961</t>
  </si>
  <si>
    <t>2033207</t>
  </si>
  <si>
    <t>4789685</t>
  </si>
  <si>
    <t>UK27508</t>
  </si>
  <si>
    <t>2032291</t>
  </si>
  <si>
    <t>4789264</t>
  </si>
  <si>
    <t>4789291</t>
  </si>
  <si>
    <t>1セット(1袋（100枚入）×2)</t>
  </si>
  <si>
    <t>2033593</t>
  </si>
  <si>
    <t>2033323</t>
  </si>
  <si>
    <t>2033600</t>
  </si>
  <si>
    <t>2033655</t>
  </si>
  <si>
    <t>2033735</t>
  </si>
  <si>
    <t>2033806</t>
  </si>
  <si>
    <t>2033824</t>
  </si>
  <si>
    <t>2033833</t>
  </si>
  <si>
    <t>2033870</t>
  </si>
  <si>
    <t>X731179</t>
  </si>
  <si>
    <t>1包 （25枚袋入）</t>
  </si>
  <si>
    <t>X731181</t>
  </si>
  <si>
    <t>1包 （50枚袋入）</t>
  </si>
  <si>
    <t>2034044</t>
  </si>
  <si>
    <t>2034090</t>
  </si>
  <si>
    <t>1包（25枚入）</t>
  </si>
  <si>
    <t>2034115</t>
  </si>
  <si>
    <t>X335473</t>
  </si>
  <si>
    <t>X731207</t>
  </si>
  <si>
    <t>X731229</t>
  </si>
  <si>
    <t>X731246</t>
  </si>
  <si>
    <t>2025742</t>
  </si>
  <si>
    <t>X768390</t>
  </si>
  <si>
    <t>仕入先CD</t>
    <rPh sb="0" eb="3">
      <t>シイレサキ</t>
    </rPh>
    <phoneticPr fontId="2"/>
  </si>
  <si>
    <t>6月売価</t>
    <rPh sb="1" eb="2">
      <t>ガツ</t>
    </rPh>
    <rPh sb="2" eb="4">
      <t>バイカ</t>
    </rPh>
    <phoneticPr fontId="2"/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</si>
  <si>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</si>
  <si>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</si>
  <si>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</si>
  <si>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カウ
ｽﾗｲﾄﾞ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</si>
  <si>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</si>
  <si>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</si>
  <si>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</si>
  <si>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</si>
  <si>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箱バラなし</t>
    <rPh sb="0" eb="1">
      <t>ハコ</t>
    </rPh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</si>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</sst>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6" borderId="3" xfId="0" applyFill="1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3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M649"/>
  <sheetViews>
    <sheetView tabSelected="1" zoomScale="90" zoomScaleNormal="90" workbookViewId="0">
      <pane xSplit="8" ySplit="5" topLeftCell="Q359" activePane="bottomRight" state="frozen"/>
      <selection pane="topRight" activeCell="G1" sqref="G1"/>
      <selection pane="bottomLeft" activeCell="A5" sqref="A5"/>
      <selection pane="bottomRight" activeCell="AF594" sqref="AF594"/>
    </sheetView>
  </sheetViews>
  <sheetFormatPr defaultRowHeight="18.75" outlineLevelCol="1" x14ac:dyDescent="0.4"/>
  <cols>
    <col min="1" max="1" width="4.625" customWidth="1"/>
    <col min="2" max="2" width="5.75" customWidth="1"/>
    <col min="3" max="6" width="7.25" customWidth="1"/>
    <col min="7" max="7" width="40.75" customWidth="1"/>
    <col min="8" max="8" width="11.375" customWidth="1"/>
    <col min="9" max="12" width="7.5" hidden="1" customWidth="1" outlineLevel="1"/>
    <col min="13" max="13" width="7.625" customWidth="1" collapsed="1"/>
    <col min="14" max="16" width="7.625" customWidth="1"/>
    <col min="17" max="17" width="4.625" customWidth="1"/>
    <col min="18" max="19" width="7.625" hidden="1" customWidth="1" outlineLevel="1"/>
    <col min="20" max="20" width="7.625" customWidth="1" collapsed="1"/>
    <col min="21" max="23" width="7.625" customWidth="1"/>
    <col min="24" max="24" width="4.375" customWidth="1" collapsed="1"/>
    <col min="25" max="34" width="7.625" customWidth="1"/>
    <col min="35" max="37" width="7.625" hidden="1" customWidth="1" outlineLevel="1"/>
    <col min="38" max="38" width="7.625" customWidth="1" collapsed="1"/>
    <col min="39" max="40" width="7.625" customWidth="1"/>
    <col min="41" max="43" width="7.625" customWidth="1" outlineLevel="1"/>
    <col min="44" max="47" width="7.625" customWidth="1"/>
    <col min="48" max="50" width="8.5" customWidth="1"/>
    <col min="51" max="55" width="7.625" customWidth="1"/>
    <col min="56" max="57" width="7.625" hidden="1" customWidth="1" outlineLevel="1"/>
    <col min="58" max="58" width="7.625" customWidth="1" collapsed="1"/>
    <col min="59" max="59" width="7.625" customWidth="1"/>
    <col min="60" max="61" width="7.625" hidden="1" customWidth="1" outlineLevel="1"/>
    <col min="62" max="62" width="7.625" customWidth="1" collapsed="1"/>
    <col min="63" max="63" width="7.625" customWidth="1"/>
  </cols>
  <sheetData>
    <row r="1" spans="1:65" x14ac:dyDescent="0.4">
      <c r="C1" s="29" t="s">
        <v>43</v>
      </c>
      <c r="F1" t="s">
        <v>2213</v>
      </c>
      <c r="T1" s="40" t="s">
        <v>40</v>
      </c>
      <c r="U1" s="41"/>
      <c r="V1" s="41"/>
      <c r="W1" s="42"/>
      <c r="AN1" s="36" t="s">
        <v>2212</v>
      </c>
    </row>
    <row r="2" spans="1:65" x14ac:dyDescent="0.4">
      <c r="C2" s="8" t="s">
        <v>27</v>
      </c>
      <c r="D2" s="9" t="s">
        <v>28</v>
      </c>
      <c r="E2" s="9" t="s">
        <v>29</v>
      </c>
      <c r="F2" s="9"/>
      <c r="G2" s="10"/>
      <c r="H2" s="10"/>
      <c r="I2" s="31"/>
      <c r="J2" s="31"/>
      <c r="K2" s="37" t="s">
        <v>30</v>
      </c>
      <c r="L2" s="39"/>
      <c r="M2" s="37" t="s">
        <v>2</v>
      </c>
      <c r="N2" s="38"/>
      <c r="O2" s="38"/>
      <c r="P2" s="39"/>
      <c r="Q2" s="11"/>
      <c r="R2" s="30"/>
      <c r="S2" s="30"/>
      <c r="T2" s="23"/>
      <c r="U2" s="24" t="s">
        <v>33</v>
      </c>
      <c r="V2" s="24"/>
      <c r="W2" s="25" t="s">
        <v>33</v>
      </c>
      <c r="X2" s="10"/>
      <c r="Y2" s="9" t="s">
        <v>38</v>
      </c>
      <c r="Z2" s="11"/>
      <c r="AA2" s="11"/>
      <c r="AB2" s="11"/>
      <c r="AC2" s="11"/>
      <c r="AD2" s="11"/>
      <c r="AE2" s="11"/>
      <c r="AF2" s="22" t="s">
        <v>41</v>
      </c>
      <c r="AG2" s="11"/>
      <c r="AH2" s="11"/>
      <c r="AI2" s="27"/>
      <c r="AJ2" s="11"/>
      <c r="AK2" s="11"/>
      <c r="AL2" s="11"/>
      <c r="AM2" s="11"/>
      <c r="AN2" s="11"/>
      <c r="AO2" s="11"/>
      <c r="AP2" s="11"/>
      <c r="AQ2" s="11"/>
      <c r="AR2">
        <v>51</v>
      </c>
      <c r="BA2">
        <v>14</v>
      </c>
      <c r="BB2">
        <v>28</v>
      </c>
    </row>
    <row r="3" spans="1:65" ht="75" x14ac:dyDescent="0.4">
      <c r="A3" s="1" t="s">
        <v>49</v>
      </c>
      <c r="B3" s="1" t="s">
        <v>55</v>
      </c>
      <c r="C3" s="2" t="s">
        <v>4</v>
      </c>
      <c r="D3" s="2" t="s">
        <v>9</v>
      </c>
      <c r="E3" s="2" t="s">
        <v>10</v>
      </c>
      <c r="F3" s="35" t="s">
        <v>2211</v>
      </c>
      <c r="G3" s="2" t="s">
        <v>0</v>
      </c>
      <c r="H3" s="12" t="s">
        <v>7</v>
      </c>
      <c r="I3" s="12" t="s">
        <v>51</v>
      </c>
      <c r="J3" s="12" t="s">
        <v>52</v>
      </c>
      <c r="K3" s="12" t="s">
        <v>24</v>
      </c>
      <c r="L3" s="12" t="s">
        <v>25</v>
      </c>
      <c r="M3" s="12" t="s">
        <v>1</v>
      </c>
      <c r="N3" s="2" t="s">
        <v>8</v>
      </c>
      <c r="O3" s="2" t="s">
        <v>5</v>
      </c>
      <c r="P3" s="2" t="s">
        <v>16</v>
      </c>
      <c r="Q3" s="12" t="s">
        <v>47</v>
      </c>
      <c r="R3" s="12" t="s">
        <v>20</v>
      </c>
      <c r="S3" s="12" t="s">
        <v>21</v>
      </c>
      <c r="T3" s="12" t="s">
        <v>3</v>
      </c>
      <c r="U3" s="12" t="s">
        <v>22</v>
      </c>
      <c r="V3" s="2" t="s">
        <v>5</v>
      </c>
      <c r="W3" s="12" t="s">
        <v>23</v>
      </c>
      <c r="X3" s="14" t="s">
        <v>6</v>
      </c>
      <c r="Y3" s="20" t="s">
        <v>17</v>
      </c>
      <c r="Z3" s="2" t="s">
        <v>16</v>
      </c>
      <c r="AA3" s="2" t="s">
        <v>44</v>
      </c>
      <c r="AB3" s="12" t="s">
        <v>39</v>
      </c>
      <c r="AC3" s="12" t="s">
        <v>53</v>
      </c>
      <c r="AD3" s="2" t="s">
        <v>16</v>
      </c>
      <c r="AE3" s="2"/>
      <c r="AF3" s="13" t="s">
        <v>31</v>
      </c>
      <c r="AG3" s="2" t="s">
        <v>16</v>
      </c>
      <c r="AH3" s="2" t="s">
        <v>32</v>
      </c>
      <c r="AI3" s="26" t="s">
        <v>34</v>
      </c>
      <c r="AJ3" s="12" t="s">
        <v>35</v>
      </c>
      <c r="AK3" s="12" t="s">
        <v>36</v>
      </c>
      <c r="AL3" s="12" t="s">
        <v>26</v>
      </c>
      <c r="AM3" s="12" t="s">
        <v>37</v>
      </c>
      <c r="AN3" s="12" t="s">
        <v>18</v>
      </c>
      <c r="AO3" s="12" t="s">
        <v>19</v>
      </c>
      <c r="AP3" s="12" t="s">
        <v>20</v>
      </c>
      <c r="AQ3" s="12" t="s">
        <v>21</v>
      </c>
      <c r="AR3" s="2" t="s">
        <v>11</v>
      </c>
      <c r="AS3" s="2" t="s">
        <v>12</v>
      </c>
      <c r="AT3" s="2" t="s">
        <v>13</v>
      </c>
      <c r="AU3" s="2" t="s">
        <v>14</v>
      </c>
      <c r="AV3" s="12" t="s">
        <v>42</v>
      </c>
      <c r="AW3" s="12" t="s">
        <v>54</v>
      </c>
      <c r="AX3" s="2" t="s">
        <v>2204</v>
      </c>
      <c r="AY3" s="2" t="s">
        <v>2214</v>
      </c>
      <c r="AZ3" s="2" t="s">
        <v>15</v>
      </c>
      <c r="BA3" s="18" t="s">
        <v>45</v>
      </c>
      <c r="BB3" s="18" t="s">
        <v>46</v>
      </c>
      <c r="BC3" s="15" t="s">
        <v>50</v>
      </c>
      <c r="BD3" s="33" t="s">
        <v>2205</v>
      </c>
      <c r="BE3" s="33" t="s">
        <v>2209</v>
      </c>
      <c r="BF3" s="33" t="s">
        <v>2215</v>
      </c>
      <c r="BG3" s="34" t="s">
        <v>2206</v>
      </c>
      <c r="BH3" s="34" t="s">
        <v>2207</v>
      </c>
      <c r="BI3" s="34" t="s">
        <v>2210</v>
      </c>
      <c r="BJ3" s="34" t="s">
        <v>2216</v>
      </c>
      <c r="BK3" s="34" t="s">
        <v>2208</v>
      </c>
      <c r="BL3" t="s">
        <v>48</v>
      </c>
      <c r="BM3" t="s">
        <v>2203</v>
      </c>
    </row>
    <row r="4" spans="1:65" x14ac:dyDescent="0.4">
      <c r="A4" s="3">
        <v>276</v>
      </c>
      <c r="B4" s="3">
        <v>276</v>
      </c>
      <c r="C4" s="4" t="s">
        <v>265</v>
      </c>
      <c r="D4" s="4" t="str">
        <f t="shared" ref="D4:D67" si="0">TEXT(C4,"000000")</f>
        <v>J38949</v>
      </c>
      <c r="E4" s="4" t="s">
        <v>265</v>
      </c>
      <c r="F4" s="4" t="str">
        <f>D4&amp;I4</f>
        <v>J389495</v>
      </c>
      <c r="G4" s="4" t="s">
        <v>911</v>
      </c>
      <c r="H4" s="5">
        <v>4974268032522</v>
      </c>
      <c r="I4" s="5">
        <v>5</v>
      </c>
      <c r="J4" s="5"/>
      <c r="K4" s="5">
        <v>1</v>
      </c>
      <c r="L4" s="5">
        <v>1</v>
      </c>
      <c r="M4" s="4">
        <v>6600</v>
      </c>
      <c r="N4" s="4">
        <v>6213</v>
      </c>
      <c r="O4" s="4">
        <v>3960</v>
      </c>
      <c r="P4" s="6">
        <f t="shared" ref="P4:P67" si="1">1-O4/N4</f>
        <v>0.36262675036214387</v>
      </c>
      <c r="Q4" s="4" t="s">
        <v>1280</v>
      </c>
      <c r="R4" s="4" t="s">
        <v>1280</v>
      </c>
      <c r="S4" s="4" t="s">
        <v>1280</v>
      </c>
      <c r="T4" s="4">
        <v>120</v>
      </c>
      <c r="U4" s="4">
        <f t="shared" ref="U4:U67" si="2">IF(X4="",T4,T4*X4)</f>
        <v>7200</v>
      </c>
      <c r="V4" s="4">
        <v>72</v>
      </c>
      <c r="W4" s="4">
        <f t="shared" ref="W4:W67" si="3">IF(X4="",V4,V4*X4)</f>
        <v>4320</v>
      </c>
      <c r="X4" s="4">
        <v>60</v>
      </c>
      <c r="Y4" s="21">
        <f t="shared" ref="Y4:Y67" si="4">ROUND(N4*AN4,0)</f>
        <v>6778</v>
      </c>
      <c r="Z4" s="6">
        <f t="shared" ref="Z4:Z67" si="5">1-W4/Y4</f>
        <v>0.36264384774269698</v>
      </c>
      <c r="AA4" s="4">
        <v>40</v>
      </c>
      <c r="AB4" s="4" t="str">
        <f t="shared" ref="AB4:AB67" si="6">AZ4</f>
        <v>-</v>
      </c>
      <c r="AC4" s="4" t="str">
        <f>IFERROR(AB4*AN4,"-")</f>
        <v>-</v>
      </c>
      <c r="AD4" s="6" t="str">
        <f>IFERROR(1-W4/AC4,"-")</f>
        <v>-</v>
      </c>
      <c r="AE4" s="4">
        <f>U4*0.95</f>
        <v>6840</v>
      </c>
      <c r="AF4" s="7">
        <v>6800</v>
      </c>
      <c r="AG4" s="6">
        <f t="shared" ref="AG4:AG67" si="7">1-W4/AF4</f>
        <v>0.36470588235294121</v>
      </c>
      <c r="AH4" s="4">
        <f t="shared" ref="AH4:AH67" si="8">AF4-W4</f>
        <v>2480</v>
      </c>
      <c r="AI4" s="28"/>
      <c r="AJ4" s="6"/>
      <c r="AK4" s="6"/>
      <c r="AL4" s="6">
        <f t="shared" ref="AL4:AL67" si="9">U4/M4</f>
        <v>1.0909090909090908</v>
      </c>
      <c r="AM4" s="6">
        <f t="shared" ref="AM4:AM67" si="10">AF4/N4</f>
        <v>1.094479317559955</v>
      </c>
      <c r="AN4" s="6">
        <f t="shared" ref="AN4:AN67" si="11">W4/O4</f>
        <v>1.0909090909090908</v>
      </c>
      <c r="AO4" s="4" t="str">
        <f t="shared" ref="AO4:AO67" si="12">IFERROR(ROUND($AF4*Q4/$N4,0),"-")</f>
        <v>-</v>
      </c>
      <c r="AP4" s="4" t="str">
        <f t="shared" ref="AP4:AP67" si="13">IF(R4="","-",R4)</f>
        <v>-</v>
      </c>
      <c r="AQ4" s="4" t="str">
        <f t="shared" ref="AQ4:AQ67" si="14">IF(S4="","-",S4)</f>
        <v>-</v>
      </c>
      <c r="AR4" s="4">
        <v>0</v>
      </c>
      <c r="AS4" s="4" t="s">
        <v>1280</v>
      </c>
      <c r="AT4" s="4"/>
      <c r="AU4" s="4"/>
      <c r="AV4" s="4" t="s">
        <v>1280</v>
      </c>
      <c r="AW4" s="4" t="s">
        <v>1280</v>
      </c>
      <c r="AX4" s="4" t="s">
        <v>1280</v>
      </c>
      <c r="AY4" s="4" t="s">
        <v>1280</v>
      </c>
      <c r="AZ4" s="4" t="str">
        <f t="shared" ref="AZ4:AZ67" si="15">IF(AT4="",AY4,AT4/AU4*AY4)</f>
        <v>-</v>
      </c>
      <c r="BA4" s="19">
        <v>4</v>
      </c>
      <c r="BB4" s="19">
        <v>8</v>
      </c>
      <c r="BC4" s="16">
        <v>6</v>
      </c>
      <c r="BD4" t="s">
        <v>1280</v>
      </c>
      <c r="BE4" t="s">
        <v>1280</v>
      </c>
      <c r="BF4" t="s">
        <v>1280</v>
      </c>
      <c r="BG4" t="str">
        <f>IFERROR(BF4*AN4,"-")</f>
        <v>-</v>
      </c>
      <c r="BH4" t="s">
        <v>1280</v>
      </c>
      <c r="BI4" t="s">
        <v>1280</v>
      </c>
      <c r="BJ4" t="s">
        <v>1280</v>
      </c>
      <c r="BK4" t="str">
        <f>IFERROR(BJ4*AN4,"-")</f>
        <v>-</v>
      </c>
      <c r="BL4" t="s">
        <v>1280</v>
      </c>
      <c r="BM4">
        <v>812</v>
      </c>
    </row>
    <row r="5" spans="1:65" x14ac:dyDescent="0.4">
      <c r="A5" s="3">
        <v>44</v>
      </c>
      <c r="B5" s="3">
        <v>44</v>
      </c>
      <c r="C5" s="4">
        <v>453438</v>
      </c>
      <c r="D5" s="4" t="str">
        <f t="shared" si="0"/>
        <v>453438</v>
      </c>
      <c r="E5" s="4">
        <v>453438</v>
      </c>
      <c r="F5" s="4" t="str">
        <f t="shared" ref="F5:F68" si="16">D5&amp;I5</f>
        <v>4534385</v>
      </c>
      <c r="G5" s="4" t="s">
        <v>679</v>
      </c>
      <c r="H5" s="5">
        <v>4974268032546</v>
      </c>
      <c r="I5" s="5">
        <v>5</v>
      </c>
      <c r="J5" s="5"/>
      <c r="K5" s="5">
        <v>1</v>
      </c>
      <c r="L5" s="5">
        <v>1</v>
      </c>
      <c r="M5" s="4">
        <v>3200</v>
      </c>
      <c r="N5" s="4">
        <v>3043</v>
      </c>
      <c r="O5" s="4">
        <v>1920</v>
      </c>
      <c r="P5" s="6">
        <f t="shared" si="1"/>
        <v>0.36904370686822219</v>
      </c>
      <c r="Q5" s="4" t="s">
        <v>1280</v>
      </c>
      <c r="R5" s="4" t="s">
        <v>1280</v>
      </c>
      <c r="S5" s="4" t="s">
        <v>1280</v>
      </c>
      <c r="T5" s="4">
        <v>170</v>
      </c>
      <c r="U5" s="4">
        <f t="shared" si="2"/>
        <v>3400</v>
      </c>
      <c r="V5" s="4">
        <v>102</v>
      </c>
      <c r="W5" s="4">
        <f t="shared" si="3"/>
        <v>2040</v>
      </c>
      <c r="X5" s="4">
        <v>20</v>
      </c>
      <c r="Y5" s="21">
        <f t="shared" si="4"/>
        <v>3233</v>
      </c>
      <c r="Z5" s="6">
        <f t="shared" si="5"/>
        <v>0.36900711413547793</v>
      </c>
      <c r="AA5" s="4">
        <v>37</v>
      </c>
      <c r="AB5" s="4">
        <f t="shared" si="6"/>
        <v>3060</v>
      </c>
      <c r="AC5" s="4">
        <f t="shared" ref="AC5:AC68" si="17">IFERROR(AB5*AN5,"-")</f>
        <v>3251.25</v>
      </c>
      <c r="AD5" s="6">
        <f t="shared" ref="AD5:AD68" si="18">IFERROR(1-W5/AC5,"-")</f>
        <v>0.37254901960784315</v>
      </c>
      <c r="AE5" s="4">
        <f t="shared" ref="AE5:AE68" si="19">U5*0.95</f>
        <v>3230</v>
      </c>
      <c r="AF5" s="7">
        <v>3230</v>
      </c>
      <c r="AG5" s="6">
        <f t="shared" si="7"/>
        <v>0.36842105263157898</v>
      </c>
      <c r="AH5" s="4">
        <f t="shared" si="8"/>
        <v>1190</v>
      </c>
      <c r="AI5" s="28"/>
      <c r="AJ5" s="6"/>
      <c r="AK5" s="6"/>
      <c r="AL5" s="6">
        <f t="shared" si="9"/>
        <v>1.0625</v>
      </c>
      <c r="AM5" s="6">
        <f t="shared" si="10"/>
        <v>1.0614525139664805</v>
      </c>
      <c r="AN5" s="6">
        <f t="shared" si="11"/>
        <v>1.0625</v>
      </c>
      <c r="AO5" s="4" t="str">
        <f t="shared" si="12"/>
        <v>-</v>
      </c>
      <c r="AP5" s="4" t="str">
        <f t="shared" si="13"/>
        <v>-</v>
      </c>
      <c r="AQ5" s="4" t="str">
        <f t="shared" si="14"/>
        <v>-</v>
      </c>
      <c r="AR5" s="4">
        <v>0</v>
      </c>
      <c r="AS5" s="4" t="s">
        <v>1731</v>
      </c>
      <c r="AT5" s="4">
        <v>20</v>
      </c>
      <c r="AU5" s="4">
        <v>1</v>
      </c>
      <c r="AV5" s="4" t="s">
        <v>1688</v>
      </c>
      <c r="AW5" s="4">
        <v>153</v>
      </c>
      <c r="AX5" s="4">
        <v>153</v>
      </c>
      <c r="AY5" s="4">
        <v>153</v>
      </c>
      <c r="AZ5" s="4">
        <f t="shared" si="15"/>
        <v>3060</v>
      </c>
      <c r="BA5" s="19">
        <v>4</v>
      </c>
      <c r="BB5" s="19">
        <v>1</v>
      </c>
      <c r="BC5" s="16">
        <v>6</v>
      </c>
      <c r="BD5">
        <v>3200</v>
      </c>
      <c r="BE5">
        <v>3200</v>
      </c>
      <c r="BF5" t="s">
        <v>1280</v>
      </c>
      <c r="BG5" t="str">
        <f t="shared" ref="BG5:BG68" si="20">IFERROR(BF5*AN5,"-")</f>
        <v>-</v>
      </c>
      <c r="BH5" t="s">
        <v>1280</v>
      </c>
      <c r="BI5" t="s">
        <v>1280</v>
      </c>
      <c r="BJ5" t="s">
        <v>1280</v>
      </c>
      <c r="BK5" t="str">
        <f t="shared" ref="BK5:BK68" si="21">IFERROR(BJ5*AN5,"-")</f>
        <v>-</v>
      </c>
      <c r="BL5" t="s">
        <v>1323</v>
      </c>
      <c r="BM5">
        <v>812</v>
      </c>
    </row>
    <row r="6" spans="1:65" x14ac:dyDescent="0.4">
      <c r="A6" s="3">
        <v>48</v>
      </c>
      <c r="B6" s="3">
        <v>48</v>
      </c>
      <c r="C6" s="17">
        <v>608179</v>
      </c>
      <c r="D6" s="4" t="str">
        <f t="shared" si="0"/>
        <v>608179</v>
      </c>
      <c r="E6" s="4">
        <v>608179</v>
      </c>
      <c r="F6" s="4" t="str">
        <f t="shared" si="16"/>
        <v>6081795</v>
      </c>
      <c r="G6" s="4" t="s">
        <v>683</v>
      </c>
      <c r="H6" s="5">
        <v>4974268034779</v>
      </c>
      <c r="I6" s="5">
        <v>5</v>
      </c>
      <c r="J6" s="5"/>
      <c r="K6" s="5">
        <v>1</v>
      </c>
      <c r="L6" s="5">
        <v>1</v>
      </c>
      <c r="M6" s="4">
        <v>180</v>
      </c>
      <c r="N6" s="4">
        <v>171</v>
      </c>
      <c r="O6" s="4">
        <v>108</v>
      </c>
      <c r="P6" s="6">
        <f t="shared" si="1"/>
        <v>0.36842105263157898</v>
      </c>
      <c r="Q6" s="4" t="s">
        <v>1280</v>
      </c>
      <c r="R6" s="4" t="s">
        <v>1280</v>
      </c>
      <c r="S6" s="4" t="s">
        <v>1280</v>
      </c>
      <c r="T6" s="4">
        <v>190</v>
      </c>
      <c r="U6" s="4">
        <f t="shared" si="2"/>
        <v>190</v>
      </c>
      <c r="V6" s="4">
        <v>114</v>
      </c>
      <c r="W6" s="4">
        <f t="shared" si="3"/>
        <v>114</v>
      </c>
      <c r="X6" s="4"/>
      <c r="Y6" s="21">
        <f t="shared" si="4"/>
        <v>181</v>
      </c>
      <c r="Z6" s="6">
        <f t="shared" si="5"/>
        <v>0.37016574585635365</v>
      </c>
      <c r="AA6" s="4">
        <v>3.75</v>
      </c>
      <c r="AB6" s="4">
        <f t="shared" si="6"/>
        <v>180</v>
      </c>
      <c r="AC6" s="4">
        <f t="shared" si="17"/>
        <v>190</v>
      </c>
      <c r="AD6" s="6">
        <f t="shared" si="18"/>
        <v>0.4</v>
      </c>
      <c r="AE6" s="4">
        <f t="shared" si="19"/>
        <v>180.5</v>
      </c>
      <c r="AF6" s="7">
        <v>180</v>
      </c>
      <c r="AG6" s="6">
        <f t="shared" si="7"/>
        <v>0.3666666666666667</v>
      </c>
      <c r="AH6" s="4">
        <f t="shared" si="8"/>
        <v>66</v>
      </c>
      <c r="AI6" s="28"/>
      <c r="AJ6" s="6"/>
      <c r="AK6" s="6"/>
      <c r="AL6" s="6">
        <f t="shared" si="9"/>
        <v>1.0555555555555556</v>
      </c>
      <c r="AM6" s="6">
        <f t="shared" si="10"/>
        <v>1.0526315789473684</v>
      </c>
      <c r="AN6" s="6">
        <f t="shared" si="11"/>
        <v>1.0555555555555556</v>
      </c>
      <c r="AO6" s="4" t="str">
        <f t="shared" si="12"/>
        <v>-</v>
      </c>
      <c r="AP6" s="4" t="str">
        <f t="shared" si="13"/>
        <v>-</v>
      </c>
      <c r="AQ6" s="4" t="str">
        <f t="shared" si="14"/>
        <v>-</v>
      </c>
      <c r="AR6" s="4">
        <v>0</v>
      </c>
      <c r="AS6" s="4" t="s">
        <v>1732</v>
      </c>
      <c r="AT6" s="4"/>
      <c r="AU6" s="4"/>
      <c r="AV6" s="4" t="s">
        <v>1733</v>
      </c>
      <c r="AW6" s="4">
        <v>180</v>
      </c>
      <c r="AX6" s="4">
        <v>180</v>
      </c>
      <c r="AY6" s="4">
        <v>180</v>
      </c>
      <c r="AZ6" s="4">
        <f t="shared" si="15"/>
        <v>180</v>
      </c>
      <c r="BA6" s="19">
        <v>4</v>
      </c>
      <c r="BB6" s="19">
        <v>1</v>
      </c>
      <c r="BC6" s="16">
        <v>6</v>
      </c>
      <c r="BD6">
        <v>116</v>
      </c>
      <c r="BE6">
        <v>116</v>
      </c>
      <c r="BF6">
        <v>116</v>
      </c>
      <c r="BG6">
        <f t="shared" si="20"/>
        <v>122.44444444444444</v>
      </c>
      <c r="BH6">
        <v>975</v>
      </c>
      <c r="BI6">
        <v>975</v>
      </c>
      <c r="BJ6">
        <v>975</v>
      </c>
      <c r="BK6">
        <f t="shared" si="21"/>
        <v>1029.1666666666667</v>
      </c>
      <c r="BL6" t="s">
        <v>1324</v>
      </c>
      <c r="BM6">
        <v>812</v>
      </c>
    </row>
    <row r="7" spans="1:65" x14ac:dyDescent="0.4">
      <c r="A7" s="3">
        <v>102</v>
      </c>
      <c r="B7" s="3">
        <v>102</v>
      </c>
      <c r="C7" s="17" t="s">
        <v>91</v>
      </c>
      <c r="D7" s="4" t="str">
        <f t="shared" si="0"/>
        <v>J0866T</v>
      </c>
      <c r="E7" s="4" t="s">
        <v>91</v>
      </c>
      <c r="F7" s="4" t="str">
        <f t="shared" si="16"/>
        <v>J0866T5</v>
      </c>
      <c r="G7" s="4" t="s">
        <v>737</v>
      </c>
      <c r="H7" s="5">
        <v>4974268492470</v>
      </c>
      <c r="I7" s="5">
        <v>5</v>
      </c>
      <c r="J7" s="5"/>
      <c r="K7" s="5">
        <v>1</v>
      </c>
      <c r="L7" s="5">
        <v>1</v>
      </c>
      <c r="M7" s="4">
        <v>250</v>
      </c>
      <c r="N7" s="4">
        <v>238</v>
      </c>
      <c r="O7" s="4">
        <v>150</v>
      </c>
      <c r="P7" s="6">
        <f t="shared" si="1"/>
        <v>0.36974789915966388</v>
      </c>
      <c r="Q7" s="4" t="s">
        <v>1280</v>
      </c>
      <c r="R7" s="4" t="s">
        <v>1280</v>
      </c>
      <c r="S7" s="4" t="s">
        <v>1280</v>
      </c>
      <c r="T7" s="4">
        <v>280</v>
      </c>
      <c r="U7" s="4">
        <f t="shared" si="2"/>
        <v>280</v>
      </c>
      <c r="V7" s="4">
        <v>168</v>
      </c>
      <c r="W7" s="4">
        <f t="shared" si="3"/>
        <v>168</v>
      </c>
      <c r="X7" s="4"/>
      <c r="Y7" s="21">
        <f t="shared" si="4"/>
        <v>267</v>
      </c>
      <c r="Z7" s="6">
        <f t="shared" si="5"/>
        <v>0.3707865168539326</v>
      </c>
      <c r="AA7" s="4">
        <v>3.75</v>
      </c>
      <c r="AB7" s="4">
        <f t="shared" si="6"/>
        <v>285.10000000000002</v>
      </c>
      <c r="AC7" s="4">
        <f t="shared" si="17"/>
        <v>319.31200000000007</v>
      </c>
      <c r="AD7" s="6">
        <f t="shared" si="18"/>
        <v>0.47386881795861113</v>
      </c>
      <c r="AE7" s="4">
        <f t="shared" si="19"/>
        <v>266</v>
      </c>
      <c r="AF7" s="7">
        <v>267</v>
      </c>
      <c r="AG7" s="6">
        <f t="shared" si="7"/>
        <v>0.3707865168539326</v>
      </c>
      <c r="AH7" s="4">
        <f t="shared" si="8"/>
        <v>99</v>
      </c>
      <c r="AI7" s="28"/>
      <c r="AJ7" s="6"/>
      <c r="AK7" s="6"/>
      <c r="AL7" s="6">
        <f t="shared" si="9"/>
        <v>1.1200000000000001</v>
      </c>
      <c r="AM7" s="6">
        <f t="shared" si="10"/>
        <v>1.1218487394957983</v>
      </c>
      <c r="AN7" s="6">
        <f t="shared" si="11"/>
        <v>1.1200000000000001</v>
      </c>
      <c r="AO7" s="4" t="str">
        <f t="shared" si="12"/>
        <v>-</v>
      </c>
      <c r="AP7" s="4" t="str">
        <f t="shared" si="13"/>
        <v>-</v>
      </c>
      <c r="AQ7" s="4" t="str">
        <f t="shared" si="14"/>
        <v>-</v>
      </c>
      <c r="AR7" s="4">
        <v>0</v>
      </c>
      <c r="AS7" s="4" t="s">
        <v>1787</v>
      </c>
      <c r="AT7" s="4">
        <v>1</v>
      </c>
      <c r="AU7" s="4">
        <v>50</v>
      </c>
      <c r="AV7" s="4" t="s">
        <v>1788</v>
      </c>
      <c r="AW7" s="4">
        <v>14255</v>
      </c>
      <c r="AX7" s="4">
        <v>14255</v>
      </c>
      <c r="AY7" s="4">
        <v>14255</v>
      </c>
      <c r="AZ7" s="4">
        <f t="shared" si="15"/>
        <v>285.10000000000002</v>
      </c>
      <c r="BA7" s="19">
        <v>4</v>
      </c>
      <c r="BB7" s="19">
        <v>8</v>
      </c>
      <c r="BC7" s="16">
        <v>19</v>
      </c>
      <c r="BD7" t="s">
        <v>1280</v>
      </c>
      <c r="BE7" t="s">
        <v>1280</v>
      </c>
      <c r="BF7" t="s">
        <v>1280</v>
      </c>
      <c r="BG7" t="str">
        <f t="shared" si="20"/>
        <v>-</v>
      </c>
      <c r="BH7">
        <v>265</v>
      </c>
      <c r="BI7">
        <v>265</v>
      </c>
      <c r="BJ7">
        <v>265</v>
      </c>
      <c r="BK7">
        <f t="shared" si="21"/>
        <v>296.8</v>
      </c>
      <c r="BL7" t="s">
        <v>1360</v>
      </c>
      <c r="BM7">
        <v>812</v>
      </c>
    </row>
    <row r="8" spans="1:65" x14ac:dyDescent="0.4">
      <c r="A8" s="3">
        <v>103</v>
      </c>
      <c r="B8" s="3">
        <v>103</v>
      </c>
      <c r="C8" s="17" t="s">
        <v>92</v>
      </c>
      <c r="D8" s="4" t="str">
        <f t="shared" si="0"/>
        <v>J0868T</v>
      </c>
      <c r="E8" s="4" t="s">
        <v>92</v>
      </c>
      <c r="F8" s="4" t="str">
        <f t="shared" si="16"/>
        <v>J0868T5</v>
      </c>
      <c r="G8" s="4" t="s">
        <v>738</v>
      </c>
      <c r="H8" s="5">
        <v>4974268492494</v>
      </c>
      <c r="I8" s="5">
        <v>5</v>
      </c>
      <c r="J8" s="5"/>
      <c r="K8" s="5">
        <v>1</v>
      </c>
      <c r="L8" s="5">
        <v>1</v>
      </c>
      <c r="M8" s="4">
        <v>250</v>
      </c>
      <c r="N8" s="4">
        <v>238</v>
      </c>
      <c r="O8" s="4">
        <v>150</v>
      </c>
      <c r="P8" s="6">
        <f t="shared" si="1"/>
        <v>0.36974789915966388</v>
      </c>
      <c r="Q8" s="4" t="s">
        <v>1280</v>
      </c>
      <c r="R8" s="4" t="s">
        <v>1280</v>
      </c>
      <c r="S8" s="4" t="s">
        <v>1280</v>
      </c>
      <c r="T8" s="4">
        <v>280</v>
      </c>
      <c r="U8" s="4">
        <f t="shared" si="2"/>
        <v>280</v>
      </c>
      <c r="V8" s="4">
        <v>168</v>
      </c>
      <c r="W8" s="4">
        <f t="shared" si="3"/>
        <v>168</v>
      </c>
      <c r="X8" s="4"/>
      <c r="Y8" s="21">
        <f t="shared" si="4"/>
        <v>267</v>
      </c>
      <c r="Z8" s="6">
        <f t="shared" si="5"/>
        <v>0.3707865168539326</v>
      </c>
      <c r="AA8" s="4">
        <v>0.75</v>
      </c>
      <c r="AB8" s="4">
        <f t="shared" si="6"/>
        <v>300</v>
      </c>
      <c r="AC8" s="4">
        <f t="shared" si="17"/>
        <v>336.00000000000006</v>
      </c>
      <c r="AD8" s="6">
        <f t="shared" si="18"/>
        <v>0.50000000000000011</v>
      </c>
      <c r="AE8" s="4">
        <f t="shared" si="19"/>
        <v>266</v>
      </c>
      <c r="AF8" s="7">
        <v>267</v>
      </c>
      <c r="AG8" s="6">
        <f t="shared" si="7"/>
        <v>0.3707865168539326</v>
      </c>
      <c r="AH8" s="4">
        <f t="shared" si="8"/>
        <v>99</v>
      </c>
      <c r="AI8" s="28"/>
      <c r="AJ8" s="6"/>
      <c r="AK8" s="6"/>
      <c r="AL8" s="6">
        <f t="shared" si="9"/>
        <v>1.1200000000000001</v>
      </c>
      <c r="AM8" s="6">
        <f t="shared" si="10"/>
        <v>1.1218487394957983</v>
      </c>
      <c r="AN8" s="6">
        <f t="shared" si="11"/>
        <v>1.1200000000000001</v>
      </c>
      <c r="AO8" s="4" t="str">
        <f t="shared" si="12"/>
        <v>-</v>
      </c>
      <c r="AP8" s="4" t="str">
        <f t="shared" si="13"/>
        <v>-</v>
      </c>
      <c r="AQ8" s="4" t="str">
        <f t="shared" si="14"/>
        <v>-</v>
      </c>
      <c r="AR8" s="4">
        <v>0</v>
      </c>
      <c r="AS8" s="4" t="s">
        <v>1789</v>
      </c>
      <c r="AT8" s="4"/>
      <c r="AU8" s="4"/>
      <c r="AV8" s="4" t="s">
        <v>1790</v>
      </c>
      <c r="AW8" s="4">
        <v>300</v>
      </c>
      <c r="AX8" s="4">
        <v>300</v>
      </c>
      <c r="AY8" s="4">
        <v>300</v>
      </c>
      <c r="AZ8" s="4">
        <f t="shared" si="15"/>
        <v>300</v>
      </c>
      <c r="BA8" s="19">
        <v>4</v>
      </c>
      <c r="BB8" s="19">
        <v>8</v>
      </c>
      <c r="BC8" s="16">
        <v>19</v>
      </c>
      <c r="BD8" t="s">
        <v>1280</v>
      </c>
      <c r="BE8" t="s">
        <v>1280</v>
      </c>
      <c r="BF8" t="s">
        <v>1280</v>
      </c>
      <c r="BG8" t="str">
        <f t="shared" si="20"/>
        <v>-</v>
      </c>
      <c r="BH8">
        <v>265</v>
      </c>
      <c r="BI8">
        <v>265</v>
      </c>
      <c r="BJ8">
        <v>265</v>
      </c>
      <c r="BK8">
        <f t="shared" si="21"/>
        <v>296.8</v>
      </c>
      <c r="BL8" t="s">
        <v>1361</v>
      </c>
      <c r="BM8">
        <v>812</v>
      </c>
    </row>
    <row r="9" spans="1:65" x14ac:dyDescent="0.4">
      <c r="A9" s="3">
        <v>105</v>
      </c>
      <c r="B9" s="3">
        <v>105</v>
      </c>
      <c r="C9" s="17" t="s">
        <v>94</v>
      </c>
      <c r="D9" s="4" t="str">
        <f t="shared" si="0"/>
        <v>J0870T</v>
      </c>
      <c r="E9" s="4" t="s">
        <v>94</v>
      </c>
      <c r="F9" s="4" t="str">
        <f t="shared" si="16"/>
        <v>J0870T5</v>
      </c>
      <c r="G9" s="4" t="s">
        <v>740</v>
      </c>
      <c r="H9" s="5">
        <v>4974268492524</v>
      </c>
      <c r="I9" s="5">
        <v>5</v>
      </c>
      <c r="J9" s="5"/>
      <c r="K9" s="5">
        <v>1</v>
      </c>
      <c r="L9" s="5">
        <v>1</v>
      </c>
      <c r="M9" s="4">
        <v>250</v>
      </c>
      <c r="N9" s="4">
        <v>238</v>
      </c>
      <c r="O9" s="4">
        <v>150</v>
      </c>
      <c r="P9" s="6">
        <f t="shared" si="1"/>
        <v>0.36974789915966388</v>
      </c>
      <c r="Q9" s="4" t="s">
        <v>1280</v>
      </c>
      <c r="R9" s="4" t="s">
        <v>1280</v>
      </c>
      <c r="S9" s="4" t="s">
        <v>1280</v>
      </c>
      <c r="T9" s="4">
        <v>280</v>
      </c>
      <c r="U9" s="4">
        <f t="shared" si="2"/>
        <v>280</v>
      </c>
      <c r="V9" s="4">
        <v>168</v>
      </c>
      <c r="W9" s="4">
        <f t="shared" si="3"/>
        <v>168</v>
      </c>
      <c r="X9" s="4"/>
      <c r="Y9" s="21">
        <f t="shared" si="4"/>
        <v>267</v>
      </c>
      <c r="Z9" s="6">
        <f t="shared" si="5"/>
        <v>0.3707865168539326</v>
      </c>
      <c r="AA9" s="4">
        <v>0</v>
      </c>
      <c r="AB9" s="4">
        <f t="shared" si="6"/>
        <v>285.10000000000002</v>
      </c>
      <c r="AC9" s="4">
        <f t="shared" si="17"/>
        <v>319.31200000000007</v>
      </c>
      <c r="AD9" s="6">
        <f t="shared" si="18"/>
        <v>0.47386881795861113</v>
      </c>
      <c r="AE9" s="4">
        <f t="shared" si="19"/>
        <v>266</v>
      </c>
      <c r="AF9" s="7">
        <v>267</v>
      </c>
      <c r="AG9" s="6">
        <f t="shared" si="7"/>
        <v>0.3707865168539326</v>
      </c>
      <c r="AH9" s="4">
        <f t="shared" si="8"/>
        <v>99</v>
      </c>
      <c r="AI9" s="28"/>
      <c r="AJ9" s="6"/>
      <c r="AK9" s="6"/>
      <c r="AL9" s="6">
        <f t="shared" si="9"/>
        <v>1.1200000000000001</v>
      </c>
      <c r="AM9" s="6">
        <f t="shared" si="10"/>
        <v>1.1218487394957983</v>
      </c>
      <c r="AN9" s="6">
        <f t="shared" si="11"/>
        <v>1.1200000000000001</v>
      </c>
      <c r="AO9" s="4" t="str">
        <f t="shared" si="12"/>
        <v>-</v>
      </c>
      <c r="AP9" s="4" t="str">
        <f t="shared" si="13"/>
        <v>-</v>
      </c>
      <c r="AQ9" s="4" t="str">
        <f t="shared" si="14"/>
        <v>-</v>
      </c>
      <c r="AR9" s="4">
        <v>0</v>
      </c>
      <c r="AS9" s="4" t="s">
        <v>1792</v>
      </c>
      <c r="AT9" s="4">
        <v>1</v>
      </c>
      <c r="AU9" s="4">
        <v>50</v>
      </c>
      <c r="AV9" s="4" t="s">
        <v>1788</v>
      </c>
      <c r="AW9" s="4">
        <v>14255</v>
      </c>
      <c r="AX9" s="4">
        <v>14255</v>
      </c>
      <c r="AY9" s="4">
        <v>14255</v>
      </c>
      <c r="AZ9" s="4">
        <f t="shared" si="15"/>
        <v>285.10000000000002</v>
      </c>
      <c r="BA9" s="19">
        <v>4</v>
      </c>
      <c r="BB9" s="19">
        <v>8</v>
      </c>
      <c r="BC9" s="16">
        <v>19</v>
      </c>
      <c r="BD9" t="s">
        <v>1280</v>
      </c>
      <c r="BE9" t="s">
        <v>1280</v>
      </c>
      <c r="BF9" t="s">
        <v>1280</v>
      </c>
      <c r="BG9" t="str">
        <f t="shared" si="20"/>
        <v>-</v>
      </c>
      <c r="BH9" t="s">
        <v>1280</v>
      </c>
      <c r="BI9">
        <v>250</v>
      </c>
      <c r="BJ9">
        <v>250</v>
      </c>
      <c r="BK9">
        <f t="shared" si="21"/>
        <v>280</v>
      </c>
      <c r="BL9" t="s">
        <v>1363</v>
      </c>
      <c r="BM9">
        <v>812</v>
      </c>
    </row>
    <row r="10" spans="1:65" x14ac:dyDescent="0.4">
      <c r="A10" s="3">
        <v>108</v>
      </c>
      <c r="B10" s="3">
        <v>108</v>
      </c>
      <c r="C10" s="4" t="s">
        <v>97</v>
      </c>
      <c r="D10" s="4" t="str">
        <f t="shared" si="0"/>
        <v>J0869T</v>
      </c>
      <c r="E10" s="4" t="s">
        <v>97</v>
      </c>
      <c r="F10" s="4" t="str">
        <f t="shared" si="16"/>
        <v>J0869T5</v>
      </c>
      <c r="G10" s="4" t="s">
        <v>743</v>
      </c>
      <c r="H10" s="5">
        <v>4974268492517</v>
      </c>
      <c r="I10" s="5">
        <v>5</v>
      </c>
      <c r="J10" s="5"/>
      <c r="K10" s="5">
        <v>1</v>
      </c>
      <c r="L10" s="5">
        <v>1</v>
      </c>
      <c r="M10" s="4">
        <v>250</v>
      </c>
      <c r="N10" s="4">
        <v>238</v>
      </c>
      <c r="O10" s="4">
        <v>150</v>
      </c>
      <c r="P10" s="6">
        <f t="shared" si="1"/>
        <v>0.36974789915966388</v>
      </c>
      <c r="Q10" s="4" t="s">
        <v>1280</v>
      </c>
      <c r="R10" s="4" t="s">
        <v>1280</v>
      </c>
      <c r="S10" s="4" t="s">
        <v>1280</v>
      </c>
      <c r="T10" s="4">
        <v>280</v>
      </c>
      <c r="U10" s="4">
        <f t="shared" si="2"/>
        <v>280</v>
      </c>
      <c r="V10" s="4">
        <v>168</v>
      </c>
      <c r="W10" s="4">
        <f t="shared" si="3"/>
        <v>168</v>
      </c>
      <c r="X10" s="4"/>
      <c r="Y10" s="21">
        <f t="shared" si="4"/>
        <v>267</v>
      </c>
      <c r="Z10" s="6">
        <f t="shared" si="5"/>
        <v>0.3707865168539326</v>
      </c>
      <c r="AA10" s="4">
        <v>0</v>
      </c>
      <c r="AB10" s="4">
        <f t="shared" si="6"/>
        <v>285</v>
      </c>
      <c r="AC10" s="4">
        <f t="shared" si="17"/>
        <v>319.20000000000005</v>
      </c>
      <c r="AD10" s="6">
        <f t="shared" si="18"/>
        <v>0.47368421052631582</v>
      </c>
      <c r="AE10" s="4">
        <f t="shared" si="19"/>
        <v>266</v>
      </c>
      <c r="AF10" s="7">
        <v>267</v>
      </c>
      <c r="AG10" s="6">
        <f t="shared" si="7"/>
        <v>0.3707865168539326</v>
      </c>
      <c r="AH10" s="4">
        <f t="shared" si="8"/>
        <v>99</v>
      </c>
      <c r="AI10" s="28"/>
      <c r="AJ10" s="6"/>
      <c r="AK10" s="6"/>
      <c r="AL10" s="6">
        <f t="shared" si="9"/>
        <v>1.1200000000000001</v>
      </c>
      <c r="AM10" s="6">
        <f t="shared" si="10"/>
        <v>1.1218487394957983</v>
      </c>
      <c r="AN10" s="6">
        <f t="shared" si="11"/>
        <v>1.1200000000000001</v>
      </c>
      <c r="AO10" s="4" t="str">
        <f t="shared" si="12"/>
        <v>-</v>
      </c>
      <c r="AP10" s="4" t="str">
        <f t="shared" si="13"/>
        <v>-</v>
      </c>
      <c r="AQ10" s="4" t="str">
        <f t="shared" si="14"/>
        <v>-</v>
      </c>
      <c r="AR10" s="4">
        <v>0</v>
      </c>
      <c r="AS10" s="4" t="s">
        <v>1796</v>
      </c>
      <c r="AT10" s="4">
        <v>1</v>
      </c>
      <c r="AU10" s="4">
        <v>300</v>
      </c>
      <c r="AV10" s="4" t="s">
        <v>1797</v>
      </c>
      <c r="AW10" s="4">
        <v>85500</v>
      </c>
      <c r="AX10" s="4">
        <v>85500</v>
      </c>
      <c r="AY10" s="4">
        <v>85500</v>
      </c>
      <c r="AZ10" s="4">
        <f t="shared" si="15"/>
        <v>285</v>
      </c>
      <c r="BA10" s="19">
        <v>4</v>
      </c>
      <c r="BB10" s="19">
        <v>8</v>
      </c>
      <c r="BC10" s="16">
        <v>19</v>
      </c>
      <c r="BD10" t="s">
        <v>1280</v>
      </c>
      <c r="BE10" t="s">
        <v>1280</v>
      </c>
      <c r="BF10" t="s">
        <v>1280</v>
      </c>
      <c r="BG10" t="str">
        <f t="shared" si="20"/>
        <v>-</v>
      </c>
      <c r="BH10">
        <v>265</v>
      </c>
      <c r="BI10">
        <v>265</v>
      </c>
      <c r="BJ10">
        <v>265</v>
      </c>
      <c r="BK10">
        <f t="shared" si="21"/>
        <v>296.8</v>
      </c>
      <c r="BL10" t="s">
        <v>1366</v>
      </c>
      <c r="BM10">
        <v>812</v>
      </c>
    </row>
    <row r="11" spans="1:65" x14ac:dyDescent="0.4">
      <c r="A11" s="3">
        <v>606</v>
      </c>
      <c r="B11" s="3">
        <v>606</v>
      </c>
      <c r="C11" s="4" t="s">
        <v>595</v>
      </c>
      <c r="D11" s="4" t="str">
        <f t="shared" si="0"/>
        <v>J947WN</v>
      </c>
      <c r="E11" s="4" t="s">
        <v>595</v>
      </c>
      <c r="F11" s="4" t="str">
        <f t="shared" si="16"/>
        <v>J947WN5</v>
      </c>
      <c r="G11" s="4" t="s">
        <v>1239</v>
      </c>
      <c r="H11" s="5">
        <v>4974268492487</v>
      </c>
      <c r="I11" s="5">
        <v>5</v>
      </c>
      <c r="J11" s="5"/>
      <c r="K11" s="5">
        <v>1</v>
      </c>
      <c r="L11" s="5">
        <v>1</v>
      </c>
      <c r="M11" s="4">
        <v>250</v>
      </c>
      <c r="N11" s="4">
        <v>210</v>
      </c>
      <c r="O11" s="4">
        <v>150</v>
      </c>
      <c r="P11" s="6">
        <f t="shared" si="1"/>
        <v>0.2857142857142857</v>
      </c>
      <c r="Q11" s="4" t="s">
        <v>1280</v>
      </c>
      <c r="R11" s="4" t="s">
        <v>1280</v>
      </c>
      <c r="S11" s="4" t="s">
        <v>1280</v>
      </c>
      <c r="T11" s="4">
        <v>280</v>
      </c>
      <c r="U11" s="4">
        <f t="shared" si="2"/>
        <v>280</v>
      </c>
      <c r="V11" s="4">
        <v>168</v>
      </c>
      <c r="W11" s="4">
        <f t="shared" si="3"/>
        <v>168</v>
      </c>
      <c r="X11" s="4"/>
      <c r="Y11" s="21">
        <f t="shared" si="4"/>
        <v>235</v>
      </c>
      <c r="Z11" s="6">
        <f t="shared" si="5"/>
        <v>0.28510638297872337</v>
      </c>
      <c r="AA11" s="4">
        <v>0</v>
      </c>
      <c r="AB11" s="4">
        <f t="shared" si="6"/>
        <v>285.10000000000002</v>
      </c>
      <c r="AC11" s="4">
        <f t="shared" si="17"/>
        <v>319.31200000000007</v>
      </c>
      <c r="AD11" s="6">
        <f t="shared" si="18"/>
        <v>0.47386881795861113</v>
      </c>
      <c r="AE11" s="4">
        <f t="shared" si="19"/>
        <v>266</v>
      </c>
      <c r="AF11" s="7">
        <v>267</v>
      </c>
      <c r="AG11" s="6">
        <f t="shared" si="7"/>
        <v>0.3707865168539326</v>
      </c>
      <c r="AH11" s="4">
        <f t="shared" si="8"/>
        <v>99</v>
      </c>
      <c r="AI11" s="28"/>
      <c r="AJ11" s="6"/>
      <c r="AK11" s="6"/>
      <c r="AL11" s="6">
        <f t="shared" si="9"/>
        <v>1.1200000000000001</v>
      </c>
      <c r="AM11" s="6">
        <f t="shared" si="10"/>
        <v>1.2714285714285714</v>
      </c>
      <c r="AN11" s="6">
        <f t="shared" si="11"/>
        <v>1.1200000000000001</v>
      </c>
      <c r="AO11" s="4" t="str">
        <f t="shared" si="12"/>
        <v>-</v>
      </c>
      <c r="AP11" s="4" t="str">
        <f t="shared" si="13"/>
        <v>-</v>
      </c>
      <c r="AQ11" s="4" t="str">
        <f t="shared" si="14"/>
        <v>-</v>
      </c>
      <c r="AR11" s="4">
        <v>0</v>
      </c>
      <c r="AS11" s="4" t="s">
        <v>2164</v>
      </c>
      <c r="AT11" s="4">
        <v>1</v>
      </c>
      <c r="AU11" s="4">
        <v>50</v>
      </c>
      <c r="AV11" s="4" t="s">
        <v>1788</v>
      </c>
      <c r="AW11" s="4">
        <v>14255</v>
      </c>
      <c r="AX11" s="4">
        <v>14255</v>
      </c>
      <c r="AY11" s="4">
        <v>14255</v>
      </c>
      <c r="AZ11" s="4">
        <f t="shared" si="15"/>
        <v>285.10000000000002</v>
      </c>
      <c r="BA11" s="19">
        <v>4</v>
      </c>
      <c r="BB11" s="19">
        <v>8</v>
      </c>
      <c r="BC11" s="16">
        <v>19</v>
      </c>
      <c r="BD11" t="s">
        <v>1280</v>
      </c>
      <c r="BE11" t="s">
        <v>1280</v>
      </c>
      <c r="BF11" t="s">
        <v>1280</v>
      </c>
      <c r="BG11" t="str">
        <f t="shared" si="20"/>
        <v>-</v>
      </c>
      <c r="BH11">
        <v>265</v>
      </c>
      <c r="BI11">
        <v>265</v>
      </c>
      <c r="BJ11">
        <v>265</v>
      </c>
      <c r="BK11">
        <f t="shared" si="21"/>
        <v>296.8</v>
      </c>
      <c r="BL11" t="s">
        <v>1648</v>
      </c>
      <c r="BM11">
        <v>812</v>
      </c>
    </row>
    <row r="12" spans="1:65" x14ac:dyDescent="0.4">
      <c r="A12" s="3">
        <v>607</v>
      </c>
      <c r="B12" s="3">
        <v>607</v>
      </c>
      <c r="C12" s="4" t="s">
        <v>596</v>
      </c>
      <c r="D12" s="4" t="str">
        <f t="shared" si="0"/>
        <v>J948WN</v>
      </c>
      <c r="E12" s="4" t="s">
        <v>596</v>
      </c>
      <c r="F12" s="4" t="str">
        <f t="shared" si="16"/>
        <v>J948WN5</v>
      </c>
      <c r="G12" s="4" t="s">
        <v>1240</v>
      </c>
      <c r="H12" s="5">
        <v>4974268492500</v>
      </c>
      <c r="I12" s="5">
        <v>5</v>
      </c>
      <c r="J12" s="5"/>
      <c r="K12" s="5">
        <v>1</v>
      </c>
      <c r="L12" s="5">
        <v>1</v>
      </c>
      <c r="M12" s="4">
        <v>250</v>
      </c>
      <c r="N12" s="4">
        <v>210</v>
      </c>
      <c r="O12" s="4">
        <v>150</v>
      </c>
      <c r="P12" s="6">
        <f t="shared" si="1"/>
        <v>0.2857142857142857</v>
      </c>
      <c r="Q12" s="4" t="s">
        <v>1280</v>
      </c>
      <c r="R12" s="4" t="s">
        <v>1280</v>
      </c>
      <c r="S12" s="4" t="s">
        <v>1280</v>
      </c>
      <c r="T12" s="4">
        <v>280</v>
      </c>
      <c r="U12" s="4">
        <f t="shared" si="2"/>
        <v>280</v>
      </c>
      <c r="V12" s="4">
        <v>168</v>
      </c>
      <c r="W12" s="4">
        <f t="shared" si="3"/>
        <v>168</v>
      </c>
      <c r="X12" s="4"/>
      <c r="Y12" s="21">
        <f t="shared" si="4"/>
        <v>235</v>
      </c>
      <c r="Z12" s="6">
        <f t="shared" si="5"/>
        <v>0.28510638297872337</v>
      </c>
      <c r="AA12" s="4">
        <v>0</v>
      </c>
      <c r="AB12" s="4">
        <f t="shared" si="6"/>
        <v>285</v>
      </c>
      <c r="AC12" s="4">
        <f t="shared" si="17"/>
        <v>319.20000000000005</v>
      </c>
      <c r="AD12" s="6">
        <f t="shared" si="18"/>
        <v>0.47368421052631582</v>
      </c>
      <c r="AE12" s="4">
        <f t="shared" si="19"/>
        <v>266</v>
      </c>
      <c r="AF12" s="7">
        <v>267</v>
      </c>
      <c r="AG12" s="6">
        <f t="shared" si="7"/>
        <v>0.3707865168539326</v>
      </c>
      <c r="AH12" s="4">
        <f t="shared" si="8"/>
        <v>99</v>
      </c>
      <c r="AI12" s="28"/>
      <c r="AJ12" s="6"/>
      <c r="AK12" s="6"/>
      <c r="AL12" s="6">
        <f t="shared" si="9"/>
        <v>1.1200000000000001</v>
      </c>
      <c r="AM12" s="6">
        <f t="shared" si="10"/>
        <v>1.2714285714285714</v>
      </c>
      <c r="AN12" s="6">
        <f t="shared" si="11"/>
        <v>1.1200000000000001</v>
      </c>
      <c r="AO12" s="4" t="str">
        <f t="shared" si="12"/>
        <v>-</v>
      </c>
      <c r="AP12" s="4" t="str">
        <f t="shared" si="13"/>
        <v>-</v>
      </c>
      <c r="AQ12" s="4" t="str">
        <f t="shared" si="14"/>
        <v>-</v>
      </c>
      <c r="AR12" s="4">
        <v>0</v>
      </c>
      <c r="AS12" s="4" t="s">
        <v>2165</v>
      </c>
      <c r="AT12" s="4">
        <v>1</v>
      </c>
      <c r="AU12" s="4">
        <v>300</v>
      </c>
      <c r="AV12" s="4" t="s">
        <v>1797</v>
      </c>
      <c r="AW12" s="4">
        <v>85500</v>
      </c>
      <c r="AX12" s="4">
        <v>85500</v>
      </c>
      <c r="AY12" s="4">
        <v>85500</v>
      </c>
      <c r="AZ12" s="4">
        <f t="shared" si="15"/>
        <v>285</v>
      </c>
      <c r="BA12" s="19">
        <v>4</v>
      </c>
      <c r="BB12" s="19">
        <v>8</v>
      </c>
      <c r="BC12" s="16">
        <v>19</v>
      </c>
      <c r="BD12" t="s">
        <v>1280</v>
      </c>
      <c r="BE12" t="s">
        <v>1280</v>
      </c>
      <c r="BF12" t="s">
        <v>1280</v>
      </c>
      <c r="BG12" t="str">
        <f t="shared" si="20"/>
        <v>-</v>
      </c>
      <c r="BH12" t="s">
        <v>1280</v>
      </c>
      <c r="BI12" t="s">
        <v>1280</v>
      </c>
      <c r="BJ12" t="s">
        <v>1280</v>
      </c>
      <c r="BK12" t="str">
        <f t="shared" si="21"/>
        <v>-</v>
      </c>
      <c r="BL12" t="s">
        <v>1649</v>
      </c>
      <c r="BM12">
        <v>812</v>
      </c>
    </row>
    <row r="13" spans="1:65" x14ac:dyDescent="0.4">
      <c r="A13" s="3">
        <v>98</v>
      </c>
      <c r="B13" s="3">
        <v>98</v>
      </c>
      <c r="C13" s="4" t="s">
        <v>87</v>
      </c>
      <c r="D13" s="4" t="str">
        <f t="shared" si="0"/>
        <v>J0860T</v>
      </c>
      <c r="E13" s="4" t="s">
        <v>87</v>
      </c>
      <c r="F13" s="4" t="str">
        <f t="shared" si="16"/>
        <v>J0860T5</v>
      </c>
      <c r="G13" s="4" t="s">
        <v>733</v>
      </c>
      <c r="H13" s="5">
        <v>4974268663993</v>
      </c>
      <c r="I13" s="5">
        <v>5</v>
      </c>
      <c r="J13" s="5"/>
      <c r="K13" s="5">
        <v>1</v>
      </c>
      <c r="L13" s="5">
        <v>1</v>
      </c>
      <c r="M13" s="4">
        <v>320</v>
      </c>
      <c r="N13" s="4">
        <v>326</v>
      </c>
      <c r="O13" s="4">
        <v>192</v>
      </c>
      <c r="P13" s="6">
        <f t="shared" si="1"/>
        <v>0.41104294478527603</v>
      </c>
      <c r="Q13" s="4" t="s">
        <v>1280</v>
      </c>
      <c r="R13" s="4" t="s">
        <v>1280</v>
      </c>
      <c r="S13" s="4" t="s">
        <v>1280</v>
      </c>
      <c r="T13" s="4">
        <v>330</v>
      </c>
      <c r="U13" s="4">
        <f t="shared" si="2"/>
        <v>330</v>
      </c>
      <c r="V13" s="4">
        <v>198</v>
      </c>
      <c r="W13" s="4">
        <f t="shared" si="3"/>
        <v>198</v>
      </c>
      <c r="X13" s="4"/>
      <c r="Y13" s="21">
        <f t="shared" si="4"/>
        <v>336</v>
      </c>
      <c r="Z13" s="6">
        <f t="shared" si="5"/>
        <v>0.4107142857142857</v>
      </c>
      <c r="AA13" s="4">
        <v>0</v>
      </c>
      <c r="AB13" s="4">
        <f t="shared" si="6"/>
        <v>237</v>
      </c>
      <c r="AC13" s="4">
        <f t="shared" si="17"/>
        <v>244.40625</v>
      </c>
      <c r="AD13" s="6">
        <f t="shared" si="18"/>
        <v>0.189873417721519</v>
      </c>
      <c r="AE13" s="4">
        <f t="shared" si="19"/>
        <v>313.5</v>
      </c>
      <c r="AF13" s="7">
        <v>292</v>
      </c>
      <c r="AG13" s="6">
        <f t="shared" si="7"/>
        <v>0.32191780821917804</v>
      </c>
      <c r="AH13" s="4">
        <f t="shared" si="8"/>
        <v>94</v>
      </c>
      <c r="AI13" s="28"/>
      <c r="AJ13" s="6"/>
      <c r="AK13" s="6"/>
      <c r="AL13" s="6">
        <f t="shared" si="9"/>
        <v>1.03125</v>
      </c>
      <c r="AM13" s="6">
        <f t="shared" si="10"/>
        <v>0.89570552147239269</v>
      </c>
      <c r="AN13" s="6">
        <f t="shared" si="11"/>
        <v>1.03125</v>
      </c>
      <c r="AO13" s="4" t="str">
        <f t="shared" si="12"/>
        <v>-</v>
      </c>
      <c r="AP13" s="4" t="str">
        <f t="shared" si="13"/>
        <v>-</v>
      </c>
      <c r="AQ13" s="4" t="str">
        <f t="shared" si="14"/>
        <v>-</v>
      </c>
      <c r="AR13" s="4">
        <v>0</v>
      </c>
      <c r="AS13" s="4" t="s">
        <v>1782</v>
      </c>
      <c r="AT13" s="4"/>
      <c r="AU13" s="4"/>
      <c r="AV13" s="4" t="s">
        <v>1713</v>
      </c>
      <c r="AW13" s="4">
        <v>237</v>
      </c>
      <c r="AX13" s="4">
        <v>237</v>
      </c>
      <c r="AY13" s="4">
        <v>237</v>
      </c>
      <c r="AZ13" s="4">
        <f t="shared" si="15"/>
        <v>237</v>
      </c>
      <c r="BA13" s="19">
        <v>4</v>
      </c>
      <c r="BB13" s="19">
        <v>8</v>
      </c>
      <c r="BC13" s="16">
        <v>19</v>
      </c>
      <c r="BD13" t="s">
        <v>1280</v>
      </c>
      <c r="BE13" t="s">
        <v>1280</v>
      </c>
      <c r="BF13" t="s">
        <v>1280</v>
      </c>
      <c r="BG13" t="str">
        <f t="shared" si="20"/>
        <v>-</v>
      </c>
      <c r="BH13" t="s">
        <v>1280</v>
      </c>
      <c r="BI13">
        <v>284</v>
      </c>
      <c r="BJ13">
        <v>284</v>
      </c>
      <c r="BK13">
        <f t="shared" si="21"/>
        <v>292.875</v>
      </c>
      <c r="BL13" t="s">
        <v>1357</v>
      </c>
      <c r="BM13">
        <v>812</v>
      </c>
    </row>
    <row r="14" spans="1:65" x14ac:dyDescent="0.4">
      <c r="A14" s="3">
        <v>99</v>
      </c>
      <c r="B14" s="3">
        <v>99</v>
      </c>
      <c r="C14" s="4" t="s">
        <v>88</v>
      </c>
      <c r="D14" s="4" t="str">
        <f t="shared" si="0"/>
        <v>J0861T</v>
      </c>
      <c r="E14" s="4" t="s">
        <v>88</v>
      </c>
      <c r="F14" s="4" t="str">
        <f t="shared" si="16"/>
        <v>J0861T5</v>
      </c>
      <c r="G14" s="4" t="s">
        <v>734</v>
      </c>
      <c r="H14" s="5">
        <v>4974268664006</v>
      </c>
      <c r="I14" s="5">
        <v>5</v>
      </c>
      <c r="J14" s="5"/>
      <c r="K14" s="5">
        <v>1</v>
      </c>
      <c r="L14" s="5">
        <v>1</v>
      </c>
      <c r="M14" s="4">
        <v>320</v>
      </c>
      <c r="N14" s="4">
        <v>329</v>
      </c>
      <c r="O14" s="4">
        <v>192</v>
      </c>
      <c r="P14" s="6">
        <f t="shared" si="1"/>
        <v>0.4164133738601824</v>
      </c>
      <c r="Q14" s="4" t="s">
        <v>1280</v>
      </c>
      <c r="R14" s="4" t="s">
        <v>1280</v>
      </c>
      <c r="S14" s="4" t="s">
        <v>1280</v>
      </c>
      <c r="T14" s="4">
        <v>330</v>
      </c>
      <c r="U14" s="4">
        <f t="shared" si="2"/>
        <v>330</v>
      </c>
      <c r="V14" s="4">
        <v>198</v>
      </c>
      <c r="W14" s="4">
        <f t="shared" si="3"/>
        <v>198</v>
      </c>
      <c r="X14" s="4"/>
      <c r="Y14" s="21">
        <f t="shared" si="4"/>
        <v>339</v>
      </c>
      <c r="Z14" s="6">
        <f t="shared" si="5"/>
        <v>0.41592920353982299</v>
      </c>
      <c r="AA14" s="4">
        <v>0</v>
      </c>
      <c r="AB14" s="4">
        <f t="shared" si="6"/>
        <v>237</v>
      </c>
      <c r="AC14" s="4">
        <f t="shared" si="17"/>
        <v>244.40625</v>
      </c>
      <c r="AD14" s="6">
        <f t="shared" si="18"/>
        <v>0.189873417721519</v>
      </c>
      <c r="AE14" s="4">
        <f t="shared" si="19"/>
        <v>313.5</v>
      </c>
      <c r="AF14" s="7">
        <v>292</v>
      </c>
      <c r="AG14" s="6">
        <f t="shared" si="7"/>
        <v>0.32191780821917804</v>
      </c>
      <c r="AH14" s="4">
        <f t="shared" si="8"/>
        <v>94</v>
      </c>
      <c r="AI14" s="28"/>
      <c r="AJ14" s="6"/>
      <c r="AK14" s="6"/>
      <c r="AL14" s="6">
        <f t="shared" si="9"/>
        <v>1.03125</v>
      </c>
      <c r="AM14" s="6">
        <f t="shared" si="10"/>
        <v>0.88753799392097266</v>
      </c>
      <c r="AN14" s="6">
        <f t="shared" si="11"/>
        <v>1.03125</v>
      </c>
      <c r="AO14" s="4" t="str">
        <f t="shared" si="12"/>
        <v>-</v>
      </c>
      <c r="AP14" s="4" t="str">
        <f t="shared" si="13"/>
        <v>-</v>
      </c>
      <c r="AQ14" s="4" t="str">
        <f t="shared" si="14"/>
        <v>-</v>
      </c>
      <c r="AR14" s="4">
        <v>0</v>
      </c>
      <c r="AS14" s="4" t="s">
        <v>1783</v>
      </c>
      <c r="AT14" s="4"/>
      <c r="AU14" s="4"/>
      <c r="AV14" s="4" t="s">
        <v>1784</v>
      </c>
      <c r="AW14" s="4">
        <v>237</v>
      </c>
      <c r="AX14" s="4">
        <v>237</v>
      </c>
      <c r="AY14" s="4">
        <v>237</v>
      </c>
      <c r="AZ14" s="4">
        <f t="shared" si="15"/>
        <v>237</v>
      </c>
      <c r="BA14" s="19">
        <v>4</v>
      </c>
      <c r="BB14" s="19">
        <v>8</v>
      </c>
      <c r="BC14" s="16">
        <v>19</v>
      </c>
      <c r="BD14" t="s">
        <v>1280</v>
      </c>
      <c r="BE14" t="s">
        <v>1280</v>
      </c>
      <c r="BF14" t="s">
        <v>1280</v>
      </c>
      <c r="BG14" t="str">
        <f t="shared" si="20"/>
        <v>-</v>
      </c>
      <c r="BH14" t="s">
        <v>1280</v>
      </c>
      <c r="BI14">
        <v>284</v>
      </c>
      <c r="BJ14">
        <v>284</v>
      </c>
      <c r="BK14">
        <f t="shared" si="21"/>
        <v>292.875</v>
      </c>
      <c r="BL14" t="s">
        <v>1358</v>
      </c>
      <c r="BM14">
        <v>812</v>
      </c>
    </row>
    <row r="15" spans="1:65" x14ac:dyDescent="0.4">
      <c r="A15" s="3">
        <v>162</v>
      </c>
      <c r="B15" s="3">
        <v>162</v>
      </c>
      <c r="C15" s="4" t="s">
        <v>151</v>
      </c>
      <c r="D15" s="4" t="str">
        <f t="shared" si="0"/>
        <v>J2497X</v>
      </c>
      <c r="E15" s="4" t="s">
        <v>151</v>
      </c>
      <c r="F15" s="4" t="str">
        <f t="shared" si="16"/>
        <v>J2497X5</v>
      </c>
      <c r="G15" s="4" t="s">
        <v>797</v>
      </c>
      <c r="H15" s="5">
        <v>4974268041579</v>
      </c>
      <c r="I15" s="5">
        <v>5</v>
      </c>
      <c r="J15" s="5"/>
      <c r="K15" s="5">
        <v>1</v>
      </c>
      <c r="L15" s="5">
        <v>1</v>
      </c>
      <c r="M15" s="4">
        <v>280</v>
      </c>
      <c r="N15" s="4">
        <v>266</v>
      </c>
      <c r="O15" s="4">
        <v>168</v>
      </c>
      <c r="P15" s="6">
        <f t="shared" si="1"/>
        <v>0.36842105263157898</v>
      </c>
      <c r="Q15" s="4" t="s">
        <v>1280</v>
      </c>
      <c r="R15" s="4" t="s">
        <v>1280</v>
      </c>
      <c r="S15" s="4" t="s">
        <v>1280</v>
      </c>
      <c r="T15" s="4">
        <v>330</v>
      </c>
      <c r="U15" s="4">
        <f t="shared" si="2"/>
        <v>330</v>
      </c>
      <c r="V15" s="4">
        <v>198</v>
      </c>
      <c r="W15" s="4">
        <f t="shared" si="3"/>
        <v>198</v>
      </c>
      <c r="X15" s="4"/>
      <c r="Y15" s="21">
        <f t="shared" si="4"/>
        <v>314</v>
      </c>
      <c r="Z15" s="6">
        <f t="shared" si="5"/>
        <v>0.36942675159235672</v>
      </c>
      <c r="AA15" s="4">
        <v>4.25</v>
      </c>
      <c r="AB15" s="4" t="str">
        <f t="shared" si="6"/>
        <v>-</v>
      </c>
      <c r="AC15" s="4" t="str">
        <f t="shared" si="17"/>
        <v>-</v>
      </c>
      <c r="AD15" s="6" t="str">
        <f t="shared" si="18"/>
        <v>-</v>
      </c>
      <c r="AE15" s="4">
        <f t="shared" si="19"/>
        <v>313.5</v>
      </c>
      <c r="AF15" s="7">
        <v>315</v>
      </c>
      <c r="AG15" s="6">
        <f t="shared" si="7"/>
        <v>0.37142857142857144</v>
      </c>
      <c r="AH15" s="4">
        <f t="shared" si="8"/>
        <v>117</v>
      </c>
      <c r="AI15" s="28"/>
      <c r="AJ15" s="6"/>
      <c r="AK15" s="6"/>
      <c r="AL15" s="6">
        <f t="shared" si="9"/>
        <v>1.1785714285714286</v>
      </c>
      <c r="AM15" s="6">
        <f t="shared" si="10"/>
        <v>1.1842105263157894</v>
      </c>
      <c r="AN15" s="6">
        <f t="shared" si="11"/>
        <v>1.1785714285714286</v>
      </c>
      <c r="AO15" s="4" t="str">
        <f t="shared" si="12"/>
        <v>-</v>
      </c>
      <c r="AP15" s="4" t="str">
        <f t="shared" si="13"/>
        <v>-</v>
      </c>
      <c r="AQ15" s="4" t="str">
        <f t="shared" si="14"/>
        <v>-</v>
      </c>
      <c r="AR15" s="4">
        <v>0</v>
      </c>
      <c r="AS15" s="4" t="s">
        <v>1280</v>
      </c>
      <c r="AT15" s="4"/>
      <c r="AU15" s="4"/>
      <c r="AV15" s="4" t="s">
        <v>1280</v>
      </c>
      <c r="AW15" s="4" t="s">
        <v>1280</v>
      </c>
      <c r="AX15" s="4" t="s">
        <v>1280</v>
      </c>
      <c r="AY15" s="4" t="s">
        <v>1280</v>
      </c>
      <c r="AZ15" s="4" t="str">
        <f t="shared" si="15"/>
        <v>-</v>
      </c>
      <c r="BA15" s="19">
        <v>4</v>
      </c>
      <c r="BB15" s="19">
        <v>1</v>
      </c>
      <c r="BC15" s="16">
        <v>6</v>
      </c>
      <c r="BD15">
        <v>1400</v>
      </c>
      <c r="BE15">
        <v>1400</v>
      </c>
      <c r="BF15">
        <v>1400</v>
      </c>
      <c r="BG15">
        <f t="shared" si="20"/>
        <v>1650</v>
      </c>
      <c r="BH15" t="s">
        <v>1280</v>
      </c>
      <c r="BI15" t="s">
        <v>1280</v>
      </c>
      <c r="BJ15" t="s">
        <v>1280</v>
      </c>
      <c r="BK15" t="str">
        <f t="shared" si="21"/>
        <v>-</v>
      </c>
      <c r="BL15" t="s">
        <v>1280</v>
      </c>
      <c r="BM15">
        <v>812</v>
      </c>
    </row>
    <row r="16" spans="1:65" x14ac:dyDescent="0.4">
      <c r="A16" s="3">
        <v>163</v>
      </c>
      <c r="B16" s="3">
        <v>163</v>
      </c>
      <c r="C16" s="4" t="s">
        <v>152</v>
      </c>
      <c r="D16" s="4" t="str">
        <f t="shared" si="0"/>
        <v>J2500X</v>
      </c>
      <c r="E16" s="4" t="s">
        <v>152</v>
      </c>
      <c r="F16" s="4" t="str">
        <f t="shared" si="16"/>
        <v>J2500X5</v>
      </c>
      <c r="G16" s="4" t="s">
        <v>798</v>
      </c>
      <c r="H16" s="5">
        <v>4974268041609</v>
      </c>
      <c r="I16" s="5">
        <v>5</v>
      </c>
      <c r="J16" s="5"/>
      <c r="K16" s="5">
        <v>1</v>
      </c>
      <c r="L16" s="5">
        <v>1</v>
      </c>
      <c r="M16" s="4">
        <v>280</v>
      </c>
      <c r="N16" s="4">
        <v>266</v>
      </c>
      <c r="O16" s="4">
        <v>168</v>
      </c>
      <c r="P16" s="6">
        <f t="shared" si="1"/>
        <v>0.36842105263157898</v>
      </c>
      <c r="Q16" s="4" t="s">
        <v>1280</v>
      </c>
      <c r="R16" s="4" t="s">
        <v>1280</v>
      </c>
      <c r="S16" s="4" t="s">
        <v>1280</v>
      </c>
      <c r="T16" s="4">
        <v>330</v>
      </c>
      <c r="U16" s="4">
        <f t="shared" si="2"/>
        <v>330</v>
      </c>
      <c r="V16" s="4">
        <v>198</v>
      </c>
      <c r="W16" s="4">
        <f t="shared" si="3"/>
        <v>198</v>
      </c>
      <c r="X16" s="4"/>
      <c r="Y16" s="21">
        <f t="shared" si="4"/>
        <v>314</v>
      </c>
      <c r="Z16" s="6">
        <f t="shared" si="5"/>
        <v>0.36942675159235672</v>
      </c>
      <c r="AA16" s="4">
        <v>1.25</v>
      </c>
      <c r="AB16" s="4" t="str">
        <f t="shared" si="6"/>
        <v>-</v>
      </c>
      <c r="AC16" s="4" t="str">
        <f t="shared" si="17"/>
        <v>-</v>
      </c>
      <c r="AD16" s="6" t="str">
        <f t="shared" si="18"/>
        <v>-</v>
      </c>
      <c r="AE16" s="4">
        <f t="shared" si="19"/>
        <v>313.5</v>
      </c>
      <c r="AF16" s="7">
        <v>315</v>
      </c>
      <c r="AG16" s="6">
        <f t="shared" si="7"/>
        <v>0.37142857142857144</v>
      </c>
      <c r="AH16" s="4">
        <f t="shared" si="8"/>
        <v>117</v>
      </c>
      <c r="AI16" s="28"/>
      <c r="AJ16" s="6"/>
      <c r="AK16" s="6"/>
      <c r="AL16" s="6">
        <f t="shared" si="9"/>
        <v>1.1785714285714286</v>
      </c>
      <c r="AM16" s="6">
        <f t="shared" si="10"/>
        <v>1.1842105263157894</v>
      </c>
      <c r="AN16" s="6">
        <f t="shared" si="11"/>
        <v>1.1785714285714286</v>
      </c>
      <c r="AO16" s="4" t="str">
        <f t="shared" si="12"/>
        <v>-</v>
      </c>
      <c r="AP16" s="4" t="str">
        <f t="shared" si="13"/>
        <v>-</v>
      </c>
      <c r="AQ16" s="4" t="str">
        <f t="shared" si="14"/>
        <v>-</v>
      </c>
      <c r="AR16" s="4">
        <v>0</v>
      </c>
      <c r="AS16" s="4" t="s">
        <v>1280</v>
      </c>
      <c r="AT16" s="4"/>
      <c r="AU16" s="4"/>
      <c r="AV16" s="4" t="s">
        <v>1280</v>
      </c>
      <c r="AW16" s="4" t="s">
        <v>1280</v>
      </c>
      <c r="AX16" s="4" t="s">
        <v>1280</v>
      </c>
      <c r="AY16" s="4" t="s">
        <v>1280</v>
      </c>
      <c r="AZ16" s="4" t="str">
        <f t="shared" si="15"/>
        <v>-</v>
      </c>
      <c r="BA16" s="19">
        <v>4</v>
      </c>
      <c r="BB16" s="19">
        <v>1</v>
      </c>
      <c r="BC16" s="16">
        <v>6</v>
      </c>
      <c r="BD16">
        <v>1400</v>
      </c>
      <c r="BE16" t="s">
        <v>1280</v>
      </c>
      <c r="BF16">
        <v>1400</v>
      </c>
      <c r="BG16">
        <f t="shared" si="20"/>
        <v>1650</v>
      </c>
      <c r="BH16" t="s">
        <v>1280</v>
      </c>
      <c r="BI16" t="s">
        <v>1280</v>
      </c>
      <c r="BJ16" t="s">
        <v>1280</v>
      </c>
      <c r="BK16" t="str">
        <f t="shared" si="21"/>
        <v>-</v>
      </c>
      <c r="BL16" t="s">
        <v>1280</v>
      </c>
      <c r="BM16">
        <v>812</v>
      </c>
    </row>
    <row r="17" spans="1:65" x14ac:dyDescent="0.4">
      <c r="A17" s="3">
        <v>164</v>
      </c>
      <c r="B17" s="3">
        <v>164</v>
      </c>
      <c r="C17" s="4" t="s">
        <v>153</v>
      </c>
      <c r="D17" s="4" t="str">
        <f t="shared" si="0"/>
        <v>J2501X</v>
      </c>
      <c r="E17" s="4" t="s">
        <v>153</v>
      </c>
      <c r="F17" s="4" t="str">
        <f t="shared" si="16"/>
        <v>J2501X5</v>
      </c>
      <c r="G17" s="4" t="s">
        <v>799</v>
      </c>
      <c r="H17" s="5">
        <v>4974268041616</v>
      </c>
      <c r="I17" s="5">
        <v>5</v>
      </c>
      <c r="J17" s="5"/>
      <c r="K17" s="5">
        <v>1</v>
      </c>
      <c r="L17" s="5">
        <v>1</v>
      </c>
      <c r="M17" s="4">
        <v>280</v>
      </c>
      <c r="N17" s="4">
        <v>266</v>
      </c>
      <c r="O17" s="4">
        <v>168</v>
      </c>
      <c r="P17" s="6">
        <f t="shared" si="1"/>
        <v>0.36842105263157898</v>
      </c>
      <c r="Q17" s="4" t="s">
        <v>1280</v>
      </c>
      <c r="R17" s="4" t="s">
        <v>1280</v>
      </c>
      <c r="S17" s="4" t="s">
        <v>1280</v>
      </c>
      <c r="T17" s="4">
        <v>330</v>
      </c>
      <c r="U17" s="4">
        <f t="shared" si="2"/>
        <v>330</v>
      </c>
      <c r="V17" s="4">
        <v>198</v>
      </c>
      <c r="W17" s="4">
        <f t="shared" si="3"/>
        <v>198</v>
      </c>
      <c r="X17" s="4"/>
      <c r="Y17" s="21">
        <f t="shared" si="4"/>
        <v>314</v>
      </c>
      <c r="Z17" s="6">
        <f t="shared" si="5"/>
        <v>0.36942675159235672</v>
      </c>
      <c r="AA17" s="4">
        <v>2.75</v>
      </c>
      <c r="AB17" s="4" t="str">
        <f t="shared" si="6"/>
        <v>-</v>
      </c>
      <c r="AC17" s="4" t="str">
        <f t="shared" si="17"/>
        <v>-</v>
      </c>
      <c r="AD17" s="6" t="str">
        <f t="shared" si="18"/>
        <v>-</v>
      </c>
      <c r="AE17" s="4">
        <f t="shared" si="19"/>
        <v>313.5</v>
      </c>
      <c r="AF17" s="7">
        <v>315</v>
      </c>
      <c r="AG17" s="6">
        <f t="shared" si="7"/>
        <v>0.37142857142857144</v>
      </c>
      <c r="AH17" s="4">
        <f t="shared" si="8"/>
        <v>117</v>
      </c>
      <c r="AI17" s="28"/>
      <c r="AJ17" s="6"/>
      <c r="AK17" s="6"/>
      <c r="AL17" s="6">
        <f t="shared" si="9"/>
        <v>1.1785714285714286</v>
      </c>
      <c r="AM17" s="6">
        <f t="shared" si="10"/>
        <v>1.1842105263157894</v>
      </c>
      <c r="AN17" s="6">
        <f t="shared" si="11"/>
        <v>1.1785714285714286</v>
      </c>
      <c r="AO17" s="4" t="str">
        <f t="shared" si="12"/>
        <v>-</v>
      </c>
      <c r="AP17" s="4" t="str">
        <f t="shared" si="13"/>
        <v>-</v>
      </c>
      <c r="AQ17" s="4" t="str">
        <f t="shared" si="14"/>
        <v>-</v>
      </c>
      <c r="AR17" s="4">
        <v>0</v>
      </c>
      <c r="AS17" s="4" t="s">
        <v>1280</v>
      </c>
      <c r="AT17" s="4"/>
      <c r="AU17" s="4"/>
      <c r="AV17" s="4" t="s">
        <v>1280</v>
      </c>
      <c r="AW17" s="4" t="s">
        <v>1280</v>
      </c>
      <c r="AX17" s="4" t="s">
        <v>1280</v>
      </c>
      <c r="AY17" s="4" t="s">
        <v>1280</v>
      </c>
      <c r="AZ17" s="4" t="str">
        <f t="shared" si="15"/>
        <v>-</v>
      </c>
      <c r="BA17" s="19">
        <v>4</v>
      </c>
      <c r="BB17" s="19">
        <v>1</v>
      </c>
      <c r="BC17" s="16">
        <v>6</v>
      </c>
      <c r="BD17">
        <v>1400</v>
      </c>
      <c r="BE17">
        <v>1400</v>
      </c>
      <c r="BF17">
        <v>1400</v>
      </c>
      <c r="BG17">
        <f t="shared" si="20"/>
        <v>1650</v>
      </c>
      <c r="BH17" t="s">
        <v>1280</v>
      </c>
      <c r="BI17" t="s">
        <v>1280</v>
      </c>
      <c r="BJ17" t="s">
        <v>1280</v>
      </c>
      <c r="BK17" t="str">
        <f t="shared" si="21"/>
        <v>-</v>
      </c>
      <c r="BL17" t="s">
        <v>1280</v>
      </c>
      <c r="BM17">
        <v>812</v>
      </c>
    </row>
    <row r="18" spans="1:65" x14ac:dyDescent="0.4">
      <c r="A18" s="3">
        <v>165</v>
      </c>
      <c r="B18" s="3">
        <v>165</v>
      </c>
      <c r="C18" s="4" t="s">
        <v>154</v>
      </c>
      <c r="D18" s="4" t="str">
        <f t="shared" si="0"/>
        <v>J2502X</v>
      </c>
      <c r="E18" s="4" t="s">
        <v>154</v>
      </c>
      <c r="F18" s="4" t="str">
        <f t="shared" si="16"/>
        <v>J2502X5</v>
      </c>
      <c r="G18" s="4" t="s">
        <v>800</v>
      </c>
      <c r="H18" s="5">
        <v>4974268041623</v>
      </c>
      <c r="I18" s="5">
        <v>5</v>
      </c>
      <c r="J18" s="5"/>
      <c r="K18" s="5">
        <v>1</v>
      </c>
      <c r="L18" s="5">
        <v>1</v>
      </c>
      <c r="M18" s="4">
        <v>280</v>
      </c>
      <c r="N18" s="4">
        <v>266</v>
      </c>
      <c r="O18" s="4">
        <v>168</v>
      </c>
      <c r="P18" s="6">
        <f t="shared" si="1"/>
        <v>0.36842105263157898</v>
      </c>
      <c r="Q18" s="4" t="s">
        <v>1280</v>
      </c>
      <c r="R18" s="4" t="s">
        <v>1280</v>
      </c>
      <c r="S18" s="4" t="s">
        <v>1280</v>
      </c>
      <c r="T18" s="4">
        <v>330</v>
      </c>
      <c r="U18" s="4">
        <f t="shared" si="2"/>
        <v>330</v>
      </c>
      <c r="V18" s="4">
        <v>198</v>
      </c>
      <c r="W18" s="4">
        <f t="shared" si="3"/>
        <v>198</v>
      </c>
      <c r="X18" s="4"/>
      <c r="Y18" s="21">
        <f t="shared" si="4"/>
        <v>314</v>
      </c>
      <c r="Z18" s="6">
        <f t="shared" si="5"/>
        <v>0.36942675159235672</v>
      </c>
      <c r="AA18" s="4">
        <v>1.25</v>
      </c>
      <c r="AB18" s="4" t="str">
        <f t="shared" si="6"/>
        <v>-</v>
      </c>
      <c r="AC18" s="4" t="str">
        <f t="shared" si="17"/>
        <v>-</v>
      </c>
      <c r="AD18" s="6" t="str">
        <f t="shared" si="18"/>
        <v>-</v>
      </c>
      <c r="AE18" s="4">
        <f t="shared" si="19"/>
        <v>313.5</v>
      </c>
      <c r="AF18" s="7">
        <v>315</v>
      </c>
      <c r="AG18" s="6">
        <f t="shared" si="7"/>
        <v>0.37142857142857144</v>
      </c>
      <c r="AH18" s="4">
        <f t="shared" si="8"/>
        <v>117</v>
      </c>
      <c r="AI18" s="28"/>
      <c r="AJ18" s="6"/>
      <c r="AK18" s="6"/>
      <c r="AL18" s="6">
        <f t="shared" si="9"/>
        <v>1.1785714285714286</v>
      </c>
      <c r="AM18" s="6">
        <f t="shared" si="10"/>
        <v>1.1842105263157894</v>
      </c>
      <c r="AN18" s="6">
        <f t="shared" si="11"/>
        <v>1.1785714285714286</v>
      </c>
      <c r="AO18" s="4" t="str">
        <f t="shared" si="12"/>
        <v>-</v>
      </c>
      <c r="AP18" s="4" t="str">
        <f t="shared" si="13"/>
        <v>-</v>
      </c>
      <c r="AQ18" s="4" t="str">
        <f t="shared" si="14"/>
        <v>-</v>
      </c>
      <c r="AR18" s="4">
        <v>0</v>
      </c>
      <c r="AS18" s="4" t="s">
        <v>1280</v>
      </c>
      <c r="AT18" s="4"/>
      <c r="AU18" s="4"/>
      <c r="AV18" s="4" t="s">
        <v>1280</v>
      </c>
      <c r="AW18" s="4" t="s">
        <v>1280</v>
      </c>
      <c r="AX18" s="4" t="s">
        <v>1280</v>
      </c>
      <c r="AY18" s="4" t="s">
        <v>1280</v>
      </c>
      <c r="AZ18" s="4" t="str">
        <f t="shared" si="15"/>
        <v>-</v>
      </c>
      <c r="BA18" s="19">
        <v>4</v>
      </c>
      <c r="BB18" s="19">
        <v>1</v>
      </c>
      <c r="BC18" s="16">
        <v>6</v>
      </c>
      <c r="BD18">
        <v>1400</v>
      </c>
      <c r="BE18">
        <v>1400</v>
      </c>
      <c r="BF18">
        <v>1400</v>
      </c>
      <c r="BG18">
        <f t="shared" si="20"/>
        <v>1650</v>
      </c>
      <c r="BH18" t="s">
        <v>1280</v>
      </c>
      <c r="BI18" t="s">
        <v>1280</v>
      </c>
      <c r="BJ18" t="s">
        <v>1280</v>
      </c>
      <c r="BK18" t="str">
        <f t="shared" si="21"/>
        <v>-</v>
      </c>
      <c r="BL18" t="s">
        <v>1280</v>
      </c>
      <c r="BM18">
        <v>812</v>
      </c>
    </row>
    <row r="19" spans="1:65" x14ac:dyDescent="0.4">
      <c r="A19" s="3">
        <v>166</v>
      </c>
      <c r="B19" s="3">
        <v>166</v>
      </c>
      <c r="C19" s="4" t="s">
        <v>155</v>
      </c>
      <c r="D19" s="4" t="str">
        <f t="shared" si="0"/>
        <v>J2498X</v>
      </c>
      <c r="E19" s="4" t="s">
        <v>155</v>
      </c>
      <c r="F19" s="4" t="str">
        <f t="shared" si="16"/>
        <v>J2498X5</v>
      </c>
      <c r="G19" s="4" t="s">
        <v>801</v>
      </c>
      <c r="H19" s="5">
        <v>4974268041586</v>
      </c>
      <c r="I19" s="5">
        <v>5</v>
      </c>
      <c r="J19" s="5"/>
      <c r="K19" s="5">
        <v>1</v>
      </c>
      <c r="L19" s="5">
        <v>1</v>
      </c>
      <c r="M19" s="4">
        <v>280</v>
      </c>
      <c r="N19" s="4">
        <v>266</v>
      </c>
      <c r="O19" s="4">
        <v>168</v>
      </c>
      <c r="P19" s="6">
        <f t="shared" si="1"/>
        <v>0.36842105263157898</v>
      </c>
      <c r="Q19" s="4" t="s">
        <v>1280</v>
      </c>
      <c r="R19" s="4" t="s">
        <v>1280</v>
      </c>
      <c r="S19" s="4" t="s">
        <v>1280</v>
      </c>
      <c r="T19" s="4">
        <v>330</v>
      </c>
      <c r="U19" s="4">
        <f t="shared" si="2"/>
        <v>330</v>
      </c>
      <c r="V19" s="4">
        <v>198</v>
      </c>
      <c r="W19" s="4">
        <f t="shared" si="3"/>
        <v>198</v>
      </c>
      <c r="X19" s="4"/>
      <c r="Y19" s="21">
        <f t="shared" si="4"/>
        <v>314</v>
      </c>
      <c r="Z19" s="6">
        <f t="shared" si="5"/>
        <v>0.36942675159235672</v>
      </c>
      <c r="AA19" s="4">
        <v>1.7500000000000002</v>
      </c>
      <c r="AB19" s="4" t="str">
        <f t="shared" si="6"/>
        <v>-</v>
      </c>
      <c r="AC19" s="4" t="str">
        <f t="shared" si="17"/>
        <v>-</v>
      </c>
      <c r="AD19" s="6" t="str">
        <f t="shared" si="18"/>
        <v>-</v>
      </c>
      <c r="AE19" s="4">
        <f t="shared" si="19"/>
        <v>313.5</v>
      </c>
      <c r="AF19" s="7">
        <v>315</v>
      </c>
      <c r="AG19" s="6">
        <f t="shared" si="7"/>
        <v>0.37142857142857144</v>
      </c>
      <c r="AH19" s="4">
        <f t="shared" si="8"/>
        <v>117</v>
      </c>
      <c r="AI19" s="28"/>
      <c r="AJ19" s="6"/>
      <c r="AK19" s="6"/>
      <c r="AL19" s="6">
        <f t="shared" si="9"/>
        <v>1.1785714285714286</v>
      </c>
      <c r="AM19" s="6">
        <f t="shared" si="10"/>
        <v>1.1842105263157894</v>
      </c>
      <c r="AN19" s="6">
        <f t="shared" si="11"/>
        <v>1.1785714285714286</v>
      </c>
      <c r="AO19" s="4" t="str">
        <f t="shared" si="12"/>
        <v>-</v>
      </c>
      <c r="AP19" s="4" t="str">
        <f t="shared" si="13"/>
        <v>-</v>
      </c>
      <c r="AQ19" s="4" t="str">
        <f t="shared" si="14"/>
        <v>-</v>
      </c>
      <c r="AR19" s="4">
        <v>0</v>
      </c>
      <c r="AS19" s="4" t="s">
        <v>1280</v>
      </c>
      <c r="AT19" s="4"/>
      <c r="AU19" s="4"/>
      <c r="AV19" s="4" t="s">
        <v>1280</v>
      </c>
      <c r="AW19" s="4" t="s">
        <v>1280</v>
      </c>
      <c r="AX19" s="4" t="s">
        <v>1280</v>
      </c>
      <c r="AY19" s="4" t="s">
        <v>1280</v>
      </c>
      <c r="AZ19" s="4" t="str">
        <f t="shared" si="15"/>
        <v>-</v>
      </c>
      <c r="BA19" s="19">
        <v>4</v>
      </c>
      <c r="BB19" s="19">
        <v>1</v>
      </c>
      <c r="BC19" s="16">
        <v>6</v>
      </c>
      <c r="BD19">
        <v>1400</v>
      </c>
      <c r="BE19">
        <v>1400</v>
      </c>
      <c r="BF19">
        <v>1400</v>
      </c>
      <c r="BG19">
        <f t="shared" si="20"/>
        <v>1650</v>
      </c>
      <c r="BH19" t="s">
        <v>1280</v>
      </c>
      <c r="BI19" t="s">
        <v>1280</v>
      </c>
      <c r="BJ19" t="s">
        <v>1280</v>
      </c>
      <c r="BK19" t="str">
        <f t="shared" si="21"/>
        <v>-</v>
      </c>
      <c r="BL19" t="s">
        <v>1280</v>
      </c>
      <c r="BM19">
        <v>812</v>
      </c>
    </row>
    <row r="20" spans="1:65" x14ac:dyDescent="0.4">
      <c r="A20" s="3">
        <v>167</v>
      </c>
      <c r="B20" s="3">
        <v>167</v>
      </c>
      <c r="C20" s="4" t="s">
        <v>156</v>
      </c>
      <c r="D20" s="4" t="str">
        <f t="shared" si="0"/>
        <v>J2499X</v>
      </c>
      <c r="E20" s="4" t="s">
        <v>156</v>
      </c>
      <c r="F20" s="4" t="str">
        <f t="shared" si="16"/>
        <v>J2499X5</v>
      </c>
      <c r="G20" s="4" t="s">
        <v>802</v>
      </c>
      <c r="H20" s="5">
        <v>4974268041593</v>
      </c>
      <c r="I20" s="5">
        <v>5</v>
      </c>
      <c r="J20" s="5"/>
      <c r="K20" s="5">
        <v>1</v>
      </c>
      <c r="L20" s="5">
        <v>1</v>
      </c>
      <c r="M20" s="4">
        <v>280</v>
      </c>
      <c r="N20" s="4">
        <v>266</v>
      </c>
      <c r="O20" s="4">
        <v>168</v>
      </c>
      <c r="P20" s="6">
        <f t="shared" si="1"/>
        <v>0.36842105263157898</v>
      </c>
      <c r="Q20" s="4" t="s">
        <v>1280</v>
      </c>
      <c r="R20" s="4" t="s">
        <v>1280</v>
      </c>
      <c r="S20" s="4" t="s">
        <v>1280</v>
      </c>
      <c r="T20" s="4">
        <v>330</v>
      </c>
      <c r="U20" s="4">
        <f t="shared" si="2"/>
        <v>330</v>
      </c>
      <c r="V20" s="4">
        <v>198</v>
      </c>
      <c r="W20" s="4">
        <f t="shared" si="3"/>
        <v>198</v>
      </c>
      <c r="X20" s="4"/>
      <c r="Y20" s="21">
        <f t="shared" si="4"/>
        <v>314</v>
      </c>
      <c r="Z20" s="6">
        <f t="shared" si="5"/>
        <v>0.36942675159235672</v>
      </c>
      <c r="AA20" s="4">
        <v>1.5</v>
      </c>
      <c r="AB20" s="4" t="str">
        <f t="shared" si="6"/>
        <v>-</v>
      </c>
      <c r="AC20" s="4" t="str">
        <f t="shared" si="17"/>
        <v>-</v>
      </c>
      <c r="AD20" s="6" t="str">
        <f t="shared" si="18"/>
        <v>-</v>
      </c>
      <c r="AE20" s="4">
        <f t="shared" si="19"/>
        <v>313.5</v>
      </c>
      <c r="AF20" s="7">
        <v>315</v>
      </c>
      <c r="AG20" s="6">
        <f t="shared" si="7"/>
        <v>0.37142857142857144</v>
      </c>
      <c r="AH20" s="4">
        <f t="shared" si="8"/>
        <v>117</v>
      </c>
      <c r="AI20" s="28"/>
      <c r="AJ20" s="6"/>
      <c r="AK20" s="6"/>
      <c r="AL20" s="6">
        <f t="shared" si="9"/>
        <v>1.1785714285714286</v>
      </c>
      <c r="AM20" s="6">
        <f t="shared" si="10"/>
        <v>1.1842105263157894</v>
      </c>
      <c r="AN20" s="6">
        <f t="shared" si="11"/>
        <v>1.1785714285714286</v>
      </c>
      <c r="AO20" s="4" t="str">
        <f t="shared" si="12"/>
        <v>-</v>
      </c>
      <c r="AP20" s="4" t="str">
        <f t="shared" si="13"/>
        <v>-</v>
      </c>
      <c r="AQ20" s="4" t="str">
        <f t="shared" si="14"/>
        <v>-</v>
      </c>
      <c r="AR20" s="4">
        <v>0</v>
      </c>
      <c r="AS20" s="4" t="s">
        <v>1280</v>
      </c>
      <c r="AT20" s="4"/>
      <c r="AU20" s="4"/>
      <c r="AV20" s="4" t="s">
        <v>1280</v>
      </c>
      <c r="AW20" s="4" t="s">
        <v>1280</v>
      </c>
      <c r="AX20" s="4" t="s">
        <v>1280</v>
      </c>
      <c r="AY20" s="4" t="s">
        <v>1280</v>
      </c>
      <c r="AZ20" s="4" t="str">
        <f t="shared" si="15"/>
        <v>-</v>
      </c>
      <c r="BA20" s="19">
        <v>4</v>
      </c>
      <c r="BB20" s="19">
        <v>1</v>
      </c>
      <c r="BC20" s="16">
        <v>6</v>
      </c>
      <c r="BD20">
        <v>1400</v>
      </c>
      <c r="BE20">
        <v>1400</v>
      </c>
      <c r="BF20">
        <v>1400</v>
      </c>
      <c r="BG20">
        <f t="shared" si="20"/>
        <v>1650</v>
      </c>
      <c r="BH20" t="s">
        <v>1280</v>
      </c>
      <c r="BI20" t="s">
        <v>1280</v>
      </c>
      <c r="BJ20" t="s">
        <v>1280</v>
      </c>
      <c r="BK20" t="str">
        <f t="shared" si="21"/>
        <v>-</v>
      </c>
      <c r="BL20" t="s">
        <v>1280</v>
      </c>
      <c r="BM20">
        <v>812</v>
      </c>
    </row>
    <row r="21" spans="1:65" x14ac:dyDescent="0.4">
      <c r="A21" s="3">
        <v>275</v>
      </c>
      <c r="B21" s="3">
        <v>275</v>
      </c>
      <c r="C21" s="4" t="s">
        <v>264</v>
      </c>
      <c r="D21" s="4" t="str">
        <f t="shared" si="0"/>
        <v>J38880</v>
      </c>
      <c r="E21" s="4" t="s">
        <v>264</v>
      </c>
      <c r="F21" s="4" t="str">
        <f t="shared" si="16"/>
        <v>J388805</v>
      </c>
      <c r="G21" s="4" t="s">
        <v>910</v>
      </c>
      <c r="H21" s="5">
        <v>4974268665164</v>
      </c>
      <c r="I21" s="5">
        <v>5</v>
      </c>
      <c r="J21" s="5"/>
      <c r="K21" s="5">
        <v>1</v>
      </c>
      <c r="L21" s="5">
        <v>1</v>
      </c>
      <c r="M21" s="4">
        <v>300</v>
      </c>
      <c r="N21" s="4">
        <v>309</v>
      </c>
      <c r="O21" s="4">
        <v>180</v>
      </c>
      <c r="P21" s="6">
        <f t="shared" si="1"/>
        <v>0.41747572815533984</v>
      </c>
      <c r="Q21" s="4" t="s">
        <v>1280</v>
      </c>
      <c r="R21" s="4" t="s">
        <v>1280</v>
      </c>
      <c r="S21" s="4" t="s">
        <v>1280</v>
      </c>
      <c r="T21" s="4">
        <v>330</v>
      </c>
      <c r="U21" s="4">
        <f t="shared" si="2"/>
        <v>330</v>
      </c>
      <c r="V21" s="4">
        <v>198</v>
      </c>
      <c r="W21" s="4">
        <f t="shared" si="3"/>
        <v>198</v>
      </c>
      <c r="X21" s="4"/>
      <c r="Y21" s="21">
        <f t="shared" si="4"/>
        <v>340</v>
      </c>
      <c r="Z21" s="6">
        <f t="shared" si="5"/>
        <v>0.41764705882352937</v>
      </c>
      <c r="AA21" s="4">
        <v>4.75</v>
      </c>
      <c r="AB21" s="4">
        <f t="shared" si="6"/>
        <v>301.08</v>
      </c>
      <c r="AC21" s="4">
        <f t="shared" si="17"/>
        <v>331.18799999999999</v>
      </c>
      <c r="AD21" s="6">
        <f t="shared" si="18"/>
        <v>0.40215225189318449</v>
      </c>
      <c r="AE21" s="4">
        <f t="shared" si="19"/>
        <v>313.5</v>
      </c>
      <c r="AF21" s="7">
        <v>301</v>
      </c>
      <c r="AG21" s="6">
        <f t="shared" si="7"/>
        <v>0.34219269102990035</v>
      </c>
      <c r="AH21" s="4">
        <f t="shared" si="8"/>
        <v>103</v>
      </c>
      <c r="AI21" s="28"/>
      <c r="AJ21" s="6"/>
      <c r="AK21" s="6"/>
      <c r="AL21" s="6">
        <f t="shared" si="9"/>
        <v>1.1000000000000001</v>
      </c>
      <c r="AM21" s="6">
        <f t="shared" si="10"/>
        <v>0.97411003236245952</v>
      </c>
      <c r="AN21" s="6">
        <f t="shared" si="11"/>
        <v>1.1000000000000001</v>
      </c>
      <c r="AO21" s="4" t="str">
        <f t="shared" si="12"/>
        <v>-</v>
      </c>
      <c r="AP21" s="4" t="str">
        <f t="shared" si="13"/>
        <v>-</v>
      </c>
      <c r="AQ21" s="4" t="str">
        <f t="shared" si="14"/>
        <v>-</v>
      </c>
      <c r="AR21" s="4">
        <v>0</v>
      </c>
      <c r="AS21" s="4" t="s">
        <v>1903</v>
      </c>
      <c r="AT21" s="4">
        <v>1</v>
      </c>
      <c r="AU21" s="4">
        <v>100</v>
      </c>
      <c r="AV21" s="4" t="s">
        <v>1904</v>
      </c>
      <c r="AW21" s="4">
        <v>28092</v>
      </c>
      <c r="AX21" s="4">
        <v>30108</v>
      </c>
      <c r="AY21" s="4">
        <v>30108</v>
      </c>
      <c r="AZ21" s="4">
        <f t="shared" si="15"/>
        <v>301.08</v>
      </c>
      <c r="BA21" s="19">
        <v>4</v>
      </c>
      <c r="BB21" s="19">
        <v>1</v>
      </c>
      <c r="BC21" s="16">
        <v>19</v>
      </c>
      <c r="BD21">
        <v>255</v>
      </c>
      <c r="BE21" t="s">
        <v>1280</v>
      </c>
      <c r="BF21">
        <v>255</v>
      </c>
      <c r="BG21">
        <f t="shared" si="20"/>
        <v>280.5</v>
      </c>
      <c r="BH21">
        <v>275</v>
      </c>
      <c r="BI21">
        <v>275</v>
      </c>
      <c r="BJ21">
        <v>275</v>
      </c>
      <c r="BK21">
        <f t="shared" si="21"/>
        <v>302.5</v>
      </c>
      <c r="BL21" t="s">
        <v>1446</v>
      </c>
      <c r="BM21">
        <v>812</v>
      </c>
    </row>
    <row r="22" spans="1:65" x14ac:dyDescent="0.4">
      <c r="A22" s="3">
        <v>137</v>
      </c>
      <c r="B22" s="3">
        <v>137</v>
      </c>
      <c r="C22" s="4" t="s">
        <v>126</v>
      </c>
      <c r="D22" s="4" t="str">
        <f t="shared" si="0"/>
        <v>J1825W</v>
      </c>
      <c r="E22" s="4" t="s">
        <v>126</v>
      </c>
      <c r="F22" s="4" t="str">
        <f t="shared" si="16"/>
        <v>J1825W5</v>
      </c>
      <c r="G22" s="4" t="s">
        <v>772</v>
      </c>
      <c r="H22" s="5">
        <v>4974268153425</v>
      </c>
      <c r="I22" s="5">
        <v>5</v>
      </c>
      <c r="J22" s="5"/>
      <c r="K22" s="5">
        <v>1</v>
      </c>
      <c r="L22" s="5">
        <v>1</v>
      </c>
      <c r="M22" s="4">
        <v>1600</v>
      </c>
      <c r="N22" s="4">
        <v>1309</v>
      </c>
      <c r="O22" s="4">
        <v>960</v>
      </c>
      <c r="P22" s="6">
        <f t="shared" si="1"/>
        <v>0.26661573720397247</v>
      </c>
      <c r="Q22" s="4" t="s">
        <v>1280</v>
      </c>
      <c r="R22" s="4" t="s">
        <v>1280</v>
      </c>
      <c r="S22" s="4" t="s">
        <v>1280</v>
      </c>
      <c r="T22" s="4">
        <v>350</v>
      </c>
      <c r="U22" s="4">
        <f t="shared" si="2"/>
        <v>1750</v>
      </c>
      <c r="V22" s="4">
        <v>210</v>
      </c>
      <c r="W22" s="4">
        <f t="shared" si="3"/>
        <v>1050</v>
      </c>
      <c r="X22" s="4">
        <v>5</v>
      </c>
      <c r="Y22" s="21">
        <f t="shared" si="4"/>
        <v>1432</v>
      </c>
      <c r="Z22" s="6">
        <f t="shared" si="5"/>
        <v>0.26675977653631289</v>
      </c>
      <c r="AA22" s="4">
        <v>0</v>
      </c>
      <c r="AB22" s="4">
        <f t="shared" si="6"/>
        <v>1378</v>
      </c>
      <c r="AC22" s="4">
        <f t="shared" si="17"/>
        <v>1507.1875</v>
      </c>
      <c r="AD22" s="6">
        <f t="shared" si="18"/>
        <v>0.30333817126269957</v>
      </c>
      <c r="AE22" s="4">
        <f t="shared" si="19"/>
        <v>1662.5</v>
      </c>
      <c r="AF22" s="7">
        <v>1500</v>
      </c>
      <c r="AG22" s="6">
        <f t="shared" si="7"/>
        <v>0.30000000000000004</v>
      </c>
      <c r="AH22" s="4">
        <f t="shared" si="8"/>
        <v>450</v>
      </c>
      <c r="AI22" s="28"/>
      <c r="AJ22" s="6"/>
      <c r="AK22" s="6"/>
      <c r="AL22" s="6">
        <f t="shared" si="9"/>
        <v>1.09375</v>
      </c>
      <c r="AM22" s="6">
        <f t="shared" si="10"/>
        <v>1.1459129106187931</v>
      </c>
      <c r="AN22" s="6">
        <f t="shared" si="11"/>
        <v>1.09375</v>
      </c>
      <c r="AO22" s="4" t="str">
        <f t="shared" si="12"/>
        <v>-</v>
      </c>
      <c r="AP22" s="4" t="str">
        <f t="shared" si="13"/>
        <v>-</v>
      </c>
      <c r="AQ22" s="4" t="str">
        <f t="shared" si="14"/>
        <v>-</v>
      </c>
      <c r="AR22" s="4">
        <v>0</v>
      </c>
      <c r="AS22" s="4" t="s">
        <v>1829</v>
      </c>
      <c r="AT22" s="4"/>
      <c r="AU22" s="4"/>
      <c r="AV22" s="4" t="s">
        <v>1830</v>
      </c>
      <c r="AW22" s="4">
        <v>1378</v>
      </c>
      <c r="AX22" s="4">
        <v>1378</v>
      </c>
      <c r="AY22" s="4">
        <v>1378</v>
      </c>
      <c r="AZ22" s="4">
        <f t="shared" si="15"/>
        <v>1378</v>
      </c>
      <c r="BA22" s="19">
        <v>4</v>
      </c>
      <c r="BB22" s="19">
        <v>8</v>
      </c>
      <c r="BC22" s="16">
        <v>18</v>
      </c>
      <c r="BD22" t="s">
        <v>1280</v>
      </c>
      <c r="BE22" t="s">
        <v>1280</v>
      </c>
      <c r="BF22" t="s">
        <v>1280</v>
      </c>
      <c r="BG22" t="str">
        <f t="shared" si="20"/>
        <v>-</v>
      </c>
      <c r="BH22" t="s">
        <v>1280</v>
      </c>
      <c r="BI22" t="s">
        <v>1280</v>
      </c>
      <c r="BJ22" t="s">
        <v>1280</v>
      </c>
      <c r="BK22" t="str">
        <f t="shared" si="21"/>
        <v>-</v>
      </c>
      <c r="BL22" t="s">
        <v>1387</v>
      </c>
      <c r="BM22">
        <v>812</v>
      </c>
    </row>
    <row r="23" spans="1:65" x14ac:dyDescent="0.4">
      <c r="A23" s="3">
        <v>138</v>
      </c>
      <c r="B23" s="3">
        <v>138</v>
      </c>
      <c r="C23" s="4" t="s">
        <v>127</v>
      </c>
      <c r="D23" s="4" t="str">
        <f t="shared" si="0"/>
        <v>J1826W</v>
      </c>
      <c r="E23" s="4" t="s">
        <v>127</v>
      </c>
      <c r="F23" s="4" t="str">
        <f t="shared" si="16"/>
        <v>J1826W5</v>
      </c>
      <c r="G23" s="4" t="s">
        <v>773</v>
      </c>
      <c r="H23" s="5">
        <v>4974268153432</v>
      </c>
      <c r="I23" s="5">
        <v>5</v>
      </c>
      <c r="J23" s="5"/>
      <c r="K23" s="5">
        <v>1</v>
      </c>
      <c r="L23" s="5">
        <v>1</v>
      </c>
      <c r="M23" s="4">
        <v>1600</v>
      </c>
      <c r="N23" s="4">
        <v>1309</v>
      </c>
      <c r="O23" s="4">
        <v>960</v>
      </c>
      <c r="P23" s="6">
        <f t="shared" si="1"/>
        <v>0.26661573720397247</v>
      </c>
      <c r="Q23" s="4" t="s">
        <v>1280</v>
      </c>
      <c r="R23" s="4" t="s">
        <v>1280</v>
      </c>
      <c r="S23" s="4" t="s">
        <v>1280</v>
      </c>
      <c r="T23" s="4">
        <v>350</v>
      </c>
      <c r="U23" s="4">
        <f t="shared" si="2"/>
        <v>1750</v>
      </c>
      <c r="V23" s="4">
        <v>210</v>
      </c>
      <c r="W23" s="4">
        <f t="shared" si="3"/>
        <v>1050</v>
      </c>
      <c r="X23" s="4">
        <v>5</v>
      </c>
      <c r="Y23" s="21">
        <f t="shared" si="4"/>
        <v>1432</v>
      </c>
      <c r="Z23" s="6">
        <f t="shared" si="5"/>
        <v>0.26675977653631289</v>
      </c>
      <c r="AA23" s="4">
        <v>0</v>
      </c>
      <c r="AB23" s="4">
        <f t="shared" si="6"/>
        <v>1600</v>
      </c>
      <c r="AC23" s="4">
        <f t="shared" si="17"/>
        <v>1750</v>
      </c>
      <c r="AD23" s="6">
        <f t="shared" si="18"/>
        <v>0.4</v>
      </c>
      <c r="AE23" s="4">
        <f t="shared" si="19"/>
        <v>1662.5</v>
      </c>
      <c r="AF23" s="7">
        <v>1500</v>
      </c>
      <c r="AG23" s="6">
        <f t="shared" si="7"/>
        <v>0.30000000000000004</v>
      </c>
      <c r="AH23" s="4">
        <f t="shared" si="8"/>
        <v>450</v>
      </c>
      <c r="AI23" s="28"/>
      <c r="AJ23" s="6"/>
      <c r="AK23" s="6"/>
      <c r="AL23" s="6">
        <f t="shared" si="9"/>
        <v>1.09375</v>
      </c>
      <c r="AM23" s="6">
        <f t="shared" si="10"/>
        <v>1.1459129106187931</v>
      </c>
      <c r="AN23" s="6">
        <f t="shared" si="11"/>
        <v>1.09375</v>
      </c>
      <c r="AO23" s="4" t="str">
        <f t="shared" si="12"/>
        <v>-</v>
      </c>
      <c r="AP23" s="4" t="str">
        <f t="shared" si="13"/>
        <v>-</v>
      </c>
      <c r="AQ23" s="4" t="str">
        <f t="shared" si="14"/>
        <v>-</v>
      </c>
      <c r="AR23" s="4">
        <v>0</v>
      </c>
      <c r="AS23" s="4" t="s">
        <v>1831</v>
      </c>
      <c r="AT23" s="4">
        <v>5</v>
      </c>
      <c r="AU23" s="4">
        <v>1</v>
      </c>
      <c r="AV23" s="4" t="s">
        <v>1832</v>
      </c>
      <c r="AW23" s="4">
        <v>320</v>
      </c>
      <c r="AX23" s="4">
        <v>320</v>
      </c>
      <c r="AY23" s="4">
        <v>320</v>
      </c>
      <c r="AZ23" s="4">
        <f t="shared" si="15"/>
        <v>1600</v>
      </c>
      <c r="BA23" s="19">
        <v>4</v>
      </c>
      <c r="BB23" s="19">
        <v>8</v>
      </c>
      <c r="BC23" s="16">
        <v>18</v>
      </c>
      <c r="BD23" t="s">
        <v>1280</v>
      </c>
      <c r="BE23" t="s">
        <v>1280</v>
      </c>
      <c r="BF23" t="s">
        <v>1280</v>
      </c>
      <c r="BG23" t="str">
        <f t="shared" si="20"/>
        <v>-</v>
      </c>
      <c r="BH23" t="s">
        <v>1280</v>
      </c>
      <c r="BI23" t="s">
        <v>1280</v>
      </c>
      <c r="BJ23" t="s">
        <v>1280</v>
      </c>
      <c r="BK23" t="str">
        <f t="shared" si="21"/>
        <v>-</v>
      </c>
      <c r="BL23" t="s">
        <v>1388</v>
      </c>
      <c r="BM23">
        <v>812</v>
      </c>
    </row>
    <row r="24" spans="1:65" x14ac:dyDescent="0.4">
      <c r="A24" s="3">
        <v>407</v>
      </c>
      <c r="B24" s="3">
        <v>407</v>
      </c>
      <c r="C24" s="4" t="s">
        <v>396</v>
      </c>
      <c r="D24" s="4" t="str">
        <f t="shared" si="0"/>
        <v>J54422</v>
      </c>
      <c r="E24" s="4" t="s">
        <v>396</v>
      </c>
      <c r="F24" s="4" t="str">
        <f t="shared" si="16"/>
        <v>J544225</v>
      </c>
      <c r="G24" s="4" t="s">
        <v>1040</v>
      </c>
      <c r="H24" s="5">
        <v>4974268135391</v>
      </c>
      <c r="I24" s="5">
        <v>5</v>
      </c>
      <c r="J24" s="5"/>
      <c r="K24" s="5">
        <v>1</v>
      </c>
      <c r="L24" s="5">
        <v>1</v>
      </c>
      <c r="M24" s="4">
        <v>6400</v>
      </c>
      <c r="N24" s="4">
        <v>5712</v>
      </c>
      <c r="O24" s="4">
        <v>3840</v>
      </c>
      <c r="P24" s="6">
        <f t="shared" si="1"/>
        <v>0.32773109243697474</v>
      </c>
      <c r="Q24" s="4" t="s">
        <v>1280</v>
      </c>
      <c r="R24" s="4" t="s">
        <v>1280</v>
      </c>
      <c r="S24" s="4" t="s">
        <v>1280</v>
      </c>
      <c r="T24" s="4">
        <v>350</v>
      </c>
      <c r="U24" s="4">
        <f t="shared" si="2"/>
        <v>7000</v>
      </c>
      <c r="V24" s="4">
        <v>210</v>
      </c>
      <c r="W24" s="4">
        <f t="shared" si="3"/>
        <v>4200</v>
      </c>
      <c r="X24" s="4">
        <v>20</v>
      </c>
      <c r="Y24" s="21">
        <f t="shared" si="4"/>
        <v>6248</v>
      </c>
      <c r="Z24" s="6">
        <f t="shared" si="5"/>
        <v>0.32778489116517284</v>
      </c>
      <c r="AA24" s="4">
        <v>0</v>
      </c>
      <c r="AB24" s="4">
        <f t="shared" si="6"/>
        <v>5760</v>
      </c>
      <c r="AC24" s="4">
        <f t="shared" si="17"/>
        <v>6300</v>
      </c>
      <c r="AD24" s="6">
        <f t="shared" si="18"/>
        <v>0.33333333333333337</v>
      </c>
      <c r="AE24" s="4">
        <f t="shared" si="19"/>
        <v>6650</v>
      </c>
      <c r="AF24" s="7">
        <v>6300</v>
      </c>
      <c r="AG24" s="6">
        <f t="shared" si="7"/>
        <v>0.33333333333333337</v>
      </c>
      <c r="AH24" s="4">
        <f t="shared" si="8"/>
        <v>2100</v>
      </c>
      <c r="AI24" s="28"/>
      <c r="AJ24" s="6"/>
      <c r="AK24" s="6"/>
      <c r="AL24" s="6">
        <f t="shared" si="9"/>
        <v>1.09375</v>
      </c>
      <c r="AM24" s="6">
        <f t="shared" si="10"/>
        <v>1.1029411764705883</v>
      </c>
      <c r="AN24" s="6">
        <f t="shared" si="11"/>
        <v>1.09375</v>
      </c>
      <c r="AO24" s="4" t="str">
        <f t="shared" si="12"/>
        <v>-</v>
      </c>
      <c r="AP24" s="4" t="str">
        <f t="shared" si="13"/>
        <v>-</v>
      </c>
      <c r="AQ24" s="4" t="str">
        <f t="shared" si="14"/>
        <v>-</v>
      </c>
      <c r="AR24" s="4">
        <v>0</v>
      </c>
      <c r="AS24" s="4" t="s">
        <v>1964</v>
      </c>
      <c r="AT24" s="4">
        <v>20</v>
      </c>
      <c r="AU24" s="4">
        <v>1</v>
      </c>
      <c r="AV24" s="4" t="s">
        <v>1965</v>
      </c>
      <c r="AW24" s="4">
        <v>288</v>
      </c>
      <c r="AX24" s="4">
        <v>288</v>
      </c>
      <c r="AY24" s="4">
        <v>288</v>
      </c>
      <c r="AZ24" s="4">
        <f t="shared" si="15"/>
        <v>5760</v>
      </c>
      <c r="BA24" s="19">
        <v>4</v>
      </c>
      <c r="BB24" s="19">
        <v>8</v>
      </c>
      <c r="BC24" s="16">
        <v>19</v>
      </c>
      <c r="BD24" t="s">
        <v>1280</v>
      </c>
      <c r="BE24" t="s">
        <v>1280</v>
      </c>
      <c r="BF24" t="s">
        <v>1280</v>
      </c>
      <c r="BG24" t="str">
        <f t="shared" si="20"/>
        <v>-</v>
      </c>
      <c r="BH24" t="s">
        <v>1280</v>
      </c>
      <c r="BI24" t="s">
        <v>1280</v>
      </c>
      <c r="BJ24" t="s">
        <v>1280</v>
      </c>
      <c r="BK24" t="str">
        <f t="shared" si="21"/>
        <v>-</v>
      </c>
      <c r="BL24" t="s">
        <v>1490</v>
      </c>
      <c r="BM24">
        <v>812</v>
      </c>
    </row>
    <row r="25" spans="1:65" x14ac:dyDescent="0.4">
      <c r="A25" s="3">
        <v>408</v>
      </c>
      <c r="B25" s="3">
        <v>408</v>
      </c>
      <c r="C25" s="4" t="s">
        <v>397</v>
      </c>
      <c r="D25" s="4" t="str">
        <f t="shared" si="0"/>
        <v>J54426</v>
      </c>
      <c r="E25" s="4" t="s">
        <v>397</v>
      </c>
      <c r="F25" s="4" t="str">
        <f t="shared" si="16"/>
        <v>J544265</v>
      </c>
      <c r="G25" s="4" t="s">
        <v>1041</v>
      </c>
      <c r="H25" s="5">
        <v>4974268137456</v>
      </c>
      <c r="I25" s="5">
        <v>5</v>
      </c>
      <c r="J25" s="5"/>
      <c r="K25" s="5">
        <v>1</v>
      </c>
      <c r="L25" s="5">
        <v>1</v>
      </c>
      <c r="M25" s="4">
        <v>6400</v>
      </c>
      <c r="N25" s="4">
        <v>5712</v>
      </c>
      <c r="O25" s="4">
        <v>3840</v>
      </c>
      <c r="P25" s="6">
        <f t="shared" si="1"/>
        <v>0.32773109243697474</v>
      </c>
      <c r="Q25" s="4" t="s">
        <v>1280</v>
      </c>
      <c r="R25" s="4" t="s">
        <v>1280</v>
      </c>
      <c r="S25" s="4" t="s">
        <v>1280</v>
      </c>
      <c r="T25" s="4">
        <v>350</v>
      </c>
      <c r="U25" s="4">
        <f t="shared" si="2"/>
        <v>7000</v>
      </c>
      <c r="V25" s="4">
        <v>210</v>
      </c>
      <c r="W25" s="4">
        <f t="shared" si="3"/>
        <v>4200</v>
      </c>
      <c r="X25" s="4">
        <v>20</v>
      </c>
      <c r="Y25" s="21">
        <f t="shared" si="4"/>
        <v>6248</v>
      </c>
      <c r="Z25" s="6">
        <f t="shared" si="5"/>
        <v>0.32778489116517284</v>
      </c>
      <c r="AA25" s="4">
        <v>3</v>
      </c>
      <c r="AB25" s="4">
        <f t="shared" si="6"/>
        <v>5146</v>
      </c>
      <c r="AC25" s="4">
        <f t="shared" si="17"/>
        <v>5628.4375</v>
      </c>
      <c r="AD25" s="6">
        <f t="shared" si="18"/>
        <v>0.2537893509521959</v>
      </c>
      <c r="AE25" s="4">
        <f t="shared" si="19"/>
        <v>6650</v>
      </c>
      <c r="AF25" s="7">
        <v>5628</v>
      </c>
      <c r="AG25" s="6">
        <f t="shared" si="7"/>
        <v>0.25373134328358204</v>
      </c>
      <c r="AH25" s="4">
        <f t="shared" si="8"/>
        <v>1428</v>
      </c>
      <c r="AI25" s="28"/>
      <c r="AJ25" s="6"/>
      <c r="AK25" s="6"/>
      <c r="AL25" s="6">
        <f t="shared" si="9"/>
        <v>1.09375</v>
      </c>
      <c r="AM25" s="6">
        <f t="shared" si="10"/>
        <v>0.98529411764705888</v>
      </c>
      <c r="AN25" s="6">
        <f t="shared" si="11"/>
        <v>1.09375</v>
      </c>
      <c r="AO25" s="4" t="str">
        <f t="shared" si="12"/>
        <v>-</v>
      </c>
      <c r="AP25" s="4" t="str">
        <f t="shared" si="13"/>
        <v>-</v>
      </c>
      <c r="AQ25" s="4" t="str">
        <f t="shared" si="14"/>
        <v>-</v>
      </c>
      <c r="AR25" s="4">
        <v>0</v>
      </c>
      <c r="AS25" s="4" t="s">
        <v>1966</v>
      </c>
      <c r="AT25" s="4"/>
      <c r="AU25" s="4"/>
      <c r="AV25" s="4" t="s">
        <v>1967</v>
      </c>
      <c r="AW25" s="4">
        <v>5146</v>
      </c>
      <c r="AX25" s="4">
        <v>5146</v>
      </c>
      <c r="AY25" s="4">
        <v>5146</v>
      </c>
      <c r="AZ25" s="4">
        <f t="shared" si="15"/>
        <v>5146</v>
      </c>
      <c r="BA25" s="19">
        <v>4</v>
      </c>
      <c r="BB25" s="19">
        <v>8</v>
      </c>
      <c r="BC25" s="16">
        <v>19</v>
      </c>
      <c r="BD25" t="s">
        <v>1280</v>
      </c>
      <c r="BE25" t="s">
        <v>1280</v>
      </c>
      <c r="BF25" t="s">
        <v>1280</v>
      </c>
      <c r="BG25" t="str">
        <f t="shared" si="20"/>
        <v>-</v>
      </c>
      <c r="BH25" t="s">
        <v>1280</v>
      </c>
      <c r="BI25" t="s">
        <v>1280</v>
      </c>
      <c r="BJ25" t="s">
        <v>1280</v>
      </c>
      <c r="BK25" t="str">
        <f t="shared" si="21"/>
        <v>-</v>
      </c>
      <c r="BL25" t="s">
        <v>1491</v>
      </c>
      <c r="BM25">
        <v>812</v>
      </c>
    </row>
    <row r="26" spans="1:65" x14ac:dyDescent="0.4">
      <c r="A26" s="3">
        <v>69</v>
      </c>
      <c r="B26" s="3">
        <v>69</v>
      </c>
      <c r="C26" s="4">
        <v>921525</v>
      </c>
      <c r="D26" s="4" t="str">
        <f t="shared" si="0"/>
        <v>921525</v>
      </c>
      <c r="E26" s="4">
        <v>921525</v>
      </c>
      <c r="F26" s="4" t="str">
        <f t="shared" si="16"/>
        <v>9215255</v>
      </c>
      <c r="G26" s="4" t="s">
        <v>704</v>
      </c>
      <c r="H26" s="5">
        <v>4974268550279</v>
      </c>
      <c r="I26" s="5">
        <v>5</v>
      </c>
      <c r="J26" s="5"/>
      <c r="K26" s="5">
        <v>1</v>
      </c>
      <c r="L26" s="5">
        <v>1</v>
      </c>
      <c r="M26" s="4">
        <v>370</v>
      </c>
      <c r="N26" s="4">
        <v>367</v>
      </c>
      <c r="O26" s="4">
        <v>222</v>
      </c>
      <c r="P26" s="6">
        <f t="shared" si="1"/>
        <v>0.39509536784741139</v>
      </c>
      <c r="Q26" s="4" t="s">
        <v>1280</v>
      </c>
      <c r="R26" s="4" t="s">
        <v>1280</v>
      </c>
      <c r="S26" s="4" t="s">
        <v>1280</v>
      </c>
      <c r="T26" s="4">
        <v>400</v>
      </c>
      <c r="U26" s="4">
        <f t="shared" si="2"/>
        <v>400</v>
      </c>
      <c r="V26" s="4">
        <v>240</v>
      </c>
      <c r="W26" s="4">
        <f t="shared" si="3"/>
        <v>240</v>
      </c>
      <c r="X26" s="4"/>
      <c r="Y26" s="21">
        <f t="shared" si="4"/>
        <v>397</v>
      </c>
      <c r="Z26" s="6">
        <f t="shared" si="5"/>
        <v>0.39546599496221657</v>
      </c>
      <c r="AA26" s="4">
        <v>6.25</v>
      </c>
      <c r="AB26" s="4">
        <f t="shared" si="6"/>
        <v>340</v>
      </c>
      <c r="AC26" s="4">
        <f t="shared" si="17"/>
        <v>367.56756756756761</v>
      </c>
      <c r="AD26" s="6">
        <f t="shared" si="18"/>
        <v>0.34705882352941186</v>
      </c>
      <c r="AE26" s="4">
        <f t="shared" si="19"/>
        <v>380</v>
      </c>
      <c r="AF26" s="7">
        <v>343</v>
      </c>
      <c r="AG26" s="6">
        <f t="shared" si="7"/>
        <v>0.30029154518950441</v>
      </c>
      <c r="AH26" s="4">
        <f t="shared" si="8"/>
        <v>103</v>
      </c>
      <c r="AI26" s="28"/>
      <c r="AJ26" s="6"/>
      <c r="AK26" s="6"/>
      <c r="AL26" s="6">
        <f t="shared" si="9"/>
        <v>1.0810810810810811</v>
      </c>
      <c r="AM26" s="6">
        <f t="shared" si="10"/>
        <v>0.93460490463215262</v>
      </c>
      <c r="AN26" s="6">
        <f t="shared" si="11"/>
        <v>1.0810810810810811</v>
      </c>
      <c r="AO26" s="4" t="str">
        <f t="shared" si="12"/>
        <v>-</v>
      </c>
      <c r="AP26" s="4" t="str">
        <f t="shared" si="13"/>
        <v>-</v>
      </c>
      <c r="AQ26" s="4" t="str">
        <f t="shared" si="14"/>
        <v>-</v>
      </c>
      <c r="AR26" s="4" t="s">
        <v>1286</v>
      </c>
      <c r="AS26" s="4" t="s">
        <v>1761</v>
      </c>
      <c r="AT26" s="4"/>
      <c r="AU26" s="4"/>
      <c r="AV26" s="4" t="s">
        <v>1758</v>
      </c>
      <c r="AW26" s="4">
        <v>340</v>
      </c>
      <c r="AX26" s="4">
        <v>340</v>
      </c>
      <c r="AY26" s="4">
        <v>340</v>
      </c>
      <c r="AZ26" s="4">
        <f t="shared" si="15"/>
        <v>340</v>
      </c>
      <c r="BA26" s="19">
        <v>4</v>
      </c>
      <c r="BB26" s="19">
        <v>1</v>
      </c>
      <c r="BC26" s="16">
        <v>19</v>
      </c>
      <c r="BD26" t="s">
        <v>1280</v>
      </c>
      <c r="BE26" t="s">
        <v>1280</v>
      </c>
      <c r="BF26" t="s">
        <v>1280</v>
      </c>
      <c r="BG26" t="str">
        <f t="shared" si="20"/>
        <v>-</v>
      </c>
      <c r="BH26">
        <v>313</v>
      </c>
      <c r="BI26">
        <v>313</v>
      </c>
      <c r="BJ26">
        <v>313</v>
      </c>
      <c r="BK26">
        <f t="shared" si="21"/>
        <v>338.37837837837839</v>
      </c>
      <c r="BL26" t="s">
        <v>1341</v>
      </c>
      <c r="BM26">
        <v>812</v>
      </c>
    </row>
    <row r="27" spans="1:65" x14ac:dyDescent="0.4">
      <c r="A27" s="3">
        <v>70</v>
      </c>
      <c r="B27" s="3">
        <v>70</v>
      </c>
      <c r="C27" s="4">
        <v>921526</v>
      </c>
      <c r="D27" s="4" t="str">
        <f t="shared" si="0"/>
        <v>921526</v>
      </c>
      <c r="E27" s="4">
        <v>921526</v>
      </c>
      <c r="F27" s="4" t="str">
        <f t="shared" si="16"/>
        <v>9215265</v>
      </c>
      <c r="G27" s="4" t="s">
        <v>705</v>
      </c>
      <c r="H27" s="5">
        <v>4974268550293</v>
      </c>
      <c r="I27" s="5">
        <v>5</v>
      </c>
      <c r="J27" s="5"/>
      <c r="K27" s="5">
        <v>1</v>
      </c>
      <c r="L27" s="5">
        <v>1</v>
      </c>
      <c r="M27" s="4">
        <v>370</v>
      </c>
      <c r="N27" s="4">
        <v>367</v>
      </c>
      <c r="O27" s="4">
        <v>222</v>
      </c>
      <c r="P27" s="6">
        <f t="shared" si="1"/>
        <v>0.39509536784741139</v>
      </c>
      <c r="Q27" s="4" t="s">
        <v>1280</v>
      </c>
      <c r="R27" s="4" t="s">
        <v>1280</v>
      </c>
      <c r="S27" s="4" t="s">
        <v>1280</v>
      </c>
      <c r="T27" s="4">
        <v>400</v>
      </c>
      <c r="U27" s="4">
        <f t="shared" si="2"/>
        <v>400</v>
      </c>
      <c r="V27" s="4">
        <v>240</v>
      </c>
      <c r="W27" s="4">
        <f t="shared" si="3"/>
        <v>240</v>
      </c>
      <c r="X27" s="4"/>
      <c r="Y27" s="21">
        <f t="shared" si="4"/>
        <v>397</v>
      </c>
      <c r="Z27" s="6">
        <f t="shared" si="5"/>
        <v>0.39546599496221657</v>
      </c>
      <c r="AA27" s="4">
        <v>6.5</v>
      </c>
      <c r="AB27" s="4">
        <f t="shared" si="6"/>
        <v>318</v>
      </c>
      <c r="AC27" s="4">
        <f t="shared" si="17"/>
        <v>343.7837837837838</v>
      </c>
      <c r="AD27" s="6">
        <f t="shared" si="18"/>
        <v>0.30188679245283023</v>
      </c>
      <c r="AE27" s="4">
        <f t="shared" si="19"/>
        <v>380</v>
      </c>
      <c r="AF27" s="7">
        <v>343</v>
      </c>
      <c r="AG27" s="6">
        <f t="shared" si="7"/>
        <v>0.30029154518950441</v>
      </c>
      <c r="AH27" s="4">
        <f t="shared" si="8"/>
        <v>103</v>
      </c>
      <c r="AI27" s="28"/>
      <c r="AJ27" s="6"/>
      <c r="AK27" s="6"/>
      <c r="AL27" s="6">
        <f t="shared" si="9"/>
        <v>1.0810810810810811</v>
      </c>
      <c r="AM27" s="6">
        <f t="shared" si="10"/>
        <v>0.93460490463215262</v>
      </c>
      <c r="AN27" s="6">
        <f t="shared" si="11"/>
        <v>1.0810810810810811</v>
      </c>
      <c r="AO27" s="4" t="str">
        <f t="shared" si="12"/>
        <v>-</v>
      </c>
      <c r="AP27" s="4" t="str">
        <f t="shared" si="13"/>
        <v>-</v>
      </c>
      <c r="AQ27" s="4" t="str">
        <f t="shared" si="14"/>
        <v>-</v>
      </c>
      <c r="AR27" s="4" t="s">
        <v>1286</v>
      </c>
      <c r="AS27" s="4" t="s">
        <v>1762</v>
      </c>
      <c r="AT27" s="4"/>
      <c r="AU27" s="4"/>
      <c r="AV27" s="4" t="s">
        <v>1758</v>
      </c>
      <c r="AW27" s="4">
        <v>318</v>
      </c>
      <c r="AX27" s="4">
        <v>318</v>
      </c>
      <c r="AY27" s="4">
        <v>318</v>
      </c>
      <c r="AZ27" s="4">
        <f t="shared" si="15"/>
        <v>318</v>
      </c>
      <c r="BA27" s="19">
        <v>4</v>
      </c>
      <c r="BB27" s="19">
        <v>1</v>
      </c>
      <c r="BC27" s="16">
        <v>19</v>
      </c>
      <c r="BD27" t="s">
        <v>1280</v>
      </c>
      <c r="BE27" t="s">
        <v>1280</v>
      </c>
      <c r="BF27" t="s">
        <v>1280</v>
      </c>
      <c r="BG27" t="str">
        <f t="shared" si="20"/>
        <v>-</v>
      </c>
      <c r="BH27">
        <v>313</v>
      </c>
      <c r="BI27">
        <v>313</v>
      </c>
      <c r="BJ27">
        <v>313</v>
      </c>
      <c r="BK27">
        <f t="shared" si="21"/>
        <v>338.37837837837839</v>
      </c>
      <c r="BL27" t="s">
        <v>1342</v>
      </c>
      <c r="BM27">
        <v>812</v>
      </c>
    </row>
    <row r="28" spans="1:65" x14ac:dyDescent="0.4">
      <c r="A28" s="3">
        <v>109</v>
      </c>
      <c r="B28" s="3">
        <v>109</v>
      </c>
      <c r="C28" s="4" t="s">
        <v>98</v>
      </c>
      <c r="D28" s="4" t="str">
        <f t="shared" si="0"/>
        <v>J1783W</v>
      </c>
      <c r="E28" s="4" t="s">
        <v>98</v>
      </c>
      <c r="F28" s="4" t="str">
        <f t="shared" si="16"/>
        <v>J1783W5</v>
      </c>
      <c r="G28" s="4" t="s">
        <v>744</v>
      </c>
      <c r="H28" s="5">
        <v>4974268536129</v>
      </c>
      <c r="I28" s="5">
        <v>5</v>
      </c>
      <c r="J28" s="5"/>
      <c r="K28" s="5">
        <v>1</v>
      </c>
      <c r="L28" s="5">
        <v>1</v>
      </c>
      <c r="M28" s="4">
        <v>1850</v>
      </c>
      <c r="N28" s="4">
        <v>1516</v>
      </c>
      <c r="O28" s="4">
        <v>1110</v>
      </c>
      <c r="P28" s="6">
        <f t="shared" si="1"/>
        <v>0.26781002638522422</v>
      </c>
      <c r="Q28" s="4" t="s">
        <v>1280</v>
      </c>
      <c r="R28" s="4" t="s">
        <v>1280</v>
      </c>
      <c r="S28" s="4" t="s">
        <v>1280</v>
      </c>
      <c r="T28" s="4">
        <v>400</v>
      </c>
      <c r="U28" s="4">
        <f t="shared" si="2"/>
        <v>2000</v>
      </c>
      <c r="V28" s="4">
        <v>240</v>
      </c>
      <c r="W28" s="4">
        <f t="shared" si="3"/>
        <v>1200</v>
      </c>
      <c r="X28" s="4">
        <v>5</v>
      </c>
      <c r="Y28" s="21">
        <f t="shared" si="4"/>
        <v>1639</v>
      </c>
      <c r="Z28" s="6">
        <f t="shared" si="5"/>
        <v>0.26784624771201948</v>
      </c>
      <c r="AA28" s="4">
        <v>0.5</v>
      </c>
      <c r="AB28" s="4">
        <f t="shared" si="6"/>
        <v>1799</v>
      </c>
      <c r="AC28" s="4">
        <f t="shared" si="17"/>
        <v>1944.864864864865</v>
      </c>
      <c r="AD28" s="6">
        <f t="shared" si="18"/>
        <v>0.38299055030572549</v>
      </c>
      <c r="AE28" s="4">
        <f t="shared" si="19"/>
        <v>1900</v>
      </c>
      <c r="AF28" s="7">
        <v>1750</v>
      </c>
      <c r="AG28" s="6">
        <f t="shared" si="7"/>
        <v>0.31428571428571428</v>
      </c>
      <c r="AH28" s="4">
        <f t="shared" si="8"/>
        <v>550</v>
      </c>
      <c r="AI28" s="28"/>
      <c r="AJ28" s="6"/>
      <c r="AK28" s="6"/>
      <c r="AL28" s="6">
        <f t="shared" si="9"/>
        <v>1.0810810810810811</v>
      </c>
      <c r="AM28" s="6">
        <f t="shared" si="10"/>
        <v>1.1543535620052769</v>
      </c>
      <c r="AN28" s="6">
        <f t="shared" si="11"/>
        <v>1.0810810810810811</v>
      </c>
      <c r="AO28" s="4" t="str">
        <f t="shared" si="12"/>
        <v>-</v>
      </c>
      <c r="AP28" s="4" t="str">
        <f t="shared" si="13"/>
        <v>-</v>
      </c>
      <c r="AQ28" s="4" t="str">
        <f t="shared" si="14"/>
        <v>-</v>
      </c>
      <c r="AR28" s="4">
        <v>0</v>
      </c>
      <c r="AS28" s="4" t="s">
        <v>1798</v>
      </c>
      <c r="AT28" s="4"/>
      <c r="AU28" s="4"/>
      <c r="AV28" s="4" t="s">
        <v>1799</v>
      </c>
      <c r="AW28" s="4">
        <v>1799</v>
      </c>
      <c r="AX28" s="4">
        <v>1799</v>
      </c>
      <c r="AY28" s="4">
        <v>1799</v>
      </c>
      <c r="AZ28" s="4">
        <f t="shared" si="15"/>
        <v>1799</v>
      </c>
      <c r="BA28" s="19">
        <v>4</v>
      </c>
      <c r="BB28" s="19">
        <v>8</v>
      </c>
      <c r="BC28" s="16">
        <v>19</v>
      </c>
      <c r="BD28" t="s">
        <v>1280</v>
      </c>
      <c r="BE28" t="s">
        <v>1280</v>
      </c>
      <c r="BF28" t="s">
        <v>1280</v>
      </c>
      <c r="BG28" t="str">
        <f t="shared" si="20"/>
        <v>-</v>
      </c>
      <c r="BH28" t="s">
        <v>1280</v>
      </c>
      <c r="BI28" t="s">
        <v>1280</v>
      </c>
      <c r="BJ28" t="s">
        <v>1280</v>
      </c>
      <c r="BK28" t="str">
        <f t="shared" si="21"/>
        <v>-</v>
      </c>
      <c r="BL28" t="s">
        <v>1367</v>
      </c>
      <c r="BM28">
        <v>812</v>
      </c>
    </row>
    <row r="29" spans="1:65" x14ac:dyDescent="0.4">
      <c r="A29" s="3">
        <v>110</v>
      </c>
      <c r="B29" s="3">
        <v>110</v>
      </c>
      <c r="C29" s="4" t="s">
        <v>99</v>
      </c>
      <c r="D29" s="4" t="str">
        <f t="shared" si="0"/>
        <v>J1784W</v>
      </c>
      <c r="E29" s="4" t="s">
        <v>99</v>
      </c>
      <c r="F29" s="4" t="str">
        <f t="shared" si="16"/>
        <v>J1784W5</v>
      </c>
      <c r="G29" s="4" t="s">
        <v>745</v>
      </c>
      <c r="H29" s="5">
        <v>4974268536167</v>
      </c>
      <c r="I29" s="5">
        <v>5</v>
      </c>
      <c r="J29" s="5"/>
      <c r="K29" s="5">
        <v>1</v>
      </c>
      <c r="L29" s="5">
        <v>1</v>
      </c>
      <c r="M29" s="4">
        <v>1850</v>
      </c>
      <c r="N29" s="4">
        <v>1516</v>
      </c>
      <c r="O29" s="4">
        <v>1110</v>
      </c>
      <c r="P29" s="6">
        <f t="shared" si="1"/>
        <v>0.26781002638522422</v>
      </c>
      <c r="Q29" s="4" t="s">
        <v>1280</v>
      </c>
      <c r="R29" s="4" t="s">
        <v>1280</v>
      </c>
      <c r="S29" s="4" t="s">
        <v>1280</v>
      </c>
      <c r="T29" s="4">
        <v>400</v>
      </c>
      <c r="U29" s="4">
        <f t="shared" si="2"/>
        <v>2000</v>
      </c>
      <c r="V29" s="4">
        <v>240</v>
      </c>
      <c r="W29" s="4">
        <f t="shared" si="3"/>
        <v>1200</v>
      </c>
      <c r="X29" s="4">
        <v>5</v>
      </c>
      <c r="Y29" s="21">
        <f t="shared" si="4"/>
        <v>1639</v>
      </c>
      <c r="Z29" s="6">
        <f t="shared" si="5"/>
        <v>0.26784624771201948</v>
      </c>
      <c r="AA29" s="4">
        <v>0</v>
      </c>
      <c r="AB29" s="4" t="str">
        <f t="shared" si="6"/>
        <v>-</v>
      </c>
      <c r="AC29" s="4" t="str">
        <f t="shared" si="17"/>
        <v>-</v>
      </c>
      <c r="AD29" s="6" t="str">
        <f t="shared" si="18"/>
        <v>-</v>
      </c>
      <c r="AE29" s="4">
        <f t="shared" si="19"/>
        <v>1900</v>
      </c>
      <c r="AF29" s="7">
        <v>1750</v>
      </c>
      <c r="AG29" s="6">
        <f t="shared" si="7"/>
        <v>0.31428571428571428</v>
      </c>
      <c r="AH29" s="4">
        <f t="shared" si="8"/>
        <v>550</v>
      </c>
      <c r="AI29" s="28"/>
      <c r="AJ29" s="6"/>
      <c r="AK29" s="6"/>
      <c r="AL29" s="6">
        <f t="shared" si="9"/>
        <v>1.0810810810810811</v>
      </c>
      <c r="AM29" s="6">
        <f t="shared" si="10"/>
        <v>1.1543535620052769</v>
      </c>
      <c r="AN29" s="6">
        <f t="shared" si="11"/>
        <v>1.0810810810810811</v>
      </c>
      <c r="AO29" s="4" t="str">
        <f t="shared" si="12"/>
        <v>-</v>
      </c>
      <c r="AP29" s="4" t="str">
        <f t="shared" si="13"/>
        <v>-</v>
      </c>
      <c r="AQ29" s="4" t="str">
        <f t="shared" si="14"/>
        <v>-</v>
      </c>
      <c r="AR29" s="4">
        <v>0</v>
      </c>
      <c r="AS29" s="4" t="s">
        <v>1280</v>
      </c>
      <c r="AT29" s="4"/>
      <c r="AU29" s="4"/>
      <c r="AV29" s="4" t="s">
        <v>1280</v>
      </c>
      <c r="AW29" s="4" t="s">
        <v>1280</v>
      </c>
      <c r="AX29" s="4" t="s">
        <v>1280</v>
      </c>
      <c r="AY29" s="4" t="s">
        <v>1280</v>
      </c>
      <c r="AZ29" s="4" t="str">
        <f t="shared" si="15"/>
        <v>-</v>
      </c>
      <c r="BA29" s="19">
        <v>4</v>
      </c>
      <c r="BB29" s="19">
        <v>8</v>
      </c>
      <c r="BC29" s="16">
        <v>19</v>
      </c>
      <c r="BD29" t="s">
        <v>1280</v>
      </c>
      <c r="BE29" t="s">
        <v>1280</v>
      </c>
      <c r="BF29" t="s">
        <v>1280</v>
      </c>
      <c r="BG29" t="str">
        <f t="shared" si="20"/>
        <v>-</v>
      </c>
      <c r="BH29" t="s">
        <v>1280</v>
      </c>
      <c r="BI29" t="s">
        <v>1280</v>
      </c>
      <c r="BJ29" t="s">
        <v>1280</v>
      </c>
      <c r="BK29" t="str">
        <f t="shared" si="21"/>
        <v>-</v>
      </c>
      <c r="BL29" t="s">
        <v>1280</v>
      </c>
      <c r="BM29">
        <v>812</v>
      </c>
    </row>
    <row r="30" spans="1:65" x14ac:dyDescent="0.4">
      <c r="A30" s="3">
        <v>112</v>
      </c>
      <c r="B30" s="3">
        <v>112</v>
      </c>
      <c r="C30" s="4" t="s">
        <v>101</v>
      </c>
      <c r="D30" s="4" t="str">
        <f t="shared" si="0"/>
        <v>J1785W</v>
      </c>
      <c r="E30" s="4" t="s">
        <v>101</v>
      </c>
      <c r="F30" s="4" t="str">
        <f t="shared" si="16"/>
        <v>J1785W5</v>
      </c>
      <c r="G30" s="4" t="s">
        <v>747</v>
      </c>
      <c r="H30" s="5">
        <v>4974268536174</v>
      </c>
      <c r="I30" s="5">
        <v>5</v>
      </c>
      <c r="J30" s="5"/>
      <c r="K30" s="5">
        <v>1</v>
      </c>
      <c r="L30" s="5">
        <v>1</v>
      </c>
      <c r="M30" s="4">
        <v>1850</v>
      </c>
      <c r="N30" s="4">
        <v>1516</v>
      </c>
      <c r="O30" s="4">
        <v>1110</v>
      </c>
      <c r="P30" s="6">
        <f t="shared" si="1"/>
        <v>0.26781002638522422</v>
      </c>
      <c r="Q30" s="4" t="s">
        <v>1280</v>
      </c>
      <c r="R30" s="4" t="s">
        <v>1280</v>
      </c>
      <c r="S30" s="4" t="s">
        <v>1280</v>
      </c>
      <c r="T30" s="4">
        <v>400</v>
      </c>
      <c r="U30" s="4">
        <f t="shared" si="2"/>
        <v>2000</v>
      </c>
      <c r="V30" s="4">
        <v>240</v>
      </c>
      <c r="W30" s="4">
        <f t="shared" si="3"/>
        <v>1200</v>
      </c>
      <c r="X30" s="4">
        <v>5</v>
      </c>
      <c r="Y30" s="21">
        <f t="shared" si="4"/>
        <v>1639</v>
      </c>
      <c r="Z30" s="6">
        <f t="shared" si="5"/>
        <v>0.26784624771201948</v>
      </c>
      <c r="AA30" s="4">
        <v>1.5</v>
      </c>
      <c r="AB30" s="4" t="str">
        <f t="shared" si="6"/>
        <v>-</v>
      </c>
      <c r="AC30" s="4" t="str">
        <f t="shared" si="17"/>
        <v>-</v>
      </c>
      <c r="AD30" s="6" t="str">
        <f t="shared" si="18"/>
        <v>-</v>
      </c>
      <c r="AE30" s="4">
        <f t="shared" si="19"/>
        <v>1900</v>
      </c>
      <c r="AF30" s="7">
        <v>1750</v>
      </c>
      <c r="AG30" s="6">
        <f t="shared" si="7"/>
        <v>0.31428571428571428</v>
      </c>
      <c r="AH30" s="4">
        <f t="shared" si="8"/>
        <v>550</v>
      </c>
      <c r="AI30" s="28"/>
      <c r="AJ30" s="6"/>
      <c r="AK30" s="6"/>
      <c r="AL30" s="6">
        <f t="shared" si="9"/>
        <v>1.0810810810810811</v>
      </c>
      <c r="AM30" s="6">
        <f t="shared" si="10"/>
        <v>1.1543535620052769</v>
      </c>
      <c r="AN30" s="6">
        <f t="shared" si="11"/>
        <v>1.0810810810810811</v>
      </c>
      <c r="AO30" s="4" t="str">
        <f t="shared" si="12"/>
        <v>-</v>
      </c>
      <c r="AP30" s="4" t="str">
        <f t="shared" si="13"/>
        <v>-</v>
      </c>
      <c r="AQ30" s="4" t="str">
        <f t="shared" si="14"/>
        <v>-</v>
      </c>
      <c r="AR30" s="4">
        <v>0</v>
      </c>
      <c r="AS30" s="4" t="s">
        <v>1280</v>
      </c>
      <c r="AT30" s="4"/>
      <c r="AU30" s="4"/>
      <c r="AV30" s="4" t="s">
        <v>1280</v>
      </c>
      <c r="AW30" s="4" t="s">
        <v>1280</v>
      </c>
      <c r="AX30" s="4" t="s">
        <v>1280</v>
      </c>
      <c r="AY30" s="4" t="s">
        <v>1280</v>
      </c>
      <c r="AZ30" s="4" t="str">
        <f t="shared" si="15"/>
        <v>-</v>
      </c>
      <c r="BA30" s="19">
        <v>4</v>
      </c>
      <c r="BB30" s="19">
        <v>8</v>
      </c>
      <c r="BC30" s="16">
        <v>19</v>
      </c>
      <c r="BD30" t="s">
        <v>1280</v>
      </c>
      <c r="BE30" t="s">
        <v>1280</v>
      </c>
      <c r="BF30" t="s">
        <v>1280</v>
      </c>
      <c r="BG30" t="str">
        <f t="shared" si="20"/>
        <v>-</v>
      </c>
      <c r="BH30" t="s">
        <v>1280</v>
      </c>
      <c r="BI30" t="s">
        <v>1280</v>
      </c>
      <c r="BJ30" t="s">
        <v>1280</v>
      </c>
      <c r="BK30" t="str">
        <f t="shared" si="21"/>
        <v>-</v>
      </c>
      <c r="BL30" t="s">
        <v>1280</v>
      </c>
      <c r="BM30">
        <v>812</v>
      </c>
    </row>
    <row r="31" spans="1:65" x14ac:dyDescent="0.4">
      <c r="A31" s="3">
        <v>113</v>
      </c>
      <c r="B31" s="3">
        <v>113</v>
      </c>
      <c r="C31" s="4" t="s">
        <v>102</v>
      </c>
      <c r="D31" s="4" t="str">
        <f t="shared" si="0"/>
        <v>J1786W</v>
      </c>
      <c r="E31" s="4" t="s">
        <v>102</v>
      </c>
      <c r="F31" s="4" t="str">
        <f t="shared" si="16"/>
        <v>J1786W5</v>
      </c>
      <c r="G31" s="4" t="s">
        <v>748</v>
      </c>
      <c r="H31" s="5">
        <v>4974268536181</v>
      </c>
      <c r="I31" s="5">
        <v>5</v>
      </c>
      <c r="J31" s="5"/>
      <c r="K31" s="5">
        <v>1</v>
      </c>
      <c r="L31" s="5">
        <v>1</v>
      </c>
      <c r="M31" s="4">
        <v>1850</v>
      </c>
      <c r="N31" s="4">
        <v>1516</v>
      </c>
      <c r="O31" s="4">
        <v>1110</v>
      </c>
      <c r="P31" s="6">
        <f t="shared" si="1"/>
        <v>0.26781002638522422</v>
      </c>
      <c r="Q31" s="4" t="s">
        <v>1280</v>
      </c>
      <c r="R31" s="4" t="s">
        <v>1280</v>
      </c>
      <c r="S31" s="4" t="s">
        <v>1280</v>
      </c>
      <c r="T31" s="4">
        <v>400</v>
      </c>
      <c r="U31" s="4">
        <f t="shared" si="2"/>
        <v>2000</v>
      </c>
      <c r="V31" s="4">
        <v>240</v>
      </c>
      <c r="W31" s="4">
        <f t="shared" si="3"/>
        <v>1200</v>
      </c>
      <c r="X31" s="4">
        <v>5</v>
      </c>
      <c r="Y31" s="21">
        <f t="shared" si="4"/>
        <v>1639</v>
      </c>
      <c r="Z31" s="6">
        <f t="shared" si="5"/>
        <v>0.26784624771201948</v>
      </c>
      <c r="AA31" s="4">
        <v>0</v>
      </c>
      <c r="AB31" s="4">
        <f t="shared" si="6"/>
        <v>925</v>
      </c>
      <c r="AC31" s="4">
        <f t="shared" si="17"/>
        <v>1000</v>
      </c>
      <c r="AD31" s="6">
        <f t="shared" si="18"/>
        <v>-0.19999999999999996</v>
      </c>
      <c r="AE31" s="4">
        <f t="shared" si="19"/>
        <v>1900</v>
      </c>
      <c r="AF31" s="7">
        <v>1750</v>
      </c>
      <c r="AG31" s="6">
        <f t="shared" si="7"/>
        <v>0.31428571428571428</v>
      </c>
      <c r="AH31" s="4">
        <f t="shared" si="8"/>
        <v>550</v>
      </c>
      <c r="AI31" s="28"/>
      <c r="AJ31" s="6"/>
      <c r="AK31" s="6"/>
      <c r="AL31" s="6">
        <f t="shared" si="9"/>
        <v>1.0810810810810811</v>
      </c>
      <c r="AM31" s="6">
        <f t="shared" si="10"/>
        <v>1.1543535620052769</v>
      </c>
      <c r="AN31" s="6">
        <f t="shared" si="11"/>
        <v>1.0810810810810811</v>
      </c>
      <c r="AO31" s="4" t="str">
        <f t="shared" si="12"/>
        <v>-</v>
      </c>
      <c r="AP31" s="4" t="str">
        <f t="shared" si="13"/>
        <v>-</v>
      </c>
      <c r="AQ31" s="4" t="str">
        <f t="shared" si="14"/>
        <v>-</v>
      </c>
      <c r="AR31" s="4">
        <v>0</v>
      </c>
      <c r="AS31" s="4" t="s">
        <v>1800</v>
      </c>
      <c r="AT31" s="4">
        <v>5</v>
      </c>
      <c r="AU31" s="4">
        <v>1</v>
      </c>
      <c r="AV31" s="4" t="s">
        <v>1801</v>
      </c>
      <c r="AW31" s="4">
        <v>185</v>
      </c>
      <c r="AX31" s="4">
        <v>185</v>
      </c>
      <c r="AY31" s="4">
        <v>185</v>
      </c>
      <c r="AZ31" s="4">
        <f t="shared" si="15"/>
        <v>925</v>
      </c>
      <c r="BA31" s="19">
        <v>4</v>
      </c>
      <c r="BB31" s="19">
        <v>8</v>
      </c>
      <c r="BC31" s="16">
        <v>19</v>
      </c>
      <c r="BD31" t="s">
        <v>1280</v>
      </c>
      <c r="BE31" t="s">
        <v>1280</v>
      </c>
      <c r="BF31" t="s">
        <v>1280</v>
      </c>
      <c r="BG31" t="str">
        <f t="shared" si="20"/>
        <v>-</v>
      </c>
      <c r="BH31" t="s">
        <v>1280</v>
      </c>
      <c r="BI31" t="s">
        <v>1280</v>
      </c>
      <c r="BJ31" t="s">
        <v>1280</v>
      </c>
      <c r="BK31" t="str">
        <f t="shared" si="21"/>
        <v>-</v>
      </c>
      <c r="BL31" t="s">
        <v>1368</v>
      </c>
      <c r="BM31">
        <v>812</v>
      </c>
    </row>
    <row r="32" spans="1:65" x14ac:dyDescent="0.4">
      <c r="A32" s="3">
        <v>114</v>
      </c>
      <c r="B32" s="3">
        <v>114</v>
      </c>
      <c r="C32" s="4" t="s">
        <v>103</v>
      </c>
      <c r="D32" s="4" t="str">
        <f t="shared" si="0"/>
        <v>J1787W</v>
      </c>
      <c r="E32" s="4" t="s">
        <v>103</v>
      </c>
      <c r="F32" s="4" t="str">
        <f t="shared" si="16"/>
        <v>J1787W5</v>
      </c>
      <c r="G32" s="4" t="s">
        <v>749</v>
      </c>
      <c r="H32" s="5">
        <v>4974268536198</v>
      </c>
      <c r="I32" s="5">
        <v>5</v>
      </c>
      <c r="J32" s="5"/>
      <c r="K32" s="5">
        <v>1</v>
      </c>
      <c r="L32" s="5">
        <v>1</v>
      </c>
      <c r="M32" s="4">
        <v>1850</v>
      </c>
      <c r="N32" s="4">
        <v>1546</v>
      </c>
      <c r="O32" s="4">
        <v>1110</v>
      </c>
      <c r="P32" s="6">
        <f t="shared" si="1"/>
        <v>0.28201811125485121</v>
      </c>
      <c r="Q32" s="4" t="s">
        <v>1280</v>
      </c>
      <c r="R32" s="4" t="s">
        <v>1280</v>
      </c>
      <c r="S32" s="4" t="s">
        <v>1280</v>
      </c>
      <c r="T32" s="4">
        <v>400</v>
      </c>
      <c r="U32" s="4">
        <f t="shared" si="2"/>
        <v>2000</v>
      </c>
      <c r="V32" s="4">
        <v>240</v>
      </c>
      <c r="W32" s="4">
        <f t="shared" si="3"/>
        <v>1200</v>
      </c>
      <c r="X32" s="4">
        <v>5</v>
      </c>
      <c r="Y32" s="21">
        <f t="shared" si="4"/>
        <v>1671</v>
      </c>
      <c r="Z32" s="6">
        <f t="shared" si="5"/>
        <v>0.28186714542190305</v>
      </c>
      <c r="AA32" s="4">
        <v>0.5</v>
      </c>
      <c r="AB32" s="4">
        <f t="shared" si="6"/>
        <v>1620</v>
      </c>
      <c r="AC32" s="4">
        <f t="shared" si="17"/>
        <v>1751.3513513513515</v>
      </c>
      <c r="AD32" s="6">
        <f t="shared" si="18"/>
        <v>0.31481481481481488</v>
      </c>
      <c r="AE32" s="4">
        <f t="shared" si="19"/>
        <v>1900</v>
      </c>
      <c r="AF32" s="7">
        <v>1750</v>
      </c>
      <c r="AG32" s="6">
        <f t="shared" si="7"/>
        <v>0.31428571428571428</v>
      </c>
      <c r="AH32" s="4">
        <f t="shared" si="8"/>
        <v>550</v>
      </c>
      <c r="AI32" s="28"/>
      <c r="AJ32" s="6"/>
      <c r="AK32" s="6"/>
      <c r="AL32" s="6">
        <f t="shared" si="9"/>
        <v>1.0810810810810811</v>
      </c>
      <c r="AM32" s="6">
        <f t="shared" si="10"/>
        <v>1.1319534282018111</v>
      </c>
      <c r="AN32" s="6">
        <f t="shared" si="11"/>
        <v>1.0810810810810811</v>
      </c>
      <c r="AO32" s="4" t="str">
        <f t="shared" si="12"/>
        <v>-</v>
      </c>
      <c r="AP32" s="4" t="str">
        <f t="shared" si="13"/>
        <v>-</v>
      </c>
      <c r="AQ32" s="4" t="str">
        <f t="shared" si="14"/>
        <v>-</v>
      </c>
      <c r="AR32" s="4">
        <v>0</v>
      </c>
      <c r="AS32" s="4" t="s">
        <v>1802</v>
      </c>
      <c r="AT32" s="4"/>
      <c r="AU32" s="4"/>
      <c r="AV32" s="4" t="s">
        <v>1799</v>
      </c>
      <c r="AW32" s="4">
        <v>1620</v>
      </c>
      <c r="AX32" s="4">
        <v>1620</v>
      </c>
      <c r="AY32" s="4">
        <v>1620</v>
      </c>
      <c r="AZ32" s="4">
        <f t="shared" si="15"/>
        <v>1620</v>
      </c>
      <c r="BA32" s="19">
        <v>4</v>
      </c>
      <c r="BB32" s="19">
        <v>8</v>
      </c>
      <c r="BC32" s="16">
        <v>19</v>
      </c>
      <c r="BD32" t="s">
        <v>1280</v>
      </c>
      <c r="BE32" t="s">
        <v>1280</v>
      </c>
      <c r="BF32" t="s">
        <v>1280</v>
      </c>
      <c r="BG32" t="str">
        <f t="shared" si="20"/>
        <v>-</v>
      </c>
      <c r="BH32" t="s">
        <v>1280</v>
      </c>
      <c r="BI32" t="s">
        <v>1280</v>
      </c>
      <c r="BJ32" t="s">
        <v>1280</v>
      </c>
      <c r="BK32" t="str">
        <f t="shared" si="21"/>
        <v>-</v>
      </c>
      <c r="BL32" t="s">
        <v>1369</v>
      </c>
      <c r="BM32">
        <v>812</v>
      </c>
    </row>
    <row r="33" spans="1:65" x14ac:dyDescent="0.4">
      <c r="A33" s="3">
        <v>118</v>
      </c>
      <c r="B33" s="3">
        <v>118</v>
      </c>
      <c r="C33" s="4" t="s">
        <v>107</v>
      </c>
      <c r="D33" s="4" t="str">
        <f t="shared" si="0"/>
        <v>J1793W</v>
      </c>
      <c r="E33" s="4" t="s">
        <v>107</v>
      </c>
      <c r="F33" s="4" t="str">
        <f t="shared" si="16"/>
        <v>J1793W5</v>
      </c>
      <c r="G33" s="4" t="s">
        <v>753</v>
      </c>
      <c r="H33" s="5">
        <v>4974268122186</v>
      </c>
      <c r="I33" s="5">
        <v>5</v>
      </c>
      <c r="J33" s="5"/>
      <c r="K33" s="5">
        <v>1</v>
      </c>
      <c r="L33" s="5">
        <v>1</v>
      </c>
      <c r="M33" s="4">
        <v>1900</v>
      </c>
      <c r="N33" s="4">
        <v>1549</v>
      </c>
      <c r="O33" s="4">
        <v>1140</v>
      </c>
      <c r="P33" s="6">
        <f t="shared" si="1"/>
        <v>0.26404131697869593</v>
      </c>
      <c r="Q33" s="4" t="s">
        <v>1280</v>
      </c>
      <c r="R33" s="4" t="s">
        <v>1280</v>
      </c>
      <c r="S33" s="4" t="s">
        <v>1280</v>
      </c>
      <c r="T33" s="4">
        <v>410</v>
      </c>
      <c r="U33" s="4">
        <f t="shared" si="2"/>
        <v>2050</v>
      </c>
      <c r="V33" s="4">
        <v>246</v>
      </c>
      <c r="W33" s="4">
        <f t="shared" si="3"/>
        <v>1230</v>
      </c>
      <c r="X33" s="4">
        <v>5</v>
      </c>
      <c r="Y33" s="21">
        <f t="shared" si="4"/>
        <v>1671</v>
      </c>
      <c r="Z33" s="6">
        <f t="shared" si="5"/>
        <v>0.26391382405745067</v>
      </c>
      <c r="AA33" s="4">
        <v>0</v>
      </c>
      <c r="AB33" s="4">
        <f t="shared" si="6"/>
        <v>2237</v>
      </c>
      <c r="AC33" s="4">
        <f t="shared" si="17"/>
        <v>2413.6052631578946</v>
      </c>
      <c r="AD33" s="6">
        <f t="shared" si="18"/>
        <v>0.49038891372373716</v>
      </c>
      <c r="AE33" s="4">
        <f t="shared" si="19"/>
        <v>1947.5</v>
      </c>
      <c r="AF33" s="7">
        <v>1900</v>
      </c>
      <c r="AG33" s="6">
        <f t="shared" si="7"/>
        <v>0.35263157894736841</v>
      </c>
      <c r="AH33" s="4">
        <f t="shared" si="8"/>
        <v>670</v>
      </c>
      <c r="AI33" s="28"/>
      <c r="AJ33" s="6"/>
      <c r="AK33" s="6"/>
      <c r="AL33" s="6">
        <f t="shared" si="9"/>
        <v>1.0789473684210527</v>
      </c>
      <c r="AM33" s="6">
        <f t="shared" si="10"/>
        <v>1.2265978050355069</v>
      </c>
      <c r="AN33" s="6">
        <f t="shared" si="11"/>
        <v>1.0789473684210527</v>
      </c>
      <c r="AO33" s="4" t="str">
        <f t="shared" si="12"/>
        <v>-</v>
      </c>
      <c r="AP33" s="4" t="str">
        <f t="shared" si="13"/>
        <v>-</v>
      </c>
      <c r="AQ33" s="4" t="str">
        <f t="shared" si="14"/>
        <v>-</v>
      </c>
      <c r="AR33" s="4">
        <v>0</v>
      </c>
      <c r="AS33" s="4" t="s">
        <v>1808</v>
      </c>
      <c r="AT33" s="4"/>
      <c r="AU33" s="4"/>
      <c r="AV33" s="4" t="s">
        <v>1809</v>
      </c>
      <c r="AW33" s="4">
        <v>2237</v>
      </c>
      <c r="AX33" s="4">
        <v>2237</v>
      </c>
      <c r="AY33" s="4">
        <v>2237</v>
      </c>
      <c r="AZ33" s="4">
        <f t="shared" si="15"/>
        <v>2237</v>
      </c>
      <c r="BA33" s="19">
        <v>4</v>
      </c>
      <c r="BB33" s="19">
        <v>8</v>
      </c>
      <c r="BC33" s="16">
        <v>19</v>
      </c>
      <c r="BD33" t="s">
        <v>1280</v>
      </c>
      <c r="BE33" t="s">
        <v>1280</v>
      </c>
      <c r="BF33" t="s">
        <v>1280</v>
      </c>
      <c r="BG33" t="str">
        <f t="shared" si="20"/>
        <v>-</v>
      </c>
      <c r="BH33" t="s">
        <v>1280</v>
      </c>
      <c r="BI33" t="s">
        <v>1280</v>
      </c>
      <c r="BJ33" t="s">
        <v>1280</v>
      </c>
      <c r="BK33" t="str">
        <f t="shared" si="21"/>
        <v>-</v>
      </c>
      <c r="BL33" t="s">
        <v>1373</v>
      </c>
      <c r="BM33">
        <v>812</v>
      </c>
    </row>
    <row r="34" spans="1:65" x14ac:dyDescent="0.4">
      <c r="A34" s="3">
        <v>120</v>
      </c>
      <c r="B34" s="3">
        <v>120</v>
      </c>
      <c r="C34" s="4" t="s">
        <v>109</v>
      </c>
      <c r="D34" s="4" t="str">
        <f t="shared" si="0"/>
        <v>J1794W</v>
      </c>
      <c r="E34" s="4" t="s">
        <v>109</v>
      </c>
      <c r="F34" s="4" t="str">
        <f t="shared" si="16"/>
        <v>J1794W5</v>
      </c>
      <c r="G34" s="4" t="s">
        <v>755</v>
      </c>
      <c r="H34" s="5">
        <v>4974268122193</v>
      </c>
      <c r="I34" s="5">
        <v>5</v>
      </c>
      <c r="J34" s="5"/>
      <c r="K34" s="5">
        <v>1</v>
      </c>
      <c r="L34" s="5">
        <v>1</v>
      </c>
      <c r="M34" s="4">
        <v>1900</v>
      </c>
      <c r="N34" s="4">
        <v>1549</v>
      </c>
      <c r="O34" s="4">
        <v>1140</v>
      </c>
      <c r="P34" s="6">
        <f t="shared" si="1"/>
        <v>0.26404131697869593</v>
      </c>
      <c r="Q34" s="4" t="s">
        <v>1280</v>
      </c>
      <c r="R34" s="4" t="s">
        <v>1280</v>
      </c>
      <c r="S34" s="4" t="s">
        <v>1280</v>
      </c>
      <c r="T34" s="4">
        <v>410</v>
      </c>
      <c r="U34" s="4">
        <f t="shared" si="2"/>
        <v>2050</v>
      </c>
      <c r="V34" s="4">
        <v>246</v>
      </c>
      <c r="W34" s="4">
        <f t="shared" si="3"/>
        <v>1230</v>
      </c>
      <c r="X34" s="4">
        <v>5</v>
      </c>
      <c r="Y34" s="21">
        <f t="shared" si="4"/>
        <v>1671</v>
      </c>
      <c r="Z34" s="6">
        <f t="shared" si="5"/>
        <v>0.26391382405745067</v>
      </c>
      <c r="AA34" s="4">
        <v>0</v>
      </c>
      <c r="AB34" s="4">
        <f t="shared" si="6"/>
        <v>2237</v>
      </c>
      <c r="AC34" s="4">
        <f t="shared" si="17"/>
        <v>2413.6052631578946</v>
      </c>
      <c r="AD34" s="6">
        <f t="shared" si="18"/>
        <v>0.49038891372373716</v>
      </c>
      <c r="AE34" s="4">
        <f t="shared" si="19"/>
        <v>1947.5</v>
      </c>
      <c r="AF34" s="7">
        <v>1900</v>
      </c>
      <c r="AG34" s="6">
        <f t="shared" si="7"/>
        <v>0.35263157894736841</v>
      </c>
      <c r="AH34" s="4">
        <f t="shared" si="8"/>
        <v>670</v>
      </c>
      <c r="AI34" s="28"/>
      <c r="AJ34" s="6"/>
      <c r="AK34" s="6"/>
      <c r="AL34" s="6">
        <f t="shared" si="9"/>
        <v>1.0789473684210527</v>
      </c>
      <c r="AM34" s="6">
        <f t="shared" si="10"/>
        <v>1.2265978050355069</v>
      </c>
      <c r="AN34" s="6">
        <f t="shared" si="11"/>
        <v>1.0789473684210527</v>
      </c>
      <c r="AO34" s="4" t="str">
        <f t="shared" si="12"/>
        <v>-</v>
      </c>
      <c r="AP34" s="4" t="str">
        <f t="shared" si="13"/>
        <v>-</v>
      </c>
      <c r="AQ34" s="4" t="str">
        <f t="shared" si="14"/>
        <v>-</v>
      </c>
      <c r="AR34" s="4">
        <v>0</v>
      </c>
      <c r="AS34" s="4" t="s">
        <v>1812</v>
      </c>
      <c r="AT34" s="4"/>
      <c r="AU34" s="4"/>
      <c r="AV34" s="4" t="s">
        <v>1813</v>
      </c>
      <c r="AW34" s="4">
        <v>2237</v>
      </c>
      <c r="AX34" s="4">
        <v>2237</v>
      </c>
      <c r="AY34" s="4">
        <v>2237</v>
      </c>
      <c r="AZ34" s="4">
        <f t="shared" si="15"/>
        <v>2237</v>
      </c>
      <c r="BA34" s="19">
        <v>4</v>
      </c>
      <c r="BB34" s="19">
        <v>8</v>
      </c>
      <c r="BC34" s="16">
        <v>19</v>
      </c>
      <c r="BD34" t="s">
        <v>1280</v>
      </c>
      <c r="BE34" t="s">
        <v>1280</v>
      </c>
      <c r="BF34" t="s">
        <v>1280</v>
      </c>
      <c r="BG34" t="str">
        <f t="shared" si="20"/>
        <v>-</v>
      </c>
      <c r="BH34" t="s">
        <v>1280</v>
      </c>
      <c r="BI34" t="s">
        <v>1280</v>
      </c>
      <c r="BJ34" t="s">
        <v>1280</v>
      </c>
      <c r="BK34" t="str">
        <f t="shared" si="21"/>
        <v>-</v>
      </c>
      <c r="BL34" t="s">
        <v>1375</v>
      </c>
      <c r="BM34">
        <v>812</v>
      </c>
    </row>
    <row r="35" spans="1:65" x14ac:dyDescent="0.4">
      <c r="A35" s="3">
        <v>123</v>
      </c>
      <c r="B35" s="3">
        <v>123</v>
      </c>
      <c r="C35" s="4" t="s">
        <v>112</v>
      </c>
      <c r="D35" s="4" t="str">
        <f t="shared" si="0"/>
        <v>J1795W</v>
      </c>
      <c r="E35" s="4" t="s">
        <v>112</v>
      </c>
      <c r="F35" s="4" t="str">
        <f t="shared" si="16"/>
        <v>J1795W5</v>
      </c>
      <c r="G35" s="4" t="s">
        <v>758</v>
      </c>
      <c r="H35" s="5">
        <v>4974268122209</v>
      </c>
      <c r="I35" s="5">
        <v>5</v>
      </c>
      <c r="J35" s="5"/>
      <c r="K35" s="5">
        <v>1</v>
      </c>
      <c r="L35" s="5">
        <v>1</v>
      </c>
      <c r="M35" s="4">
        <v>1900</v>
      </c>
      <c r="N35" s="4">
        <v>1549</v>
      </c>
      <c r="O35" s="4">
        <v>1140</v>
      </c>
      <c r="P35" s="6">
        <f t="shared" si="1"/>
        <v>0.26404131697869593</v>
      </c>
      <c r="Q35" s="4" t="s">
        <v>1280</v>
      </c>
      <c r="R35" s="4" t="s">
        <v>1280</v>
      </c>
      <c r="S35" s="4" t="s">
        <v>1280</v>
      </c>
      <c r="T35" s="4">
        <v>410</v>
      </c>
      <c r="U35" s="4">
        <f t="shared" si="2"/>
        <v>2050</v>
      </c>
      <c r="V35" s="4">
        <v>246</v>
      </c>
      <c r="W35" s="4">
        <f t="shared" si="3"/>
        <v>1230</v>
      </c>
      <c r="X35" s="4">
        <v>5</v>
      </c>
      <c r="Y35" s="21">
        <f t="shared" si="4"/>
        <v>1671</v>
      </c>
      <c r="Z35" s="6">
        <f t="shared" si="5"/>
        <v>0.26391382405745067</v>
      </c>
      <c r="AA35" s="4">
        <v>0</v>
      </c>
      <c r="AB35" s="4" t="str">
        <f t="shared" si="6"/>
        <v>-</v>
      </c>
      <c r="AC35" s="4" t="str">
        <f t="shared" si="17"/>
        <v>-</v>
      </c>
      <c r="AD35" s="6" t="str">
        <f t="shared" si="18"/>
        <v>-</v>
      </c>
      <c r="AE35" s="4">
        <f t="shared" si="19"/>
        <v>1947.5</v>
      </c>
      <c r="AF35" s="7">
        <v>1900</v>
      </c>
      <c r="AG35" s="6">
        <f t="shared" si="7"/>
        <v>0.35263157894736841</v>
      </c>
      <c r="AH35" s="4">
        <f t="shared" si="8"/>
        <v>670</v>
      </c>
      <c r="AI35" s="28"/>
      <c r="AJ35" s="6"/>
      <c r="AK35" s="6"/>
      <c r="AL35" s="6">
        <f t="shared" si="9"/>
        <v>1.0789473684210527</v>
      </c>
      <c r="AM35" s="6">
        <f t="shared" si="10"/>
        <v>1.2265978050355069</v>
      </c>
      <c r="AN35" s="6">
        <f t="shared" si="11"/>
        <v>1.0789473684210527</v>
      </c>
      <c r="AO35" s="4" t="str">
        <f t="shared" si="12"/>
        <v>-</v>
      </c>
      <c r="AP35" s="4" t="str">
        <f t="shared" si="13"/>
        <v>-</v>
      </c>
      <c r="AQ35" s="4" t="str">
        <f t="shared" si="14"/>
        <v>-</v>
      </c>
      <c r="AR35" s="4">
        <v>0</v>
      </c>
      <c r="AS35" s="4" t="s">
        <v>1280</v>
      </c>
      <c r="AT35" s="4"/>
      <c r="AU35" s="4"/>
      <c r="AV35" s="4" t="s">
        <v>1280</v>
      </c>
      <c r="AW35" s="4" t="s">
        <v>1280</v>
      </c>
      <c r="AX35" s="4" t="s">
        <v>1280</v>
      </c>
      <c r="AY35" s="4" t="s">
        <v>1280</v>
      </c>
      <c r="AZ35" s="4" t="str">
        <f t="shared" si="15"/>
        <v>-</v>
      </c>
      <c r="BA35" s="19">
        <v>4</v>
      </c>
      <c r="BB35" s="19">
        <v>8</v>
      </c>
      <c r="BC35" s="16">
        <v>19</v>
      </c>
      <c r="BD35" t="s">
        <v>1280</v>
      </c>
      <c r="BE35" t="s">
        <v>1280</v>
      </c>
      <c r="BF35" t="s">
        <v>1280</v>
      </c>
      <c r="BG35" t="str">
        <f t="shared" si="20"/>
        <v>-</v>
      </c>
      <c r="BH35" t="s">
        <v>1280</v>
      </c>
      <c r="BI35" t="s">
        <v>1280</v>
      </c>
      <c r="BJ35" t="s">
        <v>1280</v>
      </c>
      <c r="BK35" t="str">
        <f t="shared" si="21"/>
        <v>-</v>
      </c>
      <c r="BL35" t="s">
        <v>1280</v>
      </c>
      <c r="BM35">
        <v>812</v>
      </c>
    </row>
    <row r="36" spans="1:65" x14ac:dyDescent="0.4">
      <c r="A36" s="3">
        <v>290</v>
      </c>
      <c r="B36" s="3">
        <v>290</v>
      </c>
      <c r="C36" s="4" t="s">
        <v>279</v>
      </c>
      <c r="D36" s="4" t="str">
        <f t="shared" si="0"/>
        <v>J39024</v>
      </c>
      <c r="E36" s="4" t="s">
        <v>279</v>
      </c>
      <c r="F36" s="4" t="str">
        <f t="shared" si="16"/>
        <v>J390245</v>
      </c>
      <c r="G36" s="4" t="s">
        <v>925</v>
      </c>
      <c r="H36" s="5">
        <v>4974268564160</v>
      </c>
      <c r="I36" s="5">
        <v>5</v>
      </c>
      <c r="J36" s="5"/>
      <c r="K36" s="5">
        <v>1</v>
      </c>
      <c r="L36" s="5">
        <v>1</v>
      </c>
      <c r="M36" s="4">
        <v>3800</v>
      </c>
      <c r="N36" s="4">
        <v>3430</v>
      </c>
      <c r="O36" s="4">
        <v>2280</v>
      </c>
      <c r="P36" s="6">
        <f t="shared" si="1"/>
        <v>0.33527696793002915</v>
      </c>
      <c r="Q36" s="4" t="s">
        <v>1280</v>
      </c>
      <c r="R36" s="4" t="s">
        <v>1280</v>
      </c>
      <c r="S36" s="4" t="s">
        <v>1280</v>
      </c>
      <c r="T36" s="4">
        <v>420</v>
      </c>
      <c r="U36" s="4">
        <f t="shared" si="2"/>
        <v>4200</v>
      </c>
      <c r="V36" s="4">
        <v>252</v>
      </c>
      <c r="W36" s="4">
        <f t="shared" si="3"/>
        <v>2520</v>
      </c>
      <c r="X36" s="4">
        <v>10</v>
      </c>
      <c r="Y36" s="21">
        <f t="shared" si="4"/>
        <v>3791</v>
      </c>
      <c r="Z36" s="6">
        <f t="shared" si="5"/>
        <v>0.33526773938274856</v>
      </c>
      <c r="AA36" s="4">
        <v>0</v>
      </c>
      <c r="AB36" s="4" t="str">
        <f t="shared" si="6"/>
        <v>-</v>
      </c>
      <c r="AC36" s="4" t="str">
        <f t="shared" si="17"/>
        <v>-</v>
      </c>
      <c r="AD36" s="6" t="str">
        <f t="shared" si="18"/>
        <v>-</v>
      </c>
      <c r="AE36" s="4">
        <f t="shared" si="19"/>
        <v>3990</v>
      </c>
      <c r="AF36" s="7">
        <v>3900</v>
      </c>
      <c r="AG36" s="6">
        <f t="shared" si="7"/>
        <v>0.35384615384615381</v>
      </c>
      <c r="AH36" s="4">
        <f t="shared" si="8"/>
        <v>1380</v>
      </c>
      <c r="AI36" s="28"/>
      <c r="AJ36" s="6"/>
      <c r="AK36" s="6"/>
      <c r="AL36" s="6">
        <f t="shared" si="9"/>
        <v>1.1052631578947369</v>
      </c>
      <c r="AM36" s="6">
        <f t="shared" si="10"/>
        <v>1.1370262390670554</v>
      </c>
      <c r="AN36" s="6">
        <f t="shared" si="11"/>
        <v>1.1052631578947369</v>
      </c>
      <c r="AO36" s="4" t="str">
        <f t="shared" si="12"/>
        <v>-</v>
      </c>
      <c r="AP36" s="4" t="str">
        <f t="shared" si="13"/>
        <v>-</v>
      </c>
      <c r="AQ36" s="4" t="str">
        <f t="shared" si="14"/>
        <v>-</v>
      </c>
      <c r="AR36" s="4">
        <v>0</v>
      </c>
      <c r="AS36" s="4" t="s">
        <v>1280</v>
      </c>
      <c r="AT36" s="4"/>
      <c r="AU36" s="4"/>
      <c r="AV36" s="4" t="s">
        <v>1280</v>
      </c>
      <c r="AW36" s="4" t="s">
        <v>1280</v>
      </c>
      <c r="AX36" s="4" t="s">
        <v>1280</v>
      </c>
      <c r="AY36" s="4" t="s">
        <v>1280</v>
      </c>
      <c r="AZ36" s="4" t="str">
        <f t="shared" si="15"/>
        <v>-</v>
      </c>
      <c r="BA36" s="19">
        <v>4</v>
      </c>
      <c r="BB36" s="19">
        <v>8</v>
      </c>
      <c r="BC36" s="16">
        <v>18</v>
      </c>
      <c r="BD36" t="s">
        <v>1280</v>
      </c>
      <c r="BE36" t="s">
        <v>1280</v>
      </c>
      <c r="BF36" t="s">
        <v>1280</v>
      </c>
      <c r="BG36" t="str">
        <f t="shared" si="20"/>
        <v>-</v>
      </c>
      <c r="BH36" t="s">
        <v>1280</v>
      </c>
      <c r="BI36" t="s">
        <v>1280</v>
      </c>
      <c r="BJ36" t="s">
        <v>1280</v>
      </c>
      <c r="BK36" t="str">
        <f t="shared" si="21"/>
        <v>-</v>
      </c>
      <c r="BL36" t="s">
        <v>1280</v>
      </c>
      <c r="BM36">
        <v>812</v>
      </c>
    </row>
    <row r="37" spans="1:65" x14ac:dyDescent="0.4">
      <c r="A37" s="3">
        <v>293</v>
      </c>
      <c r="B37" s="3">
        <v>293</v>
      </c>
      <c r="C37" s="4" t="s">
        <v>282</v>
      </c>
      <c r="D37" s="4" t="str">
        <f t="shared" si="0"/>
        <v>J39026</v>
      </c>
      <c r="E37" s="4" t="s">
        <v>282</v>
      </c>
      <c r="F37" s="4" t="str">
        <f t="shared" si="16"/>
        <v>J390265</v>
      </c>
      <c r="G37" s="4" t="s">
        <v>928</v>
      </c>
      <c r="H37" s="5">
        <v>4974268564184</v>
      </c>
      <c r="I37" s="5">
        <v>5</v>
      </c>
      <c r="J37" s="5"/>
      <c r="K37" s="5">
        <v>1</v>
      </c>
      <c r="L37" s="5">
        <v>1</v>
      </c>
      <c r="M37" s="4">
        <v>3800</v>
      </c>
      <c r="N37" s="4">
        <v>3430</v>
      </c>
      <c r="O37" s="4">
        <v>2280</v>
      </c>
      <c r="P37" s="6">
        <f t="shared" si="1"/>
        <v>0.33527696793002915</v>
      </c>
      <c r="Q37" s="4" t="s">
        <v>1280</v>
      </c>
      <c r="R37" s="4" t="s">
        <v>1280</v>
      </c>
      <c r="S37" s="4" t="s">
        <v>1280</v>
      </c>
      <c r="T37" s="4">
        <v>420</v>
      </c>
      <c r="U37" s="4">
        <f t="shared" si="2"/>
        <v>4200</v>
      </c>
      <c r="V37" s="4">
        <v>252</v>
      </c>
      <c r="W37" s="4">
        <f t="shared" si="3"/>
        <v>2520</v>
      </c>
      <c r="X37" s="4">
        <v>10</v>
      </c>
      <c r="Y37" s="21">
        <f t="shared" si="4"/>
        <v>3791</v>
      </c>
      <c r="Z37" s="6">
        <f t="shared" si="5"/>
        <v>0.33526773938274856</v>
      </c>
      <c r="AA37" s="4">
        <v>0</v>
      </c>
      <c r="AB37" s="4" t="str">
        <f t="shared" si="6"/>
        <v>-</v>
      </c>
      <c r="AC37" s="4" t="str">
        <f t="shared" si="17"/>
        <v>-</v>
      </c>
      <c r="AD37" s="6" t="str">
        <f t="shared" si="18"/>
        <v>-</v>
      </c>
      <c r="AE37" s="4">
        <f t="shared" si="19"/>
        <v>3990</v>
      </c>
      <c r="AF37" s="7">
        <v>3900</v>
      </c>
      <c r="AG37" s="6">
        <f t="shared" si="7"/>
        <v>0.35384615384615381</v>
      </c>
      <c r="AH37" s="4">
        <f t="shared" si="8"/>
        <v>1380</v>
      </c>
      <c r="AI37" s="28"/>
      <c r="AJ37" s="6"/>
      <c r="AK37" s="6"/>
      <c r="AL37" s="6">
        <f t="shared" si="9"/>
        <v>1.1052631578947369</v>
      </c>
      <c r="AM37" s="6">
        <f t="shared" si="10"/>
        <v>1.1370262390670554</v>
      </c>
      <c r="AN37" s="6">
        <f t="shared" si="11"/>
        <v>1.1052631578947369</v>
      </c>
      <c r="AO37" s="4" t="str">
        <f t="shared" si="12"/>
        <v>-</v>
      </c>
      <c r="AP37" s="4" t="str">
        <f t="shared" si="13"/>
        <v>-</v>
      </c>
      <c r="AQ37" s="4" t="str">
        <f t="shared" si="14"/>
        <v>-</v>
      </c>
      <c r="AR37" s="4">
        <v>0</v>
      </c>
      <c r="AS37" s="4" t="s">
        <v>1280</v>
      </c>
      <c r="AT37" s="4"/>
      <c r="AU37" s="4"/>
      <c r="AV37" s="4" t="s">
        <v>1280</v>
      </c>
      <c r="AW37" s="4" t="s">
        <v>1280</v>
      </c>
      <c r="AX37" s="4" t="s">
        <v>1280</v>
      </c>
      <c r="AY37" s="4" t="s">
        <v>1280</v>
      </c>
      <c r="AZ37" s="4" t="str">
        <f t="shared" si="15"/>
        <v>-</v>
      </c>
      <c r="BA37" s="19">
        <v>4</v>
      </c>
      <c r="BB37" s="19">
        <v>8</v>
      </c>
      <c r="BC37" s="16">
        <v>18</v>
      </c>
      <c r="BD37" t="s">
        <v>1280</v>
      </c>
      <c r="BE37" t="s">
        <v>1280</v>
      </c>
      <c r="BF37" t="s">
        <v>1280</v>
      </c>
      <c r="BG37" t="str">
        <f t="shared" si="20"/>
        <v>-</v>
      </c>
      <c r="BH37" t="s">
        <v>1280</v>
      </c>
      <c r="BI37" t="s">
        <v>1280</v>
      </c>
      <c r="BJ37" t="s">
        <v>1280</v>
      </c>
      <c r="BK37" t="str">
        <f t="shared" si="21"/>
        <v>-</v>
      </c>
      <c r="BL37" t="s">
        <v>1280</v>
      </c>
      <c r="BM37">
        <v>812</v>
      </c>
    </row>
    <row r="38" spans="1:65" x14ac:dyDescent="0.4">
      <c r="A38" s="3">
        <v>471</v>
      </c>
      <c r="B38" s="3">
        <v>471</v>
      </c>
      <c r="C38" s="4" t="s">
        <v>460</v>
      </c>
      <c r="D38" s="4" t="str">
        <f t="shared" si="0"/>
        <v>J54558</v>
      </c>
      <c r="E38" s="4" t="s">
        <v>460</v>
      </c>
      <c r="F38" s="4" t="str">
        <f t="shared" si="16"/>
        <v>J545585</v>
      </c>
      <c r="G38" s="4" t="s">
        <v>1104</v>
      </c>
      <c r="H38" s="5">
        <v>4974268563194</v>
      </c>
      <c r="I38" s="5">
        <v>5</v>
      </c>
      <c r="J38" s="5"/>
      <c r="K38" s="5">
        <v>1</v>
      </c>
      <c r="L38" s="5">
        <v>1</v>
      </c>
      <c r="M38" s="4">
        <v>3500</v>
      </c>
      <c r="N38" s="4">
        <v>3126</v>
      </c>
      <c r="O38" s="4">
        <v>2100</v>
      </c>
      <c r="P38" s="6">
        <f t="shared" si="1"/>
        <v>0.32821497120921306</v>
      </c>
      <c r="Q38" s="4" t="s">
        <v>1280</v>
      </c>
      <c r="R38" s="4" t="s">
        <v>1280</v>
      </c>
      <c r="S38" s="4" t="s">
        <v>1280</v>
      </c>
      <c r="T38" s="4">
        <v>420</v>
      </c>
      <c r="U38" s="4">
        <f t="shared" si="2"/>
        <v>4200</v>
      </c>
      <c r="V38" s="4">
        <v>252</v>
      </c>
      <c r="W38" s="4">
        <f t="shared" si="3"/>
        <v>2520</v>
      </c>
      <c r="X38" s="4">
        <v>10</v>
      </c>
      <c r="Y38" s="21">
        <f t="shared" si="4"/>
        <v>3751</v>
      </c>
      <c r="Z38" s="6">
        <f t="shared" si="5"/>
        <v>0.32817915222607308</v>
      </c>
      <c r="AA38" s="4">
        <v>1</v>
      </c>
      <c r="AB38" s="4" t="str">
        <f t="shared" si="6"/>
        <v>-</v>
      </c>
      <c r="AC38" s="4" t="str">
        <f t="shared" si="17"/>
        <v>-</v>
      </c>
      <c r="AD38" s="6" t="str">
        <f t="shared" si="18"/>
        <v>-</v>
      </c>
      <c r="AE38" s="4">
        <f t="shared" si="19"/>
        <v>3990</v>
      </c>
      <c r="AF38" s="7">
        <v>3900</v>
      </c>
      <c r="AG38" s="6">
        <f t="shared" si="7"/>
        <v>0.35384615384615381</v>
      </c>
      <c r="AH38" s="4">
        <f t="shared" si="8"/>
        <v>1380</v>
      </c>
      <c r="AI38" s="28"/>
      <c r="AJ38" s="6"/>
      <c r="AK38" s="6"/>
      <c r="AL38" s="6">
        <f t="shared" si="9"/>
        <v>1.2</v>
      </c>
      <c r="AM38" s="6">
        <f t="shared" si="10"/>
        <v>1.2476007677543186</v>
      </c>
      <c r="AN38" s="6">
        <f t="shared" si="11"/>
        <v>1.2</v>
      </c>
      <c r="AO38" s="4" t="str">
        <f t="shared" si="12"/>
        <v>-</v>
      </c>
      <c r="AP38" s="4" t="str">
        <f t="shared" si="13"/>
        <v>-</v>
      </c>
      <c r="AQ38" s="4" t="str">
        <f t="shared" si="14"/>
        <v>-</v>
      </c>
      <c r="AR38" s="4">
        <v>0</v>
      </c>
      <c r="AS38" s="4" t="s">
        <v>1280</v>
      </c>
      <c r="AT38" s="4"/>
      <c r="AU38" s="4"/>
      <c r="AV38" s="4" t="s">
        <v>1280</v>
      </c>
      <c r="AW38" s="4" t="s">
        <v>1280</v>
      </c>
      <c r="AX38" s="4" t="s">
        <v>1280</v>
      </c>
      <c r="AY38" s="4" t="s">
        <v>1280</v>
      </c>
      <c r="AZ38" s="4" t="str">
        <f t="shared" si="15"/>
        <v>-</v>
      </c>
      <c r="BA38" s="19">
        <v>4</v>
      </c>
      <c r="BB38" s="19">
        <v>8</v>
      </c>
      <c r="BC38" s="16">
        <v>18</v>
      </c>
      <c r="BD38" t="s">
        <v>1280</v>
      </c>
      <c r="BE38" t="s">
        <v>1280</v>
      </c>
      <c r="BF38" t="s">
        <v>1280</v>
      </c>
      <c r="BG38" t="str">
        <f t="shared" si="20"/>
        <v>-</v>
      </c>
      <c r="BH38" t="s">
        <v>1280</v>
      </c>
      <c r="BI38" t="s">
        <v>1280</v>
      </c>
      <c r="BJ38" t="s">
        <v>1280</v>
      </c>
      <c r="BK38" t="str">
        <f t="shared" si="21"/>
        <v>-</v>
      </c>
      <c r="BL38" t="s">
        <v>1280</v>
      </c>
      <c r="BM38">
        <v>812</v>
      </c>
    </row>
    <row r="39" spans="1:65" x14ac:dyDescent="0.4">
      <c r="A39" s="3">
        <v>28</v>
      </c>
      <c r="B39" s="3">
        <v>28</v>
      </c>
      <c r="C39" s="4">
        <v>190343</v>
      </c>
      <c r="D39" s="4" t="str">
        <f t="shared" si="0"/>
        <v>190343</v>
      </c>
      <c r="E39" s="4">
        <v>190343</v>
      </c>
      <c r="F39" s="4" t="str">
        <f t="shared" si="16"/>
        <v>1903435</v>
      </c>
      <c r="G39" s="4" t="s">
        <v>663</v>
      </c>
      <c r="H39" s="5">
        <v>4974268664563</v>
      </c>
      <c r="I39" s="5">
        <v>5</v>
      </c>
      <c r="J39" s="5"/>
      <c r="K39" s="5">
        <v>1</v>
      </c>
      <c r="L39" s="5">
        <v>1</v>
      </c>
      <c r="M39" s="4">
        <v>400</v>
      </c>
      <c r="N39" s="4">
        <v>408</v>
      </c>
      <c r="O39" s="4">
        <v>240</v>
      </c>
      <c r="P39" s="6">
        <f t="shared" si="1"/>
        <v>0.41176470588235292</v>
      </c>
      <c r="Q39" s="4" t="s">
        <v>1280</v>
      </c>
      <c r="R39" s="4" t="s">
        <v>1280</v>
      </c>
      <c r="S39" s="4" t="s">
        <v>1280</v>
      </c>
      <c r="T39" s="4">
        <v>430</v>
      </c>
      <c r="U39" s="4">
        <f t="shared" si="2"/>
        <v>430</v>
      </c>
      <c r="V39" s="4">
        <v>258</v>
      </c>
      <c r="W39" s="4">
        <f t="shared" si="3"/>
        <v>258</v>
      </c>
      <c r="X39" s="4"/>
      <c r="Y39" s="21">
        <f t="shared" si="4"/>
        <v>439</v>
      </c>
      <c r="Z39" s="6">
        <f t="shared" si="5"/>
        <v>0.41230068337129844</v>
      </c>
      <c r="AA39" s="4">
        <v>2.25</v>
      </c>
      <c r="AB39" s="4">
        <f t="shared" si="6"/>
        <v>400</v>
      </c>
      <c r="AC39" s="4">
        <f t="shared" si="17"/>
        <v>430</v>
      </c>
      <c r="AD39" s="6">
        <f t="shared" si="18"/>
        <v>0.4</v>
      </c>
      <c r="AE39" s="4">
        <f t="shared" si="19"/>
        <v>408.5</v>
      </c>
      <c r="AF39" s="7">
        <v>405</v>
      </c>
      <c r="AG39" s="6">
        <f t="shared" si="7"/>
        <v>0.36296296296296293</v>
      </c>
      <c r="AH39" s="4">
        <f t="shared" si="8"/>
        <v>147</v>
      </c>
      <c r="AI39" s="28"/>
      <c r="AJ39" s="6"/>
      <c r="AK39" s="6"/>
      <c r="AL39" s="6">
        <f t="shared" si="9"/>
        <v>1.075</v>
      </c>
      <c r="AM39" s="6">
        <f t="shared" si="10"/>
        <v>0.99264705882352944</v>
      </c>
      <c r="AN39" s="6">
        <f t="shared" si="11"/>
        <v>1.075</v>
      </c>
      <c r="AO39" s="4" t="str">
        <f t="shared" si="12"/>
        <v>-</v>
      </c>
      <c r="AP39" s="4" t="str">
        <f t="shared" si="13"/>
        <v>-</v>
      </c>
      <c r="AQ39" s="4" t="str">
        <f t="shared" si="14"/>
        <v>-</v>
      </c>
      <c r="AR39" s="4">
        <v>0</v>
      </c>
      <c r="AS39" s="4" t="s">
        <v>1712</v>
      </c>
      <c r="AT39" s="4"/>
      <c r="AU39" s="4"/>
      <c r="AV39" s="4" t="s">
        <v>1713</v>
      </c>
      <c r="AW39" s="4">
        <v>400</v>
      </c>
      <c r="AX39" s="4">
        <v>400</v>
      </c>
      <c r="AY39" s="4">
        <v>400</v>
      </c>
      <c r="AZ39" s="4">
        <f t="shared" si="15"/>
        <v>400</v>
      </c>
      <c r="BA39" s="19">
        <v>4</v>
      </c>
      <c r="BB39" s="19">
        <v>1</v>
      </c>
      <c r="BC39" s="16">
        <v>19</v>
      </c>
      <c r="BD39" t="s">
        <v>1280</v>
      </c>
      <c r="BE39" t="s">
        <v>1280</v>
      </c>
      <c r="BF39" t="s">
        <v>1280</v>
      </c>
      <c r="BG39" t="str">
        <f t="shared" si="20"/>
        <v>-</v>
      </c>
      <c r="BH39" t="s">
        <v>1280</v>
      </c>
      <c r="BI39">
        <v>377</v>
      </c>
      <c r="BJ39">
        <v>377</v>
      </c>
      <c r="BK39">
        <f t="shared" si="21"/>
        <v>405.27499999999998</v>
      </c>
      <c r="BL39" t="s">
        <v>1308</v>
      </c>
      <c r="BM39">
        <v>812</v>
      </c>
    </row>
    <row r="40" spans="1:65" x14ac:dyDescent="0.4">
      <c r="A40" s="3">
        <v>57</v>
      </c>
      <c r="B40" s="3">
        <v>57</v>
      </c>
      <c r="C40" s="4">
        <v>683088</v>
      </c>
      <c r="D40" s="4" t="str">
        <f t="shared" si="0"/>
        <v>683088</v>
      </c>
      <c r="E40" s="4">
        <v>683088</v>
      </c>
      <c r="F40" s="4" t="str">
        <f t="shared" si="16"/>
        <v>6830885</v>
      </c>
      <c r="G40" s="4" t="s">
        <v>692</v>
      </c>
      <c r="H40" s="5">
        <v>4974268664136</v>
      </c>
      <c r="I40" s="5">
        <v>5</v>
      </c>
      <c r="J40" s="5"/>
      <c r="K40" s="5">
        <v>1</v>
      </c>
      <c r="L40" s="5">
        <v>1</v>
      </c>
      <c r="M40" s="4">
        <v>400</v>
      </c>
      <c r="N40" s="4">
        <v>402</v>
      </c>
      <c r="O40" s="4">
        <v>240</v>
      </c>
      <c r="P40" s="6">
        <f t="shared" si="1"/>
        <v>0.40298507462686572</v>
      </c>
      <c r="Q40" s="4" t="s">
        <v>1280</v>
      </c>
      <c r="R40" s="4" t="s">
        <v>1280</v>
      </c>
      <c r="S40" s="4" t="s">
        <v>1280</v>
      </c>
      <c r="T40" s="4">
        <v>430</v>
      </c>
      <c r="U40" s="4">
        <f t="shared" si="2"/>
        <v>430</v>
      </c>
      <c r="V40" s="4">
        <v>258</v>
      </c>
      <c r="W40" s="4">
        <f t="shared" si="3"/>
        <v>258</v>
      </c>
      <c r="X40" s="4"/>
      <c r="Y40" s="21">
        <f t="shared" si="4"/>
        <v>432</v>
      </c>
      <c r="Z40" s="6">
        <f t="shared" si="5"/>
        <v>0.40277777777777779</v>
      </c>
      <c r="AA40" s="4">
        <v>1.5</v>
      </c>
      <c r="AB40" s="4">
        <f t="shared" si="6"/>
        <v>391</v>
      </c>
      <c r="AC40" s="4">
        <f t="shared" si="17"/>
        <v>420.32499999999999</v>
      </c>
      <c r="AD40" s="6">
        <f t="shared" si="18"/>
        <v>0.38618925831202044</v>
      </c>
      <c r="AE40" s="4">
        <f t="shared" si="19"/>
        <v>408.5</v>
      </c>
      <c r="AF40" s="7">
        <v>405</v>
      </c>
      <c r="AG40" s="6">
        <f t="shared" si="7"/>
        <v>0.36296296296296293</v>
      </c>
      <c r="AH40" s="4">
        <f t="shared" si="8"/>
        <v>147</v>
      </c>
      <c r="AI40" s="28"/>
      <c r="AJ40" s="6"/>
      <c r="AK40" s="6"/>
      <c r="AL40" s="6">
        <f t="shared" si="9"/>
        <v>1.075</v>
      </c>
      <c r="AM40" s="6">
        <f t="shared" si="10"/>
        <v>1.0074626865671641</v>
      </c>
      <c r="AN40" s="6">
        <f t="shared" si="11"/>
        <v>1.075</v>
      </c>
      <c r="AO40" s="4" t="str">
        <f t="shared" si="12"/>
        <v>-</v>
      </c>
      <c r="AP40" s="4" t="str">
        <f t="shared" si="13"/>
        <v>-</v>
      </c>
      <c r="AQ40" s="4" t="str">
        <f t="shared" si="14"/>
        <v>-</v>
      </c>
      <c r="AR40" s="4">
        <v>0</v>
      </c>
      <c r="AS40" s="4" t="s">
        <v>1744</v>
      </c>
      <c r="AT40" s="4"/>
      <c r="AU40" s="4"/>
      <c r="AV40" s="4" t="s">
        <v>1713</v>
      </c>
      <c r="AW40" s="4">
        <v>391</v>
      </c>
      <c r="AX40" s="4">
        <v>391</v>
      </c>
      <c r="AY40" s="4">
        <v>391</v>
      </c>
      <c r="AZ40" s="4">
        <f t="shared" si="15"/>
        <v>391</v>
      </c>
      <c r="BA40" s="19">
        <v>4</v>
      </c>
      <c r="BB40" s="19">
        <v>1</v>
      </c>
      <c r="BC40" s="16">
        <v>19</v>
      </c>
      <c r="BD40">
        <v>385</v>
      </c>
      <c r="BE40">
        <v>385</v>
      </c>
      <c r="BF40" t="s">
        <v>1280</v>
      </c>
      <c r="BG40" t="str">
        <f t="shared" si="20"/>
        <v>-</v>
      </c>
      <c r="BH40">
        <v>377</v>
      </c>
      <c r="BI40">
        <v>377</v>
      </c>
      <c r="BJ40">
        <v>377</v>
      </c>
      <c r="BK40">
        <f t="shared" si="21"/>
        <v>405.27499999999998</v>
      </c>
      <c r="BL40" t="s">
        <v>1330</v>
      </c>
      <c r="BM40">
        <v>812</v>
      </c>
    </row>
    <row r="41" spans="1:65" x14ac:dyDescent="0.4">
      <c r="A41" s="3">
        <v>220</v>
      </c>
      <c r="B41" s="3">
        <v>220</v>
      </c>
      <c r="C41" s="4" t="s">
        <v>209</v>
      </c>
      <c r="D41" s="4" t="str">
        <f t="shared" si="0"/>
        <v>J358NB</v>
      </c>
      <c r="E41" s="4" t="s">
        <v>209</v>
      </c>
      <c r="F41" s="4" t="str">
        <f t="shared" si="16"/>
        <v>J358NB5</v>
      </c>
      <c r="G41" s="4" t="s">
        <v>855</v>
      </c>
      <c r="H41" s="5">
        <v>4974268153722</v>
      </c>
      <c r="I41" s="5">
        <v>5</v>
      </c>
      <c r="J41" s="5"/>
      <c r="K41" s="5">
        <v>1</v>
      </c>
      <c r="L41" s="5">
        <v>1</v>
      </c>
      <c r="M41" s="4">
        <v>400</v>
      </c>
      <c r="N41" s="4">
        <v>314</v>
      </c>
      <c r="O41" s="4">
        <v>240</v>
      </c>
      <c r="P41" s="6">
        <f t="shared" si="1"/>
        <v>0.23566878980891715</v>
      </c>
      <c r="Q41" s="4" t="s">
        <v>1280</v>
      </c>
      <c r="R41" s="4" t="s">
        <v>1280</v>
      </c>
      <c r="S41" s="4" t="s">
        <v>1280</v>
      </c>
      <c r="T41" s="4">
        <v>430</v>
      </c>
      <c r="U41" s="4">
        <f t="shared" si="2"/>
        <v>430</v>
      </c>
      <c r="V41" s="4">
        <v>258</v>
      </c>
      <c r="W41" s="4">
        <f t="shared" si="3"/>
        <v>258</v>
      </c>
      <c r="X41" s="4"/>
      <c r="Y41" s="21">
        <f t="shared" si="4"/>
        <v>338</v>
      </c>
      <c r="Z41" s="6">
        <f t="shared" si="5"/>
        <v>0.23668639053254437</v>
      </c>
      <c r="AA41" s="4">
        <v>4.5</v>
      </c>
      <c r="AB41" s="4" t="str">
        <f t="shared" si="6"/>
        <v>-</v>
      </c>
      <c r="AC41" s="4" t="str">
        <f t="shared" si="17"/>
        <v>-</v>
      </c>
      <c r="AD41" s="6" t="str">
        <f t="shared" si="18"/>
        <v>-</v>
      </c>
      <c r="AE41" s="4">
        <f t="shared" si="19"/>
        <v>408.5</v>
      </c>
      <c r="AF41" s="7">
        <v>360</v>
      </c>
      <c r="AG41" s="6">
        <f t="shared" si="7"/>
        <v>0.28333333333333333</v>
      </c>
      <c r="AH41" s="4">
        <f t="shared" si="8"/>
        <v>102</v>
      </c>
      <c r="AI41" s="28"/>
      <c r="AJ41" s="6"/>
      <c r="AK41" s="6"/>
      <c r="AL41" s="6">
        <f t="shared" si="9"/>
        <v>1.075</v>
      </c>
      <c r="AM41" s="6">
        <f t="shared" si="10"/>
        <v>1.1464968152866242</v>
      </c>
      <c r="AN41" s="6">
        <f t="shared" si="11"/>
        <v>1.075</v>
      </c>
      <c r="AO41" s="4" t="str">
        <f t="shared" si="12"/>
        <v>-</v>
      </c>
      <c r="AP41" s="4" t="str">
        <f t="shared" si="13"/>
        <v>-</v>
      </c>
      <c r="AQ41" s="4" t="str">
        <f t="shared" si="14"/>
        <v>-</v>
      </c>
      <c r="AR41" s="4">
        <v>0</v>
      </c>
      <c r="AS41" s="4" t="s">
        <v>1280</v>
      </c>
      <c r="AT41" s="4"/>
      <c r="AU41" s="4"/>
      <c r="AV41" s="4" t="s">
        <v>1280</v>
      </c>
      <c r="AW41" s="4" t="s">
        <v>1280</v>
      </c>
      <c r="AX41" s="4" t="s">
        <v>1280</v>
      </c>
      <c r="AY41" s="4" t="s">
        <v>1280</v>
      </c>
      <c r="AZ41" s="4" t="str">
        <f t="shared" si="15"/>
        <v>-</v>
      </c>
      <c r="BA41" s="19">
        <v>4</v>
      </c>
      <c r="BB41" s="19">
        <v>1</v>
      </c>
      <c r="BC41" s="16">
        <v>19</v>
      </c>
      <c r="BD41" t="s">
        <v>1280</v>
      </c>
      <c r="BE41">
        <v>374</v>
      </c>
      <c r="BF41">
        <v>374</v>
      </c>
      <c r="BG41">
        <f t="shared" si="20"/>
        <v>402.05</v>
      </c>
      <c r="BH41">
        <v>335</v>
      </c>
      <c r="BI41">
        <v>335</v>
      </c>
      <c r="BJ41">
        <v>335</v>
      </c>
      <c r="BK41">
        <f t="shared" si="21"/>
        <v>360.125</v>
      </c>
      <c r="BL41" t="s">
        <v>1280</v>
      </c>
      <c r="BM41">
        <v>812</v>
      </c>
    </row>
    <row r="42" spans="1:65" x14ac:dyDescent="0.4">
      <c r="A42" s="3">
        <v>221</v>
      </c>
      <c r="B42" s="3">
        <v>221</v>
      </c>
      <c r="C42" s="4" t="s">
        <v>210</v>
      </c>
      <c r="D42" s="4" t="str">
        <f t="shared" si="0"/>
        <v>J361NB</v>
      </c>
      <c r="E42" s="4" t="s">
        <v>210</v>
      </c>
      <c r="F42" s="4" t="str">
        <f t="shared" si="16"/>
        <v>J361NB5</v>
      </c>
      <c r="G42" s="4" t="s">
        <v>856</v>
      </c>
      <c r="H42" s="5">
        <v>4974268153753</v>
      </c>
      <c r="I42" s="5">
        <v>5</v>
      </c>
      <c r="J42" s="5"/>
      <c r="K42" s="5">
        <v>1</v>
      </c>
      <c r="L42" s="5">
        <v>1</v>
      </c>
      <c r="M42" s="4">
        <v>400</v>
      </c>
      <c r="N42" s="4">
        <v>314</v>
      </c>
      <c r="O42" s="4">
        <v>240</v>
      </c>
      <c r="P42" s="6">
        <f t="shared" si="1"/>
        <v>0.23566878980891715</v>
      </c>
      <c r="Q42" s="4" t="s">
        <v>1280</v>
      </c>
      <c r="R42" s="4" t="s">
        <v>1280</v>
      </c>
      <c r="S42" s="4" t="s">
        <v>1280</v>
      </c>
      <c r="T42" s="4">
        <v>430</v>
      </c>
      <c r="U42" s="4">
        <f t="shared" si="2"/>
        <v>430</v>
      </c>
      <c r="V42" s="4">
        <v>258</v>
      </c>
      <c r="W42" s="4">
        <f t="shared" si="3"/>
        <v>258</v>
      </c>
      <c r="X42" s="4"/>
      <c r="Y42" s="21">
        <f t="shared" si="4"/>
        <v>338</v>
      </c>
      <c r="Z42" s="6">
        <f t="shared" si="5"/>
        <v>0.23668639053254437</v>
      </c>
      <c r="AA42" s="4">
        <v>0</v>
      </c>
      <c r="AB42" s="4" t="str">
        <f t="shared" si="6"/>
        <v>-</v>
      </c>
      <c r="AC42" s="4" t="str">
        <f t="shared" si="17"/>
        <v>-</v>
      </c>
      <c r="AD42" s="6" t="str">
        <f t="shared" si="18"/>
        <v>-</v>
      </c>
      <c r="AE42" s="4">
        <f t="shared" si="19"/>
        <v>408.5</v>
      </c>
      <c r="AF42" s="7">
        <v>360</v>
      </c>
      <c r="AG42" s="6">
        <f t="shared" si="7"/>
        <v>0.28333333333333333</v>
      </c>
      <c r="AH42" s="4">
        <f t="shared" si="8"/>
        <v>102</v>
      </c>
      <c r="AI42" s="28"/>
      <c r="AJ42" s="6"/>
      <c r="AK42" s="6"/>
      <c r="AL42" s="6">
        <f t="shared" si="9"/>
        <v>1.075</v>
      </c>
      <c r="AM42" s="6">
        <f t="shared" si="10"/>
        <v>1.1464968152866242</v>
      </c>
      <c r="AN42" s="6">
        <f t="shared" si="11"/>
        <v>1.075</v>
      </c>
      <c r="AO42" s="4" t="str">
        <f t="shared" si="12"/>
        <v>-</v>
      </c>
      <c r="AP42" s="4" t="str">
        <f t="shared" si="13"/>
        <v>-</v>
      </c>
      <c r="AQ42" s="4" t="str">
        <f t="shared" si="14"/>
        <v>-</v>
      </c>
      <c r="AR42" s="4">
        <v>0</v>
      </c>
      <c r="AS42" s="4" t="s">
        <v>1280</v>
      </c>
      <c r="AT42" s="4"/>
      <c r="AU42" s="4"/>
      <c r="AV42" s="4" t="s">
        <v>1280</v>
      </c>
      <c r="AW42" s="4" t="s">
        <v>1280</v>
      </c>
      <c r="AX42" s="4" t="s">
        <v>1280</v>
      </c>
      <c r="AY42" s="4" t="s">
        <v>1280</v>
      </c>
      <c r="AZ42" s="4" t="str">
        <f t="shared" si="15"/>
        <v>-</v>
      </c>
      <c r="BA42" s="19">
        <v>4</v>
      </c>
      <c r="BB42" s="19">
        <v>1</v>
      </c>
      <c r="BC42" s="16">
        <v>19</v>
      </c>
      <c r="BD42">
        <v>374</v>
      </c>
      <c r="BE42">
        <v>374</v>
      </c>
      <c r="BF42">
        <v>374</v>
      </c>
      <c r="BG42">
        <f t="shared" si="20"/>
        <v>402.05</v>
      </c>
      <c r="BH42">
        <v>335</v>
      </c>
      <c r="BI42">
        <v>335</v>
      </c>
      <c r="BJ42">
        <v>335</v>
      </c>
      <c r="BK42">
        <f t="shared" si="21"/>
        <v>360.125</v>
      </c>
      <c r="BL42" t="s">
        <v>1280</v>
      </c>
      <c r="BM42">
        <v>812</v>
      </c>
    </row>
    <row r="43" spans="1:65" x14ac:dyDescent="0.4">
      <c r="A43" s="3">
        <v>222</v>
      </c>
      <c r="B43" s="3">
        <v>222</v>
      </c>
      <c r="C43" s="4" t="s">
        <v>211</v>
      </c>
      <c r="D43" s="4" t="str">
        <f t="shared" si="0"/>
        <v>J365NB</v>
      </c>
      <c r="E43" s="4" t="s">
        <v>211</v>
      </c>
      <c r="F43" s="4" t="str">
        <f t="shared" si="16"/>
        <v>J365NB5</v>
      </c>
      <c r="G43" s="4" t="s">
        <v>857</v>
      </c>
      <c r="H43" s="5">
        <v>4974268153791</v>
      </c>
      <c r="I43" s="5">
        <v>5</v>
      </c>
      <c r="J43" s="5"/>
      <c r="K43" s="5">
        <v>1</v>
      </c>
      <c r="L43" s="5">
        <v>1</v>
      </c>
      <c r="M43" s="4">
        <v>400</v>
      </c>
      <c r="N43" s="4">
        <v>335</v>
      </c>
      <c r="O43" s="4">
        <v>240</v>
      </c>
      <c r="P43" s="6">
        <f t="shared" si="1"/>
        <v>0.28358208955223885</v>
      </c>
      <c r="Q43" s="4" t="s">
        <v>1280</v>
      </c>
      <c r="R43" s="4" t="s">
        <v>1280</v>
      </c>
      <c r="S43" s="4" t="s">
        <v>1280</v>
      </c>
      <c r="T43" s="4">
        <v>430</v>
      </c>
      <c r="U43" s="4">
        <f t="shared" si="2"/>
        <v>430</v>
      </c>
      <c r="V43" s="4">
        <v>258</v>
      </c>
      <c r="W43" s="4">
        <f t="shared" si="3"/>
        <v>258</v>
      </c>
      <c r="X43" s="4"/>
      <c r="Y43" s="21">
        <f t="shared" si="4"/>
        <v>360</v>
      </c>
      <c r="Z43" s="6">
        <f t="shared" si="5"/>
        <v>0.28333333333333333</v>
      </c>
      <c r="AA43" s="4">
        <v>0.75</v>
      </c>
      <c r="AB43" s="4" t="str">
        <f t="shared" si="6"/>
        <v>-</v>
      </c>
      <c r="AC43" s="4" t="str">
        <f t="shared" si="17"/>
        <v>-</v>
      </c>
      <c r="AD43" s="6" t="str">
        <f t="shared" si="18"/>
        <v>-</v>
      </c>
      <c r="AE43" s="4">
        <f t="shared" si="19"/>
        <v>408.5</v>
      </c>
      <c r="AF43" s="7">
        <v>360</v>
      </c>
      <c r="AG43" s="6">
        <f t="shared" si="7"/>
        <v>0.28333333333333333</v>
      </c>
      <c r="AH43" s="4">
        <f t="shared" si="8"/>
        <v>102</v>
      </c>
      <c r="AI43" s="28"/>
      <c r="AJ43" s="6"/>
      <c r="AK43" s="6"/>
      <c r="AL43" s="6">
        <f t="shared" si="9"/>
        <v>1.075</v>
      </c>
      <c r="AM43" s="6">
        <f t="shared" si="10"/>
        <v>1.0746268656716418</v>
      </c>
      <c r="AN43" s="6">
        <f t="shared" si="11"/>
        <v>1.075</v>
      </c>
      <c r="AO43" s="4" t="str">
        <f t="shared" si="12"/>
        <v>-</v>
      </c>
      <c r="AP43" s="4" t="str">
        <f t="shared" si="13"/>
        <v>-</v>
      </c>
      <c r="AQ43" s="4" t="str">
        <f t="shared" si="14"/>
        <v>-</v>
      </c>
      <c r="AR43" s="4">
        <v>0</v>
      </c>
      <c r="AS43" s="4" t="s">
        <v>1280</v>
      </c>
      <c r="AT43" s="4"/>
      <c r="AU43" s="4"/>
      <c r="AV43" s="4" t="s">
        <v>1280</v>
      </c>
      <c r="AW43" s="4" t="s">
        <v>1280</v>
      </c>
      <c r="AX43" s="4" t="s">
        <v>1280</v>
      </c>
      <c r="AY43" s="4" t="s">
        <v>1280</v>
      </c>
      <c r="AZ43" s="4" t="str">
        <f t="shared" si="15"/>
        <v>-</v>
      </c>
      <c r="BA43" s="19">
        <v>4</v>
      </c>
      <c r="BB43" s="19">
        <v>1</v>
      </c>
      <c r="BC43" s="16">
        <v>19</v>
      </c>
      <c r="BD43">
        <v>374</v>
      </c>
      <c r="BE43">
        <v>374</v>
      </c>
      <c r="BF43">
        <v>374</v>
      </c>
      <c r="BG43">
        <f t="shared" si="20"/>
        <v>402.05</v>
      </c>
      <c r="BH43">
        <v>335</v>
      </c>
      <c r="BI43">
        <v>335</v>
      </c>
      <c r="BJ43">
        <v>335</v>
      </c>
      <c r="BK43">
        <f t="shared" si="21"/>
        <v>360.125</v>
      </c>
      <c r="BL43" t="s">
        <v>1280</v>
      </c>
      <c r="BM43">
        <v>812</v>
      </c>
    </row>
    <row r="44" spans="1:65" x14ac:dyDescent="0.4">
      <c r="A44" s="3">
        <v>125</v>
      </c>
      <c r="B44" s="3">
        <v>125</v>
      </c>
      <c r="C44" s="4" t="s">
        <v>114</v>
      </c>
      <c r="D44" s="4" t="str">
        <f t="shared" si="0"/>
        <v>J1796W</v>
      </c>
      <c r="E44" s="4" t="s">
        <v>114</v>
      </c>
      <c r="F44" s="4" t="str">
        <f t="shared" si="16"/>
        <v>J1796W5</v>
      </c>
      <c r="G44" s="4" t="s">
        <v>760</v>
      </c>
      <c r="H44" s="5">
        <v>4974268122223</v>
      </c>
      <c r="I44" s="5">
        <v>5</v>
      </c>
      <c r="J44" s="5"/>
      <c r="K44" s="5">
        <v>1</v>
      </c>
      <c r="L44" s="5">
        <v>1</v>
      </c>
      <c r="M44" s="4">
        <v>2050</v>
      </c>
      <c r="N44" s="4">
        <v>1672</v>
      </c>
      <c r="O44" s="4">
        <v>1230</v>
      </c>
      <c r="P44" s="6">
        <f t="shared" si="1"/>
        <v>0.2643540669856459</v>
      </c>
      <c r="Q44" s="4" t="s">
        <v>1280</v>
      </c>
      <c r="R44" s="4" t="s">
        <v>1280</v>
      </c>
      <c r="S44" s="4" t="s">
        <v>1280</v>
      </c>
      <c r="T44" s="4">
        <v>440</v>
      </c>
      <c r="U44" s="4">
        <f t="shared" si="2"/>
        <v>2200</v>
      </c>
      <c r="V44" s="4">
        <v>264</v>
      </c>
      <c r="W44" s="4">
        <f t="shared" si="3"/>
        <v>1320</v>
      </c>
      <c r="X44" s="4">
        <v>5</v>
      </c>
      <c r="Y44" s="21">
        <f t="shared" si="4"/>
        <v>1794</v>
      </c>
      <c r="Z44" s="6">
        <f t="shared" si="5"/>
        <v>0.26421404682274252</v>
      </c>
      <c r="AA44" s="4">
        <v>0</v>
      </c>
      <c r="AB44" s="4">
        <f t="shared" si="6"/>
        <v>2413</v>
      </c>
      <c r="AC44" s="4">
        <f t="shared" si="17"/>
        <v>2589.560975609756</v>
      </c>
      <c r="AD44" s="6">
        <f t="shared" si="18"/>
        <v>0.49026108578532945</v>
      </c>
      <c r="AE44" s="4">
        <f t="shared" si="19"/>
        <v>2090</v>
      </c>
      <c r="AF44" s="7">
        <v>2000</v>
      </c>
      <c r="AG44" s="6">
        <f t="shared" si="7"/>
        <v>0.33999999999999997</v>
      </c>
      <c r="AH44" s="4">
        <f t="shared" si="8"/>
        <v>680</v>
      </c>
      <c r="AI44" s="28"/>
      <c r="AJ44" s="6"/>
      <c r="AK44" s="6"/>
      <c r="AL44" s="6">
        <f t="shared" si="9"/>
        <v>1.0731707317073171</v>
      </c>
      <c r="AM44" s="6">
        <f t="shared" si="10"/>
        <v>1.1961722488038278</v>
      </c>
      <c r="AN44" s="6">
        <f t="shared" si="11"/>
        <v>1.0731707317073171</v>
      </c>
      <c r="AO44" s="4" t="str">
        <f t="shared" si="12"/>
        <v>-</v>
      </c>
      <c r="AP44" s="4" t="str">
        <f t="shared" si="13"/>
        <v>-</v>
      </c>
      <c r="AQ44" s="4" t="str">
        <f t="shared" si="14"/>
        <v>-</v>
      </c>
      <c r="AR44" s="4">
        <v>0</v>
      </c>
      <c r="AS44" s="4" t="s">
        <v>1818</v>
      </c>
      <c r="AT44" s="4"/>
      <c r="AU44" s="4"/>
      <c r="AV44" s="4" t="s">
        <v>1809</v>
      </c>
      <c r="AW44" s="4">
        <v>2413</v>
      </c>
      <c r="AX44" s="4">
        <v>2413</v>
      </c>
      <c r="AY44" s="4">
        <v>2413</v>
      </c>
      <c r="AZ44" s="4">
        <f t="shared" si="15"/>
        <v>2413</v>
      </c>
      <c r="BA44" s="19">
        <v>4</v>
      </c>
      <c r="BB44" s="19">
        <v>8</v>
      </c>
      <c r="BC44" s="16">
        <v>19</v>
      </c>
      <c r="BD44" t="s">
        <v>1280</v>
      </c>
      <c r="BE44" t="s">
        <v>1280</v>
      </c>
      <c r="BF44" t="s">
        <v>1280</v>
      </c>
      <c r="BG44" t="str">
        <f t="shared" si="20"/>
        <v>-</v>
      </c>
      <c r="BH44" t="s">
        <v>1280</v>
      </c>
      <c r="BI44" t="s">
        <v>1280</v>
      </c>
      <c r="BJ44" t="s">
        <v>1280</v>
      </c>
      <c r="BK44" t="str">
        <f t="shared" si="21"/>
        <v>-</v>
      </c>
      <c r="BL44" t="s">
        <v>1379</v>
      </c>
      <c r="BM44">
        <v>812</v>
      </c>
    </row>
    <row r="45" spans="1:65" x14ac:dyDescent="0.4">
      <c r="A45" s="3">
        <v>496</v>
      </c>
      <c r="B45" s="3">
        <v>496</v>
      </c>
      <c r="C45" s="4" t="s">
        <v>485</v>
      </c>
      <c r="D45" s="4" t="str">
        <f t="shared" si="0"/>
        <v>J749RZ</v>
      </c>
      <c r="E45" s="4" t="s">
        <v>485</v>
      </c>
      <c r="F45" s="4" t="str">
        <f t="shared" si="16"/>
        <v>J749RZ5</v>
      </c>
      <c r="G45" s="4" t="s">
        <v>1129</v>
      </c>
      <c r="H45" s="5">
        <v>4974268152626</v>
      </c>
      <c r="I45" s="5">
        <v>5</v>
      </c>
      <c r="J45" s="5"/>
      <c r="K45" s="5">
        <v>1</v>
      </c>
      <c r="L45" s="5">
        <v>1</v>
      </c>
      <c r="M45" s="4">
        <v>350</v>
      </c>
      <c r="N45" s="4">
        <v>361</v>
      </c>
      <c r="O45" s="4">
        <v>245</v>
      </c>
      <c r="P45" s="6">
        <f t="shared" si="1"/>
        <v>0.32132963988919672</v>
      </c>
      <c r="Q45" s="4" t="s">
        <v>1280</v>
      </c>
      <c r="R45" s="4" t="s">
        <v>1280</v>
      </c>
      <c r="S45" s="4" t="s">
        <v>1280</v>
      </c>
      <c r="T45" s="4">
        <v>380</v>
      </c>
      <c r="U45" s="4">
        <f t="shared" si="2"/>
        <v>380</v>
      </c>
      <c r="V45" s="4">
        <v>266</v>
      </c>
      <c r="W45" s="4">
        <f t="shared" si="3"/>
        <v>266</v>
      </c>
      <c r="X45" s="4"/>
      <c r="Y45" s="21">
        <f t="shared" si="4"/>
        <v>392</v>
      </c>
      <c r="Z45" s="6">
        <f t="shared" si="5"/>
        <v>0.3214285714285714</v>
      </c>
      <c r="AA45" s="4">
        <v>3</v>
      </c>
      <c r="AB45" s="4" t="str">
        <f t="shared" si="6"/>
        <v>-</v>
      </c>
      <c r="AC45" s="4" t="str">
        <f t="shared" si="17"/>
        <v>-</v>
      </c>
      <c r="AD45" s="6" t="str">
        <f t="shared" si="18"/>
        <v>-</v>
      </c>
      <c r="AE45" s="4">
        <f t="shared" si="19"/>
        <v>361</v>
      </c>
      <c r="AF45" s="7">
        <v>361</v>
      </c>
      <c r="AG45" s="6">
        <f t="shared" si="7"/>
        <v>0.26315789473684215</v>
      </c>
      <c r="AH45" s="4">
        <f t="shared" si="8"/>
        <v>95</v>
      </c>
      <c r="AI45" s="28"/>
      <c r="AJ45" s="6"/>
      <c r="AK45" s="6"/>
      <c r="AL45" s="6">
        <f t="shared" si="9"/>
        <v>1.0857142857142856</v>
      </c>
      <c r="AM45" s="6">
        <f t="shared" si="10"/>
        <v>1</v>
      </c>
      <c r="AN45" s="6">
        <f t="shared" si="11"/>
        <v>1.0857142857142856</v>
      </c>
      <c r="AO45" s="4" t="str">
        <f t="shared" si="12"/>
        <v>-</v>
      </c>
      <c r="AP45" s="4" t="str">
        <f t="shared" si="13"/>
        <v>-</v>
      </c>
      <c r="AQ45" s="4" t="str">
        <f t="shared" si="14"/>
        <v>-</v>
      </c>
      <c r="AR45" s="4">
        <v>0</v>
      </c>
      <c r="AS45" s="4" t="s">
        <v>1280</v>
      </c>
      <c r="AT45" s="4"/>
      <c r="AU45" s="4"/>
      <c r="AV45" s="4" t="s">
        <v>1280</v>
      </c>
      <c r="AW45" s="4" t="s">
        <v>1280</v>
      </c>
      <c r="AX45" s="4" t="s">
        <v>1280</v>
      </c>
      <c r="AY45" s="4" t="s">
        <v>1280</v>
      </c>
      <c r="AZ45" s="4" t="str">
        <f t="shared" si="15"/>
        <v>-</v>
      </c>
      <c r="BA45" s="19">
        <v>4</v>
      </c>
      <c r="BB45" s="19">
        <v>1</v>
      </c>
      <c r="BC45" s="16">
        <v>19</v>
      </c>
      <c r="BD45" t="s">
        <v>1280</v>
      </c>
      <c r="BE45" t="s">
        <v>1280</v>
      </c>
      <c r="BF45" t="s">
        <v>1280</v>
      </c>
      <c r="BG45" t="str">
        <f t="shared" si="20"/>
        <v>-</v>
      </c>
      <c r="BH45" t="s">
        <v>1280</v>
      </c>
      <c r="BI45" t="s">
        <v>1280</v>
      </c>
      <c r="BJ45" t="s">
        <v>1280</v>
      </c>
      <c r="BK45" t="str">
        <f t="shared" si="21"/>
        <v>-</v>
      </c>
      <c r="BL45" t="s">
        <v>1280</v>
      </c>
      <c r="BM45">
        <v>812</v>
      </c>
    </row>
    <row r="46" spans="1:65" x14ac:dyDescent="0.4">
      <c r="A46" s="3">
        <v>500</v>
      </c>
      <c r="B46" s="3">
        <v>500</v>
      </c>
      <c r="C46" s="4" t="s">
        <v>489</v>
      </c>
      <c r="D46" s="4" t="str">
        <f t="shared" si="0"/>
        <v>J751RZ</v>
      </c>
      <c r="E46" s="4" t="s">
        <v>489</v>
      </c>
      <c r="F46" s="4" t="str">
        <f t="shared" si="16"/>
        <v>J751RZ5</v>
      </c>
      <c r="G46" s="4" t="s">
        <v>1133</v>
      </c>
      <c r="H46" s="5">
        <v>4974268152633</v>
      </c>
      <c r="I46" s="5">
        <v>5</v>
      </c>
      <c r="J46" s="5"/>
      <c r="K46" s="5">
        <v>1</v>
      </c>
      <c r="L46" s="5">
        <v>1</v>
      </c>
      <c r="M46" s="4">
        <v>350</v>
      </c>
      <c r="N46" s="4">
        <v>321</v>
      </c>
      <c r="O46" s="4">
        <v>245</v>
      </c>
      <c r="P46" s="6">
        <f t="shared" si="1"/>
        <v>0.23676012461059193</v>
      </c>
      <c r="Q46" s="4" t="s">
        <v>1280</v>
      </c>
      <c r="R46" s="4" t="s">
        <v>1280</v>
      </c>
      <c r="S46" s="4" t="s">
        <v>1280</v>
      </c>
      <c r="T46" s="4">
        <v>380</v>
      </c>
      <c r="U46" s="4">
        <f t="shared" si="2"/>
        <v>380</v>
      </c>
      <c r="V46" s="4">
        <v>266</v>
      </c>
      <c r="W46" s="4">
        <f t="shared" si="3"/>
        <v>266</v>
      </c>
      <c r="X46" s="4"/>
      <c r="Y46" s="21">
        <f t="shared" si="4"/>
        <v>349</v>
      </c>
      <c r="Z46" s="6">
        <f t="shared" si="5"/>
        <v>0.23782234957020054</v>
      </c>
      <c r="AA46" s="4">
        <v>0.5</v>
      </c>
      <c r="AB46" s="4">
        <f t="shared" si="6"/>
        <v>500</v>
      </c>
      <c r="AC46" s="4">
        <f t="shared" si="17"/>
        <v>542.85714285714278</v>
      </c>
      <c r="AD46" s="6">
        <f t="shared" si="18"/>
        <v>0.51</v>
      </c>
      <c r="AE46" s="4">
        <f t="shared" si="19"/>
        <v>361</v>
      </c>
      <c r="AF46" s="7">
        <v>361</v>
      </c>
      <c r="AG46" s="6">
        <f t="shared" si="7"/>
        <v>0.26315789473684215</v>
      </c>
      <c r="AH46" s="4">
        <f t="shared" si="8"/>
        <v>95</v>
      </c>
      <c r="AI46" s="28"/>
      <c r="AJ46" s="6"/>
      <c r="AK46" s="6"/>
      <c r="AL46" s="6">
        <f t="shared" si="9"/>
        <v>1.0857142857142856</v>
      </c>
      <c r="AM46" s="6">
        <f t="shared" si="10"/>
        <v>1.1246105919003115</v>
      </c>
      <c r="AN46" s="6">
        <f t="shared" si="11"/>
        <v>1.0857142857142856</v>
      </c>
      <c r="AO46" s="4" t="str">
        <f t="shared" si="12"/>
        <v>-</v>
      </c>
      <c r="AP46" s="4" t="str">
        <f t="shared" si="13"/>
        <v>-</v>
      </c>
      <c r="AQ46" s="4" t="str">
        <f t="shared" si="14"/>
        <v>-</v>
      </c>
      <c r="AR46" s="4">
        <v>0</v>
      </c>
      <c r="AS46" s="4" t="s">
        <v>2060</v>
      </c>
      <c r="AT46" s="4"/>
      <c r="AU46" s="4"/>
      <c r="AV46" s="4" t="s">
        <v>2061</v>
      </c>
      <c r="AW46" s="4">
        <v>500</v>
      </c>
      <c r="AX46" s="4">
        <v>500</v>
      </c>
      <c r="AY46" s="4">
        <v>500</v>
      </c>
      <c r="AZ46" s="4">
        <f t="shared" si="15"/>
        <v>500</v>
      </c>
      <c r="BA46" s="19">
        <v>4</v>
      </c>
      <c r="BB46" s="19">
        <v>1</v>
      </c>
      <c r="BC46" s="16">
        <v>19</v>
      </c>
      <c r="BD46" t="s">
        <v>1280</v>
      </c>
      <c r="BE46" t="s">
        <v>1280</v>
      </c>
      <c r="BF46" t="s">
        <v>1280</v>
      </c>
      <c r="BG46" t="str">
        <f t="shared" si="20"/>
        <v>-</v>
      </c>
      <c r="BH46" t="s">
        <v>1280</v>
      </c>
      <c r="BI46" t="s">
        <v>1280</v>
      </c>
      <c r="BJ46" t="s">
        <v>1280</v>
      </c>
      <c r="BK46" t="str">
        <f t="shared" si="21"/>
        <v>-</v>
      </c>
      <c r="BL46" t="s">
        <v>1566</v>
      </c>
      <c r="BM46">
        <v>812</v>
      </c>
    </row>
    <row r="47" spans="1:65" x14ac:dyDescent="0.4">
      <c r="A47" s="3">
        <v>89</v>
      </c>
      <c r="B47" s="3">
        <v>89</v>
      </c>
      <c r="C47" s="4" t="s">
        <v>78</v>
      </c>
      <c r="D47" s="4" t="str">
        <f t="shared" si="0"/>
        <v>J0847T</v>
      </c>
      <c r="E47" s="4" t="s">
        <v>78</v>
      </c>
      <c r="F47" s="4" t="str">
        <f t="shared" si="16"/>
        <v>J0847T5</v>
      </c>
      <c r="G47" s="4" t="s">
        <v>724</v>
      </c>
      <c r="H47" s="5">
        <v>4974268035455</v>
      </c>
      <c r="I47" s="5">
        <v>5</v>
      </c>
      <c r="J47" s="5"/>
      <c r="K47" s="5">
        <v>1</v>
      </c>
      <c r="L47" s="5">
        <v>1</v>
      </c>
      <c r="M47" s="4">
        <v>420</v>
      </c>
      <c r="N47" s="4">
        <v>380</v>
      </c>
      <c r="O47" s="4">
        <v>252</v>
      </c>
      <c r="P47" s="6">
        <f t="shared" si="1"/>
        <v>0.33684210526315794</v>
      </c>
      <c r="Q47" s="4" t="s">
        <v>1280</v>
      </c>
      <c r="R47" s="4" t="s">
        <v>1280</v>
      </c>
      <c r="S47" s="4" t="s">
        <v>1280</v>
      </c>
      <c r="T47" s="4">
        <v>450</v>
      </c>
      <c r="U47" s="4">
        <f t="shared" si="2"/>
        <v>450</v>
      </c>
      <c r="V47" s="4">
        <v>270</v>
      </c>
      <c r="W47" s="4">
        <f t="shared" si="3"/>
        <v>270</v>
      </c>
      <c r="X47" s="4"/>
      <c r="Y47" s="21">
        <f t="shared" si="4"/>
        <v>407</v>
      </c>
      <c r="Z47" s="6">
        <f t="shared" si="5"/>
        <v>0.33660933660933656</v>
      </c>
      <c r="AA47" s="4">
        <v>0.25</v>
      </c>
      <c r="AB47" s="4">
        <f t="shared" si="6"/>
        <v>400</v>
      </c>
      <c r="AC47" s="4">
        <f t="shared" si="17"/>
        <v>428.57142857142856</v>
      </c>
      <c r="AD47" s="6">
        <f t="shared" si="18"/>
        <v>0.37</v>
      </c>
      <c r="AE47" s="4">
        <f t="shared" si="19"/>
        <v>427.5</v>
      </c>
      <c r="AF47" s="7">
        <v>375</v>
      </c>
      <c r="AG47" s="6">
        <f t="shared" si="7"/>
        <v>0.28000000000000003</v>
      </c>
      <c r="AH47" s="4">
        <f t="shared" si="8"/>
        <v>105</v>
      </c>
      <c r="AI47" s="28"/>
      <c r="AJ47" s="6"/>
      <c r="AK47" s="6"/>
      <c r="AL47" s="6">
        <f t="shared" si="9"/>
        <v>1.0714285714285714</v>
      </c>
      <c r="AM47" s="6">
        <f t="shared" si="10"/>
        <v>0.98684210526315785</v>
      </c>
      <c r="AN47" s="6">
        <f t="shared" si="11"/>
        <v>1.0714285714285714</v>
      </c>
      <c r="AO47" s="4" t="str">
        <f t="shared" si="12"/>
        <v>-</v>
      </c>
      <c r="AP47" s="4" t="str">
        <f t="shared" si="13"/>
        <v>-</v>
      </c>
      <c r="AQ47" s="4" t="str">
        <f t="shared" si="14"/>
        <v>-</v>
      </c>
      <c r="AR47" s="4">
        <v>0</v>
      </c>
      <c r="AS47" s="4" t="s">
        <v>1773</v>
      </c>
      <c r="AT47" s="4"/>
      <c r="AU47" s="4"/>
      <c r="AV47" s="4" t="s">
        <v>1774</v>
      </c>
      <c r="AW47" s="4">
        <v>400</v>
      </c>
      <c r="AX47" s="4">
        <v>400</v>
      </c>
      <c r="AY47" s="4">
        <v>400</v>
      </c>
      <c r="AZ47" s="4">
        <f t="shared" si="15"/>
        <v>400</v>
      </c>
      <c r="BA47" s="19">
        <v>4</v>
      </c>
      <c r="BB47" s="19">
        <v>1</v>
      </c>
      <c r="BC47" s="16">
        <v>19</v>
      </c>
      <c r="BD47">
        <v>318</v>
      </c>
      <c r="BE47">
        <v>318</v>
      </c>
      <c r="BF47">
        <v>318</v>
      </c>
      <c r="BG47">
        <f t="shared" si="20"/>
        <v>340.71428571428572</v>
      </c>
      <c r="BH47">
        <v>350</v>
      </c>
      <c r="BI47">
        <v>350</v>
      </c>
      <c r="BJ47">
        <v>350</v>
      </c>
      <c r="BK47">
        <f t="shared" si="21"/>
        <v>375</v>
      </c>
      <c r="BL47" t="s">
        <v>1349</v>
      </c>
      <c r="BM47">
        <v>812</v>
      </c>
    </row>
    <row r="48" spans="1:65" x14ac:dyDescent="0.4">
      <c r="A48" s="3">
        <v>92</v>
      </c>
      <c r="B48" s="3">
        <v>92</v>
      </c>
      <c r="C48" s="4" t="s">
        <v>81</v>
      </c>
      <c r="D48" s="4" t="str">
        <f t="shared" si="0"/>
        <v>J0848T</v>
      </c>
      <c r="E48" s="4" t="s">
        <v>81</v>
      </c>
      <c r="F48" s="4" t="str">
        <f t="shared" si="16"/>
        <v>J0848T5</v>
      </c>
      <c r="G48" s="4" t="s">
        <v>727</v>
      </c>
      <c r="H48" s="5">
        <v>4974268035462</v>
      </c>
      <c r="I48" s="5">
        <v>5</v>
      </c>
      <c r="J48" s="5"/>
      <c r="K48" s="5">
        <v>1</v>
      </c>
      <c r="L48" s="5">
        <v>1</v>
      </c>
      <c r="M48" s="4">
        <v>420</v>
      </c>
      <c r="N48" s="4">
        <v>380</v>
      </c>
      <c r="O48" s="4">
        <v>252</v>
      </c>
      <c r="P48" s="6">
        <f t="shared" si="1"/>
        <v>0.33684210526315794</v>
      </c>
      <c r="Q48" s="4" t="s">
        <v>1280</v>
      </c>
      <c r="R48" s="4" t="s">
        <v>1280</v>
      </c>
      <c r="S48" s="4" t="s">
        <v>1280</v>
      </c>
      <c r="T48" s="4">
        <v>450</v>
      </c>
      <c r="U48" s="4">
        <f t="shared" si="2"/>
        <v>450</v>
      </c>
      <c r="V48" s="4">
        <v>270</v>
      </c>
      <c r="W48" s="4">
        <f t="shared" si="3"/>
        <v>270</v>
      </c>
      <c r="X48" s="4"/>
      <c r="Y48" s="21">
        <f t="shared" si="4"/>
        <v>407</v>
      </c>
      <c r="Z48" s="6">
        <f t="shared" si="5"/>
        <v>0.33660933660933656</v>
      </c>
      <c r="AA48" s="4">
        <v>0</v>
      </c>
      <c r="AB48" s="4">
        <f t="shared" si="6"/>
        <v>365</v>
      </c>
      <c r="AC48" s="4">
        <f t="shared" si="17"/>
        <v>391.07142857142856</v>
      </c>
      <c r="AD48" s="6">
        <f t="shared" si="18"/>
        <v>0.30958904109589036</v>
      </c>
      <c r="AE48" s="4">
        <f t="shared" si="19"/>
        <v>427.5</v>
      </c>
      <c r="AF48" s="7">
        <v>375</v>
      </c>
      <c r="AG48" s="6">
        <f t="shared" si="7"/>
        <v>0.28000000000000003</v>
      </c>
      <c r="AH48" s="4">
        <f t="shared" si="8"/>
        <v>105</v>
      </c>
      <c r="AI48" s="28"/>
      <c r="AJ48" s="6"/>
      <c r="AK48" s="6"/>
      <c r="AL48" s="6">
        <f t="shared" si="9"/>
        <v>1.0714285714285714</v>
      </c>
      <c r="AM48" s="6">
        <f t="shared" si="10"/>
        <v>0.98684210526315785</v>
      </c>
      <c r="AN48" s="6">
        <f t="shared" si="11"/>
        <v>1.0714285714285714</v>
      </c>
      <c r="AO48" s="4" t="str">
        <f t="shared" si="12"/>
        <v>-</v>
      </c>
      <c r="AP48" s="4" t="str">
        <f t="shared" si="13"/>
        <v>-</v>
      </c>
      <c r="AQ48" s="4" t="str">
        <f t="shared" si="14"/>
        <v>-</v>
      </c>
      <c r="AR48" s="4">
        <v>0</v>
      </c>
      <c r="AS48" s="4" t="s">
        <v>1777</v>
      </c>
      <c r="AT48" s="4"/>
      <c r="AU48" s="4"/>
      <c r="AV48" s="4" t="s">
        <v>1774</v>
      </c>
      <c r="AW48" s="4">
        <v>365</v>
      </c>
      <c r="AX48" s="4">
        <v>365</v>
      </c>
      <c r="AY48" s="4">
        <v>365</v>
      </c>
      <c r="AZ48" s="4">
        <f t="shared" si="15"/>
        <v>365</v>
      </c>
      <c r="BA48" s="19">
        <v>4</v>
      </c>
      <c r="BB48" s="19">
        <v>1</v>
      </c>
      <c r="BC48" s="16">
        <v>19</v>
      </c>
      <c r="BD48">
        <v>318</v>
      </c>
      <c r="BE48">
        <v>318</v>
      </c>
      <c r="BF48" t="s">
        <v>1280</v>
      </c>
      <c r="BG48" t="str">
        <f t="shared" si="20"/>
        <v>-</v>
      </c>
      <c r="BH48" t="s">
        <v>1280</v>
      </c>
      <c r="BI48" t="s">
        <v>1280</v>
      </c>
      <c r="BJ48" t="s">
        <v>1280</v>
      </c>
      <c r="BK48" t="str">
        <f t="shared" si="21"/>
        <v>-</v>
      </c>
      <c r="BL48" t="s">
        <v>1352</v>
      </c>
      <c r="BM48">
        <v>812</v>
      </c>
    </row>
    <row r="49" spans="1:65" x14ac:dyDescent="0.4">
      <c r="A49" s="3">
        <v>156</v>
      </c>
      <c r="B49" s="3">
        <v>156</v>
      </c>
      <c r="C49" s="4" t="s">
        <v>145</v>
      </c>
      <c r="D49" s="4" t="str">
        <f t="shared" si="0"/>
        <v>J2128Y</v>
      </c>
      <c r="E49" s="4" t="s">
        <v>145</v>
      </c>
      <c r="F49" s="4" t="str">
        <f t="shared" si="16"/>
        <v>J2128Y5</v>
      </c>
      <c r="G49" s="4" t="s">
        <v>791</v>
      </c>
      <c r="H49" s="5">
        <v>4974268572417</v>
      </c>
      <c r="I49" s="5">
        <v>5</v>
      </c>
      <c r="J49" s="5"/>
      <c r="K49" s="5">
        <v>1</v>
      </c>
      <c r="L49" s="5">
        <v>1</v>
      </c>
      <c r="M49" s="4">
        <v>400</v>
      </c>
      <c r="N49" s="4">
        <v>288</v>
      </c>
      <c r="O49" s="4">
        <v>240</v>
      </c>
      <c r="P49" s="6">
        <f t="shared" si="1"/>
        <v>0.16666666666666663</v>
      </c>
      <c r="Q49" s="4" t="s">
        <v>1280</v>
      </c>
      <c r="R49" s="4" t="s">
        <v>1280</v>
      </c>
      <c r="S49" s="4" t="s">
        <v>1280</v>
      </c>
      <c r="T49" s="4">
        <v>450</v>
      </c>
      <c r="U49" s="4">
        <f t="shared" si="2"/>
        <v>450</v>
      </c>
      <c r="V49" s="4">
        <v>270</v>
      </c>
      <c r="W49" s="4">
        <f t="shared" si="3"/>
        <v>270</v>
      </c>
      <c r="X49" s="4"/>
      <c r="Y49" s="21">
        <f t="shared" si="4"/>
        <v>324</v>
      </c>
      <c r="Z49" s="6">
        <f t="shared" si="5"/>
        <v>0.16666666666666663</v>
      </c>
      <c r="AA49" s="4">
        <v>0.5</v>
      </c>
      <c r="AB49" s="4" t="str">
        <f t="shared" si="6"/>
        <v>-</v>
      </c>
      <c r="AC49" s="4" t="str">
        <f t="shared" si="17"/>
        <v>-</v>
      </c>
      <c r="AD49" s="6" t="str">
        <f t="shared" si="18"/>
        <v>-</v>
      </c>
      <c r="AE49" s="4">
        <f t="shared" si="19"/>
        <v>427.5</v>
      </c>
      <c r="AF49" s="7">
        <v>420</v>
      </c>
      <c r="AG49" s="6">
        <f t="shared" si="7"/>
        <v>0.3571428571428571</v>
      </c>
      <c r="AH49" s="4">
        <f t="shared" si="8"/>
        <v>150</v>
      </c>
      <c r="AI49" s="28"/>
      <c r="AJ49" s="6"/>
      <c r="AK49" s="6"/>
      <c r="AL49" s="6">
        <f t="shared" si="9"/>
        <v>1.125</v>
      </c>
      <c r="AM49" s="6">
        <f t="shared" si="10"/>
        <v>1.4583333333333333</v>
      </c>
      <c r="AN49" s="6">
        <f t="shared" si="11"/>
        <v>1.125</v>
      </c>
      <c r="AO49" s="4" t="str">
        <f t="shared" si="12"/>
        <v>-</v>
      </c>
      <c r="AP49" s="4" t="str">
        <f t="shared" si="13"/>
        <v>-</v>
      </c>
      <c r="AQ49" s="4" t="str">
        <f t="shared" si="14"/>
        <v>-</v>
      </c>
      <c r="AR49" s="4">
        <v>0</v>
      </c>
      <c r="AS49" s="4" t="s">
        <v>1280</v>
      </c>
      <c r="AT49" s="4"/>
      <c r="AU49" s="4"/>
      <c r="AV49" s="4" t="s">
        <v>1280</v>
      </c>
      <c r="AW49" s="4" t="s">
        <v>1280</v>
      </c>
      <c r="AX49" s="4" t="s">
        <v>1280</v>
      </c>
      <c r="AY49" s="4" t="s">
        <v>1280</v>
      </c>
      <c r="AZ49" s="4" t="str">
        <f t="shared" si="15"/>
        <v>-</v>
      </c>
      <c r="BA49" s="19">
        <v>4</v>
      </c>
      <c r="BB49" s="19">
        <v>1</v>
      </c>
      <c r="BC49" s="16">
        <v>18</v>
      </c>
      <c r="BD49" t="s">
        <v>1280</v>
      </c>
      <c r="BE49" t="s">
        <v>1280</v>
      </c>
      <c r="BF49" t="s">
        <v>1280</v>
      </c>
      <c r="BG49" t="str">
        <f t="shared" si="20"/>
        <v>-</v>
      </c>
      <c r="BH49" t="s">
        <v>1280</v>
      </c>
      <c r="BI49" t="s">
        <v>1280</v>
      </c>
      <c r="BJ49" t="s">
        <v>1280</v>
      </c>
      <c r="BK49" t="str">
        <f t="shared" si="21"/>
        <v>-</v>
      </c>
      <c r="BL49" t="s">
        <v>1280</v>
      </c>
      <c r="BM49">
        <v>812</v>
      </c>
    </row>
    <row r="50" spans="1:65" x14ac:dyDescent="0.4">
      <c r="A50" s="3">
        <v>158</v>
      </c>
      <c r="B50" s="3">
        <v>158</v>
      </c>
      <c r="C50" s="4" t="s">
        <v>147</v>
      </c>
      <c r="D50" s="4" t="str">
        <f t="shared" si="0"/>
        <v>J2130Y</v>
      </c>
      <c r="E50" s="4" t="s">
        <v>147</v>
      </c>
      <c r="F50" s="4" t="str">
        <f t="shared" si="16"/>
        <v>J2130Y5</v>
      </c>
      <c r="G50" s="4" t="s">
        <v>793</v>
      </c>
      <c r="H50" s="5">
        <v>4974268572424</v>
      </c>
      <c r="I50" s="5">
        <v>5</v>
      </c>
      <c r="J50" s="5"/>
      <c r="K50" s="5">
        <v>1</v>
      </c>
      <c r="L50" s="5">
        <v>1</v>
      </c>
      <c r="M50" s="4">
        <v>400</v>
      </c>
      <c r="N50" s="4">
        <v>354</v>
      </c>
      <c r="O50" s="4">
        <v>240</v>
      </c>
      <c r="P50" s="6">
        <f t="shared" si="1"/>
        <v>0.32203389830508478</v>
      </c>
      <c r="Q50" s="4" t="s">
        <v>1280</v>
      </c>
      <c r="R50" s="4" t="s">
        <v>1280</v>
      </c>
      <c r="S50" s="4" t="s">
        <v>1280</v>
      </c>
      <c r="T50" s="4">
        <v>450</v>
      </c>
      <c r="U50" s="4">
        <f t="shared" si="2"/>
        <v>450</v>
      </c>
      <c r="V50" s="4">
        <v>270</v>
      </c>
      <c r="W50" s="4">
        <f t="shared" si="3"/>
        <v>270</v>
      </c>
      <c r="X50" s="4"/>
      <c r="Y50" s="21">
        <f t="shared" si="4"/>
        <v>398</v>
      </c>
      <c r="Z50" s="6">
        <f t="shared" si="5"/>
        <v>0.32160804020100497</v>
      </c>
      <c r="AA50" s="4">
        <v>0.5</v>
      </c>
      <c r="AB50" s="4" t="str">
        <f t="shared" si="6"/>
        <v>-</v>
      </c>
      <c r="AC50" s="4" t="str">
        <f t="shared" si="17"/>
        <v>-</v>
      </c>
      <c r="AD50" s="6" t="str">
        <f t="shared" si="18"/>
        <v>-</v>
      </c>
      <c r="AE50" s="4">
        <f t="shared" si="19"/>
        <v>427.5</v>
      </c>
      <c r="AF50" s="7">
        <v>420</v>
      </c>
      <c r="AG50" s="6">
        <f t="shared" si="7"/>
        <v>0.3571428571428571</v>
      </c>
      <c r="AH50" s="4">
        <f t="shared" si="8"/>
        <v>150</v>
      </c>
      <c r="AI50" s="28"/>
      <c r="AJ50" s="6"/>
      <c r="AK50" s="6"/>
      <c r="AL50" s="6">
        <f t="shared" si="9"/>
        <v>1.125</v>
      </c>
      <c r="AM50" s="6">
        <f t="shared" si="10"/>
        <v>1.1864406779661016</v>
      </c>
      <c r="AN50" s="6">
        <f t="shared" si="11"/>
        <v>1.125</v>
      </c>
      <c r="AO50" s="4" t="str">
        <f t="shared" si="12"/>
        <v>-</v>
      </c>
      <c r="AP50" s="4" t="str">
        <f t="shared" si="13"/>
        <v>-</v>
      </c>
      <c r="AQ50" s="4" t="str">
        <f t="shared" si="14"/>
        <v>-</v>
      </c>
      <c r="AR50" s="4">
        <v>0</v>
      </c>
      <c r="AS50" s="4" t="s">
        <v>1280</v>
      </c>
      <c r="AT50" s="4"/>
      <c r="AU50" s="4"/>
      <c r="AV50" s="4" t="s">
        <v>1280</v>
      </c>
      <c r="AW50" s="4" t="s">
        <v>1280</v>
      </c>
      <c r="AX50" s="4" t="s">
        <v>1280</v>
      </c>
      <c r="AY50" s="4" t="s">
        <v>1280</v>
      </c>
      <c r="AZ50" s="4" t="str">
        <f t="shared" si="15"/>
        <v>-</v>
      </c>
      <c r="BA50" s="19">
        <v>4</v>
      </c>
      <c r="BB50" s="19">
        <v>1</v>
      </c>
      <c r="BC50" s="16">
        <v>18</v>
      </c>
      <c r="BD50" t="s">
        <v>1280</v>
      </c>
      <c r="BE50" t="s">
        <v>1280</v>
      </c>
      <c r="BF50" t="s">
        <v>1280</v>
      </c>
      <c r="BG50" t="str">
        <f t="shared" si="20"/>
        <v>-</v>
      </c>
      <c r="BH50" t="s">
        <v>1280</v>
      </c>
      <c r="BI50" t="s">
        <v>1280</v>
      </c>
      <c r="BJ50" t="s">
        <v>1280</v>
      </c>
      <c r="BK50" t="str">
        <f t="shared" si="21"/>
        <v>-</v>
      </c>
      <c r="BL50" t="s">
        <v>1280</v>
      </c>
      <c r="BM50">
        <v>812</v>
      </c>
    </row>
    <row r="51" spans="1:65" x14ac:dyDescent="0.4">
      <c r="A51" s="3">
        <v>169</v>
      </c>
      <c r="B51" s="3">
        <v>169</v>
      </c>
      <c r="C51" s="4" t="s">
        <v>158</v>
      </c>
      <c r="D51" s="4" t="str">
        <f t="shared" si="0"/>
        <v>J2920X</v>
      </c>
      <c r="E51" s="4" t="s">
        <v>158</v>
      </c>
      <c r="F51" s="4" t="str">
        <f t="shared" si="16"/>
        <v>J2920X5</v>
      </c>
      <c r="G51" s="4" t="s">
        <v>804</v>
      </c>
      <c r="H51" s="5">
        <v>4974268572431</v>
      </c>
      <c r="I51" s="5">
        <v>5</v>
      </c>
      <c r="J51" s="5"/>
      <c r="K51" s="5">
        <v>1</v>
      </c>
      <c r="L51" s="5">
        <v>1</v>
      </c>
      <c r="M51" s="4">
        <v>400</v>
      </c>
      <c r="N51" s="4">
        <v>264</v>
      </c>
      <c r="O51" s="4">
        <v>240</v>
      </c>
      <c r="P51" s="6">
        <f t="shared" si="1"/>
        <v>9.0909090909090939E-2</v>
      </c>
      <c r="Q51" s="4" t="s">
        <v>1280</v>
      </c>
      <c r="R51" s="4" t="s">
        <v>1280</v>
      </c>
      <c r="S51" s="4" t="s">
        <v>1280</v>
      </c>
      <c r="T51" s="4">
        <v>450</v>
      </c>
      <c r="U51" s="4">
        <f t="shared" si="2"/>
        <v>450</v>
      </c>
      <c r="V51" s="4">
        <v>270</v>
      </c>
      <c r="W51" s="4">
        <f t="shared" si="3"/>
        <v>270</v>
      </c>
      <c r="X51" s="4"/>
      <c r="Y51" s="21">
        <f t="shared" si="4"/>
        <v>297</v>
      </c>
      <c r="Z51" s="6">
        <f t="shared" si="5"/>
        <v>9.0909090909090939E-2</v>
      </c>
      <c r="AA51" s="4">
        <v>0.25</v>
      </c>
      <c r="AB51" s="4" t="str">
        <f t="shared" si="6"/>
        <v>-</v>
      </c>
      <c r="AC51" s="4" t="str">
        <f t="shared" si="17"/>
        <v>-</v>
      </c>
      <c r="AD51" s="6" t="str">
        <f t="shared" si="18"/>
        <v>-</v>
      </c>
      <c r="AE51" s="4">
        <f t="shared" si="19"/>
        <v>427.5</v>
      </c>
      <c r="AF51" s="7">
        <v>420</v>
      </c>
      <c r="AG51" s="6">
        <f t="shared" si="7"/>
        <v>0.3571428571428571</v>
      </c>
      <c r="AH51" s="4">
        <f t="shared" si="8"/>
        <v>150</v>
      </c>
      <c r="AI51" s="28"/>
      <c r="AJ51" s="6"/>
      <c r="AK51" s="6"/>
      <c r="AL51" s="6">
        <f t="shared" si="9"/>
        <v>1.125</v>
      </c>
      <c r="AM51" s="6">
        <f t="shared" si="10"/>
        <v>1.5909090909090908</v>
      </c>
      <c r="AN51" s="6">
        <f t="shared" si="11"/>
        <v>1.125</v>
      </c>
      <c r="AO51" s="4" t="str">
        <f t="shared" si="12"/>
        <v>-</v>
      </c>
      <c r="AP51" s="4" t="str">
        <f t="shared" si="13"/>
        <v>-</v>
      </c>
      <c r="AQ51" s="4" t="str">
        <f t="shared" si="14"/>
        <v>-</v>
      </c>
      <c r="AR51" s="4">
        <v>0</v>
      </c>
      <c r="AS51" s="4" t="s">
        <v>1280</v>
      </c>
      <c r="AT51" s="4"/>
      <c r="AU51" s="4"/>
      <c r="AV51" s="4" t="s">
        <v>1280</v>
      </c>
      <c r="AW51" s="4" t="s">
        <v>1280</v>
      </c>
      <c r="AX51" s="4" t="s">
        <v>1280</v>
      </c>
      <c r="AY51" s="4" t="s">
        <v>1280</v>
      </c>
      <c r="AZ51" s="4" t="str">
        <f t="shared" si="15"/>
        <v>-</v>
      </c>
      <c r="BA51" s="19">
        <v>4</v>
      </c>
      <c r="BB51" s="19">
        <v>1</v>
      </c>
      <c r="BC51" s="16">
        <v>18</v>
      </c>
      <c r="BD51" t="s">
        <v>1280</v>
      </c>
      <c r="BE51" t="s">
        <v>1280</v>
      </c>
      <c r="BF51" t="s">
        <v>1280</v>
      </c>
      <c r="BG51" t="str">
        <f t="shared" si="20"/>
        <v>-</v>
      </c>
      <c r="BH51" t="s">
        <v>1280</v>
      </c>
      <c r="BI51" t="s">
        <v>1280</v>
      </c>
      <c r="BJ51" t="s">
        <v>1280</v>
      </c>
      <c r="BK51" t="str">
        <f t="shared" si="21"/>
        <v>-</v>
      </c>
      <c r="BL51" t="s">
        <v>1280</v>
      </c>
      <c r="BM51">
        <v>812</v>
      </c>
    </row>
    <row r="52" spans="1:65" x14ac:dyDescent="0.4">
      <c r="A52" s="3">
        <v>171</v>
      </c>
      <c r="B52" s="3">
        <v>171</v>
      </c>
      <c r="C52" s="4" t="s">
        <v>160</v>
      </c>
      <c r="D52" s="4" t="str">
        <f t="shared" si="0"/>
        <v>J2922X</v>
      </c>
      <c r="E52" s="4" t="s">
        <v>160</v>
      </c>
      <c r="F52" s="4" t="str">
        <f t="shared" si="16"/>
        <v>J2922X5</v>
      </c>
      <c r="G52" s="4" t="s">
        <v>806</v>
      </c>
      <c r="H52" s="5">
        <v>4974268572448</v>
      </c>
      <c r="I52" s="5">
        <v>5</v>
      </c>
      <c r="J52" s="5"/>
      <c r="K52" s="5">
        <v>1</v>
      </c>
      <c r="L52" s="5">
        <v>1</v>
      </c>
      <c r="M52" s="4">
        <v>400</v>
      </c>
      <c r="N52" s="4">
        <v>331</v>
      </c>
      <c r="O52" s="4">
        <v>240</v>
      </c>
      <c r="P52" s="6">
        <f t="shared" si="1"/>
        <v>0.2749244712990937</v>
      </c>
      <c r="Q52" s="4" t="s">
        <v>1280</v>
      </c>
      <c r="R52" s="4" t="s">
        <v>1280</v>
      </c>
      <c r="S52" s="4" t="s">
        <v>1280</v>
      </c>
      <c r="T52" s="4">
        <v>450</v>
      </c>
      <c r="U52" s="4">
        <f t="shared" si="2"/>
        <v>450</v>
      </c>
      <c r="V52" s="4">
        <v>270</v>
      </c>
      <c r="W52" s="4">
        <f t="shared" si="3"/>
        <v>270</v>
      </c>
      <c r="X52" s="4"/>
      <c r="Y52" s="21">
        <f t="shared" si="4"/>
        <v>372</v>
      </c>
      <c r="Z52" s="6">
        <f t="shared" si="5"/>
        <v>0.27419354838709675</v>
      </c>
      <c r="AA52" s="4">
        <v>0.25</v>
      </c>
      <c r="AB52" s="4" t="str">
        <f t="shared" si="6"/>
        <v>-</v>
      </c>
      <c r="AC52" s="4" t="str">
        <f t="shared" si="17"/>
        <v>-</v>
      </c>
      <c r="AD52" s="6" t="str">
        <f t="shared" si="18"/>
        <v>-</v>
      </c>
      <c r="AE52" s="4">
        <f t="shared" si="19"/>
        <v>427.5</v>
      </c>
      <c r="AF52" s="7">
        <v>420</v>
      </c>
      <c r="AG52" s="6">
        <f t="shared" si="7"/>
        <v>0.3571428571428571</v>
      </c>
      <c r="AH52" s="4">
        <f t="shared" si="8"/>
        <v>150</v>
      </c>
      <c r="AI52" s="28"/>
      <c r="AJ52" s="6"/>
      <c r="AK52" s="6"/>
      <c r="AL52" s="6">
        <f t="shared" si="9"/>
        <v>1.125</v>
      </c>
      <c r="AM52" s="6">
        <f t="shared" si="10"/>
        <v>1.2688821752265862</v>
      </c>
      <c r="AN52" s="6">
        <f t="shared" si="11"/>
        <v>1.125</v>
      </c>
      <c r="AO52" s="4" t="str">
        <f t="shared" si="12"/>
        <v>-</v>
      </c>
      <c r="AP52" s="4" t="str">
        <f t="shared" si="13"/>
        <v>-</v>
      </c>
      <c r="AQ52" s="4" t="str">
        <f t="shared" si="14"/>
        <v>-</v>
      </c>
      <c r="AR52" s="4">
        <v>0</v>
      </c>
      <c r="AS52" s="4" t="s">
        <v>1280</v>
      </c>
      <c r="AT52" s="4"/>
      <c r="AU52" s="4"/>
      <c r="AV52" s="4" t="s">
        <v>1280</v>
      </c>
      <c r="AW52" s="4" t="s">
        <v>1280</v>
      </c>
      <c r="AX52" s="4" t="s">
        <v>1280</v>
      </c>
      <c r="AY52" s="4" t="s">
        <v>1280</v>
      </c>
      <c r="AZ52" s="4" t="str">
        <f t="shared" si="15"/>
        <v>-</v>
      </c>
      <c r="BA52" s="19">
        <v>4</v>
      </c>
      <c r="BB52" s="19">
        <v>1</v>
      </c>
      <c r="BC52" s="16">
        <v>18</v>
      </c>
      <c r="BD52" t="s">
        <v>1280</v>
      </c>
      <c r="BE52" t="s">
        <v>1280</v>
      </c>
      <c r="BF52" t="s">
        <v>1280</v>
      </c>
      <c r="BG52" t="str">
        <f t="shared" si="20"/>
        <v>-</v>
      </c>
      <c r="BH52" t="s">
        <v>1280</v>
      </c>
      <c r="BI52" t="s">
        <v>1280</v>
      </c>
      <c r="BJ52" t="s">
        <v>1280</v>
      </c>
      <c r="BK52" t="str">
        <f t="shared" si="21"/>
        <v>-</v>
      </c>
      <c r="BL52" t="s">
        <v>1280</v>
      </c>
      <c r="BM52">
        <v>812</v>
      </c>
    </row>
    <row r="53" spans="1:65" x14ac:dyDescent="0.4">
      <c r="A53" s="3">
        <v>214</v>
      </c>
      <c r="B53" s="3">
        <v>214</v>
      </c>
      <c r="C53" s="4" t="s">
        <v>203</v>
      </c>
      <c r="D53" s="4" t="str">
        <f t="shared" si="0"/>
        <v>J3078N</v>
      </c>
      <c r="E53" s="4" t="s">
        <v>203</v>
      </c>
      <c r="F53" s="4" t="str">
        <f t="shared" si="16"/>
        <v>J3078N5</v>
      </c>
      <c r="G53" s="4" t="s">
        <v>849</v>
      </c>
      <c r="H53" s="5">
        <v>4974268572288</v>
      </c>
      <c r="I53" s="5">
        <v>5</v>
      </c>
      <c r="J53" s="5"/>
      <c r="K53" s="5">
        <v>1</v>
      </c>
      <c r="L53" s="5">
        <v>1</v>
      </c>
      <c r="M53" s="4">
        <v>400</v>
      </c>
      <c r="N53" s="4">
        <v>314</v>
      </c>
      <c r="O53" s="4">
        <v>240</v>
      </c>
      <c r="P53" s="6">
        <f t="shared" si="1"/>
        <v>0.23566878980891715</v>
      </c>
      <c r="Q53" s="4" t="s">
        <v>1280</v>
      </c>
      <c r="R53" s="4" t="s">
        <v>1280</v>
      </c>
      <c r="S53" s="4" t="s">
        <v>1280</v>
      </c>
      <c r="T53" s="4">
        <v>450</v>
      </c>
      <c r="U53" s="4">
        <f t="shared" si="2"/>
        <v>450</v>
      </c>
      <c r="V53" s="4">
        <v>270</v>
      </c>
      <c r="W53" s="4">
        <f t="shared" si="3"/>
        <v>270</v>
      </c>
      <c r="X53" s="4"/>
      <c r="Y53" s="21">
        <f t="shared" si="4"/>
        <v>353</v>
      </c>
      <c r="Z53" s="6">
        <f t="shared" si="5"/>
        <v>0.23512747875354112</v>
      </c>
      <c r="AA53" s="4">
        <v>0.25</v>
      </c>
      <c r="AB53" s="4" t="str">
        <f t="shared" si="6"/>
        <v>-</v>
      </c>
      <c r="AC53" s="4" t="str">
        <f t="shared" si="17"/>
        <v>-</v>
      </c>
      <c r="AD53" s="6" t="str">
        <f t="shared" si="18"/>
        <v>-</v>
      </c>
      <c r="AE53" s="4">
        <f t="shared" si="19"/>
        <v>427.5</v>
      </c>
      <c r="AF53" s="7">
        <v>420</v>
      </c>
      <c r="AG53" s="6">
        <f t="shared" si="7"/>
        <v>0.3571428571428571</v>
      </c>
      <c r="AH53" s="4">
        <f t="shared" si="8"/>
        <v>150</v>
      </c>
      <c r="AI53" s="28"/>
      <c r="AJ53" s="6"/>
      <c r="AK53" s="6"/>
      <c r="AL53" s="6">
        <f t="shared" si="9"/>
        <v>1.125</v>
      </c>
      <c r="AM53" s="6">
        <f t="shared" si="10"/>
        <v>1.3375796178343948</v>
      </c>
      <c r="AN53" s="6">
        <f t="shared" si="11"/>
        <v>1.125</v>
      </c>
      <c r="AO53" s="4" t="str">
        <f t="shared" si="12"/>
        <v>-</v>
      </c>
      <c r="AP53" s="4" t="str">
        <f t="shared" si="13"/>
        <v>-</v>
      </c>
      <c r="AQ53" s="4" t="str">
        <f t="shared" si="14"/>
        <v>-</v>
      </c>
      <c r="AR53" s="4">
        <v>0</v>
      </c>
      <c r="AS53" s="4" t="s">
        <v>1280</v>
      </c>
      <c r="AT53" s="4"/>
      <c r="AU53" s="4"/>
      <c r="AV53" s="4" t="s">
        <v>1280</v>
      </c>
      <c r="AW53" s="4" t="s">
        <v>1280</v>
      </c>
      <c r="AX53" s="4" t="s">
        <v>1280</v>
      </c>
      <c r="AY53" s="4" t="s">
        <v>1280</v>
      </c>
      <c r="AZ53" s="4" t="str">
        <f t="shared" si="15"/>
        <v>-</v>
      </c>
      <c r="BA53" s="19">
        <v>4</v>
      </c>
      <c r="BB53" s="19">
        <v>1</v>
      </c>
      <c r="BC53" s="16">
        <v>18</v>
      </c>
      <c r="BD53" t="s">
        <v>1280</v>
      </c>
      <c r="BE53" t="s">
        <v>1280</v>
      </c>
      <c r="BF53" t="s">
        <v>1280</v>
      </c>
      <c r="BG53" t="str">
        <f t="shared" si="20"/>
        <v>-</v>
      </c>
      <c r="BH53" t="s">
        <v>1280</v>
      </c>
      <c r="BI53" t="s">
        <v>1280</v>
      </c>
      <c r="BJ53" t="s">
        <v>1280</v>
      </c>
      <c r="BK53" t="str">
        <f t="shared" si="21"/>
        <v>-</v>
      </c>
      <c r="BL53" t="s">
        <v>1280</v>
      </c>
      <c r="BM53">
        <v>812</v>
      </c>
    </row>
    <row r="54" spans="1:65" x14ac:dyDescent="0.4">
      <c r="A54" s="3">
        <v>216</v>
      </c>
      <c r="B54" s="3">
        <v>216</v>
      </c>
      <c r="C54" s="4" t="s">
        <v>205</v>
      </c>
      <c r="D54" s="4" t="str">
        <f t="shared" si="0"/>
        <v>J347NB</v>
      </c>
      <c r="E54" s="4" t="s">
        <v>205</v>
      </c>
      <c r="F54" s="4" t="str">
        <f t="shared" si="16"/>
        <v>J347NB5</v>
      </c>
      <c r="G54" s="4" t="s">
        <v>851</v>
      </c>
      <c r="H54" s="5">
        <v>4974268153586</v>
      </c>
      <c r="I54" s="5">
        <v>5</v>
      </c>
      <c r="J54" s="5"/>
      <c r="K54" s="5">
        <v>1</v>
      </c>
      <c r="L54" s="5">
        <v>1</v>
      </c>
      <c r="M54" s="4">
        <v>420</v>
      </c>
      <c r="N54" s="4">
        <v>375</v>
      </c>
      <c r="O54" s="4">
        <v>252</v>
      </c>
      <c r="P54" s="6">
        <f t="shared" si="1"/>
        <v>0.32799999999999996</v>
      </c>
      <c r="Q54" s="4" t="s">
        <v>1280</v>
      </c>
      <c r="R54" s="4" t="s">
        <v>1280</v>
      </c>
      <c r="S54" s="4" t="s">
        <v>1280</v>
      </c>
      <c r="T54" s="4">
        <v>450</v>
      </c>
      <c r="U54" s="4">
        <f t="shared" si="2"/>
        <v>450</v>
      </c>
      <c r="V54" s="4">
        <v>270</v>
      </c>
      <c r="W54" s="4">
        <f t="shared" si="3"/>
        <v>270</v>
      </c>
      <c r="X54" s="4"/>
      <c r="Y54" s="21">
        <f t="shared" si="4"/>
        <v>402</v>
      </c>
      <c r="Z54" s="6">
        <f t="shared" si="5"/>
        <v>0.32835820895522383</v>
      </c>
      <c r="AA54" s="4">
        <v>0.5</v>
      </c>
      <c r="AB54" s="4" t="str">
        <f t="shared" si="6"/>
        <v>-</v>
      </c>
      <c r="AC54" s="4" t="str">
        <f t="shared" si="17"/>
        <v>-</v>
      </c>
      <c r="AD54" s="6" t="str">
        <f t="shared" si="18"/>
        <v>-</v>
      </c>
      <c r="AE54" s="4">
        <f t="shared" si="19"/>
        <v>427.5</v>
      </c>
      <c r="AF54" s="7">
        <v>420</v>
      </c>
      <c r="AG54" s="6">
        <f t="shared" si="7"/>
        <v>0.3571428571428571</v>
      </c>
      <c r="AH54" s="4">
        <f t="shared" si="8"/>
        <v>150</v>
      </c>
      <c r="AI54" s="28"/>
      <c r="AJ54" s="6"/>
      <c r="AK54" s="6"/>
      <c r="AL54" s="6">
        <f t="shared" si="9"/>
        <v>1.0714285714285714</v>
      </c>
      <c r="AM54" s="6">
        <f t="shared" si="10"/>
        <v>1.1200000000000001</v>
      </c>
      <c r="AN54" s="6">
        <f t="shared" si="11"/>
        <v>1.0714285714285714</v>
      </c>
      <c r="AO54" s="4" t="str">
        <f t="shared" si="12"/>
        <v>-</v>
      </c>
      <c r="AP54" s="4" t="str">
        <f t="shared" si="13"/>
        <v>-</v>
      </c>
      <c r="AQ54" s="4" t="str">
        <f t="shared" si="14"/>
        <v>-</v>
      </c>
      <c r="AR54" s="4">
        <v>0</v>
      </c>
      <c r="AS54" s="4" t="s">
        <v>1280</v>
      </c>
      <c r="AT54" s="4"/>
      <c r="AU54" s="4"/>
      <c r="AV54" s="4" t="s">
        <v>1280</v>
      </c>
      <c r="AW54" s="4" t="s">
        <v>1280</v>
      </c>
      <c r="AX54" s="4" t="s">
        <v>1280</v>
      </c>
      <c r="AY54" s="4" t="s">
        <v>1280</v>
      </c>
      <c r="AZ54" s="4" t="str">
        <f t="shared" si="15"/>
        <v>-</v>
      </c>
      <c r="BA54" s="19">
        <v>4</v>
      </c>
      <c r="BB54" s="19">
        <v>1</v>
      </c>
      <c r="BC54" s="16">
        <v>4</v>
      </c>
      <c r="BD54" t="s">
        <v>1280</v>
      </c>
      <c r="BE54" t="s">
        <v>1280</v>
      </c>
      <c r="BF54" t="s">
        <v>1280</v>
      </c>
      <c r="BG54" t="str">
        <f t="shared" si="20"/>
        <v>-</v>
      </c>
      <c r="BH54">
        <v>2100</v>
      </c>
      <c r="BI54">
        <v>2100</v>
      </c>
      <c r="BJ54">
        <v>2100</v>
      </c>
      <c r="BK54">
        <f t="shared" si="21"/>
        <v>2250</v>
      </c>
      <c r="BL54" t="s">
        <v>1280</v>
      </c>
      <c r="BM54">
        <v>812</v>
      </c>
    </row>
    <row r="55" spans="1:65" x14ac:dyDescent="0.4">
      <c r="A55" s="3">
        <v>217</v>
      </c>
      <c r="B55" s="3">
        <v>217</v>
      </c>
      <c r="C55" s="4" t="s">
        <v>206</v>
      </c>
      <c r="D55" s="4" t="str">
        <f t="shared" si="0"/>
        <v>J344NB</v>
      </c>
      <c r="E55" s="4" t="s">
        <v>206</v>
      </c>
      <c r="F55" s="4" t="str">
        <f t="shared" si="16"/>
        <v>J344NB5</v>
      </c>
      <c r="G55" s="4" t="s">
        <v>852</v>
      </c>
      <c r="H55" s="5">
        <v>4974268153555</v>
      </c>
      <c r="I55" s="5">
        <v>5</v>
      </c>
      <c r="J55" s="5"/>
      <c r="K55" s="5">
        <v>1</v>
      </c>
      <c r="L55" s="5">
        <v>1</v>
      </c>
      <c r="M55" s="4">
        <v>420</v>
      </c>
      <c r="N55" s="4">
        <v>355</v>
      </c>
      <c r="O55" s="4">
        <v>252</v>
      </c>
      <c r="P55" s="6">
        <f t="shared" si="1"/>
        <v>0.29014084507042248</v>
      </c>
      <c r="Q55" s="4" t="s">
        <v>1280</v>
      </c>
      <c r="R55" s="4" t="s">
        <v>1280</v>
      </c>
      <c r="S55" s="4" t="s">
        <v>1280</v>
      </c>
      <c r="T55" s="4">
        <v>450</v>
      </c>
      <c r="U55" s="4">
        <f t="shared" si="2"/>
        <v>450</v>
      </c>
      <c r="V55" s="4">
        <v>270</v>
      </c>
      <c r="W55" s="4">
        <f t="shared" si="3"/>
        <v>270</v>
      </c>
      <c r="X55" s="4"/>
      <c r="Y55" s="21">
        <f t="shared" si="4"/>
        <v>380</v>
      </c>
      <c r="Z55" s="6">
        <f t="shared" si="5"/>
        <v>0.28947368421052633</v>
      </c>
      <c r="AA55" s="4">
        <v>0.75</v>
      </c>
      <c r="AB55" s="4">
        <f t="shared" si="6"/>
        <v>350</v>
      </c>
      <c r="AC55" s="4">
        <f t="shared" si="17"/>
        <v>375</v>
      </c>
      <c r="AD55" s="6">
        <f t="shared" si="18"/>
        <v>0.28000000000000003</v>
      </c>
      <c r="AE55" s="4">
        <f t="shared" si="19"/>
        <v>427.5</v>
      </c>
      <c r="AF55" s="7">
        <v>420</v>
      </c>
      <c r="AG55" s="6">
        <f t="shared" si="7"/>
        <v>0.3571428571428571</v>
      </c>
      <c r="AH55" s="4">
        <f t="shared" si="8"/>
        <v>150</v>
      </c>
      <c r="AI55" s="28"/>
      <c r="AJ55" s="6"/>
      <c r="AK55" s="6"/>
      <c r="AL55" s="6">
        <f t="shared" si="9"/>
        <v>1.0714285714285714</v>
      </c>
      <c r="AM55" s="6">
        <f t="shared" si="10"/>
        <v>1.1830985915492958</v>
      </c>
      <c r="AN55" s="6">
        <f t="shared" si="11"/>
        <v>1.0714285714285714</v>
      </c>
      <c r="AO55" s="4" t="str">
        <f t="shared" si="12"/>
        <v>-</v>
      </c>
      <c r="AP55" s="4" t="str">
        <f t="shared" si="13"/>
        <v>-</v>
      </c>
      <c r="AQ55" s="4" t="str">
        <f t="shared" si="14"/>
        <v>-</v>
      </c>
      <c r="AR55" s="4">
        <v>0</v>
      </c>
      <c r="AS55" s="4" t="s">
        <v>1860</v>
      </c>
      <c r="AT55" s="4"/>
      <c r="AU55" s="4"/>
      <c r="AV55" s="4" t="s">
        <v>1861</v>
      </c>
      <c r="AW55" s="4">
        <v>350</v>
      </c>
      <c r="AX55" s="4">
        <v>350</v>
      </c>
      <c r="AY55" s="4">
        <v>350</v>
      </c>
      <c r="AZ55" s="4">
        <f t="shared" si="15"/>
        <v>350</v>
      </c>
      <c r="BA55" s="19">
        <v>4</v>
      </c>
      <c r="BB55" s="19">
        <v>1</v>
      </c>
      <c r="BC55" s="16">
        <v>4</v>
      </c>
      <c r="BD55" t="s">
        <v>1280</v>
      </c>
      <c r="BE55" t="s">
        <v>1280</v>
      </c>
      <c r="BF55" t="s">
        <v>1280</v>
      </c>
      <c r="BG55" t="str">
        <f t="shared" si="20"/>
        <v>-</v>
      </c>
      <c r="BH55">
        <v>2100</v>
      </c>
      <c r="BI55">
        <v>2100</v>
      </c>
      <c r="BJ55">
        <v>2100</v>
      </c>
      <c r="BK55">
        <f t="shared" si="21"/>
        <v>2250</v>
      </c>
      <c r="BL55" t="s">
        <v>1413</v>
      </c>
      <c r="BM55">
        <v>812</v>
      </c>
    </row>
    <row r="56" spans="1:65" x14ac:dyDescent="0.4">
      <c r="A56" s="3">
        <v>218</v>
      </c>
      <c r="B56" s="3">
        <v>218</v>
      </c>
      <c r="C56" s="4" t="s">
        <v>207</v>
      </c>
      <c r="D56" s="4" t="str">
        <f t="shared" si="0"/>
        <v>J348NB</v>
      </c>
      <c r="E56" s="4" t="s">
        <v>207</v>
      </c>
      <c r="F56" s="4" t="str">
        <f t="shared" si="16"/>
        <v>J348NB5</v>
      </c>
      <c r="G56" s="4" t="s">
        <v>853</v>
      </c>
      <c r="H56" s="5">
        <v>4974268153593</v>
      </c>
      <c r="I56" s="5">
        <v>5</v>
      </c>
      <c r="J56" s="5"/>
      <c r="K56" s="5">
        <v>1</v>
      </c>
      <c r="L56" s="5">
        <v>1</v>
      </c>
      <c r="M56" s="4">
        <v>420</v>
      </c>
      <c r="N56" s="4">
        <v>399</v>
      </c>
      <c r="O56" s="4">
        <v>252</v>
      </c>
      <c r="P56" s="6">
        <f t="shared" si="1"/>
        <v>0.36842105263157898</v>
      </c>
      <c r="Q56" s="4" t="s">
        <v>1280</v>
      </c>
      <c r="R56" s="4" t="s">
        <v>1280</v>
      </c>
      <c r="S56" s="4" t="s">
        <v>1280</v>
      </c>
      <c r="T56" s="4">
        <v>450</v>
      </c>
      <c r="U56" s="4">
        <f t="shared" si="2"/>
        <v>450</v>
      </c>
      <c r="V56" s="4">
        <v>270</v>
      </c>
      <c r="W56" s="4">
        <f t="shared" si="3"/>
        <v>270</v>
      </c>
      <c r="X56" s="4"/>
      <c r="Y56" s="21">
        <f t="shared" si="4"/>
        <v>428</v>
      </c>
      <c r="Z56" s="6">
        <f t="shared" si="5"/>
        <v>0.36915887850467288</v>
      </c>
      <c r="AA56" s="4">
        <v>0.5</v>
      </c>
      <c r="AB56" s="4">
        <f t="shared" si="6"/>
        <v>401</v>
      </c>
      <c r="AC56" s="4">
        <f t="shared" si="17"/>
        <v>429.64285714285711</v>
      </c>
      <c r="AD56" s="6">
        <f t="shared" si="18"/>
        <v>0.37157107231920194</v>
      </c>
      <c r="AE56" s="4">
        <f t="shared" si="19"/>
        <v>427.5</v>
      </c>
      <c r="AF56" s="7">
        <v>420</v>
      </c>
      <c r="AG56" s="6">
        <f t="shared" si="7"/>
        <v>0.3571428571428571</v>
      </c>
      <c r="AH56" s="4">
        <f t="shared" si="8"/>
        <v>150</v>
      </c>
      <c r="AI56" s="28"/>
      <c r="AJ56" s="6"/>
      <c r="AK56" s="6"/>
      <c r="AL56" s="6">
        <f t="shared" si="9"/>
        <v>1.0714285714285714</v>
      </c>
      <c r="AM56" s="6">
        <f t="shared" si="10"/>
        <v>1.0526315789473684</v>
      </c>
      <c r="AN56" s="6">
        <f t="shared" si="11"/>
        <v>1.0714285714285714</v>
      </c>
      <c r="AO56" s="4" t="str">
        <f t="shared" si="12"/>
        <v>-</v>
      </c>
      <c r="AP56" s="4" t="str">
        <f t="shared" si="13"/>
        <v>-</v>
      </c>
      <c r="AQ56" s="4" t="str">
        <f t="shared" si="14"/>
        <v>-</v>
      </c>
      <c r="AR56" s="4">
        <v>0</v>
      </c>
      <c r="AS56" s="4" t="s">
        <v>1862</v>
      </c>
      <c r="AT56" s="4">
        <v>1</v>
      </c>
      <c r="AU56" s="4">
        <v>5</v>
      </c>
      <c r="AV56" s="4" t="s">
        <v>1863</v>
      </c>
      <c r="AW56" s="4">
        <v>2005</v>
      </c>
      <c r="AX56" s="4">
        <v>2005</v>
      </c>
      <c r="AY56" s="4">
        <v>2005</v>
      </c>
      <c r="AZ56" s="4">
        <f t="shared" si="15"/>
        <v>401</v>
      </c>
      <c r="BA56" s="19">
        <v>4</v>
      </c>
      <c r="BB56" s="19">
        <v>1</v>
      </c>
      <c r="BC56" s="16">
        <v>4</v>
      </c>
      <c r="BD56" t="s">
        <v>1280</v>
      </c>
      <c r="BE56" t="s">
        <v>1280</v>
      </c>
      <c r="BF56" t="s">
        <v>1280</v>
      </c>
      <c r="BG56" t="str">
        <f t="shared" si="20"/>
        <v>-</v>
      </c>
      <c r="BH56">
        <v>2100</v>
      </c>
      <c r="BI56">
        <v>2100</v>
      </c>
      <c r="BJ56">
        <v>2100</v>
      </c>
      <c r="BK56">
        <f t="shared" si="21"/>
        <v>2250</v>
      </c>
      <c r="BL56" t="s">
        <v>1414</v>
      </c>
      <c r="BM56">
        <v>812</v>
      </c>
    </row>
    <row r="57" spans="1:65" x14ac:dyDescent="0.4">
      <c r="A57" s="3">
        <v>219</v>
      </c>
      <c r="B57" s="3">
        <v>219</v>
      </c>
      <c r="C57" s="4" t="s">
        <v>208</v>
      </c>
      <c r="D57" s="4" t="str">
        <f t="shared" si="0"/>
        <v>J349NB</v>
      </c>
      <c r="E57" s="4" t="s">
        <v>208</v>
      </c>
      <c r="F57" s="4" t="str">
        <f t="shared" si="16"/>
        <v>J349NB5</v>
      </c>
      <c r="G57" s="4" t="s">
        <v>854</v>
      </c>
      <c r="H57" s="5">
        <v>4974268153609</v>
      </c>
      <c r="I57" s="5">
        <v>5</v>
      </c>
      <c r="J57" s="5"/>
      <c r="K57" s="5">
        <v>1</v>
      </c>
      <c r="L57" s="5">
        <v>1</v>
      </c>
      <c r="M57" s="4">
        <v>420</v>
      </c>
      <c r="N57" s="4">
        <v>365</v>
      </c>
      <c r="O57" s="4">
        <v>252</v>
      </c>
      <c r="P57" s="6">
        <f t="shared" si="1"/>
        <v>0.30958904109589036</v>
      </c>
      <c r="Q57" s="4" t="s">
        <v>1280</v>
      </c>
      <c r="R57" s="4" t="s">
        <v>1280</v>
      </c>
      <c r="S57" s="4" t="s">
        <v>1280</v>
      </c>
      <c r="T57" s="4">
        <v>450</v>
      </c>
      <c r="U57" s="4">
        <f t="shared" si="2"/>
        <v>450</v>
      </c>
      <c r="V57" s="4">
        <v>270</v>
      </c>
      <c r="W57" s="4">
        <f t="shared" si="3"/>
        <v>270</v>
      </c>
      <c r="X57" s="4"/>
      <c r="Y57" s="21">
        <f t="shared" si="4"/>
        <v>391</v>
      </c>
      <c r="Z57" s="6">
        <f t="shared" si="5"/>
        <v>0.30946291560102301</v>
      </c>
      <c r="AA57" s="4">
        <v>0.5</v>
      </c>
      <c r="AB57" s="4">
        <f t="shared" si="6"/>
        <v>401</v>
      </c>
      <c r="AC57" s="4">
        <f t="shared" si="17"/>
        <v>429.64285714285711</v>
      </c>
      <c r="AD57" s="6">
        <f t="shared" si="18"/>
        <v>0.37157107231920194</v>
      </c>
      <c r="AE57" s="4">
        <f t="shared" si="19"/>
        <v>427.5</v>
      </c>
      <c r="AF57" s="7">
        <v>420</v>
      </c>
      <c r="AG57" s="6">
        <f t="shared" si="7"/>
        <v>0.3571428571428571</v>
      </c>
      <c r="AH57" s="4">
        <f t="shared" si="8"/>
        <v>150</v>
      </c>
      <c r="AI57" s="28"/>
      <c r="AJ57" s="6"/>
      <c r="AK57" s="6"/>
      <c r="AL57" s="6">
        <f t="shared" si="9"/>
        <v>1.0714285714285714</v>
      </c>
      <c r="AM57" s="6">
        <f t="shared" si="10"/>
        <v>1.1506849315068493</v>
      </c>
      <c r="AN57" s="6">
        <f t="shared" si="11"/>
        <v>1.0714285714285714</v>
      </c>
      <c r="AO57" s="4" t="str">
        <f t="shared" si="12"/>
        <v>-</v>
      </c>
      <c r="AP57" s="4" t="str">
        <f t="shared" si="13"/>
        <v>-</v>
      </c>
      <c r="AQ57" s="4" t="str">
        <f t="shared" si="14"/>
        <v>-</v>
      </c>
      <c r="AR57" s="4">
        <v>0</v>
      </c>
      <c r="AS57" s="4" t="s">
        <v>1864</v>
      </c>
      <c r="AT57" s="4">
        <v>1</v>
      </c>
      <c r="AU57" s="4">
        <v>5</v>
      </c>
      <c r="AV57" s="4" t="s">
        <v>1863</v>
      </c>
      <c r="AW57" s="4">
        <v>2005</v>
      </c>
      <c r="AX57" s="4">
        <v>2005</v>
      </c>
      <c r="AY57" s="4">
        <v>2005</v>
      </c>
      <c r="AZ57" s="4">
        <f t="shared" si="15"/>
        <v>401</v>
      </c>
      <c r="BA57" s="19">
        <v>4</v>
      </c>
      <c r="BB57" s="19">
        <v>1</v>
      </c>
      <c r="BC57" s="16">
        <v>4</v>
      </c>
      <c r="BD57" t="s">
        <v>1280</v>
      </c>
      <c r="BE57" t="s">
        <v>1280</v>
      </c>
      <c r="BF57" t="s">
        <v>1280</v>
      </c>
      <c r="BG57" t="str">
        <f t="shared" si="20"/>
        <v>-</v>
      </c>
      <c r="BH57">
        <v>2100</v>
      </c>
      <c r="BI57">
        <v>2100</v>
      </c>
      <c r="BJ57">
        <v>2100</v>
      </c>
      <c r="BK57">
        <f t="shared" si="21"/>
        <v>2250</v>
      </c>
      <c r="BL57" t="s">
        <v>1415</v>
      </c>
      <c r="BM57">
        <v>812</v>
      </c>
    </row>
    <row r="58" spans="1:65" x14ac:dyDescent="0.4">
      <c r="A58" s="3">
        <v>229</v>
      </c>
      <c r="B58" s="3">
        <v>229</v>
      </c>
      <c r="C58" s="4" t="s">
        <v>218</v>
      </c>
      <c r="D58" s="4" t="str">
        <f t="shared" si="0"/>
        <v>J377NB</v>
      </c>
      <c r="E58" s="4" t="s">
        <v>218</v>
      </c>
      <c r="F58" s="4" t="str">
        <f t="shared" si="16"/>
        <v>J377NB5</v>
      </c>
      <c r="G58" s="4" t="s">
        <v>864</v>
      </c>
      <c r="H58" s="5">
        <v>4974268571854</v>
      </c>
      <c r="I58" s="5">
        <v>5</v>
      </c>
      <c r="J58" s="5"/>
      <c r="K58" s="5">
        <v>1</v>
      </c>
      <c r="L58" s="5">
        <v>1</v>
      </c>
      <c r="M58" s="4">
        <v>400</v>
      </c>
      <c r="N58" s="4">
        <v>331</v>
      </c>
      <c r="O58" s="4">
        <v>240</v>
      </c>
      <c r="P58" s="6">
        <f t="shared" si="1"/>
        <v>0.2749244712990937</v>
      </c>
      <c r="Q58" s="4" t="s">
        <v>1280</v>
      </c>
      <c r="R58" s="4" t="s">
        <v>1280</v>
      </c>
      <c r="S58" s="4" t="s">
        <v>1280</v>
      </c>
      <c r="T58" s="4">
        <v>450</v>
      </c>
      <c r="U58" s="4">
        <f t="shared" si="2"/>
        <v>450</v>
      </c>
      <c r="V58" s="4">
        <v>270</v>
      </c>
      <c r="W58" s="4">
        <f t="shared" si="3"/>
        <v>270</v>
      </c>
      <c r="X58" s="4"/>
      <c r="Y58" s="21">
        <f t="shared" si="4"/>
        <v>372</v>
      </c>
      <c r="Z58" s="6">
        <f t="shared" si="5"/>
        <v>0.27419354838709675</v>
      </c>
      <c r="AA58" s="4">
        <v>0.25</v>
      </c>
      <c r="AB58" s="4" t="str">
        <f t="shared" si="6"/>
        <v>-</v>
      </c>
      <c r="AC58" s="4" t="str">
        <f t="shared" si="17"/>
        <v>-</v>
      </c>
      <c r="AD58" s="6" t="str">
        <f t="shared" si="18"/>
        <v>-</v>
      </c>
      <c r="AE58" s="4">
        <f t="shared" si="19"/>
        <v>427.5</v>
      </c>
      <c r="AF58" s="7">
        <v>420</v>
      </c>
      <c r="AG58" s="6">
        <f t="shared" si="7"/>
        <v>0.3571428571428571</v>
      </c>
      <c r="AH58" s="4">
        <f t="shared" si="8"/>
        <v>150</v>
      </c>
      <c r="AI58" s="28"/>
      <c r="AJ58" s="6"/>
      <c r="AK58" s="6"/>
      <c r="AL58" s="6">
        <f t="shared" si="9"/>
        <v>1.125</v>
      </c>
      <c r="AM58" s="6">
        <f t="shared" si="10"/>
        <v>1.2688821752265862</v>
      </c>
      <c r="AN58" s="6">
        <f t="shared" si="11"/>
        <v>1.125</v>
      </c>
      <c r="AO58" s="4" t="str">
        <f t="shared" si="12"/>
        <v>-</v>
      </c>
      <c r="AP58" s="4" t="str">
        <f t="shared" si="13"/>
        <v>-</v>
      </c>
      <c r="AQ58" s="4" t="str">
        <f t="shared" si="14"/>
        <v>-</v>
      </c>
      <c r="AR58" s="4">
        <v>0</v>
      </c>
      <c r="AS58" s="4" t="s">
        <v>1280</v>
      </c>
      <c r="AT58" s="4"/>
      <c r="AU58" s="4"/>
      <c r="AV58" s="4" t="s">
        <v>1280</v>
      </c>
      <c r="AW58" s="4" t="s">
        <v>1280</v>
      </c>
      <c r="AX58" s="4" t="s">
        <v>1280</v>
      </c>
      <c r="AY58" s="4" t="s">
        <v>1280</v>
      </c>
      <c r="AZ58" s="4" t="str">
        <f t="shared" si="15"/>
        <v>-</v>
      </c>
      <c r="BA58" s="19">
        <v>4</v>
      </c>
      <c r="BB58" s="19">
        <v>1</v>
      </c>
      <c r="BC58" s="16">
        <v>18</v>
      </c>
      <c r="BD58" t="s">
        <v>1280</v>
      </c>
      <c r="BE58" t="s">
        <v>1280</v>
      </c>
      <c r="BF58" t="s">
        <v>1280</v>
      </c>
      <c r="BG58" t="str">
        <f t="shared" si="20"/>
        <v>-</v>
      </c>
      <c r="BH58" t="s">
        <v>1280</v>
      </c>
      <c r="BI58" t="s">
        <v>1280</v>
      </c>
      <c r="BJ58" t="s">
        <v>1280</v>
      </c>
      <c r="BK58" t="str">
        <f t="shared" si="21"/>
        <v>-</v>
      </c>
      <c r="BL58" t="s">
        <v>1280</v>
      </c>
      <c r="BM58">
        <v>812</v>
      </c>
    </row>
    <row r="59" spans="1:65" x14ac:dyDescent="0.4">
      <c r="A59" s="3">
        <v>230</v>
      </c>
      <c r="B59" s="3">
        <v>230</v>
      </c>
      <c r="C59" s="4" t="s">
        <v>219</v>
      </c>
      <c r="D59" s="4" t="str">
        <f t="shared" si="0"/>
        <v>J379NB</v>
      </c>
      <c r="E59" s="4" t="s">
        <v>219</v>
      </c>
      <c r="F59" s="4" t="str">
        <f t="shared" si="16"/>
        <v>J379NB5</v>
      </c>
      <c r="G59" s="4" t="s">
        <v>865</v>
      </c>
      <c r="H59" s="5">
        <v>4974268571878</v>
      </c>
      <c r="I59" s="5">
        <v>5</v>
      </c>
      <c r="J59" s="5"/>
      <c r="K59" s="5">
        <v>1</v>
      </c>
      <c r="L59" s="5">
        <v>1</v>
      </c>
      <c r="M59" s="4">
        <v>400</v>
      </c>
      <c r="N59" s="4">
        <v>331</v>
      </c>
      <c r="O59" s="4">
        <v>240</v>
      </c>
      <c r="P59" s="6">
        <f t="shared" si="1"/>
        <v>0.2749244712990937</v>
      </c>
      <c r="Q59" s="4" t="s">
        <v>1280</v>
      </c>
      <c r="R59" s="4" t="s">
        <v>1280</v>
      </c>
      <c r="S59" s="4" t="s">
        <v>1280</v>
      </c>
      <c r="T59" s="4">
        <v>450</v>
      </c>
      <c r="U59" s="4">
        <f t="shared" si="2"/>
        <v>450</v>
      </c>
      <c r="V59" s="4">
        <v>270</v>
      </c>
      <c r="W59" s="4">
        <f t="shared" si="3"/>
        <v>270</v>
      </c>
      <c r="X59" s="4"/>
      <c r="Y59" s="21">
        <f t="shared" si="4"/>
        <v>372</v>
      </c>
      <c r="Z59" s="6">
        <f t="shared" si="5"/>
        <v>0.27419354838709675</v>
      </c>
      <c r="AA59" s="4">
        <v>2.75</v>
      </c>
      <c r="AB59" s="4" t="str">
        <f t="shared" si="6"/>
        <v>-</v>
      </c>
      <c r="AC59" s="4" t="str">
        <f t="shared" si="17"/>
        <v>-</v>
      </c>
      <c r="AD59" s="6" t="str">
        <f t="shared" si="18"/>
        <v>-</v>
      </c>
      <c r="AE59" s="4">
        <f t="shared" si="19"/>
        <v>427.5</v>
      </c>
      <c r="AF59" s="7">
        <v>420</v>
      </c>
      <c r="AG59" s="6">
        <f t="shared" si="7"/>
        <v>0.3571428571428571</v>
      </c>
      <c r="AH59" s="4">
        <f t="shared" si="8"/>
        <v>150</v>
      </c>
      <c r="AI59" s="28"/>
      <c r="AJ59" s="6"/>
      <c r="AK59" s="6"/>
      <c r="AL59" s="6">
        <f t="shared" si="9"/>
        <v>1.125</v>
      </c>
      <c r="AM59" s="6">
        <f t="shared" si="10"/>
        <v>1.2688821752265862</v>
      </c>
      <c r="AN59" s="6">
        <f t="shared" si="11"/>
        <v>1.125</v>
      </c>
      <c r="AO59" s="4" t="str">
        <f t="shared" si="12"/>
        <v>-</v>
      </c>
      <c r="AP59" s="4" t="str">
        <f t="shared" si="13"/>
        <v>-</v>
      </c>
      <c r="AQ59" s="4" t="str">
        <f t="shared" si="14"/>
        <v>-</v>
      </c>
      <c r="AR59" s="4">
        <v>0</v>
      </c>
      <c r="AS59" s="4" t="s">
        <v>1280</v>
      </c>
      <c r="AT59" s="4"/>
      <c r="AU59" s="4"/>
      <c r="AV59" s="4" t="s">
        <v>1280</v>
      </c>
      <c r="AW59" s="4" t="s">
        <v>1280</v>
      </c>
      <c r="AX59" s="4" t="s">
        <v>1280</v>
      </c>
      <c r="AY59" s="4" t="s">
        <v>1280</v>
      </c>
      <c r="AZ59" s="4" t="str">
        <f t="shared" si="15"/>
        <v>-</v>
      </c>
      <c r="BA59" s="19">
        <v>4</v>
      </c>
      <c r="BB59" s="19">
        <v>1</v>
      </c>
      <c r="BC59" s="16">
        <v>18</v>
      </c>
      <c r="BD59" t="s">
        <v>1280</v>
      </c>
      <c r="BE59" t="s">
        <v>1280</v>
      </c>
      <c r="BF59" t="s">
        <v>1280</v>
      </c>
      <c r="BG59" t="str">
        <f t="shared" si="20"/>
        <v>-</v>
      </c>
      <c r="BH59" t="s">
        <v>1280</v>
      </c>
      <c r="BI59" t="s">
        <v>1280</v>
      </c>
      <c r="BJ59" t="s">
        <v>1280</v>
      </c>
      <c r="BK59" t="str">
        <f t="shared" si="21"/>
        <v>-</v>
      </c>
      <c r="BL59" t="s">
        <v>1280</v>
      </c>
      <c r="BM59">
        <v>812</v>
      </c>
    </row>
    <row r="60" spans="1:65" x14ac:dyDescent="0.4">
      <c r="A60" s="3">
        <v>231</v>
      </c>
      <c r="B60" s="3">
        <v>231</v>
      </c>
      <c r="C60" s="4" t="s">
        <v>220</v>
      </c>
      <c r="D60" s="4" t="str">
        <f t="shared" si="0"/>
        <v>J378NB</v>
      </c>
      <c r="E60" s="4" t="s">
        <v>220</v>
      </c>
      <c r="F60" s="4" t="str">
        <f t="shared" si="16"/>
        <v>J378NB5</v>
      </c>
      <c r="G60" s="4" t="s">
        <v>866</v>
      </c>
      <c r="H60" s="5">
        <v>4974268571861</v>
      </c>
      <c r="I60" s="5">
        <v>5</v>
      </c>
      <c r="J60" s="5"/>
      <c r="K60" s="5">
        <v>1</v>
      </c>
      <c r="L60" s="5">
        <v>1</v>
      </c>
      <c r="M60" s="4">
        <v>400</v>
      </c>
      <c r="N60" s="4">
        <v>331</v>
      </c>
      <c r="O60" s="4">
        <v>240</v>
      </c>
      <c r="P60" s="6">
        <f t="shared" si="1"/>
        <v>0.2749244712990937</v>
      </c>
      <c r="Q60" s="4" t="s">
        <v>1280</v>
      </c>
      <c r="R60" s="4" t="s">
        <v>1280</v>
      </c>
      <c r="S60" s="4" t="s">
        <v>1280</v>
      </c>
      <c r="T60" s="4">
        <v>450</v>
      </c>
      <c r="U60" s="4">
        <f t="shared" si="2"/>
        <v>450</v>
      </c>
      <c r="V60" s="4">
        <v>270</v>
      </c>
      <c r="W60" s="4">
        <f t="shared" si="3"/>
        <v>270</v>
      </c>
      <c r="X60" s="4"/>
      <c r="Y60" s="21">
        <f t="shared" si="4"/>
        <v>372</v>
      </c>
      <c r="Z60" s="6">
        <f t="shared" si="5"/>
        <v>0.27419354838709675</v>
      </c>
      <c r="AA60" s="4">
        <v>0.25</v>
      </c>
      <c r="AB60" s="4" t="str">
        <f t="shared" si="6"/>
        <v>-</v>
      </c>
      <c r="AC60" s="4" t="str">
        <f t="shared" si="17"/>
        <v>-</v>
      </c>
      <c r="AD60" s="6" t="str">
        <f t="shared" si="18"/>
        <v>-</v>
      </c>
      <c r="AE60" s="4">
        <f t="shared" si="19"/>
        <v>427.5</v>
      </c>
      <c r="AF60" s="7">
        <v>420</v>
      </c>
      <c r="AG60" s="6">
        <f t="shared" si="7"/>
        <v>0.3571428571428571</v>
      </c>
      <c r="AH60" s="4">
        <f t="shared" si="8"/>
        <v>150</v>
      </c>
      <c r="AI60" s="28"/>
      <c r="AJ60" s="6"/>
      <c r="AK60" s="6"/>
      <c r="AL60" s="6">
        <f t="shared" si="9"/>
        <v>1.125</v>
      </c>
      <c r="AM60" s="6">
        <f t="shared" si="10"/>
        <v>1.2688821752265862</v>
      </c>
      <c r="AN60" s="6">
        <f t="shared" si="11"/>
        <v>1.125</v>
      </c>
      <c r="AO60" s="4" t="str">
        <f t="shared" si="12"/>
        <v>-</v>
      </c>
      <c r="AP60" s="4" t="str">
        <f t="shared" si="13"/>
        <v>-</v>
      </c>
      <c r="AQ60" s="4" t="str">
        <f t="shared" si="14"/>
        <v>-</v>
      </c>
      <c r="AR60" s="4">
        <v>0</v>
      </c>
      <c r="AS60" s="4" t="s">
        <v>1280</v>
      </c>
      <c r="AT60" s="4"/>
      <c r="AU60" s="4"/>
      <c r="AV60" s="4" t="s">
        <v>1280</v>
      </c>
      <c r="AW60" s="4" t="s">
        <v>1280</v>
      </c>
      <c r="AX60" s="4" t="s">
        <v>1280</v>
      </c>
      <c r="AY60" s="4" t="s">
        <v>1280</v>
      </c>
      <c r="AZ60" s="4" t="str">
        <f t="shared" si="15"/>
        <v>-</v>
      </c>
      <c r="BA60" s="19">
        <v>4</v>
      </c>
      <c r="BB60" s="19">
        <v>1</v>
      </c>
      <c r="BC60" s="16">
        <v>18</v>
      </c>
      <c r="BD60" t="s">
        <v>1280</v>
      </c>
      <c r="BE60" t="s">
        <v>1280</v>
      </c>
      <c r="BF60" t="s">
        <v>1280</v>
      </c>
      <c r="BG60" t="str">
        <f t="shared" si="20"/>
        <v>-</v>
      </c>
      <c r="BH60" t="s">
        <v>1280</v>
      </c>
      <c r="BI60" t="s">
        <v>1280</v>
      </c>
      <c r="BJ60" t="s">
        <v>1280</v>
      </c>
      <c r="BK60" t="str">
        <f t="shared" si="21"/>
        <v>-</v>
      </c>
      <c r="BL60" t="s">
        <v>1280</v>
      </c>
      <c r="BM60">
        <v>812</v>
      </c>
    </row>
    <row r="61" spans="1:65" x14ac:dyDescent="0.4">
      <c r="A61" s="3">
        <v>232</v>
      </c>
      <c r="B61" s="3">
        <v>232</v>
      </c>
      <c r="C61" s="4" t="s">
        <v>221</v>
      </c>
      <c r="D61" s="4" t="str">
        <f t="shared" si="0"/>
        <v>J381NB</v>
      </c>
      <c r="E61" s="4" t="s">
        <v>221</v>
      </c>
      <c r="F61" s="4" t="str">
        <f t="shared" si="16"/>
        <v>J381NB5</v>
      </c>
      <c r="G61" s="4" t="s">
        <v>867</v>
      </c>
      <c r="H61" s="5">
        <v>4974268571892</v>
      </c>
      <c r="I61" s="5">
        <v>5</v>
      </c>
      <c r="J61" s="5"/>
      <c r="K61" s="5">
        <v>1</v>
      </c>
      <c r="L61" s="5">
        <v>1</v>
      </c>
      <c r="M61" s="4">
        <v>400</v>
      </c>
      <c r="N61" s="4">
        <v>243</v>
      </c>
      <c r="O61" s="4">
        <v>240</v>
      </c>
      <c r="P61" s="6">
        <f t="shared" si="1"/>
        <v>1.2345679012345734E-2</v>
      </c>
      <c r="Q61" s="4" t="s">
        <v>1280</v>
      </c>
      <c r="R61" s="4" t="s">
        <v>1280</v>
      </c>
      <c r="S61" s="4" t="s">
        <v>1280</v>
      </c>
      <c r="T61" s="4">
        <v>450</v>
      </c>
      <c r="U61" s="4">
        <f t="shared" si="2"/>
        <v>450</v>
      </c>
      <c r="V61" s="4">
        <v>270</v>
      </c>
      <c r="W61" s="4">
        <f t="shared" si="3"/>
        <v>270</v>
      </c>
      <c r="X61" s="4"/>
      <c r="Y61" s="21">
        <f t="shared" si="4"/>
        <v>273</v>
      </c>
      <c r="Z61" s="6">
        <f t="shared" si="5"/>
        <v>1.098901098901095E-2</v>
      </c>
      <c r="AA61" s="4">
        <v>0.25</v>
      </c>
      <c r="AB61" s="4" t="str">
        <f t="shared" si="6"/>
        <v>-</v>
      </c>
      <c r="AC61" s="4" t="str">
        <f t="shared" si="17"/>
        <v>-</v>
      </c>
      <c r="AD61" s="6" t="str">
        <f t="shared" si="18"/>
        <v>-</v>
      </c>
      <c r="AE61" s="4">
        <f t="shared" si="19"/>
        <v>427.5</v>
      </c>
      <c r="AF61" s="7">
        <v>420</v>
      </c>
      <c r="AG61" s="6">
        <f t="shared" si="7"/>
        <v>0.3571428571428571</v>
      </c>
      <c r="AH61" s="4">
        <f t="shared" si="8"/>
        <v>150</v>
      </c>
      <c r="AI61" s="28"/>
      <c r="AJ61" s="6"/>
      <c r="AK61" s="6"/>
      <c r="AL61" s="6">
        <f t="shared" si="9"/>
        <v>1.125</v>
      </c>
      <c r="AM61" s="6">
        <f t="shared" si="10"/>
        <v>1.728395061728395</v>
      </c>
      <c r="AN61" s="6">
        <f t="shared" si="11"/>
        <v>1.125</v>
      </c>
      <c r="AO61" s="4" t="str">
        <f t="shared" si="12"/>
        <v>-</v>
      </c>
      <c r="AP61" s="4" t="str">
        <f t="shared" si="13"/>
        <v>-</v>
      </c>
      <c r="AQ61" s="4" t="str">
        <f t="shared" si="14"/>
        <v>-</v>
      </c>
      <c r="AR61" s="4">
        <v>0</v>
      </c>
      <c r="AS61" s="4" t="s">
        <v>1280</v>
      </c>
      <c r="AT61" s="4"/>
      <c r="AU61" s="4"/>
      <c r="AV61" s="4" t="s">
        <v>1280</v>
      </c>
      <c r="AW61" s="4" t="s">
        <v>1280</v>
      </c>
      <c r="AX61" s="4" t="s">
        <v>1280</v>
      </c>
      <c r="AY61" s="4" t="s">
        <v>1280</v>
      </c>
      <c r="AZ61" s="4" t="str">
        <f t="shared" si="15"/>
        <v>-</v>
      </c>
      <c r="BA61" s="19">
        <v>4</v>
      </c>
      <c r="BB61" s="19">
        <v>1</v>
      </c>
      <c r="BC61" s="16">
        <v>18</v>
      </c>
      <c r="BD61" t="s">
        <v>1280</v>
      </c>
      <c r="BE61" t="s">
        <v>1280</v>
      </c>
      <c r="BF61" t="s">
        <v>1280</v>
      </c>
      <c r="BG61" t="str">
        <f t="shared" si="20"/>
        <v>-</v>
      </c>
      <c r="BH61" t="s">
        <v>1280</v>
      </c>
      <c r="BI61" t="s">
        <v>1280</v>
      </c>
      <c r="BJ61" t="s">
        <v>1280</v>
      </c>
      <c r="BK61" t="str">
        <f t="shared" si="21"/>
        <v>-</v>
      </c>
      <c r="BL61" t="s">
        <v>1280</v>
      </c>
      <c r="BM61">
        <v>812</v>
      </c>
    </row>
    <row r="62" spans="1:65" x14ac:dyDescent="0.4">
      <c r="A62" s="3">
        <v>233</v>
      </c>
      <c r="B62" s="3">
        <v>233</v>
      </c>
      <c r="C62" s="4" t="s">
        <v>222</v>
      </c>
      <c r="D62" s="4" t="str">
        <f t="shared" si="0"/>
        <v>J382NB</v>
      </c>
      <c r="E62" s="4" t="s">
        <v>222</v>
      </c>
      <c r="F62" s="4" t="str">
        <f t="shared" si="16"/>
        <v>J382NB5</v>
      </c>
      <c r="G62" s="4" t="s">
        <v>868</v>
      </c>
      <c r="H62" s="5">
        <v>4974268571908</v>
      </c>
      <c r="I62" s="5">
        <v>5</v>
      </c>
      <c r="J62" s="5"/>
      <c r="K62" s="5">
        <v>1</v>
      </c>
      <c r="L62" s="5">
        <v>1</v>
      </c>
      <c r="M62" s="4">
        <v>400</v>
      </c>
      <c r="N62" s="4">
        <v>331</v>
      </c>
      <c r="O62" s="4">
        <v>240</v>
      </c>
      <c r="P62" s="6">
        <f t="shared" si="1"/>
        <v>0.2749244712990937</v>
      </c>
      <c r="Q62" s="4" t="s">
        <v>1280</v>
      </c>
      <c r="R62" s="4" t="s">
        <v>1280</v>
      </c>
      <c r="S62" s="4" t="s">
        <v>1280</v>
      </c>
      <c r="T62" s="4">
        <v>450</v>
      </c>
      <c r="U62" s="4">
        <f t="shared" si="2"/>
        <v>450</v>
      </c>
      <c r="V62" s="4">
        <v>270</v>
      </c>
      <c r="W62" s="4">
        <f t="shared" si="3"/>
        <v>270</v>
      </c>
      <c r="X62" s="4"/>
      <c r="Y62" s="21">
        <f t="shared" si="4"/>
        <v>372</v>
      </c>
      <c r="Z62" s="6">
        <f t="shared" si="5"/>
        <v>0.27419354838709675</v>
      </c>
      <c r="AA62" s="4">
        <v>2.25</v>
      </c>
      <c r="AB62" s="4" t="str">
        <f t="shared" si="6"/>
        <v>-</v>
      </c>
      <c r="AC62" s="4" t="str">
        <f t="shared" si="17"/>
        <v>-</v>
      </c>
      <c r="AD62" s="6" t="str">
        <f t="shared" si="18"/>
        <v>-</v>
      </c>
      <c r="AE62" s="4">
        <f t="shared" si="19"/>
        <v>427.5</v>
      </c>
      <c r="AF62" s="7">
        <v>420</v>
      </c>
      <c r="AG62" s="6">
        <f t="shared" si="7"/>
        <v>0.3571428571428571</v>
      </c>
      <c r="AH62" s="4">
        <f t="shared" si="8"/>
        <v>150</v>
      </c>
      <c r="AI62" s="28"/>
      <c r="AJ62" s="6"/>
      <c r="AK62" s="6"/>
      <c r="AL62" s="6">
        <f t="shared" si="9"/>
        <v>1.125</v>
      </c>
      <c r="AM62" s="6">
        <f t="shared" si="10"/>
        <v>1.2688821752265862</v>
      </c>
      <c r="AN62" s="6">
        <f t="shared" si="11"/>
        <v>1.125</v>
      </c>
      <c r="AO62" s="4" t="str">
        <f t="shared" si="12"/>
        <v>-</v>
      </c>
      <c r="AP62" s="4" t="str">
        <f t="shared" si="13"/>
        <v>-</v>
      </c>
      <c r="AQ62" s="4" t="str">
        <f t="shared" si="14"/>
        <v>-</v>
      </c>
      <c r="AR62" s="4">
        <v>0</v>
      </c>
      <c r="AS62" s="4" t="s">
        <v>1280</v>
      </c>
      <c r="AT62" s="4"/>
      <c r="AU62" s="4"/>
      <c r="AV62" s="4" t="s">
        <v>1280</v>
      </c>
      <c r="AW62" s="4" t="s">
        <v>1280</v>
      </c>
      <c r="AX62" s="4" t="s">
        <v>1280</v>
      </c>
      <c r="AY62" s="4" t="s">
        <v>1280</v>
      </c>
      <c r="AZ62" s="4" t="str">
        <f t="shared" si="15"/>
        <v>-</v>
      </c>
      <c r="BA62" s="19">
        <v>4</v>
      </c>
      <c r="BB62" s="19">
        <v>1</v>
      </c>
      <c r="BC62" s="16">
        <v>18</v>
      </c>
      <c r="BD62" t="s">
        <v>1280</v>
      </c>
      <c r="BE62" t="s">
        <v>1280</v>
      </c>
      <c r="BF62" t="s">
        <v>1280</v>
      </c>
      <c r="BG62" t="str">
        <f t="shared" si="20"/>
        <v>-</v>
      </c>
      <c r="BH62" t="s">
        <v>1280</v>
      </c>
      <c r="BI62" t="s">
        <v>1280</v>
      </c>
      <c r="BJ62" t="s">
        <v>1280</v>
      </c>
      <c r="BK62" t="str">
        <f t="shared" si="21"/>
        <v>-</v>
      </c>
      <c r="BL62" t="s">
        <v>1280</v>
      </c>
      <c r="BM62">
        <v>812</v>
      </c>
    </row>
    <row r="63" spans="1:65" x14ac:dyDescent="0.4">
      <c r="A63" s="3">
        <v>255</v>
      </c>
      <c r="B63" s="3">
        <v>255</v>
      </c>
      <c r="C63" s="4" t="s">
        <v>244</v>
      </c>
      <c r="D63" s="4" t="str">
        <f t="shared" si="0"/>
        <v>J384NB</v>
      </c>
      <c r="E63" s="4" t="s">
        <v>244</v>
      </c>
      <c r="F63" s="4" t="str">
        <f t="shared" si="16"/>
        <v>J384NB5</v>
      </c>
      <c r="G63" s="4" t="s">
        <v>890</v>
      </c>
      <c r="H63" s="5">
        <v>4974268572066</v>
      </c>
      <c r="I63" s="5">
        <v>5</v>
      </c>
      <c r="J63" s="5"/>
      <c r="K63" s="5">
        <v>1</v>
      </c>
      <c r="L63" s="5">
        <v>1</v>
      </c>
      <c r="M63" s="4">
        <v>400</v>
      </c>
      <c r="N63" s="4">
        <v>293</v>
      </c>
      <c r="O63" s="4">
        <v>240</v>
      </c>
      <c r="P63" s="6">
        <f t="shared" si="1"/>
        <v>0.1808873720136519</v>
      </c>
      <c r="Q63" s="4" t="s">
        <v>1280</v>
      </c>
      <c r="R63" s="4" t="s">
        <v>1280</v>
      </c>
      <c r="S63" s="4" t="s">
        <v>1280</v>
      </c>
      <c r="T63" s="4">
        <v>450</v>
      </c>
      <c r="U63" s="4">
        <f t="shared" si="2"/>
        <v>450</v>
      </c>
      <c r="V63" s="4">
        <v>270</v>
      </c>
      <c r="W63" s="4">
        <f t="shared" si="3"/>
        <v>270</v>
      </c>
      <c r="X63" s="4"/>
      <c r="Y63" s="21">
        <f t="shared" si="4"/>
        <v>330</v>
      </c>
      <c r="Z63" s="6">
        <f t="shared" si="5"/>
        <v>0.18181818181818177</v>
      </c>
      <c r="AA63" s="4">
        <v>0.25</v>
      </c>
      <c r="AB63" s="4" t="str">
        <f t="shared" si="6"/>
        <v>-</v>
      </c>
      <c r="AC63" s="4" t="str">
        <f t="shared" si="17"/>
        <v>-</v>
      </c>
      <c r="AD63" s="6" t="str">
        <f t="shared" si="18"/>
        <v>-</v>
      </c>
      <c r="AE63" s="4">
        <f t="shared" si="19"/>
        <v>427.5</v>
      </c>
      <c r="AF63" s="7">
        <v>420</v>
      </c>
      <c r="AG63" s="6">
        <f t="shared" si="7"/>
        <v>0.3571428571428571</v>
      </c>
      <c r="AH63" s="4">
        <f t="shared" si="8"/>
        <v>150</v>
      </c>
      <c r="AI63" s="28"/>
      <c r="AJ63" s="6"/>
      <c r="AK63" s="6"/>
      <c r="AL63" s="6">
        <f t="shared" si="9"/>
        <v>1.125</v>
      </c>
      <c r="AM63" s="6">
        <f t="shared" si="10"/>
        <v>1.4334470989761092</v>
      </c>
      <c r="AN63" s="6">
        <f t="shared" si="11"/>
        <v>1.125</v>
      </c>
      <c r="AO63" s="4" t="str">
        <f t="shared" si="12"/>
        <v>-</v>
      </c>
      <c r="AP63" s="4" t="str">
        <f t="shared" si="13"/>
        <v>-</v>
      </c>
      <c r="AQ63" s="4" t="str">
        <f t="shared" si="14"/>
        <v>-</v>
      </c>
      <c r="AR63" s="4">
        <v>0</v>
      </c>
      <c r="AS63" s="4" t="s">
        <v>1280</v>
      </c>
      <c r="AT63" s="4"/>
      <c r="AU63" s="4"/>
      <c r="AV63" s="4" t="s">
        <v>1280</v>
      </c>
      <c r="AW63" s="4" t="s">
        <v>1280</v>
      </c>
      <c r="AX63" s="4" t="s">
        <v>1280</v>
      </c>
      <c r="AY63" s="4" t="s">
        <v>1280</v>
      </c>
      <c r="AZ63" s="4" t="str">
        <f t="shared" si="15"/>
        <v>-</v>
      </c>
      <c r="BA63" s="19">
        <v>4</v>
      </c>
      <c r="BB63" s="19">
        <v>1</v>
      </c>
      <c r="BC63" s="16">
        <v>18</v>
      </c>
      <c r="BD63" t="s">
        <v>1280</v>
      </c>
      <c r="BE63" t="s">
        <v>1280</v>
      </c>
      <c r="BF63" t="s">
        <v>1280</v>
      </c>
      <c r="BG63" t="str">
        <f t="shared" si="20"/>
        <v>-</v>
      </c>
      <c r="BH63" t="s">
        <v>1280</v>
      </c>
      <c r="BI63" t="s">
        <v>1280</v>
      </c>
      <c r="BJ63" t="s">
        <v>1280</v>
      </c>
      <c r="BK63" t="str">
        <f t="shared" si="21"/>
        <v>-</v>
      </c>
      <c r="BL63" t="s">
        <v>1280</v>
      </c>
      <c r="BM63">
        <v>812</v>
      </c>
    </row>
    <row r="64" spans="1:65" x14ac:dyDescent="0.4">
      <c r="A64" s="3">
        <v>472</v>
      </c>
      <c r="B64" s="3">
        <v>472</v>
      </c>
      <c r="C64" s="4" t="s">
        <v>461</v>
      </c>
      <c r="D64" s="4" t="str">
        <f t="shared" si="0"/>
        <v>J54559</v>
      </c>
      <c r="E64" s="4" t="s">
        <v>461</v>
      </c>
      <c r="F64" s="4" t="str">
        <f t="shared" si="16"/>
        <v>J545595</v>
      </c>
      <c r="G64" s="4" t="s">
        <v>1105</v>
      </c>
      <c r="H64" s="5">
        <v>4974268563385</v>
      </c>
      <c r="I64" s="5">
        <v>5</v>
      </c>
      <c r="J64" s="5"/>
      <c r="K64" s="5">
        <v>1</v>
      </c>
      <c r="L64" s="5">
        <v>1</v>
      </c>
      <c r="M64" s="4">
        <v>3700</v>
      </c>
      <c r="N64" s="4">
        <v>3299</v>
      </c>
      <c r="O64" s="4">
        <v>2220</v>
      </c>
      <c r="P64" s="6">
        <f t="shared" si="1"/>
        <v>0.32706880872991817</v>
      </c>
      <c r="Q64" s="4" t="s">
        <v>1280</v>
      </c>
      <c r="R64" s="4" t="s">
        <v>1280</v>
      </c>
      <c r="S64" s="4" t="s">
        <v>1280</v>
      </c>
      <c r="T64" s="4">
        <v>450</v>
      </c>
      <c r="U64" s="4">
        <f t="shared" si="2"/>
        <v>4500</v>
      </c>
      <c r="V64" s="4">
        <v>270</v>
      </c>
      <c r="W64" s="4">
        <f t="shared" si="3"/>
        <v>2700</v>
      </c>
      <c r="X64" s="4">
        <v>10</v>
      </c>
      <c r="Y64" s="21">
        <f t="shared" si="4"/>
        <v>4012</v>
      </c>
      <c r="Z64" s="6">
        <f t="shared" si="5"/>
        <v>0.32701894317048852</v>
      </c>
      <c r="AA64" s="4">
        <v>1</v>
      </c>
      <c r="AB64" s="4">
        <f t="shared" si="6"/>
        <v>3047.5</v>
      </c>
      <c r="AC64" s="4">
        <f t="shared" si="17"/>
        <v>3706.4189189189187</v>
      </c>
      <c r="AD64" s="6">
        <f t="shared" si="18"/>
        <v>0.27153404429860539</v>
      </c>
      <c r="AE64" s="4">
        <f t="shared" si="19"/>
        <v>4275</v>
      </c>
      <c r="AF64" s="7">
        <v>3700</v>
      </c>
      <c r="AG64" s="6">
        <f t="shared" si="7"/>
        <v>0.27027027027027029</v>
      </c>
      <c r="AH64" s="4">
        <f t="shared" si="8"/>
        <v>1000</v>
      </c>
      <c r="AI64" s="28"/>
      <c r="AJ64" s="6"/>
      <c r="AK64" s="6"/>
      <c r="AL64" s="6">
        <f t="shared" si="9"/>
        <v>1.2162162162162162</v>
      </c>
      <c r="AM64" s="6">
        <f t="shared" si="10"/>
        <v>1.1215519854501363</v>
      </c>
      <c r="AN64" s="6">
        <f t="shared" si="11"/>
        <v>1.2162162162162162</v>
      </c>
      <c r="AO64" s="4" t="str">
        <f t="shared" si="12"/>
        <v>-</v>
      </c>
      <c r="AP64" s="4" t="str">
        <f t="shared" si="13"/>
        <v>-</v>
      </c>
      <c r="AQ64" s="4" t="str">
        <f t="shared" si="14"/>
        <v>-</v>
      </c>
      <c r="AR64" s="4">
        <v>0</v>
      </c>
      <c r="AS64" s="4" t="s">
        <v>2029</v>
      </c>
      <c r="AT64" s="4">
        <v>10</v>
      </c>
      <c r="AU64" s="4">
        <v>20</v>
      </c>
      <c r="AV64" s="4" t="s">
        <v>2030</v>
      </c>
      <c r="AW64" s="4">
        <v>6095</v>
      </c>
      <c r="AX64" s="4">
        <v>6095</v>
      </c>
      <c r="AY64" s="4">
        <v>6095</v>
      </c>
      <c r="AZ64" s="4">
        <f t="shared" si="15"/>
        <v>3047.5</v>
      </c>
      <c r="BA64" s="19">
        <v>4</v>
      </c>
      <c r="BB64" s="19">
        <v>8</v>
      </c>
      <c r="BC64" s="16">
        <v>18</v>
      </c>
      <c r="BD64" t="s">
        <v>1280</v>
      </c>
      <c r="BE64" t="s">
        <v>1280</v>
      </c>
      <c r="BF64" t="s">
        <v>1280</v>
      </c>
      <c r="BG64" t="str">
        <f t="shared" si="20"/>
        <v>-</v>
      </c>
      <c r="BH64" t="s">
        <v>1280</v>
      </c>
      <c r="BI64" t="s">
        <v>1280</v>
      </c>
      <c r="BJ64" t="s">
        <v>1280</v>
      </c>
      <c r="BK64" t="str">
        <f t="shared" si="21"/>
        <v>-</v>
      </c>
      <c r="BL64" t="s">
        <v>1543</v>
      </c>
      <c r="BM64">
        <v>812</v>
      </c>
    </row>
    <row r="65" spans="1:65" x14ac:dyDescent="0.4">
      <c r="A65" s="3">
        <v>1</v>
      </c>
      <c r="B65" s="3">
        <v>1</v>
      </c>
      <c r="C65" s="4">
        <v>67634</v>
      </c>
      <c r="D65" s="4" t="str">
        <f t="shared" si="0"/>
        <v>067634</v>
      </c>
      <c r="E65" s="4">
        <v>67634</v>
      </c>
      <c r="F65" s="4" t="str">
        <f t="shared" si="16"/>
        <v>0676345</v>
      </c>
      <c r="G65" s="4" t="s">
        <v>636</v>
      </c>
      <c r="H65" s="5">
        <v>4974268240613</v>
      </c>
      <c r="I65" s="5">
        <v>5</v>
      </c>
      <c r="J65" s="5"/>
      <c r="K65" s="5">
        <v>1</v>
      </c>
      <c r="L65" s="5">
        <v>1</v>
      </c>
      <c r="M65" s="4">
        <v>4400</v>
      </c>
      <c r="N65" s="4">
        <v>4062</v>
      </c>
      <c r="O65" s="4">
        <v>2640</v>
      </c>
      <c r="P65" s="6">
        <f t="shared" si="1"/>
        <v>0.35007385524372225</v>
      </c>
      <c r="Q65" s="4" t="s">
        <v>1280</v>
      </c>
      <c r="R65" s="4" t="s">
        <v>1280</v>
      </c>
      <c r="S65" s="4" t="s">
        <v>1280</v>
      </c>
      <c r="T65" s="4">
        <v>460</v>
      </c>
      <c r="U65" s="4">
        <f t="shared" si="2"/>
        <v>4600</v>
      </c>
      <c r="V65" s="4">
        <v>276</v>
      </c>
      <c r="W65" s="4">
        <f t="shared" si="3"/>
        <v>2760</v>
      </c>
      <c r="X65" s="4">
        <v>10</v>
      </c>
      <c r="Y65" s="21">
        <f t="shared" si="4"/>
        <v>4247</v>
      </c>
      <c r="Z65" s="6">
        <f t="shared" si="5"/>
        <v>0.35012950317871439</v>
      </c>
      <c r="AA65" s="4">
        <v>0</v>
      </c>
      <c r="AB65" s="4" t="str">
        <f t="shared" si="6"/>
        <v>-</v>
      </c>
      <c r="AC65" s="4" t="str">
        <f t="shared" si="17"/>
        <v>-</v>
      </c>
      <c r="AD65" s="6" t="str">
        <f t="shared" si="18"/>
        <v>-</v>
      </c>
      <c r="AE65" s="4">
        <f t="shared" si="19"/>
        <v>4370</v>
      </c>
      <c r="AF65" s="7">
        <v>4300</v>
      </c>
      <c r="AG65" s="6">
        <f t="shared" si="7"/>
        <v>0.35813953488372097</v>
      </c>
      <c r="AH65" s="4">
        <f t="shared" si="8"/>
        <v>1540</v>
      </c>
      <c r="AI65" s="28"/>
      <c r="AJ65" s="6" t="e">
        <f>1-W65/AI65</f>
        <v>#DIV/0!</v>
      </c>
      <c r="AK65" s="4">
        <f>AI65-W65</f>
        <v>-2760</v>
      </c>
      <c r="AL65" s="6">
        <f t="shared" si="9"/>
        <v>1.0454545454545454</v>
      </c>
      <c r="AM65" s="6">
        <f t="shared" si="10"/>
        <v>1.0585918266863614</v>
      </c>
      <c r="AN65" s="6">
        <f t="shared" si="11"/>
        <v>1.0454545454545454</v>
      </c>
      <c r="AO65" s="4" t="str">
        <f t="shared" si="12"/>
        <v>-</v>
      </c>
      <c r="AP65" s="4" t="str">
        <f t="shared" si="13"/>
        <v>-</v>
      </c>
      <c r="AQ65" s="4" t="str">
        <f t="shared" si="14"/>
        <v>-</v>
      </c>
      <c r="AR65" s="4">
        <v>0</v>
      </c>
      <c r="AS65" s="4" t="s">
        <v>1280</v>
      </c>
      <c r="AT65" s="4"/>
      <c r="AU65" s="4"/>
      <c r="AV65" s="4" t="s">
        <v>1280</v>
      </c>
      <c r="AW65" s="4" t="s">
        <v>1280</v>
      </c>
      <c r="AX65" s="4" t="s">
        <v>1280</v>
      </c>
      <c r="AY65" s="4" t="s">
        <v>1280</v>
      </c>
      <c r="AZ65" s="4" t="str">
        <f t="shared" si="15"/>
        <v>-</v>
      </c>
      <c r="BA65" s="19">
        <v>4</v>
      </c>
      <c r="BB65" s="19">
        <v>8</v>
      </c>
      <c r="BC65" s="16">
        <v>6</v>
      </c>
      <c r="BD65" t="s">
        <v>1280</v>
      </c>
      <c r="BE65" t="s">
        <v>1280</v>
      </c>
      <c r="BF65" t="s">
        <v>1280</v>
      </c>
      <c r="BG65" t="str">
        <f t="shared" si="20"/>
        <v>-</v>
      </c>
      <c r="BH65">
        <v>423</v>
      </c>
      <c r="BI65">
        <v>423</v>
      </c>
      <c r="BJ65">
        <v>423</v>
      </c>
      <c r="BK65">
        <f t="shared" si="21"/>
        <v>442.22727272727269</v>
      </c>
      <c r="BL65" t="s">
        <v>1280</v>
      </c>
      <c r="BM65">
        <v>812</v>
      </c>
    </row>
    <row r="66" spans="1:65" x14ac:dyDescent="0.4">
      <c r="A66" s="3">
        <v>45</v>
      </c>
      <c r="B66" s="3">
        <v>45</v>
      </c>
      <c r="C66" s="4">
        <v>453659</v>
      </c>
      <c r="D66" s="4" t="str">
        <f t="shared" si="0"/>
        <v>453659</v>
      </c>
      <c r="E66" s="4">
        <v>453659</v>
      </c>
      <c r="F66" s="4" t="str">
        <f t="shared" si="16"/>
        <v>4536595</v>
      </c>
      <c r="G66" s="4" t="s">
        <v>680</v>
      </c>
      <c r="H66" s="5">
        <v>4974268240569</v>
      </c>
      <c r="I66" s="5">
        <v>5</v>
      </c>
      <c r="J66" s="5"/>
      <c r="K66" s="5">
        <v>1</v>
      </c>
      <c r="L66" s="5">
        <v>1</v>
      </c>
      <c r="M66" s="4">
        <v>4400</v>
      </c>
      <c r="N66" s="4">
        <v>2447</v>
      </c>
      <c r="O66" s="4">
        <v>2640</v>
      </c>
      <c r="P66" s="6">
        <f t="shared" si="1"/>
        <v>-7.8872088271352725E-2</v>
      </c>
      <c r="Q66" s="4" t="s">
        <v>1280</v>
      </c>
      <c r="R66" s="4" t="s">
        <v>1280</v>
      </c>
      <c r="S66" s="4" t="s">
        <v>1280</v>
      </c>
      <c r="T66" s="4">
        <v>460</v>
      </c>
      <c r="U66" s="4">
        <f t="shared" si="2"/>
        <v>4600</v>
      </c>
      <c r="V66" s="4">
        <v>276</v>
      </c>
      <c r="W66" s="4">
        <f t="shared" si="3"/>
        <v>2760</v>
      </c>
      <c r="X66" s="4">
        <v>10</v>
      </c>
      <c r="Y66" s="21">
        <f t="shared" si="4"/>
        <v>2558</v>
      </c>
      <c r="Z66" s="6">
        <f t="shared" si="5"/>
        <v>-7.8967943706020227E-2</v>
      </c>
      <c r="AA66" s="4">
        <v>1.5</v>
      </c>
      <c r="AB66" s="4" t="str">
        <f t="shared" si="6"/>
        <v>-</v>
      </c>
      <c r="AC66" s="4" t="str">
        <f t="shared" si="17"/>
        <v>-</v>
      </c>
      <c r="AD66" s="6" t="str">
        <f t="shared" si="18"/>
        <v>-</v>
      </c>
      <c r="AE66" s="4">
        <f t="shared" si="19"/>
        <v>4370</v>
      </c>
      <c r="AF66" s="7">
        <v>4300</v>
      </c>
      <c r="AG66" s="6">
        <f t="shared" si="7"/>
        <v>0.35813953488372097</v>
      </c>
      <c r="AH66" s="4">
        <f t="shared" si="8"/>
        <v>1540</v>
      </c>
      <c r="AI66" s="28"/>
      <c r="AJ66" s="6"/>
      <c r="AK66" s="6"/>
      <c r="AL66" s="6">
        <f t="shared" si="9"/>
        <v>1.0454545454545454</v>
      </c>
      <c r="AM66" s="6">
        <f t="shared" si="10"/>
        <v>1.7572537801389456</v>
      </c>
      <c r="AN66" s="6">
        <f t="shared" si="11"/>
        <v>1.0454545454545454</v>
      </c>
      <c r="AO66" s="4" t="str">
        <f t="shared" si="12"/>
        <v>-</v>
      </c>
      <c r="AP66" s="4" t="str">
        <f t="shared" si="13"/>
        <v>-</v>
      </c>
      <c r="AQ66" s="4" t="str">
        <f t="shared" si="14"/>
        <v>-</v>
      </c>
      <c r="AR66" s="4">
        <v>0</v>
      </c>
      <c r="AS66" s="4" t="s">
        <v>1280</v>
      </c>
      <c r="AT66" s="4"/>
      <c r="AU66" s="4"/>
      <c r="AV66" s="4" t="s">
        <v>1280</v>
      </c>
      <c r="AW66" s="4" t="s">
        <v>1280</v>
      </c>
      <c r="AX66" s="4" t="s">
        <v>1280</v>
      </c>
      <c r="AY66" s="4" t="s">
        <v>1280</v>
      </c>
      <c r="AZ66" s="4" t="str">
        <f t="shared" si="15"/>
        <v>-</v>
      </c>
      <c r="BA66" s="19">
        <v>4</v>
      </c>
      <c r="BB66" s="19">
        <v>1</v>
      </c>
      <c r="BC66" s="16">
        <v>6</v>
      </c>
      <c r="BD66">
        <v>4400</v>
      </c>
      <c r="BE66">
        <v>4400</v>
      </c>
      <c r="BF66">
        <v>4400</v>
      </c>
      <c r="BG66">
        <f t="shared" si="20"/>
        <v>4600</v>
      </c>
      <c r="BH66">
        <v>423</v>
      </c>
      <c r="BI66">
        <v>423</v>
      </c>
      <c r="BJ66">
        <v>423</v>
      </c>
      <c r="BK66">
        <f t="shared" si="21"/>
        <v>442.22727272727269</v>
      </c>
      <c r="BL66" t="s">
        <v>1280</v>
      </c>
      <c r="BM66">
        <v>812</v>
      </c>
    </row>
    <row r="67" spans="1:65" x14ac:dyDescent="0.4">
      <c r="A67" s="3">
        <v>46</v>
      </c>
      <c r="B67" s="3">
        <v>46</v>
      </c>
      <c r="C67" s="4">
        <v>535887</v>
      </c>
      <c r="D67" s="4" t="str">
        <f t="shared" si="0"/>
        <v>535887</v>
      </c>
      <c r="E67" s="4">
        <v>535887</v>
      </c>
      <c r="F67" s="4" t="str">
        <f t="shared" si="16"/>
        <v>5358875</v>
      </c>
      <c r="G67" s="4" t="s">
        <v>681</v>
      </c>
      <c r="H67" s="5">
        <v>4974268563538</v>
      </c>
      <c r="I67" s="5">
        <v>5</v>
      </c>
      <c r="J67" s="5"/>
      <c r="K67" s="5">
        <v>1</v>
      </c>
      <c r="L67" s="5">
        <v>1</v>
      </c>
      <c r="M67" s="4">
        <v>430</v>
      </c>
      <c r="N67" s="4">
        <v>389</v>
      </c>
      <c r="O67" s="4">
        <v>258</v>
      </c>
      <c r="P67" s="6">
        <f t="shared" si="1"/>
        <v>0.33676092544987146</v>
      </c>
      <c r="Q67" s="4" t="s">
        <v>1280</v>
      </c>
      <c r="R67" s="4" t="s">
        <v>1280</v>
      </c>
      <c r="S67" s="4" t="s">
        <v>1280</v>
      </c>
      <c r="T67" s="4">
        <v>460</v>
      </c>
      <c r="U67" s="4">
        <f t="shared" si="2"/>
        <v>460</v>
      </c>
      <c r="V67" s="4">
        <v>276</v>
      </c>
      <c r="W67" s="4">
        <f t="shared" si="3"/>
        <v>276</v>
      </c>
      <c r="X67" s="4"/>
      <c r="Y67" s="21">
        <f t="shared" si="4"/>
        <v>416</v>
      </c>
      <c r="Z67" s="6">
        <f t="shared" si="5"/>
        <v>0.33653846153846156</v>
      </c>
      <c r="AA67" s="4">
        <v>5.25</v>
      </c>
      <c r="AB67" s="4" t="str">
        <f t="shared" si="6"/>
        <v>-</v>
      </c>
      <c r="AC67" s="4" t="str">
        <f t="shared" si="17"/>
        <v>-</v>
      </c>
      <c r="AD67" s="6" t="str">
        <f t="shared" si="18"/>
        <v>-</v>
      </c>
      <c r="AE67" s="4">
        <f t="shared" si="19"/>
        <v>437</v>
      </c>
      <c r="AF67" s="7">
        <v>430</v>
      </c>
      <c r="AG67" s="6">
        <f t="shared" si="7"/>
        <v>0.35813953488372097</v>
      </c>
      <c r="AH67" s="4">
        <f t="shared" si="8"/>
        <v>154</v>
      </c>
      <c r="AI67" s="28"/>
      <c r="AJ67" s="6"/>
      <c r="AK67" s="6"/>
      <c r="AL67" s="6">
        <f t="shared" si="9"/>
        <v>1.069767441860465</v>
      </c>
      <c r="AM67" s="6">
        <f t="shared" si="10"/>
        <v>1.1053984575835476</v>
      </c>
      <c r="AN67" s="6">
        <f t="shared" si="11"/>
        <v>1.069767441860465</v>
      </c>
      <c r="AO67" s="4" t="str">
        <f t="shared" si="12"/>
        <v>-</v>
      </c>
      <c r="AP67" s="4" t="str">
        <f t="shared" si="13"/>
        <v>-</v>
      </c>
      <c r="AQ67" s="4" t="str">
        <f t="shared" si="14"/>
        <v>-</v>
      </c>
      <c r="AR67" s="4">
        <v>0</v>
      </c>
      <c r="AS67" s="4" t="s">
        <v>1280</v>
      </c>
      <c r="AT67" s="4"/>
      <c r="AU67" s="4"/>
      <c r="AV67" s="4" t="s">
        <v>1280</v>
      </c>
      <c r="AW67" s="4" t="s">
        <v>1280</v>
      </c>
      <c r="AX67" s="4" t="s">
        <v>1280</v>
      </c>
      <c r="AY67" s="4" t="s">
        <v>1280</v>
      </c>
      <c r="AZ67" s="4" t="str">
        <f t="shared" si="15"/>
        <v>-</v>
      </c>
      <c r="BA67" s="19">
        <v>4</v>
      </c>
      <c r="BB67" s="19">
        <v>1</v>
      </c>
      <c r="BC67" s="16">
        <v>18</v>
      </c>
      <c r="BD67" t="s">
        <v>1280</v>
      </c>
      <c r="BE67" t="s">
        <v>1280</v>
      </c>
      <c r="BF67" t="s">
        <v>1280</v>
      </c>
      <c r="BG67" t="str">
        <f t="shared" si="20"/>
        <v>-</v>
      </c>
      <c r="BH67" t="s">
        <v>1280</v>
      </c>
      <c r="BI67" t="s">
        <v>1280</v>
      </c>
      <c r="BJ67" t="s">
        <v>1280</v>
      </c>
      <c r="BK67" t="str">
        <f t="shared" si="21"/>
        <v>-</v>
      </c>
      <c r="BL67" t="s">
        <v>1280</v>
      </c>
      <c r="BM67">
        <v>812</v>
      </c>
    </row>
    <row r="68" spans="1:65" x14ac:dyDescent="0.4">
      <c r="A68" s="3">
        <v>476</v>
      </c>
      <c r="B68" s="3">
        <v>476</v>
      </c>
      <c r="C68" s="4" t="s">
        <v>465</v>
      </c>
      <c r="D68" s="4" t="str">
        <f t="shared" ref="D68:D131" si="22">TEXT(C68,"000000")</f>
        <v>J54564</v>
      </c>
      <c r="E68" s="4" t="s">
        <v>465</v>
      </c>
      <c r="F68" s="4" t="str">
        <f t="shared" si="16"/>
        <v>J545645</v>
      </c>
      <c r="G68" s="4" t="s">
        <v>1109</v>
      </c>
      <c r="H68" s="5">
        <v>4974268563507</v>
      </c>
      <c r="I68" s="5">
        <v>5</v>
      </c>
      <c r="J68" s="5"/>
      <c r="K68" s="5">
        <v>1</v>
      </c>
      <c r="L68" s="5">
        <v>1</v>
      </c>
      <c r="M68" s="4">
        <v>3800</v>
      </c>
      <c r="N68" s="4">
        <v>3392</v>
      </c>
      <c r="O68" s="4">
        <v>2280</v>
      </c>
      <c r="P68" s="6">
        <f t="shared" ref="P68:P131" si="23">1-O68/N68</f>
        <v>0.32783018867924529</v>
      </c>
      <c r="Q68" s="4" t="s">
        <v>1280</v>
      </c>
      <c r="R68" s="4" t="s">
        <v>1280</v>
      </c>
      <c r="S68" s="4" t="s">
        <v>1280</v>
      </c>
      <c r="T68" s="4">
        <v>460</v>
      </c>
      <c r="U68" s="4">
        <f t="shared" ref="U68:U131" si="24">IF(X68="",T68,T68*X68)</f>
        <v>4600</v>
      </c>
      <c r="V68" s="4">
        <v>276</v>
      </c>
      <c r="W68" s="4">
        <f t="shared" ref="W68:W131" si="25">IF(X68="",V68,V68*X68)</f>
        <v>2760</v>
      </c>
      <c r="X68" s="4">
        <v>10</v>
      </c>
      <c r="Y68" s="21">
        <f t="shared" ref="Y68:Y131" si="26">ROUND(N68*AN68,0)</f>
        <v>4106</v>
      </c>
      <c r="Z68" s="6">
        <f t="shared" ref="Z68:Z131" si="27">1-W68/Y68</f>
        <v>0.32781295664880661</v>
      </c>
      <c r="AA68" s="4">
        <v>0</v>
      </c>
      <c r="AB68" s="4">
        <f t="shared" ref="AB68:AB131" si="28">AZ68</f>
        <v>3166</v>
      </c>
      <c r="AC68" s="4">
        <f t="shared" si="17"/>
        <v>3832.5263157894738</v>
      </c>
      <c r="AD68" s="6">
        <f t="shared" si="18"/>
        <v>0.27984838913455468</v>
      </c>
      <c r="AE68" s="4">
        <f t="shared" si="19"/>
        <v>4370</v>
      </c>
      <c r="AF68" s="7">
        <v>3832</v>
      </c>
      <c r="AG68" s="6">
        <f t="shared" ref="AG68:AG131" si="29">1-W68/AF68</f>
        <v>0.27974947807933193</v>
      </c>
      <c r="AH68" s="4">
        <f t="shared" ref="AH68:AH131" si="30">AF68-W68</f>
        <v>1072</v>
      </c>
      <c r="AI68" s="28"/>
      <c r="AJ68" s="6"/>
      <c r="AK68" s="6"/>
      <c r="AL68" s="6">
        <f t="shared" ref="AL68:AL131" si="31">U68/M68</f>
        <v>1.2105263157894737</v>
      </c>
      <c r="AM68" s="6">
        <f t="shared" ref="AM68:AM131" si="32">AF68/N68</f>
        <v>1.1297169811320755</v>
      </c>
      <c r="AN68" s="6">
        <f t="shared" ref="AN68:AN131" si="33">W68/O68</f>
        <v>1.2105263157894737</v>
      </c>
      <c r="AO68" s="4" t="str">
        <f t="shared" ref="AO68:AO131" si="34">IFERROR(ROUND($AF68*Q68/$N68,0),"-")</f>
        <v>-</v>
      </c>
      <c r="AP68" s="4" t="str">
        <f t="shared" ref="AP68:AP131" si="35">IF(R68="","-",R68)</f>
        <v>-</v>
      </c>
      <c r="AQ68" s="4" t="str">
        <f t="shared" ref="AQ68:AQ131" si="36">IF(S68="","-",S68)</f>
        <v>-</v>
      </c>
      <c r="AR68" s="4">
        <v>0</v>
      </c>
      <c r="AS68" s="4" t="s">
        <v>2033</v>
      </c>
      <c r="AT68" s="4">
        <v>10</v>
      </c>
      <c r="AU68" s="4">
        <v>20</v>
      </c>
      <c r="AV68" s="4" t="s">
        <v>2030</v>
      </c>
      <c r="AW68" s="4">
        <v>6332</v>
      </c>
      <c r="AX68" s="4">
        <v>6332</v>
      </c>
      <c r="AY68" s="4">
        <v>6332</v>
      </c>
      <c r="AZ68" s="4">
        <f t="shared" ref="AZ68:AZ131" si="37">IF(AT68="",AY68,AT68/AU68*AY68)</f>
        <v>3166</v>
      </c>
      <c r="BA68" s="19">
        <v>4</v>
      </c>
      <c r="BB68" s="19">
        <v>8</v>
      </c>
      <c r="BC68" s="16">
        <v>18</v>
      </c>
      <c r="BD68" t="s">
        <v>1280</v>
      </c>
      <c r="BE68" t="s">
        <v>1280</v>
      </c>
      <c r="BF68" t="s">
        <v>1280</v>
      </c>
      <c r="BG68" t="str">
        <f t="shared" si="20"/>
        <v>-</v>
      </c>
      <c r="BH68" t="s">
        <v>1280</v>
      </c>
      <c r="BI68" t="s">
        <v>1280</v>
      </c>
      <c r="BJ68" t="s">
        <v>1280</v>
      </c>
      <c r="BK68" t="str">
        <f t="shared" si="21"/>
        <v>-</v>
      </c>
      <c r="BL68" t="s">
        <v>1546</v>
      </c>
      <c r="BM68">
        <v>812</v>
      </c>
    </row>
    <row r="69" spans="1:65" x14ac:dyDescent="0.4">
      <c r="A69" s="3">
        <v>556</v>
      </c>
      <c r="B69" s="3">
        <v>556</v>
      </c>
      <c r="C69" s="4" t="s">
        <v>545</v>
      </c>
      <c r="D69" s="4" t="str">
        <f t="shared" si="22"/>
        <v>J918SA</v>
      </c>
      <c r="E69" s="4" t="s">
        <v>545</v>
      </c>
      <c r="F69" s="4" t="str">
        <f t="shared" ref="F69:F132" si="38">D69&amp;I69</f>
        <v>J918SA5</v>
      </c>
      <c r="G69" s="4" t="s">
        <v>1189</v>
      </c>
      <c r="H69" s="5">
        <v>4974268145420</v>
      </c>
      <c r="I69" s="5">
        <v>5</v>
      </c>
      <c r="J69" s="5"/>
      <c r="K69" s="5">
        <v>1</v>
      </c>
      <c r="L69" s="5">
        <v>1</v>
      </c>
      <c r="M69" s="4">
        <v>430</v>
      </c>
      <c r="N69" s="4">
        <v>438</v>
      </c>
      <c r="O69" s="4">
        <v>258</v>
      </c>
      <c r="P69" s="6">
        <f t="shared" si="23"/>
        <v>0.41095890410958902</v>
      </c>
      <c r="Q69" s="4" t="s">
        <v>1280</v>
      </c>
      <c r="R69" s="4" t="s">
        <v>1280</v>
      </c>
      <c r="S69" s="4" t="s">
        <v>1280</v>
      </c>
      <c r="T69" s="4">
        <v>460</v>
      </c>
      <c r="U69" s="4">
        <f t="shared" si="24"/>
        <v>460</v>
      </c>
      <c r="V69" s="4">
        <v>276</v>
      </c>
      <c r="W69" s="4">
        <f t="shared" si="25"/>
        <v>276</v>
      </c>
      <c r="X69" s="4"/>
      <c r="Y69" s="21">
        <f t="shared" si="26"/>
        <v>469</v>
      </c>
      <c r="Z69" s="6">
        <f t="shared" si="27"/>
        <v>0.41151385927505335</v>
      </c>
      <c r="AA69" s="4">
        <v>1.25</v>
      </c>
      <c r="AB69" s="4">
        <f t="shared" si="28"/>
        <v>499</v>
      </c>
      <c r="AC69" s="4">
        <f t="shared" ref="AC69:AC132" si="39">IFERROR(AB69*AN69,"-")</f>
        <v>533.81395348837202</v>
      </c>
      <c r="AD69" s="6">
        <f t="shared" ref="AD69:AD132" si="40">IFERROR(1-W69/AC69,"-")</f>
        <v>0.48296593186372738</v>
      </c>
      <c r="AE69" s="4">
        <f t="shared" ref="AE69:AE132" si="41">U69*0.95</f>
        <v>437</v>
      </c>
      <c r="AF69" s="7">
        <v>430</v>
      </c>
      <c r="AG69" s="6">
        <f t="shared" si="29"/>
        <v>0.35813953488372097</v>
      </c>
      <c r="AH69" s="4">
        <f t="shared" si="30"/>
        <v>154</v>
      </c>
      <c r="AI69" s="28"/>
      <c r="AJ69" s="6"/>
      <c r="AK69" s="6"/>
      <c r="AL69" s="6">
        <f t="shared" si="31"/>
        <v>1.069767441860465</v>
      </c>
      <c r="AM69" s="6">
        <f t="shared" si="32"/>
        <v>0.9817351598173516</v>
      </c>
      <c r="AN69" s="6">
        <f t="shared" si="33"/>
        <v>1.069767441860465</v>
      </c>
      <c r="AO69" s="4" t="str">
        <f t="shared" si="34"/>
        <v>-</v>
      </c>
      <c r="AP69" s="4" t="str">
        <f t="shared" si="35"/>
        <v>-</v>
      </c>
      <c r="AQ69" s="4" t="str">
        <f t="shared" si="36"/>
        <v>-</v>
      </c>
      <c r="AR69" s="4">
        <v>0</v>
      </c>
      <c r="AS69" s="4" t="s">
        <v>2111</v>
      </c>
      <c r="AT69" s="4"/>
      <c r="AU69" s="4"/>
      <c r="AV69" s="4" t="s">
        <v>2112</v>
      </c>
      <c r="AW69" s="4">
        <v>499</v>
      </c>
      <c r="AX69" s="4">
        <v>499</v>
      </c>
      <c r="AY69" s="4">
        <v>499</v>
      </c>
      <c r="AZ69" s="4">
        <f t="shared" si="37"/>
        <v>499</v>
      </c>
      <c r="BA69" s="19">
        <v>4</v>
      </c>
      <c r="BB69" s="19">
        <v>8</v>
      </c>
      <c r="BC69" s="16">
        <v>18</v>
      </c>
      <c r="BD69" t="s">
        <v>1280</v>
      </c>
      <c r="BE69" t="s">
        <v>1280</v>
      </c>
      <c r="BF69" t="s">
        <v>1280</v>
      </c>
      <c r="BG69" t="str">
        <f t="shared" ref="BG69:BG132" si="42">IFERROR(BF69*AN69,"-")</f>
        <v>-</v>
      </c>
      <c r="BH69">
        <v>405</v>
      </c>
      <c r="BI69">
        <v>405</v>
      </c>
      <c r="BJ69">
        <v>405</v>
      </c>
      <c r="BK69">
        <f t="shared" ref="BK69:BK132" si="43">IFERROR(BJ69*AN69,"-")</f>
        <v>433.25581395348831</v>
      </c>
      <c r="BL69" t="s">
        <v>1607</v>
      </c>
      <c r="BM69">
        <v>812</v>
      </c>
    </row>
    <row r="70" spans="1:65" x14ac:dyDescent="0.4">
      <c r="A70" s="3">
        <v>140</v>
      </c>
      <c r="B70" s="3">
        <v>140</v>
      </c>
      <c r="C70" s="4" t="s">
        <v>129</v>
      </c>
      <c r="D70" s="4" t="str">
        <f t="shared" si="22"/>
        <v>J1821W</v>
      </c>
      <c r="E70" s="4" t="s">
        <v>129</v>
      </c>
      <c r="F70" s="4" t="str">
        <f t="shared" si="38"/>
        <v>J1821W5</v>
      </c>
      <c r="G70" s="4" t="s">
        <v>775</v>
      </c>
      <c r="H70" s="5">
        <v>4974268153517</v>
      </c>
      <c r="I70" s="5">
        <v>5</v>
      </c>
      <c r="J70" s="5"/>
      <c r="K70" s="5">
        <v>1</v>
      </c>
      <c r="L70" s="5">
        <v>1</v>
      </c>
      <c r="M70" s="4">
        <v>3800</v>
      </c>
      <c r="N70" s="4">
        <v>3610</v>
      </c>
      <c r="O70" s="4">
        <v>2660</v>
      </c>
      <c r="P70" s="6">
        <f t="shared" si="23"/>
        <v>0.26315789473684215</v>
      </c>
      <c r="Q70" s="4" t="s">
        <v>1280</v>
      </c>
      <c r="R70" s="4" t="s">
        <v>1280</v>
      </c>
      <c r="S70" s="4" t="s">
        <v>1280</v>
      </c>
      <c r="T70" s="4">
        <v>410</v>
      </c>
      <c r="U70" s="4">
        <f t="shared" si="24"/>
        <v>4100</v>
      </c>
      <c r="V70" s="4">
        <v>287</v>
      </c>
      <c r="W70" s="4">
        <f t="shared" si="25"/>
        <v>2870</v>
      </c>
      <c r="X70" s="4">
        <v>10</v>
      </c>
      <c r="Y70" s="21">
        <f t="shared" si="26"/>
        <v>3895</v>
      </c>
      <c r="Z70" s="6">
        <f t="shared" si="27"/>
        <v>0.26315789473684215</v>
      </c>
      <c r="AA70" s="4">
        <v>0</v>
      </c>
      <c r="AB70" s="4" t="str">
        <f t="shared" si="28"/>
        <v>-</v>
      </c>
      <c r="AC70" s="4" t="str">
        <f t="shared" si="39"/>
        <v>-</v>
      </c>
      <c r="AD70" s="6" t="str">
        <f t="shared" si="40"/>
        <v>-</v>
      </c>
      <c r="AE70" s="4">
        <f t="shared" si="41"/>
        <v>3895</v>
      </c>
      <c r="AF70" s="7">
        <v>4100</v>
      </c>
      <c r="AG70" s="6">
        <f t="shared" si="29"/>
        <v>0.30000000000000004</v>
      </c>
      <c r="AH70" s="4">
        <f t="shared" si="30"/>
        <v>1230</v>
      </c>
      <c r="AI70" s="28"/>
      <c r="AJ70" s="6"/>
      <c r="AK70" s="6"/>
      <c r="AL70" s="6">
        <f t="shared" si="31"/>
        <v>1.0789473684210527</v>
      </c>
      <c r="AM70" s="6">
        <f t="shared" si="32"/>
        <v>1.1357340720221607</v>
      </c>
      <c r="AN70" s="6">
        <f t="shared" si="33"/>
        <v>1.0789473684210527</v>
      </c>
      <c r="AO70" s="4" t="str">
        <f t="shared" si="34"/>
        <v>-</v>
      </c>
      <c r="AP70" s="4" t="str">
        <f t="shared" si="35"/>
        <v>-</v>
      </c>
      <c r="AQ70" s="4" t="str">
        <f t="shared" si="36"/>
        <v>-</v>
      </c>
      <c r="AR70" s="4">
        <v>0</v>
      </c>
      <c r="AS70" s="4" t="s">
        <v>1280</v>
      </c>
      <c r="AT70" s="4"/>
      <c r="AU70" s="4"/>
      <c r="AV70" s="4" t="s">
        <v>1280</v>
      </c>
      <c r="AW70" s="4" t="s">
        <v>1280</v>
      </c>
      <c r="AX70" s="4" t="s">
        <v>1280</v>
      </c>
      <c r="AY70" s="4" t="s">
        <v>1280</v>
      </c>
      <c r="AZ70" s="4" t="str">
        <f t="shared" si="37"/>
        <v>-</v>
      </c>
      <c r="BA70" s="19">
        <v>4</v>
      </c>
      <c r="BB70" s="19">
        <v>8</v>
      </c>
      <c r="BC70" s="16">
        <v>19</v>
      </c>
      <c r="BD70" t="s">
        <v>1280</v>
      </c>
      <c r="BE70" t="s">
        <v>1280</v>
      </c>
      <c r="BF70" t="s">
        <v>1280</v>
      </c>
      <c r="BG70" t="str">
        <f t="shared" si="42"/>
        <v>-</v>
      </c>
      <c r="BH70" t="s">
        <v>1280</v>
      </c>
      <c r="BI70" t="s">
        <v>1280</v>
      </c>
      <c r="BJ70" t="s">
        <v>1280</v>
      </c>
      <c r="BK70" t="str">
        <f t="shared" si="43"/>
        <v>-</v>
      </c>
      <c r="BL70" t="s">
        <v>1280</v>
      </c>
      <c r="BM70">
        <v>812</v>
      </c>
    </row>
    <row r="71" spans="1:65" x14ac:dyDescent="0.4">
      <c r="A71" s="3">
        <v>47</v>
      </c>
      <c r="B71" s="3">
        <v>47</v>
      </c>
      <c r="C71" s="4">
        <v>535896</v>
      </c>
      <c r="D71" s="4" t="str">
        <f t="shared" si="22"/>
        <v>535896</v>
      </c>
      <c r="E71" s="4">
        <v>535896</v>
      </c>
      <c r="F71" s="4" t="str">
        <f t="shared" si="38"/>
        <v>5358965</v>
      </c>
      <c r="G71" s="4" t="s">
        <v>682</v>
      </c>
      <c r="H71" s="5">
        <v>4974268563750</v>
      </c>
      <c r="I71" s="5">
        <v>5</v>
      </c>
      <c r="J71" s="5"/>
      <c r="K71" s="5">
        <v>1</v>
      </c>
      <c r="L71" s="5">
        <v>1</v>
      </c>
      <c r="M71" s="4">
        <v>450</v>
      </c>
      <c r="N71" s="4">
        <v>397</v>
      </c>
      <c r="O71" s="4">
        <v>270</v>
      </c>
      <c r="P71" s="6">
        <f t="shared" si="23"/>
        <v>0.31989924433249373</v>
      </c>
      <c r="Q71" s="4" t="s">
        <v>1280</v>
      </c>
      <c r="R71" s="4" t="s">
        <v>1280</v>
      </c>
      <c r="S71" s="4" t="s">
        <v>1280</v>
      </c>
      <c r="T71" s="4">
        <v>480</v>
      </c>
      <c r="U71" s="4">
        <f t="shared" si="24"/>
        <v>480</v>
      </c>
      <c r="V71" s="4">
        <v>288</v>
      </c>
      <c r="W71" s="4">
        <f t="shared" si="25"/>
        <v>288</v>
      </c>
      <c r="X71" s="4"/>
      <c r="Y71" s="21">
        <f t="shared" si="26"/>
        <v>423</v>
      </c>
      <c r="Z71" s="6">
        <f t="shared" si="27"/>
        <v>0.31914893617021278</v>
      </c>
      <c r="AA71" s="4">
        <v>10.75</v>
      </c>
      <c r="AB71" s="4" t="str">
        <f t="shared" si="28"/>
        <v>-</v>
      </c>
      <c r="AC71" s="4" t="str">
        <f t="shared" si="39"/>
        <v>-</v>
      </c>
      <c r="AD71" s="6" t="str">
        <f t="shared" si="40"/>
        <v>-</v>
      </c>
      <c r="AE71" s="4">
        <f t="shared" si="41"/>
        <v>456</v>
      </c>
      <c r="AF71" s="7">
        <v>450</v>
      </c>
      <c r="AG71" s="6">
        <f t="shared" si="29"/>
        <v>0.36</v>
      </c>
      <c r="AH71" s="4">
        <f t="shared" si="30"/>
        <v>162</v>
      </c>
      <c r="AI71" s="28"/>
      <c r="AJ71" s="6"/>
      <c r="AK71" s="6"/>
      <c r="AL71" s="6">
        <f t="shared" si="31"/>
        <v>1.0666666666666667</v>
      </c>
      <c r="AM71" s="6">
        <f t="shared" si="32"/>
        <v>1.1335012594458438</v>
      </c>
      <c r="AN71" s="6">
        <f t="shared" si="33"/>
        <v>1.0666666666666667</v>
      </c>
      <c r="AO71" s="4" t="str">
        <f t="shared" si="34"/>
        <v>-</v>
      </c>
      <c r="AP71" s="4" t="str">
        <f t="shared" si="35"/>
        <v>-</v>
      </c>
      <c r="AQ71" s="4" t="str">
        <f t="shared" si="36"/>
        <v>-</v>
      </c>
      <c r="AR71" s="4">
        <v>0</v>
      </c>
      <c r="AS71" s="4" t="s">
        <v>1280</v>
      </c>
      <c r="AT71" s="4"/>
      <c r="AU71" s="4"/>
      <c r="AV71" s="4" t="s">
        <v>1280</v>
      </c>
      <c r="AW71" s="4" t="s">
        <v>1280</v>
      </c>
      <c r="AX71" s="4" t="s">
        <v>1280</v>
      </c>
      <c r="AY71" s="4" t="s">
        <v>1280</v>
      </c>
      <c r="AZ71" s="4" t="str">
        <f t="shared" si="37"/>
        <v>-</v>
      </c>
      <c r="BA71" s="19">
        <v>4</v>
      </c>
      <c r="BB71" s="19">
        <v>1</v>
      </c>
      <c r="BC71" s="16">
        <v>18</v>
      </c>
      <c r="BD71" t="s">
        <v>1280</v>
      </c>
      <c r="BE71" t="s">
        <v>1280</v>
      </c>
      <c r="BF71" t="s">
        <v>1280</v>
      </c>
      <c r="BG71" t="str">
        <f t="shared" si="42"/>
        <v>-</v>
      </c>
      <c r="BH71" t="s">
        <v>1280</v>
      </c>
      <c r="BI71" t="s">
        <v>1280</v>
      </c>
      <c r="BJ71" t="s">
        <v>1280</v>
      </c>
      <c r="BK71" t="str">
        <f t="shared" si="43"/>
        <v>-</v>
      </c>
      <c r="BL71" t="s">
        <v>1280</v>
      </c>
      <c r="BM71">
        <v>812</v>
      </c>
    </row>
    <row r="72" spans="1:65" x14ac:dyDescent="0.4">
      <c r="A72" s="3">
        <v>67</v>
      </c>
      <c r="B72" s="3">
        <v>67</v>
      </c>
      <c r="C72" s="4">
        <v>921523</v>
      </c>
      <c r="D72" s="4" t="str">
        <f t="shared" si="22"/>
        <v>921523</v>
      </c>
      <c r="E72" s="4">
        <v>921523</v>
      </c>
      <c r="F72" s="4" t="str">
        <f t="shared" si="38"/>
        <v>9215235</v>
      </c>
      <c r="G72" s="4" t="s">
        <v>702</v>
      </c>
      <c r="H72" s="5">
        <v>4974268550859</v>
      </c>
      <c r="I72" s="5">
        <v>5</v>
      </c>
      <c r="J72" s="5"/>
      <c r="K72" s="5">
        <v>1</v>
      </c>
      <c r="L72" s="5">
        <v>1</v>
      </c>
      <c r="M72" s="4">
        <v>440</v>
      </c>
      <c r="N72" s="4">
        <v>427</v>
      </c>
      <c r="O72" s="4">
        <v>264</v>
      </c>
      <c r="P72" s="6">
        <f t="shared" si="23"/>
        <v>0.38173302107728335</v>
      </c>
      <c r="Q72" s="4" t="s">
        <v>1280</v>
      </c>
      <c r="R72" s="4" t="s">
        <v>1280</v>
      </c>
      <c r="S72" s="4" t="s">
        <v>1280</v>
      </c>
      <c r="T72" s="4">
        <v>480</v>
      </c>
      <c r="U72" s="4">
        <f t="shared" si="24"/>
        <v>480</v>
      </c>
      <c r="V72" s="4">
        <v>288</v>
      </c>
      <c r="W72" s="4">
        <f t="shared" si="25"/>
        <v>288</v>
      </c>
      <c r="X72" s="4"/>
      <c r="Y72" s="21">
        <f t="shared" si="26"/>
        <v>466</v>
      </c>
      <c r="Z72" s="6">
        <f t="shared" si="27"/>
        <v>0.38197424892703857</v>
      </c>
      <c r="AA72" s="4">
        <v>7.5</v>
      </c>
      <c r="AB72" s="4">
        <f t="shared" si="28"/>
        <v>433</v>
      </c>
      <c r="AC72" s="4">
        <f t="shared" si="39"/>
        <v>472.36363636363632</v>
      </c>
      <c r="AD72" s="6">
        <f t="shared" si="40"/>
        <v>0.39030023094688215</v>
      </c>
      <c r="AE72" s="4">
        <f t="shared" si="41"/>
        <v>456</v>
      </c>
      <c r="AF72" s="7">
        <v>450</v>
      </c>
      <c r="AG72" s="6">
        <f t="shared" si="29"/>
        <v>0.36</v>
      </c>
      <c r="AH72" s="4">
        <f t="shared" si="30"/>
        <v>162</v>
      </c>
      <c r="AI72" s="28"/>
      <c r="AJ72" s="6"/>
      <c r="AK72" s="6"/>
      <c r="AL72" s="6">
        <f t="shared" si="31"/>
        <v>1.0909090909090908</v>
      </c>
      <c r="AM72" s="6">
        <f t="shared" si="32"/>
        <v>1.053864168618267</v>
      </c>
      <c r="AN72" s="6">
        <f t="shared" si="33"/>
        <v>1.0909090909090908</v>
      </c>
      <c r="AO72" s="4" t="str">
        <f t="shared" si="34"/>
        <v>-</v>
      </c>
      <c r="AP72" s="4" t="str">
        <f t="shared" si="35"/>
        <v>-</v>
      </c>
      <c r="AQ72" s="4" t="str">
        <f t="shared" si="36"/>
        <v>-</v>
      </c>
      <c r="AR72" s="4" t="s">
        <v>1286</v>
      </c>
      <c r="AS72" s="4" t="s">
        <v>1759</v>
      </c>
      <c r="AT72" s="4"/>
      <c r="AU72" s="4"/>
      <c r="AV72" s="4" t="s">
        <v>1758</v>
      </c>
      <c r="AW72" s="4">
        <v>433</v>
      </c>
      <c r="AX72" s="4">
        <v>433</v>
      </c>
      <c r="AY72" s="4">
        <v>433</v>
      </c>
      <c r="AZ72" s="4">
        <f t="shared" si="37"/>
        <v>433</v>
      </c>
      <c r="BA72" s="19">
        <v>4</v>
      </c>
      <c r="BB72" s="19">
        <v>1</v>
      </c>
      <c r="BC72" s="16">
        <v>19</v>
      </c>
      <c r="BD72" t="s">
        <v>1280</v>
      </c>
      <c r="BE72" t="s">
        <v>1280</v>
      </c>
      <c r="BF72" t="s">
        <v>1280</v>
      </c>
      <c r="BG72" t="str">
        <f t="shared" si="42"/>
        <v>-</v>
      </c>
      <c r="BH72">
        <v>365</v>
      </c>
      <c r="BI72">
        <v>365</v>
      </c>
      <c r="BJ72">
        <v>365</v>
      </c>
      <c r="BK72">
        <f t="shared" si="43"/>
        <v>398.18181818181813</v>
      </c>
      <c r="BL72" t="s">
        <v>1339</v>
      </c>
      <c r="BM72">
        <v>812</v>
      </c>
    </row>
    <row r="73" spans="1:65" x14ac:dyDescent="0.4">
      <c r="A73" s="3">
        <v>68</v>
      </c>
      <c r="B73" s="3">
        <v>68</v>
      </c>
      <c r="C73" s="4">
        <v>921524</v>
      </c>
      <c r="D73" s="4" t="str">
        <f t="shared" si="22"/>
        <v>921524</v>
      </c>
      <c r="E73" s="4">
        <v>921524</v>
      </c>
      <c r="F73" s="4" t="str">
        <f t="shared" si="38"/>
        <v>9215245</v>
      </c>
      <c r="G73" s="4" t="s">
        <v>703</v>
      </c>
      <c r="H73" s="5">
        <v>4974268550873</v>
      </c>
      <c r="I73" s="5">
        <v>5</v>
      </c>
      <c r="J73" s="5"/>
      <c r="K73" s="5">
        <v>1</v>
      </c>
      <c r="L73" s="5">
        <v>1</v>
      </c>
      <c r="M73" s="4">
        <v>440</v>
      </c>
      <c r="N73" s="4">
        <v>427</v>
      </c>
      <c r="O73" s="4">
        <v>264</v>
      </c>
      <c r="P73" s="6">
        <f t="shared" si="23"/>
        <v>0.38173302107728335</v>
      </c>
      <c r="Q73" s="4" t="s">
        <v>1280</v>
      </c>
      <c r="R73" s="4" t="s">
        <v>1280</v>
      </c>
      <c r="S73" s="4" t="s">
        <v>1280</v>
      </c>
      <c r="T73" s="4">
        <v>480</v>
      </c>
      <c r="U73" s="4">
        <f t="shared" si="24"/>
        <v>480</v>
      </c>
      <c r="V73" s="4">
        <v>288</v>
      </c>
      <c r="W73" s="4">
        <f t="shared" si="25"/>
        <v>288</v>
      </c>
      <c r="X73" s="4"/>
      <c r="Y73" s="21">
        <f t="shared" si="26"/>
        <v>466</v>
      </c>
      <c r="Z73" s="6">
        <f t="shared" si="27"/>
        <v>0.38197424892703857</v>
      </c>
      <c r="AA73" s="4">
        <v>2.5</v>
      </c>
      <c r="AB73" s="4">
        <f t="shared" si="28"/>
        <v>433</v>
      </c>
      <c r="AC73" s="4">
        <f t="shared" si="39"/>
        <v>472.36363636363632</v>
      </c>
      <c r="AD73" s="6">
        <f t="shared" si="40"/>
        <v>0.39030023094688215</v>
      </c>
      <c r="AE73" s="4">
        <f t="shared" si="41"/>
        <v>456</v>
      </c>
      <c r="AF73" s="7">
        <v>450</v>
      </c>
      <c r="AG73" s="6">
        <f t="shared" si="29"/>
        <v>0.36</v>
      </c>
      <c r="AH73" s="4">
        <f t="shared" si="30"/>
        <v>162</v>
      </c>
      <c r="AI73" s="28"/>
      <c r="AJ73" s="6"/>
      <c r="AK73" s="6"/>
      <c r="AL73" s="6">
        <f t="shared" si="31"/>
        <v>1.0909090909090908</v>
      </c>
      <c r="AM73" s="6">
        <f t="shared" si="32"/>
        <v>1.053864168618267</v>
      </c>
      <c r="AN73" s="6">
        <f t="shared" si="33"/>
        <v>1.0909090909090908</v>
      </c>
      <c r="AO73" s="4" t="str">
        <f t="shared" si="34"/>
        <v>-</v>
      </c>
      <c r="AP73" s="4" t="str">
        <f t="shared" si="35"/>
        <v>-</v>
      </c>
      <c r="AQ73" s="4" t="str">
        <f t="shared" si="36"/>
        <v>-</v>
      </c>
      <c r="AR73" s="4" t="s">
        <v>1286</v>
      </c>
      <c r="AS73" s="4" t="s">
        <v>1760</v>
      </c>
      <c r="AT73" s="4"/>
      <c r="AU73" s="4"/>
      <c r="AV73" s="4" t="s">
        <v>1758</v>
      </c>
      <c r="AW73" s="4">
        <v>433</v>
      </c>
      <c r="AX73" s="4">
        <v>433</v>
      </c>
      <c r="AY73" s="4">
        <v>433</v>
      </c>
      <c r="AZ73" s="4">
        <f t="shared" si="37"/>
        <v>433</v>
      </c>
      <c r="BA73" s="19">
        <v>4</v>
      </c>
      <c r="BB73" s="19">
        <v>1</v>
      </c>
      <c r="BC73" s="16">
        <v>19</v>
      </c>
      <c r="BD73" t="s">
        <v>1280</v>
      </c>
      <c r="BE73" t="s">
        <v>1280</v>
      </c>
      <c r="BF73" t="s">
        <v>1280</v>
      </c>
      <c r="BG73" t="str">
        <f t="shared" si="42"/>
        <v>-</v>
      </c>
      <c r="BH73">
        <v>365</v>
      </c>
      <c r="BI73">
        <v>365</v>
      </c>
      <c r="BJ73">
        <v>365</v>
      </c>
      <c r="BK73">
        <f t="shared" si="43"/>
        <v>398.18181818181813</v>
      </c>
      <c r="BL73" t="s">
        <v>1340</v>
      </c>
      <c r="BM73">
        <v>812</v>
      </c>
    </row>
    <row r="74" spans="1:65" x14ac:dyDescent="0.4">
      <c r="A74" s="3">
        <v>87</v>
      </c>
      <c r="B74" s="3">
        <v>87</v>
      </c>
      <c r="C74" s="4" t="s">
        <v>76</v>
      </c>
      <c r="D74" s="4" t="str">
        <f t="shared" si="22"/>
        <v>J0850T</v>
      </c>
      <c r="E74" s="4" t="s">
        <v>76</v>
      </c>
      <c r="F74" s="4" t="str">
        <f t="shared" si="38"/>
        <v>J0850T5</v>
      </c>
      <c r="G74" s="4" t="s">
        <v>722</v>
      </c>
      <c r="H74" s="5">
        <v>4974268035516</v>
      </c>
      <c r="I74" s="5">
        <v>5</v>
      </c>
      <c r="J74" s="5"/>
      <c r="K74" s="5">
        <v>1</v>
      </c>
      <c r="L74" s="5">
        <v>1</v>
      </c>
      <c r="M74" s="4">
        <v>440</v>
      </c>
      <c r="N74" s="4">
        <v>380</v>
      </c>
      <c r="O74" s="4">
        <v>264</v>
      </c>
      <c r="P74" s="6">
        <f t="shared" si="23"/>
        <v>0.30526315789473679</v>
      </c>
      <c r="Q74" s="4" t="s">
        <v>1280</v>
      </c>
      <c r="R74" s="4" t="s">
        <v>1280</v>
      </c>
      <c r="S74" s="4" t="s">
        <v>1280</v>
      </c>
      <c r="T74" s="4">
        <v>480</v>
      </c>
      <c r="U74" s="4">
        <f t="shared" si="24"/>
        <v>480</v>
      </c>
      <c r="V74" s="4">
        <v>288</v>
      </c>
      <c r="W74" s="4">
        <f t="shared" si="25"/>
        <v>288</v>
      </c>
      <c r="X74" s="4"/>
      <c r="Y74" s="21">
        <f t="shared" si="26"/>
        <v>415</v>
      </c>
      <c r="Z74" s="6">
        <f t="shared" si="27"/>
        <v>0.30602409638554218</v>
      </c>
      <c r="AA74" s="4">
        <v>0</v>
      </c>
      <c r="AB74" s="4">
        <f t="shared" si="28"/>
        <v>419</v>
      </c>
      <c r="AC74" s="4">
        <f t="shared" si="39"/>
        <v>457.09090909090907</v>
      </c>
      <c r="AD74" s="6">
        <f t="shared" si="40"/>
        <v>0.36992840095465396</v>
      </c>
      <c r="AE74" s="4">
        <f t="shared" si="41"/>
        <v>456</v>
      </c>
      <c r="AF74" s="7">
        <v>450</v>
      </c>
      <c r="AG74" s="6">
        <f t="shared" si="29"/>
        <v>0.36</v>
      </c>
      <c r="AH74" s="4">
        <f t="shared" si="30"/>
        <v>162</v>
      </c>
      <c r="AI74" s="28"/>
      <c r="AJ74" s="6"/>
      <c r="AK74" s="6"/>
      <c r="AL74" s="6">
        <f t="shared" si="31"/>
        <v>1.0909090909090908</v>
      </c>
      <c r="AM74" s="6">
        <f t="shared" si="32"/>
        <v>1.1842105263157894</v>
      </c>
      <c r="AN74" s="6">
        <f t="shared" si="33"/>
        <v>1.0909090909090908</v>
      </c>
      <c r="AO74" s="4" t="str">
        <f t="shared" si="34"/>
        <v>-</v>
      </c>
      <c r="AP74" s="4" t="str">
        <f t="shared" si="35"/>
        <v>-</v>
      </c>
      <c r="AQ74" s="4" t="str">
        <f t="shared" si="36"/>
        <v>-</v>
      </c>
      <c r="AR74" s="4">
        <v>0</v>
      </c>
      <c r="AS74" s="4" t="s">
        <v>1770</v>
      </c>
      <c r="AT74" s="4"/>
      <c r="AU74" s="4"/>
      <c r="AV74" s="4" t="s">
        <v>1743</v>
      </c>
      <c r="AW74" s="4">
        <v>419</v>
      </c>
      <c r="AX74" s="4">
        <v>419</v>
      </c>
      <c r="AY74" s="4">
        <v>419</v>
      </c>
      <c r="AZ74" s="4">
        <f t="shared" si="37"/>
        <v>419</v>
      </c>
      <c r="BA74" s="19">
        <v>4</v>
      </c>
      <c r="BB74" s="19">
        <v>8</v>
      </c>
      <c r="BC74" s="16">
        <v>19</v>
      </c>
      <c r="BD74" t="s">
        <v>1280</v>
      </c>
      <c r="BE74" t="s">
        <v>1280</v>
      </c>
      <c r="BF74" t="s">
        <v>1280</v>
      </c>
      <c r="BG74" t="str">
        <f t="shared" si="42"/>
        <v>-</v>
      </c>
      <c r="BH74" t="s">
        <v>1280</v>
      </c>
      <c r="BI74">
        <v>415</v>
      </c>
      <c r="BJ74">
        <v>415</v>
      </c>
      <c r="BK74">
        <f t="shared" si="43"/>
        <v>452.72727272727269</v>
      </c>
      <c r="BL74" t="s">
        <v>1347</v>
      </c>
      <c r="BM74">
        <v>812</v>
      </c>
    </row>
    <row r="75" spans="1:65" x14ac:dyDescent="0.4">
      <c r="A75" s="3">
        <v>93</v>
      </c>
      <c r="B75" s="3">
        <v>93</v>
      </c>
      <c r="C75" s="4" t="s">
        <v>82</v>
      </c>
      <c r="D75" s="4" t="str">
        <f t="shared" si="22"/>
        <v>J0849T</v>
      </c>
      <c r="E75" s="4" t="s">
        <v>82</v>
      </c>
      <c r="F75" s="4" t="str">
        <f t="shared" si="38"/>
        <v>J0849T5</v>
      </c>
      <c r="G75" s="4" t="s">
        <v>728</v>
      </c>
      <c r="H75" s="5">
        <v>4974268035486</v>
      </c>
      <c r="I75" s="5">
        <v>5</v>
      </c>
      <c r="J75" s="5"/>
      <c r="K75" s="5">
        <v>1</v>
      </c>
      <c r="L75" s="5">
        <v>1</v>
      </c>
      <c r="M75" s="4">
        <v>440</v>
      </c>
      <c r="N75" s="4">
        <v>408</v>
      </c>
      <c r="O75" s="4">
        <v>264</v>
      </c>
      <c r="P75" s="6">
        <f t="shared" si="23"/>
        <v>0.3529411764705882</v>
      </c>
      <c r="Q75" s="4" t="s">
        <v>1280</v>
      </c>
      <c r="R75" s="4" t="s">
        <v>1280</v>
      </c>
      <c r="S75" s="4" t="s">
        <v>1280</v>
      </c>
      <c r="T75" s="4">
        <v>480</v>
      </c>
      <c r="U75" s="4">
        <f t="shared" si="24"/>
        <v>480</v>
      </c>
      <c r="V75" s="4">
        <v>288</v>
      </c>
      <c r="W75" s="4">
        <f t="shared" si="25"/>
        <v>288</v>
      </c>
      <c r="X75" s="4"/>
      <c r="Y75" s="21">
        <f t="shared" si="26"/>
        <v>445</v>
      </c>
      <c r="Z75" s="6">
        <f t="shared" si="27"/>
        <v>0.35280898876404498</v>
      </c>
      <c r="AA75" s="4">
        <v>0</v>
      </c>
      <c r="AB75" s="4">
        <f t="shared" si="28"/>
        <v>419</v>
      </c>
      <c r="AC75" s="4">
        <f t="shared" si="39"/>
        <v>457.09090909090907</v>
      </c>
      <c r="AD75" s="6">
        <f t="shared" si="40"/>
        <v>0.36992840095465396</v>
      </c>
      <c r="AE75" s="4">
        <f t="shared" si="41"/>
        <v>456</v>
      </c>
      <c r="AF75" s="7">
        <v>450</v>
      </c>
      <c r="AG75" s="6">
        <f t="shared" si="29"/>
        <v>0.36</v>
      </c>
      <c r="AH75" s="4">
        <f t="shared" si="30"/>
        <v>162</v>
      </c>
      <c r="AI75" s="28"/>
      <c r="AJ75" s="6"/>
      <c r="AK75" s="6"/>
      <c r="AL75" s="6">
        <f t="shared" si="31"/>
        <v>1.0909090909090908</v>
      </c>
      <c r="AM75" s="6">
        <f t="shared" si="32"/>
        <v>1.1029411764705883</v>
      </c>
      <c r="AN75" s="6">
        <f t="shared" si="33"/>
        <v>1.0909090909090908</v>
      </c>
      <c r="AO75" s="4" t="str">
        <f t="shared" si="34"/>
        <v>-</v>
      </c>
      <c r="AP75" s="4" t="str">
        <f t="shared" si="35"/>
        <v>-</v>
      </c>
      <c r="AQ75" s="4" t="str">
        <f t="shared" si="36"/>
        <v>-</v>
      </c>
      <c r="AR75" s="4">
        <v>0</v>
      </c>
      <c r="AS75" s="4" t="s">
        <v>1778</v>
      </c>
      <c r="AT75" s="4"/>
      <c r="AU75" s="4"/>
      <c r="AV75" s="4" t="s">
        <v>1695</v>
      </c>
      <c r="AW75" s="4">
        <v>419</v>
      </c>
      <c r="AX75" s="4">
        <v>419</v>
      </c>
      <c r="AY75" s="4">
        <v>419</v>
      </c>
      <c r="AZ75" s="4">
        <f t="shared" si="37"/>
        <v>419</v>
      </c>
      <c r="BA75" s="19">
        <v>4</v>
      </c>
      <c r="BB75" s="19">
        <v>8</v>
      </c>
      <c r="BC75" s="16">
        <v>19</v>
      </c>
      <c r="BD75" t="s">
        <v>1280</v>
      </c>
      <c r="BE75" t="s">
        <v>1280</v>
      </c>
      <c r="BF75" t="s">
        <v>1280</v>
      </c>
      <c r="BG75" t="str">
        <f t="shared" si="42"/>
        <v>-</v>
      </c>
      <c r="BH75" t="s">
        <v>1280</v>
      </c>
      <c r="BI75">
        <v>415</v>
      </c>
      <c r="BJ75">
        <v>415</v>
      </c>
      <c r="BK75">
        <f t="shared" si="43"/>
        <v>452.72727272727269</v>
      </c>
      <c r="BL75" t="s">
        <v>1353</v>
      </c>
      <c r="BM75">
        <v>812</v>
      </c>
    </row>
    <row r="76" spans="1:65" x14ac:dyDescent="0.4">
      <c r="A76" s="3">
        <v>111</v>
      </c>
      <c r="B76" s="3">
        <v>111</v>
      </c>
      <c r="C76" s="4" t="s">
        <v>100</v>
      </c>
      <c r="D76" s="4" t="str">
        <f t="shared" si="22"/>
        <v>J1789W</v>
      </c>
      <c r="E76" s="4" t="s">
        <v>100</v>
      </c>
      <c r="F76" s="4" t="str">
        <f t="shared" si="38"/>
        <v>J1789W5</v>
      </c>
      <c r="G76" s="4" t="s">
        <v>746</v>
      </c>
      <c r="H76" s="5">
        <v>4974268536242</v>
      </c>
      <c r="I76" s="5">
        <v>5</v>
      </c>
      <c r="J76" s="5"/>
      <c r="K76" s="5">
        <v>1</v>
      </c>
      <c r="L76" s="5">
        <v>1</v>
      </c>
      <c r="M76" s="4">
        <v>2200</v>
      </c>
      <c r="N76" s="4">
        <v>1767</v>
      </c>
      <c r="O76" s="4">
        <v>1320</v>
      </c>
      <c r="P76" s="6">
        <f t="shared" si="23"/>
        <v>0.25297113752122236</v>
      </c>
      <c r="Q76" s="4" t="s">
        <v>1280</v>
      </c>
      <c r="R76" s="4" t="s">
        <v>1280</v>
      </c>
      <c r="S76" s="4" t="s">
        <v>1280</v>
      </c>
      <c r="T76" s="4">
        <v>480</v>
      </c>
      <c r="U76" s="4">
        <f t="shared" si="24"/>
        <v>2400</v>
      </c>
      <c r="V76" s="4">
        <v>288</v>
      </c>
      <c r="W76" s="4">
        <f t="shared" si="25"/>
        <v>1440</v>
      </c>
      <c r="X76" s="4">
        <v>5</v>
      </c>
      <c r="Y76" s="21">
        <f t="shared" si="26"/>
        <v>1928</v>
      </c>
      <c r="Z76" s="6">
        <f t="shared" si="27"/>
        <v>0.25311203319502074</v>
      </c>
      <c r="AA76" s="4">
        <v>0</v>
      </c>
      <c r="AB76" s="4" t="str">
        <f t="shared" si="28"/>
        <v>-</v>
      </c>
      <c r="AC76" s="4" t="str">
        <f t="shared" si="39"/>
        <v>-</v>
      </c>
      <c r="AD76" s="6" t="str">
        <f t="shared" si="40"/>
        <v>-</v>
      </c>
      <c r="AE76" s="4">
        <f t="shared" si="41"/>
        <v>2280</v>
      </c>
      <c r="AF76" s="7">
        <v>2160</v>
      </c>
      <c r="AG76" s="6">
        <f t="shared" si="29"/>
        <v>0.33333333333333337</v>
      </c>
      <c r="AH76" s="4">
        <f t="shared" si="30"/>
        <v>720</v>
      </c>
      <c r="AI76" s="28"/>
      <c r="AJ76" s="6"/>
      <c r="AK76" s="6"/>
      <c r="AL76" s="6">
        <f t="shared" si="31"/>
        <v>1.0909090909090908</v>
      </c>
      <c r="AM76" s="6">
        <f t="shared" si="32"/>
        <v>1.2224108658743633</v>
      </c>
      <c r="AN76" s="6">
        <f t="shared" si="33"/>
        <v>1.0909090909090908</v>
      </c>
      <c r="AO76" s="4" t="str">
        <f t="shared" si="34"/>
        <v>-</v>
      </c>
      <c r="AP76" s="4" t="str">
        <f t="shared" si="35"/>
        <v>-</v>
      </c>
      <c r="AQ76" s="4" t="str">
        <f t="shared" si="36"/>
        <v>-</v>
      </c>
      <c r="AR76" s="4">
        <v>0</v>
      </c>
      <c r="AS76" s="4" t="s">
        <v>1280</v>
      </c>
      <c r="AT76" s="4"/>
      <c r="AU76" s="4"/>
      <c r="AV76" s="4" t="s">
        <v>1280</v>
      </c>
      <c r="AW76" s="4" t="s">
        <v>1280</v>
      </c>
      <c r="AX76" s="4" t="s">
        <v>1280</v>
      </c>
      <c r="AY76" s="4" t="s">
        <v>1280</v>
      </c>
      <c r="AZ76" s="4" t="str">
        <f t="shared" si="37"/>
        <v>-</v>
      </c>
      <c r="BA76" s="19">
        <v>4</v>
      </c>
      <c r="BB76" s="19">
        <v>8</v>
      </c>
      <c r="BC76" s="16">
        <v>19</v>
      </c>
      <c r="BD76" t="s">
        <v>1280</v>
      </c>
      <c r="BE76" t="s">
        <v>1280</v>
      </c>
      <c r="BF76" t="s">
        <v>1280</v>
      </c>
      <c r="BG76" t="str">
        <f t="shared" si="42"/>
        <v>-</v>
      </c>
      <c r="BH76" t="s">
        <v>1280</v>
      </c>
      <c r="BI76" t="s">
        <v>1280</v>
      </c>
      <c r="BJ76" t="s">
        <v>1280</v>
      </c>
      <c r="BK76" t="str">
        <f t="shared" si="43"/>
        <v>-</v>
      </c>
      <c r="BL76" t="s">
        <v>1280</v>
      </c>
      <c r="BM76">
        <v>812</v>
      </c>
    </row>
    <row r="77" spans="1:65" x14ac:dyDescent="0.4">
      <c r="A77" s="3">
        <v>115</v>
      </c>
      <c r="B77" s="3">
        <v>115</v>
      </c>
      <c r="C77" s="4" t="s">
        <v>104</v>
      </c>
      <c r="D77" s="4" t="str">
        <f t="shared" si="22"/>
        <v>J1788W</v>
      </c>
      <c r="E77" s="4" t="s">
        <v>104</v>
      </c>
      <c r="F77" s="4" t="str">
        <f t="shared" si="38"/>
        <v>J1788W5</v>
      </c>
      <c r="G77" s="4" t="s">
        <v>750</v>
      </c>
      <c r="H77" s="5">
        <v>4974268536204</v>
      </c>
      <c r="I77" s="5">
        <v>5</v>
      </c>
      <c r="J77" s="5"/>
      <c r="K77" s="5">
        <v>1</v>
      </c>
      <c r="L77" s="5">
        <v>1</v>
      </c>
      <c r="M77" s="4">
        <v>2200</v>
      </c>
      <c r="N77" s="4">
        <v>1767</v>
      </c>
      <c r="O77" s="4">
        <v>1320</v>
      </c>
      <c r="P77" s="6">
        <f t="shared" si="23"/>
        <v>0.25297113752122236</v>
      </c>
      <c r="Q77" s="4" t="s">
        <v>1280</v>
      </c>
      <c r="R77" s="4" t="s">
        <v>1280</v>
      </c>
      <c r="S77" s="4" t="s">
        <v>1280</v>
      </c>
      <c r="T77" s="4">
        <v>480</v>
      </c>
      <c r="U77" s="4">
        <f t="shared" si="24"/>
        <v>2400</v>
      </c>
      <c r="V77" s="4">
        <v>288</v>
      </c>
      <c r="W77" s="4">
        <f t="shared" si="25"/>
        <v>1440</v>
      </c>
      <c r="X77" s="4">
        <v>5</v>
      </c>
      <c r="Y77" s="21">
        <f t="shared" si="26"/>
        <v>1928</v>
      </c>
      <c r="Z77" s="6">
        <f t="shared" si="27"/>
        <v>0.25311203319502074</v>
      </c>
      <c r="AA77" s="4">
        <v>1.25</v>
      </c>
      <c r="AB77" s="4">
        <f t="shared" si="28"/>
        <v>1980</v>
      </c>
      <c r="AC77" s="4">
        <f t="shared" si="39"/>
        <v>2160</v>
      </c>
      <c r="AD77" s="6">
        <f t="shared" si="40"/>
        <v>0.33333333333333337</v>
      </c>
      <c r="AE77" s="4">
        <f t="shared" si="41"/>
        <v>2280</v>
      </c>
      <c r="AF77" s="7">
        <v>2160</v>
      </c>
      <c r="AG77" s="6">
        <f t="shared" si="29"/>
        <v>0.33333333333333337</v>
      </c>
      <c r="AH77" s="4">
        <f t="shared" si="30"/>
        <v>720</v>
      </c>
      <c r="AI77" s="28"/>
      <c r="AJ77" s="6"/>
      <c r="AK77" s="6"/>
      <c r="AL77" s="6">
        <f t="shared" si="31"/>
        <v>1.0909090909090908</v>
      </c>
      <c r="AM77" s="6">
        <f t="shared" si="32"/>
        <v>1.2224108658743633</v>
      </c>
      <c r="AN77" s="6">
        <f t="shared" si="33"/>
        <v>1.0909090909090908</v>
      </c>
      <c r="AO77" s="4" t="str">
        <f t="shared" si="34"/>
        <v>-</v>
      </c>
      <c r="AP77" s="4" t="str">
        <f t="shared" si="35"/>
        <v>-</v>
      </c>
      <c r="AQ77" s="4" t="str">
        <f t="shared" si="36"/>
        <v>-</v>
      </c>
      <c r="AR77" s="4">
        <v>0</v>
      </c>
      <c r="AS77" s="4" t="s">
        <v>1803</v>
      </c>
      <c r="AT77" s="4">
        <v>5</v>
      </c>
      <c r="AU77" s="4">
        <v>1</v>
      </c>
      <c r="AV77" s="4" t="s">
        <v>1804</v>
      </c>
      <c r="AW77" s="4">
        <v>396</v>
      </c>
      <c r="AX77" s="4">
        <v>396</v>
      </c>
      <c r="AY77" s="4">
        <v>396</v>
      </c>
      <c r="AZ77" s="4">
        <f t="shared" si="37"/>
        <v>1980</v>
      </c>
      <c r="BA77" s="19">
        <v>4</v>
      </c>
      <c r="BB77" s="19">
        <v>8</v>
      </c>
      <c r="BC77" s="16">
        <v>19</v>
      </c>
      <c r="BD77" t="s">
        <v>1280</v>
      </c>
      <c r="BE77" t="s">
        <v>1280</v>
      </c>
      <c r="BF77" t="s">
        <v>1280</v>
      </c>
      <c r="BG77" t="str">
        <f t="shared" si="42"/>
        <v>-</v>
      </c>
      <c r="BH77" t="s">
        <v>1280</v>
      </c>
      <c r="BI77" t="s">
        <v>1280</v>
      </c>
      <c r="BJ77" t="s">
        <v>1280</v>
      </c>
      <c r="BK77" t="str">
        <f t="shared" si="43"/>
        <v>-</v>
      </c>
      <c r="BL77" t="s">
        <v>1370</v>
      </c>
      <c r="BM77">
        <v>812</v>
      </c>
    </row>
    <row r="78" spans="1:65" x14ac:dyDescent="0.4">
      <c r="A78" s="3">
        <v>116</v>
      </c>
      <c r="B78" s="3">
        <v>116</v>
      </c>
      <c r="C78" s="4" t="s">
        <v>105</v>
      </c>
      <c r="D78" s="4" t="str">
        <f t="shared" si="22"/>
        <v>J1792W</v>
      </c>
      <c r="E78" s="4" t="s">
        <v>105</v>
      </c>
      <c r="F78" s="4" t="str">
        <f t="shared" si="38"/>
        <v>J1792W5</v>
      </c>
      <c r="G78" s="4" t="s">
        <v>751</v>
      </c>
      <c r="H78" s="5">
        <v>4974268536273</v>
      </c>
      <c r="I78" s="5">
        <v>5</v>
      </c>
      <c r="J78" s="5"/>
      <c r="K78" s="5">
        <v>1</v>
      </c>
      <c r="L78" s="5">
        <v>1</v>
      </c>
      <c r="M78" s="4">
        <v>2200</v>
      </c>
      <c r="N78" s="4">
        <v>1767</v>
      </c>
      <c r="O78" s="4">
        <v>1320</v>
      </c>
      <c r="P78" s="6">
        <f t="shared" si="23"/>
        <v>0.25297113752122236</v>
      </c>
      <c r="Q78" s="4" t="s">
        <v>1280</v>
      </c>
      <c r="R78" s="4" t="s">
        <v>1280</v>
      </c>
      <c r="S78" s="4" t="s">
        <v>1280</v>
      </c>
      <c r="T78" s="4">
        <v>480</v>
      </c>
      <c r="U78" s="4">
        <f t="shared" si="24"/>
        <v>2400</v>
      </c>
      <c r="V78" s="4">
        <v>288</v>
      </c>
      <c r="W78" s="4">
        <f t="shared" si="25"/>
        <v>1440</v>
      </c>
      <c r="X78" s="4">
        <v>5</v>
      </c>
      <c r="Y78" s="21">
        <f t="shared" si="26"/>
        <v>1928</v>
      </c>
      <c r="Z78" s="6">
        <f t="shared" si="27"/>
        <v>0.25311203319502074</v>
      </c>
      <c r="AA78" s="4">
        <v>0</v>
      </c>
      <c r="AB78" s="4">
        <f t="shared" si="28"/>
        <v>1980</v>
      </c>
      <c r="AC78" s="4">
        <f t="shared" si="39"/>
        <v>2160</v>
      </c>
      <c r="AD78" s="6">
        <f t="shared" si="40"/>
        <v>0.33333333333333337</v>
      </c>
      <c r="AE78" s="4">
        <f t="shared" si="41"/>
        <v>2280</v>
      </c>
      <c r="AF78" s="7">
        <v>2160</v>
      </c>
      <c r="AG78" s="6">
        <f t="shared" si="29"/>
        <v>0.33333333333333337</v>
      </c>
      <c r="AH78" s="4">
        <f t="shared" si="30"/>
        <v>720</v>
      </c>
      <c r="AI78" s="28"/>
      <c r="AJ78" s="6"/>
      <c r="AK78" s="6"/>
      <c r="AL78" s="6">
        <f t="shared" si="31"/>
        <v>1.0909090909090908</v>
      </c>
      <c r="AM78" s="6">
        <f t="shared" si="32"/>
        <v>1.2224108658743633</v>
      </c>
      <c r="AN78" s="6">
        <f t="shared" si="33"/>
        <v>1.0909090909090908</v>
      </c>
      <c r="AO78" s="4" t="str">
        <f t="shared" si="34"/>
        <v>-</v>
      </c>
      <c r="AP78" s="4" t="str">
        <f t="shared" si="35"/>
        <v>-</v>
      </c>
      <c r="AQ78" s="4" t="str">
        <f t="shared" si="36"/>
        <v>-</v>
      </c>
      <c r="AR78" s="4">
        <v>0</v>
      </c>
      <c r="AS78" s="4" t="s">
        <v>1805</v>
      </c>
      <c r="AT78" s="4">
        <v>5</v>
      </c>
      <c r="AU78" s="4">
        <v>1</v>
      </c>
      <c r="AV78" s="4" t="s">
        <v>1804</v>
      </c>
      <c r="AW78" s="4">
        <v>396</v>
      </c>
      <c r="AX78" s="4">
        <v>396</v>
      </c>
      <c r="AY78" s="4">
        <v>396</v>
      </c>
      <c r="AZ78" s="4">
        <f t="shared" si="37"/>
        <v>1980</v>
      </c>
      <c r="BA78" s="19">
        <v>4</v>
      </c>
      <c r="BB78" s="19">
        <v>8</v>
      </c>
      <c r="BC78" s="16">
        <v>19</v>
      </c>
      <c r="BD78" t="s">
        <v>1280</v>
      </c>
      <c r="BE78" t="s">
        <v>1280</v>
      </c>
      <c r="BF78" t="s">
        <v>1280</v>
      </c>
      <c r="BG78" t="str">
        <f t="shared" si="42"/>
        <v>-</v>
      </c>
      <c r="BH78" t="s">
        <v>1280</v>
      </c>
      <c r="BI78" t="s">
        <v>1280</v>
      </c>
      <c r="BJ78" t="s">
        <v>1280</v>
      </c>
      <c r="BK78" t="str">
        <f t="shared" si="43"/>
        <v>-</v>
      </c>
      <c r="BL78" t="s">
        <v>1371</v>
      </c>
      <c r="BM78">
        <v>812</v>
      </c>
    </row>
    <row r="79" spans="1:65" x14ac:dyDescent="0.4">
      <c r="A79" s="3">
        <v>122</v>
      </c>
      <c r="B79" s="3">
        <v>122</v>
      </c>
      <c r="C79" s="4" t="s">
        <v>111</v>
      </c>
      <c r="D79" s="4" t="str">
        <f t="shared" si="22"/>
        <v>J1790W</v>
      </c>
      <c r="E79" s="4" t="s">
        <v>111</v>
      </c>
      <c r="F79" s="4" t="str">
        <f t="shared" si="38"/>
        <v>J1790W5</v>
      </c>
      <c r="G79" s="4" t="s">
        <v>757</v>
      </c>
      <c r="H79" s="5">
        <v>4974268536259</v>
      </c>
      <c r="I79" s="5">
        <v>5</v>
      </c>
      <c r="J79" s="5"/>
      <c r="K79" s="5">
        <v>1</v>
      </c>
      <c r="L79" s="5">
        <v>1</v>
      </c>
      <c r="M79" s="4">
        <v>2200</v>
      </c>
      <c r="N79" s="4">
        <v>1767</v>
      </c>
      <c r="O79" s="4">
        <v>1320</v>
      </c>
      <c r="P79" s="6">
        <f t="shared" si="23"/>
        <v>0.25297113752122236</v>
      </c>
      <c r="Q79" s="4" t="s">
        <v>1280</v>
      </c>
      <c r="R79" s="4" t="s">
        <v>1280</v>
      </c>
      <c r="S79" s="4" t="s">
        <v>1280</v>
      </c>
      <c r="T79" s="4">
        <v>480</v>
      </c>
      <c r="U79" s="4">
        <f t="shared" si="24"/>
        <v>2400</v>
      </c>
      <c r="V79" s="4">
        <v>288</v>
      </c>
      <c r="W79" s="4">
        <f t="shared" si="25"/>
        <v>1440</v>
      </c>
      <c r="X79" s="4">
        <v>5</v>
      </c>
      <c r="Y79" s="21">
        <f t="shared" si="26"/>
        <v>1928</v>
      </c>
      <c r="Z79" s="6">
        <f t="shared" si="27"/>
        <v>0.25311203319502074</v>
      </c>
      <c r="AA79" s="4">
        <v>1.5</v>
      </c>
      <c r="AB79" s="4">
        <f t="shared" si="28"/>
        <v>1676</v>
      </c>
      <c r="AC79" s="4">
        <f t="shared" si="39"/>
        <v>1828.3636363636363</v>
      </c>
      <c r="AD79" s="6">
        <f t="shared" si="40"/>
        <v>0.21241050119331739</v>
      </c>
      <c r="AE79" s="4">
        <f t="shared" si="41"/>
        <v>2280</v>
      </c>
      <c r="AF79" s="7">
        <v>2160</v>
      </c>
      <c r="AG79" s="6">
        <f t="shared" si="29"/>
        <v>0.33333333333333337</v>
      </c>
      <c r="AH79" s="4">
        <f t="shared" si="30"/>
        <v>720</v>
      </c>
      <c r="AI79" s="28"/>
      <c r="AJ79" s="6"/>
      <c r="AK79" s="6"/>
      <c r="AL79" s="6">
        <f t="shared" si="31"/>
        <v>1.0909090909090908</v>
      </c>
      <c r="AM79" s="6">
        <f t="shared" si="32"/>
        <v>1.2224108658743633</v>
      </c>
      <c r="AN79" s="6">
        <f t="shared" si="33"/>
        <v>1.0909090909090908</v>
      </c>
      <c r="AO79" s="4" t="str">
        <f t="shared" si="34"/>
        <v>-</v>
      </c>
      <c r="AP79" s="4" t="str">
        <f t="shared" si="35"/>
        <v>-</v>
      </c>
      <c r="AQ79" s="4" t="str">
        <f t="shared" si="36"/>
        <v>-</v>
      </c>
      <c r="AR79" s="4">
        <v>0</v>
      </c>
      <c r="AS79" s="4" t="s">
        <v>1815</v>
      </c>
      <c r="AT79" s="4"/>
      <c r="AU79" s="4"/>
      <c r="AV79" s="4" t="s">
        <v>1816</v>
      </c>
      <c r="AW79" s="4">
        <v>1676</v>
      </c>
      <c r="AX79" s="4">
        <v>1676</v>
      </c>
      <c r="AY79" s="4">
        <v>1676</v>
      </c>
      <c r="AZ79" s="4">
        <f t="shared" si="37"/>
        <v>1676</v>
      </c>
      <c r="BA79" s="19">
        <v>4</v>
      </c>
      <c r="BB79" s="19">
        <v>8</v>
      </c>
      <c r="BC79" s="16">
        <v>19</v>
      </c>
      <c r="BD79" t="s">
        <v>1280</v>
      </c>
      <c r="BE79" t="s">
        <v>1280</v>
      </c>
      <c r="BF79" t="s">
        <v>1280</v>
      </c>
      <c r="BG79" t="str">
        <f t="shared" si="42"/>
        <v>-</v>
      </c>
      <c r="BH79" t="s">
        <v>1280</v>
      </c>
      <c r="BI79" t="s">
        <v>1280</v>
      </c>
      <c r="BJ79" t="s">
        <v>1280</v>
      </c>
      <c r="BK79" t="str">
        <f t="shared" si="43"/>
        <v>-</v>
      </c>
      <c r="BL79" t="s">
        <v>1377</v>
      </c>
      <c r="BM79">
        <v>812</v>
      </c>
    </row>
    <row r="80" spans="1:65" x14ac:dyDescent="0.4">
      <c r="A80" s="3">
        <v>131</v>
      </c>
      <c r="B80" s="3">
        <v>131</v>
      </c>
      <c r="C80" s="4" t="s">
        <v>120</v>
      </c>
      <c r="D80" s="4" t="str">
        <f t="shared" si="22"/>
        <v>J1791W</v>
      </c>
      <c r="E80" s="4" t="s">
        <v>120</v>
      </c>
      <c r="F80" s="4" t="str">
        <f t="shared" si="38"/>
        <v>J1791W5</v>
      </c>
      <c r="G80" s="4" t="s">
        <v>766</v>
      </c>
      <c r="H80" s="5">
        <v>4974268536266</v>
      </c>
      <c r="I80" s="5">
        <v>5</v>
      </c>
      <c r="J80" s="5"/>
      <c r="K80" s="5">
        <v>1</v>
      </c>
      <c r="L80" s="5">
        <v>1</v>
      </c>
      <c r="M80" s="4">
        <v>2200</v>
      </c>
      <c r="N80" s="4">
        <v>1767</v>
      </c>
      <c r="O80" s="4">
        <v>1320</v>
      </c>
      <c r="P80" s="6">
        <f t="shared" si="23"/>
        <v>0.25297113752122236</v>
      </c>
      <c r="Q80" s="4" t="s">
        <v>1280</v>
      </c>
      <c r="R80" s="4" t="s">
        <v>1280</v>
      </c>
      <c r="S80" s="4" t="s">
        <v>1280</v>
      </c>
      <c r="T80" s="4">
        <v>480</v>
      </c>
      <c r="U80" s="4">
        <f t="shared" si="24"/>
        <v>2400</v>
      </c>
      <c r="V80" s="4">
        <v>288</v>
      </c>
      <c r="W80" s="4">
        <f t="shared" si="25"/>
        <v>1440</v>
      </c>
      <c r="X80" s="4">
        <v>5</v>
      </c>
      <c r="Y80" s="21">
        <f t="shared" si="26"/>
        <v>1928</v>
      </c>
      <c r="Z80" s="6">
        <f t="shared" si="27"/>
        <v>0.25311203319502074</v>
      </c>
      <c r="AA80" s="4">
        <v>0</v>
      </c>
      <c r="AB80" s="4" t="str">
        <f t="shared" si="28"/>
        <v>-</v>
      </c>
      <c r="AC80" s="4" t="str">
        <f t="shared" si="39"/>
        <v>-</v>
      </c>
      <c r="AD80" s="6" t="str">
        <f t="shared" si="40"/>
        <v>-</v>
      </c>
      <c r="AE80" s="4">
        <f t="shared" si="41"/>
        <v>2280</v>
      </c>
      <c r="AF80" s="7">
        <v>2160</v>
      </c>
      <c r="AG80" s="6">
        <f t="shared" si="29"/>
        <v>0.33333333333333337</v>
      </c>
      <c r="AH80" s="4">
        <f t="shared" si="30"/>
        <v>720</v>
      </c>
      <c r="AI80" s="28"/>
      <c r="AJ80" s="6"/>
      <c r="AK80" s="6"/>
      <c r="AL80" s="6">
        <f t="shared" si="31"/>
        <v>1.0909090909090908</v>
      </c>
      <c r="AM80" s="6">
        <f t="shared" si="32"/>
        <v>1.2224108658743633</v>
      </c>
      <c r="AN80" s="6">
        <f t="shared" si="33"/>
        <v>1.0909090909090908</v>
      </c>
      <c r="AO80" s="4" t="str">
        <f t="shared" si="34"/>
        <v>-</v>
      </c>
      <c r="AP80" s="4" t="str">
        <f t="shared" si="35"/>
        <v>-</v>
      </c>
      <c r="AQ80" s="4" t="str">
        <f t="shared" si="36"/>
        <v>-</v>
      </c>
      <c r="AR80" s="4">
        <v>0</v>
      </c>
      <c r="AS80" s="4" t="s">
        <v>1280</v>
      </c>
      <c r="AT80" s="4"/>
      <c r="AU80" s="4"/>
      <c r="AV80" s="4" t="s">
        <v>1280</v>
      </c>
      <c r="AW80" s="4" t="s">
        <v>1280</v>
      </c>
      <c r="AX80" s="4" t="s">
        <v>1280</v>
      </c>
      <c r="AY80" s="4" t="s">
        <v>1280</v>
      </c>
      <c r="AZ80" s="4" t="str">
        <f t="shared" si="37"/>
        <v>-</v>
      </c>
      <c r="BA80" s="19">
        <v>4</v>
      </c>
      <c r="BB80" s="19">
        <v>8</v>
      </c>
      <c r="BC80" s="16">
        <v>19</v>
      </c>
      <c r="BD80" t="s">
        <v>1280</v>
      </c>
      <c r="BE80" t="s">
        <v>1280</v>
      </c>
      <c r="BF80" t="s">
        <v>1280</v>
      </c>
      <c r="BG80" t="str">
        <f t="shared" si="42"/>
        <v>-</v>
      </c>
      <c r="BH80" t="s">
        <v>1280</v>
      </c>
      <c r="BI80" t="s">
        <v>1280</v>
      </c>
      <c r="BJ80" t="s">
        <v>1280</v>
      </c>
      <c r="BK80" t="str">
        <f t="shared" si="43"/>
        <v>-</v>
      </c>
      <c r="BL80" t="s">
        <v>1280</v>
      </c>
      <c r="BM80">
        <v>812</v>
      </c>
    </row>
    <row r="81" spans="1:65" x14ac:dyDescent="0.4">
      <c r="A81" s="3">
        <v>18</v>
      </c>
      <c r="B81" s="3">
        <v>18</v>
      </c>
      <c r="C81" s="4">
        <v>173482</v>
      </c>
      <c r="D81" s="4" t="str">
        <f t="shared" si="22"/>
        <v>173482</v>
      </c>
      <c r="E81" s="4">
        <v>173482</v>
      </c>
      <c r="F81" s="4" t="str">
        <f t="shared" si="38"/>
        <v>1734825</v>
      </c>
      <c r="G81" s="4" t="s">
        <v>653</v>
      </c>
      <c r="H81" s="5">
        <v>4974268454560</v>
      </c>
      <c r="I81" s="5">
        <v>5</v>
      </c>
      <c r="J81" s="5"/>
      <c r="K81" s="5">
        <v>1</v>
      </c>
      <c r="L81" s="5">
        <v>1</v>
      </c>
      <c r="M81" s="4">
        <v>480</v>
      </c>
      <c r="N81" s="4">
        <v>337</v>
      </c>
      <c r="O81" s="4">
        <v>288</v>
      </c>
      <c r="P81" s="6">
        <f t="shared" si="23"/>
        <v>0.14540059347181011</v>
      </c>
      <c r="Q81" s="4" t="s">
        <v>1280</v>
      </c>
      <c r="R81" s="4" t="s">
        <v>1280</v>
      </c>
      <c r="S81" s="4" t="s">
        <v>1280</v>
      </c>
      <c r="T81" s="4">
        <v>490</v>
      </c>
      <c r="U81" s="4">
        <f t="shared" si="24"/>
        <v>490</v>
      </c>
      <c r="V81" s="4">
        <v>294</v>
      </c>
      <c r="W81" s="4">
        <f t="shared" si="25"/>
        <v>294</v>
      </c>
      <c r="X81" s="4"/>
      <c r="Y81" s="21">
        <f t="shared" si="26"/>
        <v>344</v>
      </c>
      <c r="Z81" s="6">
        <f t="shared" si="27"/>
        <v>0.14534883720930236</v>
      </c>
      <c r="AA81" s="4">
        <v>0.5</v>
      </c>
      <c r="AB81" s="4" t="str">
        <f t="shared" si="28"/>
        <v>-</v>
      </c>
      <c r="AC81" s="4" t="str">
        <f t="shared" si="39"/>
        <v>-</v>
      </c>
      <c r="AD81" s="6" t="str">
        <f t="shared" si="40"/>
        <v>-</v>
      </c>
      <c r="AE81" s="4">
        <f t="shared" si="41"/>
        <v>465.5</v>
      </c>
      <c r="AF81" s="7">
        <v>420</v>
      </c>
      <c r="AG81" s="6">
        <f t="shared" si="29"/>
        <v>0.30000000000000004</v>
      </c>
      <c r="AH81" s="4">
        <f t="shared" si="30"/>
        <v>126</v>
      </c>
      <c r="AI81" s="28"/>
      <c r="AJ81" s="6"/>
      <c r="AK81" s="6"/>
      <c r="AL81" s="6">
        <f t="shared" si="31"/>
        <v>1.0208333333333333</v>
      </c>
      <c r="AM81" s="6">
        <f t="shared" si="32"/>
        <v>1.2462908011869436</v>
      </c>
      <c r="AN81" s="6">
        <f t="shared" si="33"/>
        <v>1.0208333333333333</v>
      </c>
      <c r="AO81" s="4" t="str">
        <f t="shared" si="34"/>
        <v>-</v>
      </c>
      <c r="AP81" s="4" t="str">
        <f t="shared" si="35"/>
        <v>-</v>
      </c>
      <c r="AQ81" s="4" t="str">
        <f t="shared" si="36"/>
        <v>-</v>
      </c>
      <c r="AR81" s="4" t="s">
        <v>1282</v>
      </c>
      <c r="AS81" s="4" t="s">
        <v>1280</v>
      </c>
      <c r="AT81" s="4"/>
      <c r="AU81" s="4"/>
      <c r="AV81" s="4" t="s">
        <v>1280</v>
      </c>
      <c r="AW81" s="4" t="s">
        <v>1280</v>
      </c>
      <c r="AX81" s="4" t="s">
        <v>1280</v>
      </c>
      <c r="AY81" s="4" t="s">
        <v>1280</v>
      </c>
      <c r="AZ81" s="4" t="str">
        <f t="shared" si="37"/>
        <v>-</v>
      </c>
      <c r="BA81" s="19">
        <v>4</v>
      </c>
      <c r="BB81" s="19">
        <v>1</v>
      </c>
      <c r="BC81" s="16">
        <v>19</v>
      </c>
      <c r="BD81">
        <v>408</v>
      </c>
      <c r="BE81">
        <v>408</v>
      </c>
      <c r="BF81">
        <v>408</v>
      </c>
      <c r="BG81">
        <f t="shared" si="42"/>
        <v>416.49999999999994</v>
      </c>
      <c r="BH81" t="s">
        <v>1280</v>
      </c>
      <c r="BI81" t="s">
        <v>1280</v>
      </c>
      <c r="BJ81" t="s">
        <v>1280</v>
      </c>
      <c r="BK81" t="str">
        <f t="shared" si="43"/>
        <v>-</v>
      </c>
      <c r="BL81" t="s">
        <v>1280</v>
      </c>
      <c r="BM81">
        <v>812</v>
      </c>
    </row>
    <row r="82" spans="1:65" x14ac:dyDescent="0.4">
      <c r="A82" s="3">
        <v>19</v>
      </c>
      <c r="B82" s="3">
        <v>19</v>
      </c>
      <c r="C82" s="4">
        <v>173713</v>
      </c>
      <c r="D82" s="4" t="str">
        <f t="shared" si="22"/>
        <v>173713</v>
      </c>
      <c r="E82" s="4">
        <v>173713</v>
      </c>
      <c r="F82" s="4" t="str">
        <f t="shared" si="38"/>
        <v>1737135</v>
      </c>
      <c r="G82" s="4" t="s">
        <v>654</v>
      </c>
      <c r="H82" s="5">
        <v>4974268454577</v>
      </c>
      <c r="I82" s="5">
        <v>5</v>
      </c>
      <c r="J82" s="5"/>
      <c r="K82" s="5">
        <v>1</v>
      </c>
      <c r="L82" s="5">
        <v>1</v>
      </c>
      <c r="M82" s="4">
        <v>480</v>
      </c>
      <c r="N82" s="4">
        <v>411</v>
      </c>
      <c r="O82" s="4">
        <v>288</v>
      </c>
      <c r="P82" s="6">
        <f t="shared" si="23"/>
        <v>0.2992700729927007</v>
      </c>
      <c r="Q82" s="4" t="s">
        <v>1280</v>
      </c>
      <c r="R82" s="4" t="s">
        <v>1280</v>
      </c>
      <c r="S82" s="4" t="s">
        <v>1280</v>
      </c>
      <c r="T82" s="4">
        <v>490</v>
      </c>
      <c r="U82" s="4">
        <f t="shared" si="24"/>
        <v>490</v>
      </c>
      <c r="V82" s="4">
        <v>294</v>
      </c>
      <c r="W82" s="4">
        <f t="shared" si="25"/>
        <v>294</v>
      </c>
      <c r="X82" s="4"/>
      <c r="Y82" s="21">
        <f t="shared" si="26"/>
        <v>420</v>
      </c>
      <c r="Z82" s="6">
        <f t="shared" si="27"/>
        <v>0.30000000000000004</v>
      </c>
      <c r="AA82" s="4">
        <v>0.25</v>
      </c>
      <c r="AB82" s="4" t="str">
        <f t="shared" si="28"/>
        <v>-</v>
      </c>
      <c r="AC82" s="4" t="str">
        <f t="shared" si="39"/>
        <v>-</v>
      </c>
      <c r="AD82" s="6" t="str">
        <f t="shared" si="40"/>
        <v>-</v>
      </c>
      <c r="AE82" s="4">
        <f t="shared" si="41"/>
        <v>465.5</v>
      </c>
      <c r="AF82" s="7">
        <v>420</v>
      </c>
      <c r="AG82" s="6">
        <f t="shared" si="29"/>
        <v>0.30000000000000004</v>
      </c>
      <c r="AH82" s="4">
        <f t="shared" si="30"/>
        <v>126</v>
      </c>
      <c r="AI82" s="28"/>
      <c r="AJ82" s="6"/>
      <c r="AK82" s="6"/>
      <c r="AL82" s="6">
        <f t="shared" si="31"/>
        <v>1.0208333333333333</v>
      </c>
      <c r="AM82" s="6">
        <f t="shared" si="32"/>
        <v>1.0218978102189782</v>
      </c>
      <c r="AN82" s="6">
        <f t="shared" si="33"/>
        <v>1.0208333333333333</v>
      </c>
      <c r="AO82" s="4" t="str">
        <f t="shared" si="34"/>
        <v>-</v>
      </c>
      <c r="AP82" s="4" t="str">
        <f t="shared" si="35"/>
        <v>-</v>
      </c>
      <c r="AQ82" s="4" t="str">
        <f t="shared" si="36"/>
        <v>-</v>
      </c>
      <c r="AR82" s="4" t="s">
        <v>1282</v>
      </c>
      <c r="AS82" s="4" t="s">
        <v>1280</v>
      </c>
      <c r="AT82" s="4"/>
      <c r="AU82" s="4"/>
      <c r="AV82" s="4" t="s">
        <v>1280</v>
      </c>
      <c r="AW82" s="4" t="s">
        <v>1280</v>
      </c>
      <c r="AX82" s="4" t="s">
        <v>1280</v>
      </c>
      <c r="AY82" s="4" t="s">
        <v>1280</v>
      </c>
      <c r="AZ82" s="4" t="str">
        <f t="shared" si="37"/>
        <v>-</v>
      </c>
      <c r="BA82" s="19">
        <v>4</v>
      </c>
      <c r="BB82" s="19">
        <v>1</v>
      </c>
      <c r="BC82" s="16">
        <v>19</v>
      </c>
      <c r="BD82">
        <v>408</v>
      </c>
      <c r="BE82">
        <v>408</v>
      </c>
      <c r="BF82">
        <v>408</v>
      </c>
      <c r="BG82">
        <f t="shared" si="42"/>
        <v>416.49999999999994</v>
      </c>
      <c r="BH82" t="s">
        <v>1280</v>
      </c>
      <c r="BI82" t="s">
        <v>1280</v>
      </c>
      <c r="BJ82" t="s">
        <v>1280</v>
      </c>
      <c r="BK82" t="str">
        <f t="shared" si="43"/>
        <v>-</v>
      </c>
      <c r="BL82" t="s">
        <v>1280</v>
      </c>
      <c r="BM82">
        <v>812</v>
      </c>
    </row>
    <row r="83" spans="1:65" x14ac:dyDescent="0.4">
      <c r="A83" s="3">
        <v>20</v>
      </c>
      <c r="B83" s="3">
        <v>20</v>
      </c>
      <c r="C83" s="4">
        <v>173714</v>
      </c>
      <c r="D83" s="4" t="str">
        <f t="shared" si="22"/>
        <v>173714</v>
      </c>
      <c r="E83" s="4">
        <v>173714</v>
      </c>
      <c r="F83" s="4" t="str">
        <f t="shared" si="38"/>
        <v>1737145</v>
      </c>
      <c r="G83" s="4" t="s">
        <v>655</v>
      </c>
      <c r="H83" s="5">
        <v>4974268454584</v>
      </c>
      <c r="I83" s="5">
        <v>5</v>
      </c>
      <c r="J83" s="5"/>
      <c r="K83" s="5">
        <v>1</v>
      </c>
      <c r="L83" s="5">
        <v>1</v>
      </c>
      <c r="M83" s="4">
        <v>480</v>
      </c>
      <c r="N83" s="4">
        <v>360</v>
      </c>
      <c r="O83" s="4">
        <v>288</v>
      </c>
      <c r="P83" s="6">
        <f t="shared" si="23"/>
        <v>0.19999999999999996</v>
      </c>
      <c r="Q83" s="4" t="s">
        <v>1280</v>
      </c>
      <c r="R83" s="4" t="s">
        <v>1280</v>
      </c>
      <c r="S83" s="4" t="s">
        <v>1280</v>
      </c>
      <c r="T83" s="4">
        <v>490</v>
      </c>
      <c r="U83" s="4">
        <f t="shared" si="24"/>
        <v>490</v>
      </c>
      <c r="V83" s="4">
        <v>294</v>
      </c>
      <c r="W83" s="4">
        <f t="shared" si="25"/>
        <v>294</v>
      </c>
      <c r="X83" s="4"/>
      <c r="Y83" s="21">
        <f t="shared" si="26"/>
        <v>368</v>
      </c>
      <c r="Z83" s="6">
        <f t="shared" si="27"/>
        <v>0.20108695652173914</v>
      </c>
      <c r="AA83" s="4">
        <v>0.25</v>
      </c>
      <c r="AB83" s="4">
        <f t="shared" si="28"/>
        <v>660.6</v>
      </c>
      <c r="AC83" s="4">
        <f t="shared" si="39"/>
        <v>674.36249999999995</v>
      </c>
      <c r="AD83" s="6">
        <f t="shared" si="40"/>
        <v>0.56403269754768393</v>
      </c>
      <c r="AE83" s="4">
        <f t="shared" si="41"/>
        <v>465.5</v>
      </c>
      <c r="AF83" s="7">
        <v>420</v>
      </c>
      <c r="AG83" s="6">
        <f t="shared" si="29"/>
        <v>0.30000000000000004</v>
      </c>
      <c r="AH83" s="4">
        <f t="shared" si="30"/>
        <v>126</v>
      </c>
      <c r="AI83" s="28"/>
      <c r="AJ83" s="6"/>
      <c r="AK83" s="6"/>
      <c r="AL83" s="6">
        <f t="shared" si="31"/>
        <v>1.0208333333333333</v>
      </c>
      <c r="AM83" s="6">
        <f t="shared" si="32"/>
        <v>1.1666666666666667</v>
      </c>
      <c r="AN83" s="6">
        <f t="shared" si="33"/>
        <v>1.0208333333333333</v>
      </c>
      <c r="AO83" s="4" t="str">
        <f t="shared" si="34"/>
        <v>-</v>
      </c>
      <c r="AP83" s="4" t="str">
        <f t="shared" si="35"/>
        <v>-</v>
      </c>
      <c r="AQ83" s="4" t="str">
        <f t="shared" si="36"/>
        <v>-</v>
      </c>
      <c r="AR83" s="4" t="s">
        <v>1282</v>
      </c>
      <c r="AS83" s="4" t="s">
        <v>1704</v>
      </c>
      <c r="AT83" s="4">
        <v>1</v>
      </c>
      <c r="AU83" s="4">
        <v>5</v>
      </c>
      <c r="AV83" s="4" t="s">
        <v>1703</v>
      </c>
      <c r="AW83" s="4">
        <v>3303</v>
      </c>
      <c r="AX83" s="4">
        <v>3303</v>
      </c>
      <c r="AY83" s="4">
        <v>3303</v>
      </c>
      <c r="AZ83" s="4">
        <f t="shared" si="37"/>
        <v>660.6</v>
      </c>
      <c r="BA83" s="19">
        <v>4</v>
      </c>
      <c r="BB83" s="19">
        <v>1</v>
      </c>
      <c r="BC83" s="16">
        <v>19</v>
      </c>
      <c r="BD83">
        <v>408</v>
      </c>
      <c r="BE83">
        <v>408</v>
      </c>
      <c r="BF83">
        <v>408</v>
      </c>
      <c r="BG83">
        <f t="shared" si="42"/>
        <v>416.49999999999994</v>
      </c>
      <c r="BH83" t="s">
        <v>1280</v>
      </c>
      <c r="BI83" t="s">
        <v>1280</v>
      </c>
      <c r="BJ83" t="s">
        <v>1280</v>
      </c>
      <c r="BK83" t="str">
        <f t="shared" si="43"/>
        <v>-</v>
      </c>
      <c r="BL83" t="s">
        <v>1300</v>
      </c>
      <c r="BM83">
        <v>812</v>
      </c>
    </row>
    <row r="84" spans="1:65" x14ac:dyDescent="0.4">
      <c r="A84" s="3">
        <v>21</v>
      </c>
      <c r="B84" s="3">
        <v>21</v>
      </c>
      <c r="C84" s="4">
        <v>173716</v>
      </c>
      <c r="D84" s="4" t="str">
        <f t="shared" si="22"/>
        <v>173716</v>
      </c>
      <c r="E84" s="4">
        <v>173716</v>
      </c>
      <c r="F84" s="4" t="str">
        <f t="shared" si="38"/>
        <v>1737165</v>
      </c>
      <c r="G84" s="4" t="s">
        <v>656</v>
      </c>
      <c r="H84" s="5">
        <v>4974268454607</v>
      </c>
      <c r="I84" s="5">
        <v>5</v>
      </c>
      <c r="J84" s="5"/>
      <c r="K84" s="5">
        <v>1</v>
      </c>
      <c r="L84" s="5">
        <v>1</v>
      </c>
      <c r="M84" s="4">
        <v>480</v>
      </c>
      <c r="N84" s="4">
        <v>365</v>
      </c>
      <c r="O84" s="4">
        <v>288</v>
      </c>
      <c r="P84" s="6">
        <f t="shared" si="23"/>
        <v>0.21095890410958906</v>
      </c>
      <c r="Q84" s="4" t="s">
        <v>1280</v>
      </c>
      <c r="R84" s="4" t="s">
        <v>1280</v>
      </c>
      <c r="S84" s="4" t="s">
        <v>1280</v>
      </c>
      <c r="T84" s="4">
        <v>490</v>
      </c>
      <c r="U84" s="4">
        <f t="shared" si="24"/>
        <v>490</v>
      </c>
      <c r="V84" s="4">
        <v>294</v>
      </c>
      <c r="W84" s="4">
        <f t="shared" si="25"/>
        <v>294</v>
      </c>
      <c r="X84" s="4"/>
      <c r="Y84" s="21">
        <f t="shared" si="26"/>
        <v>373</v>
      </c>
      <c r="Z84" s="6">
        <f t="shared" si="27"/>
        <v>0.2117962466487936</v>
      </c>
      <c r="AA84" s="4">
        <v>0.25</v>
      </c>
      <c r="AB84" s="4">
        <f t="shared" si="28"/>
        <v>878.80000000000007</v>
      </c>
      <c r="AC84" s="4">
        <f t="shared" si="39"/>
        <v>897.10833333333335</v>
      </c>
      <c r="AD84" s="6">
        <f t="shared" si="40"/>
        <v>0.67228038233955401</v>
      </c>
      <c r="AE84" s="4">
        <f t="shared" si="41"/>
        <v>465.5</v>
      </c>
      <c r="AF84" s="7">
        <v>420</v>
      </c>
      <c r="AG84" s="6">
        <f t="shared" si="29"/>
        <v>0.30000000000000004</v>
      </c>
      <c r="AH84" s="4">
        <f t="shared" si="30"/>
        <v>126</v>
      </c>
      <c r="AI84" s="28"/>
      <c r="AJ84" s="6"/>
      <c r="AK84" s="6"/>
      <c r="AL84" s="6">
        <f t="shared" si="31"/>
        <v>1.0208333333333333</v>
      </c>
      <c r="AM84" s="6">
        <f t="shared" si="32"/>
        <v>1.1506849315068493</v>
      </c>
      <c r="AN84" s="6">
        <f t="shared" si="33"/>
        <v>1.0208333333333333</v>
      </c>
      <c r="AO84" s="4" t="str">
        <f t="shared" si="34"/>
        <v>-</v>
      </c>
      <c r="AP84" s="4" t="str">
        <f t="shared" si="35"/>
        <v>-</v>
      </c>
      <c r="AQ84" s="4" t="str">
        <f t="shared" si="36"/>
        <v>-</v>
      </c>
      <c r="AR84" s="4" t="s">
        <v>1282</v>
      </c>
      <c r="AS84" s="4" t="s">
        <v>1705</v>
      </c>
      <c r="AT84" s="4">
        <v>1</v>
      </c>
      <c r="AU84" s="4">
        <v>5</v>
      </c>
      <c r="AV84" s="4" t="s">
        <v>1703</v>
      </c>
      <c r="AW84" s="4">
        <v>3973</v>
      </c>
      <c r="AX84" s="4">
        <v>4394</v>
      </c>
      <c r="AY84" s="4">
        <v>4394</v>
      </c>
      <c r="AZ84" s="4">
        <f t="shared" si="37"/>
        <v>878.80000000000007</v>
      </c>
      <c r="BA84" s="19">
        <v>4</v>
      </c>
      <c r="BB84" s="19">
        <v>1</v>
      </c>
      <c r="BC84" s="16">
        <v>19</v>
      </c>
      <c r="BD84">
        <v>408</v>
      </c>
      <c r="BE84">
        <v>408</v>
      </c>
      <c r="BF84" t="s">
        <v>1280</v>
      </c>
      <c r="BG84" t="str">
        <f t="shared" si="42"/>
        <v>-</v>
      </c>
      <c r="BH84" t="s">
        <v>1280</v>
      </c>
      <c r="BI84" t="s">
        <v>1280</v>
      </c>
      <c r="BJ84" t="s">
        <v>1280</v>
      </c>
      <c r="BK84" t="str">
        <f t="shared" si="43"/>
        <v>-</v>
      </c>
      <c r="BL84" t="s">
        <v>1301</v>
      </c>
      <c r="BM84">
        <v>812</v>
      </c>
    </row>
    <row r="85" spans="1:65" x14ac:dyDescent="0.4">
      <c r="A85" s="3">
        <v>22</v>
      </c>
      <c r="B85" s="3">
        <v>22</v>
      </c>
      <c r="C85" s="4">
        <v>173748</v>
      </c>
      <c r="D85" s="4" t="str">
        <f t="shared" si="22"/>
        <v>173748</v>
      </c>
      <c r="E85" s="4">
        <v>173748</v>
      </c>
      <c r="F85" s="4" t="str">
        <f t="shared" si="38"/>
        <v>1737485</v>
      </c>
      <c r="G85" s="4" t="s">
        <v>657</v>
      </c>
      <c r="H85" s="5">
        <v>4974268454614</v>
      </c>
      <c r="I85" s="5">
        <v>5</v>
      </c>
      <c r="J85" s="5"/>
      <c r="K85" s="5">
        <v>1</v>
      </c>
      <c r="L85" s="5">
        <v>1</v>
      </c>
      <c r="M85" s="4">
        <v>480</v>
      </c>
      <c r="N85" s="4">
        <v>411</v>
      </c>
      <c r="O85" s="4">
        <v>288</v>
      </c>
      <c r="P85" s="6">
        <f t="shared" si="23"/>
        <v>0.2992700729927007</v>
      </c>
      <c r="Q85" s="4" t="s">
        <v>1280</v>
      </c>
      <c r="R85" s="4" t="s">
        <v>1280</v>
      </c>
      <c r="S85" s="4" t="s">
        <v>1280</v>
      </c>
      <c r="T85" s="4">
        <v>490</v>
      </c>
      <c r="U85" s="4">
        <f t="shared" si="24"/>
        <v>490</v>
      </c>
      <c r="V85" s="4">
        <v>294</v>
      </c>
      <c r="W85" s="4">
        <f t="shared" si="25"/>
        <v>294</v>
      </c>
      <c r="X85" s="4"/>
      <c r="Y85" s="21">
        <f t="shared" si="26"/>
        <v>420</v>
      </c>
      <c r="Z85" s="6">
        <f t="shared" si="27"/>
        <v>0.30000000000000004</v>
      </c>
      <c r="AA85" s="4">
        <v>0.25</v>
      </c>
      <c r="AB85" s="4">
        <f t="shared" si="28"/>
        <v>730</v>
      </c>
      <c r="AC85" s="4">
        <f t="shared" si="39"/>
        <v>745.20833333333326</v>
      </c>
      <c r="AD85" s="6">
        <f t="shared" si="40"/>
        <v>0.60547945205479448</v>
      </c>
      <c r="AE85" s="4">
        <f t="shared" si="41"/>
        <v>465.5</v>
      </c>
      <c r="AF85" s="7">
        <v>420</v>
      </c>
      <c r="AG85" s="6">
        <f t="shared" si="29"/>
        <v>0.30000000000000004</v>
      </c>
      <c r="AH85" s="4">
        <f t="shared" si="30"/>
        <v>126</v>
      </c>
      <c r="AI85" s="28"/>
      <c r="AJ85" s="6"/>
      <c r="AK85" s="6"/>
      <c r="AL85" s="6">
        <f t="shared" si="31"/>
        <v>1.0208333333333333</v>
      </c>
      <c r="AM85" s="6">
        <f t="shared" si="32"/>
        <v>1.0218978102189782</v>
      </c>
      <c r="AN85" s="6">
        <f t="shared" si="33"/>
        <v>1.0208333333333333</v>
      </c>
      <c r="AO85" s="4" t="str">
        <f t="shared" si="34"/>
        <v>-</v>
      </c>
      <c r="AP85" s="4" t="str">
        <f t="shared" si="35"/>
        <v>-</v>
      </c>
      <c r="AQ85" s="4" t="str">
        <f t="shared" si="36"/>
        <v>-</v>
      </c>
      <c r="AR85" s="4" t="s">
        <v>1282</v>
      </c>
      <c r="AS85" s="4" t="s">
        <v>1706</v>
      </c>
      <c r="AT85" s="4">
        <v>1</v>
      </c>
      <c r="AU85" s="4">
        <v>5</v>
      </c>
      <c r="AV85" s="4" t="s">
        <v>1703</v>
      </c>
      <c r="AW85" s="4">
        <v>3303</v>
      </c>
      <c r="AX85" s="4">
        <v>3650</v>
      </c>
      <c r="AY85" s="4">
        <v>3650</v>
      </c>
      <c r="AZ85" s="4">
        <f t="shared" si="37"/>
        <v>730</v>
      </c>
      <c r="BA85" s="19">
        <v>4</v>
      </c>
      <c r="BB85" s="19">
        <v>1</v>
      </c>
      <c r="BC85" s="16">
        <v>19</v>
      </c>
      <c r="BD85">
        <v>408</v>
      </c>
      <c r="BE85">
        <v>408</v>
      </c>
      <c r="BF85">
        <v>408</v>
      </c>
      <c r="BG85">
        <f t="shared" si="42"/>
        <v>416.49999999999994</v>
      </c>
      <c r="BH85" t="s">
        <v>1280</v>
      </c>
      <c r="BI85" t="s">
        <v>1280</v>
      </c>
      <c r="BJ85" t="s">
        <v>1280</v>
      </c>
      <c r="BK85" t="str">
        <f t="shared" si="43"/>
        <v>-</v>
      </c>
      <c r="BL85" t="s">
        <v>1302</v>
      </c>
      <c r="BM85">
        <v>812</v>
      </c>
    </row>
    <row r="86" spans="1:65" x14ac:dyDescent="0.4">
      <c r="A86" s="3">
        <v>23</v>
      </c>
      <c r="B86" s="3">
        <v>23</v>
      </c>
      <c r="C86" s="4">
        <v>173749</v>
      </c>
      <c r="D86" s="4" t="str">
        <f t="shared" si="22"/>
        <v>173749</v>
      </c>
      <c r="E86" s="4">
        <v>173749</v>
      </c>
      <c r="F86" s="4" t="str">
        <f t="shared" si="38"/>
        <v>1737495</v>
      </c>
      <c r="G86" s="4" t="s">
        <v>658</v>
      </c>
      <c r="H86" s="5">
        <v>4974268454621</v>
      </c>
      <c r="I86" s="5">
        <v>5</v>
      </c>
      <c r="J86" s="5"/>
      <c r="K86" s="5">
        <v>1</v>
      </c>
      <c r="L86" s="5">
        <v>1</v>
      </c>
      <c r="M86" s="4">
        <v>480</v>
      </c>
      <c r="N86" s="4">
        <v>332</v>
      </c>
      <c r="O86" s="4">
        <v>288</v>
      </c>
      <c r="P86" s="6">
        <f t="shared" si="23"/>
        <v>0.13253012048192769</v>
      </c>
      <c r="Q86" s="4" t="s">
        <v>1280</v>
      </c>
      <c r="R86" s="4" t="s">
        <v>1280</v>
      </c>
      <c r="S86" s="4" t="s">
        <v>1280</v>
      </c>
      <c r="T86" s="4">
        <v>490</v>
      </c>
      <c r="U86" s="4">
        <f t="shared" si="24"/>
        <v>490</v>
      </c>
      <c r="V86" s="4">
        <v>294</v>
      </c>
      <c r="W86" s="4">
        <f t="shared" si="25"/>
        <v>294</v>
      </c>
      <c r="X86" s="4"/>
      <c r="Y86" s="21">
        <f t="shared" si="26"/>
        <v>339</v>
      </c>
      <c r="Z86" s="6">
        <f t="shared" si="27"/>
        <v>0.13274336283185839</v>
      </c>
      <c r="AA86" s="4">
        <v>0.5</v>
      </c>
      <c r="AB86" s="4">
        <f t="shared" si="28"/>
        <v>660.6</v>
      </c>
      <c r="AC86" s="4">
        <f t="shared" si="39"/>
        <v>674.36249999999995</v>
      </c>
      <c r="AD86" s="6">
        <f t="shared" si="40"/>
        <v>0.56403269754768393</v>
      </c>
      <c r="AE86" s="4">
        <f t="shared" si="41"/>
        <v>465.5</v>
      </c>
      <c r="AF86" s="7">
        <v>420</v>
      </c>
      <c r="AG86" s="6">
        <f t="shared" si="29"/>
        <v>0.30000000000000004</v>
      </c>
      <c r="AH86" s="4">
        <f t="shared" si="30"/>
        <v>126</v>
      </c>
      <c r="AI86" s="28"/>
      <c r="AJ86" s="6"/>
      <c r="AK86" s="6"/>
      <c r="AL86" s="6">
        <f t="shared" si="31"/>
        <v>1.0208333333333333</v>
      </c>
      <c r="AM86" s="6">
        <f t="shared" si="32"/>
        <v>1.2650602409638554</v>
      </c>
      <c r="AN86" s="6">
        <f t="shared" si="33"/>
        <v>1.0208333333333333</v>
      </c>
      <c r="AO86" s="4" t="str">
        <f t="shared" si="34"/>
        <v>-</v>
      </c>
      <c r="AP86" s="4" t="str">
        <f t="shared" si="35"/>
        <v>-</v>
      </c>
      <c r="AQ86" s="4" t="str">
        <f t="shared" si="36"/>
        <v>-</v>
      </c>
      <c r="AR86" s="4" t="s">
        <v>1282</v>
      </c>
      <c r="AS86" s="4" t="s">
        <v>1707</v>
      </c>
      <c r="AT86" s="4">
        <v>1</v>
      </c>
      <c r="AU86" s="4">
        <v>5</v>
      </c>
      <c r="AV86" s="4" t="s">
        <v>1703</v>
      </c>
      <c r="AW86" s="4">
        <v>3303</v>
      </c>
      <c r="AX86" s="4">
        <v>3303</v>
      </c>
      <c r="AY86" s="4">
        <v>3303</v>
      </c>
      <c r="AZ86" s="4">
        <f t="shared" si="37"/>
        <v>660.6</v>
      </c>
      <c r="BA86" s="19">
        <v>4</v>
      </c>
      <c r="BB86" s="19">
        <v>1</v>
      </c>
      <c r="BC86" s="16">
        <v>19</v>
      </c>
      <c r="BD86">
        <v>408</v>
      </c>
      <c r="BE86">
        <v>408</v>
      </c>
      <c r="BF86">
        <v>408</v>
      </c>
      <c r="BG86">
        <f t="shared" si="42"/>
        <v>416.49999999999994</v>
      </c>
      <c r="BH86" t="s">
        <v>1280</v>
      </c>
      <c r="BI86" t="s">
        <v>1280</v>
      </c>
      <c r="BJ86" t="s">
        <v>1280</v>
      </c>
      <c r="BK86" t="str">
        <f t="shared" si="43"/>
        <v>-</v>
      </c>
      <c r="BL86" t="s">
        <v>1303</v>
      </c>
      <c r="BM86">
        <v>812</v>
      </c>
    </row>
    <row r="87" spans="1:65" x14ac:dyDescent="0.4">
      <c r="A87" s="3">
        <v>24</v>
      </c>
      <c r="B87" s="3">
        <v>24</v>
      </c>
      <c r="C87" s="4">
        <v>173750</v>
      </c>
      <c r="D87" s="4" t="str">
        <f t="shared" si="22"/>
        <v>173750</v>
      </c>
      <c r="E87" s="4">
        <v>173750</v>
      </c>
      <c r="F87" s="4" t="str">
        <f t="shared" si="38"/>
        <v>1737505</v>
      </c>
      <c r="G87" s="4" t="s">
        <v>659</v>
      </c>
      <c r="H87" s="5">
        <v>4974268454638</v>
      </c>
      <c r="I87" s="5">
        <v>5</v>
      </c>
      <c r="J87" s="5"/>
      <c r="K87" s="5">
        <v>1</v>
      </c>
      <c r="L87" s="5">
        <v>1</v>
      </c>
      <c r="M87" s="4">
        <v>480</v>
      </c>
      <c r="N87" s="4">
        <v>411</v>
      </c>
      <c r="O87" s="4">
        <v>288</v>
      </c>
      <c r="P87" s="6">
        <f t="shared" si="23"/>
        <v>0.2992700729927007</v>
      </c>
      <c r="Q87" s="4" t="s">
        <v>1280</v>
      </c>
      <c r="R87" s="4" t="s">
        <v>1280</v>
      </c>
      <c r="S87" s="4" t="s">
        <v>1280</v>
      </c>
      <c r="T87" s="4">
        <v>490</v>
      </c>
      <c r="U87" s="4">
        <f t="shared" si="24"/>
        <v>490</v>
      </c>
      <c r="V87" s="4">
        <v>294</v>
      </c>
      <c r="W87" s="4">
        <f t="shared" si="25"/>
        <v>294</v>
      </c>
      <c r="X87" s="4"/>
      <c r="Y87" s="21">
        <f t="shared" si="26"/>
        <v>420</v>
      </c>
      <c r="Z87" s="6">
        <f t="shared" si="27"/>
        <v>0.30000000000000004</v>
      </c>
      <c r="AA87" s="4">
        <v>3.75</v>
      </c>
      <c r="AB87" s="4">
        <f t="shared" si="28"/>
        <v>730</v>
      </c>
      <c r="AC87" s="4">
        <f t="shared" si="39"/>
        <v>745.20833333333326</v>
      </c>
      <c r="AD87" s="6">
        <f t="shared" si="40"/>
        <v>0.60547945205479448</v>
      </c>
      <c r="AE87" s="4">
        <f t="shared" si="41"/>
        <v>465.5</v>
      </c>
      <c r="AF87" s="7">
        <v>420</v>
      </c>
      <c r="AG87" s="6">
        <f t="shared" si="29"/>
        <v>0.30000000000000004</v>
      </c>
      <c r="AH87" s="4">
        <f t="shared" si="30"/>
        <v>126</v>
      </c>
      <c r="AI87" s="28"/>
      <c r="AJ87" s="6"/>
      <c r="AK87" s="6"/>
      <c r="AL87" s="6">
        <f t="shared" si="31"/>
        <v>1.0208333333333333</v>
      </c>
      <c r="AM87" s="6">
        <f t="shared" si="32"/>
        <v>1.0218978102189782</v>
      </c>
      <c r="AN87" s="6">
        <f t="shared" si="33"/>
        <v>1.0208333333333333</v>
      </c>
      <c r="AO87" s="4" t="str">
        <f t="shared" si="34"/>
        <v>-</v>
      </c>
      <c r="AP87" s="4" t="str">
        <f t="shared" si="35"/>
        <v>-</v>
      </c>
      <c r="AQ87" s="4" t="str">
        <f t="shared" si="36"/>
        <v>-</v>
      </c>
      <c r="AR87" s="4" t="s">
        <v>1282</v>
      </c>
      <c r="AS87" s="4" t="s">
        <v>1708</v>
      </c>
      <c r="AT87" s="4">
        <v>1</v>
      </c>
      <c r="AU87" s="4">
        <v>5</v>
      </c>
      <c r="AV87" s="4" t="s">
        <v>1703</v>
      </c>
      <c r="AW87" s="4">
        <v>3303</v>
      </c>
      <c r="AX87" s="4">
        <v>3650</v>
      </c>
      <c r="AY87" s="4">
        <v>3650</v>
      </c>
      <c r="AZ87" s="4">
        <f t="shared" si="37"/>
        <v>730</v>
      </c>
      <c r="BA87" s="19">
        <v>4</v>
      </c>
      <c r="BB87" s="19">
        <v>1</v>
      </c>
      <c r="BC87" s="16">
        <v>19</v>
      </c>
      <c r="BD87">
        <v>408</v>
      </c>
      <c r="BE87">
        <v>408</v>
      </c>
      <c r="BF87">
        <v>408</v>
      </c>
      <c r="BG87">
        <f t="shared" si="42"/>
        <v>416.49999999999994</v>
      </c>
      <c r="BH87" t="s">
        <v>1280</v>
      </c>
      <c r="BI87" t="s">
        <v>1280</v>
      </c>
      <c r="BJ87" t="s">
        <v>1280</v>
      </c>
      <c r="BK87" t="str">
        <f t="shared" si="43"/>
        <v>-</v>
      </c>
      <c r="BL87" t="s">
        <v>1304</v>
      </c>
      <c r="BM87">
        <v>812</v>
      </c>
    </row>
    <row r="88" spans="1:65" x14ac:dyDescent="0.4">
      <c r="A88" s="3">
        <v>25</v>
      </c>
      <c r="B88" s="3">
        <v>25</v>
      </c>
      <c r="C88" s="4">
        <v>173794</v>
      </c>
      <c r="D88" s="4" t="str">
        <f t="shared" si="22"/>
        <v>173794</v>
      </c>
      <c r="E88" s="4">
        <v>173794</v>
      </c>
      <c r="F88" s="4" t="str">
        <f t="shared" si="38"/>
        <v>1737945</v>
      </c>
      <c r="G88" s="4" t="s">
        <v>660</v>
      </c>
      <c r="H88" s="5">
        <v>4974268454645</v>
      </c>
      <c r="I88" s="5">
        <v>5</v>
      </c>
      <c r="J88" s="5"/>
      <c r="K88" s="5">
        <v>1</v>
      </c>
      <c r="L88" s="5">
        <v>1</v>
      </c>
      <c r="M88" s="4">
        <v>480</v>
      </c>
      <c r="N88" s="4">
        <v>377</v>
      </c>
      <c r="O88" s="4">
        <v>288</v>
      </c>
      <c r="P88" s="6">
        <f t="shared" si="23"/>
        <v>0.23607427055702923</v>
      </c>
      <c r="Q88" s="4" t="s">
        <v>1280</v>
      </c>
      <c r="R88" s="4" t="s">
        <v>1280</v>
      </c>
      <c r="S88" s="4" t="s">
        <v>1280</v>
      </c>
      <c r="T88" s="4">
        <v>490</v>
      </c>
      <c r="U88" s="4">
        <f t="shared" si="24"/>
        <v>490</v>
      </c>
      <c r="V88" s="4">
        <v>294</v>
      </c>
      <c r="W88" s="4">
        <f t="shared" si="25"/>
        <v>294</v>
      </c>
      <c r="X88" s="4"/>
      <c r="Y88" s="21">
        <f t="shared" si="26"/>
        <v>385</v>
      </c>
      <c r="Z88" s="6">
        <f t="shared" si="27"/>
        <v>0.23636363636363633</v>
      </c>
      <c r="AA88" s="4">
        <v>0</v>
      </c>
      <c r="AB88" s="4">
        <f t="shared" si="28"/>
        <v>660.6</v>
      </c>
      <c r="AC88" s="4">
        <f t="shared" si="39"/>
        <v>674.36249999999995</v>
      </c>
      <c r="AD88" s="6">
        <f t="shared" si="40"/>
        <v>0.56403269754768393</v>
      </c>
      <c r="AE88" s="4">
        <f t="shared" si="41"/>
        <v>465.5</v>
      </c>
      <c r="AF88" s="7">
        <v>420</v>
      </c>
      <c r="AG88" s="6">
        <f t="shared" si="29"/>
        <v>0.30000000000000004</v>
      </c>
      <c r="AH88" s="4">
        <f t="shared" si="30"/>
        <v>126</v>
      </c>
      <c r="AI88" s="28"/>
      <c r="AJ88" s="6"/>
      <c r="AK88" s="6"/>
      <c r="AL88" s="6">
        <f t="shared" si="31"/>
        <v>1.0208333333333333</v>
      </c>
      <c r="AM88" s="6">
        <f t="shared" si="32"/>
        <v>1.1140583554376657</v>
      </c>
      <c r="AN88" s="6">
        <f t="shared" si="33"/>
        <v>1.0208333333333333</v>
      </c>
      <c r="AO88" s="4" t="str">
        <f t="shared" si="34"/>
        <v>-</v>
      </c>
      <c r="AP88" s="4" t="str">
        <f t="shared" si="35"/>
        <v>-</v>
      </c>
      <c r="AQ88" s="4" t="str">
        <f t="shared" si="36"/>
        <v>-</v>
      </c>
      <c r="AR88" s="4">
        <v>0</v>
      </c>
      <c r="AS88" s="4" t="s">
        <v>1709</v>
      </c>
      <c r="AT88" s="4">
        <v>1</v>
      </c>
      <c r="AU88" s="4">
        <v>5</v>
      </c>
      <c r="AV88" s="4" t="s">
        <v>1703</v>
      </c>
      <c r="AW88" s="4">
        <v>3303</v>
      </c>
      <c r="AX88" s="4">
        <v>3303</v>
      </c>
      <c r="AY88" s="4">
        <v>3303</v>
      </c>
      <c r="AZ88" s="4">
        <f t="shared" si="37"/>
        <v>660.6</v>
      </c>
      <c r="BA88" s="19">
        <v>4</v>
      </c>
      <c r="BB88" s="19">
        <v>1</v>
      </c>
      <c r="BC88" s="16">
        <v>19</v>
      </c>
      <c r="BD88">
        <v>408</v>
      </c>
      <c r="BE88">
        <v>408</v>
      </c>
      <c r="BF88" t="s">
        <v>1280</v>
      </c>
      <c r="BG88" t="str">
        <f t="shared" si="42"/>
        <v>-</v>
      </c>
      <c r="BH88" t="s">
        <v>1280</v>
      </c>
      <c r="BI88" t="s">
        <v>1280</v>
      </c>
      <c r="BJ88" t="s">
        <v>1280</v>
      </c>
      <c r="BK88" t="str">
        <f t="shared" si="43"/>
        <v>-</v>
      </c>
      <c r="BL88" t="s">
        <v>1305</v>
      </c>
      <c r="BM88">
        <v>812</v>
      </c>
    </row>
    <row r="89" spans="1:65" x14ac:dyDescent="0.4">
      <c r="A89" s="3">
        <v>557</v>
      </c>
      <c r="B89" s="3">
        <v>557</v>
      </c>
      <c r="C89" s="4" t="s">
        <v>546</v>
      </c>
      <c r="D89" s="4" t="str">
        <f t="shared" si="22"/>
        <v>J919SA</v>
      </c>
      <c r="E89" s="4" t="s">
        <v>546</v>
      </c>
      <c r="F89" s="4" t="str">
        <f t="shared" si="38"/>
        <v>J919SA5</v>
      </c>
      <c r="G89" s="4" t="s">
        <v>1190</v>
      </c>
      <c r="H89" s="5">
        <v>4974268145437</v>
      </c>
      <c r="I89" s="5">
        <v>5</v>
      </c>
      <c r="J89" s="5"/>
      <c r="K89" s="5">
        <v>1</v>
      </c>
      <c r="L89" s="5">
        <v>1</v>
      </c>
      <c r="M89" s="4">
        <v>450</v>
      </c>
      <c r="N89" s="4">
        <v>428</v>
      </c>
      <c r="O89" s="4">
        <v>270</v>
      </c>
      <c r="P89" s="6">
        <f t="shared" si="23"/>
        <v>0.36915887850467288</v>
      </c>
      <c r="Q89" s="4" t="s">
        <v>1280</v>
      </c>
      <c r="R89" s="4" t="s">
        <v>1280</v>
      </c>
      <c r="S89" s="4" t="s">
        <v>1280</v>
      </c>
      <c r="T89" s="4">
        <v>490</v>
      </c>
      <c r="U89" s="4">
        <f t="shared" si="24"/>
        <v>490</v>
      </c>
      <c r="V89" s="4">
        <v>294</v>
      </c>
      <c r="W89" s="4">
        <f t="shared" si="25"/>
        <v>294</v>
      </c>
      <c r="X89" s="4"/>
      <c r="Y89" s="21">
        <f t="shared" si="26"/>
        <v>466</v>
      </c>
      <c r="Z89" s="6">
        <f t="shared" si="27"/>
        <v>0.36909871244635195</v>
      </c>
      <c r="AA89" s="4">
        <v>0.5</v>
      </c>
      <c r="AB89" s="4">
        <f t="shared" si="28"/>
        <v>499</v>
      </c>
      <c r="AC89" s="4">
        <f t="shared" si="39"/>
        <v>543.3555555555555</v>
      </c>
      <c r="AD89" s="6">
        <f t="shared" si="40"/>
        <v>0.45891783567134259</v>
      </c>
      <c r="AE89" s="4">
        <f t="shared" si="41"/>
        <v>465.5</v>
      </c>
      <c r="AF89" s="7">
        <v>460</v>
      </c>
      <c r="AG89" s="6">
        <f t="shared" si="29"/>
        <v>0.36086956521739133</v>
      </c>
      <c r="AH89" s="4">
        <f t="shared" si="30"/>
        <v>166</v>
      </c>
      <c r="AI89" s="28"/>
      <c r="AJ89" s="6"/>
      <c r="AK89" s="6"/>
      <c r="AL89" s="6">
        <f t="shared" si="31"/>
        <v>1.0888888888888888</v>
      </c>
      <c r="AM89" s="6">
        <f t="shared" si="32"/>
        <v>1.0747663551401869</v>
      </c>
      <c r="AN89" s="6">
        <f t="shared" si="33"/>
        <v>1.0888888888888888</v>
      </c>
      <c r="AO89" s="4" t="str">
        <f t="shared" si="34"/>
        <v>-</v>
      </c>
      <c r="AP89" s="4" t="str">
        <f t="shared" si="35"/>
        <v>-</v>
      </c>
      <c r="AQ89" s="4" t="str">
        <f t="shared" si="36"/>
        <v>-</v>
      </c>
      <c r="AR89" s="4">
        <v>0</v>
      </c>
      <c r="AS89" s="4" t="s">
        <v>2113</v>
      </c>
      <c r="AT89" s="4"/>
      <c r="AU89" s="4"/>
      <c r="AV89" s="4" t="s">
        <v>2114</v>
      </c>
      <c r="AW89" s="4">
        <v>499</v>
      </c>
      <c r="AX89" s="4">
        <v>499</v>
      </c>
      <c r="AY89" s="4">
        <v>499</v>
      </c>
      <c r="AZ89" s="4">
        <f t="shared" si="37"/>
        <v>499</v>
      </c>
      <c r="BA89" s="19">
        <v>4</v>
      </c>
      <c r="BB89" s="19">
        <v>8</v>
      </c>
      <c r="BC89" s="16">
        <v>18</v>
      </c>
      <c r="BD89" t="s">
        <v>1280</v>
      </c>
      <c r="BE89" t="s">
        <v>1280</v>
      </c>
      <c r="BF89" t="s">
        <v>1280</v>
      </c>
      <c r="BG89" t="str">
        <f t="shared" si="42"/>
        <v>-</v>
      </c>
      <c r="BH89">
        <v>424</v>
      </c>
      <c r="BI89">
        <v>424</v>
      </c>
      <c r="BJ89">
        <v>424</v>
      </c>
      <c r="BK89">
        <f t="shared" si="43"/>
        <v>461.68888888888887</v>
      </c>
      <c r="BL89" t="s">
        <v>1608</v>
      </c>
      <c r="BM89">
        <v>812</v>
      </c>
    </row>
    <row r="90" spans="1:65" x14ac:dyDescent="0.4">
      <c r="A90" s="3">
        <v>106</v>
      </c>
      <c r="B90" s="3">
        <v>106</v>
      </c>
      <c r="C90" s="4" t="s">
        <v>95</v>
      </c>
      <c r="D90" s="4" t="str">
        <f t="shared" si="22"/>
        <v>J0871T</v>
      </c>
      <c r="E90" s="4" t="s">
        <v>95</v>
      </c>
      <c r="F90" s="4" t="str">
        <f t="shared" si="38"/>
        <v>J0871T5</v>
      </c>
      <c r="G90" s="4" t="s">
        <v>741</v>
      </c>
      <c r="H90" s="5">
        <v>4974268492531</v>
      </c>
      <c r="I90" s="5">
        <v>5</v>
      </c>
      <c r="J90" s="5"/>
      <c r="K90" s="5">
        <v>1</v>
      </c>
      <c r="L90" s="5">
        <v>1</v>
      </c>
      <c r="M90" s="4">
        <v>450</v>
      </c>
      <c r="N90" s="4">
        <v>428</v>
      </c>
      <c r="O90" s="4">
        <v>270</v>
      </c>
      <c r="P90" s="6">
        <f t="shared" si="23"/>
        <v>0.36915887850467288</v>
      </c>
      <c r="Q90" s="4" t="s">
        <v>1280</v>
      </c>
      <c r="R90" s="4" t="s">
        <v>1280</v>
      </c>
      <c r="S90" s="4" t="s">
        <v>1280</v>
      </c>
      <c r="T90" s="4">
        <v>500</v>
      </c>
      <c r="U90" s="4">
        <f t="shared" si="24"/>
        <v>500</v>
      </c>
      <c r="V90" s="4">
        <v>300</v>
      </c>
      <c r="W90" s="4">
        <f t="shared" si="25"/>
        <v>300</v>
      </c>
      <c r="X90" s="4"/>
      <c r="Y90" s="21">
        <f t="shared" si="26"/>
        <v>476</v>
      </c>
      <c r="Z90" s="6">
        <f t="shared" si="27"/>
        <v>0.36974789915966388</v>
      </c>
      <c r="AA90" s="4">
        <v>0.5</v>
      </c>
      <c r="AB90" s="4">
        <f t="shared" si="28"/>
        <v>555</v>
      </c>
      <c r="AC90" s="4">
        <f t="shared" si="39"/>
        <v>616.66666666666674</v>
      </c>
      <c r="AD90" s="6">
        <f t="shared" si="40"/>
        <v>0.5135135135135136</v>
      </c>
      <c r="AE90" s="4">
        <f t="shared" si="41"/>
        <v>475</v>
      </c>
      <c r="AF90" s="7">
        <v>470</v>
      </c>
      <c r="AG90" s="6">
        <f t="shared" si="29"/>
        <v>0.36170212765957444</v>
      </c>
      <c r="AH90" s="4">
        <f t="shared" si="30"/>
        <v>170</v>
      </c>
      <c r="AI90" s="28"/>
      <c r="AJ90" s="6"/>
      <c r="AK90" s="6"/>
      <c r="AL90" s="6">
        <f t="shared" si="31"/>
        <v>1.1111111111111112</v>
      </c>
      <c r="AM90" s="6">
        <f t="shared" si="32"/>
        <v>1.0981308411214954</v>
      </c>
      <c r="AN90" s="6">
        <f t="shared" si="33"/>
        <v>1.1111111111111112</v>
      </c>
      <c r="AO90" s="4" t="str">
        <f t="shared" si="34"/>
        <v>-</v>
      </c>
      <c r="AP90" s="4" t="str">
        <f t="shared" si="35"/>
        <v>-</v>
      </c>
      <c r="AQ90" s="4" t="str">
        <f t="shared" si="36"/>
        <v>-</v>
      </c>
      <c r="AR90" s="4">
        <v>0</v>
      </c>
      <c r="AS90" s="4" t="s">
        <v>1793</v>
      </c>
      <c r="AT90" s="4"/>
      <c r="AU90" s="4"/>
      <c r="AV90" s="4" t="s">
        <v>1794</v>
      </c>
      <c r="AW90" s="4">
        <v>555</v>
      </c>
      <c r="AX90" s="4">
        <v>555</v>
      </c>
      <c r="AY90" s="4">
        <v>555</v>
      </c>
      <c r="AZ90" s="4">
        <f t="shared" si="37"/>
        <v>555</v>
      </c>
      <c r="BA90" s="19">
        <v>4</v>
      </c>
      <c r="BB90" s="19">
        <v>8</v>
      </c>
      <c r="BC90" s="16">
        <v>19</v>
      </c>
      <c r="BD90" t="s">
        <v>1280</v>
      </c>
      <c r="BE90" t="s">
        <v>1280</v>
      </c>
      <c r="BF90" t="s">
        <v>1280</v>
      </c>
      <c r="BG90" t="str">
        <f t="shared" si="42"/>
        <v>-</v>
      </c>
      <c r="BH90">
        <v>392</v>
      </c>
      <c r="BI90">
        <v>392</v>
      </c>
      <c r="BJ90">
        <v>392</v>
      </c>
      <c r="BK90">
        <f t="shared" si="43"/>
        <v>435.5555555555556</v>
      </c>
      <c r="BL90" t="s">
        <v>1364</v>
      </c>
      <c r="BM90">
        <v>812</v>
      </c>
    </row>
    <row r="91" spans="1:65" x14ac:dyDescent="0.4">
      <c r="A91" s="3">
        <v>107</v>
      </c>
      <c r="B91" s="3">
        <v>107</v>
      </c>
      <c r="C91" s="4" t="s">
        <v>96</v>
      </c>
      <c r="D91" s="4" t="str">
        <f t="shared" si="22"/>
        <v>J0872T</v>
      </c>
      <c r="E91" s="4" t="s">
        <v>96</v>
      </c>
      <c r="F91" s="4" t="str">
        <f t="shared" si="38"/>
        <v>J0872T5</v>
      </c>
      <c r="G91" s="4" t="s">
        <v>742</v>
      </c>
      <c r="H91" s="5">
        <v>4974268492555</v>
      </c>
      <c r="I91" s="5">
        <v>5</v>
      </c>
      <c r="J91" s="5"/>
      <c r="K91" s="5">
        <v>1</v>
      </c>
      <c r="L91" s="5">
        <v>1</v>
      </c>
      <c r="M91" s="4">
        <v>450</v>
      </c>
      <c r="N91" s="4">
        <v>428</v>
      </c>
      <c r="O91" s="4">
        <v>270</v>
      </c>
      <c r="P91" s="6">
        <f t="shared" si="23"/>
        <v>0.36915887850467288</v>
      </c>
      <c r="Q91" s="4" t="s">
        <v>1280</v>
      </c>
      <c r="R91" s="4" t="s">
        <v>1280</v>
      </c>
      <c r="S91" s="4" t="s">
        <v>1280</v>
      </c>
      <c r="T91" s="4">
        <v>500</v>
      </c>
      <c r="U91" s="4">
        <f t="shared" si="24"/>
        <v>500</v>
      </c>
      <c r="V91" s="4">
        <v>300</v>
      </c>
      <c r="W91" s="4">
        <f t="shared" si="25"/>
        <v>300</v>
      </c>
      <c r="X91" s="4"/>
      <c r="Y91" s="21">
        <f t="shared" si="26"/>
        <v>476</v>
      </c>
      <c r="Z91" s="6">
        <f t="shared" si="27"/>
        <v>0.36974789915966388</v>
      </c>
      <c r="AA91" s="4">
        <v>0</v>
      </c>
      <c r="AB91" s="4">
        <f t="shared" si="28"/>
        <v>555</v>
      </c>
      <c r="AC91" s="4">
        <f t="shared" si="39"/>
        <v>616.66666666666674</v>
      </c>
      <c r="AD91" s="6">
        <f t="shared" si="40"/>
        <v>0.5135135135135136</v>
      </c>
      <c r="AE91" s="4">
        <f t="shared" si="41"/>
        <v>475</v>
      </c>
      <c r="AF91" s="7">
        <v>470</v>
      </c>
      <c r="AG91" s="6">
        <f t="shared" si="29"/>
        <v>0.36170212765957444</v>
      </c>
      <c r="AH91" s="4">
        <f t="shared" si="30"/>
        <v>170</v>
      </c>
      <c r="AI91" s="28"/>
      <c r="AJ91" s="6"/>
      <c r="AK91" s="6"/>
      <c r="AL91" s="6">
        <f t="shared" si="31"/>
        <v>1.1111111111111112</v>
      </c>
      <c r="AM91" s="6">
        <f t="shared" si="32"/>
        <v>1.0981308411214954</v>
      </c>
      <c r="AN91" s="6">
        <f t="shared" si="33"/>
        <v>1.1111111111111112</v>
      </c>
      <c r="AO91" s="4" t="str">
        <f t="shared" si="34"/>
        <v>-</v>
      </c>
      <c r="AP91" s="4" t="str">
        <f t="shared" si="35"/>
        <v>-</v>
      </c>
      <c r="AQ91" s="4" t="str">
        <f t="shared" si="36"/>
        <v>-</v>
      </c>
      <c r="AR91" s="4">
        <v>0</v>
      </c>
      <c r="AS91" s="4" t="s">
        <v>1795</v>
      </c>
      <c r="AT91" s="4"/>
      <c r="AU91" s="4"/>
      <c r="AV91" s="4" t="s">
        <v>1794</v>
      </c>
      <c r="AW91" s="4">
        <v>555</v>
      </c>
      <c r="AX91" s="4">
        <v>555</v>
      </c>
      <c r="AY91" s="4">
        <v>555</v>
      </c>
      <c r="AZ91" s="4">
        <f t="shared" si="37"/>
        <v>555</v>
      </c>
      <c r="BA91" s="19">
        <v>4</v>
      </c>
      <c r="BB91" s="19">
        <v>8</v>
      </c>
      <c r="BC91" s="16">
        <v>19</v>
      </c>
      <c r="BD91" t="s">
        <v>1280</v>
      </c>
      <c r="BE91" t="s">
        <v>1280</v>
      </c>
      <c r="BF91" t="s">
        <v>1280</v>
      </c>
      <c r="BG91" t="str">
        <f t="shared" si="42"/>
        <v>-</v>
      </c>
      <c r="BH91">
        <v>519</v>
      </c>
      <c r="BI91">
        <v>519</v>
      </c>
      <c r="BJ91">
        <v>519</v>
      </c>
      <c r="BK91">
        <f t="shared" si="43"/>
        <v>576.66666666666674</v>
      </c>
      <c r="BL91" t="s">
        <v>1365</v>
      </c>
      <c r="BM91">
        <v>812</v>
      </c>
    </row>
    <row r="92" spans="1:65" x14ac:dyDescent="0.4">
      <c r="A92" s="3">
        <v>127</v>
      </c>
      <c r="B92" s="3">
        <v>127</v>
      </c>
      <c r="C92" s="4" t="s">
        <v>116</v>
      </c>
      <c r="D92" s="4" t="str">
        <f t="shared" si="22"/>
        <v>J1797W</v>
      </c>
      <c r="E92" s="4" t="s">
        <v>116</v>
      </c>
      <c r="F92" s="4" t="str">
        <f t="shared" si="38"/>
        <v>J1797W5</v>
      </c>
      <c r="G92" s="4" t="s">
        <v>762</v>
      </c>
      <c r="H92" s="5">
        <v>4974268122230</v>
      </c>
      <c r="I92" s="5">
        <v>5</v>
      </c>
      <c r="J92" s="5"/>
      <c r="K92" s="5">
        <v>1</v>
      </c>
      <c r="L92" s="5">
        <v>1</v>
      </c>
      <c r="M92" s="4">
        <v>2250</v>
      </c>
      <c r="N92" s="4">
        <v>1834</v>
      </c>
      <c r="O92" s="4">
        <v>1350</v>
      </c>
      <c r="P92" s="6">
        <f t="shared" si="23"/>
        <v>0.26390403489640135</v>
      </c>
      <c r="Q92" s="4" t="s">
        <v>1280</v>
      </c>
      <c r="R92" s="4" t="s">
        <v>1280</v>
      </c>
      <c r="S92" s="4" t="s">
        <v>1280</v>
      </c>
      <c r="T92" s="4">
        <v>500</v>
      </c>
      <c r="U92" s="4">
        <f t="shared" si="24"/>
        <v>2500</v>
      </c>
      <c r="V92" s="4">
        <v>300</v>
      </c>
      <c r="W92" s="4">
        <f t="shared" si="25"/>
        <v>1500</v>
      </c>
      <c r="X92" s="4">
        <v>5</v>
      </c>
      <c r="Y92" s="21">
        <f t="shared" si="26"/>
        <v>2038</v>
      </c>
      <c r="Z92" s="6">
        <f t="shared" si="27"/>
        <v>0.26398429833169779</v>
      </c>
      <c r="AA92" s="4">
        <v>0</v>
      </c>
      <c r="AB92" s="4">
        <f t="shared" si="28"/>
        <v>2865</v>
      </c>
      <c r="AC92" s="4">
        <f t="shared" si="39"/>
        <v>3183.3333333333335</v>
      </c>
      <c r="AD92" s="6">
        <f t="shared" si="40"/>
        <v>0.52879581151832467</v>
      </c>
      <c r="AE92" s="4">
        <f t="shared" si="41"/>
        <v>2375</v>
      </c>
      <c r="AF92" s="7">
        <v>2300</v>
      </c>
      <c r="AG92" s="6">
        <f t="shared" si="29"/>
        <v>0.34782608695652173</v>
      </c>
      <c r="AH92" s="4">
        <f t="shared" si="30"/>
        <v>800</v>
      </c>
      <c r="AI92" s="28"/>
      <c r="AJ92" s="6"/>
      <c r="AK92" s="6"/>
      <c r="AL92" s="6">
        <f t="shared" si="31"/>
        <v>1.1111111111111112</v>
      </c>
      <c r="AM92" s="6">
        <f t="shared" si="32"/>
        <v>1.2540894220283534</v>
      </c>
      <c r="AN92" s="6">
        <f t="shared" si="33"/>
        <v>1.1111111111111112</v>
      </c>
      <c r="AO92" s="4" t="str">
        <f t="shared" si="34"/>
        <v>-</v>
      </c>
      <c r="AP92" s="4" t="str">
        <f t="shared" si="35"/>
        <v>-</v>
      </c>
      <c r="AQ92" s="4" t="str">
        <f t="shared" si="36"/>
        <v>-</v>
      </c>
      <c r="AR92" s="4">
        <v>0</v>
      </c>
      <c r="AS92" s="4" t="s">
        <v>1820</v>
      </c>
      <c r="AT92" s="4">
        <v>5</v>
      </c>
      <c r="AU92" s="4">
        <v>1</v>
      </c>
      <c r="AV92" s="4" t="s">
        <v>1821</v>
      </c>
      <c r="AW92" s="4">
        <v>573</v>
      </c>
      <c r="AX92" s="4">
        <v>573</v>
      </c>
      <c r="AY92" s="4">
        <v>573</v>
      </c>
      <c r="AZ92" s="4">
        <f t="shared" si="37"/>
        <v>2865</v>
      </c>
      <c r="BA92" s="19">
        <v>4</v>
      </c>
      <c r="BB92" s="19">
        <v>8</v>
      </c>
      <c r="BC92" s="16">
        <v>19</v>
      </c>
      <c r="BD92" t="s">
        <v>1280</v>
      </c>
      <c r="BE92" t="s">
        <v>1280</v>
      </c>
      <c r="BF92" t="s">
        <v>1280</v>
      </c>
      <c r="BG92" t="str">
        <f t="shared" si="42"/>
        <v>-</v>
      </c>
      <c r="BH92" t="s">
        <v>1280</v>
      </c>
      <c r="BI92" t="s">
        <v>1280</v>
      </c>
      <c r="BJ92" t="s">
        <v>1280</v>
      </c>
      <c r="BK92" t="str">
        <f t="shared" si="43"/>
        <v>-</v>
      </c>
      <c r="BL92" t="s">
        <v>1381</v>
      </c>
      <c r="BM92">
        <v>812</v>
      </c>
    </row>
    <row r="93" spans="1:65" x14ac:dyDescent="0.4">
      <c r="A93" s="3">
        <v>129</v>
      </c>
      <c r="B93" s="3">
        <v>129</v>
      </c>
      <c r="C93" s="4" t="s">
        <v>118</v>
      </c>
      <c r="D93" s="4" t="str">
        <f t="shared" si="22"/>
        <v>J1798W</v>
      </c>
      <c r="E93" s="4" t="s">
        <v>118</v>
      </c>
      <c r="F93" s="4" t="str">
        <f t="shared" si="38"/>
        <v>J1798W5</v>
      </c>
      <c r="G93" s="4" t="s">
        <v>764</v>
      </c>
      <c r="H93" s="5">
        <v>4974268122698</v>
      </c>
      <c r="I93" s="5">
        <v>5</v>
      </c>
      <c r="J93" s="5"/>
      <c r="K93" s="5">
        <v>1</v>
      </c>
      <c r="L93" s="5">
        <v>1</v>
      </c>
      <c r="M93" s="4">
        <v>2250</v>
      </c>
      <c r="N93" s="4">
        <v>1834</v>
      </c>
      <c r="O93" s="4">
        <v>1350</v>
      </c>
      <c r="P93" s="6">
        <f t="shared" si="23"/>
        <v>0.26390403489640135</v>
      </c>
      <c r="Q93" s="4" t="s">
        <v>1280</v>
      </c>
      <c r="R93" s="4" t="s">
        <v>1280</v>
      </c>
      <c r="S93" s="4" t="s">
        <v>1280</v>
      </c>
      <c r="T93" s="4">
        <v>500</v>
      </c>
      <c r="U93" s="4">
        <f t="shared" si="24"/>
        <v>2500</v>
      </c>
      <c r="V93" s="4">
        <v>300</v>
      </c>
      <c r="W93" s="4">
        <f t="shared" si="25"/>
        <v>1500</v>
      </c>
      <c r="X93" s="4">
        <v>5</v>
      </c>
      <c r="Y93" s="21">
        <f t="shared" si="26"/>
        <v>2038</v>
      </c>
      <c r="Z93" s="6">
        <f t="shared" si="27"/>
        <v>0.26398429833169779</v>
      </c>
      <c r="AA93" s="4">
        <v>0</v>
      </c>
      <c r="AB93" s="4">
        <f t="shared" si="28"/>
        <v>1215</v>
      </c>
      <c r="AC93" s="4">
        <f t="shared" si="39"/>
        <v>1350</v>
      </c>
      <c r="AD93" s="6">
        <f t="shared" si="40"/>
        <v>-0.11111111111111116</v>
      </c>
      <c r="AE93" s="4">
        <f t="shared" si="41"/>
        <v>2375</v>
      </c>
      <c r="AF93" s="7">
        <v>2300</v>
      </c>
      <c r="AG93" s="6">
        <f t="shared" si="29"/>
        <v>0.34782608695652173</v>
      </c>
      <c r="AH93" s="4">
        <f t="shared" si="30"/>
        <v>800</v>
      </c>
      <c r="AI93" s="28"/>
      <c r="AJ93" s="6"/>
      <c r="AK93" s="6"/>
      <c r="AL93" s="6">
        <f t="shared" si="31"/>
        <v>1.1111111111111112</v>
      </c>
      <c r="AM93" s="6">
        <f t="shared" si="32"/>
        <v>1.2540894220283534</v>
      </c>
      <c r="AN93" s="6">
        <f t="shared" si="33"/>
        <v>1.1111111111111112</v>
      </c>
      <c r="AO93" s="4" t="str">
        <f t="shared" si="34"/>
        <v>-</v>
      </c>
      <c r="AP93" s="4" t="str">
        <f t="shared" si="35"/>
        <v>-</v>
      </c>
      <c r="AQ93" s="4" t="str">
        <f t="shared" si="36"/>
        <v>-</v>
      </c>
      <c r="AR93" s="4">
        <v>0</v>
      </c>
      <c r="AS93" s="4" t="s">
        <v>1823</v>
      </c>
      <c r="AT93" s="4">
        <v>5</v>
      </c>
      <c r="AU93" s="4">
        <v>1</v>
      </c>
      <c r="AV93" s="4" t="s">
        <v>1824</v>
      </c>
      <c r="AW93" s="4">
        <v>243</v>
      </c>
      <c r="AX93" s="4">
        <v>243</v>
      </c>
      <c r="AY93" s="4">
        <v>243</v>
      </c>
      <c r="AZ93" s="4">
        <f t="shared" si="37"/>
        <v>1215</v>
      </c>
      <c r="BA93" s="19">
        <v>4</v>
      </c>
      <c r="BB93" s="19">
        <v>8</v>
      </c>
      <c r="BC93" s="16">
        <v>19</v>
      </c>
      <c r="BD93" t="s">
        <v>1280</v>
      </c>
      <c r="BE93" t="s">
        <v>1280</v>
      </c>
      <c r="BF93" t="s">
        <v>1280</v>
      </c>
      <c r="BG93" t="str">
        <f t="shared" si="42"/>
        <v>-</v>
      </c>
      <c r="BH93" t="s">
        <v>1280</v>
      </c>
      <c r="BI93" t="s">
        <v>1280</v>
      </c>
      <c r="BJ93" t="s">
        <v>1280</v>
      </c>
      <c r="BK93" t="str">
        <f t="shared" si="43"/>
        <v>-</v>
      </c>
      <c r="BL93" t="s">
        <v>1383</v>
      </c>
      <c r="BM93">
        <v>812</v>
      </c>
    </row>
    <row r="94" spans="1:65" x14ac:dyDescent="0.4">
      <c r="A94" s="3">
        <v>130</v>
      </c>
      <c r="B94" s="3">
        <v>130</v>
      </c>
      <c r="C94" s="4" t="s">
        <v>119</v>
      </c>
      <c r="D94" s="4" t="str">
        <f t="shared" si="22"/>
        <v>J1799W</v>
      </c>
      <c r="E94" s="4" t="s">
        <v>119</v>
      </c>
      <c r="F94" s="4" t="str">
        <f t="shared" si="38"/>
        <v>J1799W5</v>
      </c>
      <c r="G94" s="4" t="s">
        <v>765</v>
      </c>
      <c r="H94" s="5">
        <v>4974268122704</v>
      </c>
      <c r="I94" s="5">
        <v>5</v>
      </c>
      <c r="J94" s="5"/>
      <c r="K94" s="5">
        <v>1</v>
      </c>
      <c r="L94" s="5">
        <v>1</v>
      </c>
      <c r="M94" s="4">
        <v>2250</v>
      </c>
      <c r="N94" s="4">
        <v>1834</v>
      </c>
      <c r="O94" s="4">
        <v>1350</v>
      </c>
      <c r="P94" s="6">
        <f t="shared" si="23"/>
        <v>0.26390403489640135</v>
      </c>
      <c r="Q94" s="4" t="s">
        <v>1280</v>
      </c>
      <c r="R94" s="4" t="s">
        <v>1280</v>
      </c>
      <c r="S94" s="4" t="s">
        <v>1280</v>
      </c>
      <c r="T94" s="4">
        <v>500</v>
      </c>
      <c r="U94" s="4">
        <f t="shared" si="24"/>
        <v>2500</v>
      </c>
      <c r="V94" s="4">
        <v>300</v>
      </c>
      <c r="W94" s="4">
        <f t="shared" si="25"/>
        <v>1500</v>
      </c>
      <c r="X94" s="4">
        <v>5</v>
      </c>
      <c r="Y94" s="21">
        <f t="shared" si="26"/>
        <v>2038</v>
      </c>
      <c r="Z94" s="6">
        <f t="shared" si="27"/>
        <v>0.26398429833169779</v>
      </c>
      <c r="AA94" s="4">
        <v>0</v>
      </c>
      <c r="AB94" s="4" t="str">
        <f t="shared" si="28"/>
        <v>-</v>
      </c>
      <c r="AC94" s="4" t="str">
        <f t="shared" si="39"/>
        <v>-</v>
      </c>
      <c r="AD94" s="6" t="str">
        <f t="shared" si="40"/>
        <v>-</v>
      </c>
      <c r="AE94" s="4">
        <f t="shared" si="41"/>
        <v>2375</v>
      </c>
      <c r="AF94" s="7">
        <v>2300</v>
      </c>
      <c r="AG94" s="6">
        <f t="shared" si="29"/>
        <v>0.34782608695652173</v>
      </c>
      <c r="AH94" s="4">
        <f t="shared" si="30"/>
        <v>800</v>
      </c>
      <c r="AI94" s="28"/>
      <c r="AJ94" s="6"/>
      <c r="AK94" s="6"/>
      <c r="AL94" s="6">
        <f t="shared" si="31"/>
        <v>1.1111111111111112</v>
      </c>
      <c r="AM94" s="6">
        <f t="shared" si="32"/>
        <v>1.2540894220283534</v>
      </c>
      <c r="AN94" s="6">
        <f t="shared" si="33"/>
        <v>1.1111111111111112</v>
      </c>
      <c r="AO94" s="4" t="str">
        <f t="shared" si="34"/>
        <v>-</v>
      </c>
      <c r="AP94" s="4" t="str">
        <f t="shared" si="35"/>
        <v>-</v>
      </c>
      <c r="AQ94" s="4" t="str">
        <f t="shared" si="36"/>
        <v>-</v>
      </c>
      <c r="AR94" s="4">
        <v>0</v>
      </c>
      <c r="AS94" s="4" t="s">
        <v>1280</v>
      </c>
      <c r="AT94" s="4"/>
      <c r="AU94" s="4"/>
      <c r="AV94" s="4" t="s">
        <v>1280</v>
      </c>
      <c r="AW94" s="4" t="s">
        <v>1280</v>
      </c>
      <c r="AX94" s="4" t="s">
        <v>1280</v>
      </c>
      <c r="AY94" s="4" t="s">
        <v>1280</v>
      </c>
      <c r="AZ94" s="4" t="str">
        <f t="shared" si="37"/>
        <v>-</v>
      </c>
      <c r="BA94" s="19">
        <v>4</v>
      </c>
      <c r="BB94" s="19">
        <v>8</v>
      </c>
      <c r="BC94" s="16">
        <v>19</v>
      </c>
      <c r="BD94" t="s">
        <v>1280</v>
      </c>
      <c r="BE94" t="s">
        <v>1280</v>
      </c>
      <c r="BF94" t="s">
        <v>1280</v>
      </c>
      <c r="BG94" t="str">
        <f t="shared" si="42"/>
        <v>-</v>
      </c>
      <c r="BH94" t="s">
        <v>1280</v>
      </c>
      <c r="BI94" t="s">
        <v>1280</v>
      </c>
      <c r="BJ94" t="s">
        <v>1280</v>
      </c>
      <c r="BK94" t="str">
        <f t="shared" si="43"/>
        <v>-</v>
      </c>
      <c r="BL94" t="s">
        <v>1280</v>
      </c>
      <c r="BM94">
        <v>812</v>
      </c>
    </row>
    <row r="95" spans="1:65" x14ac:dyDescent="0.4">
      <c r="A95" s="3">
        <v>132</v>
      </c>
      <c r="B95" s="3">
        <v>132</v>
      </c>
      <c r="C95" s="4" t="s">
        <v>121</v>
      </c>
      <c r="D95" s="4" t="str">
        <f t="shared" si="22"/>
        <v>J1800W</v>
      </c>
      <c r="E95" s="4" t="s">
        <v>121</v>
      </c>
      <c r="F95" s="4" t="str">
        <f t="shared" si="38"/>
        <v>J1800W5</v>
      </c>
      <c r="G95" s="4" t="s">
        <v>767</v>
      </c>
      <c r="H95" s="5">
        <v>4974268122759</v>
      </c>
      <c r="I95" s="5">
        <v>5</v>
      </c>
      <c r="J95" s="5"/>
      <c r="K95" s="5">
        <v>1</v>
      </c>
      <c r="L95" s="5">
        <v>1</v>
      </c>
      <c r="M95" s="4">
        <v>2250</v>
      </c>
      <c r="N95" s="4">
        <v>1834</v>
      </c>
      <c r="O95" s="4">
        <v>1350</v>
      </c>
      <c r="P95" s="6">
        <f t="shared" si="23"/>
        <v>0.26390403489640135</v>
      </c>
      <c r="Q95" s="4" t="s">
        <v>1280</v>
      </c>
      <c r="R95" s="4" t="s">
        <v>1280</v>
      </c>
      <c r="S95" s="4" t="s">
        <v>1280</v>
      </c>
      <c r="T95" s="4">
        <v>500</v>
      </c>
      <c r="U95" s="4">
        <f t="shared" si="24"/>
        <v>2500</v>
      </c>
      <c r="V95" s="4">
        <v>300</v>
      </c>
      <c r="W95" s="4">
        <f t="shared" si="25"/>
        <v>1500</v>
      </c>
      <c r="X95" s="4">
        <v>5</v>
      </c>
      <c r="Y95" s="21">
        <f t="shared" si="26"/>
        <v>2038</v>
      </c>
      <c r="Z95" s="6">
        <f t="shared" si="27"/>
        <v>0.26398429833169779</v>
      </c>
      <c r="AA95" s="4">
        <v>0</v>
      </c>
      <c r="AB95" s="4" t="str">
        <f t="shared" si="28"/>
        <v>-</v>
      </c>
      <c r="AC95" s="4" t="str">
        <f t="shared" si="39"/>
        <v>-</v>
      </c>
      <c r="AD95" s="6" t="str">
        <f t="shared" si="40"/>
        <v>-</v>
      </c>
      <c r="AE95" s="4">
        <f t="shared" si="41"/>
        <v>2375</v>
      </c>
      <c r="AF95" s="7">
        <v>2300</v>
      </c>
      <c r="AG95" s="6">
        <f t="shared" si="29"/>
        <v>0.34782608695652173</v>
      </c>
      <c r="AH95" s="4">
        <f t="shared" si="30"/>
        <v>800</v>
      </c>
      <c r="AI95" s="28"/>
      <c r="AJ95" s="6"/>
      <c r="AK95" s="6"/>
      <c r="AL95" s="6">
        <f t="shared" si="31"/>
        <v>1.1111111111111112</v>
      </c>
      <c r="AM95" s="6">
        <f t="shared" si="32"/>
        <v>1.2540894220283534</v>
      </c>
      <c r="AN95" s="6">
        <f t="shared" si="33"/>
        <v>1.1111111111111112</v>
      </c>
      <c r="AO95" s="4" t="str">
        <f t="shared" si="34"/>
        <v>-</v>
      </c>
      <c r="AP95" s="4" t="str">
        <f t="shared" si="35"/>
        <v>-</v>
      </c>
      <c r="AQ95" s="4" t="str">
        <f t="shared" si="36"/>
        <v>-</v>
      </c>
      <c r="AR95" s="4">
        <v>0</v>
      </c>
      <c r="AS95" s="4" t="s">
        <v>1280</v>
      </c>
      <c r="AT95" s="4"/>
      <c r="AU95" s="4"/>
      <c r="AV95" s="4" t="s">
        <v>1280</v>
      </c>
      <c r="AW95" s="4" t="s">
        <v>1280</v>
      </c>
      <c r="AX95" s="4" t="s">
        <v>1280</v>
      </c>
      <c r="AY95" s="4" t="s">
        <v>1280</v>
      </c>
      <c r="AZ95" s="4" t="str">
        <f t="shared" si="37"/>
        <v>-</v>
      </c>
      <c r="BA95" s="19">
        <v>4</v>
      </c>
      <c r="BB95" s="19">
        <v>8</v>
      </c>
      <c r="BC95" s="16">
        <v>19</v>
      </c>
      <c r="BD95" t="s">
        <v>1280</v>
      </c>
      <c r="BE95" t="s">
        <v>1280</v>
      </c>
      <c r="BF95" t="s">
        <v>1280</v>
      </c>
      <c r="BG95" t="str">
        <f t="shared" si="42"/>
        <v>-</v>
      </c>
      <c r="BH95" t="s">
        <v>1280</v>
      </c>
      <c r="BI95" t="s">
        <v>1280</v>
      </c>
      <c r="BJ95" t="s">
        <v>1280</v>
      </c>
      <c r="BK95" t="str">
        <f t="shared" si="43"/>
        <v>-</v>
      </c>
      <c r="BL95" t="s">
        <v>1280</v>
      </c>
      <c r="BM95">
        <v>812</v>
      </c>
    </row>
    <row r="96" spans="1:65" x14ac:dyDescent="0.4">
      <c r="A96" s="3">
        <v>133</v>
      </c>
      <c r="B96" s="3">
        <v>133</v>
      </c>
      <c r="C96" s="4" t="s">
        <v>122</v>
      </c>
      <c r="D96" s="4" t="str">
        <f t="shared" si="22"/>
        <v>J1801W</v>
      </c>
      <c r="E96" s="4" t="s">
        <v>122</v>
      </c>
      <c r="F96" s="4" t="str">
        <f t="shared" si="38"/>
        <v>J1801W5</v>
      </c>
      <c r="G96" s="4" t="s">
        <v>768</v>
      </c>
      <c r="H96" s="5">
        <v>4974268122766</v>
      </c>
      <c r="I96" s="5">
        <v>5</v>
      </c>
      <c r="J96" s="5"/>
      <c r="K96" s="5">
        <v>1</v>
      </c>
      <c r="L96" s="5">
        <v>1</v>
      </c>
      <c r="M96" s="4">
        <v>2250</v>
      </c>
      <c r="N96" s="4">
        <v>1834</v>
      </c>
      <c r="O96" s="4">
        <v>1350</v>
      </c>
      <c r="P96" s="6">
        <f t="shared" si="23"/>
        <v>0.26390403489640135</v>
      </c>
      <c r="Q96" s="4" t="s">
        <v>1280</v>
      </c>
      <c r="R96" s="4" t="s">
        <v>1280</v>
      </c>
      <c r="S96" s="4" t="s">
        <v>1280</v>
      </c>
      <c r="T96" s="4">
        <v>500</v>
      </c>
      <c r="U96" s="4">
        <f t="shared" si="24"/>
        <v>2500</v>
      </c>
      <c r="V96" s="4">
        <v>300</v>
      </c>
      <c r="W96" s="4">
        <f t="shared" si="25"/>
        <v>1500</v>
      </c>
      <c r="X96" s="4">
        <v>5</v>
      </c>
      <c r="Y96" s="21">
        <f t="shared" si="26"/>
        <v>2038</v>
      </c>
      <c r="Z96" s="6">
        <f t="shared" si="27"/>
        <v>0.26398429833169779</v>
      </c>
      <c r="AA96" s="4">
        <v>0.5</v>
      </c>
      <c r="AB96" s="4" t="str">
        <f t="shared" si="28"/>
        <v>-</v>
      </c>
      <c r="AC96" s="4" t="str">
        <f t="shared" si="39"/>
        <v>-</v>
      </c>
      <c r="AD96" s="6" t="str">
        <f t="shared" si="40"/>
        <v>-</v>
      </c>
      <c r="AE96" s="4">
        <f t="shared" si="41"/>
        <v>2375</v>
      </c>
      <c r="AF96" s="7">
        <v>2300</v>
      </c>
      <c r="AG96" s="6">
        <f t="shared" si="29"/>
        <v>0.34782608695652173</v>
      </c>
      <c r="AH96" s="4">
        <f t="shared" si="30"/>
        <v>800</v>
      </c>
      <c r="AI96" s="28"/>
      <c r="AJ96" s="6"/>
      <c r="AK96" s="6"/>
      <c r="AL96" s="6">
        <f t="shared" si="31"/>
        <v>1.1111111111111112</v>
      </c>
      <c r="AM96" s="6">
        <f t="shared" si="32"/>
        <v>1.2540894220283534</v>
      </c>
      <c r="AN96" s="6">
        <f t="shared" si="33"/>
        <v>1.1111111111111112</v>
      </c>
      <c r="AO96" s="4" t="str">
        <f t="shared" si="34"/>
        <v>-</v>
      </c>
      <c r="AP96" s="4" t="str">
        <f t="shared" si="35"/>
        <v>-</v>
      </c>
      <c r="AQ96" s="4" t="str">
        <f t="shared" si="36"/>
        <v>-</v>
      </c>
      <c r="AR96" s="4">
        <v>0</v>
      </c>
      <c r="AS96" s="4" t="s">
        <v>1280</v>
      </c>
      <c r="AT96" s="4"/>
      <c r="AU96" s="4"/>
      <c r="AV96" s="4" t="s">
        <v>1280</v>
      </c>
      <c r="AW96" s="4" t="s">
        <v>1280</v>
      </c>
      <c r="AX96" s="4" t="s">
        <v>1280</v>
      </c>
      <c r="AY96" s="4" t="s">
        <v>1280</v>
      </c>
      <c r="AZ96" s="4" t="str">
        <f t="shared" si="37"/>
        <v>-</v>
      </c>
      <c r="BA96" s="19">
        <v>4</v>
      </c>
      <c r="BB96" s="19">
        <v>8</v>
      </c>
      <c r="BC96" s="16">
        <v>19</v>
      </c>
      <c r="BD96" t="s">
        <v>1280</v>
      </c>
      <c r="BE96" t="s">
        <v>1280</v>
      </c>
      <c r="BF96" t="s">
        <v>1280</v>
      </c>
      <c r="BG96" t="str">
        <f t="shared" si="42"/>
        <v>-</v>
      </c>
      <c r="BH96" t="s">
        <v>1280</v>
      </c>
      <c r="BI96" t="s">
        <v>1280</v>
      </c>
      <c r="BJ96" t="s">
        <v>1280</v>
      </c>
      <c r="BK96" t="str">
        <f t="shared" si="43"/>
        <v>-</v>
      </c>
      <c r="BL96" t="s">
        <v>1280</v>
      </c>
      <c r="BM96">
        <v>812</v>
      </c>
    </row>
    <row r="97" spans="1:65" x14ac:dyDescent="0.4">
      <c r="A97" s="3">
        <v>155</v>
      </c>
      <c r="B97" s="3">
        <v>155</v>
      </c>
      <c r="C97" s="4" t="s">
        <v>144</v>
      </c>
      <c r="D97" s="4" t="str">
        <f t="shared" si="22"/>
        <v>J2127Y</v>
      </c>
      <c r="E97" s="4" t="s">
        <v>144</v>
      </c>
      <c r="F97" s="4" t="str">
        <f t="shared" si="38"/>
        <v>J2127Y5</v>
      </c>
      <c r="G97" s="4" t="s">
        <v>790</v>
      </c>
      <c r="H97" s="5">
        <v>4974268572370</v>
      </c>
      <c r="I97" s="5">
        <v>5</v>
      </c>
      <c r="J97" s="5"/>
      <c r="K97" s="5">
        <v>1</v>
      </c>
      <c r="L97" s="5">
        <v>1</v>
      </c>
      <c r="M97" s="4">
        <v>450</v>
      </c>
      <c r="N97" s="4">
        <v>297</v>
      </c>
      <c r="O97" s="4">
        <v>270</v>
      </c>
      <c r="P97" s="6">
        <f t="shared" si="23"/>
        <v>9.0909090909090939E-2</v>
      </c>
      <c r="Q97" s="4" t="s">
        <v>1280</v>
      </c>
      <c r="R97" s="4" t="s">
        <v>1280</v>
      </c>
      <c r="S97" s="4" t="s">
        <v>1280</v>
      </c>
      <c r="T97" s="4">
        <v>500</v>
      </c>
      <c r="U97" s="4">
        <f t="shared" si="24"/>
        <v>500</v>
      </c>
      <c r="V97" s="4">
        <v>300</v>
      </c>
      <c r="W97" s="4">
        <f t="shared" si="25"/>
        <v>300</v>
      </c>
      <c r="X97" s="4"/>
      <c r="Y97" s="21">
        <f t="shared" si="26"/>
        <v>330</v>
      </c>
      <c r="Z97" s="6">
        <f t="shared" si="27"/>
        <v>9.0909090909090939E-2</v>
      </c>
      <c r="AA97" s="4">
        <v>0</v>
      </c>
      <c r="AB97" s="4" t="str">
        <f t="shared" si="28"/>
        <v>-</v>
      </c>
      <c r="AC97" s="4" t="str">
        <f t="shared" si="39"/>
        <v>-</v>
      </c>
      <c r="AD97" s="6" t="str">
        <f t="shared" si="40"/>
        <v>-</v>
      </c>
      <c r="AE97" s="4">
        <f t="shared" si="41"/>
        <v>475</v>
      </c>
      <c r="AF97" s="7">
        <v>450</v>
      </c>
      <c r="AG97" s="6">
        <f t="shared" si="29"/>
        <v>0.33333333333333337</v>
      </c>
      <c r="AH97" s="4">
        <f t="shared" si="30"/>
        <v>150</v>
      </c>
      <c r="AI97" s="28"/>
      <c r="AJ97" s="6"/>
      <c r="AK97" s="6"/>
      <c r="AL97" s="6">
        <f t="shared" si="31"/>
        <v>1.1111111111111112</v>
      </c>
      <c r="AM97" s="6">
        <f t="shared" si="32"/>
        <v>1.5151515151515151</v>
      </c>
      <c r="AN97" s="6">
        <f t="shared" si="33"/>
        <v>1.1111111111111112</v>
      </c>
      <c r="AO97" s="4" t="str">
        <f t="shared" si="34"/>
        <v>-</v>
      </c>
      <c r="AP97" s="4" t="str">
        <f t="shared" si="35"/>
        <v>-</v>
      </c>
      <c r="AQ97" s="4" t="str">
        <f t="shared" si="36"/>
        <v>-</v>
      </c>
      <c r="AR97" s="4">
        <v>0</v>
      </c>
      <c r="AS97" s="4" t="s">
        <v>1280</v>
      </c>
      <c r="AT97" s="4"/>
      <c r="AU97" s="4"/>
      <c r="AV97" s="4" t="s">
        <v>1280</v>
      </c>
      <c r="AW97" s="4" t="s">
        <v>1280</v>
      </c>
      <c r="AX97" s="4" t="s">
        <v>1280</v>
      </c>
      <c r="AY97" s="4" t="s">
        <v>1280</v>
      </c>
      <c r="AZ97" s="4" t="str">
        <f t="shared" si="37"/>
        <v>-</v>
      </c>
      <c r="BA97" s="19">
        <v>4</v>
      </c>
      <c r="BB97" s="19">
        <v>1</v>
      </c>
      <c r="BC97" s="16">
        <v>18</v>
      </c>
      <c r="BD97" t="s">
        <v>1280</v>
      </c>
      <c r="BE97" t="s">
        <v>1280</v>
      </c>
      <c r="BF97" t="s">
        <v>1280</v>
      </c>
      <c r="BG97" t="str">
        <f t="shared" si="42"/>
        <v>-</v>
      </c>
      <c r="BH97" t="s">
        <v>1280</v>
      </c>
      <c r="BI97" t="s">
        <v>1280</v>
      </c>
      <c r="BJ97" t="s">
        <v>1280</v>
      </c>
      <c r="BK97" t="str">
        <f t="shared" si="43"/>
        <v>-</v>
      </c>
      <c r="BL97" t="s">
        <v>1280</v>
      </c>
      <c r="BM97">
        <v>812</v>
      </c>
    </row>
    <row r="98" spans="1:65" x14ac:dyDescent="0.4">
      <c r="A98" s="3">
        <v>157</v>
      </c>
      <c r="B98" s="3">
        <v>157</v>
      </c>
      <c r="C98" s="4" t="s">
        <v>146</v>
      </c>
      <c r="D98" s="4" t="str">
        <f t="shared" si="22"/>
        <v>J2129Y</v>
      </c>
      <c r="E98" s="4" t="s">
        <v>146</v>
      </c>
      <c r="F98" s="4" t="str">
        <f t="shared" si="38"/>
        <v>J2129Y5</v>
      </c>
      <c r="G98" s="4" t="s">
        <v>792</v>
      </c>
      <c r="H98" s="5">
        <v>4974268572387</v>
      </c>
      <c r="I98" s="5">
        <v>5</v>
      </c>
      <c r="J98" s="5"/>
      <c r="K98" s="5">
        <v>1</v>
      </c>
      <c r="L98" s="5">
        <v>1</v>
      </c>
      <c r="M98" s="4">
        <v>450</v>
      </c>
      <c r="N98" s="4">
        <v>297</v>
      </c>
      <c r="O98" s="4">
        <v>270</v>
      </c>
      <c r="P98" s="6">
        <f t="shared" si="23"/>
        <v>9.0909090909090939E-2</v>
      </c>
      <c r="Q98" s="4" t="s">
        <v>1280</v>
      </c>
      <c r="R98" s="4" t="s">
        <v>1280</v>
      </c>
      <c r="S98" s="4" t="s">
        <v>1280</v>
      </c>
      <c r="T98" s="4">
        <v>500</v>
      </c>
      <c r="U98" s="4">
        <f t="shared" si="24"/>
        <v>500</v>
      </c>
      <c r="V98" s="4">
        <v>300</v>
      </c>
      <c r="W98" s="4">
        <f t="shared" si="25"/>
        <v>300</v>
      </c>
      <c r="X98" s="4"/>
      <c r="Y98" s="21">
        <f t="shared" si="26"/>
        <v>330</v>
      </c>
      <c r="Z98" s="6">
        <f t="shared" si="27"/>
        <v>9.0909090909090939E-2</v>
      </c>
      <c r="AA98" s="4">
        <v>0.5</v>
      </c>
      <c r="AB98" s="4" t="str">
        <f t="shared" si="28"/>
        <v>-</v>
      </c>
      <c r="AC98" s="4" t="str">
        <f t="shared" si="39"/>
        <v>-</v>
      </c>
      <c r="AD98" s="6" t="str">
        <f t="shared" si="40"/>
        <v>-</v>
      </c>
      <c r="AE98" s="4">
        <f t="shared" si="41"/>
        <v>475</v>
      </c>
      <c r="AF98" s="7">
        <v>450</v>
      </c>
      <c r="AG98" s="6">
        <f t="shared" si="29"/>
        <v>0.33333333333333337</v>
      </c>
      <c r="AH98" s="4">
        <f t="shared" si="30"/>
        <v>150</v>
      </c>
      <c r="AI98" s="28"/>
      <c r="AJ98" s="6"/>
      <c r="AK98" s="6"/>
      <c r="AL98" s="6">
        <f t="shared" si="31"/>
        <v>1.1111111111111112</v>
      </c>
      <c r="AM98" s="6">
        <f t="shared" si="32"/>
        <v>1.5151515151515151</v>
      </c>
      <c r="AN98" s="6">
        <f t="shared" si="33"/>
        <v>1.1111111111111112</v>
      </c>
      <c r="AO98" s="4" t="str">
        <f t="shared" si="34"/>
        <v>-</v>
      </c>
      <c r="AP98" s="4" t="str">
        <f t="shared" si="35"/>
        <v>-</v>
      </c>
      <c r="AQ98" s="4" t="str">
        <f t="shared" si="36"/>
        <v>-</v>
      </c>
      <c r="AR98" s="4">
        <v>0</v>
      </c>
      <c r="AS98" s="4" t="s">
        <v>1280</v>
      </c>
      <c r="AT98" s="4"/>
      <c r="AU98" s="4"/>
      <c r="AV98" s="4" t="s">
        <v>1280</v>
      </c>
      <c r="AW98" s="4" t="s">
        <v>1280</v>
      </c>
      <c r="AX98" s="4" t="s">
        <v>1280</v>
      </c>
      <c r="AY98" s="4" t="s">
        <v>1280</v>
      </c>
      <c r="AZ98" s="4" t="str">
        <f t="shared" si="37"/>
        <v>-</v>
      </c>
      <c r="BA98" s="19">
        <v>4</v>
      </c>
      <c r="BB98" s="19">
        <v>1</v>
      </c>
      <c r="BC98" s="16">
        <v>18</v>
      </c>
      <c r="BD98" t="s">
        <v>1280</v>
      </c>
      <c r="BE98" t="s">
        <v>1280</v>
      </c>
      <c r="BF98" t="s">
        <v>1280</v>
      </c>
      <c r="BG98" t="str">
        <f t="shared" si="42"/>
        <v>-</v>
      </c>
      <c r="BH98" t="s">
        <v>1280</v>
      </c>
      <c r="BI98" t="s">
        <v>1280</v>
      </c>
      <c r="BJ98" t="s">
        <v>1280</v>
      </c>
      <c r="BK98" t="str">
        <f t="shared" si="43"/>
        <v>-</v>
      </c>
      <c r="BL98" t="s">
        <v>1280</v>
      </c>
      <c r="BM98">
        <v>812</v>
      </c>
    </row>
    <row r="99" spans="1:65" x14ac:dyDescent="0.4">
      <c r="A99" s="3">
        <v>168</v>
      </c>
      <c r="B99" s="3">
        <v>168</v>
      </c>
      <c r="C99" s="4" t="s">
        <v>157</v>
      </c>
      <c r="D99" s="4" t="str">
        <f t="shared" si="22"/>
        <v>J2919X</v>
      </c>
      <c r="E99" s="4" t="s">
        <v>157</v>
      </c>
      <c r="F99" s="4" t="str">
        <f t="shared" si="38"/>
        <v>J2919X5</v>
      </c>
      <c r="G99" s="4" t="s">
        <v>803</v>
      </c>
      <c r="H99" s="5">
        <v>4974268572394</v>
      </c>
      <c r="I99" s="5">
        <v>5</v>
      </c>
      <c r="J99" s="5"/>
      <c r="K99" s="5">
        <v>1</v>
      </c>
      <c r="L99" s="5">
        <v>1</v>
      </c>
      <c r="M99" s="4">
        <v>450</v>
      </c>
      <c r="N99" s="4">
        <v>272</v>
      </c>
      <c r="O99" s="4">
        <v>270</v>
      </c>
      <c r="P99" s="6">
        <f t="shared" si="23"/>
        <v>7.3529411764705621E-3</v>
      </c>
      <c r="Q99" s="4" t="s">
        <v>1280</v>
      </c>
      <c r="R99" s="4" t="s">
        <v>1280</v>
      </c>
      <c r="S99" s="4" t="s">
        <v>1280</v>
      </c>
      <c r="T99" s="4">
        <v>500</v>
      </c>
      <c r="U99" s="4">
        <f t="shared" si="24"/>
        <v>500</v>
      </c>
      <c r="V99" s="4">
        <v>300</v>
      </c>
      <c r="W99" s="4">
        <f t="shared" si="25"/>
        <v>300</v>
      </c>
      <c r="X99" s="4"/>
      <c r="Y99" s="21">
        <f t="shared" si="26"/>
        <v>302</v>
      </c>
      <c r="Z99" s="6">
        <f t="shared" si="27"/>
        <v>6.6225165562914245E-3</v>
      </c>
      <c r="AA99" s="4">
        <v>0</v>
      </c>
      <c r="AB99" s="4" t="str">
        <f t="shared" si="28"/>
        <v>-</v>
      </c>
      <c r="AC99" s="4" t="str">
        <f t="shared" si="39"/>
        <v>-</v>
      </c>
      <c r="AD99" s="6" t="str">
        <f t="shared" si="40"/>
        <v>-</v>
      </c>
      <c r="AE99" s="4">
        <f t="shared" si="41"/>
        <v>475</v>
      </c>
      <c r="AF99" s="7">
        <v>450</v>
      </c>
      <c r="AG99" s="6">
        <f t="shared" si="29"/>
        <v>0.33333333333333337</v>
      </c>
      <c r="AH99" s="4">
        <f t="shared" si="30"/>
        <v>150</v>
      </c>
      <c r="AI99" s="28"/>
      <c r="AJ99" s="6"/>
      <c r="AK99" s="6"/>
      <c r="AL99" s="6">
        <f t="shared" si="31"/>
        <v>1.1111111111111112</v>
      </c>
      <c r="AM99" s="6">
        <f t="shared" si="32"/>
        <v>1.6544117647058822</v>
      </c>
      <c r="AN99" s="6">
        <f t="shared" si="33"/>
        <v>1.1111111111111112</v>
      </c>
      <c r="AO99" s="4" t="str">
        <f t="shared" si="34"/>
        <v>-</v>
      </c>
      <c r="AP99" s="4" t="str">
        <f t="shared" si="35"/>
        <v>-</v>
      </c>
      <c r="AQ99" s="4" t="str">
        <f t="shared" si="36"/>
        <v>-</v>
      </c>
      <c r="AR99" s="4">
        <v>0</v>
      </c>
      <c r="AS99" s="4" t="s">
        <v>1280</v>
      </c>
      <c r="AT99" s="4"/>
      <c r="AU99" s="4"/>
      <c r="AV99" s="4" t="s">
        <v>1280</v>
      </c>
      <c r="AW99" s="4" t="s">
        <v>1280</v>
      </c>
      <c r="AX99" s="4" t="s">
        <v>1280</v>
      </c>
      <c r="AY99" s="4" t="s">
        <v>1280</v>
      </c>
      <c r="AZ99" s="4" t="str">
        <f t="shared" si="37"/>
        <v>-</v>
      </c>
      <c r="BA99" s="19">
        <v>4</v>
      </c>
      <c r="BB99" s="19">
        <v>1</v>
      </c>
      <c r="BC99" s="16">
        <v>18</v>
      </c>
      <c r="BD99" t="s">
        <v>1280</v>
      </c>
      <c r="BE99" t="s">
        <v>1280</v>
      </c>
      <c r="BF99" t="s">
        <v>1280</v>
      </c>
      <c r="BG99" t="str">
        <f t="shared" si="42"/>
        <v>-</v>
      </c>
      <c r="BH99" t="s">
        <v>1280</v>
      </c>
      <c r="BI99" t="s">
        <v>1280</v>
      </c>
      <c r="BJ99" t="s">
        <v>1280</v>
      </c>
      <c r="BK99" t="str">
        <f t="shared" si="43"/>
        <v>-</v>
      </c>
      <c r="BL99" t="s">
        <v>1280</v>
      </c>
      <c r="BM99">
        <v>812</v>
      </c>
    </row>
    <row r="100" spans="1:65" x14ac:dyDescent="0.4">
      <c r="A100" s="3">
        <v>170</v>
      </c>
      <c r="B100" s="3">
        <v>170</v>
      </c>
      <c r="C100" s="4" t="s">
        <v>159</v>
      </c>
      <c r="D100" s="4" t="str">
        <f t="shared" si="22"/>
        <v>J2921X</v>
      </c>
      <c r="E100" s="4" t="s">
        <v>159</v>
      </c>
      <c r="F100" s="4" t="str">
        <f t="shared" si="38"/>
        <v>J2921X5</v>
      </c>
      <c r="G100" s="4" t="s">
        <v>805</v>
      </c>
      <c r="H100" s="5">
        <v>4974268572400</v>
      </c>
      <c r="I100" s="5">
        <v>5</v>
      </c>
      <c r="J100" s="5"/>
      <c r="K100" s="5">
        <v>1</v>
      </c>
      <c r="L100" s="5">
        <v>1</v>
      </c>
      <c r="M100" s="4">
        <v>450</v>
      </c>
      <c r="N100" s="4">
        <v>371</v>
      </c>
      <c r="O100" s="4">
        <v>270</v>
      </c>
      <c r="P100" s="6">
        <f t="shared" si="23"/>
        <v>0.27223719676549862</v>
      </c>
      <c r="Q100" s="4" t="s">
        <v>1280</v>
      </c>
      <c r="R100" s="4" t="s">
        <v>1280</v>
      </c>
      <c r="S100" s="4" t="s">
        <v>1280</v>
      </c>
      <c r="T100" s="4">
        <v>500</v>
      </c>
      <c r="U100" s="4">
        <f t="shared" si="24"/>
        <v>500</v>
      </c>
      <c r="V100" s="4">
        <v>300</v>
      </c>
      <c r="W100" s="4">
        <f t="shared" si="25"/>
        <v>300</v>
      </c>
      <c r="X100" s="4"/>
      <c r="Y100" s="21">
        <f t="shared" si="26"/>
        <v>412</v>
      </c>
      <c r="Z100" s="6">
        <f t="shared" si="27"/>
        <v>0.27184466019417475</v>
      </c>
      <c r="AA100" s="4">
        <v>0.5</v>
      </c>
      <c r="AB100" s="4" t="str">
        <f t="shared" si="28"/>
        <v>-</v>
      </c>
      <c r="AC100" s="4" t="str">
        <f t="shared" si="39"/>
        <v>-</v>
      </c>
      <c r="AD100" s="6" t="str">
        <f t="shared" si="40"/>
        <v>-</v>
      </c>
      <c r="AE100" s="4">
        <f t="shared" si="41"/>
        <v>475</v>
      </c>
      <c r="AF100" s="7">
        <v>450</v>
      </c>
      <c r="AG100" s="6">
        <f t="shared" si="29"/>
        <v>0.33333333333333337</v>
      </c>
      <c r="AH100" s="4">
        <f t="shared" si="30"/>
        <v>150</v>
      </c>
      <c r="AI100" s="28"/>
      <c r="AJ100" s="6"/>
      <c r="AK100" s="6"/>
      <c r="AL100" s="6">
        <f t="shared" si="31"/>
        <v>1.1111111111111112</v>
      </c>
      <c r="AM100" s="6">
        <f t="shared" si="32"/>
        <v>1.2129380053908356</v>
      </c>
      <c r="AN100" s="6">
        <f t="shared" si="33"/>
        <v>1.1111111111111112</v>
      </c>
      <c r="AO100" s="4" t="str">
        <f t="shared" si="34"/>
        <v>-</v>
      </c>
      <c r="AP100" s="4" t="str">
        <f t="shared" si="35"/>
        <v>-</v>
      </c>
      <c r="AQ100" s="4" t="str">
        <f t="shared" si="36"/>
        <v>-</v>
      </c>
      <c r="AR100" s="4">
        <v>0</v>
      </c>
      <c r="AS100" s="4" t="s">
        <v>1280</v>
      </c>
      <c r="AT100" s="4"/>
      <c r="AU100" s="4"/>
      <c r="AV100" s="4" t="s">
        <v>1280</v>
      </c>
      <c r="AW100" s="4" t="s">
        <v>1280</v>
      </c>
      <c r="AX100" s="4" t="s">
        <v>1280</v>
      </c>
      <c r="AY100" s="4" t="s">
        <v>1280</v>
      </c>
      <c r="AZ100" s="4" t="str">
        <f t="shared" si="37"/>
        <v>-</v>
      </c>
      <c r="BA100" s="19">
        <v>4</v>
      </c>
      <c r="BB100" s="19">
        <v>1</v>
      </c>
      <c r="BC100" s="16">
        <v>18</v>
      </c>
      <c r="BD100" t="s">
        <v>1280</v>
      </c>
      <c r="BE100" t="s">
        <v>1280</v>
      </c>
      <c r="BF100" t="s">
        <v>1280</v>
      </c>
      <c r="BG100" t="str">
        <f t="shared" si="42"/>
        <v>-</v>
      </c>
      <c r="BH100" t="s">
        <v>1280</v>
      </c>
      <c r="BI100" t="s">
        <v>1280</v>
      </c>
      <c r="BJ100" t="s">
        <v>1280</v>
      </c>
      <c r="BK100" t="str">
        <f t="shared" si="43"/>
        <v>-</v>
      </c>
      <c r="BL100" t="s">
        <v>1280</v>
      </c>
      <c r="BM100">
        <v>812</v>
      </c>
    </row>
    <row r="101" spans="1:65" x14ac:dyDescent="0.4">
      <c r="A101" s="3">
        <v>212</v>
      </c>
      <c r="B101" s="3">
        <v>212</v>
      </c>
      <c r="C101" s="4" t="s">
        <v>201</v>
      </c>
      <c r="D101" s="4" t="str">
        <f t="shared" si="22"/>
        <v>J3075N</v>
      </c>
      <c r="E101" s="4" t="s">
        <v>201</v>
      </c>
      <c r="F101" s="4" t="str">
        <f t="shared" si="38"/>
        <v>J3075N5</v>
      </c>
      <c r="G101" s="4" t="s">
        <v>847</v>
      </c>
      <c r="H101" s="5">
        <v>4974268572257</v>
      </c>
      <c r="I101" s="5">
        <v>5</v>
      </c>
      <c r="J101" s="5"/>
      <c r="K101" s="5">
        <v>1</v>
      </c>
      <c r="L101" s="5">
        <v>1</v>
      </c>
      <c r="M101" s="4">
        <v>450</v>
      </c>
      <c r="N101" s="4">
        <v>402</v>
      </c>
      <c r="O101" s="4">
        <v>270</v>
      </c>
      <c r="P101" s="6">
        <f t="shared" si="23"/>
        <v>0.32835820895522383</v>
      </c>
      <c r="Q101" s="4" t="s">
        <v>1280</v>
      </c>
      <c r="R101" s="4" t="s">
        <v>1280</v>
      </c>
      <c r="S101" s="4" t="s">
        <v>1280</v>
      </c>
      <c r="T101" s="4">
        <v>500</v>
      </c>
      <c r="U101" s="4">
        <f t="shared" si="24"/>
        <v>500</v>
      </c>
      <c r="V101" s="4">
        <v>300</v>
      </c>
      <c r="W101" s="4">
        <f t="shared" si="25"/>
        <v>300</v>
      </c>
      <c r="X101" s="4"/>
      <c r="Y101" s="21">
        <f t="shared" si="26"/>
        <v>447</v>
      </c>
      <c r="Z101" s="6">
        <f t="shared" si="27"/>
        <v>0.32885906040268453</v>
      </c>
      <c r="AA101" s="4">
        <v>0.25</v>
      </c>
      <c r="AB101" s="4" t="str">
        <f t="shared" si="28"/>
        <v>-</v>
      </c>
      <c r="AC101" s="4" t="str">
        <f t="shared" si="39"/>
        <v>-</v>
      </c>
      <c r="AD101" s="6" t="str">
        <f t="shared" si="40"/>
        <v>-</v>
      </c>
      <c r="AE101" s="4">
        <f t="shared" si="41"/>
        <v>475</v>
      </c>
      <c r="AF101" s="7">
        <v>450</v>
      </c>
      <c r="AG101" s="6">
        <f t="shared" si="29"/>
        <v>0.33333333333333337</v>
      </c>
      <c r="AH101" s="4">
        <f t="shared" si="30"/>
        <v>150</v>
      </c>
      <c r="AI101" s="28"/>
      <c r="AJ101" s="6"/>
      <c r="AK101" s="6"/>
      <c r="AL101" s="6">
        <f t="shared" si="31"/>
        <v>1.1111111111111112</v>
      </c>
      <c r="AM101" s="6">
        <f t="shared" si="32"/>
        <v>1.1194029850746268</v>
      </c>
      <c r="AN101" s="6">
        <f t="shared" si="33"/>
        <v>1.1111111111111112</v>
      </c>
      <c r="AO101" s="4" t="str">
        <f t="shared" si="34"/>
        <v>-</v>
      </c>
      <c r="AP101" s="4" t="str">
        <f t="shared" si="35"/>
        <v>-</v>
      </c>
      <c r="AQ101" s="4" t="str">
        <f t="shared" si="36"/>
        <v>-</v>
      </c>
      <c r="AR101" s="4">
        <v>0</v>
      </c>
      <c r="AS101" s="4" t="s">
        <v>1280</v>
      </c>
      <c r="AT101" s="4"/>
      <c r="AU101" s="4"/>
      <c r="AV101" s="4" t="s">
        <v>1280</v>
      </c>
      <c r="AW101" s="4" t="s">
        <v>1280</v>
      </c>
      <c r="AX101" s="4" t="s">
        <v>1280</v>
      </c>
      <c r="AY101" s="4" t="s">
        <v>1280</v>
      </c>
      <c r="AZ101" s="4" t="str">
        <f t="shared" si="37"/>
        <v>-</v>
      </c>
      <c r="BA101" s="19">
        <v>4</v>
      </c>
      <c r="BB101" s="19">
        <v>1</v>
      </c>
      <c r="BC101" s="16">
        <v>18</v>
      </c>
      <c r="BD101" t="s">
        <v>1280</v>
      </c>
      <c r="BE101" t="s">
        <v>1280</v>
      </c>
      <c r="BF101" t="s">
        <v>1280</v>
      </c>
      <c r="BG101" t="str">
        <f t="shared" si="42"/>
        <v>-</v>
      </c>
      <c r="BH101" t="s">
        <v>1280</v>
      </c>
      <c r="BI101" t="s">
        <v>1280</v>
      </c>
      <c r="BJ101" t="s">
        <v>1280</v>
      </c>
      <c r="BK101" t="str">
        <f t="shared" si="43"/>
        <v>-</v>
      </c>
      <c r="BL101" t="s">
        <v>1280</v>
      </c>
      <c r="BM101">
        <v>812</v>
      </c>
    </row>
    <row r="102" spans="1:65" x14ac:dyDescent="0.4">
      <c r="A102" s="3">
        <v>213</v>
      </c>
      <c r="B102" s="3">
        <v>213</v>
      </c>
      <c r="C102" s="4" t="s">
        <v>202</v>
      </c>
      <c r="D102" s="4" t="str">
        <f t="shared" si="22"/>
        <v>J3076N</v>
      </c>
      <c r="E102" s="4" t="s">
        <v>202</v>
      </c>
      <c r="F102" s="4" t="str">
        <f t="shared" si="38"/>
        <v>J3076N5</v>
      </c>
      <c r="G102" s="4" t="s">
        <v>848</v>
      </c>
      <c r="H102" s="5">
        <v>4974268572271</v>
      </c>
      <c r="I102" s="5">
        <v>5</v>
      </c>
      <c r="J102" s="5"/>
      <c r="K102" s="5">
        <v>1</v>
      </c>
      <c r="L102" s="5">
        <v>1</v>
      </c>
      <c r="M102" s="4">
        <v>450</v>
      </c>
      <c r="N102" s="4">
        <v>371</v>
      </c>
      <c r="O102" s="4">
        <v>270</v>
      </c>
      <c r="P102" s="6">
        <f t="shared" si="23"/>
        <v>0.27223719676549862</v>
      </c>
      <c r="Q102" s="4" t="s">
        <v>1280</v>
      </c>
      <c r="R102" s="4" t="s">
        <v>1280</v>
      </c>
      <c r="S102" s="4" t="s">
        <v>1280</v>
      </c>
      <c r="T102" s="4">
        <v>500</v>
      </c>
      <c r="U102" s="4">
        <f t="shared" si="24"/>
        <v>500</v>
      </c>
      <c r="V102" s="4">
        <v>300</v>
      </c>
      <c r="W102" s="4">
        <f t="shared" si="25"/>
        <v>300</v>
      </c>
      <c r="X102" s="4"/>
      <c r="Y102" s="21">
        <f t="shared" si="26"/>
        <v>412</v>
      </c>
      <c r="Z102" s="6">
        <f t="shared" si="27"/>
        <v>0.27184466019417475</v>
      </c>
      <c r="AA102" s="4">
        <v>0.25</v>
      </c>
      <c r="AB102" s="4" t="str">
        <f t="shared" si="28"/>
        <v>-</v>
      </c>
      <c r="AC102" s="4" t="str">
        <f t="shared" si="39"/>
        <v>-</v>
      </c>
      <c r="AD102" s="6" t="str">
        <f t="shared" si="40"/>
        <v>-</v>
      </c>
      <c r="AE102" s="4">
        <f t="shared" si="41"/>
        <v>475</v>
      </c>
      <c r="AF102" s="7">
        <v>450</v>
      </c>
      <c r="AG102" s="6">
        <f t="shared" si="29"/>
        <v>0.33333333333333337</v>
      </c>
      <c r="AH102" s="4">
        <f t="shared" si="30"/>
        <v>150</v>
      </c>
      <c r="AI102" s="28"/>
      <c r="AJ102" s="6"/>
      <c r="AK102" s="6"/>
      <c r="AL102" s="6">
        <f t="shared" si="31"/>
        <v>1.1111111111111112</v>
      </c>
      <c r="AM102" s="6">
        <f t="shared" si="32"/>
        <v>1.2129380053908356</v>
      </c>
      <c r="AN102" s="6">
        <f t="shared" si="33"/>
        <v>1.1111111111111112</v>
      </c>
      <c r="AO102" s="4" t="str">
        <f t="shared" si="34"/>
        <v>-</v>
      </c>
      <c r="AP102" s="4" t="str">
        <f t="shared" si="35"/>
        <v>-</v>
      </c>
      <c r="AQ102" s="4" t="str">
        <f t="shared" si="36"/>
        <v>-</v>
      </c>
      <c r="AR102" s="4">
        <v>0</v>
      </c>
      <c r="AS102" s="4" t="s">
        <v>1280</v>
      </c>
      <c r="AT102" s="4"/>
      <c r="AU102" s="4"/>
      <c r="AV102" s="4" t="s">
        <v>1280</v>
      </c>
      <c r="AW102" s="4" t="s">
        <v>1280</v>
      </c>
      <c r="AX102" s="4" t="s">
        <v>1280</v>
      </c>
      <c r="AY102" s="4" t="s">
        <v>1280</v>
      </c>
      <c r="AZ102" s="4" t="str">
        <f t="shared" si="37"/>
        <v>-</v>
      </c>
      <c r="BA102" s="19">
        <v>4</v>
      </c>
      <c r="BB102" s="19">
        <v>1</v>
      </c>
      <c r="BC102" s="16">
        <v>18</v>
      </c>
      <c r="BD102" t="s">
        <v>1280</v>
      </c>
      <c r="BE102" t="s">
        <v>1280</v>
      </c>
      <c r="BF102" t="s">
        <v>1280</v>
      </c>
      <c r="BG102" t="str">
        <f t="shared" si="42"/>
        <v>-</v>
      </c>
      <c r="BH102" t="s">
        <v>1280</v>
      </c>
      <c r="BI102" t="s">
        <v>1280</v>
      </c>
      <c r="BJ102" t="s">
        <v>1280</v>
      </c>
      <c r="BK102" t="str">
        <f t="shared" si="43"/>
        <v>-</v>
      </c>
      <c r="BL102" t="s">
        <v>1280</v>
      </c>
      <c r="BM102">
        <v>812</v>
      </c>
    </row>
    <row r="103" spans="1:65" x14ac:dyDescent="0.4">
      <c r="A103" s="3">
        <v>223</v>
      </c>
      <c r="B103" s="3">
        <v>223</v>
      </c>
      <c r="C103" s="4" t="s">
        <v>212</v>
      </c>
      <c r="D103" s="4" t="str">
        <f t="shared" si="22"/>
        <v>J369NB</v>
      </c>
      <c r="E103" s="4" t="s">
        <v>212</v>
      </c>
      <c r="F103" s="4" t="str">
        <f t="shared" si="38"/>
        <v>J369NB5</v>
      </c>
      <c r="G103" s="4" t="s">
        <v>858</v>
      </c>
      <c r="H103" s="5">
        <v>4974268571793</v>
      </c>
      <c r="I103" s="5">
        <v>5</v>
      </c>
      <c r="J103" s="5"/>
      <c r="K103" s="5">
        <v>1</v>
      </c>
      <c r="L103" s="5">
        <v>1</v>
      </c>
      <c r="M103" s="4">
        <v>450</v>
      </c>
      <c r="N103" s="4">
        <v>330</v>
      </c>
      <c r="O103" s="4">
        <v>270</v>
      </c>
      <c r="P103" s="6">
        <f t="shared" si="23"/>
        <v>0.18181818181818177</v>
      </c>
      <c r="Q103" s="4" t="s">
        <v>1280</v>
      </c>
      <c r="R103" s="4" t="s">
        <v>1280</v>
      </c>
      <c r="S103" s="4" t="s">
        <v>1280</v>
      </c>
      <c r="T103" s="4">
        <v>500</v>
      </c>
      <c r="U103" s="4">
        <f t="shared" si="24"/>
        <v>500</v>
      </c>
      <c r="V103" s="4">
        <v>300</v>
      </c>
      <c r="W103" s="4">
        <f t="shared" si="25"/>
        <v>300</v>
      </c>
      <c r="X103" s="4"/>
      <c r="Y103" s="21">
        <f t="shared" si="26"/>
        <v>367</v>
      </c>
      <c r="Z103" s="6">
        <f t="shared" si="27"/>
        <v>0.18256130790190739</v>
      </c>
      <c r="AA103" s="4">
        <v>0.5</v>
      </c>
      <c r="AB103" s="4" t="str">
        <f t="shared" si="28"/>
        <v>-</v>
      </c>
      <c r="AC103" s="4" t="str">
        <f t="shared" si="39"/>
        <v>-</v>
      </c>
      <c r="AD103" s="6" t="str">
        <f t="shared" si="40"/>
        <v>-</v>
      </c>
      <c r="AE103" s="4">
        <f t="shared" si="41"/>
        <v>475</v>
      </c>
      <c r="AF103" s="7">
        <v>450</v>
      </c>
      <c r="AG103" s="6">
        <f t="shared" si="29"/>
        <v>0.33333333333333337</v>
      </c>
      <c r="AH103" s="4">
        <f t="shared" si="30"/>
        <v>150</v>
      </c>
      <c r="AI103" s="28"/>
      <c r="AJ103" s="6"/>
      <c r="AK103" s="6"/>
      <c r="AL103" s="6">
        <f t="shared" si="31"/>
        <v>1.1111111111111112</v>
      </c>
      <c r="AM103" s="6">
        <f t="shared" si="32"/>
        <v>1.3636363636363635</v>
      </c>
      <c r="AN103" s="6">
        <f t="shared" si="33"/>
        <v>1.1111111111111112</v>
      </c>
      <c r="AO103" s="4" t="str">
        <f t="shared" si="34"/>
        <v>-</v>
      </c>
      <c r="AP103" s="4" t="str">
        <f t="shared" si="35"/>
        <v>-</v>
      </c>
      <c r="AQ103" s="4" t="str">
        <f t="shared" si="36"/>
        <v>-</v>
      </c>
      <c r="AR103" s="4">
        <v>0</v>
      </c>
      <c r="AS103" s="4" t="s">
        <v>1865</v>
      </c>
      <c r="AT103" s="4"/>
      <c r="AU103" s="4"/>
      <c r="AV103" s="4" t="s">
        <v>1866</v>
      </c>
      <c r="AW103" s="4">
        <v>450</v>
      </c>
      <c r="AX103" s="4" t="s">
        <v>1280</v>
      </c>
      <c r="AY103" s="4" t="s">
        <v>1280</v>
      </c>
      <c r="AZ103" s="4" t="str">
        <f t="shared" si="37"/>
        <v>-</v>
      </c>
      <c r="BA103" s="19">
        <v>4</v>
      </c>
      <c r="BB103" s="19">
        <v>1</v>
      </c>
      <c r="BC103" s="16">
        <v>18</v>
      </c>
      <c r="BD103" t="s">
        <v>1280</v>
      </c>
      <c r="BE103" t="s">
        <v>1280</v>
      </c>
      <c r="BF103" t="s">
        <v>1280</v>
      </c>
      <c r="BG103" t="str">
        <f t="shared" si="42"/>
        <v>-</v>
      </c>
      <c r="BH103" t="s">
        <v>1280</v>
      </c>
      <c r="BI103" t="s">
        <v>1280</v>
      </c>
      <c r="BJ103" t="s">
        <v>1280</v>
      </c>
      <c r="BK103" t="str">
        <f t="shared" si="43"/>
        <v>-</v>
      </c>
      <c r="BL103" t="s">
        <v>1416</v>
      </c>
      <c r="BM103">
        <v>812</v>
      </c>
    </row>
    <row r="104" spans="1:65" x14ac:dyDescent="0.4">
      <c r="A104" s="3">
        <v>225</v>
      </c>
      <c r="B104" s="3">
        <v>225</v>
      </c>
      <c r="C104" s="4" t="s">
        <v>214</v>
      </c>
      <c r="D104" s="4" t="str">
        <f t="shared" si="22"/>
        <v>J373NB</v>
      </c>
      <c r="E104" s="4" t="s">
        <v>214</v>
      </c>
      <c r="F104" s="4" t="str">
        <f t="shared" si="38"/>
        <v>J373NB5</v>
      </c>
      <c r="G104" s="4" t="s">
        <v>860</v>
      </c>
      <c r="H104" s="5">
        <v>4974268571830</v>
      </c>
      <c r="I104" s="5">
        <v>5</v>
      </c>
      <c r="J104" s="5"/>
      <c r="K104" s="5">
        <v>1</v>
      </c>
      <c r="L104" s="5">
        <v>1</v>
      </c>
      <c r="M104" s="4">
        <v>450</v>
      </c>
      <c r="N104" s="4">
        <v>371</v>
      </c>
      <c r="O104" s="4">
        <v>270</v>
      </c>
      <c r="P104" s="6">
        <f t="shared" si="23"/>
        <v>0.27223719676549862</v>
      </c>
      <c r="Q104" s="4" t="s">
        <v>1280</v>
      </c>
      <c r="R104" s="4" t="s">
        <v>1280</v>
      </c>
      <c r="S104" s="4" t="s">
        <v>1280</v>
      </c>
      <c r="T104" s="4">
        <v>500</v>
      </c>
      <c r="U104" s="4">
        <f t="shared" si="24"/>
        <v>500</v>
      </c>
      <c r="V104" s="4">
        <v>300</v>
      </c>
      <c r="W104" s="4">
        <f t="shared" si="25"/>
        <v>300</v>
      </c>
      <c r="X104" s="4"/>
      <c r="Y104" s="21">
        <f t="shared" si="26"/>
        <v>412</v>
      </c>
      <c r="Z104" s="6">
        <f t="shared" si="27"/>
        <v>0.27184466019417475</v>
      </c>
      <c r="AA104" s="4">
        <v>0.25</v>
      </c>
      <c r="AB104" s="4" t="str">
        <f t="shared" si="28"/>
        <v>-</v>
      </c>
      <c r="AC104" s="4" t="str">
        <f t="shared" si="39"/>
        <v>-</v>
      </c>
      <c r="AD104" s="6" t="str">
        <f t="shared" si="40"/>
        <v>-</v>
      </c>
      <c r="AE104" s="4">
        <f t="shared" si="41"/>
        <v>475</v>
      </c>
      <c r="AF104" s="7">
        <v>450</v>
      </c>
      <c r="AG104" s="6">
        <f t="shared" si="29"/>
        <v>0.33333333333333337</v>
      </c>
      <c r="AH104" s="4">
        <f t="shared" si="30"/>
        <v>150</v>
      </c>
      <c r="AI104" s="28"/>
      <c r="AJ104" s="6"/>
      <c r="AK104" s="6"/>
      <c r="AL104" s="6">
        <f t="shared" si="31"/>
        <v>1.1111111111111112</v>
      </c>
      <c r="AM104" s="6">
        <f t="shared" si="32"/>
        <v>1.2129380053908356</v>
      </c>
      <c r="AN104" s="6">
        <f t="shared" si="33"/>
        <v>1.1111111111111112</v>
      </c>
      <c r="AO104" s="4" t="str">
        <f t="shared" si="34"/>
        <v>-</v>
      </c>
      <c r="AP104" s="4" t="str">
        <f t="shared" si="35"/>
        <v>-</v>
      </c>
      <c r="AQ104" s="4" t="str">
        <f t="shared" si="36"/>
        <v>-</v>
      </c>
      <c r="AR104" s="4">
        <v>0</v>
      </c>
      <c r="AS104" s="4" t="s">
        <v>1280</v>
      </c>
      <c r="AT104" s="4"/>
      <c r="AU104" s="4"/>
      <c r="AV104" s="4" t="s">
        <v>1280</v>
      </c>
      <c r="AW104" s="4" t="s">
        <v>1280</v>
      </c>
      <c r="AX104" s="4" t="s">
        <v>1280</v>
      </c>
      <c r="AY104" s="4" t="s">
        <v>1280</v>
      </c>
      <c r="AZ104" s="4" t="str">
        <f t="shared" si="37"/>
        <v>-</v>
      </c>
      <c r="BA104" s="19">
        <v>4</v>
      </c>
      <c r="BB104" s="19">
        <v>1</v>
      </c>
      <c r="BC104" s="16">
        <v>18</v>
      </c>
      <c r="BD104" t="s">
        <v>1280</v>
      </c>
      <c r="BE104" t="s">
        <v>1280</v>
      </c>
      <c r="BF104" t="s">
        <v>1280</v>
      </c>
      <c r="BG104" t="str">
        <f t="shared" si="42"/>
        <v>-</v>
      </c>
      <c r="BH104" t="s">
        <v>1280</v>
      </c>
      <c r="BI104" t="s">
        <v>1280</v>
      </c>
      <c r="BJ104" t="s">
        <v>1280</v>
      </c>
      <c r="BK104" t="str">
        <f t="shared" si="43"/>
        <v>-</v>
      </c>
      <c r="BL104" t="s">
        <v>1280</v>
      </c>
      <c r="BM104">
        <v>812</v>
      </c>
    </row>
    <row r="105" spans="1:65" x14ac:dyDescent="0.4">
      <c r="A105" s="3">
        <v>226</v>
      </c>
      <c r="B105" s="3">
        <v>226</v>
      </c>
      <c r="C105" s="4" t="s">
        <v>215</v>
      </c>
      <c r="D105" s="4" t="str">
        <f t="shared" si="22"/>
        <v>J374NB</v>
      </c>
      <c r="E105" s="4" t="s">
        <v>215</v>
      </c>
      <c r="F105" s="4" t="str">
        <f t="shared" si="38"/>
        <v>J374NB5</v>
      </c>
      <c r="G105" s="4" t="s">
        <v>861</v>
      </c>
      <c r="H105" s="5">
        <v>4974268571847</v>
      </c>
      <c r="I105" s="5">
        <v>5</v>
      </c>
      <c r="J105" s="5"/>
      <c r="K105" s="5">
        <v>1</v>
      </c>
      <c r="L105" s="5">
        <v>1</v>
      </c>
      <c r="M105" s="4">
        <v>450</v>
      </c>
      <c r="N105" s="4">
        <v>398</v>
      </c>
      <c r="O105" s="4">
        <v>270</v>
      </c>
      <c r="P105" s="6">
        <f t="shared" si="23"/>
        <v>0.32160804020100497</v>
      </c>
      <c r="Q105" s="4" t="s">
        <v>1280</v>
      </c>
      <c r="R105" s="4" t="s">
        <v>1280</v>
      </c>
      <c r="S105" s="4" t="s">
        <v>1280</v>
      </c>
      <c r="T105" s="4">
        <v>500</v>
      </c>
      <c r="U105" s="4">
        <f t="shared" si="24"/>
        <v>500</v>
      </c>
      <c r="V105" s="4">
        <v>300</v>
      </c>
      <c r="W105" s="4">
        <f t="shared" si="25"/>
        <v>300</v>
      </c>
      <c r="X105" s="4"/>
      <c r="Y105" s="21">
        <f t="shared" si="26"/>
        <v>442</v>
      </c>
      <c r="Z105" s="6">
        <f t="shared" si="27"/>
        <v>0.32126696832579182</v>
      </c>
      <c r="AA105" s="4">
        <v>3</v>
      </c>
      <c r="AB105" s="4" t="str">
        <f t="shared" si="28"/>
        <v>-</v>
      </c>
      <c r="AC105" s="4" t="str">
        <f t="shared" si="39"/>
        <v>-</v>
      </c>
      <c r="AD105" s="6" t="str">
        <f t="shared" si="40"/>
        <v>-</v>
      </c>
      <c r="AE105" s="4">
        <f t="shared" si="41"/>
        <v>475</v>
      </c>
      <c r="AF105" s="7">
        <v>450</v>
      </c>
      <c r="AG105" s="6">
        <f t="shared" si="29"/>
        <v>0.33333333333333337</v>
      </c>
      <c r="AH105" s="4">
        <f t="shared" si="30"/>
        <v>150</v>
      </c>
      <c r="AI105" s="28"/>
      <c r="AJ105" s="6"/>
      <c r="AK105" s="6"/>
      <c r="AL105" s="6">
        <f t="shared" si="31"/>
        <v>1.1111111111111112</v>
      </c>
      <c r="AM105" s="6">
        <f t="shared" si="32"/>
        <v>1.1306532663316582</v>
      </c>
      <c r="AN105" s="6">
        <f t="shared" si="33"/>
        <v>1.1111111111111112</v>
      </c>
      <c r="AO105" s="4" t="str">
        <f t="shared" si="34"/>
        <v>-</v>
      </c>
      <c r="AP105" s="4" t="str">
        <f t="shared" si="35"/>
        <v>-</v>
      </c>
      <c r="AQ105" s="4" t="str">
        <f t="shared" si="36"/>
        <v>-</v>
      </c>
      <c r="AR105" s="4">
        <v>0</v>
      </c>
      <c r="AS105" s="4" t="s">
        <v>1280</v>
      </c>
      <c r="AT105" s="4"/>
      <c r="AU105" s="4"/>
      <c r="AV105" s="4" t="s">
        <v>1280</v>
      </c>
      <c r="AW105" s="4" t="s">
        <v>1280</v>
      </c>
      <c r="AX105" s="4" t="s">
        <v>1280</v>
      </c>
      <c r="AY105" s="4" t="s">
        <v>1280</v>
      </c>
      <c r="AZ105" s="4" t="str">
        <f t="shared" si="37"/>
        <v>-</v>
      </c>
      <c r="BA105" s="19">
        <v>4</v>
      </c>
      <c r="BB105" s="19">
        <v>1</v>
      </c>
      <c r="BC105" s="16">
        <v>18</v>
      </c>
      <c r="BD105" t="s">
        <v>1280</v>
      </c>
      <c r="BE105" t="s">
        <v>1280</v>
      </c>
      <c r="BF105" t="s">
        <v>1280</v>
      </c>
      <c r="BG105" t="str">
        <f t="shared" si="42"/>
        <v>-</v>
      </c>
      <c r="BH105" t="s">
        <v>1280</v>
      </c>
      <c r="BI105" t="s">
        <v>1280</v>
      </c>
      <c r="BJ105" t="s">
        <v>1280</v>
      </c>
      <c r="BK105" t="str">
        <f t="shared" si="43"/>
        <v>-</v>
      </c>
      <c r="BL105" t="s">
        <v>1280</v>
      </c>
      <c r="BM105">
        <v>812</v>
      </c>
    </row>
    <row r="106" spans="1:65" x14ac:dyDescent="0.4">
      <c r="A106" s="3">
        <v>227</v>
      </c>
      <c r="B106" s="3">
        <v>227</v>
      </c>
      <c r="C106" s="4" t="s">
        <v>216</v>
      </c>
      <c r="D106" s="4" t="str">
        <f t="shared" si="22"/>
        <v>J371NB</v>
      </c>
      <c r="E106" s="4" t="s">
        <v>216</v>
      </c>
      <c r="F106" s="4" t="str">
        <f t="shared" si="38"/>
        <v>J371NB5</v>
      </c>
      <c r="G106" s="4" t="s">
        <v>862</v>
      </c>
      <c r="H106" s="5">
        <v>4974268571816</v>
      </c>
      <c r="I106" s="5">
        <v>5</v>
      </c>
      <c r="J106" s="5"/>
      <c r="K106" s="5">
        <v>1</v>
      </c>
      <c r="L106" s="5">
        <v>1</v>
      </c>
      <c r="M106" s="4">
        <v>450</v>
      </c>
      <c r="N106" s="4">
        <v>398</v>
      </c>
      <c r="O106" s="4">
        <v>270</v>
      </c>
      <c r="P106" s="6">
        <f t="shared" si="23"/>
        <v>0.32160804020100497</v>
      </c>
      <c r="Q106" s="4" t="s">
        <v>1280</v>
      </c>
      <c r="R106" s="4" t="s">
        <v>1280</v>
      </c>
      <c r="S106" s="4" t="s">
        <v>1280</v>
      </c>
      <c r="T106" s="4">
        <v>500</v>
      </c>
      <c r="U106" s="4">
        <f t="shared" si="24"/>
        <v>500</v>
      </c>
      <c r="V106" s="4">
        <v>300</v>
      </c>
      <c r="W106" s="4">
        <f t="shared" si="25"/>
        <v>300</v>
      </c>
      <c r="X106" s="4"/>
      <c r="Y106" s="21">
        <f t="shared" si="26"/>
        <v>442</v>
      </c>
      <c r="Z106" s="6">
        <f t="shared" si="27"/>
        <v>0.32126696832579182</v>
      </c>
      <c r="AA106" s="4">
        <v>4</v>
      </c>
      <c r="AB106" s="4" t="str">
        <f t="shared" si="28"/>
        <v>-</v>
      </c>
      <c r="AC106" s="4" t="str">
        <f t="shared" si="39"/>
        <v>-</v>
      </c>
      <c r="AD106" s="6" t="str">
        <f t="shared" si="40"/>
        <v>-</v>
      </c>
      <c r="AE106" s="4">
        <f t="shared" si="41"/>
        <v>475</v>
      </c>
      <c r="AF106" s="7">
        <v>450</v>
      </c>
      <c r="AG106" s="6">
        <f t="shared" si="29"/>
        <v>0.33333333333333337</v>
      </c>
      <c r="AH106" s="4">
        <f t="shared" si="30"/>
        <v>150</v>
      </c>
      <c r="AI106" s="28"/>
      <c r="AJ106" s="6"/>
      <c r="AK106" s="6"/>
      <c r="AL106" s="6">
        <f t="shared" si="31"/>
        <v>1.1111111111111112</v>
      </c>
      <c r="AM106" s="6">
        <f t="shared" si="32"/>
        <v>1.1306532663316582</v>
      </c>
      <c r="AN106" s="6">
        <f t="shared" si="33"/>
        <v>1.1111111111111112</v>
      </c>
      <c r="AO106" s="4" t="str">
        <f t="shared" si="34"/>
        <v>-</v>
      </c>
      <c r="AP106" s="4" t="str">
        <f t="shared" si="35"/>
        <v>-</v>
      </c>
      <c r="AQ106" s="4" t="str">
        <f t="shared" si="36"/>
        <v>-</v>
      </c>
      <c r="AR106" s="4">
        <v>0</v>
      </c>
      <c r="AS106" s="4" t="s">
        <v>1280</v>
      </c>
      <c r="AT106" s="4"/>
      <c r="AU106" s="4"/>
      <c r="AV106" s="4" t="s">
        <v>1280</v>
      </c>
      <c r="AW106" s="4" t="s">
        <v>1280</v>
      </c>
      <c r="AX106" s="4" t="s">
        <v>1280</v>
      </c>
      <c r="AY106" s="4" t="s">
        <v>1280</v>
      </c>
      <c r="AZ106" s="4" t="str">
        <f t="shared" si="37"/>
        <v>-</v>
      </c>
      <c r="BA106" s="19">
        <v>4</v>
      </c>
      <c r="BB106" s="19">
        <v>1</v>
      </c>
      <c r="BC106" s="16">
        <v>18</v>
      </c>
      <c r="BD106" t="s">
        <v>1280</v>
      </c>
      <c r="BE106" t="s">
        <v>1280</v>
      </c>
      <c r="BF106" t="s">
        <v>1280</v>
      </c>
      <c r="BG106" t="str">
        <f t="shared" si="42"/>
        <v>-</v>
      </c>
      <c r="BH106" t="s">
        <v>1280</v>
      </c>
      <c r="BI106" t="s">
        <v>1280</v>
      </c>
      <c r="BJ106" t="s">
        <v>1280</v>
      </c>
      <c r="BK106" t="str">
        <f t="shared" si="43"/>
        <v>-</v>
      </c>
      <c r="BL106" t="s">
        <v>1280</v>
      </c>
      <c r="BM106">
        <v>812</v>
      </c>
    </row>
    <row r="107" spans="1:65" x14ac:dyDescent="0.4">
      <c r="A107" s="3">
        <v>228</v>
      </c>
      <c r="B107" s="3">
        <v>228</v>
      </c>
      <c r="C107" s="4" t="s">
        <v>217</v>
      </c>
      <c r="D107" s="4" t="str">
        <f t="shared" si="22"/>
        <v>J376NB</v>
      </c>
      <c r="E107" s="4" t="s">
        <v>217</v>
      </c>
      <c r="F107" s="4" t="str">
        <f t="shared" si="38"/>
        <v>J376NB5</v>
      </c>
      <c r="G107" s="4" t="s">
        <v>863</v>
      </c>
      <c r="H107" s="5">
        <v>4974268572042</v>
      </c>
      <c r="I107" s="5">
        <v>5</v>
      </c>
      <c r="J107" s="5"/>
      <c r="K107" s="5">
        <v>1</v>
      </c>
      <c r="L107" s="5">
        <v>1</v>
      </c>
      <c r="M107" s="4">
        <v>450</v>
      </c>
      <c r="N107" s="4">
        <v>319</v>
      </c>
      <c r="O107" s="4">
        <v>270</v>
      </c>
      <c r="P107" s="6">
        <f t="shared" si="23"/>
        <v>0.15360501567398122</v>
      </c>
      <c r="Q107" s="4" t="s">
        <v>1280</v>
      </c>
      <c r="R107" s="4" t="s">
        <v>1280</v>
      </c>
      <c r="S107" s="4" t="s">
        <v>1280</v>
      </c>
      <c r="T107" s="4">
        <v>500</v>
      </c>
      <c r="U107" s="4">
        <f t="shared" si="24"/>
        <v>500</v>
      </c>
      <c r="V107" s="4">
        <v>300</v>
      </c>
      <c r="W107" s="4">
        <f t="shared" si="25"/>
        <v>300</v>
      </c>
      <c r="X107" s="4"/>
      <c r="Y107" s="21">
        <f t="shared" si="26"/>
        <v>354</v>
      </c>
      <c r="Z107" s="6">
        <f t="shared" si="27"/>
        <v>0.15254237288135597</v>
      </c>
      <c r="AA107" s="4">
        <v>0.25</v>
      </c>
      <c r="AB107" s="4" t="str">
        <f t="shared" si="28"/>
        <v>-</v>
      </c>
      <c r="AC107" s="4" t="str">
        <f t="shared" si="39"/>
        <v>-</v>
      </c>
      <c r="AD107" s="6" t="str">
        <f t="shared" si="40"/>
        <v>-</v>
      </c>
      <c r="AE107" s="4">
        <f t="shared" si="41"/>
        <v>475</v>
      </c>
      <c r="AF107" s="7">
        <v>450</v>
      </c>
      <c r="AG107" s="6">
        <f t="shared" si="29"/>
        <v>0.33333333333333337</v>
      </c>
      <c r="AH107" s="4">
        <f t="shared" si="30"/>
        <v>150</v>
      </c>
      <c r="AI107" s="28"/>
      <c r="AJ107" s="6"/>
      <c r="AK107" s="6"/>
      <c r="AL107" s="6">
        <f t="shared" si="31"/>
        <v>1.1111111111111112</v>
      </c>
      <c r="AM107" s="6">
        <f t="shared" si="32"/>
        <v>1.4106583072100314</v>
      </c>
      <c r="AN107" s="6">
        <f t="shared" si="33"/>
        <v>1.1111111111111112</v>
      </c>
      <c r="AO107" s="4" t="str">
        <f t="shared" si="34"/>
        <v>-</v>
      </c>
      <c r="AP107" s="4" t="str">
        <f t="shared" si="35"/>
        <v>-</v>
      </c>
      <c r="AQ107" s="4" t="str">
        <f t="shared" si="36"/>
        <v>-</v>
      </c>
      <c r="AR107" s="4">
        <v>0</v>
      </c>
      <c r="AS107" s="4" t="s">
        <v>1280</v>
      </c>
      <c r="AT107" s="4"/>
      <c r="AU107" s="4"/>
      <c r="AV107" s="4" t="s">
        <v>1280</v>
      </c>
      <c r="AW107" s="4" t="s">
        <v>1280</v>
      </c>
      <c r="AX107" s="4" t="s">
        <v>1280</v>
      </c>
      <c r="AY107" s="4" t="s">
        <v>1280</v>
      </c>
      <c r="AZ107" s="4" t="str">
        <f t="shared" si="37"/>
        <v>-</v>
      </c>
      <c r="BA107" s="19">
        <v>4</v>
      </c>
      <c r="BB107" s="19">
        <v>1</v>
      </c>
      <c r="BC107" s="16">
        <v>18</v>
      </c>
      <c r="BD107" t="s">
        <v>1280</v>
      </c>
      <c r="BE107" t="s">
        <v>1280</v>
      </c>
      <c r="BF107" t="s">
        <v>1280</v>
      </c>
      <c r="BG107" t="str">
        <f t="shared" si="42"/>
        <v>-</v>
      </c>
      <c r="BH107" t="s">
        <v>1280</v>
      </c>
      <c r="BI107" t="s">
        <v>1280</v>
      </c>
      <c r="BJ107" t="s">
        <v>1280</v>
      </c>
      <c r="BK107" t="str">
        <f t="shared" si="43"/>
        <v>-</v>
      </c>
      <c r="BL107" t="s">
        <v>1280</v>
      </c>
      <c r="BM107">
        <v>812</v>
      </c>
    </row>
    <row r="108" spans="1:65" x14ac:dyDescent="0.4">
      <c r="A108" s="3">
        <v>608</v>
      </c>
      <c r="B108" s="3">
        <v>608</v>
      </c>
      <c r="C108" s="4" t="s">
        <v>597</v>
      </c>
      <c r="D108" s="4" t="str">
        <f t="shared" si="22"/>
        <v>J949WN</v>
      </c>
      <c r="E108" s="4" t="s">
        <v>597</v>
      </c>
      <c r="F108" s="4" t="str">
        <f t="shared" si="38"/>
        <v>J949WN5</v>
      </c>
      <c r="G108" s="4" t="s">
        <v>1241</v>
      </c>
      <c r="H108" s="5">
        <v>4974268492548</v>
      </c>
      <c r="I108" s="5">
        <v>5</v>
      </c>
      <c r="J108" s="5"/>
      <c r="K108" s="5">
        <v>1</v>
      </c>
      <c r="L108" s="5">
        <v>1</v>
      </c>
      <c r="M108" s="4">
        <v>450</v>
      </c>
      <c r="N108" s="4">
        <v>390</v>
      </c>
      <c r="O108" s="4">
        <v>270</v>
      </c>
      <c r="P108" s="6">
        <f t="shared" si="23"/>
        <v>0.30769230769230771</v>
      </c>
      <c r="Q108" s="4" t="s">
        <v>1280</v>
      </c>
      <c r="R108" s="4" t="s">
        <v>1280</v>
      </c>
      <c r="S108" s="4" t="s">
        <v>1280</v>
      </c>
      <c r="T108" s="4">
        <v>500</v>
      </c>
      <c r="U108" s="4">
        <f t="shared" si="24"/>
        <v>500</v>
      </c>
      <c r="V108" s="4">
        <v>300</v>
      </c>
      <c r="W108" s="4">
        <f t="shared" si="25"/>
        <v>300</v>
      </c>
      <c r="X108" s="4"/>
      <c r="Y108" s="21">
        <f t="shared" si="26"/>
        <v>433</v>
      </c>
      <c r="Z108" s="6">
        <f t="shared" si="27"/>
        <v>0.30715935334872979</v>
      </c>
      <c r="AA108" s="4">
        <v>0</v>
      </c>
      <c r="AB108" s="4">
        <f t="shared" si="28"/>
        <v>522.51</v>
      </c>
      <c r="AC108" s="4">
        <f t="shared" si="39"/>
        <v>580.56666666666672</v>
      </c>
      <c r="AD108" s="6">
        <f t="shared" si="40"/>
        <v>0.4832634782109434</v>
      </c>
      <c r="AE108" s="4">
        <f t="shared" si="41"/>
        <v>475</v>
      </c>
      <c r="AF108" s="7">
        <v>450</v>
      </c>
      <c r="AG108" s="6">
        <f t="shared" si="29"/>
        <v>0.33333333333333337</v>
      </c>
      <c r="AH108" s="4">
        <f t="shared" si="30"/>
        <v>150</v>
      </c>
      <c r="AI108" s="28"/>
      <c r="AJ108" s="6"/>
      <c r="AK108" s="6"/>
      <c r="AL108" s="6">
        <f t="shared" si="31"/>
        <v>1.1111111111111112</v>
      </c>
      <c r="AM108" s="6">
        <f t="shared" si="32"/>
        <v>1.1538461538461537</v>
      </c>
      <c r="AN108" s="6">
        <f t="shared" si="33"/>
        <v>1.1111111111111112</v>
      </c>
      <c r="AO108" s="4" t="str">
        <f t="shared" si="34"/>
        <v>-</v>
      </c>
      <c r="AP108" s="4" t="str">
        <f t="shared" si="35"/>
        <v>-</v>
      </c>
      <c r="AQ108" s="4" t="str">
        <f t="shared" si="36"/>
        <v>-</v>
      </c>
      <c r="AR108" s="4">
        <v>0</v>
      </c>
      <c r="AS108" s="4" t="s">
        <v>2166</v>
      </c>
      <c r="AT108" s="4">
        <v>1</v>
      </c>
      <c r="AU108" s="4">
        <v>500</v>
      </c>
      <c r="AV108" s="4" t="s">
        <v>2167</v>
      </c>
      <c r="AW108" s="4">
        <v>261255</v>
      </c>
      <c r="AX108" s="4">
        <v>261255</v>
      </c>
      <c r="AY108" s="4">
        <v>261255</v>
      </c>
      <c r="AZ108" s="4">
        <f t="shared" si="37"/>
        <v>522.51</v>
      </c>
      <c r="BA108" s="19">
        <v>4</v>
      </c>
      <c r="BB108" s="19">
        <v>8</v>
      </c>
      <c r="BC108" s="16">
        <v>19</v>
      </c>
      <c r="BD108" t="s">
        <v>1280</v>
      </c>
      <c r="BE108" t="s">
        <v>1280</v>
      </c>
      <c r="BF108" t="s">
        <v>1280</v>
      </c>
      <c r="BG108" t="str">
        <f t="shared" si="42"/>
        <v>-</v>
      </c>
      <c r="BH108" t="s">
        <v>1280</v>
      </c>
      <c r="BI108" t="s">
        <v>1280</v>
      </c>
      <c r="BJ108" t="s">
        <v>1280</v>
      </c>
      <c r="BK108" t="str">
        <f t="shared" si="43"/>
        <v>-</v>
      </c>
      <c r="BL108" t="s">
        <v>1650</v>
      </c>
      <c r="BM108">
        <v>812</v>
      </c>
    </row>
    <row r="109" spans="1:65" x14ac:dyDescent="0.4">
      <c r="A109" s="3">
        <v>29</v>
      </c>
      <c r="B109" s="3">
        <v>29</v>
      </c>
      <c r="C109" s="4">
        <v>190344</v>
      </c>
      <c r="D109" s="4" t="str">
        <f t="shared" si="22"/>
        <v>190344</v>
      </c>
      <c r="E109" s="4">
        <v>190344</v>
      </c>
      <c r="F109" s="4" t="str">
        <f t="shared" si="38"/>
        <v>1903445</v>
      </c>
      <c r="G109" s="4" t="s">
        <v>664</v>
      </c>
      <c r="H109" s="5">
        <v>4974268664143</v>
      </c>
      <c r="I109" s="5">
        <v>5</v>
      </c>
      <c r="J109" s="5"/>
      <c r="K109" s="5">
        <v>1</v>
      </c>
      <c r="L109" s="5">
        <v>1</v>
      </c>
      <c r="M109" s="4">
        <v>490</v>
      </c>
      <c r="N109" s="4">
        <v>366</v>
      </c>
      <c r="O109" s="4">
        <v>294</v>
      </c>
      <c r="P109" s="6">
        <f t="shared" si="23"/>
        <v>0.19672131147540983</v>
      </c>
      <c r="Q109" s="4" t="s">
        <v>1280</v>
      </c>
      <c r="R109" s="4" t="s">
        <v>1280</v>
      </c>
      <c r="S109" s="4" t="s">
        <v>1280</v>
      </c>
      <c r="T109" s="4">
        <v>520</v>
      </c>
      <c r="U109" s="4">
        <f t="shared" si="24"/>
        <v>520</v>
      </c>
      <c r="V109" s="4">
        <v>312</v>
      </c>
      <c r="W109" s="4">
        <f t="shared" si="25"/>
        <v>312</v>
      </c>
      <c r="X109" s="4"/>
      <c r="Y109" s="21">
        <f t="shared" si="26"/>
        <v>388</v>
      </c>
      <c r="Z109" s="6">
        <f t="shared" si="27"/>
        <v>0.19587628865979378</v>
      </c>
      <c r="AA109" s="4">
        <v>1</v>
      </c>
      <c r="AB109" s="4">
        <f t="shared" si="28"/>
        <v>355</v>
      </c>
      <c r="AC109" s="4">
        <f t="shared" si="39"/>
        <v>376.73469387755102</v>
      </c>
      <c r="AD109" s="6">
        <f t="shared" si="40"/>
        <v>0.17183098591549295</v>
      </c>
      <c r="AE109" s="4">
        <f t="shared" si="41"/>
        <v>494</v>
      </c>
      <c r="AF109" s="7">
        <v>490</v>
      </c>
      <c r="AG109" s="6">
        <f t="shared" si="29"/>
        <v>0.36326530612244901</v>
      </c>
      <c r="AH109" s="4">
        <f t="shared" si="30"/>
        <v>178</v>
      </c>
      <c r="AI109" s="28"/>
      <c r="AJ109" s="6"/>
      <c r="AK109" s="6"/>
      <c r="AL109" s="6">
        <f t="shared" si="31"/>
        <v>1.0612244897959184</v>
      </c>
      <c r="AM109" s="6">
        <f t="shared" si="32"/>
        <v>1.3387978142076502</v>
      </c>
      <c r="AN109" s="6">
        <f t="shared" si="33"/>
        <v>1.0612244897959184</v>
      </c>
      <c r="AO109" s="4" t="str">
        <f t="shared" si="34"/>
        <v>-</v>
      </c>
      <c r="AP109" s="4" t="str">
        <f t="shared" si="35"/>
        <v>-</v>
      </c>
      <c r="AQ109" s="4" t="str">
        <f t="shared" si="36"/>
        <v>-</v>
      </c>
      <c r="AR109" s="4">
        <v>0</v>
      </c>
      <c r="AS109" s="4" t="s">
        <v>1714</v>
      </c>
      <c r="AT109" s="4"/>
      <c r="AU109" s="4"/>
      <c r="AV109" s="4" t="s">
        <v>1713</v>
      </c>
      <c r="AW109" s="4">
        <v>355</v>
      </c>
      <c r="AX109" s="4">
        <v>355</v>
      </c>
      <c r="AY109" s="4">
        <v>355</v>
      </c>
      <c r="AZ109" s="4">
        <f t="shared" si="37"/>
        <v>355</v>
      </c>
      <c r="BA109" s="19">
        <v>4</v>
      </c>
      <c r="BB109" s="19">
        <v>1</v>
      </c>
      <c r="BC109" s="16">
        <v>19</v>
      </c>
      <c r="BD109">
        <v>470</v>
      </c>
      <c r="BE109">
        <v>470</v>
      </c>
      <c r="BF109">
        <v>470</v>
      </c>
      <c r="BG109">
        <f t="shared" si="42"/>
        <v>498.77551020408168</v>
      </c>
      <c r="BH109">
        <v>479</v>
      </c>
      <c r="BI109">
        <v>479</v>
      </c>
      <c r="BJ109">
        <v>479</v>
      </c>
      <c r="BK109">
        <f t="shared" si="43"/>
        <v>508.32653061224494</v>
      </c>
      <c r="BL109" t="s">
        <v>1309</v>
      </c>
      <c r="BM109">
        <v>812</v>
      </c>
    </row>
    <row r="110" spans="1:65" x14ac:dyDescent="0.4">
      <c r="A110" s="3">
        <v>30</v>
      </c>
      <c r="B110" s="3">
        <v>30</v>
      </c>
      <c r="C110" s="4">
        <v>190345</v>
      </c>
      <c r="D110" s="4" t="str">
        <f t="shared" si="22"/>
        <v>190345</v>
      </c>
      <c r="E110" s="4">
        <v>190345</v>
      </c>
      <c r="F110" s="4" t="str">
        <f t="shared" si="38"/>
        <v>1903455</v>
      </c>
      <c r="G110" s="4" t="s">
        <v>665</v>
      </c>
      <c r="H110" s="5">
        <v>4974268664150</v>
      </c>
      <c r="I110" s="5">
        <v>5</v>
      </c>
      <c r="J110" s="5"/>
      <c r="K110" s="5">
        <v>1</v>
      </c>
      <c r="L110" s="5">
        <v>1</v>
      </c>
      <c r="M110" s="4">
        <v>490</v>
      </c>
      <c r="N110" s="4">
        <v>355</v>
      </c>
      <c r="O110" s="4">
        <v>294</v>
      </c>
      <c r="P110" s="6">
        <f t="shared" si="23"/>
        <v>0.17183098591549295</v>
      </c>
      <c r="Q110" s="4" t="s">
        <v>1280</v>
      </c>
      <c r="R110" s="4" t="s">
        <v>1280</v>
      </c>
      <c r="S110" s="4" t="s">
        <v>1280</v>
      </c>
      <c r="T110" s="4">
        <v>520</v>
      </c>
      <c r="U110" s="4">
        <f t="shared" si="24"/>
        <v>520</v>
      </c>
      <c r="V110" s="4">
        <v>312</v>
      </c>
      <c r="W110" s="4">
        <f t="shared" si="25"/>
        <v>312</v>
      </c>
      <c r="X110" s="4"/>
      <c r="Y110" s="21">
        <f t="shared" si="26"/>
        <v>377</v>
      </c>
      <c r="Z110" s="6">
        <f t="shared" si="27"/>
        <v>0.17241379310344829</v>
      </c>
      <c r="AA110" s="4">
        <v>0</v>
      </c>
      <c r="AB110" s="4">
        <f t="shared" si="28"/>
        <v>355</v>
      </c>
      <c r="AC110" s="4">
        <f t="shared" si="39"/>
        <v>376.73469387755102</v>
      </c>
      <c r="AD110" s="6">
        <f t="shared" si="40"/>
        <v>0.17183098591549295</v>
      </c>
      <c r="AE110" s="4">
        <f t="shared" si="41"/>
        <v>494</v>
      </c>
      <c r="AF110" s="7">
        <v>490</v>
      </c>
      <c r="AG110" s="6">
        <f t="shared" si="29"/>
        <v>0.36326530612244901</v>
      </c>
      <c r="AH110" s="4">
        <f t="shared" si="30"/>
        <v>178</v>
      </c>
      <c r="AI110" s="28"/>
      <c r="AJ110" s="6"/>
      <c r="AK110" s="6"/>
      <c r="AL110" s="6">
        <f t="shared" si="31"/>
        <v>1.0612244897959184</v>
      </c>
      <c r="AM110" s="6">
        <f t="shared" si="32"/>
        <v>1.380281690140845</v>
      </c>
      <c r="AN110" s="6">
        <f t="shared" si="33"/>
        <v>1.0612244897959184</v>
      </c>
      <c r="AO110" s="4" t="str">
        <f t="shared" si="34"/>
        <v>-</v>
      </c>
      <c r="AP110" s="4" t="str">
        <f t="shared" si="35"/>
        <v>-</v>
      </c>
      <c r="AQ110" s="4" t="str">
        <f t="shared" si="36"/>
        <v>-</v>
      </c>
      <c r="AR110" s="4">
        <v>0</v>
      </c>
      <c r="AS110" s="4" t="s">
        <v>1715</v>
      </c>
      <c r="AT110" s="4"/>
      <c r="AU110" s="4"/>
      <c r="AV110" s="4" t="s">
        <v>1713</v>
      </c>
      <c r="AW110" s="4">
        <v>355</v>
      </c>
      <c r="AX110" s="4">
        <v>355</v>
      </c>
      <c r="AY110" s="4">
        <v>355</v>
      </c>
      <c r="AZ110" s="4">
        <f t="shared" si="37"/>
        <v>355</v>
      </c>
      <c r="BA110" s="19">
        <v>4</v>
      </c>
      <c r="BB110" s="19">
        <v>8</v>
      </c>
      <c r="BC110" s="16">
        <v>19</v>
      </c>
      <c r="BD110" t="s">
        <v>1280</v>
      </c>
      <c r="BE110" t="s">
        <v>1280</v>
      </c>
      <c r="BF110" t="s">
        <v>1280</v>
      </c>
      <c r="BG110" t="str">
        <f t="shared" si="42"/>
        <v>-</v>
      </c>
      <c r="BH110">
        <v>520</v>
      </c>
      <c r="BI110">
        <v>520</v>
      </c>
      <c r="BJ110">
        <v>520</v>
      </c>
      <c r="BK110">
        <f t="shared" si="43"/>
        <v>551.83673469387759</v>
      </c>
      <c r="BL110" t="s">
        <v>1310</v>
      </c>
      <c r="BM110">
        <v>812</v>
      </c>
    </row>
    <row r="111" spans="1:65" x14ac:dyDescent="0.4">
      <c r="A111" s="3">
        <v>52</v>
      </c>
      <c r="B111" s="3">
        <v>52</v>
      </c>
      <c r="C111" s="4">
        <v>637325</v>
      </c>
      <c r="D111" s="4" t="str">
        <f t="shared" si="22"/>
        <v>637325</v>
      </c>
      <c r="E111" s="4">
        <v>637325</v>
      </c>
      <c r="F111" s="4" t="str">
        <f t="shared" si="38"/>
        <v>6373255</v>
      </c>
      <c r="G111" s="4" t="s">
        <v>687</v>
      </c>
      <c r="H111" s="5">
        <v>4974268661371</v>
      </c>
      <c r="I111" s="5">
        <v>5</v>
      </c>
      <c r="J111" s="5"/>
      <c r="K111" s="5">
        <v>1</v>
      </c>
      <c r="L111" s="5">
        <v>1</v>
      </c>
      <c r="M111" s="4">
        <v>500</v>
      </c>
      <c r="N111" s="4">
        <v>464</v>
      </c>
      <c r="O111" s="4">
        <v>300</v>
      </c>
      <c r="P111" s="6">
        <f t="shared" si="23"/>
        <v>0.35344827586206895</v>
      </c>
      <c r="Q111" s="4" t="s">
        <v>1280</v>
      </c>
      <c r="R111" s="4" t="s">
        <v>1280</v>
      </c>
      <c r="S111" s="4" t="s">
        <v>1280</v>
      </c>
      <c r="T111" s="4">
        <v>520</v>
      </c>
      <c r="U111" s="4">
        <f t="shared" si="24"/>
        <v>520</v>
      </c>
      <c r="V111" s="4">
        <v>312</v>
      </c>
      <c r="W111" s="4">
        <f t="shared" si="25"/>
        <v>312</v>
      </c>
      <c r="X111" s="4"/>
      <c r="Y111" s="21">
        <f t="shared" si="26"/>
        <v>483</v>
      </c>
      <c r="Z111" s="6">
        <f t="shared" si="27"/>
        <v>0.35403726708074534</v>
      </c>
      <c r="AA111" s="4">
        <v>4.25</v>
      </c>
      <c r="AB111" s="4">
        <f t="shared" si="28"/>
        <v>381</v>
      </c>
      <c r="AC111" s="4">
        <f t="shared" si="39"/>
        <v>396.24</v>
      </c>
      <c r="AD111" s="6">
        <f t="shared" si="40"/>
        <v>0.21259842519685046</v>
      </c>
      <c r="AE111" s="4">
        <f t="shared" si="41"/>
        <v>494</v>
      </c>
      <c r="AF111" s="7">
        <v>472</v>
      </c>
      <c r="AG111" s="6">
        <f t="shared" si="29"/>
        <v>0.33898305084745761</v>
      </c>
      <c r="AH111" s="4">
        <f t="shared" si="30"/>
        <v>160</v>
      </c>
      <c r="AI111" s="28"/>
      <c r="AJ111" s="6"/>
      <c r="AK111" s="6"/>
      <c r="AL111" s="6">
        <f t="shared" si="31"/>
        <v>1.04</v>
      </c>
      <c r="AM111" s="6">
        <f t="shared" si="32"/>
        <v>1.0172413793103448</v>
      </c>
      <c r="AN111" s="6">
        <f t="shared" si="33"/>
        <v>1.04</v>
      </c>
      <c r="AO111" s="4" t="str">
        <f t="shared" si="34"/>
        <v>-</v>
      </c>
      <c r="AP111" s="4" t="str">
        <f t="shared" si="35"/>
        <v>-</v>
      </c>
      <c r="AQ111" s="4" t="str">
        <f t="shared" si="36"/>
        <v>-</v>
      </c>
      <c r="AR111" s="4" t="s">
        <v>1284</v>
      </c>
      <c r="AS111" s="4" t="s">
        <v>1738</v>
      </c>
      <c r="AT111" s="4">
        <v>1</v>
      </c>
      <c r="AU111" s="4">
        <v>5</v>
      </c>
      <c r="AV111" s="4" t="s">
        <v>1739</v>
      </c>
      <c r="AW111" s="4">
        <v>1905</v>
      </c>
      <c r="AX111" s="4">
        <v>1905</v>
      </c>
      <c r="AY111" s="4">
        <v>1905</v>
      </c>
      <c r="AZ111" s="4">
        <f t="shared" si="37"/>
        <v>381</v>
      </c>
      <c r="BA111" s="19">
        <v>4</v>
      </c>
      <c r="BB111" s="19">
        <v>1</v>
      </c>
      <c r="BC111" s="16">
        <v>19</v>
      </c>
      <c r="BD111" t="s">
        <v>1280</v>
      </c>
      <c r="BE111" t="s">
        <v>1280</v>
      </c>
      <c r="BF111" t="s">
        <v>1280</v>
      </c>
      <c r="BG111" t="str">
        <f t="shared" si="42"/>
        <v>-</v>
      </c>
      <c r="BH111" t="s">
        <v>1280</v>
      </c>
      <c r="BI111" t="s">
        <v>1280</v>
      </c>
      <c r="BJ111" t="s">
        <v>1280</v>
      </c>
      <c r="BK111" t="str">
        <f t="shared" si="43"/>
        <v>-</v>
      </c>
      <c r="BL111" t="s">
        <v>1327</v>
      </c>
      <c r="BM111">
        <v>812</v>
      </c>
    </row>
    <row r="112" spans="1:65" x14ac:dyDescent="0.4">
      <c r="A112" s="3">
        <v>53</v>
      </c>
      <c r="B112" s="3">
        <v>53</v>
      </c>
      <c r="C112" s="4">
        <v>637327</v>
      </c>
      <c r="D112" s="4" t="str">
        <f t="shared" si="22"/>
        <v>637327</v>
      </c>
      <c r="E112" s="4">
        <v>637327</v>
      </c>
      <c r="F112" s="4" t="str">
        <f t="shared" si="38"/>
        <v>6373275</v>
      </c>
      <c r="G112" s="4" t="s">
        <v>688</v>
      </c>
      <c r="H112" s="5">
        <v>4974268661388</v>
      </c>
      <c r="I112" s="5">
        <v>5</v>
      </c>
      <c r="J112" s="5"/>
      <c r="K112" s="5">
        <v>1</v>
      </c>
      <c r="L112" s="5">
        <v>1</v>
      </c>
      <c r="M112" s="4">
        <v>500</v>
      </c>
      <c r="N112" s="4">
        <v>469</v>
      </c>
      <c r="O112" s="4">
        <v>300</v>
      </c>
      <c r="P112" s="6">
        <f t="shared" si="23"/>
        <v>0.36034115138592748</v>
      </c>
      <c r="Q112" s="4" t="s">
        <v>1280</v>
      </c>
      <c r="R112" s="4" t="s">
        <v>1280</v>
      </c>
      <c r="S112" s="4" t="s">
        <v>1280</v>
      </c>
      <c r="T112" s="4">
        <v>520</v>
      </c>
      <c r="U112" s="4">
        <f t="shared" si="24"/>
        <v>520</v>
      </c>
      <c r="V112" s="4">
        <v>312</v>
      </c>
      <c r="W112" s="4">
        <f t="shared" si="25"/>
        <v>312</v>
      </c>
      <c r="X112" s="4"/>
      <c r="Y112" s="21">
        <f t="shared" si="26"/>
        <v>488</v>
      </c>
      <c r="Z112" s="6">
        <f t="shared" si="27"/>
        <v>0.36065573770491799</v>
      </c>
      <c r="AA112" s="4">
        <v>9.25</v>
      </c>
      <c r="AB112" s="4">
        <f t="shared" si="28"/>
        <v>454.6</v>
      </c>
      <c r="AC112" s="4">
        <f t="shared" si="39"/>
        <v>472.78400000000005</v>
      </c>
      <c r="AD112" s="6">
        <f t="shared" si="40"/>
        <v>0.34007919049714042</v>
      </c>
      <c r="AE112" s="4">
        <f t="shared" si="41"/>
        <v>494</v>
      </c>
      <c r="AF112" s="7">
        <v>472</v>
      </c>
      <c r="AG112" s="6">
        <f t="shared" si="29"/>
        <v>0.33898305084745761</v>
      </c>
      <c r="AH112" s="4">
        <f t="shared" si="30"/>
        <v>160</v>
      </c>
      <c r="AI112" s="28"/>
      <c r="AJ112" s="6"/>
      <c r="AK112" s="6"/>
      <c r="AL112" s="6">
        <f t="shared" si="31"/>
        <v>1.04</v>
      </c>
      <c r="AM112" s="6">
        <f t="shared" si="32"/>
        <v>1.0063965884861408</v>
      </c>
      <c r="AN112" s="6">
        <f t="shared" si="33"/>
        <v>1.04</v>
      </c>
      <c r="AO112" s="4" t="str">
        <f t="shared" si="34"/>
        <v>-</v>
      </c>
      <c r="AP112" s="4" t="str">
        <f t="shared" si="35"/>
        <v>-</v>
      </c>
      <c r="AQ112" s="4" t="str">
        <f t="shared" si="36"/>
        <v>-</v>
      </c>
      <c r="AR112" s="4" t="s">
        <v>1284</v>
      </c>
      <c r="AS112" s="4" t="s">
        <v>1740</v>
      </c>
      <c r="AT112" s="4">
        <v>1</v>
      </c>
      <c r="AU112" s="4">
        <v>5</v>
      </c>
      <c r="AV112" s="4" t="s">
        <v>1741</v>
      </c>
      <c r="AW112" s="4">
        <v>2273</v>
      </c>
      <c r="AX112" s="4">
        <v>2273</v>
      </c>
      <c r="AY112" s="4">
        <v>2273</v>
      </c>
      <c r="AZ112" s="4">
        <f t="shared" si="37"/>
        <v>454.6</v>
      </c>
      <c r="BA112" s="19">
        <v>4</v>
      </c>
      <c r="BB112" s="19">
        <v>1</v>
      </c>
      <c r="BC112" s="16">
        <v>19</v>
      </c>
      <c r="BD112" t="s">
        <v>1280</v>
      </c>
      <c r="BE112" t="s">
        <v>1280</v>
      </c>
      <c r="BF112" t="s">
        <v>1280</v>
      </c>
      <c r="BG112" t="str">
        <f t="shared" si="42"/>
        <v>-</v>
      </c>
      <c r="BH112" t="s">
        <v>1280</v>
      </c>
      <c r="BI112">
        <v>683</v>
      </c>
      <c r="BJ112">
        <v>683</v>
      </c>
      <c r="BK112">
        <f t="shared" si="43"/>
        <v>710.32</v>
      </c>
      <c r="BL112" t="s">
        <v>1328</v>
      </c>
      <c r="BM112">
        <v>812</v>
      </c>
    </row>
    <row r="113" spans="1:65" x14ac:dyDescent="0.4">
      <c r="A113" s="3">
        <v>101</v>
      </c>
      <c r="B113" s="3">
        <v>101</v>
      </c>
      <c r="C113" s="4" t="s">
        <v>90</v>
      </c>
      <c r="D113" s="4" t="str">
        <f t="shared" si="22"/>
        <v>J0865T</v>
      </c>
      <c r="E113" s="4" t="s">
        <v>90</v>
      </c>
      <c r="F113" s="4" t="str">
        <f t="shared" si="38"/>
        <v>J0865T5</v>
      </c>
      <c r="G113" s="4" t="s">
        <v>736</v>
      </c>
      <c r="H113" s="5">
        <v>4974268665850</v>
      </c>
      <c r="I113" s="5">
        <v>5</v>
      </c>
      <c r="J113" s="5"/>
      <c r="K113" s="5">
        <v>1</v>
      </c>
      <c r="L113" s="5">
        <v>1</v>
      </c>
      <c r="M113" s="4">
        <v>480</v>
      </c>
      <c r="N113" s="4">
        <v>489</v>
      </c>
      <c r="O113" s="4">
        <v>288</v>
      </c>
      <c r="P113" s="6">
        <f t="shared" si="23"/>
        <v>0.41104294478527603</v>
      </c>
      <c r="Q113" s="4" t="s">
        <v>1280</v>
      </c>
      <c r="R113" s="4" t="s">
        <v>1280</v>
      </c>
      <c r="S113" s="4" t="s">
        <v>1280</v>
      </c>
      <c r="T113" s="4">
        <v>520</v>
      </c>
      <c r="U113" s="4">
        <f t="shared" si="24"/>
        <v>520</v>
      </c>
      <c r="V113" s="4">
        <v>312</v>
      </c>
      <c r="W113" s="4">
        <f t="shared" si="25"/>
        <v>312</v>
      </c>
      <c r="X113" s="4"/>
      <c r="Y113" s="21">
        <f t="shared" si="26"/>
        <v>530</v>
      </c>
      <c r="Z113" s="6">
        <f t="shared" si="27"/>
        <v>0.41132075471698115</v>
      </c>
      <c r="AA113" s="4">
        <v>0.25</v>
      </c>
      <c r="AB113" s="4">
        <f t="shared" si="28"/>
        <v>1037</v>
      </c>
      <c r="AC113" s="4">
        <f t="shared" si="39"/>
        <v>1123.4166666666665</v>
      </c>
      <c r="AD113" s="6">
        <f t="shared" si="40"/>
        <v>0.72227579556412724</v>
      </c>
      <c r="AE113" s="4">
        <f t="shared" si="41"/>
        <v>494</v>
      </c>
      <c r="AF113" s="7">
        <v>500</v>
      </c>
      <c r="AG113" s="6">
        <f t="shared" si="29"/>
        <v>0.376</v>
      </c>
      <c r="AH113" s="4">
        <f t="shared" si="30"/>
        <v>188</v>
      </c>
      <c r="AI113" s="28"/>
      <c r="AJ113" s="6"/>
      <c r="AK113" s="6"/>
      <c r="AL113" s="6">
        <f t="shared" si="31"/>
        <v>1.0833333333333333</v>
      </c>
      <c r="AM113" s="6">
        <f t="shared" si="32"/>
        <v>1.0224948875255624</v>
      </c>
      <c r="AN113" s="6">
        <f t="shared" si="33"/>
        <v>1.0833333333333333</v>
      </c>
      <c r="AO113" s="4" t="str">
        <f t="shared" si="34"/>
        <v>-</v>
      </c>
      <c r="AP113" s="4" t="str">
        <f t="shared" si="35"/>
        <v>-</v>
      </c>
      <c r="AQ113" s="4" t="str">
        <f t="shared" si="36"/>
        <v>-</v>
      </c>
      <c r="AR113" s="4">
        <v>0</v>
      </c>
      <c r="AS113" s="4" t="s">
        <v>1785</v>
      </c>
      <c r="AT113" s="4"/>
      <c r="AU113" s="4"/>
      <c r="AV113" s="4" t="s">
        <v>1786</v>
      </c>
      <c r="AW113" s="4">
        <v>1037</v>
      </c>
      <c r="AX113" s="4">
        <v>1037</v>
      </c>
      <c r="AY113" s="4">
        <v>1037</v>
      </c>
      <c r="AZ113" s="4">
        <f t="shared" si="37"/>
        <v>1037</v>
      </c>
      <c r="BA113" s="19">
        <v>4</v>
      </c>
      <c r="BB113" s="19">
        <v>8</v>
      </c>
      <c r="BC113" s="16">
        <v>19</v>
      </c>
      <c r="BD113" t="s">
        <v>1280</v>
      </c>
      <c r="BE113" t="s">
        <v>1280</v>
      </c>
      <c r="BF113" t="s">
        <v>1280</v>
      </c>
      <c r="BG113" t="str">
        <f t="shared" si="42"/>
        <v>-</v>
      </c>
      <c r="BH113" t="s">
        <v>1280</v>
      </c>
      <c r="BI113" t="s">
        <v>1280</v>
      </c>
      <c r="BJ113" t="s">
        <v>1280</v>
      </c>
      <c r="BK113" t="str">
        <f t="shared" si="43"/>
        <v>-</v>
      </c>
      <c r="BL113" t="s">
        <v>1359</v>
      </c>
      <c r="BM113">
        <v>812</v>
      </c>
    </row>
    <row r="114" spans="1:65" x14ac:dyDescent="0.4">
      <c r="A114" s="3">
        <v>477</v>
      </c>
      <c r="B114" s="3">
        <v>477</v>
      </c>
      <c r="C114" s="4" t="s">
        <v>466</v>
      </c>
      <c r="D114" s="4" t="str">
        <f t="shared" si="22"/>
        <v>J54569</v>
      </c>
      <c r="E114" s="4" t="s">
        <v>466</v>
      </c>
      <c r="F114" s="4" t="str">
        <f t="shared" si="38"/>
        <v>J545695</v>
      </c>
      <c r="G114" s="4" t="s">
        <v>1110</v>
      </c>
      <c r="H114" s="5">
        <v>4974268563729</v>
      </c>
      <c r="I114" s="5">
        <v>5</v>
      </c>
      <c r="J114" s="5"/>
      <c r="K114" s="5">
        <v>1</v>
      </c>
      <c r="L114" s="5">
        <v>1</v>
      </c>
      <c r="M114" s="4">
        <v>4400</v>
      </c>
      <c r="N114" s="4">
        <v>4250</v>
      </c>
      <c r="O114" s="4">
        <v>2640</v>
      </c>
      <c r="P114" s="6">
        <f t="shared" si="23"/>
        <v>0.37882352941176467</v>
      </c>
      <c r="Q114" s="4" t="s">
        <v>1280</v>
      </c>
      <c r="R114" s="4" t="s">
        <v>1280</v>
      </c>
      <c r="S114" s="4" t="s">
        <v>1280</v>
      </c>
      <c r="T114" s="4">
        <v>530</v>
      </c>
      <c r="U114" s="4">
        <f t="shared" si="24"/>
        <v>5300</v>
      </c>
      <c r="V114" s="4">
        <v>318</v>
      </c>
      <c r="W114" s="4">
        <f t="shared" si="25"/>
        <v>3180</v>
      </c>
      <c r="X114" s="4">
        <v>10</v>
      </c>
      <c r="Y114" s="21">
        <f t="shared" si="26"/>
        <v>5119</v>
      </c>
      <c r="Z114" s="6">
        <f t="shared" si="27"/>
        <v>0.37878491892947841</v>
      </c>
      <c r="AA114" s="4">
        <v>2.5</v>
      </c>
      <c r="AB114" s="4">
        <f t="shared" si="28"/>
        <v>3900</v>
      </c>
      <c r="AC114" s="4">
        <f t="shared" si="39"/>
        <v>4697.727272727273</v>
      </c>
      <c r="AD114" s="6">
        <f t="shared" si="40"/>
        <v>0.32307692307692315</v>
      </c>
      <c r="AE114" s="4">
        <f t="shared" si="41"/>
        <v>5035</v>
      </c>
      <c r="AF114" s="7">
        <v>4697</v>
      </c>
      <c r="AG114" s="6">
        <f t="shared" si="29"/>
        <v>0.3229721098573558</v>
      </c>
      <c r="AH114" s="4">
        <f t="shared" si="30"/>
        <v>1517</v>
      </c>
      <c r="AI114" s="28"/>
      <c r="AJ114" s="6"/>
      <c r="AK114" s="6"/>
      <c r="AL114" s="6">
        <f t="shared" si="31"/>
        <v>1.2045454545454546</v>
      </c>
      <c r="AM114" s="6">
        <f t="shared" si="32"/>
        <v>1.1051764705882352</v>
      </c>
      <c r="AN114" s="6">
        <f t="shared" si="33"/>
        <v>1.2045454545454546</v>
      </c>
      <c r="AO114" s="4" t="str">
        <f t="shared" si="34"/>
        <v>-</v>
      </c>
      <c r="AP114" s="4" t="str">
        <f t="shared" si="35"/>
        <v>-</v>
      </c>
      <c r="AQ114" s="4" t="str">
        <f t="shared" si="36"/>
        <v>-</v>
      </c>
      <c r="AR114" s="4">
        <v>0</v>
      </c>
      <c r="AS114" s="4" t="s">
        <v>2034</v>
      </c>
      <c r="AT114" s="4"/>
      <c r="AU114" s="4"/>
      <c r="AV114" s="4" t="s">
        <v>2035</v>
      </c>
      <c r="AW114" s="4">
        <v>3900</v>
      </c>
      <c r="AX114" s="4">
        <v>3900</v>
      </c>
      <c r="AY114" s="4">
        <v>3900</v>
      </c>
      <c r="AZ114" s="4">
        <f t="shared" si="37"/>
        <v>3900</v>
      </c>
      <c r="BA114" s="19">
        <v>4</v>
      </c>
      <c r="BB114" s="19">
        <v>8</v>
      </c>
      <c r="BC114" s="16">
        <v>18</v>
      </c>
      <c r="BD114" t="s">
        <v>1280</v>
      </c>
      <c r="BE114" t="s">
        <v>1280</v>
      </c>
      <c r="BF114" t="s">
        <v>1280</v>
      </c>
      <c r="BG114" t="str">
        <f t="shared" si="42"/>
        <v>-</v>
      </c>
      <c r="BH114" t="s">
        <v>1280</v>
      </c>
      <c r="BI114" t="s">
        <v>1280</v>
      </c>
      <c r="BJ114" t="s">
        <v>1280</v>
      </c>
      <c r="BK114" t="str">
        <f t="shared" si="43"/>
        <v>-</v>
      </c>
      <c r="BL114" t="s">
        <v>1547</v>
      </c>
      <c r="BM114">
        <v>812</v>
      </c>
    </row>
    <row r="115" spans="1:65" x14ac:dyDescent="0.4">
      <c r="A115" s="3">
        <v>497</v>
      </c>
      <c r="B115" s="3">
        <v>497</v>
      </c>
      <c r="C115" s="4" t="s">
        <v>486</v>
      </c>
      <c r="D115" s="4" t="str">
        <f t="shared" si="22"/>
        <v>J750RZ</v>
      </c>
      <c r="E115" s="4" t="s">
        <v>486</v>
      </c>
      <c r="F115" s="4" t="str">
        <f t="shared" si="38"/>
        <v>J750RZ5</v>
      </c>
      <c r="G115" s="4" t="s">
        <v>1130</v>
      </c>
      <c r="H115" s="5">
        <v>4974268152794</v>
      </c>
      <c r="I115" s="5">
        <v>5</v>
      </c>
      <c r="J115" s="5"/>
      <c r="K115" s="5">
        <v>1</v>
      </c>
      <c r="L115" s="5">
        <v>1</v>
      </c>
      <c r="M115" s="4">
        <v>430</v>
      </c>
      <c r="N115" s="4">
        <v>409</v>
      </c>
      <c r="O115" s="4">
        <v>301</v>
      </c>
      <c r="P115" s="6">
        <f t="shared" si="23"/>
        <v>0.26405867970660146</v>
      </c>
      <c r="Q115" s="4" t="s">
        <v>1280</v>
      </c>
      <c r="R115" s="4" t="s">
        <v>1280</v>
      </c>
      <c r="S115" s="4" t="s">
        <v>1280</v>
      </c>
      <c r="T115" s="4">
        <v>460</v>
      </c>
      <c r="U115" s="4">
        <f t="shared" si="24"/>
        <v>460</v>
      </c>
      <c r="V115" s="4">
        <v>322</v>
      </c>
      <c r="W115" s="4">
        <f t="shared" si="25"/>
        <v>322</v>
      </c>
      <c r="X115" s="4"/>
      <c r="Y115" s="21">
        <f t="shared" si="26"/>
        <v>438</v>
      </c>
      <c r="Z115" s="6">
        <f t="shared" si="27"/>
        <v>0.26484018264840181</v>
      </c>
      <c r="AA115" s="4">
        <v>3.5000000000000004</v>
      </c>
      <c r="AB115" s="4">
        <f t="shared" si="28"/>
        <v>373</v>
      </c>
      <c r="AC115" s="4">
        <f t="shared" si="39"/>
        <v>399.02325581395343</v>
      </c>
      <c r="AD115" s="6">
        <f t="shared" si="40"/>
        <v>0.19302949061662189</v>
      </c>
      <c r="AE115" s="4">
        <f t="shared" si="41"/>
        <v>437</v>
      </c>
      <c r="AF115" s="7">
        <v>460</v>
      </c>
      <c r="AG115" s="6">
        <f t="shared" si="29"/>
        <v>0.30000000000000004</v>
      </c>
      <c r="AH115" s="4">
        <f t="shared" si="30"/>
        <v>138</v>
      </c>
      <c r="AI115" s="28"/>
      <c r="AJ115" s="6"/>
      <c r="AK115" s="6"/>
      <c r="AL115" s="6">
        <f t="shared" si="31"/>
        <v>1.069767441860465</v>
      </c>
      <c r="AM115" s="6">
        <f t="shared" si="32"/>
        <v>1.1246943765281174</v>
      </c>
      <c r="AN115" s="6">
        <f t="shared" si="33"/>
        <v>1.069767441860465</v>
      </c>
      <c r="AO115" s="4" t="str">
        <f t="shared" si="34"/>
        <v>-</v>
      </c>
      <c r="AP115" s="4" t="str">
        <f t="shared" si="35"/>
        <v>-</v>
      </c>
      <c r="AQ115" s="4" t="str">
        <f t="shared" si="36"/>
        <v>-</v>
      </c>
      <c r="AR115" s="4">
        <v>0</v>
      </c>
      <c r="AS115" s="4" t="s">
        <v>2057</v>
      </c>
      <c r="AT115" s="4"/>
      <c r="AU115" s="4"/>
      <c r="AV115" s="4" t="s">
        <v>2058</v>
      </c>
      <c r="AW115" s="4">
        <v>373</v>
      </c>
      <c r="AX115" s="4">
        <v>373</v>
      </c>
      <c r="AY115" s="4">
        <v>373</v>
      </c>
      <c r="AZ115" s="4">
        <f t="shared" si="37"/>
        <v>373</v>
      </c>
      <c r="BA115" s="19">
        <v>4</v>
      </c>
      <c r="BB115" s="19">
        <v>1</v>
      </c>
      <c r="BC115" s="16">
        <v>19</v>
      </c>
      <c r="BD115" t="s">
        <v>1280</v>
      </c>
      <c r="BE115" t="s">
        <v>1280</v>
      </c>
      <c r="BF115" t="s">
        <v>1280</v>
      </c>
      <c r="BG115" t="str">
        <f t="shared" si="42"/>
        <v>-</v>
      </c>
      <c r="BH115" t="s">
        <v>1280</v>
      </c>
      <c r="BI115" t="s">
        <v>1280</v>
      </c>
      <c r="BJ115" t="s">
        <v>1280</v>
      </c>
      <c r="BK115" t="str">
        <f t="shared" si="43"/>
        <v>-</v>
      </c>
      <c r="BL115" t="s">
        <v>1564</v>
      </c>
      <c r="BM115">
        <v>812</v>
      </c>
    </row>
    <row r="116" spans="1:65" x14ac:dyDescent="0.4">
      <c r="A116" s="3">
        <v>498</v>
      </c>
      <c r="B116" s="3">
        <v>498</v>
      </c>
      <c r="C116" s="4" t="s">
        <v>487</v>
      </c>
      <c r="D116" s="4" t="str">
        <f t="shared" si="22"/>
        <v>J752RZ</v>
      </c>
      <c r="E116" s="4" t="s">
        <v>487</v>
      </c>
      <c r="F116" s="4" t="str">
        <f t="shared" si="38"/>
        <v>J752RZ5</v>
      </c>
      <c r="G116" s="4" t="s">
        <v>1131</v>
      </c>
      <c r="H116" s="5">
        <v>4974268152800</v>
      </c>
      <c r="I116" s="5">
        <v>5</v>
      </c>
      <c r="J116" s="5"/>
      <c r="K116" s="5">
        <v>1</v>
      </c>
      <c r="L116" s="5">
        <v>1</v>
      </c>
      <c r="M116" s="4">
        <v>430</v>
      </c>
      <c r="N116" s="4">
        <v>353</v>
      </c>
      <c r="O116" s="4">
        <v>301</v>
      </c>
      <c r="P116" s="6">
        <f t="shared" si="23"/>
        <v>0.14730878186968843</v>
      </c>
      <c r="Q116" s="4" t="s">
        <v>1280</v>
      </c>
      <c r="R116" s="4" t="s">
        <v>1280</v>
      </c>
      <c r="S116" s="4" t="s">
        <v>1280</v>
      </c>
      <c r="T116" s="4">
        <v>460</v>
      </c>
      <c r="U116" s="4">
        <f t="shared" si="24"/>
        <v>460</v>
      </c>
      <c r="V116" s="4">
        <v>322</v>
      </c>
      <c r="W116" s="4">
        <f t="shared" si="25"/>
        <v>322</v>
      </c>
      <c r="X116" s="4"/>
      <c r="Y116" s="21">
        <f t="shared" si="26"/>
        <v>378</v>
      </c>
      <c r="Z116" s="6">
        <f t="shared" si="27"/>
        <v>0.14814814814814814</v>
      </c>
      <c r="AA116" s="4">
        <v>0.5</v>
      </c>
      <c r="AB116" s="4" t="str">
        <f t="shared" si="28"/>
        <v>-</v>
      </c>
      <c r="AC116" s="4" t="str">
        <f t="shared" si="39"/>
        <v>-</v>
      </c>
      <c r="AD116" s="6" t="str">
        <f t="shared" si="40"/>
        <v>-</v>
      </c>
      <c r="AE116" s="4">
        <f t="shared" si="41"/>
        <v>437</v>
      </c>
      <c r="AF116" s="7">
        <v>460</v>
      </c>
      <c r="AG116" s="6">
        <f t="shared" si="29"/>
        <v>0.30000000000000004</v>
      </c>
      <c r="AH116" s="4">
        <f t="shared" si="30"/>
        <v>138</v>
      </c>
      <c r="AI116" s="28"/>
      <c r="AJ116" s="6"/>
      <c r="AK116" s="6"/>
      <c r="AL116" s="6">
        <f t="shared" si="31"/>
        <v>1.069767441860465</v>
      </c>
      <c r="AM116" s="6">
        <f t="shared" si="32"/>
        <v>1.3031161473087818</v>
      </c>
      <c r="AN116" s="6">
        <f t="shared" si="33"/>
        <v>1.069767441860465</v>
      </c>
      <c r="AO116" s="4" t="str">
        <f t="shared" si="34"/>
        <v>-</v>
      </c>
      <c r="AP116" s="4" t="str">
        <f t="shared" si="35"/>
        <v>-</v>
      </c>
      <c r="AQ116" s="4" t="str">
        <f t="shared" si="36"/>
        <v>-</v>
      </c>
      <c r="AR116" s="4">
        <v>0</v>
      </c>
      <c r="AS116" s="4" t="s">
        <v>1280</v>
      </c>
      <c r="AT116" s="4"/>
      <c r="AU116" s="4"/>
      <c r="AV116" s="4" t="s">
        <v>1280</v>
      </c>
      <c r="AW116" s="4" t="s">
        <v>1280</v>
      </c>
      <c r="AX116" s="4" t="s">
        <v>1280</v>
      </c>
      <c r="AY116" s="4" t="s">
        <v>1280</v>
      </c>
      <c r="AZ116" s="4" t="str">
        <f t="shared" si="37"/>
        <v>-</v>
      </c>
      <c r="BA116" s="19">
        <v>4</v>
      </c>
      <c r="BB116" s="19">
        <v>1</v>
      </c>
      <c r="BC116" s="16">
        <v>19</v>
      </c>
      <c r="BD116" t="s">
        <v>1280</v>
      </c>
      <c r="BE116" t="s">
        <v>1280</v>
      </c>
      <c r="BF116" t="s">
        <v>1280</v>
      </c>
      <c r="BG116" t="str">
        <f t="shared" si="42"/>
        <v>-</v>
      </c>
      <c r="BH116" t="s">
        <v>1280</v>
      </c>
      <c r="BI116" t="s">
        <v>1280</v>
      </c>
      <c r="BJ116" t="s">
        <v>1280</v>
      </c>
      <c r="BK116" t="str">
        <f t="shared" si="43"/>
        <v>-</v>
      </c>
      <c r="BL116" t="s">
        <v>1280</v>
      </c>
      <c r="BM116">
        <v>812</v>
      </c>
    </row>
    <row r="117" spans="1:65" x14ac:dyDescent="0.4">
      <c r="A117" s="3">
        <v>479</v>
      </c>
      <c r="B117" s="3">
        <v>479</v>
      </c>
      <c r="C117" s="4" t="s">
        <v>468</v>
      </c>
      <c r="D117" s="4" t="str">
        <f t="shared" si="22"/>
        <v>J54572</v>
      </c>
      <c r="E117" s="4" t="s">
        <v>468</v>
      </c>
      <c r="F117" s="4" t="str">
        <f t="shared" si="38"/>
        <v>J545725</v>
      </c>
      <c r="G117" s="4" t="s">
        <v>1112</v>
      </c>
      <c r="H117" s="5">
        <v>4974268563880</v>
      </c>
      <c r="I117" s="5">
        <v>5</v>
      </c>
      <c r="J117" s="5"/>
      <c r="K117" s="5">
        <v>1</v>
      </c>
      <c r="L117" s="5">
        <v>1</v>
      </c>
      <c r="M117" s="4">
        <v>4500</v>
      </c>
      <c r="N117" s="4">
        <v>4011</v>
      </c>
      <c r="O117" s="4">
        <v>2700</v>
      </c>
      <c r="P117" s="6">
        <f t="shared" si="23"/>
        <v>0.32685115931189235</v>
      </c>
      <c r="Q117" s="4" t="s">
        <v>1280</v>
      </c>
      <c r="R117" s="4" t="s">
        <v>1280</v>
      </c>
      <c r="S117" s="4" t="s">
        <v>1280</v>
      </c>
      <c r="T117" s="4">
        <v>540</v>
      </c>
      <c r="U117" s="4">
        <f t="shared" si="24"/>
        <v>5400</v>
      </c>
      <c r="V117" s="4">
        <v>324</v>
      </c>
      <c r="W117" s="4">
        <f t="shared" si="25"/>
        <v>3240</v>
      </c>
      <c r="X117" s="4">
        <v>10</v>
      </c>
      <c r="Y117" s="21">
        <f t="shared" si="26"/>
        <v>4813</v>
      </c>
      <c r="Z117" s="6">
        <f t="shared" si="27"/>
        <v>0.32682318720132975</v>
      </c>
      <c r="AA117" s="4">
        <v>2.75</v>
      </c>
      <c r="AB117" s="4" t="str">
        <f t="shared" si="28"/>
        <v>-</v>
      </c>
      <c r="AC117" s="4" t="str">
        <f t="shared" si="39"/>
        <v>-</v>
      </c>
      <c r="AD117" s="6" t="str">
        <f t="shared" si="40"/>
        <v>-</v>
      </c>
      <c r="AE117" s="4">
        <f t="shared" si="41"/>
        <v>5130</v>
      </c>
      <c r="AF117" s="7">
        <v>5000</v>
      </c>
      <c r="AG117" s="6">
        <f t="shared" si="29"/>
        <v>0.35199999999999998</v>
      </c>
      <c r="AH117" s="4">
        <f t="shared" si="30"/>
        <v>1760</v>
      </c>
      <c r="AI117" s="28"/>
      <c r="AJ117" s="6"/>
      <c r="AK117" s="6"/>
      <c r="AL117" s="6">
        <f t="shared" si="31"/>
        <v>1.2</v>
      </c>
      <c r="AM117" s="6">
        <f t="shared" si="32"/>
        <v>1.2465719272001994</v>
      </c>
      <c r="AN117" s="6">
        <f t="shared" si="33"/>
        <v>1.2</v>
      </c>
      <c r="AO117" s="4" t="str">
        <f t="shared" si="34"/>
        <v>-</v>
      </c>
      <c r="AP117" s="4" t="str">
        <f t="shared" si="35"/>
        <v>-</v>
      </c>
      <c r="AQ117" s="4" t="str">
        <f t="shared" si="36"/>
        <v>-</v>
      </c>
      <c r="AR117" s="4">
        <v>0</v>
      </c>
      <c r="AS117" s="4" t="s">
        <v>1280</v>
      </c>
      <c r="AT117" s="4"/>
      <c r="AU117" s="4"/>
      <c r="AV117" s="4" t="s">
        <v>1280</v>
      </c>
      <c r="AW117" s="4" t="s">
        <v>1280</v>
      </c>
      <c r="AX117" s="4" t="s">
        <v>1280</v>
      </c>
      <c r="AY117" s="4" t="s">
        <v>1280</v>
      </c>
      <c r="AZ117" s="4" t="str">
        <f t="shared" si="37"/>
        <v>-</v>
      </c>
      <c r="BA117" s="19">
        <v>4</v>
      </c>
      <c r="BB117" s="19">
        <v>8</v>
      </c>
      <c r="BC117" s="16">
        <v>18</v>
      </c>
      <c r="BD117" t="s">
        <v>1280</v>
      </c>
      <c r="BE117" t="s">
        <v>1280</v>
      </c>
      <c r="BF117" t="s">
        <v>1280</v>
      </c>
      <c r="BG117" t="str">
        <f t="shared" si="42"/>
        <v>-</v>
      </c>
      <c r="BH117" t="s">
        <v>1280</v>
      </c>
      <c r="BI117" t="s">
        <v>1280</v>
      </c>
      <c r="BJ117" t="s">
        <v>1280</v>
      </c>
      <c r="BK117" t="str">
        <f t="shared" si="43"/>
        <v>-</v>
      </c>
      <c r="BL117" t="s">
        <v>1280</v>
      </c>
      <c r="BM117">
        <v>812</v>
      </c>
    </row>
    <row r="118" spans="1:65" x14ac:dyDescent="0.4">
      <c r="A118" s="3">
        <v>577</v>
      </c>
      <c r="B118" s="3">
        <v>577</v>
      </c>
      <c r="C118" s="4" t="s">
        <v>566</v>
      </c>
      <c r="D118" s="4" t="str">
        <f t="shared" si="22"/>
        <v>J942WN</v>
      </c>
      <c r="E118" s="4" t="s">
        <v>566</v>
      </c>
      <c r="F118" s="4" t="str">
        <f t="shared" si="38"/>
        <v>J942WN5</v>
      </c>
      <c r="G118" s="4" t="s">
        <v>1210</v>
      </c>
      <c r="H118" s="5">
        <v>4974268667496</v>
      </c>
      <c r="I118" s="5">
        <v>5</v>
      </c>
      <c r="J118" s="5"/>
      <c r="K118" s="5">
        <v>1</v>
      </c>
      <c r="L118" s="5">
        <v>1</v>
      </c>
      <c r="M118" s="4">
        <v>490</v>
      </c>
      <c r="N118" s="4">
        <v>420</v>
      </c>
      <c r="O118" s="4">
        <v>294</v>
      </c>
      <c r="P118" s="6">
        <f t="shared" si="23"/>
        <v>0.30000000000000004</v>
      </c>
      <c r="Q118" s="4" t="s">
        <v>1280</v>
      </c>
      <c r="R118" s="4" t="s">
        <v>1280</v>
      </c>
      <c r="S118" s="4" t="s">
        <v>1280</v>
      </c>
      <c r="T118" s="4">
        <v>540</v>
      </c>
      <c r="U118" s="4">
        <f t="shared" si="24"/>
        <v>540</v>
      </c>
      <c r="V118" s="4">
        <v>324</v>
      </c>
      <c r="W118" s="4">
        <f t="shared" si="25"/>
        <v>324</v>
      </c>
      <c r="X118" s="4"/>
      <c r="Y118" s="21">
        <f t="shared" si="26"/>
        <v>463</v>
      </c>
      <c r="Z118" s="6">
        <f t="shared" si="27"/>
        <v>0.30021598272138228</v>
      </c>
      <c r="AA118" s="4">
        <v>2.5</v>
      </c>
      <c r="AB118" s="4">
        <f t="shared" si="28"/>
        <v>473</v>
      </c>
      <c r="AC118" s="4">
        <f t="shared" si="39"/>
        <v>521.26530612244892</v>
      </c>
      <c r="AD118" s="6">
        <f t="shared" si="40"/>
        <v>0.37843551797040165</v>
      </c>
      <c r="AE118" s="4">
        <f t="shared" si="41"/>
        <v>513</v>
      </c>
      <c r="AF118" s="7">
        <v>500</v>
      </c>
      <c r="AG118" s="6">
        <f t="shared" si="29"/>
        <v>0.35199999999999998</v>
      </c>
      <c r="AH118" s="4">
        <f t="shared" si="30"/>
        <v>176</v>
      </c>
      <c r="AI118" s="28"/>
      <c r="AJ118" s="6"/>
      <c r="AK118" s="6"/>
      <c r="AL118" s="6">
        <f t="shared" si="31"/>
        <v>1.1020408163265305</v>
      </c>
      <c r="AM118" s="6">
        <f t="shared" si="32"/>
        <v>1.1904761904761905</v>
      </c>
      <c r="AN118" s="6">
        <f t="shared" si="33"/>
        <v>1.1020408163265305</v>
      </c>
      <c r="AO118" s="4" t="str">
        <f t="shared" si="34"/>
        <v>-</v>
      </c>
      <c r="AP118" s="4" t="str">
        <f t="shared" si="35"/>
        <v>-</v>
      </c>
      <c r="AQ118" s="4" t="str">
        <f t="shared" si="36"/>
        <v>-</v>
      </c>
      <c r="AR118" s="4">
        <v>0</v>
      </c>
      <c r="AS118" s="4" t="s">
        <v>2136</v>
      </c>
      <c r="AT118" s="4"/>
      <c r="AU118" s="4"/>
      <c r="AV118" s="4" t="s">
        <v>1713</v>
      </c>
      <c r="AW118" s="4">
        <v>473</v>
      </c>
      <c r="AX118" s="4">
        <v>473</v>
      </c>
      <c r="AY118" s="4">
        <v>473</v>
      </c>
      <c r="AZ118" s="4">
        <f t="shared" si="37"/>
        <v>473</v>
      </c>
      <c r="BA118" s="19">
        <v>4</v>
      </c>
      <c r="BB118" s="19">
        <v>8</v>
      </c>
      <c r="BC118" s="16">
        <v>19</v>
      </c>
      <c r="BD118" t="s">
        <v>1280</v>
      </c>
      <c r="BE118" t="s">
        <v>1280</v>
      </c>
      <c r="BF118" t="s">
        <v>1280</v>
      </c>
      <c r="BG118" t="str">
        <f t="shared" si="42"/>
        <v>-</v>
      </c>
      <c r="BH118" t="s">
        <v>1280</v>
      </c>
      <c r="BI118">
        <v>477</v>
      </c>
      <c r="BJ118">
        <v>477</v>
      </c>
      <c r="BK118">
        <f t="shared" si="43"/>
        <v>525.67346938775506</v>
      </c>
      <c r="BL118" t="s">
        <v>1625</v>
      </c>
      <c r="BM118">
        <v>812</v>
      </c>
    </row>
    <row r="119" spans="1:65" x14ac:dyDescent="0.4">
      <c r="A119" s="3">
        <v>61</v>
      </c>
      <c r="B119" s="3">
        <v>61</v>
      </c>
      <c r="C119" s="4" t="s">
        <v>57</v>
      </c>
      <c r="D119" s="4" t="str">
        <f t="shared" si="22"/>
        <v>7901AM</v>
      </c>
      <c r="E119" s="4" t="s">
        <v>57</v>
      </c>
      <c r="F119" s="4" t="str">
        <f t="shared" si="38"/>
        <v>7901AM5</v>
      </c>
      <c r="G119" s="4" t="s">
        <v>696</v>
      </c>
      <c r="H119" s="5">
        <v>4974268551306</v>
      </c>
      <c r="I119" s="5">
        <v>5</v>
      </c>
      <c r="J119" s="5"/>
      <c r="K119" s="5">
        <v>1</v>
      </c>
      <c r="L119" s="5">
        <v>1</v>
      </c>
      <c r="M119" s="4">
        <v>510</v>
      </c>
      <c r="N119" s="4">
        <v>392</v>
      </c>
      <c r="O119" s="4">
        <v>306</v>
      </c>
      <c r="P119" s="6">
        <f t="shared" si="23"/>
        <v>0.21938775510204078</v>
      </c>
      <c r="Q119" s="4" t="s">
        <v>1280</v>
      </c>
      <c r="R119" s="4" t="s">
        <v>1280</v>
      </c>
      <c r="S119" s="4" t="s">
        <v>1280</v>
      </c>
      <c r="T119" s="4">
        <v>550</v>
      </c>
      <c r="U119" s="4">
        <f t="shared" si="24"/>
        <v>550</v>
      </c>
      <c r="V119" s="4">
        <v>330</v>
      </c>
      <c r="W119" s="4">
        <f t="shared" si="25"/>
        <v>330</v>
      </c>
      <c r="X119" s="4"/>
      <c r="Y119" s="21">
        <f t="shared" si="26"/>
        <v>423</v>
      </c>
      <c r="Z119" s="6">
        <f t="shared" si="27"/>
        <v>0.21985815602836878</v>
      </c>
      <c r="AA119" s="4">
        <v>0.25</v>
      </c>
      <c r="AB119" s="4">
        <f t="shared" si="28"/>
        <v>475</v>
      </c>
      <c r="AC119" s="4">
        <f t="shared" si="39"/>
        <v>512.25490196078431</v>
      </c>
      <c r="AD119" s="6">
        <f t="shared" si="40"/>
        <v>0.35578947368421054</v>
      </c>
      <c r="AE119" s="4">
        <f t="shared" si="41"/>
        <v>522.5</v>
      </c>
      <c r="AF119" s="7">
        <v>458</v>
      </c>
      <c r="AG119" s="6">
        <f t="shared" si="29"/>
        <v>0.27947598253275108</v>
      </c>
      <c r="AH119" s="4">
        <f t="shared" si="30"/>
        <v>128</v>
      </c>
      <c r="AI119" s="28"/>
      <c r="AJ119" s="6"/>
      <c r="AK119" s="6"/>
      <c r="AL119" s="6">
        <f t="shared" si="31"/>
        <v>1.0784313725490196</v>
      </c>
      <c r="AM119" s="6">
        <f t="shared" si="32"/>
        <v>1.1683673469387754</v>
      </c>
      <c r="AN119" s="6">
        <f t="shared" si="33"/>
        <v>1.0784313725490196</v>
      </c>
      <c r="AO119" s="4" t="str">
        <f t="shared" si="34"/>
        <v>-</v>
      </c>
      <c r="AP119" s="4" t="str">
        <f t="shared" si="35"/>
        <v>-</v>
      </c>
      <c r="AQ119" s="4" t="str">
        <f t="shared" si="36"/>
        <v>-</v>
      </c>
      <c r="AR119" s="4">
        <v>0</v>
      </c>
      <c r="AS119" s="4" t="s">
        <v>1749</v>
      </c>
      <c r="AT119" s="4"/>
      <c r="AU119" s="4"/>
      <c r="AV119" s="4" t="s">
        <v>1750</v>
      </c>
      <c r="AW119" s="4">
        <v>475</v>
      </c>
      <c r="AX119" s="4">
        <v>475</v>
      </c>
      <c r="AY119" s="4">
        <v>475</v>
      </c>
      <c r="AZ119" s="4">
        <f t="shared" si="37"/>
        <v>475</v>
      </c>
      <c r="BA119" s="19">
        <v>4</v>
      </c>
      <c r="BB119" s="19">
        <v>1</v>
      </c>
      <c r="BC119" s="16">
        <v>19</v>
      </c>
      <c r="BD119" t="s">
        <v>1280</v>
      </c>
      <c r="BE119" t="s">
        <v>1280</v>
      </c>
      <c r="BF119" t="s">
        <v>1280</v>
      </c>
      <c r="BG119" t="str">
        <f t="shared" si="42"/>
        <v>-</v>
      </c>
      <c r="BH119">
        <v>425</v>
      </c>
      <c r="BI119">
        <v>425</v>
      </c>
      <c r="BJ119">
        <v>425</v>
      </c>
      <c r="BK119">
        <f t="shared" si="43"/>
        <v>458.33333333333331</v>
      </c>
      <c r="BL119" t="s">
        <v>1334</v>
      </c>
      <c r="BM119">
        <v>812</v>
      </c>
    </row>
    <row r="120" spans="1:65" x14ac:dyDescent="0.4">
      <c r="A120" s="3">
        <v>65</v>
      </c>
      <c r="B120" s="3">
        <v>65</v>
      </c>
      <c r="C120" s="4">
        <v>921521</v>
      </c>
      <c r="D120" s="4" t="str">
        <f t="shared" si="22"/>
        <v>921521</v>
      </c>
      <c r="E120" s="4">
        <v>921521</v>
      </c>
      <c r="F120" s="4" t="str">
        <f t="shared" si="38"/>
        <v>9215215</v>
      </c>
      <c r="G120" s="4" t="s">
        <v>700</v>
      </c>
      <c r="H120" s="5">
        <v>4974268551610</v>
      </c>
      <c r="I120" s="5">
        <v>5</v>
      </c>
      <c r="J120" s="5"/>
      <c r="K120" s="5">
        <v>1</v>
      </c>
      <c r="L120" s="5">
        <v>1</v>
      </c>
      <c r="M120" s="4">
        <v>510</v>
      </c>
      <c r="N120" s="4">
        <v>489</v>
      </c>
      <c r="O120" s="4">
        <v>306</v>
      </c>
      <c r="P120" s="6">
        <f t="shared" si="23"/>
        <v>0.37423312883435578</v>
      </c>
      <c r="Q120" s="4" t="s">
        <v>1280</v>
      </c>
      <c r="R120" s="4" t="s">
        <v>1280</v>
      </c>
      <c r="S120" s="4" t="s">
        <v>1280</v>
      </c>
      <c r="T120" s="4">
        <v>550</v>
      </c>
      <c r="U120" s="4">
        <f t="shared" si="24"/>
        <v>550</v>
      </c>
      <c r="V120" s="4">
        <v>330</v>
      </c>
      <c r="W120" s="4">
        <f t="shared" si="25"/>
        <v>330</v>
      </c>
      <c r="X120" s="4"/>
      <c r="Y120" s="21">
        <f t="shared" si="26"/>
        <v>527</v>
      </c>
      <c r="Z120" s="6">
        <f t="shared" si="27"/>
        <v>0.37381404174573052</v>
      </c>
      <c r="AA120" s="4">
        <v>2</v>
      </c>
      <c r="AB120" s="4">
        <f t="shared" si="28"/>
        <v>412.40000000000003</v>
      </c>
      <c r="AC120" s="4">
        <f t="shared" si="39"/>
        <v>444.74509803921569</v>
      </c>
      <c r="AD120" s="6">
        <f t="shared" si="40"/>
        <v>0.2580019398642095</v>
      </c>
      <c r="AE120" s="4">
        <f t="shared" si="41"/>
        <v>522.5</v>
      </c>
      <c r="AF120" s="7">
        <v>515</v>
      </c>
      <c r="AG120" s="6">
        <f t="shared" si="29"/>
        <v>0.35922330097087374</v>
      </c>
      <c r="AH120" s="4">
        <f t="shared" si="30"/>
        <v>185</v>
      </c>
      <c r="AI120" s="28"/>
      <c r="AJ120" s="6"/>
      <c r="AK120" s="6"/>
      <c r="AL120" s="6">
        <f t="shared" si="31"/>
        <v>1.0784313725490196</v>
      </c>
      <c r="AM120" s="6">
        <f t="shared" si="32"/>
        <v>1.0531697341513293</v>
      </c>
      <c r="AN120" s="6">
        <f t="shared" si="33"/>
        <v>1.0784313725490196</v>
      </c>
      <c r="AO120" s="4" t="str">
        <f t="shared" si="34"/>
        <v>-</v>
      </c>
      <c r="AP120" s="4" t="str">
        <f t="shared" si="35"/>
        <v>-</v>
      </c>
      <c r="AQ120" s="4" t="str">
        <f t="shared" si="36"/>
        <v>-</v>
      </c>
      <c r="AR120" s="4" t="s">
        <v>1286</v>
      </c>
      <c r="AS120" s="4" t="s">
        <v>1755</v>
      </c>
      <c r="AT120" s="4">
        <v>1</v>
      </c>
      <c r="AU120" s="4">
        <v>5</v>
      </c>
      <c r="AV120" s="4" t="s">
        <v>1756</v>
      </c>
      <c r="AW120" s="4">
        <v>2062</v>
      </c>
      <c r="AX120" s="4">
        <v>2062</v>
      </c>
      <c r="AY120" s="4">
        <v>2062</v>
      </c>
      <c r="AZ120" s="4">
        <f t="shared" si="37"/>
        <v>412.40000000000003</v>
      </c>
      <c r="BA120" s="19">
        <v>4</v>
      </c>
      <c r="BB120" s="19">
        <v>1</v>
      </c>
      <c r="BC120" s="16">
        <v>19</v>
      </c>
      <c r="BD120" t="s">
        <v>1280</v>
      </c>
      <c r="BE120" t="s">
        <v>1280</v>
      </c>
      <c r="BF120" t="s">
        <v>1280</v>
      </c>
      <c r="BG120" t="str">
        <f t="shared" si="42"/>
        <v>-</v>
      </c>
      <c r="BH120">
        <v>478</v>
      </c>
      <c r="BI120">
        <v>478</v>
      </c>
      <c r="BJ120">
        <v>478</v>
      </c>
      <c r="BK120">
        <f t="shared" si="43"/>
        <v>515.49019607843138</v>
      </c>
      <c r="BL120" t="s">
        <v>1337</v>
      </c>
      <c r="BM120">
        <v>812</v>
      </c>
    </row>
    <row r="121" spans="1:65" x14ac:dyDescent="0.4">
      <c r="A121" s="3">
        <v>66</v>
      </c>
      <c r="B121" s="3">
        <v>66</v>
      </c>
      <c r="C121" s="4">
        <v>921522</v>
      </c>
      <c r="D121" s="4" t="str">
        <f t="shared" si="22"/>
        <v>921522</v>
      </c>
      <c r="E121" s="4">
        <v>921522</v>
      </c>
      <c r="F121" s="4" t="str">
        <f t="shared" si="38"/>
        <v>9215225</v>
      </c>
      <c r="G121" s="4" t="s">
        <v>701</v>
      </c>
      <c r="H121" s="5">
        <v>4974268551634</v>
      </c>
      <c r="I121" s="5">
        <v>5</v>
      </c>
      <c r="J121" s="5"/>
      <c r="K121" s="5">
        <v>1</v>
      </c>
      <c r="L121" s="5">
        <v>1</v>
      </c>
      <c r="M121" s="4">
        <v>510</v>
      </c>
      <c r="N121" s="4">
        <v>489</v>
      </c>
      <c r="O121" s="4">
        <v>306</v>
      </c>
      <c r="P121" s="6">
        <f t="shared" si="23"/>
        <v>0.37423312883435578</v>
      </c>
      <c r="Q121" s="4" t="s">
        <v>1280</v>
      </c>
      <c r="R121" s="4" t="s">
        <v>1280</v>
      </c>
      <c r="S121" s="4" t="s">
        <v>1280</v>
      </c>
      <c r="T121" s="4">
        <v>550</v>
      </c>
      <c r="U121" s="4">
        <f t="shared" si="24"/>
        <v>550</v>
      </c>
      <c r="V121" s="4">
        <v>330</v>
      </c>
      <c r="W121" s="4">
        <f t="shared" si="25"/>
        <v>330</v>
      </c>
      <c r="X121" s="4"/>
      <c r="Y121" s="21">
        <f t="shared" si="26"/>
        <v>527</v>
      </c>
      <c r="Z121" s="6">
        <f t="shared" si="27"/>
        <v>0.37381404174573052</v>
      </c>
      <c r="AA121" s="4">
        <v>0.5</v>
      </c>
      <c r="AB121" s="4">
        <f t="shared" si="28"/>
        <v>500</v>
      </c>
      <c r="AC121" s="4">
        <f t="shared" si="39"/>
        <v>539.21568627450972</v>
      </c>
      <c r="AD121" s="6">
        <f t="shared" si="40"/>
        <v>0.3879999999999999</v>
      </c>
      <c r="AE121" s="4">
        <f t="shared" si="41"/>
        <v>522.5</v>
      </c>
      <c r="AF121" s="7">
        <v>515</v>
      </c>
      <c r="AG121" s="6">
        <f t="shared" si="29"/>
        <v>0.35922330097087374</v>
      </c>
      <c r="AH121" s="4">
        <f t="shared" si="30"/>
        <v>185</v>
      </c>
      <c r="AI121" s="28"/>
      <c r="AJ121" s="6"/>
      <c r="AK121" s="6"/>
      <c r="AL121" s="6">
        <f t="shared" si="31"/>
        <v>1.0784313725490196</v>
      </c>
      <c r="AM121" s="6">
        <f t="shared" si="32"/>
        <v>1.0531697341513293</v>
      </c>
      <c r="AN121" s="6">
        <f t="shared" si="33"/>
        <v>1.0784313725490196</v>
      </c>
      <c r="AO121" s="4" t="str">
        <f t="shared" si="34"/>
        <v>-</v>
      </c>
      <c r="AP121" s="4" t="str">
        <f t="shared" si="35"/>
        <v>-</v>
      </c>
      <c r="AQ121" s="4" t="str">
        <f t="shared" si="36"/>
        <v>-</v>
      </c>
      <c r="AR121" s="4" t="s">
        <v>1286</v>
      </c>
      <c r="AS121" s="4" t="s">
        <v>1757</v>
      </c>
      <c r="AT121" s="4"/>
      <c r="AU121" s="4"/>
      <c r="AV121" s="4" t="s">
        <v>1758</v>
      </c>
      <c r="AW121" s="4">
        <v>500</v>
      </c>
      <c r="AX121" s="4">
        <v>500</v>
      </c>
      <c r="AY121" s="4">
        <v>500</v>
      </c>
      <c r="AZ121" s="4">
        <f t="shared" si="37"/>
        <v>500</v>
      </c>
      <c r="BA121" s="19">
        <v>4</v>
      </c>
      <c r="BB121" s="19">
        <v>1</v>
      </c>
      <c r="BC121" s="16">
        <v>19</v>
      </c>
      <c r="BD121" t="s">
        <v>1280</v>
      </c>
      <c r="BE121" t="s">
        <v>1280</v>
      </c>
      <c r="BF121" t="s">
        <v>1280</v>
      </c>
      <c r="BG121" t="str">
        <f t="shared" si="42"/>
        <v>-</v>
      </c>
      <c r="BH121">
        <v>478</v>
      </c>
      <c r="BI121">
        <v>478</v>
      </c>
      <c r="BJ121">
        <v>478</v>
      </c>
      <c r="BK121">
        <f t="shared" si="43"/>
        <v>515.49019607843138</v>
      </c>
      <c r="BL121" t="s">
        <v>1338</v>
      </c>
      <c r="BM121">
        <v>812</v>
      </c>
    </row>
    <row r="122" spans="1:65" x14ac:dyDescent="0.4">
      <c r="A122" s="3">
        <v>402</v>
      </c>
      <c r="B122" s="3">
        <v>402</v>
      </c>
      <c r="C122" s="4" t="s">
        <v>391</v>
      </c>
      <c r="D122" s="4" t="str">
        <f t="shared" si="22"/>
        <v>J54417</v>
      </c>
      <c r="E122" s="4" t="s">
        <v>391</v>
      </c>
      <c r="F122" s="4" t="str">
        <f t="shared" si="38"/>
        <v>J544175</v>
      </c>
      <c r="G122" s="4" t="s">
        <v>1035</v>
      </c>
      <c r="H122" s="5">
        <v>4974268149510</v>
      </c>
      <c r="I122" s="5">
        <v>5</v>
      </c>
      <c r="J122" s="5"/>
      <c r="K122" s="5">
        <v>1</v>
      </c>
      <c r="L122" s="5">
        <v>1</v>
      </c>
      <c r="M122" s="4">
        <v>530</v>
      </c>
      <c r="N122" s="4">
        <v>423</v>
      </c>
      <c r="O122" s="4">
        <v>318</v>
      </c>
      <c r="P122" s="6">
        <f t="shared" si="23"/>
        <v>0.24822695035460995</v>
      </c>
      <c r="Q122" s="4" t="s">
        <v>1280</v>
      </c>
      <c r="R122" s="4" t="s">
        <v>1280</v>
      </c>
      <c r="S122" s="4" t="s">
        <v>1280</v>
      </c>
      <c r="T122" s="4">
        <v>580</v>
      </c>
      <c r="U122" s="4">
        <f t="shared" si="24"/>
        <v>580</v>
      </c>
      <c r="V122" s="4">
        <v>348</v>
      </c>
      <c r="W122" s="4">
        <f t="shared" si="25"/>
        <v>348</v>
      </c>
      <c r="X122" s="4"/>
      <c r="Y122" s="21">
        <f t="shared" si="26"/>
        <v>463</v>
      </c>
      <c r="Z122" s="6">
        <f t="shared" si="27"/>
        <v>0.24838012958963285</v>
      </c>
      <c r="AA122" s="4">
        <v>1.7500000000000002</v>
      </c>
      <c r="AB122" s="4">
        <f t="shared" si="28"/>
        <v>415</v>
      </c>
      <c r="AC122" s="4">
        <f t="shared" si="39"/>
        <v>454.15094339622641</v>
      </c>
      <c r="AD122" s="6">
        <f t="shared" si="40"/>
        <v>0.23373493975903614</v>
      </c>
      <c r="AE122" s="4">
        <f t="shared" si="41"/>
        <v>551</v>
      </c>
      <c r="AF122" s="7">
        <v>514</v>
      </c>
      <c r="AG122" s="6">
        <f t="shared" si="29"/>
        <v>0.32295719844357973</v>
      </c>
      <c r="AH122" s="4">
        <f t="shared" si="30"/>
        <v>166</v>
      </c>
      <c r="AI122" s="28"/>
      <c r="AJ122" s="6"/>
      <c r="AK122" s="6"/>
      <c r="AL122" s="6">
        <f t="shared" si="31"/>
        <v>1.0943396226415094</v>
      </c>
      <c r="AM122" s="6">
        <f t="shared" si="32"/>
        <v>1.2151300236406619</v>
      </c>
      <c r="AN122" s="6">
        <f t="shared" si="33"/>
        <v>1.0943396226415094</v>
      </c>
      <c r="AO122" s="4" t="str">
        <f t="shared" si="34"/>
        <v>-</v>
      </c>
      <c r="AP122" s="4" t="str">
        <f t="shared" si="35"/>
        <v>-</v>
      </c>
      <c r="AQ122" s="4" t="str">
        <f t="shared" si="36"/>
        <v>-</v>
      </c>
      <c r="AR122" s="4">
        <v>0</v>
      </c>
      <c r="AS122" s="4" t="s">
        <v>1958</v>
      </c>
      <c r="AT122" s="4"/>
      <c r="AU122" s="4"/>
      <c r="AV122" s="4" t="s">
        <v>1959</v>
      </c>
      <c r="AW122" s="4">
        <v>415</v>
      </c>
      <c r="AX122" s="4">
        <v>415</v>
      </c>
      <c r="AY122" s="4">
        <v>415</v>
      </c>
      <c r="AZ122" s="4">
        <f t="shared" si="37"/>
        <v>415</v>
      </c>
      <c r="BA122" s="19">
        <v>4</v>
      </c>
      <c r="BB122" s="19">
        <v>8</v>
      </c>
      <c r="BC122" s="16">
        <v>19</v>
      </c>
      <c r="BD122" t="s">
        <v>1280</v>
      </c>
      <c r="BE122" t="s">
        <v>1280</v>
      </c>
      <c r="BF122" t="s">
        <v>1280</v>
      </c>
      <c r="BG122" t="str">
        <f t="shared" si="42"/>
        <v>-</v>
      </c>
      <c r="BH122">
        <v>509</v>
      </c>
      <c r="BI122">
        <v>509</v>
      </c>
      <c r="BJ122">
        <v>509</v>
      </c>
      <c r="BK122">
        <f t="shared" si="43"/>
        <v>557.01886792452831</v>
      </c>
      <c r="BL122" t="s">
        <v>1486</v>
      </c>
      <c r="BM122">
        <v>812</v>
      </c>
    </row>
    <row r="123" spans="1:65" x14ac:dyDescent="0.4">
      <c r="A123" s="3">
        <v>405</v>
      </c>
      <c r="B123" s="3">
        <v>405</v>
      </c>
      <c r="C123" s="4" t="s">
        <v>394</v>
      </c>
      <c r="D123" s="4" t="str">
        <f t="shared" si="22"/>
        <v>J54418</v>
      </c>
      <c r="E123" s="4" t="s">
        <v>394</v>
      </c>
      <c r="F123" s="4" t="str">
        <f t="shared" si="38"/>
        <v>J544185</v>
      </c>
      <c r="G123" s="4" t="s">
        <v>1038</v>
      </c>
      <c r="H123" s="5">
        <v>4974268149527</v>
      </c>
      <c r="I123" s="5">
        <v>5</v>
      </c>
      <c r="J123" s="5"/>
      <c r="K123" s="5">
        <v>1</v>
      </c>
      <c r="L123" s="5">
        <v>1</v>
      </c>
      <c r="M123" s="4">
        <v>530</v>
      </c>
      <c r="N123" s="4">
        <v>479</v>
      </c>
      <c r="O123" s="4">
        <v>318</v>
      </c>
      <c r="P123" s="6">
        <f t="shared" si="23"/>
        <v>0.33611691022964507</v>
      </c>
      <c r="Q123" s="4" t="s">
        <v>1280</v>
      </c>
      <c r="R123" s="4" t="s">
        <v>1280</v>
      </c>
      <c r="S123" s="4" t="s">
        <v>1280</v>
      </c>
      <c r="T123" s="4">
        <v>580</v>
      </c>
      <c r="U123" s="4">
        <f t="shared" si="24"/>
        <v>580</v>
      </c>
      <c r="V123" s="4">
        <v>348</v>
      </c>
      <c r="W123" s="4">
        <f t="shared" si="25"/>
        <v>348</v>
      </c>
      <c r="X123" s="4"/>
      <c r="Y123" s="21">
        <f t="shared" si="26"/>
        <v>524</v>
      </c>
      <c r="Z123" s="6">
        <f t="shared" si="27"/>
        <v>0.33587786259541985</v>
      </c>
      <c r="AA123" s="4">
        <v>0.5</v>
      </c>
      <c r="AB123" s="4">
        <f t="shared" si="28"/>
        <v>470</v>
      </c>
      <c r="AC123" s="4">
        <f t="shared" si="39"/>
        <v>514.33962264150944</v>
      </c>
      <c r="AD123" s="6">
        <f t="shared" si="40"/>
        <v>0.32340425531914896</v>
      </c>
      <c r="AE123" s="4">
        <f t="shared" si="41"/>
        <v>551</v>
      </c>
      <c r="AF123" s="7">
        <v>514</v>
      </c>
      <c r="AG123" s="6">
        <f t="shared" si="29"/>
        <v>0.32295719844357973</v>
      </c>
      <c r="AH123" s="4">
        <f t="shared" si="30"/>
        <v>166</v>
      </c>
      <c r="AI123" s="28"/>
      <c r="AJ123" s="6"/>
      <c r="AK123" s="6"/>
      <c r="AL123" s="6">
        <f t="shared" si="31"/>
        <v>1.0943396226415094</v>
      </c>
      <c r="AM123" s="6">
        <f t="shared" si="32"/>
        <v>1.0730688935281838</v>
      </c>
      <c r="AN123" s="6">
        <f t="shared" si="33"/>
        <v>1.0943396226415094</v>
      </c>
      <c r="AO123" s="4" t="str">
        <f t="shared" si="34"/>
        <v>-</v>
      </c>
      <c r="AP123" s="4" t="str">
        <f t="shared" si="35"/>
        <v>-</v>
      </c>
      <c r="AQ123" s="4" t="str">
        <f t="shared" si="36"/>
        <v>-</v>
      </c>
      <c r="AR123" s="4">
        <v>0</v>
      </c>
      <c r="AS123" s="4" t="s">
        <v>1961</v>
      </c>
      <c r="AT123" s="4"/>
      <c r="AU123" s="4"/>
      <c r="AV123" s="4" t="s">
        <v>1959</v>
      </c>
      <c r="AW123" s="4">
        <v>470</v>
      </c>
      <c r="AX123" s="4">
        <v>470</v>
      </c>
      <c r="AY123" s="4">
        <v>470</v>
      </c>
      <c r="AZ123" s="4">
        <f t="shared" si="37"/>
        <v>470</v>
      </c>
      <c r="BA123" s="19">
        <v>4</v>
      </c>
      <c r="BB123" s="19">
        <v>8</v>
      </c>
      <c r="BC123" s="16">
        <v>19</v>
      </c>
      <c r="BD123" t="s">
        <v>1280</v>
      </c>
      <c r="BE123" t="s">
        <v>1280</v>
      </c>
      <c r="BF123" t="s">
        <v>1280</v>
      </c>
      <c r="BG123" t="str">
        <f t="shared" si="42"/>
        <v>-</v>
      </c>
      <c r="BH123" t="s">
        <v>1280</v>
      </c>
      <c r="BI123" t="s">
        <v>1280</v>
      </c>
      <c r="BJ123" t="s">
        <v>1280</v>
      </c>
      <c r="BK123" t="str">
        <f t="shared" si="43"/>
        <v>-</v>
      </c>
      <c r="BL123" t="s">
        <v>1488</v>
      </c>
      <c r="BM123">
        <v>812</v>
      </c>
    </row>
    <row r="124" spans="1:65" x14ac:dyDescent="0.4">
      <c r="A124" s="3">
        <v>409</v>
      </c>
      <c r="B124" s="3">
        <v>409</v>
      </c>
      <c r="C124" s="4" t="s">
        <v>398</v>
      </c>
      <c r="D124" s="4" t="str">
        <f t="shared" si="22"/>
        <v>J54427</v>
      </c>
      <c r="E124" s="4" t="s">
        <v>398</v>
      </c>
      <c r="F124" s="4" t="str">
        <f t="shared" si="38"/>
        <v>J544275</v>
      </c>
      <c r="G124" s="4" t="s">
        <v>1042</v>
      </c>
      <c r="H124" s="5">
        <v>4974268241801</v>
      </c>
      <c r="I124" s="5">
        <v>5</v>
      </c>
      <c r="J124" s="5"/>
      <c r="K124" s="5">
        <v>1</v>
      </c>
      <c r="L124" s="5">
        <v>1</v>
      </c>
      <c r="M124" s="4">
        <v>2600</v>
      </c>
      <c r="N124" s="4">
        <v>2280</v>
      </c>
      <c r="O124" s="4">
        <v>1560</v>
      </c>
      <c r="P124" s="6">
        <f t="shared" si="23"/>
        <v>0.31578947368421051</v>
      </c>
      <c r="Q124" s="4" t="s">
        <v>1280</v>
      </c>
      <c r="R124" s="4" t="s">
        <v>1280</v>
      </c>
      <c r="S124" s="4" t="s">
        <v>1280</v>
      </c>
      <c r="T124" s="4">
        <v>580</v>
      </c>
      <c r="U124" s="4">
        <f t="shared" si="24"/>
        <v>2900</v>
      </c>
      <c r="V124" s="4">
        <v>348</v>
      </c>
      <c r="W124" s="4">
        <f t="shared" si="25"/>
        <v>1740</v>
      </c>
      <c r="X124" s="4">
        <v>5</v>
      </c>
      <c r="Y124" s="21">
        <f t="shared" si="26"/>
        <v>2543</v>
      </c>
      <c r="Z124" s="6">
        <f t="shared" si="27"/>
        <v>0.31576877703499806</v>
      </c>
      <c r="AA124" s="4">
        <v>0</v>
      </c>
      <c r="AB124" s="4">
        <f t="shared" si="28"/>
        <v>2569</v>
      </c>
      <c r="AC124" s="4">
        <f t="shared" si="39"/>
        <v>2865.4230769230771</v>
      </c>
      <c r="AD124" s="6">
        <f t="shared" si="40"/>
        <v>0.39275982872713122</v>
      </c>
      <c r="AE124" s="4">
        <f t="shared" si="41"/>
        <v>2755</v>
      </c>
      <c r="AF124" s="7">
        <v>2700</v>
      </c>
      <c r="AG124" s="6">
        <f t="shared" si="29"/>
        <v>0.35555555555555551</v>
      </c>
      <c r="AH124" s="4">
        <f t="shared" si="30"/>
        <v>960</v>
      </c>
      <c r="AI124" s="28"/>
      <c r="AJ124" s="6"/>
      <c r="AK124" s="6"/>
      <c r="AL124" s="6">
        <f t="shared" si="31"/>
        <v>1.1153846153846154</v>
      </c>
      <c r="AM124" s="6">
        <f t="shared" si="32"/>
        <v>1.1842105263157894</v>
      </c>
      <c r="AN124" s="6">
        <f t="shared" si="33"/>
        <v>1.1153846153846154</v>
      </c>
      <c r="AO124" s="4" t="str">
        <f t="shared" si="34"/>
        <v>-</v>
      </c>
      <c r="AP124" s="4" t="str">
        <f t="shared" si="35"/>
        <v>-</v>
      </c>
      <c r="AQ124" s="4" t="str">
        <f t="shared" si="36"/>
        <v>-</v>
      </c>
      <c r="AR124" s="4">
        <v>0</v>
      </c>
      <c r="AS124" s="4" t="s">
        <v>1968</v>
      </c>
      <c r="AT124" s="4"/>
      <c r="AU124" s="4"/>
      <c r="AV124" s="4" t="s">
        <v>1969</v>
      </c>
      <c r="AW124" s="4">
        <v>2569</v>
      </c>
      <c r="AX124" s="4">
        <v>2569</v>
      </c>
      <c r="AY124" s="4">
        <v>2569</v>
      </c>
      <c r="AZ124" s="4">
        <f t="shared" si="37"/>
        <v>2569</v>
      </c>
      <c r="BA124" s="19">
        <v>4</v>
      </c>
      <c r="BB124" s="19">
        <v>8</v>
      </c>
      <c r="BC124" s="16">
        <v>6</v>
      </c>
      <c r="BD124" t="s">
        <v>1280</v>
      </c>
      <c r="BE124" t="s">
        <v>1280</v>
      </c>
      <c r="BF124" t="s">
        <v>1280</v>
      </c>
      <c r="BG124" t="str">
        <f t="shared" si="42"/>
        <v>-</v>
      </c>
      <c r="BH124">
        <v>2560</v>
      </c>
      <c r="BI124">
        <v>2560</v>
      </c>
      <c r="BJ124">
        <v>2560</v>
      </c>
      <c r="BK124">
        <f t="shared" si="43"/>
        <v>2855.3846153846152</v>
      </c>
      <c r="BL124" t="s">
        <v>1492</v>
      </c>
      <c r="BM124">
        <v>812</v>
      </c>
    </row>
    <row r="125" spans="1:65" x14ac:dyDescent="0.4">
      <c r="A125" s="3">
        <v>550</v>
      </c>
      <c r="B125" s="3">
        <v>550</v>
      </c>
      <c r="C125" s="4" t="s">
        <v>539</v>
      </c>
      <c r="D125" s="4" t="str">
        <f t="shared" si="22"/>
        <v>J908WN</v>
      </c>
      <c r="E125" s="4" t="s">
        <v>539</v>
      </c>
      <c r="F125" s="4" t="str">
        <f t="shared" si="38"/>
        <v>J908WN5</v>
      </c>
      <c r="G125" s="4" t="s">
        <v>1183</v>
      </c>
      <c r="H125" s="5">
        <v>4974268149503</v>
      </c>
      <c r="I125" s="5">
        <v>5</v>
      </c>
      <c r="J125" s="5"/>
      <c r="K125" s="5">
        <v>1</v>
      </c>
      <c r="L125" s="5">
        <v>1</v>
      </c>
      <c r="M125" s="4">
        <v>530</v>
      </c>
      <c r="N125" s="4">
        <v>450</v>
      </c>
      <c r="O125" s="4">
        <v>318</v>
      </c>
      <c r="P125" s="6">
        <f t="shared" si="23"/>
        <v>0.29333333333333333</v>
      </c>
      <c r="Q125" s="4" t="s">
        <v>1280</v>
      </c>
      <c r="R125" s="4" t="s">
        <v>1280</v>
      </c>
      <c r="S125" s="4" t="s">
        <v>1280</v>
      </c>
      <c r="T125" s="4">
        <v>580</v>
      </c>
      <c r="U125" s="4">
        <f t="shared" si="24"/>
        <v>580</v>
      </c>
      <c r="V125" s="4">
        <v>348</v>
      </c>
      <c r="W125" s="4">
        <f t="shared" si="25"/>
        <v>348</v>
      </c>
      <c r="X125" s="4"/>
      <c r="Y125" s="21">
        <f t="shared" si="26"/>
        <v>492</v>
      </c>
      <c r="Z125" s="6">
        <f t="shared" si="27"/>
        <v>0.29268292682926833</v>
      </c>
      <c r="AA125" s="4">
        <v>0</v>
      </c>
      <c r="AB125" s="4">
        <f t="shared" si="28"/>
        <v>530</v>
      </c>
      <c r="AC125" s="4">
        <f t="shared" si="39"/>
        <v>580</v>
      </c>
      <c r="AD125" s="6">
        <f t="shared" si="40"/>
        <v>0.4</v>
      </c>
      <c r="AE125" s="4">
        <f t="shared" si="41"/>
        <v>551</v>
      </c>
      <c r="AF125" s="7">
        <v>540</v>
      </c>
      <c r="AG125" s="6">
        <f t="shared" si="29"/>
        <v>0.35555555555555551</v>
      </c>
      <c r="AH125" s="4">
        <f t="shared" si="30"/>
        <v>192</v>
      </c>
      <c r="AI125" s="28"/>
      <c r="AJ125" s="6"/>
      <c r="AK125" s="6"/>
      <c r="AL125" s="6">
        <f t="shared" si="31"/>
        <v>1.0943396226415094</v>
      </c>
      <c r="AM125" s="6">
        <f t="shared" si="32"/>
        <v>1.2</v>
      </c>
      <c r="AN125" s="6">
        <f t="shared" si="33"/>
        <v>1.0943396226415094</v>
      </c>
      <c r="AO125" s="4" t="str">
        <f t="shared" si="34"/>
        <v>-</v>
      </c>
      <c r="AP125" s="4" t="str">
        <f t="shared" si="35"/>
        <v>-</v>
      </c>
      <c r="AQ125" s="4" t="str">
        <f t="shared" si="36"/>
        <v>-</v>
      </c>
      <c r="AR125" s="4">
        <v>0</v>
      </c>
      <c r="AS125" s="4" t="s">
        <v>2103</v>
      </c>
      <c r="AT125" s="4"/>
      <c r="AU125" s="4"/>
      <c r="AV125" s="4" t="s">
        <v>2104</v>
      </c>
      <c r="AW125" s="4">
        <v>530</v>
      </c>
      <c r="AX125" s="4">
        <v>530</v>
      </c>
      <c r="AY125" s="4">
        <v>530</v>
      </c>
      <c r="AZ125" s="4">
        <f t="shared" si="37"/>
        <v>530</v>
      </c>
      <c r="BA125" s="19">
        <v>4</v>
      </c>
      <c r="BB125" s="19">
        <v>8</v>
      </c>
      <c r="BC125" s="16">
        <v>19</v>
      </c>
      <c r="BD125" t="s">
        <v>1280</v>
      </c>
      <c r="BE125" t="s">
        <v>1280</v>
      </c>
      <c r="BF125" t="s">
        <v>1280</v>
      </c>
      <c r="BG125" t="str">
        <f t="shared" si="42"/>
        <v>-</v>
      </c>
      <c r="BH125">
        <v>509</v>
      </c>
      <c r="BI125">
        <v>509</v>
      </c>
      <c r="BJ125">
        <v>509</v>
      </c>
      <c r="BK125">
        <f t="shared" si="43"/>
        <v>557.01886792452831</v>
      </c>
      <c r="BL125" t="s">
        <v>1601</v>
      </c>
      <c r="BM125">
        <v>812</v>
      </c>
    </row>
    <row r="126" spans="1:65" x14ac:dyDescent="0.4">
      <c r="A126" s="3">
        <v>553</v>
      </c>
      <c r="B126" s="3">
        <v>553</v>
      </c>
      <c r="C126" s="4" t="s">
        <v>542</v>
      </c>
      <c r="D126" s="4" t="str">
        <f t="shared" si="22"/>
        <v>J909WN</v>
      </c>
      <c r="E126" s="4" t="s">
        <v>542</v>
      </c>
      <c r="F126" s="4" t="str">
        <f t="shared" si="38"/>
        <v>J909WN5</v>
      </c>
      <c r="G126" s="4" t="s">
        <v>1186</v>
      </c>
      <c r="H126" s="5">
        <v>4974268149534</v>
      </c>
      <c r="I126" s="5">
        <v>5</v>
      </c>
      <c r="J126" s="5"/>
      <c r="K126" s="5">
        <v>1</v>
      </c>
      <c r="L126" s="5">
        <v>1</v>
      </c>
      <c r="M126" s="4">
        <v>530</v>
      </c>
      <c r="N126" s="4">
        <v>450</v>
      </c>
      <c r="O126" s="4">
        <v>318</v>
      </c>
      <c r="P126" s="6">
        <f t="shared" si="23"/>
        <v>0.29333333333333333</v>
      </c>
      <c r="Q126" s="4" t="s">
        <v>1280</v>
      </c>
      <c r="R126" s="4" t="s">
        <v>1280</v>
      </c>
      <c r="S126" s="4" t="s">
        <v>1280</v>
      </c>
      <c r="T126" s="4">
        <v>580</v>
      </c>
      <c r="U126" s="4">
        <f t="shared" si="24"/>
        <v>580</v>
      </c>
      <c r="V126" s="4">
        <v>348</v>
      </c>
      <c r="W126" s="4">
        <f t="shared" si="25"/>
        <v>348</v>
      </c>
      <c r="X126" s="4"/>
      <c r="Y126" s="21">
        <f t="shared" si="26"/>
        <v>492</v>
      </c>
      <c r="Z126" s="6">
        <f t="shared" si="27"/>
        <v>0.29268292682926833</v>
      </c>
      <c r="AA126" s="4">
        <v>0</v>
      </c>
      <c r="AB126" s="4">
        <f t="shared" si="28"/>
        <v>582</v>
      </c>
      <c r="AC126" s="4">
        <f t="shared" si="39"/>
        <v>636.90566037735846</v>
      </c>
      <c r="AD126" s="6">
        <f t="shared" si="40"/>
        <v>0.45360824742268036</v>
      </c>
      <c r="AE126" s="4">
        <f t="shared" si="41"/>
        <v>551</v>
      </c>
      <c r="AF126" s="7">
        <v>540</v>
      </c>
      <c r="AG126" s="6">
        <f t="shared" si="29"/>
        <v>0.35555555555555551</v>
      </c>
      <c r="AH126" s="4">
        <f t="shared" si="30"/>
        <v>192</v>
      </c>
      <c r="AI126" s="28"/>
      <c r="AJ126" s="6"/>
      <c r="AK126" s="6"/>
      <c r="AL126" s="6">
        <f t="shared" si="31"/>
        <v>1.0943396226415094</v>
      </c>
      <c r="AM126" s="6">
        <f t="shared" si="32"/>
        <v>1.2</v>
      </c>
      <c r="AN126" s="6">
        <f t="shared" si="33"/>
        <v>1.0943396226415094</v>
      </c>
      <c r="AO126" s="4" t="str">
        <f t="shared" si="34"/>
        <v>-</v>
      </c>
      <c r="AP126" s="4" t="str">
        <f t="shared" si="35"/>
        <v>-</v>
      </c>
      <c r="AQ126" s="4" t="str">
        <f t="shared" si="36"/>
        <v>-</v>
      </c>
      <c r="AR126" s="4">
        <v>0</v>
      </c>
      <c r="AS126" s="4" t="s">
        <v>2107</v>
      </c>
      <c r="AT126" s="4"/>
      <c r="AU126" s="4"/>
      <c r="AV126" s="4" t="s">
        <v>2108</v>
      </c>
      <c r="AW126" s="4">
        <v>582</v>
      </c>
      <c r="AX126" s="4">
        <v>582</v>
      </c>
      <c r="AY126" s="4">
        <v>582</v>
      </c>
      <c r="AZ126" s="4">
        <f t="shared" si="37"/>
        <v>582</v>
      </c>
      <c r="BA126" s="19">
        <v>4</v>
      </c>
      <c r="BB126" s="19">
        <v>8</v>
      </c>
      <c r="BC126" s="16">
        <v>19</v>
      </c>
      <c r="BD126" t="s">
        <v>1280</v>
      </c>
      <c r="BE126" t="s">
        <v>1280</v>
      </c>
      <c r="BF126" t="s">
        <v>1280</v>
      </c>
      <c r="BG126" t="str">
        <f t="shared" si="42"/>
        <v>-</v>
      </c>
      <c r="BH126">
        <v>530</v>
      </c>
      <c r="BI126">
        <v>530</v>
      </c>
      <c r="BJ126">
        <v>530</v>
      </c>
      <c r="BK126">
        <f t="shared" si="43"/>
        <v>580</v>
      </c>
      <c r="BL126" t="s">
        <v>1604</v>
      </c>
      <c r="BM126">
        <v>812</v>
      </c>
    </row>
    <row r="127" spans="1:65" x14ac:dyDescent="0.4">
      <c r="A127" s="3">
        <v>56</v>
      </c>
      <c r="B127" s="3">
        <v>56</v>
      </c>
      <c r="C127" s="4">
        <v>679541</v>
      </c>
      <c r="D127" s="4" t="str">
        <f t="shared" si="22"/>
        <v>679541</v>
      </c>
      <c r="E127" s="4">
        <v>679541</v>
      </c>
      <c r="F127" s="4" t="str">
        <f t="shared" si="38"/>
        <v>6795415</v>
      </c>
      <c r="G127" s="4" t="s">
        <v>691</v>
      </c>
      <c r="H127" s="5">
        <v>4974268400000</v>
      </c>
      <c r="I127" s="5">
        <v>5</v>
      </c>
      <c r="J127" s="5"/>
      <c r="K127" s="5">
        <v>1</v>
      </c>
      <c r="L127" s="5">
        <v>1</v>
      </c>
      <c r="M127" s="4">
        <v>550</v>
      </c>
      <c r="N127" s="4">
        <v>430</v>
      </c>
      <c r="O127" s="4">
        <v>330</v>
      </c>
      <c r="P127" s="6">
        <f t="shared" si="23"/>
        <v>0.23255813953488369</v>
      </c>
      <c r="Q127" s="4" t="s">
        <v>1280</v>
      </c>
      <c r="R127" s="4" t="s">
        <v>1280</v>
      </c>
      <c r="S127" s="4" t="s">
        <v>1280</v>
      </c>
      <c r="T127" s="4">
        <v>600</v>
      </c>
      <c r="U127" s="4">
        <f t="shared" si="24"/>
        <v>600</v>
      </c>
      <c r="V127" s="4">
        <v>360</v>
      </c>
      <c r="W127" s="4">
        <f t="shared" si="25"/>
        <v>360</v>
      </c>
      <c r="X127" s="4"/>
      <c r="Y127" s="21">
        <f t="shared" si="26"/>
        <v>469</v>
      </c>
      <c r="Z127" s="6">
        <f t="shared" si="27"/>
        <v>0.23240938166311298</v>
      </c>
      <c r="AA127" s="4">
        <v>2</v>
      </c>
      <c r="AB127" s="4" t="str">
        <f t="shared" si="28"/>
        <v>-</v>
      </c>
      <c r="AC127" s="4" t="str">
        <f t="shared" si="39"/>
        <v>-</v>
      </c>
      <c r="AD127" s="6" t="str">
        <f t="shared" si="40"/>
        <v>-</v>
      </c>
      <c r="AE127" s="4">
        <f t="shared" si="41"/>
        <v>570</v>
      </c>
      <c r="AF127" s="7">
        <v>536</v>
      </c>
      <c r="AG127" s="6">
        <f t="shared" si="29"/>
        <v>0.32835820895522383</v>
      </c>
      <c r="AH127" s="4">
        <f t="shared" si="30"/>
        <v>176</v>
      </c>
      <c r="AI127" s="28"/>
      <c r="AJ127" s="6"/>
      <c r="AK127" s="6"/>
      <c r="AL127" s="6">
        <f t="shared" si="31"/>
        <v>1.0909090909090908</v>
      </c>
      <c r="AM127" s="6">
        <f t="shared" si="32"/>
        <v>1.2465116279069768</v>
      </c>
      <c r="AN127" s="6">
        <f t="shared" si="33"/>
        <v>1.0909090909090908</v>
      </c>
      <c r="AO127" s="4" t="str">
        <f t="shared" si="34"/>
        <v>-</v>
      </c>
      <c r="AP127" s="4" t="str">
        <f t="shared" si="35"/>
        <v>-</v>
      </c>
      <c r="AQ127" s="4" t="str">
        <f t="shared" si="36"/>
        <v>-</v>
      </c>
      <c r="AR127" s="4">
        <v>0</v>
      </c>
      <c r="AS127" s="4" t="s">
        <v>1280</v>
      </c>
      <c r="AT127" s="4"/>
      <c r="AU127" s="4"/>
      <c r="AV127" s="4" t="s">
        <v>1280</v>
      </c>
      <c r="AW127" s="4" t="s">
        <v>1280</v>
      </c>
      <c r="AX127" s="4" t="s">
        <v>1280</v>
      </c>
      <c r="AY127" s="4" t="s">
        <v>1280</v>
      </c>
      <c r="AZ127" s="4" t="str">
        <f t="shared" si="37"/>
        <v>-</v>
      </c>
      <c r="BA127" s="19">
        <v>4</v>
      </c>
      <c r="BB127" s="19">
        <v>8</v>
      </c>
      <c r="BC127" s="16">
        <v>19</v>
      </c>
      <c r="BD127" t="s">
        <v>1280</v>
      </c>
      <c r="BE127" t="s">
        <v>1280</v>
      </c>
      <c r="BF127" t="s">
        <v>1280</v>
      </c>
      <c r="BG127" t="str">
        <f t="shared" si="42"/>
        <v>-</v>
      </c>
      <c r="BH127">
        <v>492</v>
      </c>
      <c r="BI127">
        <v>492</v>
      </c>
      <c r="BJ127">
        <v>492</v>
      </c>
      <c r="BK127">
        <f t="shared" si="43"/>
        <v>536.72727272727263</v>
      </c>
      <c r="BL127" t="s">
        <v>1280</v>
      </c>
      <c r="BM127">
        <v>812</v>
      </c>
    </row>
    <row r="128" spans="1:65" x14ac:dyDescent="0.4">
      <c r="A128" s="3">
        <v>88</v>
      </c>
      <c r="B128" s="3">
        <v>88</v>
      </c>
      <c r="C128" s="4" t="s">
        <v>77</v>
      </c>
      <c r="D128" s="4" t="str">
        <f t="shared" si="22"/>
        <v>J0852T</v>
      </c>
      <c r="E128" s="4" t="s">
        <v>77</v>
      </c>
      <c r="F128" s="4" t="str">
        <f t="shared" si="38"/>
        <v>J0852T5</v>
      </c>
      <c r="G128" s="4" t="s">
        <v>723</v>
      </c>
      <c r="H128" s="5">
        <v>4974268661692</v>
      </c>
      <c r="I128" s="5">
        <v>5</v>
      </c>
      <c r="J128" s="5"/>
      <c r="K128" s="5">
        <v>1</v>
      </c>
      <c r="L128" s="5">
        <v>1</v>
      </c>
      <c r="M128" s="4">
        <v>550</v>
      </c>
      <c r="N128" s="4">
        <v>567</v>
      </c>
      <c r="O128" s="4">
        <v>330</v>
      </c>
      <c r="P128" s="6">
        <f t="shared" si="23"/>
        <v>0.41798941798941802</v>
      </c>
      <c r="Q128" s="4" t="s">
        <v>1280</v>
      </c>
      <c r="R128" s="4" t="s">
        <v>1280</v>
      </c>
      <c r="S128" s="4" t="s">
        <v>1280</v>
      </c>
      <c r="T128" s="4">
        <v>600</v>
      </c>
      <c r="U128" s="4">
        <f t="shared" si="24"/>
        <v>600</v>
      </c>
      <c r="V128" s="4">
        <v>360</v>
      </c>
      <c r="W128" s="4">
        <f t="shared" si="25"/>
        <v>360</v>
      </c>
      <c r="X128" s="4"/>
      <c r="Y128" s="21">
        <f t="shared" si="26"/>
        <v>619</v>
      </c>
      <c r="Z128" s="6">
        <f t="shared" si="27"/>
        <v>0.4184168012924071</v>
      </c>
      <c r="AA128" s="4">
        <v>0</v>
      </c>
      <c r="AB128" s="4">
        <f t="shared" si="28"/>
        <v>400</v>
      </c>
      <c r="AC128" s="4">
        <f t="shared" si="39"/>
        <v>436.36363636363632</v>
      </c>
      <c r="AD128" s="6">
        <f t="shared" si="40"/>
        <v>0.17499999999999993</v>
      </c>
      <c r="AE128" s="4">
        <f t="shared" si="41"/>
        <v>570</v>
      </c>
      <c r="AF128" s="7">
        <v>530</v>
      </c>
      <c r="AG128" s="6">
        <f t="shared" si="29"/>
        <v>0.32075471698113212</v>
      </c>
      <c r="AH128" s="4">
        <f t="shared" si="30"/>
        <v>170</v>
      </c>
      <c r="AI128" s="28"/>
      <c r="AJ128" s="6"/>
      <c r="AK128" s="6"/>
      <c r="AL128" s="6">
        <f t="shared" si="31"/>
        <v>1.0909090909090908</v>
      </c>
      <c r="AM128" s="6">
        <f t="shared" si="32"/>
        <v>0.93474426807760136</v>
      </c>
      <c r="AN128" s="6">
        <f t="shared" si="33"/>
        <v>1.0909090909090908</v>
      </c>
      <c r="AO128" s="4" t="str">
        <f t="shared" si="34"/>
        <v>-</v>
      </c>
      <c r="AP128" s="4" t="str">
        <f t="shared" si="35"/>
        <v>-</v>
      </c>
      <c r="AQ128" s="4" t="str">
        <f t="shared" si="36"/>
        <v>-</v>
      </c>
      <c r="AR128" s="4">
        <v>0</v>
      </c>
      <c r="AS128" s="4" t="s">
        <v>1771</v>
      </c>
      <c r="AT128" s="4"/>
      <c r="AU128" s="4"/>
      <c r="AV128" s="4" t="s">
        <v>1772</v>
      </c>
      <c r="AW128" s="4">
        <v>400</v>
      </c>
      <c r="AX128" s="4">
        <v>400</v>
      </c>
      <c r="AY128" s="4">
        <v>400</v>
      </c>
      <c r="AZ128" s="4">
        <f t="shared" si="37"/>
        <v>400</v>
      </c>
      <c r="BA128" s="19">
        <v>4</v>
      </c>
      <c r="BB128" s="19">
        <v>8</v>
      </c>
      <c r="BC128" s="16">
        <v>19</v>
      </c>
      <c r="BD128" t="s">
        <v>1280</v>
      </c>
      <c r="BE128" t="s">
        <v>1280</v>
      </c>
      <c r="BF128" t="s">
        <v>1280</v>
      </c>
      <c r="BG128" t="str">
        <f t="shared" si="42"/>
        <v>-</v>
      </c>
      <c r="BH128" t="s">
        <v>1280</v>
      </c>
      <c r="BI128" t="s">
        <v>1280</v>
      </c>
      <c r="BJ128" t="s">
        <v>1280</v>
      </c>
      <c r="BK128" t="str">
        <f t="shared" si="43"/>
        <v>-</v>
      </c>
      <c r="BL128" t="s">
        <v>1348</v>
      </c>
      <c r="BM128">
        <v>812</v>
      </c>
    </row>
    <row r="129" spans="1:65" x14ac:dyDescent="0.4">
      <c r="A129" s="3">
        <v>90</v>
      </c>
      <c r="B129" s="3">
        <v>90</v>
      </c>
      <c r="C129" s="4" t="s">
        <v>79</v>
      </c>
      <c r="D129" s="4" t="str">
        <f t="shared" si="22"/>
        <v>J0853T</v>
      </c>
      <c r="E129" s="4" t="s">
        <v>79</v>
      </c>
      <c r="F129" s="4" t="str">
        <f t="shared" si="38"/>
        <v>J0853T5</v>
      </c>
      <c r="G129" s="4" t="s">
        <v>725</v>
      </c>
      <c r="H129" s="5">
        <v>4974268661708</v>
      </c>
      <c r="I129" s="5">
        <v>5</v>
      </c>
      <c r="J129" s="5"/>
      <c r="K129" s="5">
        <v>1</v>
      </c>
      <c r="L129" s="5">
        <v>1</v>
      </c>
      <c r="M129" s="4">
        <v>550</v>
      </c>
      <c r="N129" s="4">
        <v>567</v>
      </c>
      <c r="O129" s="4">
        <v>330</v>
      </c>
      <c r="P129" s="6">
        <f t="shared" si="23"/>
        <v>0.41798941798941802</v>
      </c>
      <c r="Q129" s="4" t="s">
        <v>1280</v>
      </c>
      <c r="R129" s="4" t="s">
        <v>1280</v>
      </c>
      <c r="S129" s="4" t="s">
        <v>1280</v>
      </c>
      <c r="T129" s="4">
        <v>600</v>
      </c>
      <c r="U129" s="4">
        <f t="shared" si="24"/>
        <v>600</v>
      </c>
      <c r="V129" s="4">
        <v>360</v>
      </c>
      <c r="W129" s="4">
        <f t="shared" si="25"/>
        <v>360</v>
      </c>
      <c r="X129" s="4"/>
      <c r="Y129" s="21">
        <f t="shared" si="26"/>
        <v>619</v>
      </c>
      <c r="Z129" s="6">
        <f t="shared" si="27"/>
        <v>0.4184168012924071</v>
      </c>
      <c r="AA129" s="4">
        <v>0</v>
      </c>
      <c r="AB129" s="4">
        <f t="shared" si="28"/>
        <v>400</v>
      </c>
      <c r="AC129" s="4">
        <f t="shared" si="39"/>
        <v>436.36363636363632</v>
      </c>
      <c r="AD129" s="6">
        <f t="shared" si="40"/>
        <v>0.17499999999999993</v>
      </c>
      <c r="AE129" s="4">
        <f t="shared" si="41"/>
        <v>570</v>
      </c>
      <c r="AF129" s="7">
        <v>530</v>
      </c>
      <c r="AG129" s="6">
        <f t="shared" si="29"/>
        <v>0.32075471698113212</v>
      </c>
      <c r="AH129" s="4">
        <f t="shared" si="30"/>
        <v>170</v>
      </c>
      <c r="AI129" s="28"/>
      <c r="AJ129" s="6"/>
      <c r="AK129" s="6"/>
      <c r="AL129" s="6">
        <f t="shared" si="31"/>
        <v>1.0909090909090908</v>
      </c>
      <c r="AM129" s="6">
        <f t="shared" si="32"/>
        <v>0.93474426807760136</v>
      </c>
      <c r="AN129" s="6">
        <f t="shared" si="33"/>
        <v>1.0909090909090908</v>
      </c>
      <c r="AO129" s="4" t="str">
        <f t="shared" si="34"/>
        <v>-</v>
      </c>
      <c r="AP129" s="4" t="str">
        <f t="shared" si="35"/>
        <v>-</v>
      </c>
      <c r="AQ129" s="4" t="str">
        <f t="shared" si="36"/>
        <v>-</v>
      </c>
      <c r="AR129" s="4">
        <v>0</v>
      </c>
      <c r="AS129" s="4" t="s">
        <v>1775</v>
      </c>
      <c r="AT129" s="4"/>
      <c r="AU129" s="4"/>
      <c r="AV129" s="4" t="s">
        <v>1772</v>
      </c>
      <c r="AW129" s="4">
        <v>400</v>
      </c>
      <c r="AX129" s="4">
        <v>400</v>
      </c>
      <c r="AY129" s="4">
        <v>400</v>
      </c>
      <c r="AZ129" s="4">
        <f t="shared" si="37"/>
        <v>400</v>
      </c>
      <c r="BA129" s="19">
        <v>4</v>
      </c>
      <c r="BB129" s="19">
        <v>8</v>
      </c>
      <c r="BC129" s="16">
        <v>19</v>
      </c>
      <c r="BD129" t="s">
        <v>1280</v>
      </c>
      <c r="BE129" t="s">
        <v>1280</v>
      </c>
      <c r="BF129" t="s">
        <v>1280</v>
      </c>
      <c r="BG129" t="str">
        <f t="shared" si="42"/>
        <v>-</v>
      </c>
      <c r="BH129" t="s">
        <v>1280</v>
      </c>
      <c r="BI129">
        <v>488</v>
      </c>
      <c r="BJ129">
        <v>488</v>
      </c>
      <c r="BK129">
        <f t="shared" si="43"/>
        <v>532.36363636363637</v>
      </c>
      <c r="BL129" t="s">
        <v>1350</v>
      </c>
      <c r="BM129">
        <v>812</v>
      </c>
    </row>
    <row r="130" spans="1:65" x14ac:dyDescent="0.4">
      <c r="A130" s="3">
        <v>91</v>
      </c>
      <c r="B130" s="3">
        <v>91</v>
      </c>
      <c r="C130" s="4" t="s">
        <v>80</v>
      </c>
      <c r="D130" s="4" t="str">
        <f t="shared" si="22"/>
        <v>J0854T</v>
      </c>
      <c r="E130" s="4" t="s">
        <v>80</v>
      </c>
      <c r="F130" s="4" t="str">
        <f t="shared" si="38"/>
        <v>J0854T5</v>
      </c>
      <c r="G130" s="4" t="s">
        <v>726</v>
      </c>
      <c r="H130" s="5">
        <v>4974268661715</v>
      </c>
      <c r="I130" s="5">
        <v>5</v>
      </c>
      <c r="J130" s="5"/>
      <c r="K130" s="5">
        <v>1</v>
      </c>
      <c r="L130" s="5">
        <v>1</v>
      </c>
      <c r="M130" s="4">
        <v>550</v>
      </c>
      <c r="N130" s="4">
        <v>567</v>
      </c>
      <c r="O130" s="4">
        <v>330</v>
      </c>
      <c r="P130" s="6">
        <f t="shared" si="23"/>
        <v>0.41798941798941802</v>
      </c>
      <c r="Q130" s="4" t="s">
        <v>1280</v>
      </c>
      <c r="R130" s="4" t="s">
        <v>1280</v>
      </c>
      <c r="S130" s="4" t="s">
        <v>1280</v>
      </c>
      <c r="T130" s="4">
        <v>600</v>
      </c>
      <c r="U130" s="4">
        <f t="shared" si="24"/>
        <v>600</v>
      </c>
      <c r="V130" s="4">
        <v>360</v>
      </c>
      <c r="W130" s="4">
        <f t="shared" si="25"/>
        <v>360</v>
      </c>
      <c r="X130" s="4"/>
      <c r="Y130" s="21">
        <f t="shared" si="26"/>
        <v>619</v>
      </c>
      <c r="Z130" s="6">
        <f t="shared" si="27"/>
        <v>0.4184168012924071</v>
      </c>
      <c r="AA130" s="4">
        <v>0</v>
      </c>
      <c r="AB130" s="4">
        <f t="shared" si="28"/>
        <v>400</v>
      </c>
      <c r="AC130" s="4">
        <f t="shared" si="39"/>
        <v>436.36363636363632</v>
      </c>
      <c r="AD130" s="6">
        <f t="shared" si="40"/>
        <v>0.17499999999999993</v>
      </c>
      <c r="AE130" s="4">
        <f t="shared" si="41"/>
        <v>570</v>
      </c>
      <c r="AF130" s="7">
        <v>530</v>
      </c>
      <c r="AG130" s="6">
        <f t="shared" si="29"/>
        <v>0.32075471698113212</v>
      </c>
      <c r="AH130" s="4">
        <f t="shared" si="30"/>
        <v>170</v>
      </c>
      <c r="AI130" s="28"/>
      <c r="AJ130" s="6"/>
      <c r="AK130" s="6"/>
      <c r="AL130" s="6">
        <f t="shared" si="31"/>
        <v>1.0909090909090908</v>
      </c>
      <c r="AM130" s="6">
        <f t="shared" si="32"/>
        <v>0.93474426807760136</v>
      </c>
      <c r="AN130" s="6">
        <f t="shared" si="33"/>
        <v>1.0909090909090908</v>
      </c>
      <c r="AO130" s="4" t="str">
        <f t="shared" si="34"/>
        <v>-</v>
      </c>
      <c r="AP130" s="4" t="str">
        <f t="shared" si="35"/>
        <v>-</v>
      </c>
      <c r="AQ130" s="4" t="str">
        <f t="shared" si="36"/>
        <v>-</v>
      </c>
      <c r="AR130" s="4">
        <v>0</v>
      </c>
      <c r="AS130" s="4" t="s">
        <v>1776</v>
      </c>
      <c r="AT130" s="4"/>
      <c r="AU130" s="4"/>
      <c r="AV130" s="4" t="s">
        <v>1772</v>
      </c>
      <c r="AW130" s="4">
        <v>400</v>
      </c>
      <c r="AX130" s="4">
        <v>400</v>
      </c>
      <c r="AY130" s="4">
        <v>400</v>
      </c>
      <c r="AZ130" s="4">
        <f t="shared" si="37"/>
        <v>400</v>
      </c>
      <c r="BA130" s="19">
        <v>4</v>
      </c>
      <c r="BB130" s="19">
        <v>8</v>
      </c>
      <c r="BC130" s="16">
        <v>19</v>
      </c>
      <c r="BD130" t="s">
        <v>1280</v>
      </c>
      <c r="BE130" t="s">
        <v>1280</v>
      </c>
      <c r="BF130" t="s">
        <v>1280</v>
      </c>
      <c r="BG130" t="str">
        <f t="shared" si="42"/>
        <v>-</v>
      </c>
      <c r="BH130" t="s">
        <v>1280</v>
      </c>
      <c r="BI130">
        <v>488</v>
      </c>
      <c r="BJ130">
        <v>488</v>
      </c>
      <c r="BK130">
        <f t="shared" si="43"/>
        <v>532.36363636363637</v>
      </c>
      <c r="BL130" t="s">
        <v>1351</v>
      </c>
      <c r="BM130">
        <v>812</v>
      </c>
    </row>
    <row r="131" spans="1:65" x14ac:dyDescent="0.4">
      <c r="A131" s="3">
        <v>94</v>
      </c>
      <c r="B131" s="3">
        <v>94</v>
      </c>
      <c r="C131" s="4" t="s">
        <v>83</v>
      </c>
      <c r="D131" s="4" t="str">
        <f t="shared" si="22"/>
        <v>J0855T</v>
      </c>
      <c r="E131" s="4" t="s">
        <v>83</v>
      </c>
      <c r="F131" s="4" t="str">
        <f t="shared" si="38"/>
        <v>J0855T5</v>
      </c>
      <c r="G131" s="4" t="s">
        <v>729</v>
      </c>
      <c r="H131" s="5">
        <v>4974268661722</v>
      </c>
      <c r="I131" s="5">
        <v>5</v>
      </c>
      <c r="J131" s="5"/>
      <c r="K131" s="5">
        <v>1</v>
      </c>
      <c r="L131" s="5">
        <v>1</v>
      </c>
      <c r="M131" s="4">
        <v>550</v>
      </c>
      <c r="N131" s="4">
        <v>523</v>
      </c>
      <c r="O131" s="4">
        <v>330</v>
      </c>
      <c r="P131" s="6">
        <f t="shared" si="23"/>
        <v>0.36902485659655837</v>
      </c>
      <c r="Q131" s="4" t="s">
        <v>1280</v>
      </c>
      <c r="R131" s="4" t="s">
        <v>1280</v>
      </c>
      <c r="S131" s="4" t="s">
        <v>1280</v>
      </c>
      <c r="T131" s="4">
        <v>600</v>
      </c>
      <c r="U131" s="4">
        <f t="shared" si="24"/>
        <v>600</v>
      </c>
      <c r="V131" s="4">
        <v>360</v>
      </c>
      <c r="W131" s="4">
        <f t="shared" si="25"/>
        <v>360</v>
      </c>
      <c r="X131" s="4"/>
      <c r="Y131" s="21">
        <f t="shared" si="26"/>
        <v>571</v>
      </c>
      <c r="Z131" s="6">
        <f t="shared" si="27"/>
        <v>0.36952714535901932</v>
      </c>
      <c r="AA131" s="4">
        <v>0</v>
      </c>
      <c r="AB131" s="4">
        <f t="shared" si="28"/>
        <v>400</v>
      </c>
      <c r="AC131" s="4">
        <f t="shared" si="39"/>
        <v>436.36363636363632</v>
      </c>
      <c r="AD131" s="6">
        <f t="shared" si="40"/>
        <v>0.17499999999999993</v>
      </c>
      <c r="AE131" s="4">
        <f t="shared" si="41"/>
        <v>570</v>
      </c>
      <c r="AF131" s="7">
        <v>530</v>
      </c>
      <c r="AG131" s="6">
        <f t="shared" si="29"/>
        <v>0.32075471698113212</v>
      </c>
      <c r="AH131" s="4">
        <f t="shared" si="30"/>
        <v>170</v>
      </c>
      <c r="AI131" s="28"/>
      <c r="AJ131" s="6"/>
      <c r="AK131" s="6"/>
      <c r="AL131" s="6">
        <f t="shared" si="31"/>
        <v>1.0909090909090908</v>
      </c>
      <c r="AM131" s="6">
        <f t="shared" si="32"/>
        <v>1.0133843212237095</v>
      </c>
      <c r="AN131" s="6">
        <f t="shared" si="33"/>
        <v>1.0909090909090908</v>
      </c>
      <c r="AO131" s="4" t="str">
        <f t="shared" si="34"/>
        <v>-</v>
      </c>
      <c r="AP131" s="4" t="str">
        <f t="shared" si="35"/>
        <v>-</v>
      </c>
      <c r="AQ131" s="4" t="str">
        <f t="shared" si="36"/>
        <v>-</v>
      </c>
      <c r="AR131" s="4">
        <v>0</v>
      </c>
      <c r="AS131" s="4" t="s">
        <v>1779</v>
      </c>
      <c r="AT131" s="4"/>
      <c r="AU131" s="4"/>
      <c r="AV131" s="4" t="s">
        <v>1772</v>
      </c>
      <c r="AW131" s="4">
        <v>400</v>
      </c>
      <c r="AX131" s="4">
        <v>400</v>
      </c>
      <c r="AY131" s="4">
        <v>400</v>
      </c>
      <c r="AZ131" s="4">
        <f t="shared" si="37"/>
        <v>400</v>
      </c>
      <c r="BA131" s="19">
        <v>4</v>
      </c>
      <c r="BB131" s="19">
        <v>8</v>
      </c>
      <c r="BC131" s="16">
        <v>19</v>
      </c>
      <c r="BD131" t="s">
        <v>1280</v>
      </c>
      <c r="BE131" t="s">
        <v>1280</v>
      </c>
      <c r="BF131" t="s">
        <v>1280</v>
      </c>
      <c r="BG131" t="str">
        <f t="shared" si="42"/>
        <v>-</v>
      </c>
      <c r="BH131" t="s">
        <v>1280</v>
      </c>
      <c r="BI131" t="s">
        <v>1280</v>
      </c>
      <c r="BJ131" t="s">
        <v>1280</v>
      </c>
      <c r="BK131" t="str">
        <f t="shared" si="43"/>
        <v>-</v>
      </c>
      <c r="BL131" t="s">
        <v>1354</v>
      </c>
      <c r="BM131">
        <v>812</v>
      </c>
    </row>
    <row r="132" spans="1:65" x14ac:dyDescent="0.4">
      <c r="A132" s="3">
        <v>95</v>
      </c>
      <c r="B132" s="3">
        <v>95</v>
      </c>
      <c r="C132" s="4" t="s">
        <v>84</v>
      </c>
      <c r="D132" s="4" t="str">
        <f t="shared" ref="D132:D195" si="44">TEXT(C132,"000000")</f>
        <v>J0856T</v>
      </c>
      <c r="E132" s="4" t="s">
        <v>84</v>
      </c>
      <c r="F132" s="4" t="str">
        <f t="shared" si="38"/>
        <v>J0856T5</v>
      </c>
      <c r="G132" s="4" t="s">
        <v>730</v>
      </c>
      <c r="H132" s="5">
        <v>4974268661739</v>
      </c>
      <c r="I132" s="5">
        <v>5</v>
      </c>
      <c r="J132" s="5"/>
      <c r="K132" s="5">
        <v>1</v>
      </c>
      <c r="L132" s="5">
        <v>1</v>
      </c>
      <c r="M132" s="4">
        <v>550</v>
      </c>
      <c r="N132" s="4">
        <v>567</v>
      </c>
      <c r="O132" s="4">
        <v>330</v>
      </c>
      <c r="P132" s="6">
        <f t="shared" ref="P132:P195" si="45">1-O132/N132</f>
        <v>0.41798941798941802</v>
      </c>
      <c r="Q132" s="4" t="s">
        <v>1280</v>
      </c>
      <c r="R132" s="4" t="s">
        <v>1280</v>
      </c>
      <c r="S132" s="4" t="s">
        <v>1280</v>
      </c>
      <c r="T132" s="4">
        <v>600</v>
      </c>
      <c r="U132" s="4">
        <f t="shared" ref="U132:U195" si="46">IF(X132="",T132,T132*X132)</f>
        <v>600</v>
      </c>
      <c r="V132" s="4">
        <v>360</v>
      </c>
      <c r="W132" s="4">
        <f t="shared" ref="W132:W195" si="47">IF(X132="",V132,V132*X132)</f>
        <v>360</v>
      </c>
      <c r="X132" s="4"/>
      <c r="Y132" s="21">
        <f t="shared" ref="Y132:Y195" si="48">ROUND(N132*AN132,0)</f>
        <v>619</v>
      </c>
      <c r="Z132" s="6">
        <f t="shared" ref="Z132:Z195" si="49">1-W132/Y132</f>
        <v>0.4184168012924071</v>
      </c>
      <c r="AA132" s="4">
        <v>0</v>
      </c>
      <c r="AB132" s="4">
        <f t="shared" ref="AB132:AB195" si="50">AZ132</f>
        <v>400</v>
      </c>
      <c r="AC132" s="4">
        <f t="shared" si="39"/>
        <v>436.36363636363632</v>
      </c>
      <c r="AD132" s="6">
        <f t="shared" si="40"/>
        <v>0.17499999999999993</v>
      </c>
      <c r="AE132" s="4">
        <f t="shared" si="41"/>
        <v>570</v>
      </c>
      <c r="AF132" s="7">
        <v>530</v>
      </c>
      <c r="AG132" s="6">
        <f t="shared" ref="AG132:AG195" si="51">1-W132/AF132</f>
        <v>0.32075471698113212</v>
      </c>
      <c r="AH132" s="4">
        <f t="shared" ref="AH132:AH195" si="52">AF132-W132</f>
        <v>170</v>
      </c>
      <c r="AI132" s="28"/>
      <c r="AJ132" s="6"/>
      <c r="AK132" s="6"/>
      <c r="AL132" s="6">
        <f t="shared" ref="AL132:AL195" si="53">U132/M132</f>
        <v>1.0909090909090908</v>
      </c>
      <c r="AM132" s="6">
        <f t="shared" ref="AM132:AM195" si="54">AF132/N132</f>
        <v>0.93474426807760136</v>
      </c>
      <c r="AN132" s="6">
        <f t="shared" ref="AN132:AN195" si="55">W132/O132</f>
        <v>1.0909090909090908</v>
      </c>
      <c r="AO132" s="4" t="str">
        <f t="shared" ref="AO132:AO195" si="56">IFERROR(ROUND($AF132*Q132/$N132,0),"-")</f>
        <v>-</v>
      </c>
      <c r="AP132" s="4" t="str">
        <f t="shared" ref="AP132:AP195" si="57">IF(R132="","-",R132)</f>
        <v>-</v>
      </c>
      <c r="AQ132" s="4" t="str">
        <f t="shared" ref="AQ132:AQ195" si="58">IF(S132="","-",S132)</f>
        <v>-</v>
      </c>
      <c r="AR132" s="4">
        <v>0</v>
      </c>
      <c r="AS132" s="4" t="s">
        <v>1780</v>
      </c>
      <c r="AT132" s="4"/>
      <c r="AU132" s="4"/>
      <c r="AV132" s="4" t="s">
        <v>1772</v>
      </c>
      <c r="AW132" s="4">
        <v>400</v>
      </c>
      <c r="AX132" s="4">
        <v>400</v>
      </c>
      <c r="AY132" s="4">
        <v>400</v>
      </c>
      <c r="AZ132" s="4">
        <f t="shared" ref="AZ132:AZ195" si="59">IF(AT132="",AY132,AT132/AU132*AY132)</f>
        <v>400</v>
      </c>
      <c r="BA132" s="19">
        <v>4</v>
      </c>
      <c r="BB132" s="19">
        <v>8</v>
      </c>
      <c r="BC132" s="16">
        <v>19</v>
      </c>
      <c r="BD132" t="s">
        <v>1280</v>
      </c>
      <c r="BE132" t="s">
        <v>1280</v>
      </c>
      <c r="BF132" t="s">
        <v>1280</v>
      </c>
      <c r="BG132" t="str">
        <f t="shared" si="42"/>
        <v>-</v>
      </c>
      <c r="BH132" t="s">
        <v>1280</v>
      </c>
      <c r="BI132">
        <v>488</v>
      </c>
      <c r="BJ132">
        <v>488</v>
      </c>
      <c r="BK132">
        <f t="shared" si="43"/>
        <v>532.36363636363637</v>
      </c>
      <c r="BL132" t="s">
        <v>1355</v>
      </c>
      <c r="BM132">
        <v>812</v>
      </c>
    </row>
    <row r="133" spans="1:65" x14ac:dyDescent="0.4">
      <c r="A133" s="3">
        <v>96</v>
      </c>
      <c r="B133" s="3">
        <v>96</v>
      </c>
      <c r="C133" s="4" t="s">
        <v>85</v>
      </c>
      <c r="D133" s="4" t="str">
        <f t="shared" si="44"/>
        <v>J0857T</v>
      </c>
      <c r="E133" s="4" t="s">
        <v>85</v>
      </c>
      <c r="F133" s="4" t="str">
        <f t="shared" ref="F133:F196" si="60">D133&amp;I133</f>
        <v>J0857T5</v>
      </c>
      <c r="G133" s="4" t="s">
        <v>731</v>
      </c>
      <c r="H133" s="5">
        <v>4974268661746</v>
      </c>
      <c r="I133" s="5">
        <v>5</v>
      </c>
      <c r="J133" s="5"/>
      <c r="K133" s="5">
        <v>1</v>
      </c>
      <c r="L133" s="5">
        <v>1</v>
      </c>
      <c r="M133" s="4">
        <v>550</v>
      </c>
      <c r="N133" s="4">
        <v>523</v>
      </c>
      <c r="O133" s="4">
        <v>330</v>
      </c>
      <c r="P133" s="6">
        <f t="shared" si="45"/>
        <v>0.36902485659655837</v>
      </c>
      <c r="Q133" s="4" t="s">
        <v>1280</v>
      </c>
      <c r="R133" s="4" t="s">
        <v>1280</v>
      </c>
      <c r="S133" s="4" t="s">
        <v>1280</v>
      </c>
      <c r="T133" s="4">
        <v>600</v>
      </c>
      <c r="U133" s="4">
        <f t="shared" si="46"/>
        <v>600</v>
      </c>
      <c r="V133" s="4">
        <v>360</v>
      </c>
      <c r="W133" s="4">
        <f t="shared" si="47"/>
        <v>360</v>
      </c>
      <c r="X133" s="4"/>
      <c r="Y133" s="21">
        <f t="shared" si="48"/>
        <v>571</v>
      </c>
      <c r="Z133" s="6">
        <f t="shared" si="49"/>
        <v>0.36952714535901932</v>
      </c>
      <c r="AA133" s="4">
        <v>0</v>
      </c>
      <c r="AB133" s="4">
        <f t="shared" si="50"/>
        <v>455</v>
      </c>
      <c r="AC133" s="4">
        <f t="shared" ref="AC133:AC196" si="61">IFERROR(AB133*AN133,"-")</f>
        <v>496.36363636363632</v>
      </c>
      <c r="AD133" s="6">
        <f t="shared" ref="AD133:AD196" si="62">IFERROR(1-W133/AC133,"-")</f>
        <v>0.27472527472527464</v>
      </c>
      <c r="AE133" s="4">
        <f t="shared" ref="AE133:AE196" si="63">U133*0.95</f>
        <v>570</v>
      </c>
      <c r="AF133" s="7">
        <v>530</v>
      </c>
      <c r="AG133" s="6">
        <f t="shared" si="51"/>
        <v>0.32075471698113212</v>
      </c>
      <c r="AH133" s="4">
        <f t="shared" si="52"/>
        <v>170</v>
      </c>
      <c r="AI133" s="28"/>
      <c r="AJ133" s="6"/>
      <c r="AK133" s="6"/>
      <c r="AL133" s="6">
        <f t="shared" si="53"/>
        <v>1.0909090909090908</v>
      </c>
      <c r="AM133" s="6">
        <f t="shared" si="54"/>
        <v>1.0133843212237095</v>
      </c>
      <c r="AN133" s="6">
        <f t="shared" si="55"/>
        <v>1.0909090909090908</v>
      </c>
      <c r="AO133" s="4" t="str">
        <f t="shared" si="56"/>
        <v>-</v>
      </c>
      <c r="AP133" s="4" t="str">
        <f t="shared" si="57"/>
        <v>-</v>
      </c>
      <c r="AQ133" s="4" t="str">
        <f t="shared" si="58"/>
        <v>-</v>
      </c>
      <c r="AR133" s="4">
        <v>0</v>
      </c>
      <c r="AS133" s="4" t="s">
        <v>1781</v>
      </c>
      <c r="AT133" s="4"/>
      <c r="AU133" s="4"/>
      <c r="AV133" s="4" t="s">
        <v>1772</v>
      </c>
      <c r="AW133" s="4">
        <v>455</v>
      </c>
      <c r="AX133" s="4">
        <v>455</v>
      </c>
      <c r="AY133" s="4">
        <v>455</v>
      </c>
      <c r="AZ133" s="4">
        <f t="shared" si="59"/>
        <v>455</v>
      </c>
      <c r="BA133" s="19">
        <v>4</v>
      </c>
      <c r="BB133" s="19">
        <v>8</v>
      </c>
      <c r="BC133" s="16">
        <v>19</v>
      </c>
      <c r="BD133" t="s">
        <v>1280</v>
      </c>
      <c r="BE133" t="s">
        <v>1280</v>
      </c>
      <c r="BF133" t="s">
        <v>1280</v>
      </c>
      <c r="BG133" t="str">
        <f t="shared" ref="BG133:BG196" si="64">IFERROR(BF133*AN133,"-")</f>
        <v>-</v>
      </c>
      <c r="BH133" t="s">
        <v>1280</v>
      </c>
      <c r="BI133" t="s">
        <v>1280</v>
      </c>
      <c r="BJ133" t="s">
        <v>1280</v>
      </c>
      <c r="BK133" t="str">
        <f t="shared" ref="BK133:BK196" si="65">IFERROR(BJ133*AN133,"-")</f>
        <v>-</v>
      </c>
      <c r="BL133" t="s">
        <v>1356</v>
      </c>
      <c r="BM133">
        <v>812</v>
      </c>
    </row>
    <row r="134" spans="1:65" x14ac:dyDescent="0.4">
      <c r="A134" s="3">
        <v>97</v>
      </c>
      <c r="B134" s="3">
        <v>97</v>
      </c>
      <c r="C134" s="4" t="s">
        <v>86</v>
      </c>
      <c r="D134" s="4" t="str">
        <f t="shared" si="44"/>
        <v>J0858T</v>
      </c>
      <c r="E134" s="4" t="s">
        <v>86</v>
      </c>
      <c r="F134" s="4" t="str">
        <f t="shared" si="60"/>
        <v>J0858T5</v>
      </c>
      <c r="G134" s="4" t="s">
        <v>732</v>
      </c>
      <c r="H134" s="5">
        <v>4974268661753</v>
      </c>
      <c r="I134" s="5">
        <v>5</v>
      </c>
      <c r="J134" s="5"/>
      <c r="K134" s="5">
        <v>1</v>
      </c>
      <c r="L134" s="5">
        <v>1</v>
      </c>
      <c r="M134" s="4">
        <v>550</v>
      </c>
      <c r="N134" s="4">
        <v>567</v>
      </c>
      <c r="O134" s="4">
        <v>330</v>
      </c>
      <c r="P134" s="6">
        <f t="shared" si="45"/>
        <v>0.41798941798941802</v>
      </c>
      <c r="Q134" s="4" t="s">
        <v>1280</v>
      </c>
      <c r="R134" s="4" t="s">
        <v>1280</v>
      </c>
      <c r="S134" s="4" t="s">
        <v>1280</v>
      </c>
      <c r="T134" s="4">
        <v>600</v>
      </c>
      <c r="U134" s="4">
        <f t="shared" si="46"/>
        <v>600</v>
      </c>
      <c r="V134" s="4">
        <v>360</v>
      </c>
      <c r="W134" s="4">
        <f t="shared" si="47"/>
        <v>360</v>
      </c>
      <c r="X134" s="4"/>
      <c r="Y134" s="21">
        <f t="shared" si="48"/>
        <v>619</v>
      </c>
      <c r="Z134" s="6">
        <f t="shared" si="49"/>
        <v>0.4184168012924071</v>
      </c>
      <c r="AA134" s="4">
        <v>0</v>
      </c>
      <c r="AB134" s="4" t="str">
        <f t="shared" si="50"/>
        <v>-</v>
      </c>
      <c r="AC134" s="4" t="str">
        <f t="shared" si="61"/>
        <v>-</v>
      </c>
      <c r="AD134" s="6" t="str">
        <f t="shared" si="62"/>
        <v>-</v>
      </c>
      <c r="AE134" s="4">
        <f t="shared" si="63"/>
        <v>570</v>
      </c>
      <c r="AF134" s="7">
        <v>530</v>
      </c>
      <c r="AG134" s="6">
        <f t="shared" si="51"/>
        <v>0.32075471698113212</v>
      </c>
      <c r="AH134" s="4">
        <f t="shared" si="52"/>
        <v>170</v>
      </c>
      <c r="AI134" s="28"/>
      <c r="AJ134" s="6"/>
      <c r="AK134" s="6"/>
      <c r="AL134" s="6">
        <f t="shared" si="53"/>
        <v>1.0909090909090908</v>
      </c>
      <c r="AM134" s="6">
        <f t="shared" si="54"/>
        <v>0.93474426807760136</v>
      </c>
      <c r="AN134" s="6">
        <f t="shared" si="55"/>
        <v>1.0909090909090908</v>
      </c>
      <c r="AO134" s="4" t="str">
        <f t="shared" si="56"/>
        <v>-</v>
      </c>
      <c r="AP134" s="4" t="str">
        <f t="shared" si="57"/>
        <v>-</v>
      </c>
      <c r="AQ134" s="4" t="str">
        <f t="shared" si="58"/>
        <v>-</v>
      </c>
      <c r="AR134" s="4">
        <v>0</v>
      </c>
      <c r="AS134" s="4" t="s">
        <v>1280</v>
      </c>
      <c r="AT134" s="4"/>
      <c r="AU134" s="4"/>
      <c r="AV134" s="4" t="s">
        <v>1280</v>
      </c>
      <c r="AW134" s="4" t="s">
        <v>1280</v>
      </c>
      <c r="AX134" s="4" t="s">
        <v>1280</v>
      </c>
      <c r="AY134" s="4" t="s">
        <v>1280</v>
      </c>
      <c r="AZ134" s="4" t="str">
        <f t="shared" si="59"/>
        <v>-</v>
      </c>
      <c r="BA134" s="19">
        <v>4</v>
      </c>
      <c r="BB134" s="19">
        <v>8</v>
      </c>
      <c r="BC134" s="16">
        <v>19</v>
      </c>
      <c r="BD134" t="s">
        <v>1280</v>
      </c>
      <c r="BE134" t="s">
        <v>1280</v>
      </c>
      <c r="BF134" t="s">
        <v>1280</v>
      </c>
      <c r="BG134" t="str">
        <f t="shared" si="64"/>
        <v>-</v>
      </c>
      <c r="BH134" t="s">
        <v>1280</v>
      </c>
      <c r="BI134" t="s">
        <v>1280</v>
      </c>
      <c r="BJ134" t="s">
        <v>1280</v>
      </c>
      <c r="BK134" t="str">
        <f t="shared" si="65"/>
        <v>-</v>
      </c>
      <c r="BL134" t="s">
        <v>1280</v>
      </c>
      <c r="BM134">
        <v>812</v>
      </c>
    </row>
    <row r="135" spans="1:65" x14ac:dyDescent="0.4">
      <c r="A135" s="3">
        <v>104</v>
      </c>
      <c r="B135" s="3">
        <v>104</v>
      </c>
      <c r="C135" s="4" t="s">
        <v>93</v>
      </c>
      <c r="D135" s="4" t="str">
        <f t="shared" si="44"/>
        <v>J0859T</v>
      </c>
      <c r="E135" s="4" t="s">
        <v>93</v>
      </c>
      <c r="F135" s="4" t="str">
        <f t="shared" si="60"/>
        <v>J0859T5</v>
      </c>
      <c r="G135" s="4" t="s">
        <v>739</v>
      </c>
      <c r="H135" s="5">
        <v>4974268662859</v>
      </c>
      <c r="I135" s="5">
        <v>5</v>
      </c>
      <c r="J135" s="5"/>
      <c r="K135" s="5">
        <v>1</v>
      </c>
      <c r="L135" s="5">
        <v>1</v>
      </c>
      <c r="M135" s="4">
        <v>550</v>
      </c>
      <c r="N135" s="4">
        <v>523</v>
      </c>
      <c r="O135" s="4">
        <v>330</v>
      </c>
      <c r="P135" s="6">
        <f t="shared" si="45"/>
        <v>0.36902485659655837</v>
      </c>
      <c r="Q135" s="4" t="s">
        <v>1280</v>
      </c>
      <c r="R135" s="4" t="s">
        <v>1280</v>
      </c>
      <c r="S135" s="4" t="s">
        <v>1280</v>
      </c>
      <c r="T135" s="4">
        <v>600</v>
      </c>
      <c r="U135" s="4">
        <f t="shared" si="46"/>
        <v>600</v>
      </c>
      <c r="V135" s="4">
        <v>360</v>
      </c>
      <c r="W135" s="4">
        <f t="shared" si="47"/>
        <v>360</v>
      </c>
      <c r="X135" s="4"/>
      <c r="Y135" s="21">
        <f t="shared" si="48"/>
        <v>571</v>
      </c>
      <c r="Z135" s="6">
        <f t="shared" si="49"/>
        <v>0.36952714535901932</v>
      </c>
      <c r="AA135" s="4">
        <v>0</v>
      </c>
      <c r="AB135" s="4">
        <f t="shared" si="50"/>
        <v>400</v>
      </c>
      <c r="AC135" s="4">
        <f t="shared" si="61"/>
        <v>436.36363636363632</v>
      </c>
      <c r="AD135" s="6">
        <f t="shared" si="62"/>
        <v>0.17499999999999993</v>
      </c>
      <c r="AE135" s="4">
        <f t="shared" si="63"/>
        <v>570</v>
      </c>
      <c r="AF135" s="7">
        <v>530</v>
      </c>
      <c r="AG135" s="6">
        <f t="shared" si="51"/>
        <v>0.32075471698113212</v>
      </c>
      <c r="AH135" s="4">
        <f t="shared" si="52"/>
        <v>170</v>
      </c>
      <c r="AI135" s="28"/>
      <c r="AJ135" s="6"/>
      <c r="AK135" s="6"/>
      <c r="AL135" s="6">
        <f t="shared" si="53"/>
        <v>1.0909090909090908</v>
      </c>
      <c r="AM135" s="6">
        <f t="shared" si="54"/>
        <v>1.0133843212237095</v>
      </c>
      <c r="AN135" s="6">
        <f t="shared" si="55"/>
        <v>1.0909090909090908</v>
      </c>
      <c r="AO135" s="4" t="str">
        <f t="shared" si="56"/>
        <v>-</v>
      </c>
      <c r="AP135" s="4" t="str">
        <f t="shared" si="57"/>
        <v>-</v>
      </c>
      <c r="AQ135" s="4" t="str">
        <f t="shared" si="58"/>
        <v>-</v>
      </c>
      <c r="AR135" s="4">
        <v>0</v>
      </c>
      <c r="AS135" s="4" t="s">
        <v>1791</v>
      </c>
      <c r="AT135" s="4"/>
      <c r="AU135" s="4"/>
      <c r="AV135" s="4" t="s">
        <v>1772</v>
      </c>
      <c r="AW135" s="4">
        <v>400</v>
      </c>
      <c r="AX135" s="4">
        <v>400</v>
      </c>
      <c r="AY135" s="4">
        <v>400</v>
      </c>
      <c r="AZ135" s="4">
        <f t="shared" si="59"/>
        <v>400</v>
      </c>
      <c r="BA135" s="19">
        <v>4</v>
      </c>
      <c r="BB135" s="19">
        <v>8</v>
      </c>
      <c r="BC135" s="16">
        <v>19</v>
      </c>
      <c r="BD135" t="s">
        <v>1280</v>
      </c>
      <c r="BE135" t="s">
        <v>1280</v>
      </c>
      <c r="BF135" t="s">
        <v>1280</v>
      </c>
      <c r="BG135" t="str">
        <f t="shared" si="64"/>
        <v>-</v>
      </c>
      <c r="BH135" t="s">
        <v>1280</v>
      </c>
      <c r="BI135">
        <v>488</v>
      </c>
      <c r="BJ135">
        <v>488</v>
      </c>
      <c r="BK135">
        <f t="shared" si="65"/>
        <v>532.36363636363637</v>
      </c>
      <c r="BL135" t="s">
        <v>1362</v>
      </c>
      <c r="BM135">
        <v>812</v>
      </c>
    </row>
    <row r="136" spans="1:65" x14ac:dyDescent="0.4">
      <c r="A136" s="3">
        <v>31</v>
      </c>
      <c r="B136" s="3">
        <v>31</v>
      </c>
      <c r="C136" s="4">
        <v>190347</v>
      </c>
      <c r="D136" s="4" t="str">
        <f t="shared" si="44"/>
        <v>190347</v>
      </c>
      <c r="E136" s="4">
        <v>190347</v>
      </c>
      <c r="F136" s="4" t="str">
        <f t="shared" si="60"/>
        <v>1903475</v>
      </c>
      <c r="G136" s="4" t="s">
        <v>666</v>
      </c>
      <c r="H136" s="5">
        <v>4974268664587</v>
      </c>
      <c r="I136" s="5">
        <v>5</v>
      </c>
      <c r="J136" s="5"/>
      <c r="K136" s="5">
        <v>1</v>
      </c>
      <c r="L136" s="5">
        <v>1</v>
      </c>
      <c r="M136" s="4">
        <v>530</v>
      </c>
      <c r="N136" s="4">
        <v>534</v>
      </c>
      <c r="O136" s="4">
        <v>318</v>
      </c>
      <c r="P136" s="6">
        <f t="shared" si="45"/>
        <v>0.4044943820224719</v>
      </c>
      <c r="Q136" s="4" t="s">
        <v>1280</v>
      </c>
      <c r="R136" s="4" t="s">
        <v>1280</v>
      </c>
      <c r="S136" s="4" t="s">
        <v>1280</v>
      </c>
      <c r="T136" s="4">
        <v>610</v>
      </c>
      <c r="U136" s="4">
        <f t="shared" si="46"/>
        <v>610</v>
      </c>
      <c r="V136" s="4">
        <v>366</v>
      </c>
      <c r="W136" s="4">
        <f t="shared" si="47"/>
        <v>366</v>
      </c>
      <c r="X136" s="4"/>
      <c r="Y136" s="21">
        <f t="shared" si="48"/>
        <v>615</v>
      </c>
      <c r="Z136" s="6">
        <f t="shared" si="49"/>
        <v>0.40487804878048783</v>
      </c>
      <c r="AA136" s="4">
        <v>3.5000000000000004</v>
      </c>
      <c r="AB136" s="4">
        <f t="shared" si="50"/>
        <v>519</v>
      </c>
      <c r="AC136" s="4">
        <f t="shared" si="61"/>
        <v>597.33962264150944</v>
      </c>
      <c r="AD136" s="6">
        <f t="shared" si="62"/>
        <v>0.38728323699421963</v>
      </c>
      <c r="AE136" s="4">
        <f t="shared" si="63"/>
        <v>579.5</v>
      </c>
      <c r="AF136" s="7">
        <v>570</v>
      </c>
      <c r="AG136" s="6">
        <f t="shared" si="51"/>
        <v>0.35789473684210527</v>
      </c>
      <c r="AH136" s="4">
        <f t="shared" si="52"/>
        <v>204</v>
      </c>
      <c r="AI136" s="28"/>
      <c r="AJ136" s="6"/>
      <c r="AK136" s="6"/>
      <c r="AL136" s="6">
        <f t="shared" si="53"/>
        <v>1.1509433962264151</v>
      </c>
      <c r="AM136" s="6">
        <f t="shared" si="54"/>
        <v>1.0674157303370786</v>
      </c>
      <c r="AN136" s="6">
        <f t="shared" si="55"/>
        <v>1.1509433962264151</v>
      </c>
      <c r="AO136" s="4" t="str">
        <f t="shared" si="56"/>
        <v>-</v>
      </c>
      <c r="AP136" s="4" t="str">
        <f t="shared" si="57"/>
        <v>-</v>
      </c>
      <c r="AQ136" s="4" t="str">
        <f t="shared" si="58"/>
        <v>-</v>
      </c>
      <c r="AR136" s="4">
        <v>0</v>
      </c>
      <c r="AS136" s="4" t="s">
        <v>1716</v>
      </c>
      <c r="AT136" s="4"/>
      <c r="AU136" s="4"/>
      <c r="AV136" s="4" t="s">
        <v>1713</v>
      </c>
      <c r="AW136" s="4">
        <v>519</v>
      </c>
      <c r="AX136" s="4">
        <v>519</v>
      </c>
      <c r="AY136" s="4">
        <v>519</v>
      </c>
      <c r="AZ136" s="4">
        <f t="shared" si="59"/>
        <v>519</v>
      </c>
      <c r="BA136" s="19">
        <v>4</v>
      </c>
      <c r="BB136" s="19">
        <v>1</v>
      </c>
      <c r="BC136" s="16">
        <v>19</v>
      </c>
      <c r="BD136" t="s">
        <v>1280</v>
      </c>
      <c r="BE136">
        <v>455</v>
      </c>
      <c r="BF136">
        <v>455</v>
      </c>
      <c r="BG136">
        <f t="shared" si="64"/>
        <v>523.67924528301887</v>
      </c>
      <c r="BH136" t="s">
        <v>1280</v>
      </c>
      <c r="BI136">
        <v>498</v>
      </c>
      <c r="BJ136">
        <v>498</v>
      </c>
      <c r="BK136">
        <f t="shared" si="65"/>
        <v>573.16981132075466</v>
      </c>
      <c r="BL136" t="s">
        <v>1311</v>
      </c>
      <c r="BM136">
        <v>812</v>
      </c>
    </row>
    <row r="137" spans="1:65" x14ac:dyDescent="0.4">
      <c r="A137" s="3">
        <v>139</v>
      </c>
      <c r="B137" s="3">
        <v>139</v>
      </c>
      <c r="C137" s="4" t="s">
        <v>128</v>
      </c>
      <c r="D137" s="4" t="str">
        <f t="shared" si="44"/>
        <v>J1820W</v>
      </c>
      <c r="E137" s="4" t="s">
        <v>128</v>
      </c>
      <c r="F137" s="4" t="str">
        <f t="shared" si="60"/>
        <v>J1820W5</v>
      </c>
      <c r="G137" s="4" t="s">
        <v>774</v>
      </c>
      <c r="H137" s="5">
        <v>4974268153470</v>
      </c>
      <c r="I137" s="5">
        <v>5</v>
      </c>
      <c r="J137" s="5"/>
      <c r="K137" s="5">
        <v>1</v>
      </c>
      <c r="L137" s="5">
        <v>1</v>
      </c>
      <c r="M137" s="4">
        <v>4900</v>
      </c>
      <c r="N137" s="4">
        <v>4655</v>
      </c>
      <c r="O137" s="4">
        <v>3430</v>
      </c>
      <c r="P137" s="6">
        <f t="shared" si="45"/>
        <v>0.26315789473684215</v>
      </c>
      <c r="Q137" s="4" t="s">
        <v>1280</v>
      </c>
      <c r="R137" s="4" t="s">
        <v>1280</v>
      </c>
      <c r="S137" s="4" t="s">
        <v>1280</v>
      </c>
      <c r="T137" s="4">
        <v>530</v>
      </c>
      <c r="U137" s="4">
        <f t="shared" si="46"/>
        <v>5300</v>
      </c>
      <c r="V137" s="4">
        <v>371</v>
      </c>
      <c r="W137" s="4">
        <f t="shared" si="47"/>
        <v>3710</v>
      </c>
      <c r="X137" s="4">
        <v>10</v>
      </c>
      <c r="Y137" s="21">
        <f t="shared" si="48"/>
        <v>5035</v>
      </c>
      <c r="Z137" s="6">
        <f t="shared" si="49"/>
        <v>0.26315789473684215</v>
      </c>
      <c r="AA137" s="4">
        <v>0</v>
      </c>
      <c r="AB137" s="4">
        <f t="shared" si="50"/>
        <v>4910</v>
      </c>
      <c r="AC137" s="4">
        <f t="shared" si="61"/>
        <v>5310.816326530613</v>
      </c>
      <c r="AD137" s="6">
        <f t="shared" si="62"/>
        <v>0.30142566191446041</v>
      </c>
      <c r="AE137" s="4">
        <f t="shared" si="63"/>
        <v>5035</v>
      </c>
      <c r="AF137" s="7">
        <v>5300</v>
      </c>
      <c r="AG137" s="6">
        <f t="shared" si="51"/>
        <v>0.30000000000000004</v>
      </c>
      <c r="AH137" s="4">
        <f t="shared" si="52"/>
        <v>1590</v>
      </c>
      <c r="AI137" s="28"/>
      <c r="AJ137" s="6"/>
      <c r="AK137" s="6"/>
      <c r="AL137" s="6">
        <f t="shared" si="53"/>
        <v>1.0816326530612246</v>
      </c>
      <c r="AM137" s="6">
        <f t="shared" si="54"/>
        <v>1.138560687432868</v>
      </c>
      <c r="AN137" s="6">
        <f t="shared" si="55"/>
        <v>1.0816326530612246</v>
      </c>
      <c r="AO137" s="4" t="str">
        <f t="shared" si="56"/>
        <v>-</v>
      </c>
      <c r="AP137" s="4" t="str">
        <f t="shared" si="57"/>
        <v>-</v>
      </c>
      <c r="AQ137" s="4" t="str">
        <f t="shared" si="58"/>
        <v>-</v>
      </c>
      <c r="AR137" s="4">
        <v>0</v>
      </c>
      <c r="AS137" s="4" t="s">
        <v>1833</v>
      </c>
      <c r="AT137" s="4">
        <v>10</v>
      </c>
      <c r="AU137" s="4">
        <v>1</v>
      </c>
      <c r="AV137" s="4" t="s">
        <v>1737</v>
      </c>
      <c r="AW137" s="4">
        <v>491</v>
      </c>
      <c r="AX137" s="4">
        <v>491</v>
      </c>
      <c r="AY137" s="4">
        <v>491</v>
      </c>
      <c r="AZ137" s="4">
        <f t="shared" si="59"/>
        <v>4910</v>
      </c>
      <c r="BA137" s="19">
        <v>4</v>
      </c>
      <c r="BB137" s="19">
        <v>8</v>
      </c>
      <c r="BC137" s="16">
        <v>19</v>
      </c>
      <c r="BD137" t="s">
        <v>1280</v>
      </c>
      <c r="BE137" t="s">
        <v>1280</v>
      </c>
      <c r="BF137" t="s">
        <v>1280</v>
      </c>
      <c r="BG137" t="str">
        <f t="shared" si="64"/>
        <v>-</v>
      </c>
      <c r="BH137" t="s">
        <v>1280</v>
      </c>
      <c r="BI137" t="s">
        <v>1280</v>
      </c>
      <c r="BJ137" t="s">
        <v>1280</v>
      </c>
      <c r="BK137" t="str">
        <f t="shared" si="65"/>
        <v>-</v>
      </c>
      <c r="BL137" t="s">
        <v>1389</v>
      </c>
      <c r="BM137">
        <v>812</v>
      </c>
    </row>
    <row r="138" spans="1:65" x14ac:dyDescent="0.4">
      <c r="A138" s="3">
        <v>14</v>
      </c>
      <c r="B138" s="3">
        <v>14</v>
      </c>
      <c r="C138" s="4">
        <v>173111</v>
      </c>
      <c r="D138" s="4" t="str">
        <f t="shared" si="44"/>
        <v>173111</v>
      </c>
      <c r="E138" s="4">
        <v>173111</v>
      </c>
      <c r="F138" s="4" t="str">
        <f t="shared" si="60"/>
        <v>1731115</v>
      </c>
      <c r="G138" s="4" t="s">
        <v>649</v>
      </c>
      <c r="H138" s="5">
        <v>4974268454522</v>
      </c>
      <c r="I138" s="5">
        <v>5</v>
      </c>
      <c r="J138" s="5"/>
      <c r="K138" s="5">
        <v>1</v>
      </c>
      <c r="L138" s="5">
        <v>1</v>
      </c>
      <c r="M138" s="4">
        <v>610</v>
      </c>
      <c r="N138" s="4">
        <v>525</v>
      </c>
      <c r="O138" s="4">
        <v>366</v>
      </c>
      <c r="P138" s="6">
        <f t="shared" si="45"/>
        <v>0.30285714285714282</v>
      </c>
      <c r="Q138" s="4" t="s">
        <v>1280</v>
      </c>
      <c r="R138" s="4" t="s">
        <v>1280</v>
      </c>
      <c r="S138" s="4" t="s">
        <v>1280</v>
      </c>
      <c r="T138" s="4">
        <v>620</v>
      </c>
      <c r="U138" s="4">
        <f t="shared" si="46"/>
        <v>620</v>
      </c>
      <c r="V138" s="4">
        <v>372</v>
      </c>
      <c r="W138" s="4">
        <f t="shared" si="47"/>
        <v>372</v>
      </c>
      <c r="X138" s="4"/>
      <c r="Y138" s="21">
        <f t="shared" si="48"/>
        <v>534</v>
      </c>
      <c r="Z138" s="6">
        <f t="shared" si="49"/>
        <v>0.3033707865168539</v>
      </c>
      <c r="AA138" s="4">
        <v>0.5</v>
      </c>
      <c r="AB138" s="4">
        <f t="shared" si="50"/>
        <v>1042.2</v>
      </c>
      <c r="AC138" s="4">
        <f t="shared" si="61"/>
        <v>1059.2852459016394</v>
      </c>
      <c r="AD138" s="6">
        <f t="shared" si="62"/>
        <v>0.64881980426021879</v>
      </c>
      <c r="AE138" s="4">
        <f t="shared" si="63"/>
        <v>589</v>
      </c>
      <c r="AF138" s="7">
        <v>527</v>
      </c>
      <c r="AG138" s="6">
        <f t="shared" si="51"/>
        <v>0.29411764705882348</v>
      </c>
      <c r="AH138" s="4">
        <f t="shared" si="52"/>
        <v>155</v>
      </c>
      <c r="AI138" s="28"/>
      <c r="AJ138" s="6"/>
      <c r="AK138" s="6"/>
      <c r="AL138" s="6">
        <f t="shared" si="53"/>
        <v>1.0163934426229508</v>
      </c>
      <c r="AM138" s="6">
        <f t="shared" si="54"/>
        <v>1.0038095238095237</v>
      </c>
      <c r="AN138" s="6">
        <f t="shared" si="55"/>
        <v>1.0163934426229508</v>
      </c>
      <c r="AO138" s="4" t="str">
        <f t="shared" si="56"/>
        <v>-</v>
      </c>
      <c r="AP138" s="4" t="str">
        <f t="shared" si="57"/>
        <v>-</v>
      </c>
      <c r="AQ138" s="4" t="str">
        <f t="shared" si="58"/>
        <v>-</v>
      </c>
      <c r="AR138" s="4" t="s">
        <v>1282</v>
      </c>
      <c r="AS138" s="4" t="s">
        <v>1702</v>
      </c>
      <c r="AT138" s="4">
        <v>1</v>
      </c>
      <c r="AU138" s="4">
        <v>5</v>
      </c>
      <c r="AV138" s="4" t="s">
        <v>1703</v>
      </c>
      <c r="AW138" s="4">
        <v>4669</v>
      </c>
      <c r="AX138" s="4">
        <v>5211</v>
      </c>
      <c r="AY138" s="4">
        <v>5211</v>
      </c>
      <c r="AZ138" s="4">
        <f t="shared" si="59"/>
        <v>1042.2</v>
      </c>
      <c r="BA138" s="19">
        <v>4</v>
      </c>
      <c r="BB138" s="19">
        <v>1</v>
      </c>
      <c r="BC138" s="16">
        <v>19</v>
      </c>
      <c r="BD138">
        <v>519</v>
      </c>
      <c r="BE138">
        <v>519</v>
      </c>
      <c r="BF138" t="s">
        <v>1280</v>
      </c>
      <c r="BG138" t="str">
        <f t="shared" si="64"/>
        <v>-</v>
      </c>
      <c r="BH138" t="s">
        <v>1280</v>
      </c>
      <c r="BI138" t="s">
        <v>1280</v>
      </c>
      <c r="BJ138" t="s">
        <v>1280</v>
      </c>
      <c r="BK138" t="str">
        <f t="shared" si="65"/>
        <v>-</v>
      </c>
      <c r="BL138" t="s">
        <v>1299</v>
      </c>
      <c r="BM138">
        <v>812</v>
      </c>
    </row>
    <row r="139" spans="1:65" x14ac:dyDescent="0.4">
      <c r="A139" s="3">
        <v>15</v>
      </c>
      <c r="B139" s="3">
        <v>15</v>
      </c>
      <c r="C139" s="4">
        <v>173282</v>
      </c>
      <c r="D139" s="4" t="str">
        <f t="shared" si="44"/>
        <v>173282</v>
      </c>
      <c r="E139" s="4">
        <v>173282</v>
      </c>
      <c r="F139" s="4" t="str">
        <f t="shared" si="60"/>
        <v>1732825</v>
      </c>
      <c r="G139" s="4" t="s">
        <v>650</v>
      </c>
      <c r="H139" s="5">
        <v>4974268454539</v>
      </c>
      <c r="I139" s="5">
        <v>5</v>
      </c>
      <c r="J139" s="5"/>
      <c r="K139" s="5">
        <v>1</v>
      </c>
      <c r="L139" s="5">
        <v>1</v>
      </c>
      <c r="M139" s="4">
        <v>610</v>
      </c>
      <c r="N139" s="4">
        <v>436</v>
      </c>
      <c r="O139" s="4">
        <v>366</v>
      </c>
      <c r="P139" s="6">
        <f t="shared" si="45"/>
        <v>0.16055045871559637</v>
      </c>
      <c r="Q139" s="4" t="s">
        <v>1280</v>
      </c>
      <c r="R139" s="4" t="s">
        <v>1280</v>
      </c>
      <c r="S139" s="4" t="s">
        <v>1280</v>
      </c>
      <c r="T139" s="4">
        <v>620</v>
      </c>
      <c r="U139" s="4">
        <f t="shared" si="46"/>
        <v>620</v>
      </c>
      <c r="V139" s="4">
        <v>372</v>
      </c>
      <c r="W139" s="4">
        <f t="shared" si="47"/>
        <v>372</v>
      </c>
      <c r="X139" s="4"/>
      <c r="Y139" s="21">
        <f t="shared" si="48"/>
        <v>443</v>
      </c>
      <c r="Z139" s="6">
        <f t="shared" si="49"/>
        <v>0.16027088036117376</v>
      </c>
      <c r="AA139" s="4">
        <v>0.25</v>
      </c>
      <c r="AB139" s="4" t="str">
        <f t="shared" si="50"/>
        <v>-</v>
      </c>
      <c r="AC139" s="4" t="str">
        <f t="shared" si="61"/>
        <v>-</v>
      </c>
      <c r="AD139" s="6" t="str">
        <f t="shared" si="62"/>
        <v>-</v>
      </c>
      <c r="AE139" s="4">
        <f t="shared" si="63"/>
        <v>589</v>
      </c>
      <c r="AF139" s="7">
        <v>527</v>
      </c>
      <c r="AG139" s="6">
        <f t="shared" si="51"/>
        <v>0.29411764705882348</v>
      </c>
      <c r="AH139" s="4">
        <f t="shared" si="52"/>
        <v>155</v>
      </c>
      <c r="AI139" s="28"/>
      <c r="AJ139" s="6"/>
      <c r="AK139" s="6"/>
      <c r="AL139" s="6">
        <f t="shared" si="53"/>
        <v>1.0163934426229508</v>
      </c>
      <c r="AM139" s="6">
        <f t="shared" si="54"/>
        <v>1.2087155963302751</v>
      </c>
      <c r="AN139" s="6">
        <f t="shared" si="55"/>
        <v>1.0163934426229508</v>
      </c>
      <c r="AO139" s="4" t="str">
        <f t="shared" si="56"/>
        <v>-</v>
      </c>
      <c r="AP139" s="4" t="str">
        <f t="shared" si="57"/>
        <v>-</v>
      </c>
      <c r="AQ139" s="4" t="str">
        <f t="shared" si="58"/>
        <v>-</v>
      </c>
      <c r="AR139" s="4">
        <v>0</v>
      </c>
      <c r="AS139" s="4" t="s">
        <v>1280</v>
      </c>
      <c r="AT139" s="4"/>
      <c r="AU139" s="4"/>
      <c r="AV139" s="4" t="s">
        <v>1280</v>
      </c>
      <c r="AW139" s="4" t="s">
        <v>1280</v>
      </c>
      <c r="AX139" s="4" t="s">
        <v>1280</v>
      </c>
      <c r="AY139" s="4" t="s">
        <v>1280</v>
      </c>
      <c r="AZ139" s="4" t="str">
        <f t="shared" si="59"/>
        <v>-</v>
      </c>
      <c r="BA139" s="19">
        <v>4</v>
      </c>
      <c r="BB139" s="19">
        <v>1</v>
      </c>
      <c r="BC139" s="16">
        <v>19</v>
      </c>
      <c r="BD139">
        <v>519</v>
      </c>
      <c r="BE139">
        <v>519</v>
      </c>
      <c r="BF139">
        <v>519</v>
      </c>
      <c r="BG139">
        <f t="shared" si="64"/>
        <v>527.50819672131149</v>
      </c>
      <c r="BH139" t="s">
        <v>1280</v>
      </c>
      <c r="BI139" t="s">
        <v>1280</v>
      </c>
      <c r="BJ139" t="s">
        <v>1280</v>
      </c>
      <c r="BK139" t="str">
        <f t="shared" si="65"/>
        <v>-</v>
      </c>
      <c r="BL139" t="s">
        <v>1280</v>
      </c>
      <c r="BM139">
        <v>812</v>
      </c>
    </row>
    <row r="140" spans="1:65" x14ac:dyDescent="0.4">
      <c r="A140" s="3">
        <v>16</v>
      </c>
      <c r="B140" s="3">
        <v>16</v>
      </c>
      <c r="C140" s="4">
        <v>173349</v>
      </c>
      <c r="D140" s="4" t="str">
        <f t="shared" si="44"/>
        <v>173349</v>
      </c>
      <c r="E140" s="4">
        <v>173349</v>
      </c>
      <c r="F140" s="4" t="str">
        <f t="shared" si="60"/>
        <v>1733495</v>
      </c>
      <c r="G140" s="4" t="s">
        <v>651</v>
      </c>
      <c r="H140" s="5">
        <v>4974268454546</v>
      </c>
      <c r="I140" s="5">
        <v>5</v>
      </c>
      <c r="J140" s="5"/>
      <c r="K140" s="5">
        <v>1</v>
      </c>
      <c r="L140" s="5">
        <v>1</v>
      </c>
      <c r="M140" s="4">
        <v>610</v>
      </c>
      <c r="N140" s="4">
        <v>490</v>
      </c>
      <c r="O140" s="4">
        <v>366</v>
      </c>
      <c r="P140" s="6">
        <f t="shared" si="45"/>
        <v>0.25306122448979596</v>
      </c>
      <c r="Q140" s="4" t="s">
        <v>1280</v>
      </c>
      <c r="R140" s="4" t="s">
        <v>1280</v>
      </c>
      <c r="S140" s="4" t="s">
        <v>1280</v>
      </c>
      <c r="T140" s="4">
        <v>620</v>
      </c>
      <c r="U140" s="4">
        <f t="shared" si="46"/>
        <v>620</v>
      </c>
      <c r="V140" s="4">
        <v>372</v>
      </c>
      <c r="W140" s="4">
        <f t="shared" si="47"/>
        <v>372</v>
      </c>
      <c r="X140" s="4"/>
      <c r="Y140" s="21">
        <f t="shared" si="48"/>
        <v>498</v>
      </c>
      <c r="Z140" s="6">
        <f t="shared" si="49"/>
        <v>0.25301204819277112</v>
      </c>
      <c r="AA140" s="4">
        <v>0</v>
      </c>
      <c r="AB140" s="4" t="str">
        <f t="shared" si="50"/>
        <v>-</v>
      </c>
      <c r="AC140" s="4" t="str">
        <f t="shared" si="61"/>
        <v>-</v>
      </c>
      <c r="AD140" s="6" t="str">
        <f t="shared" si="62"/>
        <v>-</v>
      </c>
      <c r="AE140" s="4">
        <f t="shared" si="63"/>
        <v>589</v>
      </c>
      <c r="AF140" s="7">
        <v>527</v>
      </c>
      <c r="AG140" s="6">
        <f t="shared" si="51"/>
        <v>0.29411764705882348</v>
      </c>
      <c r="AH140" s="4">
        <f t="shared" si="52"/>
        <v>155</v>
      </c>
      <c r="AI140" s="28"/>
      <c r="AJ140" s="6"/>
      <c r="AK140" s="6"/>
      <c r="AL140" s="6">
        <f t="shared" si="53"/>
        <v>1.0163934426229508</v>
      </c>
      <c r="AM140" s="6">
        <f t="shared" si="54"/>
        <v>1.0755102040816327</v>
      </c>
      <c r="AN140" s="6">
        <f t="shared" si="55"/>
        <v>1.0163934426229508</v>
      </c>
      <c r="AO140" s="4" t="str">
        <f t="shared" si="56"/>
        <v>-</v>
      </c>
      <c r="AP140" s="4" t="str">
        <f t="shared" si="57"/>
        <v>-</v>
      </c>
      <c r="AQ140" s="4" t="str">
        <f t="shared" si="58"/>
        <v>-</v>
      </c>
      <c r="AR140" s="4">
        <v>0</v>
      </c>
      <c r="AS140" s="4" t="s">
        <v>1280</v>
      </c>
      <c r="AT140" s="4"/>
      <c r="AU140" s="4"/>
      <c r="AV140" s="4" t="s">
        <v>1280</v>
      </c>
      <c r="AW140" s="4" t="s">
        <v>1280</v>
      </c>
      <c r="AX140" s="4" t="s">
        <v>1280</v>
      </c>
      <c r="AY140" s="4" t="s">
        <v>1280</v>
      </c>
      <c r="AZ140" s="4" t="str">
        <f t="shared" si="59"/>
        <v>-</v>
      </c>
      <c r="BA140" s="19">
        <v>4</v>
      </c>
      <c r="BB140" s="19">
        <v>1</v>
      </c>
      <c r="BC140" s="16">
        <v>19</v>
      </c>
      <c r="BD140">
        <v>519</v>
      </c>
      <c r="BE140">
        <v>519</v>
      </c>
      <c r="BF140">
        <v>519</v>
      </c>
      <c r="BG140">
        <f t="shared" si="64"/>
        <v>527.50819672131149</v>
      </c>
      <c r="BH140" t="s">
        <v>1280</v>
      </c>
      <c r="BI140" t="s">
        <v>1280</v>
      </c>
      <c r="BJ140" t="s">
        <v>1280</v>
      </c>
      <c r="BK140" t="str">
        <f t="shared" si="65"/>
        <v>-</v>
      </c>
      <c r="BL140" t="s">
        <v>1280</v>
      </c>
      <c r="BM140">
        <v>812</v>
      </c>
    </row>
    <row r="141" spans="1:65" x14ac:dyDescent="0.4">
      <c r="A141" s="3">
        <v>17</v>
      </c>
      <c r="B141" s="3">
        <v>17</v>
      </c>
      <c r="C141" s="4">
        <v>173390</v>
      </c>
      <c r="D141" s="4" t="str">
        <f t="shared" si="44"/>
        <v>173390</v>
      </c>
      <c r="E141" s="4">
        <v>173390</v>
      </c>
      <c r="F141" s="4" t="str">
        <f t="shared" si="60"/>
        <v>1733905</v>
      </c>
      <c r="G141" s="4" t="s">
        <v>652</v>
      </c>
      <c r="H141" s="5">
        <v>4974268454553</v>
      </c>
      <c r="I141" s="5">
        <v>5</v>
      </c>
      <c r="J141" s="5"/>
      <c r="K141" s="5">
        <v>1</v>
      </c>
      <c r="L141" s="5">
        <v>1</v>
      </c>
      <c r="M141" s="4">
        <v>610</v>
      </c>
      <c r="N141" s="4">
        <v>490</v>
      </c>
      <c r="O141" s="4">
        <v>366</v>
      </c>
      <c r="P141" s="6">
        <f t="shared" si="45"/>
        <v>0.25306122448979596</v>
      </c>
      <c r="Q141" s="4" t="s">
        <v>1280</v>
      </c>
      <c r="R141" s="4" t="s">
        <v>1280</v>
      </c>
      <c r="S141" s="4" t="s">
        <v>1280</v>
      </c>
      <c r="T141" s="4">
        <v>620</v>
      </c>
      <c r="U141" s="4">
        <f t="shared" si="46"/>
        <v>620</v>
      </c>
      <c r="V141" s="4">
        <v>372</v>
      </c>
      <c r="W141" s="4">
        <f t="shared" si="47"/>
        <v>372</v>
      </c>
      <c r="X141" s="4"/>
      <c r="Y141" s="21">
        <f t="shared" si="48"/>
        <v>498</v>
      </c>
      <c r="Z141" s="6">
        <f t="shared" si="49"/>
        <v>0.25301204819277112</v>
      </c>
      <c r="AA141" s="4">
        <v>0.5</v>
      </c>
      <c r="AB141" s="4" t="str">
        <f t="shared" si="50"/>
        <v>-</v>
      </c>
      <c r="AC141" s="4" t="str">
        <f t="shared" si="61"/>
        <v>-</v>
      </c>
      <c r="AD141" s="6" t="str">
        <f t="shared" si="62"/>
        <v>-</v>
      </c>
      <c r="AE141" s="4">
        <f t="shared" si="63"/>
        <v>589</v>
      </c>
      <c r="AF141" s="7">
        <v>550</v>
      </c>
      <c r="AG141" s="6">
        <f t="shared" si="51"/>
        <v>0.32363636363636361</v>
      </c>
      <c r="AH141" s="4">
        <f t="shared" si="52"/>
        <v>178</v>
      </c>
      <c r="AI141" s="28"/>
      <c r="AJ141" s="6"/>
      <c r="AK141" s="6"/>
      <c r="AL141" s="6">
        <f t="shared" si="53"/>
        <v>1.0163934426229508</v>
      </c>
      <c r="AM141" s="6">
        <f t="shared" si="54"/>
        <v>1.1224489795918366</v>
      </c>
      <c r="AN141" s="6">
        <f t="shared" si="55"/>
        <v>1.0163934426229508</v>
      </c>
      <c r="AO141" s="4" t="str">
        <f t="shared" si="56"/>
        <v>-</v>
      </c>
      <c r="AP141" s="4" t="str">
        <f t="shared" si="57"/>
        <v>-</v>
      </c>
      <c r="AQ141" s="4" t="str">
        <f t="shared" si="58"/>
        <v>-</v>
      </c>
      <c r="AR141" s="4">
        <v>0</v>
      </c>
      <c r="AS141" s="4" t="s">
        <v>1280</v>
      </c>
      <c r="AT141" s="4"/>
      <c r="AU141" s="4"/>
      <c r="AV141" s="4" t="s">
        <v>1280</v>
      </c>
      <c r="AW141" s="4" t="s">
        <v>1280</v>
      </c>
      <c r="AX141" s="4" t="s">
        <v>1280</v>
      </c>
      <c r="AY141" s="4" t="s">
        <v>1280</v>
      </c>
      <c r="AZ141" s="4" t="str">
        <f t="shared" si="59"/>
        <v>-</v>
      </c>
      <c r="BA141" s="19">
        <v>4</v>
      </c>
      <c r="BB141" s="19">
        <v>1</v>
      </c>
      <c r="BC141" s="16">
        <v>19</v>
      </c>
      <c r="BD141" t="s">
        <v>1280</v>
      </c>
      <c r="BE141" t="s">
        <v>1280</v>
      </c>
      <c r="BF141" t="s">
        <v>1280</v>
      </c>
      <c r="BG141" t="str">
        <f t="shared" si="64"/>
        <v>-</v>
      </c>
      <c r="BH141" t="s">
        <v>1280</v>
      </c>
      <c r="BI141" t="s">
        <v>1280</v>
      </c>
      <c r="BJ141" t="s">
        <v>1280</v>
      </c>
      <c r="BK141" t="str">
        <f t="shared" si="65"/>
        <v>-</v>
      </c>
      <c r="BL141" t="s">
        <v>1280</v>
      </c>
      <c r="BM141">
        <v>812</v>
      </c>
    </row>
    <row r="142" spans="1:65" x14ac:dyDescent="0.4">
      <c r="A142" s="3">
        <v>146</v>
      </c>
      <c r="B142" s="3">
        <v>146</v>
      </c>
      <c r="C142" s="4" t="s">
        <v>135</v>
      </c>
      <c r="D142" s="4" t="str">
        <f t="shared" si="44"/>
        <v>J1845W</v>
      </c>
      <c r="E142" s="4" t="s">
        <v>135</v>
      </c>
      <c r="F142" s="4" t="str">
        <f t="shared" si="60"/>
        <v>J1845W5</v>
      </c>
      <c r="G142" s="4" t="s">
        <v>781</v>
      </c>
      <c r="H142" s="5">
        <v>4974268972842</v>
      </c>
      <c r="I142" s="5">
        <v>5</v>
      </c>
      <c r="J142" s="5"/>
      <c r="K142" s="5">
        <v>1</v>
      </c>
      <c r="L142" s="5">
        <v>1</v>
      </c>
      <c r="M142" s="4">
        <v>600</v>
      </c>
      <c r="N142" s="4">
        <v>494</v>
      </c>
      <c r="O142" s="4">
        <v>360</v>
      </c>
      <c r="P142" s="6">
        <f t="shared" si="45"/>
        <v>0.27125506072874495</v>
      </c>
      <c r="Q142" s="4" t="s">
        <v>1280</v>
      </c>
      <c r="R142" s="4" t="s">
        <v>1280</v>
      </c>
      <c r="S142" s="4" t="s">
        <v>1280</v>
      </c>
      <c r="T142" s="4">
        <v>620</v>
      </c>
      <c r="U142" s="4">
        <f t="shared" si="46"/>
        <v>620</v>
      </c>
      <c r="V142" s="4">
        <v>372</v>
      </c>
      <c r="W142" s="4">
        <f t="shared" si="47"/>
        <v>372</v>
      </c>
      <c r="X142" s="4"/>
      <c r="Y142" s="21">
        <f t="shared" si="48"/>
        <v>510</v>
      </c>
      <c r="Z142" s="6">
        <f t="shared" si="49"/>
        <v>0.27058823529411768</v>
      </c>
      <c r="AA142" s="4">
        <v>0.25</v>
      </c>
      <c r="AB142" s="4" t="str">
        <f t="shared" si="50"/>
        <v>-</v>
      </c>
      <c r="AC142" s="4" t="str">
        <f t="shared" si="61"/>
        <v>-</v>
      </c>
      <c r="AD142" s="6" t="str">
        <f t="shared" si="62"/>
        <v>-</v>
      </c>
      <c r="AE142" s="4">
        <f t="shared" si="63"/>
        <v>589</v>
      </c>
      <c r="AF142" s="7">
        <v>550</v>
      </c>
      <c r="AG142" s="6">
        <f t="shared" si="51"/>
        <v>0.32363636363636361</v>
      </c>
      <c r="AH142" s="4">
        <f t="shared" si="52"/>
        <v>178</v>
      </c>
      <c r="AI142" s="28"/>
      <c r="AJ142" s="6"/>
      <c r="AK142" s="6"/>
      <c r="AL142" s="6">
        <f t="shared" si="53"/>
        <v>1.0333333333333334</v>
      </c>
      <c r="AM142" s="6">
        <f t="shared" si="54"/>
        <v>1.1133603238866396</v>
      </c>
      <c r="AN142" s="6">
        <f t="shared" si="55"/>
        <v>1.0333333333333334</v>
      </c>
      <c r="AO142" s="4" t="str">
        <f t="shared" si="56"/>
        <v>-</v>
      </c>
      <c r="AP142" s="4" t="str">
        <f t="shared" si="57"/>
        <v>-</v>
      </c>
      <c r="AQ142" s="4" t="str">
        <f t="shared" si="58"/>
        <v>-</v>
      </c>
      <c r="AR142" s="4">
        <v>0</v>
      </c>
      <c r="AS142" s="4" t="s">
        <v>1280</v>
      </c>
      <c r="AT142" s="4"/>
      <c r="AU142" s="4"/>
      <c r="AV142" s="4" t="s">
        <v>1280</v>
      </c>
      <c r="AW142" s="4" t="s">
        <v>1280</v>
      </c>
      <c r="AX142" s="4" t="s">
        <v>1280</v>
      </c>
      <c r="AY142" s="4" t="s">
        <v>1280</v>
      </c>
      <c r="AZ142" s="4" t="str">
        <f t="shared" si="59"/>
        <v>-</v>
      </c>
      <c r="BA142" s="19">
        <v>4</v>
      </c>
      <c r="BB142" s="19">
        <v>8</v>
      </c>
      <c r="BC142" s="16">
        <v>19</v>
      </c>
      <c r="BD142" t="s">
        <v>1280</v>
      </c>
      <c r="BE142" t="s">
        <v>1280</v>
      </c>
      <c r="BF142" t="s">
        <v>1280</v>
      </c>
      <c r="BG142" t="str">
        <f t="shared" si="64"/>
        <v>-</v>
      </c>
      <c r="BH142">
        <v>600</v>
      </c>
      <c r="BI142">
        <v>600</v>
      </c>
      <c r="BJ142">
        <v>600</v>
      </c>
      <c r="BK142">
        <f t="shared" si="65"/>
        <v>620.00000000000011</v>
      </c>
      <c r="BL142" t="s">
        <v>1280</v>
      </c>
      <c r="BM142">
        <v>812</v>
      </c>
    </row>
    <row r="143" spans="1:65" x14ac:dyDescent="0.4">
      <c r="A143" s="3">
        <v>559</v>
      </c>
      <c r="B143" s="3">
        <v>559</v>
      </c>
      <c r="C143" s="4" t="s">
        <v>548</v>
      </c>
      <c r="D143" s="4" t="str">
        <f t="shared" si="44"/>
        <v>J920SA</v>
      </c>
      <c r="E143" s="4" t="s">
        <v>548</v>
      </c>
      <c r="F143" s="4" t="str">
        <f t="shared" si="60"/>
        <v>J920SA5</v>
      </c>
      <c r="G143" s="4" t="s">
        <v>1192</v>
      </c>
      <c r="H143" s="5">
        <v>4974268145444</v>
      </c>
      <c r="I143" s="5">
        <v>5</v>
      </c>
      <c r="J143" s="5"/>
      <c r="K143" s="5">
        <v>1</v>
      </c>
      <c r="L143" s="5">
        <v>1</v>
      </c>
      <c r="M143" s="4">
        <v>600</v>
      </c>
      <c r="N143" s="4">
        <v>468</v>
      </c>
      <c r="O143" s="4">
        <v>360</v>
      </c>
      <c r="P143" s="6">
        <f t="shared" si="45"/>
        <v>0.23076923076923073</v>
      </c>
      <c r="Q143" s="4" t="s">
        <v>1280</v>
      </c>
      <c r="R143" s="4" t="s">
        <v>1280</v>
      </c>
      <c r="S143" s="4" t="s">
        <v>1280</v>
      </c>
      <c r="T143" s="4">
        <v>650</v>
      </c>
      <c r="U143" s="4">
        <f t="shared" si="46"/>
        <v>650</v>
      </c>
      <c r="V143" s="4">
        <v>390</v>
      </c>
      <c r="W143" s="4">
        <f t="shared" si="47"/>
        <v>390</v>
      </c>
      <c r="X143" s="4"/>
      <c r="Y143" s="21">
        <f t="shared" si="48"/>
        <v>507</v>
      </c>
      <c r="Z143" s="6">
        <f t="shared" si="49"/>
        <v>0.23076923076923073</v>
      </c>
      <c r="AA143" s="4">
        <v>1.7500000000000002</v>
      </c>
      <c r="AB143" s="4">
        <f t="shared" si="50"/>
        <v>649</v>
      </c>
      <c r="AC143" s="4">
        <f t="shared" si="61"/>
        <v>703.08333333333326</v>
      </c>
      <c r="AD143" s="6">
        <f t="shared" si="62"/>
        <v>0.44530046224961473</v>
      </c>
      <c r="AE143" s="4">
        <f t="shared" si="63"/>
        <v>617.5</v>
      </c>
      <c r="AF143" s="7">
        <v>600</v>
      </c>
      <c r="AG143" s="6">
        <f t="shared" si="51"/>
        <v>0.35</v>
      </c>
      <c r="AH143" s="4">
        <f t="shared" si="52"/>
        <v>210</v>
      </c>
      <c r="AI143" s="28"/>
      <c r="AJ143" s="6"/>
      <c r="AK143" s="6"/>
      <c r="AL143" s="6">
        <f t="shared" si="53"/>
        <v>1.0833333333333333</v>
      </c>
      <c r="AM143" s="6">
        <f t="shared" si="54"/>
        <v>1.2820512820512822</v>
      </c>
      <c r="AN143" s="6">
        <f t="shared" si="55"/>
        <v>1.0833333333333333</v>
      </c>
      <c r="AO143" s="4" t="str">
        <f t="shared" si="56"/>
        <v>-</v>
      </c>
      <c r="AP143" s="4" t="str">
        <f t="shared" si="57"/>
        <v>-</v>
      </c>
      <c r="AQ143" s="4" t="str">
        <f t="shared" si="58"/>
        <v>-</v>
      </c>
      <c r="AR143" s="4">
        <v>0</v>
      </c>
      <c r="AS143" s="4" t="s">
        <v>2116</v>
      </c>
      <c r="AT143" s="4"/>
      <c r="AU143" s="4"/>
      <c r="AV143" s="4" t="s">
        <v>2117</v>
      </c>
      <c r="AW143" s="4">
        <v>649</v>
      </c>
      <c r="AX143" s="4">
        <v>649</v>
      </c>
      <c r="AY143" s="4">
        <v>649</v>
      </c>
      <c r="AZ143" s="4">
        <f t="shared" si="59"/>
        <v>649</v>
      </c>
      <c r="BA143" s="19">
        <v>4</v>
      </c>
      <c r="BB143" s="19">
        <v>8</v>
      </c>
      <c r="BC143" s="16">
        <v>18</v>
      </c>
      <c r="BD143" t="s">
        <v>1280</v>
      </c>
      <c r="BE143" t="s">
        <v>1280</v>
      </c>
      <c r="BF143" t="s">
        <v>1280</v>
      </c>
      <c r="BG143" t="str">
        <f t="shared" si="64"/>
        <v>-</v>
      </c>
      <c r="BH143" t="s">
        <v>1280</v>
      </c>
      <c r="BI143" t="s">
        <v>1280</v>
      </c>
      <c r="BJ143" t="s">
        <v>1280</v>
      </c>
      <c r="BK143" t="str">
        <f t="shared" si="65"/>
        <v>-</v>
      </c>
      <c r="BL143" t="s">
        <v>1610</v>
      </c>
      <c r="BM143">
        <v>812</v>
      </c>
    </row>
    <row r="144" spans="1:65" x14ac:dyDescent="0.4">
      <c r="A144" s="3">
        <v>270</v>
      </c>
      <c r="B144" s="3">
        <v>270</v>
      </c>
      <c r="C144" s="4" t="s">
        <v>259</v>
      </c>
      <c r="D144" s="4" t="str">
        <f t="shared" si="44"/>
        <v>J38879</v>
      </c>
      <c r="E144" s="4" t="s">
        <v>259</v>
      </c>
      <c r="F144" s="4" t="str">
        <f t="shared" si="60"/>
        <v>J388795</v>
      </c>
      <c r="G144" s="4" t="s">
        <v>905</v>
      </c>
      <c r="H144" s="5">
        <v>4974268664570</v>
      </c>
      <c r="I144" s="5">
        <v>5</v>
      </c>
      <c r="J144" s="5"/>
      <c r="K144" s="5">
        <v>1</v>
      </c>
      <c r="L144" s="5">
        <v>1</v>
      </c>
      <c r="M144" s="4">
        <v>650</v>
      </c>
      <c r="N144" s="4">
        <v>587</v>
      </c>
      <c r="O144" s="4">
        <v>390</v>
      </c>
      <c r="P144" s="6">
        <f t="shared" si="45"/>
        <v>0.33560477001703581</v>
      </c>
      <c r="Q144" s="4" t="s">
        <v>1280</v>
      </c>
      <c r="R144" s="4" t="s">
        <v>1280</v>
      </c>
      <c r="S144" s="4" t="s">
        <v>1280</v>
      </c>
      <c r="T144" s="4">
        <v>680</v>
      </c>
      <c r="U144" s="4">
        <f t="shared" si="46"/>
        <v>680</v>
      </c>
      <c r="V144" s="4">
        <v>408</v>
      </c>
      <c r="W144" s="4">
        <f t="shared" si="47"/>
        <v>408</v>
      </c>
      <c r="X144" s="4"/>
      <c r="Y144" s="21">
        <f t="shared" si="48"/>
        <v>614</v>
      </c>
      <c r="Z144" s="6">
        <f t="shared" si="49"/>
        <v>0.33550488599348538</v>
      </c>
      <c r="AA144" s="4">
        <v>0.25</v>
      </c>
      <c r="AB144" s="4">
        <f t="shared" si="50"/>
        <v>639.79</v>
      </c>
      <c r="AC144" s="4">
        <f t="shared" si="61"/>
        <v>669.31876923076925</v>
      </c>
      <c r="AD144" s="6">
        <f t="shared" si="62"/>
        <v>0.39042498319761176</v>
      </c>
      <c r="AE144" s="4">
        <f t="shared" si="63"/>
        <v>646</v>
      </c>
      <c r="AF144" s="7">
        <v>590</v>
      </c>
      <c r="AG144" s="6">
        <f t="shared" si="51"/>
        <v>0.30847457627118646</v>
      </c>
      <c r="AH144" s="4">
        <f t="shared" si="52"/>
        <v>182</v>
      </c>
      <c r="AI144" s="28"/>
      <c r="AJ144" s="6"/>
      <c r="AK144" s="6"/>
      <c r="AL144" s="6">
        <f t="shared" si="53"/>
        <v>1.0461538461538462</v>
      </c>
      <c r="AM144" s="6">
        <f t="shared" si="54"/>
        <v>1.0051107325383304</v>
      </c>
      <c r="AN144" s="6">
        <f t="shared" si="55"/>
        <v>1.0461538461538462</v>
      </c>
      <c r="AO144" s="4" t="str">
        <f t="shared" si="56"/>
        <v>-</v>
      </c>
      <c r="AP144" s="4" t="str">
        <f t="shared" si="57"/>
        <v>-</v>
      </c>
      <c r="AQ144" s="4" t="str">
        <f t="shared" si="58"/>
        <v>-</v>
      </c>
      <c r="AR144" s="4">
        <v>0</v>
      </c>
      <c r="AS144" s="4" t="s">
        <v>1898</v>
      </c>
      <c r="AT144" s="4">
        <v>1</v>
      </c>
      <c r="AU144" s="4">
        <v>100</v>
      </c>
      <c r="AV144" s="4" t="s">
        <v>1899</v>
      </c>
      <c r="AW144" s="4">
        <v>61023</v>
      </c>
      <c r="AX144" s="4">
        <v>63979</v>
      </c>
      <c r="AY144" s="4">
        <v>63979</v>
      </c>
      <c r="AZ144" s="4">
        <f t="shared" si="59"/>
        <v>639.79</v>
      </c>
      <c r="BA144" s="19">
        <v>4</v>
      </c>
      <c r="BB144" s="19">
        <v>8</v>
      </c>
      <c r="BC144" s="16">
        <v>19</v>
      </c>
      <c r="BD144">
        <v>630</v>
      </c>
      <c r="BE144">
        <v>630</v>
      </c>
      <c r="BF144" t="s">
        <v>1280</v>
      </c>
      <c r="BG144" t="str">
        <f t="shared" si="64"/>
        <v>-</v>
      </c>
      <c r="BH144" t="s">
        <v>1280</v>
      </c>
      <c r="BI144">
        <v>564</v>
      </c>
      <c r="BJ144">
        <v>564</v>
      </c>
      <c r="BK144">
        <f t="shared" si="65"/>
        <v>590.03076923076924</v>
      </c>
      <c r="BL144" t="s">
        <v>1442</v>
      </c>
      <c r="BM144">
        <v>812</v>
      </c>
    </row>
    <row r="145" spans="1:65" x14ac:dyDescent="0.4">
      <c r="A145" s="3">
        <v>277</v>
      </c>
      <c r="B145" s="3">
        <v>277</v>
      </c>
      <c r="C145" s="4" t="s">
        <v>266</v>
      </c>
      <c r="D145" s="4" t="str">
        <f t="shared" si="44"/>
        <v>J38950</v>
      </c>
      <c r="E145" s="4" t="s">
        <v>266</v>
      </c>
      <c r="F145" s="4" t="str">
        <f t="shared" si="60"/>
        <v>J389505</v>
      </c>
      <c r="G145" s="4" t="s">
        <v>912</v>
      </c>
      <c r="H145" s="5">
        <v>4974268252999</v>
      </c>
      <c r="I145" s="5">
        <v>5</v>
      </c>
      <c r="J145" s="5"/>
      <c r="K145" s="5">
        <v>1</v>
      </c>
      <c r="L145" s="5">
        <v>1</v>
      </c>
      <c r="M145" s="4">
        <v>3250</v>
      </c>
      <c r="N145" s="4">
        <v>2850</v>
      </c>
      <c r="O145" s="4">
        <v>1950</v>
      </c>
      <c r="P145" s="6">
        <f t="shared" si="45"/>
        <v>0.31578947368421051</v>
      </c>
      <c r="Q145" s="4" t="s">
        <v>1280</v>
      </c>
      <c r="R145" s="4" t="s">
        <v>1280</v>
      </c>
      <c r="S145" s="4" t="s">
        <v>1280</v>
      </c>
      <c r="T145" s="4">
        <v>680</v>
      </c>
      <c r="U145" s="4">
        <f t="shared" si="46"/>
        <v>3400</v>
      </c>
      <c r="V145" s="4">
        <v>408</v>
      </c>
      <c r="W145" s="4">
        <f t="shared" si="47"/>
        <v>2040</v>
      </c>
      <c r="X145" s="4">
        <v>5</v>
      </c>
      <c r="Y145" s="21">
        <f t="shared" si="48"/>
        <v>2982</v>
      </c>
      <c r="Z145" s="6">
        <f t="shared" si="49"/>
        <v>0.31589537223340036</v>
      </c>
      <c r="AA145" s="4">
        <v>0.75</v>
      </c>
      <c r="AB145" s="4">
        <f t="shared" si="50"/>
        <v>3140</v>
      </c>
      <c r="AC145" s="4">
        <f t="shared" si="61"/>
        <v>3284.9230769230771</v>
      </c>
      <c r="AD145" s="6">
        <f t="shared" si="62"/>
        <v>0.37898089171974525</v>
      </c>
      <c r="AE145" s="4">
        <f t="shared" si="63"/>
        <v>3230</v>
      </c>
      <c r="AF145" s="7">
        <v>3150</v>
      </c>
      <c r="AG145" s="6">
        <f t="shared" si="51"/>
        <v>0.35238095238095235</v>
      </c>
      <c r="AH145" s="4">
        <f t="shared" si="52"/>
        <v>1110</v>
      </c>
      <c r="AI145" s="28"/>
      <c r="AJ145" s="6"/>
      <c r="AK145" s="6"/>
      <c r="AL145" s="6">
        <f t="shared" si="53"/>
        <v>1.0461538461538462</v>
      </c>
      <c r="AM145" s="6">
        <f t="shared" si="54"/>
        <v>1.1052631578947369</v>
      </c>
      <c r="AN145" s="6">
        <f t="shared" si="55"/>
        <v>1.0461538461538462</v>
      </c>
      <c r="AO145" s="4" t="str">
        <f t="shared" si="56"/>
        <v>-</v>
      </c>
      <c r="AP145" s="4" t="str">
        <f t="shared" si="57"/>
        <v>-</v>
      </c>
      <c r="AQ145" s="4" t="str">
        <f t="shared" si="58"/>
        <v>-</v>
      </c>
      <c r="AR145" s="4">
        <v>0</v>
      </c>
      <c r="AS145" s="4" t="s">
        <v>1905</v>
      </c>
      <c r="AT145" s="4">
        <v>5</v>
      </c>
      <c r="AU145" s="4">
        <v>1</v>
      </c>
      <c r="AV145" s="4" t="s">
        <v>1804</v>
      </c>
      <c r="AW145" s="4">
        <v>628</v>
      </c>
      <c r="AX145" s="4">
        <v>628</v>
      </c>
      <c r="AY145" s="4">
        <v>628</v>
      </c>
      <c r="AZ145" s="4">
        <f t="shared" si="59"/>
        <v>3140</v>
      </c>
      <c r="BA145" s="19">
        <v>4</v>
      </c>
      <c r="BB145" s="19">
        <v>1</v>
      </c>
      <c r="BC145" s="16">
        <v>4</v>
      </c>
      <c r="BD145">
        <v>487</v>
      </c>
      <c r="BE145">
        <v>487</v>
      </c>
      <c r="BF145">
        <v>487</v>
      </c>
      <c r="BG145">
        <f t="shared" si="64"/>
        <v>509.47692307692313</v>
      </c>
      <c r="BH145" t="s">
        <v>1280</v>
      </c>
      <c r="BI145">
        <v>3200</v>
      </c>
      <c r="BJ145">
        <v>3200</v>
      </c>
      <c r="BK145">
        <f t="shared" si="65"/>
        <v>3347.6923076923081</v>
      </c>
      <c r="BL145" t="s">
        <v>1447</v>
      </c>
      <c r="BM145">
        <v>812</v>
      </c>
    </row>
    <row r="146" spans="1:65" x14ac:dyDescent="0.4">
      <c r="A146" s="3">
        <v>159</v>
      </c>
      <c r="B146" s="3">
        <v>159</v>
      </c>
      <c r="C146" s="4" t="s">
        <v>148</v>
      </c>
      <c r="D146" s="4" t="str">
        <f t="shared" si="44"/>
        <v>J2490X</v>
      </c>
      <c r="E146" s="4" t="s">
        <v>148</v>
      </c>
      <c r="F146" s="4" t="str">
        <f t="shared" si="60"/>
        <v>J2490X5</v>
      </c>
      <c r="G146" s="4" t="s">
        <v>794</v>
      </c>
      <c r="H146" s="5">
        <v>4974268254504</v>
      </c>
      <c r="I146" s="5">
        <v>5</v>
      </c>
      <c r="J146" s="5"/>
      <c r="K146" s="5">
        <v>1</v>
      </c>
      <c r="L146" s="5">
        <v>1</v>
      </c>
      <c r="M146" s="4">
        <v>700</v>
      </c>
      <c r="N146" s="4">
        <v>658</v>
      </c>
      <c r="O146" s="4">
        <v>420</v>
      </c>
      <c r="P146" s="6">
        <f t="shared" si="45"/>
        <v>0.36170212765957444</v>
      </c>
      <c r="Q146" s="4" t="s">
        <v>1280</v>
      </c>
      <c r="R146" s="4" t="s">
        <v>1280</v>
      </c>
      <c r="S146" s="4" t="s">
        <v>1280</v>
      </c>
      <c r="T146" s="4">
        <v>730</v>
      </c>
      <c r="U146" s="4">
        <f t="shared" si="46"/>
        <v>730</v>
      </c>
      <c r="V146" s="4">
        <v>438</v>
      </c>
      <c r="W146" s="4">
        <f t="shared" si="47"/>
        <v>438</v>
      </c>
      <c r="X146" s="4"/>
      <c r="Y146" s="21">
        <f t="shared" si="48"/>
        <v>686</v>
      </c>
      <c r="Z146" s="6">
        <f t="shared" si="49"/>
        <v>0.36151603498542273</v>
      </c>
      <c r="AA146" s="4">
        <v>1.5</v>
      </c>
      <c r="AB146" s="4" t="str">
        <f t="shared" si="50"/>
        <v>-</v>
      </c>
      <c r="AC146" s="4" t="str">
        <f t="shared" si="61"/>
        <v>-</v>
      </c>
      <c r="AD146" s="6" t="str">
        <f t="shared" si="62"/>
        <v>-</v>
      </c>
      <c r="AE146" s="4">
        <f t="shared" si="63"/>
        <v>693.5</v>
      </c>
      <c r="AF146" s="7">
        <v>690</v>
      </c>
      <c r="AG146" s="6">
        <f t="shared" si="51"/>
        <v>0.36521739130434783</v>
      </c>
      <c r="AH146" s="4">
        <f t="shared" si="52"/>
        <v>252</v>
      </c>
      <c r="AI146" s="28"/>
      <c r="AJ146" s="6"/>
      <c r="AK146" s="6"/>
      <c r="AL146" s="6">
        <f t="shared" si="53"/>
        <v>1.0428571428571429</v>
      </c>
      <c r="AM146" s="6">
        <f t="shared" si="54"/>
        <v>1.0486322188449848</v>
      </c>
      <c r="AN146" s="6">
        <f t="shared" si="55"/>
        <v>1.0428571428571429</v>
      </c>
      <c r="AO146" s="4" t="str">
        <f t="shared" si="56"/>
        <v>-</v>
      </c>
      <c r="AP146" s="4" t="str">
        <f t="shared" si="57"/>
        <v>-</v>
      </c>
      <c r="AQ146" s="4" t="str">
        <f t="shared" si="58"/>
        <v>-</v>
      </c>
      <c r="AR146" s="4">
        <v>0</v>
      </c>
      <c r="AS146" s="4" t="s">
        <v>1280</v>
      </c>
      <c r="AT146" s="4"/>
      <c r="AU146" s="4"/>
      <c r="AV146" s="4" t="s">
        <v>1280</v>
      </c>
      <c r="AW146" s="4" t="s">
        <v>1280</v>
      </c>
      <c r="AX146" s="4" t="s">
        <v>1280</v>
      </c>
      <c r="AY146" s="4" t="s">
        <v>1280</v>
      </c>
      <c r="AZ146" s="4" t="str">
        <f t="shared" si="59"/>
        <v>-</v>
      </c>
      <c r="BA146" s="19">
        <v>4</v>
      </c>
      <c r="BB146" s="19">
        <v>1</v>
      </c>
      <c r="BC146" s="16">
        <v>4</v>
      </c>
      <c r="BD146">
        <v>600</v>
      </c>
      <c r="BE146">
        <v>600</v>
      </c>
      <c r="BF146">
        <v>600</v>
      </c>
      <c r="BG146">
        <f t="shared" si="64"/>
        <v>625.71428571428578</v>
      </c>
      <c r="BH146" t="s">
        <v>1280</v>
      </c>
      <c r="BI146" t="s">
        <v>1280</v>
      </c>
      <c r="BJ146" t="s">
        <v>1280</v>
      </c>
      <c r="BK146" t="str">
        <f t="shared" si="65"/>
        <v>-</v>
      </c>
      <c r="BL146" t="s">
        <v>1280</v>
      </c>
      <c r="BM146">
        <v>812</v>
      </c>
    </row>
    <row r="147" spans="1:65" x14ac:dyDescent="0.4">
      <c r="A147" s="3">
        <v>145</v>
      </c>
      <c r="B147" s="3">
        <v>145</v>
      </c>
      <c r="C147" s="4" t="s">
        <v>134</v>
      </c>
      <c r="D147" s="4" t="str">
        <f t="shared" si="44"/>
        <v>J1844W</v>
      </c>
      <c r="E147" s="4" t="s">
        <v>134</v>
      </c>
      <c r="F147" s="4" t="str">
        <f t="shared" si="60"/>
        <v>J1844W5</v>
      </c>
      <c r="G147" s="4" t="s">
        <v>780</v>
      </c>
      <c r="H147" s="5">
        <v>4974268972835</v>
      </c>
      <c r="I147" s="5">
        <v>5</v>
      </c>
      <c r="J147" s="5"/>
      <c r="K147" s="5">
        <v>1</v>
      </c>
      <c r="L147" s="5">
        <v>1</v>
      </c>
      <c r="M147" s="4">
        <v>720</v>
      </c>
      <c r="N147" s="4">
        <v>589</v>
      </c>
      <c r="O147" s="4">
        <v>432</v>
      </c>
      <c r="P147" s="6">
        <f t="shared" si="45"/>
        <v>0.26655348047538197</v>
      </c>
      <c r="Q147" s="4" t="s">
        <v>1280</v>
      </c>
      <c r="R147" s="4" t="s">
        <v>1280</v>
      </c>
      <c r="S147" s="4" t="s">
        <v>1280</v>
      </c>
      <c r="T147" s="4">
        <v>740</v>
      </c>
      <c r="U147" s="4">
        <f t="shared" si="46"/>
        <v>740</v>
      </c>
      <c r="V147" s="4">
        <v>444</v>
      </c>
      <c r="W147" s="4">
        <f t="shared" si="47"/>
        <v>444</v>
      </c>
      <c r="X147" s="4"/>
      <c r="Y147" s="21">
        <f t="shared" si="48"/>
        <v>605</v>
      </c>
      <c r="Z147" s="6">
        <f t="shared" si="49"/>
        <v>0.2661157024793388</v>
      </c>
      <c r="AA147" s="4">
        <v>0</v>
      </c>
      <c r="AB147" s="4" t="str">
        <f t="shared" si="50"/>
        <v>-</v>
      </c>
      <c r="AC147" s="4" t="str">
        <f t="shared" si="61"/>
        <v>-</v>
      </c>
      <c r="AD147" s="6" t="str">
        <f t="shared" si="62"/>
        <v>-</v>
      </c>
      <c r="AE147" s="4">
        <f t="shared" si="63"/>
        <v>703</v>
      </c>
      <c r="AF147" s="7">
        <v>690</v>
      </c>
      <c r="AG147" s="6">
        <f t="shared" si="51"/>
        <v>0.35652173913043483</v>
      </c>
      <c r="AH147" s="4">
        <f t="shared" si="52"/>
        <v>246</v>
      </c>
      <c r="AI147" s="28"/>
      <c r="AJ147" s="6"/>
      <c r="AK147" s="6"/>
      <c r="AL147" s="6">
        <f t="shared" si="53"/>
        <v>1.0277777777777777</v>
      </c>
      <c r="AM147" s="6">
        <f t="shared" si="54"/>
        <v>1.1714770797962648</v>
      </c>
      <c r="AN147" s="6">
        <f t="shared" si="55"/>
        <v>1.0277777777777777</v>
      </c>
      <c r="AO147" s="4" t="str">
        <f t="shared" si="56"/>
        <v>-</v>
      </c>
      <c r="AP147" s="4" t="str">
        <f t="shared" si="57"/>
        <v>-</v>
      </c>
      <c r="AQ147" s="4" t="str">
        <f t="shared" si="58"/>
        <v>-</v>
      </c>
      <c r="AR147" s="4">
        <v>0</v>
      </c>
      <c r="AS147" s="4" t="s">
        <v>1280</v>
      </c>
      <c r="AT147" s="4"/>
      <c r="AU147" s="4"/>
      <c r="AV147" s="4" t="s">
        <v>1280</v>
      </c>
      <c r="AW147" s="4" t="s">
        <v>1280</v>
      </c>
      <c r="AX147" s="4" t="s">
        <v>1280</v>
      </c>
      <c r="AY147" s="4" t="s">
        <v>1280</v>
      </c>
      <c r="AZ147" s="4" t="str">
        <f t="shared" si="59"/>
        <v>-</v>
      </c>
      <c r="BA147" s="19">
        <v>4</v>
      </c>
      <c r="BB147" s="19">
        <v>8</v>
      </c>
      <c r="BC147" s="16">
        <v>19</v>
      </c>
      <c r="BD147" t="s">
        <v>1280</v>
      </c>
      <c r="BE147" t="s">
        <v>1280</v>
      </c>
      <c r="BF147" t="s">
        <v>1280</v>
      </c>
      <c r="BG147" t="str">
        <f t="shared" si="64"/>
        <v>-</v>
      </c>
      <c r="BH147">
        <v>720</v>
      </c>
      <c r="BI147">
        <v>720</v>
      </c>
      <c r="BJ147">
        <v>720</v>
      </c>
      <c r="BK147">
        <f t="shared" si="65"/>
        <v>739.99999999999989</v>
      </c>
      <c r="BL147" t="s">
        <v>1280</v>
      </c>
      <c r="BM147">
        <v>812</v>
      </c>
    </row>
    <row r="148" spans="1:65" x14ac:dyDescent="0.4">
      <c r="A148" s="3">
        <v>100</v>
      </c>
      <c r="B148" s="3">
        <v>100</v>
      </c>
      <c r="C148" s="4" t="s">
        <v>89</v>
      </c>
      <c r="D148" s="4" t="str">
        <f t="shared" si="44"/>
        <v>J0864T</v>
      </c>
      <c r="E148" s="4" t="s">
        <v>89</v>
      </c>
      <c r="F148" s="4" t="str">
        <f t="shared" si="60"/>
        <v>J0864T5</v>
      </c>
      <c r="G148" s="4" t="s">
        <v>735</v>
      </c>
      <c r="H148" s="5">
        <v>4974268666284</v>
      </c>
      <c r="I148" s="5">
        <v>5</v>
      </c>
      <c r="J148" s="5"/>
      <c r="K148" s="5">
        <v>1</v>
      </c>
      <c r="L148" s="5">
        <v>1</v>
      </c>
      <c r="M148" s="4">
        <v>720</v>
      </c>
      <c r="N148" s="4">
        <v>734</v>
      </c>
      <c r="O148" s="4">
        <v>432</v>
      </c>
      <c r="P148" s="6">
        <f t="shared" si="45"/>
        <v>0.41144414168937327</v>
      </c>
      <c r="Q148" s="4" t="s">
        <v>1280</v>
      </c>
      <c r="R148" s="4" t="s">
        <v>1280</v>
      </c>
      <c r="S148" s="4" t="s">
        <v>1280</v>
      </c>
      <c r="T148" s="4">
        <v>770</v>
      </c>
      <c r="U148" s="4">
        <f t="shared" si="46"/>
        <v>770</v>
      </c>
      <c r="V148" s="4">
        <v>462</v>
      </c>
      <c r="W148" s="4">
        <f t="shared" si="47"/>
        <v>462</v>
      </c>
      <c r="X148" s="4"/>
      <c r="Y148" s="21">
        <f t="shared" si="48"/>
        <v>785</v>
      </c>
      <c r="Z148" s="6">
        <f t="shared" si="49"/>
        <v>0.41146496815286626</v>
      </c>
      <c r="AA148" s="4">
        <v>1.25</v>
      </c>
      <c r="AB148" s="4" t="str">
        <f t="shared" si="50"/>
        <v>-</v>
      </c>
      <c r="AC148" s="4" t="str">
        <f t="shared" si="61"/>
        <v>-</v>
      </c>
      <c r="AD148" s="6" t="str">
        <f t="shared" si="62"/>
        <v>-</v>
      </c>
      <c r="AE148" s="4">
        <f t="shared" si="63"/>
        <v>731.5</v>
      </c>
      <c r="AF148" s="7">
        <v>740</v>
      </c>
      <c r="AG148" s="6">
        <f t="shared" si="51"/>
        <v>0.37567567567567572</v>
      </c>
      <c r="AH148" s="4">
        <f t="shared" si="52"/>
        <v>278</v>
      </c>
      <c r="AI148" s="28"/>
      <c r="AJ148" s="6"/>
      <c r="AK148" s="6"/>
      <c r="AL148" s="6">
        <f t="shared" si="53"/>
        <v>1.0694444444444444</v>
      </c>
      <c r="AM148" s="6">
        <f t="shared" si="54"/>
        <v>1.0081743869209809</v>
      </c>
      <c r="AN148" s="6">
        <f t="shared" si="55"/>
        <v>1.0694444444444444</v>
      </c>
      <c r="AO148" s="4" t="str">
        <f t="shared" si="56"/>
        <v>-</v>
      </c>
      <c r="AP148" s="4" t="str">
        <f t="shared" si="57"/>
        <v>-</v>
      </c>
      <c r="AQ148" s="4" t="str">
        <f t="shared" si="58"/>
        <v>-</v>
      </c>
      <c r="AR148" s="4">
        <v>0</v>
      </c>
      <c r="AS148" s="4" t="s">
        <v>1280</v>
      </c>
      <c r="AT148" s="4"/>
      <c r="AU148" s="4"/>
      <c r="AV148" s="4" t="s">
        <v>1280</v>
      </c>
      <c r="AW148" s="4" t="s">
        <v>1280</v>
      </c>
      <c r="AX148" s="4" t="s">
        <v>1280</v>
      </c>
      <c r="AY148" s="4" t="s">
        <v>1280</v>
      </c>
      <c r="AZ148" s="4" t="str">
        <f t="shared" si="59"/>
        <v>-</v>
      </c>
      <c r="BA148" s="19">
        <v>4</v>
      </c>
      <c r="BB148" s="19">
        <v>8</v>
      </c>
      <c r="BC148" s="16">
        <v>19</v>
      </c>
      <c r="BD148">
        <v>625</v>
      </c>
      <c r="BE148">
        <v>625</v>
      </c>
      <c r="BF148">
        <v>625</v>
      </c>
      <c r="BG148">
        <f t="shared" si="64"/>
        <v>668.40277777777771</v>
      </c>
      <c r="BH148" t="s">
        <v>1280</v>
      </c>
      <c r="BI148" t="s">
        <v>1280</v>
      </c>
      <c r="BJ148" t="s">
        <v>1280</v>
      </c>
      <c r="BK148" t="str">
        <f t="shared" si="65"/>
        <v>-</v>
      </c>
      <c r="BL148" t="s">
        <v>1280</v>
      </c>
      <c r="BM148">
        <v>812</v>
      </c>
    </row>
    <row r="149" spans="1:65" x14ac:dyDescent="0.4">
      <c r="A149" s="3">
        <v>147</v>
      </c>
      <c r="B149" s="3">
        <v>147</v>
      </c>
      <c r="C149" s="4" t="s">
        <v>136</v>
      </c>
      <c r="D149" s="4" t="str">
        <f t="shared" si="44"/>
        <v>J1846W</v>
      </c>
      <c r="E149" s="4" t="s">
        <v>136</v>
      </c>
      <c r="F149" s="4" t="str">
        <f t="shared" si="60"/>
        <v>J1846W5</v>
      </c>
      <c r="G149" s="4" t="s">
        <v>782</v>
      </c>
      <c r="H149" s="5">
        <v>4974268972859</v>
      </c>
      <c r="I149" s="5">
        <v>5</v>
      </c>
      <c r="J149" s="5"/>
      <c r="K149" s="5">
        <v>1</v>
      </c>
      <c r="L149" s="5">
        <v>1</v>
      </c>
      <c r="M149" s="4">
        <v>610</v>
      </c>
      <c r="N149" s="4">
        <v>504</v>
      </c>
      <c r="O149" s="4">
        <v>366</v>
      </c>
      <c r="P149" s="6">
        <f t="shared" si="45"/>
        <v>0.27380952380952384</v>
      </c>
      <c r="Q149" s="4" t="s">
        <v>1280</v>
      </c>
      <c r="R149" s="4" t="s">
        <v>1280</v>
      </c>
      <c r="S149" s="4" t="s">
        <v>1280</v>
      </c>
      <c r="T149" s="4">
        <v>780</v>
      </c>
      <c r="U149" s="4">
        <f t="shared" si="46"/>
        <v>780</v>
      </c>
      <c r="V149" s="4">
        <v>468</v>
      </c>
      <c r="W149" s="4">
        <f t="shared" si="47"/>
        <v>468</v>
      </c>
      <c r="X149" s="4"/>
      <c r="Y149" s="21">
        <f t="shared" si="48"/>
        <v>644</v>
      </c>
      <c r="Z149" s="6">
        <f t="shared" si="49"/>
        <v>0.27329192546583847</v>
      </c>
      <c r="AA149" s="4">
        <v>0</v>
      </c>
      <c r="AB149" s="4" t="str">
        <f t="shared" si="50"/>
        <v>-</v>
      </c>
      <c r="AC149" s="4" t="str">
        <f t="shared" si="61"/>
        <v>-</v>
      </c>
      <c r="AD149" s="6" t="str">
        <f t="shared" si="62"/>
        <v>-</v>
      </c>
      <c r="AE149" s="4">
        <f t="shared" si="63"/>
        <v>741</v>
      </c>
      <c r="AF149" s="7">
        <v>720</v>
      </c>
      <c r="AG149" s="6">
        <f t="shared" si="51"/>
        <v>0.35</v>
      </c>
      <c r="AH149" s="4">
        <f t="shared" si="52"/>
        <v>252</v>
      </c>
      <c r="AI149" s="28"/>
      <c r="AJ149" s="6"/>
      <c r="AK149" s="6"/>
      <c r="AL149" s="6">
        <f t="shared" si="53"/>
        <v>1.278688524590164</v>
      </c>
      <c r="AM149" s="6">
        <f t="shared" si="54"/>
        <v>1.4285714285714286</v>
      </c>
      <c r="AN149" s="6">
        <f t="shared" si="55"/>
        <v>1.278688524590164</v>
      </c>
      <c r="AO149" s="4" t="str">
        <f t="shared" si="56"/>
        <v>-</v>
      </c>
      <c r="AP149" s="4" t="str">
        <f t="shared" si="57"/>
        <v>-</v>
      </c>
      <c r="AQ149" s="4" t="str">
        <f t="shared" si="58"/>
        <v>-</v>
      </c>
      <c r="AR149" s="4">
        <v>0</v>
      </c>
      <c r="AS149" s="4" t="s">
        <v>1280</v>
      </c>
      <c r="AT149" s="4"/>
      <c r="AU149" s="4"/>
      <c r="AV149" s="4" t="s">
        <v>1280</v>
      </c>
      <c r="AW149" s="4" t="s">
        <v>1280</v>
      </c>
      <c r="AX149" s="4" t="s">
        <v>1280</v>
      </c>
      <c r="AY149" s="4" t="s">
        <v>1280</v>
      </c>
      <c r="AZ149" s="4" t="str">
        <f t="shared" si="59"/>
        <v>-</v>
      </c>
      <c r="BA149" s="19">
        <v>4</v>
      </c>
      <c r="BB149" s="19">
        <v>8</v>
      </c>
      <c r="BC149" s="16">
        <v>19</v>
      </c>
      <c r="BD149" t="s">
        <v>1280</v>
      </c>
      <c r="BE149" t="s">
        <v>1280</v>
      </c>
      <c r="BF149" t="s">
        <v>1280</v>
      </c>
      <c r="BG149" t="str">
        <f t="shared" si="64"/>
        <v>-</v>
      </c>
      <c r="BH149">
        <v>610</v>
      </c>
      <c r="BI149">
        <v>610</v>
      </c>
      <c r="BJ149">
        <v>610</v>
      </c>
      <c r="BK149">
        <f t="shared" si="65"/>
        <v>780</v>
      </c>
      <c r="BL149" t="s">
        <v>1280</v>
      </c>
      <c r="BM149">
        <v>812</v>
      </c>
    </row>
    <row r="150" spans="1:65" x14ac:dyDescent="0.4">
      <c r="A150" s="3">
        <v>535</v>
      </c>
      <c r="B150" s="3">
        <v>535</v>
      </c>
      <c r="C150" s="4" t="s">
        <v>524</v>
      </c>
      <c r="D150" s="4" t="str">
        <f t="shared" si="44"/>
        <v>J885WN</v>
      </c>
      <c r="E150" s="4" t="s">
        <v>524</v>
      </c>
      <c r="F150" s="4" t="str">
        <f t="shared" si="60"/>
        <v>J885WN5</v>
      </c>
      <c r="G150" s="4" t="s">
        <v>1168</v>
      </c>
      <c r="H150" s="5">
        <v>4974268400680</v>
      </c>
      <c r="I150" s="5">
        <v>5</v>
      </c>
      <c r="J150" s="5"/>
      <c r="K150" s="5">
        <v>1</v>
      </c>
      <c r="L150" s="5">
        <v>1</v>
      </c>
      <c r="M150" s="4">
        <v>710</v>
      </c>
      <c r="N150" s="4">
        <v>610</v>
      </c>
      <c r="O150" s="4">
        <v>426</v>
      </c>
      <c r="P150" s="6">
        <f t="shared" si="45"/>
        <v>0.30163934426229511</v>
      </c>
      <c r="Q150" s="4" t="s">
        <v>1280</v>
      </c>
      <c r="R150" s="4" t="s">
        <v>1280</v>
      </c>
      <c r="S150" s="4" t="s">
        <v>1280</v>
      </c>
      <c r="T150" s="4">
        <v>780</v>
      </c>
      <c r="U150" s="4">
        <f t="shared" si="46"/>
        <v>780</v>
      </c>
      <c r="V150" s="4">
        <v>468</v>
      </c>
      <c r="W150" s="4">
        <f t="shared" si="47"/>
        <v>468</v>
      </c>
      <c r="X150" s="4"/>
      <c r="Y150" s="21">
        <f t="shared" si="48"/>
        <v>670</v>
      </c>
      <c r="Z150" s="6">
        <f t="shared" si="49"/>
        <v>0.30149253731343284</v>
      </c>
      <c r="AA150" s="4">
        <v>0</v>
      </c>
      <c r="AB150" s="4">
        <f t="shared" si="50"/>
        <v>496</v>
      </c>
      <c r="AC150" s="4">
        <f t="shared" si="61"/>
        <v>544.90140845070425</v>
      </c>
      <c r="AD150" s="6">
        <f t="shared" si="62"/>
        <v>0.14112903225806461</v>
      </c>
      <c r="AE150" s="4">
        <f t="shared" si="63"/>
        <v>741</v>
      </c>
      <c r="AF150" s="7">
        <v>708</v>
      </c>
      <c r="AG150" s="6">
        <f t="shared" si="51"/>
        <v>0.33898305084745761</v>
      </c>
      <c r="AH150" s="4">
        <f t="shared" si="52"/>
        <v>240</v>
      </c>
      <c r="AI150" s="28"/>
      <c r="AJ150" s="6"/>
      <c r="AK150" s="6"/>
      <c r="AL150" s="6">
        <f t="shared" si="53"/>
        <v>1.0985915492957747</v>
      </c>
      <c r="AM150" s="6">
        <f t="shared" si="54"/>
        <v>1.160655737704918</v>
      </c>
      <c r="AN150" s="6">
        <f t="shared" si="55"/>
        <v>1.0985915492957747</v>
      </c>
      <c r="AO150" s="4" t="str">
        <f t="shared" si="56"/>
        <v>-</v>
      </c>
      <c r="AP150" s="4" t="str">
        <f t="shared" si="57"/>
        <v>-</v>
      </c>
      <c r="AQ150" s="4" t="str">
        <f t="shared" si="58"/>
        <v>-</v>
      </c>
      <c r="AR150" s="4">
        <v>0</v>
      </c>
      <c r="AS150" s="4" t="s">
        <v>2086</v>
      </c>
      <c r="AT150" s="4">
        <v>1</v>
      </c>
      <c r="AU150" s="4">
        <v>10</v>
      </c>
      <c r="AV150" s="4" t="s">
        <v>2087</v>
      </c>
      <c r="AW150" s="4">
        <v>4960</v>
      </c>
      <c r="AX150" s="4">
        <v>4960</v>
      </c>
      <c r="AY150" s="4">
        <v>4960</v>
      </c>
      <c r="AZ150" s="4">
        <f t="shared" si="59"/>
        <v>496</v>
      </c>
      <c r="BA150" s="19">
        <v>4</v>
      </c>
      <c r="BB150" s="19">
        <v>8</v>
      </c>
      <c r="BC150" s="16">
        <v>19</v>
      </c>
      <c r="BD150" t="s">
        <v>1280</v>
      </c>
      <c r="BE150" t="s">
        <v>1280</v>
      </c>
      <c r="BF150" t="s">
        <v>1280</v>
      </c>
      <c r="BG150" t="str">
        <f t="shared" si="64"/>
        <v>-</v>
      </c>
      <c r="BH150">
        <v>646</v>
      </c>
      <c r="BI150">
        <v>646</v>
      </c>
      <c r="BJ150">
        <v>646</v>
      </c>
      <c r="BK150">
        <f t="shared" si="65"/>
        <v>709.69014084507046</v>
      </c>
      <c r="BL150" t="s">
        <v>1586</v>
      </c>
      <c r="BM150">
        <v>812</v>
      </c>
    </row>
    <row r="151" spans="1:65" x14ac:dyDescent="0.4">
      <c r="A151" s="3">
        <v>537</v>
      </c>
      <c r="B151" s="3">
        <v>537</v>
      </c>
      <c r="C151" s="4" t="s">
        <v>526</v>
      </c>
      <c r="D151" s="4" t="str">
        <f t="shared" si="44"/>
        <v>J887WN</v>
      </c>
      <c r="E151" s="4" t="s">
        <v>526</v>
      </c>
      <c r="F151" s="4" t="str">
        <f t="shared" si="60"/>
        <v>J887WN5</v>
      </c>
      <c r="G151" s="4" t="s">
        <v>1170</v>
      </c>
      <c r="H151" s="5">
        <v>4974268400727</v>
      </c>
      <c r="I151" s="5">
        <v>5</v>
      </c>
      <c r="J151" s="5"/>
      <c r="K151" s="5">
        <v>1</v>
      </c>
      <c r="L151" s="5">
        <v>1</v>
      </c>
      <c r="M151" s="4">
        <v>710</v>
      </c>
      <c r="N151" s="4">
        <v>610</v>
      </c>
      <c r="O151" s="4">
        <v>426</v>
      </c>
      <c r="P151" s="6">
        <f t="shared" si="45"/>
        <v>0.30163934426229511</v>
      </c>
      <c r="Q151" s="4" t="s">
        <v>1280</v>
      </c>
      <c r="R151" s="4" t="s">
        <v>1280</v>
      </c>
      <c r="S151" s="4" t="s">
        <v>1280</v>
      </c>
      <c r="T151" s="4">
        <v>780</v>
      </c>
      <c r="U151" s="4">
        <f t="shared" si="46"/>
        <v>780</v>
      </c>
      <c r="V151" s="4">
        <v>468</v>
      </c>
      <c r="W151" s="4">
        <f t="shared" si="47"/>
        <v>468</v>
      </c>
      <c r="X151" s="4"/>
      <c r="Y151" s="21">
        <f t="shared" si="48"/>
        <v>670</v>
      </c>
      <c r="Z151" s="6">
        <f t="shared" si="49"/>
        <v>0.30149253731343284</v>
      </c>
      <c r="AA151" s="4">
        <v>0</v>
      </c>
      <c r="AB151" s="4">
        <f t="shared" si="50"/>
        <v>516.70000000000005</v>
      </c>
      <c r="AC151" s="4">
        <f t="shared" si="61"/>
        <v>567.6422535211268</v>
      </c>
      <c r="AD151" s="6">
        <f t="shared" si="62"/>
        <v>0.17553706212502429</v>
      </c>
      <c r="AE151" s="4">
        <f t="shared" si="63"/>
        <v>741</v>
      </c>
      <c r="AF151" s="7">
        <v>708</v>
      </c>
      <c r="AG151" s="6">
        <f t="shared" si="51"/>
        <v>0.33898305084745761</v>
      </c>
      <c r="AH151" s="4">
        <f t="shared" si="52"/>
        <v>240</v>
      </c>
      <c r="AI151" s="28"/>
      <c r="AJ151" s="6"/>
      <c r="AK151" s="6"/>
      <c r="AL151" s="6">
        <f t="shared" si="53"/>
        <v>1.0985915492957747</v>
      </c>
      <c r="AM151" s="6">
        <f t="shared" si="54"/>
        <v>1.160655737704918</v>
      </c>
      <c r="AN151" s="6">
        <f t="shared" si="55"/>
        <v>1.0985915492957747</v>
      </c>
      <c r="AO151" s="4" t="str">
        <f t="shared" si="56"/>
        <v>-</v>
      </c>
      <c r="AP151" s="4" t="str">
        <f t="shared" si="57"/>
        <v>-</v>
      </c>
      <c r="AQ151" s="4" t="str">
        <f t="shared" si="58"/>
        <v>-</v>
      </c>
      <c r="AR151" s="4">
        <v>0</v>
      </c>
      <c r="AS151" s="4" t="s">
        <v>2090</v>
      </c>
      <c r="AT151" s="4">
        <v>1</v>
      </c>
      <c r="AU151" s="4">
        <v>10</v>
      </c>
      <c r="AV151" s="4" t="s">
        <v>2087</v>
      </c>
      <c r="AW151" s="4">
        <v>5167</v>
      </c>
      <c r="AX151" s="4">
        <v>5167</v>
      </c>
      <c r="AY151" s="4">
        <v>5167</v>
      </c>
      <c r="AZ151" s="4">
        <f t="shared" si="59"/>
        <v>516.70000000000005</v>
      </c>
      <c r="BA151" s="19">
        <v>4</v>
      </c>
      <c r="BB151" s="19">
        <v>8</v>
      </c>
      <c r="BC151" s="16">
        <v>19</v>
      </c>
      <c r="BD151" t="s">
        <v>1280</v>
      </c>
      <c r="BE151" t="s">
        <v>1280</v>
      </c>
      <c r="BF151" t="s">
        <v>1280</v>
      </c>
      <c r="BG151" t="str">
        <f t="shared" si="64"/>
        <v>-</v>
      </c>
      <c r="BH151">
        <v>646</v>
      </c>
      <c r="BI151">
        <v>646</v>
      </c>
      <c r="BJ151">
        <v>646</v>
      </c>
      <c r="BK151">
        <f t="shared" si="65"/>
        <v>709.69014084507046</v>
      </c>
      <c r="BL151" t="s">
        <v>1588</v>
      </c>
      <c r="BM151">
        <v>812</v>
      </c>
    </row>
    <row r="152" spans="1:65" x14ac:dyDescent="0.4">
      <c r="A152" s="3">
        <v>492</v>
      </c>
      <c r="B152" s="3">
        <v>492</v>
      </c>
      <c r="C152" s="4" t="s">
        <v>481</v>
      </c>
      <c r="D152" s="4" t="str">
        <f t="shared" si="44"/>
        <v>J73454</v>
      </c>
      <c r="E152" s="4" t="s">
        <v>481</v>
      </c>
      <c r="F152" s="4" t="str">
        <f t="shared" si="60"/>
        <v>J734545</v>
      </c>
      <c r="G152" s="4" t="s">
        <v>1125</v>
      </c>
      <c r="H152" s="5">
        <v>4974268531162</v>
      </c>
      <c r="I152" s="5">
        <v>5</v>
      </c>
      <c r="J152" s="5"/>
      <c r="K152" s="5">
        <v>1</v>
      </c>
      <c r="L152" s="5">
        <v>1</v>
      </c>
      <c r="M152" s="4">
        <v>3800</v>
      </c>
      <c r="N152" s="4">
        <v>2885</v>
      </c>
      <c r="O152" s="4">
        <v>2280</v>
      </c>
      <c r="P152" s="6">
        <f t="shared" si="45"/>
        <v>0.20970537261698441</v>
      </c>
      <c r="Q152" s="4" t="s">
        <v>1280</v>
      </c>
      <c r="R152" s="4" t="s">
        <v>1280</v>
      </c>
      <c r="S152" s="4" t="s">
        <v>1280</v>
      </c>
      <c r="T152" s="4">
        <v>790</v>
      </c>
      <c r="U152" s="4">
        <f t="shared" si="46"/>
        <v>3950</v>
      </c>
      <c r="V152" s="4">
        <v>474</v>
      </c>
      <c r="W152" s="4">
        <f t="shared" si="47"/>
        <v>2370</v>
      </c>
      <c r="X152" s="4">
        <v>5</v>
      </c>
      <c r="Y152" s="21">
        <f t="shared" si="48"/>
        <v>2999</v>
      </c>
      <c r="Z152" s="6">
        <f t="shared" si="49"/>
        <v>0.20973657885961983</v>
      </c>
      <c r="AA152" s="4">
        <v>1.5</v>
      </c>
      <c r="AB152" s="4" t="str">
        <f t="shared" si="50"/>
        <v>-</v>
      </c>
      <c r="AC152" s="4" t="str">
        <f t="shared" si="61"/>
        <v>-</v>
      </c>
      <c r="AD152" s="6" t="str">
        <f t="shared" si="62"/>
        <v>-</v>
      </c>
      <c r="AE152" s="4">
        <f t="shared" si="63"/>
        <v>3752.5</v>
      </c>
      <c r="AF152" s="7">
        <v>3600</v>
      </c>
      <c r="AG152" s="6">
        <f t="shared" si="51"/>
        <v>0.34166666666666667</v>
      </c>
      <c r="AH152" s="4">
        <f t="shared" si="52"/>
        <v>1230</v>
      </c>
      <c r="AI152" s="28"/>
      <c r="AJ152" s="6"/>
      <c r="AK152" s="6"/>
      <c r="AL152" s="6">
        <f t="shared" si="53"/>
        <v>1.0394736842105263</v>
      </c>
      <c r="AM152" s="6">
        <f t="shared" si="54"/>
        <v>1.2478336221837087</v>
      </c>
      <c r="AN152" s="6">
        <f t="shared" si="55"/>
        <v>1.0394736842105263</v>
      </c>
      <c r="AO152" s="4" t="str">
        <f t="shared" si="56"/>
        <v>-</v>
      </c>
      <c r="AP152" s="4" t="str">
        <f t="shared" si="57"/>
        <v>-</v>
      </c>
      <c r="AQ152" s="4" t="str">
        <f t="shared" si="58"/>
        <v>-</v>
      </c>
      <c r="AR152" s="4">
        <v>0</v>
      </c>
      <c r="AS152" s="4" t="s">
        <v>1280</v>
      </c>
      <c r="AT152" s="4"/>
      <c r="AU152" s="4"/>
      <c r="AV152" s="4" t="s">
        <v>1280</v>
      </c>
      <c r="AW152" s="4" t="s">
        <v>1280</v>
      </c>
      <c r="AX152" s="4" t="s">
        <v>1280</v>
      </c>
      <c r="AY152" s="4" t="s">
        <v>1280</v>
      </c>
      <c r="AZ152" s="4" t="str">
        <f t="shared" si="59"/>
        <v>-</v>
      </c>
      <c r="BA152" s="19">
        <v>4</v>
      </c>
      <c r="BB152" s="19">
        <v>8</v>
      </c>
      <c r="BC152" s="16">
        <v>19</v>
      </c>
      <c r="BD152" t="s">
        <v>1280</v>
      </c>
      <c r="BE152" t="s">
        <v>1280</v>
      </c>
      <c r="BF152" t="s">
        <v>1280</v>
      </c>
      <c r="BG152" t="str">
        <f t="shared" si="64"/>
        <v>-</v>
      </c>
      <c r="BH152" t="s">
        <v>1280</v>
      </c>
      <c r="BI152">
        <v>1038</v>
      </c>
      <c r="BJ152">
        <v>1038</v>
      </c>
      <c r="BK152">
        <f t="shared" si="65"/>
        <v>1078.9736842105262</v>
      </c>
      <c r="BL152" t="s">
        <v>1280</v>
      </c>
      <c r="BM152">
        <v>812</v>
      </c>
    </row>
    <row r="153" spans="1:65" x14ac:dyDescent="0.4">
      <c r="A153" s="3">
        <v>33</v>
      </c>
      <c r="B153" s="3">
        <v>33</v>
      </c>
      <c r="C153" s="4">
        <v>190350</v>
      </c>
      <c r="D153" s="4" t="str">
        <f t="shared" si="44"/>
        <v>190350</v>
      </c>
      <c r="E153" s="4">
        <v>190350</v>
      </c>
      <c r="F153" s="4" t="str">
        <f t="shared" si="60"/>
        <v>1903505</v>
      </c>
      <c r="G153" s="4" t="s">
        <v>668</v>
      </c>
      <c r="H153" s="5">
        <v>4974268616036</v>
      </c>
      <c r="I153" s="5">
        <v>5</v>
      </c>
      <c r="J153" s="5"/>
      <c r="K153" s="5">
        <v>1</v>
      </c>
      <c r="L153" s="5">
        <v>1</v>
      </c>
      <c r="M153" s="4">
        <v>720</v>
      </c>
      <c r="N153" s="4">
        <v>688</v>
      </c>
      <c r="O153" s="4">
        <v>432</v>
      </c>
      <c r="P153" s="6">
        <f t="shared" si="45"/>
        <v>0.37209302325581395</v>
      </c>
      <c r="Q153" s="4" t="s">
        <v>1280</v>
      </c>
      <c r="R153" s="4" t="s">
        <v>1280</v>
      </c>
      <c r="S153" s="4" t="s">
        <v>1280</v>
      </c>
      <c r="T153" s="4">
        <v>800</v>
      </c>
      <c r="U153" s="4">
        <f t="shared" si="46"/>
        <v>800</v>
      </c>
      <c r="V153" s="4">
        <v>480</v>
      </c>
      <c r="W153" s="4">
        <f t="shared" si="47"/>
        <v>480</v>
      </c>
      <c r="X153" s="4"/>
      <c r="Y153" s="21">
        <f t="shared" si="48"/>
        <v>764</v>
      </c>
      <c r="Z153" s="6">
        <f t="shared" si="49"/>
        <v>0.37172774869109948</v>
      </c>
      <c r="AA153" s="4">
        <v>0.25</v>
      </c>
      <c r="AB153" s="4">
        <f t="shared" si="50"/>
        <v>710</v>
      </c>
      <c r="AC153" s="4">
        <f t="shared" si="61"/>
        <v>788.88888888888891</v>
      </c>
      <c r="AD153" s="6">
        <f t="shared" si="62"/>
        <v>0.39154929577464792</v>
      </c>
      <c r="AE153" s="4">
        <f t="shared" si="63"/>
        <v>760</v>
      </c>
      <c r="AF153" s="7">
        <v>760</v>
      </c>
      <c r="AG153" s="6">
        <f t="shared" si="51"/>
        <v>0.36842105263157898</v>
      </c>
      <c r="AH153" s="4">
        <f t="shared" si="52"/>
        <v>280</v>
      </c>
      <c r="AI153" s="28"/>
      <c r="AJ153" s="6"/>
      <c r="AK153" s="6"/>
      <c r="AL153" s="6">
        <f t="shared" si="53"/>
        <v>1.1111111111111112</v>
      </c>
      <c r="AM153" s="6">
        <f t="shared" si="54"/>
        <v>1.1046511627906976</v>
      </c>
      <c r="AN153" s="6">
        <f t="shared" si="55"/>
        <v>1.1111111111111112</v>
      </c>
      <c r="AO153" s="4" t="str">
        <f t="shared" si="56"/>
        <v>-</v>
      </c>
      <c r="AP153" s="4" t="str">
        <f t="shared" si="57"/>
        <v>-</v>
      </c>
      <c r="AQ153" s="4" t="str">
        <f t="shared" si="58"/>
        <v>-</v>
      </c>
      <c r="AR153" s="4">
        <v>0</v>
      </c>
      <c r="AS153" s="4" t="s">
        <v>1718</v>
      </c>
      <c r="AT153" s="4"/>
      <c r="AU153" s="4"/>
      <c r="AV153" s="4" t="s">
        <v>1713</v>
      </c>
      <c r="AW153" s="4">
        <v>710</v>
      </c>
      <c r="AX153" s="4">
        <v>710</v>
      </c>
      <c r="AY153" s="4">
        <v>710</v>
      </c>
      <c r="AZ153" s="4">
        <f t="shared" si="59"/>
        <v>710</v>
      </c>
      <c r="BA153" s="19">
        <v>4</v>
      </c>
      <c r="BB153" s="19">
        <v>8</v>
      </c>
      <c r="BC153" s="16">
        <v>19</v>
      </c>
      <c r="BD153" t="s">
        <v>1280</v>
      </c>
      <c r="BE153" t="s">
        <v>1280</v>
      </c>
      <c r="BF153" t="s">
        <v>1280</v>
      </c>
      <c r="BG153" t="str">
        <f t="shared" si="64"/>
        <v>-</v>
      </c>
      <c r="BH153" t="s">
        <v>1280</v>
      </c>
      <c r="BI153">
        <v>630</v>
      </c>
      <c r="BJ153">
        <v>630</v>
      </c>
      <c r="BK153">
        <f t="shared" si="65"/>
        <v>700</v>
      </c>
      <c r="BL153" t="s">
        <v>1313</v>
      </c>
      <c r="BM153">
        <v>812</v>
      </c>
    </row>
    <row r="154" spans="1:65" x14ac:dyDescent="0.4">
      <c r="A154" s="3">
        <v>34</v>
      </c>
      <c r="B154" s="3">
        <v>34</v>
      </c>
      <c r="C154" s="4">
        <v>190351</v>
      </c>
      <c r="D154" s="4" t="str">
        <f t="shared" si="44"/>
        <v>190351</v>
      </c>
      <c r="E154" s="4">
        <v>190351</v>
      </c>
      <c r="F154" s="4" t="str">
        <f t="shared" si="60"/>
        <v>1903515</v>
      </c>
      <c r="G154" s="4" t="s">
        <v>669</v>
      </c>
      <c r="H154" s="5">
        <v>4974268660916</v>
      </c>
      <c r="I154" s="5">
        <v>5</v>
      </c>
      <c r="J154" s="5"/>
      <c r="K154" s="5">
        <v>1</v>
      </c>
      <c r="L154" s="5">
        <v>1</v>
      </c>
      <c r="M154" s="4">
        <v>720</v>
      </c>
      <c r="N154" s="4">
        <v>600</v>
      </c>
      <c r="O154" s="4">
        <v>432</v>
      </c>
      <c r="P154" s="6">
        <f t="shared" si="45"/>
        <v>0.28000000000000003</v>
      </c>
      <c r="Q154" s="4" t="s">
        <v>1280</v>
      </c>
      <c r="R154" s="4" t="s">
        <v>1280</v>
      </c>
      <c r="S154" s="4" t="s">
        <v>1280</v>
      </c>
      <c r="T154" s="4">
        <v>800</v>
      </c>
      <c r="U154" s="4">
        <f t="shared" si="46"/>
        <v>800</v>
      </c>
      <c r="V154" s="4">
        <v>480</v>
      </c>
      <c r="W154" s="4">
        <f t="shared" si="47"/>
        <v>480</v>
      </c>
      <c r="X154" s="4"/>
      <c r="Y154" s="21">
        <f t="shared" si="48"/>
        <v>667</v>
      </c>
      <c r="Z154" s="6">
        <f t="shared" si="49"/>
        <v>0.28035982008995497</v>
      </c>
      <c r="AA154" s="4">
        <v>0.25</v>
      </c>
      <c r="AB154" s="4">
        <f t="shared" si="50"/>
        <v>710</v>
      </c>
      <c r="AC154" s="4">
        <f t="shared" si="61"/>
        <v>788.88888888888891</v>
      </c>
      <c r="AD154" s="6">
        <f t="shared" si="62"/>
        <v>0.39154929577464792</v>
      </c>
      <c r="AE154" s="4">
        <f t="shared" si="63"/>
        <v>760</v>
      </c>
      <c r="AF154" s="7">
        <v>760</v>
      </c>
      <c r="AG154" s="6">
        <f t="shared" si="51"/>
        <v>0.36842105263157898</v>
      </c>
      <c r="AH154" s="4">
        <f t="shared" si="52"/>
        <v>280</v>
      </c>
      <c r="AI154" s="28"/>
      <c r="AJ154" s="6"/>
      <c r="AK154" s="6"/>
      <c r="AL154" s="6">
        <f t="shared" si="53"/>
        <v>1.1111111111111112</v>
      </c>
      <c r="AM154" s="6">
        <f t="shared" si="54"/>
        <v>1.2666666666666666</v>
      </c>
      <c r="AN154" s="6">
        <f t="shared" si="55"/>
        <v>1.1111111111111112</v>
      </c>
      <c r="AO154" s="4" t="str">
        <f t="shared" si="56"/>
        <v>-</v>
      </c>
      <c r="AP154" s="4" t="str">
        <f t="shared" si="57"/>
        <v>-</v>
      </c>
      <c r="AQ154" s="4" t="str">
        <f t="shared" si="58"/>
        <v>-</v>
      </c>
      <c r="AR154" s="4">
        <v>0</v>
      </c>
      <c r="AS154" s="4" t="s">
        <v>1719</v>
      </c>
      <c r="AT154" s="4"/>
      <c r="AU154" s="4"/>
      <c r="AV154" s="4" t="s">
        <v>1713</v>
      </c>
      <c r="AW154" s="4">
        <v>710</v>
      </c>
      <c r="AX154" s="4">
        <v>710</v>
      </c>
      <c r="AY154" s="4">
        <v>710</v>
      </c>
      <c r="AZ154" s="4">
        <f t="shared" si="59"/>
        <v>710</v>
      </c>
      <c r="BA154" s="19">
        <v>4</v>
      </c>
      <c r="BB154" s="19">
        <v>1</v>
      </c>
      <c r="BC154" s="16">
        <v>19</v>
      </c>
      <c r="BD154">
        <v>595</v>
      </c>
      <c r="BE154">
        <v>595</v>
      </c>
      <c r="BF154">
        <v>595</v>
      </c>
      <c r="BG154">
        <f t="shared" si="64"/>
        <v>661.11111111111109</v>
      </c>
      <c r="BH154" t="s">
        <v>1280</v>
      </c>
      <c r="BI154">
        <v>619</v>
      </c>
      <c r="BJ154">
        <v>619</v>
      </c>
      <c r="BK154">
        <f t="shared" si="65"/>
        <v>687.77777777777783</v>
      </c>
      <c r="BL154" t="s">
        <v>1314</v>
      </c>
      <c r="BM154">
        <v>812</v>
      </c>
    </row>
    <row r="155" spans="1:65" x14ac:dyDescent="0.4">
      <c r="A155" s="3">
        <v>144</v>
      </c>
      <c r="B155" s="3">
        <v>144</v>
      </c>
      <c r="C155" s="4" t="s">
        <v>133</v>
      </c>
      <c r="D155" s="4" t="str">
        <f t="shared" si="44"/>
        <v>J1843W</v>
      </c>
      <c r="E155" s="4" t="s">
        <v>133</v>
      </c>
      <c r="F155" s="4" t="str">
        <f t="shared" si="60"/>
        <v>J1843W5</v>
      </c>
      <c r="G155" s="4" t="s">
        <v>779</v>
      </c>
      <c r="H155" s="5">
        <v>4974268972828</v>
      </c>
      <c r="I155" s="5">
        <v>5</v>
      </c>
      <c r="J155" s="5"/>
      <c r="K155" s="5">
        <v>1</v>
      </c>
      <c r="L155" s="5">
        <v>1</v>
      </c>
      <c r="M155" s="4">
        <v>770</v>
      </c>
      <c r="N155" s="4">
        <v>680</v>
      </c>
      <c r="O155" s="4">
        <v>462</v>
      </c>
      <c r="P155" s="6">
        <f t="shared" si="45"/>
        <v>0.32058823529411762</v>
      </c>
      <c r="Q155" s="4" t="s">
        <v>1280</v>
      </c>
      <c r="R155" s="4" t="s">
        <v>1280</v>
      </c>
      <c r="S155" s="4" t="s">
        <v>1280</v>
      </c>
      <c r="T155" s="4">
        <v>800</v>
      </c>
      <c r="U155" s="4">
        <f t="shared" si="46"/>
        <v>800</v>
      </c>
      <c r="V155" s="4">
        <v>480</v>
      </c>
      <c r="W155" s="4">
        <f t="shared" si="47"/>
        <v>480</v>
      </c>
      <c r="X155" s="4"/>
      <c r="Y155" s="21">
        <f t="shared" si="48"/>
        <v>706</v>
      </c>
      <c r="Z155" s="6">
        <f t="shared" si="49"/>
        <v>0.32011331444759206</v>
      </c>
      <c r="AA155" s="4">
        <v>0</v>
      </c>
      <c r="AB155" s="4" t="str">
        <f t="shared" si="50"/>
        <v>-</v>
      </c>
      <c r="AC155" s="4" t="str">
        <f t="shared" si="61"/>
        <v>-</v>
      </c>
      <c r="AD155" s="6" t="str">
        <f t="shared" si="62"/>
        <v>-</v>
      </c>
      <c r="AE155" s="4">
        <f t="shared" si="63"/>
        <v>760</v>
      </c>
      <c r="AF155" s="7">
        <v>740</v>
      </c>
      <c r="AG155" s="6">
        <f t="shared" si="51"/>
        <v>0.35135135135135132</v>
      </c>
      <c r="AH155" s="4">
        <f t="shared" si="52"/>
        <v>260</v>
      </c>
      <c r="AI155" s="28"/>
      <c r="AJ155" s="6"/>
      <c r="AK155" s="6"/>
      <c r="AL155" s="6">
        <f t="shared" si="53"/>
        <v>1.0389610389610389</v>
      </c>
      <c r="AM155" s="6">
        <f t="shared" si="54"/>
        <v>1.088235294117647</v>
      </c>
      <c r="AN155" s="6">
        <f t="shared" si="55"/>
        <v>1.0389610389610389</v>
      </c>
      <c r="AO155" s="4" t="str">
        <f t="shared" si="56"/>
        <v>-</v>
      </c>
      <c r="AP155" s="4" t="str">
        <f t="shared" si="57"/>
        <v>-</v>
      </c>
      <c r="AQ155" s="4" t="str">
        <f t="shared" si="58"/>
        <v>-</v>
      </c>
      <c r="AR155" s="4">
        <v>0</v>
      </c>
      <c r="AS155" s="4" t="s">
        <v>1280</v>
      </c>
      <c r="AT155" s="4"/>
      <c r="AU155" s="4"/>
      <c r="AV155" s="4" t="s">
        <v>1280</v>
      </c>
      <c r="AW155" s="4" t="s">
        <v>1280</v>
      </c>
      <c r="AX155" s="4" t="s">
        <v>1280</v>
      </c>
      <c r="AY155" s="4" t="s">
        <v>1280</v>
      </c>
      <c r="AZ155" s="4" t="str">
        <f t="shared" si="59"/>
        <v>-</v>
      </c>
      <c r="BA155" s="19">
        <v>4</v>
      </c>
      <c r="BB155" s="19">
        <v>8</v>
      </c>
      <c r="BC155" s="16">
        <v>19</v>
      </c>
      <c r="BD155" t="s">
        <v>1280</v>
      </c>
      <c r="BE155" t="s">
        <v>1280</v>
      </c>
      <c r="BF155" t="s">
        <v>1280</v>
      </c>
      <c r="BG155" t="str">
        <f t="shared" si="64"/>
        <v>-</v>
      </c>
      <c r="BH155" t="s">
        <v>1280</v>
      </c>
      <c r="BI155" t="s">
        <v>1280</v>
      </c>
      <c r="BJ155" t="s">
        <v>1280</v>
      </c>
      <c r="BK155" t="str">
        <f t="shared" si="65"/>
        <v>-</v>
      </c>
      <c r="BL155" t="s">
        <v>1280</v>
      </c>
      <c r="BM155">
        <v>812</v>
      </c>
    </row>
    <row r="156" spans="1:65" x14ac:dyDescent="0.4">
      <c r="A156" s="3">
        <v>483</v>
      </c>
      <c r="B156" s="3">
        <v>483</v>
      </c>
      <c r="C156" s="4" t="s">
        <v>472</v>
      </c>
      <c r="D156" s="4" t="str">
        <f t="shared" si="44"/>
        <v>J54582</v>
      </c>
      <c r="E156" s="4" t="s">
        <v>472</v>
      </c>
      <c r="F156" s="4" t="str">
        <f t="shared" si="60"/>
        <v>J545825</v>
      </c>
      <c r="G156" s="4" t="s">
        <v>1116</v>
      </c>
      <c r="H156" s="5">
        <v>4974268564139</v>
      </c>
      <c r="I156" s="5">
        <v>5</v>
      </c>
      <c r="J156" s="5"/>
      <c r="K156" s="5">
        <v>1</v>
      </c>
      <c r="L156" s="5">
        <v>1</v>
      </c>
      <c r="M156" s="4">
        <v>6800</v>
      </c>
      <c r="N156" s="4">
        <v>6064</v>
      </c>
      <c r="O156" s="4">
        <v>4080</v>
      </c>
      <c r="P156" s="6">
        <f t="shared" si="45"/>
        <v>0.32717678100263847</v>
      </c>
      <c r="Q156" s="4" t="s">
        <v>1280</v>
      </c>
      <c r="R156" s="4" t="s">
        <v>1280</v>
      </c>
      <c r="S156" s="4" t="s">
        <v>1280</v>
      </c>
      <c r="T156" s="4">
        <v>820</v>
      </c>
      <c r="U156" s="4">
        <f t="shared" si="46"/>
        <v>8200</v>
      </c>
      <c r="V156" s="4">
        <v>492</v>
      </c>
      <c r="W156" s="4">
        <f t="shared" si="47"/>
        <v>4920</v>
      </c>
      <c r="X156" s="4">
        <v>10</v>
      </c>
      <c r="Y156" s="21">
        <f t="shared" si="48"/>
        <v>7312</v>
      </c>
      <c r="Z156" s="6">
        <f t="shared" si="49"/>
        <v>0.32713347921225377</v>
      </c>
      <c r="AA156" s="4">
        <v>0</v>
      </c>
      <c r="AB156" s="4">
        <f t="shared" si="50"/>
        <v>6220</v>
      </c>
      <c r="AC156" s="4">
        <f t="shared" si="61"/>
        <v>7500.5882352941171</v>
      </c>
      <c r="AD156" s="6">
        <f t="shared" si="62"/>
        <v>0.34405144694533762</v>
      </c>
      <c r="AE156" s="4">
        <f t="shared" si="63"/>
        <v>7790</v>
      </c>
      <c r="AF156" s="7">
        <v>7500</v>
      </c>
      <c r="AG156" s="6">
        <f t="shared" si="51"/>
        <v>0.34399999999999997</v>
      </c>
      <c r="AH156" s="4">
        <f t="shared" si="52"/>
        <v>2580</v>
      </c>
      <c r="AI156" s="28"/>
      <c r="AJ156" s="6"/>
      <c r="AK156" s="6"/>
      <c r="AL156" s="6">
        <f t="shared" si="53"/>
        <v>1.2058823529411764</v>
      </c>
      <c r="AM156" s="6">
        <f t="shared" si="54"/>
        <v>1.2368073878627968</v>
      </c>
      <c r="AN156" s="6">
        <f t="shared" si="55"/>
        <v>1.2058823529411764</v>
      </c>
      <c r="AO156" s="4" t="str">
        <f t="shared" si="56"/>
        <v>-</v>
      </c>
      <c r="AP156" s="4" t="str">
        <f t="shared" si="57"/>
        <v>-</v>
      </c>
      <c r="AQ156" s="4" t="str">
        <f t="shared" si="58"/>
        <v>-</v>
      </c>
      <c r="AR156" s="4">
        <v>0</v>
      </c>
      <c r="AS156" s="4" t="s">
        <v>2040</v>
      </c>
      <c r="AT156" s="4">
        <v>10</v>
      </c>
      <c r="AU156" s="4">
        <v>1</v>
      </c>
      <c r="AV156" s="4" t="s">
        <v>1733</v>
      </c>
      <c r="AW156" s="4">
        <v>622</v>
      </c>
      <c r="AX156" s="4">
        <v>622</v>
      </c>
      <c r="AY156" s="4">
        <v>622</v>
      </c>
      <c r="AZ156" s="4">
        <f t="shared" si="59"/>
        <v>6220</v>
      </c>
      <c r="BA156" s="19">
        <v>4</v>
      </c>
      <c r="BB156" s="19">
        <v>8</v>
      </c>
      <c r="BC156" s="16">
        <v>18</v>
      </c>
      <c r="BD156" t="s">
        <v>1280</v>
      </c>
      <c r="BE156" t="s">
        <v>1280</v>
      </c>
      <c r="BF156" t="s">
        <v>1280</v>
      </c>
      <c r="BG156" t="str">
        <f t="shared" si="64"/>
        <v>-</v>
      </c>
      <c r="BH156" t="s">
        <v>1280</v>
      </c>
      <c r="BI156" t="s">
        <v>1280</v>
      </c>
      <c r="BJ156" t="s">
        <v>1280</v>
      </c>
      <c r="BK156" t="str">
        <f t="shared" si="65"/>
        <v>-</v>
      </c>
      <c r="BL156" t="s">
        <v>1552</v>
      </c>
      <c r="BM156">
        <v>812</v>
      </c>
    </row>
    <row r="157" spans="1:65" x14ac:dyDescent="0.4">
      <c r="A157" s="3">
        <v>2</v>
      </c>
      <c r="B157" s="3">
        <v>2</v>
      </c>
      <c r="C157" s="4">
        <v>113506</v>
      </c>
      <c r="D157" s="4" t="str">
        <f t="shared" si="44"/>
        <v>113506</v>
      </c>
      <c r="E157" s="4">
        <v>113506</v>
      </c>
      <c r="F157" s="4" t="str">
        <f t="shared" si="60"/>
        <v>1135065</v>
      </c>
      <c r="G157" s="4" t="s">
        <v>637</v>
      </c>
      <c r="H157" s="5">
        <v>4974268253545</v>
      </c>
      <c r="I157" s="5">
        <v>5</v>
      </c>
      <c r="J157" s="5"/>
      <c r="K157" s="5">
        <v>1</v>
      </c>
      <c r="L157" s="5">
        <v>1</v>
      </c>
      <c r="M157" s="4">
        <v>750</v>
      </c>
      <c r="N157" s="4">
        <v>705</v>
      </c>
      <c r="O157" s="4">
        <v>450</v>
      </c>
      <c r="P157" s="6">
        <f t="shared" si="45"/>
        <v>0.36170212765957444</v>
      </c>
      <c r="Q157" s="4" t="s">
        <v>1280</v>
      </c>
      <c r="R157" s="4" t="s">
        <v>1280</v>
      </c>
      <c r="S157" s="4" t="s">
        <v>1280</v>
      </c>
      <c r="T157" s="4">
        <v>850</v>
      </c>
      <c r="U157" s="4">
        <f t="shared" si="46"/>
        <v>850</v>
      </c>
      <c r="V157" s="4">
        <v>510</v>
      </c>
      <c r="W157" s="4">
        <f t="shared" si="47"/>
        <v>510</v>
      </c>
      <c r="X157" s="4"/>
      <c r="Y157" s="21">
        <f t="shared" si="48"/>
        <v>799</v>
      </c>
      <c r="Z157" s="6">
        <f t="shared" si="49"/>
        <v>0.36170212765957444</v>
      </c>
      <c r="AA157" s="4">
        <v>1.7500000000000002</v>
      </c>
      <c r="AB157" s="4">
        <f t="shared" si="50"/>
        <v>627</v>
      </c>
      <c r="AC157" s="4">
        <f t="shared" si="61"/>
        <v>710.6</v>
      </c>
      <c r="AD157" s="6">
        <f t="shared" si="62"/>
        <v>0.28229665071770338</v>
      </c>
      <c r="AE157" s="4">
        <f t="shared" si="63"/>
        <v>807.5</v>
      </c>
      <c r="AF157" s="7">
        <v>790</v>
      </c>
      <c r="AG157" s="6">
        <f t="shared" si="51"/>
        <v>0.35443037974683544</v>
      </c>
      <c r="AH157" s="4">
        <f t="shared" si="52"/>
        <v>280</v>
      </c>
      <c r="AI157" s="28"/>
      <c r="AJ157" s="6"/>
      <c r="AK157" s="6"/>
      <c r="AL157" s="6">
        <f t="shared" si="53"/>
        <v>1.1333333333333333</v>
      </c>
      <c r="AM157" s="6">
        <f t="shared" si="54"/>
        <v>1.1205673758865249</v>
      </c>
      <c r="AN157" s="6">
        <f t="shared" si="55"/>
        <v>1.1333333333333333</v>
      </c>
      <c r="AO157" s="4" t="str">
        <f t="shared" si="56"/>
        <v>-</v>
      </c>
      <c r="AP157" s="4" t="str">
        <f t="shared" si="57"/>
        <v>-</v>
      </c>
      <c r="AQ157" s="4" t="str">
        <f t="shared" si="58"/>
        <v>-</v>
      </c>
      <c r="AR157" s="4">
        <v>0</v>
      </c>
      <c r="AS157" s="4" t="s">
        <v>1681</v>
      </c>
      <c r="AT157" s="4">
        <v>1</v>
      </c>
      <c r="AU157" s="4">
        <v>5</v>
      </c>
      <c r="AV157" s="4" t="s">
        <v>1682</v>
      </c>
      <c r="AW157" s="4">
        <v>3135</v>
      </c>
      <c r="AX157" s="4">
        <v>3135</v>
      </c>
      <c r="AY157" s="4">
        <v>3135</v>
      </c>
      <c r="AZ157" s="4">
        <f t="shared" si="59"/>
        <v>627</v>
      </c>
      <c r="BA157" s="19">
        <v>4</v>
      </c>
      <c r="BB157" s="19">
        <v>1</v>
      </c>
      <c r="BC157" s="16">
        <v>4</v>
      </c>
      <c r="BD157" t="s">
        <v>1280</v>
      </c>
      <c r="BE157">
        <v>2825</v>
      </c>
      <c r="BF157">
        <v>2825</v>
      </c>
      <c r="BG157">
        <f t="shared" si="64"/>
        <v>3201.6666666666665</v>
      </c>
      <c r="BH157">
        <v>3400</v>
      </c>
      <c r="BI157">
        <v>3400</v>
      </c>
      <c r="BJ157">
        <v>3400</v>
      </c>
      <c r="BK157">
        <f t="shared" si="65"/>
        <v>3853.333333333333</v>
      </c>
      <c r="BL157" t="s">
        <v>1287</v>
      </c>
      <c r="BM157">
        <v>812</v>
      </c>
    </row>
    <row r="158" spans="1:65" x14ac:dyDescent="0.4">
      <c r="A158" s="3">
        <v>3</v>
      </c>
      <c r="B158" s="3">
        <v>3</v>
      </c>
      <c r="C158" s="4">
        <v>113507</v>
      </c>
      <c r="D158" s="4" t="str">
        <f t="shared" si="44"/>
        <v>113507</v>
      </c>
      <c r="E158" s="4">
        <v>113507</v>
      </c>
      <c r="F158" s="4" t="str">
        <f t="shared" si="60"/>
        <v>1135075</v>
      </c>
      <c r="G158" s="4" t="s">
        <v>638</v>
      </c>
      <c r="H158" s="5">
        <v>4974268253552</v>
      </c>
      <c r="I158" s="5">
        <v>5</v>
      </c>
      <c r="J158" s="5"/>
      <c r="K158" s="5">
        <v>1</v>
      </c>
      <c r="L158" s="5">
        <v>1</v>
      </c>
      <c r="M158" s="4">
        <v>750</v>
      </c>
      <c r="N158" s="4">
        <v>628</v>
      </c>
      <c r="O158" s="4">
        <v>450</v>
      </c>
      <c r="P158" s="6">
        <f t="shared" si="45"/>
        <v>0.28343949044585992</v>
      </c>
      <c r="Q158" s="4" t="s">
        <v>1280</v>
      </c>
      <c r="R158" s="4" t="s">
        <v>1280</v>
      </c>
      <c r="S158" s="4" t="s">
        <v>1280</v>
      </c>
      <c r="T158" s="4">
        <v>850</v>
      </c>
      <c r="U158" s="4">
        <f t="shared" si="46"/>
        <v>850</v>
      </c>
      <c r="V158" s="4">
        <v>510</v>
      </c>
      <c r="W158" s="4">
        <f t="shared" si="47"/>
        <v>510</v>
      </c>
      <c r="X158" s="4"/>
      <c r="Y158" s="21">
        <f t="shared" si="48"/>
        <v>712</v>
      </c>
      <c r="Z158" s="6">
        <f t="shared" si="49"/>
        <v>0.2837078651685393</v>
      </c>
      <c r="AA158" s="4">
        <v>0.5</v>
      </c>
      <c r="AB158" s="4">
        <f t="shared" si="50"/>
        <v>871.80000000000007</v>
      </c>
      <c r="AC158" s="4">
        <f t="shared" si="61"/>
        <v>988.04000000000008</v>
      </c>
      <c r="AD158" s="6">
        <f t="shared" si="62"/>
        <v>0.48382656572608396</v>
      </c>
      <c r="AE158" s="4">
        <f t="shared" si="63"/>
        <v>807.5</v>
      </c>
      <c r="AF158" s="7">
        <v>790</v>
      </c>
      <c r="AG158" s="6">
        <f t="shared" si="51"/>
        <v>0.35443037974683544</v>
      </c>
      <c r="AH158" s="4">
        <f t="shared" si="52"/>
        <v>280</v>
      </c>
      <c r="AI158" s="28"/>
      <c r="AJ158" s="6"/>
      <c r="AK158" s="6"/>
      <c r="AL158" s="6">
        <f t="shared" si="53"/>
        <v>1.1333333333333333</v>
      </c>
      <c r="AM158" s="6">
        <f t="shared" si="54"/>
        <v>1.2579617834394905</v>
      </c>
      <c r="AN158" s="6">
        <f t="shared" si="55"/>
        <v>1.1333333333333333</v>
      </c>
      <c r="AO158" s="4" t="str">
        <f t="shared" si="56"/>
        <v>-</v>
      </c>
      <c r="AP158" s="4" t="str">
        <f t="shared" si="57"/>
        <v>-</v>
      </c>
      <c r="AQ158" s="4" t="str">
        <f t="shared" si="58"/>
        <v>-</v>
      </c>
      <c r="AR158" s="4">
        <v>0</v>
      </c>
      <c r="AS158" s="4" t="s">
        <v>1683</v>
      </c>
      <c r="AT158" s="4">
        <v>1</v>
      </c>
      <c r="AU158" s="4">
        <v>5</v>
      </c>
      <c r="AV158" s="4" t="s">
        <v>1684</v>
      </c>
      <c r="AW158" s="4">
        <v>4359</v>
      </c>
      <c r="AX158" s="4">
        <v>4359</v>
      </c>
      <c r="AY158" s="4">
        <v>4359</v>
      </c>
      <c r="AZ158" s="4">
        <f t="shared" si="59"/>
        <v>871.80000000000007</v>
      </c>
      <c r="BA158" s="19">
        <v>4</v>
      </c>
      <c r="BB158" s="19">
        <v>1</v>
      </c>
      <c r="BC158" s="16">
        <v>4</v>
      </c>
      <c r="BD158" t="s">
        <v>1280</v>
      </c>
      <c r="BE158" t="s">
        <v>1280</v>
      </c>
      <c r="BF158" t="s">
        <v>1280</v>
      </c>
      <c r="BG158" t="str">
        <f t="shared" si="64"/>
        <v>-</v>
      </c>
      <c r="BH158">
        <v>3400</v>
      </c>
      <c r="BI158">
        <v>3400</v>
      </c>
      <c r="BJ158">
        <v>3400</v>
      </c>
      <c r="BK158">
        <f t="shared" si="65"/>
        <v>3853.333333333333</v>
      </c>
      <c r="BL158" t="s">
        <v>1288</v>
      </c>
      <c r="BM158">
        <v>812</v>
      </c>
    </row>
    <row r="159" spans="1:65" x14ac:dyDescent="0.4">
      <c r="A159" s="3">
        <v>4</v>
      </c>
      <c r="B159" s="3">
        <v>4</v>
      </c>
      <c r="C159" s="4">
        <v>113510</v>
      </c>
      <c r="D159" s="4" t="str">
        <f t="shared" si="44"/>
        <v>113510</v>
      </c>
      <c r="E159" s="4">
        <v>113510</v>
      </c>
      <c r="F159" s="4" t="str">
        <f t="shared" si="60"/>
        <v>1135105</v>
      </c>
      <c r="G159" s="4" t="s">
        <v>639</v>
      </c>
      <c r="H159" s="5">
        <v>4974268253576</v>
      </c>
      <c r="I159" s="5">
        <v>5</v>
      </c>
      <c r="J159" s="5"/>
      <c r="K159" s="5">
        <v>1</v>
      </c>
      <c r="L159" s="5">
        <v>1</v>
      </c>
      <c r="M159" s="4">
        <v>750</v>
      </c>
      <c r="N159" s="4">
        <v>478</v>
      </c>
      <c r="O159" s="4">
        <v>450</v>
      </c>
      <c r="P159" s="6">
        <f t="shared" si="45"/>
        <v>5.8577405857740628E-2</v>
      </c>
      <c r="Q159" s="4" t="s">
        <v>1280</v>
      </c>
      <c r="R159" s="4" t="s">
        <v>1280</v>
      </c>
      <c r="S159" s="4" t="s">
        <v>1280</v>
      </c>
      <c r="T159" s="4">
        <v>850</v>
      </c>
      <c r="U159" s="4">
        <f t="shared" si="46"/>
        <v>850</v>
      </c>
      <c r="V159" s="4">
        <v>510</v>
      </c>
      <c r="W159" s="4">
        <f t="shared" si="47"/>
        <v>510</v>
      </c>
      <c r="X159" s="4"/>
      <c r="Y159" s="21">
        <f t="shared" si="48"/>
        <v>542</v>
      </c>
      <c r="Z159" s="6">
        <f t="shared" si="49"/>
        <v>5.9040590405904037E-2</v>
      </c>
      <c r="AA159" s="4">
        <v>4</v>
      </c>
      <c r="AB159" s="4">
        <f t="shared" si="50"/>
        <v>760</v>
      </c>
      <c r="AC159" s="4">
        <f t="shared" si="61"/>
        <v>861.33333333333326</v>
      </c>
      <c r="AD159" s="6">
        <f t="shared" si="62"/>
        <v>0.4078947368421052</v>
      </c>
      <c r="AE159" s="4">
        <f t="shared" si="63"/>
        <v>807.5</v>
      </c>
      <c r="AF159" s="7">
        <v>790</v>
      </c>
      <c r="AG159" s="6">
        <f t="shared" si="51"/>
        <v>0.35443037974683544</v>
      </c>
      <c r="AH159" s="4">
        <f t="shared" si="52"/>
        <v>280</v>
      </c>
      <c r="AI159" s="28"/>
      <c r="AJ159" s="6"/>
      <c r="AK159" s="6"/>
      <c r="AL159" s="6">
        <f t="shared" si="53"/>
        <v>1.1333333333333333</v>
      </c>
      <c r="AM159" s="6">
        <f t="shared" si="54"/>
        <v>1.6527196652719665</v>
      </c>
      <c r="AN159" s="6">
        <f t="shared" si="55"/>
        <v>1.1333333333333333</v>
      </c>
      <c r="AO159" s="4" t="str">
        <f t="shared" si="56"/>
        <v>-</v>
      </c>
      <c r="AP159" s="4" t="str">
        <f t="shared" si="57"/>
        <v>-</v>
      </c>
      <c r="AQ159" s="4" t="str">
        <f t="shared" si="58"/>
        <v>-</v>
      </c>
      <c r="AR159" s="4">
        <v>0</v>
      </c>
      <c r="AS159" s="4" t="s">
        <v>1685</v>
      </c>
      <c r="AT159" s="4"/>
      <c r="AU159" s="4"/>
      <c r="AV159" s="4" t="s">
        <v>1686</v>
      </c>
      <c r="AW159" s="4">
        <v>760</v>
      </c>
      <c r="AX159" s="4">
        <v>760</v>
      </c>
      <c r="AY159" s="4">
        <v>760</v>
      </c>
      <c r="AZ159" s="4">
        <f t="shared" si="59"/>
        <v>760</v>
      </c>
      <c r="BA159" s="19">
        <v>4</v>
      </c>
      <c r="BB159" s="19">
        <v>1</v>
      </c>
      <c r="BC159" s="16">
        <v>4</v>
      </c>
      <c r="BD159" t="s">
        <v>1280</v>
      </c>
      <c r="BE159" t="s">
        <v>1280</v>
      </c>
      <c r="BF159" t="s">
        <v>1280</v>
      </c>
      <c r="BG159" t="str">
        <f t="shared" si="64"/>
        <v>-</v>
      </c>
      <c r="BH159">
        <v>3400</v>
      </c>
      <c r="BI159">
        <v>3400</v>
      </c>
      <c r="BJ159">
        <v>3400</v>
      </c>
      <c r="BK159">
        <f t="shared" si="65"/>
        <v>3853.333333333333</v>
      </c>
      <c r="BL159" t="s">
        <v>1289</v>
      </c>
      <c r="BM159">
        <v>812</v>
      </c>
    </row>
    <row r="160" spans="1:65" x14ac:dyDescent="0.4">
      <c r="A160" s="3">
        <v>5</v>
      </c>
      <c r="B160" s="3">
        <v>5</v>
      </c>
      <c r="C160" s="4">
        <v>113511</v>
      </c>
      <c r="D160" s="4" t="str">
        <f t="shared" si="44"/>
        <v>113511</v>
      </c>
      <c r="E160" s="4">
        <v>113511</v>
      </c>
      <c r="F160" s="4" t="str">
        <f t="shared" si="60"/>
        <v>1135115</v>
      </c>
      <c r="G160" s="4" t="s">
        <v>640</v>
      </c>
      <c r="H160" s="5">
        <v>4974268253583</v>
      </c>
      <c r="I160" s="5">
        <v>5</v>
      </c>
      <c r="J160" s="5"/>
      <c r="K160" s="5">
        <v>1</v>
      </c>
      <c r="L160" s="5">
        <v>1</v>
      </c>
      <c r="M160" s="4">
        <v>750</v>
      </c>
      <c r="N160" s="4">
        <v>705</v>
      </c>
      <c r="O160" s="4">
        <v>450</v>
      </c>
      <c r="P160" s="6">
        <f t="shared" si="45"/>
        <v>0.36170212765957444</v>
      </c>
      <c r="Q160" s="4" t="s">
        <v>1280</v>
      </c>
      <c r="R160" s="4" t="s">
        <v>1280</v>
      </c>
      <c r="S160" s="4" t="s">
        <v>1280</v>
      </c>
      <c r="T160" s="4">
        <v>850</v>
      </c>
      <c r="U160" s="4">
        <f t="shared" si="46"/>
        <v>850</v>
      </c>
      <c r="V160" s="4">
        <v>510</v>
      </c>
      <c r="W160" s="4">
        <f t="shared" si="47"/>
        <v>510</v>
      </c>
      <c r="X160" s="4"/>
      <c r="Y160" s="21">
        <f t="shared" si="48"/>
        <v>799</v>
      </c>
      <c r="Z160" s="6">
        <f t="shared" si="49"/>
        <v>0.36170212765957444</v>
      </c>
      <c r="AA160" s="4">
        <v>9</v>
      </c>
      <c r="AB160" s="4">
        <f t="shared" si="50"/>
        <v>700</v>
      </c>
      <c r="AC160" s="4">
        <f t="shared" si="61"/>
        <v>793.33333333333326</v>
      </c>
      <c r="AD160" s="6">
        <f t="shared" si="62"/>
        <v>0.3571428571428571</v>
      </c>
      <c r="AE160" s="4">
        <f t="shared" si="63"/>
        <v>807.5</v>
      </c>
      <c r="AF160" s="7">
        <v>790</v>
      </c>
      <c r="AG160" s="6">
        <f t="shared" si="51"/>
        <v>0.35443037974683544</v>
      </c>
      <c r="AH160" s="4">
        <f t="shared" si="52"/>
        <v>280</v>
      </c>
      <c r="AI160" s="28"/>
      <c r="AJ160" s="6"/>
      <c r="AK160" s="6"/>
      <c r="AL160" s="6">
        <f t="shared" si="53"/>
        <v>1.1333333333333333</v>
      </c>
      <c r="AM160" s="6">
        <f t="shared" si="54"/>
        <v>1.1205673758865249</v>
      </c>
      <c r="AN160" s="6">
        <f t="shared" si="55"/>
        <v>1.1333333333333333</v>
      </c>
      <c r="AO160" s="4" t="str">
        <f t="shared" si="56"/>
        <v>-</v>
      </c>
      <c r="AP160" s="4" t="str">
        <f t="shared" si="57"/>
        <v>-</v>
      </c>
      <c r="AQ160" s="4" t="str">
        <f t="shared" si="58"/>
        <v>-</v>
      </c>
      <c r="AR160" s="4">
        <v>0</v>
      </c>
      <c r="AS160" s="4" t="s">
        <v>1687</v>
      </c>
      <c r="AT160" s="4"/>
      <c r="AU160" s="4"/>
      <c r="AV160" s="4" t="s">
        <v>1688</v>
      </c>
      <c r="AW160" s="4">
        <v>700</v>
      </c>
      <c r="AX160" s="4">
        <v>700</v>
      </c>
      <c r="AY160" s="4">
        <v>700</v>
      </c>
      <c r="AZ160" s="4">
        <f t="shared" si="59"/>
        <v>700</v>
      </c>
      <c r="BA160" s="19">
        <v>4</v>
      </c>
      <c r="BB160" s="19">
        <v>1</v>
      </c>
      <c r="BC160" s="16">
        <v>4</v>
      </c>
      <c r="BD160" t="s">
        <v>1280</v>
      </c>
      <c r="BE160" t="s">
        <v>1280</v>
      </c>
      <c r="BF160" t="s">
        <v>1280</v>
      </c>
      <c r="BG160" t="str">
        <f t="shared" si="64"/>
        <v>-</v>
      </c>
      <c r="BH160">
        <v>3400</v>
      </c>
      <c r="BI160">
        <v>3400</v>
      </c>
      <c r="BJ160">
        <v>3400</v>
      </c>
      <c r="BK160">
        <f t="shared" si="65"/>
        <v>3853.333333333333</v>
      </c>
      <c r="BL160" t="s">
        <v>1290</v>
      </c>
      <c r="BM160">
        <v>812</v>
      </c>
    </row>
    <row r="161" spans="1:65" x14ac:dyDescent="0.4">
      <c r="A161" s="3">
        <v>6</v>
      </c>
      <c r="B161" s="3">
        <v>6</v>
      </c>
      <c r="C161" s="4">
        <v>113512</v>
      </c>
      <c r="D161" s="4" t="str">
        <f t="shared" si="44"/>
        <v>113512</v>
      </c>
      <c r="E161" s="4">
        <v>113512</v>
      </c>
      <c r="F161" s="4" t="str">
        <f t="shared" si="60"/>
        <v>1135125</v>
      </c>
      <c r="G161" s="4" t="s">
        <v>641</v>
      </c>
      <c r="H161" s="5">
        <v>4974268253590</v>
      </c>
      <c r="I161" s="5">
        <v>5</v>
      </c>
      <c r="J161" s="5"/>
      <c r="K161" s="5">
        <v>1</v>
      </c>
      <c r="L161" s="5">
        <v>1</v>
      </c>
      <c r="M161" s="4">
        <v>750</v>
      </c>
      <c r="N161" s="4">
        <v>712</v>
      </c>
      <c r="O161" s="4">
        <v>450</v>
      </c>
      <c r="P161" s="6">
        <f t="shared" si="45"/>
        <v>0.3679775280898876</v>
      </c>
      <c r="Q161" s="4" t="s">
        <v>1280</v>
      </c>
      <c r="R161" s="4" t="s">
        <v>1280</v>
      </c>
      <c r="S161" s="4" t="s">
        <v>1280</v>
      </c>
      <c r="T161" s="4">
        <v>850</v>
      </c>
      <c r="U161" s="4">
        <f t="shared" si="46"/>
        <v>850</v>
      </c>
      <c r="V161" s="4">
        <v>510</v>
      </c>
      <c r="W161" s="4">
        <f t="shared" si="47"/>
        <v>510</v>
      </c>
      <c r="X161" s="4"/>
      <c r="Y161" s="21">
        <f t="shared" si="48"/>
        <v>807</v>
      </c>
      <c r="Z161" s="6">
        <f t="shared" si="49"/>
        <v>0.36802973977695164</v>
      </c>
      <c r="AA161" s="4">
        <v>1</v>
      </c>
      <c r="AB161" s="4">
        <f t="shared" si="50"/>
        <v>700</v>
      </c>
      <c r="AC161" s="4">
        <f t="shared" si="61"/>
        <v>793.33333333333326</v>
      </c>
      <c r="AD161" s="6">
        <f t="shared" si="62"/>
        <v>0.3571428571428571</v>
      </c>
      <c r="AE161" s="4">
        <f t="shared" si="63"/>
        <v>807.5</v>
      </c>
      <c r="AF161" s="7">
        <v>790</v>
      </c>
      <c r="AG161" s="6">
        <f t="shared" si="51"/>
        <v>0.35443037974683544</v>
      </c>
      <c r="AH161" s="4">
        <f t="shared" si="52"/>
        <v>280</v>
      </c>
      <c r="AI161" s="28"/>
      <c r="AJ161" s="6"/>
      <c r="AK161" s="6"/>
      <c r="AL161" s="6">
        <f t="shared" si="53"/>
        <v>1.1333333333333333</v>
      </c>
      <c r="AM161" s="6">
        <f t="shared" si="54"/>
        <v>1.1095505617977528</v>
      </c>
      <c r="AN161" s="6">
        <f t="shared" si="55"/>
        <v>1.1333333333333333</v>
      </c>
      <c r="AO161" s="4" t="str">
        <f t="shared" si="56"/>
        <v>-</v>
      </c>
      <c r="AP161" s="4" t="str">
        <f t="shared" si="57"/>
        <v>-</v>
      </c>
      <c r="AQ161" s="4" t="str">
        <f t="shared" si="58"/>
        <v>-</v>
      </c>
      <c r="AR161" s="4">
        <v>0</v>
      </c>
      <c r="AS161" s="4" t="s">
        <v>1689</v>
      </c>
      <c r="AT161" s="4"/>
      <c r="AU161" s="4"/>
      <c r="AV161" s="4" t="s">
        <v>1688</v>
      </c>
      <c r="AW161" s="4">
        <v>700</v>
      </c>
      <c r="AX161" s="4">
        <v>700</v>
      </c>
      <c r="AY161" s="4">
        <v>700</v>
      </c>
      <c r="AZ161" s="4">
        <f t="shared" si="59"/>
        <v>700</v>
      </c>
      <c r="BA161" s="19">
        <v>4</v>
      </c>
      <c r="BB161" s="19">
        <v>1</v>
      </c>
      <c r="BC161" s="16">
        <v>4</v>
      </c>
      <c r="BD161" t="s">
        <v>1280</v>
      </c>
      <c r="BE161" t="s">
        <v>1280</v>
      </c>
      <c r="BF161" t="s">
        <v>1280</v>
      </c>
      <c r="BG161" t="str">
        <f t="shared" si="64"/>
        <v>-</v>
      </c>
      <c r="BH161">
        <v>3400</v>
      </c>
      <c r="BI161">
        <v>3400</v>
      </c>
      <c r="BJ161">
        <v>3400</v>
      </c>
      <c r="BK161">
        <f t="shared" si="65"/>
        <v>3853.333333333333</v>
      </c>
      <c r="BL161" t="s">
        <v>1291</v>
      </c>
      <c r="BM161">
        <v>812</v>
      </c>
    </row>
    <row r="162" spans="1:65" x14ac:dyDescent="0.4">
      <c r="A162" s="3">
        <v>7</v>
      </c>
      <c r="B162" s="3">
        <v>7</v>
      </c>
      <c r="C162" s="4">
        <v>113513</v>
      </c>
      <c r="D162" s="4" t="str">
        <f t="shared" si="44"/>
        <v>113513</v>
      </c>
      <c r="E162" s="4">
        <v>113513</v>
      </c>
      <c r="F162" s="4" t="str">
        <f t="shared" si="60"/>
        <v>1135135</v>
      </c>
      <c r="G162" s="4" t="s">
        <v>642</v>
      </c>
      <c r="H162" s="5">
        <v>4974268253606</v>
      </c>
      <c r="I162" s="5">
        <v>5</v>
      </c>
      <c r="J162" s="5"/>
      <c r="K162" s="5">
        <v>1</v>
      </c>
      <c r="L162" s="5">
        <v>1</v>
      </c>
      <c r="M162" s="4">
        <v>750</v>
      </c>
      <c r="N162" s="4">
        <v>657</v>
      </c>
      <c r="O162" s="4">
        <v>450</v>
      </c>
      <c r="P162" s="6">
        <f t="shared" si="45"/>
        <v>0.31506849315068497</v>
      </c>
      <c r="Q162" s="4" t="s">
        <v>1280</v>
      </c>
      <c r="R162" s="4" t="s">
        <v>1280</v>
      </c>
      <c r="S162" s="4" t="s">
        <v>1280</v>
      </c>
      <c r="T162" s="4">
        <v>850</v>
      </c>
      <c r="U162" s="4">
        <f t="shared" si="46"/>
        <v>850</v>
      </c>
      <c r="V162" s="4">
        <v>510</v>
      </c>
      <c r="W162" s="4">
        <f t="shared" si="47"/>
        <v>510</v>
      </c>
      <c r="X162" s="4"/>
      <c r="Y162" s="21">
        <f t="shared" si="48"/>
        <v>745</v>
      </c>
      <c r="Z162" s="6">
        <f t="shared" si="49"/>
        <v>0.31543624161073824</v>
      </c>
      <c r="AA162" s="4">
        <v>0.75</v>
      </c>
      <c r="AB162" s="4">
        <f t="shared" si="50"/>
        <v>700</v>
      </c>
      <c r="AC162" s="4">
        <f t="shared" si="61"/>
        <v>793.33333333333326</v>
      </c>
      <c r="AD162" s="6">
        <f t="shared" si="62"/>
        <v>0.3571428571428571</v>
      </c>
      <c r="AE162" s="4">
        <f t="shared" si="63"/>
        <v>807.5</v>
      </c>
      <c r="AF162" s="7">
        <v>790</v>
      </c>
      <c r="AG162" s="6">
        <f t="shared" si="51"/>
        <v>0.35443037974683544</v>
      </c>
      <c r="AH162" s="4">
        <f t="shared" si="52"/>
        <v>280</v>
      </c>
      <c r="AI162" s="28"/>
      <c r="AJ162" s="6"/>
      <c r="AK162" s="6"/>
      <c r="AL162" s="6">
        <f t="shared" si="53"/>
        <v>1.1333333333333333</v>
      </c>
      <c r="AM162" s="6">
        <f t="shared" si="54"/>
        <v>1.2024353120243532</v>
      </c>
      <c r="AN162" s="6">
        <f t="shared" si="55"/>
        <v>1.1333333333333333</v>
      </c>
      <c r="AO162" s="4" t="str">
        <f t="shared" si="56"/>
        <v>-</v>
      </c>
      <c r="AP162" s="4" t="str">
        <f t="shared" si="57"/>
        <v>-</v>
      </c>
      <c r="AQ162" s="4" t="str">
        <f t="shared" si="58"/>
        <v>-</v>
      </c>
      <c r="AR162" s="4">
        <v>0</v>
      </c>
      <c r="AS162" s="4" t="s">
        <v>1690</v>
      </c>
      <c r="AT162" s="4"/>
      <c r="AU162" s="4"/>
      <c r="AV162" s="4" t="s">
        <v>1691</v>
      </c>
      <c r="AW162" s="4">
        <v>700</v>
      </c>
      <c r="AX162" s="4">
        <v>700</v>
      </c>
      <c r="AY162" s="4">
        <v>700</v>
      </c>
      <c r="AZ162" s="4">
        <f t="shared" si="59"/>
        <v>700</v>
      </c>
      <c r="BA162" s="19">
        <v>4</v>
      </c>
      <c r="BB162" s="19">
        <v>1</v>
      </c>
      <c r="BC162" s="16">
        <v>4</v>
      </c>
      <c r="BD162" t="s">
        <v>1280</v>
      </c>
      <c r="BE162" t="s">
        <v>1280</v>
      </c>
      <c r="BF162" t="s">
        <v>1280</v>
      </c>
      <c r="BG162" t="str">
        <f t="shared" si="64"/>
        <v>-</v>
      </c>
      <c r="BH162">
        <v>3400</v>
      </c>
      <c r="BI162">
        <v>3400</v>
      </c>
      <c r="BJ162">
        <v>3400</v>
      </c>
      <c r="BK162">
        <f t="shared" si="65"/>
        <v>3853.333333333333</v>
      </c>
      <c r="BL162" t="s">
        <v>1292</v>
      </c>
      <c r="BM162">
        <v>812</v>
      </c>
    </row>
    <row r="163" spans="1:65" x14ac:dyDescent="0.4">
      <c r="A163" s="3">
        <v>8</v>
      </c>
      <c r="B163" s="3">
        <v>8</v>
      </c>
      <c r="C163" s="4">
        <v>113514</v>
      </c>
      <c r="D163" s="4" t="str">
        <f t="shared" si="44"/>
        <v>113514</v>
      </c>
      <c r="E163" s="4">
        <v>113514</v>
      </c>
      <c r="F163" s="4" t="str">
        <f t="shared" si="60"/>
        <v>1135145</v>
      </c>
      <c r="G163" s="4" t="s">
        <v>643</v>
      </c>
      <c r="H163" s="5">
        <v>4974268253613</v>
      </c>
      <c r="I163" s="5">
        <v>5</v>
      </c>
      <c r="J163" s="5"/>
      <c r="K163" s="5">
        <v>1</v>
      </c>
      <c r="L163" s="5">
        <v>1</v>
      </c>
      <c r="M163" s="4">
        <v>750</v>
      </c>
      <c r="N163" s="4">
        <v>712</v>
      </c>
      <c r="O163" s="4">
        <v>450</v>
      </c>
      <c r="P163" s="6">
        <f t="shared" si="45"/>
        <v>0.3679775280898876</v>
      </c>
      <c r="Q163" s="4" t="s">
        <v>1280</v>
      </c>
      <c r="R163" s="4" t="s">
        <v>1280</v>
      </c>
      <c r="S163" s="4" t="s">
        <v>1280</v>
      </c>
      <c r="T163" s="4">
        <v>850</v>
      </c>
      <c r="U163" s="4">
        <f t="shared" si="46"/>
        <v>850</v>
      </c>
      <c r="V163" s="4">
        <v>510</v>
      </c>
      <c r="W163" s="4">
        <f t="shared" si="47"/>
        <v>510</v>
      </c>
      <c r="X163" s="4"/>
      <c r="Y163" s="21">
        <f t="shared" si="48"/>
        <v>807</v>
      </c>
      <c r="Z163" s="6">
        <f t="shared" si="49"/>
        <v>0.36802973977695164</v>
      </c>
      <c r="AA163" s="4">
        <v>1.25</v>
      </c>
      <c r="AB163" s="4">
        <f t="shared" si="50"/>
        <v>700</v>
      </c>
      <c r="AC163" s="4">
        <f t="shared" si="61"/>
        <v>793.33333333333326</v>
      </c>
      <c r="AD163" s="6">
        <f t="shared" si="62"/>
        <v>0.3571428571428571</v>
      </c>
      <c r="AE163" s="4">
        <f t="shared" si="63"/>
        <v>807.5</v>
      </c>
      <c r="AF163" s="7">
        <v>790</v>
      </c>
      <c r="AG163" s="6">
        <f t="shared" si="51"/>
        <v>0.35443037974683544</v>
      </c>
      <c r="AH163" s="4">
        <f t="shared" si="52"/>
        <v>280</v>
      </c>
      <c r="AI163" s="28"/>
      <c r="AJ163" s="6"/>
      <c r="AK163" s="6"/>
      <c r="AL163" s="6">
        <f t="shared" si="53"/>
        <v>1.1333333333333333</v>
      </c>
      <c r="AM163" s="6">
        <f t="shared" si="54"/>
        <v>1.1095505617977528</v>
      </c>
      <c r="AN163" s="6">
        <f t="shared" si="55"/>
        <v>1.1333333333333333</v>
      </c>
      <c r="AO163" s="4" t="str">
        <f t="shared" si="56"/>
        <v>-</v>
      </c>
      <c r="AP163" s="4" t="str">
        <f t="shared" si="57"/>
        <v>-</v>
      </c>
      <c r="AQ163" s="4" t="str">
        <f t="shared" si="58"/>
        <v>-</v>
      </c>
      <c r="AR163" s="4">
        <v>0</v>
      </c>
      <c r="AS163" s="4" t="s">
        <v>1692</v>
      </c>
      <c r="AT163" s="4"/>
      <c r="AU163" s="4"/>
      <c r="AV163" s="4" t="s">
        <v>1693</v>
      </c>
      <c r="AW163" s="4">
        <v>700</v>
      </c>
      <c r="AX163" s="4">
        <v>700</v>
      </c>
      <c r="AY163" s="4">
        <v>700</v>
      </c>
      <c r="AZ163" s="4">
        <f t="shared" si="59"/>
        <v>700</v>
      </c>
      <c r="BA163" s="19">
        <v>4</v>
      </c>
      <c r="BB163" s="19">
        <v>1</v>
      </c>
      <c r="BC163" s="16">
        <v>4</v>
      </c>
      <c r="BD163" t="s">
        <v>1280</v>
      </c>
      <c r="BE163" t="s">
        <v>1280</v>
      </c>
      <c r="BF163" t="s">
        <v>1280</v>
      </c>
      <c r="BG163" t="str">
        <f t="shared" si="64"/>
        <v>-</v>
      </c>
      <c r="BH163">
        <v>3400</v>
      </c>
      <c r="BI163">
        <v>3400</v>
      </c>
      <c r="BJ163">
        <v>3400</v>
      </c>
      <c r="BK163">
        <f t="shared" si="65"/>
        <v>3853.333333333333</v>
      </c>
      <c r="BL163" t="s">
        <v>1293</v>
      </c>
      <c r="BM163">
        <v>812</v>
      </c>
    </row>
    <row r="164" spans="1:65" x14ac:dyDescent="0.4">
      <c r="A164" s="3">
        <v>383</v>
      </c>
      <c r="B164" s="3">
        <v>383</v>
      </c>
      <c r="C164" s="4" t="s">
        <v>372</v>
      </c>
      <c r="D164" s="4" t="str">
        <f t="shared" si="44"/>
        <v>J4038N</v>
      </c>
      <c r="E164" s="4" t="s">
        <v>372</v>
      </c>
      <c r="F164" s="4" t="str">
        <f t="shared" si="60"/>
        <v>J4038N5</v>
      </c>
      <c r="G164" s="4" t="s">
        <v>1016</v>
      </c>
      <c r="H164" s="5">
        <v>4529671008741</v>
      </c>
      <c r="I164" s="5">
        <v>5</v>
      </c>
      <c r="J164" s="5"/>
      <c r="K164" s="5">
        <v>1</v>
      </c>
      <c r="L164" s="5">
        <v>1</v>
      </c>
      <c r="M164" s="4">
        <v>0</v>
      </c>
      <c r="N164" s="4">
        <v>699</v>
      </c>
      <c r="O164" s="4">
        <v>474</v>
      </c>
      <c r="P164" s="6">
        <f t="shared" si="45"/>
        <v>0.32188841201716734</v>
      </c>
      <c r="Q164" s="4" t="s">
        <v>1280</v>
      </c>
      <c r="R164" s="4" t="s">
        <v>1280</v>
      </c>
      <c r="S164" s="4" t="s">
        <v>1280</v>
      </c>
      <c r="T164" s="4">
        <v>0</v>
      </c>
      <c r="U164" s="4">
        <f t="shared" si="46"/>
        <v>0</v>
      </c>
      <c r="V164" s="4">
        <v>510</v>
      </c>
      <c r="W164" s="4">
        <f t="shared" si="47"/>
        <v>510</v>
      </c>
      <c r="X164" s="4"/>
      <c r="Y164" s="21">
        <f t="shared" si="48"/>
        <v>752</v>
      </c>
      <c r="Z164" s="6">
        <f t="shared" si="49"/>
        <v>0.32180851063829785</v>
      </c>
      <c r="AA164" s="4">
        <v>0</v>
      </c>
      <c r="AB164" s="4" t="str">
        <f t="shared" si="50"/>
        <v>-</v>
      </c>
      <c r="AC164" s="4" t="str">
        <f t="shared" si="61"/>
        <v>-</v>
      </c>
      <c r="AD164" s="6" t="str">
        <f t="shared" si="62"/>
        <v>-</v>
      </c>
      <c r="AE164" s="4">
        <f t="shared" si="63"/>
        <v>0</v>
      </c>
      <c r="AF164" s="7">
        <v>780</v>
      </c>
      <c r="AG164" s="6">
        <f t="shared" si="51"/>
        <v>0.34615384615384615</v>
      </c>
      <c r="AH164" s="4">
        <f t="shared" si="52"/>
        <v>270</v>
      </c>
      <c r="AI164" s="28"/>
      <c r="AJ164" s="6"/>
      <c r="AK164" s="6"/>
      <c r="AL164" s="6" t="e">
        <f t="shared" si="53"/>
        <v>#DIV/0!</v>
      </c>
      <c r="AM164" s="6">
        <f t="shared" si="54"/>
        <v>1.1158798283261802</v>
      </c>
      <c r="AN164" s="6">
        <f t="shared" si="55"/>
        <v>1.0759493670886076</v>
      </c>
      <c r="AO164" s="4" t="str">
        <f t="shared" si="56"/>
        <v>-</v>
      </c>
      <c r="AP164" s="4" t="str">
        <f t="shared" si="57"/>
        <v>-</v>
      </c>
      <c r="AQ164" s="4" t="str">
        <f t="shared" si="58"/>
        <v>-</v>
      </c>
      <c r="AR164" s="4">
        <v>0</v>
      </c>
      <c r="AS164" s="4" t="s">
        <v>1280</v>
      </c>
      <c r="AT164" s="4"/>
      <c r="AU164" s="4"/>
      <c r="AV164" s="4" t="s">
        <v>1280</v>
      </c>
      <c r="AW164" s="4" t="s">
        <v>1280</v>
      </c>
      <c r="AX164" s="4" t="s">
        <v>1280</v>
      </c>
      <c r="AY164" s="4" t="s">
        <v>1280</v>
      </c>
      <c r="AZ164" s="4" t="str">
        <f t="shared" si="59"/>
        <v>-</v>
      </c>
      <c r="BA164" s="19">
        <v>4</v>
      </c>
      <c r="BB164" s="19">
        <v>8</v>
      </c>
      <c r="BC164" s="16">
        <v>19</v>
      </c>
      <c r="BD164" t="s">
        <v>1280</v>
      </c>
      <c r="BE164" t="s">
        <v>1280</v>
      </c>
      <c r="BF164" t="s">
        <v>1280</v>
      </c>
      <c r="BG164" t="str">
        <f t="shared" si="64"/>
        <v>-</v>
      </c>
      <c r="BH164">
        <v>598</v>
      </c>
      <c r="BI164">
        <v>598</v>
      </c>
      <c r="BJ164">
        <v>598</v>
      </c>
      <c r="BK164">
        <f t="shared" si="65"/>
        <v>643.41772151898726</v>
      </c>
      <c r="BL164" t="s">
        <v>1280</v>
      </c>
      <c r="BM164">
        <v>812</v>
      </c>
    </row>
    <row r="165" spans="1:65" x14ac:dyDescent="0.4">
      <c r="A165" s="3">
        <v>386</v>
      </c>
      <c r="B165" s="3">
        <v>386</v>
      </c>
      <c r="C165" s="4" t="s">
        <v>375</v>
      </c>
      <c r="D165" s="4" t="str">
        <f t="shared" si="44"/>
        <v>J4039N</v>
      </c>
      <c r="E165" s="4" t="s">
        <v>375</v>
      </c>
      <c r="F165" s="4" t="str">
        <f t="shared" si="60"/>
        <v>J4039N5</v>
      </c>
      <c r="G165" s="4" t="s">
        <v>1019</v>
      </c>
      <c r="H165" s="5">
        <v>4529671008758</v>
      </c>
      <c r="I165" s="5">
        <v>5</v>
      </c>
      <c r="J165" s="5"/>
      <c r="K165" s="5">
        <v>1</v>
      </c>
      <c r="L165" s="5">
        <v>1</v>
      </c>
      <c r="M165" s="4">
        <v>0</v>
      </c>
      <c r="N165" s="4">
        <v>699</v>
      </c>
      <c r="O165" s="4">
        <v>474</v>
      </c>
      <c r="P165" s="6">
        <f t="shared" si="45"/>
        <v>0.32188841201716734</v>
      </c>
      <c r="Q165" s="4" t="s">
        <v>1280</v>
      </c>
      <c r="R165" s="4" t="s">
        <v>1280</v>
      </c>
      <c r="S165" s="4" t="s">
        <v>1280</v>
      </c>
      <c r="T165" s="4">
        <v>0</v>
      </c>
      <c r="U165" s="4">
        <f t="shared" si="46"/>
        <v>0</v>
      </c>
      <c r="V165" s="4">
        <v>510</v>
      </c>
      <c r="W165" s="4">
        <f t="shared" si="47"/>
        <v>510</v>
      </c>
      <c r="X165" s="4"/>
      <c r="Y165" s="21">
        <f t="shared" si="48"/>
        <v>752</v>
      </c>
      <c r="Z165" s="6">
        <f t="shared" si="49"/>
        <v>0.32180851063829785</v>
      </c>
      <c r="AA165" s="4">
        <v>0</v>
      </c>
      <c r="AB165" s="4" t="str">
        <f t="shared" si="50"/>
        <v>-</v>
      </c>
      <c r="AC165" s="4" t="str">
        <f t="shared" si="61"/>
        <v>-</v>
      </c>
      <c r="AD165" s="6" t="str">
        <f t="shared" si="62"/>
        <v>-</v>
      </c>
      <c r="AE165" s="4">
        <f t="shared" si="63"/>
        <v>0</v>
      </c>
      <c r="AF165" s="7">
        <v>780</v>
      </c>
      <c r="AG165" s="6">
        <f t="shared" si="51"/>
        <v>0.34615384615384615</v>
      </c>
      <c r="AH165" s="4">
        <f t="shared" si="52"/>
        <v>270</v>
      </c>
      <c r="AI165" s="28"/>
      <c r="AJ165" s="6"/>
      <c r="AK165" s="6"/>
      <c r="AL165" s="6" t="e">
        <f t="shared" si="53"/>
        <v>#DIV/0!</v>
      </c>
      <c r="AM165" s="6">
        <f t="shared" si="54"/>
        <v>1.1158798283261802</v>
      </c>
      <c r="AN165" s="6">
        <f t="shared" si="55"/>
        <v>1.0759493670886076</v>
      </c>
      <c r="AO165" s="4" t="str">
        <f t="shared" si="56"/>
        <v>-</v>
      </c>
      <c r="AP165" s="4" t="str">
        <f t="shared" si="57"/>
        <v>-</v>
      </c>
      <c r="AQ165" s="4" t="str">
        <f t="shared" si="58"/>
        <v>-</v>
      </c>
      <c r="AR165" s="4">
        <v>0</v>
      </c>
      <c r="AS165" s="4" t="s">
        <v>1280</v>
      </c>
      <c r="AT165" s="4"/>
      <c r="AU165" s="4"/>
      <c r="AV165" s="4" t="s">
        <v>1280</v>
      </c>
      <c r="AW165" s="4" t="s">
        <v>1280</v>
      </c>
      <c r="AX165" s="4" t="s">
        <v>1280</v>
      </c>
      <c r="AY165" s="4" t="s">
        <v>1280</v>
      </c>
      <c r="AZ165" s="4" t="str">
        <f t="shared" si="59"/>
        <v>-</v>
      </c>
      <c r="BA165" s="19">
        <v>4</v>
      </c>
      <c r="BB165" s="19">
        <v>8</v>
      </c>
      <c r="BC165" s="16">
        <v>19</v>
      </c>
      <c r="BD165" t="s">
        <v>1280</v>
      </c>
      <c r="BE165" t="s">
        <v>1280</v>
      </c>
      <c r="BF165" t="s">
        <v>1280</v>
      </c>
      <c r="BG165" t="str">
        <f t="shared" si="64"/>
        <v>-</v>
      </c>
      <c r="BH165">
        <v>598</v>
      </c>
      <c r="BI165">
        <v>598</v>
      </c>
      <c r="BJ165">
        <v>598</v>
      </c>
      <c r="BK165">
        <f t="shared" si="65"/>
        <v>643.41772151898726</v>
      </c>
      <c r="BL165" t="s">
        <v>1280</v>
      </c>
      <c r="BM165">
        <v>812</v>
      </c>
    </row>
    <row r="166" spans="1:65" x14ac:dyDescent="0.4">
      <c r="A166" s="3">
        <v>152</v>
      </c>
      <c r="B166" s="3">
        <v>152</v>
      </c>
      <c r="C166" s="4" t="s">
        <v>141</v>
      </c>
      <c r="D166" s="4" t="str">
        <f t="shared" si="44"/>
        <v>J1878W</v>
      </c>
      <c r="E166" s="4" t="s">
        <v>141</v>
      </c>
      <c r="F166" s="4" t="str">
        <f t="shared" si="60"/>
        <v>J1878W5</v>
      </c>
      <c r="G166" s="4" t="s">
        <v>787</v>
      </c>
      <c r="H166" s="5">
        <v>4974268695321</v>
      </c>
      <c r="I166" s="5">
        <v>5</v>
      </c>
      <c r="J166" s="5"/>
      <c r="K166" s="5">
        <v>1</v>
      </c>
      <c r="L166" s="5">
        <v>1</v>
      </c>
      <c r="M166" s="4">
        <v>780</v>
      </c>
      <c r="N166" s="4">
        <v>637</v>
      </c>
      <c r="O166" s="4">
        <v>468</v>
      </c>
      <c r="P166" s="6">
        <f t="shared" si="45"/>
        <v>0.26530612244897955</v>
      </c>
      <c r="Q166" s="4" t="s">
        <v>1280</v>
      </c>
      <c r="R166" s="4" t="s">
        <v>1280</v>
      </c>
      <c r="S166" s="4" t="s">
        <v>1280</v>
      </c>
      <c r="T166" s="4">
        <v>880</v>
      </c>
      <c r="U166" s="4">
        <f t="shared" si="46"/>
        <v>880</v>
      </c>
      <c r="V166" s="4">
        <v>528</v>
      </c>
      <c r="W166" s="4">
        <f t="shared" si="47"/>
        <v>528</v>
      </c>
      <c r="X166" s="4"/>
      <c r="Y166" s="21">
        <f t="shared" si="48"/>
        <v>719</v>
      </c>
      <c r="Z166" s="6">
        <f t="shared" si="49"/>
        <v>0.26564673157162721</v>
      </c>
      <c r="AA166" s="4">
        <v>0</v>
      </c>
      <c r="AB166" s="4">
        <f t="shared" si="50"/>
        <v>909.5</v>
      </c>
      <c r="AC166" s="4">
        <f t="shared" si="61"/>
        <v>1026.1025641025642</v>
      </c>
      <c r="AD166" s="6">
        <f t="shared" si="62"/>
        <v>0.48543155579989006</v>
      </c>
      <c r="AE166" s="4">
        <f t="shared" si="63"/>
        <v>836</v>
      </c>
      <c r="AF166" s="7">
        <v>800</v>
      </c>
      <c r="AG166" s="6">
        <f t="shared" si="51"/>
        <v>0.33999999999999997</v>
      </c>
      <c r="AH166" s="4">
        <f t="shared" si="52"/>
        <v>272</v>
      </c>
      <c r="AI166" s="28"/>
      <c r="AJ166" s="6"/>
      <c r="AK166" s="6"/>
      <c r="AL166" s="6">
        <f t="shared" si="53"/>
        <v>1.1282051282051282</v>
      </c>
      <c r="AM166" s="6">
        <f t="shared" si="54"/>
        <v>1.2558869701726845</v>
      </c>
      <c r="AN166" s="6">
        <f t="shared" si="55"/>
        <v>1.1282051282051282</v>
      </c>
      <c r="AO166" s="4" t="str">
        <f t="shared" si="56"/>
        <v>-</v>
      </c>
      <c r="AP166" s="4" t="str">
        <f t="shared" si="57"/>
        <v>-</v>
      </c>
      <c r="AQ166" s="4" t="str">
        <f t="shared" si="58"/>
        <v>-</v>
      </c>
      <c r="AR166" s="4">
        <v>0</v>
      </c>
      <c r="AS166" s="4" t="s">
        <v>1838</v>
      </c>
      <c r="AT166" s="4">
        <v>1</v>
      </c>
      <c r="AU166" s="4">
        <v>4</v>
      </c>
      <c r="AV166" s="4" t="s">
        <v>1836</v>
      </c>
      <c r="AW166" s="4">
        <v>3638</v>
      </c>
      <c r="AX166" s="4">
        <v>3638</v>
      </c>
      <c r="AY166" s="4">
        <v>3638</v>
      </c>
      <c r="AZ166" s="4">
        <f t="shared" si="59"/>
        <v>909.5</v>
      </c>
      <c r="BA166" s="19">
        <v>4</v>
      </c>
      <c r="BB166" s="19">
        <v>8</v>
      </c>
      <c r="BC166" s="16">
        <v>19</v>
      </c>
      <c r="BD166" t="s">
        <v>1280</v>
      </c>
      <c r="BE166" t="s">
        <v>1280</v>
      </c>
      <c r="BF166" t="s">
        <v>1280</v>
      </c>
      <c r="BG166" t="str">
        <f t="shared" si="64"/>
        <v>-</v>
      </c>
      <c r="BH166">
        <v>780</v>
      </c>
      <c r="BI166">
        <v>780</v>
      </c>
      <c r="BJ166">
        <v>780</v>
      </c>
      <c r="BK166">
        <f t="shared" si="65"/>
        <v>880</v>
      </c>
      <c r="BL166" t="s">
        <v>1393</v>
      </c>
      <c r="BM166">
        <v>812</v>
      </c>
    </row>
    <row r="167" spans="1:65" x14ac:dyDescent="0.4">
      <c r="A167" s="3">
        <v>154</v>
      </c>
      <c r="B167" s="3">
        <v>154</v>
      </c>
      <c r="C167" s="4" t="s">
        <v>143</v>
      </c>
      <c r="D167" s="4" t="str">
        <f t="shared" si="44"/>
        <v>J1880W</v>
      </c>
      <c r="E167" s="4" t="s">
        <v>143</v>
      </c>
      <c r="F167" s="4" t="str">
        <f t="shared" si="60"/>
        <v>J1880W5</v>
      </c>
      <c r="G167" s="4" t="s">
        <v>789</v>
      </c>
      <c r="H167" s="5">
        <v>4974268695338</v>
      </c>
      <c r="I167" s="5">
        <v>5</v>
      </c>
      <c r="J167" s="5"/>
      <c r="K167" s="5">
        <v>1</v>
      </c>
      <c r="L167" s="5">
        <v>1</v>
      </c>
      <c r="M167" s="4">
        <v>780</v>
      </c>
      <c r="N167" s="4">
        <v>637</v>
      </c>
      <c r="O167" s="4">
        <v>468</v>
      </c>
      <c r="P167" s="6">
        <f t="shared" si="45"/>
        <v>0.26530612244897955</v>
      </c>
      <c r="Q167" s="4" t="s">
        <v>1280</v>
      </c>
      <c r="R167" s="4" t="s">
        <v>1280</v>
      </c>
      <c r="S167" s="4" t="s">
        <v>1280</v>
      </c>
      <c r="T167" s="4">
        <v>880</v>
      </c>
      <c r="U167" s="4">
        <f t="shared" si="46"/>
        <v>880</v>
      </c>
      <c r="V167" s="4">
        <v>528</v>
      </c>
      <c r="W167" s="4">
        <f t="shared" si="47"/>
        <v>528</v>
      </c>
      <c r="X167" s="4"/>
      <c r="Y167" s="21">
        <f t="shared" si="48"/>
        <v>719</v>
      </c>
      <c r="Z167" s="6">
        <f t="shared" si="49"/>
        <v>0.26564673157162721</v>
      </c>
      <c r="AA167" s="4">
        <v>0</v>
      </c>
      <c r="AB167" s="4">
        <f t="shared" si="50"/>
        <v>913.5</v>
      </c>
      <c r="AC167" s="4">
        <f t="shared" si="61"/>
        <v>1030.6153846153845</v>
      </c>
      <c r="AD167" s="6">
        <f t="shared" si="62"/>
        <v>0.48768472906403937</v>
      </c>
      <c r="AE167" s="4">
        <f t="shared" si="63"/>
        <v>836</v>
      </c>
      <c r="AF167" s="7">
        <v>800</v>
      </c>
      <c r="AG167" s="6">
        <f t="shared" si="51"/>
        <v>0.33999999999999997</v>
      </c>
      <c r="AH167" s="4">
        <f t="shared" si="52"/>
        <v>272</v>
      </c>
      <c r="AI167" s="28"/>
      <c r="AJ167" s="6"/>
      <c r="AK167" s="6"/>
      <c r="AL167" s="6">
        <f t="shared" si="53"/>
        <v>1.1282051282051282</v>
      </c>
      <c r="AM167" s="6">
        <f t="shared" si="54"/>
        <v>1.2558869701726845</v>
      </c>
      <c r="AN167" s="6">
        <f t="shared" si="55"/>
        <v>1.1282051282051282</v>
      </c>
      <c r="AO167" s="4" t="str">
        <f t="shared" si="56"/>
        <v>-</v>
      </c>
      <c r="AP167" s="4" t="str">
        <f t="shared" si="57"/>
        <v>-</v>
      </c>
      <c r="AQ167" s="4" t="str">
        <f t="shared" si="58"/>
        <v>-</v>
      </c>
      <c r="AR167" s="4">
        <v>0</v>
      </c>
      <c r="AS167" s="4" t="s">
        <v>1841</v>
      </c>
      <c r="AT167" s="4">
        <v>1</v>
      </c>
      <c r="AU167" s="4">
        <v>4</v>
      </c>
      <c r="AV167" s="4" t="s">
        <v>1836</v>
      </c>
      <c r="AW167" s="4">
        <v>3654</v>
      </c>
      <c r="AX167" s="4">
        <v>3654</v>
      </c>
      <c r="AY167" s="4">
        <v>3654</v>
      </c>
      <c r="AZ167" s="4">
        <f t="shared" si="59"/>
        <v>913.5</v>
      </c>
      <c r="BA167" s="19">
        <v>4</v>
      </c>
      <c r="BB167" s="19">
        <v>8</v>
      </c>
      <c r="BC167" s="16">
        <v>19</v>
      </c>
      <c r="BD167" t="s">
        <v>1280</v>
      </c>
      <c r="BE167" t="s">
        <v>1280</v>
      </c>
      <c r="BF167" t="s">
        <v>1280</v>
      </c>
      <c r="BG167" t="str">
        <f t="shared" si="64"/>
        <v>-</v>
      </c>
      <c r="BH167">
        <v>780</v>
      </c>
      <c r="BI167">
        <v>780</v>
      </c>
      <c r="BJ167">
        <v>780</v>
      </c>
      <c r="BK167">
        <f t="shared" si="65"/>
        <v>880</v>
      </c>
      <c r="BL167" t="s">
        <v>1395</v>
      </c>
      <c r="BM167">
        <v>812</v>
      </c>
    </row>
    <row r="168" spans="1:65" x14ac:dyDescent="0.4">
      <c r="A168" s="3">
        <v>481</v>
      </c>
      <c r="B168" s="3">
        <v>481</v>
      </c>
      <c r="C168" s="4" t="s">
        <v>470</v>
      </c>
      <c r="D168" s="4" t="str">
        <f t="shared" si="44"/>
        <v>J54578</v>
      </c>
      <c r="E168" s="4" t="s">
        <v>470</v>
      </c>
      <c r="F168" s="4" t="str">
        <f t="shared" si="60"/>
        <v>J545785</v>
      </c>
      <c r="G168" s="4" t="s">
        <v>1114</v>
      </c>
      <c r="H168" s="5">
        <v>4974268564092</v>
      </c>
      <c r="I168" s="5">
        <v>5</v>
      </c>
      <c r="J168" s="5"/>
      <c r="K168" s="5">
        <v>1</v>
      </c>
      <c r="L168" s="5">
        <v>1</v>
      </c>
      <c r="M168" s="4">
        <v>7500</v>
      </c>
      <c r="N168" s="4">
        <v>6817</v>
      </c>
      <c r="O168" s="4">
        <v>4500</v>
      </c>
      <c r="P168" s="6">
        <f t="shared" si="45"/>
        <v>0.33988558016722903</v>
      </c>
      <c r="Q168" s="4" t="s">
        <v>1280</v>
      </c>
      <c r="R168" s="4" t="s">
        <v>1280</v>
      </c>
      <c r="S168" s="4" t="s">
        <v>1280</v>
      </c>
      <c r="T168" s="4">
        <v>900</v>
      </c>
      <c r="U168" s="4">
        <f t="shared" si="46"/>
        <v>9000</v>
      </c>
      <c r="V168" s="4">
        <v>540</v>
      </c>
      <c r="W168" s="4">
        <f t="shared" si="47"/>
        <v>5400</v>
      </c>
      <c r="X168" s="4">
        <v>10</v>
      </c>
      <c r="Y168" s="21">
        <f t="shared" si="48"/>
        <v>8180</v>
      </c>
      <c r="Z168" s="6">
        <f t="shared" si="49"/>
        <v>0.33985330073349629</v>
      </c>
      <c r="AA168" s="4">
        <v>0</v>
      </c>
      <c r="AB168" s="4">
        <f t="shared" si="50"/>
        <v>6616</v>
      </c>
      <c r="AC168" s="4">
        <f t="shared" si="61"/>
        <v>7939.2</v>
      </c>
      <c r="AD168" s="6">
        <f t="shared" si="62"/>
        <v>0.3198307134220072</v>
      </c>
      <c r="AE168" s="4">
        <f t="shared" si="63"/>
        <v>8550</v>
      </c>
      <c r="AF168" s="7">
        <v>7939</v>
      </c>
      <c r="AG168" s="6">
        <f t="shared" si="51"/>
        <v>0.31981357853633963</v>
      </c>
      <c r="AH168" s="4">
        <f t="shared" si="52"/>
        <v>2539</v>
      </c>
      <c r="AI168" s="28"/>
      <c r="AJ168" s="6"/>
      <c r="AK168" s="6"/>
      <c r="AL168" s="6">
        <f t="shared" si="53"/>
        <v>1.2</v>
      </c>
      <c r="AM168" s="6">
        <f t="shared" si="54"/>
        <v>1.1645885286783042</v>
      </c>
      <c r="AN168" s="6">
        <f t="shared" si="55"/>
        <v>1.2</v>
      </c>
      <c r="AO168" s="4" t="str">
        <f t="shared" si="56"/>
        <v>-</v>
      </c>
      <c r="AP168" s="4" t="str">
        <f t="shared" si="57"/>
        <v>-</v>
      </c>
      <c r="AQ168" s="4" t="str">
        <f t="shared" si="58"/>
        <v>-</v>
      </c>
      <c r="AR168" s="4">
        <v>0</v>
      </c>
      <c r="AS168" s="4" t="s">
        <v>2038</v>
      </c>
      <c r="AT168" s="4"/>
      <c r="AU168" s="4"/>
      <c r="AV168" s="4" t="s">
        <v>2035</v>
      </c>
      <c r="AW168" s="4">
        <v>6616</v>
      </c>
      <c r="AX168" s="4">
        <v>6616</v>
      </c>
      <c r="AY168" s="4">
        <v>6616</v>
      </c>
      <c r="AZ168" s="4">
        <f t="shared" si="59"/>
        <v>6616</v>
      </c>
      <c r="BA168" s="19">
        <v>4</v>
      </c>
      <c r="BB168" s="19">
        <v>8</v>
      </c>
      <c r="BC168" s="16">
        <v>18</v>
      </c>
      <c r="BD168" t="s">
        <v>1280</v>
      </c>
      <c r="BE168" t="s">
        <v>1280</v>
      </c>
      <c r="BF168" t="s">
        <v>1280</v>
      </c>
      <c r="BG168" t="str">
        <f t="shared" si="64"/>
        <v>-</v>
      </c>
      <c r="BH168" t="s">
        <v>1280</v>
      </c>
      <c r="BI168" t="s">
        <v>1280</v>
      </c>
      <c r="BJ168" t="s">
        <v>1280</v>
      </c>
      <c r="BK168" t="str">
        <f t="shared" si="65"/>
        <v>-</v>
      </c>
      <c r="BL168" t="s">
        <v>1550</v>
      </c>
      <c r="BM168">
        <v>812</v>
      </c>
    </row>
    <row r="169" spans="1:65" x14ac:dyDescent="0.4">
      <c r="A169" s="3">
        <v>576</v>
      </c>
      <c r="B169" s="3">
        <v>576</v>
      </c>
      <c r="C169" s="4" t="s">
        <v>565</v>
      </c>
      <c r="D169" s="4" t="str">
        <f t="shared" si="44"/>
        <v>J941WN</v>
      </c>
      <c r="E169" s="4" t="s">
        <v>565</v>
      </c>
      <c r="F169" s="4" t="str">
        <f t="shared" si="60"/>
        <v>J941WN5</v>
      </c>
      <c r="G169" s="4" t="s">
        <v>1209</v>
      </c>
      <c r="H169" s="5">
        <v>4974268665843</v>
      </c>
      <c r="I169" s="5">
        <v>5</v>
      </c>
      <c r="J169" s="5"/>
      <c r="K169" s="5">
        <v>1</v>
      </c>
      <c r="L169" s="5">
        <v>1</v>
      </c>
      <c r="M169" s="4">
        <v>870</v>
      </c>
      <c r="N169" s="4">
        <v>750</v>
      </c>
      <c r="O169" s="4">
        <v>522</v>
      </c>
      <c r="P169" s="6">
        <f t="shared" si="45"/>
        <v>0.30400000000000005</v>
      </c>
      <c r="Q169" s="4" t="s">
        <v>1280</v>
      </c>
      <c r="R169" s="4" t="s">
        <v>1280</v>
      </c>
      <c r="S169" s="4" t="s">
        <v>1280</v>
      </c>
      <c r="T169" s="4">
        <v>900</v>
      </c>
      <c r="U169" s="4">
        <f t="shared" si="46"/>
        <v>900</v>
      </c>
      <c r="V169" s="4">
        <v>540</v>
      </c>
      <c r="W169" s="4">
        <f t="shared" si="47"/>
        <v>540</v>
      </c>
      <c r="X169" s="4"/>
      <c r="Y169" s="21">
        <f t="shared" si="48"/>
        <v>776</v>
      </c>
      <c r="Z169" s="6">
        <f t="shared" si="49"/>
        <v>0.30412371134020622</v>
      </c>
      <c r="AA169" s="4">
        <v>0</v>
      </c>
      <c r="AB169" s="4">
        <f t="shared" si="50"/>
        <v>1210</v>
      </c>
      <c r="AC169" s="4">
        <f t="shared" si="61"/>
        <v>1251.7241379310346</v>
      </c>
      <c r="AD169" s="6">
        <f t="shared" si="62"/>
        <v>0.56859504132231409</v>
      </c>
      <c r="AE169" s="4">
        <f t="shared" si="63"/>
        <v>855</v>
      </c>
      <c r="AF169" s="7">
        <v>830</v>
      </c>
      <c r="AG169" s="6">
        <f t="shared" si="51"/>
        <v>0.3493975903614458</v>
      </c>
      <c r="AH169" s="4">
        <f t="shared" si="52"/>
        <v>290</v>
      </c>
      <c r="AI169" s="28"/>
      <c r="AJ169" s="6"/>
      <c r="AK169" s="6"/>
      <c r="AL169" s="6">
        <f t="shared" si="53"/>
        <v>1.0344827586206897</v>
      </c>
      <c r="AM169" s="6">
        <f t="shared" si="54"/>
        <v>1.1066666666666667</v>
      </c>
      <c r="AN169" s="6">
        <f t="shared" si="55"/>
        <v>1.0344827586206897</v>
      </c>
      <c r="AO169" s="4" t="str">
        <f t="shared" si="56"/>
        <v>-</v>
      </c>
      <c r="AP169" s="4" t="str">
        <f t="shared" si="57"/>
        <v>-</v>
      </c>
      <c r="AQ169" s="4" t="str">
        <f t="shared" si="58"/>
        <v>-</v>
      </c>
      <c r="AR169" s="4">
        <v>0</v>
      </c>
      <c r="AS169" s="4" t="s">
        <v>2134</v>
      </c>
      <c r="AT169" s="4"/>
      <c r="AU169" s="4"/>
      <c r="AV169" s="4" t="s">
        <v>2135</v>
      </c>
      <c r="AW169" s="4">
        <v>1210</v>
      </c>
      <c r="AX169" s="4">
        <v>1210</v>
      </c>
      <c r="AY169" s="4">
        <v>1210</v>
      </c>
      <c r="AZ169" s="4">
        <f t="shared" si="59"/>
        <v>1210</v>
      </c>
      <c r="BA169" s="19">
        <v>4</v>
      </c>
      <c r="BB169" s="19">
        <v>8</v>
      </c>
      <c r="BC169" s="16">
        <v>19</v>
      </c>
      <c r="BD169" t="s">
        <v>1280</v>
      </c>
      <c r="BE169" t="s">
        <v>1280</v>
      </c>
      <c r="BF169" t="s">
        <v>1280</v>
      </c>
      <c r="BG169" t="str">
        <f t="shared" si="64"/>
        <v>-</v>
      </c>
      <c r="BH169" t="s">
        <v>1280</v>
      </c>
      <c r="BI169">
        <v>863</v>
      </c>
      <c r="BJ169">
        <v>863</v>
      </c>
      <c r="BK169">
        <f t="shared" si="65"/>
        <v>892.75862068965523</v>
      </c>
      <c r="BL169" t="s">
        <v>1624</v>
      </c>
      <c r="BM169">
        <v>812</v>
      </c>
    </row>
    <row r="170" spans="1:65" x14ac:dyDescent="0.4">
      <c r="A170" s="3">
        <v>300</v>
      </c>
      <c r="B170" s="3">
        <v>300</v>
      </c>
      <c r="C170" s="4" t="s">
        <v>289</v>
      </c>
      <c r="D170" s="4" t="str">
        <f t="shared" si="44"/>
        <v>J39044</v>
      </c>
      <c r="E170" s="4" t="s">
        <v>289</v>
      </c>
      <c r="F170" s="4" t="str">
        <f t="shared" si="60"/>
        <v>J390445</v>
      </c>
      <c r="G170" s="4" t="s">
        <v>935</v>
      </c>
      <c r="H170" s="5">
        <v>4974268153401</v>
      </c>
      <c r="I170" s="5">
        <v>5</v>
      </c>
      <c r="J170" s="5"/>
      <c r="K170" s="5">
        <v>1</v>
      </c>
      <c r="L170" s="5">
        <v>1</v>
      </c>
      <c r="M170" s="4">
        <v>890</v>
      </c>
      <c r="N170" s="4">
        <v>804</v>
      </c>
      <c r="O170" s="4">
        <v>534</v>
      </c>
      <c r="P170" s="6">
        <f t="shared" si="45"/>
        <v>0.33582089552238803</v>
      </c>
      <c r="Q170" s="4" t="s">
        <v>1280</v>
      </c>
      <c r="R170" s="4" t="s">
        <v>1280</v>
      </c>
      <c r="S170" s="4" t="s">
        <v>1280</v>
      </c>
      <c r="T170" s="4">
        <v>960</v>
      </c>
      <c r="U170" s="4">
        <f t="shared" si="46"/>
        <v>960</v>
      </c>
      <c r="V170" s="4">
        <v>576</v>
      </c>
      <c r="W170" s="4">
        <f t="shared" si="47"/>
        <v>576</v>
      </c>
      <c r="X170" s="4"/>
      <c r="Y170" s="21">
        <f t="shared" si="48"/>
        <v>867</v>
      </c>
      <c r="Z170" s="6">
        <f t="shared" si="49"/>
        <v>0.33564013840830453</v>
      </c>
      <c r="AA170" s="4">
        <v>1.25</v>
      </c>
      <c r="AB170" s="4">
        <f t="shared" si="50"/>
        <v>720</v>
      </c>
      <c r="AC170" s="4">
        <f t="shared" si="61"/>
        <v>776.62921348314603</v>
      </c>
      <c r="AD170" s="6">
        <f t="shared" si="62"/>
        <v>0.2583333333333333</v>
      </c>
      <c r="AE170" s="4">
        <f t="shared" si="63"/>
        <v>912</v>
      </c>
      <c r="AF170" s="7">
        <v>776</v>
      </c>
      <c r="AG170" s="6">
        <f t="shared" si="51"/>
        <v>0.25773195876288657</v>
      </c>
      <c r="AH170" s="4">
        <f t="shared" si="52"/>
        <v>200</v>
      </c>
      <c r="AI170" s="28"/>
      <c r="AJ170" s="6"/>
      <c r="AK170" s="6"/>
      <c r="AL170" s="6">
        <f t="shared" si="53"/>
        <v>1.0786516853932584</v>
      </c>
      <c r="AM170" s="6">
        <f t="shared" si="54"/>
        <v>0.96517412935323388</v>
      </c>
      <c r="AN170" s="6">
        <f t="shared" si="55"/>
        <v>1.0786516853932584</v>
      </c>
      <c r="AO170" s="4" t="str">
        <f t="shared" si="56"/>
        <v>-</v>
      </c>
      <c r="AP170" s="4" t="str">
        <f t="shared" si="57"/>
        <v>-</v>
      </c>
      <c r="AQ170" s="4" t="str">
        <f t="shared" si="58"/>
        <v>-</v>
      </c>
      <c r="AR170" s="4">
        <v>0</v>
      </c>
      <c r="AS170" s="4" t="s">
        <v>1927</v>
      </c>
      <c r="AT170" s="4"/>
      <c r="AU170" s="4"/>
      <c r="AV170" s="4" t="s">
        <v>1928</v>
      </c>
      <c r="AW170" s="4">
        <v>720</v>
      </c>
      <c r="AX170" s="4">
        <v>720</v>
      </c>
      <c r="AY170" s="4">
        <v>720</v>
      </c>
      <c r="AZ170" s="4">
        <f t="shared" si="59"/>
        <v>720</v>
      </c>
      <c r="BA170" s="19">
        <v>4</v>
      </c>
      <c r="BB170" s="19">
        <v>8</v>
      </c>
      <c r="BC170" s="16">
        <v>18</v>
      </c>
      <c r="BD170" t="s">
        <v>1280</v>
      </c>
      <c r="BE170" t="s">
        <v>1280</v>
      </c>
      <c r="BF170" t="s">
        <v>1280</v>
      </c>
      <c r="BG170" t="str">
        <f t="shared" si="64"/>
        <v>-</v>
      </c>
      <c r="BH170">
        <v>889</v>
      </c>
      <c r="BI170">
        <v>889</v>
      </c>
      <c r="BJ170">
        <v>889</v>
      </c>
      <c r="BK170">
        <f t="shared" si="65"/>
        <v>958.92134831460669</v>
      </c>
      <c r="BL170" t="s">
        <v>1460</v>
      </c>
      <c r="BM170">
        <v>812</v>
      </c>
    </row>
    <row r="171" spans="1:65" x14ac:dyDescent="0.4">
      <c r="A171" s="3">
        <v>32</v>
      </c>
      <c r="B171" s="3">
        <v>32</v>
      </c>
      <c r="C171" s="4">
        <v>190348</v>
      </c>
      <c r="D171" s="4" t="str">
        <f t="shared" si="44"/>
        <v>190348</v>
      </c>
      <c r="E171" s="4">
        <v>190348</v>
      </c>
      <c r="F171" s="4" t="str">
        <f t="shared" si="60"/>
        <v>1903485</v>
      </c>
      <c r="G171" s="4" t="s">
        <v>667</v>
      </c>
      <c r="H171" s="5">
        <v>4974268664389</v>
      </c>
      <c r="I171" s="5">
        <v>5</v>
      </c>
      <c r="J171" s="5"/>
      <c r="K171" s="5">
        <v>1</v>
      </c>
      <c r="L171" s="5">
        <v>1</v>
      </c>
      <c r="M171" s="4">
        <v>850</v>
      </c>
      <c r="N171" s="4">
        <v>610</v>
      </c>
      <c r="O171" s="4">
        <v>510</v>
      </c>
      <c r="P171" s="6">
        <f t="shared" si="45"/>
        <v>0.16393442622950816</v>
      </c>
      <c r="Q171" s="4" t="s">
        <v>1280</v>
      </c>
      <c r="R171" s="4" t="s">
        <v>1280</v>
      </c>
      <c r="S171" s="4" t="s">
        <v>1280</v>
      </c>
      <c r="T171" s="4">
        <v>1000</v>
      </c>
      <c r="U171" s="4">
        <f t="shared" si="46"/>
        <v>1000</v>
      </c>
      <c r="V171" s="4">
        <v>600</v>
      </c>
      <c r="W171" s="4">
        <f t="shared" si="47"/>
        <v>600</v>
      </c>
      <c r="X171" s="4"/>
      <c r="Y171" s="21">
        <f t="shared" si="48"/>
        <v>718</v>
      </c>
      <c r="Z171" s="6">
        <f t="shared" si="49"/>
        <v>0.16434540389972141</v>
      </c>
      <c r="AA171" s="4">
        <v>0.25</v>
      </c>
      <c r="AB171" s="4">
        <f t="shared" si="50"/>
        <v>610</v>
      </c>
      <c r="AC171" s="4">
        <f t="shared" si="61"/>
        <v>717.64705882352939</v>
      </c>
      <c r="AD171" s="6">
        <f t="shared" si="62"/>
        <v>0.16393442622950816</v>
      </c>
      <c r="AE171" s="4">
        <f t="shared" si="63"/>
        <v>950</v>
      </c>
      <c r="AF171" s="7">
        <v>900</v>
      </c>
      <c r="AG171" s="6">
        <f t="shared" si="51"/>
        <v>0.33333333333333337</v>
      </c>
      <c r="AH171" s="4">
        <f t="shared" si="52"/>
        <v>300</v>
      </c>
      <c r="AI171" s="28"/>
      <c r="AJ171" s="6"/>
      <c r="AK171" s="6"/>
      <c r="AL171" s="6">
        <f t="shared" si="53"/>
        <v>1.1764705882352942</v>
      </c>
      <c r="AM171" s="6">
        <f t="shared" si="54"/>
        <v>1.4754098360655739</v>
      </c>
      <c r="AN171" s="6">
        <f t="shared" si="55"/>
        <v>1.1764705882352942</v>
      </c>
      <c r="AO171" s="4" t="str">
        <f t="shared" si="56"/>
        <v>-</v>
      </c>
      <c r="AP171" s="4" t="str">
        <f t="shared" si="57"/>
        <v>-</v>
      </c>
      <c r="AQ171" s="4" t="str">
        <f t="shared" si="58"/>
        <v>-</v>
      </c>
      <c r="AR171" s="4">
        <v>0</v>
      </c>
      <c r="AS171" s="4" t="s">
        <v>1717</v>
      </c>
      <c r="AT171" s="4"/>
      <c r="AU171" s="4"/>
      <c r="AV171" s="4" t="s">
        <v>1713</v>
      </c>
      <c r="AW171" s="4">
        <v>610</v>
      </c>
      <c r="AX171" s="4">
        <v>610</v>
      </c>
      <c r="AY171" s="4">
        <v>610</v>
      </c>
      <c r="AZ171" s="4">
        <f t="shared" si="59"/>
        <v>610</v>
      </c>
      <c r="BA171" s="19">
        <v>4</v>
      </c>
      <c r="BB171" s="19">
        <v>8</v>
      </c>
      <c r="BC171" s="16">
        <v>19</v>
      </c>
      <c r="BD171" t="s">
        <v>1280</v>
      </c>
      <c r="BE171" t="s">
        <v>1280</v>
      </c>
      <c r="BF171" t="s">
        <v>1280</v>
      </c>
      <c r="BG171" t="str">
        <f t="shared" si="64"/>
        <v>-</v>
      </c>
      <c r="BH171">
        <v>903</v>
      </c>
      <c r="BI171">
        <v>903</v>
      </c>
      <c r="BJ171">
        <v>903</v>
      </c>
      <c r="BK171">
        <f t="shared" si="65"/>
        <v>1062.3529411764707</v>
      </c>
      <c r="BL171" t="s">
        <v>1312</v>
      </c>
      <c r="BM171">
        <v>812</v>
      </c>
    </row>
    <row r="172" spans="1:65" x14ac:dyDescent="0.4">
      <c r="A172" s="3">
        <v>150</v>
      </c>
      <c r="B172" s="3">
        <v>150</v>
      </c>
      <c r="C172" s="4" t="s">
        <v>139</v>
      </c>
      <c r="D172" s="4" t="str">
        <f t="shared" si="44"/>
        <v>J1876W</v>
      </c>
      <c r="E172" s="4" t="s">
        <v>139</v>
      </c>
      <c r="F172" s="4" t="str">
        <f t="shared" si="60"/>
        <v>J1876W5</v>
      </c>
      <c r="G172" s="4" t="s">
        <v>785</v>
      </c>
      <c r="H172" s="5">
        <v>4974268695451</v>
      </c>
      <c r="I172" s="5">
        <v>5</v>
      </c>
      <c r="J172" s="5"/>
      <c r="K172" s="5">
        <v>1</v>
      </c>
      <c r="L172" s="5">
        <v>1</v>
      </c>
      <c r="M172" s="4">
        <v>900</v>
      </c>
      <c r="N172" s="4">
        <v>741</v>
      </c>
      <c r="O172" s="4">
        <v>540</v>
      </c>
      <c r="P172" s="6">
        <f t="shared" si="45"/>
        <v>0.27125506072874495</v>
      </c>
      <c r="Q172" s="4" t="s">
        <v>1280</v>
      </c>
      <c r="R172" s="4" t="s">
        <v>1280</v>
      </c>
      <c r="S172" s="4" t="s">
        <v>1280</v>
      </c>
      <c r="T172" s="4">
        <v>1000</v>
      </c>
      <c r="U172" s="4">
        <f t="shared" si="46"/>
        <v>1000</v>
      </c>
      <c r="V172" s="4">
        <v>600</v>
      </c>
      <c r="W172" s="4">
        <f t="shared" si="47"/>
        <v>600</v>
      </c>
      <c r="X172" s="4"/>
      <c r="Y172" s="21">
        <f t="shared" si="48"/>
        <v>823</v>
      </c>
      <c r="Z172" s="6">
        <f t="shared" si="49"/>
        <v>0.27095990279465365</v>
      </c>
      <c r="AA172" s="4">
        <v>0</v>
      </c>
      <c r="AB172" s="4">
        <f t="shared" si="50"/>
        <v>1013.25</v>
      </c>
      <c r="AC172" s="4">
        <f t="shared" si="61"/>
        <v>1125.8333333333335</v>
      </c>
      <c r="AD172" s="6">
        <f t="shared" si="62"/>
        <v>0.46706143597335315</v>
      </c>
      <c r="AE172" s="4">
        <f t="shared" si="63"/>
        <v>950</v>
      </c>
      <c r="AF172" s="7">
        <v>900</v>
      </c>
      <c r="AG172" s="6">
        <f t="shared" si="51"/>
        <v>0.33333333333333337</v>
      </c>
      <c r="AH172" s="4">
        <f t="shared" si="52"/>
        <v>300</v>
      </c>
      <c r="AI172" s="28"/>
      <c r="AJ172" s="6"/>
      <c r="AK172" s="6"/>
      <c r="AL172" s="6">
        <f t="shared" si="53"/>
        <v>1.1111111111111112</v>
      </c>
      <c r="AM172" s="6">
        <f t="shared" si="54"/>
        <v>1.214574898785425</v>
      </c>
      <c r="AN172" s="6">
        <f t="shared" si="55"/>
        <v>1.1111111111111112</v>
      </c>
      <c r="AO172" s="4" t="str">
        <f t="shared" si="56"/>
        <v>-</v>
      </c>
      <c r="AP172" s="4" t="str">
        <f t="shared" si="57"/>
        <v>-</v>
      </c>
      <c r="AQ172" s="4" t="str">
        <f t="shared" si="58"/>
        <v>-</v>
      </c>
      <c r="AR172" s="4">
        <v>0</v>
      </c>
      <c r="AS172" s="4" t="s">
        <v>1835</v>
      </c>
      <c r="AT172" s="4">
        <v>1</v>
      </c>
      <c r="AU172" s="4">
        <v>4</v>
      </c>
      <c r="AV172" s="4" t="s">
        <v>1836</v>
      </c>
      <c r="AW172" s="4">
        <v>4053</v>
      </c>
      <c r="AX172" s="4">
        <v>4053</v>
      </c>
      <c r="AY172" s="4">
        <v>4053</v>
      </c>
      <c r="AZ172" s="4">
        <f t="shared" si="59"/>
        <v>1013.25</v>
      </c>
      <c r="BA172" s="19">
        <v>4</v>
      </c>
      <c r="BB172" s="19">
        <v>8</v>
      </c>
      <c r="BC172" s="16">
        <v>19</v>
      </c>
      <c r="BD172" t="s">
        <v>1280</v>
      </c>
      <c r="BE172" t="s">
        <v>1280</v>
      </c>
      <c r="BF172" t="s">
        <v>1280</v>
      </c>
      <c r="BG172" t="str">
        <f t="shared" si="64"/>
        <v>-</v>
      </c>
      <c r="BH172">
        <v>900</v>
      </c>
      <c r="BI172">
        <v>900</v>
      </c>
      <c r="BJ172">
        <v>900</v>
      </c>
      <c r="BK172">
        <f t="shared" si="65"/>
        <v>1000</v>
      </c>
      <c r="BL172" t="s">
        <v>1391</v>
      </c>
      <c r="BM172">
        <v>812</v>
      </c>
    </row>
    <row r="173" spans="1:65" x14ac:dyDescent="0.4">
      <c r="A173" s="3">
        <v>151</v>
      </c>
      <c r="B173" s="3">
        <v>151</v>
      </c>
      <c r="C173" s="4" t="s">
        <v>140</v>
      </c>
      <c r="D173" s="4" t="str">
        <f t="shared" si="44"/>
        <v>J1877W</v>
      </c>
      <c r="E173" s="4" t="s">
        <v>140</v>
      </c>
      <c r="F173" s="4" t="str">
        <f t="shared" si="60"/>
        <v>J1877W5</v>
      </c>
      <c r="G173" s="4" t="s">
        <v>786</v>
      </c>
      <c r="H173" s="5">
        <v>4974268695468</v>
      </c>
      <c r="I173" s="5">
        <v>5</v>
      </c>
      <c r="J173" s="5"/>
      <c r="K173" s="5">
        <v>1</v>
      </c>
      <c r="L173" s="5">
        <v>1</v>
      </c>
      <c r="M173" s="4">
        <v>900</v>
      </c>
      <c r="N173" s="4">
        <v>741</v>
      </c>
      <c r="O173" s="4">
        <v>540</v>
      </c>
      <c r="P173" s="6">
        <f t="shared" si="45"/>
        <v>0.27125506072874495</v>
      </c>
      <c r="Q173" s="4" t="s">
        <v>1280</v>
      </c>
      <c r="R173" s="4" t="s">
        <v>1280</v>
      </c>
      <c r="S173" s="4" t="s">
        <v>1280</v>
      </c>
      <c r="T173" s="4">
        <v>1000</v>
      </c>
      <c r="U173" s="4">
        <f t="shared" si="46"/>
        <v>1000</v>
      </c>
      <c r="V173" s="4">
        <v>600</v>
      </c>
      <c r="W173" s="4">
        <f t="shared" si="47"/>
        <v>600</v>
      </c>
      <c r="X173" s="4"/>
      <c r="Y173" s="21">
        <f t="shared" si="48"/>
        <v>823</v>
      </c>
      <c r="Z173" s="6">
        <f t="shared" si="49"/>
        <v>0.27095990279465365</v>
      </c>
      <c r="AA173" s="4">
        <v>0</v>
      </c>
      <c r="AB173" s="4">
        <f t="shared" si="50"/>
        <v>1013.25</v>
      </c>
      <c r="AC173" s="4">
        <f t="shared" si="61"/>
        <v>1125.8333333333335</v>
      </c>
      <c r="AD173" s="6">
        <f t="shared" si="62"/>
        <v>0.46706143597335315</v>
      </c>
      <c r="AE173" s="4">
        <f t="shared" si="63"/>
        <v>950</v>
      </c>
      <c r="AF173" s="7">
        <v>900</v>
      </c>
      <c r="AG173" s="6">
        <f t="shared" si="51"/>
        <v>0.33333333333333337</v>
      </c>
      <c r="AH173" s="4">
        <f t="shared" si="52"/>
        <v>300</v>
      </c>
      <c r="AI173" s="28"/>
      <c r="AJ173" s="6"/>
      <c r="AK173" s="6"/>
      <c r="AL173" s="6">
        <f t="shared" si="53"/>
        <v>1.1111111111111112</v>
      </c>
      <c r="AM173" s="6">
        <f t="shared" si="54"/>
        <v>1.214574898785425</v>
      </c>
      <c r="AN173" s="6">
        <f t="shared" si="55"/>
        <v>1.1111111111111112</v>
      </c>
      <c r="AO173" s="4" t="str">
        <f t="shared" si="56"/>
        <v>-</v>
      </c>
      <c r="AP173" s="4" t="str">
        <f t="shared" si="57"/>
        <v>-</v>
      </c>
      <c r="AQ173" s="4" t="str">
        <f t="shared" si="58"/>
        <v>-</v>
      </c>
      <c r="AR173" s="4">
        <v>0</v>
      </c>
      <c r="AS173" s="4" t="s">
        <v>1837</v>
      </c>
      <c r="AT173" s="4">
        <v>1</v>
      </c>
      <c r="AU173" s="4">
        <v>4</v>
      </c>
      <c r="AV173" s="4" t="s">
        <v>1836</v>
      </c>
      <c r="AW173" s="4">
        <v>4053</v>
      </c>
      <c r="AX173" s="4">
        <v>4053</v>
      </c>
      <c r="AY173" s="4">
        <v>4053</v>
      </c>
      <c r="AZ173" s="4">
        <f t="shared" si="59"/>
        <v>1013.25</v>
      </c>
      <c r="BA173" s="19">
        <v>4</v>
      </c>
      <c r="BB173" s="19">
        <v>8</v>
      </c>
      <c r="BC173" s="16">
        <v>19</v>
      </c>
      <c r="BD173" t="s">
        <v>1280</v>
      </c>
      <c r="BE173" t="s">
        <v>1280</v>
      </c>
      <c r="BF173" t="s">
        <v>1280</v>
      </c>
      <c r="BG173" t="str">
        <f t="shared" si="64"/>
        <v>-</v>
      </c>
      <c r="BH173">
        <v>900</v>
      </c>
      <c r="BI173">
        <v>900</v>
      </c>
      <c r="BJ173">
        <v>900</v>
      </c>
      <c r="BK173">
        <f t="shared" si="65"/>
        <v>1000</v>
      </c>
      <c r="BL173" t="s">
        <v>1392</v>
      </c>
      <c r="BM173">
        <v>812</v>
      </c>
    </row>
    <row r="174" spans="1:65" x14ac:dyDescent="0.4">
      <c r="A174" s="3">
        <v>482</v>
      </c>
      <c r="B174" s="3">
        <v>482</v>
      </c>
      <c r="C174" s="4" t="s">
        <v>471</v>
      </c>
      <c r="D174" s="4" t="str">
        <f t="shared" si="44"/>
        <v>J54581</v>
      </c>
      <c r="E174" s="4" t="s">
        <v>471</v>
      </c>
      <c r="F174" s="4" t="str">
        <f t="shared" si="60"/>
        <v>J545815</v>
      </c>
      <c r="G174" s="4" t="s">
        <v>1115</v>
      </c>
      <c r="H174" s="5">
        <v>4974268569820</v>
      </c>
      <c r="I174" s="5">
        <v>5</v>
      </c>
      <c r="J174" s="5"/>
      <c r="K174" s="5">
        <v>1</v>
      </c>
      <c r="L174" s="5">
        <v>1</v>
      </c>
      <c r="M174" s="4">
        <v>900</v>
      </c>
      <c r="N174" s="4">
        <v>876</v>
      </c>
      <c r="O174" s="4">
        <v>540</v>
      </c>
      <c r="P174" s="6">
        <f t="shared" si="45"/>
        <v>0.38356164383561642</v>
      </c>
      <c r="Q174" s="4" t="s">
        <v>1280</v>
      </c>
      <c r="R174" s="4" t="s">
        <v>1280</v>
      </c>
      <c r="S174" s="4" t="s">
        <v>1280</v>
      </c>
      <c r="T174" s="4">
        <v>1000</v>
      </c>
      <c r="U174" s="4">
        <f t="shared" si="46"/>
        <v>1000</v>
      </c>
      <c r="V174" s="4">
        <v>600</v>
      </c>
      <c r="W174" s="4">
        <f t="shared" si="47"/>
        <v>600</v>
      </c>
      <c r="X174" s="4"/>
      <c r="Y174" s="21">
        <f t="shared" si="48"/>
        <v>973</v>
      </c>
      <c r="Z174" s="6">
        <f t="shared" si="49"/>
        <v>0.3833504624871531</v>
      </c>
      <c r="AA174" s="4">
        <v>0.5</v>
      </c>
      <c r="AB174" s="4">
        <f t="shared" si="50"/>
        <v>737</v>
      </c>
      <c r="AC174" s="4">
        <f t="shared" si="61"/>
        <v>818.88888888888891</v>
      </c>
      <c r="AD174" s="6">
        <f t="shared" si="62"/>
        <v>0.26729986431478969</v>
      </c>
      <c r="AE174" s="4">
        <f t="shared" si="63"/>
        <v>950</v>
      </c>
      <c r="AF174" s="7">
        <v>818</v>
      </c>
      <c r="AG174" s="6">
        <f t="shared" si="51"/>
        <v>0.26650366748166254</v>
      </c>
      <c r="AH174" s="4">
        <f t="shared" si="52"/>
        <v>218</v>
      </c>
      <c r="AI174" s="28"/>
      <c r="AJ174" s="6"/>
      <c r="AK174" s="6"/>
      <c r="AL174" s="6">
        <f t="shared" si="53"/>
        <v>1.1111111111111112</v>
      </c>
      <c r="AM174" s="6">
        <f t="shared" si="54"/>
        <v>0.93378995433789957</v>
      </c>
      <c r="AN174" s="6">
        <f t="shared" si="55"/>
        <v>1.1111111111111112</v>
      </c>
      <c r="AO174" s="4" t="str">
        <f t="shared" si="56"/>
        <v>-</v>
      </c>
      <c r="AP174" s="4" t="str">
        <f t="shared" si="57"/>
        <v>-</v>
      </c>
      <c r="AQ174" s="4" t="str">
        <f t="shared" si="58"/>
        <v>-</v>
      </c>
      <c r="AR174" s="4">
        <v>0</v>
      </c>
      <c r="AS174" s="4" t="s">
        <v>2039</v>
      </c>
      <c r="AT174" s="4"/>
      <c r="AU174" s="4"/>
      <c r="AV174" s="4" t="s">
        <v>1870</v>
      </c>
      <c r="AW174" s="4">
        <v>737</v>
      </c>
      <c r="AX174" s="4">
        <v>737</v>
      </c>
      <c r="AY174" s="4">
        <v>737</v>
      </c>
      <c r="AZ174" s="4">
        <f t="shared" si="59"/>
        <v>737</v>
      </c>
      <c r="BA174" s="19">
        <v>4</v>
      </c>
      <c r="BB174" s="19">
        <v>8</v>
      </c>
      <c r="BC174" s="16">
        <v>18</v>
      </c>
      <c r="BD174" t="s">
        <v>1280</v>
      </c>
      <c r="BE174" t="s">
        <v>1280</v>
      </c>
      <c r="BF174" t="s">
        <v>1280</v>
      </c>
      <c r="BG174" t="str">
        <f t="shared" si="64"/>
        <v>-</v>
      </c>
      <c r="BH174">
        <v>956</v>
      </c>
      <c r="BI174">
        <v>956</v>
      </c>
      <c r="BJ174">
        <v>956</v>
      </c>
      <c r="BK174">
        <f t="shared" si="65"/>
        <v>1062.2222222222222</v>
      </c>
      <c r="BL174" t="s">
        <v>1551</v>
      </c>
      <c r="BM174">
        <v>812</v>
      </c>
    </row>
    <row r="175" spans="1:65" x14ac:dyDescent="0.4">
      <c r="A175" s="3">
        <v>644</v>
      </c>
      <c r="B175" s="3">
        <v>644</v>
      </c>
      <c r="C175" s="4" t="s">
        <v>633</v>
      </c>
      <c r="D175" s="4" t="str">
        <f t="shared" si="44"/>
        <v>J986WN</v>
      </c>
      <c r="E175" s="4" t="s">
        <v>633</v>
      </c>
      <c r="F175" s="4" t="str">
        <f t="shared" si="60"/>
        <v>J986WN5</v>
      </c>
      <c r="G175" s="4" t="s">
        <v>1277</v>
      </c>
      <c r="H175" s="5">
        <v>4974268564221</v>
      </c>
      <c r="I175" s="5">
        <v>5</v>
      </c>
      <c r="J175" s="5"/>
      <c r="K175" s="5">
        <v>1</v>
      </c>
      <c r="L175" s="5">
        <v>1</v>
      </c>
      <c r="M175" s="4">
        <v>900</v>
      </c>
      <c r="N175" s="4">
        <v>770</v>
      </c>
      <c r="O175" s="4">
        <v>540</v>
      </c>
      <c r="P175" s="6">
        <f t="shared" si="45"/>
        <v>0.29870129870129869</v>
      </c>
      <c r="Q175" s="4" t="s">
        <v>1280</v>
      </c>
      <c r="R175" s="4" t="s">
        <v>1280</v>
      </c>
      <c r="S175" s="4" t="s">
        <v>1280</v>
      </c>
      <c r="T175" s="4">
        <v>1000</v>
      </c>
      <c r="U175" s="4">
        <f t="shared" si="46"/>
        <v>1000</v>
      </c>
      <c r="V175" s="4">
        <v>600</v>
      </c>
      <c r="W175" s="4">
        <f t="shared" si="47"/>
        <v>600</v>
      </c>
      <c r="X175" s="4"/>
      <c r="Y175" s="21">
        <f t="shared" si="48"/>
        <v>856</v>
      </c>
      <c r="Z175" s="6">
        <f t="shared" si="49"/>
        <v>0.2990654205607477</v>
      </c>
      <c r="AA175" s="4">
        <v>0</v>
      </c>
      <c r="AB175" s="4">
        <f t="shared" si="50"/>
        <v>809</v>
      </c>
      <c r="AC175" s="4">
        <f t="shared" si="61"/>
        <v>898.88888888888891</v>
      </c>
      <c r="AD175" s="6">
        <f t="shared" si="62"/>
        <v>0.33250927070457359</v>
      </c>
      <c r="AE175" s="4">
        <f t="shared" si="63"/>
        <v>950</v>
      </c>
      <c r="AF175" s="7">
        <v>898</v>
      </c>
      <c r="AG175" s="6">
        <f t="shared" si="51"/>
        <v>0.33184855233853006</v>
      </c>
      <c r="AH175" s="4">
        <f t="shared" si="52"/>
        <v>298</v>
      </c>
      <c r="AI175" s="28"/>
      <c r="AJ175" s="6"/>
      <c r="AK175" s="6"/>
      <c r="AL175" s="6">
        <f t="shared" si="53"/>
        <v>1.1111111111111112</v>
      </c>
      <c r="AM175" s="6">
        <f t="shared" si="54"/>
        <v>1.1662337662337663</v>
      </c>
      <c r="AN175" s="6">
        <f t="shared" si="55"/>
        <v>1.1111111111111112</v>
      </c>
      <c r="AO175" s="4" t="str">
        <f t="shared" si="56"/>
        <v>-</v>
      </c>
      <c r="AP175" s="4" t="str">
        <f t="shared" si="57"/>
        <v>-</v>
      </c>
      <c r="AQ175" s="4" t="str">
        <f t="shared" si="58"/>
        <v>-</v>
      </c>
      <c r="AR175" s="4">
        <v>0</v>
      </c>
      <c r="AS175" s="4" t="s">
        <v>2200</v>
      </c>
      <c r="AT175" s="4"/>
      <c r="AU175" s="4"/>
      <c r="AV175" s="4" t="s">
        <v>1870</v>
      </c>
      <c r="AW175" s="4">
        <v>809</v>
      </c>
      <c r="AX175" s="4">
        <v>809</v>
      </c>
      <c r="AY175" s="4">
        <v>809</v>
      </c>
      <c r="AZ175" s="4">
        <f t="shared" si="59"/>
        <v>809</v>
      </c>
      <c r="BA175" s="19">
        <v>4</v>
      </c>
      <c r="BB175" s="19">
        <v>8</v>
      </c>
      <c r="BC175" s="16">
        <v>18</v>
      </c>
      <c r="BD175" t="s">
        <v>1280</v>
      </c>
      <c r="BE175" t="s">
        <v>1280</v>
      </c>
      <c r="BF175" t="s">
        <v>1280</v>
      </c>
      <c r="BG175" t="str">
        <f t="shared" si="64"/>
        <v>-</v>
      </c>
      <c r="BH175">
        <v>956</v>
      </c>
      <c r="BI175">
        <v>956</v>
      </c>
      <c r="BJ175">
        <v>956</v>
      </c>
      <c r="BK175">
        <f t="shared" si="65"/>
        <v>1062.2222222222222</v>
      </c>
      <c r="BL175" t="s">
        <v>1678</v>
      </c>
      <c r="BM175">
        <v>812</v>
      </c>
    </row>
    <row r="176" spans="1:65" x14ac:dyDescent="0.4">
      <c r="A176" s="3">
        <v>224</v>
      </c>
      <c r="B176" s="3">
        <v>224</v>
      </c>
      <c r="C176" s="4" t="s">
        <v>213</v>
      </c>
      <c r="D176" s="4" t="str">
        <f t="shared" si="44"/>
        <v>J3715R</v>
      </c>
      <c r="E176" s="4" t="s">
        <v>213</v>
      </c>
      <c r="F176" s="4" t="str">
        <f t="shared" si="60"/>
        <v>J3715R5</v>
      </c>
      <c r="G176" s="4" t="s">
        <v>859</v>
      </c>
      <c r="H176" s="5">
        <v>4974268254283</v>
      </c>
      <c r="I176" s="5">
        <v>5</v>
      </c>
      <c r="J176" s="5"/>
      <c r="K176" s="5">
        <v>1</v>
      </c>
      <c r="L176" s="5">
        <v>1</v>
      </c>
      <c r="M176" s="4">
        <v>920</v>
      </c>
      <c r="N176" s="4">
        <v>807</v>
      </c>
      <c r="O176" s="4">
        <v>552</v>
      </c>
      <c r="P176" s="6">
        <f t="shared" si="45"/>
        <v>0.31598513011152418</v>
      </c>
      <c r="Q176" s="4" t="s">
        <v>1280</v>
      </c>
      <c r="R176" s="4" t="s">
        <v>1280</v>
      </c>
      <c r="S176" s="4" t="s">
        <v>1280</v>
      </c>
      <c r="T176" s="4">
        <v>1050</v>
      </c>
      <c r="U176" s="4">
        <f t="shared" si="46"/>
        <v>1050</v>
      </c>
      <c r="V176" s="4">
        <v>630</v>
      </c>
      <c r="W176" s="4">
        <f t="shared" si="47"/>
        <v>630</v>
      </c>
      <c r="X176" s="4"/>
      <c r="Y176" s="21">
        <f t="shared" si="48"/>
        <v>921</v>
      </c>
      <c r="Z176" s="6">
        <f t="shared" si="49"/>
        <v>0.31596091205211729</v>
      </c>
      <c r="AA176" s="4">
        <v>0.25</v>
      </c>
      <c r="AB176" s="4">
        <f t="shared" si="50"/>
        <v>752.2</v>
      </c>
      <c r="AC176" s="4">
        <f t="shared" si="61"/>
        <v>858.48913043478262</v>
      </c>
      <c r="AD176" s="6">
        <f t="shared" si="62"/>
        <v>0.26615261898431275</v>
      </c>
      <c r="AE176" s="4">
        <f t="shared" si="63"/>
        <v>997.5</v>
      </c>
      <c r="AF176" s="7">
        <v>858</v>
      </c>
      <c r="AG176" s="6">
        <f t="shared" si="51"/>
        <v>0.26573426573426573</v>
      </c>
      <c r="AH176" s="4">
        <f t="shared" si="52"/>
        <v>228</v>
      </c>
      <c r="AI176" s="28"/>
      <c r="AJ176" s="6"/>
      <c r="AK176" s="6"/>
      <c r="AL176" s="6">
        <f t="shared" si="53"/>
        <v>1.1413043478260869</v>
      </c>
      <c r="AM176" s="6">
        <f t="shared" si="54"/>
        <v>1.0631970260223049</v>
      </c>
      <c r="AN176" s="6">
        <f t="shared" si="55"/>
        <v>1.1413043478260869</v>
      </c>
      <c r="AO176" s="4" t="str">
        <f t="shared" si="56"/>
        <v>-</v>
      </c>
      <c r="AP176" s="4" t="str">
        <f t="shared" si="57"/>
        <v>-</v>
      </c>
      <c r="AQ176" s="4" t="str">
        <f t="shared" si="58"/>
        <v>-</v>
      </c>
      <c r="AR176" s="4">
        <v>0</v>
      </c>
      <c r="AS176" s="4" t="s">
        <v>1867</v>
      </c>
      <c r="AT176" s="4">
        <v>1</v>
      </c>
      <c r="AU176" s="4">
        <v>5</v>
      </c>
      <c r="AV176" s="4" t="s">
        <v>1868</v>
      </c>
      <c r="AW176" s="4">
        <v>3761</v>
      </c>
      <c r="AX176" s="4">
        <v>3761</v>
      </c>
      <c r="AY176" s="4">
        <v>3761</v>
      </c>
      <c r="AZ176" s="4">
        <f t="shared" si="59"/>
        <v>752.2</v>
      </c>
      <c r="BA176" s="19">
        <v>4</v>
      </c>
      <c r="BB176" s="19">
        <v>1</v>
      </c>
      <c r="BC176" s="16">
        <v>4</v>
      </c>
      <c r="BD176">
        <v>3520</v>
      </c>
      <c r="BE176">
        <v>3520</v>
      </c>
      <c r="BF176" t="s">
        <v>1280</v>
      </c>
      <c r="BG176" t="str">
        <f t="shared" si="64"/>
        <v>-</v>
      </c>
      <c r="BH176">
        <v>4500</v>
      </c>
      <c r="BI176">
        <v>4500</v>
      </c>
      <c r="BJ176">
        <v>4500</v>
      </c>
      <c r="BK176">
        <f t="shared" si="65"/>
        <v>5135.869565217391</v>
      </c>
      <c r="BL176" t="s">
        <v>1417</v>
      </c>
      <c r="BM176">
        <v>812</v>
      </c>
    </row>
    <row r="177" spans="1:65" x14ac:dyDescent="0.4">
      <c r="A177" s="3">
        <v>43</v>
      </c>
      <c r="B177" s="3">
        <v>43</v>
      </c>
      <c r="C177" s="4">
        <v>453193</v>
      </c>
      <c r="D177" s="4" t="str">
        <f t="shared" si="44"/>
        <v>453193</v>
      </c>
      <c r="E177" s="4">
        <v>453193</v>
      </c>
      <c r="F177" s="4" t="str">
        <f t="shared" si="60"/>
        <v>4531935</v>
      </c>
      <c r="G177" s="4" t="s">
        <v>678</v>
      </c>
      <c r="H177" s="5">
        <v>4974268241351</v>
      </c>
      <c r="I177" s="5">
        <v>5</v>
      </c>
      <c r="J177" s="5"/>
      <c r="K177" s="5">
        <v>1</v>
      </c>
      <c r="L177" s="5">
        <v>1</v>
      </c>
      <c r="M177" s="4">
        <v>5200</v>
      </c>
      <c r="N177" s="4">
        <v>4800</v>
      </c>
      <c r="O177" s="4">
        <v>3120</v>
      </c>
      <c r="P177" s="6">
        <f t="shared" si="45"/>
        <v>0.35</v>
      </c>
      <c r="Q177" s="4" t="s">
        <v>1280</v>
      </c>
      <c r="R177" s="4" t="s">
        <v>1280</v>
      </c>
      <c r="S177" s="4" t="s">
        <v>1280</v>
      </c>
      <c r="T177" s="4">
        <v>1080</v>
      </c>
      <c r="U177" s="4">
        <f t="shared" si="46"/>
        <v>5400</v>
      </c>
      <c r="V177" s="4">
        <v>648</v>
      </c>
      <c r="W177" s="4">
        <f t="shared" si="47"/>
        <v>3240</v>
      </c>
      <c r="X177" s="4">
        <v>5</v>
      </c>
      <c r="Y177" s="21">
        <f t="shared" si="48"/>
        <v>4985</v>
      </c>
      <c r="Z177" s="6">
        <f t="shared" si="49"/>
        <v>0.35005015045135401</v>
      </c>
      <c r="AA177" s="4">
        <v>0</v>
      </c>
      <c r="AB177" s="4" t="str">
        <f t="shared" si="50"/>
        <v>-</v>
      </c>
      <c r="AC177" s="4" t="str">
        <f t="shared" si="61"/>
        <v>-</v>
      </c>
      <c r="AD177" s="6" t="str">
        <f t="shared" si="62"/>
        <v>-</v>
      </c>
      <c r="AE177" s="4">
        <f t="shared" si="63"/>
        <v>5130</v>
      </c>
      <c r="AF177" s="7">
        <v>4985</v>
      </c>
      <c r="AG177" s="6">
        <f t="shared" si="51"/>
        <v>0.35005015045135401</v>
      </c>
      <c r="AH177" s="4">
        <f t="shared" si="52"/>
        <v>1745</v>
      </c>
      <c r="AI177" s="28"/>
      <c r="AJ177" s="6"/>
      <c r="AK177" s="6"/>
      <c r="AL177" s="6">
        <f t="shared" si="53"/>
        <v>1.0384615384615385</v>
      </c>
      <c r="AM177" s="6">
        <f t="shared" si="54"/>
        <v>1.0385416666666667</v>
      </c>
      <c r="AN177" s="6">
        <f t="shared" si="55"/>
        <v>1.0384615384615385</v>
      </c>
      <c r="AO177" s="4" t="str">
        <f t="shared" si="56"/>
        <v>-</v>
      </c>
      <c r="AP177" s="4" t="str">
        <f t="shared" si="57"/>
        <v>-</v>
      </c>
      <c r="AQ177" s="4" t="str">
        <f t="shared" si="58"/>
        <v>-</v>
      </c>
      <c r="AR177" s="4">
        <v>0</v>
      </c>
      <c r="AS177" s="4" t="s">
        <v>1280</v>
      </c>
      <c r="AT177" s="4"/>
      <c r="AU177" s="4"/>
      <c r="AV177" s="4" t="s">
        <v>1280</v>
      </c>
      <c r="AW177" s="4" t="s">
        <v>1280</v>
      </c>
      <c r="AX177" s="4" t="s">
        <v>1280</v>
      </c>
      <c r="AY177" s="4" t="s">
        <v>1280</v>
      </c>
      <c r="AZ177" s="4" t="str">
        <f t="shared" si="59"/>
        <v>-</v>
      </c>
      <c r="BA177" s="19">
        <v>4</v>
      </c>
      <c r="BB177" s="19">
        <v>8</v>
      </c>
      <c r="BC177" s="16">
        <v>6</v>
      </c>
      <c r="BD177" t="s">
        <v>1280</v>
      </c>
      <c r="BE177" t="s">
        <v>1280</v>
      </c>
      <c r="BF177" t="s">
        <v>1280</v>
      </c>
      <c r="BG177" t="str">
        <f t="shared" si="64"/>
        <v>-</v>
      </c>
      <c r="BH177" t="s">
        <v>1280</v>
      </c>
      <c r="BI177">
        <v>5738</v>
      </c>
      <c r="BJ177">
        <v>5738</v>
      </c>
      <c r="BK177">
        <f t="shared" si="65"/>
        <v>5958.6923076923085</v>
      </c>
      <c r="BL177" t="s">
        <v>1280</v>
      </c>
      <c r="BM177">
        <v>812</v>
      </c>
    </row>
    <row r="178" spans="1:65" x14ac:dyDescent="0.4">
      <c r="A178" s="3">
        <v>384</v>
      </c>
      <c r="B178" s="3">
        <v>384</v>
      </c>
      <c r="C178" s="4" t="s">
        <v>373</v>
      </c>
      <c r="D178" s="4" t="str">
        <f t="shared" si="44"/>
        <v>J4040N</v>
      </c>
      <c r="E178" s="4" t="s">
        <v>373</v>
      </c>
      <c r="F178" s="4" t="str">
        <f t="shared" si="60"/>
        <v>J4040N5</v>
      </c>
      <c r="G178" s="4" t="s">
        <v>1017</v>
      </c>
      <c r="H178" s="5">
        <v>4529671008765</v>
      </c>
      <c r="I178" s="5">
        <v>5</v>
      </c>
      <c r="J178" s="5"/>
      <c r="K178" s="5">
        <v>1</v>
      </c>
      <c r="L178" s="5">
        <v>1</v>
      </c>
      <c r="M178" s="4">
        <v>0</v>
      </c>
      <c r="N178" s="4">
        <v>884</v>
      </c>
      <c r="O178" s="4">
        <v>600</v>
      </c>
      <c r="P178" s="6">
        <f t="shared" si="45"/>
        <v>0.32126696832579182</v>
      </c>
      <c r="Q178" s="4" t="s">
        <v>1280</v>
      </c>
      <c r="R178" s="4" t="s">
        <v>1280</v>
      </c>
      <c r="S178" s="4" t="s">
        <v>1280</v>
      </c>
      <c r="T178" s="4">
        <v>0</v>
      </c>
      <c r="U178" s="4">
        <f t="shared" si="46"/>
        <v>0</v>
      </c>
      <c r="V178" s="4">
        <v>648</v>
      </c>
      <c r="W178" s="4">
        <f t="shared" si="47"/>
        <v>648</v>
      </c>
      <c r="X178" s="4"/>
      <c r="Y178" s="21">
        <f t="shared" si="48"/>
        <v>955</v>
      </c>
      <c r="Z178" s="6">
        <f t="shared" si="49"/>
        <v>0.32146596858638743</v>
      </c>
      <c r="AA178" s="4">
        <v>0</v>
      </c>
      <c r="AB178" s="4" t="str">
        <f t="shared" si="50"/>
        <v>-</v>
      </c>
      <c r="AC178" s="4" t="str">
        <f t="shared" si="61"/>
        <v>-</v>
      </c>
      <c r="AD178" s="6" t="str">
        <f t="shared" si="62"/>
        <v>-</v>
      </c>
      <c r="AE178" s="4">
        <f t="shared" si="63"/>
        <v>0</v>
      </c>
      <c r="AF178" s="7">
        <v>960</v>
      </c>
      <c r="AG178" s="6">
        <f t="shared" si="51"/>
        <v>0.32499999999999996</v>
      </c>
      <c r="AH178" s="4">
        <f t="shared" si="52"/>
        <v>312</v>
      </c>
      <c r="AI178" s="28"/>
      <c r="AJ178" s="6"/>
      <c r="AK178" s="6"/>
      <c r="AL178" s="6" t="e">
        <f t="shared" si="53"/>
        <v>#DIV/0!</v>
      </c>
      <c r="AM178" s="6">
        <f t="shared" si="54"/>
        <v>1.0859728506787329</v>
      </c>
      <c r="AN178" s="6">
        <f t="shared" si="55"/>
        <v>1.08</v>
      </c>
      <c r="AO178" s="4" t="str">
        <f t="shared" si="56"/>
        <v>-</v>
      </c>
      <c r="AP178" s="4" t="str">
        <f t="shared" si="57"/>
        <v>-</v>
      </c>
      <c r="AQ178" s="4" t="str">
        <f t="shared" si="58"/>
        <v>-</v>
      </c>
      <c r="AR178" s="4">
        <v>0</v>
      </c>
      <c r="AS178" s="4" t="s">
        <v>1280</v>
      </c>
      <c r="AT178" s="4"/>
      <c r="AU178" s="4"/>
      <c r="AV178" s="4" t="s">
        <v>1280</v>
      </c>
      <c r="AW178" s="4" t="s">
        <v>1280</v>
      </c>
      <c r="AX178" s="4" t="s">
        <v>1280</v>
      </c>
      <c r="AY178" s="4" t="s">
        <v>1280</v>
      </c>
      <c r="AZ178" s="4" t="str">
        <f t="shared" si="59"/>
        <v>-</v>
      </c>
      <c r="BA178" s="19">
        <v>4</v>
      </c>
      <c r="BB178" s="19">
        <v>8</v>
      </c>
      <c r="BC178" s="16">
        <v>19</v>
      </c>
      <c r="BD178" t="s">
        <v>1280</v>
      </c>
      <c r="BE178" t="s">
        <v>1280</v>
      </c>
      <c r="BF178" t="s">
        <v>1280</v>
      </c>
      <c r="BG178" t="str">
        <f t="shared" si="64"/>
        <v>-</v>
      </c>
      <c r="BH178">
        <v>750</v>
      </c>
      <c r="BI178">
        <v>750</v>
      </c>
      <c r="BJ178">
        <v>750</v>
      </c>
      <c r="BK178">
        <f t="shared" si="65"/>
        <v>810</v>
      </c>
      <c r="BL178" t="s">
        <v>1280</v>
      </c>
      <c r="BM178">
        <v>812</v>
      </c>
    </row>
    <row r="179" spans="1:65" x14ac:dyDescent="0.4">
      <c r="A179" s="3">
        <v>50</v>
      </c>
      <c r="B179" s="3">
        <v>50</v>
      </c>
      <c r="C179" s="4">
        <v>608911</v>
      </c>
      <c r="D179" s="4" t="str">
        <f t="shared" si="44"/>
        <v>608911</v>
      </c>
      <c r="E179" s="4">
        <v>608911</v>
      </c>
      <c r="F179" s="4" t="str">
        <f t="shared" si="60"/>
        <v>6089115</v>
      </c>
      <c r="G179" s="4" t="s">
        <v>685</v>
      </c>
      <c r="H179" s="5">
        <v>4974268400017</v>
      </c>
      <c r="I179" s="5">
        <v>5</v>
      </c>
      <c r="J179" s="5"/>
      <c r="K179" s="5">
        <v>1</v>
      </c>
      <c r="L179" s="5">
        <v>1</v>
      </c>
      <c r="M179" s="4">
        <v>930</v>
      </c>
      <c r="N179" s="4">
        <v>747</v>
      </c>
      <c r="O179" s="4">
        <v>558</v>
      </c>
      <c r="P179" s="6">
        <f t="shared" si="45"/>
        <v>0.25301204819277112</v>
      </c>
      <c r="Q179" s="4" t="s">
        <v>1280</v>
      </c>
      <c r="R179" s="4" t="s">
        <v>1280</v>
      </c>
      <c r="S179" s="4" t="s">
        <v>1280</v>
      </c>
      <c r="T179" s="4">
        <v>1100</v>
      </c>
      <c r="U179" s="4">
        <f t="shared" si="46"/>
        <v>1100</v>
      </c>
      <c r="V179" s="4">
        <v>660</v>
      </c>
      <c r="W179" s="4">
        <f t="shared" si="47"/>
        <v>660</v>
      </c>
      <c r="X179" s="4"/>
      <c r="Y179" s="21">
        <f t="shared" si="48"/>
        <v>884</v>
      </c>
      <c r="Z179" s="6">
        <f t="shared" si="49"/>
        <v>0.25339366515837103</v>
      </c>
      <c r="AA179" s="4">
        <v>3.5000000000000004</v>
      </c>
      <c r="AB179" s="4">
        <f t="shared" si="50"/>
        <v>738.2</v>
      </c>
      <c r="AC179" s="4">
        <f t="shared" si="61"/>
        <v>873.13978494623666</v>
      </c>
      <c r="AD179" s="6">
        <f t="shared" si="62"/>
        <v>0.24410728799783266</v>
      </c>
      <c r="AE179" s="4">
        <f t="shared" si="63"/>
        <v>1045</v>
      </c>
      <c r="AF179" s="7">
        <v>873</v>
      </c>
      <c r="AG179" s="6">
        <f t="shared" si="51"/>
        <v>0.24398625429553267</v>
      </c>
      <c r="AH179" s="4">
        <f t="shared" si="52"/>
        <v>213</v>
      </c>
      <c r="AI179" s="28"/>
      <c r="AJ179" s="6"/>
      <c r="AK179" s="6"/>
      <c r="AL179" s="6">
        <f t="shared" si="53"/>
        <v>1.1827956989247312</v>
      </c>
      <c r="AM179" s="6">
        <f t="shared" si="54"/>
        <v>1.1686746987951808</v>
      </c>
      <c r="AN179" s="6">
        <f t="shared" si="55"/>
        <v>1.1827956989247312</v>
      </c>
      <c r="AO179" s="4" t="str">
        <f t="shared" si="56"/>
        <v>-</v>
      </c>
      <c r="AP179" s="4" t="str">
        <f t="shared" si="57"/>
        <v>-</v>
      </c>
      <c r="AQ179" s="4" t="str">
        <f t="shared" si="58"/>
        <v>-</v>
      </c>
      <c r="AR179" s="4">
        <v>0</v>
      </c>
      <c r="AS179" s="4" t="s">
        <v>1734</v>
      </c>
      <c r="AT179" s="4">
        <v>1</v>
      </c>
      <c r="AU179" s="4">
        <v>5</v>
      </c>
      <c r="AV179" s="4" t="s">
        <v>1735</v>
      </c>
      <c r="AW179" s="4">
        <v>3691</v>
      </c>
      <c r="AX179" s="4">
        <v>3691</v>
      </c>
      <c r="AY179" s="4">
        <v>3691</v>
      </c>
      <c r="AZ179" s="4">
        <f t="shared" si="59"/>
        <v>738.2</v>
      </c>
      <c r="BA179" s="19">
        <v>4</v>
      </c>
      <c r="BB179" s="19">
        <v>1</v>
      </c>
      <c r="BC179" s="16">
        <v>19</v>
      </c>
      <c r="BD179" t="s">
        <v>1280</v>
      </c>
      <c r="BE179" t="s">
        <v>1280</v>
      </c>
      <c r="BF179" t="s">
        <v>1280</v>
      </c>
      <c r="BG179" t="str">
        <f t="shared" si="64"/>
        <v>-</v>
      </c>
      <c r="BH179">
        <v>761</v>
      </c>
      <c r="BI179">
        <v>761</v>
      </c>
      <c r="BJ179">
        <v>761</v>
      </c>
      <c r="BK179">
        <f t="shared" si="65"/>
        <v>900.10752688172045</v>
      </c>
      <c r="BL179" t="s">
        <v>1325</v>
      </c>
      <c r="BM179">
        <v>812</v>
      </c>
    </row>
    <row r="180" spans="1:65" x14ac:dyDescent="0.4">
      <c r="A180" s="3">
        <v>62</v>
      </c>
      <c r="B180" s="3">
        <v>62</v>
      </c>
      <c r="C180" s="4" t="s">
        <v>58</v>
      </c>
      <c r="D180" s="4" t="str">
        <f t="shared" si="44"/>
        <v>7902AM</v>
      </c>
      <c r="E180" s="4" t="s">
        <v>58</v>
      </c>
      <c r="F180" s="4" t="str">
        <f t="shared" si="60"/>
        <v>7902AM5</v>
      </c>
      <c r="G180" s="4" t="s">
        <v>697</v>
      </c>
      <c r="H180" s="5">
        <v>4974268149282</v>
      </c>
      <c r="I180" s="5">
        <v>5</v>
      </c>
      <c r="J180" s="5"/>
      <c r="K180" s="5">
        <v>1</v>
      </c>
      <c r="L180" s="5">
        <v>1</v>
      </c>
      <c r="M180" s="4">
        <v>950</v>
      </c>
      <c r="N180" s="4">
        <v>724</v>
      </c>
      <c r="O180" s="4">
        <v>570</v>
      </c>
      <c r="P180" s="6">
        <f t="shared" si="45"/>
        <v>0.21270718232044195</v>
      </c>
      <c r="Q180" s="4" t="s">
        <v>1280</v>
      </c>
      <c r="R180" s="4" t="s">
        <v>1280</v>
      </c>
      <c r="S180" s="4" t="s">
        <v>1280</v>
      </c>
      <c r="T180" s="4">
        <v>1100</v>
      </c>
      <c r="U180" s="4">
        <f t="shared" si="46"/>
        <v>1100</v>
      </c>
      <c r="V180" s="4">
        <v>660</v>
      </c>
      <c r="W180" s="4">
        <f t="shared" si="47"/>
        <v>660</v>
      </c>
      <c r="X180" s="4"/>
      <c r="Y180" s="21">
        <f t="shared" si="48"/>
        <v>838</v>
      </c>
      <c r="Z180" s="6">
        <f t="shared" si="49"/>
        <v>0.21241050119331739</v>
      </c>
      <c r="AA180" s="4">
        <v>0.25</v>
      </c>
      <c r="AB180" s="4">
        <f t="shared" si="50"/>
        <v>765.5</v>
      </c>
      <c r="AC180" s="4">
        <f t="shared" si="61"/>
        <v>886.36842105263156</v>
      </c>
      <c r="AD180" s="6">
        <f t="shared" si="62"/>
        <v>0.25538863487916397</v>
      </c>
      <c r="AE180" s="4">
        <f t="shared" si="63"/>
        <v>1045</v>
      </c>
      <c r="AF180" s="7">
        <v>886</v>
      </c>
      <c r="AG180" s="6">
        <f t="shared" si="51"/>
        <v>0.25507900677200901</v>
      </c>
      <c r="AH180" s="4">
        <f t="shared" si="52"/>
        <v>226</v>
      </c>
      <c r="AI180" s="28"/>
      <c r="AJ180" s="6"/>
      <c r="AK180" s="6"/>
      <c r="AL180" s="6">
        <f t="shared" si="53"/>
        <v>1.1578947368421053</v>
      </c>
      <c r="AM180" s="6">
        <f t="shared" si="54"/>
        <v>1.2237569060773481</v>
      </c>
      <c r="AN180" s="6">
        <f t="shared" si="55"/>
        <v>1.1578947368421053</v>
      </c>
      <c r="AO180" s="4" t="str">
        <f t="shared" si="56"/>
        <v>-</v>
      </c>
      <c r="AP180" s="4" t="str">
        <f t="shared" si="57"/>
        <v>-</v>
      </c>
      <c r="AQ180" s="4" t="str">
        <f t="shared" si="58"/>
        <v>-</v>
      </c>
      <c r="AR180" s="4">
        <v>0</v>
      </c>
      <c r="AS180" s="4" t="s">
        <v>1751</v>
      </c>
      <c r="AT180" s="4">
        <v>1</v>
      </c>
      <c r="AU180" s="4">
        <v>10</v>
      </c>
      <c r="AV180" s="4" t="s">
        <v>1752</v>
      </c>
      <c r="AW180" s="4">
        <v>7655</v>
      </c>
      <c r="AX180" s="4">
        <v>7655</v>
      </c>
      <c r="AY180" s="4">
        <v>7655</v>
      </c>
      <c r="AZ180" s="4">
        <f t="shared" si="59"/>
        <v>765.5</v>
      </c>
      <c r="BA180" s="19">
        <v>4</v>
      </c>
      <c r="BB180" s="19">
        <v>1</v>
      </c>
      <c r="BC180" s="16">
        <v>18</v>
      </c>
      <c r="BD180" t="s">
        <v>1280</v>
      </c>
      <c r="BE180" t="s">
        <v>1280</v>
      </c>
      <c r="BF180" t="s">
        <v>1280</v>
      </c>
      <c r="BG180" t="str">
        <f t="shared" si="64"/>
        <v>-</v>
      </c>
      <c r="BH180">
        <v>810</v>
      </c>
      <c r="BI180">
        <v>810</v>
      </c>
      <c r="BJ180">
        <v>810</v>
      </c>
      <c r="BK180">
        <f t="shared" si="65"/>
        <v>937.89473684210532</v>
      </c>
      <c r="BL180" t="s">
        <v>1335</v>
      </c>
      <c r="BM180">
        <v>812</v>
      </c>
    </row>
    <row r="181" spans="1:65" x14ac:dyDescent="0.4">
      <c r="A181" s="3">
        <v>406</v>
      </c>
      <c r="B181" s="3">
        <v>406</v>
      </c>
      <c r="C181" s="4" t="s">
        <v>395</v>
      </c>
      <c r="D181" s="4" t="str">
        <f t="shared" si="44"/>
        <v>J54421</v>
      </c>
      <c r="E181" s="4" t="s">
        <v>395</v>
      </c>
      <c r="F181" s="4" t="str">
        <f t="shared" si="60"/>
        <v>J544215</v>
      </c>
      <c r="G181" s="4" t="s">
        <v>1039</v>
      </c>
      <c r="H181" s="5">
        <v>4974268149077</v>
      </c>
      <c r="I181" s="5">
        <v>5</v>
      </c>
      <c r="J181" s="5"/>
      <c r="K181" s="5">
        <v>1</v>
      </c>
      <c r="L181" s="5">
        <v>1</v>
      </c>
      <c r="M181" s="4">
        <v>9500</v>
      </c>
      <c r="N181" s="4">
        <v>7197</v>
      </c>
      <c r="O181" s="4">
        <v>5700</v>
      </c>
      <c r="P181" s="6">
        <f t="shared" si="45"/>
        <v>0.20800333472280119</v>
      </c>
      <c r="Q181" s="4" t="s">
        <v>1280</v>
      </c>
      <c r="R181" s="4" t="s">
        <v>1280</v>
      </c>
      <c r="S181" s="4" t="s">
        <v>1280</v>
      </c>
      <c r="T181" s="4">
        <v>1100</v>
      </c>
      <c r="U181" s="4">
        <f t="shared" si="46"/>
        <v>11000</v>
      </c>
      <c r="V181" s="4">
        <v>660</v>
      </c>
      <c r="W181" s="4">
        <f t="shared" si="47"/>
        <v>6600</v>
      </c>
      <c r="X181" s="4">
        <v>10</v>
      </c>
      <c r="Y181" s="21">
        <f t="shared" si="48"/>
        <v>8333</v>
      </c>
      <c r="Z181" s="6">
        <f t="shared" si="49"/>
        <v>0.20796831873274935</v>
      </c>
      <c r="AA181" s="4">
        <v>0</v>
      </c>
      <c r="AB181" s="4">
        <f t="shared" si="50"/>
        <v>9460</v>
      </c>
      <c r="AC181" s="4">
        <f t="shared" si="61"/>
        <v>10953.684210526317</v>
      </c>
      <c r="AD181" s="6">
        <f t="shared" si="62"/>
        <v>0.39746300211416496</v>
      </c>
      <c r="AE181" s="4">
        <f t="shared" si="63"/>
        <v>10450</v>
      </c>
      <c r="AF181" s="7">
        <v>8400</v>
      </c>
      <c r="AG181" s="6">
        <f t="shared" si="51"/>
        <v>0.2142857142857143</v>
      </c>
      <c r="AH181" s="4">
        <f t="shared" si="52"/>
        <v>1800</v>
      </c>
      <c r="AI181" s="28"/>
      <c r="AJ181" s="6"/>
      <c r="AK181" s="6"/>
      <c r="AL181" s="6">
        <f t="shared" si="53"/>
        <v>1.1578947368421053</v>
      </c>
      <c r="AM181" s="6">
        <f t="shared" si="54"/>
        <v>1.1671529804085035</v>
      </c>
      <c r="AN181" s="6">
        <f t="shared" si="55"/>
        <v>1.1578947368421053</v>
      </c>
      <c r="AO181" s="4" t="str">
        <f t="shared" si="56"/>
        <v>-</v>
      </c>
      <c r="AP181" s="4" t="str">
        <f t="shared" si="57"/>
        <v>-</v>
      </c>
      <c r="AQ181" s="4" t="str">
        <f t="shared" si="58"/>
        <v>-</v>
      </c>
      <c r="AR181" s="4">
        <v>0</v>
      </c>
      <c r="AS181" s="4" t="s">
        <v>1962</v>
      </c>
      <c r="AT181" s="4">
        <v>10</v>
      </c>
      <c r="AU181" s="4">
        <v>1</v>
      </c>
      <c r="AV181" s="4" t="s">
        <v>1963</v>
      </c>
      <c r="AW181" s="4">
        <v>946</v>
      </c>
      <c r="AX181" s="4">
        <v>946</v>
      </c>
      <c r="AY181" s="4">
        <v>946</v>
      </c>
      <c r="AZ181" s="4">
        <f t="shared" si="59"/>
        <v>9460</v>
      </c>
      <c r="BA181" s="19">
        <v>4</v>
      </c>
      <c r="BB181" s="19">
        <v>1</v>
      </c>
      <c r="BC181" s="16">
        <v>18</v>
      </c>
      <c r="BD181">
        <v>652</v>
      </c>
      <c r="BE181">
        <v>652</v>
      </c>
      <c r="BF181" t="s">
        <v>1280</v>
      </c>
      <c r="BG181" t="str">
        <f t="shared" si="64"/>
        <v>-</v>
      </c>
      <c r="BH181" t="s">
        <v>1280</v>
      </c>
      <c r="BI181" t="s">
        <v>1280</v>
      </c>
      <c r="BJ181" t="s">
        <v>1280</v>
      </c>
      <c r="BK181" t="str">
        <f t="shared" si="65"/>
        <v>-</v>
      </c>
      <c r="BL181" t="s">
        <v>1489</v>
      </c>
      <c r="BM181">
        <v>812</v>
      </c>
    </row>
    <row r="182" spans="1:65" x14ac:dyDescent="0.4">
      <c r="A182" s="3">
        <v>475</v>
      </c>
      <c r="B182" s="3">
        <v>475</v>
      </c>
      <c r="C182" s="4" t="s">
        <v>464</v>
      </c>
      <c r="D182" s="4" t="str">
        <f t="shared" si="44"/>
        <v>J54562</v>
      </c>
      <c r="E182" s="4" t="s">
        <v>464</v>
      </c>
      <c r="F182" s="4" t="str">
        <f t="shared" si="60"/>
        <v>J545625</v>
      </c>
      <c r="G182" s="4" t="s">
        <v>1108</v>
      </c>
      <c r="H182" s="5">
        <v>4974268569806</v>
      </c>
      <c r="I182" s="5">
        <v>5</v>
      </c>
      <c r="J182" s="5"/>
      <c r="K182" s="5">
        <v>1</v>
      </c>
      <c r="L182" s="5">
        <v>1</v>
      </c>
      <c r="M182" s="4">
        <v>1000</v>
      </c>
      <c r="N182" s="4">
        <v>864</v>
      </c>
      <c r="O182" s="4">
        <v>600</v>
      </c>
      <c r="P182" s="6">
        <f t="shared" si="45"/>
        <v>0.30555555555555558</v>
      </c>
      <c r="Q182" s="4" t="s">
        <v>1280</v>
      </c>
      <c r="R182" s="4" t="s">
        <v>1280</v>
      </c>
      <c r="S182" s="4" t="s">
        <v>1280</v>
      </c>
      <c r="T182" s="4">
        <v>1100</v>
      </c>
      <c r="U182" s="4">
        <f t="shared" si="46"/>
        <v>1100</v>
      </c>
      <c r="V182" s="4">
        <v>660</v>
      </c>
      <c r="W182" s="4">
        <f t="shared" si="47"/>
        <v>660</v>
      </c>
      <c r="X182" s="4"/>
      <c r="Y182" s="21">
        <f t="shared" si="48"/>
        <v>950</v>
      </c>
      <c r="Z182" s="6">
        <f t="shared" si="49"/>
        <v>0.30526315789473679</v>
      </c>
      <c r="AA182" s="4">
        <v>0.25</v>
      </c>
      <c r="AB182" s="4">
        <f t="shared" si="50"/>
        <v>1000</v>
      </c>
      <c r="AC182" s="4">
        <f t="shared" si="61"/>
        <v>1100</v>
      </c>
      <c r="AD182" s="6">
        <f t="shared" si="62"/>
        <v>0.4</v>
      </c>
      <c r="AE182" s="4">
        <f t="shared" si="63"/>
        <v>1045</v>
      </c>
      <c r="AF182" s="7">
        <v>1000</v>
      </c>
      <c r="AG182" s="6">
        <f t="shared" si="51"/>
        <v>0.33999999999999997</v>
      </c>
      <c r="AH182" s="4">
        <f t="shared" si="52"/>
        <v>340</v>
      </c>
      <c r="AI182" s="28"/>
      <c r="AJ182" s="6"/>
      <c r="AK182" s="6"/>
      <c r="AL182" s="6">
        <f t="shared" si="53"/>
        <v>1.1000000000000001</v>
      </c>
      <c r="AM182" s="6">
        <f t="shared" si="54"/>
        <v>1.1574074074074074</v>
      </c>
      <c r="AN182" s="6">
        <f t="shared" si="55"/>
        <v>1.1000000000000001</v>
      </c>
      <c r="AO182" s="4" t="str">
        <f t="shared" si="56"/>
        <v>-</v>
      </c>
      <c r="AP182" s="4" t="str">
        <f t="shared" si="57"/>
        <v>-</v>
      </c>
      <c r="AQ182" s="4" t="str">
        <f t="shared" si="58"/>
        <v>-</v>
      </c>
      <c r="AR182" s="4">
        <v>0</v>
      </c>
      <c r="AS182" s="4" t="s">
        <v>2032</v>
      </c>
      <c r="AT182" s="4"/>
      <c r="AU182" s="4"/>
      <c r="AV182" s="4" t="s">
        <v>1870</v>
      </c>
      <c r="AW182" s="4">
        <v>1000</v>
      </c>
      <c r="AX182" s="4">
        <v>1000</v>
      </c>
      <c r="AY182" s="4">
        <v>1000</v>
      </c>
      <c r="AZ182" s="4">
        <f t="shared" si="59"/>
        <v>1000</v>
      </c>
      <c r="BA182" s="19">
        <v>4</v>
      </c>
      <c r="BB182" s="19">
        <v>8</v>
      </c>
      <c r="BC182" s="16">
        <v>18</v>
      </c>
      <c r="BD182" t="s">
        <v>1280</v>
      </c>
      <c r="BE182" t="s">
        <v>1280</v>
      </c>
      <c r="BF182" t="s">
        <v>1280</v>
      </c>
      <c r="BG182" t="str">
        <f t="shared" si="64"/>
        <v>-</v>
      </c>
      <c r="BH182">
        <v>1063</v>
      </c>
      <c r="BI182">
        <v>1063</v>
      </c>
      <c r="BJ182">
        <v>1063</v>
      </c>
      <c r="BK182">
        <f t="shared" si="65"/>
        <v>1169.3000000000002</v>
      </c>
      <c r="BL182" t="s">
        <v>1545</v>
      </c>
      <c r="BM182">
        <v>812</v>
      </c>
    </row>
    <row r="183" spans="1:65" x14ac:dyDescent="0.4">
      <c r="A183" s="32">
        <v>484</v>
      </c>
      <c r="B183" s="3">
        <v>484</v>
      </c>
      <c r="C183" s="4" t="s">
        <v>473</v>
      </c>
      <c r="D183" s="4" t="str">
        <f t="shared" si="44"/>
        <v>J54584</v>
      </c>
      <c r="E183" s="4" t="s">
        <v>473</v>
      </c>
      <c r="F183" s="4" t="str">
        <f t="shared" si="60"/>
        <v>J545845</v>
      </c>
      <c r="G183" s="4" t="s">
        <v>1117</v>
      </c>
      <c r="H183" s="5">
        <v>4974268564283</v>
      </c>
      <c r="I183" s="5">
        <v>5</v>
      </c>
      <c r="J183" s="5"/>
      <c r="K183" s="5">
        <v>1</v>
      </c>
      <c r="L183" s="5">
        <v>1</v>
      </c>
      <c r="M183" s="4">
        <v>9000</v>
      </c>
      <c r="N183" s="4">
        <v>8019</v>
      </c>
      <c r="O183" s="4">
        <v>5400</v>
      </c>
      <c r="P183" s="6">
        <f t="shared" si="45"/>
        <v>0.32659932659932656</v>
      </c>
      <c r="Q183" s="4" t="s">
        <v>1280</v>
      </c>
      <c r="R183" s="4" t="s">
        <v>1280</v>
      </c>
      <c r="S183" s="4" t="s">
        <v>1280</v>
      </c>
      <c r="T183" s="4">
        <v>1100</v>
      </c>
      <c r="U183" s="4">
        <f t="shared" si="46"/>
        <v>11000</v>
      </c>
      <c r="V183" s="4">
        <v>660</v>
      </c>
      <c r="W183" s="4">
        <f t="shared" si="47"/>
        <v>6600</v>
      </c>
      <c r="X183" s="4">
        <v>10</v>
      </c>
      <c r="Y183" s="21">
        <f t="shared" si="48"/>
        <v>9801</v>
      </c>
      <c r="Z183" s="6">
        <f t="shared" si="49"/>
        <v>0.32659932659932656</v>
      </c>
      <c r="AA183" s="4">
        <v>0</v>
      </c>
      <c r="AB183" s="4">
        <f t="shared" si="50"/>
        <v>8150</v>
      </c>
      <c r="AC183" s="4">
        <f t="shared" si="61"/>
        <v>9961.1111111111113</v>
      </c>
      <c r="AD183" s="6">
        <f t="shared" si="62"/>
        <v>0.33742331288343563</v>
      </c>
      <c r="AE183" s="4">
        <f t="shared" si="63"/>
        <v>10450</v>
      </c>
      <c r="AF183" s="7">
        <v>9900</v>
      </c>
      <c r="AG183" s="6">
        <f t="shared" si="51"/>
        <v>0.33333333333333337</v>
      </c>
      <c r="AH183" s="4">
        <f t="shared" si="52"/>
        <v>3300</v>
      </c>
      <c r="AI183" s="28"/>
      <c r="AJ183" s="6"/>
      <c r="AK183" s="6"/>
      <c r="AL183" s="6">
        <f t="shared" si="53"/>
        <v>1.2222222222222223</v>
      </c>
      <c r="AM183" s="6">
        <f t="shared" si="54"/>
        <v>1.2345679012345678</v>
      </c>
      <c r="AN183" s="6">
        <f t="shared" si="55"/>
        <v>1.2222222222222223</v>
      </c>
      <c r="AO183" s="4" t="str">
        <f t="shared" si="56"/>
        <v>-</v>
      </c>
      <c r="AP183" s="4" t="str">
        <f t="shared" si="57"/>
        <v>-</v>
      </c>
      <c r="AQ183" s="4" t="str">
        <f t="shared" si="58"/>
        <v>-</v>
      </c>
      <c r="AR183" s="4">
        <v>0</v>
      </c>
      <c r="AS183" s="4" t="s">
        <v>2041</v>
      </c>
      <c r="AT183" s="4"/>
      <c r="AU183" s="4"/>
      <c r="AV183" s="4" t="s">
        <v>2035</v>
      </c>
      <c r="AW183" s="4">
        <v>8150</v>
      </c>
      <c r="AX183" s="4">
        <v>8150</v>
      </c>
      <c r="AY183" s="4">
        <v>8150</v>
      </c>
      <c r="AZ183" s="4">
        <f t="shared" si="59"/>
        <v>8150</v>
      </c>
      <c r="BA183" s="19">
        <v>2</v>
      </c>
      <c r="BB183" s="19">
        <v>8</v>
      </c>
      <c r="BC183" s="16">
        <v>18</v>
      </c>
      <c r="BD183" t="s">
        <v>1280</v>
      </c>
      <c r="BE183" t="s">
        <v>1280</v>
      </c>
      <c r="BF183" t="s">
        <v>1280</v>
      </c>
      <c r="BG183" t="str">
        <f t="shared" si="64"/>
        <v>-</v>
      </c>
      <c r="BH183" t="s">
        <v>1280</v>
      </c>
      <c r="BI183" t="s">
        <v>1280</v>
      </c>
      <c r="BJ183" t="s">
        <v>1280</v>
      </c>
      <c r="BK183" t="str">
        <f t="shared" si="65"/>
        <v>-</v>
      </c>
      <c r="BL183" t="s">
        <v>1553</v>
      </c>
      <c r="BM183">
        <v>812</v>
      </c>
    </row>
    <row r="184" spans="1:65" x14ac:dyDescent="0.4">
      <c r="A184" s="3">
        <v>40</v>
      </c>
      <c r="B184" s="3">
        <v>40</v>
      </c>
      <c r="C184" s="4">
        <v>316431</v>
      </c>
      <c r="D184" s="4" t="str">
        <f t="shared" si="44"/>
        <v>316431</v>
      </c>
      <c r="E184" s="4">
        <v>316431</v>
      </c>
      <c r="F184" s="4" t="str">
        <f t="shared" si="60"/>
        <v>3164315</v>
      </c>
      <c r="G184" s="4" t="s">
        <v>675</v>
      </c>
      <c r="H184" s="5">
        <v>4974268250100</v>
      </c>
      <c r="I184" s="5">
        <v>5</v>
      </c>
      <c r="J184" s="5"/>
      <c r="K184" s="5">
        <v>1</v>
      </c>
      <c r="L184" s="5">
        <v>1</v>
      </c>
      <c r="M184" s="4">
        <v>1100</v>
      </c>
      <c r="N184" s="4">
        <v>964</v>
      </c>
      <c r="O184" s="4">
        <v>660</v>
      </c>
      <c r="P184" s="6">
        <f t="shared" si="45"/>
        <v>0.31535269709543567</v>
      </c>
      <c r="Q184" s="4" t="s">
        <v>1280</v>
      </c>
      <c r="R184" s="4" t="s">
        <v>1280</v>
      </c>
      <c r="S184" s="4" t="s">
        <v>1280</v>
      </c>
      <c r="T184" s="4">
        <v>1130</v>
      </c>
      <c r="U184" s="4">
        <f t="shared" si="46"/>
        <v>1130</v>
      </c>
      <c r="V184" s="4">
        <v>678</v>
      </c>
      <c r="W184" s="4">
        <f t="shared" si="47"/>
        <v>678</v>
      </c>
      <c r="X184" s="4"/>
      <c r="Y184" s="21">
        <f t="shared" si="48"/>
        <v>990</v>
      </c>
      <c r="Z184" s="6">
        <f t="shared" si="49"/>
        <v>0.31515151515151518</v>
      </c>
      <c r="AA184" s="4">
        <v>0.5</v>
      </c>
      <c r="AB184" s="4">
        <f t="shared" si="50"/>
        <v>1100</v>
      </c>
      <c r="AC184" s="4">
        <f t="shared" si="61"/>
        <v>1130</v>
      </c>
      <c r="AD184" s="6">
        <f t="shared" si="62"/>
        <v>0.4</v>
      </c>
      <c r="AE184" s="4">
        <f t="shared" si="63"/>
        <v>1073.5</v>
      </c>
      <c r="AF184" s="7">
        <v>1030</v>
      </c>
      <c r="AG184" s="6">
        <f t="shared" si="51"/>
        <v>0.34174757281553403</v>
      </c>
      <c r="AH184" s="4">
        <f t="shared" si="52"/>
        <v>352</v>
      </c>
      <c r="AI184" s="28"/>
      <c r="AJ184" s="6"/>
      <c r="AK184" s="6"/>
      <c r="AL184" s="6">
        <f t="shared" si="53"/>
        <v>1.0272727272727273</v>
      </c>
      <c r="AM184" s="6">
        <f t="shared" si="54"/>
        <v>1.0684647302904564</v>
      </c>
      <c r="AN184" s="6">
        <f t="shared" si="55"/>
        <v>1.0272727272727273</v>
      </c>
      <c r="AO184" s="4" t="str">
        <f t="shared" si="56"/>
        <v>-</v>
      </c>
      <c r="AP184" s="4" t="str">
        <f t="shared" si="57"/>
        <v>-</v>
      </c>
      <c r="AQ184" s="4" t="str">
        <f t="shared" si="58"/>
        <v>-</v>
      </c>
      <c r="AR184" s="4">
        <v>0</v>
      </c>
      <c r="AS184" s="4" t="s">
        <v>1726</v>
      </c>
      <c r="AT184" s="4">
        <v>1</v>
      </c>
      <c r="AU184" s="4">
        <v>5</v>
      </c>
      <c r="AV184" s="4" t="s">
        <v>1727</v>
      </c>
      <c r="AW184" s="4">
        <v>5500</v>
      </c>
      <c r="AX184" s="4">
        <v>5500</v>
      </c>
      <c r="AY184" s="4">
        <v>5500</v>
      </c>
      <c r="AZ184" s="4">
        <f t="shared" si="59"/>
        <v>1100</v>
      </c>
      <c r="BA184" s="19">
        <v>4</v>
      </c>
      <c r="BB184" s="19">
        <v>1</v>
      </c>
      <c r="BC184" s="16">
        <v>4</v>
      </c>
      <c r="BD184">
        <v>1100</v>
      </c>
      <c r="BE184">
        <v>1100</v>
      </c>
      <c r="BF184">
        <v>1100</v>
      </c>
      <c r="BG184">
        <f t="shared" si="64"/>
        <v>1130</v>
      </c>
      <c r="BH184" t="s">
        <v>1280</v>
      </c>
      <c r="BI184">
        <v>1100</v>
      </c>
      <c r="BJ184">
        <v>1100</v>
      </c>
      <c r="BK184">
        <f t="shared" si="65"/>
        <v>1130</v>
      </c>
      <c r="BL184" t="s">
        <v>1320</v>
      </c>
      <c r="BM184">
        <v>812</v>
      </c>
    </row>
    <row r="185" spans="1:65" x14ac:dyDescent="0.4">
      <c r="A185" s="3">
        <v>49</v>
      </c>
      <c r="B185" s="3">
        <v>49</v>
      </c>
      <c r="C185" s="4">
        <v>608443</v>
      </c>
      <c r="D185" s="4" t="str">
        <f t="shared" si="44"/>
        <v>608443</v>
      </c>
      <c r="E185" s="4">
        <v>608443</v>
      </c>
      <c r="F185" s="4" t="str">
        <f t="shared" si="60"/>
        <v>6084435</v>
      </c>
      <c r="G185" s="4" t="s">
        <v>684</v>
      </c>
      <c r="H185" s="5">
        <v>4974268250117</v>
      </c>
      <c r="I185" s="5">
        <v>5</v>
      </c>
      <c r="J185" s="5"/>
      <c r="K185" s="5">
        <v>1</v>
      </c>
      <c r="L185" s="5">
        <v>1</v>
      </c>
      <c r="M185" s="4">
        <v>1100</v>
      </c>
      <c r="N185" s="4">
        <v>964</v>
      </c>
      <c r="O185" s="4">
        <v>660</v>
      </c>
      <c r="P185" s="6">
        <f t="shared" si="45"/>
        <v>0.31535269709543567</v>
      </c>
      <c r="Q185" s="4" t="s">
        <v>1280</v>
      </c>
      <c r="R185" s="4" t="s">
        <v>1280</v>
      </c>
      <c r="S185" s="4" t="s">
        <v>1280</v>
      </c>
      <c r="T185" s="4">
        <v>1130</v>
      </c>
      <c r="U185" s="4">
        <f t="shared" si="46"/>
        <v>1130</v>
      </c>
      <c r="V185" s="4">
        <v>678</v>
      </c>
      <c r="W185" s="4">
        <f t="shared" si="47"/>
        <v>678</v>
      </c>
      <c r="X185" s="4"/>
      <c r="Y185" s="21">
        <f t="shared" si="48"/>
        <v>990</v>
      </c>
      <c r="Z185" s="6">
        <f t="shared" si="49"/>
        <v>0.31515151515151518</v>
      </c>
      <c r="AA185" s="4">
        <v>1.5</v>
      </c>
      <c r="AB185" s="4" t="str">
        <f t="shared" si="50"/>
        <v>-</v>
      </c>
      <c r="AC185" s="4" t="str">
        <f t="shared" si="61"/>
        <v>-</v>
      </c>
      <c r="AD185" s="6" t="str">
        <f t="shared" si="62"/>
        <v>-</v>
      </c>
      <c r="AE185" s="4">
        <f t="shared" si="63"/>
        <v>1073.5</v>
      </c>
      <c r="AF185" s="7">
        <v>1030</v>
      </c>
      <c r="AG185" s="6">
        <f t="shared" si="51"/>
        <v>0.34174757281553403</v>
      </c>
      <c r="AH185" s="4">
        <f t="shared" si="52"/>
        <v>352</v>
      </c>
      <c r="AI185" s="28"/>
      <c r="AJ185" s="6"/>
      <c r="AK185" s="6"/>
      <c r="AL185" s="6">
        <f t="shared" si="53"/>
        <v>1.0272727272727273</v>
      </c>
      <c r="AM185" s="6">
        <f t="shared" si="54"/>
        <v>1.0684647302904564</v>
      </c>
      <c r="AN185" s="6">
        <f t="shared" si="55"/>
        <v>1.0272727272727273</v>
      </c>
      <c r="AO185" s="4" t="str">
        <f t="shared" si="56"/>
        <v>-</v>
      </c>
      <c r="AP185" s="4" t="str">
        <f t="shared" si="57"/>
        <v>-</v>
      </c>
      <c r="AQ185" s="4" t="str">
        <f t="shared" si="58"/>
        <v>-</v>
      </c>
      <c r="AR185" s="4">
        <v>0</v>
      </c>
      <c r="AS185" s="4" t="s">
        <v>1280</v>
      </c>
      <c r="AT185" s="4"/>
      <c r="AU185" s="4"/>
      <c r="AV185" s="4" t="s">
        <v>1280</v>
      </c>
      <c r="AW185" s="4" t="s">
        <v>1280</v>
      </c>
      <c r="AX185" s="4" t="s">
        <v>1280</v>
      </c>
      <c r="AY185" s="4" t="s">
        <v>1280</v>
      </c>
      <c r="AZ185" s="4" t="str">
        <f t="shared" si="59"/>
        <v>-</v>
      </c>
      <c r="BA185" s="19">
        <v>4</v>
      </c>
      <c r="BB185" s="19">
        <v>1</v>
      </c>
      <c r="BC185" s="16">
        <v>4</v>
      </c>
      <c r="BD185" t="s">
        <v>1280</v>
      </c>
      <c r="BE185" t="s">
        <v>1280</v>
      </c>
      <c r="BF185" t="s">
        <v>1280</v>
      </c>
      <c r="BG185" t="str">
        <f t="shared" si="64"/>
        <v>-</v>
      </c>
      <c r="BH185" t="s">
        <v>1280</v>
      </c>
      <c r="BI185">
        <v>1033</v>
      </c>
      <c r="BJ185">
        <v>1033</v>
      </c>
      <c r="BK185">
        <f t="shared" si="65"/>
        <v>1061.1727272727273</v>
      </c>
      <c r="BL185" t="s">
        <v>1280</v>
      </c>
      <c r="BM185">
        <v>812</v>
      </c>
    </row>
    <row r="186" spans="1:65" x14ac:dyDescent="0.4">
      <c r="A186" s="3">
        <v>372</v>
      </c>
      <c r="B186" s="3">
        <v>372</v>
      </c>
      <c r="C186" s="4" t="s">
        <v>361</v>
      </c>
      <c r="D186" s="4" t="str">
        <f t="shared" si="44"/>
        <v>J4031N</v>
      </c>
      <c r="E186" s="4" t="s">
        <v>361</v>
      </c>
      <c r="F186" s="4" t="str">
        <f t="shared" si="60"/>
        <v>J4031N5</v>
      </c>
      <c r="G186" s="4" t="s">
        <v>1007</v>
      </c>
      <c r="H186" s="5">
        <v>4529671008499</v>
      </c>
      <c r="I186" s="5">
        <v>5</v>
      </c>
      <c r="J186" s="5"/>
      <c r="K186" s="5">
        <v>1</v>
      </c>
      <c r="L186" s="5">
        <v>1</v>
      </c>
      <c r="M186" s="4">
        <v>0</v>
      </c>
      <c r="N186" s="4">
        <v>915</v>
      </c>
      <c r="O186" s="4">
        <v>624</v>
      </c>
      <c r="P186" s="6">
        <f t="shared" si="45"/>
        <v>0.31803278688524594</v>
      </c>
      <c r="Q186" s="4" t="s">
        <v>1280</v>
      </c>
      <c r="R186" s="4" t="s">
        <v>1280</v>
      </c>
      <c r="S186" s="4" t="s">
        <v>1280</v>
      </c>
      <c r="T186" s="4">
        <v>0</v>
      </c>
      <c r="U186" s="4">
        <f t="shared" si="46"/>
        <v>0</v>
      </c>
      <c r="V186" s="4">
        <v>684</v>
      </c>
      <c r="W186" s="4">
        <f t="shared" si="47"/>
        <v>684</v>
      </c>
      <c r="X186" s="4"/>
      <c r="Y186" s="21">
        <f t="shared" si="48"/>
        <v>1003</v>
      </c>
      <c r="Z186" s="6">
        <f t="shared" si="49"/>
        <v>0.31804586241276167</v>
      </c>
      <c r="AA186" s="4">
        <v>0</v>
      </c>
      <c r="AB186" s="4" t="str">
        <f t="shared" si="50"/>
        <v>-</v>
      </c>
      <c r="AC186" s="4" t="str">
        <f t="shared" si="61"/>
        <v>-</v>
      </c>
      <c r="AD186" s="6" t="str">
        <f t="shared" si="62"/>
        <v>-</v>
      </c>
      <c r="AE186" s="4">
        <f t="shared" si="63"/>
        <v>0</v>
      </c>
      <c r="AF186" s="7">
        <v>1050</v>
      </c>
      <c r="AG186" s="6">
        <f t="shared" si="51"/>
        <v>0.34857142857142853</v>
      </c>
      <c r="AH186" s="4">
        <f t="shared" si="52"/>
        <v>366</v>
      </c>
      <c r="AI186" s="28"/>
      <c r="AJ186" s="6"/>
      <c r="AK186" s="6"/>
      <c r="AL186" s="6" t="e">
        <f t="shared" si="53"/>
        <v>#DIV/0!</v>
      </c>
      <c r="AM186" s="6">
        <f t="shared" si="54"/>
        <v>1.1475409836065573</v>
      </c>
      <c r="AN186" s="6">
        <f t="shared" si="55"/>
        <v>1.0961538461538463</v>
      </c>
      <c r="AO186" s="4" t="str">
        <f t="shared" si="56"/>
        <v>-</v>
      </c>
      <c r="AP186" s="4" t="str">
        <f t="shared" si="57"/>
        <v>-</v>
      </c>
      <c r="AQ186" s="4" t="str">
        <f t="shared" si="58"/>
        <v>-</v>
      </c>
      <c r="AR186" s="4">
        <v>0</v>
      </c>
      <c r="AS186" s="4" t="s">
        <v>1280</v>
      </c>
      <c r="AT186" s="4"/>
      <c r="AU186" s="4"/>
      <c r="AV186" s="4" t="s">
        <v>1280</v>
      </c>
      <c r="AW186" s="4" t="s">
        <v>1280</v>
      </c>
      <c r="AX186" s="4" t="s">
        <v>1280</v>
      </c>
      <c r="AY186" s="4" t="s">
        <v>1280</v>
      </c>
      <c r="AZ186" s="4" t="str">
        <f t="shared" si="59"/>
        <v>-</v>
      </c>
      <c r="BA186" s="19">
        <v>4</v>
      </c>
      <c r="BB186" s="19">
        <v>8</v>
      </c>
      <c r="BC186" s="16">
        <v>19</v>
      </c>
      <c r="BD186" t="s">
        <v>1280</v>
      </c>
      <c r="BE186" t="s">
        <v>1280</v>
      </c>
      <c r="BF186" t="s">
        <v>1280</v>
      </c>
      <c r="BG186" t="str">
        <f t="shared" si="64"/>
        <v>-</v>
      </c>
      <c r="BH186">
        <v>785</v>
      </c>
      <c r="BI186">
        <v>785</v>
      </c>
      <c r="BJ186">
        <v>785</v>
      </c>
      <c r="BK186">
        <f t="shared" si="65"/>
        <v>860.48076923076928</v>
      </c>
      <c r="BL186" t="s">
        <v>1280</v>
      </c>
      <c r="BM186">
        <v>812</v>
      </c>
    </row>
    <row r="187" spans="1:65" x14ac:dyDescent="0.4">
      <c r="A187" s="3">
        <v>508</v>
      </c>
      <c r="B187" s="3">
        <v>508</v>
      </c>
      <c r="C187" s="4" t="s">
        <v>497</v>
      </c>
      <c r="D187" s="4" t="str">
        <f t="shared" si="44"/>
        <v>J770RZ</v>
      </c>
      <c r="E187" s="4" t="s">
        <v>497</v>
      </c>
      <c r="F187" s="4" t="str">
        <f t="shared" si="60"/>
        <v>J770RZ5</v>
      </c>
      <c r="G187" s="4" t="s">
        <v>1141</v>
      </c>
      <c r="H187" s="5">
        <v>4974268695413</v>
      </c>
      <c r="I187" s="5">
        <v>5</v>
      </c>
      <c r="J187" s="5"/>
      <c r="K187" s="5">
        <v>1</v>
      </c>
      <c r="L187" s="5">
        <v>1</v>
      </c>
      <c r="M187" s="4">
        <v>1020</v>
      </c>
      <c r="N187" s="4">
        <v>805</v>
      </c>
      <c r="O187" s="4">
        <v>612</v>
      </c>
      <c r="P187" s="6">
        <f t="shared" si="45"/>
        <v>0.23975155279503102</v>
      </c>
      <c r="Q187" s="4" t="s">
        <v>1280</v>
      </c>
      <c r="R187" s="4" t="s">
        <v>1280</v>
      </c>
      <c r="S187" s="4" t="s">
        <v>1280</v>
      </c>
      <c r="T187" s="4">
        <v>1150</v>
      </c>
      <c r="U187" s="4">
        <f t="shared" si="46"/>
        <v>1150</v>
      </c>
      <c r="V187" s="4">
        <v>690</v>
      </c>
      <c r="W187" s="4">
        <f t="shared" si="47"/>
        <v>690</v>
      </c>
      <c r="X187" s="4"/>
      <c r="Y187" s="21">
        <f t="shared" si="48"/>
        <v>908</v>
      </c>
      <c r="Z187" s="6">
        <f t="shared" si="49"/>
        <v>0.24008810572687223</v>
      </c>
      <c r="AA187" s="4">
        <v>0</v>
      </c>
      <c r="AB187" s="4">
        <f t="shared" si="50"/>
        <v>1116.25</v>
      </c>
      <c r="AC187" s="4">
        <f t="shared" si="61"/>
        <v>1258.5171568627452</v>
      </c>
      <c r="AD187" s="6">
        <f t="shared" si="62"/>
        <v>0.45173572228443448</v>
      </c>
      <c r="AE187" s="4">
        <f t="shared" si="63"/>
        <v>1092.5</v>
      </c>
      <c r="AF187" s="7">
        <v>1050</v>
      </c>
      <c r="AG187" s="6">
        <f t="shared" si="51"/>
        <v>0.34285714285714286</v>
      </c>
      <c r="AH187" s="4">
        <f t="shared" si="52"/>
        <v>360</v>
      </c>
      <c r="AI187" s="28"/>
      <c r="AJ187" s="6"/>
      <c r="AK187" s="6"/>
      <c r="AL187" s="6">
        <f t="shared" si="53"/>
        <v>1.1274509803921569</v>
      </c>
      <c r="AM187" s="6">
        <f t="shared" si="54"/>
        <v>1.3043478260869565</v>
      </c>
      <c r="AN187" s="6">
        <f t="shared" si="55"/>
        <v>1.1274509803921569</v>
      </c>
      <c r="AO187" s="4" t="str">
        <f t="shared" si="56"/>
        <v>-</v>
      </c>
      <c r="AP187" s="4" t="str">
        <f t="shared" si="57"/>
        <v>-</v>
      </c>
      <c r="AQ187" s="4" t="str">
        <f t="shared" si="58"/>
        <v>-</v>
      </c>
      <c r="AR187" s="4">
        <v>0</v>
      </c>
      <c r="AS187" s="4" t="s">
        <v>2066</v>
      </c>
      <c r="AT187" s="4">
        <v>1</v>
      </c>
      <c r="AU187" s="4">
        <v>4</v>
      </c>
      <c r="AV187" s="4" t="s">
        <v>2067</v>
      </c>
      <c r="AW187" s="4">
        <v>4465</v>
      </c>
      <c r="AX187" s="4">
        <v>4465</v>
      </c>
      <c r="AY187" s="4">
        <v>4465</v>
      </c>
      <c r="AZ187" s="4">
        <f t="shared" si="59"/>
        <v>1116.25</v>
      </c>
      <c r="BA187" s="19">
        <v>4</v>
      </c>
      <c r="BB187" s="19">
        <v>8</v>
      </c>
      <c r="BC187" s="16">
        <v>19</v>
      </c>
      <c r="BD187" t="s">
        <v>1280</v>
      </c>
      <c r="BE187" t="s">
        <v>1280</v>
      </c>
      <c r="BF187" t="s">
        <v>1280</v>
      </c>
      <c r="BG187" t="str">
        <f t="shared" si="64"/>
        <v>-</v>
      </c>
      <c r="BH187">
        <v>1020</v>
      </c>
      <c r="BI187">
        <v>1020</v>
      </c>
      <c r="BJ187">
        <v>1020</v>
      </c>
      <c r="BK187">
        <f t="shared" si="65"/>
        <v>1150</v>
      </c>
      <c r="BL187" t="s">
        <v>1570</v>
      </c>
      <c r="BM187">
        <v>812</v>
      </c>
    </row>
    <row r="188" spans="1:65" x14ac:dyDescent="0.4">
      <c r="A188" s="3">
        <v>509</v>
      </c>
      <c r="B188" s="3">
        <v>509</v>
      </c>
      <c r="C188" s="4" t="s">
        <v>498</v>
      </c>
      <c r="D188" s="4" t="str">
        <f t="shared" si="44"/>
        <v>J771RZ</v>
      </c>
      <c r="E188" s="4" t="s">
        <v>498</v>
      </c>
      <c r="F188" s="4" t="str">
        <f t="shared" si="60"/>
        <v>J771RZ5</v>
      </c>
      <c r="G188" s="4" t="s">
        <v>1142</v>
      </c>
      <c r="H188" s="5">
        <v>4974268695420</v>
      </c>
      <c r="I188" s="5">
        <v>5</v>
      </c>
      <c r="J188" s="5"/>
      <c r="K188" s="5">
        <v>1</v>
      </c>
      <c r="L188" s="5">
        <v>1</v>
      </c>
      <c r="M188" s="4">
        <v>1020</v>
      </c>
      <c r="N188" s="4">
        <v>805</v>
      </c>
      <c r="O188" s="4">
        <v>612</v>
      </c>
      <c r="P188" s="6">
        <f t="shared" si="45"/>
        <v>0.23975155279503102</v>
      </c>
      <c r="Q188" s="4" t="s">
        <v>1280</v>
      </c>
      <c r="R188" s="4" t="s">
        <v>1280</v>
      </c>
      <c r="S188" s="4" t="s">
        <v>1280</v>
      </c>
      <c r="T188" s="4">
        <v>1150</v>
      </c>
      <c r="U188" s="4">
        <f t="shared" si="46"/>
        <v>1150</v>
      </c>
      <c r="V188" s="4">
        <v>690</v>
      </c>
      <c r="W188" s="4">
        <f t="shared" si="47"/>
        <v>690</v>
      </c>
      <c r="X188" s="4"/>
      <c r="Y188" s="21">
        <f t="shared" si="48"/>
        <v>908</v>
      </c>
      <c r="Z188" s="6">
        <f t="shared" si="49"/>
        <v>0.24008810572687223</v>
      </c>
      <c r="AA188" s="4">
        <v>0</v>
      </c>
      <c r="AB188" s="4">
        <f t="shared" si="50"/>
        <v>1117.5</v>
      </c>
      <c r="AC188" s="4">
        <f t="shared" si="61"/>
        <v>1259.9264705882354</v>
      </c>
      <c r="AD188" s="6">
        <f t="shared" si="62"/>
        <v>0.45234899328859068</v>
      </c>
      <c r="AE188" s="4">
        <f t="shared" si="63"/>
        <v>1092.5</v>
      </c>
      <c r="AF188" s="7">
        <v>1050</v>
      </c>
      <c r="AG188" s="6">
        <f t="shared" si="51"/>
        <v>0.34285714285714286</v>
      </c>
      <c r="AH188" s="4">
        <f t="shared" si="52"/>
        <v>360</v>
      </c>
      <c r="AI188" s="28"/>
      <c r="AJ188" s="6"/>
      <c r="AK188" s="6"/>
      <c r="AL188" s="6">
        <f t="shared" si="53"/>
        <v>1.1274509803921569</v>
      </c>
      <c r="AM188" s="6">
        <f t="shared" si="54"/>
        <v>1.3043478260869565</v>
      </c>
      <c r="AN188" s="6">
        <f t="shared" si="55"/>
        <v>1.1274509803921569</v>
      </c>
      <c r="AO188" s="4" t="str">
        <f t="shared" si="56"/>
        <v>-</v>
      </c>
      <c r="AP188" s="4" t="str">
        <f t="shared" si="57"/>
        <v>-</v>
      </c>
      <c r="AQ188" s="4" t="str">
        <f t="shared" si="58"/>
        <v>-</v>
      </c>
      <c r="AR188" s="4">
        <v>0</v>
      </c>
      <c r="AS188" s="4" t="s">
        <v>2068</v>
      </c>
      <c r="AT188" s="4">
        <v>1</v>
      </c>
      <c r="AU188" s="4">
        <v>4</v>
      </c>
      <c r="AV188" s="4" t="s">
        <v>2067</v>
      </c>
      <c r="AW188" s="4">
        <v>4470</v>
      </c>
      <c r="AX188" s="4">
        <v>4470</v>
      </c>
      <c r="AY188" s="4">
        <v>4470</v>
      </c>
      <c r="AZ188" s="4">
        <f t="shared" si="59"/>
        <v>1117.5</v>
      </c>
      <c r="BA188" s="19">
        <v>4</v>
      </c>
      <c r="BB188" s="19">
        <v>8</v>
      </c>
      <c r="BC188" s="16">
        <v>19</v>
      </c>
      <c r="BD188" t="s">
        <v>1280</v>
      </c>
      <c r="BE188" t="s">
        <v>1280</v>
      </c>
      <c r="BF188" t="s">
        <v>1280</v>
      </c>
      <c r="BG188" t="str">
        <f t="shared" si="64"/>
        <v>-</v>
      </c>
      <c r="BH188">
        <v>1020</v>
      </c>
      <c r="BI188">
        <v>1020</v>
      </c>
      <c r="BJ188">
        <v>1020</v>
      </c>
      <c r="BK188">
        <f t="shared" si="65"/>
        <v>1150</v>
      </c>
      <c r="BL188" t="s">
        <v>1571</v>
      </c>
      <c r="BM188">
        <v>812</v>
      </c>
    </row>
    <row r="189" spans="1:65" x14ac:dyDescent="0.4">
      <c r="A189" s="3">
        <v>387</v>
      </c>
      <c r="B189" s="3">
        <v>387</v>
      </c>
      <c r="C189" s="4" t="s">
        <v>376</v>
      </c>
      <c r="D189" s="4" t="str">
        <f t="shared" si="44"/>
        <v>J4042N</v>
      </c>
      <c r="E189" s="4" t="s">
        <v>376</v>
      </c>
      <c r="F189" s="4" t="str">
        <f t="shared" si="60"/>
        <v>J4042N5</v>
      </c>
      <c r="G189" s="4" t="s">
        <v>1020</v>
      </c>
      <c r="H189" s="5">
        <v>4529671044916</v>
      </c>
      <c r="I189" s="5">
        <v>5</v>
      </c>
      <c r="J189" s="5"/>
      <c r="K189" s="5">
        <v>1</v>
      </c>
      <c r="L189" s="5">
        <v>1</v>
      </c>
      <c r="M189" s="4">
        <v>0</v>
      </c>
      <c r="N189" s="4">
        <v>968</v>
      </c>
      <c r="O189" s="4">
        <v>660</v>
      </c>
      <c r="P189" s="6">
        <f t="shared" si="45"/>
        <v>0.31818181818181823</v>
      </c>
      <c r="Q189" s="4" t="s">
        <v>1280</v>
      </c>
      <c r="R189" s="4" t="s">
        <v>1280</v>
      </c>
      <c r="S189" s="4" t="s">
        <v>1280</v>
      </c>
      <c r="T189" s="4">
        <v>0</v>
      </c>
      <c r="U189" s="4">
        <f t="shared" si="46"/>
        <v>0</v>
      </c>
      <c r="V189" s="4">
        <v>708</v>
      </c>
      <c r="W189" s="4">
        <f t="shared" si="47"/>
        <v>708</v>
      </c>
      <c r="X189" s="4"/>
      <c r="Y189" s="21">
        <f t="shared" si="48"/>
        <v>1038</v>
      </c>
      <c r="Z189" s="6">
        <f t="shared" si="49"/>
        <v>0.31791907514450868</v>
      </c>
      <c r="AA189" s="4">
        <v>0</v>
      </c>
      <c r="AB189" s="4" t="str">
        <f t="shared" si="50"/>
        <v>-</v>
      </c>
      <c r="AC189" s="4" t="str">
        <f t="shared" si="61"/>
        <v>-</v>
      </c>
      <c r="AD189" s="6" t="str">
        <f t="shared" si="62"/>
        <v>-</v>
      </c>
      <c r="AE189" s="4">
        <f t="shared" si="63"/>
        <v>0</v>
      </c>
      <c r="AF189" s="7">
        <v>1080</v>
      </c>
      <c r="AG189" s="6">
        <f t="shared" si="51"/>
        <v>0.34444444444444444</v>
      </c>
      <c r="AH189" s="4">
        <f t="shared" si="52"/>
        <v>372</v>
      </c>
      <c r="AI189" s="28"/>
      <c r="AJ189" s="6"/>
      <c r="AK189" s="6"/>
      <c r="AL189" s="6" t="e">
        <f t="shared" si="53"/>
        <v>#DIV/0!</v>
      </c>
      <c r="AM189" s="6">
        <f t="shared" si="54"/>
        <v>1.115702479338843</v>
      </c>
      <c r="AN189" s="6">
        <f t="shared" si="55"/>
        <v>1.0727272727272728</v>
      </c>
      <c r="AO189" s="4" t="str">
        <f t="shared" si="56"/>
        <v>-</v>
      </c>
      <c r="AP189" s="4" t="str">
        <f t="shared" si="57"/>
        <v>-</v>
      </c>
      <c r="AQ189" s="4" t="str">
        <f t="shared" si="58"/>
        <v>-</v>
      </c>
      <c r="AR189" s="4">
        <v>0</v>
      </c>
      <c r="AS189" s="4" t="s">
        <v>1280</v>
      </c>
      <c r="AT189" s="4"/>
      <c r="AU189" s="4"/>
      <c r="AV189" s="4" t="s">
        <v>1280</v>
      </c>
      <c r="AW189" s="4" t="s">
        <v>1280</v>
      </c>
      <c r="AX189" s="4" t="s">
        <v>1280</v>
      </c>
      <c r="AY189" s="4" t="s">
        <v>1280</v>
      </c>
      <c r="AZ189" s="4" t="str">
        <f t="shared" si="59"/>
        <v>-</v>
      </c>
      <c r="BA189" s="19">
        <v>4</v>
      </c>
      <c r="BB189" s="19">
        <v>8</v>
      </c>
      <c r="BC189" s="16">
        <v>19</v>
      </c>
      <c r="BD189" t="s">
        <v>1280</v>
      </c>
      <c r="BE189" t="s">
        <v>1280</v>
      </c>
      <c r="BF189" t="s">
        <v>1280</v>
      </c>
      <c r="BG189" t="str">
        <f t="shared" si="64"/>
        <v>-</v>
      </c>
      <c r="BH189">
        <v>831</v>
      </c>
      <c r="BI189">
        <v>831</v>
      </c>
      <c r="BJ189">
        <v>831</v>
      </c>
      <c r="BK189">
        <f t="shared" si="65"/>
        <v>891.43636363636369</v>
      </c>
      <c r="BL189" t="s">
        <v>1280</v>
      </c>
      <c r="BM189">
        <v>812</v>
      </c>
    </row>
    <row r="190" spans="1:65" x14ac:dyDescent="0.4">
      <c r="A190" s="3">
        <v>77</v>
      </c>
      <c r="B190" s="3">
        <v>77</v>
      </c>
      <c r="C190" s="4" t="s">
        <v>66</v>
      </c>
      <c r="D190" s="4" t="str">
        <f t="shared" si="44"/>
        <v>J033WG</v>
      </c>
      <c r="E190" s="4" t="s">
        <v>66</v>
      </c>
      <c r="F190" s="4" t="str">
        <f t="shared" si="60"/>
        <v>J033WG5</v>
      </c>
      <c r="G190" s="4" t="s">
        <v>712</v>
      </c>
      <c r="H190" s="5">
        <v>4974268838780</v>
      </c>
      <c r="I190" s="5">
        <v>5</v>
      </c>
      <c r="J190" s="5"/>
      <c r="K190" s="5">
        <v>1</v>
      </c>
      <c r="L190" s="5">
        <v>1</v>
      </c>
      <c r="M190" s="4">
        <v>1100</v>
      </c>
      <c r="N190" s="4">
        <v>1015</v>
      </c>
      <c r="O190" s="4">
        <v>660</v>
      </c>
      <c r="P190" s="6">
        <f t="shared" si="45"/>
        <v>0.34975369458128081</v>
      </c>
      <c r="Q190" s="4" t="s">
        <v>1280</v>
      </c>
      <c r="R190" s="4" t="s">
        <v>1280</v>
      </c>
      <c r="S190" s="4" t="s">
        <v>1280</v>
      </c>
      <c r="T190" s="4">
        <v>1200</v>
      </c>
      <c r="U190" s="4">
        <f t="shared" si="46"/>
        <v>1200</v>
      </c>
      <c r="V190" s="4">
        <v>720</v>
      </c>
      <c r="W190" s="4">
        <f t="shared" si="47"/>
        <v>720</v>
      </c>
      <c r="X190" s="4"/>
      <c r="Y190" s="21">
        <f t="shared" si="48"/>
        <v>1107</v>
      </c>
      <c r="Z190" s="6">
        <f t="shared" si="49"/>
        <v>0.34959349593495936</v>
      </c>
      <c r="AA190" s="4">
        <v>0.25</v>
      </c>
      <c r="AB190" s="4" t="str">
        <f t="shared" si="50"/>
        <v>-</v>
      </c>
      <c r="AC190" s="4" t="str">
        <f t="shared" si="61"/>
        <v>-</v>
      </c>
      <c r="AD190" s="6" t="str">
        <f t="shared" si="62"/>
        <v>-</v>
      </c>
      <c r="AE190" s="4">
        <f t="shared" si="63"/>
        <v>1140</v>
      </c>
      <c r="AF190" s="7">
        <v>1080</v>
      </c>
      <c r="AG190" s="6">
        <f t="shared" si="51"/>
        <v>0.33333333333333337</v>
      </c>
      <c r="AH190" s="4">
        <f t="shared" si="52"/>
        <v>360</v>
      </c>
      <c r="AI190" s="28"/>
      <c r="AJ190" s="6"/>
      <c r="AK190" s="6"/>
      <c r="AL190" s="6">
        <f t="shared" si="53"/>
        <v>1.0909090909090908</v>
      </c>
      <c r="AM190" s="6">
        <f t="shared" si="54"/>
        <v>1.0640394088669951</v>
      </c>
      <c r="AN190" s="6">
        <f t="shared" si="55"/>
        <v>1.0909090909090908</v>
      </c>
      <c r="AO190" s="4" t="str">
        <f t="shared" si="56"/>
        <v>-</v>
      </c>
      <c r="AP190" s="4" t="str">
        <f t="shared" si="57"/>
        <v>-</v>
      </c>
      <c r="AQ190" s="4" t="str">
        <f t="shared" si="58"/>
        <v>-</v>
      </c>
      <c r="AR190" s="4">
        <v>0</v>
      </c>
      <c r="AS190" s="4" t="s">
        <v>1280</v>
      </c>
      <c r="AT190" s="4"/>
      <c r="AU190" s="4"/>
      <c r="AV190" s="4" t="s">
        <v>1280</v>
      </c>
      <c r="AW190" s="4" t="s">
        <v>1280</v>
      </c>
      <c r="AX190" s="4" t="s">
        <v>1280</v>
      </c>
      <c r="AY190" s="4" t="s">
        <v>1280</v>
      </c>
      <c r="AZ190" s="4" t="str">
        <f t="shared" si="59"/>
        <v>-</v>
      </c>
      <c r="BA190" s="19">
        <v>4</v>
      </c>
      <c r="BB190" s="19">
        <v>8</v>
      </c>
      <c r="BC190" s="16">
        <v>18</v>
      </c>
      <c r="BD190" t="s">
        <v>1280</v>
      </c>
      <c r="BE190" t="s">
        <v>1280</v>
      </c>
      <c r="BF190" t="s">
        <v>1280</v>
      </c>
      <c r="BG190" t="str">
        <f t="shared" si="64"/>
        <v>-</v>
      </c>
      <c r="BH190" t="s">
        <v>1280</v>
      </c>
      <c r="BI190" t="s">
        <v>1280</v>
      </c>
      <c r="BJ190" t="s">
        <v>1280</v>
      </c>
      <c r="BK190" t="str">
        <f t="shared" si="65"/>
        <v>-</v>
      </c>
      <c r="BL190" t="s">
        <v>1280</v>
      </c>
      <c r="BM190">
        <v>812</v>
      </c>
    </row>
    <row r="191" spans="1:65" x14ac:dyDescent="0.4">
      <c r="A191" s="3">
        <v>78</v>
      </c>
      <c r="B191" s="3">
        <v>78</v>
      </c>
      <c r="C191" s="4" t="s">
        <v>67</v>
      </c>
      <c r="D191" s="4" t="str">
        <f t="shared" si="44"/>
        <v>J034WG</v>
      </c>
      <c r="E191" s="4" t="s">
        <v>67</v>
      </c>
      <c r="F191" s="4" t="str">
        <f t="shared" si="60"/>
        <v>J034WG5</v>
      </c>
      <c r="G191" s="4" t="s">
        <v>713</v>
      </c>
      <c r="H191" s="5">
        <v>4974268837813</v>
      </c>
      <c r="I191" s="5">
        <v>5</v>
      </c>
      <c r="J191" s="5"/>
      <c r="K191" s="5">
        <v>1</v>
      </c>
      <c r="L191" s="5">
        <v>1</v>
      </c>
      <c r="M191" s="4">
        <v>1100</v>
      </c>
      <c r="N191" s="4">
        <v>1015</v>
      </c>
      <c r="O191" s="4">
        <v>660</v>
      </c>
      <c r="P191" s="6">
        <f t="shared" si="45"/>
        <v>0.34975369458128081</v>
      </c>
      <c r="Q191" s="4" t="s">
        <v>1280</v>
      </c>
      <c r="R191" s="4" t="s">
        <v>1280</v>
      </c>
      <c r="S191" s="4" t="s">
        <v>1280</v>
      </c>
      <c r="T191" s="4">
        <v>1200</v>
      </c>
      <c r="U191" s="4">
        <f t="shared" si="46"/>
        <v>1200</v>
      </c>
      <c r="V191" s="4">
        <v>720</v>
      </c>
      <c r="W191" s="4">
        <f t="shared" si="47"/>
        <v>720</v>
      </c>
      <c r="X191" s="4"/>
      <c r="Y191" s="21">
        <f t="shared" si="48"/>
        <v>1107</v>
      </c>
      <c r="Z191" s="6">
        <f t="shared" si="49"/>
        <v>0.34959349593495936</v>
      </c>
      <c r="AA191" s="4">
        <v>0</v>
      </c>
      <c r="AB191" s="4" t="str">
        <f t="shared" si="50"/>
        <v>-</v>
      </c>
      <c r="AC191" s="4" t="str">
        <f t="shared" si="61"/>
        <v>-</v>
      </c>
      <c r="AD191" s="6" t="str">
        <f t="shared" si="62"/>
        <v>-</v>
      </c>
      <c r="AE191" s="4">
        <f t="shared" si="63"/>
        <v>1140</v>
      </c>
      <c r="AF191" s="7">
        <v>1080</v>
      </c>
      <c r="AG191" s="6">
        <f t="shared" si="51"/>
        <v>0.33333333333333337</v>
      </c>
      <c r="AH191" s="4">
        <f t="shared" si="52"/>
        <v>360</v>
      </c>
      <c r="AI191" s="28"/>
      <c r="AJ191" s="6"/>
      <c r="AK191" s="6"/>
      <c r="AL191" s="6">
        <f t="shared" si="53"/>
        <v>1.0909090909090908</v>
      </c>
      <c r="AM191" s="6">
        <f t="shared" si="54"/>
        <v>1.0640394088669951</v>
      </c>
      <c r="AN191" s="6">
        <f t="shared" si="55"/>
        <v>1.0909090909090908</v>
      </c>
      <c r="AO191" s="4" t="str">
        <f t="shared" si="56"/>
        <v>-</v>
      </c>
      <c r="AP191" s="4" t="str">
        <f t="shared" si="57"/>
        <v>-</v>
      </c>
      <c r="AQ191" s="4" t="str">
        <f t="shared" si="58"/>
        <v>-</v>
      </c>
      <c r="AR191" s="4">
        <v>0</v>
      </c>
      <c r="AS191" s="4" t="s">
        <v>1280</v>
      </c>
      <c r="AT191" s="4"/>
      <c r="AU191" s="4"/>
      <c r="AV191" s="4" t="s">
        <v>1280</v>
      </c>
      <c r="AW191" s="4" t="s">
        <v>1280</v>
      </c>
      <c r="AX191" s="4" t="s">
        <v>1280</v>
      </c>
      <c r="AY191" s="4" t="s">
        <v>1280</v>
      </c>
      <c r="AZ191" s="4" t="str">
        <f t="shared" si="59"/>
        <v>-</v>
      </c>
      <c r="BA191" s="19">
        <v>4</v>
      </c>
      <c r="BB191" s="19">
        <v>8</v>
      </c>
      <c r="BC191" s="16">
        <v>18</v>
      </c>
      <c r="BD191" t="s">
        <v>1280</v>
      </c>
      <c r="BE191" t="s">
        <v>1280</v>
      </c>
      <c r="BF191" t="s">
        <v>1280</v>
      </c>
      <c r="BG191" t="str">
        <f t="shared" si="64"/>
        <v>-</v>
      </c>
      <c r="BH191">
        <v>773</v>
      </c>
      <c r="BI191">
        <v>773</v>
      </c>
      <c r="BJ191">
        <v>773</v>
      </c>
      <c r="BK191">
        <f t="shared" si="65"/>
        <v>843.27272727272725</v>
      </c>
      <c r="BL191" t="s">
        <v>1280</v>
      </c>
      <c r="BM191">
        <v>812</v>
      </c>
    </row>
    <row r="192" spans="1:65" x14ac:dyDescent="0.4">
      <c r="A192" s="3">
        <v>79</v>
      </c>
      <c r="B192" s="3">
        <v>79</v>
      </c>
      <c r="C192" s="4" t="s">
        <v>68</v>
      </c>
      <c r="D192" s="4" t="str">
        <f t="shared" si="44"/>
        <v>J036WG</v>
      </c>
      <c r="E192" s="4" t="s">
        <v>68</v>
      </c>
      <c r="F192" s="4" t="str">
        <f t="shared" si="60"/>
        <v>J036WG5</v>
      </c>
      <c r="G192" s="4" t="s">
        <v>714</v>
      </c>
      <c r="H192" s="5">
        <v>4974268837844</v>
      </c>
      <c r="I192" s="5">
        <v>5</v>
      </c>
      <c r="J192" s="5"/>
      <c r="K192" s="5">
        <v>1</v>
      </c>
      <c r="L192" s="5">
        <v>1</v>
      </c>
      <c r="M192" s="4">
        <v>1100</v>
      </c>
      <c r="N192" s="4">
        <v>1015</v>
      </c>
      <c r="O192" s="4">
        <v>660</v>
      </c>
      <c r="P192" s="6">
        <f t="shared" si="45"/>
        <v>0.34975369458128081</v>
      </c>
      <c r="Q192" s="4" t="s">
        <v>1280</v>
      </c>
      <c r="R192" s="4" t="s">
        <v>1280</v>
      </c>
      <c r="S192" s="4" t="s">
        <v>1280</v>
      </c>
      <c r="T192" s="4">
        <v>1200</v>
      </c>
      <c r="U192" s="4">
        <f t="shared" si="46"/>
        <v>1200</v>
      </c>
      <c r="V192" s="4">
        <v>720</v>
      </c>
      <c r="W192" s="4">
        <f t="shared" si="47"/>
        <v>720</v>
      </c>
      <c r="X192" s="4"/>
      <c r="Y192" s="21">
        <f t="shared" si="48"/>
        <v>1107</v>
      </c>
      <c r="Z192" s="6">
        <f t="shared" si="49"/>
        <v>0.34959349593495936</v>
      </c>
      <c r="AA192" s="4">
        <v>0</v>
      </c>
      <c r="AB192" s="4" t="str">
        <f t="shared" si="50"/>
        <v>-</v>
      </c>
      <c r="AC192" s="4" t="str">
        <f t="shared" si="61"/>
        <v>-</v>
      </c>
      <c r="AD192" s="6" t="str">
        <f t="shared" si="62"/>
        <v>-</v>
      </c>
      <c r="AE192" s="4">
        <f t="shared" si="63"/>
        <v>1140</v>
      </c>
      <c r="AF192" s="7">
        <v>1080</v>
      </c>
      <c r="AG192" s="6">
        <f t="shared" si="51"/>
        <v>0.33333333333333337</v>
      </c>
      <c r="AH192" s="4">
        <f t="shared" si="52"/>
        <v>360</v>
      </c>
      <c r="AI192" s="28"/>
      <c r="AJ192" s="6"/>
      <c r="AK192" s="6"/>
      <c r="AL192" s="6">
        <f t="shared" si="53"/>
        <v>1.0909090909090908</v>
      </c>
      <c r="AM192" s="6">
        <f t="shared" si="54"/>
        <v>1.0640394088669951</v>
      </c>
      <c r="AN192" s="6">
        <f t="shared" si="55"/>
        <v>1.0909090909090908</v>
      </c>
      <c r="AO192" s="4" t="str">
        <f t="shared" si="56"/>
        <v>-</v>
      </c>
      <c r="AP192" s="4" t="str">
        <f t="shared" si="57"/>
        <v>-</v>
      </c>
      <c r="AQ192" s="4" t="str">
        <f t="shared" si="58"/>
        <v>-</v>
      </c>
      <c r="AR192" s="4">
        <v>0</v>
      </c>
      <c r="AS192" s="4" t="s">
        <v>1280</v>
      </c>
      <c r="AT192" s="4"/>
      <c r="AU192" s="4"/>
      <c r="AV192" s="4" t="s">
        <v>1280</v>
      </c>
      <c r="AW192" s="4" t="s">
        <v>1280</v>
      </c>
      <c r="AX192" s="4" t="s">
        <v>1280</v>
      </c>
      <c r="AY192" s="4" t="s">
        <v>1280</v>
      </c>
      <c r="AZ192" s="4" t="str">
        <f t="shared" si="59"/>
        <v>-</v>
      </c>
      <c r="BA192" s="19">
        <v>4</v>
      </c>
      <c r="BB192" s="19">
        <v>8</v>
      </c>
      <c r="BC192" s="16">
        <v>18</v>
      </c>
      <c r="BD192" t="s">
        <v>1280</v>
      </c>
      <c r="BE192" t="s">
        <v>1280</v>
      </c>
      <c r="BF192" t="s">
        <v>1280</v>
      </c>
      <c r="BG192" t="str">
        <f t="shared" si="64"/>
        <v>-</v>
      </c>
      <c r="BH192">
        <v>982</v>
      </c>
      <c r="BI192">
        <v>982</v>
      </c>
      <c r="BJ192">
        <v>982</v>
      </c>
      <c r="BK192">
        <f t="shared" si="65"/>
        <v>1071.2727272727273</v>
      </c>
      <c r="BL192" t="s">
        <v>1280</v>
      </c>
      <c r="BM192">
        <v>812</v>
      </c>
    </row>
    <row r="193" spans="1:65" x14ac:dyDescent="0.4">
      <c r="A193" s="3">
        <v>80</v>
      </c>
      <c r="B193" s="3">
        <v>80</v>
      </c>
      <c r="C193" s="4" t="s">
        <v>69</v>
      </c>
      <c r="D193" s="4" t="str">
        <f t="shared" si="44"/>
        <v>J038WG</v>
      </c>
      <c r="E193" s="4" t="s">
        <v>69</v>
      </c>
      <c r="F193" s="4" t="str">
        <f t="shared" si="60"/>
        <v>J038WG5</v>
      </c>
      <c r="G193" s="4" t="s">
        <v>715</v>
      </c>
      <c r="H193" s="5">
        <v>4974268838032</v>
      </c>
      <c r="I193" s="5">
        <v>5</v>
      </c>
      <c r="J193" s="5"/>
      <c r="K193" s="5">
        <v>1</v>
      </c>
      <c r="L193" s="5">
        <v>1</v>
      </c>
      <c r="M193" s="4">
        <v>1100</v>
      </c>
      <c r="N193" s="4">
        <v>1015</v>
      </c>
      <c r="O193" s="4">
        <v>660</v>
      </c>
      <c r="P193" s="6">
        <f t="shared" si="45"/>
        <v>0.34975369458128081</v>
      </c>
      <c r="Q193" s="4" t="s">
        <v>1280</v>
      </c>
      <c r="R193" s="4" t="s">
        <v>1280</v>
      </c>
      <c r="S193" s="4" t="s">
        <v>1280</v>
      </c>
      <c r="T193" s="4">
        <v>1200</v>
      </c>
      <c r="U193" s="4">
        <f t="shared" si="46"/>
        <v>1200</v>
      </c>
      <c r="V193" s="4">
        <v>720</v>
      </c>
      <c r="W193" s="4">
        <f t="shared" si="47"/>
        <v>720</v>
      </c>
      <c r="X193" s="4"/>
      <c r="Y193" s="21">
        <f t="shared" si="48"/>
        <v>1107</v>
      </c>
      <c r="Z193" s="6">
        <f t="shared" si="49"/>
        <v>0.34959349593495936</v>
      </c>
      <c r="AA193" s="4">
        <v>0</v>
      </c>
      <c r="AB193" s="4" t="str">
        <f t="shared" si="50"/>
        <v>-</v>
      </c>
      <c r="AC193" s="4" t="str">
        <f t="shared" si="61"/>
        <v>-</v>
      </c>
      <c r="AD193" s="6" t="str">
        <f t="shared" si="62"/>
        <v>-</v>
      </c>
      <c r="AE193" s="4">
        <f t="shared" si="63"/>
        <v>1140</v>
      </c>
      <c r="AF193" s="7">
        <v>1080</v>
      </c>
      <c r="AG193" s="6">
        <f t="shared" si="51"/>
        <v>0.33333333333333337</v>
      </c>
      <c r="AH193" s="4">
        <f t="shared" si="52"/>
        <v>360</v>
      </c>
      <c r="AI193" s="28"/>
      <c r="AJ193" s="6"/>
      <c r="AK193" s="6"/>
      <c r="AL193" s="6">
        <f t="shared" si="53"/>
        <v>1.0909090909090908</v>
      </c>
      <c r="AM193" s="6">
        <f t="shared" si="54"/>
        <v>1.0640394088669951</v>
      </c>
      <c r="AN193" s="6">
        <f t="shared" si="55"/>
        <v>1.0909090909090908</v>
      </c>
      <c r="AO193" s="4" t="str">
        <f t="shared" si="56"/>
        <v>-</v>
      </c>
      <c r="AP193" s="4" t="str">
        <f t="shared" si="57"/>
        <v>-</v>
      </c>
      <c r="AQ193" s="4" t="str">
        <f t="shared" si="58"/>
        <v>-</v>
      </c>
      <c r="AR193" s="4">
        <v>0</v>
      </c>
      <c r="AS193" s="4" t="s">
        <v>1280</v>
      </c>
      <c r="AT193" s="4"/>
      <c r="AU193" s="4"/>
      <c r="AV193" s="4" t="s">
        <v>1280</v>
      </c>
      <c r="AW193" s="4" t="s">
        <v>1280</v>
      </c>
      <c r="AX193" s="4" t="s">
        <v>1280</v>
      </c>
      <c r="AY193" s="4" t="s">
        <v>1280</v>
      </c>
      <c r="AZ193" s="4" t="str">
        <f t="shared" si="59"/>
        <v>-</v>
      </c>
      <c r="BA193" s="19">
        <v>4</v>
      </c>
      <c r="BB193" s="19">
        <v>8</v>
      </c>
      <c r="BC193" s="16">
        <v>18</v>
      </c>
      <c r="BD193" t="s">
        <v>1280</v>
      </c>
      <c r="BE193" t="s">
        <v>1280</v>
      </c>
      <c r="BF193" t="s">
        <v>1280</v>
      </c>
      <c r="BG193" t="str">
        <f t="shared" si="64"/>
        <v>-</v>
      </c>
      <c r="BH193">
        <v>982</v>
      </c>
      <c r="BI193">
        <v>982</v>
      </c>
      <c r="BJ193">
        <v>982</v>
      </c>
      <c r="BK193">
        <f t="shared" si="65"/>
        <v>1071.2727272727273</v>
      </c>
      <c r="BL193" t="s">
        <v>1280</v>
      </c>
      <c r="BM193">
        <v>812</v>
      </c>
    </row>
    <row r="194" spans="1:65" x14ac:dyDescent="0.4">
      <c r="A194" s="3">
        <v>83</v>
      </c>
      <c r="B194" s="3">
        <v>83</v>
      </c>
      <c r="C194" s="4" t="s">
        <v>72</v>
      </c>
      <c r="D194" s="4" t="str">
        <f t="shared" si="44"/>
        <v>J037WG</v>
      </c>
      <c r="E194" s="4" t="s">
        <v>72</v>
      </c>
      <c r="F194" s="4" t="str">
        <f t="shared" si="60"/>
        <v>J037WG5</v>
      </c>
      <c r="G194" s="4" t="s">
        <v>718</v>
      </c>
      <c r="H194" s="5">
        <v>4974268838018</v>
      </c>
      <c r="I194" s="5">
        <v>5</v>
      </c>
      <c r="J194" s="5"/>
      <c r="K194" s="5">
        <v>1</v>
      </c>
      <c r="L194" s="5">
        <v>1</v>
      </c>
      <c r="M194" s="4">
        <v>1100</v>
      </c>
      <c r="N194" s="4">
        <v>1015</v>
      </c>
      <c r="O194" s="4">
        <v>660</v>
      </c>
      <c r="P194" s="6">
        <f t="shared" si="45"/>
        <v>0.34975369458128081</v>
      </c>
      <c r="Q194" s="4" t="s">
        <v>1280</v>
      </c>
      <c r="R194" s="4" t="s">
        <v>1280</v>
      </c>
      <c r="S194" s="4" t="s">
        <v>1280</v>
      </c>
      <c r="T194" s="4">
        <v>1200</v>
      </c>
      <c r="U194" s="4">
        <f t="shared" si="46"/>
        <v>1200</v>
      </c>
      <c r="V194" s="4">
        <v>720</v>
      </c>
      <c r="W194" s="4">
        <f t="shared" si="47"/>
        <v>720</v>
      </c>
      <c r="X194" s="4"/>
      <c r="Y194" s="21">
        <f t="shared" si="48"/>
        <v>1107</v>
      </c>
      <c r="Z194" s="6">
        <f t="shared" si="49"/>
        <v>0.34959349593495936</v>
      </c>
      <c r="AA194" s="4">
        <v>0.25</v>
      </c>
      <c r="AB194" s="4" t="str">
        <f t="shared" si="50"/>
        <v>-</v>
      </c>
      <c r="AC194" s="4" t="str">
        <f t="shared" si="61"/>
        <v>-</v>
      </c>
      <c r="AD194" s="6" t="str">
        <f t="shared" si="62"/>
        <v>-</v>
      </c>
      <c r="AE194" s="4">
        <f t="shared" si="63"/>
        <v>1140</v>
      </c>
      <c r="AF194" s="7">
        <v>1080</v>
      </c>
      <c r="AG194" s="6">
        <f t="shared" si="51"/>
        <v>0.33333333333333337</v>
      </c>
      <c r="AH194" s="4">
        <f t="shared" si="52"/>
        <v>360</v>
      </c>
      <c r="AI194" s="28"/>
      <c r="AJ194" s="6"/>
      <c r="AK194" s="6"/>
      <c r="AL194" s="6">
        <f t="shared" si="53"/>
        <v>1.0909090909090908</v>
      </c>
      <c r="AM194" s="6">
        <f t="shared" si="54"/>
        <v>1.0640394088669951</v>
      </c>
      <c r="AN194" s="6">
        <f t="shared" si="55"/>
        <v>1.0909090909090908</v>
      </c>
      <c r="AO194" s="4" t="str">
        <f t="shared" si="56"/>
        <v>-</v>
      </c>
      <c r="AP194" s="4" t="str">
        <f t="shared" si="57"/>
        <v>-</v>
      </c>
      <c r="AQ194" s="4" t="str">
        <f t="shared" si="58"/>
        <v>-</v>
      </c>
      <c r="AR194" s="4">
        <v>0</v>
      </c>
      <c r="AS194" s="4" t="s">
        <v>1280</v>
      </c>
      <c r="AT194" s="4"/>
      <c r="AU194" s="4"/>
      <c r="AV194" s="4" t="s">
        <v>1280</v>
      </c>
      <c r="AW194" s="4" t="s">
        <v>1280</v>
      </c>
      <c r="AX194" s="4" t="s">
        <v>1280</v>
      </c>
      <c r="AY194" s="4" t="s">
        <v>1280</v>
      </c>
      <c r="AZ194" s="4" t="str">
        <f t="shared" si="59"/>
        <v>-</v>
      </c>
      <c r="BA194" s="19">
        <v>4</v>
      </c>
      <c r="BB194" s="19">
        <v>8</v>
      </c>
      <c r="BC194" s="16">
        <v>18</v>
      </c>
      <c r="BD194" t="s">
        <v>1280</v>
      </c>
      <c r="BE194" t="s">
        <v>1280</v>
      </c>
      <c r="BF194" t="s">
        <v>1280</v>
      </c>
      <c r="BG194" t="str">
        <f t="shared" si="64"/>
        <v>-</v>
      </c>
      <c r="BH194" t="s">
        <v>1280</v>
      </c>
      <c r="BI194">
        <v>1034</v>
      </c>
      <c r="BJ194">
        <v>1034</v>
      </c>
      <c r="BK194">
        <f t="shared" si="65"/>
        <v>1128</v>
      </c>
      <c r="BL194" t="s">
        <v>1280</v>
      </c>
      <c r="BM194">
        <v>812</v>
      </c>
    </row>
    <row r="195" spans="1:65" x14ac:dyDescent="0.4">
      <c r="A195" s="3">
        <v>153</v>
      </c>
      <c r="B195" s="3">
        <v>153</v>
      </c>
      <c r="C195" s="4" t="s">
        <v>142</v>
      </c>
      <c r="D195" s="4" t="str">
        <f t="shared" si="44"/>
        <v>J1879W</v>
      </c>
      <c r="E195" s="4" t="s">
        <v>142</v>
      </c>
      <c r="F195" s="4" t="str">
        <f t="shared" si="60"/>
        <v>J1879W5</v>
      </c>
      <c r="G195" s="4" t="s">
        <v>788</v>
      </c>
      <c r="H195" s="5">
        <v>4974268695727</v>
      </c>
      <c r="I195" s="5">
        <v>5</v>
      </c>
      <c r="J195" s="5"/>
      <c r="K195" s="5">
        <v>1</v>
      </c>
      <c r="L195" s="5">
        <v>1</v>
      </c>
      <c r="M195" s="4">
        <v>1080</v>
      </c>
      <c r="N195" s="4">
        <v>884</v>
      </c>
      <c r="O195" s="4">
        <v>648</v>
      </c>
      <c r="P195" s="6">
        <f t="shared" si="45"/>
        <v>0.26696832579185525</v>
      </c>
      <c r="Q195" s="4" t="s">
        <v>1280</v>
      </c>
      <c r="R195" s="4" t="s">
        <v>1280</v>
      </c>
      <c r="S195" s="4" t="s">
        <v>1280</v>
      </c>
      <c r="T195" s="4">
        <v>1200</v>
      </c>
      <c r="U195" s="4">
        <f t="shared" si="46"/>
        <v>1200</v>
      </c>
      <c r="V195" s="4">
        <v>720</v>
      </c>
      <c r="W195" s="4">
        <f t="shared" si="47"/>
        <v>720</v>
      </c>
      <c r="X195" s="4"/>
      <c r="Y195" s="21">
        <f t="shared" si="48"/>
        <v>982</v>
      </c>
      <c r="Z195" s="6">
        <f t="shared" si="49"/>
        <v>0.26680244399185338</v>
      </c>
      <c r="AA195" s="4">
        <v>0</v>
      </c>
      <c r="AB195" s="4">
        <f t="shared" si="50"/>
        <v>1080</v>
      </c>
      <c r="AC195" s="4">
        <f t="shared" si="61"/>
        <v>1200</v>
      </c>
      <c r="AD195" s="6">
        <f t="shared" si="62"/>
        <v>0.4</v>
      </c>
      <c r="AE195" s="4">
        <f t="shared" si="63"/>
        <v>1140</v>
      </c>
      <c r="AF195" s="7">
        <v>1100</v>
      </c>
      <c r="AG195" s="6">
        <f t="shared" si="51"/>
        <v>0.34545454545454546</v>
      </c>
      <c r="AH195" s="4">
        <f t="shared" si="52"/>
        <v>380</v>
      </c>
      <c r="AI195" s="28"/>
      <c r="AJ195" s="6"/>
      <c r="AK195" s="6"/>
      <c r="AL195" s="6">
        <f t="shared" si="53"/>
        <v>1.1111111111111112</v>
      </c>
      <c r="AM195" s="6">
        <f t="shared" si="54"/>
        <v>1.244343891402715</v>
      </c>
      <c r="AN195" s="6">
        <f t="shared" si="55"/>
        <v>1.1111111111111112</v>
      </c>
      <c r="AO195" s="4" t="str">
        <f t="shared" si="56"/>
        <v>-</v>
      </c>
      <c r="AP195" s="4" t="str">
        <f t="shared" si="57"/>
        <v>-</v>
      </c>
      <c r="AQ195" s="4" t="str">
        <f t="shared" si="58"/>
        <v>-</v>
      </c>
      <c r="AR195" s="4">
        <v>0</v>
      </c>
      <c r="AS195" s="4" t="s">
        <v>1839</v>
      </c>
      <c r="AT195" s="4"/>
      <c r="AU195" s="4"/>
      <c r="AV195" s="4" t="s">
        <v>1840</v>
      </c>
      <c r="AW195" s="4">
        <v>1080</v>
      </c>
      <c r="AX195" s="4">
        <v>1080</v>
      </c>
      <c r="AY195" s="4">
        <v>1080</v>
      </c>
      <c r="AZ195" s="4">
        <f t="shared" si="59"/>
        <v>1080</v>
      </c>
      <c r="BA195" s="19">
        <v>4</v>
      </c>
      <c r="BB195" s="19">
        <v>8</v>
      </c>
      <c r="BC195" s="16">
        <v>19</v>
      </c>
      <c r="BD195" t="s">
        <v>1280</v>
      </c>
      <c r="BE195" t="s">
        <v>1280</v>
      </c>
      <c r="BF195" t="s">
        <v>1280</v>
      </c>
      <c r="BG195" t="str">
        <f t="shared" si="64"/>
        <v>-</v>
      </c>
      <c r="BH195" t="s">
        <v>1280</v>
      </c>
      <c r="BI195" t="s">
        <v>1280</v>
      </c>
      <c r="BJ195" t="s">
        <v>1280</v>
      </c>
      <c r="BK195" t="str">
        <f t="shared" si="65"/>
        <v>-</v>
      </c>
      <c r="BL195" t="s">
        <v>1394</v>
      </c>
      <c r="BM195">
        <v>812</v>
      </c>
    </row>
    <row r="196" spans="1:65" x14ac:dyDescent="0.4">
      <c r="A196" s="3">
        <v>172</v>
      </c>
      <c r="B196" s="3">
        <v>172</v>
      </c>
      <c r="C196" s="4" t="s">
        <v>161</v>
      </c>
      <c r="D196" s="4" t="str">
        <f t="shared" ref="D196:D259" si="66">TEXT(C196,"000000")</f>
        <v>J3031N</v>
      </c>
      <c r="E196" s="4" t="s">
        <v>161</v>
      </c>
      <c r="F196" s="4" t="str">
        <f t="shared" si="60"/>
        <v>J3031N5</v>
      </c>
      <c r="G196" s="4" t="s">
        <v>807</v>
      </c>
      <c r="H196" s="5">
        <v>4974268838247</v>
      </c>
      <c r="I196" s="5">
        <v>5</v>
      </c>
      <c r="J196" s="5"/>
      <c r="K196" s="5">
        <v>1</v>
      </c>
      <c r="L196" s="5">
        <v>1</v>
      </c>
      <c r="M196" s="4">
        <v>1100</v>
      </c>
      <c r="N196" s="4">
        <v>1036</v>
      </c>
      <c r="O196" s="4">
        <v>660</v>
      </c>
      <c r="P196" s="6">
        <f t="shared" ref="P196:P259" si="67">1-O196/N196</f>
        <v>0.36293436293436299</v>
      </c>
      <c r="Q196" s="4" t="s">
        <v>1280</v>
      </c>
      <c r="R196" s="4" t="s">
        <v>1280</v>
      </c>
      <c r="S196" s="4" t="s">
        <v>1280</v>
      </c>
      <c r="T196" s="4">
        <v>1200</v>
      </c>
      <c r="U196" s="4">
        <f t="shared" ref="U196:U259" si="68">IF(X196="",T196,T196*X196)</f>
        <v>1200</v>
      </c>
      <c r="V196" s="4">
        <v>720</v>
      </c>
      <c r="W196" s="4">
        <f t="shared" ref="W196:W259" si="69">IF(X196="",V196,V196*X196)</f>
        <v>720</v>
      </c>
      <c r="X196" s="4"/>
      <c r="Y196" s="21">
        <f t="shared" ref="Y196:Y259" si="70">ROUND(N196*AN196,0)</f>
        <v>1130</v>
      </c>
      <c r="Z196" s="6">
        <f t="shared" ref="Z196:Z259" si="71">1-W196/Y196</f>
        <v>0.36283185840707965</v>
      </c>
      <c r="AA196" s="4">
        <v>0</v>
      </c>
      <c r="AB196" s="4" t="str">
        <f t="shared" ref="AB196:AB259" si="72">AZ196</f>
        <v>-</v>
      </c>
      <c r="AC196" s="4" t="str">
        <f t="shared" si="61"/>
        <v>-</v>
      </c>
      <c r="AD196" s="6" t="str">
        <f t="shared" si="62"/>
        <v>-</v>
      </c>
      <c r="AE196" s="4">
        <f t="shared" si="63"/>
        <v>1140</v>
      </c>
      <c r="AF196" s="7">
        <v>1080</v>
      </c>
      <c r="AG196" s="6">
        <f t="shared" ref="AG196:AG259" si="73">1-W196/AF196</f>
        <v>0.33333333333333337</v>
      </c>
      <c r="AH196" s="4">
        <f t="shared" ref="AH196:AH259" si="74">AF196-W196</f>
        <v>360</v>
      </c>
      <c r="AI196" s="28"/>
      <c r="AJ196" s="6"/>
      <c r="AK196" s="6"/>
      <c r="AL196" s="6">
        <f t="shared" ref="AL196:AL259" si="75">U196/M196</f>
        <v>1.0909090909090908</v>
      </c>
      <c r="AM196" s="6">
        <f t="shared" ref="AM196:AM259" si="76">AF196/N196</f>
        <v>1.0424710424710424</v>
      </c>
      <c r="AN196" s="6">
        <f t="shared" ref="AN196:AN259" si="77">W196/O196</f>
        <v>1.0909090909090908</v>
      </c>
      <c r="AO196" s="4" t="str">
        <f t="shared" ref="AO196:AO259" si="78">IFERROR(ROUND($AF196*Q196/$N196,0),"-")</f>
        <v>-</v>
      </c>
      <c r="AP196" s="4" t="str">
        <f t="shared" ref="AP196:AP259" si="79">IF(R196="","-",R196)</f>
        <v>-</v>
      </c>
      <c r="AQ196" s="4" t="str">
        <f t="shared" ref="AQ196:AQ259" si="80">IF(S196="","-",S196)</f>
        <v>-</v>
      </c>
      <c r="AR196" s="4">
        <v>0</v>
      </c>
      <c r="AS196" s="4" t="s">
        <v>1280</v>
      </c>
      <c r="AT196" s="4"/>
      <c r="AU196" s="4"/>
      <c r="AV196" s="4" t="s">
        <v>1280</v>
      </c>
      <c r="AW196" s="4" t="s">
        <v>1280</v>
      </c>
      <c r="AX196" s="4" t="s">
        <v>1280</v>
      </c>
      <c r="AY196" s="4" t="s">
        <v>1280</v>
      </c>
      <c r="AZ196" s="4" t="str">
        <f t="shared" ref="AZ196:AZ259" si="81">IF(AT196="",AY196,AT196/AU196*AY196)</f>
        <v>-</v>
      </c>
      <c r="BA196" s="19">
        <v>4</v>
      </c>
      <c r="BB196" s="19">
        <v>8</v>
      </c>
      <c r="BC196" s="16">
        <v>18</v>
      </c>
      <c r="BD196">
        <v>1000</v>
      </c>
      <c r="BE196">
        <v>1000</v>
      </c>
      <c r="BF196">
        <v>1000</v>
      </c>
      <c r="BG196">
        <f t="shared" si="64"/>
        <v>1090.9090909090908</v>
      </c>
      <c r="BH196">
        <v>991</v>
      </c>
      <c r="BI196">
        <v>991</v>
      </c>
      <c r="BJ196">
        <v>991</v>
      </c>
      <c r="BK196">
        <f t="shared" si="65"/>
        <v>1081.090909090909</v>
      </c>
      <c r="BL196" t="s">
        <v>1280</v>
      </c>
      <c r="BM196">
        <v>812</v>
      </c>
    </row>
    <row r="197" spans="1:65" x14ac:dyDescent="0.4">
      <c r="A197" s="3">
        <v>173</v>
      </c>
      <c r="B197" s="3">
        <v>173</v>
      </c>
      <c r="C197" s="4" t="s">
        <v>162</v>
      </c>
      <c r="D197" s="4" t="str">
        <f t="shared" si="66"/>
        <v>J3032N</v>
      </c>
      <c r="E197" s="4" t="s">
        <v>162</v>
      </c>
      <c r="F197" s="4" t="str">
        <f t="shared" ref="F197:F260" si="82">D197&amp;I197</f>
        <v>J3032N5</v>
      </c>
      <c r="G197" s="4" t="s">
        <v>808</v>
      </c>
      <c r="H197" s="5">
        <v>4974268838254</v>
      </c>
      <c r="I197" s="5">
        <v>5</v>
      </c>
      <c r="J197" s="5"/>
      <c r="K197" s="5">
        <v>1</v>
      </c>
      <c r="L197" s="5">
        <v>1</v>
      </c>
      <c r="M197" s="4">
        <v>1100</v>
      </c>
      <c r="N197" s="4">
        <v>1123</v>
      </c>
      <c r="O197" s="4">
        <v>660</v>
      </c>
      <c r="P197" s="6">
        <f t="shared" si="67"/>
        <v>0.41228851291184332</v>
      </c>
      <c r="Q197" s="4" t="s">
        <v>1280</v>
      </c>
      <c r="R197" s="4" t="s">
        <v>1280</v>
      </c>
      <c r="S197" s="4" t="s">
        <v>1280</v>
      </c>
      <c r="T197" s="4">
        <v>1200</v>
      </c>
      <c r="U197" s="4">
        <f t="shared" si="68"/>
        <v>1200</v>
      </c>
      <c r="V197" s="4">
        <v>720</v>
      </c>
      <c r="W197" s="4">
        <f t="shared" si="69"/>
        <v>720</v>
      </c>
      <c r="X197" s="4"/>
      <c r="Y197" s="21">
        <f t="shared" si="70"/>
        <v>1225</v>
      </c>
      <c r="Z197" s="6">
        <f t="shared" si="71"/>
        <v>0.41224489795918362</v>
      </c>
      <c r="AA197" s="4">
        <v>0</v>
      </c>
      <c r="AB197" s="4" t="str">
        <f t="shared" si="72"/>
        <v>-</v>
      </c>
      <c r="AC197" s="4" t="str">
        <f t="shared" ref="AC197:AC260" si="83">IFERROR(AB197*AN197,"-")</f>
        <v>-</v>
      </c>
      <c r="AD197" s="6" t="str">
        <f t="shared" ref="AD197:AD260" si="84">IFERROR(1-W197/AC197,"-")</f>
        <v>-</v>
      </c>
      <c r="AE197" s="4">
        <f t="shared" ref="AE197:AE260" si="85">U197*0.95</f>
        <v>1140</v>
      </c>
      <c r="AF197" s="7">
        <v>1080</v>
      </c>
      <c r="AG197" s="6">
        <f t="shared" si="73"/>
        <v>0.33333333333333337</v>
      </c>
      <c r="AH197" s="4">
        <f t="shared" si="74"/>
        <v>360</v>
      </c>
      <c r="AI197" s="28"/>
      <c r="AJ197" s="6"/>
      <c r="AK197" s="6"/>
      <c r="AL197" s="6">
        <f t="shared" si="75"/>
        <v>1.0909090909090908</v>
      </c>
      <c r="AM197" s="6">
        <f t="shared" si="76"/>
        <v>0.96170970614425644</v>
      </c>
      <c r="AN197" s="6">
        <f t="shared" si="77"/>
        <v>1.0909090909090908</v>
      </c>
      <c r="AO197" s="4" t="str">
        <f t="shared" si="78"/>
        <v>-</v>
      </c>
      <c r="AP197" s="4" t="str">
        <f t="shared" si="79"/>
        <v>-</v>
      </c>
      <c r="AQ197" s="4" t="str">
        <f t="shared" si="80"/>
        <v>-</v>
      </c>
      <c r="AR197" s="4">
        <v>0</v>
      </c>
      <c r="AS197" s="4" t="s">
        <v>1280</v>
      </c>
      <c r="AT197" s="4"/>
      <c r="AU197" s="4"/>
      <c r="AV197" s="4" t="s">
        <v>1280</v>
      </c>
      <c r="AW197" s="4" t="s">
        <v>1280</v>
      </c>
      <c r="AX197" s="4" t="s">
        <v>1280</v>
      </c>
      <c r="AY197" s="4" t="s">
        <v>1280</v>
      </c>
      <c r="AZ197" s="4" t="str">
        <f t="shared" si="81"/>
        <v>-</v>
      </c>
      <c r="BA197" s="19">
        <v>4</v>
      </c>
      <c r="BB197" s="19">
        <v>8</v>
      </c>
      <c r="BC197" s="16">
        <v>18</v>
      </c>
      <c r="BD197">
        <v>1000</v>
      </c>
      <c r="BE197">
        <v>1000</v>
      </c>
      <c r="BF197">
        <v>1000</v>
      </c>
      <c r="BG197">
        <f t="shared" ref="BG197:BG260" si="86">IFERROR(BF197*AN197,"-")</f>
        <v>1090.9090909090908</v>
      </c>
      <c r="BH197">
        <v>991</v>
      </c>
      <c r="BI197">
        <v>991</v>
      </c>
      <c r="BJ197">
        <v>991</v>
      </c>
      <c r="BK197">
        <f t="shared" ref="BK197:BK260" si="87">IFERROR(BJ197*AN197,"-")</f>
        <v>1081.090909090909</v>
      </c>
      <c r="BL197" t="s">
        <v>1280</v>
      </c>
      <c r="BM197">
        <v>812</v>
      </c>
    </row>
    <row r="198" spans="1:65" x14ac:dyDescent="0.4">
      <c r="A198" s="3">
        <v>174</v>
      </c>
      <c r="B198" s="3">
        <v>174</v>
      </c>
      <c r="C198" s="4" t="s">
        <v>163</v>
      </c>
      <c r="D198" s="4" t="str">
        <f t="shared" si="66"/>
        <v>J3033N</v>
      </c>
      <c r="E198" s="4" t="s">
        <v>163</v>
      </c>
      <c r="F198" s="4" t="str">
        <f t="shared" si="82"/>
        <v>J3033N5</v>
      </c>
      <c r="G198" s="4" t="s">
        <v>809</v>
      </c>
      <c r="H198" s="5">
        <v>4974268838261</v>
      </c>
      <c r="I198" s="5">
        <v>5</v>
      </c>
      <c r="J198" s="5"/>
      <c r="K198" s="5">
        <v>1</v>
      </c>
      <c r="L198" s="5">
        <v>1</v>
      </c>
      <c r="M198" s="4">
        <v>1100</v>
      </c>
      <c r="N198" s="4">
        <v>1036</v>
      </c>
      <c r="O198" s="4">
        <v>660</v>
      </c>
      <c r="P198" s="6">
        <f t="shared" si="67"/>
        <v>0.36293436293436299</v>
      </c>
      <c r="Q198" s="4" t="s">
        <v>1280</v>
      </c>
      <c r="R198" s="4" t="s">
        <v>1280</v>
      </c>
      <c r="S198" s="4" t="s">
        <v>1280</v>
      </c>
      <c r="T198" s="4">
        <v>1200</v>
      </c>
      <c r="U198" s="4">
        <f t="shared" si="68"/>
        <v>1200</v>
      </c>
      <c r="V198" s="4">
        <v>720</v>
      </c>
      <c r="W198" s="4">
        <f t="shared" si="69"/>
        <v>720</v>
      </c>
      <c r="X198" s="4"/>
      <c r="Y198" s="21">
        <f t="shared" si="70"/>
        <v>1130</v>
      </c>
      <c r="Z198" s="6">
        <f t="shared" si="71"/>
        <v>0.36283185840707965</v>
      </c>
      <c r="AA198" s="4">
        <v>0</v>
      </c>
      <c r="AB198" s="4" t="str">
        <f t="shared" si="72"/>
        <v>-</v>
      </c>
      <c r="AC198" s="4" t="str">
        <f t="shared" si="83"/>
        <v>-</v>
      </c>
      <c r="AD198" s="6" t="str">
        <f t="shared" si="84"/>
        <v>-</v>
      </c>
      <c r="AE198" s="4">
        <f t="shared" si="85"/>
        <v>1140</v>
      </c>
      <c r="AF198" s="7">
        <v>1080</v>
      </c>
      <c r="AG198" s="6">
        <f t="shared" si="73"/>
        <v>0.33333333333333337</v>
      </c>
      <c r="AH198" s="4">
        <f t="shared" si="74"/>
        <v>360</v>
      </c>
      <c r="AI198" s="28"/>
      <c r="AJ198" s="6"/>
      <c r="AK198" s="6"/>
      <c r="AL198" s="6">
        <f t="shared" si="75"/>
        <v>1.0909090909090908</v>
      </c>
      <c r="AM198" s="6">
        <f t="shared" si="76"/>
        <v>1.0424710424710424</v>
      </c>
      <c r="AN198" s="6">
        <f t="shared" si="77"/>
        <v>1.0909090909090908</v>
      </c>
      <c r="AO198" s="4" t="str">
        <f t="shared" si="78"/>
        <v>-</v>
      </c>
      <c r="AP198" s="4" t="str">
        <f t="shared" si="79"/>
        <v>-</v>
      </c>
      <c r="AQ198" s="4" t="str">
        <f t="shared" si="80"/>
        <v>-</v>
      </c>
      <c r="AR198" s="4">
        <v>0</v>
      </c>
      <c r="AS198" s="4" t="s">
        <v>1280</v>
      </c>
      <c r="AT198" s="4"/>
      <c r="AU198" s="4"/>
      <c r="AV198" s="4" t="s">
        <v>1280</v>
      </c>
      <c r="AW198" s="4" t="s">
        <v>1280</v>
      </c>
      <c r="AX198" s="4" t="s">
        <v>1280</v>
      </c>
      <c r="AY198" s="4" t="s">
        <v>1280</v>
      </c>
      <c r="AZ198" s="4" t="str">
        <f t="shared" si="81"/>
        <v>-</v>
      </c>
      <c r="BA198" s="19">
        <v>4</v>
      </c>
      <c r="BB198" s="19">
        <v>8</v>
      </c>
      <c r="BC198" s="16">
        <v>18</v>
      </c>
      <c r="BD198" t="s">
        <v>1280</v>
      </c>
      <c r="BE198" t="s">
        <v>1280</v>
      </c>
      <c r="BF198" t="s">
        <v>1280</v>
      </c>
      <c r="BG198" t="str">
        <f t="shared" si="86"/>
        <v>-</v>
      </c>
      <c r="BH198">
        <v>991</v>
      </c>
      <c r="BI198">
        <v>991</v>
      </c>
      <c r="BJ198">
        <v>991</v>
      </c>
      <c r="BK198">
        <f t="shared" si="87"/>
        <v>1081.090909090909</v>
      </c>
      <c r="BL198" t="s">
        <v>1280</v>
      </c>
      <c r="BM198">
        <v>812</v>
      </c>
    </row>
    <row r="199" spans="1:65" x14ac:dyDescent="0.4">
      <c r="A199" s="3">
        <v>175</v>
      </c>
      <c r="B199" s="3">
        <v>175</v>
      </c>
      <c r="C199" s="4" t="s">
        <v>164</v>
      </c>
      <c r="D199" s="4" t="str">
        <f t="shared" si="66"/>
        <v>J3034N</v>
      </c>
      <c r="E199" s="4" t="s">
        <v>164</v>
      </c>
      <c r="F199" s="4" t="str">
        <f t="shared" si="82"/>
        <v>J3034N5</v>
      </c>
      <c r="G199" s="4" t="s">
        <v>810</v>
      </c>
      <c r="H199" s="5">
        <v>4974268838278</v>
      </c>
      <c r="I199" s="5">
        <v>5</v>
      </c>
      <c r="J199" s="5"/>
      <c r="K199" s="5">
        <v>1</v>
      </c>
      <c r="L199" s="5">
        <v>1</v>
      </c>
      <c r="M199" s="4">
        <v>1100</v>
      </c>
      <c r="N199" s="4">
        <v>1123</v>
      </c>
      <c r="O199" s="4">
        <v>660</v>
      </c>
      <c r="P199" s="6">
        <f t="shared" si="67"/>
        <v>0.41228851291184332</v>
      </c>
      <c r="Q199" s="4" t="s">
        <v>1280</v>
      </c>
      <c r="R199" s="4" t="s">
        <v>1280</v>
      </c>
      <c r="S199" s="4" t="s">
        <v>1280</v>
      </c>
      <c r="T199" s="4">
        <v>1200</v>
      </c>
      <c r="U199" s="4">
        <f t="shared" si="68"/>
        <v>1200</v>
      </c>
      <c r="V199" s="4">
        <v>720</v>
      </c>
      <c r="W199" s="4">
        <f t="shared" si="69"/>
        <v>720</v>
      </c>
      <c r="X199" s="4"/>
      <c r="Y199" s="21">
        <f t="shared" si="70"/>
        <v>1225</v>
      </c>
      <c r="Z199" s="6">
        <f t="shared" si="71"/>
        <v>0.41224489795918362</v>
      </c>
      <c r="AA199" s="4">
        <v>0</v>
      </c>
      <c r="AB199" s="4" t="str">
        <f t="shared" si="72"/>
        <v>-</v>
      </c>
      <c r="AC199" s="4" t="str">
        <f t="shared" si="83"/>
        <v>-</v>
      </c>
      <c r="AD199" s="6" t="str">
        <f t="shared" si="84"/>
        <v>-</v>
      </c>
      <c r="AE199" s="4">
        <f t="shared" si="85"/>
        <v>1140</v>
      </c>
      <c r="AF199" s="7">
        <v>1080</v>
      </c>
      <c r="AG199" s="6">
        <f t="shared" si="73"/>
        <v>0.33333333333333337</v>
      </c>
      <c r="AH199" s="4">
        <f t="shared" si="74"/>
        <v>360</v>
      </c>
      <c r="AI199" s="28"/>
      <c r="AJ199" s="6"/>
      <c r="AK199" s="6"/>
      <c r="AL199" s="6">
        <f t="shared" si="75"/>
        <v>1.0909090909090908</v>
      </c>
      <c r="AM199" s="6">
        <f t="shared" si="76"/>
        <v>0.96170970614425644</v>
      </c>
      <c r="AN199" s="6">
        <f t="shared" si="77"/>
        <v>1.0909090909090908</v>
      </c>
      <c r="AO199" s="4" t="str">
        <f t="shared" si="78"/>
        <v>-</v>
      </c>
      <c r="AP199" s="4" t="str">
        <f t="shared" si="79"/>
        <v>-</v>
      </c>
      <c r="AQ199" s="4" t="str">
        <f t="shared" si="80"/>
        <v>-</v>
      </c>
      <c r="AR199" s="4">
        <v>0</v>
      </c>
      <c r="AS199" s="4" t="s">
        <v>1280</v>
      </c>
      <c r="AT199" s="4"/>
      <c r="AU199" s="4"/>
      <c r="AV199" s="4" t="s">
        <v>1280</v>
      </c>
      <c r="AW199" s="4" t="s">
        <v>1280</v>
      </c>
      <c r="AX199" s="4" t="s">
        <v>1280</v>
      </c>
      <c r="AY199" s="4" t="s">
        <v>1280</v>
      </c>
      <c r="AZ199" s="4" t="str">
        <f t="shared" si="81"/>
        <v>-</v>
      </c>
      <c r="BA199" s="19">
        <v>4</v>
      </c>
      <c r="BB199" s="19">
        <v>8</v>
      </c>
      <c r="BC199" s="16">
        <v>18</v>
      </c>
      <c r="BD199" t="s">
        <v>1280</v>
      </c>
      <c r="BE199" t="s">
        <v>1280</v>
      </c>
      <c r="BF199" t="s">
        <v>1280</v>
      </c>
      <c r="BG199" t="str">
        <f t="shared" si="86"/>
        <v>-</v>
      </c>
      <c r="BH199">
        <v>991</v>
      </c>
      <c r="BI199">
        <v>991</v>
      </c>
      <c r="BJ199">
        <v>991</v>
      </c>
      <c r="BK199">
        <f t="shared" si="87"/>
        <v>1081.090909090909</v>
      </c>
      <c r="BL199" t="s">
        <v>1280</v>
      </c>
      <c r="BM199">
        <v>812</v>
      </c>
    </row>
    <row r="200" spans="1:65" x14ac:dyDescent="0.4">
      <c r="A200" s="3">
        <v>176</v>
      </c>
      <c r="B200" s="3">
        <v>176</v>
      </c>
      <c r="C200" s="4" t="s">
        <v>165</v>
      </c>
      <c r="D200" s="4" t="str">
        <f t="shared" si="66"/>
        <v>J3035N</v>
      </c>
      <c r="E200" s="4" t="s">
        <v>165</v>
      </c>
      <c r="F200" s="4" t="str">
        <f t="shared" si="82"/>
        <v>J3035N5</v>
      </c>
      <c r="G200" s="4" t="s">
        <v>811</v>
      </c>
      <c r="H200" s="5">
        <v>4974268838285</v>
      </c>
      <c r="I200" s="5">
        <v>5</v>
      </c>
      <c r="J200" s="5"/>
      <c r="K200" s="5">
        <v>1</v>
      </c>
      <c r="L200" s="5">
        <v>1</v>
      </c>
      <c r="M200" s="4">
        <v>1100</v>
      </c>
      <c r="N200" s="4">
        <v>1111</v>
      </c>
      <c r="O200" s="4">
        <v>660</v>
      </c>
      <c r="P200" s="6">
        <f t="shared" si="67"/>
        <v>0.40594059405940597</v>
      </c>
      <c r="Q200" s="4" t="s">
        <v>1280</v>
      </c>
      <c r="R200" s="4" t="s">
        <v>1280</v>
      </c>
      <c r="S200" s="4" t="s">
        <v>1280</v>
      </c>
      <c r="T200" s="4">
        <v>1200</v>
      </c>
      <c r="U200" s="4">
        <f t="shared" si="68"/>
        <v>1200</v>
      </c>
      <c r="V200" s="4">
        <v>720</v>
      </c>
      <c r="W200" s="4">
        <f t="shared" si="69"/>
        <v>720</v>
      </c>
      <c r="X200" s="4"/>
      <c r="Y200" s="21">
        <f t="shared" si="70"/>
        <v>1212</v>
      </c>
      <c r="Z200" s="6">
        <f t="shared" si="71"/>
        <v>0.40594059405940597</v>
      </c>
      <c r="AA200" s="4">
        <v>0.25</v>
      </c>
      <c r="AB200" s="4" t="str">
        <f t="shared" si="72"/>
        <v>-</v>
      </c>
      <c r="AC200" s="4" t="str">
        <f t="shared" si="83"/>
        <v>-</v>
      </c>
      <c r="AD200" s="6" t="str">
        <f t="shared" si="84"/>
        <v>-</v>
      </c>
      <c r="AE200" s="4">
        <f t="shared" si="85"/>
        <v>1140</v>
      </c>
      <c r="AF200" s="7">
        <v>1080</v>
      </c>
      <c r="AG200" s="6">
        <f t="shared" si="73"/>
        <v>0.33333333333333337</v>
      </c>
      <c r="AH200" s="4">
        <f t="shared" si="74"/>
        <v>360</v>
      </c>
      <c r="AI200" s="28"/>
      <c r="AJ200" s="6"/>
      <c r="AK200" s="6"/>
      <c r="AL200" s="6">
        <f t="shared" si="75"/>
        <v>1.0909090909090908</v>
      </c>
      <c r="AM200" s="6">
        <f t="shared" si="76"/>
        <v>0.97209720972097213</v>
      </c>
      <c r="AN200" s="6">
        <f t="shared" si="77"/>
        <v>1.0909090909090908</v>
      </c>
      <c r="AO200" s="4" t="str">
        <f t="shared" si="78"/>
        <v>-</v>
      </c>
      <c r="AP200" s="4" t="str">
        <f t="shared" si="79"/>
        <v>-</v>
      </c>
      <c r="AQ200" s="4" t="str">
        <f t="shared" si="80"/>
        <v>-</v>
      </c>
      <c r="AR200" s="4">
        <v>0</v>
      </c>
      <c r="AS200" s="4" t="s">
        <v>1280</v>
      </c>
      <c r="AT200" s="4"/>
      <c r="AU200" s="4"/>
      <c r="AV200" s="4" t="s">
        <v>1280</v>
      </c>
      <c r="AW200" s="4" t="s">
        <v>1280</v>
      </c>
      <c r="AX200" s="4" t="s">
        <v>1280</v>
      </c>
      <c r="AY200" s="4" t="s">
        <v>1280</v>
      </c>
      <c r="AZ200" s="4" t="str">
        <f t="shared" si="81"/>
        <v>-</v>
      </c>
      <c r="BA200" s="19">
        <v>4</v>
      </c>
      <c r="BB200" s="19">
        <v>8</v>
      </c>
      <c r="BC200" s="16">
        <v>18</v>
      </c>
      <c r="BD200" t="s">
        <v>1280</v>
      </c>
      <c r="BE200" t="s">
        <v>1280</v>
      </c>
      <c r="BF200" t="s">
        <v>1280</v>
      </c>
      <c r="BG200" t="str">
        <f t="shared" si="86"/>
        <v>-</v>
      </c>
      <c r="BH200">
        <v>991</v>
      </c>
      <c r="BI200">
        <v>991</v>
      </c>
      <c r="BJ200">
        <v>991</v>
      </c>
      <c r="BK200">
        <f t="shared" si="87"/>
        <v>1081.090909090909</v>
      </c>
      <c r="BL200" t="s">
        <v>1280</v>
      </c>
      <c r="BM200">
        <v>812</v>
      </c>
    </row>
    <row r="201" spans="1:65" x14ac:dyDescent="0.4">
      <c r="A201" s="3">
        <v>177</v>
      </c>
      <c r="B201" s="3">
        <v>177</v>
      </c>
      <c r="C201" s="4" t="s">
        <v>166</v>
      </c>
      <c r="D201" s="4" t="str">
        <f t="shared" si="66"/>
        <v>J3036N</v>
      </c>
      <c r="E201" s="4" t="s">
        <v>166</v>
      </c>
      <c r="F201" s="4" t="str">
        <f t="shared" si="82"/>
        <v>J3036N5</v>
      </c>
      <c r="G201" s="4" t="s">
        <v>812</v>
      </c>
      <c r="H201" s="5">
        <v>4974268838292</v>
      </c>
      <c r="I201" s="5">
        <v>5</v>
      </c>
      <c r="J201" s="5"/>
      <c r="K201" s="5">
        <v>1</v>
      </c>
      <c r="L201" s="5">
        <v>1</v>
      </c>
      <c r="M201" s="4">
        <v>1100</v>
      </c>
      <c r="N201" s="4">
        <v>1123</v>
      </c>
      <c r="O201" s="4">
        <v>660</v>
      </c>
      <c r="P201" s="6">
        <f t="shared" si="67"/>
        <v>0.41228851291184332</v>
      </c>
      <c r="Q201" s="4" t="s">
        <v>1280</v>
      </c>
      <c r="R201" s="4" t="s">
        <v>1280</v>
      </c>
      <c r="S201" s="4" t="s">
        <v>1280</v>
      </c>
      <c r="T201" s="4">
        <v>1200</v>
      </c>
      <c r="U201" s="4">
        <f t="shared" si="68"/>
        <v>1200</v>
      </c>
      <c r="V201" s="4">
        <v>720</v>
      </c>
      <c r="W201" s="4">
        <f t="shared" si="69"/>
        <v>720</v>
      </c>
      <c r="X201" s="4"/>
      <c r="Y201" s="21">
        <f t="shared" si="70"/>
        <v>1225</v>
      </c>
      <c r="Z201" s="6">
        <f t="shared" si="71"/>
        <v>0.41224489795918362</v>
      </c>
      <c r="AA201" s="4">
        <v>0</v>
      </c>
      <c r="AB201" s="4" t="str">
        <f t="shared" si="72"/>
        <v>-</v>
      </c>
      <c r="AC201" s="4" t="str">
        <f t="shared" si="83"/>
        <v>-</v>
      </c>
      <c r="AD201" s="6" t="str">
        <f t="shared" si="84"/>
        <v>-</v>
      </c>
      <c r="AE201" s="4">
        <f t="shared" si="85"/>
        <v>1140</v>
      </c>
      <c r="AF201" s="7">
        <v>1080</v>
      </c>
      <c r="AG201" s="6">
        <f t="shared" si="73"/>
        <v>0.33333333333333337</v>
      </c>
      <c r="AH201" s="4">
        <f t="shared" si="74"/>
        <v>360</v>
      </c>
      <c r="AI201" s="28"/>
      <c r="AJ201" s="6"/>
      <c r="AK201" s="6"/>
      <c r="AL201" s="6">
        <f t="shared" si="75"/>
        <v>1.0909090909090908</v>
      </c>
      <c r="AM201" s="6">
        <f t="shared" si="76"/>
        <v>0.96170970614425644</v>
      </c>
      <c r="AN201" s="6">
        <f t="shared" si="77"/>
        <v>1.0909090909090908</v>
      </c>
      <c r="AO201" s="4" t="str">
        <f t="shared" si="78"/>
        <v>-</v>
      </c>
      <c r="AP201" s="4" t="str">
        <f t="shared" si="79"/>
        <v>-</v>
      </c>
      <c r="AQ201" s="4" t="str">
        <f t="shared" si="80"/>
        <v>-</v>
      </c>
      <c r="AR201" s="4">
        <v>0</v>
      </c>
      <c r="AS201" s="4" t="s">
        <v>1280</v>
      </c>
      <c r="AT201" s="4"/>
      <c r="AU201" s="4"/>
      <c r="AV201" s="4" t="s">
        <v>1280</v>
      </c>
      <c r="AW201" s="4" t="s">
        <v>1280</v>
      </c>
      <c r="AX201" s="4" t="s">
        <v>1280</v>
      </c>
      <c r="AY201" s="4" t="s">
        <v>1280</v>
      </c>
      <c r="AZ201" s="4" t="str">
        <f t="shared" si="81"/>
        <v>-</v>
      </c>
      <c r="BA201" s="19">
        <v>4</v>
      </c>
      <c r="BB201" s="19">
        <v>8</v>
      </c>
      <c r="BC201" s="16">
        <v>18</v>
      </c>
      <c r="BD201" t="s">
        <v>1280</v>
      </c>
      <c r="BE201" t="s">
        <v>1280</v>
      </c>
      <c r="BF201" t="s">
        <v>1280</v>
      </c>
      <c r="BG201" t="str">
        <f t="shared" si="86"/>
        <v>-</v>
      </c>
      <c r="BH201">
        <v>991</v>
      </c>
      <c r="BI201">
        <v>991</v>
      </c>
      <c r="BJ201">
        <v>991</v>
      </c>
      <c r="BK201">
        <f t="shared" si="87"/>
        <v>1081.090909090909</v>
      </c>
      <c r="BL201" t="s">
        <v>1280</v>
      </c>
      <c r="BM201">
        <v>812</v>
      </c>
    </row>
    <row r="202" spans="1:65" x14ac:dyDescent="0.4">
      <c r="A202" s="3">
        <v>178</v>
      </c>
      <c r="B202" s="3">
        <v>178</v>
      </c>
      <c r="C202" s="4" t="s">
        <v>167</v>
      </c>
      <c r="D202" s="4" t="str">
        <f t="shared" si="66"/>
        <v>J3040N</v>
      </c>
      <c r="E202" s="4" t="s">
        <v>167</v>
      </c>
      <c r="F202" s="4" t="str">
        <f t="shared" si="82"/>
        <v>J3040N5</v>
      </c>
      <c r="G202" s="4" t="s">
        <v>813</v>
      </c>
      <c r="H202" s="5">
        <v>4974268838315</v>
      </c>
      <c r="I202" s="5">
        <v>5</v>
      </c>
      <c r="J202" s="5"/>
      <c r="K202" s="5">
        <v>1</v>
      </c>
      <c r="L202" s="5">
        <v>1</v>
      </c>
      <c r="M202" s="4">
        <v>1100</v>
      </c>
      <c r="N202" s="4">
        <v>1090</v>
      </c>
      <c r="O202" s="4">
        <v>660</v>
      </c>
      <c r="P202" s="6">
        <f t="shared" si="67"/>
        <v>0.39449541284403666</v>
      </c>
      <c r="Q202" s="4" t="s">
        <v>1280</v>
      </c>
      <c r="R202" s="4" t="s">
        <v>1280</v>
      </c>
      <c r="S202" s="4" t="s">
        <v>1280</v>
      </c>
      <c r="T202" s="4">
        <v>1200</v>
      </c>
      <c r="U202" s="4">
        <f t="shared" si="68"/>
        <v>1200</v>
      </c>
      <c r="V202" s="4">
        <v>720</v>
      </c>
      <c r="W202" s="4">
        <f t="shared" si="69"/>
        <v>720</v>
      </c>
      <c r="X202" s="4"/>
      <c r="Y202" s="21">
        <f t="shared" si="70"/>
        <v>1189</v>
      </c>
      <c r="Z202" s="6">
        <f t="shared" si="71"/>
        <v>0.3944491169049622</v>
      </c>
      <c r="AA202" s="4">
        <v>0</v>
      </c>
      <c r="AB202" s="4">
        <f t="shared" si="72"/>
        <v>908</v>
      </c>
      <c r="AC202" s="4">
        <f t="shared" si="83"/>
        <v>990.5454545454545</v>
      </c>
      <c r="AD202" s="6">
        <f t="shared" si="84"/>
        <v>0.27312775330396477</v>
      </c>
      <c r="AE202" s="4">
        <f t="shared" si="85"/>
        <v>1140</v>
      </c>
      <c r="AF202" s="7">
        <v>1080</v>
      </c>
      <c r="AG202" s="6">
        <f t="shared" si="73"/>
        <v>0.33333333333333337</v>
      </c>
      <c r="AH202" s="4">
        <f t="shared" si="74"/>
        <v>360</v>
      </c>
      <c r="AI202" s="28"/>
      <c r="AJ202" s="6"/>
      <c r="AK202" s="6"/>
      <c r="AL202" s="6">
        <f t="shared" si="75"/>
        <v>1.0909090909090908</v>
      </c>
      <c r="AM202" s="6">
        <f t="shared" si="76"/>
        <v>0.99082568807339455</v>
      </c>
      <c r="AN202" s="6">
        <f t="shared" si="77"/>
        <v>1.0909090909090908</v>
      </c>
      <c r="AO202" s="4" t="str">
        <f t="shared" si="78"/>
        <v>-</v>
      </c>
      <c r="AP202" s="4" t="str">
        <f t="shared" si="79"/>
        <v>-</v>
      </c>
      <c r="AQ202" s="4" t="str">
        <f t="shared" si="80"/>
        <v>-</v>
      </c>
      <c r="AR202" s="4">
        <v>0</v>
      </c>
      <c r="AS202" s="4" t="s">
        <v>1842</v>
      </c>
      <c r="AT202" s="4"/>
      <c r="AU202" s="4"/>
      <c r="AV202" s="4" t="s">
        <v>1843</v>
      </c>
      <c r="AW202" s="4">
        <v>908</v>
      </c>
      <c r="AX202" s="4">
        <v>908</v>
      </c>
      <c r="AY202" s="4">
        <v>908</v>
      </c>
      <c r="AZ202" s="4">
        <f t="shared" si="81"/>
        <v>908</v>
      </c>
      <c r="BA202" s="19">
        <v>4</v>
      </c>
      <c r="BB202" s="19">
        <v>8</v>
      </c>
      <c r="BC202" s="16">
        <v>18</v>
      </c>
      <c r="BD202" t="s">
        <v>1280</v>
      </c>
      <c r="BE202" t="s">
        <v>1280</v>
      </c>
      <c r="BF202" t="s">
        <v>1280</v>
      </c>
      <c r="BG202" t="str">
        <f t="shared" si="86"/>
        <v>-</v>
      </c>
      <c r="BH202">
        <v>991</v>
      </c>
      <c r="BI202">
        <v>991</v>
      </c>
      <c r="BJ202">
        <v>991</v>
      </c>
      <c r="BK202">
        <f t="shared" si="87"/>
        <v>1081.090909090909</v>
      </c>
      <c r="BL202" t="s">
        <v>1396</v>
      </c>
      <c r="BM202">
        <v>812</v>
      </c>
    </row>
    <row r="203" spans="1:65" x14ac:dyDescent="0.4">
      <c r="A203" s="3">
        <v>179</v>
      </c>
      <c r="B203" s="3">
        <v>179</v>
      </c>
      <c r="C203" s="4" t="s">
        <v>168</v>
      </c>
      <c r="D203" s="4" t="str">
        <f t="shared" si="66"/>
        <v>J3041N</v>
      </c>
      <c r="E203" s="4" t="s">
        <v>168</v>
      </c>
      <c r="F203" s="4" t="str">
        <f t="shared" si="82"/>
        <v>J3041N5</v>
      </c>
      <c r="G203" s="4" t="s">
        <v>814</v>
      </c>
      <c r="H203" s="5">
        <v>4974268838322</v>
      </c>
      <c r="I203" s="5">
        <v>5</v>
      </c>
      <c r="J203" s="5"/>
      <c r="K203" s="5">
        <v>1</v>
      </c>
      <c r="L203" s="5">
        <v>1</v>
      </c>
      <c r="M203" s="4">
        <v>1100</v>
      </c>
      <c r="N203" s="4">
        <v>1111</v>
      </c>
      <c r="O203" s="4">
        <v>660</v>
      </c>
      <c r="P203" s="6">
        <f t="shared" si="67"/>
        <v>0.40594059405940597</v>
      </c>
      <c r="Q203" s="4" t="s">
        <v>1280</v>
      </c>
      <c r="R203" s="4" t="s">
        <v>1280</v>
      </c>
      <c r="S203" s="4" t="s">
        <v>1280</v>
      </c>
      <c r="T203" s="4">
        <v>1200</v>
      </c>
      <c r="U203" s="4">
        <f t="shared" si="68"/>
        <v>1200</v>
      </c>
      <c r="V203" s="4">
        <v>720</v>
      </c>
      <c r="W203" s="4">
        <f t="shared" si="69"/>
        <v>720</v>
      </c>
      <c r="X203" s="4"/>
      <c r="Y203" s="21">
        <f t="shared" si="70"/>
        <v>1212</v>
      </c>
      <c r="Z203" s="6">
        <f t="shared" si="71"/>
        <v>0.40594059405940597</v>
      </c>
      <c r="AA203" s="4">
        <v>0</v>
      </c>
      <c r="AB203" s="4">
        <f t="shared" si="72"/>
        <v>908</v>
      </c>
      <c r="AC203" s="4">
        <f t="shared" si="83"/>
        <v>990.5454545454545</v>
      </c>
      <c r="AD203" s="6">
        <f t="shared" si="84"/>
        <v>0.27312775330396477</v>
      </c>
      <c r="AE203" s="4">
        <f t="shared" si="85"/>
        <v>1140</v>
      </c>
      <c r="AF203" s="7">
        <v>1080</v>
      </c>
      <c r="AG203" s="6">
        <f t="shared" si="73"/>
        <v>0.33333333333333337</v>
      </c>
      <c r="AH203" s="4">
        <f t="shared" si="74"/>
        <v>360</v>
      </c>
      <c r="AI203" s="28"/>
      <c r="AJ203" s="6"/>
      <c r="AK203" s="6"/>
      <c r="AL203" s="6">
        <f t="shared" si="75"/>
        <v>1.0909090909090908</v>
      </c>
      <c r="AM203" s="6">
        <f t="shared" si="76"/>
        <v>0.97209720972097213</v>
      </c>
      <c r="AN203" s="6">
        <f t="shared" si="77"/>
        <v>1.0909090909090908</v>
      </c>
      <c r="AO203" s="4" t="str">
        <f t="shared" si="78"/>
        <v>-</v>
      </c>
      <c r="AP203" s="4" t="str">
        <f t="shared" si="79"/>
        <v>-</v>
      </c>
      <c r="AQ203" s="4" t="str">
        <f t="shared" si="80"/>
        <v>-</v>
      </c>
      <c r="AR203" s="4">
        <v>0</v>
      </c>
      <c r="AS203" s="4" t="s">
        <v>1844</v>
      </c>
      <c r="AT203" s="4"/>
      <c r="AU203" s="4"/>
      <c r="AV203" s="4" t="s">
        <v>1843</v>
      </c>
      <c r="AW203" s="4">
        <v>908</v>
      </c>
      <c r="AX203" s="4">
        <v>908</v>
      </c>
      <c r="AY203" s="4">
        <v>908</v>
      </c>
      <c r="AZ203" s="4">
        <f t="shared" si="81"/>
        <v>908</v>
      </c>
      <c r="BA203" s="19">
        <v>4</v>
      </c>
      <c r="BB203" s="19">
        <v>8</v>
      </c>
      <c r="BC203" s="16">
        <v>18</v>
      </c>
      <c r="BD203">
        <v>1000</v>
      </c>
      <c r="BE203">
        <v>1000</v>
      </c>
      <c r="BF203">
        <v>1000</v>
      </c>
      <c r="BG203">
        <f t="shared" si="86"/>
        <v>1090.9090909090908</v>
      </c>
      <c r="BH203">
        <v>991</v>
      </c>
      <c r="BI203">
        <v>991</v>
      </c>
      <c r="BJ203">
        <v>991</v>
      </c>
      <c r="BK203">
        <f t="shared" si="87"/>
        <v>1081.090909090909</v>
      </c>
      <c r="BL203" t="s">
        <v>1397</v>
      </c>
      <c r="BM203">
        <v>812</v>
      </c>
    </row>
    <row r="204" spans="1:65" x14ac:dyDescent="0.4">
      <c r="A204" s="3">
        <v>180</v>
      </c>
      <c r="B204" s="3">
        <v>180</v>
      </c>
      <c r="C204" s="4" t="s">
        <v>169</v>
      </c>
      <c r="D204" s="4" t="str">
        <f t="shared" si="66"/>
        <v>J3038N</v>
      </c>
      <c r="E204" s="4" t="s">
        <v>169</v>
      </c>
      <c r="F204" s="4" t="str">
        <f t="shared" si="82"/>
        <v>J3038N5</v>
      </c>
      <c r="G204" s="4" t="s">
        <v>815</v>
      </c>
      <c r="H204" s="5">
        <v>4974268838490</v>
      </c>
      <c r="I204" s="5">
        <v>5</v>
      </c>
      <c r="J204" s="5"/>
      <c r="K204" s="5">
        <v>1</v>
      </c>
      <c r="L204" s="5">
        <v>1</v>
      </c>
      <c r="M204" s="4">
        <v>1100</v>
      </c>
      <c r="N204" s="4">
        <v>1036</v>
      </c>
      <c r="O204" s="4">
        <v>660</v>
      </c>
      <c r="P204" s="6">
        <f t="shared" si="67"/>
        <v>0.36293436293436299</v>
      </c>
      <c r="Q204" s="4" t="s">
        <v>1280</v>
      </c>
      <c r="R204" s="4" t="s">
        <v>1280</v>
      </c>
      <c r="S204" s="4" t="s">
        <v>1280</v>
      </c>
      <c r="T204" s="4">
        <v>1200</v>
      </c>
      <c r="U204" s="4">
        <f t="shared" si="68"/>
        <v>1200</v>
      </c>
      <c r="V204" s="4">
        <v>720</v>
      </c>
      <c r="W204" s="4">
        <f t="shared" si="69"/>
        <v>720</v>
      </c>
      <c r="X204" s="4"/>
      <c r="Y204" s="21">
        <f t="shared" si="70"/>
        <v>1130</v>
      </c>
      <c r="Z204" s="6">
        <f t="shared" si="71"/>
        <v>0.36283185840707965</v>
      </c>
      <c r="AA204" s="4">
        <v>0</v>
      </c>
      <c r="AB204" s="4">
        <f t="shared" si="72"/>
        <v>908</v>
      </c>
      <c r="AC204" s="4">
        <f t="shared" si="83"/>
        <v>990.5454545454545</v>
      </c>
      <c r="AD204" s="6">
        <f t="shared" si="84"/>
        <v>0.27312775330396477</v>
      </c>
      <c r="AE204" s="4">
        <f t="shared" si="85"/>
        <v>1140</v>
      </c>
      <c r="AF204" s="7">
        <v>1080</v>
      </c>
      <c r="AG204" s="6">
        <f t="shared" si="73"/>
        <v>0.33333333333333337</v>
      </c>
      <c r="AH204" s="4">
        <f t="shared" si="74"/>
        <v>360</v>
      </c>
      <c r="AI204" s="28"/>
      <c r="AJ204" s="6"/>
      <c r="AK204" s="6"/>
      <c r="AL204" s="6">
        <f t="shared" si="75"/>
        <v>1.0909090909090908</v>
      </c>
      <c r="AM204" s="6">
        <f t="shared" si="76"/>
        <v>1.0424710424710424</v>
      </c>
      <c r="AN204" s="6">
        <f t="shared" si="77"/>
        <v>1.0909090909090908</v>
      </c>
      <c r="AO204" s="4" t="str">
        <f t="shared" si="78"/>
        <v>-</v>
      </c>
      <c r="AP204" s="4" t="str">
        <f t="shared" si="79"/>
        <v>-</v>
      </c>
      <c r="AQ204" s="4" t="str">
        <f t="shared" si="80"/>
        <v>-</v>
      </c>
      <c r="AR204" s="4">
        <v>0</v>
      </c>
      <c r="AS204" s="4" t="s">
        <v>1845</v>
      </c>
      <c r="AT204" s="4"/>
      <c r="AU204" s="4"/>
      <c r="AV204" s="4" t="s">
        <v>1843</v>
      </c>
      <c r="AW204" s="4">
        <v>908</v>
      </c>
      <c r="AX204" s="4">
        <v>908</v>
      </c>
      <c r="AY204" s="4">
        <v>908</v>
      </c>
      <c r="AZ204" s="4">
        <f t="shared" si="81"/>
        <v>908</v>
      </c>
      <c r="BA204" s="19">
        <v>4</v>
      </c>
      <c r="BB204" s="19">
        <v>8</v>
      </c>
      <c r="BC204" s="16">
        <v>18</v>
      </c>
      <c r="BD204" t="s">
        <v>1280</v>
      </c>
      <c r="BE204" t="s">
        <v>1280</v>
      </c>
      <c r="BF204" t="s">
        <v>1280</v>
      </c>
      <c r="BG204" t="str">
        <f t="shared" si="86"/>
        <v>-</v>
      </c>
      <c r="BH204">
        <v>991</v>
      </c>
      <c r="BI204">
        <v>991</v>
      </c>
      <c r="BJ204">
        <v>991</v>
      </c>
      <c r="BK204">
        <f t="shared" si="87"/>
        <v>1081.090909090909</v>
      </c>
      <c r="BL204" t="s">
        <v>1398</v>
      </c>
      <c r="BM204">
        <v>812</v>
      </c>
    </row>
    <row r="205" spans="1:65" x14ac:dyDescent="0.4">
      <c r="A205" s="3">
        <v>181</v>
      </c>
      <c r="B205" s="3">
        <v>181</v>
      </c>
      <c r="C205" s="4" t="s">
        <v>170</v>
      </c>
      <c r="D205" s="4" t="str">
        <f t="shared" si="66"/>
        <v>J3039N</v>
      </c>
      <c r="E205" s="4" t="s">
        <v>170</v>
      </c>
      <c r="F205" s="4" t="str">
        <f t="shared" si="82"/>
        <v>J3039N5</v>
      </c>
      <c r="G205" s="4" t="s">
        <v>816</v>
      </c>
      <c r="H205" s="5">
        <v>4974268838544</v>
      </c>
      <c r="I205" s="5">
        <v>5</v>
      </c>
      <c r="J205" s="5"/>
      <c r="K205" s="5">
        <v>1</v>
      </c>
      <c r="L205" s="5">
        <v>1</v>
      </c>
      <c r="M205" s="4">
        <v>1100</v>
      </c>
      <c r="N205" s="4">
        <v>1036</v>
      </c>
      <c r="O205" s="4">
        <v>660</v>
      </c>
      <c r="P205" s="6">
        <f t="shared" si="67"/>
        <v>0.36293436293436299</v>
      </c>
      <c r="Q205" s="4" t="s">
        <v>1280</v>
      </c>
      <c r="R205" s="4" t="s">
        <v>1280</v>
      </c>
      <c r="S205" s="4" t="s">
        <v>1280</v>
      </c>
      <c r="T205" s="4">
        <v>1200</v>
      </c>
      <c r="U205" s="4">
        <f t="shared" si="68"/>
        <v>1200</v>
      </c>
      <c r="V205" s="4">
        <v>720</v>
      </c>
      <c r="W205" s="4">
        <f t="shared" si="69"/>
        <v>720</v>
      </c>
      <c r="X205" s="4"/>
      <c r="Y205" s="21">
        <f t="shared" si="70"/>
        <v>1130</v>
      </c>
      <c r="Z205" s="6">
        <f t="shared" si="71"/>
        <v>0.36283185840707965</v>
      </c>
      <c r="AA205" s="4">
        <v>0</v>
      </c>
      <c r="AB205" s="4">
        <f t="shared" si="72"/>
        <v>920</v>
      </c>
      <c r="AC205" s="4">
        <f t="shared" si="83"/>
        <v>1003.6363636363635</v>
      </c>
      <c r="AD205" s="6">
        <f t="shared" si="84"/>
        <v>0.28260869565217384</v>
      </c>
      <c r="AE205" s="4">
        <f t="shared" si="85"/>
        <v>1140</v>
      </c>
      <c r="AF205" s="7">
        <v>1080</v>
      </c>
      <c r="AG205" s="6">
        <f t="shared" si="73"/>
        <v>0.33333333333333337</v>
      </c>
      <c r="AH205" s="4">
        <f t="shared" si="74"/>
        <v>360</v>
      </c>
      <c r="AI205" s="28"/>
      <c r="AJ205" s="6"/>
      <c r="AK205" s="6"/>
      <c r="AL205" s="6">
        <f t="shared" si="75"/>
        <v>1.0909090909090908</v>
      </c>
      <c r="AM205" s="6">
        <f t="shared" si="76"/>
        <v>1.0424710424710424</v>
      </c>
      <c r="AN205" s="6">
        <f t="shared" si="77"/>
        <v>1.0909090909090908</v>
      </c>
      <c r="AO205" s="4" t="str">
        <f t="shared" si="78"/>
        <v>-</v>
      </c>
      <c r="AP205" s="4" t="str">
        <f t="shared" si="79"/>
        <v>-</v>
      </c>
      <c r="AQ205" s="4" t="str">
        <f t="shared" si="80"/>
        <v>-</v>
      </c>
      <c r="AR205" s="4">
        <v>0</v>
      </c>
      <c r="AS205" s="4" t="s">
        <v>1846</v>
      </c>
      <c r="AT205" s="4"/>
      <c r="AU205" s="4"/>
      <c r="AV205" s="4" t="s">
        <v>1843</v>
      </c>
      <c r="AW205" s="4">
        <v>920</v>
      </c>
      <c r="AX205" s="4">
        <v>920</v>
      </c>
      <c r="AY205" s="4">
        <v>920</v>
      </c>
      <c r="AZ205" s="4">
        <f t="shared" si="81"/>
        <v>920</v>
      </c>
      <c r="BA205" s="19">
        <v>4</v>
      </c>
      <c r="BB205" s="19">
        <v>8</v>
      </c>
      <c r="BC205" s="16">
        <v>18</v>
      </c>
      <c r="BD205" t="s">
        <v>1280</v>
      </c>
      <c r="BE205" t="s">
        <v>1280</v>
      </c>
      <c r="BF205" t="s">
        <v>1280</v>
      </c>
      <c r="BG205" t="str">
        <f t="shared" si="86"/>
        <v>-</v>
      </c>
      <c r="BH205">
        <v>991</v>
      </c>
      <c r="BI205">
        <v>991</v>
      </c>
      <c r="BJ205">
        <v>991</v>
      </c>
      <c r="BK205">
        <f t="shared" si="87"/>
        <v>1081.090909090909</v>
      </c>
      <c r="BL205" t="s">
        <v>1399</v>
      </c>
      <c r="BM205">
        <v>812</v>
      </c>
    </row>
    <row r="206" spans="1:65" x14ac:dyDescent="0.4">
      <c r="A206" s="3">
        <v>182</v>
      </c>
      <c r="B206" s="3">
        <v>182</v>
      </c>
      <c r="C206" s="4" t="s">
        <v>171</v>
      </c>
      <c r="D206" s="4" t="str">
        <f t="shared" si="66"/>
        <v>J3042N</v>
      </c>
      <c r="E206" s="4" t="s">
        <v>171</v>
      </c>
      <c r="F206" s="4" t="str">
        <f t="shared" si="82"/>
        <v>J3042N5</v>
      </c>
      <c r="G206" s="4" t="s">
        <v>817</v>
      </c>
      <c r="H206" s="5">
        <v>4974268838339</v>
      </c>
      <c r="I206" s="5">
        <v>5</v>
      </c>
      <c r="J206" s="5"/>
      <c r="K206" s="5">
        <v>1</v>
      </c>
      <c r="L206" s="5">
        <v>1</v>
      </c>
      <c r="M206" s="4">
        <v>1100</v>
      </c>
      <c r="N206" s="4">
        <v>1111</v>
      </c>
      <c r="O206" s="4">
        <v>660</v>
      </c>
      <c r="P206" s="6">
        <f t="shared" si="67"/>
        <v>0.40594059405940597</v>
      </c>
      <c r="Q206" s="4" t="s">
        <v>1280</v>
      </c>
      <c r="R206" s="4" t="s">
        <v>1280</v>
      </c>
      <c r="S206" s="4" t="s">
        <v>1280</v>
      </c>
      <c r="T206" s="4">
        <v>1200</v>
      </c>
      <c r="U206" s="4">
        <f t="shared" si="68"/>
        <v>1200</v>
      </c>
      <c r="V206" s="4">
        <v>720</v>
      </c>
      <c r="W206" s="4">
        <f t="shared" si="69"/>
        <v>720</v>
      </c>
      <c r="X206" s="4"/>
      <c r="Y206" s="21">
        <f t="shared" si="70"/>
        <v>1212</v>
      </c>
      <c r="Z206" s="6">
        <f t="shared" si="71"/>
        <v>0.40594059405940597</v>
      </c>
      <c r="AA206" s="4">
        <v>0.25</v>
      </c>
      <c r="AB206" s="4">
        <f t="shared" si="72"/>
        <v>908</v>
      </c>
      <c r="AC206" s="4">
        <f t="shared" si="83"/>
        <v>990.5454545454545</v>
      </c>
      <c r="AD206" s="6">
        <f t="shared" si="84"/>
        <v>0.27312775330396477</v>
      </c>
      <c r="AE206" s="4">
        <f t="shared" si="85"/>
        <v>1140</v>
      </c>
      <c r="AF206" s="7">
        <v>1080</v>
      </c>
      <c r="AG206" s="6">
        <f t="shared" si="73"/>
        <v>0.33333333333333337</v>
      </c>
      <c r="AH206" s="4">
        <f t="shared" si="74"/>
        <v>360</v>
      </c>
      <c r="AI206" s="28"/>
      <c r="AJ206" s="6"/>
      <c r="AK206" s="6"/>
      <c r="AL206" s="6">
        <f t="shared" si="75"/>
        <v>1.0909090909090908</v>
      </c>
      <c r="AM206" s="6">
        <f t="shared" si="76"/>
        <v>0.97209720972097213</v>
      </c>
      <c r="AN206" s="6">
        <f t="shared" si="77"/>
        <v>1.0909090909090908</v>
      </c>
      <c r="AO206" s="4" t="str">
        <f t="shared" si="78"/>
        <v>-</v>
      </c>
      <c r="AP206" s="4" t="str">
        <f t="shared" si="79"/>
        <v>-</v>
      </c>
      <c r="AQ206" s="4" t="str">
        <f t="shared" si="80"/>
        <v>-</v>
      </c>
      <c r="AR206" s="4">
        <v>0</v>
      </c>
      <c r="AS206" s="4" t="s">
        <v>1847</v>
      </c>
      <c r="AT206" s="4"/>
      <c r="AU206" s="4"/>
      <c r="AV206" s="4" t="s">
        <v>1843</v>
      </c>
      <c r="AW206" s="4">
        <v>908</v>
      </c>
      <c r="AX206" s="4">
        <v>908</v>
      </c>
      <c r="AY206" s="4">
        <v>908</v>
      </c>
      <c r="AZ206" s="4">
        <f t="shared" si="81"/>
        <v>908</v>
      </c>
      <c r="BA206" s="19">
        <v>4</v>
      </c>
      <c r="BB206" s="19">
        <v>8</v>
      </c>
      <c r="BC206" s="16">
        <v>18</v>
      </c>
      <c r="BD206">
        <v>1000</v>
      </c>
      <c r="BE206">
        <v>1000</v>
      </c>
      <c r="BF206">
        <v>1000</v>
      </c>
      <c r="BG206">
        <f t="shared" si="86"/>
        <v>1090.9090909090908</v>
      </c>
      <c r="BH206">
        <v>991</v>
      </c>
      <c r="BI206">
        <v>991</v>
      </c>
      <c r="BJ206">
        <v>991</v>
      </c>
      <c r="BK206">
        <f t="shared" si="87"/>
        <v>1081.090909090909</v>
      </c>
      <c r="BL206" t="s">
        <v>1400</v>
      </c>
      <c r="BM206">
        <v>812</v>
      </c>
    </row>
    <row r="207" spans="1:65" x14ac:dyDescent="0.4">
      <c r="A207" s="3">
        <v>183</v>
      </c>
      <c r="B207" s="3">
        <v>183</v>
      </c>
      <c r="C207" s="4" t="s">
        <v>172</v>
      </c>
      <c r="D207" s="4" t="str">
        <f t="shared" si="66"/>
        <v>J3043N</v>
      </c>
      <c r="E207" s="4" t="s">
        <v>172</v>
      </c>
      <c r="F207" s="4" t="str">
        <f t="shared" si="82"/>
        <v>J3043N5</v>
      </c>
      <c r="G207" s="4" t="s">
        <v>818</v>
      </c>
      <c r="H207" s="5">
        <v>4974268838346</v>
      </c>
      <c r="I207" s="5">
        <v>5</v>
      </c>
      <c r="J207" s="5"/>
      <c r="K207" s="5">
        <v>1</v>
      </c>
      <c r="L207" s="5">
        <v>1</v>
      </c>
      <c r="M207" s="4">
        <v>1100</v>
      </c>
      <c r="N207" s="4">
        <v>1111</v>
      </c>
      <c r="O207" s="4">
        <v>660</v>
      </c>
      <c r="P207" s="6">
        <f t="shared" si="67"/>
        <v>0.40594059405940597</v>
      </c>
      <c r="Q207" s="4" t="s">
        <v>1280</v>
      </c>
      <c r="R207" s="4" t="s">
        <v>1280</v>
      </c>
      <c r="S207" s="4" t="s">
        <v>1280</v>
      </c>
      <c r="T207" s="4">
        <v>1200</v>
      </c>
      <c r="U207" s="4">
        <f t="shared" si="68"/>
        <v>1200</v>
      </c>
      <c r="V207" s="4">
        <v>720</v>
      </c>
      <c r="W207" s="4">
        <f t="shared" si="69"/>
        <v>720</v>
      </c>
      <c r="X207" s="4"/>
      <c r="Y207" s="21">
        <f t="shared" si="70"/>
        <v>1212</v>
      </c>
      <c r="Z207" s="6">
        <f t="shared" si="71"/>
        <v>0.40594059405940597</v>
      </c>
      <c r="AA207" s="4">
        <v>0.25</v>
      </c>
      <c r="AB207" s="4">
        <f t="shared" si="72"/>
        <v>908</v>
      </c>
      <c r="AC207" s="4">
        <f t="shared" si="83"/>
        <v>990.5454545454545</v>
      </c>
      <c r="AD207" s="6">
        <f t="shared" si="84"/>
        <v>0.27312775330396477</v>
      </c>
      <c r="AE207" s="4">
        <f t="shared" si="85"/>
        <v>1140</v>
      </c>
      <c r="AF207" s="7">
        <v>1080</v>
      </c>
      <c r="AG207" s="6">
        <f t="shared" si="73"/>
        <v>0.33333333333333337</v>
      </c>
      <c r="AH207" s="4">
        <f t="shared" si="74"/>
        <v>360</v>
      </c>
      <c r="AI207" s="28"/>
      <c r="AJ207" s="6"/>
      <c r="AK207" s="6"/>
      <c r="AL207" s="6">
        <f t="shared" si="75"/>
        <v>1.0909090909090908</v>
      </c>
      <c r="AM207" s="6">
        <f t="shared" si="76"/>
        <v>0.97209720972097213</v>
      </c>
      <c r="AN207" s="6">
        <f t="shared" si="77"/>
        <v>1.0909090909090908</v>
      </c>
      <c r="AO207" s="4" t="str">
        <f t="shared" si="78"/>
        <v>-</v>
      </c>
      <c r="AP207" s="4" t="str">
        <f t="shared" si="79"/>
        <v>-</v>
      </c>
      <c r="AQ207" s="4" t="str">
        <f t="shared" si="80"/>
        <v>-</v>
      </c>
      <c r="AR207" s="4">
        <v>0</v>
      </c>
      <c r="AS207" s="4" t="s">
        <v>1848</v>
      </c>
      <c r="AT207" s="4"/>
      <c r="AU207" s="4"/>
      <c r="AV207" s="4" t="s">
        <v>1843</v>
      </c>
      <c r="AW207" s="4">
        <v>908</v>
      </c>
      <c r="AX207" s="4">
        <v>908</v>
      </c>
      <c r="AY207" s="4">
        <v>908</v>
      </c>
      <c r="AZ207" s="4">
        <f t="shared" si="81"/>
        <v>908</v>
      </c>
      <c r="BA207" s="19">
        <v>4</v>
      </c>
      <c r="BB207" s="19">
        <v>8</v>
      </c>
      <c r="BC207" s="16">
        <v>18</v>
      </c>
      <c r="BD207" t="s">
        <v>1280</v>
      </c>
      <c r="BE207" t="s">
        <v>1280</v>
      </c>
      <c r="BF207" t="s">
        <v>1280</v>
      </c>
      <c r="BG207" t="str">
        <f t="shared" si="86"/>
        <v>-</v>
      </c>
      <c r="BH207">
        <v>991</v>
      </c>
      <c r="BI207">
        <v>991</v>
      </c>
      <c r="BJ207">
        <v>991</v>
      </c>
      <c r="BK207">
        <f t="shared" si="87"/>
        <v>1081.090909090909</v>
      </c>
      <c r="BL207" t="s">
        <v>1401</v>
      </c>
      <c r="BM207">
        <v>812</v>
      </c>
    </row>
    <row r="208" spans="1:65" x14ac:dyDescent="0.4">
      <c r="A208" s="3">
        <v>184</v>
      </c>
      <c r="B208" s="3">
        <v>184</v>
      </c>
      <c r="C208" s="4" t="s">
        <v>173</v>
      </c>
      <c r="D208" s="4" t="str">
        <f t="shared" si="66"/>
        <v>J3044N</v>
      </c>
      <c r="E208" s="4" t="s">
        <v>173</v>
      </c>
      <c r="F208" s="4" t="str">
        <f t="shared" si="82"/>
        <v>J3044N5</v>
      </c>
      <c r="G208" s="4" t="s">
        <v>819</v>
      </c>
      <c r="H208" s="5">
        <v>4974268838353</v>
      </c>
      <c r="I208" s="5">
        <v>5</v>
      </c>
      <c r="J208" s="5"/>
      <c r="K208" s="5">
        <v>1</v>
      </c>
      <c r="L208" s="5">
        <v>1</v>
      </c>
      <c r="M208" s="4">
        <v>1100</v>
      </c>
      <c r="N208" s="4">
        <v>1036</v>
      </c>
      <c r="O208" s="4">
        <v>660</v>
      </c>
      <c r="P208" s="6">
        <f t="shared" si="67"/>
        <v>0.36293436293436299</v>
      </c>
      <c r="Q208" s="4" t="s">
        <v>1280</v>
      </c>
      <c r="R208" s="4" t="s">
        <v>1280</v>
      </c>
      <c r="S208" s="4" t="s">
        <v>1280</v>
      </c>
      <c r="T208" s="4">
        <v>1200</v>
      </c>
      <c r="U208" s="4">
        <f t="shared" si="68"/>
        <v>1200</v>
      </c>
      <c r="V208" s="4">
        <v>720</v>
      </c>
      <c r="W208" s="4">
        <f t="shared" si="69"/>
        <v>720</v>
      </c>
      <c r="X208" s="4"/>
      <c r="Y208" s="21">
        <f t="shared" si="70"/>
        <v>1130</v>
      </c>
      <c r="Z208" s="6">
        <f t="shared" si="71"/>
        <v>0.36283185840707965</v>
      </c>
      <c r="AA208" s="4">
        <v>0</v>
      </c>
      <c r="AB208" s="4" t="str">
        <f t="shared" si="72"/>
        <v>-</v>
      </c>
      <c r="AC208" s="4" t="str">
        <f t="shared" si="83"/>
        <v>-</v>
      </c>
      <c r="AD208" s="6" t="str">
        <f t="shared" si="84"/>
        <v>-</v>
      </c>
      <c r="AE208" s="4">
        <f t="shared" si="85"/>
        <v>1140</v>
      </c>
      <c r="AF208" s="7">
        <v>1080</v>
      </c>
      <c r="AG208" s="6">
        <f t="shared" si="73"/>
        <v>0.33333333333333337</v>
      </c>
      <c r="AH208" s="4">
        <f t="shared" si="74"/>
        <v>360</v>
      </c>
      <c r="AI208" s="28"/>
      <c r="AJ208" s="6"/>
      <c r="AK208" s="6"/>
      <c r="AL208" s="6">
        <f t="shared" si="75"/>
        <v>1.0909090909090908</v>
      </c>
      <c r="AM208" s="6">
        <f t="shared" si="76"/>
        <v>1.0424710424710424</v>
      </c>
      <c r="AN208" s="6">
        <f t="shared" si="77"/>
        <v>1.0909090909090908</v>
      </c>
      <c r="AO208" s="4" t="str">
        <f t="shared" si="78"/>
        <v>-</v>
      </c>
      <c r="AP208" s="4" t="str">
        <f t="shared" si="79"/>
        <v>-</v>
      </c>
      <c r="AQ208" s="4" t="str">
        <f t="shared" si="80"/>
        <v>-</v>
      </c>
      <c r="AR208" s="4">
        <v>0</v>
      </c>
      <c r="AS208" s="4" t="s">
        <v>1280</v>
      </c>
      <c r="AT208" s="4"/>
      <c r="AU208" s="4"/>
      <c r="AV208" s="4" t="s">
        <v>1280</v>
      </c>
      <c r="AW208" s="4" t="s">
        <v>1280</v>
      </c>
      <c r="AX208" s="4" t="s">
        <v>1280</v>
      </c>
      <c r="AY208" s="4" t="s">
        <v>1280</v>
      </c>
      <c r="AZ208" s="4" t="str">
        <f t="shared" si="81"/>
        <v>-</v>
      </c>
      <c r="BA208" s="19">
        <v>4</v>
      </c>
      <c r="BB208" s="19">
        <v>8</v>
      </c>
      <c r="BC208" s="16">
        <v>18</v>
      </c>
      <c r="BD208" t="s">
        <v>1280</v>
      </c>
      <c r="BE208" t="s">
        <v>1280</v>
      </c>
      <c r="BF208" t="s">
        <v>1280</v>
      </c>
      <c r="BG208" t="str">
        <f t="shared" si="86"/>
        <v>-</v>
      </c>
      <c r="BH208">
        <v>991</v>
      </c>
      <c r="BI208">
        <v>991</v>
      </c>
      <c r="BJ208">
        <v>991</v>
      </c>
      <c r="BK208">
        <f t="shared" si="87"/>
        <v>1081.090909090909</v>
      </c>
      <c r="BL208" t="s">
        <v>1280</v>
      </c>
      <c r="BM208">
        <v>812</v>
      </c>
    </row>
    <row r="209" spans="1:65" x14ac:dyDescent="0.4">
      <c r="A209" s="3">
        <v>185</v>
      </c>
      <c r="B209" s="3">
        <v>185</v>
      </c>
      <c r="C209" s="4" t="s">
        <v>174</v>
      </c>
      <c r="D209" s="4" t="str">
        <f t="shared" si="66"/>
        <v>J3045N</v>
      </c>
      <c r="E209" s="4" t="s">
        <v>174</v>
      </c>
      <c r="F209" s="4" t="str">
        <f t="shared" si="82"/>
        <v>J3045N5</v>
      </c>
      <c r="G209" s="4" t="s">
        <v>820</v>
      </c>
      <c r="H209" s="5">
        <v>4974268838438</v>
      </c>
      <c r="I209" s="5">
        <v>5</v>
      </c>
      <c r="J209" s="5"/>
      <c r="K209" s="5">
        <v>1</v>
      </c>
      <c r="L209" s="5">
        <v>1</v>
      </c>
      <c r="M209" s="4">
        <v>1100</v>
      </c>
      <c r="N209" s="4">
        <v>1036</v>
      </c>
      <c r="O209" s="4">
        <v>660</v>
      </c>
      <c r="P209" s="6">
        <f t="shared" si="67"/>
        <v>0.36293436293436299</v>
      </c>
      <c r="Q209" s="4" t="s">
        <v>1280</v>
      </c>
      <c r="R209" s="4" t="s">
        <v>1280</v>
      </c>
      <c r="S209" s="4" t="s">
        <v>1280</v>
      </c>
      <c r="T209" s="4">
        <v>1200</v>
      </c>
      <c r="U209" s="4">
        <f t="shared" si="68"/>
        <v>1200</v>
      </c>
      <c r="V209" s="4">
        <v>720</v>
      </c>
      <c r="W209" s="4">
        <f t="shared" si="69"/>
        <v>720</v>
      </c>
      <c r="X209" s="4"/>
      <c r="Y209" s="21">
        <f t="shared" si="70"/>
        <v>1130</v>
      </c>
      <c r="Z209" s="6">
        <f t="shared" si="71"/>
        <v>0.36283185840707965</v>
      </c>
      <c r="AA209" s="4">
        <v>0</v>
      </c>
      <c r="AB209" s="4">
        <f t="shared" si="72"/>
        <v>908</v>
      </c>
      <c r="AC209" s="4">
        <f t="shared" si="83"/>
        <v>990.5454545454545</v>
      </c>
      <c r="AD209" s="6">
        <f t="shared" si="84"/>
        <v>0.27312775330396477</v>
      </c>
      <c r="AE209" s="4">
        <f t="shared" si="85"/>
        <v>1140</v>
      </c>
      <c r="AF209" s="7">
        <v>1080</v>
      </c>
      <c r="AG209" s="6">
        <f t="shared" si="73"/>
        <v>0.33333333333333337</v>
      </c>
      <c r="AH209" s="4">
        <f t="shared" si="74"/>
        <v>360</v>
      </c>
      <c r="AI209" s="28"/>
      <c r="AJ209" s="6"/>
      <c r="AK209" s="6"/>
      <c r="AL209" s="6">
        <f t="shared" si="75"/>
        <v>1.0909090909090908</v>
      </c>
      <c r="AM209" s="6">
        <f t="shared" si="76"/>
        <v>1.0424710424710424</v>
      </c>
      <c r="AN209" s="6">
        <f t="shared" si="77"/>
        <v>1.0909090909090908</v>
      </c>
      <c r="AO209" s="4" t="str">
        <f t="shared" si="78"/>
        <v>-</v>
      </c>
      <c r="AP209" s="4" t="str">
        <f t="shared" si="79"/>
        <v>-</v>
      </c>
      <c r="AQ209" s="4" t="str">
        <f t="shared" si="80"/>
        <v>-</v>
      </c>
      <c r="AR209" s="4">
        <v>0</v>
      </c>
      <c r="AS209" s="4" t="s">
        <v>1849</v>
      </c>
      <c r="AT209" s="4"/>
      <c r="AU209" s="4"/>
      <c r="AV209" s="4" t="s">
        <v>1843</v>
      </c>
      <c r="AW209" s="4">
        <v>908</v>
      </c>
      <c r="AX209" s="4">
        <v>908</v>
      </c>
      <c r="AY209" s="4">
        <v>908</v>
      </c>
      <c r="AZ209" s="4">
        <f t="shared" si="81"/>
        <v>908</v>
      </c>
      <c r="BA209" s="19">
        <v>4</v>
      </c>
      <c r="BB209" s="19">
        <v>8</v>
      </c>
      <c r="BC209" s="16">
        <v>18</v>
      </c>
      <c r="BD209" t="s">
        <v>1280</v>
      </c>
      <c r="BE209" t="s">
        <v>1280</v>
      </c>
      <c r="BF209" t="s">
        <v>1280</v>
      </c>
      <c r="BG209" t="str">
        <f t="shared" si="86"/>
        <v>-</v>
      </c>
      <c r="BH209">
        <v>991</v>
      </c>
      <c r="BI209">
        <v>991</v>
      </c>
      <c r="BJ209">
        <v>991</v>
      </c>
      <c r="BK209">
        <f t="shared" si="87"/>
        <v>1081.090909090909</v>
      </c>
      <c r="BL209" t="s">
        <v>1402</v>
      </c>
      <c r="BM209">
        <v>812</v>
      </c>
    </row>
    <row r="210" spans="1:65" x14ac:dyDescent="0.4">
      <c r="A210" s="3">
        <v>186</v>
      </c>
      <c r="B210" s="3">
        <v>186</v>
      </c>
      <c r="C210" s="4" t="s">
        <v>175</v>
      </c>
      <c r="D210" s="4" t="str">
        <f t="shared" si="66"/>
        <v>J3048N</v>
      </c>
      <c r="E210" s="4" t="s">
        <v>175</v>
      </c>
      <c r="F210" s="4" t="str">
        <f t="shared" si="82"/>
        <v>J3048N5</v>
      </c>
      <c r="G210" s="4" t="s">
        <v>821</v>
      </c>
      <c r="H210" s="5">
        <v>4974268838384</v>
      </c>
      <c r="I210" s="5">
        <v>5</v>
      </c>
      <c r="J210" s="5"/>
      <c r="K210" s="5">
        <v>1</v>
      </c>
      <c r="L210" s="5">
        <v>1</v>
      </c>
      <c r="M210" s="4">
        <v>1100</v>
      </c>
      <c r="N210" s="4">
        <v>1100</v>
      </c>
      <c r="O210" s="4">
        <v>660</v>
      </c>
      <c r="P210" s="6">
        <f t="shared" si="67"/>
        <v>0.4</v>
      </c>
      <c r="Q210" s="4" t="s">
        <v>1280</v>
      </c>
      <c r="R210" s="4" t="s">
        <v>1280</v>
      </c>
      <c r="S210" s="4" t="s">
        <v>1280</v>
      </c>
      <c r="T210" s="4">
        <v>1200</v>
      </c>
      <c r="U210" s="4">
        <f t="shared" si="68"/>
        <v>1200</v>
      </c>
      <c r="V210" s="4">
        <v>720</v>
      </c>
      <c r="W210" s="4">
        <f t="shared" si="69"/>
        <v>720</v>
      </c>
      <c r="X210" s="4"/>
      <c r="Y210" s="21">
        <f t="shared" si="70"/>
        <v>1200</v>
      </c>
      <c r="Z210" s="6">
        <f t="shared" si="71"/>
        <v>0.4</v>
      </c>
      <c r="AA210" s="4">
        <v>0.25</v>
      </c>
      <c r="AB210" s="4">
        <f t="shared" si="72"/>
        <v>1099</v>
      </c>
      <c r="AC210" s="4">
        <f t="shared" si="83"/>
        <v>1198.9090909090908</v>
      </c>
      <c r="AD210" s="6">
        <f t="shared" si="84"/>
        <v>0.39945404913557769</v>
      </c>
      <c r="AE210" s="4">
        <f t="shared" si="85"/>
        <v>1140</v>
      </c>
      <c r="AF210" s="7">
        <v>1080</v>
      </c>
      <c r="AG210" s="6">
        <f t="shared" si="73"/>
        <v>0.33333333333333337</v>
      </c>
      <c r="AH210" s="4">
        <f t="shared" si="74"/>
        <v>360</v>
      </c>
      <c r="AI210" s="28"/>
      <c r="AJ210" s="6"/>
      <c r="AK210" s="6"/>
      <c r="AL210" s="6">
        <f t="shared" si="75"/>
        <v>1.0909090909090908</v>
      </c>
      <c r="AM210" s="6">
        <f t="shared" si="76"/>
        <v>0.98181818181818181</v>
      </c>
      <c r="AN210" s="6">
        <f t="shared" si="77"/>
        <v>1.0909090909090908</v>
      </c>
      <c r="AO210" s="4" t="str">
        <f t="shared" si="78"/>
        <v>-</v>
      </c>
      <c r="AP210" s="4" t="str">
        <f t="shared" si="79"/>
        <v>-</v>
      </c>
      <c r="AQ210" s="4" t="str">
        <f t="shared" si="80"/>
        <v>-</v>
      </c>
      <c r="AR210" s="4">
        <v>0</v>
      </c>
      <c r="AS210" s="4" t="s">
        <v>1850</v>
      </c>
      <c r="AT210" s="4"/>
      <c r="AU210" s="4"/>
      <c r="AV210" s="4" t="s">
        <v>1843</v>
      </c>
      <c r="AW210" s="4">
        <v>1099</v>
      </c>
      <c r="AX210" s="4">
        <v>1099</v>
      </c>
      <c r="AY210" s="4">
        <v>1099</v>
      </c>
      <c r="AZ210" s="4">
        <f t="shared" si="81"/>
        <v>1099</v>
      </c>
      <c r="BA210" s="19">
        <v>4</v>
      </c>
      <c r="BB210" s="19">
        <v>8</v>
      </c>
      <c r="BC210" s="16">
        <v>18</v>
      </c>
      <c r="BD210" t="s">
        <v>1280</v>
      </c>
      <c r="BE210" t="s">
        <v>1280</v>
      </c>
      <c r="BF210" t="s">
        <v>1280</v>
      </c>
      <c r="BG210" t="str">
        <f t="shared" si="86"/>
        <v>-</v>
      </c>
      <c r="BH210">
        <v>991</v>
      </c>
      <c r="BI210">
        <v>991</v>
      </c>
      <c r="BJ210">
        <v>991</v>
      </c>
      <c r="BK210">
        <f t="shared" si="87"/>
        <v>1081.090909090909</v>
      </c>
      <c r="BL210" t="s">
        <v>1403</v>
      </c>
      <c r="BM210">
        <v>812</v>
      </c>
    </row>
    <row r="211" spans="1:65" x14ac:dyDescent="0.4">
      <c r="A211" s="3">
        <v>187</v>
      </c>
      <c r="B211" s="3">
        <v>187</v>
      </c>
      <c r="C211" s="4" t="s">
        <v>176</v>
      </c>
      <c r="D211" s="4" t="str">
        <f t="shared" si="66"/>
        <v>J3049N</v>
      </c>
      <c r="E211" s="4" t="s">
        <v>176</v>
      </c>
      <c r="F211" s="4" t="str">
        <f t="shared" si="82"/>
        <v>J3049N5</v>
      </c>
      <c r="G211" s="4" t="s">
        <v>822</v>
      </c>
      <c r="H211" s="5">
        <v>4974268838513</v>
      </c>
      <c r="I211" s="5">
        <v>5</v>
      </c>
      <c r="J211" s="5"/>
      <c r="K211" s="5">
        <v>1</v>
      </c>
      <c r="L211" s="5">
        <v>1</v>
      </c>
      <c r="M211" s="4">
        <v>1100</v>
      </c>
      <c r="N211" s="4">
        <v>1036</v>
      </c>
      <c r="O211" s="4">
        <v>660</v>
      </c>
      <c r="P211" s="6">
        <f t="shared" si="67"/>
        <v>0.36293436293436299</v>
      </c>
      <c r="Q211" s="4" t="s">
        <v>1280</v>
      </c>
      <c r="R211" s="4" t="s">
        <v>1280</v>
      </c>
      <c r="S211" s="4" t="s">
        <v>1280</v>
      </c>
      <c r="T211" s="4">
        <v>1200</v>
      </c>
      <c r="U211" s="4">
        <f t="shared" si="68"/>
        <v>1200</v>
      </c>
      <c r="V211" s="4">
        <v>720</v>
      </c>
      <c r="W211" s="4">
        <f t="shared" si="69"/>
        <v>720</v>
      </c>
      <c r="X211" s="4"/>
      <c r="Y211" s="21">
        <f t="shared" si="70"/>
        <v>1130</v>
      </c>
      <c r="Z211" s="6">
        <f t="shared" si="71"/>
        <v>0.36283185840707965</v>
      </c>
      <c r="AA211" s="4">
        <v>0.5</v>
      </c>
      <c r="AB211" s="4">
        <f t="shared" si="72"/>
        <v>860</v>
      </c>
      <c r="AC211" s="4">
        <f t="shared" si="83"/>
        <v>938.18181818181813</v>
      </c>
      <c r="AD211" s="6">
        <f t="shared" si="84"/>
        <v>0.23255813953488369</v>
      </c>
      <c r="AE211" s="4">
        <f t="shared" si="85"/>
        <v>1140</v>
      </c>
      <c r="AF211" s="7">
        <v>1080</v>
      </c>
      <c r="AG211" s="6">
        <f t="shared" si="73"/>
        <v>0.33333333333333337</v>
      </c>
      <c r="AH211" s="4">
        <f t="shared" si="74"/>
        <v>360</v>
      </c>
      <c r="AI211" s="28"/>
      <c r="AJ211" s="6"/>
      <c r="AK211" s="6"/>
      <c r="AL211" s="6">
        <f t="shared" si="75"/>
        <v>1.0909090909090908</v>
      </c>
      <c r="AM211" s="6">
        <f t="shared" si="76"/>
        <v>1.0424710424710424</v>
      </c>
      <c r="AN211" s="6">
        <f t="shared" si="77"/>
        <v>1.0909090909090908</v>
      </c>
      <c r="AO211" s="4" t="str">
        <f t="shared" si="78"/>
        <v>-</v>
      </c>
      <c r="AP211" s="4" t="str">
        <f t="shared" si="79"/>
        <v>-</v>
      </c>
      <c r="AQ211" s="4" t="str">
        <f t="shared" si="80"/>
        <v>-</v>
      </c>
      <c r="AR211" s="4">
        <v>0</v>
      </c>
      <c r="AS211" s="4" t="s">
        <v>1851</v>
      </c>
      <c r="AT211" s="4"/>
      <c r="AU211" s="4"/>
      <c r="AV211" s="4" t="s">
        <v>1843</v>
      </c>
      <c r="AW211" s="4">
        <v>860</v>
      </c>
      <c r="AX211" s="4">
        <v>860</v>
      </c>
      <c r="AY211" s="4">
        <v>860</v>
      </c>
      <c r="AZ211" s="4">
        <f t="shared" si="81"/>
        <v>860</v>
      </c>
      <c r="BA211" s="19">
        <v>4</v>
      </c>
      <c r="BB211" s="19">
        <v>8</v>
      </c>
      <c r="BC211" s="16">
        <v>18</v>
      </c>
      <c r="BD211" t="s">
        <v>1280</v>
      </c>
      <c r="BE211" t="s">
        <v>1280</v>
      </c>
      <c r="BF211" t="s">
        <v>1280</v>
      </c>
      <c r="BG211" t="str">
        <f t="shared" si="86"/>
        <v>-</v>
      </c>
      <c r="BH211">
        <v>991</v>
      </c>
      <c r="BI211">
        <v>991</v>
      </c>
      <c r="BJ211">
        <v>991</v>
      </c>
      <c r="BK211">
        <f t="shared" si="87"/>
        <v>1081.090909090909</v>
      </c>
      <c r="BL211" t="s">
        <v>1404</v>
      </c>
      <c r="BM211">
        <v>812</v>
      </c>
    </row>
    <row r="212" spans="1:65" x14ac:dyDescent="0.4">
      <c r="A212" s="3">
        <v>188</v>
      </c>
      <c r="B212" s="3">
        <v>188</v>
      </c>
      <c r="C212" s="4" t="s">
        <v>177</v>
      </c>
      <c r="D212" s="4" t="str">
        <f t="shared" si="66"/>
        <v>J3046N</v>
      </c>
      <c r="E212" s="4" t="s">
        <v>177</v>
      </c>
      <c r="F212" s="4" t="str">
        <f t="shared" si="82"/>
        <v>J3046N5</v>
      </c>
      <c r="G212" s="4" t="s">
        <v>823</v>
      </c>
      <c r="H212" s="5">
        <v>4974268838360</v>
      </c>
      <c r="I212" s="5">
        <v>5</v>
      </c>
      <c r="J212" s="5"/>
      <c r="K212" s="5">
        <v>1</v>
      </c>
      <c r="L212" s="5">
        <v>1</v>
      </c>
      <c r="M212" s="4">
        <v>1100</v>
      </c>
      <c r="N212" s="4">
        <v>1111</v>
      </c>
      <c r="O212" s="4">
        <v>660</v>
      </c>
      <c r="P212" s="6">
        <f t="shared" si="67"/>
        <v>0.40594059405940597</v>
      </c>
      <c r="Q212" s="4" t="s">
        <v>1280</v>
      </c>
      <c r="R212" s="4" t="s">
        <v>1280</v>
      </c>
      <c r="S212" s="4" t="s">
        <v>1280</v>
      </c>
      <c r="T212" s="4">
        <v>1200</v>
      </c>
      <c r="U212" s="4">
        <f t="shared" si="68"/>
        <v>1200</v>
      </c>
      <c r="V212" s="4">
        <v>720</v>
      </c>
      <c r="W212" s="4">
        <f t="shared" si="69"/>
        <v>720</v>
      </c>
      <c r="X212" s="4"/>
      <c r="Y212" s="21">
        <f t="shared" si="70"/>
        <v>1212</v>
      </c>
      <c r="Z212" s="6">
        <f t="shared" si="71"/>
        <v>0.40594059405940597</v>
      </c>
      <c r="AA212" s="4">
        <v>0.25</v>
      </c>
      <c r="AB212" s="4" t="str">
        <f t="shared" si="72"/>
        <v>-</v>
      </c>
      <c r="AC212" s="4" t="str">
        <f t="shared" si="83"/>
        <v>-</v>
      </c>
      <c r="AD212" s="6" t="str">
        <f t="shared" si="84"/>
        <v>-</v>
      </c>
      <c r="AE212" s="4">
        <f t="shared" si="85"/>
        <v>1140</v>
      </c>
      <c r="AF212" s="7">
        <v>1080</v>
      </c>
      <c r="AG212" s="6">
        <f t="shared" si="73"/>
        <v>0.33333333333333337</v>
      </c>
      <c r="AH212" s="4">
        <f t="shared" si="74"/>
        <v>360</v>
      </c>
      <c r="AI212" s="28"/>
      <c r="AJ212" s="6"/>
      <c r="AK212" s="6"/>
      <c r="AL212" s="6">
        <f t="shared" si="75"/>
        <v>1.0909090909090908</v>
      </c>
      <c r="AM212" s="6">
        <f t="shared" si="76"/>
        <v>0.97209720972097213</v>
      </c>
      <c r="AN212" s="6">
        <f t="shared" si="77"/>
        <v>1.0909090909090908</v>
      </c>
      <c r="AO212" s="4" t="str">
        <f t="shared" si="78"/>
        <v>-</v>
      </c>
      <c r="AP212" s="4" t="str">
        <f t="shared" si="79"/>
        <v>-</v>
      </c>
      <c r="AQ212" s="4" t="str">
        <f t="shared" si="80"/>
        <v>-</v>
      </c>
      <c r="AR212" s="4">
        <v>0</v>
      </c>
      <c r="AS212" s="4" t="s">
        <v>1280</v>
      </c>
      <c r="AT212" s="4"/>
      <c r="AU212" s="4"/>
      <c r="AV212" s="4" t="s">
        <v>1280</v>
      </c>
      <c r="AW212" s="4" t="s">
        <v>1280</v>
      </c>
      <c r="AX212" s="4" t="s">
        <v>1280</v>
      </c>
      <c r="AY212" s="4" t="s">
        <v>1280</v>
      </c>
      <c r="AZ212" s="4" t="str">
        <f t="shared" si="81"/>
        <v>-</v>
      </c>
      <c r="BA212" s="19">
        <v>4</v>
      </c>
      <c r="BB212" s="19">
        <v>8</v>
      </c>
      <c r="BC212" s="16">
        <v>18</v>
      </c>
      <c r="BD212">
        <v>1000</v>
      </c>
      <c r="BE212">
        <v>1000</v>
      </c>
      <c r="BF212">
        <v>1000</v>
      </c>
      <c r="BG212">
        <f t="shared" si="86"/>
        <v>1090.9090909090908</v>
      </c>
      <c r="BH212">
        <v>991</v>
      </c>
      <c r="BI212">
        <v>991</v>
      </c>
      <c r="BJ212">
        <v>991</v>
      </c>
      <c r="BK212">
        <f t="shared" si="87"/>
        <v>1081.090909090909</v>
      </c>
      <c r="BL212" t="s">
        <v>1280</v>
      </c>
      <c r="BM212">
        <v>812</v>
      </c>
    </row>
    <row r="213" spans="1:65" x14ac:dyDescent="0.4">
      <c r="A213" s="3">
        <v>189</v>
      </c>
      <c r="B213" s="3">
        <v>189</v>
      </c>
      <c r="C213" s="4" t="s">
        <v>178</v>
      </c>
      <c r="D213" s="4" t="str">
        <f t="shared" si="66"/>
        <v>J3051N</v>
      </c>
      <c r="E213" s="4" t="s">
        <v>178</v>
      </c>
      <c r="F213" s="4" t="str">
        <f t="shared" si="82"/>
        <v>J3051N5</v>
      </c>
      <c r="G213" s="4" t="s">
        <v>824</v>
      </c>
      <c r="H213" s="5">
        <v>4974268838476</v>
      </c>
      <c r="I213" s="5">
        <v>5</v>
      </c>
      <c r="J213" s="5"/>
      <c r="K213" s="5">
        <v>1</v>
      </c>
      <c r="L213" s="5">
        <v>1</v>
      </c>
      <c r="M213" s="4">
        <v>1100</v>
      </c>
      <c r="N213" s="4">
        <v>1111</v>
      </c>
      <c r="O213" s="4">
        <v>660</v>
      </c>
      <c r="P213" s="6">
        <f t="shared" si="67"/>
        <v>0.40594059405940597</v>
      </c>
      <c r="Q213" s="4" t="s">
        <v>1280</v>
      </c>
      <c r="R213" s="4" t="s">
        <v>1280</v>
      </c>
      <c r="S213" s="4" t="s">
        <v>1280</v>
      </c>
      <c r="T213" s="4">
        <v>1200</v>
      </c>
      <c r="U213" s="4">
        <f t="shared" si="68"/>
        <v>1200</v>
      </c>
      <c r="V213" s="4">
        <v>720</v>
      </c>
      <c r="W213" s="4">
        <f t="shared" si="69"/>
        <v>720</v>
      </c>
      <c r="X213" s="4"/>
      <c r="Y213" s="21">
        <f t="shared" si="70"/>
        <v>1212</v>
      </c>
      <c r="Z213" s="6">
        <f t="shared" si="71"/>
        <v>0.40594059405940597</v>
      </c>
      <c r="AA213" s="4">
        <v>0.25</v>
      </c>
      <c r="AB213" s="4" t="str">
        <f t="shared" si="72"/>
        <v>-</v>
      </c>
      <c r="AC213" s="4" t="str">
        <f t="shared" si="83"/>
        <v>-</v>
      </c>
      <c r="AD213" s="6" t="str">
        <f t="shared" si="84"/>
        <v>-</v>
      </c>
      <c r="AE213" s="4">
        <f t="shared" si="85"/>
        <v>1140</v>
      </c>
      <c r="AF213" s="7">
        <v>1080</v>
      </c>
      <c r="AG213" s="6">
        <f t="shared" si="73"/>
        <v>0.33333333333333337</v>
      </c>
      <c r="AH213" s="4">
        <f t="shared" si="74"/>
        <v>360</v>
      </c>
      <c r="AI213" s="28"/>
      <c r="AJ213" s="6"/>
      <c r="AK213" s="6"/>
      <c r="AL213" s="6">
        <f t="shared" si="75"/>
        <v>1.0909090909090908</v>
      </c>
      <c r="AM213" s="6">
        <f t="shared" si="76"/>
        <v>0.97209720972097213</v>
      </c>
      <c r="AN213" s="6">
        <f t="shared" si="77"/>
        <v>1.0909090909090908</v>
      </c>
      <c r="AO213" s="4" t="str">
        <f t="shared" si="78"/>
        <v>-</v>
      </c>
      <c r="AP213" s="4" t="str">
        <f t="shared" si="79"/>
        <v>-</v>
      </c>
      <c r="AQ213" s="4" t="str">
        <f t="shared" si="80"/>
        <v>-</v>
      </c>
      <c r="AR213" s="4">
        <v>0</v>
      </c>
      <c r="AS213" s="4" t="s">
        <v>1280</v>
      </c>
      <c r="AT213" s="4"/>
      <c r="AU213" s="4"/>
      <c r="AV213" s="4" t="s">
        <v>1280</v>
      </c>
      <c r="AW213" s="4" t="s">
        <v>1280</v>
      </c>
      <c r="AX213" s="4" t="s">
        <v>1280</v>
      </c>
      <c r="AY213" s="4" t="s">
        <v>1280</v>
      </c>
      <c r="AZ213" s="4" t="str">
        <f t="shared" si="81"/>
        <v>-</v>
      </c>
      <c r="BA213" s="19">
        <v>4</v>
      </c>
      <c r="BB213" s="19">
        <v>8</v>
      </c>
      <c r="BC213" s="16">
        <v>18</v>
      </c>
      <c r="BD213" t="s">
        <v>1280</v>
      </c>
      <c r="BE213" t="s">
        <v>1280</v>
      </c>
      <c r="BF213" t="s">
        <v>1280</v>
      </c>
      <c r="BG213" t="str">
        <f t="shared" si="86"/>
        <v>-</v>
      </c>
      <c r="BH213">
        <v>991</v>
      </c>
      <c r="BI213">
        <v>991</v>
      </c>
      <c r="BJ213">
        <v>991</v>
      </c>
      <c r="BK213">
        <f t="shared" si="87"/>
        <v>1081.090909090909</v>
      </c>
      <c r="BL213" t="s">
        <v>1280</v>
      </c>
      <c r="BM213">
        <v>812</v>
      </c>
    </row>
    <row r="214" spans="1:65" x14ac:dyDescent="0.4">
      <c r="A214" s="3">
        <v>196</v>
      </c>
      <c r="B214" s="3">
        <v>196</v>
      </c>
      <c r="C214" s="4" t="s">
        <v>185</v>
      </c>
      <c r="D214" s="4" t="str">
        <f t="shared" si="66"/>
        <v>J3050N</v>
      </c>
      <c r="E214" s="4" t="s">
        <v>185</v>
      </c>
      <c r="F214" s="4" t="str">
        <f t="shared" si="82"/>
        <v>J3050N5</v>
      </c>
      <c r="G214" s="4" t="s">
        <v>831</v>
      </c>
      <c r="H214" s="5">
        <v>4974268838520</v>
      </c>
      <c r="I214" s="5">
        <v>5</v>
      </c>
      <c r="J214" s="5"/>
      <c r="K214" s="5">
        <v>1</v>
      </c>
      <c r="L214" s="5">
        <v>1</v>
      </c>
      <c r="M214" s="4">
        <v>1100</v>
      </c>
      <c r="N214" s="4">
        <v>1111</v>
      </c>
      <c r="O214" s="4">
        <v>660</v>
      </c>
      <c r="P214" s="6">
        <f t="shared" si="67"/>
        <v>0.40594059405940597</v>
      </c>
      <c r="Q214" s="4" t="s">
        <v>1280</v>
      </c>
      <c r="R214" s="4" t="s">
        <v>1280</v>
      </c>
      <c r="S214" s="4" t="s">
        <v>1280</v>
      </c>
      <c r="T214" s="4">
        <v>1200</v>
      </c>
      <c r="U214" s="4">
        <f t="shared" si="68"/>
        <v>1200</v>
      </c>
      <c r="V214" s="4">
        <v>720</v>
      </c>
      <c r="W214" s="4">
        <f t="shared" si="69"/>
        <v>720</v>
      </c>
      <c r="X214" s="4"/>
      <c r="Y214" s="21">
        <f t="shared" si="70"/>
        <v>1212</v>
      </c>
      <c r="Z214" s="6">
        <f t="shared" si="71"/>
        <v>0.40594059405940597</v>
      </c>
      <c r="AA214" s="4">
        <v>0</v>
      </c>
      <c r="AB214" s="4">
        <f t="shared" si="72"/>
        <v>908</v>
      </c>
      <c r="AC214" s="4">
        <f t="shared" si="83"/>
        <v>990.5454545454545</v>
      </c>
      <c r="AD214" s="6">
        <f t="shared" si="84"/>
        <v>0.27312775330396477</v>
      </c>
      <c r="AE214" s="4">
        <f t="shared" si="85"/>
        <v>1140</v>
      </c>
      <c r="AF214" s="7">
        <v>1080</v>
      </c>
      <c r="AG214" s="6">
        <f t="shared" si="73"/>
        <v>0.33333333333333337</v>
      </c>
      <c r="AH214" s="4">
        <f t="shared" si="74"/>
        <v>360</v>
      </c>
      <c r="AI214" s="28"/>
      <c r="AJ214" s="6"/>
      <c r="AK214" s="6"/>
      <c r="AL214" s="6">
        <f t="shared" si="75"/>
        <v>1.0909090909090908</v>
      </c>
      <c r="AM214" s="6">
        <f t="shared" si="76"/>
        <v>0.97209720972097213</v>
      </c>
      <c r="AN214" s="6">
        <f t="shared" si="77"/>
        <v>1.0909090909090908</v>
      </c>
      <c r="AO214" s="4" t="str">
        <f t="shared" si="78"/>
        <v>-</v>
      </c>
      <c r="AP214" s="4" t="str">
        <f t="shared" si="79"/>
        <v>-</v>
      </c>
      <c r="AQ214" s="4" t="str">
        <f t="shared" si="80"/>
        <v>-</v>
      </c>
      <c r="AR214" s="4">
        <v>0</v>
      </c>
      <c r="AS214" s="4" t="s">
        <v>1856</v>
      </c>
      <c r="AT214" s="4"/>
      <c r="AU214" s="4"/>
      <c r="AV214" s="4" t="s">
        <v>1843</v>
      </c>
      <c r="AW214" s="4">
        <v>908</v>
      </c>
      <c r="AX214" s="4">
        <v>908</v>
      </c>
      <c r="AY214" s="4">
        <v>908</v>
      </c>
      <c r="AZ214" s="4">
        <f t="shared" si="81"/>
        <v>908</v>
      </c>
      <c r="BA214" s="19">
        <v>4</v>
      </c>
      <c r="BB214" s="19">
        <v>8</v>
      </c>
      <c r="BC214" s="16">
        <v>18</v>
      </c>
      <c r="BD214" t="s">
        <v>1280</v>
      </c>
      <c r="BE214" t="s">
        <v>1280</v>
      </c>
      <c r="BF214" t="s">
        <v>1280</v>
      </c>
      <c r="BG214" t="str">
        <f t="shared" si="86"/>
        <v>-</v>
      </c>
      <c r="BH214">
        <v>991</v>
      </c>
      <c r="BI214">
        <v>991</v>
      </c>
      <c r="BJ214">
        <v>991</v>
      </c>
      <c r="BK214">
        <f t="shared" si="87"/>
        <v>1081.090909090909</v>
      </c>
      <c r="BL214" t="s">
        <v>1409</v>
      </c>
      <c r="BM214">
        <v>812</v>
      </c>
    </row>
    <row r="215" spans="1:65" x14ac:dyDescent="0.4">
      <c r="A215" s="3">
        <v>301</v>
      </c>
      <c r="B215" s="3">
        <v>301</v>
      </c>
      <c r="C215" s="4" t="s">
        <v>290</v>
      </c>
      <c r="D215" s="4" t="str">
        <f t="shared" si="66"/>
        <v>J39045</v>
      </c>
      <c r="E215" s="4" t="s">
        <v>290</v>
      </c>
      <c r="F215" s="4" t="str">
        <f t="shared" si="82"/>
        <v>J390455</v>
      </c>
      <c r="G215" s="4" t="s">
        <v>936</v>
      </c>
      <c r="H215" s="5">
        <v>4974268153418</v>
      </c>
      <c r="I215" s="5">
        <v>5</v>
      </c>
      <c r="J215" s="5"/>
      <c r="K215" s="5">
        <v>1</v>
      </c>
      <c r="L215" s="5">
        <v>1</v>
      </c>
      <c r="M215" s="4">
        <v>1100</v>
      </c>
      <c r="N215" s="4">
        <v>1122</v>
      </c>
      <c r="O215" s="4">
        <v>660</v>
      </c>
      <c r="P215" s="6">
        <f t="shared" si="67"/>
        <v>0.41176470588235292</v>
      </c>
      <c r="Q215" s="4" t="s">
        <v>1280</v>
      </c>
      <c r="R215" s="4" t="s">
        <v>1280</v>
      </c>
      <c r="S215" s="4" t="s">
        <v>1280</v>
      </c>
      <c r="T215" s="4">
        <v>1200</v>
      </c>
      <c r="U215" s="4">
        <f t="shared" si="68"/>
        <v>1200</v>
      </c>
      <c r="V215" s="4">
        <v>720</v>
      </c>
      <c r="W215" s="4">
        <f t="shared" si="69"/>
        <v>720</v>
      </c>
      <c r="X215" s="4"/>
      <c r="Y215" s="21">
        <f t="shared" si="70"/>
        <v>1224</v>
      </c>
      <c r="Z215" s="6">
        <f t="shared" si="71"/>
        <v>0.41176470588235292</v>
      </c>
      <c r="AA215" s="4">
        <v>4.25</v>
      </c>
      <c r="AB215" s="4">
        <f t="shared" si="72"/>
        <v>1088</v>
      </c>
      <c r="AC215" s="4">
        <f t="shared" si="83"/>
        <v>1186.9090909090908</v>
      </c>
      <c r="AD215" s="6">
        <f t="shared" si="84"/>
        <v>0.39338235294117641</v>
      </c>
      <c r="AE215" s="4">
        <f t="shared" si="85"/>
        <v>1140</v>
      </c>
      <c r="AF215" s="7">
        <v>1130</v>
      </c>
      <c r="AG215" s="6">
        <f t="shared" si="73"/>
        <v>0.36283185840707965</v>
      </c>
      <c r="AH215" s="4">
        <f t="shared" si="74"/>
        <v>410</v>
      </c>
      <c r="AI215" s="28"/>
      <c r="AJ215" s="6"/>
      <c r="AK215" s="6"/>
      <c r="AL215" s="6">
        <f t="shared" si="75"/>
        <v>1.0909090909090908</v>
      </c>
      <c r="AM215" s="6">
        <f t="shared" si="76"/>
        <v>1.0071301247771836</v>
      </c>
      <c r="AN215" s="6">
        <f t="shared" si="77"/>
        <v>1.0909090909090908</v>
      </c>
      <c r="AO215" s="4" t="str">
        <f t="shared" si="78"/>
        <v>-</v>
      </c>
      <c r="AP215" s="4" t="str">
        <f t="shared" si="79"/>
        <v>-</v>
      </c>
      <c r="AQ215" s="4" t="str">
        <f t="shared" si="80"/>
        <v>-</v>
      </c>
      <c r="AR215" s="4">
        <v>0</v>
      </c>
      <c r="AS215" s="4" t="s">
        <v>1929</v>
      </c>
      <c r="AT215" s="4"/>
      <c r="AU215" s="4"/>
      <c r="AV215" s="4" t="s">
        <v>1930</v>
      </c>
      <c r="AW215" s="4">
        <v>1088</v>
      </c>
      <c r="AX215" s="4">
        <v>1088</v>
      </c>
      <c r="AY215" s="4">
        <v>1088</v>
      </c>
      <c r="AZ215" s="4">
        <f t="shared" si="81"/>
        <v>1088</v>
      </c>
      <c r="BA215" s="19">
        <v>4</v>
      </c>
      <c r="BB215" s="19">
        <v>1</v>
      </c>
      <c r="BC215" s="16">
        <v>18</v>
      </c>
      <c r="BD215" t="s">
        <v>1280</v>
      </c>
      <c r="BE215" t="s">
        <v>1280</v>
      </c>
      <c r="BF215" t="s">
        <v>1280</v>
      </c>
      <c r="BG215" t="str">
        <f t="shared" si="86"/>
        <v>-</v>
      </c>
      <c r="BH215">
        <v>1091</v>
      </c>
      <c r="BI215">
        <v>1091</v>
      </c>
      <c r="BJ215">
        <v>1091</v>
      </c>
      <c r="BK215">
        <f t="shared" si="87"/>
        <v>1190.181818181818</v>
      </c>
      <c r="BL215" t="s">
        <v>1461</v>
      </c>
      <c r="BM215">
        <v>812</v>
      </c>
    </row>
    <row r="216" spans="1:65" x14ac:dyDescent="0.4">
      <c r="A216" s="3">
        <v>461</v>
      </c>
      <c r="B216" s="3">
        <v>461</v>
      </c>
      <c r="C216" s="4" t="s">
        <v>450</v>
      </c>
      <c r="D216" s="4" t="str">
        <f t="shared" si="66"/>
        <v>J54537</v>
      </c>
      <c r="E216" s="4" t="s">
        <v>450</v>
      </c>
      <c r="F216" s="4" t="str">
        <f t="shared" si="82"/>
        <v>J545375</v>
      </c>
      <c r="G216" s="4" t="s">
        <v>1094</v>
      </c>
      <c r="H216" s="5">
        <v>4974268567185</v>
      </c>
      <c r="I216" s="5">
        <v>5</v>
      </c>
      <c r="J216" s="5"/>
      <c r="K216" s="5">
        <v>1</v>
      </c>
      <c r="L216" s="5">
        <v>1</v>
      </c>
      <c r="M216" s="4">
        <v>5500</v>
      </c>
      <c r="N216" s="4">
        <v>4521</v>
      </c>
      <c r="O216" s="4">
        <v>3300</v>
      </c>
      <c r="P216" s="6">
        <f t="shared" si="67"/>
        <v>0.27007299270072993</v>
      </c>
      <c r="Q216" s="4" t="s">
        <v>1280</v>
      </c>
      <c r="R216" s="4" t="s">
        <v>1280</v>
      </c>
      <c r="S216" s="4" t="s">
        <v>1280</v>
      </c>
      <c r="T216" s="4">
        <v>1200</v>
      </c>
      <c r="U216" s="4">
        <f t="shared" si="68"/>
        <v>6000</v>
      </c>
      <c r="V216" s="4">
        <v>720</v>
      </c>
      <c r="W216" s="4">
        <f t="shared" si="69"/>
        <v>3600</v>
      </c>
      <c r="X216" s="4">
        <v>5</v>
      </c>
      <c r="Y216" s="21">
        <f t="shared" si="70"/>
        <v>4932</v>
      </c>
      <c r="Z216" s="6">
        <f t="shared" si="71"/>
        <v>0.27007299270072993</v>
      </c>
      <c r="AA216" s="4">
        <v>0</v>
      </c>
      <c r="AB216" s="4">
        <f t="shared" si="72"/>
        <v>4210</v>
      </c>
      <c r="AC216" s="4">
        <f t="shared" si="83"/>
        <v>4592.7272727272721</v>
      </c>
      <c r="AD216" s="6">
        <f t="shared" si="84"/>
        <v>0.21615201900237513</v>
      </c>
      <c r="AE216" s="4">
        <f t="shared" si="85"/>
        <v>5700</v>
      </c>
      <c r="AF216" s="7">
        <v>4592</v>
      </c>
      <c r="AG216" s="6">
        <f t="shared" si="73"/>
        <v>0.21602787456445993</v>
      </c>
      <c r="AH216" s="4">
        <f t="shared" si="74"/>
        <v>992</v>
      </c>
      <c r="AI216" s="28"/>
      <c r="AJ216" s="6"/>
      <c r="AK216" s="6"/>
      <c r="AL216" s="6">
        <f t="shared" si="75"/>
        <v>1.0909090909090908</v>
      </c>
      <c r="AM216" s="6">
        <f t="shared" si="76"/>
        <v>1.0157044901570449</v>
      </c>
      <c r="AN216" s="6">
        <f t="shared" si="77"/>
        <v>1.0909090909090908</v>
      </c>
      <c r="AO216" s="4" t="str">
        <f t="shared" si="78"/>
        <v>-</v>
      </c>
      <c r="AP216" s="4" t="str">
        <f t="shared" si="79"/>
        <v>-</v>
      </c>
      <c r="AQ216" s="4" t="str">
        <f t="shared" si="80"/>
        <v>-</v>
      </c>
      <c r="AR216" s="4">
        <v>0</v>
      </c>
      <c r="AS216" s="4" t="s">
        <v>2020</v>
      </c>
      <c r="AT216" s="4">
        <v>5</v>
      </c>
      <c r="AU216" s="4">
        <v>1</v>
      </c>
      <c r="AV216" s="4" t="s">
        <v>1733</v>
      </c>
      <c r="AW216" s="4">
        <v>842</v>
      </c>
      <c r="AX216" s="4">
        <v>842</v>
      </c>
      <c r="AY216" s="4">
        <v>842</v>
      </c>
      <c r="AZ216" s="4">
        <f t="shared" si="81"/>
        <v>4210</v>
      </c>
      <c r="BA216" s="19">
        <v>4</v>
      </c>
      <c r="BB216" s="19">
        <v>8</v>
      </c>
      <c r="BC216" s="16">
        <v>18</v>
      </c>
      <c r="BD216" t="s">
        <v>1280</v>
      </c>
      <c r="BE216" t="s">
        <v>1280</v>
      </c>
      <c r="BF216" t="s">
        <v>1280</v>
      </c>
      <c r="BG216" t="str">
        <f t="shared" si="86"/>
        <v>-</v>
      </c>
      <c r="BH216" t="s">
        <v>1280</v>
      </c>
      <c r="BI216" t="s">
        <v>1280</v>
      </c>
      <c r="BJ216" t="s">
        <v>1280</v>
      </c>
      <c r="BK216" t="str">
        <f t="shared" si="87"/>
        <v>-</v>
      </c>
      <c r="BL216" t="s">
        <v>1535</v>
      </c>
      <c r="BM216">
        <v>812</v>
      </c>
    </row>
    <row r="217" spans="1:65" x14ac:dyDescent="0.4">
      <c r="A217" s="3">
        <v>462</v>
      </c>
      <c r="B217" s="3">
        <v>462</v>
      </c>
      <c r="C217" s="4" t="s">
        <v>451</v>
      </c>
      <c r="D217" s="4" t="str">
        <f t="shared" si="66"/>
        <v>J54538</v>
      </c>
      <c r="E217" s="4" t="s">
        <v>451</v>
      </c>
      <c r="F217" s="4" t="str">
        <f t="shared" si="82"/>
        <v>J545385</v>
      </c>
      <c r="G217" s="4" t="s">
        <v>1095</v>
      </c>
      <c r="H217" s="5">
        <v>4974268567192</v>
      </c>
      <c r="I217" s="5">
        <v>5</v>
      </c>
      <c r="J217" s="5"/>
      <c r="K217" s="5">
        <v>1</v>
      </c>
      <c r="L217" s="5">
        <v>1</v>
      </c>
      <c r="M217" s="4">
        <v>5500</v>
      </c>
      <c r="N217" s="4">
        <v>4180</v>
      </c>
      <c r="O217" s="4">
        <v>3300</v>
      </c>
      <c r="P217" s="6">
        <f t="shared" si="67"/>
        <v>0.21052631578947367</v>
      </c>
      <c r="Q217" s="4" t="s">
        <v>1280</v>
      </c>
      <c r="R217" s="4" t="s">
        <v>1280</v>
      </c>
      <c r="S217" s="4" t="s">
        <v>1280</v>
      </c>
      <c r="T217" s="4">
        <v>1200</v>
      </c>
      <c r="U217" s="4">
        <f t="shared" si="68"/>
        <v>6000</v>
      </c>
      <c r="V217" s="4">
        <v>720</v>
      </c>
      <c r="W217" s="4">
        <f t="shared" si="69"/>
        <v>3600</v>
      </c>
      <c r="X217" s="4">
        <v>5</v>
      </c>
      <c r="Y217" s="21">
        <f t="shared" si="70"/>
        <v>4560</v>
      </c>
      <c r="Z217" s="6">
        <f t="shared" si="71"/>
        <v>0.21052631578947367</v>
      </c>
      <c r="AA217" s="4">
        <v>0</v>
      </c>
      <c r="AB217" s="4">
        <f t="shared" si="72"/>
        <v>4210</v>
      </c>
      <c r="AC217" s="4">
        <f t="shared" si="83"/>
        <v>4592.7272727272721</v>
      </c>
      <c r="AD217" s="6">
        <f t="shared" si="84"/>
        <v>0.21615201900237513</v>
      </c>
      <c r="AE217" s="4">
        <f t="shared" si="85"/>
        <v>5700</v>
      </c>
      <c r="AF217" s="7">
        <v>4592</v>
      </c>
      <c r="AG217" s="6">
        <f t="shared" si="73"/>
        <v>0.21602787456445993</v>
      </c>
      <c r="AH217" s="4">
        <f t="shared" si="74"/>
        <v>992</v>
      </c>
      <c r="AI217" s="28"/>
      <c r="AJ217" s="6"/>
      <c r="AK217" s="6"/>
      <c r="AL217" s="6">
        <f t="shared" si="75"/>
        <v>1.0909090909090908</v>
      </c>
      <c r="AM217" s="6">
        <f t="shared" si="76"/>
        <v>1.0985645933014354</v>
      </c>
      <c r="AN217" s="6">
        <f t="shared" si="77"/>
        <v>1.0909090909090908</v>
      </c>
      <c r="AO217" s="4" t="str">
        <f t="shared" si="78"/>
        <v>-</v>
      </c>
      <c r="AP217" s="4" t="str">
        <f t="shared" si="79"/>
        <v>-</v>
      </c>
      <c r="AQ217" s="4" t="str">
        <f t="shared" si="80"/>
        <v>-</v>
      </c>
      <c r="AR217" s="4">
        <v>0</v>
      </c>
      <c r="AS217" s="4" t="s">
        <v>2021</v>
      </c>
      <c r="AT217" s="4">
        <v>5</v>
      </c>
      <c r="AU217" s="4">
        <v>1</v>
      </c>
      <c r="AV217" s="4" t="s">
        <v>1733</v>
      </c>
      <c r="AW217" s="4">
        <v>842</v>
      </c>
      <c r="AX217" s="4">
        <v>842</v>
      </c>
      <c r="AY217" s="4">
        <v>842</v>
      </c>
      <c r="AZ217" s="4">
        <f t="shared" si="81"/>
        <v>4210</v>
      </c>
      <c r="BA217" s="19">
        <v>4</v>
      </c>
      <c r="BB217" s="19">
        <v>8</v>
      </c>
      <c r="BC217" s="16">
        <v>18</v>
      </c>
      <c r="BD217" t="s">
        <v>1280</v>
      </c>
      <c r="BE217" t="s">
        <v>1280</v>
      </c>
      <c r="BF217" t="s">
        <v>1280</v>
      </c>
      <c r="BG217" t="str">
        <f t="shared" si="86"/>
        <v>-</v>
      </c>
      <c r="BH217" t="s">
        <v>1280</v>
      </c>
      <c r="BI217" t="s">
        <v>1280</v>
      </c>
      <c r="BJ217" t="s">
        <v>1280</v>
      </c>
      <c r="BK217" t="str">
        <f t="shared" si="87"/>
        <v>-</v>
      </c>
      <c r="BL217" t="s">
        <v>1536</v>
      </c>
      <c r="BM217">
        <v>812</v>
      </c>
    </row>
    <row r="218" spans="1:65" x14ac:dyDescent="0.4">
      <c r="A218" s="3">
        <v>503</v>
      </c>
      <c r="B218" s="3">
        <v>503</v>
      </c>
      <c r="C218" s="4" t="s">
        <v>492</v>
      </c>
      <c r="D218" s="4" t="str">
        <f t="shared" si="66"/>
        <v>J759RZ</v>
      </c>
      <c r="E218" s="4" t="s">
        <v>492</v>
      </c>
      <c r="F218" s="4" t="str">
        <f t="shared" si="82"/>
        <v>J759RZ5</v>
      </c>
      <c r="G218" s="4" t="s">
        <v>1136</v>
      </c>
      <c r="H218" s="5">
        <v>4974268697738</v>
      </c>
      <c r="I218" s="5">
        <v>5</v>
      </c>
      <c r="J218" s="5"/>
      <c r="K218" s="5">
        <v>1</v>
      </c>
      <c r="L218" s="5">
        <v>1</v>
      </c>
      <c r="M218" s="4">
        <v>800</v>
      </c>
      <c r="N218" s="4">
        <v>800</v>
      </c>
      <c r="O218" s="4">
        <v>640</v>
      </c>
      <c r="P218" s="6">
        <f t="shared" si="67"/>
        <v>0.19999999999999996</v>
      </c>
      <c r="Q218" s="4" t="s">
        <v>1280</v>
      </c>
      <c r="R218" s="4" t="s">
        <v>1280</v>
      </c>
      <c r="S218" s="4" t="s">
        <v>1280</v>
      </c>
      <c r="T218" s="4">
        <v>900</v>
      </c>
      <c r="U218" s="4">
        <f t="shared" si="68"/>
        <v>900</v>
      </c>
      <c r="V218" s="4">
        <v>720</v>
      </c>
      <c r="W218" s="4">
        <f t="shared" si="69"/>
        <v>720</v>
      </c>
      <c r="X218" s="4"/>
      <c r="Y218" s="21">
        <f t="shared" si="70"/>
        <v>900</v>
      </c>
      <c r="Z218" s="6">
        <f t="shared" si="71"/>
        <v>0.19999999999999996</v>
      </c>
      <c r="AA218" s="4">
        <v>0.75</v>
      </c>
      <c r="AB218" s="4">
        <f t="shared" si="72"/>
        <v>1066</v>
      </c>
      <c r="AC218" s="4">
        <f t="shared" si="83"/>
        <v>1199.25</v>
      </c>
      <c r="AD218" s="6">
        <f t="shared" si="84"/>
        <v>0.39962476547842396</v>
      </c>
      <c r="AE218" s="4">
        <f t="shared" si="85"/>
        <v>855</v>
      </c>
      <c r="AF218" s="7">
        <v>900</v>
      </c>
      <c r="AG218" s="6">
        <f t="shared" si="73"/>
        <v>0.19999999999999996</v>
      </c>
      <c r="AH218" s="4">
        <f t="shared" si="74"/>
        <v>180</v>
      </c>
      <c r="AI218" s="28"/>
      <c r="AJ218" s="6"/>
      <c r="AK218" s="6"/>
      <c r="AL218" s="6">
        <f t="shared" si="75"/>
        <v>1.125</v>
      </c>
      <c r="AM218" s="6">
        <f t="shared" si="76"/>
        <v>1.125</v>
      </c>
      <c r="AN218" s="6">
        <f t="shared" si="77"/>
        <v>1.125</v>
      </c>
      <c r="AO218" s="4" t="str">
        <f t="shared" si="78"/>
        <v>-</v>
      </c>
      <c r="AP218" s="4" t="str">
        <f t="shared" si="79"/>
        <v>-</v>
      </c>
      <c r="AQ218" s="4" t="str">
        <f t="shared" si="80"/>
        <v>-</v>
      </c>
      <c r="AR218" s="4">
        <v>0</v>
      </c>
      <c r="AS218" s="4" t="s">
        <v>2063</v>
      </c>
      <c r="AT218" s="4"/>
      <c r="AU218" s="4"/>
      <c r="AV218" s="4" t="s">
        <v>2064</v>
      </c>
      <c r="AW218" s="4">
        <v>1066</v>
      </c>
      <c r="AX218" s="4">
        <v>1066</v>
      </c>
      <c r="AY218" s="4">
        <v>1066</v>
      </c>
      <c r="AZ218" s="4">
        <f t="shared" si="81"/>
        <v>1066</v>
      </c>
      <c r="BA218" s="19">
        <v>4</v>
      </c>
      <c r="BB218" s="19">
        <v>8</v>
      </c>
      <c r="BC218" s="16">
        <v>19</v>
      </c>
      <c r="BD218" t="s">
        <v>1280</v>
      </c>
      <c r="BE218" t="s">
        <v>1280</v>
      </c>
      <c r="BF218" t="s">
        <v>1280</v>
      </c>
      <c r="BG218" t="str">
        <f t="shared" si="86"/>
        <v>-</v>
      </c>
      <c r="BH218" t="s">
        <v>1280</v>
      </c>
      <c r="BI218" t="s">
        <v>1280</v>
      </c>
      <c r="BJ218" t="s">
        <v>1280</v>
      </c>
      <c r="BK218" t="str">
        <f t="shared" si="87"/>
        <v>-</v>
      </c>
      <c r="BL218" t="s">
        <v>1568</v>
      </c>
      <c r="BM218">
        <v>812</v>
      </c>
    </row>
    <row r="219" spans="1:65" x14ac:dyDescent="0.4">
      <c r="A219" s="3">
        <v>623</v>
      </c>
      <c r="B219" s="3">
        <v>623</v>
      </c>
      <c r="C219" s="4" t="s">
        <v>612</v>
      </c>
      <c r="D219" s="4" t="str">
        <f t="shared" si="66"/>
        <v>J965SA</v>
      </c>
      <c r="E219" s="4" t="s">
        <v>612</v>
      </c>
      <c r="F219" s="4" t="str">
        <f t="shared" si="82"/>
        <v>J965SA5</v>
      </c>
      <c r="G219" s="4" t="s">
        <v>1256</v>
      </c>
      <c r="H219" s="5">
        <v>4974268837950</v>
      </c>
      <c r="I219" s="5">
        <v>5</v>
      </c>
      <c r="J219" s="5"/>
      <c r="K219" s="5">
        <v>1</v>
      </c>
      <c r="L219" s="5">
        <v>1</v>
      </c>
      <c r="M219" s="4">
        <v>1100</v>
      </c>
      <c r="N219" s="4">
        <v>1066</v>
      </c>
      <c r="O219" s="4">
        <v>660</v>
      </c>
      <c r="P219" s="6">
        <f t="shared" si="67"/>
        <v>0.38086303939962474</v>
      </c>
      <c r="Q219" s="4" t="s">
        <v>1280</v>
      </c>
      <c r="R219" s="4" t="s">
        <v>1280</v>
      </c>
      <c r="S219" s="4" t="s">
        <v>1280</v>
      </c>
      <c r="T219" s="4">
        <v>1200</v>
      </c>
      <c r="U219" s="4">
        <f t="shared" si="68"/>
        <v>1200</v>
      </c>
      <c r="V219" s="4">
        <v>720</v>
      </c>
      <c r="W219" s="4">
        <f t="shared" si="69"/>
        <v>720</v>
      </c>
      <c r="X219" s="4"/>
      <c r="Y219" s="21">
        <f t="shared" si="70"/>
        <v>1163</v>
      </c>
      <c r="Z219" s="6">
        <f t="shared" si="71"/>
        <v>0.38091143594153054</v>
      </c>
      <c r="AA219" s="4">
        <v>0</v>
      </c>
      <c r="AB219" s="4" t="str">
        <f t="shared" si="72"/>
        <v>-</v>
      </c>
      <c r="AC219" s="4" t="str">
        <f t="shared" si="83"/>
        <v>-</v>
      </c>
      <c r="AD219" s="6" t="str">
        <f t="shared" si="84"/>
        <v>-</v>
      </c>
      <c r="AE219" s="4">
        <f t="shared" si="85"/>
        <v>1140</v>
      </c>
      <c r="AF219" s="7">
        <v>1080</v>
      </c>
      <c r="AG219" s="6">
        <f t="shared" si="73"/>
        <v>0.33333333333333337</v>
      </c>
      <c r="AH219" s="4">
        <f t="shared" si="74"/>
        <v>360</v>
      </c>
      <c r="AI219" s="28"/>
      <c r="AJ219" s="6"/>
      <c r="AK219" s="6"/>
      <c r="AL219" s="6">
        <f t="shared" si="75"/>
        <v>1.0909090909090908</v>
      </c>
      <c r="AM219" s="6">
        <f t="shared" si="76"/>
        <v>1.0131332082551594</v>
      </c>
      <c r="AN219" s="6">
        <f t="shared" si="77"/>
        <v>1.0909090909090908</v>
      </c>
      <c r="AO219" s="4" t="str">
        <f t="shared" si="78"/>
        <v>-</v>
      </c>
      <c r="AP219" s="4" t="str">
        <f t="shared" si="79"/>
        <v>-</v>
      </c>
      <c r="AQ219" s="4" t="str">
        <f t="shared" si="80"/>
        <v>-</v>
      </c>
      <c r="AR219" s="4">
        <v>0</v>
      </c>
      <c r="AS219" s="4" t="s">
        <v>1280</v>
      </c>
      <c r="AT219" s="4"/>
      <c r="AU219" s="4"/>
      <c r="AV219" s="4" t="s">
        <v>1280</v>
      </c>
      <c r="AW219" s="4" t="s">
        <v>1280</v>
      </c>
      <c r="AX219" s="4" t="s">
        <v>1280</v>
      </c>
      <c r="AY219" s="4" t="s">
        <v>1280</v>
      </c>
      <c r="AZ219" s="4" t="str">
        <f t="shared" si="81"/>
        <v>-</v>
      </c>
      <c r="BA219" s="19">
        <v>4</v>
      </c>
      <c r="BB219" s="19">
        <v>8</v>
      </c>
      <c r="BC219" s="16">
        <v>18</v>
      </c>
      <c r="BD219" t="s">
        <v>1280</v>
      </c>
      <c r="BE219" t="s">
        <v>1280</v>
      </c>
      <c r="BF219" t="s">
        <v>1280</v>
      </c>
      <c r="BG219" t="str">
        <f t="shared" si="86"/>
        <v>-</v>
      </c>
      <c r="BH219">
        <v>982</v>
      </c>
      <c r="BI219">
        <v>982</v>
      </c>
      <c r="BJ219">
        <v>982</v>
      </c>
      <c r="BK219">
        <f t="shared" si="87"/>
        <v>1071.2727272727273</v>
      </c>
      <c r="BL219" t="s">
        <v>1280</v>
      </c>
      <c r="BM219">
        <v>812</v>
      </c>
    </row>
    <row r="220" spans="1:65" x14ac:dyDescent="0.4">
      <c r="A220" s="3">
        <v>234</v>
      </c>
      <c r="B220" s="3">
        <v>234</v>
      </c>
      <c r="C220" s="4" t="s">
        <v>223</v>
      </c>
      <c r="D220" s="4" t="str">
        <f t="shared" si="66"/>
        <v>J38338</v>
      </c>
      <c r="E220" s="4" t="s">
        <v>223</v>
      </c>
      <c r="F220" s="4" t="str">
        <f t="shared" si="82"/>
        <v>J383385</v>
      </c>
      <c r="G220" s="4" t="s">
        <v>869</v>
      </c>
      <c r="H220" s="5">
        <v>4974268562982</v>
      </c>
      <c r="I220" s="5">
        <v>5</v>
      </c>
      <c r="J220" s="5"/>
      <c r="K220" s="5">
        <v>1</v>
      </c>
      <c r="L220" s="5">
        <v>1</v>
      </c>
      <c r="M220" s="4">
        <v>1100</v>
      </c>
      <c r="N220" s="4">
        <v>1045</v>
      </c>
      <c r="O220" s="4">
        <v>660</v>
      </c>
      <c r="P220" s="6">
        <f t="shared" si="67"/>
        <v>0.36842105263157898</v>
      </c>
      <c r="Q220" s="4" t="s">
        <v>1280</v>
      </c>
      <c r="R220" s="4" t="s">
        <v>1280</v>
      </c>
      <c r="S220" s="4" t="s">
        <v>1280</v>
      </c>
      <c r="T220" s="4">
        <v>1250</v>
      </c>
      <c r="U220" s="4">
        <f t="shared" si="68"/>
        <v>1250</v>
      </c>
      <c r="V220" s="4">
        <v>750</v>
      </c>
      <c r="W220" s="4">
        <f t="shared" si="69"/>
        <v>750</v>
      </c>
      <c r="X220" s="4"/>
      <c r="Y220" s="21">
        <f t="shared" si="70"/>
        <v>1188</v>
      </c>
      <c r="Z220" s="6">
        <f t="shared" si="71"/>
        <v>0.36868686868686873</v>
      </c>
      <c r="AA220" s="4">
        <v>0.25</v>
      </c>
      <c r="AB220" s="4" t="str">
        <f t="shared" si="72"/>
        <v>-</v>
      </c>
      <c r="AC220" s="4" t="str">
        <f t="shared" si="83"/>
        <v>-</v>
      </c>
      <c r="AD220" s="6" t="str">
        <f t="shared" si="84"/>
        <v>-</v>
      </c>
      <c r="AE220" s="4">
        <f t="shared" si="85"/>
        <v>1187.5</v>
      </c>
      <c r="AF220" s="7">
        <v>1050</v>
      </c>
      <c r="AG220" s="6">
        <f t="shared" si="73"/>
        <v>0.2857142857142857</v>
      </c>
      <c r="AH220" s="4">
        <f t="shared" si="74"/>
        <v>300</v>
      </c>
      <c r="AI220" s="28"/>
      <c r="AJ220" s="6"/>
      <c r="AK220" s="6"/>
      <c r="AL220" s="6">
        <f t="shared" si="75"/>
        <v>1.1363636363636365</v>
      </c>
      <c r="AM220" s="6">
        <f t="shared" si="76"/>
        <v>1.0047846889952152</v>
      </c>
      <c r="AN220" s="6">
        <f t="shared" si="77"/>
        <v>1.1363636363636365</v>
      </c>
      <c r="AO220" s="4" t="str">
        <f t="shared" si="78"/>
        <v>-</v>
      </c>
      <c r="AP220" s="4" t="str">
        <f t="shared" si="79"/>
        <v>-</v>
      </c>
      <c r="AQ220" s="4" t="str">
        <f t="shared" si="80"/>
        <v>-</v>
      </c>
      <c r="AR220" s="4">
        <v>0</v>
      </c>
      <c r="AS220" s="4" t="s">
        <v>1280</v>
      </c>
      <c r="AT220" s="4"/>
      <c r="AU220" s="4"/>
      <c r="AV220" s="4" t="s">
        <v>1280</v>
      </c>
      <c r="AW220" s="4" t="s">
        <v>1280</v>
      </c>
      <c r="AX220" s="4" t="s">
        <v>1280</v>
      </c>
      <c r="AY220" s="4" t="s">
        <v>1280</v>
      </c>
      <c r="AZ220" s="4" t="str">
        <f t="shared" si="81"/>
        <v>-</v>
      </c>
      <c r="BA220" s="19">
        <v>4</v>
      </c>
      <c r="BB220" s="19">
        <v>8</v>
      </c>
      <c r="BC220" s="16">
        <v>18</v>
      </c>
      <c r="BD220" t="s">
        <v>1280</v>
      </c>
      <c r="BE220" t="s">
        <v>1280</v>
      </c>
      <c r="BF220" t="s">
        <v>1280</v>
      </c>
      <c r="BG220" t="str">
        <f t="shared" si="86"/>
        <v>-</v>
      </c>
      <c r="BH220" t="s">
        <v>1280</v>
      </c>
      <c r="BI220" t="s">
        <v>1280</v>
      </c>
      <c r="BJ220" t="s">
        <v>1280</v>
      </c>
      <c r="BK220" t="str">
        <f t="shared" si="87"/>
        <v>-</v>
      </c>
      <c r="BL220" t="s">
        <v>1280</v>
      </c>
      <c r="BM220">
        <v>812</v>
      </c>
    </row>
    <row r="221" spans="1:65" x14ac:dyDescent="0.4">
      <c r="A221" s="3">
        <v>238</v>
      </c>
      <c r="B221" s="3">
        <v>238</v>
      </c>
      <c r="C221" s="4" t="s">
        <v>227</v>
      </c>
      <c r="D221" s="4" t="str">
        <f t="shared" si="66"/>
        <v>J38342</v>
      </c>
      <c r="E221" s="4" t="s">
        <v>227</v>
      </c>
      <c r="F221" s="4" t="str">
        <f t="shared" si="82"/>
        <v>J383425</v>
      </c>
      <c r="G221" s="4" t="s">
        <v>873</v>
      </c>
      <c r="H221" s="5">
        <v>4974268562999</v>
      </c>
      <c r="I221" s="5">
        <v>5</v>
      </c>
      <c r="J221" s="5"/>
      <c r="K221" s="5">
        <v>1</v>
      </c>
      <c r="L221" s="5">
        <v>1</v>
      </c>
      <c r="M221" s="4">
        <v>1100</v>
      </c>
      <c r="N221" s="4">
        <v>1122</v>
      </c>
      <c r="O221" s="4">
        <v>660</v>
      </c>
      <c r="P221" s="6">
        <f t="shared" si="67"/>
        <v>0.41176470588235292</v>
      </c>
      <c r="Q221" s="4" t="s">
        <v>1280</v>
      </c>
      <c r="R221" s="4" t="s">
        <v>1280</v>
      </c>
      <c r="S221" s="4" t="s">
        <v>1280</v>
      </c>
      <c r="T221" s="4">
        <v>1250</v>
      </c>
      <c r="U221" s="4">
        <f t="shared" si="68"/>
        <v>1250</v>
      </c>
      <c r="V221" s="4">
        <v>750</v>
      </c>
      <c r="W221" s="4">
        <f t="shared" si="69"/>
        <v>750</v>
      </c>
      <c r="X221" s="4"/>
      <c r="Y221" s="21">
        <f t="shared" si="70"/>
        <v>1275</v>
      </c>
      <c r="Z221" s="6">
        <f t="shared" si="71"/>
        <v>0.41176470588235292</v>
      </c>
      <c r="AA221" s="4">
        <v>1</v>
      </c>
      <c r="AB221" s="4">
        <f t="shared" si="72"/>
        <v>1170</v>
      </c>
      <c r="AC221" s="4">
        <f t="shared" si="83"/>
        <v>1329.5454545454547</v>
      </c>
      <c r="AD221" s="6">
        <f t="shared" si="84"/>
        <v>0.43589743589743601</v>
      </c>
      <c r="AE221" s="4">
        <f t="shared" si="85"/>
        <v>1187.5</v>
      </c>
      <c r="AF221" s="7">
        <v>1050</v>
      </c>
      <c r="AG221" s="6">
        <f t="shared" si="73"/>
        <v>0.2857142857142857</v>
      </c>
      <c r="AH221" s="4">
        <f t="shared" si="74"/>
        <v>300</v>
      </c>
      <c r="AI221" s="28"/>
      <c r="AJ221" s="6"/>
      <c r="AK221" s="6"/>
      <c r="AL221" s="6">
        <f t="shared" si="75"/>
        <v>1.1363636363636365</v>
      </c>
      <c r="AM221" s="6">
        <f t="shared" si="76"/>
        <v>0.93582887700534756</v>
      </c>
      <c r="AN221" s="6">
        <f t="shared" si="77"/>
        <v>1.1363636363636365</v>
      </c>
      <c r="AO221" s="4" t="str">
        <f t="shared" si="78"/>
        <v>-</v>
      </c>
      <c r="AP221" s="4" t="str">
        <f t="shared" si="79"/>
        <v>-</v>
      </c>
      <c r="AQ221" s="4" t="str">
        <f t="shared" si="80"/>
        <v>-</v>
      </c>
      <c r="AR221" s="4">
        <v>0</v>
      </c>
      <c r="AS221" s="4" t="s">
        <v>1869</v>
      </c>
      <c r="AT221" s="4"/>
      <c r="AU221" s="4"/>
      <c r="AV221" s="4" t="s">
        <v>1870</v>
      </c>
      <c r="AW221" s="4">
        <v>1170</v>
      </c>
      <c r="AX221" s="4">
        <v>1170</v>
      </c>
      <c r="AY221" s="4">
        <v>1170</v>
      </c>
      <c r="AZ221" s="4">
        <f t="shared" si="81"/>
        <v>1170</v>
      </c>
      <c r="BA221" s="19">
        <v>4</v>
      </c>
      <c r="BB221" s="19">
        <v>8</v>
      </c>
      <c r="BC221" s="16">
        <v>18</v>
      </c>
      <c r="BD221" t="s">
        <v>1280</v>
      </c>
      <c r="BE221" t="s">
        <v>1280</v>
      </c>
      <c r="BF221" t="s">
        <v>1280</v>
      </c>
      <c r="BG221" t="str">
        <f t="shared" si="86"/>
        <v>-</v>
      </c>
      <c r="BH221">
        <v>1050</v>
      </c>
      <c r="BI221">
        <v>1050</v>
      </c>
      <c r="BJ221">
        <v>1050</v>
      </c>
      <c r="BK221">
        <f t="shared" si="87"/>
        <v>1193.1818181818182</v>
      </c>
      <c r="BL221" t="s">
        <v>1418</v>
      </c>
      <c r="BM221">
        <v>812</v>
      </c>
    </row>
    <row r="222" spans="1:65" x14ac:dyDescent="0.4">
      <c r="A222" s="3">
        <v>242</v>
      </c>
      <c r="B222" s="3">
        <v>242</v>
      </c>
      <c r="C222" s="4" t="s">
        <v>231</v>
      </c>
      <c r="D222" s="4" t="str">
        <f t="shared" si="66"/>
        <v>J38346</v>
      </c>
      <c r="E222" s="4" t="s">
        <v>231</v>
      </c>
      <c r="F222" s="4" t="str">
        <f t="shared" si="82"/>
        <v>J383465</v>
      </c>
      <c r="G222" s="4" t="s">
        <v>877</v>
      </c>
      <c r="H222" s="5">
        <v>4974268563002</v>
      </c>
      <c r="I222" s="5">
        <v>5</v>
      </c>
      <c r="J222" s="5"/>
      <c r="K222" s="5">
        <v>1</v>
      </c>
      <c r="L222" s="5">
        <v>1</v>
      </c>
      <c r="M222" s="4">
        <v>1100</v>
      </c>
      <c r="N222" s="4">
        <v>993</v>
      </c>
      <c r="O222" s="4">
        <v>660</v>
      </c>
      <c r="P222" s="6">
        <f t="shared" si="67"/>
        <v>0.33534743202416917</v>
      </c>
      <c r="Q222" s="4" t="s">
        <v>1280</v>
      </c>
      <c r="R222" s="4" t="s">
        <v>1280</v>
      </c>
      <c r="S222" s="4" t="s">
        <v>1280</v>
      </c>
      <c r="T222" s="4">
        <v>1250</v>
      </c>
      <c r="U222" s="4">
        <f t="shared" si="68"/>
        <v>1250</v>
      </c>
      <c r="V222" s="4">
        <v>750</v>
      </c>
      <c r="W222" s="4">
        <f t="shared" si="69"/>
        <v>750</v>
      </c>
      <c r="X222" s="4"/>
      <c r="Y222" s="21">
        <f t="shared" si="70"/>
        <v>1128</v>
      </c>
      <c r="Z222" s="6">
        <f t="shared" si="71"/>
        <v>0.33510638297872342</v>
      </c>
      <c r="AA222" s="4">
        <v>0.25</v>
      </c>
      <c r="AB222" s="4">
        <f t="shared" si="72"/>
        <v>1099</v>
      </c>
      <c r="AC222" s="4">
        <f t="shared" si="83"/>
        <v>1248.8636363636365</v>
      </c>
      <c r="AD222" s="6">
        <f t="shared" si="84"/>
        <v>0.3994540491355778</v>
      </c>
      <c r="AE222" s="4">
        <f t="shared" si="85"/>
        <v>1187.5</v>
      </c>
      <c r="AF222" s="7">
        <v>1050</v>
      </c>
      <c r="AG222" s="6">
        <f t="shared" si="73"/>
        <v>0.2857142857142857</v>
      </c>
      <c r="AH222" s="4">
        <f t="shared" si="74"/>
        <v>300</v>
      </c>
      <c r="AI222" s="28"/>
      <c r="AJ222" s="6"/>
      <c r="AK222" s="6"/>
      <c r="AL222" s="6">
        <f t="shared" si="75"/>
        <v>1.1363636363636365</v>
      </c>
      <c r="AM222" s="6">
        <f t="shared" si="76"/>
        <v>1.0574018126888218</v>
      </c>
      <c r="AN222" s="6">
        <f t="shared" si="77"/>
        <v>1.1363636363636365</v>
      </c>
      <c r="AO222" s="4" t="str">
        <f t="shared" si="78"/>
        <v>-</v>
      </c>
      <c r="AP222" s="4" t="str">
        <f t="shared" si="79"/>
        <v>-</v>
      </c>
      <c r="AQ222" s="4" t="str">
        <f t="shared" si="80"/>
        <v>-</v>
      </c>
      <c r="AR222" s="4">
        <v>0</v>
      </c>
      <c r="AS222" s="4" t="s">
        <v>1872</v>
      </c>
      <c r="AT222" s="4"/>
      <c r="AU222" s="4"/>
      <c r="AV222" s="4" t="s">
        <v>1870</v>
      </c>
      <c r="AW222" s="4">
        <v>1099</v>
      </c>
      <c r="AX222" s="4">
        <v>1099</v>
      </c>
      <c r="AY222" s="4">
        <v>1099</v>
      </c>
      <c r="AZ222" s="4">
        <f t="shared" si="81"/>
        <v>1099</v>
      </c>
      <c r="BA222" s="19">
        <v>4</v>
      </c>
      <c r="BB222" s="19">
        <v>8</v>
      </c>
      <c r="BC222" s="16">
        <v>18</v>
      </c>
      <c r="BD222" t="s">
        <v>1280</v>
      </c>
      <c r="BE222" t="s">
        <v>1280</v>
      </c>
      <c r="BF222" t="s">
        <v>1280</v>
      </c>
      <c r="BG222" t="str">
        <f t="shared" si="86"/>
        <v>-</v>
      </c>
      <c r="BH222" t="s">
        <v>1280</v>
      </c>
      <c r="BI222" t="s">
        <v>1280</v>
      </c>
      <c r="BJ222" t="s">
        <v>1280</v>
      </c>
      <c r="BK222" t="str">
        <f t="shared" si="87"/>
        <v>-</v>
      </c>
      <c r="BL222" t="s">
        <v>1420</v>
      </c>
      <c r="BM222">
        <v>812</v>
      </c>
    </row>
    <row r="223" spans="1:65" x14ac:dyDescent="0.4">
      <c r="A223" s="3">
        <v>470</v>
      </c>
      <c r="B223" s="3">
        <v>470</v>
      </c>
      <c r="C223" s="4" t="s">
        <v>459</v>
      </c>
      <c r="D223" s="4" t="str">
        <f t="shared" si="66"/>
        <v>J54556</v>
      </c>
      <c r="E223" s="4" t="s">
        <v>459</v>
      </c>
      <c r="F223" s="4" t="str">
        <f t="shared" si="82"/>
        <v>J545565</v>
      </c>
      <c r="G223" s="4" t="s">
        <v>1103</v>
      </c>
      <c r="H223" s="5">
        <v>4974268562937</v>
      </c>
      <c r="I223" s="5">
        <v>5</v>
      </c>
      <c r="J223" s="5"/>
      <c r="K223" s="5">
        <v>1</v>
      </c>
      <c r="L223" s="5">
        <v>1</v>
      </c>
      <c r="M223" s="4">
        <v>1100</v>
      </c>
      <c r="N223" s="4">
        <v>1071</v>
      </c>
      <c r="O223" s="4">
        <v>660</v>
      </c>
      <c r="P223" s="6">
        <f t="shared" si="67"/>
        <v>0.38375350140056019</v>
      </c>
      <c r="Q223" s="4" t="s">
        <v>1280</v>
      </c>
      <c r="R223" s="4" t="s">
        <v>1280</v>
      </c>
      <c r="S223" s="4" t="s">
        <v>1280</v>
      </c>
      <c r="T223" s="4">
        <v>1250</v>
      </c>
      <c r="U223" s="4">
        <f t="shared" si="68"/>
        <v>1250</v>
      </c>
      <c r="V223" s="4">
        <v>750</v>
      </c>
      <c r="W223" s="4">
        <f t="shared" si="69"/>
        <v>750</v>
      </c>
      <c r="X223" s="4"/>
      <c r="Y223" s="21">
        <f t="shared" si="70"/>
        <v>1217</v>
      </c>
      <c r="Z223" s="6">
        <f t="shared" si="71"/>
        <v>0.38373048479868532</v>
      </c>
      <c r="AA223" s="4">
        <v>0.25</v>
      </c>
      <c r="AB223" s="4">
        <f t="shared" si="72"/>
        <v>925</v>
      </c>
      <c r="AC223" s="4">
        <f t="shared" si="83"/>
        <v>1051.1363636363637</v>
      </c>
      <c r="AD223" s="6">
        <f t="shared" si="84"/>
        <v>0.28648648648648656</v>
      </c>
      <c r="AE223" s="4">
        <f t="shared" si="85"/>
        <v>1187.5</v>
      </c>
      <c r="AF223" s="7">
        <v>1050</v>
      </c>
      <c r="AG223" s="6">
        <f t="shared" si="73"/>
        <v>0.2857142857142857</v>
      </c>
      <c r="AH223" s="4">
        <f t="shared" si="74"/>
        <v>300</v>
      </c>
      <c r="AI223" s="28"/>
      <c r="AJ223" s="6"/>
      <c r="AK223" s="6"/>
      <c r="AL223" s="6">
        <f t="shared" si="75"/>
        <v>1.1363636363636365</v>
      </c>
      <c r="AM223" s="6">
        <f t="shared" si="76"/>
        <v>0.98039215686274506</v>
      </c>
      <c r="AN223" s="6">
        <f t="shared" si="77"/>
        <v>1.1363636363636365</v>
      </c>
      <c r="AO223" s="4" t="str">
        <f t="shared" si="78"/>
        <v>-</v>
      </c>
      <c r="AP223" s="4" t="str">
        <f t="shared" si="79"/>
        <v>-</v>
      </c>
      <c r="AQ223" s="4" t="str">
        <f t="shared" si="80"/>
        <v>-</v>
      </c>
      <c r="AR223" s="4">
        <v>0</v>
      </c>
      <c r="AS223" s="4" t="s">
        <v>2028</v>
      </c>
      <c r="AT223" s="4"/>
      <c r="AU223" s="4"/>
      <c r="AV223" s="4" t="s">
        <v>1870</v>
      </c>
      <c r="AW223" s="4">
        <v>925</v>
      </c>
      <c r="AX223" s="4">
        <v>925</v>
      </c>
      <c r="AY223" s="4">
        <v>925</v>
      </c>
      <c r="AZ223" s="4">
        <f t="shared" si="81"/>
        <v>925</v>
      </c>
      <c r="BA223" s="19">
        <v>4</v>
      </c>
      <c r="BB223" s="19">
        <v>8</v>
      </c>
      <c r="BC223" s="16">
        <v>18</v>
      </c>
      <c r="BD223">
        <v>1100</v>
      </c>
      <c r="BE223">
        <v>1100</v>
      </c>
      <c r="BF223">
        <v>1100</v>
      </c>
      <c r="BG223">
        <f t="shared" si="86"/>
        <v>1250</v>
      </c>
      <c r="BH223">
        <v>1100</v>
      </c>
      <c r="BI223">
        <v>1100</v>
      </c>
      <c r="BJ223">
        <v>1100</v>
      </c>
      <c r="BK223">
        <f t="shared" si="87"/>
        <v>1250</v>
      </c>
      <c r="BL223" t="s">
        <v>1542</v>
      </c>
      <c r="BM223">
        <v>812</v>
      </c>
    </row>
    <row r="224" spans="1:65" x14ac:dyDescent="0.4">
      <c r="A224" s="3">
        <v>246</v>
      </c>
      <c r="B224" s="3">
        <v>246</v>
      </c>
      <c r="C224" s="4" t="s">
        <v>235</v>
      </c>
      <c r="D224" s="4" t="str">
        <f t="shared" si="66"/>
        <v>J38785</v>
      </c>
      <c r="E224" s="4" t="s">
        <v>235</v>
      </c>
      <c r="F224" s="4" t="str">
        <f t="shared" si="82"/>
        <v>J387855</v>
      </c>
      <c r="G224" s="4" t="s">
        <v>881</v>
      </c>
      <c r="H224" s="5">
        <v>4974268536112</v>
      </c>
      <c r="I224" s="5">
        <v>5</v>
      </c>
      <c r="J224" s="5"/>
      <c r="K224" s="5">
        <v>1</v>
      </c>
      <c r="L224" s="5">
        <v>1</v>
      </c>
      <c r="M224" s="4">
        <v>1100</v>
      </c>
      <c r="N224" s="4">
        <v>836</v>
      </c>
      <c r="O224" s="4">
        <v>660</v>
      </c>
      <c r="P224" s="6">
        <f t="shared" si="67"/>
        <v>0.21052631578947367</v>
      </c>
      <c r="Q224" s="4" t="s">
        <v>1280</v>
      </c>
      <c r="R224" s="4" t="s">
        <v>1280</v>
      </c>
      <c r="S224" s="4" t="s">
        <v>1280</v>
      </c>
      <c r="T224" s="4">
        <v>1300</v>
      </c>
      <c r="U224" s="4">
        <f t="shared" si="68"/>
        <v>1300</v>
      </c>
      <c r="V224" s="4">
        <v>780</v>
      </c>
      <c r="W224" s="4">
        <f t="shared" si="69"/>
        <v>780</v>
      </c>
      <c r="X224" s="4"/>
      <c r="Y224" s="21">
        <f t="shared" si="70"/>
        <v>988</v>
      </c>
      <c r="Z224" s="6">
        <f t="shared" si="71"/>
        <v>0.21052631578947367</v>
      </c>
      <c r="AA224" s="4">
        <v>0</v>
      </c>
      <c r="AB224" s="4">
        <f t="shared" si="72"/>
        <v>920</v>
      </c>
      <c r="AC224" s="4">
        <f t="shared" si="83"/>
        <v>1087.2727272727273</v>
      </c>
      <c r="AD224" s="6">
        <f t="shared" si="84"/>
        <v>0.28260869565217395</v>
      </c>
      <c r="AE224" s="4">
        <f t="shared" si="85"/>
        <v>1235</v>
      </c>
      <c r="AF224" s="7">
        <v>1087</v>
      </c>
      <c r="AG224" s="6">
        <f t="shared" si="73"/>
        <v>0.28242870285188593</v>
      </c>
      <c r="AH224" s="4">
        <f t="shared" si="74"/>
        <v>307</v>
      </c>
      <c r="AI224" s="28"/>
      <c r="AJ224" s="6"/>
      <c r="AK224" s="6"/>
      <c r="AL224" s="6">
        <f t="shared" si="75"/>
        <v>1.1818181818181819</v>
      </c>
      <c r="AM224" s="6">
        <f t="shared" si="76"/>
        <v>1.3002392344497609</v>
      </c>
      <c r="AN224" s="6">
        <f t="shared" si="77"/>
        <v>1.1818181818181819</v>
      </c>
      <c r="AO224" s="4" t="str">
        <f t="shared" si="78"/>
        <v>-</v>
      </c>
      <c r="AP224" s="4" t="str">
        <f t="shared" si="79"/>
        <v>-</v>
      </c>
      <c r="AQ224" s="4" t="str">
        <f t="shared" si="80"/>
        <v>-</v>
      </c>
      <c r="AR224" s="4">
        <v>0</v>
      </c>
      <c r="AS224" s="4" t="s">
        <v>1874</v>
      </c>
      <c r="AT224" s="4"/>
      <c r="AU224" s="4"/>
      <c r="AV224" s="4" t="s">
        <v>1774</v>
      </c>
      <c r="AW224" s="4">
        <v>920</v>
      </c>
      <c r="AX224" s="4">
        <v>920</v>
      </c>
      <c r="AY224" s="4">
        <v>920</v>
      </c>
      <c r="AZ224" s="4">
        <f t="shared" si="81"/>
        <v>920</v>
      </c>
      <c r="BA224" s="19">
        <v>4</v>
      </c>
      <c r="BB224" s="19">
        <v>8</v>
      </c>
      <c r="BC224" s="16">
        <v>19</v>
      </c>
      <c r="BD224" t="s">
        <v>1280</v>
      </c>
      <c r="BE224" t="s">
        <v>1280</v>
      </c>
      <c r="BF224" t="s">
        <v>1280</v>
      </c>
      <c r="BG224" t="str">
        <f t="shared" si="86"/>
        <v>-</v>
      </c>
      <c r="BH224">
        <v>1000</v>
      </c>
      <c r="BI224">
        <v>1000</v>
      </c>
      <c r="BJ224">
        <v>1000</v>
      </c>
      <c r="BK224">
        <f t="shared" si="87"/>
        <v>1181.818181818182</v>
      </c>
      <c r="BL224" t="s">
        <v>1422</v>
      </c>
      <c r="BM224">
        <v>812</v>
      </c>
    </row>
    <row r="225" spans="1:65" x14ac:dyDescent="0.4">
      <c r="A225" s="3">
        <v>247</v>
      </c>
      <c r="B225" s="3">
        <v>247</v>
      </c>
      <c r="C225" s="4" t="s">
        <v>236</v>
      </c>
      <c r="D225" s="4" t="str">
        <f t="shared" si="66"/>
        <v>J38786</v>
      </c>
      <c r="E225" s="4" t="s">
        <v>236</v>
      </c>
      <c r="F225" s="4" t="str">
        <f t="shared" si="82"/>
        <v>J387865</v>
      </c>
      <c r="G225" s="4" t="s">
        <v>882</v>
      </c>
      <c r="H225" s="5">
        <v>4974268535252</v>
      </c>
      <c r="I225" s="5">
        <v>5</v>
      </c>
      <c r="J225" s="5"/>
      <c r="K225" s="5">
        <v>1</v>
      </c>
      <c r="L225" s="5">
        <v>1</v>
      </c>
      <c r="M225" s="4">
        <v>1100</v>
      </c>
      <c r="N225" s="4">
        <v>836</v>
      </c>
      <c r="O225" s="4">
        <v>660</v>
      </c>
      <c r="P225" s="6">
        <f t="shared" si="67"/>
        <v>0.21052631578947367</v>
      </c>
      <c r="Q225" s="4" t="s">
        <v>1280</v>
      </c>
      <c r="R225" s="4" t="s">
        <v>1280</v>
      </c>
      <c r="S225" s="4" t="s">
        <v>1280</v>
      </c>
      <c r="T225" s="4">
        <v>1300</v>
      </c>
      <c r="U225" s="4">
        <f t="shared" si="68"/>
        <v>1300</v>
      </c>
      <c r="V225" s="4">
        <v>780</v>
      </c>
      <c r="W225" s="4">
        <f t="shared" si="69"/>
        <v>780</v>
      </c>
      <c r="X225" s="4"/>
      <c r="Y225" s="21">
        <f t="shared" si="70"/>
        <v>988</v>
      </c>
      <c r="Z225" s="6">
        <f t="shared" si="71"/>
        <v>0.21052631578947367</v>
      </c>
      <c r="AA225" s="4">
        <v>0</v>
      </c>
      <c r="AB225" s="4">
        <f t="shared" si="72"/>
        <v>920</v>
      </c>
      <c r="AC225" s="4">
        <f t="shared" si="83"/>
        <v>1087.2727272727273</v>
      </c>
      <c r="AD225" s="6">
        <f t="shared" si="84"/>
        <v>0.28260869565217395</v>
      </c>
      <c r="AE225" s="4">
        <f t="shared" si="85"/>
        <v>1235</v>
      </c>
      <c r="AF225" s="7">
        <v>1087</v>
      </c>
      <c r="AG225" s="6">
        <f t="shared" si="73"/>
        <v>0.28242870285188593</v>
      </c>
      <c r="AH225" s="4">
        <f t="shared" si="74"/>
        <v>307</v>
      </c>
      <c r="AI225" s="28"/>
      <c r="AJ225" s="6"/>
      <c r="AK225" s="6"/>
      <c r="AL225" s="6">
        <f t="shared" si="75"/>
        <v>1.1818181818181819</v>
      </c>
      <c r="AM225" s="6">
        <f t="shared" si="76"/>
        <v>1.3002392344497609</v>
      </c>
      <c r="AN225" s="6">
        <f t="shared" si="77"/>
        <v>1.1818181818181819</v>
      </c>
      <c r="AO225" s="4" t="str">
        <f t="shared" si="78"/>
        <v>-</v>
      </c>
      <c r="AP225" s="4" t="str">
        <f t="shared" si="79"/>
        <v>-</v>
      </c>
      <c r="AQ225" s="4" t="str">
        <f t="shared" si="80"/>
        <v>-</v>
      </c>
      <c r="AR225" s="4">
        <v>0</v>
      </c>
      <c r="AS225" s="4" t="s">
        <v>1875</v>
      </c>
      <c r="AT225" s="4"/>
      <c r="AU225" s="4"/>
      <c r="AV225" s="4" t="s">
        <v>1774</v>
      </c>
      <c r="AW225" s="4">
        <v>920</v>
      </c>
      <c r="AX225" s="4">
        <v>920</v>
      </c>
      <c r="AY225" s="4">
        <v>920</v>
      </c>
      <c r="AZ225" s="4">
        <f t="shared" si="81"/>
        <v>920</v>
      </c>
      <c r="BA225" s="19">
        <v>4</v>
      </c>
      <c r="BB225" s="19">
        <v>8</v>
      </c>
      <c r="BC225" s="16">
        <v>19</v>
      </c>
      <c r="BD225" t="s">
        <v>1280</v>
      </c>
      <c r="BE225" t="s">
        <v>1280</v>
      </c>
      <c r="BF225" t="s">
        <v>1280</v>
      </c>
      <c r="BG225" t="str">
        <f t="shared" si="86"/>
        <v>-</v>
      </c>
      <c r="BH225">
        <v>1000</v>
      </c>
      <c r="BI225">
        <v>1000</v>
      </c>
      <c r="BJ225">
        <v>1000</v>
      </c>
      <c r="BK225">
        <f t="shared" si="87"/>
        <v>1181.818181818182</v>
      </c>
      <c r="BL225" t="s">
        <v>1423</v>
      </c>
      <c r="BM225">
        <v>812</v>
      </c>
    </row>
    <row r="226" spans="1:65" x14ac:dyDescent="0.4">
      <c r="A226" s="3">
        <v>248</v>
      </c>
      <c r="B226" s="3">
        <v>248</v>
      </c>
      <c r="C226" s="4" t="s">
        <v>237</v>
      </c>
      <c r="D226" s="4" t="str">
        <f t="shared" si="66"/>
        <v>J38787</v>
      </c>
      <c r="E226" s="4" t="s">
        <v>237</v>
      </c>
      <c r="F226" s="4" t="str">
        <f t="shared" si="82"/>
        <v>J387875</v>
      </c>
      <c r="G226" s="4" t="s">
        <v>883</v>
      </c>
      <c r="H226" s="5">
        <v>4974268535269</v>
      </c>
      <c r="I226" s="5">
        <v>5</v>
      </c>
      <c r="J226" s="5"/>
      <c r="K226" s="5">
        <v>1</v>
      </c>
      <c r="L226" s="5">
        <v>1</v>
      </c>
      <c r="M226" s="4">
        <v>1100</v>
      </c>
      <c r="N226" s="4">
        <v>836</v>
      </c>
      <c r="O226" s="4">
        <v>660</v>
      </c>
      <c r="P226" s="6">
        <f t="shared" si="67"/>
        <v>0.21052631578947367</v>
      </c>
      <c r="Q226" s="4" t="s">
        <v>1280</v>
      </c>
      <c r="R226" s="4" t="s">
        <v>1280</v>
      </c>
      <c r="S226" s="4" t="s">
        <v>1280</v>
      </c>
      <c r="T226" s="4">
        <v>1300</v>
      </c>
      <c r="U226" s="4">
        <f t="shared" si="68"/>
        <v>1300</v>
      </c>
      <c r="V226" s="4">
        <v>780</v>
      </c>
      <c r="W226" s="4">
        <f t="shared" si="69"/>
        <v>780</v>
      </c>
      <c r="X226" s="4"/>
      <c r="Y226" s="21">
        <f t="shared" si="70"/>
        <v>988</v>
      </c>
      <c r="Z226" s="6">
        <f t="shared" si="71"/>
        <v>0.21052631578947367</v>
      </c>
      <c r="AA226" s="4">
        <v>0.25</v>
      </c>
      <c r="AB226" s="4">
        <f t="shared" si="72"/>
        <v>1045</v>
      </c>
      <c r="AC226" s="4">
        <f t="shared" si="83"/>
        <v>1235</v>
      </c>
      <c r="AD226" s="6">
        <f t="shared" si="84"/>
        <v>0.36842105263157898</v>
      </c>
      <c r="AE226" s="4">
        <f t="shared" si="85"/>
        <v>1235</v>
      </c>
      <c r="AF226" s="7">
        <v>1087</v>
      </c>
      <c r="AG226" s="6">
        <f t="shared" si="73"/>
        <v>0.28242870285188593</v>
      </c>
      <c r="AH226" s="4">
        <f t="shared" si="74"/>
        <v>307</v>
      </c>
      <c r="AI226" s="28"/>
      <c r="AJ226" s="6"/>
      <c r="AK226" s="6"/>
      <c r="AL226" s="6">
        <f t="shared" si="75"/>
        <v>1.1818181818181819</v>
      </c>
      <c r="AM226" s="6">
        <f t="shared" si="76"/>
        <v>1.3002392344497609</v>
      </c>
      <c r="AN226" s="6">
        <f t="shared" si="77"/>
        <v>1.1818181818181819</v>
      </c>
      <c r="AO226" s="4" t="str">
        <f t="shared" si="78"/>
        <v>-</v>
      </c>
      <c r="AP226" s="4" t="str">
        <f t="shared" si="79"/>
        <v>-</v>
      </c>
      <c r="AQ226" s="4" t="str">
        <f t="shared" si="80"/>
        <v>-</v>
      </c>
      <c r="AR226" s="4">
        <v>0</v>
      </c>
      <c r="AS226" s="4" t="s">
        <v>1876</v>
      </c>
      <c r="AT226" s="4"/>
      <c r="AU226" s="4"/>
      <c r="AV226" s="4" t="s">
        <v>1695</v>
      </c>
      <c r="AW226" s="4">
        <v>1045</v>
      </c>
      <c r="AX226" s="4">
        <v>1045</v>
      </c>
      <c r="AY226" s="4">
        <v>1045</v>
      </c>
      <c r="AZ226" s="4">
        <f t="shared" si="81"/>
        <v>1045</v>
      </c>
      <c r="BA226" s="19">
        <v>4</v>
      </c>
      <c r="BB226" s="19">
        <v>8</v>
      </c>
      <c r="BC226" s="16">
        <v>19</v>
      </c>
      <c r="BD226" t="s">
        <v>1280</v>
      </c>
      <c r="BE226" t="s">
        <v>1280</v>
      </c>
      <c r="BF226" t="s">
        <v>1280</v>
      </c>
      <c r="BG226" t="str">
        <f t="shared" si="86"/>
        <v>-</v>
      </c>
      <c r="BH226">
        <v>1000</v>
      </c>
      <c r="BI226">
        <v>1000</v>
      </c>
      <c r="BJ226">
        <v>1000</v>
      </c>
      <c r="BK226">
        <f t="shared" si="87"/>
        <v>1181.818181818182</v>
      </c>
      <c r="BL226" t="s">
        <v>1424</v>
      </c>
      <c r="BM226">
        <v>812</v>
      </c>
    </row>
    <row r="227" spans="1:65" x14ac:dyDescent="0.4">
      <c r="A227" s="3">
        <v>249</v>
      </c>
      <c r="B227" s="3">
        <v>249</v>
      </c>
      <c r="C227" s="4" t="s">
        <v>238</v>
      </c>
      <c r="D227" s="4" t="str">
        <f t="shared" si="66"/>
        <v>J38788</v>
      </c>
      <c r="E227" s="4" t="s">
        <v>238</v>
      </c>
      <c r="F227" s="4" t="str">
        <f t="shared" si="82"/>
        <v>J387885</v>
      </c>
      <c r="G227" s="4" t="s">
        <v>884</v>
      </c>
      <c r="H227" s="5">
        <v>4974268535276</v>
      </c>
      <c r="I227" s="5">
        <v>5</v>
      </c>
      <c r="J227" s="5"/>
      <c r="K227" s="5">
        <v>1</v>
      </c>
      <c r="L227" s="5">
        <v>1</v>
      </c>
      <c r="M227" s="4">
        <v>1100</v>
      </c>
      <c r="N227" s="4">
        <v>836</v>
      </c>
      <c r="O227" s="4">
        <v>660</v>
      </c>
      <c r="P227" s="6">
        <f t="shared" si="67"/>
        <v>0.21052631578947367</v>
      </c>
      <c r="Q227" s="4" t="s">
        <v>1280</v>
      </c>
      <c r="R227" s="4" t="s">
        <v>1280</v>
      </c>
      <c r="S227" s="4" t="s">
        <v>1280</v>
      </c>
      <c r="T227" s="4">
        <v>1300</v>
      </c>
      <c r="U227" s="4">
        <f t="shared" si="68"/>
        <v>1300</v>
      </c>
      <c r="V227" s="4">
        <v>780</v>
      </c>
      <c r="W227" s="4">
        <f t="shared" si="69"/>
        <v>780</v>
      </c>
      <c r="X227" s="4"/>
      <c r="Y227" s="21">
        <f t="shared" si="70"/>
        <v>988</v>
      </c>
      <c r="Z227" s="6">
        <f t="shared" si="71"/>
        <v>0.21052631578947367</v>
      </c>
      <c r="AA227" s="4">
        <v>0</v>
      </c>
      <c r="AB227" s="4">
        <f t="shared" si="72"/>
        <v>1045</v>
      </c>
      <c r="AC227" s="4">
        <f t="shared" si="83"/>
        <v>1235</v>
      </c>
      <c r="AD227" s="6">
        <f t="shared" si="84"/>
        <v>0.36842105263157898</v>
      </c>
      <c r="AE227" s="4">
        <f t="shared" si="85"/>
        <v>1235</v>
      </c>
      <c r="AF227" s="7">
        <v>1087</v>
      </c>
      <c r="AG227" s="6">
        <f t="shared" si="73"/>
        <v>0.28242870285188593</v>
      </c>
      <c r="AH227" s="4">
        <f t="shared" si="74"/>
        <v>307</v>
      </c>
      <c r="AI227" s="28"/>
      <c r="AJ227" s="6"/>
      <c r="AK227" s="6"/>
      <c r="AL227" s="6">
        <f t="shared" si="75"/>
        <v>1.1818181818181819</v>
      </c>
      <c r="AM227" s="6">
        <f t="shared" si="76"/>
        <v>1.3002392344497609</v>
      </c>
      <c r="AN227" s="6">
        <f t="shared" si="77"/>
        <v>1.1818181818181819</v>
      </c>
      <c r="AO227" s="4" t="str">
        <f t="shared" si="78"/>
        <v>-</v>
      </c>
      <c r="AP227" s="4" t="str">
        <f t="shared" si="79"/>
        <v>-</v>
      </c>
      <c r="AQ227" s="4" t="str">
        <f t="shared" si="80"/>
        <v>-</v>
      </c>
      <c r="AR227" s="4">
        <v>0</v>
      </c>
      <c r="AS227" s="4" t="s">
        <v>1877</v>
      </c>
      <c r="AT227" s="4"/>
      <c r="AU227" s="4"/>
      <c r="AV227" s="4" t="s">
        <v>1695</v>
      </c>
      <c r="AW227" s="4">
        <v>1045</v>
      </c>
      <c r="AX227" s="4">
        <v>1045</v>
      </c>
      <c r="AY227" s="4">
        <v>1045</v>
      </c>
      <c r="AZ227" s="4">
        <f t="shared" si="81"/>
        <v>1045</v>
      </c>
      <c r="BA227" s="19">
        <v>4</v>
      </c>
      <c r="BB227" s="19">
        <v>8</v>
      </c>
      <c r="BC227" s="16">
        <v>19</v>
      </c>
      <c r="BD227" t="s">
        <v>1280</v>
      </c>
      <c r="BE227" t="s">
        <v>1280</v>
      </c>
      <c r="BF227" t="s">
        <v>1280</v>
      </c>
      <c r="BG227" t="str">
        <f t="shared" si="86"/>
        <v>-</v>
      </c>
      <c r="BH227">
        <v>1000</v>
      </c>
      <c r="BI227">
        <v>1000</v>
      </c>
      <c r="BJ227">
        <v>1000</v>
      </c>
      <c r="BK227">
        <f t="shared" si="87"/>
        <v>1181.818181818182</v>
      </c>
      <c r="BL227" t="s">
        <v>1425</v>
      </c>
      <c r="BM227">
        <v>812</v>
      </c>
    </row>
    <row r="228" spans="1:65" x14ac:dyDescent="0.4">
      <c r="A228" s="3">
        <v>250</v>
      </c>
      <c r="B228" s="3">
        <v>250</v>
      </c>
      <c r="C228" s="4" t="s">
        <v>239</v>
      </c>
      <c r="D228" s="4" t="str">
        <f t="shared" si="66"/>
        <v>J38789</v>
      </c>
      <c r="E228" s="4" t="s">
        <v>239</v>
      </c>
      <c r="F228" s="4" t="str">
        <f t="shared" si="82"/>
        <v>J387895</v>
      </c>
      <c r="G228" s="4" t="s">
        <v>885</v>
      </c>
      <c r="H228" s="5">
        <v>4974268535283</v>
      </c>
      <c r="I228" s="5">
        <v>5</v>
      </c>
      <c r="J228" s="5"/>
      <c r="K228" s="5">
        <v>1</v>
      </c>
      <c r="L228" s="5">
        <v>1</v>
      </c>
      <c r="M228" s="4">
        <v>1100</v>
      </c>
      <c r="N228" s="4">
        <v>1066</v>
      </c>
      <c r="O228" s="4">
        <v>660</v>
      </c>
      <c r="P228" s="6">
        <f t="shared" si="67"/>
        <v>0.38086303939962474</v>
      </c>
      <c r="Q228" s="4" t="s">
        <v>1280</v>
      </c>
      <c r="R228" s="4" t="s">
        <v>1280</v>
      </c>
      <c r="S228" s="4" t="s">
        <v>1280</v>
      </c>
      <c r="T228" s="4">
        <v>1300</v>
      </c>
      <c r="U228" s="4">
        <f t="shared" si="68"/>
        <v>1300</v>
      </c>
      <c r="V228" s="4">
        <v>780</v>
      </c>
      <c r="W228" s="4">
        <f t="shared" si="69"/>
        <v>780</v>
      </c>
      <c r="X228" s="4"/>
      <c r="Y228" s="21">
        <f t="shared" si="70"/>
        <v>1260</v>
      </c>
      <c r="Z228" s="6">
        <f t="shared" si="71"/>
        <v>0.38095238095238093</v>
      </c>
      <c r="AA228" s="4">
        <v>0</v>
      </c>
      <c r="AB228" s="4">
        <f t="shared" si="72"/>
        <v>920</v>
      </c>
      <c r="AC228" s="4">
        <f t="shared" si="83"/>
        <v>1087.2727272727273</v>
      </c>
      <c r="AD228" s="6">
        <f t="shared" si="84"/>
        <v>0.28260869565217395</v>
      </c>
      <c r="AE228" s="4">
        <f t="shared" si="85"/>
        <v>1235</v>
      </c>
      <c r="AF228" s="7">
        <v>1087</v>
      </c>
      <c r="AG228" s="6">
        <f t="shared" si="73"/>
        <v>0.28242870285188593</v>
      </c>
      <c r="AH228" s="4">
        <f t="shared" si="74"/>
        <v>307</v>
      </c>
      <c r="AI228" s="28"/>
      <c r="AJ228" s="6"/>
      <c r="AK228" s="6"/>
      <c r="AL228" s="6">
        <f t="shared" si="75"/>
        <v>1.1818181818181819</v>
      </c>
      <c r="AM228" s="6">
        <f t="shared" si="76"/>
        <v>1.0196998123827392</v>
      </c>
      <c r="AN228" s="6">
        <f t="shared" si="77"/>
        <v>1.1818181818181819</v>
      </c>
      <c r="AO228" s="4" t="str">
        <f t="shared" si="78"/>
        <v>-</v>
      </c>
      <c r="AP228" s="4" t="str">
        <f t="shared" si="79"/>
        <v>-</v>
      </c>
      <c r="AQ228" s="4" t="str">
        <f t="shared" si="80"/>
        <v>-</v>
      </c>
      <c r="AR228" s="4">
        <v>0</v>
      </c>
      <c r="AS228" s="4" t="s">
        <v>1878</v>
      </c>
      <c r="AT228" s="4"/>
      <c r="AU228" s="4"/>
      <c r="AV228" s="4" t="s">
        <v>1695</v>
      </c>
      <c r="AW228" s="4">
        <v>920</v>
      </c>
      <c r="AX228" s="4">
        <v>920</v>
      </c>
      <c r="AY228" s="4">
        <v>920</v>
      </c>
      <c r="AZ228" s="4">
        <f t="shared" si="81"/>
        <v>920</v>
      </c>
      <c r="BA228" s="19">
        <v>4</v>
      </c>
      <c r="BB228" s="19">
        <v>8</v>
      </c>
      <c r="BC228" s="16">
        <v>19</v>
      </c>
      <c r="BD228" t="s">
        <v>1280</v>
      </c>
      <c r="BE228" t="s">
        <v>1280</v>
      </c>
      <c r="BF228" t="s">
        <v>1280</v>
      </c>
      <c r="BG228" t="str">
        <f t="shared" si="86"/>
        <v>-</v>
      </c>
      <c r="BH228">
        <v>1000</v>
      </c>
      <c r="BI228">
        <v>1000</v>
      </c>
      <c r="BJ228">
        <v>1000</v>
      </c>
      <c r="BK228">
        <f t="shared" si="87"/>
        <v>1181.818181818182</v>
      </c>
      <c r="BL228" t="s">
        <v>1426</v>
      </c>
      <c r="BM228">
        <v>812</v>
      </c>
    </row>
    <row r="229" spans="1:65" x14ac:dyDescent="0.4">
      <c r="A229" s="3">
        <v>251</v>
      </c>
      <c r="B229" s="3">
        <v>251</v>
      </c>
      <c r="C229" s="4" t="s">
        <v>240</v>
      </c>
      <c r="D229" s="4" t="str">
        <f t="shared" si="66"/>
        <v>J38791</v>
      </c>
      <c r="E229" s="4" t="s">
        <v>240</v>
      </c>
      <c r="F229" s="4" t="str">
        <f t="shared" si="82"/>
        <v>J387915</v>
      </c>
      <c r="G229" s="4" t="s">
        <v>886</v>
      </c>
      <c r="H229" s="5">
        <v>4974268534774</v>
      </c>
      <c r="I229" s="5">
        <v>5</v>
      </c>
      <c r="J229" s="5"/>
      <c r="K229" s="5">
        <v>1</v>
      </c>
      <c r="L229" s="5">
        <v>1</v>
      </c>
      <c r="M229" s="4">
        <v>1100</v>
      </c>
      <c r="N229" s="4">
        <v>836</v>
      </c>
      <c r="O229" s="4">
        <v>660</v>
      </c>
      <c r="P229" s="6">
        <f t="shared" si="67"/>
        <v>0.21052631578947367</v>
      </c>
      <c r="Q229" s="4" t="s">
        <v>1280</v>
      </c>
      <c r="R229" s="4" t="s">
        <v>1280</v>
      </c>
      <c r="S229" s="4" t="s">
        <v>1280</v>
      </c>
      <c r="T229" s="4">
        <v>1300</v>
      </c>
      <c r="U229" s="4">
        <f t="shared" si="68"/>
        <v>1300</v>
      </c>
      <c r="V229" s="4">
        <v>780</v>
      </c>
      <c r="W229" s="4">
        <f t="shared" si="69"/>
        <v>780</v>
      </c>
      <c r="X229" s="4"/>
      <c r="Y229" s="21">
        <f t="shared" si="70"/>
        <v>988</v>
      </c>
      <c r="Z229" s="6">
        <f t="shared" si="71"/>
        <v>0.21052631578947367</v>
      </c>
      <c r="AA229" s="4">
        <v>0</v>
      </c>
      <c r="AB229" s="4">
        <f t="shared" si="72"/>
        <v>1045</v>
      </c>
      <c r="AC229" s="4">
        <f t="shared" si="83"/>
        <v>1235</v>
      </c>
      <c r="AD229" s="6">
        <f t="shared" si="84"/>
        <v>0.36842105263157898</v>
      </c>
      <c r="AE229" s="4">
        <f t="shared" si="85"/>
        <v>1235</v>
      </c>
      <c r="AF229" s="7">
        <v>1087</v>
      </c>
      <c r="AG229" s="6">
        <f t="shared" si="73"/>
        <v>0.28242870285188593</v>
      </c>
      <c r="AH229" s="4">
        <f t="shared" si="74"/>
        <v>307</v>
      </c>
      <c r="AI229" s="28"/>
      <c r="AJ229" s="6"/>
      <c r="AK229" s="6"/>
      <c r="AL229" s="6">
        <f t="shared" si="75"/>
        <v>1.1818181818181819</v>
      </c>
      <c r="AM229" s="6">
        <f t="shared" si="76"/>
        <v>1.3002392344497609</v>
      </c>
      <c r="AN229" s="6">
        <f t="shared" si="77"/>
        <v>1.1818181818181819</v>
      </c>
      <c r="AO229" s="4" t="str">
        <f t="shared" si="78"/>
        <v>-</v>
      </c>
      <c r="AP229" s="4" t="str">
        <f t="shared" si="79"/>
        <v>-</v>
      </c>
      <c r="AQ229" s="4" t="str">
        <f t="shared" si="80"/>
        <v>-</v>
      </c>
      <c r="AR229" s="4">
        <v>0</v>
      </c>
      <c r="AS229" s="4" t="s">
        <v>1879</v>
      </c>
      <c r="AT229" s="4"/>
      <c r="AU229" s="4"/>
      <c r="AV229" s="4" t="s">
        <v>1695</v>
      </c>
      <c r="AW229" s="4">
        <v>1045</v>
      </c>
      <c r="AX229" s="4">
        <v>1045</v>
      </c>
      <c r="AY229" s="4">
        <v>1045</v>
      </c>
      <c r="AZ229" s="4">
        <f t="shared" si="81"/>
        <v>1045</v>
      </c>
      <c r="BA229" s="19">
        <v>4</v>
      </c>
      <c r="BB229" s="19">
        <v>8</v>
      </c>
      <c r="BC229" s="16">
        <v>19</v>
      </c>
      <c r="BD229" t="s">
        <v>1280</v>
      </c>
      <c r="BE229" t="s">
        <v>1280</v>
      </c>
      <c r="BF229" t="s">
        <v>1280</v>
      </c>
      <c r="BG229" t="str">
        <f t="shared" si="86"/>
        <v>-</v>
      </c>
      <c r="BH229">
        <v>1000</v>
      </c>
      <c r="BI229">
        <v>1000</v>
      </c>
      <c r="BJ229">
        <v>1000</v>
      </c>
      <c r="BK229">
        <f t="shared" si="87"/>
        <v>1181.818181818182</v>
      </c>
      <c r="BL229" t="s">
        <v>1427</v>
      </c>
      <c r="BM229">
        <v>812</v>
      </c>
    </row>
    <row r="230" spans="1:65" x14ac:dyDescent="0.4">
      <c r="A230" s="3">
        <v>252</v>
      </c>
      <c r="B230" s="3">
        <v>252</v>
      </c>
      <c r="C230" s="4" t="s">
        <v>241</v>
      </c>
      <c r="D230" s="4" t="str">
        <f t="shared" si="66"/>
        <v>J38792</v>
      </c>
      <c r="E230" s="4" t="s">
        <v>241</v>
      </c>
      <c r="F230" s="4" t="str">
        <f t="shared" si="82"/>
        <v>J387925</v>
      </c>
      <c r="G230" s="4" t="s">
        <v>887</v>
      </c>
      <c r="H230" s="5">
        <v>4974268534781</v>
      </c>
      <c r="I230" s="5">
        <v>5</v>
      </c>
      <c r="J230" s="5"/>
      <c r="K230" s="5">
        <v>1</v>
      </c>
      <c r="L230" s="5">
        <v>1</v>
      </c>
      <c r="M230" s="4">
        <v>1100</v>
      </c>
      <c r="N230" s="4">
        <v>836</v>
      </c>
      <c r="O230" s="4">
        <v>660</v>
      </c>
      <c r="P230" s="6">
        <f t="shared" si="67"/>
        <v>0.21052631578947367</v>
      </c>
      <c r="Q230" s="4" t="s">
        <v>1280</v>
      </c>
      <c r="R230" s="4" t="s">
        <v>1280</v>
      </c>
      <c r="S230" s="4" t="s">
        <v>1280</v>
      </c>
      <c r="T230" s="4">
        <v>1300</v>
      </c>
      <c r="U230" s="4">
        <f t="shared" si="68"/>
        <v>1300</v>
      </c>
      <c r="V230" s="4">
        <v>780</v>
      </c>
      <c r="W230" s="4">
        <f t="shared" si="69"/>
        <v>780</v>
      </c>
      <c r="X230" s="4"/>
      <c r="Y230" s="21">
        <f t="shared" si="70"/>
        <v>988</v>
      </c>
      <c r="Z230" s="6">
        <f t="shared" si="71"/>
        <v>0.21052631578947367</v>
      </c>
      <c r="AA230" s="4">
        <v>0</v>
      </c>
      <c r="AB230" s="4">
        <f t="shared" si="72"/>
        <v>1155</v>
      </c>
      <c r="AC230" s="4">
        <f t="shared" si="83"/>
        <v>1365</v>
      </c>
      <c r="AD230" s="6">
        <f t="shared" si="84"/>
        <v>0.4285714285714286</v>
      </c>
      <c r="AE230" s="4">
        <f t="shared" si="85"/>
        <v>1235</v>
      </c>
      <c r="AF230" s="7">
        <v>1087</v>
      </c>
      <c r="AG230" s="6">
        <f t="shared" si="73"/>
        <v>0.28242870285188593</v>
      </c>
      <c r="AH230" s="4">
        <f t="shared" si="74"/>
        <v>307</v>
      </c>
      <c r="AI230" s="28"/>
      <c r="AJ230" s="6"/>
      <c r="AK230" s="6"/>
      <c r="AL230" s="6">
        <f t="shared" si="75"/>
        <v>1.1818181818181819</v>
      </c>
      <c r="AM230" s="6">
        <f t="shared" si="76"/>
        <v>1.3002392344497609</v>
      </c>
      <c r="AN230" s="6">
        <f t="shared" si="77"/>
        <v>1.1818181818181819</v>
      </c>
      <c r="AO230" s="4" t="str">
        <f t="shared" si="78"/>
        <v>-</v>
      </c>
      <c r="AP230" s="4" t="str">
        <f t="shared" si="79"/>
        <v>-</v>
      </c>
      <c r="AQ230" s="4" t="str">
        <f t="shared" si="80"/>
        <v>-</v>
      </c>
      <c r="AR230" s="4">
        <v>0</v>
      </c>
      <c r="AS230" s="4" t="s">
        <v>1880</v>
      </c>
      <c r="AT230" s="4"/>
      <c r="AU230" s="4"/>
      <c r="AV230" s="4" t="s">
        <v>1743</v>
      </c>
      <c r="AW230" s="4">
        <v>1155</v>
      </c>
      <c r="AX230" s="4">
        <v>1155</v>
      </c>
      <c r="AY230" s="4">
        <v>1155</v>
      </c>
      <c r="AZ230" s="4">
        <f t="shared" si="81"/>
        <v>1155</v>
      </c>
      <c r="BA230" s="19">
        <v>4</v>
      </c>
      <c r="BB230" s="19">
        <v>8</v>
      </c>
      <c r="BC230" s="16">
        <v>19</v>
      </c>
      <c r="BD230" t="s">
        <v>1280</v>
      </c>
      <c r="BE230" t="s">
        <v>1280</v>
      </c>
      <c r="BF230" t="s">
        <v>1280</v>
      </c>
      <c r="BG230" t="str">
        <f t="shared" si="86"/>
        <v>-</v>
      </c>
      <c r="BH230">
        <v>1000</v>
      </c>
      <c r="BI230">
        <v>1000</v>
      </c>
      <c r="BJ230">
        <v>1000</v>
      </c>
      <c r="BK230">
        <f t="shared" si="87"/>
        <v>1181.818181818182</v>
      </c>
      <c r="BL230" t="s">
        <v>1428</v>
      </c>
      <c r="BM230">
        <v>812</v>
      </c>
    </row>
    <row r="231" spans="1:65" x14ac:dyDescent="0.4">
      <c r="A231" s="3">
        <v>253</v>
      </c>
      <c r="B231" s="3">
        <v>253</v>
      </c>
      <c r="C231" s="4" t="s">
        <v>242</v>
      </c>
      <c r="D231" s="4" t="str">
        <f t="shared" si="66"/>
        <v>J38793</v>
      </c>
      <c r="E231" s="4" t="s">
        <v>242</v>
      </c>
      <c r="F231" s="4" t="str">
        <f t="shared" si="82"/>
        <v>J387935</v>
      </c>
      <c r="G231" s="4" t="s">
        <v>888</v>
      </c>
      <c r="H231" s="5">
        <v>4974268534798</v>
      </c>
      <c r="I231" s="5">
        <v>5</v>
      </c>
      <c r="J231" s="5"/>
      <c r="K231" s="5">
        <v>1</v>
      </c>
      <c r="L231" s="5">
        <v>1</v>
      </c>
      <c r="M231" s="4">
        <v>1100</v>
      </c>
      <c r="N231" s="4">
        <v>836</v>
      </c>
      <c r="O231" s="4">
        <v>660</v>
      </c>
      <c r="P231" s="6">
        <f t="shared" si="67"/>
        <v>0.21052631578947367</v>
      </c>
      <c r="Q231" s="4" t="s">
        <v>1280</v>
      </c>
      <c r="R231" s="4" t="s">
        <v>1280</v>
      </c>
      <c r="S231" s="4" t="s">
        <v>1280</v>
      </c>
      <c r="T231" s="4">
        <v>1300</v>
      </c>
      <c r="U231" s="4">
        <f t="shared" si="68"/>
        <v>1300</v>
      </c>
      <c r="V231" s="4">
        <v>780</v>
      </c>
      <c r="W231" s="4">
        <f t="shared" si="69"/>
        <v>780</v>
      </c>
      <c r="X231" s="4"/>
      <c r="Y231" s="21">
        <f t="shared" si="70"/>
        <v>988</v>
      </c>
      <c r="Z231" s="6">
        <f t="shared" si="71"/>
        <v>0.21052631578947367</v>
      </c>
      <c r="AA231" s="4">
        <v>0</v>
      </c>
      <c r="AB231" s="4">
        <f t="shared" si="72"/>
        <v>920</v>
      </c>
      <c r="AC231" s="4">
        <f t="shared" si="83"/>
        <v>1087.2727272727273</v>
      </c>
      <c r="AD231" s="6">
        <f t="shared" si="84"/>
        <v>0.28260869565217395</v>
      </c>
      <c r="AE231" s="4">
        <f t="shared" si="85"/>
        <v>1235</v>
      </c>
      <c r="AF231" s="7">
        <v>1087</v>
      </c>
      <c r="AG231" s="6">
        <f t="shared" si="73"/>
        <v>0.28242870285188593</v>
      </c>
      <c r="AH231" s="4">
        <f t="shared" si="74"/>
        <v>307</v>
      </c>
      <c r="AI231" s="28"/>
      <c r="AJ231" s="6"/>
      <c r="AK231" s="6"/>
      <c r="AL231" s="6">
        <f t="shared" si="75"/>
        <v>1.1818181818181819</v>
      </c>
      <c r="AM231" s="6">
        <f t="shared" si="76"/>
        <v>1.3002392344497609</v>
      </c>
      <c r="AN231" s="6">
        <f t="shared" si="77"/>
        <v>1.1818181818181819</v>
      </c>
      <c r="AO231" s="4" t="str">
        <f t="shared" si="78"/>
        <v>-</v>
      </c>
      <c r="AP231" s="4" t="str">
        <f t="shared" si="79"/>
        <v>-</v>
      </c>
      <c r="AQ231" s="4" t="str">
        <f t="shared" si="80"/>
        <v>-</v>
      </c>
      <c r="AR231" s="4">
        <v>0</v>
      </c>
      <c r="AS231" s="4" t="s">
        <v>1881</v>
      </c>
      <c r="AT231" s="4"/>
      <c r="AU231" s="4"/>
      <c r="AV231" s="4" t="s">
        <v>1695</v>
      </c>
      <c r="AW231" s="4">
        <v>920</v>
      </c>
      <c r="AX231" s="4">
        <v>920</v>
      </c>
      <c r="AY231" s="4">
        <v>920</v>
      </c>
      <c r="AZ231" s="4">
        <f t="shared" si="81"/>
        <v>920</v>
      </c>
      <c r="BA231" s="19">
        <v>4</v>
      </c>
      <c r="BB231" s="19">
        <v>8</v>
      </c>
      <c r="BC231" s="16">
        <v>19</v>
      </c>
      <c r="BD231" t="s">
        <v>1280</v>
      </c>
      <c r="BE231" t="s">
        <v>1280</v>
      </c>
      <c r="BF231" t="s">
        <v>1280</v>
      </c>
      <c r="BG231" t="str">
        <f t="shared" si="86"/>
        <v>-</v>
      </c>
      <c r="BH231">
        <v>1000</v>
      </c>
      <c r="BI231">
        <v>1000</v>
      </c>
      <c r="BJ231">
        <v>1000</v>
      </c>
      <c r="BK231">
        <f t="shared" si="87"/>
        <v>1181.818181818182</v>
      </c>
      <c r="BL231" t="s">
        <v>1429</v>
      </c>
      <c r="BM231">
        <v>812</v>
      </c>
    </row>
    <row r="232" spans="1:65" x14ac:dyDescent="0.4">
      <c r="A232" s="3">
        <v>254</v>
      </c>
      <c r="B232" s="3">
        <v>254</v>
      </c>
      <c r="C232" s="4" t="s">
        <v>243</v>
      </c>
      <c r="D232" s="4" t="str">
        <f t="shared" si="66"/>
        <v>J38794</v>
      </c>
      <c r="E232" s="4" t="s">
        <v>243</v>
      </c>
      <c r="F232" s="4" t="str">
        <f t="shared" si="82"/>
        <v>J387945</v>
      </c>
      <c r="G232" s="4" t="s">
        <v>889</v>
      </c>
      <c r="H232" s="5">
        <v>4974268534804</v>
      </c>
      <c r="I232" s="5">
        <v>5</v>
      </c>
      <c r="J232" s="5"/>
      <c r="K232" s="5">
        <v>1</v>
      </c>
      <c r="L232" s="5">
        <v>1</v>
      </c>
      <c r="M232" s="4">
        <v>1100</v>
      </c>
      <c r="N232" s="4">
        <v>993</v>
      </c>
      <c r="O232" s="4">
        <v>660</v>
      </c>
      <c r="P232" s="6">
        <f t="shared" si="67"/>
        <v>0.33534743202416917</v>
      </c>
      <c r="Q232" s="4" t="s">
        <v>1280</v>
      </c>
      <c r="R232" s="4" t="s">
        <v>1280</v>
      </c>
      <c r="S232" s="4" t="s">
        <v>1280</v>
      </c>
      <c r="T232" s="4">
        <v>1300</v>
      </c>
      <c r="U232" s="4">
        <f t="shared" si="68"/>
        <v>1300</v>
      </c>
      <c r="V232" s="4">
        <v>780</v>
      </c>
      <c r="W232" s="4">
        <f t="shared" si="69"/>
        <v>780</v>
      </c>
      <c r="X232" s="4"/>
      <c r="Y232" s="21">
        <f t="shared" si="70"/>
        <v>1174</v>
      </c>
      <c r="Z232" s="6">
        <f t="shared" si="71"/>
        <v>0.33560477001703581</v>
      </c>
      <c r="AA232" s="4">
        <v>4</v>
      </c>
      <c r="AB232" s="4">
        <f t="shared" si="72"/>
        <v>1045</v>
      </c>
      <c r="AC232" s="4">
        <f t="shared" si="83"/>
        <v>1235</v>
      </c>
      <c r="AD232" s="6">
        <f t="shared" si="84"/>
        <v>0.36842105263157898</v>
      </c>
      <c r="AE232" s="4">
        <f t="shared" si="85"/>
        <v>1235</v>
      </c>
      <c r="AF232" s="7">
        <v>1087</v>
      </c>
      <c r="AG232" s="6">
        <f t="shared" si="73"/>
        <v>0.28242870285188593</v>
      </c>
      <c r="AH232" s="4">
        <f t="shared" si="74"/>
        <v>307</v>
      </c>
      <c r="AI232" s="28"/>
      <c r="AJ232" s="6"/>
      <c r="AK232" s="6"/>
      <c r="AL232" s="6">
        <f t="shared" si="75"/>
        <v>1.1818181818181819</v>
      </c>
      <c r="AM232" s="6">
        <f t="shared" si="76"/>
        <v>1.094662638469285</v>
      </c>
      <c r="AN232" s="6">
        <f t="shared" si="77"/>
        <v>1.1818181818181819</v>
      </c>
      <c r="AO232" s="4" t="str">
        <f t="shared" si="78"/>
        <v>-</v>
      </c>
      <c r="AP232" s="4" t="str">
        <f t="shared" si="79"/>
        <v>-</v>
      </c>
      <c r="AQ232" s="4" t="str">
        <f t="shared" si="80"/>
        <v>-</v>
      </c>
      <c r="AR232" s="4">
        <v>0</v>
      </c>
      <c r="AS232" s="4" t="s">
        <v>1882</v>
      </c>
      <c r="AT232" s="4"/>
      <c r="AU232" s="4"/>
      <c r="AV232" s="4" t="s">
        <v>1695</v>
      </c>
      <c r="AW232" s="4">
        <v>1045</v>
      </c>
      <c r="AX232" s="4">
        <v>1045</v>
      </c>
      <c r="AY232" s="4">
        <v>1045</v>
      </c>
      <c r="AZ232" s="4">
        <f t="shared" si="81"/>
        <v>1045</v>
      </c>
      <c r="BA232" s="19">
        <v>4</v>
      </c>
      <c r="BB232" s="19">
        <v>8</v>
      </c>
      <c r="BC232" s="16">
        <v>19</v>
      </c>
      <c r="BD232" t="s">
        <v>1280</v>
      </c>
      <c r="BE232" t="s">
        <v>1280</v>
      </c>
      <c r="BF232" t="s">
        <v>1280</v>
      </c>
      <c r="BG232" t="str">
        <f t="shared" si="86"/>
        <v>-</v>
      </c>
      <c r="BH232">
        <v>1000</v>
      </c>
      <c r="BI232">
        <v>1000</v>
      </c>
      <c r="BJ232">
        <v>1000</v>
      </c>
      <c r="BK232">
        <f t="shared" si="87"/>
        <v>1181.818181818182</v>
      </c>
      <c r="BL232" t="s">
        <v>1430</v>
      </c>
      <c r="BM232">
        <v>812</v>
      </c>
    </row>
    <row r="233" spans="1:65" x14ac:dyDescent="0.4">
      <c r="A233" s="3">
        <v>259</v>
      </c>
      <c r="B233" s="3">
        <v>259</v>
      </c>
      <c r="C233" s="4" t="s">
        <v>248</v>
      </c>
      <c r="D233" s="4" t="str">
        <f t="shared" si="66"/>
        <v>J38795</v>
      </c>
      <c r="E233" s="4" t="s">
        <v>248</v>
      </c>
      <c r="F233" s="4" t="str">
        <f t="shared" si="82"/>
        <v>J387955</v>
      </c>
      <c r="G233" s="4" t="s">
        <v>894</v>
      </c>
      <c r="H233" s="5">
        <v>4974268534811</v>
      </c>
      <c r="I233" s="5">
        <v>5</v>
      </c>
      <c r="J233" s="5"/>
      <c r="K233" s="5">
        <v>1</v>
      </c>
      <c r="L233" s="5">
        <v>1</v>
      </c>
      <c r="M233" s="4">
        <v>1100</v>
      </c>
      <c r="N233" s="4">
        <v>836</v>
      </c>
      <c r="O233" s="4">
        <v>660</v>
      </c>
      <c r="P233" s="6">
        <f t="shared" si="67"/>
        <v>0.21052631578947367</v>
      </c>
      <c r="Q233" s="4" t="s">
        <v>1280</v>
      </c>
      <c r="R233" s="4" t="s">
        <v>1280</v>
      </c>
      <c r="S233" s="4" t="s">
        <v>1280</v>
      </c>
      <c r="T233" s="4">
        <v>1300</v>
      </c>
      <c r="U233" s="4">
        <f t="shared" si="68"/>
        <v>1300</v>
      </c>
      <c r="V233" s="4">
        <v>780</v>
      </c>
      <c r="W233" s="4">
        <f t="shared" si="69"/>
        <v>780</v>
      </c>
      <c r="X233" s="4"/>
      <c r="Y233" s="21">
        <f t="shared" si="70"/>
        <v>988</v>
      </c>
      <c r="Z233" s="6">
        <f t="shared" si="71"/>
        <v>0.21052631578947367</v>
      </c>
      <c r="AA233" s="4">
        <v>0</v>
      </c>
      <c r="AB233" s="4">
        <f t="shared" si="72"/>
        <v>920</v>
      </c>
      <c r="AC233" s="4">
        <f t="shared" si="83"/>
        <v>1087.2727272727273</v>
      </c>
      <c r="AD233" s="6">
        <f t="shared" si="84"/>
        <v>0.28260869565217395</v>
      </c>
      <c r="AE233" s="4">
        <f t="shared" si="85"/>
        <v>1235</v>
      </c>
      <c r="AF233" s="7">
        <v>1087</v>
      </c>
      <c r="AG233" s="6">
        <f t="shared" si="73"/>
        <v>0.28242870285188593</v>
      </c>
      <c r="AH233" s="4">
        <f t="shared" si="74"/>
        <v>307</v>
      </c>
      <c r="AI233" s="28"/>
      <c r="AJ233" s="6"/>
      <c r="AK233" s="6"/>
      <c r="AL233" s="6">
        <f t="shared" si="75"/>
        <v>1.1818181818181819</v>
      </c>
      <c r="AM233" s="6">
        <f t="shared" si="76"/>
        <v>1.3002392344497609</v>
      </c>
      <c r="AN233" s="6">
        <f t="shared" si="77"/>
        <v>1.1818181818181819</v>
      </c>
      <c r="AO233" s="4" t="str">
        <f t="shared" si="78"/>
        <v>-</v>
      </c>
      <c r="AP233" s="4" t="str">
        <f t="shared" si="79"/>
        <v>-</v>
      </c>
      <c r="AQ233" s="4" t="str">
        <f t="shared" si="80"/>
        <v>-</v>
      </c>
      <c r="AR233" s="4">
        <v>0</v>
      </c>
      <c r="AS233" s="4" t="s">
        <v>1888</v>
      </c>
      <c r="AT233" s="4"/>
      <c r="AU233" s="4"/>
      <c r="AV233" s="4" t="s">
        <v>1695</v>
      </c>
      <c r="AW233" s="4">
        <v>920</v>
      </c>
      <c r="AX233" s="4">
        <v>920</v>
      </c>
      <c r="AY233" s="4">
        <v>920</v>
      </c>
      <c r="AZ233" s="4">
        <f t="shared" si="81"/>
        <v>920</v>
      </c>
      <c r="BA233" s="19">
        <v>4</v>
      </c>
      <c r="BB233" s="19">
        <v>8</v>
      </c>
      <c r="BC233" s="16">
        <v>19</v>
      </c>
      <c r="BD233" t="s">
        <v>1280</v>
      </c>
      <c r="BE233" t="s">
        <v>1280</v>
      </c>
      <c r="BF233" t="s">
        <v>1280</v>
      </c>
      <c r="BG233" t="str">
        <f t="shared" si="86"/>
        <v>-</v>
      </c>
      <c r="BH233">
        <v>1000</v>
      </c>
      <c r="BI233">
        <v>1000</v>
      </c>
      <c r="BJ233">
        <v>1000</v>
      </c>
      <c r="BK233">
        <f t="shared" si="87"/>
        <v>1181.818181818182</v>
      </c>
      <c r="BL233" t="s">
        <v>1434</v>
      </c>
      <c r="BM233">
        <v>812</v>
      </c>
    </row>
    <row r="234" spans="1:65" x14ac:dyDescent="0.4">
      <c r="A234" s="3">
        <v>260</v>
      </c>
      <c r="B234" s="3">
        <v>260</v>
      </c>
      <c r="C234" s="4" t="s">
        <v>249</v>
      </c>
      <c r="D234" s="4" t="str">
        <f t="shared" si="66"/>
        <v>J38797</v>
      </c>
      <c r="E234" s="4" t="s">
        <v>249</v>
      </c>
      <c r="F234" s="4" t="str">
        <f t="shared" si="82"/>
        <v>J387975</v>
      </c>
      <c r="G234" s="4" t="s">
        <v>895</v>
      </c>
      <c r="H234" s="5">
        <v>4974268534835</v>
      </c>
      <c r="I234" s="5">
        <v>5</v>
      </c>
      <c r="J234" s="5"/>
      <c r="K234" s="5">
        <v>1</v>
      </c>
      <c r="L234" s="5">
        <v>1</v>
      </c>
      <c r="M234" s="4">
        <v>1100</v>
      </c>
      <c r="N234" s="4">
        <v>836</v>
      </c>
      <c r="O234" s="4">
        <v>660</v>
      </c>
      <c r="P234" s="6">
        <f t="shared" si="67"/>
        <v>0.21052631578947367</v>
      </c>
      <c r="Q234" s="4" t="s">
        <v>1280</v>
      </c>
      <c r="R234" s="4" t="s">
        <v>1280</v>
      </c>
      <c r="S234" s="4" t="s">
        <v>1280</v>
      </c>
      <c r="T234" s="4">
        <v>1300</v>
      </c>
      <c r="U234" s="4">
        <f t="shared" si="68"/>
        <v>1300</v>
      </c>
      <c r="V234" s="4">
        <v>780</v>
      </c>
      <c r="W234" s="4">
        <f t="shared" si="69"/>
        <v>780</v>
      </c>
      <c r="X234" s="4"/>
      <c r="Y234" s="21">
        <f t="shared" si="70"/>
        <v>988</v>
      </c>
      <c r="Z234" s="6">
        <f t="shared" si="71"/>
        <v>0.21052631578947367</v>
      </c>
      <c r="AA234" s="4">
        <v>0</v>
      </c>
      <c r="AB234" s="4">
        <f t="shared" si="72"/>
        <v>1155</v>
      </c>
      <c r="AC234" s="4">
        <f t="shared" si="83"/>
        <v>1365</v>
      </c>
      <c r="AD234" s="6">
        <f t="shared" si="84"/>
        <v>0.4285714285714286</v>
      </c>
      <c r="AE234" s="4">
        <f t="shared" si="85"/>
        <v>1235</v>
      </c>
      <c r="AF234" s="7">
        <v>1087</v>
      </c>
      <c r="AG234" s="6">
        <f t="shared" si="73"/>
        <v>0.28242870285188593</v>
      </c>
      <c r="AH234" s="4">
        <f t="shared" si="74"/>
        <v>307</v>
      </c>
      <c r="AI234" s="28"/>
      <c r="AJ234" s="6"/>
      <c r="AK234" s="6"/>
      <c r="AL234" s="6">
        <f t="shared" si="75"/>
        <v>1.1818181818181819</v>
      </c>
      <c r="AM234" s="6">
        <f t="shared" si="76"/>
        <v>1.3002392344497609</v>
      </c>
      <c r="AN234" s="6">
        <f t="shared" si="77"/>
        <v>1.1818181818181819</v>
      </c>
      <c r="AO234" s="4" t="str">
        <f t="shared" si="78"/>
        <v>-</v>
      </c>
      <c r="AP234" s="4" t="str">
        <f t="shared" si="79"/>
        <v>-</v>
      </c>
      <c r="AQ234" s="4" t="str">
        <f t="shared" si="80"/>
        <v>-</v>
      </c>
      <c r="AR234" s="4">
        <v>0</v>
      </c>
      <c r="AS234" s="4" t="s">
        <v>1889</v>
      </c>
      <c r="AT234" s="4"/>
      <c r="AU234" s="4"/>
      <c r="AV234" s="4" t="s">
        <v>1743</v>
      </c>
      <c r="AW234" s="4">
        <v>1155</v>
      </c>
      <c r="AX234" s="4">
        <v>1155</v>
      </c>
      <c r="AY234" s="4">
        <v>1155</v>
      </c>
      <c r="AZ234" s="4">
        <f t="shared" si="81"/>
        <v>1155</v>
      </c>
      <c r="BA234" s="19">
        <v>4</v>
      </c>
      <c r="BB234" s="19">
        <v>8</v>
      </c>
      <c r="BC234" s="16">
        <v>19</v>
      </c>
      <c r="BD234" t="s">
        <v>1280</v>
      </c>
      <c r="BE234" t="s">
        <v>1280</v>
      </c>
      <c r="BF234" t="s">
        <v>1280</v>
      </c>
      <c r="BG234" t="str">
        <f t="shared" si="86"/>
        <v>-</v>
      </c>
      <c r="BH234">
        <v>1000</v>
      </c>
      <c r="BI234">
        <v>1000</v>
      </c>
      <c r="BJ234">
        <v>1000</v>
      </c>
      <c r="BK234">
        <f t="shared" si="87"/>
        <v>1181.818181818182</v>
      </c>
      <c r="BL234" t="s">
        <v>1435</v>
      </c>
      <c r="BM234">
        <v>812</v>
      </c>
    </row>
    <row r="235" spans="1:65" x14ac:dyDescent="0.4">
      <c r="A235" s="3">
        <v>263</v>
      </c>
      <c r="B235" s="3">
        <v>263</v>
      </c>
      <c r="C235" s="4" t="s">
        <v>252</v>
      </c>
      <c r="D235" s="4" t="str">
        <f t="shared" si="66"/>
        <v>J38798</v>
      </c>
      <c r="E235" s="4" t="s">
        <v>252</v>
      </c>
      <c r="F235" s="4" t="str">
        <f t="shared" si="82"/>
        <v>J387985</v>
      </c>
      <c r="G235" s="4" t="s">
        <v>898</v>
      </c>
      <c r="H235" s="5">
        <v>4974268534842</v>
      </c>
      <c r="I235" s="5">
        <v>5</v>
      </c>
      <c r="J235" s="5"/>
      <c r="K235" s="5">
        <v>1</v>
      </c>
      <c r="L235" s="5">
        <v>1</v>
      </c>
      <c r="M235" s="4">
        <v>1100</v>
      </c>
      <c r="N235" s="4">
        <v>836</v>
      </c>
      <c r="O235" s="4">
        <v>660</v>
      </c>
      <c r="P235" s="6">
        <f t="shared" si="67"/>
        <v>0.21052631578947367</v>
      </c>
      <c r="Q235" s="4" t="s">
        <v>1280</v>
      </c>
      <c r="R235" s="4" t="s">
        <v>1280</v>
      </c>
      <c r="S235" s="4" t="s">
        <v>1280</v>
      </c>
      <c r="T235" s="4">
        <v>1300</v>
      </c>
      <c r="U235" s="4">
        <f t="shared" si="68"/>
        <v>1300</v>
      </c>
      <c r="V235" s="4">
        <v>780</v>
      </c>
      <c r="W235" s="4">
        <f t="shared" si="69"/>
        <v>780</v>
      </c>
      <c r="X235" s="4"/>
      <c r="Y235" s="21">
        <f t="shared" si="70"/>
        <v>988</v>
      </c>
      <c r="Z235" s="6">
        <f t="shared" si="71"/>
        <v>0.21052631578947367</v>
      </c>
      <c r="AA235" s="4">
        <v>0</v>
      </c>
      <c r="AB235" s="4">
        <f t="shared" si="72"/>
        <v>920</v>
      </c>
      <c r="AC235" s="4">
        <f t="shared" si="83"/>
        <v>1087.2727272727273</v>
      </c>
      <c r="AD235" s="6">
        <f t="shared" si="84"/>
        <v>0.28260869565217395</v>
      </c>
      <c r="AE235" s="4">
        <f t="shared" si="85"/>
        <v>1235</v>
      </c>
      <c r="AF235" s="7">
        <v>1087</v>
      </c>
      <c r="AG235" s="6">
        <f t="shared" si="73"/>
        <v>0.28242870285188593</v>
      </c>
      <c r="AH235" s="4">
        <f t="shared" si="74"/>
        <v>307</v>
      </c>
      <c r="AI235" s="28"/>
      <c r="AJ235" s="6"/>
      <c r="AK235" s="6"/>
      <c r="AL235" s="6">
        <f t="shared" si="75"/>
        <v>1.1818181818181819</v>
      </c>
      <c r="AM235" s="6">
        <f t="shared" si="76"/>
        <v>1.3002392344497609</v>
      </c>
      <c r="AN235" s="6">
        <f t="shared" si="77"/>
        <v>1.1818181818181819</v>
      </c>
      <c r="AO235" s="4" t="str">
        <f t="shared" si="78"/>
        <v>-</v>
      </c>
      <c r="AP235" s="4" t="str">
        <f t="shared" si="79"/>
        <v>-</v>
      </c>
      <c r="AQ235" s="4" t="str">
        <f t="shared" si="80"/>
        <v>-</v>
      </c>
      <c r="AR235" s="4">
        <v>0</v>
      </c>
      <c r="AS235" s="4" t="s">
        <v>1891</v>
      </c>
      <c r="AT235" s="4"/>
      <c r="AU235" s="4"/>
      <c r="AV235" s="4" t="s">
        <v>1695</v>
      </c>
      <c r="AW235" s="4">
        <v>920</v>
      </c>
      <c r="AX235" s="4">
        <v>920</v>
      </c>
      <c r="AY235" s="4">
        <v>920</v>
      </c>
      <c r="AZ235" s="4">
        <f t="shared" si="81"/>
        <v>920</v>
      </c>
      <c r="BA235" s="19">
        <v>4</v>
      </c>
      <c r="BB235" s="19">
        <v>8</v>
      </c>
      <c r="BC235" s="16">
        <v>19</v>
      </c>
      <c r="BD235" t="s">
        <v>1280</v>
      </c>
      <c r="BE235" t="s">
        <v>1280</v>
      </c>
      <c r="BF235" t="s">
        <v>1280</v>
      </c>
      <c r="BG235" t="str">
        <f t="shared" si="86"/>
        <v>-</v>
      </c>
      <c r="BH235">
        <v>1000</v>
      </c>
      <c r="BI235">
        <v>1000</v>
      </c>
      <c r="BJ235">
        <v>1000</v>
      </c>
      <c r="BK235">
        <f t="shared" si="87"/>
        <v>1181.818181818182</v>
      </c>
      <c r="BL235" t="s">
        <v>1437</v>
      </c>
      <c r="BM235">
        <v>812</v>
      </c>
    </row>
    <row r="236" spans="1:65" x14ac:dyDescent="0.4">
      <c r="A236" s="3">
        <v>264</v>
      </c>
      <c r="B236" s="3">
        <v>264</v>
      </c>
      <c r="C236" s="4" t="s">
        <v>253</v>
      </c>
      <c r="D236" s="4" t="str">
        <f t="shared" si="66"/>
        <v>J38799</v>
      </c>
      <c r="E236" s="4" t="s">
        <v>253</v>
      </c>
      <c r="F236" s="4" t="str">
        <f t="shared" si="82"/>
        <v>J387995</v>
      </c>
      <c r="G236" s="4" t="s">
        <v>899</v>
      </c>
      <c r="H236" s="5">
        <v>4974268536723</v>
      </c>
      <c r="I236" s="5">
        <v>5</v>
      </c>
      <c r="J236" s="5"/>
      <c r="K236" s="5">
        <v>1</v>
      </c>
      <c r="L236" s="5">
        <v>1</v>
      </c>
      <c r="M236" s="4">
        <v>1100</v>
      </c>
      <c r="N236" s="4">
        <v>993</v>
      </c>
      <c r="O236" s="4">
        <v>660</v>
      </c>
      <c r="P236" s="6">
        <f t="shared" si="67"/>
        <v>0.33534743202416917</v>
      </c>
      <c r="Q236" s="4" t="s">
        <v>1280</v>
      </c>
      <c r="R236" s="4" t="s">
        <v>1280</v>
      </c>
      <c r="S236" s="4" t="s">
        <v>1280</v>
      </c>
      <c r="T236" s="4">
        <v>1300</v>
      </c>
      <c r="U236" s="4">
        <f t="shared" si="68"/>
        <v>1300</v>
      </c>
      <c r="V236" s="4">
        <v>780</v>
      </c>
      <c r="W236" s="4">
        <f t="shared" si="69"/>
        <v>780</v>
      </c>
      <c r="X236" s="4"/>
      <c r="Y236" s="21">
        <f t="shared" si="70"/>
        <v>1174</v>
      </c>
      <c r="Z236" s="6">
        <f t="shared" si="71"/>
        <v>0.33560477001703581</v>
      </c>
      <c r="AA236" s="4">
        <v>0</v>
      </c>
      <c r="AB236" s="4">
        <f t="shared" si="72"/>
        <v>1055</v>
      </c>
      <c r="AC236" s="4">
        <f t="shared" si="83"/>
        <v>1246.818181818182</v>
      </c>
      <c r="AD236" s="6">
        <f t="shared" si="84"/>
        <v>0.37440758293838872</v>
      </c>
      <c r="AE236" s="4">
        <f t="shared" si="85"/>
        <v>1235</v>
      </c>
      <c r="AF236" s="7">
        <v>1087</v>
      </c>
      <c r="AG236" s="6">
        <f t="shared" si="73"/>
        <v>0.28242870285188593</v>
      </c>
      <c r="AH236" s="4">
        <f t="shared" si="74"/>
        <v>307</v>
      </c>
      <c r="AI236" s="28"/>
      <c r="AJ236" s="6"/>
      <c r="AK236" s="6"/>
      <c r="AL236" s="6">
        <f t="shared" si="75"/>
        <v>1.1818181818181819</v>
      </c>
      <c r="AM236" s="6">
        <f t="shared" si="76"/>
        <v>1.094662638469285</v>
      </c>
      <c r="AN236" s="6">
        <f t="shared" si="77"/>
        <v>1.1818181818181819</v>
      </c>
      <c r="AO236" s="4" t="str">
        <f t="shared" si="78"/>
        <v>-</v>
      </c>
      <c r="AP236" s="4" t="str">
        <f t="shared" si="79"/>
        <v>-</v>
      </c>
      <c r="AQ236" s="4" t="str">
        <f t="shared" si="80"/>
        <v>-</v>
      </c>
      <c r="AR236" s="4">
        <v>0</v>
      </c>
      <c r="AS236" s="4" t="s">
        <v>1892</v>
      </c>
      <c r="AT236" s="4"/>
      <c r="AU236" s="4"/>
      <c r="AV236" s="4" t="s">
        <v>1893</v>
      </c>
      <c r="AW236" s="4">
        <v>1055</v>
      </c>
      <c r="AX236" s="4">
        <v>1055</v>
      </c>
      <c r="AY236" s="4">
        <v>1055</v>
      </c>
      <c r="AZ236" s="4">
        <f t="shared" si="81"/>
        <v>1055</v>
      </c>
      <c r="BA236" s="19">
        <v>4</v>
      </c>
      <c r="BB236" s="19">
        <v>8</v>
      </c>
      <c r="BC236" s="16">
        <v>19</v>
      </c>
      <c r="BD236" t="s">
        <v>1280</v>
      </c>
      <c r="BE236" t="s">
        <v>1280</v>
      </c>
      <c r="BF236" t="s">
        <v>1280</v>
      </c>
      <c r="BG236" t="str">
        <f t="shared" si="86"/>
        <v>-</v>
      </c>
      <c r="BH236">
        <v>1000</v>
      </c>
      <c r="BI236">
        <v>1000</v>
      </c>
      <c r="BJ236">
        <v>1000</v>
      </c>
      <c r="BK236">
        <f t="shared" si="87"/>
        <v>1181.818181818182</v>
      </c>
      <c r="BL236" t="s">
        <v>1438</v>
      </c>
      <c r="BM236">
        <v>812</v>
      </c>
    </row>
    <row r="237" spans="1:65" x14ac:dyDescent="0.4">
      <c r="A237" s="3">
        <v>278</v>
      </c>
      <c r="B237" s="3">
        <v>278</v>
      </c>
      <c r="C237" s="4" t="s">
        <v>267</v>
      </c>
      <c r="D237" s="4" t="str">
        <f t="shared" si="66"/>
        <v>J38993</v>
      </c>
      <c r="E237" s="4" t="s">
        <v>267</v>
      </c>
      <c r="F237" s="4" t="str">
        <f t="shared" si="82"/>
        <v>J389935</v>
      </c>
      <c r="G237" s="4" t="s">
        <v>913</v>
      </c>
      <c r="H237" s="5">
        <v>4974268602855</v>
      </c>
      <c r="I237" s="5">
        <v>5</v>
      </c>
      <c r="J237" s="5"/>
      <c r="K237" s="5">
        <v>1</v>
      </c>
      <c r="L237" s="5">
        <v>1</v>
      </c>
      <c r="M237" s="4">
        <v>1080</v>
      </c>
      <c r="N237" s="4">
        <v>914</v>
      </c>
      <c r="O237" s="4">
        <v>648</v>
      </c>
      <c r="P237" s="6">
        <f t="shared" si="67"/>
        <v>0.29102844638949676</v>
      </c>
      <c r="Q237" s="4" t="s">
        <v>1280</v>
      </c>
      <c r="R237" s="4" t="s">
        <v>1280</v>
      </c>
      <c r="S237" s="4" t="s">
        <v>1280</v>
      </c>
      <c r="T237" s="4">
        <v>1300</v>
      </c>
      <c r="U237" s="4">
        <f t="shared" si="68"/>
        <v>1300</v>
      </c>
      <c r="V237" s="4">
        <v>780</v>
      </c>
      <c r="W237" s="4">
        <f t="shared" si="69"/>
        <v>780</v>
      </c>
      <c r="X237" s="4"/>
      <c r="Y237" s="21">
        <f t="shared" si="70"/>
        <v>1100</v>
      </c>
      <c r="Z237" s="6">
        <f t="shared" si="71"/>
        <v>0.29090909090909089</v>
      </c>
      <c r="AA237" s="4">
        <v>0</v>
      </c>
      <c r="AB237" s="4">
        <f t="shared" si="72"/>
        <v>1009.2</v>
      </c>
      <c r="AC237" s="4">
        <f t="shared" si="83"/>
        <v>1214.7777777777778</v>
      </c>
      <c r="AD237" s="6">
        <f t="shared" si="84"/>
        <v>0.35790725326991679</v>
      </c>
      <c r="AE237" s="4">
        <f t="shared" si="85"/>
        <v>1235</v>
      </c>
      <c r="AF237" s="7">
        <v>1200</v>
      </c>
      <c r="AG237" s="6">
        <f t="shared" si="73"/>
        <v>0.35</v>
      </c>
      <c r="AH237" s="4">
        <f t="shared" si="74"/>
        <v>420</v>
      </c>
      <c r="AI237" s="28"/>
      <c r="AJ237" s="6"/>
      <c r="AK237" s="6"/>
      <c r="AL237" s="6">
        <f t="shared" si="75"/>
        <v>1.2037037037037037</v>
      </c>
      <c r="AM237" s="6">
        <f t="shared" si="76"/>
        <v>1.3129102844638949</v>
      </c>
      <c r="AN237" s="6">
        <f t="shared" si="77"/>
        <v>1.2037037037037037</v>
      </c>
      <c r="AO237" s="4" t="str">
        <f t="shared" si="78"/>
        <v>-</v>
      </c>
      <c r="AP237" s="4" t="str">
        <f t="shared" si="79"/>
        <v>-</v>
      </c>
      <c r="AQ237" s="4" t="str">
        <f t="shared" si="80"/>
        <v>-</v>
      </c>
      <c r="AR237" s="4">
        <v>0</v>
      </c>
      <c r="AS237" s="4" t="s">
        <v>1906</v>
      </c>
      <c r="AT237" s="4">
        <v>1</v>
      </c>
      <c r="AU237" s="4">
        <v>5</v>
      </c>
      <c r="AV237" s="4" t="s">
        <v>1907</v>
      </c>
      <c r="AW237" s="4">
        <v>5046</v>
      </c>
      <c r="AX237" s="4">
        <v>5046</v>
      </c>
      <c r="AY237" s="4">
        <v>5046</v>
      </c>
      <c r="AZ237" s="4">
        <f t="shared" si="81"/>
        <v>1009.2</v>
      </c>
      <c r="BA237" s="19">
        <v>4</v>
      </c>
      <c r="BB237" s="19">
        <v>1</v>
      </c>
      <c r="BC237" s="16">
        <v>19</v>
      </c>
      <c r="BD237">
        <v>778</v>
      </c>
      <c r="BE237">
        <v>778</v>
      </c>
      <c r="BF237" t="s">
        <v>1280</v>
      </c>
      <c r="BG237" t="str">
        <f t="shared" si="86"/>
        <v>-</v>
      </c>
      <c r="BH237">
        <v>828</v>
      </c>
      <c r="BI237">
        <v>828</v>
      </c>
      <c r="BJ237">
        <v>828</v>
      </c>
      <c r="BK237">
        <f t="shared" si="87"/>
        <v>996.66666666666663</v>
      </c>
      <c r="BL237" t="s">
        <v>1448</v>
      </c>
      <c r="BM237">
        <v>812</v>
      </c>
    </row>
    <row r="238" spans="1:65" x14ac:dyDescent="0.4">
      <c r="A238" s="3">
        <v>453</v>
      </c>
      <c r="B238" s="3">
        <v>453</v>
      </c>
      <c r="C238" s="4" t="s">
        <v>442</v>
      </c>
      <c r="D238" s="4" t="str">
        <f t="shared" si="66"/>
        <v>J54515</v>
      </c>
      <c r="E238" s="4" t="s">
        <v>442</v>
      </c>
      <c r="F238" s="4" t="str">
        <f t="shared" si="82"/>
        <v>J545155</v>
      </c>
      <c r="G238" s="4" t="s">
        <v>1086</v>
      </c>
      <c r="H238" s="5">
        <v>4974268560032</v>
      </c>
      <c r="I238" s="5">
        <v>5</v>
      </c>
      <c r="J238" s="5"/>
      <c r="K238" s="5">
        <v>1</v>
      </c>
      <c r="L238" s="5">
        <v>1</v>
      </c>
      <c r="M238" s="4">
        <v>1200</v>
      </c>
      <c r="N238" s="4">
        <v>1163</v>
      </c>
      <c r="O238" s="4">
        <v>720</v>
      </c>
      <c r="P238" s="6">
        <f t="shared" si="67"/>
        <v>0.38091143594153054</v>
      </c>
      <c r="Q238" s="4" t="s">
        <v>1280</v>
      </c>
      <c r="R238" s="4" t="s">
        <v>1280</v>
      </c>
      <c r="S238" s="4" t="s">
        <v>1280</v>
      </c>
      <c r="T238" s="4">
        <v>1300</v>
      </c>
      <c r="U238" s="4">
        <f t="shared" si="68"/>
        <v>1300</v>
      </c>
      <c r="V238" s="4">
        <v>780</v>
      </c>
      <c r="W238" s="4">
        <f t="shared" si="69"/>
        <v>780</v>
      </c>
      <c r="X238" s="4"/>
      <c r="Y238" s="21">
        <f t="shared" si="70"/>
        <v>1260</v>
      </c>
      <c r="Z238" s="6">
        <f t="shared" si="71"/>
        <v>0.38095238095238093</v>
      </c>
      <c r="AA238" s="4">
        <v>6.5</v>
      </c>
      <c r="AB238" s="4">
        <f t="shared" si="72"/>
        <v>1137</v>
      </c>
      <c r="AC238" s="4">
        <f t="shared" si="83"/>
        <v>1231.75</v>
      </c>
      <c r="AD238" s="6">
        <f t="shared" si="84"/>
        <v>0.36675461741424797</v>
      </c>
      <c r="AE238" s="4">
        <f t="shared" si="85"/>
        <v>1235</v>
      </c>
      <c r="AF238" s="7">
        <v>1200</v>
      </c>
      <c r="AG238" s="6">
        <f t="shared" si="73"/>
        <v>0.35</v>
      </c>
      <c r="AH238" s="4">
        <f t="shared" si="74"/>
        <v>420</v>
      </c>
      <c r="AI238" s="28"/>
      <c r="AJ238" s="6"/>
      <c r="AK238" s="6"/>
      <c r="AL238" s="6">
        <f t="shared" si="75"/>
        <v>1.0833333333333333</v>
      </c>
      <c r="AM238" s="6">
        <f t="shared" si="76"/>
        <v>1.0318142734307825</v>
      </c>
      <c r="AN238" s="6">
        <f t="shared" si="77"/>
        <v>1.0833333333333333</v>
      </c>
      <c r="AO238" s="4" t="str">
        <f t="shared" si="78"/>
        <v>-</v>
      </c>
      <c r="AP238" s="4" t="str">
        <f t="shared" si="79"/>
        <v>-</v>
      </c>
      <c r="AQ238" s="4" t="str">
        <f t="shared" si="80"/>
        <v>-</v>
      </c>
      <c r="AR238" s="4">
        <v>0</v>
      </c>
      <c r="AS238" s="4" t="s">
        <v>2013</v>
      </c>
      <c r="AT238" s="4"/>
      <c r="AU238" s="4"/>
      <c r="AV238" s="4" t="s">
        <v>2014</v>
      </c>
      <c r="AW238" s="4">
        <v>1137</v>
      </c>
      <c r="AX238" s="4">
        <v>1137</v>
      </c>
      <c r="AY238" s="4">
        <v>1137</v>
      </c>
      <c r="AZ238" s="4">
        <f t="shared" si="81"/>
        <v>1137</v>
      </c>
      <c r="BA238" s="19">
        <v>4</v>
      </c>
      <c r="BB238" s="19">
        <v>1</v>
      </c>
      <c r="BC238" s="16">
        <v>18</v>
      </c>
      <c r="BD238" t="s">
        <v>1280</v>
      </c>
      <c r="BE238" t="s">
        <v>1280</v>
      </c>
      <c r="BF238" t="s">
        <v>1280</v>
      </c>
      <c r="BG238" t="str">
        <f t="shared" si="86"/>
        <v>-</v>
      </c>
      <c r="BH238">
        <v>1165</v>
      </c>
      <c r="BI238">
        <v>1165</v>
      </c>
      <c r="BJ238">
        <v>1165</v>
      </c>
      <c r="BK238">
        <f t="shared" si="87"/>
        <v>1262.0833333333333</v>
      </c>
      <c r="BL238" t="s">
        <v>1530</v>
      </c>
      <c r="BM238">
        <v>812</v>
      </c>
    </row>
    <row r="239" spans="1:65" x14ac:dyDescent="0.4">
      <c r="A239" s="3">
        <v>454</v>
      </c>
      <c r="B239" s="3">
        <v>454</v>
      </c>
      <c r="C239" s="4" t="s">
        <v>443</v>
      </c>
      <c r="D239" s="4" t="str">
        <f t="shared" si="66"/>
        <v>J54517</v>
      </c>
      <c r="E239" s="4" t="s">
        <v>443</v>
      </c>
      <c r="F239" s="4" t="str">
        <f t="shared" si="82"/>
        <v>J545175</v>
      </c>
      <c r="G239" s="4" t="s">
        <v>1087</v>
      </c>
      <c r="H239" s="5">
        <v>4974268560056</v>
      </c>
      <c r="I239" s="5">
        <v>5</v>
      </c>
      <c r="J239" s="5"/>
      <c r="K239" s="5">
        <v>1</v>
      </c>
      <c r="L239" s="5">
        <v>1</v>
      </c>
      <c r="M239" s="4">
        <v>1200</v>
      </c>
      <c r="N239" s="4">
        <v>1163</v>
      </c>
      <c r="O239" s="4">
        <v>720</v>
      </c>
      <c r="P239" s="6">
        <f t="shared" si="67"/>
        <v>0.38091143594153054</v>
      </c>
      <c r="Q239" s="4" t="s">
        <v>1280</v>
      </c>
      <c r="R239" s="4" t="s">
        <v>1280</v>
      </c>
      <c r="S239" s="4" t="s">
        <v>1280</v>
      </c>
      <c r="T239" s="4">
        <v>1300</v>
      </c>
      <c r="U239" s="4">
        <f t="shared" si="68"/>
        <v>1300</v>
      </c>
      <c r="V239" s="4">
        <v>780</v>
      </c>
      <c r="W239" s="4">
        <f t="shared" si="69"/>
        <v>780</v>
      </c>
      <c r="X239" s="4"/>
      <c r="Y239" s="21">
        <f t="shared" si="70"/>
        <v>1260</v>
      </c>
      <c r="Z239" s="6">
        <f t="shared" si="71"/>
        <v>0.38095238095238093</v>
      </c>
      <c r="AA239" s="4">
        <v>0.75</v>
      </c>
      <c r="AB239" s="4">
        <f t="shared" si="72"/>
        <v>982</v>
      </c>
      <c r="AC239" s="4">
        <f t="shared" si="83"/>
        <v>1063.8333333333333</v>
      </c>
      <c r="AD239" s="6">
        <f t="shared" si="84"/>
        <v>0.26680244399185327</v>
      </c>
      <c r="AE239" s="4">
        <f t="shared" si="85"/>
        <v>1235</v>
      </c>
      <c r="AF239" s="7">
        <v>1200</v>
      </c>
      <c r="AG239" s="6">
        <f t="shared" si="73"/>
        <v>0.35</v>
      </c>
      <c r="AH239" s="4">
        <f t="shared" si="74"/>
        <v>420</v>
      </c>
      <c r="AI239" s="28"/>
      <c r="AJ239" s="6"/>
      <c r="AK239" s="6"/>
      <c r="AL239" s="6">
        <f t="shared" si="75"/>
        <v>1.0833333333333333</v>
      </c>
      <c r="AM239" s="6">
        <f t="shared" si="76"/>
        <v>1.0318142734307825</v>
      </c>
      <c r="AN239" s="6">
        <f t="shared" si="77"/>
        <v>1.0833333333333333</v>
      </c>
      <c r="AO239" s="4" t="str">
        <f t="shared" si="78"/>
        <v>-</v>
      </c>
      <c r="AP239" s="4" t="str">
        <f t="shared" si="79"/>
        <v>-</v>
      </c>
      <c r="AQ239" s="4" t="str">
        <f t="shared" si="80"/>
        <v>-</v>
      </c>
      <c r="AR239" s="4">
        <v>0</v>
      </c>
      <c r="AS239" s="4" t="s">
        <v>2015</v>
      </c>
      <c r="AT239" s="4"/>
      <c r="AU239" s="4"/>
      <c r="AV239" s="4" t="s">
        <v>1721</v>
      </c>
      <c r="AW239" s="4">
        <v>982</v>
      </c>
      <c r="AX239" s="4">
        <v>982</v>
      </c>
      <c r="AY239" s="4">
        <v>982</v>
      </c>
      <c r="AZ239" s="4">
        <f t="shared" si="81"/>
        <v>982</v>
      </c>
      <c r="BA239" s="19">
        <v>4</v>
      </c>
      <c r="BB239" s="19">
        <v>8</v>
      </c>
      <c r="BC239" s="16">
        <v>18</v>
      </c>
      <c r="BD239" t="s">
        <v>1280</v>
      </c>
      <c r="BE239" t="s">
        <v>1280</v>
      </c>
      <c r="BF239" t="s">
        <v>1280</v>
      </c>
      <c r="BG239" t="str">
        <f t="shared" si="86"/>
        <v>-</v>
      </c>
      <c r="BH239">
        <v>1156</v>
      </c>
      <c r="BI239">
        <v>1156</v>
      </c>
      <c r="BJ239">
        <v>1156</v>
      </c>
      <c r="BK239">
        <f t="shared" si="87"/>
        <v>1252.3333333333333</v>
      </c>
      <c r="BL239" t="s">
        <v>1531</v>
      </c>
      <c r="BM239">
        <v>812</v>
      </c>
    </row>
    <row r="240" spans="1:65" x14ac:dyDescent="0.4">
      <c r="A240" s="3">
        <v>643</v>
      </c>
      <c r="B240" s="3">
        <v>643</v>
      </c>
      <c r="C240" s="4" t="s">
        <v>632</v>
      </c>
      <c r="D240" s="4" t="str">
        <f t="shared" si="66"/>
        <v>J984WN</v>
      </c>
      <c r="E240" s="4" t="s">
        <v>632</v>
      </c>
      <c r="F240" s="4" t="str">
        <f t="shared" si="82"/>
        <v>J984WN5</v>
      </c>
      <c r="G240" s="4" t="s">
        <v>1276</v>
      </c>
      <c r="H240" s="5">
        <v>4974268569813</v>
      </c>
      <c r="I240" s="5">
        <v>5</v>
      </c>
      <c r="J240" s="5"/>
      <c r="K240" s="5">
        <v>1</v>
      </c>
      <c r="L240" s="5">
        <v>1</v>
      </c>
      <c r="M240" s="4">
        <v>1150</v>
      </c>
      <c r="N240" s="4">
        <v>990</v>
      </c>
      <c r="O240" s="4">
        <v>690</v>
      </c>
      <c r="P240" s="6">
        <f t="shared" si="67"/>
        <v>0.30303030303030298</v>
      </c>
      <c r="Q240" s="4" t="s">
        <v>1280</v>
      </c>
      <c r="R240" s="4" t="s">
        <v>1280</v>
      </c>
      <c r="S240" s="4" t="s">
        <v>1280</v>
      </c>
      <c r="T240" s="4">
        <v>1300</v>
      </c>
      <c r="U240" s="4">
        <f t="shared" si="68"/>
        <v>1300</v>
      </c>
      <c r="V240" s="4">
        <v>780</v>
      </c>
      <c r="W240" s="4">
        <f t="shared" si="69"/>
        <v>780</v>
      </c>
      <c r="X240" s="4"/>
      <c r="Y240" s="21">
        <f t="shared" si="70"/>
        <v>1119</v>
      </c>
      <c r="Z240" s="6">
        <f t="shared" si="71"/>
        <v>0.30294906166219837</v>
      </c>
      <c r="AA240" s="4">
        <v>0</v>
      </c>
      <c r="AB240" s="4">
        <f t="shared" si="72"/>
        <v>1155</v>
      </c>
      <c r="AC240" s="4">
        <f t="shared" si="83"/>
        <v>1305.6521739130433</v>
      </c>
      <c r="AD240" s="6">
        <f t="shared" si="84"/>
        <v>0.40259740259740251</v>
      </c>
      <c r="AE240" s="4">
        <f t="shared" si="85"/>
        <v>1235</v>
      </c>
      <c r="AF240" s="7">
        <v>1200</v>
      </c>
      <c r="AG240" s="6">
        <f t="shared" si="73"/>
        <v>0.35</v>
      </c>
      <c r="AH240" s="4">
        <f t="shared" si="74"/>
        <v>420</v>
      </c>
      <c r="AI240" s="28"/>
      <c r="AJ240" s="6"/>
      <c r="AK240" s="6"/>
      <c r="AL240" s="6">
        <f t="shared" si="75"/>
        <v>1.1304347826086956</v>
      </c>
      <c r="AM240" s="6">
        <f t="shared" si="76"/>
        <v>1.2121212121212122</v>
      </c>
      <c r="AN240" s="6">
        <f t="shared" si="77"/>
        <v>1.1304347826086956</v>
      </c>
      <c r="AO240" s="4" t="str">
        <f t="shared" si="78"/>
        <v>-</v>
      </c>
      <c r="AP240" s="4" t="str">
        <f t="shared" si="79"/>
        <v>-</v>
      </c>
      <c r="AQ240" s="4" t="str">
        <f t="shared" si="80"/>
        <v>-</v>
      </c>
      <c r="AR240" s="4">
        <v>0</v>
      </c>
      <c r="AS240" s="4" t="s">
        <v>2199</v>
      </c>
      <c r="AT240" s="4"/>
      <c r="AU240" s="4"/>
      <c r="AV240" s="4" t="s">
        <v>1870</v>
      </c>
      <c r="AW240" s="4">
        <v>1155</v>
      </c>
      <c r="AX240" s="4">
        <v>1155</v>
      </c>
      <c r="AY240" s="4">
        <v>1155</v>
      </c>
      <c r="AZ240" s="4">
        <f t="shared" si="81"/>
        <v>1155</v>
      </c>
      <c r="BA240" s="19">
        <v>4</v>
      </c>
      <c r="BB240" s="19">
        <v>8</v>
      </c>
      <c r="BC240" s="16">
        <v>18</v>
      </c>
      <c r="BD240" t="s">
        <v>1280</v>
      </c>
      <c r="BE240" t="s">
        <v>1280</v>
      </c>
      <c r="BF240" t="s">
        <v>1280</v>
      </c>
      <c r="BG240" t="str">
        <f t="shared" si="86"/>
        <v>-</v>
      </c>
      <c r="BH240">
        <v>1223</v>
      </c>
      <c r="BI240">
        <v>1223</v>
      </c>
      <c r="BJ240">
        <v>1223</v>
      </c>
      <c r="BK240">
        <f t="shared" si="87"/>
        <v>1382.5217391304348</v>
      </c>
      <c r="BL240" t="s">
        <v>1677</v>
      </c>
      <c r="BM240">
        <v>812</v>
      </c>
    </row>
    <row r="241" spans="1:65" x14ac:dyDescent="0.4">
      <c r="A241" s="3">
        <v>202</v>
      </c>
      <c r="B241" s="3">
        <v>202</v>
      </c>
      <c r="C241" s="4" t="s">
        <v>191</v>
      </c>
      <c r="D241" s="4" t="str">
        <f t="shared" si="66"/>
        <v>J3063N</v>
      </c>
      <c r="E241" s="4" t="s">
        <v>191</v>
      </c>
      <c r="F241" s="4" t="str">
        <f t="shared" si="82"/>
        <v>J3063N5</v>
      </c>
      <c r="G241" s="4" t="s">
        <v>837</v>
      </c>
      <c r="H241" s="5">
        <v>4974268569516</v>
      </c>
      <c r="I241" s="5">
        <v>5</v>
      </c>
      <c r="J241" s="5"/>
      <c r="K241" s="5">
        <v>1</v>
      </c>
      <c r="L241" s="5">
        <v>1</v>
      </c>
      <c r="M241" s="4">
        <v>1200</v>
      </c>
      <c r="N241" s="4">
        <v>1140</v>
      </c>
      <c r="O241" s="4">
        <v>720</v>
      </c>
      <c r="P241" s="6">
        <f t="shared" si="67"/>
        <v>0.36842105263157898</v>
      </c>
      <c r="Q241" s="4" t="s">
        <v>1280</v>
      </c>
      <c r="R241" s="4" t="s">
        <v>1280</v>
      </c>
      <c r="S241" s="4" t="s">
        <v>1280</v>
      </c>
      <c r="T241" s="4">
        <v>1350</v>
      </c>
      <c r="U241" s="4">
        <f t="shared" si="68"/>
        <v>1350</v>
      </c>
      <c r="V241" s="4">
        <v>810</v>
      </c>
      <c r="W241" s="4">
        <f t="shared" si="69"/>
        <v>810</v>
      </c>
      <c r="X241" s="4"/>
      <c r="Y241" s="21">
        <f t="shared" si="70"/>
        <v>1283</v>
      </c>
      <c r="Z241" s="6">
        <f t="shared" si="71"/>
        <v>0.36866718628215123</v>
      </c>
      <c r="AA241" s="4">
        <v>0</v>
      </c>
      <c r="AB241" s="4" t="str">
        <f t="shared" si="72"/>
        <v>-</v>
      </c>
      <c r="AC241" s="4" t="str">
        <f t="shared" si="83"/>
        <v>-</v>
      </c>
      <c r="AD241" s="6" t="str">
        <f t="shared" si="84"/>
        <v>-</v>
      </c>
      <c r="AE241" s="4">
        <f t="shared" si="85"/>
        <v>1282.5</v>
      </c>
      <c r="AF241" s="7">
        <v>1250</v>
      </c>
      <c r="AG241" s="6">
        <f t="shared" si="73"/>
        <v>0.35199999999999998</v>
      </c>
      <c r="AH241" s="4">
        <f t="shared" si="74"/>
        <v>440</v>
      </c>
      <c r="AI241" s="28"/>
      <c r="AJ241" s="6"/>
      <c r="AK241" s="6"/>
      <c r="AL241" s="6">
        <f t="shared" si="75"/>
        <v>1.125</v>
      </c>
      <c r="AM241" s="6">
        <f t="shared" si="76"/>
        <v>1.0964912280701755</v>
      </c>
      <c r="AN241" s="6">
        <f t="shared" si="77"/>
        <v>1.125</v>
      </c>
      <c r="AO241" s="4" t="str">
        <f t="shared" si="78"/>
        <v>-</v>
      </c>
      <c r="AP241" s="4" t="str">
        <f t="shared" si="79"/>
        <v>-</v>
      </c>
      <c r="AQ241" s="4" t="str">
        <f t="shared" si="80"/>
        <v>-</v>
      </c>
      <c r="AR241" s="4">
        <v>0</v>
      </c>
      <c r="AS241" s="4" t="s">
        <v>1280</v>
      </c>
      <c r="AT241" s="4"/>
      <c r="AU241" s="4"/>
      <c r="AV241" s="4" t="s">
        <v>1280</v>
      </c>
      <c r="AW241" s="4" t="s">
        <v>1280</v>
      </c>
      <c r="AX241" s="4" t="s">
        <v>1280</v>
      </c>
      <c r="AY241" s="4" t="s">
        <v>1280</v>
      </c>
      <c r="AZ241" s="4" t="str">
        <f t="shared" si="81"/>
        <v>-</v>
      </c>
      <c r="BA241" s="19">
        <v>4</v>
      </c>
      <c r="BB241" s="19">
        <v>8</v>
      </c>
      <c r="BC241" s="16">
        <v>18</v>
      </c>
      <c r="BD241" t="s">
        <v>1280</v>
      </c>
      <c r="BE241" t="s">
        <v>1280</v>
      </c>
      <c r="BF241" t="s">
        <v>1280</v>
      </c>
      <c r="BG241" t="str">
        <f t="shared" si="86"/>
        <v>-</v>
      </c>
      <c r="BH241" t="s">
        <v>1280</v>
      </c>
      <c r="BI241">
        <v>1091</v>
      </c>
      <c r="BJ241">
        <v>1091</v>
      </c>
      <c r="BK241">
        <f t="shared" si="87"/>
        <v>1227.375</v>
      </c>
      <c r="BL241" t="s">
        <v>1280</v>
      </c>
      <c r="BM241">
        <v>812</v>
      </c>
    </row>
    <row r="242" spans="1:65" x14ac:dyDescent="0.4">
      <c r="A242" s="3">
        <v>235</v>
      </c>
      <c r="B242" s="3">
        <v>235</v>
      </c>
      <c r="C242" s="4" t="s">
        <v>224</v>
      </c>
      <c r="D242" s="4" t="str">
        <f t="shared" si="66"/>
        <v>J38339</v>
      </c>
      <c r="E242" s="4" t="s">
        <v>224</v>
      </c>
      <c r="F242" s="4" t="str">
        <f t="shared" si="82"/>
        <v>J383395</v>
      </c>
      <c r="G242" s="4" t="s">
        <v>870</v>
      </c>
      <c r="H242" s="5">
        <v>4974268563101</v>
      </c>
      <c r="I242" s="5">
        <v>5</v>
      </c>
      <c r="J242" s="5"/>
      <c r="K242" s="5">
        <v>1</v>
      </c>
      <c r="L242" s="5">
        <v>1</v>
      </c>
      <c r="M242" s="4">
        <v>1200</v>
      </c>
      <c r="N242" s="4">
        <v>954</v>
      </c>
      <c r="O242" s="4">
        <v>720</v>
      </c>
      <c r="P242" s="6">
        <f t="shared" si="67"/>
        <v>0.24528301886792447</v>
      </c>
      <c r="Q242" s="4" t="s">
        <v>1280</v>
      </c>
      <c r="R242" s="4" t="s">
        <v>1280</v>
      </c>
      <c r="S242" s="4" t="s">
        <v>1280</v>
      </c>
      <c r="T242" s="4">
        <v>1350</v>
      </c>
      <c r="U242" s="4">
        <f t="shared" si="68"/>
        <v>1350</v>
      </c>
      <c r="V242" s="4">
        <v>810</v>
      </c>
      <c r="W242" s="4">
        <f t="shared" si="69"/>
        <v>810</v>
      </c>
      <c r="X242" s="4"/>
      <c r="Y242" s="21">
        <f t="shared" si="70"/>
        <v>1073</v>
      </c>
      <c r="Z242" s="6">
        <f t="shared" si="71"/>
        <v>0.24510717614165889</v>
      </c>
      <c r="AA242" s="4">
        <v>0</v>
      </c>
      <c r="AB242" s="4" t="str">
        <f t="shared" si="72"/>
        <v>-</v>
      </c>
      <c r="AC242" s="4" t="str">
        <f t="shared" si="83"/>
        <v>-</v>
      </c>
      <c r="AD242" s="6" t="str">
        <f t="shared" si="84"/>
        <v>-</v>
      </c>
      <c r="AE242" s="4">
        <f t="shared" si="85"/>
        <v>1282.5</v>
      </c>
      <c r="AF242" s="7">
        <v>1250</v>
      </c>
      <c r="AG242" s="6">
        <f t="shared" si="73"/>
        <v>0.35199999999999998</v>
      </c>
      <c r="AH242" s="4">
        <f t="shared" si="74"/>
        <v>440</v>
      </c>
      <c r="AI242" s="28"/>
      <c r="AJ242" s="6"/>
      <c r="AK242" s="6"/>
      <c r="AL242" s="6">
        <f t="shared" si="75"/>
        <v>1.125</v>
      </c>
      <c r="AM242" s="6">
        <f t="shared" si="76"/>
        <v>1.3102725366876311</v>
      </c>
      <c r="AN242" s="6">
        <f t="shared" si="77"/>
        <v>1.125</v>
      </c>
      <c r="AO242" s="4" t="str">
        <f t="shared" si="78"/>
        <v>-</v>
      </c>
      <c r="AP242" s="4" t="str">
        <f t="shared" si="79"/>
        <v>-</v>
      </c>
      <c r="AQ242" s="4" t="str">
        <f t="shared" si="80"/>
        <v>-</v>
      </c>
      <c r="AR242" s="4">
        <v>0</v>
      </c>
      <c r="AS242" s="4" t="s">
        <v>1280</v>
      </c>
      <c r="AT242" s="4"/>
      <c r="AU242" s="4"/>
      <c r="AV242" s="4" t="s">
        <v>1280</v>
      </c>
      <c r="AW242" s="4" t="s">
        <v>1280</v>
      </c>
      <c r="AX242" s="4" t="s">
        <v>1280</v>
      </c>
      <c r="AY242" s="4" t="s">
        <v>1280</v>
      </c>
      <c r="AZ242" s="4" t="str">
        <f t="shared" si="81"/>
        <v>-</v>
      </c>
      <c r="BA242" s="19">
        <v>4</v>
      </c>
      <c r="BB242" s="19">
        <v>8</v>
      </c>
      <c r="BC242" s="16">
        <v>18</v>
      </c>
      <c r="BD242" t="s">
        <v>1280</v>
      </c>
      <c r="BE242" t="s">
        <v>1280</v>
      </c>
      <c r="BF242" t="s">
        <v>1280</v>
      </c>
      <c r="BG242" t="str">
        <f t="shared" si="86"/>
        <v>-</v>
      </c>
      <c r="BH242">
        <v>1200</v>
      </c>
      <c r="BI242">
        <v>1200</v>
      </c>
      <c r="BJ242">
        <v>1200</v>
      </c>
      <c r="BK242">
        <f t="shared" si="87"/>
        <v>1350</v>
      </c>
      <c r="BL242" t="s">
        <v>1280</v>
      </c>
      <c r="BM242">
        <v>812</v>
      </c>
    </row>
    <row r="243" spans="1:65" x14ac:dyDescent="0.4">
      <c r="A243" s="3">
        <v>239</v>
      </c>
      <c r="B243" s="3">
        <v>239</v>
      </c>
      <c r="C243" s="4" t="s">
        <v>228</v>
      </c>
      <c r="D243" s="4" t="str">
        <f t="shared" si="66"/>
        <v>J38343</v>
      </c>
      <c r="E243" s="4" t="s">
        <v>228</v>
      </c>
      <c r="F243" s="4" t="str">
        <f t="shared" si="82"/>
        <v>J383435</v>
      </c>
      <c r="G243" s="4" t="s">
        <v>874</v>
      </c>
      <c r="H243" s="5">
        <v>4974268563118</v>
      </c>
      <c r="I243" s="5">
        <v>5</v>
      </c>
      <c r="J243" s="5"/>
      <c r="K243" s="5">
        <v>1</v>
      </c>
      <c r="L243" s="5">
        <v>1</v>
      </c>
      <c r="M243" s="4">
        <v>1200</v>
      </c>
      <c r="N243" s="4">
        <v>1236</v>
      </c>
      <c r="O243" s="4">
        <v>720</v>
      </c>
      <c r="P243" s="6">
        <f t="shared" si="67"/>
        <v>0.41747572815533984</v>
      </c>
      <c r="Q243" s="4" t="s">
        <v>1280</v>
      </c>
      <c r="R243" s="4" t="s">
        <v>1280</v>
      </c>
      <c r="S243" s="4" t="s">
        <v>1280</v>
      </c>
      <c r="T243" s="4">
        <v>1350</v>
      </c>
      <c r="U243" s="4">
        <f t="shared" si="68"/>
        <v>1350</v>
      </c>
      <c r="V243" s="4">
        <v>810</v>
      </c>
      <c r="W243" s="4">
        <f t="shared" si="69"/>
        <v>810</v>
      </c>
      <c r="X243" s="4"/>
      <c r="Y243" s="21">
        <f t="shared" si="70"/>
        <v>1391</v>
      </c>
      <c r="Z243" s="6">
        <f t="shared" si="71"/>
        <v>0.41768511861969804</v>
      </c>
      <c r="AA243" s="4">
        <v>0.5</v>
      </c>
      <c r="AB243" s="4" t="str">
        <f t="shared" si="72"/>
        <v>-</v>
      </c>
      <c r="AC243" s="4" t="str">
        <f t="shared" si="83"/>
        <v>-</v>
      </c>
      <c r="AD243" s="6" t="str">
        <f t="shared" si="84"/>
        <v>-</v>
      </c>
      <c r="AE243" s="4">
        <f t="shared" si="85"/>
        <v>1282.5</v>
      </c>
      <c r="AF243" s="7">
        <v>1250</v>
      </c>
      <c r="AG243" s="6">
        <f t="shared" si="73"/>
        <v>0.35199999999999998</v>
      </c>
      <c r="AH243" s="4">
        <f t="shared" si="74"/>
        <v>440</v>
      </c>
      <c r="AI243" s="28"/>
      <c r="AJ243" s="6"/>
      <c r="AK243" s="6"/>
      <c r="AL243" s="6">
        <f t="shared" si="75"/>
        <v>1.125</v>
      </c>
      <c r="AM243" s="6">
        <f t="shared" si="76"/>
        <v>1.0113268608414239</v>
      </c>
      <c r="AN243" s="6">
        <f t="shared" si="77"/>
        <v>1.125</v>
      </c>
      <c r="AO243" s="4" t="str">
        <f t="shared" si="78"/>
        <v>-</v>
      </c>
      <c r="AP243" s="4" t="str">
        <f t="shared" si="79"/>
        <v>-</v>
      </c>
      <c r="AQ243" s="4" t="str">
        <f t="shared" si="80"/>
        <v>-</v>
      </c>
      <c r="AR243" s="4">
        <v>0</v>
      </c>
      <c r="AS243" s="4" t="s">
        <v>1280</v>
      </c>
      <c r="AT243" s="4"/>
      <c r="AU243" s="4"/>
      <c r="AV243" s="4" t="s">
        <v>1280</v>
      </c>
      <c r="AW243" s="4" t="s">
        <v>1280</v>
      </c>
      <c r="AX243" s="4" t="s">
        <v>1280</v>
      </c>
      <c r="AY243" s="4" t="s">
        <v>1280</v>
      </c>
      <c r="AZ243" s="4" t="str">
        <f t="shared" si="81"/>
        <v>-</v>
      </c>
      <c r="BA243" s="19">
        <v>4</v>
      </c>
      <c r="BB243" s="19">
        <v>8</v>
      </c>
      <c r="BC243" s="16">
        <v>18</v>
      </c>
      <c r="BD243" t="s">
        <v>1280</v>
      </c>
      <c r="BE243" t="s">
        <v>1280</v>
      </c>
      <c r="BF243" t="s">
        <v>1280</v>
      </c>
      <c r="BG243" t="str">
        <f t="shared" si="86"/>
        <v>-</v>
      </c>
      <c r="BH243">
        <v>1250</v>
      </c>
      <c r="BI243">
        <v>1250</v>
      </c>
      <c r="BJ243">
        <v>1250</v>
      </c>
      <c r="BK243">
        <f t="shared" si="87"/>
        <v>1406.25</v>
      </c>
      <c r="BL243" t="s">
        <v>1280</v>
      </c>
      <c r="BM243">
        <v>812</v>
      </c>
    </row>
    <row r="244" spans="1:65" x14ac:dyDescent="0.4">
      <c r="A244" s="3">
        <v>243</v>
      </c>
      <c r="B244" s="3">
        <v>243</v>
      </c>
      <c r="C244" s="4" t="s">
        <v>232</v>
      </c>
      <c r="D244" s="4" t="str">
        <f t="shared" si="66"/>
        <v>J38347</v>
      </c>
      <c r="E244" s="4" t="s">
        <v>232</v>
      </c>
      <c r="F244" s="4" t="str">
        <f t="shared" si="82"/>
        <v>J383475</v>
      </c>
      <c r="G244" s="4" t="s">
        <v>878</v>
      </c>
      <c r="H244" s="5">
        <v>4974268563125</v>
      </c>
      <c r="I244" s="5">
        <v>5</v>
      </c>
      <c r="J244" s="5"/>
      <c r="K244" s="5">
        <v>1</v>
      </c>
      <c r="L244" s="5">
        <v>1</v>
      </c>
      <c r="M244" s="4">
        <v>1200</v>
      </c>
      <c r="N244" s="4">
        <v>1024</v>
      </c>
      <c r="O244" s="4">
        <v>720</v>
      </c>
      <c r="P244" s="6">
        <f t="shared" si="67"/>
        <v>0.296875</v>
      </c>
      <c r="Q244" s="4" t="s">
        <v>1280</v>
      </c>
      <c r="R244" s="4" t="s">
        <v>1280</v>
      </c>
      <c r="S244" s="4" t="s">
        <v>1280</v>
      </c>
      <c r="T244" s="4">
        <v>1350</v>
      </c>
      <c r="U244" s="4">
        <f t="shared" si="68"/>
        <v>1350</v>
      </c>
      <c r="V244" s="4">
        <v>810</v>
      </c>
      <c r="W244" s="4">
        <f t="shared" si="69"/>
        <v>810</v>
      </c>
      <c r="X244" s="4"/>
      <c r="Y244" s="21">
        <f t="shared" si="70"/>
        <v>1152</v>
      </c>
      <c r="Z244" s="6">
        <f t="shared" si="71"/>
        <v>0.296875</v>
      </c>
      <c r="AA244" s="4">
        <v>0.25</v>
      </c>
      <c r="AB244" s="4" t="str">
        <f t="shared" si="72"/>
        <v>-</v>
      </c>
      <c r="AC244" s="4" t="str">
        <f t="shared" si="83"/>
        <v>-</v>
      </c>
      <c r="AD244" s="6" t="str">
        <f t="shared" si="84"/>
        <v>-</v>
      </c>
      <c r="AE244" s="4">
        <f t="shared" si="85"/>
        <v>1282.5</v>
      </c>
      <c r="AF244" s="7">
        <v>1250</v>
      </c>
      <c r="AG244" s="6">
        <f t="shared" si="73"/>
        <v>0.35199999999999998</v>
      </c>
      <c r="AH244" s="4">
        <f t="shared" si="74"/>
        <v>440</v>
      </c>
      <c r="AI244" s="28"/>
      <c r="AJ244" s="6"/>
      <c r="AK244" s="6"/>
      <c r="AL244" s="6">
        <f t="shared" si="75"/>
        <v>1.125</v>
      </c>
      <c r="AM244" s="6">
        <f t="shared" si="76"/>
        <v>1.220703125</v>
      </c>
      <c r="AN244" s="6">
        <f t="shared" si="77"/>
        <v>1.125</v>
      </c>
      <c r="AO244" s="4" t="str">
        <f t="shared" si="78"/>
        <v>-</v>
      </c>
      <c r="AP244" s="4" t="str">
        <f t="shared" si="79"/>
        <v>-</v>
      </c>
      <c r="AQ244" s="4" t="str">
        <f t="shared" si="80"/>
        <v>-</v>
      </c>
      <c r="AR244" s="4">
        <v>0</v>
      </c>
      <c r="AS244" s="4" t="s">
        <v>1280</v>
      </c>
      <c r="AT244" s="4"/>
      <c r="AU244" s="4"/>
      <c r="AV244" s="4" t="s">
        <v>1280</v>
      </c>
      <c r="AW244" s="4" t="s">
        <v>1280</v>
      </c>
      <c r="AX244" s="4" t="s">
        <v>1280</v>
      </c>
      <c r="AY244" s="4" t="s">
        <v>1280</v>
      </c>
      <c r="AZ244" s="4" t="str">
        <f t="shared" si="81"/>
        <v>-</v>
      </c>
      <c r="BA244" s="19">
        <v>4</v>
      </c>
      <c r="BB244" s="19">
        <v>8</v>
      </c>
      <c r="BC244" s="16">
        <v>18</v>
      </c>
      <c r="BD244" t="s">
        <v>1280</v>
      </c>
      <c r="BE244" t="s">
        <v>1280</v>
      </c>
      <c r="BF244" t="s">
        <v>1280</v>
      </c>
      <c r="BG244" t="str">
        <f t="shared" si="86"/>
        <v>-</v>
      </c>
      <c r="BH244">
        <v>1200</v>
      </c>
      <c r="BI244">
        <v>1200</v>
      </c>
      <c r="BJ244">
        <v>1200</v>
      </c>
      <c r="BK244">
        <f t="shared" si="87"/>
        <v>1350</v>
      </c>
      <c r="BL244" t="s">
        <v>1280</v>
      </c>
      <c r="BM244">
        <v>812</v>
      </c>
    </row>
    <row r="245" spans="1:65" x14ac:dyDescent="0.4">
      <c r="A245" s="3">
        <v>279</v>
      </c>
      <c r="B245" s="3">
        <v>279</v>
      </c>
      <c r="C245" s="4" t="s">
        <v>268</v>
      </c>
      <c r="D245" s="4" t="str">
        <f t="shared" si="66"/>
        <v>J38994</v>
      </c>
      <c r="E245" s="4" t="s">
        <v>268</v>
      </c>
      <c r="F245" s="4" t="str">
        <f t="shared" si="82"/>
        <v>J389945</v>
      </c>
      <c r="G245" s="4" t="s">
        <v>914</v>
      </c>
      <c r="H245" s="5">
        <v>4974268602862</v>
      </c>
      <c r="I245" s="5">
        <v>5</v>
      </c>
      <c r="J245" s="5"/>
      <c r="K245" s="5">
        <v>1</v>
      </c>
      <c r="L245" s="5">
        <v>1</v>
      </c>
      <c r="M245" s="4">
        <v>1130</v>
      </c>
      <c r="N245" s="4">
        <v>890</v>
      </c>
      <c r="O245" s="4">
        <v>678</v>
      </c>
      <c r="P245" s="6">
        <f t="shared" si="67"/>
        <v>0.23820224719101124</v>
      </c>
      <c r="Q245" s="4" t="s">
        <v>1280</v>
      </c>
      <c r="R245" s="4" t="s">
        <v>1280</v>
      </c>
      <c r="S245" s="4" t="s">
        <v>1280</v>
      </c>
      <c r="T245" s="4">
        <v>1350</v>
      </c>
      <c r="U245" s="4">
        <f t="shared" si="68"/>
        <v>1350</v>
      </c>
      <c r="V245" s="4">
        <v>810</v>
      </c>
      <c r="W245" s="4">
        <f t="shared" si="69"/>
        <v>810</v>
      </c>
      <c r="X245" s="4"/>
      <c r="Y245" s="21">
        <f t="shared" si="70"/>
        <v>1063</v>
      </c>
      <c r="Z245" s="6">
        <f t="shared" si="71"/>
        <v>0.23800564440263405</v>
      </c>
      <c r="AA245" s="4">
        <v>1.7500000000000002</v>
      </c>
      <c r="AB245" s="4">
        <f t="shared" si="72"/>
        <v>1123</v>
      </c>
      <c r="AC245" s="4">
        <f t="shared" si="83"/>
        <v>1341.6371681415931</v>
      </c>
      <c r="AD245" s="6">
        <f t="shared" si="84"/>
        <v>0.39626001780943909</v>
      </c>
      <c r="AE245" s="4">
        <f t="shared" si="85"/>
        <v>1282.5</v>
      </c>
      <c r="AF245" s="7">
        <v>1250</v>
      </c>
      <c r="AG245" s="6">
        <f t="shared" si="73"/>
        <v>0.35199999999999998</v>
      </c>
      <c r="AH245" s="4">
        <f t="shared" si="74"/>
        <v>440</v>
      </c>
      <c r="AI245" s="28"/>
      <c r="AJ245" s="6"/>
      <c r="AK245" s="6"/>
      <c r="AL245" s="6">
        <f t="shared" si="75"/>
        <v>1.1946902654867257</v>
      </c>
      <c r="AM245" s="6">
        <f t="shared" si="76"/>
        <v>1.404494382022472</v>
      </c>
      <c r="AN245" s="6">
        <f t="shared" si="77"/>
        <v>1.1946902654867257</v>
      </c>
      <c r="AO245" s="4" t="str">
        <f t="shared" si="78"/>
        <v>-</v>
      </c>
      <c r="AP245" s="4" t="str">
        <f t="shared" si="79"/>
        <v>-</v>
      </c>
      <c r="AQ245" s="4" t="str">
        <f t="shared" si="80"/>
        <v>-</v>
      </c>
      <c r="AR245" s="4">
        <v>0</v>
      </c>
      <c r="AS245" s="4" t="s">
        <v>1908</v>
      </c>
      <c r="AT245" s="4"/>
      <c r="AU245" s="4"/>
      <c r="AV245" s="4" t="s">
        <v>1909</v>
      </c>
      <c r="AW245" s="4">
        <v>1123</v>
      </c>
      <c r="AX245" s="4">
        <v>1123</v>
      </c>
      <c r="AY245" s="4">
        <v>1123</v>
      </c>
      <c r="AZ245" s="4">
        <f t="shared" si="81"/>
        <v>1123</v>
      </c>
      <c r="BA245" s="19">
        <v>4</v>
      </c>
      <c r="BB245" s="19">
        <v>8</v>
      </c>
      <c r="BC245" s="16">
        <v>19</v>
      </c>
      <c r="BD245" t="s">
        <v>1280</v>
      </c>
      <c r="BE245" t="s">
        <v>1280</v>
      </c>
      <c r="BF245" t="s">
        <v>1280</v>
      </c>
      <c r="BG245" t="str">
        <f t="shared" si="86"/>
        <v>-</v>
      </c>
      <c r="BH245">
        <v>1130</v>
      </c>
      <c r="BI245">
        <v>1130</v>
      </c>
      <c r="BJ245">
        <v>1130</v>
      </c>
      <c r="BK245">
        <f t="shared" si="87"/>
        <v>1350</v>
      </c>
      <c r="BL245" t="s">
        <v>1449</v>
      </c>
      <c r="BM245">
        <v>812</v>
      </c>
    </row>
    <row r="246" spans="1:65" x14ac:dyDescent="0.4">
      <c r="A246" s="3">
        <v>71</v>
      </c>
      <c r="B246" s="3">
        <v>71</v>
      </c>
      <c r="C246" s="4">
        <v>972454</v>
      </c>
      <c r="D246" s="4" t="str">
        <f t="shared" si="66"/>
        <v>972454</v>
      </c>
      <c r="E246" s="4">
        <v>972454</v>
      </c>
      <c r="F246" s="4" t="str">
        <f t="shared" si="82"/>
        <v>9724545</v>
      </c>
      <c r="G246" s="4" t="s">
        <v>706</v>
      </c>
      <c r="H246" s="5">
        <v>4974268242150</v>
      </c>
      <c r="I246" s="5">
        <v>5</v>
      </c>
      <c r="J246" s="5"/>
      <c r="K246" s="5">
        <v>1</v>
      </c>
      <c r="L246" s="5">
        <v>1</v>
      </c>
      <c r="M246" s="4">
        <v>1300</v>
      </c>
      <c r="N246" s="4">
        <v>1236</v>
      </c>
      <c r="O246" s="4">
        <v>780</v>
      </c>
      <c r="P246" s="6">
        <f t="shared" si="67"/>
        <v>0.3689320388349514</v>
      </c>
      <c r="Q246" s="4" t="s">
        <v>1280</v>
      </c>
      <c r="R246" s="4" t="s">
        <v>1280</v>
      </c>
      <c r="S246" s="4" t="s">
        <v>1280</v>
      </c>
      <c r="T246" s="4">
        <v>1400</v>
      </c>
      <c r="U246" s="4">
        <f t="shared" si="68"/>
        <v>1400</v>
      </c>
      <c r="V246" s="4">
        <v>840</v>
      </c>
      <c r="W246" s="4">
        <f t="shared" si="69"/>
        <v>840</v>
      </c>
      <c r="X246" s="4"/>
      <c r="Y246" s="21">
        <f t="shared" si="70"/>
        <v>1331</v>
      </c>
      <c r="Z246" s="6">
        <f t="shared" si="71"/>
        <v>0.36889556724267469</v>
      </c>
      <c r="AA246" s="4">
        <v>4.25</v>
      </c>
      <c r="AB246" s="4">
        <f t="shared" si="72"/>
        <v>1548</v>
      </c>
      <c r="AC246" s="4">
        <f t="shared" si="83"/>
        <v>1667.0769230769231</v>
      </c>
      <c r="AD246" s="6">
        <f t="shared" si="84"/>
        <v>0.49612403100775193</v>
      </c>
      <c r="AE246" s="4">
        <f t="shared" si="85"/>
        <v>1330</v>
      </c>
      <c r="AF246" s="7">
        <v>1300</v>
      </c>
      <c r="AG246" s="6">
        <f t="shared" si="73"/>
        <v>0.35384615384615381</v>
      </c>
      <c r="AH246" s="4">
        <f t="shared" si="74"/>
        <v>460</v>
      </c>
      <c r="AI246" s="28"/>
      <c r="AJ246" s="6"/>
      <c r="AK246" s="6"/>
      <c r="AL246" s="6">
        <f t="shared" si="75"/>
        <v>1.0769230769230769</v>
      </c>
      <c r="AM246" s="6">
        <f t="shared" si="76"/>
        <v>1.051779935275081</v>
      </c>
      <c r="AN246" s="6">
        <f t="shared" si="77"/>
        <v>1.0769230769230769</v>
      </c>
      <c r="AO246" s="4" t="str">
        <f t="shared" si="78"/>
        <v>-</v>
      </c>
      <c r="AP246" s="4" t="str">
        <f t="shared" si="79"/>
        <v>-</v>
      </c>
      <c r="AQ246" s="4" t="str">
        <f t="shared" si="80"/>
        <v>-</v>
      </c>
      <c r="AR246" s="4">
        <v>0</v>
      </c>
      <c r="AS246" s="4" t="s">
        <v>1763</v>
      </c>
      <c r="AT246" s="4"/>
      <c r="AU246" s="4"/>
      <c r="AV246" s="4" t="s">
        <v>1764</v>
      </c>
      <c r="AW246" s="4">
        <v>1548</v>
      </c>
      <c r="AX246" s="4">
        <v>1548</v>
      </c>
      <c r="AY246" s="4">
        <v>1548</v>
      </c>
      <c r="AZ246" s="4">
        <f t="shared" si="81"/>
        <v>1548</v>
      </c>
      <c r="BA246" s="19">
        <v>4</v>
      </c>
      <c r="BB246" s="19">
        <v>1</v>
      </c>
      <c r="BC246" s="16">
        <v>6</v>
      </c>
      <c r="BD246">
        <v>1100</v>
      </c>
      <c r="BE246">
        <v>1100</v>
      </c>
      <c r="BF246">
        <v>1100</v>
      </c>
      <c r="BG246">
        <f t="shared" si="86"/>
        <v>1184.6153846153845</v>
      </c>
      <c r="BH246">
        <v>1300</v>
      </c>
      <c r="BI246">
        <v>1300</v>
      </c>
      <c r="BJ246">
        <v>1300</v>
      </c>
      <c r="BK246">
        <f t="shared" si="87"/>
        <v>1400</v>
      </c>
      <c r="BL246" t="s">
        <v>1343</v>
      </c>
      <c r="BM246">
        <v>812</v>
      </c>
    </row>
    <row r="247" spans="1:65" x14ac:dyDescent="0.4">
      <c r="A247" s="3">
        <v>142</v>
      </c>
      <c r="B247" s="3">
        <v>142</v>
      </c>
      <c r="C247" s="4" t="s">
        <v>131</v>
      </c>
      <c r="D247" s="4" t="str">
        <f t="shared" si="66"/>
        <v>J1841W</v>
      </c>
      <c r="E247" s="4" t="s">
        <v>131</v>
      </c>
      <c r="F247" s="4" t="str">
        <f t="shared" si="82"/>
        <v>J1841W5</v>
      </c>
      <c r="G247" s="4" t="s">
        <v>777</v>
      </c>
      <c r="H247" s="5">
        <v>4974268972804</v>
      </c>
      <c r="I247" s="5">
        <v>5</v>
      </c>
      <c r="J247" s="5"/>
      <c r="K247" s="5">
        <v>1</v>
      </c>
      <c r="L247" s="5">
        <v>1</v>
      </c>
      <c r="M247" s="4">
        <v>1200</v>
      </c>
      <c r="N247" s="4">
        <v>979</v>
      </c>
      <c r="O247" s="4">
        <v>720</v>
      </c>
      <c r="P247" s="6">
        <f t="shared" si="67"/>
        <v>0.26455566905005112</v>
      </c>
      <c r="Q247" s="4" t="s">
        <v>1280</v>
      </c>
      <c r="R247" s="4" t="s">
        <v>1280</v>
      </c>
      <c r="S247" s="4" t="s">
        <v>1280</v>
      </c>
      <c r="T247" s="4">
        <v>1400</v>
      </c>
      <c r="U247" s="4">
        <f t="shared" si="68"/>
        <v>1400</v>
      </c>
      <c r="V247" s="4">
        <v>840</v>
      </c>
      <c r="W247" s="4">
        <f t="shared" si="69"/>
        <v>840</v>
      </c>
      <c r="X247" s="4"/>
      <c r="Y247" s="21">
        <f t="shared" si="70"/>
        <v>1142</v>
      </c>
      <c r="Z247" s="6">
        <f t="shared" si="71"/>
        <v>0.26444833625218911</v>
      </c>
      <c r="AA247" s="4">
        <v>0</v>
      </c>
      <c r="AB247" s="4" t="str">
        <f t="shared" si="72"/>
        <v>-</v>
      </c>
      <c r="AC247" s="4" t="str">
        <f t="shared" si="83"/>
        <v>-</v>
      </c>
      <c r="AD247" s="6" t="str">
        <f t="shared" si="84"/>
        <v>-</v>
      </c>
      <c r="AE247" s="4">
        <f t="shared" si="85"/>
        <v>1330</v>
      </c>
      <c r="AF247" s="7">
        <v>1300</v>
      </c>
      <c r="AG247" s="6">
        <f t="shared" si="73"/>
        <v>0.35384615384615381</v>
      </c>
      <c r="AH247" s="4">
        <f t="shared" si="74"/>
        <v>460</v>
      </c>
      <c r="AI247" s="28"/>
      <c r="AJ247" s="6"/>
      <c r="AK247" s="6"/>
      <c r="AL247" s="6">
        <f t="shared" si="75"/>
        <v>1.1666666666666667</v>
      </c>
      <c r="AM247" s="6">
        <f t="shared" si="76"/>
        <v>1.3278855975485189</v>
      </c>
      <c r="AN247" s="6">
        <f t="shared" si="77"/>
        <v>1.1666666666666667</v>
      </c>
      <c r="AO247" s="4" t="str">
        <f t="shared" si="78"/>
        <v>-</v>
      </c>
      <c r="AP247" s="4" t="str">
        <f t="shared" si="79"/>
        <v>-</v>
      </c>
      <c r="AQ247" s="4" t="str">
        <f t="shared" si="80"/>
        <v>-</v>
      </c>
      <c r="AR247" s="4">
        <v>0</v>
      </c>
      <c r="AS247" s="4" t="s">
        <v>1280</v>
      </c>
      <c r="AT247" s="4"/>
      <c r="AU247" s="4"/>
      <c r="AV247" s="4" t="s">
        <v>1280</v>
      </c>
      <c r="AW247" s="4" t="s">
        <v>1280</v>
      </c>
      <c r="AX247" s="4" t="s">
        <v>1280</v>
      </c>
      <c r="AY247" s="4" t="s">
        <v>1280</v>
      </c>
      <c r="AZ247" s="4" t="str">
        <f t="shared" si="81"/>
        <v>-</v>
      </c>
      <c r="BA247" s="19">
        <v>4</v>
      </c>
      <c r="BB247" s="19">
        <v>8</v>
      </c>
      <c r="BC247" s="16">
        <v>19</v>
      </c>
      <c r="BD247" t="s">
        <v>1280</v>
      </c>
      <c r="BE247" t="s">
        <v>1280</v>
      </c>
      <c r="BF247" t="s">
        <v>1280</v>
      </c>
      <c r="BG247" t="str">
        <f t="shared" si="86"/>
        <v>-</v>
      </c>
      <c r="BH247" t="s">
        <v>1280</v>
      </c>
      <c r="BI247" t="s">
        <v>1280</v>
      </c>
      <c r="BJ247" t="s">
        <v>1280</v>
      </c>
      <c r="BK247" t="str">
        <f t="shared" si="87"/>
        <v>-</v>
      </c>
      <c r="BL247" t="s">
        <v>1280</v>
      </c>
      <c r="BM247">
        <v>812</v>
      </c>
    </row>
    <row r="248" spans="1:65" x14ac:dyDescent="0.4">
      <c r="A248" s="3">
        <v>143</v>
      </c>
      <c r="B248" s="3">
        <v>143</v>
      </c>
      <c r="C248" s="4" t="s">
        <v>132</v>
      </c>
      <c r="D248" s="4" t="str">
        <f t="shared" si="66"/>
        <v>J1842W</v>
      </c>
      <c r="E248" s="4" t="s">
        <v>132</v>
      </c>
      <c r="F248" s="4" t="str">
        <f t="shared" si="82"/>
        <v>J1842W5</v>
      </c>
      <c r="G248" s="4" t="s">
        <v>778</v>
      </c>
      <c r="H248" s="5">
        <v>4974268972811</v>
      </c>
      <c r="I248" s="5">
        <v>5</v>
      </c>
      <c r="J248" s="5"/>
      <c r="K248" s="5">
        <v>1</v>
      </c>
      <c r="L248" s="5">
        <v>1</v>
      </c>
      <c r="M248" s="4">
        <v>1100</v>
      </c>
      <c r="N248" s="4">
        <v>903</v>
      </c>
      <c r="O248" s="4">
        <v>660</v>
      </c>
      <c r="P248" s="6">
        <f t="shared" si="67"/>
        <v>0.26910299003322258</v>
      </c>
      <c r="Q248" s="4" t="s">
        <v>1280</v>
      </c>
      <c r="R248" s="4" t="s">
        <v>1280</v>
      </c>
      <c r="S248" s="4" t="s">
        <v>1280</v>
      </c>
      <c r="T248" s="4">
        <v>1400</v>
      </c>
      <c r="U248" s="4">
        <f t="shared" si="68"/>
        <v>1400</v>
      </c>
      <c r="V248" s="4">
        <v>840</v>
      </c>
      <c r="W248" s="4">
        <f t="shared" si="69"/>
        <v>840</v>
      </c>
      <c r="X248" s="4"/>
      <c r="Y248" s="21">
        <f t="shared" si="70"/>
        <v>1149</v>
      </c>
      <c r="Z248" s="6">
        <f t="shared" si="71"/>
        <v>0.2689295039164491</v>
      </c>
      <c r="AA248" s="4">
        <v>0</v>
      </c>
      <c r="AB248" s="4" t="str">
        <f t="shared" si="72"/>
        <v>-</v>
      </c>
      <c r="AC248" s="4" t="str">
        <f t="shared" si="83"/>
        <v>-</v>
      </c>
      <c r="AD248" s="6" t="str">
        <f t="shared" si="84"/>
        <v>-</v>
      </c>
      <c r="AE248" s="4">
        <f t="shared" si="85"/>
        <v>1330</v>
      </c>
      <c r="AF248" s="7">
        <v>1300</v>
      </c>
      <c r="AG248" s="6">
        <f t="shared" si="73"/>
        <v>0.35384615384615381</v>
      </c>
      <c r="AH248" s="4">
        <f t="shared" si="74"/>
        <v>460</v>
      </c>
      <c r="AI248" s="28"/>
      <c r="AJ248" s="6"/>
      <c r="AK248" s="6"/>
      <c r="AL248" s="6">
        <f t="shared" si="75"/>
        <v>1.2727272727272727</v>
      </c>
      <c r="AM248" s="6">
        <f t="shared" si="76"/>
        <v>1.4396456256921373</v>
      </c>
      <c r="AN248" s="6">
        <f t="shared" si="77"/>
        <v>1.2727272727272727</v>
      </c>
      <c r="AO248" s="4" t="str">
        <f t="shared" si="78"/>
        <v>-</v>
      </c>
      <c r="AP248" s="4" t="str">
        <f t="shared" si="79"/>
        <v>-</v>
      </c>
      <c r="AQ248" s="4" t="str">
        <f t="shared" si="80"/>
        <v>-</v>
      </c>
      <c r="AR248" s="4">
        <v>0</v>
      </c>
      <c r="AS248" s="4" t="s">
        <v>1280</v>
      </c>
      <c r="AT248" s="4"/>
      <c r="AU248" s="4"/>
      <c r="AV248" s="4" t="s">
        <v>1280</v>
      </c>
      <c r="AW248" s="4" t="s">
        <v>1280</v>
      </c>
      <c r="AX248" s="4" t="s">
        <v>1280</v>
      </c>
      <c r="AY248" s="4" t="s">
        <v>1280</v>
      </c>
      <c r="AZ248" s="4" t="str">
        <f t="shared" si="81"/>
        <v>-</v>
      </c>
      <c r="BA248" s="19">
        <v>4</v>
      </c>
      <c r="BB248" s="19">
        <v>8</v>
      </c>
      <c r="BC248" s="16">
        <v>19</v>
      </c>
      <c r="BD248" t="s">
        <v>1280</v>
      </c>
      <c r="BE248" t="s">
        <v>1280</v>
      </c>
      <c r="BF248" t="s">
        <v>1280</v>
      </c>
      <c r="BG248" t="str">
        <f t="shared" si="86"/>
        <v>-</v>
      </c>
      <c r="BH248" t="s">
        <v>1280</v>
      </c>
      <c r="BI248" t="s">
        <v>1280</v>
      </c>
      <c r="BJ248" t="s">
        <v>1280</v>
      </c>
      <c r="BK248" t="str">
        <f t="shared" si="87"/>
        <v>-</v>
      </c>
      <c r="BL248" t="s">
        <v>1280</v>
      </c>
      <c r="BM248">
        <v>812</v>
      </c>
    </row>
    <row r="249" spans="1:65" x14ac:dyDescent="0.4">
      <c r="A249" s="3">
        <v>206</v>
      </c>
      <c r="B249" s="3">
        <v>206</v>
      </c>
      <c r="C249" s="4" t="s">
        <v>195</v>
      </c>
      <c r="D249" s="4" t="str">
        <f t="shared" si="66"/>
        <v>J3065N</v>
      </c>
      <c r="E249" s="4" t="s">
        <v>195</v>
      </c>
      <c r="F249" s="4" t="str">
        <f t="shared" si="82"/>
        <v>J3065N5</v>
      </c>
      <c r="G249" s="4" t="s">
        <v>841</v>
      </c>
      <c r="H249" s="5">
        <v>4974268572158</v>
      </c>
      <c r="I249" s="5">
        <v>5</v>
      </c>
      <c r="J249" s="5"/>
      <c r="K249" s="5">
        <v>1</v>
      </c>
      <c r="L249" s="5">
        <v>1</v>
      </c>
      <c r="M249" s="4">
        <v>1200</v>
      </c>
      <c r="N249" s="4">
        <v>1236</v>
      </c>
      <c r="O249" s="4">
        <v>720</v>
      </c>
      <c r="P249" s="6">
        <f t="shared" si="67"/>
        <v>0.41747572815533984</v>
      </c>
      <c r="Q249" s="4" t="s">
        <v>1280</v>
      </c>
      <c r="R249" s="4" t="s">
        <v>1280</v>
      </c>
      <c r="S249" s="4" t="s">
        <v>1280</v>
      </c>
      <c r="T249" s="4">
        <v>1400</v>
      </c>
      <c r="U249" s="4">
        <f t="shared" si="68"/>
        <v>1400</v>
      </c>
      <c r="V249" s="4">
        <v>840</v>
      </c>
      <c r="W249" s="4">
        <f t="shared" si="69"/>
        <v>840</v>
      </c>
      <c r="X249" s="4"/>
      <c r="Y249" s="21">
        <f t="shared" si="70"/>
        <v>1442</v>
      </c>
      <c r="Z249" s="6">
        <f t="shared" si="71"/>
        <v>0.41747572815533984</v>
      </c>
      <c r="AA249" s="4">
        <v>0.25</v>
      </c>
      <c r="AB249" s="4" t="str">
        <f t="shared" si="72"/>
        <v>-</v>
      </c>
      <c r="AC249" s="4" t="str">
        <f t="shared" si="83"/>
        <v>-</v>
      </c>
      <c r="AD249" s="6" t="str">
        <f t="shared" si="84"/>
        <v>-</v>
      </c>
      <c r="AE249" s="4">
        <f t="shared" si="85"/>
        <v>1330</v>
      </c>
      <c r="AF249" s="7">
        <v>1300</v>
      </c>
      <c r="AG249" s="6">
        <f t="shared" si="73"/>
        <v>0.35384615384615381</v>
      </c>
      <c r="AH249" s="4">
        <f t="shared" si="74"/>
        <v>460</v>
      </c>
      <c r="AI249" s="28"/>
      <c r="AJ249" s="6"/>
      <c r="AK249" s="6"/>
      <c r="AL249" s="6">
        <f t="shared" si="75"/>
        <v>1.1666666666666667</v>
      </c>
      <c r="AM249" s="6">
        <f t="shared" si="76"/>
        <v>1.051779935275081</v>
      </c>
      <c r="AN249" s="6">
        <f t="shared" si="77"/>
        <v>1.1666666666666667</v>
      </c>
      <c r="AO249" s="4" t="str">
        <f t="shared" si="78"/>
        <v>-</v>
      </c>
      <c r="AP249" s="4" t="str">
        <f t="shared" si="79"/>
        <v>-</v>
      </c>
      <c r="AQ249" s="4" t="str">
        <f t="shared" si="80"/>
        <v>-</v>
      </c>
      <c r="AR249" s="4">
        <v>0</v>
      </c>
      <c r="AS249" s="4" t="s">
        <v>1280</v>
      </c>
      <c r="AT249" s="4"/>
      <c r="AU249" s="4"/>
      <c r="AV249" s="4" t="s">
        <v>1280</v>
      </c>
      <c r="AW249" s="4" t="s">
        <v>1280</v>
      </c>
      <c r="AX249" s="4" t="s">
        <v>1280</v>
      </c>
      <c r="AY249" s="4" t="s">
        <v>1280</v>
      </c>
      <c r="AZ249" s="4" t="str">
        <f t="shared" si="81"/>
        <v>-</v>
      </c>
      <c r="BA249" s="19">
        <v>4</v>
      </c>
      <c r="BB249" s="19">
        <v>8</v>
      </c>
      <c r="BC249" s="16">
        <v>18</v>
      </c>
      <c r="BD249" t="s">
        <v>1280</v>
      </c>
      <c r="BE249" t="s">
        <v>1280</v>
      </c>
      <c r="BF249" t="s">
        <v>1280</v>
      </c>
      <c r="BG249" t="str">
        <f t="shared" si="86"/>
        <v>-</v>
      </c>
      <c r="BH249" t="s">
        <v>1280</v>
      </c>
      <c r="BI249" t="s">
        <v>1280</v>
      </c>
      <c r="BJ249" t="s">
        <v>1280</v>
      </c>
      <c r="BK249" t="str">
        <f t="shared" si="87"/>
        <v>-</v>
      </c>
      <c r="BL249" t="s">
        <v>1280</v>
      </c>
      <c r="BM249">
        <v>812</v>
      </c>
    </row>
    <row r="250" spans="1:65" x14ac:dyDescent="0.4">
      <c r="A250" s="3">
        <v>207</v>
      </c>
      <c r="B250" s="3">
        <v>207</v>
      </c>
      <c r="C250" s="4" t="s">
        <v>196</v>
      </c>
      <c r="D250" s="4" t="str">
        <f t="shared" si="66"/>
        <v>J3066N</v>
      </c>
      <c r="E250" s="4" t="s">
        <v>196</v>
      </c>
      <c r="F250" s="4" t="str">
        <f t="shared" si="82"/>
        <v>J3066N5</v>
      </c>
      <c r="G250" s="4" t="s">
        <v>842</v>
      </c>
      <c r="H250" s="5">
        <v>4974268572165</v>
      </c>
      <c r="I250" s="5">
        <v>5</v>
      </c>
      <c r="J250" s="5"/>
      <c r="K250" s="5">
        <v>1</v>
      </c>
      <c r="L250" s="5">
        <v>1</v>
      </c>
      <c r="M250" s="4">
        <v>1200</v>
      </c>
      <c r="N250" s="4">
        <v>1224</v>
      </c>
      <c r="O250" s="4">
        <v>720</v>
      </c>
      <c r="P250" s="6">
        <f t="shared" si="67"/>
        <v>0.41176470588235292</v>
      </c>
      <c r="Q250" s="4" t="s">
        <v>1280</v>
      </c>
      <c r="R250" s="4" t="s">
        <v>1280</v>
      </c>
      <c r="S250" s="4" t="s">
        <v>1280</v>
      </c>
      <c r="T250" s="4">
        <v>1400</v>
      </c>
      <c r="U250" s="4">
        <f t="shared" si="68"/>
        <v>1400</v>
      </c>
      <c r="V250" s="4">
        <v>840</v>
      </c>
      <c r="W250" s="4">
        <f t="shared" si="69"/>
        <v>840</v>
      </c>
      <c r="X250" s="4"/>
      <c r="Y250" s="21">
        <f t="shared" si="70"/>
        <v>1428</v>
      </c>
      <c r="Z250" s="6">
        <f t="shared" si="71"/>
        <v>0.41176470588235292</v>
      </c>
      <c r="AA250" s="4">
        <v>0</v>
      </c>
      <c r="AB250" s="4" t="str">
        <f t="shared" si="72"/>
        <v>-</v>
      </c>
      <c r="AC250" s="4" t="str">
        <f t="shared" si="83"/>
        <v>-</v>
      </c>
      <c r="AD250" s="6" t="str">
        <f t="shared" si="84"/>
        <v>-</v>
      </c>
      <c r="AE250" s="4">
        <f t="shared" si="85"/>
        <v>1330</v>
      </c>
      <c r="AF250" s="7">
        <v>1300</v>
      </c>
      <c r="AG250" s="6">
        <f t="shared" si="73"/>
        <v>0.35384615384615381</v>
      </c>
      <c r="AH250" s="4">
        <f t="shared" si="74"/>
        <v>460</v>
      </c>
      <c r="AI250" s="28"/>
      <c r="AJ250" s="6"/>
      <c r="AK250" s="6"/>
      <c r="AL250" s="6">
        <f t="shared" si="75"/>
        <v>1.1666666666666667</v>
      </c>
      <c r="AM250" s="6">
        <f t="shared" si="76"/>
        <v>1.0620915032679739</v>
      </c>
      <c r="AN250" s="6">
        <f t="shared" si="77"/>
        <v>1.1666666666666667</v>
      </c>
      <c r="AO250" s="4" t="str">
        <f t="shared" si="78"/>
        <v>-</v>
      </c>
      <c r="AP250" s="4" t="str">
        <f t="shared" si="79"/>
        <v>-</v>
      </c>
      <c r="AQ250" s="4" t="str">
        <f t="shared" si="80"/>
        <v>-</v>
      </c>
      <c r="AR250" s="4">
        <v>0</v>
      </c>
      <c r="AS250" s="4" t="s">
        <v>1280</v>
      </c>
      <c r="AT250" s="4"/>
      <c r="AU250" s="4"/>
      <c r="AV250" s="4" t="s">
        <v>1280</v>
      </c>
      <c r="AW250" s="4" t="s">
        <v>1280</v>
      </c>
      <c r="AX250" s="4" t="s">
        <v>1280</v>
      </c>
      <c r="AY250" s="4" t="s">
        <v>1280</v>
      </c>
      <c r="AZ250" s="4" t="str">
        <f t="shared" si="81"/>
        <v>-</v>
      </c>
      <c r="BA250" s="19">
        <v>4</v>
      </c>
      <c r="BB250" s="19">
        <v>8</v>
      </c>
      <c r="BC250" s="16">
        <v>18</v>
      </c>
      <c r="BD250" t="s">
        <v>1280</v>
      </c>
      <c r="BE250" t="s">
        <v>1280</v>
      </c>
      <c r="BF250" t="s">
        <v>1280</v>
      </c>
      <c r="BG250" t="str">
        <f t="shared" si="86"/>
        <v>-</v>
      </c>
      <c r="BH250" t="s">
        <v>1280</v>
      </c>
      <c r="BI250">
        <v>1091</v>
      </c>
      <c r="BJ250">
        <v>1091</v>
      </c>
      <c r="BK250">
        <f t="shared" si="87"/>
        <v>1272.8333333333335</v>
      </c>
      <c r="BL250" t="s">
        <v>1280</v>
      </c>
      <c r="BM250">
        <v>812</v>
      </c>
    </row>
    <row r="251" spans="1:65" x14ac:dyDescent="0.4">
      <c r="A251" s="3">
        <v>236</v>
      </c>
      <c r="B251" s="3">
        <v>236</v>
      </c>
      <c r="C251" s="4" t="s">
        <v>225</v>
      </c>
      <c r="D251" s="4" t="str">
        <f t="shared" si="66"/>
        <v>J38340</v>
      </c>
      <c r="E251" s="4" t="s">
        <v>225</v>
      </c>
      <c r="F251" s="4" t="str">
        <f t="shared" si="82"/>
        <v>J383405</v>
      </c>
      <c r="G251" s="4" t="s">
        <v>871</v>
      </c>
      <c r="H251" s="5">
        <v>4974268563255</v>
      </c>
      <c r="I251" s="5">
        <v>5</v>
      </c>
      <c r="J251" s="5"/>
      <c r="K251" s="5">
        <v>1</v>
      </c>
      <c r="L251" s="5">
        <v>1</v>
      </c>
      <c r="M251" s="4">
        <v>1250</v>
      </c>
      <c r="N251" s="4">
        <v>1129</v>
      </c>
      <c r="O251" s="4">
        <v>750</v>
      </c>
      <c r="P251" s="6">
        <f t="shared" si="67"/>
        <v>0.33569530558015948</v>
      </c>
      <c r="Q251" s="4" t="s">
        <v>1280</v>
      </c>
      <c r="R251" s="4" t="s">
        <v>1280</v>
      </c>
      <c r="S251" s="4" t="s">
        <v>1280</v>
      </c>
      <c r="T251" s="4">
        <v>1400</v>
      </c>
      <c r="U251" s="4">
        <f t="shared" si="68"/>
        <v>1400</v>
      </c>
      <c r="V251" s="4">
        <v>840</v>
      </c>
      <c r="W251" s="4">
        <f t="shared" si="69"/>
        <v>840</v>
      </c>
      <c r="X251" s="4"/>
      <c r="Y251" s="21">
        <f t="shared" si="70"/>
        <v>1264</v>
      </c>
      <c r="Z251" s="6">
        <f t="shared" si="71"/>
        <v>0.33544303797468356</v>
      </c>
      <c r="AA251" s="4">
        <v>0.25</v>
      </c>
      <c r="AB251" s="4" t="str">
        <f t="shared" si="72"/>
        <v>-</v>
      </c>
      <c r="AC251" s="4" t="str">
        <f t="shared" si="83"/>
        <v>-</v>
      </c>
      <c r="AD251" s="6" t="str">
        <f t="shared" si="84"/>
        <v>-</v>
      </c>
      <c r="AE251" s="4">
        <f t="shared" si="85"/>
        <v>1330</v>
      </c>
      <c r="AF251" s="7">
        <v>1300</v>
      </c>
      <c r="AG251" s="6">
        <f t="shared" si="73"/>
        <v>0.35384615384615381</v>
      </c>
      <c r="AH251" s="4">
        <f t="shared" si="74"/>
        <v>460</v>
      </c>
      <c r="AI251" s="28"/>
      <c r="AJ251" s="6"/>
      <c r="AK251" s="6"/>
      <c r="AL251" s="6">
        <f t="shared" si="75"/>
        <v>1.1200000000000001</v>
      </c>
      <c r="AM251" s="6">
        <f t="shared" si="76"/>
        <v>1.1514614703277237</v>
      </c>
      <c r="AN251" s="6">
        <f t="shared" si="77"/>
        <v>1.1200000000000001</v>
      </c>
      <c r="AO251" s="4" t="str">
        <f t="shared" si="78"/>
        <v>-</v>
      </c>
      <c r="AP251" s="4" t="str">
        <f t="shared" si="79"/>
        <v>-</v>
      </c>
      <c r="AQ251" s="4" t="str">
        <f t="shared" si="80"/>
        <v>-</v>
      </c>
      <c r="AR251" s="4">
        <v>0</v>
      </c>
      <c r="AS251" s="4" t="s">
        <v>1280</v>
      </c>
      <c r="AT251" s="4"/>
      <c r="AU251" s="4"/>
      <c r="AV251" s="4" t="s">
        <v>1280</v>
      </c>
      <c r="AW251" s="4" t="s">
        <v>1280</v>
      </c>
      <c r="AX251" s="4" t="s">
        <v>1280</v>
      </c>
      <c r="AY251" s="4" t="s">
        <v>1280</v>
      </c>
      <c r="AZ251" s="4" t="str">
        <f t="shared" si="81"/>
        <v>-</v>
      </c>
      <c r="BA251" s="19">
        <v>4</v>
      </c>
      <c r="BB251" s="19">
        <v>8</v>
      </c>
      <c r="BC251" s="16">
        <v>18</v>
      </c>
      <c r="BD251" t="s">
        <v>1280</v>
      </c>
      <c r="BE251" t="s">
        <v>1280</v>
      </c>
      <c r="BF251" t="s">
        <v>1280</v>
      </c>
      <c r="BG251" t="str">
        <f t="shared" si="86"/>
        <v>-</v>
      </c>
      <c r="BH251">
        <v>1250</v>
      </c>
      <c r="BI251">
        <v>1250</v>
      </c>
      <c r="BJ251">
        <v>1250</v>
      </c>
      <c r="BK251">
        <f t="shared" si="87"/>
        <v>1400.0000000000002</v>
      </c>
      <c r="BL251" t="s">
        <v>1280</v>
      </c>
      <c r="BM251">
        <v>812</v>
      </c>
    </row>
    <row r="252" spans="1:65" x14ac:dyDescent="0.4">
      <c r="A252" s="3">
        <v>240</v>
      </c>
      <c r="B252" s="3">
        <v>240</v>
      </c>
      <c r="C252" s="4" t="s">
        <v>229</v>
      </c>
      <c r="D252" s="4" t="str">
        <f t="shared" si="66"/>
        <v>J38344</v>
      </c>
      <c r="E252" s="4" t="s">
        <v>229</v>
      </c>
      <c r="F252" s="4" t="str">
        <f t="shared" si="82"/>
        <v>J383445</v>
      </c>
      <c r="G252" s="4" t="s">
        <v>875</v>
      </c>
      <c r="H252" s="5">
        <v>4974268563262</v>
      </c>
      <c r="I252" s="5">
        <v>5</v>
      </c>
      <c r="J252" s="5"/>
      <c r="K252" s="5">
        <v>1</v>
      </c>
      <c r="L252" s="5">
        <v>1</v>
      </c>
      <c r="M252" s="4">
        <v>1250</v>
      </c>
      <c r="N252" s="4">
        <v>1288</v>
      </c>
      <c r="O252" s="4">
        <v>750</v>
      </c>
      <c r="P252" s="6">
        <f t="shared" si="67"/>
        <v>0.41770186335403725</v>
      </c>
      <c r="Q252" s="4" t="s">
        <v>1280</v>
      </c>
      <c r="R252" s="4" t="s">
        <v>1280</v>
      </c>
      <c r="S252" s="4" t="s">
        <v>1280</v>
      </c>
      <c r="T252" s="4">
        <v>1400</v>
      </c>
      <c r="U252" s="4">
        <f t="shared" si="68"/>
        <v>1400</v>
      </c>
      <c r="V252" s="4">
        <v>840</v>
      </c>
      <c r="W252" s="4">
        <f t="shared" si="69"/>
        <v>840</v>
      </c>
      <c r="X252" s="4"/>
      <c r="Y252" s="21">
        <f t="shared" si="70"/>
        <v>1443</v>
      </c>
      <c r="Z252" s="6">
        <f t="shared" si="71"/>
        <v>0.41787941787941785</v>
      </c>
      <c r="AA252" s="4">
        <v>1.25</v>
      </c>
      <c r="AB252" s="4" t="str">
        <f t="shared" si="72"/>
        <v>-</v>
      </c>
      <c r="AC252" s="4" t="str">
        <f t="shared" si="83"/>
        <v>-</v>
      </c>
      <c r="AD252" s="6" t="str">
        <f t="shared" si="84"/>
        <v>-</v>
      </c>
      <c r="AE252" s="4">
        <f t="shared" si="85"/>
        <v>1330</v>
      </c>
      <c r="AF252" s="7">
        <v>1300</v>
      </c>
      <c r="AG252" s="6">
        <f t="shared" si="73"/>
        <v>0.35384615384615381</v>
      </c>
      <c r="AH252" s="4">
        <f t="shared" si="74"/>
        <v>460</v>
      </c>
      <c r="AI252" s="28"/>
      <c r="AJ252" s="6"/>
      <c r="AK252" s="6"/>
      <c r="AL252" s="6">
        <f t="shared" si="75"/>
        <v>1.1200000000000001</v>
      </c>
      <c r="AM252" s="6">
        <f t="shared" si="76"/>
        <v>1.0093167701863355</v>
      </c>
      <c r="AN252" s="6">
        <f t="shared" si="77"/>
        <v>1.1200000000000001</v>
      </c>
      <c r="AO252" s="4" t="str">
        <f t="shared" si="78"/>
        <v>-</v>
      </c>
      <c r="AP252" s="4" t="str">
        <f t="shared" si="79"/>
        <v>-</v>
      </c>
      <c r="AQ252" s="4" t="str">
        <f t="shared" si="80"/>
        <v>-</v>
      </c>
      <c r="AR252" s="4">
        <v>0</v>
      </c>
      <c r="AS252" s="4" t="s">
        <v>1280</v>
      </c>
      <c r="AT252" s="4"/>
      <c r="AU252" s="4"/>
      <c r="AV252" s="4" t="s">
        <v>1280</v>
      </c>
      <c r="AW252" s="4" t="s">
        <v>1280</v>
      </c>
      <c r="AX252" s="4" t="s">
        <v>1280</v>
      </c>
      <c r="AY252" s="4" t="s">
        <v>1280</v>
      </c>
      <c r="AZ252" s="4" t="str">
        <f t="shared" si="81"/>
        <v>-</v>
      </c>
      <c r="BA252" s="19">
        <v>4</v>
      </c>
      <c r="BB252" s="19">
        <v>1</v>
      </c>
      <c r="BC252" s="16">
        <v>18</v>
      </c>
      <c r="BD252" t="s">
        <v>1280</v>
      </c>
      <c r="BE252" t="s">
        <v>1280</v>
      </c>
      <c r="BF252" t="s">
        <v>1280</v>
      </c>
      <c r="BG252" t="str">
        <f t="shared" si="86"/>
        <v>-</v>
      </c>
      <c r="BH252">
        <v>1100</v>
      </c>
      <c r="BI252">
        <v>1100</v>
      </c>
      <c r="BJ252">
        <v>1100</v>
      </c>
      <c r="BK252">
        <f t="shared" si="87"/>
        <v>1232.0000000000002</v>
      </c>
      <c r="BL252" t="s">
        <v>1280</v>
      </c>
      <c r="BM252">
        <v>812</v>
      </c>
    </row>
    <row r="253" spans="1:65" x14ac:dyDescent="0.4">
      <c r="A253" s="3">
        <v>244</v>
      </c>
      <c r="B253" s="3">
        <v>244</v>
      </c>
      <c r="C253" s="4" t="s">
        <v>233</v>
      </c>
      <c r="D253" s="4" t="str">
        <f t="shared" si="66"/>
        <v>J38348</v>
      </c>
      <c r="E253" s="4" t="s">
        <v>233</v>
      </c>
      <c r="F253" s="4" t="str">
        <f t="shared" si="82"/>
        <v>J383485</v>
      </c>
      <c r="G253" s="4" t="s">
        <v>879</v>
      </c>
      <c r="H253" s="5">
        <v>4974268563279</v>
      </c>
      <c r="I253" s="5">
        <v>5</v>
      </c>
      <c r="J253" s="5"/>
      <c r="K253" s="5">
        <v>1</v>
      </c>
      <c r="L253" s="5">
        <v>1</v>
      </c>
      <c r="M253" s="4">
        <v>1250</v>
      </c>
      <c r="N253" s="4">
        <v>1288</v>
      </c>
      <c r="O253" s="4">
        <v>750</v>
      </c>
      <c r="P253" s="6">
        <f t="shared" si="67"/>
        <v>0.41770186335403725</v>
      </c>
      <c r="Q253" s="4" t="s">
        <v>1280</v>
      </c>
      <c r="R253" s="4" t="s">
        <v>1280</v>
      </c>
      <c r="S253" s="4" t="s">
        <v>1280</v>
      </c>
      <c r="T253" s="4">
        <v>1400</v>
      </c>
      <c r="U253" s="4">
        <f t="shared" si="68"/>
        <v>1400</v>
      </c>
      <c r="V253" s="4">
        <v>840</v>
      </c>
      <c r="W253" s="4">
        <f t="shared" si="69"/>
        <v>840</v>
      </c>
      <c r="X253" s="4"/>
      <c r="Y253" s="21">
        <f t="shared" si="70"/>
        <v>1443</v>
      </c>
      <c r="Z253" s="6">
        <f t="shared" si="71"/>
        <v>0.41787941787941785</v>
      </c>
      <c r="AA253" s="4">
        <v>0.5</v>
      </c>
      <c r="AB253" s="4" t="str">
        <f t="shared" si="72"/>
        <v>-</v>
      </c>
      <c r="AC253" s="4" t="str">
        <f t="shared" si="83"/>
        <v>-</v>
      </c>
      <c r="AD253" s="6" t="str">
        <f t="shared" si="84"/>
        <v>-</v>
      </c>
      <c r="AE253" s="4">
        <f t="shared" si="85"/>
        <v>1330</v>
      </c>
      <c r="AF253" s="7">
        <v>1300</v>
      </c>
      <c r="AG253" s="6">
        <f t="shared" si="73"/>
        <v>0.35384615384615381</v>
      </c>
      <c r="AH253" s="4">
        <f t="shared" si="74"/>
        <v>460</v>
      </c>
      <c r="AI253" s="28"/>
      <c r="AJ253" s="6"/>
      <c r="AK253" s="6"/>
      <c r="AL253" s="6">
        <f t="shared" si="75"/>
        <v>1.1200000000000001</v>
      </c>
      <c r="AM253" s="6">
        <f t="shared" si="76"/>
        <v>1.0093167701863355</v>
      </c>
      <c r="AN253" s="6">
        <f t="shared" si="77"/>
        <v>1.1200000000000001</v>
      </c>
      <c r="AO253" s="4" t="str">
        <f t="shared" si="78"/>
        <v>-</v>
      </c>
      <c r="AP253" s="4" t="str">
        <f t="shared" si="79"/>
        <v>-</v>
      </c>
      <c r="AQ253" s="4" t="str">
        <f t="shared" si="80"/>
        <v>-</v>
      </c>
      <c r="AR253" s="4">
        <v>0</v>
      </c>
      <c r="AS253" s="4" t="s">
        <v>1280</v>
      </c>
      <c r="AT253" s="4"/>
      <c r="AU253" s="4"/>
      <c r="AV253" s="4" t="s">
        <v>1280</v>
      </c>
      <c r="AW253" s="4" t="s">
        <v>1280</v>
      </c>
      <c r="AX253" s="4" t="s">
        <v>1280</v>
      </c>
      <c r="AY253" s="4" t="s">
        <v>1280</v>
      </c>
      <c r="AZ253" s="4" t="str">
        <f t="shared" si="81"/>
        <v>-</v>
      </c>
      <c r="BA253" s="19">
        <v>4</v>
      </c>
      <c r="BB253" s="19">
        <v>8</v>
      </c>
      <c r="BC253" s="16">
        <v>18</v>
      </c>
      <c r="BD253" t="s">
        <v>1280</v>
      </c>
      <c r="BE253" t="s">
        <v>1280</v>
      </c>
      <c r="BF253" t="s">
        <v>1280</v>
      </c>
      <c r="BG253" t="str">
        <f t="shared" si="86"/>
        <v>-</v>
      </c>
      <c r="BH253">
        <v>1300</v>
      </c>
      <c r="BI253">
        <v>1300</v>
      </c>
      <c r="BJ253">
        <v>1300</v>
      </c>
      <c r="BK253">
        <f t="shared" si="87"/>
        <v>1456.0000000000002</v>
      </c>
      <c r="BL253" t="s">
        <v>1280</v>
      </c>
      <c r="BM253">
        <v>812</v>
      </c>
    </row>
    <row r="254" spans="1:65" x14ac:dyDescent="0.4">
      <c r="A254" s="3">
        <v>303</v>
      </c>
      <c r="B254" s="3">
        <v>303</v>
      </c>
      <c r="C254" s="4" t="s">
        <v>292</v>
      </c>
      <c r="D254" s="4" t="str">
        <f t="shared" si="66"/>
        <v>J39048</v>
      </c>
      <c r="E254" s="4" t="s">
        <v>292</v>
      </c>
      <c r="F254" s="4" t="str">
        <f t="shared" si="82"/>
        <v>J390485</v>
      </c>
      <c r="G254" s="4" t="s">
        <v>938</v>
      </c>
      <c r="H254" s="5">
        <v>4974268144959</v>
      </c>
      <c r="I254" s="5">
        <v>5</v>
      </c>
      <c r="J254" s="5"/>
      <c r="K254" s="5">
        <v>1</v>
      </c>
      <c r="L254" s="5">
        <v>1</v>
      </c>
      <c r="M254" s="4">
        <v>1300</v>
      </c>
      <c r="N254" s="4">
        <v>1012</v>
      </c>
      <c r="O254" s="4">
        <v>780</v>
      </c>
      <c r="P254" s="6">
        <f t="shared" si="67"/>
        <v>0.22924901185770752</v>
      </c>
      <c r="Q254" s="4" t="s">
        <v>1280</v>
      </c>
      <c r="R254" s="4" t="s">
        <v>1280</v>
      </c>
      <c r="S254" s="4" t="s">
        <v>1280</v>
      </c>
      <c r="T254" s="4">
        <v>1400</v>
      </c>
      <c r="U254" s="4">
        <f t="shared" si="68"/>
        <v>1400</v>
      </c>
      <c r="V254" s="4">
        <v>840</v>
      </c>
      <c r="W254" s="4">
        <f t="shared" si="69"/>
        <v>840</v>
      </c>
      <c r="X254" s="4"/>
      <c r="Y254" s="21">
        <f t="shared" si="70"/>
        <v>1090</v>
      </c>
      <c r="Z254" s="6">
        <f t="shared" si="71"/>
        <v>0.22935779816513757</v>
      </c>
      <c r="AA254" s="4">
        <v>0.25</v>
      </c>
      <c r="AB254" s="4">
        <f t="shared" si="72"/>
        <v>1263</v>
      </c>
      <c r="AC254" s="4">
        <f t="shared" si="83"/>
        <v>1360.1538461538462</v>
      </c>
      <c r="AD254" s="6">
        <f t="shared" si="84"/>
        <v>0.38242280285035635</v>
      </c>
      <c r="AE254" s="4">
        <f t="shared" si="85"/>
        <v>1330</v>
      </c>
      <c r="AF254" s="7">
        <v>1300</v>
      </c>
      <c r="AG254" s="6">
        <f t="shared" si="73"/>
        <v>0.35384615384615381</v>
      </c>
      <c r="AH254" s="4">
        <f t="shared" si="74"/>
        <v>460</v>
      </c>
      <c r="AI254" s="28"/>
      <c r="AJ254" s="6"/>
      <c r="AK254" s="6"/>
      <c r="AL254" s="6">
        <f t="shared" si="75"/>
        <v>1.0769230769230769</v>
      </c>
      <c r="AM254" s="6">
        <f t="shared" si="76"/>
        <v>1.2845849802371541</v>
      </c>
      <c r="AN254" s="6">
        <f t="shared" si="77"/>
        <v>1.0769230769230769</v>
      </c>
      <c r="AO254" s="4" t="str">
        <f t="shared" si="78"/>
        <v>-</v>
      </c>
      <c r="AP254" s="4" t="str">
        <f t="shared" si="79"/>
        <v>-</v>
      </c>
      <c r="AQ254" s="4" t="str">
        <f t="shared" si="80"/>
        <v>-</v>
      </c>
      <c r="AR254" s="4">
        <v>0</v>
      </c>
      <c r="AS254" s="4" t="s">
        <v>1932</v>
      </c>
      <c r="AT254" s="4"/>
      <c r="AU254" s="4"/>
      <c r="AV254" s="4" t="s">
        <v>1925</v>
      </c>
      <c r="AW254" s="4">
        <v>1263</v>
      </c>
      <c r="AX254" s="4">
        <v>1263</v>
      </c>
      <c r="AY254" s="4">
        <v>1263</v>
      </c>
      <c r="AZ254" s="4">
        <f t="shared" si="81"/>
        <v>1263</v>
      </c>
      <c r="BA254" s="19">
        <v>4</v>
      </c>
      <c r="BB254" s="19">
        <v>8</v>
      </c>
      <c r="BC254" s="16">
        <v>18</v>
      </c>
      <c r="BD254" t="s">
        <v>1280</v>
      </c>
      <c r="BE254" t="s">
        <v>1280</v>
      </c>
      <c r="BF254" t="s">
        <v>1280</v>
      </c>
      <c r="BG254" t="str">
        <f t="shared" si="86"/>
        <v>-</v>
      </c>
      <c r="BH254">
        <v>954</v>
      </c>
      <c r="BI254">
        <v>954</v>
      </c>
      <c r="BJ254">
        <v>954</v>
      </c>
      <c r="BK254">
        <f t="shared" si="87"/>
        <v>1027.3846153846152</v>
      </c>
      <c r="BL254" t="s">
        <v>1463</v>
      </c>
      <c r="BM254">
        <v>812</v>
      </c>
    </row>
    <row r="255" spans="1:65" x14ac:dyDescent="0.4">
      <c r="A255" s="3">
        <v>493</v>
      </c>
      <c r="B255" s="3">
        <v>493</v>
      </c>
      <c r="C255" s="4" t="s">
        <v>482</v>
      </c>
      <c r="D255" s="4" t="str">
        <f t="shared" si="66"/>
        <v>J743MU</v>
      </c>
      <c r="E255" s="4" t="s">
        <v>482</v>
      </c>
      <c r="F255" s="4" t="str">
        <f t="shared" si="82"/>
        <v>J743MU5</v>
      </c>
      <c r="G255" s="4" t="s">
        <v>1126</v>
      </c>
      <c r="H255" s="5">
        <v>4974268242303</v>
      </c>
      <c r="I255" s="5">
        <v>5</v>
      </c>
      <c r="J255" s="5"/>
      <c r="K255" s="5">
        <v>1</v>
      </c>
      <c r="L255" s="5">
        <v>1</v>
      </c>
      <c r="M255" s="4">
        <v>1300</v>
      </c>
      <c r="N255" s="4">
        <v>1236</v>
      </c>
      <c r="O255" s="4">
        <v>780</v>
      </c>
      <c r="P255" s="6">
        <f t="shared" si="67"/>
        <v>0.3689320388349514</v>
      </c>
      <c r="Q255" s="4" t="s">
        <v>1280</v>
      </c>
      <c r="R255" s="4" t="s">
        <v>1280</v>
      </c>
      <c r="S255" s="4" t="s">
        <v>1280</v>
      </c>
      <c r="T255" s="4">
        <v>1400</v>
      </c>
      <c r="U255" s="4">
        <f t="shared" si="68"/>
        <v>1400</v>
      </c>
      <c r="V255" s="4">
        <v>840</v>
      </c>
      <c r="W255" s="4">
        <f t="shared" si="69"/>
        <v>840</v>
      </c>
      <c r="X255" s="4"/>
      <c r="Y255" s="21">
        <f t="shared" si="70"/>
        <v>1331</v>
      </c>
      <c r="Z255" s="6">
        <f t="shared" si="71"/>
        <v>0.36889556724267469</v>
      </c>
      <c r="AA255" s="4">
        <v>0</v>
      </c>
      <c r="AB255" s="4">
        <f t="shared" si="72"/>
        <v>1299</v>
      </c>
      <c r="AC255" s="4">
        <f t="shared" si="83"/>
        <v>1398.9230769230769</v>
      </c>
      <c r="AD255" s="6">
        <f t="shared" si="84"/>
        <v>0.39953810623556585</v>
      </c>
      <c r="AE255" s="4">
        <f t="shared" si="85"/>
        <v>1330</v>
      </c>
      <c r="AF255" s="7">
        <v>1300</v>
      </c>
      <c r="AG255" s="6">
        <f t="shared" si="73"/>
        <v>0.35384615384615381</v>
      </c>
      <c r="AH255" s="4">
        <f t="shared" si="74"/>
        <v>460</v>
      </c>
      <c r="AI255" s="28"/>
      <c r="AJ255" s="6"/>
      <c r="AK255" s="6"/>
      <c r="AL255" s="6">
        <f t="shared" si="75"/>
        <v>1.0769230769230769</v>
      </c>
      <c r="AM255" s="6">
        <f t="shared" si="76"/>
        <v>1.051779935275081</v>
      </c>
      <c r="AN255" s="6">
        <f t="shared" si="77"/>
        <v>1.0769230769230769</v>
      </c>
      <c r="AO255" s="4" t="str">
        <f t="shared" si="78"/>
        <v>-</v>
      </c>
      <c r="AP255" s="4" t="str">
        <f t="shared" si="79"/>
        <v>-</v>
      </c>
      <c r="AQ255" s="4" t="str">
        <f t="shared" si="80"/>
        <v>-</v>
      </c>
      <c r="AR255" s="4">
        <v>0</v>
      </c>
      <c r="AS255" s="4" t="s">
        <v>2052</v>
      </c>
      <c r="AT255" s="4"/>
      <c r="AU255" s="4"/>
      <c r="AV255" s="4" t="s">
        <v>1866</v>
      </c>
      <c r="AW255" s="4">
        <v>1299</v>
      </c>
      <c r="AX255" s="4">
        <v>1299</v>
      </c>
      <c r="AY255" s="4">
        <v>1299</v>
      </c>
      <c r="AZ255" s="4">
        <f t="shared" si="81"/>
        <v>1299</v>
      </c>
      <c r="BA255" s="19">
        <v>4</v>
      </c>
      <c r="BB255" s="19">
        <v>8</v>
      </c>
      <c r="BC255" s="16">
        <v>6</v>
      </c>
      <c r="BD255" t="s">
        <v>1280</v>
      </c>
      <c r="BE255" t="s">
        <v>1280</v>
      </c>
      <c r="BF255" t="s">
        <v>1280</v>
      </c>
      <c r="BG255" t="str">
        <f t="shared" si="86"/>
        <v>-</v>
      </c>
      <c r="BH255">
        <v>1500</v>
      </c>
      <c r="BI255">
        <v>1500</v>
      </c>
      <c r="BJ255">
        <v>1500</v>
      </c>
      <c r="BK255">
        <f t="shared" si="87"/>
        <v>1615.3846153846152</v>
      </c>
      <c r="BL255" t="s">
        <v>1561</v>
      </c>
      <c r="BM255">
        <v>812</v>
      </c>
    </row>
    <row r="256" spans="1:65" x14ac:dyDescent="0.4">
      <c r="A256" s="3">
        <v>494</v>
      </c>
      <c r="B256" s="3">
        <v>494</v>
      </c>
      <c r="C256" s="4" t="s">
        <v>483</v>
      </c>
      <c r="D256" s="4" t="str">
        <f t="shared" si="66"/>
        <v>J744MU</v>
      </c>
      <c r="E256" s="4" t="s">
        <v>483</v>
      </c>
      <c r="F256" s="4" t="str">
        <f t="shared" si="82"/>
        <v>J744MU5</v>
      </c>
      <c r="G256" s="4" t="s">
        <v>1127</v>
      </c>
      <c r="H256" s="5">
        <v>4974268242310</v>
      </c>
      <c r="I256" s="5">
        <v>5</v>
      </c>
      <c r="J256" s="5"/>
      <c r="K256" s="5">
        <v>1</v>
      </c>
      <c r="L256" s="5">
        <v>1</v>
      </c>
      <c r="M256" s="4">
        <v>1300</v>
      </c>
      <c r="N256" s="4">
        <v>1236</v>
      </c>
      <c r="O256" s="4">
        <v>780</v>
      </c>
      <c r="P256" s="6">
        <f t="shared" si="67"/>
        <v>0.3689320388349514</v>
      </c>
      <c r="Q256" s="4" t="s">
        <v>1280</v>
      </c>
      <c r="R256" s="4" t="s">
        <v>1280</v>
      </c>
      <c r="S256" s="4" t="s">
        <v>1280</v>
      </c>
      <c r="T256" s="4">
        <v>1400</v>
      </c>
      <c r="U256" s="4">
        <f t="shared" si="68"/>
        <v>1400</v>
      </c>
      <c r="V256" s="4">
        <v>840</v>
      </c>
      <c r="W256" s="4">
        <f t="shared" si="69"/>
        <v>840</v>
      </c>
      <c r="X256" s="4"/>
      <c r="Y256" s="21">
        <f t="shared" si="70"/>
        <v>1331</v>
      </c>
      <c r="Z256" s="6">
        <f t="shared" si="71"/>
        <v>0.36889556724267469</v>
      </c>
      <c r="AA256" s="4">
        <v>0.25</v>
      </c>
      <c r="AB256" s="4">
        <f t="shared" si="72"/>
        <v>1365</v>
      </c>
      <c r="AC256" s="4">
        <f t="shared" si="83"/>
        <v>1470</v>
      </c>
      <c r="AD256" s="6">
        <f t="shared" si="84"/>
        <v>0.4285714285714286</v>
      </c>
      <c r="AE256" s="4">
        <f t="shared" si="85"/>
        <v>1330</v>
      </c>
      <c r="AF256" s="7">
        <v>1300</v>
      </c>
      <c r="AG256" s="6">
        <f t="shared" si="73"/>
        <v>0.35384615384615381</v>
      </c>
      <c r="AH256" s="4">
        <f t="shared" si="74"/>
        <v>460</v>
      </c>
      <c r="AI256" s="28"/>
      <c r="AJ256" s="6"/>
      <c r="AK256" s="6"/>
      <c r="AL256" s="6">
        <f t="shared" si="75"/>
        <v>1.0769230769230769</v>
      </c>
      <c r="AM256" s="6">
        <f t="shared" si="76"/>
        <v>1.051779935275081</v>
      </c>
      <c r="AN256" s="6">
        <f t="shared" si="77"/>
        <v>1.0769230769230769</v>
      </c>
      <c r="AO256" s="4" t="str">
        <f t="shared" si="78"/>
        <v>-</v>
      </c>
      <c r="AP256" s="4" t="str">
        <f t="shared" si="79"/>
        <v>-</v>
      </c>
      <c r="AQ256" s="4" t="str">
        <f t="shared" si="80"/>
        <v>-</v>
      </c>
      <c r="AR256" s="4">
        <v>0</v>
      </c>
      <c r="AS256" s="4" t="s">
        <v>2053</v>
      </c>
      <c r="AT256" s="4"/>
      <c r="AU256" s="4"/>
      <c r="AV256" s="4" t="s">
        <v>2054</v>
      </c>
      <c r="AW256" s="4">
        <v>1365</v>
      </c>
      <c r="AX256" s="4">
        <v>1365</v>
      </c>
      <c r="AY256" s="4">
        <v>1365</v>
      </c>
      <c r="AZ256" s="4">
        <f t="shared" si="81"/>
        <v>1365</v>
      </c>
      <c r="BA256" s="19">
        <v>4</v>
      </c>
      <c r="BB256" s="19">
        <v>1</v>
      </c>
      <c r="BC256" s="16">
        <v>6</v>
      </c>
      <c r="BD256">
        <v>930</v>
      </c>
      <c r="BE256">
        <v>930</v>
      </c>
      <c r="BF256">
        <v>930</v>
      </c>
      <c r="BG256">
        <f t="shared" si="86"/>
        <v>1001.5384615384615</v>
      </c>
      <c r="BH256">
        <v>1500</v>
      </c>
      <c r="BI256">
        <v>1500</v>
      </c>
      <c r="BJ256">
        <v>1500</v>
      </c>
      <c r="BK256">
        <f t="shared" si="87"/>
        <v>1615.3846153846152</v>
      </c>
      <c r="BL256" t="s">
        <v>1562</v>
      </c>
      <c r="BM256">
        <v>812</v>
      </c>
    </row>
    <row r="257" spans="1:65" x14ac:dyDescent="0.4">
      <c r="A257" s="3">
        <v>495</v>
      </c>
      <c r="B257" s="3">
        <v>495</v>
      </c>
      <c r="C257" s="4" t="s">
        <v>484</v>
      </c>
      <c r="D257" s="4" t="str">
        <f t="shared" si="66"/>
        <v>J746MU</v>
      </c>
      <c r="E257" s="4" t="s">
        <v>484</v>
      </c>
      <c r="F257" s="4" t="str">
        <f t="shared" si="82"/>
        <v>J746MU5</v>
      </c>
      <c r="G257" s="4" t="s">
        <v>1128</v>
      </c>
      <c r="H257" s="5">
        <v>4974268242334</v>
      </c>
      <c r="I257" s="5">
        <v>5</v>
      </c>
      <c r="J257" s="5"/>
      <c r="K257" s="5">
        <v>1</v>
      </c>
      <c r="L257" s="5">
        <v>1</v>
      </c>
      <c r="M257" s="4">
        <v>1300</v>
      </c>
      <c r="N257" s="4">
        <v>1163</v>
      </c>
      <c r="O257" s="4">
        <v>780</v>
      </c>
      <c r="P257" s="6">
        <f t="shared" si="67"/>
        <v>0.32932072226999143</v>
      </c>
      <c r="Q257" s="4" t="s">
        <v>1280</v>
      </c>
      <c r="R257" s="4" t="s">
        <v>1280</v>
      </c>
      <c r="S257" s="4" t="s">
        <v>1280</v>
      </c>
      <c r="T257" s="4">
        <v>1400</v>
      </c>
      <c r="U257" s="4">
        <f t="shared" si="68"/>
        <v>1400</v>
      </c>
      <c r="V257" s="4">
        <v>840</v>
      </c>
      <c r="W257" s="4">
        <f t="shared" si="69"/>
        <v>840</v>
      </c>
      <c r="X257" s="4"/>
      <c r="Y257" s="21">
        <f t="shared" si="70"/>
        <v>1252</v>
      </c>
      <c r="Z257" s="6">
        <f t="shared" si="71"/>
        <v>0.32907348242811496</v>
      </c>
      <c r="AA257" s="4">
        <v>1</v>
      </c>
      <c r="AB257" s="4">
        <f t="shared" si="72"/>
        <v>1365</v>
      </c>
      <c r="AC257" s="4">
        <f t="shared" si="83"/>
        <v>1470</v>
      </c>
      <c r="AD257" s="6">
        <f t="shared" si="84"/>
        <v>0.4285714285714286</v>
      </c>
      <c r="AE257" s="4">
        <f t="shared" si="85"/>
        <v>1330</v>
      </c>
      <c r="AF257" s="7">
        <v>1300</v>
      </c>
      <c r="AG257" s="6">
        <f t="shared" si="73"/>
        <v>0.35384615384615381</v>
      </c>
      <c r="AH257" s="4">
        <f t="shared" si="74"/>
        <v>460</v>
      </c>
      <c r="AI257" s="28"/>
      <c r="AJ257" s="6"/>
      <c r="AK257" s="6"/>
      <c r="AL257" s="6">
        <f t="shared" si="75"/>
        <v>1.0769230769230769</v>
      </c>
      <c r="AM257" s="6">
        <f t="shared" si="76"/>
        <v>1.1177987962166811</v>
      </c>
      <c r="AN257" s="6">
        <f t="shared" si="77"/>
        <v>1.0769230769230769</v>
      </c>
      <c r="AO257" s="4" t="str">
        <f t="shared" si="78"/>
        <v>-</v>
      </c>
      <c r="AP257" s="4" t="str">
        <f t="shared" si="79"/>
        <v>-</v>
      </c>
      <c r="AQ257" s="4" t="str">
        <f t="shared" si="80"/>
        <v>-</v>
      </c>
      <c r="AR257" s="4">
        <v>0</v>
      </c>
      <c r="AS257" s="4" t="s">
        <v>2055</v>
      </c>
      <c r="AT257" s="4"/>
      <c r="AU257" s="4"/>
      <c r="AV257" s="4" t="s">
        <v>2056</v>
      </c>
      <c r="AW257" s="4">
        <v>1365</v>
      </c>
      <c r="AX257" s="4">
        <v>1365</v>
      </c>
      <c r="AY257" s="4">
        <v>1365</v>
      </c>
      <c r="AZ257" s="4">
        <f t="shared" si="81"/>
        <v>1365</v>
      </c>
      <c r="BA257" s="19">
        <v>4</v>
      </c>
      <c r="BB257" s="19">
        <v>1</v>
      </c>
      <c r="BC257" s="16">
        <v>6</v>
      </c>
      <c r="BD257" t="s">
        <v>1280</v>
      </c>
      <c r="BE257" t="s">
        <v>1280</v>
      </c>
      <c r="BF257" t="s">
        <v>1280</v>
      </c>
      <c r="BG257" t="str">
        <f t="shared" si="86"/>
        <v>-</v>
      </c>
      <c r="BH257">
        <v>1500</v>
      </c>
      <c r="BI257">
        <v>1500</v>
      </c>
      <c r="BJ257">
        <v>1500</v>
      </c>
      <c r="BK257">
        <f t="shared" si="87"/>
        <v>1615.3846153846152</v>
      </c>
      <c r="BL257" t="s">
        <v>1563</v>
      </c>
      <c r="BM257">
        <v>812</v>
      </c>
    </row>
    <row r="258" spans="1:65" x14ac:dyDescent="0.4">
      <c r="A258" s="3">
        <v>551</v>
      </c>
      <c r="B258" s="3">
        <v>551</v>
      </c>
      <c r="C258" s="4" t="s">
        <v>540</v>
      </c>
      <c r="D258" s="4" t="str">
        <f t="shared" si="66"/>
        <v>J907WN</v>
      </c>
      <c r="E258" s="4" t="s">
        <v>540</v>
      </c>
      <c r="F258" s="4" t="str">
        <f t="shared" si="82"/>
        <v>J907WN5</v>
      </c>
      <c r="G258" s="4" t="s">
        <v>1184</v>
      </c>
      <c r="H258" s="5">
        <v>4974268144911</v>
      </c>
      <c r="I258" s="5">
        <v>5</v>
      </c>
      <c r="J258" s="5"/>
      <c r="K258" s="5">
        <v>1</v>
      </c>
      <c r="L258" s="5">
        <v>1</v>
      </c>
      <c r="M258" s="4">
        <v>1300</v>
      </c>
      <c r="N258" s="4">
        <v>1110</v>
      </c>
      <c r="O258" s="4">
        <v>780</v>
      </c>
      <c r="P258" s="6">
        <f t="shared" si="67"/>
        <v>0.29729729729729726</v>
      </c>
      <c r="Q258" s="4" t="s">
        <v>1280</v>
      </c>
      <c r="R258" s="4" t="s">
        <v>1280</v>
      </c>
      <c r="S258" s="4" t="s">
        <v>1280</v>
      </c>
      <c r="T258" s="4">
        <v>1400</v>
      </c>
      <c r="U258" s="4">
        <f t="shared" si="68"/>
        <v>1400</v>
      </c>
      <c r="V258" s="4">
        <v>840</v>
      </c>
      <c r="W258" s="4">
        <f t="shared" si="69"/>
        <v>840</v>
      </c>
      <c r="X258" s="4"/>
      <c r="Y258" s="21">
        <f t="shared" si="70"/>
        <v>1195</v>
      </c>
      <c r="Z258" s="6">
        <f t="shared" si="71"/>
        <v>0.29707112970711302</v>
      </c>
      <c r="AA258" s="4">
        <v>0.25</v>
      </c>
      <c r="AB258" s="4">
        <f t="shared" si="72"/>
        <v>1234</v>
      </c>
      <c r="AC258" s="4">
        <f t="shared" si="83"/>
        <v>1328.9230769230769</v>
      </c>
      <c r="AD258" s="6">
        <f t="shared" si="84"/>
        <v>0.36790923824959476</v>
      </c>
      <c r="AE258" s="4">
        <f t="shared" si="85"/>
        <v>1330</v>
      </c>
      <c r="AF258" s="7">
        <v>1300</v>
      </c>
      <c r="AG258" s="6">
        <f t="shared" si="73"/>
        <v>0.35384615384615381</v>
      </c>
      <c r="AH258" s="4">
        <f t="shared" si="74"/>
        <v>460</v>
      </c>
      <c r="AI258" s="28"/>
      <c r="AJ258" s="6"/>
      <c r="AK258" s="6"/>
      <c r="AL258" s="6">
        <f t="shared" si="75"/>
        <v>1.0769230769230769</v>
      </c>
      <c r="AM258" s="6">
        <f t="shared" si="76"/>
        <v>1.1711711711711712</v>
      </c>
      <c r="AN258" s="6">
        <f t="shared" si="77"/>
        <v>1.0769230769230769</v>
      </c>
      <c r="AO258" s="4" t="str">
        <f t="shared" si="78"/>
        <v>-</v>
      </c>
      <c r="AP258" s="4" t="str">
        <f t="shared" si="79"/>
        <v>-</v>
      </c>
      <c r="AQ258" s="4" t="str">
        <f t="shared" si="80"/>
        <v>-</v>
      </c>
      <c r="AR258" s="4">
        <v>0</v>
      </c>
      <c r="AS258" s="4" t="s">
        <v>2105</v>
      </c>
      <c r="AT258" s="4"/>
      <c r="AU258" s="4"/>
      <c r="AV258" s="4" t="s">
        <v>1925</v>
      </c>
      <c r="AW258" s="4">
        <v>1234</v>
      </c>
      <c r="AX258" s="4">
        <v>1234</v>
      </c>
      <c r="AY258" s="4">
        <v>1234</v>
      </c>
      <c r="AZ258" s="4">
        <f t="shared" si="81"/>
        <v>1234</v>
      </c>
      <c r="BA258" s="19">
        <v>4</v>
      </c>
      <c r="BB258" s="19">
        <v>1</v>
      </c>
      <c r="BC258" s="16">
        <v>18</v>
      </c>
      <c r="BD258">
        <v>931</v>
      </c>
      <c r="BE258">
        <v>931</v>
      </c>
      <c r="BF258">
        <v>931</v>
      </c>
      <c r="BG258">
        <f t="shared" si="86"/>
        <v>1002.6153846153845</v>
      </c>
      <c r="BH258" t="s">
        <v>1280</v>
      </c>
      <c r="BI258" t="s">
        <v>1280</v>
      </c>
      <c r="BJ258" t="s">
        <v>1280</v>
      </c>
      <c r="BK258" t="str">
        <f t="shared" si="87"/>
        <v>-</v>
      </c>
      <c r="BL258" t="s">
        <v>1602</v>
      </c>
      <c r="BM258">
        <v>812</v>
      </c>
    </row>
    <row r="259" spans="1:65" x14ac:dyDescent="0.4">
      <c r="A259" s="3">
        <v>642</v>
      </c>
      <c r="B259" s="3">
        <v>642</v>
      </c>
      <c r="C259" s="4" t="s">
        <v>631</v>
      </c>
      <c r="D259" s="4" t="str">
        <f t="shared" si="66"/>
        <v>J982WN</v>
      </c>
      <c r="E259" s="4" t="s">
        <v>631</v>
      </c>
      <c r="F259" s="4" t="str">
        <f t="shared" si="82"/>
        <v>J982WN5</v>
      </c>
      <c r="G259" s="4" t="s">
        <v>1275</v>
      </c>
      <c r="H259" s="5">
        <v>4974268563200</v>
      </c>
      <c r="I259" s="5">
        <v>5</v>
      </c>
      <c r="J259" s="5"/>
      <c r="K259" s="5">
        <v>1</v>
      </c>
      <c r="L259" s="5">
        <v>1</v>
      </c>
      <c r="M259" s="4">
        <v>1250</v>
      </c>
      <c r="N259" s="4">
        <v>1070</v>
      </c>
      <c r="O259" s="4">
        <v>750</v>
      </c>
      <c r="P259" s="6">
        <f t="shared" si="67"/>
        <v>0.2990654205607477</v>
      </c>
      <c r="Q259" s="4" t="s">
        <v>1280</v>
      </c>
      <c r="R259" s="4" t="s">
        <v>1280</v>
      </c>
      <c r="S259" s="4" t="s">
        <v>1280</v>
      </c>
      <c r="T259" s="4">
        <v>1400</v>
      </c>
      <c r="U259" s="4">
        <f t="shared" si="68"/>
        <v>1400</v>
      </c>
      <c r="V259" s="4">
        <v>840</v>
      </c>
      <c r="W259" s="4">
        <f t="shared" si="69"/>
        <v>840</v>
      </c>
      <c r="X259" s="4"/>
      <c r="Y259" s="21">
        <f t="shared" si="70"/>
        <v>1198</v>
      </c>
      <c r="Z259" s="6">
        <f t="shared" si="71"/>
        <v>0.29883138564273792</v>
      </c>
      <c r="AA259" s="4">
        <v>0.5</v>
      </c>
      <c r="AB259" s="4">
        <f t="shared" si="72"/>
        <v>1270</v>
      </c>
      <c r="AC259" s="4">
        <f t="shared" si="83"/>
        <v>1422.4</v>
      </c>
      <c r="AD259" s="6">
        <f t="shared" si="84"/>
        <v>0.40944881889763785</v>
      </c>
      <c r="AE259" s="4">
        <f t="shared" si="85"/>
        <v>1330</v>
      </c>
      <c r="AF259" s="7">
        <v>1300</v>
      </c>
      <c r="AG259" s="6">
        <f t="shared" si="73"/>
        <v>0.35384615384615381</v>
      </c>
      <c r="AH259" s="4">
        <f t="shared" si="74"/>
        <v>460</v>
      </c>
      <c r="AI259" s="28"/>
      <c r="AJ259" s="6"/>
      <c r="AK259" s="6"/>
      <c r="AL259" s="6">
        <f t="shared" si="75"/>
        <v>1.1200000000000001</v>
      </c>
      <c r="AM259" s="6">
        <f t="shared" si="76"/>
        <v>1.2149532710280373</v>
      </c>
      <c r="AN259" s="6">
        <f t="shared" si="77"/>
        <v>1.1200000000000001</v>
      </c>
      <c r="AO259" s="4" t="str">
        <f t="shared" si="78"/>
        <v>-</v>
      </c>
      <c r="AP259" s="4" t="str">
        <f t="shared" si="79"/>
        <v>-</v>
      </c>
      <c r="AQ259" s="4" t="str">
        <f t="shared" si="80"/>
        <v>-</v>
      </c>
      <c r="AR259" s="4">
        <v>0</v>
      </c>
      <c r="AS259" s="4" t="s">
        <v>2198</v>
      </c>
      <c r="AT259" s="4"/>
      <c r="AU259" s="4"/>
      <c r="AV259" s="4" t="s">
        <v>1870</v>
      </c>
      <c r="AW259" s="4">
        <v>1270</v>
      </c>
      <c r="AX259" s="4">
        <v>1270</v>
      </c>
      <c r="AY259" s="4">
        <v>1270</v>
      </c>
      <c r="AZ259" s="4">
        <f t="shared" si="81"/>
        <v>1270</v>
      </c>
      <c r="BA259" s="19">
        <v>4</v>
      </c>
      <c r="BB259" s="19">
        <v>8</v>
      </c>
      <c r="BC259" s="16">
        <v>18</v>
      </c>
      <c r="BD259">
        <v>1250</v>
      </c>
      <c r="BE259">
        <v>1250</v>
      </c>
      <c r="BF259">
        <v>1250</v>
      </c>
      <c r="BG259">
        <f t="shared" si="86"/>
        <v>1400.0000000000002</v>
      </c>
      <c r="BH259">
        <v>1250</v>
      </c>
      <c r="BI259">
        <v>1250</v>
      </c>
      <c r="BJ259">
        <v>1250</v>
      </c>
      <c r="BK259">
        <f t="shared" si="87"/>
        <v>1400.0000000000002</v>
      </c>
      <c r="BL259" t="s">
        <v>1676</v>
      </c>
      <c r="BM259">
        <v>812</v>
      </c>
    </row>
    <row r="260" spans="1:65" x14ac:dyDescent="0.4">
      <c r="A260" s="3">
        <v>414</v>
      </c>
      <c r="B260" s="3">
        <v>414</v>
      </c>
      <c r="C260" s="4" t="s">
        <v>403</v>
      </c>
      <c r="D260" s="4" t="str">
        <f t="shared" ref="D260:D323" si="88">TEXT(C260,"000000")</f>
        <v>J54433</v>
      </c>
      <c r="E260" s="4" t="s">
        <v>403</v>
      </c>
      <c r="F260" s="4" t="str">
        <f t="shared" si="82"/>
        <v>J544335</v>
      </c>
      <c r="G260" s="4" t="s">
        <v>1047</v>
      </c>
      <c r="H260" s="5">
        <v>4974268602879</v>
      </c>
      <c r="I260" s="5">
        <v>5</v>
      </c>
      <c r="J260" s="5"/>
      <c r="K260" s="5">
        <v>1</v>
      </c>
      <c r="L260" s="5">
        <v>1</v>
      </c>
      <c r="M260" s="4">
        <v>1200</v>
      </c>
      <c r="N260" s="4">
        <v>941</v>
      </c>
      <c r="O260" s="4">
        <v>720</v>
      </c>
      <c r="P260" s="6">
        <f t="shared" ref="P260:P323" si="89">1-O260/N260</f>
        <v>0.23485653560042508</v>
      </c>
      <c r="Q260" s="4" t="s">
        <v>1280</v>
      </c>
      <c r="R260" s="4" t="s">
        <v>1280</v>
      </c>
      <c r="S260" s="4" t="s">
        <v>1280</v>
      </c>
      <c r="T260" s="4">
        <v>1450</v>
      </c>
      <c r="U260" s="4">
        <f t="shared" ref="U260:U323" si="90">IF(X260="",T260,T260*X260)</f>
        <v>1450</v>
      </c>
      <c r="V260" s="4">
        <v>870</v>
      </c>
      <c r="W260" s="4">
        <f t="shared" ref="W260:W323" si="91">IF(X260="",V260,V260*X260)</f>
        <v>870</v>
      </c>
      <c r="X260" s="4"/>
      <c r="Y260" s="21">
        <f t="shared" ref="Y260:Y323" si="92">ROUND(N260*AN260,0)</f>
        <v>1137</v>
      </c>
      <c r="Z260" s="6">
        <f t="shared" ref="Z260:Z323" si="93">1-W260/Y260</f>
        <v>0.23482849604221634</v>
      </c>
      <c r="AA260" s="4">
        <v>0</v>
      </c>
      <c r="AB260" s="4">
        <f t="shared" ref="AB260:AB323" si="94">AZ260</f>
        <v>1182</v>
      </c>
      <c r="AC260" s="4">
        <f t="shared" si="83"/>
        <v>1428.25</v>
      </c>
      <c r="AD260" s="6">
        <f t="shared" si="84"/>
        <v>0.3908629441624365</v>
      </c>
      <c r="AE260" s="4">
        <f t="shared" si="85"/>
        <v>1377.5</v>
      </c>
      <c r="AF260" s="7">
        <v>1350</v>
      </c>
      <c r="AG260" s="6">
        <f t="shared" ref="AG260:AG323" si="95">1-W260/AF260</f>
        <v>0.35555555555555551</v>
      </c>
      <c r="AH260" s="4">
        <f t="shared" ref="AH260:AH323" si="96">AF260-W260</f>
        <v>480</v>
      </c>
      <c r="AI260" s="28"/>
      <c r="AJ260" s="6"/>
      <c r="AK260" s="6"/>
      <c r="AL260" s="6">
        <f t="shared" ref="AL260:AL323" si="97">U260/M260</f>
        <v>1.2083333333333333</v>
      </c>
      <c r="AM260" s="6">
        <f t="shared" ref="AM260:AM323" si="98">AF260/N260</f>
        <v>1.434643995749203</v>
      </c>
      <c r="AN260" s="6">
        <f t="shared" ref="AN260:AN323" si="99">W260/O260</f>
        <v>1.2083333333333333</v>
      </c>
      <c r="AO260" s="4" t="str">
        <f t="shared" ref="AO260:AO323" si="100">IFERROR(ROUND($AF260*Q260/$N260,0),"-")</f>
        <v>-</v>
      </c>
      <c r="AP260" s="4" t="str">
        <f t="shared" ref="AP260:AP323" si="101">IF(R260="","-",R260)</f>
        <v>-</v>
      </c>
      <c r="AQ260" s="4" t="str">
        <f t="shared" ref="AQ260:AQ323" si="102">IF(S260="","-",S260)</f>
        <v>-</v>
      </c>
      <c r="AR260" s="4">
        <v>0</v>
      </c>
      <c r="AS260" s="4" t="s">
        <v>1975</v>
      </c>
      <c r="AT260" s="4"/>
      <c r="AU260" s="4"/>
      <c r="AV260" s="4" t="s">
        <v>1911</v>
      </c>
      <c r="AW260" s="4">
        <v>1182</v>
      </c>
      <c r="AX260" s="4">
        <v>1182</v>
      </c>
      <c r="AY260" s="4">
        <v>1182</v>
      </c>
      <c r="AZ260" s="4">
        <f t="shared" ref="AZ260:AZ323" si="103">IF(AT260="",AY260,AT260/AU260*AY260)</f>
        <v>1182</v>
      </c>
      <c r="BA260" s="19">
        <v>4</v>
      </c>
      <c r="BB260" s="19">
        <v>8</v>
      </c>
      <c r="BC260" s="16">
        <v>19</v>
      </c>
      <c r="BD260" t="s">
        <v>1280</v>
      </c>
      <c r="BE260" t="s">
        <v>1280</v>
      </c>
      <c r="BF260" t="s">
        <v>1280</v>
      </c>
      <c r="BG260" t="str">
        <f t="shared" si="86"/>
        <v>-</v>
      </c>
      <c r="BH260">
        <v>1200</v>
      </c>
      <c r="BI260">
        <v>1200</v>
      </c>
      <c r="BJ260">
        <v>1200</v>
      </c>
      <c r="BK260">
        <f t="shared" si="87"/>
        <v>1450</v>
      </c>
      <c r="BL260" t="s">
        <v>1497</v>
      </c>
      <c r="BM260">
        <v>812</v>
      </c>
    </row>
    <row r="261" spans="1:65" x14ac:dyDescent="0.4">
      <c r="A261" s="3">
        <v>117</v>
      </c>
      <c r="B261" s="3">
        <v>117</v>
      </c>
      <c r="C261" s="4" t="s">
        <v>106</v>
      </c>
      <c r="D261" s="4" t="str">
        <f t="shared" si="88"/>
        <v>J1793P</v>
      </c>
      <c r="E261" s="4" t="s">
        <v>106</v>
      </c>
      <c r="F261" s="4" t="str">
        <f t="shared" ref="F261:F324" si="104">D261&amp;I261</f>
        <v>J1793P5</v>
      </c>
      <c r="G261" s="4" t="s">
        <v>752</v>
      </c>
      <c r="H261" s="5">
        <v>4974268698452</v>
      </c>
      <c r="I261" s="5">
        <v>5</v>
      </c>
      <c r="J261" s="5"/>
      <c r="K261" s="5">
        <v>1</v>
      </c>
      <c r="L261" s="5">
        <v>1</v>
      </c>
      <c r="M261" s="4">
        <v>1300</v>
      </c>
      <c r="N261" s="4">
        <v>1140</v>
      </c>
      <c r="O261" s="4">
        <v>780</v>
      </c>
      <c r="P261" s="6">
        <f t="shared" si="89"/>
        <v>0.31578947368421051</v>
      </c>
      <c r="Q261" s="4" t="s">
        <v>1280</v>
      </c>
      <c r="R261" s="4" t="s">
        <v>1280</v>
      </c>
      <c r="S261" s="4" t="s">
        <v>1280</v>
      </c>
      <c r="T261" s="4">
        <v>1500</v>
      </c>
      <c r="U261" s="4">
        <f t="shared" si="90"/>
        <v>1500</v>
      </c>
      <c r="V261" s="4">
        <v>900</v>
      </c>
      <c r="W261" s="4">
        <f t="shared" si="91"/>
        <v>900</v>
      </c>
      <c r="X261" s="4"/>
      <c r="Y261" s="21">
        <f t="shared" si="92"/>
        <v>1315</v>
      </c>
      <c r="Z261" s="6">
        <f t="shared" si="93"/>
        <v>0.31558935361216733</v>
      </c>
      <c r="AA261" s="4">
        <v>0</v>
      </c>
      <c r="AB261" s="4">
        <f t="shared" si="94"/>
        <v>1300</v>
      </c>
      <c r="AC261" s="4">
        <f t="shared" ref="AC261:AC324" si="105">IFERROR(AB261*AN261,"-")</f>
        <v>1499.9999999999998</v>
      </c>
      <c r="AD261" s="6">
        <f t="shared" ref="AD261:AD324" si="106">IFERROR(1-W261/AC261,"-")</f>
        <v>0.39999999999999991</v>
      </c>
      <c r="AE261" s="4">
        <f t="shared" ref="AE261:AE324" si="107">U261*0.95</f>
        <v>1425</v>
      </c>
      <c r="AF261" s="7">
        <v>1380</v>
      </c>
      <c r="AG261" s="6">
        <f t="shared" si="95"/>
        <v>0.34782608695652173</v>
      </c>
      <c r="AH261" s="4">
        <f t="shared" si="96"/>
        <v>480</v>
      </c>
      <c r="AI261" s="28"/>
      <c r="AJ261" s="6"/>
      <c r="AK261" s="6"/>
      <c r="AL261" s="6">
        <f t="shared" si="97"/>
        <v>1.1538461538461537</v>
      </c>
      <c r="AM261" s="6">
        <f t="shared" si="98"/>
        <v>1.2105263157894737</v>
      </c>
      <c r="AN261" s="6">
        <f t="shared" si="99"/>
        <v>1.1538461538461537</v>
      </c>
      <c r="AO261" s="4" t="str">
        <f t="shared" si="100"/>
        <v>-</v>
      </c>
      <c r="AP261" s="4" t="str">
        <f t="shared" si="101"/>
        <v>-</v>
      </c>
      <c r="AQ261" s="4" t="str">
        <f t="shared" si="102"/>
        <v>-</v>
      </c>
      <c r="AR261" s="4">
        <v>0</v>
      </c>
      <c r="AS261" s="4" t="s">
        <v>1806</v>
      </c>
      <c r="AT261" s="4">
        <v>1</v>
      </c>
      <c r="AU261" s="4">
        <v>3</v>
      </c>
      <c r="AV261" s="4" t="s">
        <v>1807</v>
      </c>
      <c r="AW261" s="4">
        <v>3900</v>
      </c>
      <c r="AX261" s="4">
        <v>3900</v>
      </c>
      <c r="AY261" s="4">
        <v>3900</v>
      </c>
      <c r="AZ261" s="4">
        <f t="shared" si="103"/>
        <v>1300</v>
      </c>
      <c r="BA261" s="19">
        <v>4</v>
      </c>
      <c r="BB261" s="19">
        <v>8</v>
      </c>
      <c r="BC261" s="16">
        <v>6</v>
      </c>
      <c r="BD261" t="s">
        <v>1280</v>
      </c>
      <c r="BE261" t="s">
        <v>1280</v>
      </c>
      <c r="BF261" t="s">
        <v>1280</v>
      </c>
      <c r="BG261" t="str">
        <f t="shared" ref="BG261:BG324" si="108">IFERROR(BF261*AN261,"-")</f>
        <v>-</v>
      </c>
      <c r="BH261" t="s">
        <v>1280</v>
      </c>
      <c r="BI261" t="s">
        <v>1280</v>
      </c>
      <c r="BJ261" t="s">
        <v>1280</v>
      </c>
      <c r="BK261" t="str">
        <f t="shared" ref="BK261:BK324" si="109">IFERROR(BJ261*AN261,"-")</f>
        <v>-</v>
      </c>
      <c r="BL261" t="s">
        <v>1372</v>
      </c>
      <c r="BM261">
        <v>812</v>
      </c>
    </row>
    <row r="262" spans="1:65" x14ac:dyDescent="0.4">
      <c r="A262" s="3">
        <v>119</v>
      </c>
      <c r="B262" s="3">
        <v>119</v>
      </c>
      <c r="C262" s="4" t="s">
        <v>108</v>
      </c>
      <c r="D262" s="4" t="str">
        <f t="shared" si="88"/>
        <v>J1794P</v>
      </c>
      <c r="E262" s="4" t="s">
        <v>108</v>
      </c>
      <c r="F262" s="4" t="str">
        <f t="shared" si="104"/>
        <v>J1794P5</v>
      </c>
      <c r="G262" s="4" t="s">
        <v>754</v>
      </c>
      <c r="H262" s="5">
        <v>4974268698469</v>
      </c>
      <c r="I262" s="5">
        <v>5</v>
      </c>
      <c r="J262" s="5"/>
      <c r="K262" s="5">
        <v>1</v>
      </c>
      <c r="L262" s="5">
        <v>1</v>
      </c>
      <c r="M262" s="4">
        <v>1300</v>
      </c>
      <c r="N262" s="4">
        <v>764</v>
      </c>
      <c r="O262" s="4">
        <v>780</v>
      </c>
      <c r="P262" s="6">
        <f t="shared" si="89"/>
        <v>-2.0942408376963373E-2</v>
      </c>
      <c r="Q262" s="4" t="s">
        <v>1280</v>
      </c>
      <c r="R262" s="4" t="s">
        <v>1280</v>
      </c>
      <c r="S262" s="4" t="s">
        <v>1280</v>
      </c>
      <c r="T262" s="4">
        <v>1500</v>
      </c>
      <c r="U262" s="4">
        <f t="shared" si="90"/>
        <v>1500</v>
      </c>
      <c r="V262" s="4">
        <v>900</v>
      </c>
      <c r="W262" s="4">
        <f t="shared" si="91"/>
        <v>900</v>
      </c>
      <c r="X262" s="4"/>
      <c r="Y262" s="21">
        <f t="shared" si="92"/>
        <v>882</v>
      </c>
      <c r="Z262" s="6">
        <f t="shared" si="93"/>
        <v>-2.0408163265306145E-2</v>
      </c>
      <c r="AA262" s="4">
        <v>0</v>
      </c>
      <c r="AB262" s="4">
        <f t="shared" si="94"/>
        <v>1300</v>
      </c>
      <c r="AC262" s="4">
        <f t="shared" si="105"/>
        <v>1499.9999999999998</v>
      </c>
      <c r="AD262" s="6">
        <f t="shared" si="106"/>
        <v>0.39999999999999991</v>
      </c>
      <c r="AE262" s="4">
        <f t="shared" si="107"/>
        <v>1425</v>
      </c>
      <c r="AF262" s="7">
        <v>1380</v>
      </c>
      <c r="AG262" s="6">
        <f t="shared" si="95"/>
        <v>0.34782608695652173</v>
      </c>
      <c r="AH262" s="4">
        <f t="shared" si="96"/>
        <v>480</v>
      </c>
      <c r="AI262" s="28"/>
      <c r="AJ262" s="6"/>
      <c r="AK262" s="6"/>
      <c r="AL262" s="6">
        <f t="shared" si="97"/>
        <v>1.1538461538461537</v>
      </c>
      <c r="AM262" s="6">
        <f t="shared" si="98"/>
        <v>1.8062827225130891</v>
      </c>
      <c r="AN262" s="6">
        <f t="shared" si="99"/>
        <v>1.1538461538461537</v>
      </c>
      <c r="AO262" s="4" t="str">
        <f t="shared" si="100"/>
        <v>-</v>
      </c>
      <c r="AP262" s="4" t="str">
        <f t="shared" si="101"/>
        <v>-</v>
      </c>
      <c r="AQ262" s="4" t="str">
        <f t="shared" si="102"/>
        <v>-</v>
      </c>
      <c r="AR262" s="4">
        <v>0</v>
      </c>
      <c r="AS262" s="4" t="s">
        <v>1810</v>
      </c>
      <c r="AT262" s="4">
        <v>1</v>
      </c>
      <c r="AU262" s="4">
        <v>3</v>
      </c>
      <c r="AV262" s="4" t="s">
        <v>1811</v>
      </c>
      <c r="AW262" s="4">
        <v>3900</v>
      </c>
      <c r="AX262" s="4">
        <v>3900</v>
      </c>
      <c r="AY262" s="4">
        <v>3900</v>
      </c>
      <c r="AZ262" s="4">
        <f t="shared" si="103"/>
        <v>1300</v>
      </c>
      <c r="BA262" s="19">
        <v>4</v>
      </c>
      <c r="BB262" s="19">
        <v>8</v>
      </c>
      <c r="BC262" s="16">
        <v>6</v>
      </c>
      <c r="BD262" t="s">
        <v>1280</v>
      </c>
      <c r="BE262" t="s">
        <v>1280</v>
      </c>
      <c r="BF262" t="s">
        <v>1280</v>
      </c>
      <c r="BG262" t="str">
        <f t="shared" si="108"/>
        <v>-</v>
      </c>
      <c r="BH262" t="s">
        <v>1280</v>
      </c>
      <c r="BI262" t="s">
        <v>1280</v>
      </c>
      <c r="BJ262" t="s">
        <v>1280</v>
      </c>
      <c r="BK262" t="str">
        <f t="shared" si="109"/>
        <v>-</v>
      </c>
      <c r="BL262" t="s">
        <v>1374</v>
      </c>
      <c r="BM262">
        <v>812</v>
      </c>
    </row>
    <row r="263" spans="1:65" x14ac:dyDescent="0.4">
      <c r="A263" s="3">
        <v>121</v>
      </c>
      <c r="B263" s="3">
        <v>121</v>
      </c>
      <c r="C263" s="4" t="s">
        <v>110</v>
      </c>
      <c r="D263" s="4" t="str">
        <f t="shared" si="88"/>
        <v>J1795P</v>
      </c>
      <c r="E263" s="4" t="s">
        <v>110</v>
      </c>
      <c r="F263" s="4" t="str">
        <f t="shared" si="104"/>
        <v>J1795P5</v>
      </c>
      <c r="G263" s="4" t="s">
        <v>756</v>
      </c>
      <c r="H263" s="5">
        <v>4974268698476</v>
      </c>
      <c r="I263" s="5">
        <v>5</v>
      </c>
      <c r="J263" s="5"/>
      <c r="K263" s="5">
        <v>1</v>
      </c>
      <c r="L263" s="5">
        <v>1</v>
      </c>
      <c r="M263" s="4">
        <v>1300</v>
      </c>
      <c r="N263" s="4">
        <v>1140</v>
      </c>
      <c r="O263" s="4">
        <v>780</v>
      </c>
      <c r="P263" s="6">
        <f t="shared" si="89"/>
        <v>0.31578947368421051</v>
      </c>
      <c r="Q263" s="4" t="s">
        <v>1280</v>
      </c>
      <c r="R263" s="4" t="s">
        <v>1280</v>
      </c>
      <c r="S263" s="4" t="s">
        <v>1280</v>
      </c>
      <c r="T263" s="4">
        <v>1500</v>
      </c>
      <c r="U263" s="4">
        <f t="shared" si="90"/>
        <v>1500</v>
      </c>
      <c r="V263" s="4">
        <v>900</v>
      </c>
      <c r="W263" s="4">
        <f t="shared" si="91"/>
        <v>900</v>
      </c>
      <c r="X263" s="4"/>
      <c r="Y263" s="21">
        <f t="shared" si="92"/>
        <v>1315</v>
      </c>
      <c r="Z263" s="6">
        <f t="shared" si="93"/>
        <v>0.31558935361216733</v>
      </c>
      <c r="AA263" s="4">
        <v>0</v>
      </c>
      <c r="AB263" s="4">
        <f t="shared" si="94"/>
        <v>1300</v>
      </c>
      <c r="AC263" s="4">
        <f t="shared" si="105"/>
        <v>1499.9999999999998</v>
      </c>
      <c r="AD263" s="6">
        <f t="shared" si="106"/>
        <v>0.39999999999999991</v>
      </c>
      <c r="AE263" s="4">
        <f t="shared" si="107"/>
        <v>1425</v>
      </c>
      <c r="AF263" s="7">
        <v>1380</v>
      </c>
      <c r="AG263" s="6">
        <f t="shared" si="95"/>
        <v>0.34782608695652173</v>
      </c>
      <c r="AH263" s="4">
        <f t="shared" si="96"/>
        <v>480</v>
      </c>
      <c r="AI263" s="28"/>
      <c r="AJ263" s="6"/>
      <c r="AK263" s="6"/>
      <c r="AL263" s="6">
        <f t="shared" si="97"/>
        <v>1.1538461538461537</v>
      </c>
      <c r="AM263" s="6">
        <f t="shared" si="98"/>
        <v>1.2105263157894737</v>
      </c>
      <c r="AN263" s="6">
        <f t="shared" si="99"/>
        <v>1.1538461538461537</v>
      </c>
      <c r="AO263" s="4" t="str">
        <f t="shared" si="100"/>
        <v>-</v>
      </c>
      <c r="AP263" s="4" t="str">
        <f t="shared" si="101"/>
        <v>-</v>
      </c>
      <c r="AQ263" s="4" t="str">
        <f t="shared" si="102"/>
        <v>-</v>
      </c>
      <c r="AR263" s="4">
        <v>0</v>
      </c>
      <c r="AS263" s="4" t="s">
        <v>1814</v>
      </c>
      <c r="AT263" s="4">
        <v>1</v>
      </c>
      <c r="AU263" s="4">
        <v>3</v>
      </c>
      <c r="AV263" s="4" t="s">
        <v>1807</v>
      </c>
      <c r="AW263" s="4">
        <v>3900</v>
      </c>
      <c r="AX263" s="4">
        <v>3900</v>
      </c>
      <c r="AY263" s="4">
        <v>3900</v>
      </c>
      <c r="AZ263" s="4">
        <f t="shared" si="103"/>
        <v>1300</v>
      </c>
      <c r="BA263" s="19">
        <v>4</v>
      </c>
      <c r="BB263" s="19">
        <v>8</v>
      </c>
      <c r="BC263" s="16">
        <v>6</v>
      </c>
      <c r="BD263" t="s">
        <v>1280</v>
      </c>
      <c r="BE263" t="s">
        <v>1280</v>
      </c>
      <c r="BF263" t="s">
        <v>1280</v>
      </c>
      <c r="BG263" t="str">
        <f t="shared" si="108"/>
        <v>-</v>
      </c>
      <c r="BH263" t="s">
        <v>1280</v>
      </c>
      <c r="BI263" t="s">
        <v>1280</v>
      </c>
      <c r="BJ263" t="s">
        <v>1280</v>
      </c>
      <c r="BK263" t="str">
        <f t="shared" si="109"/>
        <v>-</v>
      </c>
      <c r="BL263" t="s">
        <v>1376</v>
      </c>
      <c r="BM263">
        <v>812</v>
      </c>
    </row>
    <row r="264" spans="1:65" x14ac:dyDescent="0.4">
      <c r="A264" s="3">
        <v>124</v>
      </c>
      <c r="B264" s="3">
        <v>124</v>
      </c>
      <c r="C264" s="4" t="s">
        <v>113</v>
      </c>
      <c r="D264" s="4" t="str">
        <f t="shared" si="88"/>
        <v>J1796P</v>
      </c>
      <c r="E264" s="4" t="s">
        <v>113</v>
      </c>
      <c r="F264" s="4" t="str">
        <f t="shared" si="104"/>
        <v>J1796P5</v>
      </c>
      <c r="G264" s="4" t="s">
        <v>759</v>
      </c>
      <c r="H264" s="5">
        <v>4974268698483</v>
      </c>
      <c r="I264" s="5">
        <v>5</v>
      </c>
      <c r="J264" s="5"/>
      <c r="K264" s="5">
        <v>1</v>
      </c>
      <c r="L264" s="5">
        <v>1</v>
      </c>
      <c r="M264" s="4">
        <v>1300</v>
      </c>
      <c r="N264" s="4">
        <v>1140</v>
      </c>
      <c r="O264" s="4">
        <v>780</v>
      </c>
      <c r="P264" s="6">
        <f t="shared" si="89"/>
        <v>0.31578947368421051</v>
      </c>
      <c r="Q264" s="4" t="s">
        <v>1280</v>
      </c>
      <c r="R264" s="4" t="s">
        <v>1280</v>
      </c>
      <c r="S264" s="4" t="s">
        <v>1280</v>
      </c>
      <c r="T264" s="4">
        <v>1500</v>
      </c>
      <c r="U264" s="4">
        <f t="shared" si="90"/>
        <v>1500</v>
      </c>
      <c r="V264" s="4">
        <v>900</v>
      </c>
      <c r="W264" s="4">
        <f t="shared" si="91"/>
        <v>900</v>
      </c>
      <c r="X264" s="4"/>
      <c r="Y264" s="21">
        <f t="shared" si="92"/>
        <v>1315</v>
      </c>
      <c r="Z264" s="6">
        <f t="shared" si="93"/>
        <v>0.31558935361216733</v>
      </c>
      <c r="AA264" s="4">
        <v>0</v>
      </c>
      <c r="AB264" s="4">
        <f t="shared" si="94"/>
        <v>1234.6666666666665</v>
      </c>
      <c r="AC264" s="4">
        <f t="shared" si="105"/>
        <v>1424.6153846153843</v>
      </c>
      <c r="AD264" s="6">
        <f t="shared" si="106"/>
        <v>0.36825053995680335</v>
      </c>
      <c r="AE264" s="4">
        <f t="shared" si="107"/>
        <v>1425</v>
      </c>
      <c r="AF264" s="7">
        <v>1280</v>
      </c>
      <c r="AG264" s="6">
        <f t="shared" si="95"/>
        <v>0.296875</v>
      </c>
      <c r="AH264" s="4">
        <f t="shared" si="96"/>
        <v>380</v>
      </c>
      <c r="AI264" s="28"/>
      <c r="AJ264" s="6"/>
      <c r="AK264" s="6"/>
      <c r="AL264" s="6">
        <f t="shared" si="97"/>
        <v>1.1538461538461537</v>
      </c>
      <c r="AM264" s="6">
        <f t="shared" si="98"/>
        <v>1.1228070175438596</v>
      </c>
      <c r="AN264" s="6">
        <f t="shared" si="99"/>
        <v>1.1538461538461537</v>
      </c>
      <c r="AO264" s="4" t="str">
        <f t="shared" si="100"/>
        <v>-</v>
      </c>
      <c r="AP264" s="4" t="str">
        <f t="shared" si="101"/>
        <v>-</v>
      </c>
      <c r="AQ264" s="4" t="str">
        <f t="shared" si="102"/>
        <v>-</v>
      </c>
      <c r="AR264" s="4">
        <v>0</v>
      </c>
      <c r="AS264" s="4" t="s">
        <v>1817</v>
      </c>
      <c r="AT264" s="4">
        <v>1</v>
      </c>
      <c r="AU264" s="4">
        <v>3</v>
      </c>
      <c r="AV264" s="4" t="s">
        <v>1811</v>
      </c>
      <c r="AW264" s="4">
        <v>3704</v>
      </c>
      <c r="AX264" s="4">
        <v>3704</v>
      </c>
      <c r="AY264" s="4">
        <v>3704</v>
      </c>
      <c r="AZ264" s="4">
        <f t="shared" si="103"/>
        <v>1234.6666666666665</v>
      </c>
      <c r="BA264" s="19">
        <v>4</v>
      </c>
      <c r="BB264" s="19">
        <v>8</v>
      </c>
      <c r="BC264" s="16">
        <v>6</v>
      </c>
      <c r="BD264" t="s">
        <v>1280</v>
      </c>
      <c r="BE264" t="s">
        <v>1280</v>
      </c>
      <c r="BF264" t="s">
        <v>1280</v>
      </c>
      <c r="BG264" t="str">
        <f t="shared" si="108"/>
        <v>-</v>
      </c>
      <c r="BH264" t="s">
        <v>1280</v>
      </c>
      <c r="BI264" t="s">
        <v>1280</v>
      </c>
      <c r="BJ264" t="s">
        <v>1280</v>
      </c>
      <c r="BK264" t="str">
        <f t="shared" si="109"/>
        <v>-</v>
      </c>
      <c r="BL264" t="s">
        <v>1378</v>
      </c>
      <c r="BM264">
        <v>812</v>
      </c>
    </row>
    <row r="265" spans="1:65" x14ac:dyDescent="0.4">
      <c r="A265" s="3">
        <v>126</v>
      </c>
      <c r="B265" s="3">
        <v>126</v>
      </c>
      <c r="C265" s="4" t="s">
        <v>115</v>
      </c>
      <c r="D265" s="4" t="str">
        <f t="shared" si="88"/>
        <v>J1797P</v>
      </c>
      <c r="E265" s="4" t="s">
        <v>115</v>
      </c>
      <c r="F265" s="4" t="str">
        <f t="shared" si="104"/>
        <v>J1797P5</v>
      </c>
      <c r="G265" s="4" t="s">
        <v>761</v>
      </c>
      <c r="H265" s="5">
        <v>4974268698490</v>
      </c>
      <c r="I265" s="5">
        <v>5</v>
      </c>
      <c r="J265" s="5"/>
      <c r="K265" s="5">
        <v>1</v>
      </c>
      <c r="L265" s="5">
        <v>1</v>
      </c>
      <c r="M265" s="4">
        <v>1300</v>
      </c>
      <c r="N265" s="4">
        <v>1140</v>
      </c>
      <c r="O265" s="4">
        <v>780</v>
      </c>
      <c r="P265" s="6">
        <f t="shared" si="89"/>
        <v>0.31578947368421051</v>
      </c>
      <c r="Q265" s="4" t="s">
        <v>1280</v>
      </c>
      <c r="R265" s="4" t="s">
        <v>1280</v>
      </c>
      <c r="S265" s="4" t="s">
        <v>1280</v>
      </c>
      <c r="T265" s="4">
        <v>1500</v>
      </c>
      <c r="U265" s="4">
        <f t="shared" si="90"/>
        <v>1500</v>
      </c>
      <c r="V265" s="4">
        <v>900</v>
      </c>
      <c r="W265" s="4">
        <f t="shared" si="91"/>
        <v>900</v>
      </c>
      <c r="X265" s="4"/>
      <c r="Y265" s="21">
        <f t="shared" si="92"/>
        <v>1315</v>
      </c>
      <c r="Z265" s="6">
        <f t="shared" si="93"/>
        <v>0.31558935361216733</v>
      </c>
      <c r="AA265" s="4">
        <v>0</v>
      </c>
      <c r="AB265" s="4">
        <f t="shared" si="94"/>
        <v>1110</v>
      </c>
      <c r="AC265" s="4">
        <f t="shared" si="105"/>
        <v>1280.7692307692307</v>
      </c>
      <c r="AD265" s="6">
        <f t="shared" si="106"/>
        <v>0.29729729729729726</v>
      </c>
      <c r="AE265" s="4">
        <f t="shared" si="107"/>
        <v>1425</v>
      </c>
      <c r="AF265" s="7">
        <v>1280</v>
      </c>
      <c r="AG265" s="6">
        <f t="shared" si="95"/>
        <v>0.296875</v>
      </c>
      <c r="AH265" s="4">
        <f t="shared" si="96"/>
        <v>380</v>
      </c>
      <c r="AI265" s="28"/>
      <c r="AJ265" s="6"/>
      <c r="AK265" s="6"/>
      <c r="AL265" s="6">
        <f t="shared" si="97"/>
        <v>1.1538461538461537</v>
      </c>
      <c r="AM265" s="6">
        <f t="shared" si="98"/>
        <v>1.1228070175438596</v>
      </c>
      <c r="AN265" s="6">
        <f t="shared" si="99"/>
        <v>1.1538461538461537</v>
      </c>
      <c r="AO265" s="4" t="str">
        <f t="shared" si="100"/>
        <v>-</v>
      </c>
      <c r="AP265" s="4" t="str">
        <f t="shared" si="101"/>
        <v>-</v>
      </c>
      <c r="AQ265" s="4" t="str">
        <f t="shared" si="102"/>
        <v>-</v>
      </c>
      <c r="AR265" s="4">
        <v>0</v>
      </c>
      <c r="AS265" s="4" t="s">
        <v>1819</v>
      </c>
      <c r="AT265" s="4">
        <v>1</v>
      </c>
      <c r="AU265" s="4">
        <v>3</v>
      </c>
      <c r="AV265" s="4" t="s">
        <v>1811</v>
      </c>
      <c r="AW265" s="4">
        <v>3330</v>
      </c>
      <c r="AX265" s="4">
        <v>3330</v>
      </c>
      <c r="AY265" s="4">
        <v>3330</v>
      </c>
      <c r="AZ265" s="4">
        <f t="shared" si="103"/>
        <v>1110</v>
      </c>
      <c r="BA265" s="19">
        <v>4</v>
      </c>
      <c r="BB265" s="19">
        <v>8</v>
      </c>
      <c r="BC265" s="16">
        <v>6</v>
      </c>
      <c r="BD265" t="s">
        <v>1280</v>
      </c>
      <c r="BE265" t="s">
        <v>1280</v>
      </c>
      <c r="BF265" t="s">
        <v>1280</v>
      </c>
      <c r="BG265" t="str">
        <f t="shared" si="108"/>
        <v>-</v>
      </c>
      <c r="BH265" t="s">
        <v>1280</v>
      </c>
      <c r="BI265" t="s">
        <v>1280</v>
      </c>
      <c r="BJ265" t="s">
        <v>1280</v>
      </c>
      <c r="BK265" t="str">
        <f t="shared" si="109"/>
        <v>-</v>
      </c>
      <c r="BL265" t="s">
        <v>1380</v>
      </c>
      <c r="BM265">
        <v>812</v>
      </c>
    </row>
    <row r="266" spans="1:65" x14ac:dyDescent="0.4">
      <c r="A266" s="3">
        <v>128</v>
      </c>
      <c r="B266" s="3">
        <v>128</v>
      </c>
      <c r="C266" s="4" t="s">
        <v>117</v>
      </c>
      <c r="D266" s="4" t="str">
        <f t="shared" si="88"/>
        <v>J1798P</v>
      </c>
      <c r="E266" s="4" t="s">
        <v>117</v>
      </c>
      <c r="F266" s="4" t="str">
        <f t="shared" si="104"/>
        <v>J1798P5</v>
      </c>
      <c r="G266" s="4" t="s">
        <v>763</v>
      </c>
      <c r="H266" s="5">
        <v>4974268698506</v>
      </c>
      <c r="I266" s="5">
        <v>5</v>
      </c>
      <c r="J266" s="5"/>
      <c r="K266" s="5">
        <v>1</v>
      </c>
      <c r="L266" s="5">
        <v>1</v>
      </c>
      <c r="M266" s="4">
        <v>1300</v>
      </c>
      <c r="N266" s="4">
        <v>1140</v>
      </c>
      <c r="O266" s="4">
        <v>780</v>
      </c>
      <c r="P266" s="6">
        <f t="shared" si="89"/>
        <v>0.31578947368421051</v>
      </c>
      <c r="Q266" s="4" t="s">
        <v>1280</v>
      </c>
      <c r="R266" s="4" t="s">
        <v>1280</v>
      </c>
      <c r="S266" s="4" t="s">
        <v>1280</v>
      </c>
      <c r="T266" s="4">
        <v>1500</v>
      </c>
      <c r="U266" s="4">
        <f t="shared" si="90"/>
        <v>1500</v>
      </c>
      <c r="V266" s="4">
        <v>900</v>
      </c>
      <c r="W266" s="4">
        <f t="shared" si="91"/>
        <v>900</v>
      </c>
      <c r="X266" s="4"/>
      <c r="Y266" s="21">
        <f t="shared" si="92"/>
        <v>1315</v>
      </c>
      <c r="Z266" s="6">
        <f t="shared" si="93"/>
        <v>0.31558935361216733</v>
      </c>
      <c r="AA266" s="4">
        <v>0</v>
      </c>
      <c r="AB266" s="4">
        <f t="shared" si="94"/>
        <v>1300</v>
      </c>
      <c r="AC266" s="4">
        <f t="shared" si="105"/>
        <v>1499.9999999999998</v>
      </c>
      <c r="AD266" s="6">
        <f t="shared" si="106"/>
        <v>0.39999999999999991</v>
      </c>
      <c r="AE266" s="4">
        <f t="shared" si="107"/>
        <v>1425</v>
      </c>
      <c r="AF266" s="7">
        <v>1280</v>
      </c>
      <c r="AG266" s="6">
        <f t="shared" si="95"/>
        <v>0.296875</v>
      </c>
      <c r="AH266" s="4">
        <f t="shared" si="96"/>
        <v>380</v>
      </c>
      <c r="AI266" s="28"/>
      <c r="AJ266" s="6"/>
      <c r="AK266" s="6"/>
      <c r="AL266" s="6">
        <f t="shared" si="97"/>
        <v>1.1538461538461537</v>
      </c>
      <c r="AM266" s="6">
        <f t="shared" si="98"/>
        <v>1.1228070175438596</v>
      </c>
      <c r="AN266" s="6">
        <f t="shared" si="99"/>
        <v>1.1538461538461537</v>
      </c>
      <c r="AO266" s="4" t="str">
        <f t="shared" si="100"/>
        <v>-</v>
      </c>
      <c r="AP266" s="4" t="str">
        <f t="shared" si="101"/>
        <v>-</v>
      </c>
      <c r="AQ266" s="4" t="str">
        <f t="shared" si="102"/>
        <v>-</v>
      </c>
      <c r="AR266" s="4">
        <v>0</v>
      </c>
      <c r="AS266" s="4" t="s">
        <v>1822</v>
      </c>
      <c r="AT266" s="4">
        <v>1</v>
      </c>
      <c r="AU266" s="4">
        <v>3</v>
      </c>
      <c r="AV266" s="4" t="s">
        <v>1807</v>
      </c>
      <c r="AW266" s="4">
        <v>3900</v>
      </c>
      <c r="AX266" s="4">
        <v>3900</v>
      </c>
      <c r="AY266" s="4">
        <v>3900</v>
      </c>
      <c r="AZ266" s="4">
        <f t="shared" si="103"/>
        <v>1300</v>
      </c>
      <c r="BA266" s="19">
        <v>4</v>
      </c>
      <c r="BB266" s="19">
        <v>8</v>
      </c>
      <c r="BC266" s="16">
        <v>6</v>
      </c>
      <c r="BD266" t="s">
        <v>1280</v>
      </c>
      <c r="BE266" t="s">
        <v>1280</v>
      </c>
      <c r="BF266" t="s">
        <v>1280</v>
      </c>
      <c r="BG266" t="str">
        <f t="shared" si="108"/>
        <v>-</v>
      </c>
      <c r="BH266" t="s">
        <v>1280</v>
      </c>
      <c r="BI266" t="s">
        <v>1280</v>
      </c>
      <c r="BJ266" t="s">
        <v>1280</v>
      </c>
      <c r="BK266" t="str">
        <f t="shared" si="109"/>
        <v>-</v>
      </c>
      <c r="BL266" t="s">
        <v>1382</v>
      </c>
      <c r="BM266">
        <v>812</v>
      </c>
    </row>
    <row r="267" spans="1:65" x14ac:dyDescent="0.4">
      <c r="A267" s="3">
        <v>572</v>
      </c>
      <c r="B267" s="3">
        <v>572</v>
      </c>
      <c r="C267" s="4" t="s">
        <v>561</v>
      </c>
      <c r="D267" s="4" t="str">
        <f t="shared" si="88"/>
        <v>J9395W</v>
      </c>
      <c r="E267" s="4" t="s">
        <v>561</v>
      </c>
      <c r="F267" s="4" t="str">
        <f t="shared" si="104"/>
        <v>J9395W5</v>
      </c>
      <c r="G267" s="4" t="s">
        <v>1205</v>
      </c>
      <c r="H267" s="5">
        <v>4974268402448</v>
      </c>
      <c r="I267" s="5">
        <v>5</v>
      </c>
      <c r="J267" s="5"/>
      <c r="K267" s="5">
        <v>1</v>
      </c>
      <c r="L267" s="5">
        <v>1</v>
      </c>
      <c r="M267" s="4">
        <v>1360</v>
      </c>
      <c r="N267" s="4">
        <v>1272</v>
      </c>
      <c r="O267" s="4">
        <v>816</v>
      </c>
      <c r="P267" s="6">
        <f t="shared" si="89"/>
        <v>0.35849056603773588</v>
      </c>
      <c r="Q267" s="4" t="s">
        <v>1280</v>
      </c>
      <c r="R267" s="4" t="s">
        <v>1280</v>
      </c>
      <c r="S267" s="4" t="s">
        <v>1280</v>
      </c>
      <c r="T267" s="4">
        <v>1500</v>
      </c>
      <c r="U267" s="4">
        <f t="shared" si="90"/>
        <v>1500</v>
      </c>
      <c r="V267" s="4">
        <v>900</v>
      </c>
      <c r="W267" s="4">
        <f t="shared" si="91"/>
        <v>900</v>
      </c>
      <c r="X267" s="4"/>
      <c r="Y267" s="21">
        <f t="shared" si="92"/>
        <v>1403</v>
      </c>
      <c r="Z267" s="6">
        <f t="shared" si="93"/>
        <v>0.35851746258018535</v>
      </c>
      <c r="AA267" s="4">
        <v>0</v>
      </c>
      <c r="AB267" s="4" t="str">
        <f t="shared" si="94"/>
        <v>-</v>
      </c>
      <c r="AC267" s="4" t="str">
        <f t="shared" si="105"/>
        <v>-</v>
      </c>
      <c r="AD267" s="6" t="str">
        <f t="shared" si="106"/>
        <v>-</v>
      </c>
      <c r="AE267" s="4">
        <f t="shared" si="107"/>
        <v>1425</v>
      </c>
      <c r="AF267" s="7">
        <v>1400</v>
      </c>
      <c r="AG267" s="6">
        <f t="shared" si="95"/>
        <v>0.3571428571428571</v>
      </c>
      <c r="AH267" s="4">
        <f t="shared" si="96"/>
        <v>500</v>
      </c>
      <c r="AI267" s="28"/>
      <c r="AJ267" s="6"/>
      <c r="AK267" s="6"/>
      <c r="AL267" s="6">
        <f t="shared" si="97"/>
        <v>1.1029411764705883</v>
      </c>
      <c r="AM267" s="6">
        <f t="shared" si="98"/>
        <v>1.10062893081761</v>
      </c>
      <c r="AN267" s="6">
        <f t="shared" si="99"/>
        <v>1.1029411764705883</v>
      </c>
      <c r="AO267" s="4" t="str">
        <f t="shared" si="100"/>
        <v>-</v>
      </c>
      <c r="AP267" s="4" t="str">
        <f t="shared" si="101"/>
        <v>-</v>
      </c>
      <c r="AQ267" s="4" t="str">
        <f t="shared" si="102"/>
        <v>-</v>
      </c>
      <c r="AR267" s="4">
        <v>0</v>
      </c>
      <c r="AS267" s="4" t="s">
        <v>1280</v>
      </c>
      <c r="AT267" s="4"/>
      <c r="AU267" s="4"/>
      <c r="AV267" s="4" t="s">
        <v>1280</v>
      </c>
      <c r="AW267" s="4" t="s">
        <v>1280</v>
      </c>
      <c r="AX267" s="4" t="s">
        <v>1280</v>
      </c>
      <c r="AY267" s="4" t="s">
        <v>1280</v>
      </c>
      <c r="AZ267" s="4" t="str">
        <f t="shared" si="103"/>
        <v>-</v>
      </c>
      <c r="BA267" s="19">
        <v>4</v>
      </c>
      <c r="BB267" s="19">
        <v>8</v>
      </c>
      <c r="BC267" s="16">
        <v>19</v>
      </c>
      <c r="BD267" t="s">
        <v>1280</v>
      </c>
      <c r="BE267" t="s">
        <v>1280</v>
      </c>
      <c r="BF267" t="s">
        <v>1280</v>
      </c>
      <c r="BG267" t="str">
        <f t="shared" si="108"/>
        <v>-</v>
      </c>
      <c r="BH267" t="s">
        <v>1280</v>
      </c>
      <c r="BI267" t="s">
        <v>1280</v>
      </c>
      <c r="BJ267" t="s">
        <v>1280</v>
      </c>
      <c r="BK267" t="str">
        <f t="shared" si="109"/>
        <v>-</v>
      </c>
      <c r="BL267" t="s">
        <v>1280</v>
      </c>
      <c r="BM267">
        <v>812</v>
      </c>
    </row>
    <row r="268" spans="1:65" x14ac:dyDescent="0.4">
      <c r="A268" s="3">
        <v>584</v>
      </c>
      <c r="B268" s="3">
        <v>584</v>
      </c>
      <c r="C268" s="4" t="s">
        <v>573</v>
      </c>
      <c r="D268" s="4" t="str">
        <f t="shared" si="88"/>
        <v>J94442</v>
      </c>
      <c r="E268" s="4" t="s">
        <v>573</v>
      </c>
      <c r="F268" s="4" t="str">
        <f t="shared" si="104"/>
        <v>J944425</v>
      </c>
      <c r="G268" s="4" t="s">
        <v>1217</v>
      </c>
      <c r="H268" s="5">
        <v>4974268144928</v>
      </c>
      <c r="I268" s="5">
        <v>5</v>
      </c>
      <c r="J268" s="5"/>
      <c r="K268" s="5">
        <v>1</v>
      </c>
      <c r="L268" s="5">
        <v>1</v>
      </c>
      <c r="M268" s="4">
        <v>1350</v>
      </c>
      <c r="N268" s="4">
        <v>1205</v>
      </c>
      <c r="O268" s="4">
        <v>810</v>
      </c>
      <c r="P268" s="6">
        <f t="shared" si="89"/>
        <v>0.32780082987551862</v>
      </c>
      <c r="Q268" s="4" t="s">
        <v>1280</v>
      </c>
      <c r="R268" s="4" t="s">
        <v>1280</v>
      </c>
      <c r="S268" s="4" t="s">
        <v>1280</v>
      </c>
      <c r="T268" s="4">
        <v>1500</v>
      </c>
      <c r="U268" s="4">
        <f t="shared" si="90"/>
        <v>1500</v>
      </c>
      <c r="V268" s="4">
        <v>900</v>
      </c>
      <c r="W268" s="4">
        <f t="shared" si="91"/>
        <v>900</v>
      </c>
      <c r="X268" s="4"/>
      <c r="Y268" s="21">
        <f t="shared" si="92"/>
        <v>1339</v>
      </c>
      <c r="Z268" s="6">
        <f t="shared" si="93"/>
        <v>0.32785660941000749</v>
      </c>
      <c r="AA268" s="4">
        <v>0.25</v>
      </c>
      <c r="AB268" s="4">
        <f t="shared" si="94"/>
        <v>1286</v>
      </c>
      <c r="AC268" s="4">
        <f t="shared" si="105"/>
        <v>1428.8888888888889</v>
      </c>
      <c r="AD268" s="6">
        <f t="shared" si="106"/>
        <v>0.37013996889580092</v>
      </c>
      <c r="AE268" s="4">
        <f t="shared" si="107"/>
        <v>1425</v>
      </c>
      <c r="AF268" s="7">
        <v>1297</v>
      </c>
      <c r="AG268" s="6">
        <f t="shared" si="95"/>
        <v>0.30609097918272943</v>
      </c>
      <c r="AH268" s="4">
        <f t="shared" si="96"/>
        <v>397</v>
      </c>
      <c r="AI268" s="28"/>
      <c r="AJ268" s="6"/>
      <c r="AK268" s="6"/>
      <c r="AL268" s="6">
        <f t="shared" si="97"/>
        <v>1.1111111111111112</v>
      </c>
      <c r="AM268" s="6">
        <f t="shared" si="98"/>
        <v>1.0763485477178423</v>
      </c>
      <c r="AN268" s="6">
        <f t="shared" si="99"/>
        <v>1.1111111111111112</v>
      </c>
      <c r="AO268" s="4" t="str">
        <f t="shared" si="100"/>
        <v>-</v>
      </c>
      <c r="AP268" s="4" t="str">
        <f t="shared" si="101"/>
        <v>-</v>
      </c>
      <c r="AQ268" s="4" t="str">
        <f t="shared" si="102"/>
        <v>-</v>
      </c>
      <c r="AR268" s="4">
        <v>0</v>
      </c>
      <c r="AS268" s="4" t="s">
        <v>2144</v>
      </c>
      <c r="AT268" s="4"/>
      <c r="AU268" s="4"/>
      <c r="AV268" s="4" t="s">
        <v>1923</v>
      </c>
      <c r="AW268" s="4">
        <v>1286</v>
      </c>
      <c r="AX268" s="4">
        <v>1286</v>
      </c>
      <c r="AY268" s="4">
        <v>1286</v>
      </c>
      <c r="AZ268" s="4">
        <f t="shared" si="103"/>
        <v>1286</v>
      </c>
      <c r="BA268" s="19">
        <v>4</v>
      </c>
      <c r="BB268" s="19">
        <v>8</v>
      </c>
      <c r="BC268" s="16">
        <v>18</v>
      </c>
      <c r="BD268" t="s">
        <v>1280</v>
      </c>
      <c r="BE268" t="s">
        <v>1280</v>
      </c>
      <c r="BF268" t="s">
        <v>1280</v>
      </c>
      <c r="BG268" t="str">
        <f t="shared" si="108"/>
        <v>-</v>
      </c>
      <c r="BH268">
        <v>1168</v>
      </c>
      <c r="BI268">
        <v>1168</v>
      </c>
      <c r="BJ268">
        <v>1168</v>
      </c>
      <c r="BK268">
        <f t="shared" si="109"/>
        <v>1297.7777777777778</v>
      </c>
      <c r="BL268" t="s">
        <v>1632</v>
      </c>
      <c r="BM268">
        <v>812</v>
      </c>
    </row>
    <row r="269" spans="1:65" x14ac:dyDescent="0.4">
      <c r="A269" s="3">
        <v>381</v>
      </c>
      <c r="B269" s="3">
        <v>381</v>
      </c>
      <c r="C269" s="4" t="s">
        <v>370</v>
      </c>
      <c r="D269" s="4" t="str">
        <f t="shared" si="88"/>
        <v>J4036N</v>
      </c>
      <c r="E269" s="4" t="s">
        <v>370</v>
      </c>
      <c r="F269" s="4" t="str">
        <f t="shared" si="104"/>
        <v>J4036N5</v>
      </c>
      <c r="G269" s="4" t="s">
        <v>1014</v>
      </c>
      <c r="H269" s="5">
        <v>4529671008727</v>
      </c>
      <c r="I269" s="5">
        <v>5</v>
      </c>
      <c r="J269" s="5"/>
      <c r="K269" s="5">
        <v>1</v>
      </c>
      <c r="L269" s="5">
        <v>1</v>
      </c>
      <c r="M269" s="4">
        <v>0</v>
      </c>
      <c r="N269" s="4">
        <v>1237</v>
      </c>
      <c r="O269" s="4">
        <v>840</v>
      </c>
      <c r="P269" s="6">
        <f t="shared" si="89"/>
        <v>0.32093775262732416</v>
      </c>
      <c r="Q269" s="4" t="s">
        <v>1280</v>
      </c>
      <c r="R269" s="4" t="s">
        <v>1280</v>
      </c>
      <c r="S269" s="4" t="s">
        <v>1280</v>
      </c>
      <c r="T269" s="4">
        <v>0</v>
      </c>
      <c r="U269" s="4">
        <f t="shared" si="90"/>
        <v>0</v>
      </c>
      <c r="V269" s="4">
        <v>912</v>
      </c>
      <c r="W269" s="4">
        <f t="shared" si="91"/>
        <v>912</v>
      </c>
      <c r="X269" s="4"/>
      <c r="Y269" s="21">
        <f t="shared" si="92"/>
        <v>1343</v>
      </c>
      <c r="Z269" s="6">
        <f t="shared" si="93"/>
        <v>0.32092330603127328</v>
      </c>
      <c r="AA269" s="4">
        <v>0</v>
      </c>
      <c r="AB269" s="4" t="str">
        <f t="shared" si="94"/>
        <v>-</v>
      </c>
      <c r="AC269" s="4" t="str">
        <f t="shared" si="105"/>
        <v>-</v>
      </c>
      <c r="AD269" s="6" t="str">
        <f t="shared" si="106"/>
        <v>-</v>
      </c>
      <c r="AE269" s="4">
        <f t="shared" si="107"/>
        <v>0</v>
      </c>
      <c r="AF269" s="7">
        <v>1350</v>
      </c>
      <c r="AG269" s="6">
        <f t="shared" si="95"/>
        <v>0.32444444444444442</v>
      </c>
      <c r="AH269" s="4">
        <f t="shared" si="96"/>
        <v>438</v>
      </c>
      <c r="AI269" s="28"/>
      <c r="AJ269" s="6"/>
      <c r="AK269" s="6"/>
      <c r="AL269" s="6" t="e">
        <f t="shared" si="97"/>
        <v>#DIV/0!</v>
      </c>
      <c r="AM269" s="6">
        <f t="shared" si="98"/>
        <v>1.0913500404203718</v>
      </c>
      <c r="AN269" s="6">
        <f t="shared" si="99"/>
        <v>1.0857142857142856</v>
      </c>
      <c r="AO269" s="4" t="str">
        <f t="shared" si="100"/>
        <v>-</v>
      </c>
      <c r="AP269" s="4" t="str">
        <f t="shared" si="101"/>
        <v>-</v>
      </c>
      <c r="AQ269" s="4" t="str">
        <f t="shared" si="102"/>
        <v>-</v>
      </c>
      <c r="AR269" s="4">
        <v>0</v>
      </c>
      <c r="AS269" s="4" t="s">
        <v>1280</v>
      </c>
      <c r="AT269" s="4"/>
      <c r="AU269" s="4"/>
      <c r="AV269" s="4" t="s">
        <v>1280</v>
      </c>
      <c r="AW269" s="4" t="s">
        <v>1280</v>
      </c>
      <c r="AX269" s="4" t="s">
        <v>1280</v>
      </c>
      <c r="AY269" s="4" t="s">
        <v>1280</v>
      </c>
      <c r="AZ269" s="4" t="str">
        <f t="shared" si="103"/>
        <v>-</v>
      </c>
      <c r="BA269" s="19">
        <v>4</v>
      </c>
      <c r="BB269" s="19">
        <v>8</v>
      </c>
      <c r="BC269" s="16">
        <v>19</v>
      </c>
      <c r="BD269" t="s">
        <v>1280</v>
      </c>
      <c r="BE269" t="s">
        <v>1280</v>
      </c>
      <c r="BF269" t="s">
        <v>1280</v>
      </c>
      <c r="BG269" t="str">
        <f t="shared" si="108"/>
        <v>-</v>
      </c>
      <c r="BH269">
        <v>1085</v>
      </c>
      <c r="BI269">
        <v>1085</v>
      </c>
      <c r="BJ269">
        <v>1085</v>
      </c>
      <c r="BK269">
        <f t="shared" si="109"/>
        <v>1178</v>
      </c>
      <c r="BL269" t="s">
        <v>1280</v>
      </c>
      <c r="BM269">
        <v>812</v>
      </c>
    </row>
    <row r="270" spans="1:65" x14ac:dyDescent="0.4">
      <c r="A270" s="3">
        <v>382</v>
      </c>
      <c r="B270" s="3">
        <v>382</v>
      </c>
      <c r="C270" s="4" t="s">
        <v>371</v>
      </c>
      <c r="D270" s="4" t="str">
        <f t="shared" si="88"/>
        <v>J4037N</v>
      </c>
      <c r="E270" s="4" t="s">
        <v>371</v>
      </c>
      <c r="F270" s="4" t="str">
        <f t="shared" si="104"/>
        <v>J4037N5</v>
      </c>
      <c r="G270" s="4" t="s">
        <v>1015</v>
      </c>
      <c r="H270" s="5">
        <v>4529671008734</v>
      </c>
      <c r="I270" s="5">
        <v>5</v>
      </c>
      <c r="J270" s="5"/>
      <c r="K270" s="5">
        <v>1</v>
      </c>
      <c r="L270" s="5">
        <v>1</v>
      </c>
      <c r="M270" s="4">
        <v>0</v>
      </c>
      <c r="N270" s="4">
        <v>1237</v>
      </c>
      <c r="O270" s="4">
        <v>840</v>
      </c>
      <c r="P270" s="6">
        <f t="shared" si="89"/>
        <v>0.32093775262732416</v>
      </c>
      <c r="Q270" s="4" t="s">
        <v>1280</v>
      </c>
      <c r="R270" s="4" t="s">
        <v>1280</v>
      </c>
      <c r="S270" s="4" t="s">
        <v>1280</v>
      </c>
      <c r="T270" s="4">
        <v>0</v>
      </c>
      <c r="U270" s="4">
        <f t="shared" si="90"/>
        <v>0</v>
      </c>
      <c r="V270" s="4">
        <v>912</v>
      </c>
      <c r="W270" s="4">
        <f t="shared" si="91"/>
        <v>912</v>
      </c>
      <c r="X270" s="4"/>
      <c r="Y270" s="21">
        <f t="shared" si="92"/>
        <v>1343</v>
      </c>
      <c r="Z270" s="6">
        <f t="shared" si="93"/>
        <v>0.32092330603127328</v>
      </c>
      <c r="AA270" s="4">
        <v>0</v>
      </c>
      <c r="AB270" s="4" t="str">
        <f t="shared" si="94"/>
        <v>-</v>
      </c>
      <c r="AC270" s="4" t="str">
        <f t="shared" si="105"/>
        <v>-</v>
      </c>
      <c r="AD270" s="6" t="str">
        <f t="shared" si="106"/>
        <v>-</v>
      </c>
      <c r="AE270" s="4">
        <f t="shared" si="107"/>
        <v>0</v>
      </c>
      <c r="AF270" s="7">
        <v>1350</v>
      </c>
      <c r="AG270" s="6">
        <f t="shared" si="95"/>
        <v>0.32444444444444442</v>
      </c>
      <c r="AH270" s="4">
        <f t="shared" si="96"/>
        <v>438</v>
      </c>
      <c r="AI270" s="28"/>
      <c r="AJ270" s="6"/>
      <c r="AK270" s="6"/>
      <c r="AL270" s="6" t="e">
        <f t="shared" si="97"/>
        <v>#DIV/0!</v>
      </c>
      <c r="AM270" s="6">
        <f t="shared" si="98"/>
        <v>1.0913500404203718</v>
      </c>
      <c r="AN270" s="6">
        <f t="shared" si="99"/>
        <v>1.0857142857142856</v>
      </c>
      <c r="AO270" s="4" t="str">
        <f t="shared" si="100"/>
        <v>-</v>
      </c>
      <c r="AP270" s="4" t="str">
        <f t="shared" si="101"/>
        <v>-</v>
      </c>
      <c r="AQ270" s="4" t="str">
        <f t="shared" si="102"/>
        <v>-</v>
      </c>
      <c r="AR270" s="4">
        <v>0</v>
      </c>
      <c r="AS270" s="4" t="s">
        <v>1280</v>
      </c>
      <c r="AT270" s="4"/>
      <c r="AU270" s="4"/>
      <c r="AV270" s="4" t="s">
        <v>1280</v>
      </c>
      <c r="AW270" s="4" t="s">
        <v>1280</v>
      </c>
      <c r="AX270" s="4" t="s">
        <v>1280</v>
      </c>
      <c r="AY270" s="4" t="s">
        <v>1280</v>
      </c>
      <c r="AZ270" s="4" t="str">
        <f t="shared" si="103"/>
        <v>-</v>
      </c>
      <c r="BA270" s="19">
        <v>4</v>
      </c>
      <c r="BB270" s="19">
        <v>8</v>
      </c>
      <c r="BC270" s="16">
        <v>19</v>
      </c>
      <c r="BD270" t="s">
        <v>1280</v>
      </c>
      <c r="BE270" t="s">
        <v>1280</v>
      </c>
      <c r="BF270" t="s">
        <v>1280</v>
      </c>
      <c r="BG270" t="str">
        <f t="shared" si="108"/>
        <v>-</v>
      </c>
      <c r="BH270">
        <v>1085</v>
      </c>
      <c r="BI270">
        <v>1085</v>
      </c>
      <c r="BJ270">
        <v>1085</v>
      </c>
      <c r="BK270">
        <f t="shared" si="109"/>
        <v>1178</v>
      </c>
      <c r="BL270" t="s">
        <v>1280</v>
      </c>
      <c r="BM270">
        <v>812</v>
      </c>
    </row>
    <row r="271" spans="1:65" x14ac:dyDescent="0.4">
      <c r="A271" s="3">
        <v>149</v>
      </c>
      <c r="B271" s="3">
        <v>149</v>
      </c>
      <c r="C271" s="4" t="s">
        <v>138</v>
      </c>
      <c r="D271" s="4" t="str">
        <f t="shared" si="88"/>
        <v>J1847W</v>
      </c>
      <c r="E271" s="4" t="s">
        <v>138</v>
      </c>
      <c r="F271" s="4" t="str">
        <f t="shared" si="104"/>
        <v>J1847W5</v>
      </c>
      <c r="G271" s="4" t="s">
        <v>784</v>
      </c>
      <c r="H271" s="5">
        <v>4974268972866</v>
      </c>
      <c r="I271" s="5">
        <v>5</v>
      </c>
      <c r="J271" s="5"/>
      <c r="K271" s="5">
        <v>1</v>
      </c>
      <c r="L271" s="5">
        <v>1</v>
      </c>
      <c r="M271" s="4">
        <v>1350</v>
      </c>
      <c r="N271" s="4">
        <v>1102</v>
      </c>
      <c r="O271" s="4">
        <v>810</v>
      </c>
      <c r="P271" s="6">
        <f t="shared" si="89"/>
        <v>0.26497277676951003</v>
      </c>
      <c r="Q271" s="4" t="s">
        <v>1280</v>
      </c>
      <c r="R271" s="4" t="s">
        <v>1280</v>
      </c>
      <c r="S271" s="4" t="s">
        <v>1280</v>
      </c>
      <c r="T271" s="4">
        <v>1550</v>
      </c>
      <c r="U271" s="4">
        <f t="shared" si="90"/>
        <v>1550</v>
      </c>
      <c r="V271" s="4">
        <v>930</v>
      </c>
      <c r="W271" s="4">
        <f t="shared" si="91"/>
        <v>930</v>
      </c>
      <c r="X271" s="4"/>
      <c r="Y271" s="21">
        <f t="shared" si="92"/>
        <v>1265</v>
      </c>
      <c r="Z271" s="6">
        <f t="shared" si="93"/>
        <v>0.2648221343873518</v>
      </c>
      <c r="AA271" s="4">
        <v>0</v>
      </c>
      <c r="AB271" s="4" t="str">
        <f t="shared" si="94"/>
        <v>-</v>
      </c>
      <c r="AC271" s="4" t="str">
        <f t="shared" si="105"/>
        <v>-</v>
      </c>
      <c r="AD271" s="6" t="str">
        <f t="shared" si="106"/>
        <v>-</v>
      </c>
      <c r="AE271" s="4">
        <f t="shared" si="107"/>
        <v>1472.5</v>
      </c>
      <c r="AF271" s="7">
        <v>1400</v>
      </c>
      <c r="AG271" s="6">
        <f t="shared" si="95"/>
        <v>0.33571428571428574</v>
      </c>
      <c r="AH271" s="4">
        <f t="shared" si="96"/>
        <v>470</v>
      </c>
      <c r="AI271" s="28"/>
      <c r="AJ271" s="6"/>
      <c r="AK271" s="6"/>
      <c r="AL271" s="6">
        <f t="shared" si="97"/>
        <v>1.1481481481481481</v>
      </c>
      <c r="AM271" s="6">
        <f t="shared" si="98"/>
        <v>1.2704174228675136</v>
      </c>
      <c r="AN271" s="6">
        <f t="shared" si="99"/>
        <v>1.1481481481481481</v>
      </c>
      <c r="AO271" s="4" t="str">
        <f t="shared" si="100"/>
        <v>-</v>
      </c>
      <c r="AP271" s="4" t="str">
        <f t="shared" si="101"/>
        <v>-</v>
      </c>
      <c r="AQ271" s="4" t="str">
        <f t="shared" si="102"/>
        <v>-</v>
      </c>
      <c r="AR271" s="4">
        <v>0</v>
      </c>
      <c r="AS271" s="4" t="s">
        <v>1280</v>
      </c>
      <c r="AT271" s="4"/>
      <c r="AU271" s="4"/>
      <c r="AV271" s="4" t="s">
        <v>1280</v>
      </c>
      <c r="AW271" s="4" t="s">
        <v>1280</v>
      </c>
      <c r="AX271" s="4" t="s">
        <v>1280</v>
      </c>
      <c r="AY271" s="4" t="s">
        <v>1280</v>
      </c>
      <c r="AZ271" s="4" t="str">
        <f t="shared" si="103"/>
        <v>-</v>
      </c>
      <c r="BA271" s="19">
        <v>4</v>
      </c>
      <c r="BB271" s="19">
        <v>8</v>
      </c>
      <c r="BC271" s="16">
        <v>19</v>
      </c>
      <c r="BD271" t="s">
        <v>1280</v>
      </c>
      <c r="BE271" t="s">
        <v>1280</v>
      </c>
      <c r="BF271" t="s">
        <v>1280</v>
      </c>
      <c r="BG271" t="str">
        <f t="shared" si="108"/>
        <v>-</v>
      </c>
      <c r="BH271">
        <v>1350</v>
      </c>
      <c r="BI271">
        <v>1350</v>
      </c>
      <c r="BJ271">
        <v>1350</v>
      </c>
      <c r="BK271">
        <f t="shared" si="109"/>
        <v>1550</v>
      </c>
      <c r="BL271" t="s">
        <v>1280</v>
      </c>
      <c r="BM271">
        <v>812</v>
      </c>
    </row>
    <row r="272" spans="1:65" x14ac:dyDescent="0.4">
      <c r="A272" s="3">
        <v>385</v>
      </c>
      <c r="B272" s="3">
        <v>385</v>
      </c>
      <c r="C272" s="4" t="s">
        <v>374</v>
      </c>
      <c r="D272" s="4" t="str">
        <f t="shared" si="88"/>
        <v>J4041N</v>
      </c>
      <c r="E272" s="4" t="s">
        <v>374</v>
      </c>
      <c r="F272" s="4" t="str">
        <f t="shared" si="104"/>
        <v>J4041N5</v>
      </c>
      <c r="G272" s="4" t="s">
        <v>1018</v>
      </c>
      <c r="H272" s="5">
        <v>4529671044909</v>
      </c>
      <c r="I272" s="5">
        <v>5</v>
      </c>
      <c r="J272" s="5"/>
      <c r="K272" s="5">
        <v>1</v>
      </c>
      <c r="L272" s="5">
        <v>1</v>
      </c>
      <c r="M272" s="4">
        <v>0</v>
      </c>
      <c r="N272" s="4">
        <v>1251</v>
      </c>
      <c r="O272" s="4">
        <v>852</v>
      </c>
      <c r="P272" s="6">
        <f t="shared" si="89"/>
        <v>0.31894484412470026</v>
      </c>
      <c r="Q272" s="4" t="s">
        <v>1280</v>
      </c>
      <c r="R272" s="4" t="s">
        <v>1280</v>
      </c>
      <c r="S272" s="4" t="s">
        <v>1280</v>
      </c>
      <c r="T272" s="4">
        <v>0</v>
      </c>
      <c r="U272" s="4">
        <f t="shared" si="90"/>
        <v>0</v>
      </c>
      <c r="V272" s="4">
        <v>936</v>
      </c>
      <c r="W272" s="4">
        <f t="shared" si="91"/>
        <v>936</v>
      </c>
      <c r="X272" s="4"/>
      <c r="Y272" s="21">
        <f t="shared" si="92"/>
        <v>1374</v>
      </c>
      <c r="Z272" s="6">
        <f t="shared" si="93"/>
        <v>0.31877729257641918</v>
      </c>
      <c r="AA272" s="4">
        <v>0</v>
      </c>
      <c r="AB272" s="4" t="str">
        <f t="shared" si="94"/>
        <v>-</v>
      </c>
      <c r="AC272" s="4" t="str">
        <f t="shared" si="105"/>
        <v>-</v>
      </c>
      <c r="AD272" s="6" t="str">
        <f t="shared" si="106"/>
        <v>-</v>
      </c>
      <c r="AE272" s="4">
        <f t="shared" si="107"/>
        <v>0</v>
      </c>
      <c r="AF272" s="7">
        <v>1400</v>
      </c>
      <c r="AG272" s="6">
        <f t="shared" si="95"/>
        <v>0.33142857142857141</v>
      </c>
      <c r="AH272" s="4">
        <f t="shared" si="96"/>
        <v>464</v>
      </c>
      <c r="AI272" s="28"/>
      <c r="AJ272" s="6"/>
      <c r="AK272" s="6"/>
      <c r="AL272" s="6" t="e">
        <f t="shared" si="97"/>
        <v>#DIV/0!</v>
      </c>
      <c r="AM272" s="6">
        <f t="shared" si="98"/>
        <v>1.1191047162270185</v>
      </c>
      <c r="AN272" s="6">
        <f t="shared" si="99"/>
        <v>1.0985915492957747</v>
      </c>
      <c r="AO272" s="4" t="str">
        <f t="shared" si="100"/>
        <v>-</v>
      </c>
      <c r="AP272" s="4" t="str">
        <f t="shared" si="101"/>
        <v>-</v>
      </c>
      <c r="AQ272" s="4" t="str">
        <f t="shared" si="102"/>
        <v>-</v>
      </c>
      <c r="AR272" s="4">
        <v>0</v>
      </c>
      <c r="AS272" s="4" t="s">
        <v>1280</v>
      </c>
      <c r="AT272" s="4"/>
      <c r="AU272" s="4"/>
      <c r="AV272" s="4" t="s">
        <v>1280</v>
      </c>
      <c r="AW272" s="4" t="s">
        <v>1280</v>
      </c>
      <c r="AX272" s="4" t="s">
        <v>1280</v>
      </c>
      <c r="AY272" s="4" t="s">
        <v>1280</v>
      </c>
      <c r="AZ272" s="4" t="str">
        <f t="shared" si="103"/>
        <v>-</v>
      </c>
      <c r="BA272" s="19">
        <v>4</v>
      </c>
      <c r="BB272" s="19">
        <v>8</v>
      </c>
      <c r="BC272" s="16">
        <v>19</v>
      </c>
      <c r="BD272" t="s">
        <v>1280</v>
      </c>
      <c r="BE272" t="s">
        <v>1280</v>
      </c>
      <c r="BF272" t="s">
        <v>1280</v>
      </c>
      <c r="BG272" t="str">
        <f t="shared" si="108"/>
        <v>-</v>
      </c>
      <c r="BH272">
        <v>1083</v>
      </c>
      <c r="BI272">
        <v>1083</v>
      </c>
      <c r="BJ272">
        <v>1083</v>
      </c>
      <c r="BK272">
        <f t="shared" si="109"/>
        <v>1189.7746478873241</v>
      </c>
      <c r="BL272" t="s">
        <v>1280</v>
      </c>
      <c r="BM272">
        <v>812</v>
      </c>
    </row>
    <row r="273" spans="1:65" x14ac:dyDescent="0.4">
      <c r="A273" s="3">
        <v>486</v>
      </c>
      <c r="B273" s="3">
        <v>486</v>
      </c>
      <c r="C273" s="4" t="s">
        <v>475</v>
      </c>
      <c r="D273" s="4" t="str">
        <f t="shared" si="88"/>
        <v>J54592</v>
      </c>
      <c r="E273" s="4" t="s">
        <v>475</v>
      </c>
      <c r="F273" s="4" t="str">
        <f t="shared" si="104"/>
        <v>J545925</v>
      </c>
      <c r="G273" s="4" t="s">
        <v>1119</v>
      </c>
      <c r="H273" s="5">
        <v>4974268031280</v>
      </c>
      <c r="I273" s="5">
        <v>5</v>
      </c>
      <c r="J273" s="5"/>
      <c r="K273" s="5">
        <v>1</v>
      </c>
      <c r="L273" s="5">
        <v>1</v>
      </c>
      <c r="M273" s="4">
        <v>1540</v>
      </c>
      <c r="N273" s="4">
        <v>1508</v>
      </c>
      <c r="O273" s="4">
        <v>924</v>
      </c>
      <c r="P273" s="6">
        <f t="shared" si="89"/>
        <v>0.38726790450928383</v>
      </c>
      <c r="Q273" s="4" t="s">
        <v>1280</v>
      </c>
      <c r="R273" s="4" t="s">
        <v>1280</v>
      </c>
      <c r="S273" s="4" t="s">
        <v>1280</v>
      </c>
      <c r="T273" s="4">
        <v>1580</v>
      </c>
      <c r="U273" s="4">
        <f t="shared" si="90"/>
        <v>1580</v>
      </c>
      <c r="V273" s="4">
        <v>948</v>
      </c>
      <c r="W273" s="4">
        <f t="shared" si="91"/>
        <v>948</v>
      </c>
      <c r="X273" s="4"/>
      <c r="Y273" s="21">
        <f t="shared" si="92"/>
        <v>1547</v>
      </c>
      <c r="Z273" s="6">
        <f t="shared" si="93"/>
        <v>0.38720103425985775</v>
      </c>
      <c r="AA273" s="4">
        <v>0.25</v>
      </c>
      <c r="AB273" s="4">
        <f t="shared" si="94"/>
        <v>1646</v>
      </c>
      <c r="AC273" s="4">
        <f t="shared" si="105"/>
        <v>1688.7532467532467</v>
      </c>
      <c r="AD273" s="6">
        <f t="shared" si="106"/>
        <v>0.4386391251518833</v>
      </c>
      <c r="AE273" s="4">
        <f t="shared" si="107"/>
        <v>1501</v>
      </c>
      <c r="AF273" s="7">
        <v>1550</v>
      </c>
      <c r="AG273" s="6">
        <f t="shared" si="95"/>
        <v>0.38838709677419359</v>
      </c>
      <c r="AH273" s="4">
        <f t="shared" si="96"/>
        <v>602</v>
      </c>
      <c r="AI273" s="28"/>
      <c r="AJ273" s="6"/>
      <c r="AK273" s="6"/>
      <c r="AL273" s="6">
        <f t="shared" si="97"/>
        <v>1.025974025974026</v>
      </c>
      <c r="AM273" s="6">
        <f t="shared" si="98"/>
        <v>1.0278514588859415</v>
      </c>
      <c r="AN273" s="6">
        <f t="shared" si="99"/>
        <v>1.025974025974026</v>
      </c>
      <c r="AO273" s="4" t="str">
        <f t="shared" si="100"/>
        <v>-</v>
      </c>
      <c r="AP273" s="4" t="str">
        <f t="shared" si="101"/>
        <v>-</v>
      </c>
      <c r="AQ273" s="4" t="str">
        <f t="shared" si="102"/>
        <v>-</v>
      </c>
      <c r="AR273" s="4">
        <v>0</v>
      </c>
      <c r="AS273" s="4" t="s">
        <v>2043</v>
      </c>
      <c r="AT273" s="4"/>
      <c r="AU273" s="4"/>
      <c r="AV273" s="4" t="s">
        <v>2044</v>
      </c>
      <c r="AW273" s="4">
        <v>1646</v>
      </c>
      <c r="AX273" s="4">
        <v>1646</v>
      </c>
      <c r="AY273" s="4">
        <v>1646</v>
      </c>
      <c r="AZ273" s="4">
        <f t="shared" si="103"/>
        <v>1646</v>
      </c>
      <c r="BA273" s="19">
        <v>4</v>
      </c>
      <c r="BB273" s="19">
        <v>8</v>
      </c>
      <c r="BC273" s="16">
        <v>19</v>
      </c>
      <c r="BD273" t="s">
        <v>1280</v>
      </c>
      <c r="BE273" t="s">
        <v>1280</v>
      </c>
      <c r="BF273" t="s">
        <v>1280</v>
      </c>
      <c r="BG273" t="str">
        <f t="shared" si="108"/>
        <v>-</v>
      </c>
      <c r="BH273" t="s">
        <v>1280</v>
      </c>
      <c r="BI273">
        <v>1540</v>
      </c>
      <c r="BJ273">
        <v>1540</v>
      </c>
      <c r="BK273">
        <f t="shared" si="109"/>
        <v>1580</v>
      </c>
      <c r="BL273" t="s">
        <v>1555</v>
      </c>
      <c r="BM273">
        <v>812</v>
      </c>
    </row>
    <row r="274" spans="1:65" x14ac:dyDescent="0.4">
      <c r="A274" s="3">
        <v>487</v>
      </c>
      <c r="B274" s="3">
        <v>487</v>
      </c>
      <c r="C274" s="4" t="s">
        <v>476</v>
      </c>
      <c r="D274" s="4" t="str">
        <f t="shared" si="88"/>
        <v>J54593</v>
      </c>
      <c r="E274" s="4" t="s">
        <v>476</v>
      </c>
      <c r="F274" s="4" t="str">
        <f t="shared" si="104"/>
        <v>J545935</v>
      </c>
      <c r="G274" s="4" t="s">
        <v>1120</v>
      </c>
      <c r="H274" s="5">
        <v>4974268032126</v>
      </c>
      <c r="I274" s="5">
        <v>5</v>
      </c>
      <c r="J274" s="5"/>
      <c r="K274" s="5">
        <v>1</v>
      </c>
      <c r="L274" s="5">
        <v>1</v>
      </c>
      <c r="M274" s="4">
        <v>1540</v>
      </c>
      <c r="N274" s="4">
        <v>1493</v>
      </c>
      <c r="O274" s="4">
        <v>924</v>
      </c>
      <c r="P274" s="6">
        <f t="shared" si="89"/>
        <v>0.38111185532484926</v>
      </c>
      <c r="Q274" s="4" t="s">
        <v>1280</v>
      </c>
      <c r="R274" s="4" t="s">
        <v>1280</v>
      </c>
      <c r="S274" s="4" t="s">
        <v>1280</v>
      </c>
      <c r="T274" s="4">
        <v>1580</v>
      </c>
      <c r="U274" s="4">
        <f t="shared" si="90"/>
        <v>1580</v>
      </c>
      <c r="V274" s="4">
        <v>948</v>
      </c>
      <c r="W274" s="4">
        <f t="shared" si="91"/>
        <v>948</v>
      </c>
      <c r="X274" s="4"/>
      <c r="Y274" s="21">
        <f t="shared" si="92"/>
        <v>1532</v>
      </c>
      <c r="Z274" s="6">
        <f t="shared" si="93"/>
        <v>0.38120104438642299</v>
      </c>
      <c r="AA274" s="4">
        <v>0.25</v>
      </c>
      <c r="AB274" s="4">
        <f t="shared" si="94"/>
        <v>1146</v>
      </c>
      <c r="AC274" s="4">
        <f t="shared" si="105"/>
        <v>1175.7662337662339</v>
      </c>
      <c r="AD274" s="6">
        <f t="shared" si="106"/>
        <v>0.19371727748691103</v>
      </c>
      <c r="AE274" s="4">
        <f t="shared" si="107"/>
        <v>1501</v>
      </c>
      <c r="AF274" s="7">
        <v>1550</v>
      </c>
      <c r="AG274" s="6">
        <f t="shared" si="95"/>
        <v>0.38838709677419359</v>
      </c>
      <c r="AH274" s="4">
        <f t="shared" si="96"/>
        <v>602</v>
      </c>
      <c r="AI274" s="28"/>
      <c r="AJ274" s="6"/>
      <c r="AK274" s="6"/>
      <c r="AL274" s="6">
        <f t="shared" si="97"/>
        <v>1.025974025974026</v>
      </c>
      <c r="AM274" s="6">
        <f t="shared" si="98"/>
        <v>1.0381781647689217</v>
      </c>
      <c r="AN274" s="6">
        <f t="shared" si="99"/>
        <v>1.025974025974026</v>
      </c>
      <c r="AO274" s="4" t="str">
        <f t="shared" si="100"/>
        <v>-</v>
      </c>
      <c r="AP274" s="4" t="str">
        <f t="shared" si="101"/>
        <v>-</v>
      </c>
      <c r="AQ274" s="4" t="str">
        <f t="shared" si="102"/>
        <v>-</v>
      </c>
      <c r="AR274" s="4">
        <v>0</v>
      </c>
      <c r="AS274" s="4" t="s">
        <v>2045</v>
      </c>
      <c r="AT274" s="4"/>
      <c r="AU274" s="4"/>
      <c r="AV274" s="4" t="s">
        <v>2046</v>
      </c>
      <c r="AW274" s="4">
        <v>1146</v>
      </c>
      <c r="AX274" s="4">
        <v>1146</v>
      </c>
      <c r="AY274" s="4">
        <v>1146</v>
      </c>
      <c r="AZ274" s="4">
        <f t="shared" si="103"/>
        <v>1146</v>
      </c>
      <c r="BA274" s="19">
        <v>4</v>
      </c>
      <c r="BB274" s="19">
        <v>8</v>
      </c>
      <c r="BC274" s="16">
        <v>19</v>
      </c>
      <c r="BD274" t="s">
        <v>1280</v>
      </c>
      <c r="BE274" t="s">
        <v>1280</v>
      </c>
      <c r="BF274" t="s">
        <v>1280</v>
      </c>
      <c r="BG274" t="str">
        <f t="shared" si="108"/>
        <v>-</v>
      </c>
      <c r="BH274" t="s">
        <v>1280</v>
      </c>
      <c r="BI274">
        <v>1540</v>
      </c>
      <c r="BJ274">
        <v>1540</v>
      </c>
      <c r="BK274">
        <f t="shared" si="109"/>
        <v>1580</v>
      </c>
      <c r="BL274" t="s">
        <v>1556</v>
      </c>
      <c r="BM274">
        <v>812</v>
      </c>
    </row>
    <row r="275" spans="1:65" x14ac:dyDescent="0.4">
      <c r="A275" s="3">
        <v>141</v>
      </c>
      <c r="B275" s="3">
        <v>141</v>
      </c>
      <c r="C275" s="4" t="s">
        <v>130</v>
      </c>
      <c r="D275" s="4" t="str">
        <f t="shared" si="88"/>
        <v>J1840W</v>
      </c>
      <c r="E275" s="4" t="s">
        <v>130</v>
      </c>
      <c r="F275" s="4" t="str">
        <f t="shared" si="104"/>
        <v>J1840W5</v>
      </c>
      <c r="G275" s="4" t="s">
        <v>776</v>
      </c>
      <c r="H275" s="5">
        <v>4974268972798</v>
      </c>
      <c r="I275" s="5">
        <v>5</v>
      </c>
      <c r="J275" s="5"/>
      <c r="K275" s="5">
        <v>1</v>
      </c>
      <c r="L275" s="5">
        <v>1</v>
      </c>
      <c r="M275" s="4">
        <v>1400</v>
      </c>
      <c r="N275" s="4">
        <v>1140</v>
      </c>
      <c r="O275" s="4">
        <v>840</v>
      </c>
      <c r="P275" s="6">
        <f t="shared" si="89"/>
        <v>0.26315789473684215</v>
      </c>
      <c r="Q275" s="4" t="s">
        <v>1280</v>
      </c>
      <c r="R275" s="4" t="s">
        <v>1280</v>
      </c>
      <c r="S275" s="4" t="s">
        <v>1280</v>
      </c>
      <c r="T275" s="4">
        <v>1600</v>
      </c>
      <c r="U275" s="4">
        <f t="shared" si="90"/>
        <v>1600</v>
      </c>
      <c r="V275" s="4">
        <v>960</v>
      </c>
      <c r="W275" s="4">
        <f t="shared" si="91"/>
        <v>960</v>
      </c>
      <c r="X275" s="4"/>
      <c r="Y275" s="21">
        <f t="shared" si="92"/>
        <v>1303</v>
      </c>
      <c r="Z275" s="6">
        <f t="shared" si="93"/>
        <v>0.26323867996930161</v>
      </c>
      <c r="AA275" s="4">
        <v>0</v>
      </c>
      <c r="AB275" s="4" t="str">
        <f t="shared" si="94"/>
        <v>-</v>
      </c>
      <c r="AC275" s="4" t="str">
        <f t="shared" si="105"/>
        <v>-</v>
      </c>
      <c r="AD275" s="6" t="str">
        <f t="shared" si="106"/>
        <v>-</v>
      </c>
      <c r="AE275" s="4">
        <f t="shared" si="107"/>
        <v>1520</v>
      </c>
      <c r="AF275" s="7">
        <v>1500</v>
      </c>
      <c r="AG275" s="6">
        <f t="shared" si="95"/>
        <v>0.36</v>
      </c>
      <c r="AH275" s="4">
        <f t="shared" si="96"/>
        <v>540</v>
      </c>
      <c r="AI275" s="28"/>
      <c r="AJ275" s="6"/>
      <c r="AK275" s="6"/>
      <c r="AL275" s="6">
        <f t="shared" si="97"/>
        <v>1.1428571428571428</v>
      </c>
      <c r="AM275" s="6">
        <f t="shared" si="98"/>
        <v>1.3157894736842106</v>
      </c>
      <c r="AN275" s="6">
        <f t="shared" si="99"/>
        <v>1.1428571428571428</v>
      </c>
      <c r="AO275" s="4" t="str">
        <f t="shared" si="100"/>
        <v>-</v>
      </c>
      <c r="AP275" s="4" t="str">
        <f t="shared" si="101"/>
        <v>-</v>
      </c>
      <c r="AQ275" s="4" t="str">
        <f t="shared" si="102"/>
        <v>-</v>
      </c>
      <c r="AR275" s="4">
        <v>0</v>
      </c>
      <c r="AS275" s="4" t="s">
        <v>1280</v>
      </c>
      <c r="AT275" s="4"/>
      <c r="AU275" s="4"/>
      <c r="AV275" s="4" t="s">
        <v>1280</v>
      </c>
      <c r="AW275" s="4" t="s">
        <v>1280</v>
      </c>
      <c r="AX275" s="4" t="s">
        <v>1280</v>
      </c>
      <c r="AY275" s="4" t="s">
        <v>1280</v>
      </c>
      <c r="AZ275" s="4" t="str">
        <f t="shared" si="103"/>
        <v>-</v>
      </c>
      <c r="BA275" s="19">
        <v>4</v>
      </c>
      <c r="BB275" s="19">
        <v>8</v>
      </c>
      <c r="BC275" s="16">
        <v>19</v>
      </c>
      <c r="BD275" t="s">
        <v>1280</v>
      </c>
      <c r="BE275" t="s">
        <v>1280</v>
      </c>
      <c r="BF275" t="s">
        <v>1280</v>
      </c>
      <c r="BG275" t="str">
        <f t="shared" si="108"/>
        <v>-</v>
      </c>
      <c r="BH275" t="s">
        <v>1280</v>
      </c>
      <c r="BI275" t="s">
        <v>1280</v>
      </c>
      <c r="BJ275" t="s">
        <v>1280</v>
      </c>
      <c r="BK275" t="str">
        <f t="shared" si="109"/>
        <v>-</v>
      </c>
      <c r="BL275" t="s">
        <v>1280</v>
      </c>
      <c r="BM275">
        <v>812</v>
      </c>
    </row>
    <row r="276" spans="1:65" x14ac:dyDescent="0.4">
      <c r="A276" s="3">
        <v>420</v>
      </c>
      <c r="B276" s="3">
        <v>420</v>
      </c>
      <c r="C276" s="4" t="s">
        <v>409</v>
      </c>
      <c r="D276" s="4" t="str">
        <f t="shared" si="88"/>
        <v>J54437</v>
      </c>
      <c r="E276" s="4" t="s">
        <v>409</v>
      </c>
      <c r="F276" s="4" t="str">
        <f t="shared" si="104"/>
        <v>J544375</v>
      </c>
      <c r="G276" s="4" t="s">
        <v>1053</v>
      </c>
      <c r="H276" s="5">
        <v>4974268602930</v>
      </c>
      <c r="I276" s="5">
        <v>5</v>
      </c>
      <c r="J276" s="5"/>
      <c r="K276" s="5">
        <v>1</v>
      </c>
      <c r="L276" s="5">
        <v>1</v>
      </c>
      <c r="M276" s="4">
        <v>1340</v>
      </c>
      <c r="N276" s="4">
        <v>1081</v>
      </c>
      <c r="O276" s="4">
        <v>804</v>
      </c>
      <c r="P276" s="6">
        <f t="shared" si="89"/>
        <v>0.25624421831637367</v>
      </c>
      <c r="Q276" s="4" t="s">
        <v>1280</v>
      </c>
      <c r="R276" s="4" t="s">
        <v>1280</v>
      </c>
      <c r="S276" s="4" t="s">
        <v>1280</v>
      </c>
      <c r="T276" s="4">
        <v>1600</v>
      </c>
      <c r="U276" s="4">
        <f t="shared" si="90"/>
        <v>1600</v>
      </c>
      <c r="V276" s="4">
        <v>960</v>
      </c>
      <c r="W276" s="4">
        <f t="shared" si="91"/>
        <v>960</v>
      </c>
      <c r="X276" s="4"/>
      <c r="Y276" s="21">
        <f t="shared" si="92"/>
        <v>1291</v>
      </c>
      <c r="Z276" s="6">
        <f t="shared" si="93"/>
        <v>0.25639039504260264</v>
      </c>
      <c r="AA276" s="4">
        <v>0.25</v>
      </c>
      <c r="AB276" s="4">
        <f t="shared" si="94"/>
        <v>946</v>
      </c>
      <c r="AC276" s="4">
        <f t="shared" si="105"/>
        <v>1129.5522388059701</v>
      </c>
      <c r="AD276" s="6">
        <f t="shared" si="106"/>
        <v>0.15010570824524305</v>
      </c>
      <c r="AE276" s="4">
        <f t="shared" si="107"/>
        <v>1520</v>
      </c>
      <c r="AF276" s="7">
        <v>1500</v>
      </c>
      <c r="AG276" s="6">
        <f t="shared" si="95"/>
        <v>0.36</v>
      </c>
      <c r="AH276" s="4">
        <f t="shared" si="96"/>
        <v>540</v>
      </c>
      <c r="AI276" s="28"/>
      <c r="AJ276" s="6"/>
      <c r="AK276" s="6"/>
      <c r="AL276" s="6">
        <f t="shared" si="97"/>
        <v>1.1940298507462686</v>
      </c>
      <c r="AM276" s="6">
        <f t="shared" si="98"/>
        <v>1.387604070305273</v>
      </c>
      <c r="AN276" s="6">
        <f t="shared" si="99"/>
        <v>1.1940298507462686</v>
      </c>
      <c r="AO276" s="4" t="str">
        <f t="shared" si="100"/>
        <v>-</v>
      </c>
      <c r="AP276" s="4" t="str">
        <f t="shared" si="101"/>
        <v>-</v>
      </c>
      <c r="AQ276" s="4" t="str">
        <f t="shared" si="102"/>
        <v>-</v>
      </c>
      <c r="AR276" s="4">
        <v>0</v>
      </c>
      <c r="AS276" s="4" t="s">
        <v>1982</v>
      </c>
      <c r="AT276" s="4"/>
      <c r="AU276" s="4"/>
      <c r="AV276" s="4" t="s">
        <v>1911</v>
      </c>
      <c r="AW276" s="4">
        <v>946</v>
      </c>
      <c r="AX276" s="4">
        <v>946</v>
      </c>
      <c r="AY276" s="4">
        <v>946</v>
      </c>
      <c r="AZ276" s="4">
        <f t="shared" si="103"/>
        <v>946</v>
      </c>
      <c r="BA276" s="19">
        <v>4</v>
      </c>
      <c r="BB276" s="19">
        <v>1</v>
      </c>
      <c r="BC276" s="16">
        <v>19</v>
      </c>
      <c r="BD276">
        <v>946</v>
      </c>
      <c r="BE276">
        <v>946</v>
      </c>
      <c r="BF276">
        <v>946</v>
      </c>
      <c r="BG276">
        <f t="shared" si="108"/>
        <v>1129.5522388059701</v>
      </c>
      <c r="BH276">
        <v>978</v>
      </c>
      <c r="BI276">
        <v>978</v>
      </c>
      <c r="BJ276">
        <v>978</v>
      </c>
      <c r="BK276">
        <f t="shared" si="109"/>
        <v>1167.7611940298507</v>
      </c>
      <c r="BL276" t="s">
        <v>1503</v>
      </c>
      <c r="BM276">
        <v>812</v>
      </c>
    </row>
    <row r="277" spans="1:65" x14ac:dyDescent="0.4">
      <c r="A277" s="3">
        <v>373</v>
      </c>
      <c r="B277" s="3">
        <v>373</v>
      </c>
      <c r="C277" s="4" t="s">
        <v>362</v>
      </c>
      <c r="D277" s="4" t="str">
        <f t="shared" si="88"/>
        <v>J4032N</v>
      </c>
      <c r="E277" s="4" t="s">
        <v>362</v>
      </c>
      <c r="F277" s="4" t="str">
        <f t="shared" si="104"/>
        <v>J4032N5</v>
      </c>
      <c r="G277" s="4" t="s">
        <v>1008</v>
      </c>
      <c r="H277" s="5">
        <v>4529671008680</v>
      </c>
      <c r="I277" s="5">
        <v>5</v>
      </c>
      <c r="J277" s="5"/>
      <c r="K277" s="5">
        <v>1</v>
      </c>
      <c r="L277" s="5">
        <v>1</v>
      </c>
      <c r="M277" s="4">
        <v>0</v>
      </c>
      <c r="N277" s="4">
        <v>1303</v>
      </c>
      <c r="O277" s="4">
        <v>888</v>
      </c>
      <c r="P277" s="6">
        <f t="shared" si="89"/>
        <v>0.31849577897160397</v>
      </c>
      <c r="Q277" s="4" t="s">
        <v>1280</v>
      </c>
      <c r="R277" s="4" t="s">
        <v>1280</v>
      </c>
      <c r="S277" s="4" t="s">
        <v>1280</v>
      </c>
      <c r="T277" s="4">
        <v>0</v>
      </c>
      <c r="U277" s="4">
        <f t="shared" si="90"/>
        <v>0</v>
      </c>
      <c r="V277" s="4">
        <v>972</v>
      </c>
      <c r="W277" s="4">
        <f t="shared" si="91"/>
        <v>972</v>
      </c>
      <c r="X277" s="4"/>
      <c r="Y277" s="21">
        <f t="shared" si="92"/>
        <v>1426</v>
      </c>
      <c r="Z277" s="6">
        <f t="shared" si="93"/>
        <v>0.31837307152875172</v>
      </c>
      <c r="AA277" s="4">
        <v>0</v>
      </c>
      <c r="AB277" s="4" t="str">
        <f t="shared" si="94"/>
        <v>-</v>
      </c>
      <c r="AC277" s="4" t="str">
        <f t="shared" si="105"/>
        <v>-</v>
      </c>
      <c r="AD277" s="6" t="str">
        <f t="shared" si="106"/>
        <v>-</v>
      </c>
      <c r="AE277" s="4">
        <f t="shared" si="107"/>
        <v>0</v>
      </c>
      <c r="AF277" s="7">
        <v>1309</v>
      </c>
      <c r="AG277" s="6">
        <f t="shared" si="95"/>
        <v>0.25744843391902217</v>
      </c>
      <c r="AH277" s="4">
        <f t="shared" si="96"/>
        <v>337</v>
      </c>
      <c r="AI277" s="28"/>
      <c r="AJ277" s="6"/>
      <c r="AK277" s="6"/>
      <c r="AL277" s="6" t="e">
        <f t="shared" si="97"/>
        <v>#DIV/0!</v>
      </c>
      <c r="AM277" s="6">
        <f t="shared" si="98"/>
        <v>1.0046047582501918</v>
      </c>
      <c r="AN277" s="6">
        <f t="shared" si="99"/>
        <v>1.0945945945945945</v>
      </c>
      <c r="AO277" s="4" t="str">
        <f t="shared" si="100"/>
        <v>-</v>
      </c>
      <c r="AP277" s="4" t="str">
        <f t="shared" si="101"/>
        <v>-</v>
      </c>
      <c r="AQ277" s="4" t="str">
        <f t="shared" si="102"/>
        <v>-</v>
      </c>
      <c r="AR277" s="4">
        <v>0</v>
      </c>
      <c r="AS277" s="4" t="s">
        <v>1280</v>
      </c>
      <c r="AT277" s="4"/>
      <c r="AU277" s="4"/>
      <c r="AV277" s="4" t="s">
        <v>1280</v>
      </c>
      <c r="AW277" s="4" t="s">
        <v>1280</v>
      </c>
      <c r="AX277" s="4" t="s">
        <v>1280</v>
      </c>
      <c r="AY277" s="4" t="s">
        <v>1280</v>
      </c>
      <c r="AZ277" s="4" t="str">
        <f t="shared" si="103"/>
        <v>-</v>
      </c>
      <c r="BA277" s="19">
        <v>4</v>
      </c>
      <c r="BB277" s="19">
        <v>8</v>
      </c>
      <c r="BC277" s="16">
        <v>19</v>
      </c>
      <c r="BD277" t="s">
        <v>1280</v>
      </c>
      <c r="BE277" t="s">
        <v>1280</v>
      </c>
      <c r="BF277" t="s">
        <v>1280</v>
      </c>
      <c r="BG277" t="str">
        <f t="shared" si="108"/>
        <v>-</v>
      </c>
      <c r="BH277">
        <v>1196</v>
      </c>
      <c r="BI277">
        <v>1196</v>
      </c>
      <c r="BJ277">
        <v>1196</v>
      </c>
      <c r="BK277">
        <f t="shared" si="109"/>
        <v>1309.135135135135</v>
      </c>
      <c r="BL277" t="s">
        <v>1280</v>
      </c>
      <c r="BM277">
        <v>812</v>
      </c>
    </row>
    <row r="278" spans="1:65" x14ac:dyDescent="0.4">
      <c r="A278" s="3">
        <v>376</v>
      </c>
      <c r="B278" s="3">
        <v>376</v>
      </c>
      <c r="C278" s="4" t="s">
        <v>365</v>
      </c>
      <c r="D278" s="4" t="str">
        <f t="shared" si="88"/>
        <v>J4033N</v>
      </c>
      <c r="E278" s="4" t="s">
        <v>365</v>
      </c>
      <c r="F278" s="4" t="str">
        <f t="shared" si="104"/>
        <v>J4033N5</v>
      </c>
      <c r="G278" s="4" t="s">
        <v>1011</v>
      </c>
      <c r="H278" s="5">
        <v>4529671008697</v>
      </c>
      <c r="I278" s="5">
        <v>5</v>
      </c>
      <c r="J278" s="5"/>
      <c r="K278" s="5">
        <v>1</v>
      </c>
      <c r="L278" s="5">
        <v>1</v>
      </c>
      <c r="M278" s="4">
        <v>0</v>
      </c>
      <c r="N278" s="4">
        <v>1303</v>
      </c>
      <c r="O278" s="4">
        <v>888</v>
      </c>
      <c r="P278" s="6">
        <f t="shared" si="89"/>
        <v>0.31849577897160397</v>
      </c>
      <c r="Q278" s="4" t="s">
        <v>1280</v>
      </c>
      <c r="R278" s="4" t="s">
        <v>1280</v>
      </c>
      <c r="S278" s="4" t="s">
        <v>1280</v>
      </c>
      <c r="T278" s="4">
        <v>0</v>
      </c>
      <c r="U278" s="4">
        <f t="shared" si="90"/>
        <v>0</v>
      </c>
      <c r="V278" s="4">
        <v>972</v>
      </c>
      <c r="W278" s="4">
        <f t="shared" si="91"/>
        <v>972</v>
      </c>
      <c r="X278" s="4"/>
      <c r="Y278" s="21">
        <f t="shared" si="92"/>
        <v>1426</v>
      </c>
      <c r="Z278" s="6">
        <f t="shared" si="93"/>
        <v>0.31837307152875172</v>
      </c>
      <c r="AA278" s="4">
        <v>0</v>
      </c>
      <c r="AB278" s="4" t="str">
        <f t="shared" si="94"/>
        <v>-</v>
      </c>
      <c r="AC278" s="4" t="str">
        <f t="shared" si="105"/>
        <v>-</v>
      </c>
      <c r="AD278" s="6" t="str">
        <f t="shared" si="106"/>
        <v>-</v>
      </c>
      <c r="AE278" s="4">
        <f t="shared" si="107"/>
        <v>0</v>
      </c>
      <c r="AF278" s="7">
        <v>1309</v>
      </c>
      <c r="AG278" s="6">
        <f t="shared" si="95"/>
        <v>0.25744843391902217</v>
      </c>
      <c r="AH278" s="4">
        <f t="shared" si="96"/>
        <v>337</v>
      </c>
      <c r="AI278" s="28"/>
      <c r="AJ278" s="6"/>
      <c r="AK278" s="6"/>
      <c r="AL278" s="6" t="e">
        <f t="shared" si="97"/>
        <v>#DIV/0!</v>
      </c>
      <c r="AM278" s="6">
        <f t="shared" si="98"/>
        <v>1.0046047582501918</v>
      </c>
      <c r="AN278" s="6">
        <f t="shared" si="99"/>
        <v>1.0945945945945945</v>
      </c>
      <c r="AO278" s="4" t="str">
        <f t="shared" si="100"/>
        <v>-</v>
      </c>
      <c r="AP278" s="4" t="str">
        <f t="shared" si="101"/>
        <v>-</v>
      </c>
      <c r="AQ278" s="4" t="str">
        <f t="shared" si="102"/>
        <v>-</v>
      </c>
      <c r="AR278" s="4">
        <v>0</v>
      </c>
      <c r="AS278" s="4" t="s">
        <v>1280</v>
      </c>
      <c r="AT278" s="4"/>
      <c r="AU278" s="4"/>
      <c r="AV278" s="4" t="s">
        <v>1280</v>
      </c>
      <c r="AW278" s="4" t="s">
        <v>1280</v>
      </c>
      <c r="AX278" s="4" t="s">
        <v>1280</v>
      </c>
      <c r="AY278" s="4" t="s">
        <v>1280</v>
      </c>
      <c r="AZ278" s="4" t="str">
        <f t="shared" si="103"/>
        <v>-</v>
      </c>
      <c r="BA278" s="19">
        <v>4</v>
      </c>
      <c r="BB278" s="19">
        <v>8</v>
      </c>
      <c r="BC278" s="16">
        <v>19</v>
      </c>
      <c r="BD278" t="s">
        <v>1280</v>
      </c>
      <c r="BE278" t="s">
        <v>1280</v>
      </c>
      <c r="BF278" t="s">
        <v>1280</v>
      </c>
      <c r="BG278" t="str">
        <f t="shared" si="108"/>
        <v>-</v>
      </c>
      <c r="BH278">
        <v>1196</v>
      </c>
      <c r="BI278">
        <v>1196</v>
      </c>
      <c r="BJ278">
        <v>1196</v>
      </c>
      <c r="BK278">
        <f t="shared" si="109"/>
        <v>1309.135135135135</v>
      </c>
      <c r="BL278" t="s">
        <v>1280</v>
      </c>
      <c r="BM278">
        <v>812</v>
      </c>
    </row>
    <row r="279" spans="1:65" x14ac:dyDescent="0.4">
      <c r="A279" s="3">
        <v>377</v>
      </c>
      <c r="B279" s="3">
        <v>377</v>
      </c>
      <c r="C279" s="4" t="s">
        <v>366</v>
      </c>
      <c r="D279" s="4" t="str">
        <f t="shared" si="88"/>
        <v>J4034N</v>
      </c>
      <c r="E279" s="4" t="s">
        <v>366</v>
      </c>
      <c r="F279" s="4" t="str">
        <f t="shared" si="104"/>
        <v>J4034N5</v>
      </c>
      <c r="G279" s="4" t="s">
        <v>1008</v>
      </c>
      <c r="H279" s="5">
        <v>4529671008703</v>
      </c>
      <c r="I279" s="5">
        <v>5</v>
      </c>
      <c r="J279" s="5"/>
      <c r="K279" s="5">
        <v>1</v>
      </c>
      <c r="L279" s="5">
        <v>1</v>
      </c>
      <c r="M279" s="4">
        <v>0</v>
      </c>
      <c r="N279" s="4">
        <v>1303</v>
      </c>
      <c r="O279" s="4">
        <v>888</v>
      </c>
      <c r="P279" s="6">
        <f t="shared" si="89"/>
        <v>0.31849577897160397</v>
      </c>
      <c r="Q279" s="4" t="s">
        <v>1280</v>
      </c>
      <c r="R279" s="4" t="s">
        <v>1280</v>
      </c>
      <c r="S279" s="4" t="s">
        <v>1280</v>
      </c>
      <c r="T279" s="4">
        <v>0</v>
      </c>
      <c r="U279" s="4">
        <f t="shared" si="90"/>
        <v>0</v>
      </c>
      <c r="V279" s="4">
        <v>972</v>
      </c>
      <c r="W279" s="4">
        <f t="shared" si="91"/>
        <v>972</v>
      </c>
      <c r="X279" s="4"/>
      <c r="Y279" s="21">
        <f t="shared" si="92"/>
        <v>1426</v>
      </c>
      <c r="Z279" s="6">
        <f t="shared" si="93"/>
        <v>0.31837307152875172</v>
      </c>
      <c r="AA279" s="4">
        <v>0</v>
      </c>
      <c r="AB279" s="4" t="str">
        <f t="shared" si="94"/>
        <v>-</v>
      </c>
      <c r="AC279" s="4" t="str">
        <f t="shared" si="105"/>
        <v>-</v>
      </c>
      <c r="AD279" s="6" t="str">
        <f t="shared" si="106"/>
        <v>-</v>
      </c>
      <c r="AE279" s="4">
        <f t="shared" si="107"/>
        <v>0</v>
      </c>
      <c r="AF279" s="7">
        <v>1309</v>
      </c>
      <c r="AG279" s="6">
        <f t="shared" si="95"/>
        <v>0.25744843391902217</v>
      </c>
      <c r="AH279" s="4">
        <f t="shared" si="96"/>
        <v>337</v>
      </c>
      <c r="AI279" s="28"/>
      <c r="AJ279" s="6"/>
      <c r="AK279" s="6"/>
      <c r="AL279" s="6" t="e">
        <f t="shared" si="97"/>
        <v>#DIV/0!</v>
      </c>
      <c r="AM279" s="6">
        <f t="shared" si="98"/>
        <v>1.0046047582501918</v>
      </c>
      <c r="AN279" s="6">
        <f t="shared" si="99"/>
        <v>1.0945945945945945</v>
      </c>
      <c r="AO279" s="4" t="str">
        <f t="shared" si="100"/>
        <v>-</v>
      </c>
      <c r="AP279" s="4" t="str">
        <f t="shared" si="101"/>
        <v>-</v>
      </c>
      <c r="AQ279" s="4" t="str">
        <f t="shared" si="102"/>
        <v>-</v>
      </c>
      <c r="AR279" s="4">
        <v>0</v>
      </c>
      <c r="AS279" s="4" t="s">
        <v>1280</v>
      </c>
      <c r="AT279" s="4"/>
      <c r="AU279" s="4"/>
      <c r="AV279" s="4" t="s">
        <v>1280</v>
      </c>
      <c r="AW279" s="4" t="s">
        <v>1280</v>
      </c>
      <c r="AX279" s="4" t="s">
        <v>1280</v>
      </c>
      <c r="AY279" s="4" t="s">
        <v>1280</v>
      </c>
      <c r="AZ279" s="4" t="str">
        <f t="shared" si="103"/>
        <v>-</v>
      </c>
      <c r="BA279" s="19">
        <v>4</v>
      </c>
      <c r="BB279" s="19">
        <v>8</v>
      </c>
      <c r="BC279" s="16">
        <v>19</v>
      </c>
      <c r="BD279" t="s">
        <v>1280</v>
      </c>
      <c r="BE279" t="s">
        <v>1280</v>
      </c>
      <c r="BF279" t="s">
        <v>1280</v>
      </c>
      <c r="BG279" t="str">
        <f t="shared" si="108"/>
        <v>-</v>
      </c>
      <c r="BH279">
        <v>1196</v>
      </c>
      <c r="BI279">
        <v>1196</v>
      </c>
      <c r="BJ279">
        <v>1196</v>
      </c>
      <c r="BK279">
        <f t="shared" si="109"/>
        <v>1309.135135135135</v>
      </c>
      <c r="BL279" t="s">
        <v>1280</v>
      </c>
      <c r="BM279">
        <v>812</v>
      </c>
    </row>
    <row r="280" spans="1:65" x14ac:dyDescent="0.4">
      <c r="A280" s="3">
        <v>380</v>
      </c>
      <c r="B280" s="3">
        <v>380</v>
      </c>
      <c r="C280" s="4" t="s">
        <v>369</v>
      </c>
      <c r="D280" s="4" t="str">
        <f t="shared" si="88"/>
        <v>J4035N</v>
      </c>
      <c r="E280" s="4" t="s">
        <v>369</v>
      </c>
      <c r="F280" s="4" t="str">
        <f t="shared" si="104"/>
        <v>J4035N5</v>
      </c>
      <c r="G280" s="4" t="s">
        <v>1011</v>
      </c>
      <c r="H280" s="5">
        <v>4529671008710</v>
      </c>
      <c r="I280" s="5">
        <v>5</v>
      </c>
      <c r="J280" s="5"/>
      <c r="K280" s="5">
        <v>1</v>
      </c>
      <c r="L280" s="5">
        <v>1</v>
      </c>
      <c r="M280" s="4">
        <v>0</v>
      </c>
      <c r="N280" s="4">
        <v>1303</v>
      </c>
      <c r="O280" s="4">
        <v>888</v>
      </c>
      <c r="P280" s="6">
        <f t="shared" si="89"/>
        <v>0.31849577897160397</v>
      </c>
      <c r="Q280" s="4" t="s">
        <v>1280</v>
      </c>
      <c r="R280" s="4" t="s">
        <v>1280</v>
      </c>
      <c r="S280" s="4" t="s">
        <v>1280</v>
      </c>
      <c r="T280" s="4">
        <v>0</v>
      </c>
      <c r="U280" s="4">
        <f t="shared" si="90"/>
        <v>0</v>
      </c>
      <c r="V280" s="4">
        <v>972</v>
      </c>
      <c r="W280" s="4">
        <f t="shared" si="91"/>
        <v>972</v>
      </c>
      <c r="X280" s="4"/>
      <c r="Y280" s="21">
        <f t="shared" si="92"/>
        <v>1426</v>
      </c>
      <c r="Z280" s="6">
        <f t="shared" si="93"/>
        <v>0.31837307152875172</v>
      </c>
      <c r="AA280" s="4">
        <v>0</v>
      </c>
      <c r="AB280" s="4" t="str">
        <f t="shared" si="94"/>
        <v>-</v>
      </c>
      <c r="AC280" s="4" t="str">
        <f t="shared" si="105"/>
        <v>-</v>
      </c>
      <c r="AD280" s="6" t="str">
        <f t="shared" si="106"/>
        <v>-</v>
      </c>
      <c r="AE280" s="4">
        <f t="shared" si="107"/>
        <v>0</v>
      </c>
      <c r="AF280" s="7">
        <v>1309</v>
      </c>
      <c r="AG280" s="6">
        <f t="shared" si="95"/>
        <v>0.25744843391902217</v>
      </c>
      <c r="AH280" s="4">
        <f t="shared" si="96"/>
        <v>337</v>
      </c>
      <c r="AI280" s="28"/>
      <c r="AJ280" s="6"/>
      <c r="AK280" s="6"/>
      <c r="AL280" s="6" t="e">
        <f t="shared" si="97"/>
        <v>#DIV/0!</v>
      </c>
      <c r="AM280" s="6">
        <f t="shared" si="98"/>
        <v>1.0046047582501918</v>
      </c>
      <c r="AN280" s="6">
        <f t="shared" si="99"/>
        <v>1.0945945945945945</v>
      </c>
      <c r="AO280" s="4" t="str">
        <f t="shared" si="100"/>
        <v>-</v>
      </c>
      <c r="AP280" s="4" t="str">
        <f t="shared" si="101"/>
        <v>-</v>
      </c>
      <c r="AQ280" s="4" t="str">
        <f t="shared" si="102"/>
        <v>-</v>
      </c>
      <c r="AR280" s="4">
        <v>0</v>
      </c>
      <c r="AS280" s="4" t="s">
        <v>1280</v>
      </c>
      <c r="AT280" s="4"/>
      <c r="AU280" s="4"/>
      <c r="AV280" s="4" t="s">
        <v>1280</v>
      </c>
      <c r="AW280" s="4" t="s">
        <v>1280</v>
      </c>
      <c r="AX280" s="4" t="s">
        <v>1280</v>
      </c>
      <c r="AY280" s="4" t="s">
        <v>1280</v>
      </c>
      <c r="AZ280" s="4" t="str">
        <f t="shared" si="103"/>
        <v>-</v>
      </c>
      <c r="BA280" s="19">
        <v>4</v>
      </c>
      <c r="BB280" s="19">
        <v>8</v>
      </c>
      <c r="BC280" s="16">
        <v>19</v>
      </c>
      <c r="BD280" t="s">
        <v>1280</v>
      </c>
      <c r="BE280" t="s">
        <v>1280</v>
      </c>
      <c r="BF280" t="s">
        <v>1280</v>
      </c>
      <c r="BG280" t="str">
        <f t="shared" si="108"/>
        <v>-</v>
      </c>
      <c r="BH280">
        <v>1196</v>
      </c>
      <c r="BI280">
        <v>1196</v>
      </c>
      <c r="BJ280">
        <v>1196</v>
      </c>
      <c r="BK280">
        <f t="shared" si="109"/>
        <v>1309.135135135135</v>
      </c>
      <c r="BL280" t="s">
        <v>1280</v>
      </c>
      <c r="BM280">
        <v>812</v>
      </c>
    </row>
    <row r="281" spans="1:65" x14ac:dyDescent="0.4">
      <c r="A281" s="3">
        <v>203</v>
      </c>
      <c r="B281" s="3">
        <v>203</v>
      </c>
      <c r="C281" s="4" t="s">
        <v>192</v>
      </c>
      <c r="D281" s="4" t="str">
        <f t="shared" si="88"/>
        <v>J3064N</v>
      </c>
      <c r="E281" s="4" t="s">
        <v>192</v>
      </c>
      <c r="F281" s="4" t="str">
        <f t="shared" si="104"/>
        <v>J3064N5</v>
      </c>
      <c r="G281" s="4" t="s">
        <v>838</v>
      </c>
      <c r="H281" s="5">
        <v>4974268569523</v>
      </c>
      <c r="I281" s="5">
        <v>5</v>
      </c>
      <c r="J281" s="5"/>
      <c r="K281" s="5">
        <v>1</v>
      </c>
      <c r="L281" s="5">
        <v>1</v>
      </c>
      <c r="M281" s="4">
        <v>1450</v>
      </c>
      <c r="N281" s="4">
        <v>1378</v>
      </c>
      <c r="O281" s="4">
        <v>870</v>
      </c>
      <c r="P281" s="6">
        <f t="shared" si="89"/>
        <v>0.36865021770682149</v>
      </c>
      <c r="Q281" s="4" t="s">
        <v>1280</v>
      </c>
      <c r="R281" s="4" t="s">
        <v>1280</v>
      </c>
      <c r="S281" s="4" t="s">
        <v>1280</v>
      </c>
      <c r="T281" s="4">
        <v>1650</v>
      </c>
      <c r="U281" s="4">
        <f t="shared" si="90"/>
        <v>1650</v>
      </c>
      <c r="V281" s="4">
        <v>990</v>
      </c>
      <c r="W281" s="4">
        <f t="shared" si="91"/>
        <v>990</v>
      </c>
      <c r="X281" s="4"/>
      <c r="Y281" s="21">
        <f t="shared" si="92"/>
        <v>1568</v>
      </c>
      <c r="Z281" s="6">
        <f t="shared" si="93"/>
        <v>0.36862244897959184</v>
      </c>
      <c r="AA281" s="4">
        <v>0</v>
      </c>
      <c r="AB281" s="4" t="str">
        <f t="shared" si="94"/>
        <v>-</v>
      </c>
      <c r="AC281" s="4" t="str">
        <f t="shared" si="105"/>
        <v>-</v>
      </c>
      <c r="AD281" s="6" t="str">
        <f t="shared" si="106"/>
        <v>-</v>
      </c>
      <c r="AE281" s="4">
        <f t="shared" si="107"/>
        <v>1567.5</v>
      </c>
      <c r="AF281" s="7">
        <v>1500</v>
      </c>
      <c r="AG281" s="6">
        <f t="shared" si="95"/>
        <v>0.33999999999999997</v>
      </c>
      <c r="AH281" s="4">
        <f t="shared" si="96"/>
        <v>510</v>
      </c>
      <c r="AI281" s="28"/>
      <c r="AJ281" s="6"/>
      <c r="AK281" s="6"/>
      <c r="AL281" s="6">
        <f t="shared" si="97"/>
        <v>1.1379310344827587</v>
      </c>
      <c r="AM281" s="6">
        <f t="shared" si="98"/>
        <v>1.0885341074020318</v>
      </c>
      <c r="AN281" s="6">
        <f t="shared" si="99"/>
        <v>1.1379310344827587</v>
      </c>
      <c r="AO281" s="4" t="str">
        <f t="shared" si="100"/>
        <v>-</v>
      </c>
      <c r="AP281" s="4" t="str">
        <f t="shared" si="101"/>
        <v>-</v>
      </c>
      <c r="AQ281" s="4" t="str">
        <f t="shared" si="102"/>
        <v>-</v>
      </c>
      <c r="AR281" s="4">
        <v>0</v>
      </c>
      <c r="AS281" s="4" t="s">
        <v>1280</v>
      </c>
      <c r="AT281" s="4"/>
      <c r="AU281" s="4"/>
      <c r="AV281" s="4" t="s">
        <v>1280</v>
      </c>
      <c r="AW281" s="4" t="s">
        <v>1280</v>
      </c>
      <c r="AX281" s="4" t="s">
        <v>1280</v>
      </c>
      <c r="AY281" s="4" t="s">
        <v>1280</v>
      </c>
      <c r="AZ281" s="4" t="str">
        <f t="shared" si="103"/>
        <v>-</v>
      </c>
      <c r="BA281" s="19">
        <v>4</v>
      </c>
      <c r="BB281" s="19">
        <v>8</v>
      </c>
      <c r="BC281" s="16">
        <v>18</v>
      </c>
      <c r="BD281" t="s">
        <v>1280</v>
      </c>
      <c r="BE281" t="s">
        <v>1280</v>
      </c>
      <c r="BF281" t="s">
        <v>1280</v>
      </c>
      <c r="BG281" t="str">
        <f t="shared" si="108"/>
        <v>-</v>
      </c>
      <c r="BH281" t="s">
        <v>1280</v>
      </c>
      <c r="BI281">
        <v>1319</v>
      </c>
      <c r="BJ281">
        <v>1319</v>
      </c>
      <c r="BK281">
        <f t="shared" si="109"/>
        <v>1500.9310344827586</v>
      </c>
      <c r="BL281" t="s">
        <v>1280</v>
      </c>
      <c r="BM281">
        <v>812</v>
      </c>
    </row>
    <row r="282" spans="1:65" x14ac:dyDescent="0.4">
      <c r="A282" s="3">
        <v>415</v>
      </c>
      <c r="B282" s="3">
        <v>415</v>
      </c>
      <c r="C282" s="4" t="s">
        <v>404</v>
      </c>
      <c r="D282" s="4" t="str">
        <f t="shared" si="88"/>
        <v>J54434</v>
      </c>
      <c r="E282" s="4" t="s">
        <v>404</v>
      </c>
      <c r="F282" s="4" t="str">
        <f t="shared" si="104"/>
        <v>J544345</v>
      </c>
      <c r="G282" s="4" t="s">
        <v>1048</v>
      </c>
      <c r="H282" s="5">
        <v>4974268602886</v>
      </c>
      <c r="I282" s="5">
        <v>5</v>
      </c>
      <c r="J282" s="5"/>
      <c r="K282" s="5">
        <v>1</v>
      </c>
      <c r="L282" s="5">
        <v>1</v>
      </c>
      <c r="M282" s="4">
        <v>1380</v>
      </c>
      <c r="N282" s="4">
        <v>1339</v>
      </c>
      <c r="O282" s="4">
        <v>828</v>
      </c>
      <c r="P282" s="6">
        <f t="shared" si="89"/>
        <v>0.38162808065720688</v>
      </c>
      <c r="Q282" s="4" t="s">
        <v>1280</v>
      </c>
      <c r="R282" s="4" t="s">
        <v>1280</v>
      </c>
      <c r="S282" s="4" t="s">
        <v>1280</v>
      </c>
      <c r="T282" s="4">
        <v>1650</v>
      </c>
      <c r="U282" s="4">
        <f t="shared" si="90"/>
        <v>1650</v>
      </c>
      <c r="V282" s="4">
        <v>990</v>
      </c>
      <c r="W282" s="4">
        <f t="shared" si="91"/>
        <v>990</v>
      </c>
      <c r="X282" s="4"/>
      <c r="Y282" s="21">
        <f t="shared" si="92"/>
        <v>1601</v>
      </c>
      <c r="Z282" s="6">
        <f t="shared" si="93"/>
        <v>0.38163647720174887</v>
      </c>
      <c r="AA282" s="4">
        <v>1</v>
      </c>
      <c r="AB282" s="4">
        <f t="shared" si="94"/>
        <v>1360</v>
      </c>
      <c r="AC282" s="4">
        <f t="shared" si="105"/>
        <v>1626.086956521739</v>
      </c>
      <c r="AD282" s="6">
        <f t="shared" si="106"/>
        <v>0.39117647058823524</v>
      </c>
      <c r="AE282" s="4">
        <f t="shared" si="107"/>
        <v>1567.5</v>
      </c>
      <c r="AF282" s="7">
        <v>1550</v>
      </c>
      <c r="AG282" s="6">
        <f t="shared" si="95"/>
        <v>0.3612903225806452</v>
      </c>
      <c r="AH282" s="4">
        <f t="shared" si="96"/>
        <v>560</v>
      </c>
      <c r="AI282" s="28"/>
      <c r="AJ282" s="6"/>
      <c r="AK282" s="6"/>
      <c r="AL282" s="6">
        <f t="shared" si="97"/>
        <v>1.1956521739130435</v>
      </c>
      <c r="AM282" s="6">
        <f t="shared" si="98"/>
        <v>1.157580283793876</v>
      </c>
      <c r="AN282" s="6">
        <f t="shared" si="99"/>
        <v>1.1956521739130435</v>
      </c>
      <c r="AO282" s="4" t="str">
        <f t="shared" si="100"/>
        <v>-</v>
      </c>
      <c r="AP282" s="4" t="str">
        <f t="shared" si="101"/>
        <v>-</v>
      </c>
      <c r="AQ282" s="4" t="str">
        <f t="shared" si="102"/>
        <v>-</v>
      </c>
      <c r="AR282" s="4">
        <v>0</v>
      </c>
      <c r="AS282" s="4" t="s">
        <v>1976</v>
      </c>
      <c r="AT282" s="4"/>
      <c r="AU282" s="4"/>
      <c r="AV282" s="4" t="s">
        <v>1911</v>
      </c>
      <c r="AW282" s="4">
        <v>1360</v>
      </c>
      <c r="AX282" s="4">
        <v>1360</v>
      </c>
      <c r="AY282" s="4">
        <v>1360</v>
      </c>
      <c r="AZ282" s="4">
        <f t="shared" si="103"/>
        <v>1360</v>
      </c>
      <c r="BA282" s="19">
        <v>4</v>
      </c>
      <c r="BB282" s="19">
        <v>8</v>
      </c>
      <c r="BC282" s="16">
        <v>19</v>
      </c>
      <c r="BD282" t="s">
        <v>1280</v>
      </c>
      <c r="BE282" t="s">
        <v>1280</v>
      </c>
      <c r="BF282" t="s">
        <v>1280</v>
      </c>
      <c r="BG282" t="str">
        <f t="shared" si="108"/>
        <v>-</v>
      </c>
      <c r="BH282">
        <v>1380</v>
      </c>
      <c r="BI282">
        <v>1380</v>
      </c>
      <c r="BJ282">
        <v>1380</v>
      </c>
      <c r="BK282">
        <f t="shared" si="109"/>
        <v>1650</v>
      </c>
      <c r="BL282" t="s">
        <v>1498</v>
      </c>
      <c r="BM282">
        <v>812</v>
      </c>
    </row>
    <row r="283" spans="1:65" x14ac:dyDescent="0.4">
      <c r="A283" s="3">
        <v>614</v>
      </c>
      <c r="B283" s="3">
        <v>614</v>
      </c>
      <c r="C283" s="4" t="s">
        <v>603</v>
      </c>
      <c r="D283" s="4" t="str">
        <f t="shared" si="88"/>
        <v>J957WN</v>
      </c>
      <c r="E283" s="4" t="s">
        <v>603</v>
      </c>
      <c r="F283" s="4" t="str">
        <f t="shared" si="104"/>
        <v>J957WN5</v>
      </c>
      <c r="G283" s="4" t="s">
        <v>1247</v>
      </c>
      <c r="H283" s="5">
        <v>4974268560896</v>
      </c>
      <c r="I283" s="5">
        <v>5</v>
      </c>
      <c r="J283" s="5"/>
      <c r="K283" s="5">
        <v>1</v>
      </c>
      <c r="L283" s="5">
        <v>1</v>
      </c>
      <c r="M283" s="4">
        <v>1500</v>
      </c>
      <c r="N283" s="4">
        <v>1290</v>
      </c>
      <c r="O283" s="4">
        <v>900</v>
      </c>
      <c r="P283" s="6">
        <f t="shared" si="89"/>
        <v>0.30232558139534882</v>
      </c>
      <c r="Q283" s="4" t="s">
        <v>1280</v>
      </c>
      <c r="R283" s="4" t="s">
        <v>1280</v>
      </c>
      <c r="S283" s="4" t="s">
        <v>1280</v>
      </c>
      <c r="T283" s="4">
        <v>1650</v>
      </c>
      <c r="U283" s="4">
        <f t="shared" si="90"/>
        <v>1650</v>
      </c>
      <c r="V283" s="4">
        <v>990</v>
      </c>
      <c r="W283" s="4">
        <f t="shared" si="91"/>
        <v>990</v>
      </c>
      <c r="X283" s="4"/>
      <c r="Y283" s="21">
        <f t="shared" si="92"/>
        <v>1419</v>
      </c>
      <c r="Z283" s="6">
        <f t="shared" si="93"/>
        <v>0.30232558139534882</v>
      </c>
      <c r="AA283" s="4">
        <v>0</v>
      </c>
      <c r="AB283" s="4">
        <f t="shared" si="94"/>
        <v>1399</v>
      </c>
      <c r="AC283" s="4">
        <f t="shared" si="105"/>
        <v>1538.9</v>
      </c>
      <c r="AD283" s="6">
        <f t="shared" si="106"/>
        <v>0.35668334524660472</v>
      </c>
      <c r="AE283" s="4">
        <f t="shared" si="107"/>
        <v>1567.5</v>
      </c>
      <c r="AF283" s="7">
        <v>1530</v>
      </c>
      <c r="AG283" s="6">
        <f t="shared" si="95"/>
        <v>0.3529411764705882</v>
      </c>
      <c r="AH283" s="4">
        <f t="shared" si="96"/>
        <v>540</v>
      </c>
      <c r="AI283" s="28"/>
      <c r="AJ283" s="6"/>
      <c r="AK283" s="6"/>
      <c r="AL283" s="6">
        <f t="shared" si="97"/>
        <v>1.1000000000000001</v>
      </c>
      <c r="AM283" s="6">
        <f t="shared" si="98"/>
        <v>1.1860465116279071</v>
      </c>
      <c r="AN283" s="6">
        <f t="shared" si="99"/>
        <v>1.1000000000000001</v>
      </c>
      <c r="AO283" s="4" t="str">
        <f t="shared" si="100"/>
        <v>-</v>
      </c>
      <c r="AP283" s="4" t="str">
        <f t="shared" si="101"/>
        <v>-</v>
      </c>
      <c r="AQ283" s="4" t="str">
        <f t="shared" si="102"/>
        <v>-</v>
      </c>
      <c r="AR283" s="4">
        <v>0</v>
      </c>
      <c r="AS283" s="4" t="s">
        <v>2173</v>
      </c>
      <c r="AT283" s="4"/>
      <c r="AU283" s="4"/>
      <c r="AV283" s="4" t="s">
        <v>2158</v>
      </c>
      <c r="AW283" s="4">
        <v>1399</v>
      </c>
      <c r="AX283" s="4">
        <v>1399</v>
      </c>
      <c r="AY283" s="4">
        <v>1399</v>
      </c>
      <c r="AZ283" s="4">
        <f t="shared" si="103"/>
        <v>1399</v>
      </c>
      <c r="BA283" s="19">
        <v>4</v>
      </c>
      <c r="BB283" s="19">
        <v>8</v>
      </c>
      <c r="BC283" s="16">
        <v>18</v>
      </c>
      <c r="BD283" t="s">
        <v>1280</v>
      </c>
      <c r="BE283" t="s">
        <v>1280</v>
      </c>
      <c r="BF283" t="s">
        <v>1280</v>
      </c>
      <c r="BG283" t="str">
        <f t="shared" si="108"/>
        <v>-</v>
      </c>
      <c r="BH283">
        <v>1355</v>
      </c>
      <c r="BI283">
        <v>1355</v>
      </c>
      <c r="BJ283">
        <v>1355</v>
      </c>
      <c r="BK283">
        <f t="shared" si="109"/>
        <v>1490.5000000000002</v>
      </c>
      <c r="BL283" t="s">
        <v>1655</v>
      </c>
      <c r="BM283">
        <v>812</v>
      </c>
    </row>
    <row r="284" spans="1:65" x14ac:dyDescent="0.4">
      <c r="A284" s="3">
        <v>59</v>
      </c>
      <c r="B284" s="3">
        <v>59</v>
      </c>
      <c r="C284" s="4">
        <v>738684</v>
      </c>
      <c r="D284" s="4" t="str">
        <f t="shared" si="88"/>
        <v>738684</v>
      </c>
      <c r="E284" s="4">
        <v>738684</v>
      </c>
      <c r="F284" s="4" t="str">
        <f t="shared" si="104"/>
        <v>7386845</v>
      </c>
      <c r="G284" s="4" t="s">
        <v>694</v>
      </c>
      <c r="H284" s="5">
        <v>4974268400024</v>
      </c>
      <c r="I284" s="5">
        <v>5</v>
      </c>
      <c r="J284" s="5"/>
      <c r="K284" s="5">
        <v>1</v>
      </c>
      <c r="L284" s="5">
        <v>1</v>
      </c>
      <c r="M284" s="4">
        <v>1550</v>
      </c>
      <c r="N284" s="4">
        <v>1243</v>
      </c>
      <c r="O284" s="4">
        <v>930</v>
      </c>
      <c r="P284" s="6">
        <f t="shared" si="89"/>
        <v>0.25181013676588893</v>
      </c>
      <c r="Q284" s="4" t="s">
        <v>1280</v>
      </c>
      <c r="R284" s="4" t="s">
        <v>1280</v>
      </c>
      <c r="S284" s="4" t="s">
        <v>1280</v>
      </c>
      <c r="T284" s="4">
        <v>1700</v>
      </c>
      <c r="U284" s="4">
        <f t="shared" si="90"/>
        <v>1700</v>
      </c>
      <c r="V284" s="4">
        <v>1020</v>
      </c>
      <c r="W284" s="4">
        <f t="shared" si="91"/>
        <v>1020</v>
      </c>
      <c r="X284" s="4"/>
      <c r="Y284" s="21">
        <f t="shared" si="92"/>
        <v>1363</v>
      </c>
      <c r="Z284" s="6">
        <f t="shared" si="93"/>
        <v>0.25165077035950112</v>
      </c>
      <c r="AA284" s="4">
        <v>0.75</v>
      </c>
      <c r="AB284" s="4">
        <f t="shared" si="94"/>
        <v>1355</v>
      </c>
      <c r="AC284" s="4">
        <f t="shared" si="105"/>
        <v>1486.1290322580644</v>
      </c>
      <c r="AD284" s="6">
        <f t="shared" si="106"/>
        <v>0.31365313653136528</v>
      </c>
      <c r="AE284" s="4">
        <f t="shared" si="107"/>
        <v>1615</v>
      </c>
      <c r="AF284" s="7">
        <v>1486</v>
      </c>
      <c r="AG284" s="6">
        <f t="shared" si="95"/>
        <v>0.31359353970390313</v>
      </c>
      <c r="AH284" s="4">
        <f t="shared" si="96"/>
        <v>466</v>
      </c>
      <c r="AI284" s="28"/>
      <c r="AJ284" s="6"/>
      <c r="AK284" s="6"/>
      <c r="AL284" s="6">
        <f t="shared" si="97"/>
        <v>1.096774193548387</v>
      </c>
      <c r="AM284" s="6">
        <f t="shared" si="98"/>
        <v>1.1954947707160097</v>
      </c>
      <c r="AN284" s="6">
        <f t="shared" si="99"/>
        <v>1.096774193548387</v>
      </c>
      <c r="AO284" s="4" t="str">
        <f t="shared" si="100"/>
        <v>-</v>
      </c>
      <c r="AP284" s="4" t="str">
        <f t="shared" si="101"/>
        <v>-</v>
      </c>
      <c r="AQ284" s="4" t="str">
        <f t="shared" si="102"/>
        <v>-</v>
      </c>
      <c r="AR284" s="4" t="s">
        <v>1286</v>
      </c>
      <c r="AS284" s="4" t="s">
        <v>1747</v>
      </c>
      <c r="AT284" s="4"/>
      <c r="AU284" s="4"/>
      <c r="AV284" s="4" t="s">
        <v>1695</v>
      </c>
      <c r="AW284" s="4">
        <v>1355</v>
      </c>
      <c r="AX284" s="4">
        <v>1355</v>
      </c>
      <c r="AY284" s="4">
        <v>1355</v>
      </c>
      <c r="AZ284" s="4">
        <f t="shared" si="103"/>
        <v>1355</v>
      </c>
      <c r="BA284" s="19">
        <v>4</v>
      </c>
      <c r="BB284" s="19">
        <v>1</v>
      </c>
      <c r="BC284" s="16">
        <v>19</v>
      </c>
      <c r="BD284" t="s">
        <v>1280</v>
      </c>
      <c r="BE284" t="s">
        <v>1280</v>
      </c>
      <c r="BF284" t="s">
        <v>1280</v>
      </c>
      <c r="BG284" t="str">
        <f t="shared" si="108"/>
        <v>-</v>
      </c>
      <c r="BH284">
        <v>1375</v>
      </c>
      <c r="BI284">
        <v>1375</v>
      </c>
      <c r="BJ284">
        <v>1375</v>
      </c>
      <c r="BK284">
        <f t="shared" si="109"/>
        <v>1508.0645161290322</v>
      </c>
      <c r="BL284" t="s">
        <v>1332</v>
      </c>
      <c r="BM284">
        <v>812</v>
      </c>
    </row>
    <row r="285" spans="1:65" x14ac:dyDescent="0.4">
      <c r="A285" s="3">
        <v>457</v>
      </c>
      <c r="B285" s="3">
        <v>457</v>
      </c>
      <c r="C285" s="4" t="s">
        <v>446</v>
      </c>
      <c r="D285" s="4" t="str">
        <f t="shared" si="88"/>
        <v>J54518</v>
      </c>
      <c r="E285" s="4" t="s">
        <v>446</v>
      </c>
      <c r="F285" s="4" t="str">
        <f t="shared" si="104"/>
        <v>J545185</v>
      </c>
      <c r="G285" s="4" t="s">
        <v>1090</v>
      </c>
      <c r="H285" s="5">
        <v>4974268560070</v>
      </c>
      <c r="I285" s="5">
        <v>5</v>
      </c>
      <c r="J285" s="5"/>
      <c r="K285" s="5">
        <v>1</v>
      </c>
      <c r="L285" s="5">
        <v>1</v>
      </c>
      <c r="M285" s="4">
        <v>1560</v>
      </c>
      <c r="N285" s="4">
        <v>1518</v>
      </c>
      <c r="O285" s="4">
        <v>936</v>
      </c>
      <c r="P285" s="6">
        <f t="shared" si="89"/>
        <v>0.38339920948616601</v>
      </c>
      <c r="Q285" s="4" t="s">
        <v>1280</v>
      </c>
      <c r="R285" s="4" t="s">
        <v>1280</v>
      </c>
      <c r="S285" s="4" t="s">
        <v>1280</v>
      </c>
      <c r="T285" s="4">
        <v>1700</v>
      </c>
      <c r="U285" s="4">
        <f t="shared" si="90"/>
        <v>1700</v>
      </c>
      <c r="V285" s="4">
        <v>1020</v>
      </c>
      <c r="W285" s="4">
        <f t="shared" si="91"/>
        <v>1020</v>
      </c>
      <c r="X285" s="4"/>
      <c r="Y285" s="21">
        <f t="shared" si="92"/>
        <v>1654</v>
      </c>
      <c r="Z285" s="6">
        <f t="shared" si="93"/>
        <v>0.38331318016928662</v>
      </c>
      <c r="AA285" s="4">
        <v>0.5</v>
      </c>
      <c r="AB285" s="4">
        <f t="shared" si="94"/>
        <v>1128</v>
      </c>
      <c r="AC285" s="4">
        <f t="shared" si="105"/>
        <v>1229.2307692307691</v>
      </c>
      <c r="AD285" s="6">
        <f t="shared" si="106"/>
        <v>0.17021276595744672</v>
      </c>
      <c r="AE285" s="4">
        <f t="shared" si="107"/>
        <v>1615</v>
      </c>
      <c r="AF285" s="7">
        <v>1635</v>
      </c>
      <c r="AG285" s="6">
        <f t="shared" si="95"/>
        <v>0.37614678899082565</v>
      </c>
      <c r="AH285" s="4">
        <f t="shared" si="96"/>
        <v>615</v>
      </c>
      <c r="AI285" s="28"/>
      <c r="AJ285" s="6"/>
      <c r="AK285" s="6"/>
      <c r="AL285" s="6">
        <f t="shared" si="97"/>
        <v>1.0897435897435896</v>
      </c>
      <c r="AM285" s="6">
        <f t="shared" si="98"/>
        <v>1.0770750988142292</v>
      </c>
      <c r="AN285" s="6">
        <f t="shared" si="99"/>
        <v>1.0897435897435896</v>
      </c>
      <c r="AO285" s="4" t="str">
        <f t="shared" si="100"/>
        <v>-</v>
      </c>
      <c r="AP285" s="4" t="str">
        <f t="shared" si="101"/>
        <v>-</v>
      </c>
      <c r="AQ285" s="4" t="str">
        <f t="shared" si="102"/>
        <v>-</v>
      </c>
      <c r="AR285" s="4">
        <v>0</v>
      </c>
      <c r="AS285" s="4" t="s">
        <v>2016</v>
      </c>
      <c r="AT285" s="4"/>
      <c r="AU285" s="4"/>
      <c r="AV285" s="4" t="s">
        <v>1721</v>
      </c>
      <c r="AW285" s="4">
        <v>1128</v>
      </c>
      <c r="AX285" s="4">
        <v>1128</v>
      </c>
      <c r="AY285" s="4">
        <v>1128</v>
      </c>
      <c r="AZ285" s="4">
        <f t="shared" si="103"/>
        <v>1128</v>
      </c>
      <c r="BA285" s="19">
        <v>4</v>
      </c>
      <c r="BB285" s="19">
        <v>8</v>
      </c>
      <c r="BC285" s="16">
        <v>18</v>
      </c>
      <c r="BD285" t="s">
        <v>1280</v>
      </c>
      <c r="BE285" t="s">
        <v>1280</v>
      </c>
      <c r="BF285" t="s">
        <v>1280</v>
      </c>
      <c r="BG285" t="str">
        <f t="shared" si="108"/>
        <v>-</v>
      </c>
      <c r="BH285">
        <v>1501</v>
      </c>
      <c r="BI285">
        <v>1501</v>
      </c>
      <c r="BJ285">
        <v>1501</v>
      </c>
      <c r="BK285">
        <f t="shared" si="109"/>
        <v>1635.7051282051279</v>
      </c>
      <c r="BL285" t="s">
        <v>1532</v>
      </c>
      <c r="BM285">
        <v>812</v>
      </c>
    </row>
    <row r="286" spans="1:65" x14ac:dyDescent="0.4">
      <c r="A286" s="3">
        <v>609</v>
      </c>
      <c r="B286" s="3">
        <v>609</v>
      </c>
      <c r="C286" s="4" t="s">
        <v>598</v>
      </c>
      <c r="D286" s="4" t="str">
        <f t="shared" si="88"/>
        <v>J951WN</v>
      </c>
      <c r="E286" s="4" t="s">
        <v>598</v>
      </c>
      <c r="F286" s="4" t="str">
        <f t="shared" si="104"/>
        <v>J951WN5</v>
      </c>
      <c r="G286" s="4" t="s">
        <v>1242</v>
      </c>
      <c r="H286" s="5">
        <v>4974268560094</v>
      </c>
      <c r="I286" s="5">
        <v>5</v>
      </c>
      <c r="J286" s="5"/>
      <c r="K286" s="5">
        <v>1</v>
      </c>
      <c r="L286" s="5">
        <v>1</v>
      </c>
      <c r="M286" s="4">
        <v>1560</v>
      </c>
      <c r="N286" s="4">
        <v>1340</v>
      </c>
      <c r="O286" s="4">
        <v>936</v>
      </c>
      <c r="P286" s="6">
        <f t="shared" si="89"/>
        <v>0.30149253731343284</v>
      </c>
      <c r="Q286" s="4" t="s">
        <v>1280</v>
      </c>
      <c r="R286" s="4" t="s">
        <v>1280</v>
      </c>
      <c r="S286" s="4" t="s">
        <v>1280</v>
      </c>
      <c r="T286" s="4">
        <v>1700</v>
      </c>
      <c r="U286" s="4">
        <f t="shared" si="90"/>
        <v>1700</v>
      </c>
      <c r="V286" s="4">
        <v>1020</v>
      </c>
      <c r="W286" s="4">
        <f t="shared" si="91"/>
        <v>1020</v>
      </c>
      <c r="X286" s="4"/>
      <c r="Y286" s="21">
        <f t="shared" si="92"/>
        <v>1460</v>
      </c>
      <c r="Z286" s="6">
        <f t="shared" si="93"/>
        <v>0.30136986301369861</v>
      </c>
      <c r="AA286" s="4">
        <v>0</v>
      </c>
      <c r="AB286" s="4">
        <f t="shared" si="94"/>
        <v>1391</v>
      </c>
      <c r="AC286" s="4">
        <f t="shared" si="105"/>
        <v>1515.8333333333333</v>
      </c>
      <c r="AD286" s="6">
        <f t="shared" si="106"/>
        <v>0.32710280373831768</v>
      </c>
      <c r="AE286" s="4">
        <f t="shared" si="107"/>
        <v>1615</v>
      </c>
      <c r="AF286" s="7">
        <v>1515</v>
      </c>
      <c r="AG286" s="6">
        <f t="shared" si="95"/>
        <v>0.32673267326732669</v>
      </c>
      <c r="AH286" s="4">
        <f t="shared" si="96"/>
        <v>495</v>
      </c>
      <c r="AI286" s="28"/>
      <c r="AJ286" s="6"/>
      <c r="AK286" s="6"/>
      <c r="AL286" s="6">
        <f t="shared" si="97"/>
        <v>1.0897435897435896</v>
      </c>
      <c r="AM286" s="6">
        <f t="shared" si="98"/>
        <v>1.1305970149253732</v>
      </c>
      <c r="AN286" s="6">
        <f t="shared" si="99"/>
        <v>1.0897435897435896</v>
      </c>
      <c r="AO286" s="4" t="str">
        <f t="shared" si="100"/>
        <v>-</v>
      </c>
      <c r="AP286" s="4" t="str">
        <f t="shared" si="101"/>
        <v>-</v>
      </c>
      <c r="AQ286" s="4" t="str">
        <f t="shared" si="102"/>
        <v>-</v>
      </c>
      <c r="AR286" s="4">
        <v>0</v>
      </c>
      <c r="AS286" s="4" t="s">
        <v>2168</v>
      </c>
      <c r="AT286" s="4"/>
      <c r="AU286" s="4"/>
      <c r="AV286" s="4" t="s">
        <v>1721</v>
      </c>
      <c r="AW286" s="4">
        <v>1391</v>
      </c>
      <c r="AX286" s="4">
        <v>1391</v>
      </c>
      <c r="AY286" s="4">
        <v>1391</v>
      </c>
      <c r="AZ286" s="4">
        <f t="shared" si="103"/>
        <v>1391</v>
      </c>
      <c r="BA286" s="19">
        <v>4</v>
      </c>
      <c r="BB286" s="19">
        <v>8</v>
      </c>
      <c r="BC286" s="16">
        <v>18</v>
      </c>
      <c r="BD286" t="s">
        <v>1280</v>
      </c>
      <c r="BE286" t="s">
        <v>1280</v>
      </c>
      <c r="BF286" t="s">
        <v>1280</v>
      </c>
      <c r="BG286" t="str">
        <f t="shared" si="108"/>
        <v>-</v>
      </c>
      <c r="BH286">
        <v>1500</v>
      </c>
      <c r="BI286">
        <v>1500</v>
      </c>
      <c r="BJ286">
        <v>1500</v>
      </c>
      <c r="BK286">
        <f t="shared" si="109"/>
        <v>1634.6153846153845</v>
      </c>
      <c r="BL286" t="s">
        <v>1651</v>
      </c>
      <c r="BM286">
        <v>812</v>
      </c>
    </row>
    <row r="287" spans="1:65" x14ac:dyDescent="0.4">
      <c r="A287" s="3">
        <v>379</v>
      </c>
      <c r="B287" s="3">
        <v>379</v>
      </c>
      <c r="C287" s="4" t="s">
        <v>368</v>
      </c>
      <c r="D287" s="4" t="str">
        <f t="shared" si="88"/>
        <v>J4029N</v>
      </c>
      <c r="E287" s="4" t="s">
        <v>368</v>
      </c>
      <c r="F287" s="4" t="str">
        <f t="shared" si="104"/>
        <v>J4029N5</v>
      </c>
      <c r="G287" s="4" t="s">
        <v>1013</v>
      </c>
      <c r="H287" s="5">
        <v>4529671008451</v>
      </c>
      <c r="I287" s="5">
        <v>5</v>
      </c>
      <c r="J287" s="5"/>
      <c r="K287" s="5">
        <v>1</v>
      </c>
      <c r="L287" s="5">
        <v>1</v>
      </c>
      <c r="M287" s="4">
        <v>0</v>
      </c>
      <c r="N287" s="4">
        <v>1390</v>
      </c>
      <c r="O287" s="4">
        <v>948</v>
      </c>
      <c r="P287" s="6">
        <f t="shared" si="89"/>
        <v>0.31798561151079141</v>
      </c>
      <c r="Q287" s="4" t="s">
        <v>1280</v>
      </c>
      <c r="R287" s="4" t="s">
        <v>1280</v>
      </c>
      <c r="S287" s="4" t="s">
        <v>1280</v>
      </c>
      <c r="T287" s="4">
        <v>0</v>
      </c>
      <c r="U287" s="4">
        <f t="shared" si="90"/>
        <v>0</v>
      </c>
      <c r="V287" s="4">
        <v>1032</v>
      </c>
      <c r="W287" s="4">
        <f t="shared" si="91"/>
        <v>1032</v>
      </c>
      <c r="X287" s="4"/>
      <c r="Y287" s="21">
        <f t="shared" si="92"/>
        <v>1513</v>
      </c>
      <c r="Z287" s="6">
        <f t="shared" si="93"/>
        <v>0.31791143423661594</v>
      </c>
      <c r="AA287" s="4">
        <v>0</v>
      </c>
      <c r="AB287" s="4" t="str">
        <f t="shared" si="94"/>
        <v>-</v>
      </c>
      <c r="AC287" s="4" t="str">
        <f t="shared" si="105"/>
        <v>-</v>
      </c>
      <c r="AD287" s="6" t="str">
        <f t="shared" si="106"/>
        <v>-</v>
      </c>
      <c r="AE287" s="4">
        <f t="shared" si="107"/>
        <v>0</v>
      </c>
      <c r="AF287" s="7">
        <v>1580</v>
      </c>
      <c r="AG287" s="6">
        <f t="shared" si="95"/>
        <v>0.34683544303797464</v>
      </c>
      <c r="AH287" s="4">
        <f t="shared" si="96"/>
        <v>548</v>
      </c>
      <c r="AI287" s="28"/>
      <c r="AJ287" s="6"/>
      <c r="AK287" s="6"/>
      <c r="AL287" s="6" t="e">
        <f t="shared" si="97"/>
        <v>#DIV/0!</v>
      </c>
      <c r="AM287" s="6">
        <f t="shared" si="98"/>
        <v>1.1366906474820144</v>
      </c>
      <c r="AN287" s="6">
        <f t="shared" si="99"/>
        <v>1.0886075949367089</v>
      </c>
      <c r="AO287" s="4" t="str">
        <f t="shared" si="100"/>
        <v>-</v>
      </c>
      <c r="AP287" s="4" t="str">
        <f t="shared" si="101"/>
        <v>-</v>
      </c>
      <c r="AQ287" s="4" t="str">
        <f t="shared" si="102"/>
        <v>-</v>
      </c>
      <c r="AR287" s="4">
        <v>0</v>
      </c>
      <c r="AS287" s="4" t="s">
        <v>1280</v>
      </c>
      <c r="AT287" s="4"/>
      <c r="AU287" s="4"/>
      <c r="AV287" s="4" t="s">
        <v>1280</v>
      </c>
      <c r="AW287" s="4" t="s">
        <v>1280</v>
      </c>
      <c r="AX287" s="4" t="s">
        <v>1280</v>
      </c>
      <c r="AY287" s="4" t="s">
        <v>1280</v>
      </c>
      <c r="AZ287" s="4" t="str">
        <f t="shared" si="103"/>
        <v>-</v>
      </c>
      <c r="BA287" s="19">
        <v>4</v>
      </c>
      <c r="BB287" s="19">
        <v>8</v>
      </c>
      <c r="BC287" s="16">
        <v>19</v>
      </c>
      <c r="BD287" t="s">
        <v>1280</v>
      </c>
      <c r="BE287" t="s">
        <v>1280</v>
      </c>
      <c r="BF287" t="s">
        <v>1280</v>
      </c>
      <c r="BG287" t="str">
        <f t="shared" si="108"/>
        <v>-</v>
      </c>
      <c r="BH287">
        <v>1189</v>
      </c>
      <c r="BI287">
        <v>1189</v>
      </c>
      <c r="BJ287">
        <v>1189</v>
      </c>
      <c r="BK287">
        <f t="shared" si="109"/>
        <v>1294.3544303797469</v>
      </c>
      <c r="BL287" t="s">
        <v>1280</v>
      </c>
      <c r="BM287">
        <v>812</v>
      </c>
    </row>
    <row r="288" spans="1:65" x14ac:dyDescent="0.4">
      <c r="A288" s="3">
        <v>72</v>
      </c>
      <c r="B288" s="3">
        <v>72</v>
      </c>
      <c r="C288" s="4" t="s">
        <v>61</v>
      </c>
      <c r="D288" s="4" t="str">
        <f t="shared" si="88"/>
        <v>J021WG</v>
      </c>
      <c r="E288" s="4" t="s">
        <v>61</v>
      </c>
      <c r="F288" s="4" t="str">
        <f t="shared" si="104"/>
        <v>J021WG5</v>
      </c>
      <c r="G288" s="4" t="s">
        <v>707</v>
      </c>
      <c r="H288" s="5">
        <v>4974268144843</v>
      </c>
      <c r="I288" s="5">
        <v>5</v>
      </c>
      <c r="J288" s="5"/>
      <c r="K288" s="5">
        <v>1</v>
      </c>
      <c r="L288" s="5">
        <v>1</v>
      </c>
      <c r="M288" s="4">
        <v>1600</v>
      </c>
      <c r="N288" s="4">
        <v>1477</v>
      </c>
      <c r="O288" s="4">
        <v>960</v>
      </c>
      <c r="P288" s="6">
        <f t="shared" si="89"/>
        <v>0.3500338524035207</v>
      </c>
      <c r="Q288" s="4" t="s">
        <v>1280</v>
      </c>
      <c r="R288" s="4" t="s">
        <v>1280</v>
      </c>
      <c r="S288" s="4" t="s">
        <v>1280</v>
      </c>
      <c r="T288" s="4">
        <v>1750</v>
      </c>
      <c r="U288" s="4">
        <f t="shared" si="90"/>
        <v>1750</v>
      </c>
      <c r="V288" s="4">
        <v>1050</v>
      </c>
      <c r="W288" s="4">
        <f t="shared" si="91"/>
        <v>1050</v>
      </c>
      <c r="X288" s="4"/>
      <c r="Y288" s="21">
        <f t="shared" si="92"/>
        <v>1615</v>
      </c>
      <c r="Z288" s="6">
        <f t="shared" si="93"/>
        <v>0.34984520123839014</v>
      </c>
      <c r="AA288" s="4">
        <v>0</v>
      </c>
      <c r="AB288" s="4">
        <f t="shared" si="94"/>
        <v>728</v>
      </c>
      <c r="AC288" s="4">
        <f t="shared" si="105"/>
        <v>796.25</v>
      </c>
      <c r="AD288" s="6">
        <f t="shared" si="106"/>
        <v>-0.31868131868131866</v>
      </c>
      <c r="AE288" s="4">
        <f t="shared" si="107"/>
        <v>1662.5</v>
      </c>
      <c r="AF288" s="7">
        <v>1615</v>
      </c>
      <c r="AG288" s="6">
        <f t="shared" si="95"/>
        <v>0.34984520123839014</v>
      </c>
      <c r="AH288" s="4">
        <f t="shared" si="96"/>
        <v>565</v>
      </c>
      <c r="AI288" s="28"/>
      <c r="AJ288" s="6"/>
      <c r="AK288" s="6"/>
      <c r="AL288" s="6">
        <f t="shared" si="97"/>
        <v>1.09375</v>
      </c>
      <c r="AM288" s="6">
        <f t="shared" si="98"/>
        <v>1.093432633716994</v>
      </c>
      <c r="AN288" s="6">
        <f t="shared" si="99"/>
        <v>1.09375</v>
      </c>
      <c r="AO288" s="4" t="str">
        <f t="shared" si="100"/>
        <v>-</v>
      </c>
      <c r="AP288" s="4" t="str">
        <f t="shared" si="101"/>
        <v>-</v>
      </c>
      <c r="AQ288" s="4" t="str">
        <f t="shared" si="102"/>
        <v>-</v>
      </c>
      <c r="AR288" s="4">
        <v>0</v>
      </c>
      <c r="AS288" s="4" t="s">
        <v>1765</v>
      </c>
      <c r="AT288" s="4"/>
      <c r="AU288" s="4"/>
      <c r="AV288" s="4" t="s">
        <v>1766</v>
      </c>
      <c r="AW288" s="4">
        <v>728</v>
      </c>
      <c r="AX288" s="4">
        <v>728</v>
      </c>
      <c r="AY288" s="4">
        <v>728</v>
      </c>
      <c r="AZ288" s="4">
        <f t="shared" si="103"/>
        <v>728</v>
      </c>
      <c r="BA288" s="19">
        <v>4</v>
      </c>
      <c r="BB288" s="19">
        <v>8</v>
      </c>
      <c r="BC288" s="16">
        <v>18</v>
      </c>
      <c r="BD288" t="s">
        <v>1280</v>
      </c>
      <c r="BE288" t="s">
        <v>1280</v>
      </c>
      <c r="BF288" t="s">
        <v>1280</v>
      </c>
      <c r="BG288" t="str">
        <f t="shared" si="108"/>
        <v>-</v>
      </c>
      <c r="BH288" t="s">
        <v>1280</v>
      </c>
      <c r="BI288" t="s">
        <v>1280</v>
      </c>
      <c r="BJ288" t="s">
        <v>1280</v>
      </c>
      <c r="BK288" t="str">
        <f t="shared" si="109"/>
        <v>-</v>
      </c>
      <c r="BL288" t="s">
        <v>1344</v>
      </c>
      <c r="BM288">
        <v>812</v>
      </c>
    </row>
    <row r="289" spans="1:65" x14ac:dyDescent="0.4">
      <c r="A289" s="3">
        <v>210</v>
      </c>
      <c r="B289" s="3">
        <v>210</v>
      </c>
      <c r="C289" s="4" t="s">
        <v>199</v>
      </c>
      <c r="D289" s="4" t="str">
        <f t="shared" si="88"/>
        <v>J3067N</v>
      </c>
      <c r="E289" s="4" t="s">
        <v>199</v>
      </c>
      <c r="F289" s="4" t="str">
        <f t="shared" si="104"/>
        <v>J3067N5</v>
      </c>
      <c r="G289" s="4" t="s">
        <v>845</v>
      </c>
      <c r="H289" s="5">
        <v>4974268572172</v>
      </c>
      <c r="I289" s="5">
        <v>5</v>
      </c>
      <c r="J289" s="5"/>
      <c r="K289" s="5">
        <v>1</v>
      </c>
      <c r="L289" s="5">
        <v>1</v>
      </c>
      <c r="M289" s="4">
        <v>1500</v>
      </c>
      <c r="N289" s="4">
        <v>1425</v>
      </c>
      <c r="O289" s="4">
        <v>900</v>
      </c>
      <c r="P289" s="6">
        <f t="shared" si="89"/>
        <v>0.36842105263157898</v>
      </c>
      <c r="Q289" s="4" t="s">
        <v>1280</v>
      </c>
      <c r="R289" s="4" t="s">
        <v>1280</v>
      </c>
      <c r="S289" s="4" t="s">
        <v>1280</v>
      </c>
      <c r="T289" s="4">
        <v>1750</v>
      </c>
      <c r="U289" s="4">
        <f t="shared" si="90"/>
        <v>1750</v>
      </c>
      <c r="V289" s="4">
        <v>1050</v>
      </c>
      <c r="W289" s="4">
        <f t="shared" si="91"/>
        <v>1050</v>
      </c>
      <c r="X289" s="4"/>
      <c r="Y289" s="21">
        <f t="shared" si="92"/>
        <v>1663</v>
      </c>
      <c r="Z289" s="6">
        <f t="shared" si="93"/>
        <v>0.36861094407696937</v>
      </c>
      <c r="AA289" s="4">
        <v>0</v>
      </c>
      <c r="AB289" s="4" t="str">
        <f t="shared" si="94"/>
        <v>-</v>
      </c>
      <c r="AC289" s="4" t="str">
        <f t="shared" si="105"/>
        <v>-</v>
      </c>
      <c r="AD289" s="6" t="str">
        <f t="shared" si="106"/>
        <v>-</v>
      </c>
      <c r="AE289" s="4">
        <f t="shared" si="107"/>
        <v>1662.5</v>
      </c>
      <c r="AF289" s="7">
        <v>1590</v>
      </c>
      <c r="AG289" s="6">
        <f t="shared" si="95"/>
        <v>0.339622641509434</v>
      </c>
      <c r="AH289" s="4">
        <f t="shared" si="96"/>
        <v>540</v>
      </c>
      <c r="AI289" s="28"/>
      <c r="AJ289" s="6"/>
      <c r="AK289" s="6"/>
      <c r="AL289" s="6">
        <f t="shared" si="97"/>
        <v>1.1666666666666667</v>
      </c>
      <c r="AM289" s="6">
        <f t="shared" si="98"/>
        <v>1.1157894736842104</v>
      </c>
      <c r="AN289" s="6">
        <f t="shared" si="99"/>
        <v>1.1666666666666667</v>
      </c>
      <c r="AO289" s="4" t="str">
        <f t="shared" si="100"/>
        <v>-</v>
      </c>
      <c r="AP289" s="4" t="str">
        <f t="shared" si="101"/>
        <v>-</v>
      </c>
      <c r="AQ289" s="4" t="str">
        <f t="shared" si="102"/>
        <v>-</v>
      </c>
      <c r="AR289" s="4">
        <v>0</v>
      </c>
      <c r="AS289" s="4" t="s">
        <v>1280</v>
      </c>
      <c r="AT289" s="4"/>
      <c r="AU289" s="4"/>
      <c r="AV289" s="4" t="s">
        <v>1280</v>
      </c>
      <c r="AW289" s="4" t="s">
        <v>1280</v>
      </c>
      <c r="AX289" s="4" t="s">
        <v>1280</v>
      </c>
      <c r="AY289" s="4" t="s">
        <v>1280</v>
      </c>
      <c r="AZ289" s="4" t="str">
        <f t="shared" si="103"/>
        <v>-</v>
      </c>
      <c r="BA289" s="19">
        <v>4</v>
      </c>
      <c r="BB289" s="19">
        <v>8</v>
      </c>
      <c r="BC289" s="16">
        <v>18</v>
      </c>
      <c r="BD289" t="s">
        <v>1280</v>
      </c>
      <c r="BE289" t="s">
        <v>1280</v>
      </c>
      <c r="BF289" t="s">
        <v>1280</v>
      </c>
      <c r="BG289" t="str">
        <f t="shared" si="108"/>
        <v>-</v>
      </c>
      <c r="BH289" t="s">
        <v>1280</v>
      </c>
      <c r="BI289">
        <v>1364</v>
      </c>
      <c r="BJ289">
        <v>1364</v>
      </c>
      <c r="BK289">
        <f t="shared" si="109"/>
        <v>1591.3333333333335</v>
      </c>
      <c r="BL289" t="s">
        <v>1280</v>
      </c>
      <c r="BM289">
        <v>812</v>
      </c>
    </row>
    <row r="290" spans="1:65" x14ac:dyDescent="0.4">
      <c r="A290" s="3">
        <v>211</v>
      </c>
      <c r="B290" s="3">
        <v>211</v>
      </c>
      <c r="C290" s="4" t="s">
        <v>200</v>
      </c>
      <c r="D290" s="4" t="str">
        <f t="shared" si="88"/>
        <v>J3068N</v>
      </c>
      <c r="E290" s="4" t="s">
        <v>200</v>
      </c>
      <c r="F290" s="4" t="str">
        <f t="shared" si="104"/>
        <v>J3068N5</v>
      </c>
      <c r="G290" s="4" t="s">
        <v>846</v>
      </c>
      <c r="H290" s="5">
        <v>4974268572189</v>
      </c>
      <c r="I290" s="5">
        <v>5</v>
      </c>
      <c r="J290" s="5"/>
      <c r="K290" s="5">
        <v>1</v>
      </c>
      <c r="L290" s="5">
        <v>1</v>
      </c>
      <c r="M290" s="4">
        <v>1500</v>
      </c>
      <c r="N290" s="4">
        <v>1425</v>
      </c>
      <c r="O290" s="4">
        <v>900</v>
      </c>
      <c r="P290" s="6">
        <f t="shared" si="89"/>
        <v>0.36842105263157898</v>
      </c>
      <c r="Q290" s="4" t="s">
        <v>1280</v>
      </c>
      <c r="R290" s="4" t="s">
        <v>1280</v>
      </c>
      <c r="S290" s="4" t="s">
        <v>1280</v>
      </c>
      <c r="T290" s="4">
        <v>1750</v>
      </c>
      <c r="U290" s="4">
        <f t="shared" si="90"/>
        <v>1750</v>
      </c>
      <c r="V290" s="4">
        <v>1050</v>
      </c>
      <c r="W290" s="4">
        <f t="shared" si="91"/>
        <v>1050</v>
      </c>
      <c r="X290" s="4"/>
      <c r="Y290" s="21">
        <f t="shared" si="92"/>
        <v>1663</v>
      </c>
      <c r="Z290" s="6">
        <f t="shared" si="93"/>
        <v>0.36861094407696937</v>
      </c>
      <c r="AA290" s="4">
        <v>0</v>
      </c>
      <c r="AB290" s="4" t="str">
        <f t="shared" si="94"/>
        <v>-</v>
      </c>
      <c r="AC290" s="4" t="str">
        <f t="shared" si="105"/>
        <v>-</v>
      </c>
      <c r="AD290" s="6" t="str">
        <f t="shared" si="106"/>
        <v>-</v>
      </c>
      <c r="AE290" s="4">
        <f t="shared" si="107"/>
        <v>1662.5</v>
      </c>
      <c r="AF290" s="7">
        <v>1590</v>
      </c>
      <c r="AG290" s="6">
        <f t="shared" si="95"/>
        <v>0.339622641509434</v>
      </c>
      <c r="AH290" s="4">
        <f t="shared" si="96"/>
        <v>540</v>
      </c>
      <c r="AI290" s="28"/>
      <c r="AJ290" s="6"/>
      <c r="AK290" s="6"/>
      <c r="AL290" s="6">
        <f t="shared" si="97"/>
        <v>1.1666666666666667</v>
      </c>
      <c r="AM290" s="6">
        <f t="shared" si="98"/>
        <v>1.1157894736842104</v>
      </c>
      <c r="AN290" s="6">
        <f t="shared" si="99"/>
        <v>1.1666666666666667</v>
      </c>
      <c r="AO290" s="4" t="str">
        <f t="shared" si="100"/>
        <v>-</v>
      </c>
      <c r="AP290" s="4" t="str">
        <f t="shared" si="101"/>
        <v>-</v>
      </c>
      <c r="AQ290" s="4" t="str">
        <f t="shared" si="102"/>
        <v>-</v>
      </c>
      <c r="AR290" s="4">
        <v>0</v>
      </c>
      <c r="AS290" s="4" t="s">
        <v>1280</v>
      </c>
      <c r="AT290" s="4"/>
      <c r="AU290" s="4"/>
      <c r="AV290" s="4" t="s">
        <v>1280</v>
      </c>
      <c r="AW290" s="4" t="s">
        <v>1280</v>
      </c>
      <c r="AX290" s="4" t="s">
        <v>1280</v>
      </c>
      <c r="AY290" s="4" t="s">
        <v>1280</v>
      </c>
      <c r="AZ290" s="4" t="str">
        <f t="shared" si="103"/>
        <v>-</v>
      </c>
      <c r="BA290" s="19">
        <v>4</v>
      </c>
      <c r="BB290" s="19">
        <v>8</v>
      </c>
      <c r="BC290" s="16">
        <v>18</v>
      </c>
      <c r="BD290" t="s">
        <v>1280</v>
      </c>
      <c r="BE290" t="s">
        <v>1280</v>
      </c>
      <c r="BF290" t="s">
        <v>1280</v>
      </c>
      <c r="BG290" t="str">
        <f t="shared" si="108"/>
        <v>-</v>
      </c>
      <c r="BH290" t="s">
        <v>1280</v>
      </c>
      <c r="BI290">
        <v>1364</v>
      </c>
      <c r="BJ290">
        <v>1364</v>
      </c>
      <c r="BK290">
        <f t="shared" si="109"/>
        <v>1591.3333333333335</v>
      </c>
      <c r="BL290" t="s">
        <v>1280</v>
      </c>
      <c r="BM290">
        <v>812</v>
      </c>
    </row>
    <row r="291" spans="1:65" x14ac:dyDescent="0.4">
      <c r="A291" s="3">
        <v>215</v>
      </c>
      <c r="B291" s="3">
        <v>215</v>
      </c>
      <c r="C291" s="4" t="s">
        <v>204</v>
      </c>
      <c r="D291" s="4" t="str">
        <f t="shared" si="88"/>
        <v>J3069N</v>
      </c>
      <c r="E291" s="4" t="s">
        <v>204</v>
      </c>
      <c r="F291" s="4" t="str">
        <f t="shared" si="104"/>
        <v>J3069N5</v>
      </c>
      <c r="G291" s="4" t="s">
        <v>850</v>
      </c>
      <c r="H291" s="5">
        <v>4974268572196</v>
      </c>
      <c r="I291" s="5">
        <v>5</v>
      </c>
      <c r="J291" s="5"/>
      <c r="K291" s="5">
        <v>1</v>
      </c>
      <c r="L291" s="5">
        <v>1</v>
      </c>
      <c r="M291" s="4">
        <v>1550</v>
      </c>
      <c r="N291" s="4">
        <v>1473</v>
      </c>
      <c r="O291" s="4">
        <v>930</v>
      </c>
      <c r="P291" s="6">
        <f t="shared" si="89"/>
        <v>0.3686354378818737</v>
      </c>
      <c r="Q291" s="4" t="s">
        <v>1280</v>
      </c>
      <c r="R291" s="4" t="s">
        <v>1280</v>
      </c>
      <c r="S291" s="4" t="s">
        <v>1280</v>
      </c>
      <c r="T291" s="4">
        <v>1750</v>
      </c>
      <c r="U291" s="4">
        <f t="shared" si="90"/>
        <v>1750</v>
      </c>
      <c r="V291" s="4">
        <v>1050</v>
      </c>
      <c r="W291" s="4">
        <f t="shared" si="91"/>
        <v>1050</v>
      </c>
      <c r="X291" s="4"/>
      <c r="Y291" s="21">
        <f t="shared" si="92"/>
        <v>1663</v>
      </c>
      <c r="Z291" s="6">
        <f t="shared" si="93"/>
        <v>0.36861094407696937</v>
      </c>
      <c r="AA291" s="4">
        <v>0</v>
      </c>
      <c r="AB291" s="4" t="str">
        <f t="shared" si="94"/>
        <v>-</v>
      </c>
      <c r="AC291" s="4" t="str">
        <f t="shared" si="105"/>
        <v>-</v>
      </c>
      <c r="AD291" s="6" t="str">
        <f t="shared" si="106"/>
        <v>-</v>
      </c>
      <c r="AE291" s="4">
        <f t="shared" si="107"/>
        <v>1662.5</v>
      </c>
      <c r="AF291" s="7">
        <v>1590</v>
      </c>
      <c r="AG291" s="6">
        <f t="shared" si="95"/>
        <v>0.339622641509434</v>
      </c>
      <c r="AH291" s="4">
        <f t="shared" si="96"/>
        <v>540</v>
      </c>
      <c r="AI291" s="28"/>
      <c r="AJ291" s="6"/>
      <c r="AK291" s="6"/>
      <c r="AL291" s="6">
        <f t="shared" si="97"/>
        <v>1.1290322580645162</v>
      </c>
      <c r="AM291" s="6">
        <f t="shared" si="98"/>
        <v>1.0794297352342159</v>
      </c>
      <c r="AN291" s="6">
        <f t="shared" si="99"/>
        <v>1.1290322580645162</v>
      </c>
      <c r="AO291" s="4" t="str">
        <f t="shared" si="100"/>
        <v>-</v>
      </c>
      <c r="AP291" s="4" t="str">
        <f t="shared" si="101"/>
        <v>-</v>
      </c>
      <c r="AQ291" s="4" t="str">
        <f t="shared" si="102"/>
        <v>-</v>
      </c>
      <c r="AR291" s="4">
        <v>0</v>
      </c>
      <c r="AS291" s="4" t="s">
        <v>1280</v>
      </c>
      <c r="AT291" s="4"/>
      <c r="AU291" s="4"/>
      <c r="AV291" s="4" t="s">
        <v>1280</v>
      </c>
      <c r="AW291" s="4" t="s">
        <v>1280</v>
      </c>
      <c r="AX291" s="4" t="s">
        <v>1280</v>
      </c>
      <c r="AY291" s="4" t="s">
        <v>1280</v>
      </c>
      <c r="AZ291" s="4" t="str">
        <f t="shared" si="103"/>
        <v>-</v>
      </c>
      <c r="BA291" s="19">
        <v>4</v>
      </c>
      <c r="BB291" s="19">
        <v>8</v>
      </c>
      <c r="BC291" s="16">
        <v>18</v>
      </c>
      <c r="BD291" t="s">
        <v>1280</v>
      </c>
      <c r="BE291" t="s">
        <v>1280</v>
      </c>
      <c r="BF291" t="s">
        <v>1280</v>
      </c>
      <c r="BG291" t="str">
        <f t="shared" si="108"/>
        <v>-</v>
      </c>
      <c r="BH291" t="s">
        <v>1280</v>
      </c>
      <c r="BI291">
        <v>1410</v>
      </c>
      <c r="BJ291">
        <v>1410</v>
      </c>
      <c r="BK291">
        <f t="shared" si="109"/>
        <v>1591.9354838709678</v>
      </c>
      <c r="BL291" t="s">
        <v>1280</v>
      </c>
      <c r="BM291">
        <v>812</v>
      </c>
    </row>
    <row r="292" spans="1:65" x14ac:dyDescent="0.4">
      <c r="A292" s="3">
        <v>295</v>
      </c>
      <c r="B292" s="3">
        <v>295</v>
      </c>
      <c r="C292" s="4" t="s">
        <v>284</v>
      </c>
      <c r="D292" s="4" t="str">
        <f t="shared" si="88"/>
        <v>J39034</v>
      </c>
      <c r="E292" s="4" t="s">
        <v>284</v>
      </c>
      <c r="F292" s="4" t="str">
        <f t="shared" si="104"/>
        <v>J390345</v>
      </c>
      <c r="G292" s="4" t="s">
        <v>930</v>
      </c>
      <c r="H292" s="5">
        <v>4974268144980</v>
      </c>
      <c r="I292" s="5">
        <v>5</v>
      </c>
      <c r="J292" s="5"/>
      <c r="K292" s="5">
        <v>1</v>
      </c>
      <c r="L292" s="5">
        <v>1</v>
      </c>
      <c r="M292" s="4">
        <v>1600</v>
      </c>
      <c r="N292" s="4">
        <v>1251</v>
      </c>
      <c r="O292" s="4">
        <v>960</v>
      </c>
      <c r="P292" s="6">
        <f t="shared" si="89"/>
        <v>0.23261390887290168</v>
      </c>
      <c r="Q292" s="4" t="s">
        <v>1280</v>
      </c>
      <c r="R292" s="4" t="s">
        <v>1280</v>
      </c>
      <c r="S292" s="4" t="s">
        <v>1280</v>
      </c>
      <c r="T292" s="4">
        <v>1750</v>
      </c>
      <c r="U292" s="4">
        <f t="shared" si="90"/>
        <v>1750</v>
      </c>
      <c r="V292" s="4">
        <v>1050</v>
      </c>
      <c r="W292" s="4">
        <f t="shared" si="91"/>
        <v>1050</v>
      </c>
      <c r="X292" s="4"/>
      <c r="Y292" s="21">
        <f t="shared" si="92"/>
        <v>1368</v>
      </c>
      <c r="Z292" s="6">
        <f t="shared" si="93"/>
        <v>0.23245614035087714</v>
      </c>
      <c r="AA292" s="4">
        <v>0.75</v>
      </c>
      <c r="AB292" s="4">
        <f t="shared" si="94"/>
        <v>1599</v>
      </c>
      <c r="AC292" s="4">
        <f t="shared" si="105"/>
        <v>1748.90625</v>
      </c>
      <c r="AD292" s="6">
        <f t="shared" si="106"/>
        <v>0.39962476547842396</v>
      </c>
      <c r="AE292" s="4">
        <f t="shared" si="107"/>
        <v>1662.5</v>
      </c>
      <c r="AF292" s="7">
        <v>1429</v>
      </c>
      <c r="AG292" s="6">
        <f t="shared" si="95"/>
        <v>0.26522043386983907</v>
      </c>
      <c r="AH292" s="4">
        <f t="shared" si="96"/>
        <v>379</v>
      </c>
      <c r="AI292" s="28"/>
      <c r="AJ292" s="6"/>
      <c r="AK292" s="6"/>
      <c r="AL292" s="6">
        <f t="shared" si="97"/>
        <v>1.09375</v>
      </c>
      <c r="AM292" s="6">
        <f t="shared" si="98"/>
        <v>1.1422861710631496</v>
      </c>
      <c r="AN292" s="6">
        <f t="shared" si="99"/>
        <v>1.09375</v>
      </c>
      <c r="AO292" s="4" t="str">
        <f t="shared" si="100"/>
        <v>-</v>
      </c>
      <c r="AP292" s="4" t="str">
        <f t="shared" si="101"/>
        <v>-</v>
      </c>
      <c r="AQ292" s="4" t="str">
        <f t="shared" si="102"/>
        <v>-</v>
      </c>
      <c r="AR292" s="4">
        <v>0</v>
      </c>
      <c r="AS292" s="4" t="s">
        <v>1922</v>
      </c>
      <c r="AT292" s="4"/>
      <c r="AU292" s="4"/>
      <c r="AV292" s="4" t="s">
        <v>1923</v>
      </c>
      <c r="AW292" s="4">
        <v>1599</v>
      </c>
      <c r="AX292" s="4">
        <v>1599</v>
      </c>
      <c r="AY292" s="4">
        <v>1599</v>
      </c>
      <c r="AZ292" s="4">
        <f t="shared" si="103"/>
        <v>1599</v>
      </c>
      <c r="BA292" s="19">
        <v>4</v>
      </c>
      <c r="BB292" s="19">
        <v>8</v>
      </c>
      <c r="BC292" s="16">
        <v>18</v>
      </c>
      <c r="BD292" t="s">
        <v>1280</v>
      </c>
      <c r="BE292" t="s">
        <v>1280</v>
      </c>
      <c r="BF292" t="s">
        <v>1280</v>
      </c>
      <c r="BG292" t="str">
        <f t="shared" si="108"/>
        <v>-</v>
      </c>
      <c r="BH292">
        <v>1307</v>
      </c>
      <c r="BI292">
        <v>1307</v>
      </c>
      <c r="BJ292">
        <v>1307</v>
      </c>
      <c r="BK292">
        <f t="shared" si="109"/>
        <v>1429.53125</v>
      </c>
      <c r="BL292" t="s">
        <v>1457</v>
      </c>
      <c r="BM292">
        <v>812</v>
      </c>
    </row>
    <row r="293" spans="1:65" x14ac:dyDescent="0.4">
      <c r="A293" s="3">
        <v>299</v>
      </c>
      <c r="B293" s="3">
        <v>299</v>
      </c>
      <c r="C293" s="4" t="s">
        <v>288</v>
      </c>
      <c r="D293" s="4" t="str">
        <f t="shared" si="88"/>
        <v>J39039</v>
      </c>
      <c r="E293" s="4" t="s">
        <v>288</v>
      </c>
      <c r="F293" s="4" t="str">
        <f t="shared" si="104"/>
        <v>J390395</v>
      </c>
      <c r="G293" s="4" t="s">
        <v>934</v>
      </c>
      <c r="H293" s="5">
        <v>4974268151285</v>
      </c>
      <c r="I293" s="5">
        <v>5</v>
      </c>
      <c r="J293" s="5"/>
      <c r="K293" s="5">
        <v>1</v>
      </c>
      <c r="L293" s="5">
        <v>1</v>
      </c>
      <c r="M293" s="4">
        <v>1600</v>
      </c>
      <c r="N293" s="4">
        <v>1444</v>
      </c>
      <c r="O293" s="4">
        <v>960</v>
      </c>
      <c r="P293" s="6">
        <f t="shared" si="89"/>
        <v>0.33518005540166207</v>
      </c>
      <c r="Q293" s="4" t="s">
        <v>1280</v>
      </c>
      <c r="R293" s="4" t="s">
        <v>1280</v>
      </c>
      <c r="S293" s="4" t="s">
        <v>1280</v>
      </c>
      <c r="T293" s="4">
        <v>1750</v>
      </c>
      <c r="U293" s="4">
        <f t="shared" si="90"/>
        <v>1750</v>
      </c>
      <c r="V293" s="4">
        <v>1050</v>
      </c>
      <c r="W293" s="4">
        <f t="shared" si="91"/>
        <v>1050</v>
      </c>
      <c r="X293" s="4"/>
      <c r="Y293" s="21">
        <f t="shared" si="92"/>
        <v>1579</v>
      </c>
      <c r="Z293" s="6">
        <f t="shared" si="93"/>
        <v>0.33502216592780243</v>
      </c>
      <c r="AA293" s="4">
        <v>0.5</v>
      </c>
      <c r="AB293" s="4">
        <f t="shared" si="94"/>
        <v>1599</v>
      </c>
      <c r="AC293" s="4">
        <f t="shared" si="105"/>
        <v>1748.90625</v>
      </c>
      <c r="AD293" s="6">
        <f t="shared" si="106"/>
        <v>0.39962476547842396</v>
      </c>
      <c r="AE293" s="4">
        <f t="shared" si="107"/>
        <v>1662.5</v>
      </c>
      <c r="AF293" s="7">
        <v>1536</v>
      </c>
      <c r="AG293" s="6">
        <f t="shared" si="95"/>
        <v>0.31640625</v>
      </c>
      <c r="AH293" s="4">
        <f t="shared" si="96"/>
        <v>486</v>
      </c>
      <c r="AI293" s="28"/>
      <c r="AJ293" s="6"/>
      <c r="AK293" s="6"/>
      <c r="AL293" s="6">
        <f t="shared" si="97"/>
        <v>1.09375</v>
      </c>
      <c r="AM293" s="6">
        <f t="shared" si="98"/>
        <v>1.0637119113573408</v>
      </c>
      <c r="AN293" s="6">
        <f t="shared" si="99"/>
        <v>1.09375</v>
      </c>
      <c r="AO293" s="4" t="str">
        <f t="shared" si="100"/>
        <v>-</v>
      </c>
      <c r="AP293" s="4" t="str">
        <f t="shared" si="101"/>
        <v>-</v>
      </c>
      <c r="AQ293" s="4" t="str">
        <f t="shared" si="102"/>
        <v>-</v>
      </c>
      <c r="AR293" s="4">
        <v>0</v>
      </c>
      <c r="AS293" s="4" t="s">
        <v>1926</v>
      </c>
      <c r="AT293" s="4"/>
      <c r="AU293" s="4"/>
      <c r="AV293" s="4" t="s">
        <v>1925</v>
      </c>
      <c r="AW293" s="4">
        <v>1599</v>
      </c>
      <c r="AX293" s="4">
        <v>1599</v>
      </c>
      <c r="AY293" s="4">
        <v>1599</v>
      </c>
      <c r="AZ293" s="4">
        <f t="shared" si="103"/>
        <v>1599</v>
      </c>
      <c r="BA293" s="19">
        <v>4</v>
      </c>
      <c r="BB293" s="19">
        <v>8</v>
      </c>
      <c r="BC293" s="16">
        <v>18</v>
      </c>
      <c r="BD293" t="s">
        <v>1280</v>
      </c>
      <c r="BE293" t="s">
        <v>1280</v>
      </c>
      <c r="BF293" t="s">
        <v>1280</v>
      </c>
      <c r="BG293" t="str">
        <f t="shared" si="108"/>
        <v>-</v>
      </c>
      <c r="BH293">
        <v>1405</v>
      </c>
      <c r="BI293">
        <v>1405</v>
      </c>
      <c r="BJ293">
        <v>1405</v>
      </c>
      <c r="BK293">
        <f t="shared" si="109"/>
        <v>1536.71875</v>
      </c>
      <c r="BL293" t="s">
        <v>1459</v>
      </c>
      <c r="BM293">
        <v>812</v>
      </c>
    </row>
    <row r="294" spans="1:65" x14ac:dyDescent="0.4">
      <c r="A294" s="3">
        <v>201</v>
      </c>
      <c r="B294" s="3">
        <v>201</v>
      </c>
      <c r="C294" s="4" t="s">
        <v>190</v>
      </c>
      <c r="D294" s="4" t="str">
        <f t="shared" si="88"/>
        <v>J3070N</v>
      </c>
      <c r="E294" s="4" t="s">
        <v>190</v>
      </c>
      <c r="F294" s="4" t="str">
        <f t="shared" si="104"/>
        <v>J3070N5</v>
      </c>
      <c r="G294" s="4" t="s">
        <v>836</v>
      </c>
      <c r="H294" s="5">
        <v>4974268572202</v>
      </c>
      <c r="I294" s="5">
        <v>5</v>
      </c>
      <c r="J294" s="5"/>
      <c r="K294" s="5">
        <v>1</v>
      </c>
      <c r="L294" s="5">
        <v>1</v>
      </c>
      <c r="M294" s="4">
        <v>1600</v>
      </c>
      <c r="N294" s="4">
        <v>1501</v>
      </c>
      <c r="O294" s="4">
        <v>960</v>
      </c>
      <c r="P294" s="6">
        <f t="shared" si="89"/>
        <v>0.36042638241172553</v>
      </c>
      <c r="Q294" s="4" t="s">
        <v>1280</v>
      </c>
      <c r="R294" s="4" t="s">
        <v>1280</v>
      </c>
      <c r="S294" s="4" t="s">
        <v>1280</v>
      </c>
      <c r="T294" s="4">
        <v>1800</v>
      </c>
      <c r="U294" s="4">
        <f t="shared" si="90"/>
        <v>1800</v>
      </c>
      <c r="V294" s="4">
        <v>1080</v>
      </c>
      <c r="W294" s="4">
        <f t="shared" si="91"/>
        <v>1080</v>
      </c>
      <c r="X294" s="4"/>
      <c r="Y294" s="21">
        <f t="shared" si="92"/>
        <v>1689</v>
      </c>
      <c r="Z294" s="6">
        <f t="shared" si="93"/>
        <v>0.36056838365896982</v>
      </c>
      <c r="AA294" s="4">
        <v>0.5</v>
      </c>
      <c r="AB294" s="4" t="str">
        <f t="shared" si="94"/>
        <v>-</v>
      </c>
      <c r="AC294" s="4" t="str">
        <f t="shared" si="105"/>
        <v>-</v>
      </c>
      <c r="AD294" s="6" t="str">
        <f t="shared" si="106"/>
        <v>-</v>
      </c>
      <c r="AE294" s="4">
        <f t="shared" si="107"/>
        <v>1710</v>
      </c>
      <c r="AF294" s="7">
        <v>1626</v>
      </c>
      <c r="AG294" s="6">
        <f t="shared" si="95"/>
        <v>0.33579335793357934</v>
      </c>
      <c r="AH294" s="4">
        <f t="shared" si="96"/>
        <v>546</v>
      </c>
      <c r="AI294" s="28"/>
      <c r="AJ294" s="6"/>
      <c r="AK294" s="6"/>
      <c r="AL294" s="6">
        <f t="shared" si="97"/>
        <v>1.125</v>
      </c>
      <c r="AM294" s="6">
        <f t="shared" si="98"/>
        <v>1.0832778147901398</v>
      </c>
      <c r="AN294" s="6">
        <f t="shared" si="99"/>
        <v>1.125</v>
      </c>
      <c r="AO294" s="4" t="str">
        <f t="shared" si="100"/>
        <v>-</v>
      </c>
      <c r="AP294" s="4" t="str">
        <f t="shared" si="101"/>
        <v>-</v>
      </c>
      <c r="AQ294" s="4" t="str">
        <f t="shared" si="102"/>
        <v>-</v>
      </c>
      <c r="AR294" s="4">
        <v>0</v>
      </c>
      <c r="AS294" s="4" t="s">
        <v>1280</v>
      </c>
      <c r="AT294" s="4"/>
      <c r="AU294" s="4"/>
      <c r="AV294" s="4" t="s">
        <v>1280</v>
      </c>
      <c r="AW294" s="4" t="s">
        <v>1280</v>
      </c>
      <c r="AX294" s="4" t="s">
        <v>1280</v>
      </c>
      <c r="AY294" s="4" t="s">
        <v>1280</v>
      </c>
      <c r="AZ294" s="4" t="str">
        <f t="shared" si="103"/>
        <v>-</v>
      </c>
      <c r="BA294" s="19">
        <v>4</v>
      </c>
      <c r="BB294" s="19">
        <v>8</v>
      </c>
      <c r="BC294" s="16">
        <v>18</v>
      </c>
      <c r="BD294" t="s">
        <v>1280</v>
      </c>
      <c r="BE294" t="s">
        <v>1280</v>
      </c>
      <c r="BF294" t="s">
        <v>1280</v>
      </c>
      <c r="BG294" t="str">
        <f t="shared" si="108"/>
        <v>-</v>
      </c>
      <c r="BH294">
        <v>1446</v>
      </c>
      <c r="BI294">
        <v>1446</v>
      </c>
      <c r="BJ294">
        <v>1446</v>
      </c>
      <c r="BK294">
        <f t="shared" si="109"/>
        <v>1626.75</v>
      </c>
      <c r="BL294" t="s">
        <v>1280</v>
      </c>
      <c r="BM294">
        <v>812</v>
      </c>
    </row>
    <row r="295" spans="1:65" x14ac:dyDescent="0.4">
      <c r="A295" s="3">
        <v>204</v>
      </c>
      <c r="B295" s="3">
        <v>204</v>
      </c>
      <c r="C295" s="4" t="s">
        <v>193</v>
      </c>
      <c r="D295" s="4" t="str">
        <f t="shared" si="88"/>
        <v>J3071N</v>
      </c>
      <c r="E295" s="4" t="s">
        <v>193</v>
      </c>
      <c r="F295" s="4" t="str">
        <f t="shared" si="104"/>
        <v>J3071N5</v>
      </c>
      <c r="G295" s="4" t="s">
        <v>839</v>
      </c>
      <c r="H295" s="5">
        <v>4974268572219</v>
      </c>
      <c r="I295" s="5">
        <v>5</v>
      </c>
      <c r="J295" s="5"/>
      <c r="K295" s="5">
        <v>1</v>
      </c>
      <c r="L295" s="5">
        <v>1</v>
      </c>
      <c r="M295" s="4">
        <v>1600</v>
      </c>
      <c r="N295" s="4">
        <v>1501</v>
      </c>
      <c r="O295" s="4">
        <v>960</v>
      </c>
      <c r="P295" s="6">
        <f t="shared" si="89"/>
        <v>0.36042638241172553</v>
      </c>
      <c r="Q295" s="4" t="s">
        <v>1280</v>
      </c>
      <c r="R295" s="4" t="s">
        <v>1280</v>
      </c>
      <c r="S295" s="4" t="s">
        <v>1280</v>
      </c>
      <c r="T295" s="4">
        <v>1800</v>
      </c>
      <c r="U295" s="4">
        <f t="shared" si="90"/>
        <v>1800</v>
      </c>
      <c r="V295" s="4">
        <v>1080</v>
      </c>
      <c r="W295" s="4">
        <f t="shared" si="91"/>
        <v>1080</v>
      </c>
      <c r="X295" s="4"/>
      <c r="Y295" s="21">
        <f t="shared" si="92"/>
        <v>1689</v>
      </c>
      <c r="Z295" s="6">
        <f t="shared" si="93"/>
        <v>0.36056838365896982</v>
      </c>
      <c r="AA295" s="4">
        <v>0</v>
      </c>
      <c r="AB295" s="4" t="str">
        <f t="shared" si="94"/>
        <v>-</v>
      </c>
      <c r="AC295" s="4" t="str">
        <f t="shared" si="105"/>
        <v>-</v>
      </c>
      <c r="AD295" s="6" t="str">
        <f t="shared" si="106"/>
        <v>-</v>
      </c>
      <c r="AE295" s="4">
        <f t="shared" si="107"/>
        <v>1710</v>
      </c>
      <c r="AF295" s="7">
        <v>1626</v>
      </c>
      <c r="AG295" s="6">
        <f t="shared" si="95"/>
        <v>0.33579335793357934</v>
      </c>
      <c r="AH295" s="4">
        <f t="shared" si="96"/>
        <v>546</v>
      </c>
      <c r="AI295" s="28"/>
      <c r="AJ295" s="6"/>
      <c r="AK295" s="6"/>
      <c r="AL295" s="6">
        <f t="shared" si="97"/>
        <v>1.125</v>
      </c>
      <c r="AM295" s="6">
        <f t="shared" si="98"/>
        <v>1.0832778147901398</v>
      </c>
      <c r="AN295" s="6">
        <f t="shared" si="99"/>
        <v>1.125</v>
      </c>
      <c r="AO295" s="4" t="str">
        <f t="shared" si="100"/>
        <v>-</v>
      </c>
      <c r="AP295" s="4" t="str">
        <f t="shared" si="101"/>
        <v>-</v>
      </c>
      <c r="AQ295" s="4" t="str">
        <f t="shared" si="102"/>
        <v>-</v>
      </c>
      <c r="AR295" s="4">
        <v>0</v>
      </c>
      <c r="AS295" s="4" t="s">
        <v>1280</v>
      </c>
      <c r="AT295" s="4"/>
      <c r="AU295" s="4"/>
      <c r="AV295" s="4" t="s">
        <v>1280</v>
      </c>
      <c r="AW295" s="4" t="s">
        <v>1280</v>
      </c>
      <c r="AX295" s="4" t="s">
        <v>1280</v>
      </c>
      <c r="AY295" s="4" t="s">
        <v>1280</v>
      </c>
      <c r="AZ295" s="4" t="str">
        <f t="shared" si="103"/>
        <v>-</v>
      </c>
      <c r="BA295" s="19">
        <v>4</v>
      </c>
      <c r="BB295" s="19">
        <v>8</v>
      </c>
      <c r="BC295" s="16">
        <v>18</v>
      </c>
      <c r="BD295" t="s">
        <v>1280</v>
      </c>
      <c r="BE295" t="s">
        <v>1280</v>
      </c>
      <c r="BF295" t="s">
        <v>1280</v>
      </c>
      <c r="BG295" t="str">
        <f t="shared" si="108"/>
        <v>-</v>
      </c>
      <c r="BH295">
        <v>1446</v>
      </c>
      <c r="BI295">
        <v>1446</v>
      </c>
      <c r="BJ295">
        <v>1446</v>
      </c>
      <c r="BK295">
        <f t="shared" si="109"/>
        <v>1626.75</v>
      </c>
      <c r="BL295" t="s">
        <v>1280</v>
      </c>
      <c r="BM295">
        <v>812</v>
      </c>
    </row>
    <row r="296" spans="1:65" x14ac:dyDescent="0.4">
      <c r="A296" s="3">
        <v>205</v>
      </c>
      <c r="B296" s="3">
        <v>205</v>
      </c>
      <c r="C296" s="4" t="s">
        <v>194</v>
      </c>
      <c r="D296" s="4" t="str">
        <f t="shared" si="88"/>
        <v>J3072N</v>
      </c>
      <c r="E296" s="4" t="s">
        <v>194</v>
      </c>
      <c r="F296" s="4" t="str">
        <f t="shared" si="104"/>
        <v>J3072N5</v>
      </c>
      <c r="G296" s="4" t="s">
        <v>840</v>
      </c>
      <c r="H296" s="5">
        <v>4974268572226</v>
      </c>
      <c r="I296" s="5">
        <v>5</v>
      </c>
      <c r="J296" s="5"/>
      <c r="K296" s="5">
        <v>1</v>
      </c>
      <c r="L296" s="5">
        <v>1</v>
      </c>
      <c r="M296" s="4">
        <v>1600</v>
      </c>
      <c r="N296" s="4">
        <v>1501</v>
      </c>
      <c r="O296" s="4">
        <v>960</v>
      </c>
      <c r="P296" s="6">
        <f t="shared" si="89"/>
        <v>0.36042638241172553</v>
      </c>
      <c r="Q296" s="4" t="s">
        <v>1280</v>
      </c>
      <c r="R296" s="4" t="s">
        <v>1280</v>
      </c>
      <c r="S296" s="4" t="s">
        <v>1280</v>
      </c>
      <c r="T296" s="4">
        <v>1800</v>
      </c>
      <c r="U296" s="4">
        <f t="shared" si="90"/>
        <v>1800</v>
      </c>
      <c r="V296" s="4">
        <v>1080</v>
      </c>
      <c r="W296" s="4">
        <f t="shared" si="91"/>
        <v>1080</v>
      </c>
      <c r="X296" s="4"/>
      <c r="Y296" s="21">
        <f t="shared" si="92"/>
        <v>1689</v>
      </c>
      <c r="Z296" s="6">
        <f t="shared" si="93"/>
        <v>0.36056838365896982</v>
      </c>
      <c r="AA296" s="4">
        <v>0</v>
      </c>
      <c r="AB296" s="4" t="str">
        <f t="shared" si="94"/>
        <v>-</v>
      </c>
      <c r="AC296" s="4" t="str">
        <f t="shared" si="105"/>
        <v>-</v>
      </c>
      <c r="AD296" s="6" t="str">
        <f t="shared" si="106"/>
        <v>-</v>
      </c>
      <c r="AE296" s="4">
        <f t="shared" si="107"/>
        <v>1710</v>
      </c>
      <c r="AF296" s="7">
        <v>1626</v>
      </c>
      <c r="AG296" s="6">
        <f t="shared" si="95"/>
        <v>0.33579335793357934</v>
      </c>
      <c r="AH296" s="4">
        <f t="shared" si="96"/>
        <v>546</v>
      </c>
      <c r="AI296" s="28"/>
      <c r="AJ296" s="6"/>
      <c r="AK296" s="6"/>
      <c r="AL296" s="6">
        <f t="shared" si="97"/>
        <v>1.125</v>
      </c>
      <c r="AM296" s="6">
        <f t="shared" si="98"/>
        <v>1.0832778147901398</v>
      </c>
      <c r="AN296" s="6">
        <f t="shared" si="99"/>
        <v>1.125</v>
      </c>
      <c r="AO296" s="4" t="str">
        <f t="shared" si="100"/>
        <v>-</v>
      </c>
      <c r="AP296" s="4" t="str">
        <f t="shared" si="101"/>
        <v>-</v>
      </c>
      <c r="AQ296" s="4" t="str">
        <f t="shared" si="102"/>
        <v>-</v>
      </c>
      <c r="AR296" s="4">
        <v>0</v>
      </c>
      <c r="AS296" s="4" t="s">
        <v>1280</v>
      </c>
      <c r="AT296" s="4"/>
      <c r="AU296" s="4"/>
      <c r="AV296" s="4" t="s">
        <v>1280</v>
      </c>
      <c r="AW296" s="4" t="s">
        <v>1280</v>
      </c>
      <c r="AX296" s="4" t="s">
        <v>1280</v>
      </c>
      <c r="AY296" s="4" t="s">
        <v>1280</v>
      </c>
      <c r="AZ296" s="4" t="str">
        <f t="shared" si="103"/>
        <v>-</v>
      </c>
      <c r="BA296" s="19">
        <v>4</v>
      </c>
      <c r="BB296" s="19">
        <v>8</v>
      </c>
      <c r="BC296" s="16">
        <v>18</v>
      </c>
      <c r="BD296" t="s">
        <v>1280</v>
      </c>
      <c r="BE296" t="s">
        <v>1280</v>
      </c>
      <c r="BF296" t="s">
        <v>1280</v>
      </c>
      <c r="BG296" t="str">
        <f t="shared" si="108"/>
        <v>-</v>
      </c>
      <c r="BH296">
        <v>1446</v>
      </c>
      <c r="BI296">
        <v>1446</v>
      </c>
      <c r="BJ296">
        <v>1446</v>
      </c>
      <c r="BK296">
        <f t="shared" si="109"/>
        <v>1626.75</v>
      </c>
      <c r="BL296" t="s">
        <v>1280</v>
      </c>
      <c r="BM296">
        <v>812</v>
      </c>
    </row>
    <row r="297" spans="1:65" x14ac:dyDescent="0.4">
      <c r="A297" s="3">
        <v>208</v>
      </c>
      <c r="B297" s="3">
        <v>208</v>
      </c>
      <c r="C297" s="4" t="s">
        <v>197</v>
      </c>
      <c r="D297" s="4" t="str">
        <f t="shared" si="88"/>
        <v>J3073N</v>
      </c>
      <c r="E297" s="4" t="s">
        <v>197</v>
      </c>
      <c r="F297" s="4" t="str">
        <f t="shared" si="104"/>
        <v>J3073N5</v>
      </c>
      <c r="G297" s="4" t="s">
        <v>843</v>
      </c>
      <c r="H297" s="5">
        <v>4974268572233</v>
      </c>
      <c r="I297" s="5">
        <v>5</v>
      </c>
      <c r="J297" s="5"/>
      <c r="K297" s="5">
        <v>1</v>
      </c>
      <c r="L297" s="5">
        <v>1</v>
      </c>
      <c r="M297" s="4">
        <v>1600</v>
      </c>
      <c r="N297" s="4">
        <v>1501</v>
      </c>
      <c r="O297" s="4">
        <v>960</v>
      </c>
      <c r="P297" s="6">
        <f t="shared" si="89"/>
        <v>0.36042638241172553</v>
      </c>
      <c r="Q297" s="4" t="s">
        <v>1280</v>
      </c>
      <c r="R297" s="4" t="s">
        <v>1280</v>
      </c>
      <c r="S297" s="4" t="s">
        <v>1280</v>
      </c>
      <c r="T297" s="4">
        <v>1800</v>
      </c>
      <c r="U297" s="4">
        <f t="shared" si="90"/>
        <v>1800</v>
      </c>
      <c r="V297" s="4">
        <v>1080</v>
      </c>
      <c r="W297" s="4">
        <f t="shared" si="91"/>
        <v>1080</v>
      </c>
      <c r="X297" s="4"/>
      <c r="Y297" s="21">
        <f t="shared" si="92"/>
        <v>1689</v>
      </c>
      <c r="Z297" s="6">
        <f t="shared" si="93"/>
        <v>0.36056838365896982</v>
      </c>
      <c r="AA297" s="4">
        <v>0</v>
      </c>
      <c r="AB297" s="4" t="str">
        <f t="shared" si="94"/>
        <v>-</v>
      </c>
      <c r="AC297" s="4" t="str">
        <f t="shared" si="105"/>
        <v>-</v>
      </c>
      <c r="AD297" s="6" t="str">
        <f t="shared" si="106"/>
        <v>-</v>
      </c>
      <c r="AE297" s="4">
        <f t="shared" si="107"/>
        <v>1710</v>
      </c>
      <c r="AF297" s="7">
        <v>1626</v>
      </c>
      <c r="AG297" s="6">
        <f t="shared" si="95"/>
        <v>0.33579335793357934</v>
      </c>
      <c r="AH297" s="4">
        <f t="shared" si="96"/>
        <v>546</v>
      </c>
      <c r="AI297" s="28"/>
      <c r="AJ297" s="6"/>
      <c r="AK297" s="6"/>
      <c r="AL297" s="6">
        <f t="shared" si="97"/>
        <v>1.125</v>
      </c>
      <c r="AM297" s="6">
        <f t="shared" si="98"/>
        <v>1.0832778147901398</v>
      </c>
      <c r="AN297" s="6">
        <f t="shared" si="99"/>
        <v>1.125</v>
      </c>
      <c r="AO297" s="4" t="str">
        <f t="shared" si="100"/>
        <v>-</v>
      </c>
      <c r="AP297" s="4" t="str">
        <f t="shared" si="101"/>
        <v>-</v>
      </c>
      <c r="AQ297" s="4" t="str">
        <f t="shared" si="102"/>
        <v>-</v>
      </c>
      <c r="AR297" s="4">
        <v>0</v>
      </c>
      <c r="AS297" s="4" t="s">
        <v>1280</v>
      </c>
      <c r="AT297" s="4"/>
      <c r="AU297" s="4"/>
      <c r="AV297" s="4" t="s">
        <v>1280</v>
      </c>
      <c r="AW297" s="4" t="s">
        <v>1280</v>
      </c>
      <c r="AX297" s="4" t="s">
        <v>1280</v>
      </c>
      <c r="AY297" s="4" t="s">
        <v>1280</v>
      </c>
      <c r="AZ297" s="4" t="str">
        <f t="shared" si="103"/>
        <v>-</v>
      </c>
      <c r="BA297" s="19">
        <v>4</v>
      </c>
      <c r="BB297" s="19">
        <v>8</v>
      </c>
      <c r="BC297" s="16">
        <v>18</v>
      </c>
      <c r="BD297" t="s">
        <v>1280</v>
      </c>
      <c r="BE297" t="s">
        <v>1280</v>
      </c>
      <c r="BF297" t="s">
        <v>1280</v>
      </c>
      <c r="BG297" t="str">
        <f t="shared" si="108"/>
        <v>-</v>
      </c>
      <c r="BH297">
        <v>1446</v>
      </c>
      <c r="BI297">
        <v>1446</v>
      </c>
      <c r="BJ297">
        <v>1446</v>
      </c>
      <c r="BK297">
        <f t="shared" si="109"/>
        <v>1626.75</v>
      </c>
      <c r="BL297" t="s">
        <v>1280</v>
      </c>
      <c r="BM297">
        <v>812</v>
      </c>
    </row>
    <row r="298" spans="1:65" x14ac:dyDescent="0.4">
      <c r="A298" s="3">
        <v>209</v>
      </c>
      <c r="B298" s="3">
        <v>209</v>
      </c>
      <c r="C298" s="4" t="s">
        <v>198</v>
      </c>
      <c r="D298" s="4" t="str">
        <f t="shared" si="88"/>
        <v>J3074N</v>
      </c>
      <c r="E298" s="4" t="s">
        <v>198</v>
      </c>
      <c r="F298" s="4" t="str">
        <f t="shared" si="104"/>
        <v>J3074N5</v>
      </c>
      <c r="G298" s="4" t="s">
        <v>844</v>
      </c>
      <c r="H298" s="5">
        <v>4974268572240</v>
      </c>
      <c r="I298" s="5">
        <v>5</v>
      </c>
      <c r="J298" s="5"/>
      <c r="K298" s="5">
        <v>1</v>
      </c>
      <c r="L298" s="5">
        <v>1</v>
      </c>
      <c r="M298" s="4">
        <v>1600</v>
      </c>
      <c r="N298" s="4">
        <v>1501</v>
      </c>
      <c r="O298" s="4">
        <v>960</v>
      </c>
      <c r="P298" s="6">
        <f t="shared" si="89"/>
        <v>0.36042638241172553</v>
      </c>
      <c r="Q298" s="4" t="s">
        <v>1280</v>
      </c>
      <c r="R298" s="4" t="s">
        <v>1280</v>
      </c>
      <c r="S298" s="4" t="s">
        <v>1280</v>
      </c>
      <c r="T298" s="4">
        <v>1800</v>
      </c>
      <c r="U298" s="4">
        <f t="shared" si="90"/>
        <v>1800</v>
      </c>
      <c r="V298" s="4">
        <v>1080</v>
      </c>
      <c r="W298" s="4">
        <f t="shared" si="91"/>
        <v>1080</v>
      </c>
      <c r="X298" s="4"/>
      <c r="Y298" s="21">
        <f t="shared" si="92"/>
        <v>1689</v>
      </c>
      <c r="Z298" s="6">
        <f t="shared" si="93"/>
        <v>0.36056838365896982</v>
      </c>
      <c r="AA298" s="4">
        <v>0</v>
      </c>
      <c r="AB298" s="4" t="str">
        <f t="shared" si="94"/>
        <v>-</v>
      </c>
      <c r="AC298" s="4" t="str">
        <f t="shared" si="105"/>
        <v>-</v>
      </c>
      <c r="AD298" s="6" t="str">
        <f t="shared" si="106"/>
        <v>-</v>
      </c>
      <c r="AE298" s="4">
        <f t="shared" si="107"/>
        <v>1710</v>
      </c>
      <c r="AF298" s="7">
        <v>1626</v>
      </c>
      <c r="AG298" s="6">
        <f t="shared" si="95"/>
        <v>0.33579335793357934</v>
      </c>
      <c r="AH298" s="4">
        <f t="shared" si="96"/>
        <v>546</v>
      </c>
      <c r="AI298" s="28"/>
      <c r="AJ298" s="6"/>
      <c r="AK298" s="6"/>
      <c r="AL298" s="6">
        <f t="shared" si="97"/>
        <v>1.125</v>
      </c>
      <c r="AM298" s="6">
        <f t="shared" si="98"/>
        <v>1.0832778147901398</v>
      </c>
      <c r="AN298" s="6">
        <f t="shared" si="99"/>
        <v>1.125</v>
      </c>
      <c r="AO298" s="4" t="str">
        <f t="shared" si="100"/>
        <v>-</v>
      </c>
      <c r="AP298" s="4" t="str">
        <f t="shared" si="101"/>
        <v>-</v>
      </c>
      <c r="AQ298" s="4" t="str">
        <f t="shared" si="102"/>
        <v>-</v>
      </c>
      <c r="AR298" s="4">
        <v>0</v>
      </c>
      <c r="AS298" s="4" t="s">
        <v>1280</v>
      </c>
      <c r="AT298" s="4"/>
      <c r="AU298" s="4"/>
      <c r="AV298" s="4" t="s">
        <v>1280</v>
      </c>
      <c r="AW298" s="4" t="s">
        <v>1280</v>
      </c>
      <c r="AX298" s="4" t="s">
        <v>1280</v>
      </c>
      <c r="AY298" s="4" t="s">
        <v>1280</v>
      </c>
      <c r="AZ298" s="4" t="str">
        <f t="shared" si="103"/>
        <v>-</v>
      </c>
      <c r="BA298" s="19">
        <v>4</v>
      </c>
      <c r="BB298" s="19">
        <v>8</v>
      </c>
      <c r="BC298" s="16">
        <v>18</v>
      </c>
      <c r="BD298" t="s">
        <v>1280</v>
      </c>
      <c r="BE298" t="s">
        <v>1280</v>
      </c>
      <c r="BF298" t="s">
        <v>1280</v>
      </c>
      <c r="BG298" t="str">
        <f t="shared" si="108"/>
        <v>-</v>
      </c>
      <c r="BH298">
        <v>1446</v>
      </c>
      <c r="BI298">
        <v>1446</v>
      </c>
      <c r="BJ298">
        <v>1446</v>
      </c>
      <c r="BK298">
        <f t="shared" si="109"/>
        <v>1626.75</v>
      </c>
      <c r="BL298" t="s">
        <v>1280</v>
      </c>
      <c r="BM298">
        <v>812</v>
      </c>
    </row>
    <row r="299" spans="1:65" x14ac:dyDescent="0.4">
      <c r="A299" s="3">
        <v>469</v>
      </c>
      <c r="B299" s="3">
        <v>469</v>
      </c>
      <c r="C299" s="4" t="s">
        <v>458</v>
      </c>
      <c r="D299" s="4" t="str">
        <f t="shared" si="88"/>
        <v>J54554</v>
      </c>
      <c r="E299" s="4" t="s">
        <v>458</v>
      </c>
      <c r="F299" s="4" t="str">
        <f t="shared" si="104"/>
        <v>J545545</v>
      </c>
      <c r="G299" s="4" t="s">
        <v>1102</v>
      </c>
      <c r="H299" s="5">
        <v>4974268562852</v>
      </c>
      <c r="I299" s="5">
        <v>5</v>
      </c>
      <c r="J299" s="5"/>
      <c r="K299" s="5">
        <v>1</v>
      </c>
      <c r="L299" s="5">
        <v>1</v>
      </c>
      <c r="M299" s="4">
        <v>1600</v>
      </c>
      <c r="N299" s="4">
        <v>1554</v>
      </c>
      <c r="O299" s="4">
        <v>960</v>
      </c>
      <c r="P299" s="6">
        <f t="shared" si="89"/>
        <v>0.38223938223938225</v>
      </c>
      <c r="Q299" s="4" t="s">
        <v>1280</v>
      </c>
      <c r="R299" s="4" t="s">
        <v>1280</v>
      </c>
      <c r="S299" s="4" t="s">
        <v>1280</v>
      </c>
      <c r="T299" s="4">
        <v>1800</v>
      </c>
      <c r="U299" s="4">
        <f t="shared" si="90"/>
        <v>1800</v>
      </c>
      <c r="V299" s="4">
        <v>1080</v>
      </c>
      <c r="W299" s="4">
        <f t="shared" si="91"/>
        <v>1080</v>
      </c>
      <c r="X299" s="4"/>
      <c r="Y299" s="21">
        <f t="shared" si="92"/>
        <v>1748</v>
      </c>
      <c r="Z299" s="6">
        <f t="shared" si="93"/>
        <v>0.38215102974828374</v>
      </c>
      <c r="AA299" s="4">
        <v>0.5</v>
      </c>
      <c r="AB299" s="4" t="str">
        <f t="shared" si="94"/>
        <v>-</v>
      </c>
      <c r="AC299" s="4" t="str">
        <f t="shared" si="105"/>
        <v>-</v>
      </c>
      <c r="AD299" s="6" t="str">
        <f t="shared" si="106"/>
        <v>-</v>
      </c>
      <c r="AE299" s="4">
        <f t="shared" si="107"/>
        <v>1710</v>
      </c>
      <c r="AF299" s="7">
        <v>1626</v>
      </c>
      <c r="AG299" s="6">
        <f t="shared" si="95"/>
        <v>0.33579335793357934</v>
      </c>
      <c r="AH299" s="4">
        <f t="shared" si="96"/>
        <v>546</v>
      </c>
      <c r="AI299" s="28"/>
      <c r="AJ299" s="6"/>
      <c r="AK299" s="6"/>
      <c r="AL299" s="6">
        <f t="shared" si="97"/>
        <v>1.125</v>
      </c>
      <c r="AM299" s="6">
        <f t="shared" si="98"/>
        <v>1.0463320463320462</v>
      </c>
      <c r="AN299" s="6">
        <f t="shared" si="99"/>
        <v>1.125</v>
      </c>
      <c r="AO299" s="4" t="str">
        <f t="shared" si="100"/>
        <v>-</v>
      </c>
      <c r="AP299" s="4" t="str">
        <f t="shared" si="101"/>
        <v>-</v>
      </c>
      <c r="AQ299" s="4" t="str">
        <f t="shared" si="102"/>
        <v>-</v>
      </c>
      <c r="AR299" s="4">
        <v>0</v>
      </c>
      <c r="AS299" s="4" t="s">
        <v>1280</v>
      </c>
      <c r="AT299" s="4"/>
      <c r="AU299" s="4"/>
      <c r="AV299" s="4" t="s">
        <v>1280</v>
      </c>
      <c r="AW299" s="4" t="s">
        <v>1280</v>
      </c>
      <c r="AX299" s="4" t="s">
        <v>1280</v>
      </c>
      <c r="AY299" s="4" t="s">
        <v>1280</v>
      </c>
      <c r="AZ299" s="4" t="str">
        <f t="shared" si="103"/>
        <v>-</v>
      </c>
      <c r="BA299" s="19">
        <v>4</v>
      </c>
      <c r="BB299" s="19">
        <v>8</v>
      </c>
      <c r="BC299" s="16">
        <v>18</v>
      </c>
      <c r="BD299">
        <v>1600</v>
      </c>
      <c r="BE299">
        <v>1600</v>
      </c>
      <c r="BF299">
        <v>1600</v>
      </c>
      <c r="BG299">
        <f t="shared" si="108"/>
        <v>1800</v>
      </c>
      <c r="BH299">
        <v>1600</v>
      </c>
      <c r="BI299">
        <v>1600</v>
      </c>
      <c r="BJ299">
        <v>1600</v>
      </c>
      <c r="BK299">
        <f t="shared" si="109"/>
        <v>1800</v>
      </c>
      <c r="BL299" t="s">
        <v>1280</v>
      </c>
      <c r="BM299">
        <v>812</v>
      </c>
    </row>
    <row r="300" spans="1:65" x14ac:dyDescent="0.4">
      <c r="A300" s="3">
        <v>601</v>
      </c>
      <c r="B300" s="3">
        <v>601</v>
      </c>
      <c r="C300" s="4" t="s">
        <v>590</v>
      </c>
      <c r="D300" s="4" t="str">
        <f t="shared" si="88"/>
        <v>J94652</v>
      </c>
      <c r="E300" s="4" t="s">
        <v>590</v>
      </c>
      <c r="F300" s="4" t="str">
        <f t="shared" si="104"/>
        <v>J946525</v>
      </c>
      <c r="G300" s="4" t="s">
        <v>1234</v>
      </c>
      <c r="H300" s="5">
        <v>4974268560728</v>
      </c>
      <c r="I300" s="5">
        <v>5</v>
      </c>
      <c r="J300" s="5"/>
      <c r="K300" s="5">
        <v>1</v>
      </c>
      <c r="L300" s="5">
        <v>1</v>
      </c>
      <c r="M300" s="4">
        <v>1600</v>
      </c>
      <c r="N300" s="4">
        <v>1260</v>
      </c>
      <c r="O300" s="4">
        <v>960</v>
      </c>
      <c r="P300" s="6">
        <f t="shared" si="89"/>
        <v>0.23809523809523814</v>
      </c>
      <c r="Q300" s="4" t="s">
        <v>1280</v>
      </c>
      <c r="R300" s="4" t="s">
        <v>1280</v>
      </c>
      <c r="S300" s="4" t="s">
        <v>1280</v>
      </c>
      <c r="T300" s="4">
        <v>1800</v>
      </c>
      <c r="U300" s="4">
        <f t="shared" si="90"/>
        <v>1800</v>
      </c>
      <c r="V300" s="4">
        <v>1080</v>
      </c>
      <c r="W300" s="4">
        <f t="shared" si="91"/>
        <v>1080</v>
      </c>
      <c r="X300" s="4"/>
      <c r="Y300" s="21">
        <f t="shared" si="92"/>
        <v>1418</v>
      </c>
      <c r="Z300" s="6">
        <f t="shared" si="93"/>
        <v>0.23836389280677006</v>
      </c>
      <c r="AA300" s="4">
        <v>0</v>
      </c>
      <c r="AB300" s="4">
        <f t="shared" si="94"/>
        <v>1482</v>
      </c>
      <c r="AC300" s="4">
        <f t="shared" si="105"/>
        <v>1667.25</v>
      </c>
      <c r="AD300" s="6">
        <f t="shared" si="106"/>
        <v>0.35222672064777327</v>
      </c>
      <c r="AE300" s="4">
        <f t="shared" si="107"/>
        <v>1710</v>
      </c>
      <c r="AF300" s="7">
        <v>1636</v>
      </c>
      <c r="AG300" s="6">
        <f t="shared" si="95"/>
        <v>0.33985330073349629</v>
      </c>
      <c r="AH300" s="4">
        <f t="shared" si="96"/>
        <v>556</v>
      </c>
      <c r="AI300" s="28"/>
      <c r="AJ300" s="6"/>
      <c r="AK300" s="6"/>
      <c r="AL300" s="6">
        <f t="shared" si="97"/>
        <v>1.125</v>
      </c>
      <c r="AM300" s="6">
        <f t="shared" si="98"/>
        <v>1.2984126984126985</v>
      </c>
      <c r="AN300" s="6">
        <f t="shared" si="99"/>
        <v>1.125</v>
      </c>
      <c r="AO300" s="4" t="str">
        <f t="shared" si="100"/>
        <v>-</v>
      </c>
      <c r="AP300" s="4" t="str">
        <f t="shared" si="101"/>
        <v>-</v>
      </c>
      <c r="AQ300" s="4" t="str">
        <f t="shared" si="102"/>
        <v>-</v>
      </c>
      <c r="AR300" s="4">
        <v>0</v>
      </c>
      <c r="AS300" s="4" t="s">
        <v>2157</v>
      </c>
      <c r="AT300" s="4"/>
      <c r="AU300" s="4"/>
      <c r="AV300" s="4" t="s">
        <v>2158</v>
      </c>
      <c r="AW300" s="4">
        <v>1482</v>
      </c>
      <c r="AX300" s="4">
        <v>1482</v>
      </c>
      <c r="AY300" s="4">
        <v>1482</v>
      </c>
      <c r="AZ300" s="4">
        <f t="shared" si="103"/>
        <v>1482</v>
      </c>
      <c r="BA300" s="19">
        <v>4</v>
      </c>
      <c r="BB300" s="19">
        <v>8</v>
      </c>
      <c r="BC300" s="16">
        <v>18</v>
      </c>
      <c r="BD300">
        <v>1600</v>
      </c>
      <c r="BE300">
        <v>1600</v>
      </c>
      <c r="BF300">
        <v>1600</v>
      </c>
      <c r="BG300">
        <f t="shared" si="108"/>
        <v>1800</v>
      </c>
      <c r="BH300" t="s">
        <v>1280</v>
      </c>
      <c r="BI300">
        <v>1455</v>
      </c>
      <c r="BJ300">
        <v>1455</v>
      </c>
      <c r="BK300">
        <f t="shared" si="109"/>
        <v>1636.875</v>
      </c>
      <c r="BL300" t="s">
        <v>1643</v>
      </c>
      <c r="BM300">
        <v>812</v>
      </c>
    </row>
    <row r="301" spans="1:65" x14ac:dyDescent="0.4">
      <c r="A301" s="3">
        <v>287</v>
      </c>
      <c r="B301" s="3">
        <v>287</v>
      </c>
      <c r="C301" s="4" t="s">
        <v>276</v>
      </c>
      <c r="D301" s="4" t="str">
        <f t="shared" si="88"/>
        <v>J39005</v>
      </c>
      <c r="E301" s="4" t="s">
        <v>276</v>
      </c>
      <c r="F301" s="4" t="str">
        <f t="shared" si="104"/>
        <v>J390055</v>
      </c>
      <c r="G301" s="4" t="s">
        <v>922</v>
      </c>
      <c r="H301" s="5">
        <v>4974268695604</v>
      </c>
      <c r="I301" s="5">
        <v>5</v>
      </c>
      <c r="J301" s="5"/>
      <c r="K301" s="5">
        <v>1</v>
      </c>
      <c r="L301" s="5">
        <v>1</v>
      </c>
      <c r="M301" s="4">
        <v>1460</v>
      </c>
      <c r="N301" s="4">
        <v>1387</v>
      </c>
      <c r="O301" s="4">
        <v>1022</v>
      </c>
      <c r="P301" s="6">
        <f t="shared" si="89"/>
        <v>0.26315789473684215</v>
      </c>
      <c r="Q301" s="4" t="s">
        <v>1280</v>
      </c>
      <c r="R301" s="4" t="s">
        <v>1280</v>
      </c>
      <c r="S301" s="4" t="s">
        <v>1280</v>
      </c>
      <c r="T301" s="4">
        <v>1580</v>
      </c>
      <c r="U301" s="4">
        <f t="shared" si="90"/>
        <v>1580</v>
      </c>
      <c r="V301" s="4">
        <v>1106</v>
      </c>
      <c r="W301" s="4">
        <f t="shared" si="91"/>
        <v>1106</v>
      </c>
      <c r="X301" s="4"/>
      <c r="Y301" s="21">
        <f t="shared" si="92"/>
        <v>1501</v>
      </c>
      <c r="Z301" s="6">
        <f t="shared" si="93"/>
        <v>0.26315789473684215</v>
      </c>
      <c r="AA301" s="4">
        <v>0.25</v>
      </c>
      <c r="AB301" s="4">
        <f t="shared" si="94"/>
        <v>1491</v>
      </c>
      <c r="AC301" s="4">
        <f t="shared" si="105"/>
        <v>1613.5479452054797</v>
      </c>
      <c r="AD301" s="6">
        <f t="shared" si="106"/>
        <v>0.31455399061032874</v>
      </c>
      <c r="AE301" s="4">
        <f t="shared" si="107"/>
        <v>1501</v>
      </c>
      <c r="AF301" s="7">
        <v>1580</v>
      </c>
      <c r="AG301" s="6">
        <f t="shared" si="95"/>
        <v>0.30000000000000004</v>
      </c>
      <c r="AH301" s="4">
        <f t="shared" si="96"/>
        <v>474</v>
      </c>
      <c r="AI301" s="28"/>
      <c r="AJ301" s="6"/>
      <c r="AK301" s="6"/>
      <c r="AL301" s="6">
        <f t="shared" si="97"/>
        <v>1.0821917808219179</v>
      </c>
      <c r="AM301" s="6">
        <f t="shared" si="98"/>
        <v>1.1391492429704397</v>
      </c>
      <c r="AN301" s="6">
        <f t="shared" si="99"/>
        <v>1.0821917808219179</v>
      </c>
      <c r="AO301" s="4" t="str">
        <f t="shared" si="100"/>
        <v>-</v>
      </c>
      <c r="AP301" s="4" t="str">
        <f t="shared" si="101"/>
        <v>-</v>
      </c>
      <c r="AQ301" s="4" t="str">
        <f t="shared" si="102"/>
        <v>-</v>
      </c>
      <c r="AR301" s="4">
        <v>0</v>
      </c>
      <c r="AS301" s="4" t="s">
        <v>1920</v>
      </c>
      <c r="AT301" s="4"/>
      <c r="AU301" s="4"/>
      <c r="AV301" s="4" t="s">
        <v>1921</v>
      </c>
      <c r="AW301" s="4">
        <v>1491</v>
      </c>
      <c r="AX301" s="4">
        <v>1491</v>
      </c>
      <c r="AY301" s="4">
        <v>1491</v>
      </c>
      <c r="AZ301" s="4">
        <f t="shared" si="103"/>
        <v>1491</v>
      </c>
      <c r="BA301" s="19">
        <v>4</v>
      </c>
      <c r="BB301" s="19">
        <v>8</v>
      </c>
      <c r="BC301" s="16">
        <v>19</v>
      </c>
      <c r="BD301" t="s">
        <v>1280</v>
      </c>
      <c r="BE301" t="s">
        <v>1280</v>
      </c>
      <c r="BF301" t="s">
        <v>1280</v>
      </c>
      <c r="BG301" t="str">
        <f t="shared" si="108"/>
        <v>-</v>
      </c>
      <c r="BH301" t="s">
        <v>1280</v>
      </c>
      <c r="BI301">
        <v>1460</v>
      </c>
      <c r="BJ301">
        <v>1460</v>
      </c>
      <c r="BK301">
        <f t="shared" si="109"/>
        <v>1580.0000000000002</v>
      </c>
      <c r="BL301" t="s">
        <v>1456</v>
      </c>
      <c r="BM301">
        <v>812</v>
      </c>
    </row>
    <row r="302" spans="1:65" x14ac:dyDescent="0.4">
      <c r="A302" s="3">
        <v>281</v>
      </c>
      <c r="B302" s="3">
        <v>281</v>
      </c>
      <c r="C302" s="4" t="s">
        <v>270</v>
      </c>
      <c r="D302" s="4" t="str">
        <f t="shared" si="88"/>
        <v>J38996</v>
      </c>
      <c r="E302" s="4" t="s">
        <v>270</v>
      </c>
      <c r="F302" s="4" t="str">
        <f t="shared" si="104"/>
        <v>J389965</v>
      </c>
      <c r="G302" s="4" t="s">
        <v>916</v>
      </c>
      <c r="H302" s="5">
        <v>4974268602947</v>
      </c>
      <c r="I302" s="5">
        <v>5</v>
      </c>
      <c r="J302" s="5"/>
      <c r="K302" s="5">
        <v>1</v>
      </c>
      <c r="L302" s="5">
        <v>1</v>
      </c>
      <c r="M302" s="4">
        <v>1530</v>
      </c>
      <c r="N302" s="4">
        <v>1213</v>
      </c>
      <c r="O302" s="4">
        <v>918</v>
      </c>
      <c r="P302" s="6">
        <f t="shared" si="89"/>
        <v>0.2431986809563067</v>
      </c>
      <c r="Q302" s="4" t="s">
        <v>1280</v>
      </c>
      <c r="R302" s="4" t="s">
        <v>1280</v>
      </c>
      <c r="S302" s="4" t="s">
        <v>1280</v>
      </c>
      <c r="T302" s="4">
        <v>1850</v>
      </c>
      <c r="U302" s="4">
        <f t="shared" si="90"/>
        <v>1850</v>
      </c>
      <c r="V302" s="4">
        <v>1110</v>
      </c>
      <c r="W302" s="4">
        <f t="shared" si="91"/>
        <v>1110</v>
      </c>
      <c r="X302" s="4"/>
      <c r="Y302" s="21">
        <f t="shared" si="92"/>
        <v>1467</v>
      </c>
      <c r="Z302" s="6">
        <f t="shared" si="93"/>
        <v>0.24335378323108381</v>
      </c>
      <c r="AA302" s="4">
        <v>0.75</v>
      </c>
      <c r="AB302" s="4">
        <f t="shared" si="94"/>
        <v>1810</v>
      </c>
      <c r="AC302" s="4">
        <f t="shared" si="105"/>
        <v>2188.5620915032678</v>
      </c>
      <c r="AD302" s="6">
        <f t="shared" si="106"/>
        <v>0.49281767955801103</v>
      </c>
      <c r="AE302" s="4">
        <f t="shared" si="107"/>
        <v>1757.5</v>
      </c>
      <c r="AF302" s="7">
        <v>1425</v>
      </c>
      <c r="AG302" s="6">
        <f t="shared" si="95"/>
        <v>0.22105263157894739</v>
      </c>
      <c r="AH302" s="4">
        <f t="shared" si="96"/>
        <v>315</v>
      </c>
      <c r="AI302" s="28"/>
      <c r="AJ302" s="6"/>
      <c r="AK302" s="6"/>
      <c r="AL302" s="6">
        <f t="shared" si="97"/>
        <v>1.2091503267973855</v>
      </c>
      <c r="AM302" s="6">
        <f t="shared" si="98"/>
        <v>1.1747732893652103</v>
      </c>
      <c r="AN302" s="6">
        <f t="shared" si="99"/>
        <v>1.2091503267973855</v>
      </c>
      <c r="AO302" s="4" t="str">
        <f t="shared" si="100"/>
        <v>-</v>
      </c>
      <c r="AP302" s="4" t="str">
        <f t="shared" si="101"/>
        <v>-</v>
      </c>
      <c r="AQ302" s="4" t="str">
        <f t="shared" si="102"/>
        <v>-</v>
      </c>
      <c r="AR302" s="4">
        <v>0</v>
      </c>
      <c r="AS302" s="4" t="s">
        <v>1912</v>
      </c>
      <c r="AT302" s="4"/>
      <c r="AU302" s="4"/>
      <c r="AV302" s="4" t="s">
        <v>1911</v>
      </c>
      <c r="AW302" s="4">
        <v>1810</v>
      </c>
      <c r="AX302" s="4">
        <v>1810</v>
      </c>
      <c r="AY302" s="4">
        <v>1810</v>
      </c>
      <c r="AZ302" s="4">
        <f t="shared" si="103"/>
        <v>1810</v>
      </c>
      <c r="BA302" s="19">
        <v>4</v>
      </c>
      <c r="BB302" s="19">
        <v>1</v>
      </c>
      <c r="BC302" s="16">
        <v>19</v>
      </c>
      <c r="BD302">
        <v>1112</v>
      </c>
      <c r="BE302">
        <v>1112</v>
      </c>
      <c r="BF302">
        <v>1112</v>
      </c>
      <c r="BG302">
        <f t="shared" si="108"/>
        <v>1344.5751633986927</v>
      </c>
      <c r="BH302">
        <v>1179</v>
      </c>
      <c r="BI302">
        <v>1179</v>
      </c>
      <c r="BJ302">
        <v>1179</v>
      </c>
      <c r="BK302">
        <f t="shared" si="109"/>
        <v>1425.5882352941176</v>
      </c>
      <c r="BL302" t="s">
        <v>1451</v>
      </c>
      <c r="BM302">
        <v>812</v>
      </c>
    </row>
    <row r="303" spans="1:65" x14ac:dyDescent="0.4">
      <c r="A303" s="3">
        <v>536</v>
      </c>
      <c r="B303" s="3">
        <v>536</v>
      </c>
      <c r="C303" s="4" t="s">
        <v>525</v>
      </c>
      <c r="D303" s="4" t="str">
        <f t="shared" si="88"/>
        <v>J888WN</v>
      </c>
      <c r="E303" s="4" t="s">
        <v>525</v>
      </c>
      <c r="F303" s="4" t="str">
        <f t="shared" si="104"/>
        <v>J888WN5</v>
      </c>
      <c r="G303" s="4" t="s">
        <v>1169</v>
      </c>
      <c r="H303" s="5">
        <v>4974268401830</v>
      </c>
      <c r="I303" s="5">
        <v>5</v>
      </c>
      <c r="J303" s="5"/>
      <c r="K303" s="5">
        <v>1</v>
      </c>
      <c r="L303" s="5">
        <v>1</v>
      </c>
      <c r="M303" s="4">
        <v>1700</v>
      </c>
      <c r="N303" s="4">
        <v>1460</v>
      </c>
      <c r="O303" s="4">
        <v>1020</v>
      </c>
      <c r="P303" s="6">
        <f t="shared" si="89"/>
        <v>0.30136986301369861</v>
      </c>
      <c r="Q303" s="4" t="s">
        <v>1280</v>
      </c>
      <c r="R303" s="4" t="s">
        <v>1280</v>
      </c>
      <c r="S303" s="4" t="s">
        <v>1280</v>
      </c>
      <c r="T303" s="4">
        <v>1870</v>
      </c>
      <c r="U303" s="4">
        <f t="shared" si="90"/>
        <v>1870</v>
      </c>
      <c r="V303" s="4">
        <v>1122</v>
      </c>
      <c r="W303" s="4">
        <f t="shared" si="91"/>
        <v>1122</v>
      </c>
      <c r="X303" s="4"/>
      <c r="Y303" s="21">
        <f t="shared" si="92"/>
        <v>1606</v>
      </c>
      <c r="Z303" s="6">
        <f t="shared" si="93"/>
        <v>0.30136986301369861</v>
      </c>
      <c r="AA303" s="4">
        <v>0</v>
      </c>
      <c r="AB303" s="4">
        <f t="shared" si="94"/>
        <v>692</v>
      </c>
      <c r="AC303" s="4">
        <f t="shared" si="105"/>
        <v>761.2</v>
      </c>
      <c r="AD303" s="6">
        <f t="shared" si="106"/>
        <v>-0.47398843930635826</v>
      </c>
      <c r="AE303" s="4">
        <f t="shared" si="107"/>
        <v>1776.5</v>
      </c>
      <c r="AF303" s="7">
        <v>1700</v>
      </c>
      <c r="AG303" s="6">
        <f t="shared" si="95"/>
        <v>0.33999999999999997</v>
      </c>
      <c r="AH303" s="4">
        <f t="shared" si="96"/>
        <v>578</v>
      </c>
      <c r="AI303" s="28"/>
      <c r="AJ303" s="6"/>
      <c r="AK303" s="6"/>
      <c r="AL303" s="6">
        <f t="shared" si="97"/>
        <v>1.1000000000000001</v>
      </c>
      <c r="AM303" s="6">
        <f t="shared" si="98"/>
        <v>1.1643835616438356</v>
      </c>
      <c r="AN303" s="6">
        <f t="shared" si="99"/>
        <v>1.1000000000000001</v>
      </c>
      <c r="AO303" s="4" t="str">
        <f t="shared" si="100"/>
        <v>-</v>
      </c>
      <c r="AP303" s="4" t="str">
        <f t="shared" si="101"/>
        <v>-</v>
      </c>
      <c r="AQ303" s="4" t="str">
        <f t="shared" si="102"/>
        <v>-</v>
      </c>
      <c r="AR303" s="4">
        <v>0</v>
      </c>
      <c r="AS303" s="4" t="s">
        <v>2088</v>
      </c>
      <c r="AT303" s="4"/>
      <c r="AU303" s="4"/>
      <c r="AV303" s="4" t="s">
        <v>2089</v>
      </c>
      <c r="AW303" s="4">
        <v>692</v>
      </c>
      <c r="AX303" s="4">
        <v>692</v>
      </c>
      <c r="AY303" s="4">
        <v>692</v>
      </c>
      <c r="AZ303" s="4">
        <f t="shared" si="103"/>
        <v>692</v>
      </c>
      <c r="BA303" s="19">
        <v>4</v>
      </c>
      <c r="BB303" s="19">
        <v>8</v>
      </c>
      <c r="BC303" s="16">
        <v>19</v>
      </c>
      <c r="BD303" t="s">
        <v>1280</v>
      </c>
      <c r="BE303" t="s">
        <v>1280</v>
      </c>
      <c r="BF303" t="s">
        <v>1280</v>
      </c>
      <c r="BG303" t="str">
        <f t="shared" si="108"/>
        <v>-</v>
      </c>
      <c r="BH303" t="s">
        <v>1280</v>
      </c>
      <c r="BI303">
        <v>1600</v>
      </c>
      <c r="BJ303">
        <v>1600</v>
      </c>
      <c r="BK303">
        <f t="shared" si="109"/>
        <v>1760.0000000000002</v>
      </c>
      <c r="BL303" t="s">
        <v>1587</v>
      </c>
      <c r="BM303">
        <v>812</v>
      </c>
    </row>
    <row r="304" spans="1:65" x14ac:dyDescent="0.4">
      <c r="A304" s="3">
        <v>282</v>
      </c>
      <c r="B304" s="3">
        <v>282</v>
      </c>
      <c r="C304" s="4" t="s">
        <v>271</v>
      </c>
      <c r="D304" s="4" t="str">
        <f t="shared" si="88"/>
        <v>J38997</v>
      </c>
      <c r="E304" s="4" t="s">
        <v>271</v>
      </c>
      <c r="F304" s="4" t="str">
        <f t="shared" si="104"/>
        <v>J389975</v>
      </c>
      <c r="G304" s="4" t="s">
        <v>917</v>
      </c>
      <c r="H304" s="5">
        <v>4974268602800</v>
      </c>
      <c r="I304" s="5">
        <v>5</v>
      </c>
      <c r="J304" s="5"/>
      <c r="K304" s="5">
        <v>1</v>
      </c>
      <c r="L304" s="5">
        <v>1</v>
      </c>
      <c r="M304" s="4">
        <v>3680</v>
      </c>
      <c r="N304" s="4">
        <v>3321</v>
      </c>
      <c r="O304" s="4">
        <v>2208</v>
      </c>
      <c r="P304" s="6">
        <f t="shared" si="89"/>
        <v>0.33514001806684734</v>
      </c>
      <c r="Q304" s="4" t="s">
        <v>1280</v>
      </c>
      <c r="R304" s="4" t="s">
        <v>1280</v>
      </c>
      <c r="S304" s="4" t="s">
        <v>1280</v>
      </c>
      <c r="T304" s="4">
        <v>1900</v>
      </c>
      <c r="U304" s="4">
        <f t="shared" si="90"/>
        <v>3800</v>
      </c>
      <c r="V304" s="4">
        <v>1140</v>
      </c>
      <c r="W304" s="4">
        <f t="shared" si="91"/>
        <v>2280</v>
      </c>
      <c r="X304" s="4">
        <v>2</v>
      </c>
      <c r="Y304" s="21">
        <f t="shared" si="92"/>
        <v>3429</v>
      </c>
      <c r="Z304" s="6">
        <f t="shared" si="93"/>
        <v>0.33508311461067364</v>
      </c>
      <c r="AA304" s="4">
        <v>0.25</v>
      </c>
      <c r="AB304" s="4">
        <f t="shared" si="94"/>
        <v>2999</v>
      </c>
      <c r="AC304" s="4">
        <f t="shared" si="105"/>
        <v>3096.7934782608695</v>
      </c>
      <c r="AD304" s="6">
        <f t="shared" si="106"/>
        <v>0.26375458486162051</v>
      </c>
      <c r="AE304" s="4">
        <f t="shared" si="107"/>
        <v>3610</v>
      </c>
      <c r="AF304" s="7">
        <v>3096</v>
      </c>
      <c r="AG304" s="6">
        <f t="shared" si="95"/>
        <v>0.26356589147286824</v>
      </c>
      <c r="AH304" s="4">
        <f t="shared" si="96"/>
        <v>816</v>
      </c>
      <c r="AI304" s="28"/>
      <c r="AJ304" s="6"/>
      <c r="AK304" s="6"/>
      <c r="AL304" s="6">
        <f t="shared" si="97"/>
        <v>1.0326086956521738</v>
      </c>
      <c r="AM304" s="6">
        <f t="shared" si="98"/>
        <v>0.9322493224932249</v>
      </c>
      <c r="AN304" s="6">
        <f t="shared" si="99"/>
        <v>1.0326086956521738</v>
      </c>
      <c r="AO304" s="4" t="str">
        <f t="shared" si="100"/>
        <v>-</v>
      </c>
      <c r="AP304" s="4" t="str">
        <f t="shared" si="101"/>
        <v>-</v>
      </c>
      <c r="AQ304" s="4" t="str">
        <f t="shared" si="102"/>
        <v>-</v>
      </c>
      <c r="AR304" s="4">
        <v>0</v>
      </c>
      <c r="AS304" s="4" t="s">
        <v>1913</v>
      </c>
      <c r="AT304" s="4"/>
      <c r="AU304" s="4"/>
      <c r="AV304" s="4" t="s">
        <v>1914</v>
      </c>
      <c r="AW304" s="4">
        <v>2999</v>
      </c>
      <c r="AX304" s="4">
        <v>2999</v>
      </c>
      <c r="AY304" s="4">
        <v>2999</v>
      </c>
      <c r="AZ304" s="4">
        <f t="shared" si="103"/>
        <v>2999</v>
      </c>
      <c r="BA304" s="19">
        <v>4</v>
      </c>
      <c r="BB304" s="19">
        <v>8</v>
      </c>
      <c r="BC304" s="16">
        <v>19</v>
      </c>
      <c r="BD304" t="s">
        <v>1280</v>
      </c>
      <c r="BE304" t="s">
        <v>1280</v>
      </c>
      <c r="BF304" t="s">
        <v>1280</v>
      </c>
      <c r="BG304" t="str">
        <f t="shared" si="108"/>
        <v>-</v>
      </c>
      <c r="BH304" t="s">
        <v>1280</v>
      </c>
      <c r="BI304" t="s">
        <v>1280</v>
      </c>
      <c r="BJ304" t="s">
        <v>1280</v>
      </c>
      <c r="BK304" t="str">
        <f t="shared" si="109"/>
        <v>-</v>
      </c>
      <c r="BL304" t="s">
        <v>1452</v>
      </c>
      <c r="BM304">
        <v>812</v>
      </c>
    </row>
    <row r="305" spans="1:65" x14ac:dyDescent="0.4">
      <c r="A305" s="3">
        <v>578</v>
      </c>
      <c r="B305" s="3">
        <v>578</v>
      </c>
      <c r="C305" s="4" t="s">
        <v>567</v>
      </c>
      <c r="D305" s="4" t="str">
        <f t="shared" si="88"/>
        <v>J94429</v>
      </c>
      <c r="E305" s="4" t="s">
        <v>567</v>
      </c>
      <c r="F305" s="4" t="str">
        <f t="shared" si="104"/>
        <v>J944295</v>
      </c>
      <c r="G305" s="4" t="s">
        <v>1211</v>
      </c>
      <c r="H305" s="5">
        <v>4974268536280</v>
      </c>
      <c r="I305" s="5">
        <v>5</v>
      </c>
      <c r="J305" s="5"/>
      <c r="K305" s="5">
        <v>1</v>
      </c>
      <c r="L305" s="5">
        <v>1</v>
      </c>
      <c r="M305" s="4">
        <v>1730</v>
      </c>
      <c r="N305" s="4">
        <v>1516</v>
      </c>
      <c r="O305" s="4">
        <v>1038</v>
      </c>
      <c r="P305" s="6">
        <f t="shared" si="89"/>
        <v>0.31530343007915562</v>
      </c>
      <c r="Q305" s="4" t="s">
        <v>1280</v>
      </c>
      <c r="R305" s="4" t="s">
        <v>1280</v>
      </c>
      <c r="S305" s="4" t="s">
        <v>1280</v>
      </c>
      <c r="T305" s="4">
        <v>1900</v>
      </c>
      <c r="U305" s="4">
        <f t="shared" si="90"/>
        <v>1900</v>
      </c>
      <c r="V305" s="4">
        <v>1140</v>
      </c>
      <c r="W305" s="4">
        <f t="shared" si="91"/>
        <v>1140</v>
      </c>
      <c r="X305" s="4"/>
      <c r="Y305" s="21">
        <f t="shared" si="92"/>
        <v>1665</v>
      </c>
      <c r="Z305" s="6">
        <f t="shared" si="93"/>
        <v>0.31531531531531531</v>
      </c>
      <c r="AA305" s="4">
        <v>0.25</v>
      </c>
      <c r="AB305" s="4">
        <f t="shared" si="94"/>
        <v>1806.6666666666665</v>
      </c>
      <c r="AC305" s="4">
        <f t="shared" si="105"/>
        <v>1984.2003853564545</v>
      </c>
      <c r="AD305" s="6">
        <f t="shared" si="106"/>
        <v>0.42546125461254602</v>
      </c>
      <c r="AE305" s="4">
        <f t="shared" si="107"/>
        <v>1805</v>
      </c>
      <c r="AF305" s="7">
        <v>1780</v>
      </c>
      <c r="AG305" s="6">
        <f t="shared" si="95"/>
        <v>0.3595505617977528</v>
      </c>
      <c r="AH305" s="4">
        <f t="shared" si="96"/>
        <v>640</v>
      </c>
      <c r="AI305" s="28"/>
      <c r="AJ305" s="6"/>
      <c r="AK305" s="6"/>
      <c r="AL305" s="6">
        <f t="shared" si="97"/>
        <v>1.0982658959537572</v>
      </c>
      <c r="AM305" s="6">
        <f t="shared" si="98"/>
        <v>1.1741424802110818</v>
      </c>
      <c r="AN305" s="6">
        <f t="shared" si="99"/>
        <v>1.0982658959537572</v>
      </c>
      <c r="AO305" s="4" t="str">
        <f t="shared" si="100"/>
        <v>-</v>
      </c>
      <c r="AP305" s="4" t="str">
        <f t="shared" si="101"/>
        <v>-</v>
      </c>
      <c r="AQ305" s="4" t="str">
        <f t="shared" si="102"/>
        <v>-</v>
      </c>
      <c r="AR305" s="4">
        <v>0</v>
      </c>
      <c r="AS305" s="4" t="s">
        <v>2137</v>
      </c>
      <c r="AT305" s="4">
        <v>1</v>
      </c>
      <c r="AU305" s="4">
        <v>3</v>
      </c>
      <c r="AV305" s="4" t="s">
        <v>2138</v>
      </c>
      <c r="AW305" s="4">
        <v>5420</v>
      </c>
      <c r="AX305" s="4">
        <v>5420</v>
      </c>
      <c r="AY305" s="4">
        <v>5420</v>
      </c>
      <c r="AZ305" s="4">
        <f t="shared" si="103"/>
        <v>1806.6666666666665</v>
      </c>
      <c r="BA305" s="19">
        <v>4</v>
      </c>
      <c r="BB305" s="19">
        <v>8</v>
      </c>
      <c r="BC305" s="16">
        <v>19</v>
      </c>
      <c r="BD305" t="s">
        <v>1280</v>
      </c>
      <c r="BE305" t="s">
        <v>1280</v>
      </c>
      <c r="BF305" t="s">
        <v>1280</v>
      </c>
      <c r="BG305" t="str">
        <f t="shared" si="108"/>
        <v>-</v>
      </c>
      <c r="BH305" t="s">
        <v>1280</v>
      </c>
      <c r="BI305" t="s">
        <v>1280</v>
      </c>
      <c r="BJ305" t="s">
        <v>1280</v>
      </c>
      <c r="BK305" t="str">
        <f t="shared" si="109"/>
        <v>-</v>
      </c>
      <c r="BL305" t="s">
        <v>1626</v>
      </c>
      <c r="BM305">
        <v>812</v>
      </c>
    </row>
    <row r="306" spans="1:65" x14ac:dyDescent="0.4">
      <c r="A306" s="3">
        <v>579</v>
      </c>
      <c r="B306" s="3">
        <v>579</v>
      </c>
      <c r="C306" s="4" t="s">
        <v>568</v>
      </c>
      <c r="D306" s="4" t="str">
        <f t="shared" si="88"/>
        <v>J94436</v>
      </c>
      <c r="E306" s="4" t="s">
        <v>568</v>
      </c>
      <c r="F306" s="4" t="str">
        <f t="shared" si="104"/>
        <v>J944365</v>
      </c>
      <c r="G306" s="4" t="s">
        <v>1212</v>
      </c>
      <c r="H306" s="5">
        <v>4974268536358</v>
      </c>
      <c r="I306" s="5">
        <v>5</v>
      </c>
      <c r="J306" s="5"/>
      <c r="K306" s="5">
        <v>1</v>
      </c>
      <c r="L306" s="5">
        <v>1</v>
      </c>
      <c r="M306" s="4">
        <v>1730</v>
      </c>
      <c r="N306" s="4">
        <v>1326</v>
      </c>
      <c r="O306" s="4">
        <v>1038</v>
      </c>
      <c r="P306" s="6">
        <f t="shared" si="89"/>
        <v>0.21719457013574661</v>
      </c>
      <c r="Q306" s="4" t="s">
        <v>1280</v>
      </c>
      <c r="R306" s="4" t="s">
        <v>1280</v>
      </c>
      <c r="S306" s="4" t="s">
        <v>1280</v>
      </c>
      <c r="T306" s="4">
        <v>1900</v>
      </c>
      <c r="U306" s="4">
        <f t="shared" si="90"/>
        <v>1900</v>
      </c>
      <c r="V306" s="4">
        <v>1140</v>
      </c>
      <c r="W306" s="4">
        <f t="shared" si="91"/>
        <v>1140</v>
      </c>
      <c r="X306" s="4"/>
      <c r="Y306" s="21">
        <f t="shared" si="92"/>
        <v>1456</v>
      </c>
      <c r="Z306" s="6">
        <f t="shared" si="93"/>
        <v>0.21703296703296704</v>
      </c>
      <c r="AA306" s="4">
        <v>0</v>
      </c>
      <c r="AB306" s="4">
        <f t="shared" si="94"/>
        <v>1806.6666666666665</v>
      </c>
      <c r="AC306" s="4">
        <f t="shared" si="105"/>
        <v>1984.2003853564545</v>
      </c>
      <c r="AD306" s="6">
        <f t="shared" si="106"/>
        <v>0.42546125461254602</v>
      </c>
      <c r="AE306" s="4">
        <f t="shared" si="107"/>
        <v>1805</v>
      </c>
      <c r="AF306" s="7">
        <v>1780</v>
      </c>
      <c r="AG306" s="6">
        <f t="shared" si="95"/>
        <v>0.3595505617977528</v>
      </c>
      <c r="AH306" s="4">
        <f t="shared" si="96"/>
        <v>640</v>
      </c>
      <c r="AI306" s="28"/>
      <c r="AJ306" s="6"/>
      <c r="AK306" s="6"/>
      <c r="AL306" s="6">
        <f t="shared" si="97"/>
        <v>1.0982658959537572</v>
      </c>
      <c r="AM306" s="6">
        <f t="shared" si="98"/>
        <v>1.3423831070889893</v>
      </c>
      <c r="AN306" s="6">
        <f t="shared" si="99"/>
        <v>1.0982658959537572</v>
      </c>
      <c r="AO306" s="4" t="str">
        <f t="shared" si="100"/>
        <v>-</v>
      </c>
      <c r="AP306" s="4" t="str">
        <f t="shared" si="101"/>
        <v>-</v>
      </c>
      <c r="AQ306" s="4" t="str">
        <f t="shared" si="102"/>
        <v>-</v>
      </c>
      <c r="AR306" s="4">
        <v>0</v>
      </c>
      <c r="AS306" s="4" t="s">
        <v>2139</v>
      </c>
      <c r="AT306" s="4">
        <v>1</v>
      </c>
      <c r="AU306" s="4">
        <v>3</v>
      </c>
      <c r="AV306" s="4" t="s">
        <v>2138</v>
      </c>
      <c r="AW306" s="4">
        <v>5420</v>
      </c>
      <c r="AX306" s="4">
        <v>5420</v>
      </c>
      <c r="AY306" s="4">
        <v>5420</v>
      </c>
      <c r="AZ306" s="4">
        <f t="shared" si="103"/>
        <v>1806.6666666666665</v>
      </c>
      <c r="BA306" s="19">
        <v>4</v>
      </c>
      <c r="BB306" s="19">
        <v>8</v>
      </c>
      <c r="BC306" s="16">
        <v>19</v>
      </c>
      <c r="BD306" t="s">
        <v>1280</v>
      </c>
      <c r="BE306" t="s">
        <v>1280</v>
      </c>
      <c r="BF306" t="s">
        <v>1280</v>
      </c>
      <c r="BG306" t="str">
        <f t="shared" si="108"/>
        <v>-</v>
      </c>
      <c r="BH306">
        <v>1671</v>
      </c>
      <c r="BI306">
        <v>1671</v>
      </c>
      <c r="BJ306">
        <v>1671</v>
      </c>
      <c r="BK306">
        <f t="shared" si="109"/>
        <v>1835.2023121387283</v>
      </c>
      <c r="BL306" t="s">
        <v>1627</v>
      </c>
      <c r="BM306">
        <v>812</v>
      </c>
    </row>
    <row r="307" spans="1:65" x14ac:dyDescent="0.4">
      <c r="A307" s="3">
        <v>564</v>
      </c>
      <c r="B307" s="3">
        <v>564</v>
      </c>
      <c r="C307" s="4" t="s">
        <v>553</v>
      </c>
      <c r="D307" s="4" t="str">
        <f t="shared" si="88"/>
        <v>J925WN</v>
      </c>
      <c r="E307" s="4" t="s">
        <v>553</v>
      </c>
      <c r="F307" s="4" t="str">
        <f t="shared" si="104"/>
        <v>J925WN5</v>
      </c>
      <c r="G307" s="4" t="s">
        <v>1197</v>
      </c>
      <c r="H307" s="5">
        <v>4974268697790</v>
      </c>
      <c r="I307" s="5">
        <v>5</v>
      </c>
      <c r="J307" s="5"/>
      <c r="K307" s="5">
        <v>1</v>
      </c>
      <c r="L307" s="5">
        <v>1</v>
      </c>
      <c r="M307" s="4">
        <v>1300</v>
      </c>
      <c r="N307" s="4">
        <v>1300</v>
      </c>
      <c r="O307" s="4">
        <v>1040</v>
      </c>
      <c r="P307" s="6">
        <f t="shared" si="89"/>
        <v>0.19999999999999996</v>
      </c>
      <c r="Q307" s="4" t="s">
        <v>1280</v>
      </c>
      <c r="R307" s="4" t="s">
        <v>1280</v>
      </c>
      <c r="S307" s="4" t="s">
        <v>1280</v>
      </c>
      <c r="T307" s="4">
        <v>1450</v>
      </c>
      <c r="U307" s="4">
        <f t="shared" si="90"/>
        <v>1450</v>
      </c>
      <c r="V307" s="4">
        <v>1160</v>
      </c>
      <c r="W307" s="4">
        <f t="shared" si="91"/>
        <v>1160</v>
      </c>
      <c r="X307" s="4"/>
      <c r="Y307" s="21">
        <f t="shared" si="92"/>
        <v>1450</v>
      </c>
      <c r="Z307" s="6">
        <f t="shared" si="93"/>
        <v>0.19999999999999996</v>
      </c>
      <c r="AA307" s="4">
        <v>0</v>
      </c>
      <c r="AB307" s="4">
        <f t="shared" si="94"/>
        <v>1413</v>
      </c>
      <c r="AC307" s="4">
        <f t="shared" si="105"/>
        <v>1576.0384615384617</v>
      </c>
      <c r="AD307" s="6">
        <f t="shared" si="106"/>
        <v>0.26397735314932769</v>
      </c>
      <c r="AE307" s="4">
        <f t="shared" si="107"/>
        <v>1377.5</v>
      </c>
      <c r="AF307" s="7">
        <v>1450</v>
      </c>
      <c r="AG307" s="6">
        <f t="shared" si="95"/>
        <v>0.19999999999999996</v>
      </c>
      <c r="AH307" s="4">
        <f t="shared" si="96"/>
        <v>290</v>
      </c>
      <c r="AI307" s="28"/>
      <c r="AJ307" s="6"/>
      <c r="AK307" s="6"/>
      <c r="AL307" s="6">
        <f t="shared" si="97"/>
        <v>1.1153846153846154</v>
      </c>
      <c r="AM307" s="6">
        <f t="shared" si="98"/>
        <v>1.1153846153846154</v>
      </c>
      <c r="AN307" s="6">
        <f t="shared" si="99"/>
        <v>1.1153846153846154</v>
      </c>
      <c r="AO307" s="4" t="str">
        <f t="shared" si="100"/>
        <v>-</v>
      </c>
      <c r="AP307" s="4" t="str">
        <f t="shared" si="101"/>
        <v>-</v>
      </c>
      <c r="AQ307" s="4" t="str">
        <f t="shared" si="102"/>
        <v>-</v>
      </c>
      <c r="AR307" s="4">
        <v>0</v>
      </c>
      <c r="AS307" s="4" t="s">
        <v>2124</v>
      </c>
      <c r="AT307" s="4"/>
      <c r="AU307" s="4"/>
      <c r="AV307" s="4" t="s">
        <v>2122</v>
      </c>
      <c r="AW307" s="4">
        <v>1413</v>
      </c>
      <c r="AX307" s="4">
        <v>1413</v>
      </c>
      <c r="AY307" s="4">
        <v>1413</v>
      </c>
      <c r="AZ307" s="4">
        <f t="shared" si="103"/>
        <v>1413</v>
      </c>
      <c r="BA307" s="19">
        <v>4</v>
      </c>
      <c r="BB307" s="19">
        <v>8</v>
      </c>
      <c r="BC307" s="16">
        <v>19</v>
      </c>
      <c r="BD307" t="s">
        <v>1280</v>
      </c>
      <c r="BE307" t="s">
        <v>1280</v>
      </c>
      <c r="BF307" t="s">
        <v>1280</v>
      </c>
      <c r="BG307" t="str">
        <f t="shared" si="108"/>
        <v>-</v>
      </c>
      <c r="BH307">
        <v>1300</v>
      </c>
      <c r="BI307">
        <v>1300</v>
      </c>
      <c r="BJ307">
        <v>1300</v>
      </c>
      <c r="BK307">
        <f t="shared" si="109"/>
        <v>1450</v>
      </c>
      <c r="BL307" t="s">
        <v>1615</v>
      </c>
      <c r="BM307">
        <v>812</v>
      </c>
    </row>
    <row r="308" spans="1:65" x14ac:dyDescent="0.4">
      <c r="A308" s="3">
        <v>73</v>
      </c>
      <c r="B308" s="3">
        <v>73</v>
      </c>
      <c r="C308" s="4" t="s">
        <v>62</v>
      </c>
      <c r="D308" s="4" t="str">
        <f t="shared" si="88"/>
        <v>J022WG</v>
      </c>
      <c r="E308" s="4" t="s">
        <v>62</v>
      </c>
      <c r="F308" s="4" t="str">
        <f t="shared" si="104"/>
        <v>J022WG5</v>
      </c>
      <c r="G308" s="4" t="s">
        <v>708</v>
      </c>
      <c r="H308" s="5">
        <v>4974268150981</v>
      </c>
      <c r="I308" s="5">
        <v>5</v>
      </c>
      <c r="J308" s="5"/>
      <c r="K308" s="5">
        <v>1</v>
      </c>
      <c r="L308" s="5">
        <v>1</v>
      </c>
      <c r="M308" s="4">
        <v>1800</v>
      </c>
      <c r="N308" s="4">
        <v>1662</v>
      </c>
      <c r="O308" s="4">
        <v>1080</v>
      </c>
      <c r="P308" s="6">
        <f t="shared" si="89"/>
        <v>0.35018050541516244</v>
      </c>
      <c r="Q308" s="4" t="s">
        <v>1280</v>
      </c>
      <c r="R308" s="4" t="s">
        <v>1280</v>
      </c>
      <c r="S308" s="4" t="s">
        <v>1280</v>
      </c>
      <c r="T308" s="4">
        <v>1950</v>
      </c>
      <c r="U308" s="4">
        <f t="shared" si="90"/>
        <v>1950</v>
      </c>
      <c r="V308" s="4">
        <v>1170</v>
      </c>
      <c r="W308" s="4">
        <f t="shared" si="91"/>
        <v>1170</v>
      </c>
      <c r="X308" s="4"/>
      <c r="Y308" s="21">
        <f t="shared" si="92"/>
        <v>1801</v>
      </c>
      <c r="Z308" s="6">
        <f t="shared" si="93"/>
        <v>0.35036091060521934</v>
      </c>
      <c r="AA308" s="4">
        <v>0.25</v>
      </c>
      <c r="AB308" s="4">
        <f t="shared" si="94"/>
        <v>819</v>
      </c>
      <c r="AC308" s="4">
        <f t="shared" si="105"/>
        <v>887.24999999999989</v>
      </c>
      <c r="AD308" s="6">
        <f t="shared" si="106"/>
        <v>-0.31868131868131888</v>
      </c>
      <c r="AE308" s="4">
        <f t="shared" si="107"/>
        <v>1852.5</v>
      </c>
      <c r="AF308" s="7">
        <v>1800</v>
      </c>
      <c r="AG308" s="6">
        <f t="shared" si="95"/>
        <v>0.35</v>
      </c>
      <c r="AH308" s="4">
        <f t="shared" si="96"/>
        <v>630</v>
      </c>
      <c r="AI308" s="28"/>
      <c r="AJ308" s="6"/>
      <c r="AK308" s="6"/>
      <c r="AL308" s="6">
        <f t="shared" si="97"/>
        <v>1.0833333333333333</v>
      </c>
      <c r="AM308" s="6">
        <f t="shared" si="98"/>
        <v>1.0830324909747293</v>
      </c>
      <c r="AN308" s="6">
        <f t="shared" si="99"/>
        <v>1.0833333333333333</v>
      </c>
      <c r="AO308" s="4" t="str">
        <f t="shared" si="100"/>
        <v>-</v>
      </c>
      <c r="AP308" s="4" t="str">
        <f t="shared" si="101"/>
        <v>-</v>
      </c>
      <c r="AQ308" s="4" t="str">
        <f t="shared" si="102"/>
        <v>-</v>
      </c>
      <c r="AR308" s="4">
        <v>0</v>
      </c>
      <c r="AS308" s="4" t="s">
        <v>1767</v>
      </c>
      <c r="AT308" s="4"/>
      <c r="AU308" s="4"/>
      <c r="AV308" s="4" t="s">
        <v>1766</v>
      </c>
      <c r="AW308" s="4">
        <v>819</v>
      </c>
      <c r="AX308" s="4">
        <v>819</v>
      </c>
      <c r="AY308" s="4">
        <v>819</v>
      </c>
      <c r="AZ308" s="4">
        <f t="shared" si="103"/>
        <v>819</v>
      </c>
      <c r="BA308" s="19">
        <v>4</v>
      </c>
      <c r="BB308" s="19">
        <v>8</v>
      </c>
      <c r="BC308" s="16">
        <v>18</v>
      </c>
      <c r="BD308" t="s">
        <v>1280</v>
      </c>
      <c r="BE308" t="s">
        <v>1280</v>
      </c>
      <c r="BF308" t="s">
        <v>1280</v>
      </c>
      <c r="BG308" t="str">
        <f t="shared" si="108"/>
        <v>-</v>
      </c>
      <c r="BH308" t="s">
        <v>1280</v>
      </c>
      <c r="BI308" t="s">
        <v>1280</v>
      </c>
      <c r="BJ308" t="s">
        <v>1280</v>
      </c>
      <c r="BK308" t="str">
        <f t="shared" si="109"/>
        <v>-</v>
      </c>
      <c r="BL308" t="s">
        <v>1345</v>
      </c>
      <c r="BM308">
        <v>812</v>
      </c>
    </row>
    <row r="309" spans="1:65" x14ac:dyDescent="0.4">
      <c r="A309" s="3">
        <v>296</v>
      </c>
      <c r="B309" s="3">
        <v>296</v>
      </c>
      <c r="C309" s="4" t="s">
        <v>285</v>
      </c>
      <c r="D309" s="4" t="str">
        <f t="shared" si="88"/>
        <v>J39036</v>
      </c>
      <c r="E309" s="4" t="s">
        <v>285</v>
      </c>
      <c r="F309" s="4" t="str">
        <f t="shared" si="104"/>
        <v>J390365</v>
      </c>
      <c r="G309" s="4" t="s">
        <v>931</v>
      </c>
      <c r="H309" s="5">
        <v>4974268150998</v>
      </c>
      <c r="I309" s="5">
        <v>5</v>
      </c>
      <c r="J309" s="5"/>
      <c r="K309" s="5">
        <v>1</v>
      </c>
      <c r="L309" s="5">
        <v>1</v>
      </c>
      <c r="M309" s="4">
        <v>1800</v>
      </c>
      <c r="N309" s="4">
        <v>1625</v>
      </c>
      <c r="O309" s="4">
        <v>1080</v>
      </c>
      <c r="P309" s="6">
        <f t="shared" si="89"/>
        <v>0.33538461538461539</v>
      </c>
      <c r="Q309" s="4" t="s">
        <v>1280</v>
      </c>
      <c r="R309" s="4" t="s">
        <v>1280</v>
      </c>
      <c r="S309" s="4" t="s">
        <v>1280</v>
      </c>
      <c r="T309" s="4">
        <v>1950</v>
      </c>
      <c r="U309" s="4">
        <f t="shared" si="90"/>
        <v>1950</v>
      </c>
      <c r="V309" s="4">
        <v>1170</v>
      </c>
      <c r="W309" s="4">
        <f t="shared" si="91"/>
        <v>1170</v>
      </c>
      <c r="X309" s="4"/>
      <c r="Y309" s="21">
        <f t="shared" si="92"/>
        <v>1760</v>
      </c>
      <c r="Z309" s="6">
        <f t="shared" si="93"/>
        <v>0.33522727272727271</v>
      </c>
      <c r="AA309" s="4">
        <v>0</v>
      </c>
      <c r="AB309" s="4">
        <f t="shared" si="94"/>
        <v>1799</v>
      </c>
      <c r="AC309" s="4">
        <f t="shared" si="105"/>
        <v>1948.9166666666665</v>
      </c>
      <c r="AD309" s="6">
        <f t="shared" si="106"/>
        <v>0.39966648137854355</v>
      </c>
      <c r="AE309" s="4">
        <f t="shared" si="107"/>
        <v>1852.5</v>
      </c>
      <c r="AF309" s="7">
        <v>1800</v>
      </c>
      <c r="AG309" s="6">
        <f t="shared" si="95"/>
        <v>0.35</v>
      </c>
      <c r="AH309" s="4">
        <f t="shared" si="96"/>
        <v>630</v>
      </c>
      <c r="AI309" s="28"/>
      <c r="AJ309" s="6"/>
      <c r="AK309" s="6"/>
      <c r="AL309" s="6">
        <f t="shared" si="97"/>
        <v>1.0833333333333333</v>
      </c>
      <c r="AM309" s="6">
        <f t="shared" si="98"/>
        <v>1.1076923076923078</v>
      </c>
      <c r="AN309" s="6">
        <f t="shared" si="99"/>
        <v>1.0833333333333333</v>
      </c>
      <c r="AO309" s="4" t="str">
        <f t="shared" si="100"/>
        <v>-</v>
      </c>
      <c r="AP309" s="4" t="str">
        <f t="shared" si="101"/>
        <v>-</v>
      </c>
      <c r="AQ309" s="4" t="str">
        <f t="shared" si="102"/>
        <v>-</v>
      </c>
      <c r="AR309" s="4">
        <v>0</v>
      </c>
      <c r="AS309" s="4" t="s">
        <v>1924</v>
      </c>
      <c r="AT309" s="4"/>
      <c r="AU309" s="4"/>
      <c r="AV309" s="4" t="s">
        <v>1925</v>
      </c>
      <c r="AW309" s="4">
        <v>1799</v>
      </c>
      <c r="AX309" s="4">
        <v>1799</v>
      </c>
      <c r="AY309" s="4">
        <v>1799</v>
      </c>
      <c r="AZ309" s="4">
        <f t="shared" si="103"/>
        <v>1799</v>
      </c>
      <c r="BA309" s="19">
        <v>4</v>
      </c>
      <c r="BB309" s="19">
        <v>1</v>
      </c>
      <c r="BC309" s="16">
        <v>18</v>
      </c>
      <c r="BD309">
        <v>1286</v>
      </c>
      <c r="BE309">
        <v>1286</v>
      </c>
      <c r="BF309">
        <v>1286</v>
      </c>
      <c r="BG309">
        <f t="shared" si="108"/>
        <v>1393.1666666666665</v>
      </c>
      <c r="BH309">
        <v>1302</v>
      </c>
      <c r="BI309">
        <v>1302</v>
      </c>
      <c r="BJ309">
        <v>1302</v>
      </c>
      <c r="BK309">
        <f t="shared" si="109"/>
        <v>1410.5</v>
      </c>
      <c r="BL309" t="s">
        <v>1458</v>
      </c>
      <c r="BM309">
        <v>812</v>
      </c>
    </row>
    <row r="310" spans="1:65" x14ac:dyDescent="0.4">
      <c r="A310" s="32">
        <v>82</v>
      </c>
      <c r="B310" s="3">
        <v>82</v>
      </c>
      <c r="C310" s="4" t="s">
        <v>71</v>
      </c>
      <c r="D310" s="4" t="str">
        <f t="shared" si="88"/>
        <v>J042WG</v>
      </c>
      <c r="E310" s="4" t="s">
        <v>71</v>
      </c>
      <c r="F310" s="4" t="str">
        <f t="shared" si="104"/>
        <v>J042WG5</v>
      </c>
      <c r="G310" s="4" t="s">
        <v>717</v>
      </c>
      <c r="H310" s="5">
        <v>4974268838797</v>
      </c>
      <c r="I310" s="5">
        <v>5</v>
      </c>
      <c r="J310" s="5"/>
      <c r="K310" s="5">
        <v>1</v>
      </c>
      <c r="L310" s="5">
        <v>1</v>
      </c>
      <c r="M310" s="4">
        <v>1800</v>
      </c>
      <c r="N310" s="4">
        <v>1700</v>
      </c>
      <c r="O310" s="4">
        <v>1080</v>
      </c>
      <c r="P310" s="6">
        <f t="shared" si="89"/>
        <v>0.36470588235294121</v>
      </c>
      <c r="Q310" s="4" t="s">
        <v>1280</v>
      </c>
      <c r="R310" s="4" t="s">
        <v>1280</v>
      </c>
      <c r="S310" s="4" t="s">
        <v>1280</v>
      </c>
      <c r="T310" s="4">
        <v>2000</v>
      </c>
      <c r="U310" s="4">
        <f t="shared" si="90"/>
        <v>2000</v>
      </c>
      <c r="V310" s="4">
        <v>1200</v>
      </c>
      <c r="W310" s="4">
        <f t="shared" si="91"/>
        <v>1200</v>
      </c>
      <c r="X310" s="4"/>
      <c r="Y310" s="21">
        <f t="shared" si="92"/>
        <v>1889</v>
      </c>
      <c r="Z310" s="6">
        <f t="shared" si="93"/>
        <v>0.36474325039703548</v>
      </c>
      <c r="AA310" s="4">
        <v>0</v>
      </c>
      <c r="AB310" s="4" t="str">
        <f t="shared" si="94"/>
        <v>-</v>
      </c>
      <c r="AC310" s="4" t="str">
        <f t="shared" si="105"/>
        <v>-</v>
      </c>
      <c r="AD310" s="6" t="str">
        <f t="shared" si="106"/>
        <v>-</v>
      </c>
      <c r="AE310" s="4">
        <f t="shared" si="107"/>
        <v>1900</v>
      </c>
      <c r="AF310" s="7">
        <v>1950</v>
      </c>
      <c r="AG310" s="6">
        <f t="shared" si="95"/>
        <v>0.38461538461538458</v>
      </c>
      <c r="AH310" s="4">
        <f t="shared" si="96"/>
        <v>750</v>
      </c>
      <c r="AI310" s="28"/>
      <c r="AJ310" s="6"/>
      <c r="AK310" s="6"/>
      <c r="AL310" s="6">
        <f t="shared" si="97"/>
        <v>1.1111111111111112</v>
      </c>
      <c r="AM310" s="6">
        <f t="shared" si="98"/>
        <v>1.1470588235294117</v>
      </c>
      <c r="AN310" s="6">
        <f t="shared" si="99"/>
        <v>1.1111111111111112</v>
      </c>
      <c r="AO310" s="4" t="str">
        <f t="shared" si="100"/>
        <v>-</v>
      </c>
      <c r="AP310" s="4" t="str">
        <f t="shared" si="101"/>
        <v>-</v>
      </c>
      <c r="AQ310" s="4" t="str">
        <f t="shared" si="102"/>
        <v>-</v>
      </c>
      <c r="AR310" s="4">
        <v>0</v>
      </c>
      <c r="AS310" s="4" t="s">
        <v>1280</v>
      </c>
      <c r="AT310" s="4"/>
      <c r="AU310" s="4"/>
      <c r="AV310" s="4" t="s">
        <v>1280</v>
      </c>
      <c r="AW310" s="4" t="s">
        <v>1280</v>
      </c>
      <c r="AX310" s="4" t="s">
        <v>1280</v>
      </c>
      <c r="AY310" s="4" t="s">
        <v>1280</v>
      </c>
      <c r="AZ310" s="4" t="str">
        <f t="shared" si="103"/>
        <v>-</v>
      </c>
      <c r="BA310" s="19">
        <v>2</v>
      </c>
      <c r="BB310" s="19">
        <v>8</v>
      </c>
      <c r="BC310" s="16">
        <v>18</v>
      </c>
      <c r="BD310" t="s">
        <v>1280</v>
      </c>
      <c r="BE310" t="s">
        <v>1280</v>
      </c>
      <c r="BF310" t="s">
        <v>1280</v>
      </c>
      <c r="BG310" t="str">
        <f t="shared" si="108"/>
        <v>-</v>
      </c>
      <c r="BH310" t="s">
        <v>1280</v>
      </c>
      <c r="BI310" t="s">
        <v>1280</v>
      </c>
      <c r="BJ310" t="s">
        <v>1280</v>
      </c>
      <c r="BK310" t="str">
        <f t="shared" si="109"/>
        <v>-</v>
      </c>
      <c r="BL310" t="s">
        <v>1280</v>
      </c>
      <c r="BM310">
        <v>812</v>
      </c>
    </row>
    <row r="311" spans="1:65" x14ac:dyDescent="0.4">
      <c r="A311" s="32">
        <v>84</v>
      </c>
      <c r="B311" s="3">
        <v>84</v>
      </c>
      <c r="C311" s="4" t="s">
        <v>73</v>
      </c>
      <c r="D311" s="4" t="str">
        <f t="shared" si="88"/>
        <v>J044WG</v>
      </c>
      <c r="E311" s="4" t="s">
        <v>73</v>
      </c>
      <c r="F311" s="4" t="str">
        <f t="shared" si="104"/>
        <v>J044WG5</v>
      </c>
      <c r="G311" s="4" t="s">
        <v>719</v>
      </c>
      <c r="H311" s="5">
        <v>4974268838025</v>
      </c>
      <c r="I311" s="5">
        <v>5</v>
      </c>
      <c r="J311" s="5"/>
      <c r="K311" s="5">
        <v>1</v>
      </c>
      <c r="L311" s="5">
        <v>1</v>
      </c>
      <c r="M311" s="4">
        <v>1800</v>
      </c>
      <c r="N311" s="4">
        <v>1700</v>
      </c>
      <c r="O311" s="4">
        <v>1080</v>
      </c>
      <c r="P311" s="6">
        <f t="shared" si="89"/>
        <v>0.36470588235294121</v>
      </c>
      <c r="Q311" s="4" t="s">
        <v>1280</v>
      </c>
      <c r="R311" s="4" t="s">
        <v>1280</v>
      </c>
      <c r="S311" s="4" t="s">
        <v>1280</v>
      </c>
      <c r="T311" s="4">
        <v>2000</v>
      </c>
      <c r="U311" s="4">
        <f t="shared" si="90"/>
        <v>2000</v>
      </c>
      <c r="V311" s="4">
        <v>1200</v>
      </c>
      <c r="W311" s="4">
        <f t="shared" si="91"/>
        <v>1200</v>
      </c>
      <c r="X311" s="4"/>
      <c r="Y311" s="21">
        <f t="shared" si="92"/>
        <v>1889</v>
      </c>
      <c r="Z311" s="6">
        <f t="shared" si="93"/>
        <v>0.36474325039703548</v>
      </c>
      <c r="AA311" s="4">
        <v>0</v>
      </c>
      <c r="AB311" s="4" t="str">
        <f t="shared" si="94"/>
        <v>-</v>
      </c>
      <c r="AC311" s="4" t="str">
        <f t="shared" si="105"/>
        <v>-</v>
      </c>
      <c r="AD311" s="6" t="str">
        <f t="shared" si="106"/>
        <v>-</v>
      </c>
      <c r="AE311" s="4">
        <f t="shared" si="107"/>
        <v>1900</v>
      </c>
      <c r="AF311" s="7">
        <v>1950</v>
      </c>
      <c r="AG311" s="6">
        <f t="shared" si="95"/>
        <v>0.38461538461538458</v>
      </c>
      <c r="AH311" s="4">
        <f t="shared" si="96"/>
        <v>750</v>
      </c>
      <c r="AI311" s="28"/>
      <c r="AJ311" s="6"/>
      <c r="AK311" s="6"/>
      <c r="AL311" s="6">
        <f t="shared" si="97"/>
        <v>1.1111111111111112</v>
      </c>
      <c r="AM311" s="6">
        <f t="shared" si="98"/>
        <v>1.1470588235294117</v>
      </c>
      <c r="AN311" s="6">
        <f t="shared" si="99"/>
        <v>1.1111111111111112</v>
      </c>
      <c r="AO311" s="4" t="str">
        <f t="shared" si="100"/>
        <v>-</v>
      </c>
      <c r="AP311" s="4" t="str">
        <f t="shared" si="101"/>
        <v>-</v>
      </c>
      <c r="AQ311" s="4" t="str">
        <f t="shared" si="102"/>
        <v>-</v>
      </c>
      <c r="AR311" s="4">
        <v>0</v>
      </c>
      <c r="AS311" s="4" t="s">
        <v>1280</v>
      </c>
      <c r="AT311" s="4"/>
      <c r="AU311" s="4"/>
      <c r="AV311" s="4" t="s">
        <v>1280</v>
      </c>
      <c r="AW311" s="4" t="s">
        <v>1280</v>
      </c>
      <c r="AX311" s="4" t="s">
        <v>1280</v>
      </c>
      <c r="AY311" s="4" t="s">
        <v>1280</v>
      </c>
      <c r="AZ311" s="4" t="str">
        <f t="shared" si="103"/>
        <v>-</v>
      </c>
      <c r="BA311" s="19">
        <v>2</v>
      </c>
      <c r="BB311" s="19">
        <v>8</v>
      </c>
      <c r="BC311" s="16">
        <v>18</v>
      </c>
      <c r="BD311" t="s">
        <v>1280</v>
      </c>
      <c r="BE311" t="s">
        <v>1280</v>
      </c>
      <c r="BF311" t="s">
        <v>1280</v>
      </c>
      <c r="BG311" t="str">
        <f t="shared" si="108"/>
        <v>-</v>
      </c>
      <c r="BH311">
        <v>1637</v>
      </c>
      <c r="BI311">
        <v>1637</v>
      </c>
      <c r="BJ311">
        <v>1637</v>
      </c>
      <c r="BK311">
        <f t="shared" si="109"/>
        <v>1818.8888888888889</v>
      </c>
      <c r="BL311" t="s">
        <v>1280</v>
      </c>
      <c r="BM311">
        <v>812</v>
      </c>
    </row>
    <row r="312" spans="1:65" x14ac:dyDescent="0.4">
      <c r="A312" s="32">
        <v>86</v>
      </c>
      <c r="B312" s="3">
        <v>86</v>
      </c>
      <c r="C312" s="4" t="s">
        <v>75</v>
      </c>
      <c r="D312" s="4" t="str">
        <f t="shared" si="88"/>
        <v>J045WG</v>
      </c>
      <c r="E312" s="4" t="s">
        <v>75</v>
      </c>
      <c r="F312" s="4" t="str">
        <f t="shared" si="104"/>
        <v>J045WG5</v>
      </c>
      <c r="G312" s="4" t="s">
        <v>721</v>
      </c>
      <c r="H312" s="5">
        <v>4974268838049</v>
      </c>
      <c r="I312" s="5">
        <v>5</v>
      </c>
      <c r="J312" s="5"/>
      <c r="K312" s="5">
        <v>1</v>
      </c>
      <c r="L312" s="5">
        <v>1</v>
      </c>
      <c r="M312" s="4">
        <v>1800</v>
      </c>
      <c r="N312" s="4">
        <v>1700</v>
      </c>
      <c r="O312" s="4">
        <v>1080</v>
      </c>
      <c r="P312" s="6">
        <f t="shared" si="89"/>
        <v>0.36470588235294121</v>
      </c>
      <c r="Q312" s="4" t="s">
        <v>1280</v>
      </c>
      <c r="R312" s="4" t="s">
        <v>1280</v>
      </c>
      <c r="S312" s="4" t="s">
        <v>1280</v>
      </c>
      <c r="T312" s="4">
        <v>2000</v>
      </c>
      <c r="U312" s="4">
        <f t="shared" si="90"/>
        <v>2000</v>
      </c>
      <c r="V312" s="4">
        <v>1200</v>
      </c>
      <c r="W312" s="4">
        <f t="shared" si="91"/>
        <v>1200</v>
      </c>
      <c r="X312" s="4"/>
      <c r="Y312" s="21">
        <f t="shared" si="92"/>
        <v>1889</v>
      </c>
      <c r="Z312" s="6">
        <f t="shared" si="93"/>
        <v>0.36474325039703548</v>
      </c>
      <c r="AA312" s="4">
        <v>0</v>
      </c>
      <c r="AB312" s="4" t="str">
        <f t="shared" si="94"/>
        <v>-</v>
      </c>
      <c r="AC312" s="4" t="str">
        <f t="shared" si="105"/>
        <v>-</v>
      </c>
      <c r="AD312" s="6" t="str">
        <f t="shared" si="106"/>
        <v>-</v>
      </c>
      <c r="AE312" s="4">
        <f t="shared" si="107"/>
        <v>1900</v>
      </c>
      <c r="AF312" s="7">
        <v>1950</v>
      </c>
      <c r="AG312" s="6">
        <f t="shared" si="95"/>
        <v>0.38461538461538458</v>
      </c>
      <c r="AH312" s="4">
        <f t="shared" si="96"/>
        <v>750</v>
      </c>
      <c r="AI312" s="28"/>
      <c r="AJ312" s="6"/>
      <c r="AK312" s="6"/>
      <c r="AL312" s="6">
        <f t="shared" si="97"/>
        <v>1.1111111111111112</v>
      </c>
      <c r="AM312" s="6">
        <f t="shared" si="98"/>
        <v>1.1470588235294117</v>
      </c>
      <c r="AN312" s="6">
        <f t="shared" si="99"/>
        <v>1.1111111111111112</v>
      </c>
      <c r="AO312" s="4" t="str">
        <f t="shared" si="100"/>
        <v>-</v>
      </c>
      <c r="AP312" s="4" t="str">
        <f t="shared" si="101"/>
        <v>-</v>
      </c>
      <c r="AQ312" s="4" t="str">
        <f t="shared" si="102"/>
        <v>-</v>
      </c>
      <c r="AR312" s="4">
        <v>0</v>
      </c>
      <c r="AS312" s="4" t="s">
        <v>1280</v>
      </c>
      <c r="AT312" s="4"/>
      <c r="AU312" s="4"/>
      <c r="AV312" s="4" t="s">
        <v>1280</v>
      </c>
      <c r="AW312" s="4" t="s">
        <v>1280</v>
      </c>
      <c r="AX312" s="4" t="s">
        <v>1280</v>
      </c>
      <c r="AY312" s="4" t="s">
        <v>1280</v>
      </c>
      <c r="AZ312" s="4" t="str">
        <f t="shared" si="103"/>
        <v>-</v>
      </c>
      <c r="BA312" s="19">
        <v>2</v>
      </c>
      <c r="BB312" s="19">
        <v>8</v>
      </c>
      <c r="BC312" s="16">
        <v>18</v>
      </c>
      <c r="BD312" t="s">
        <v>1280</v>
      </c>
      <c r="BE312" t="s">
        <v>1280</v>
      </c>
      <c r="BF312" t="s">
        <v>1280</v>
      </c>
      <c r="BG312" t="str">
        <f t="shared" si="108"/>
        <v>-</v>
      </c>
      <c r="BH312">
        <v>1367</v>
      </c>
      <c r="BI312">
        <v>1367</v>
      </c>
      <c r="BJ312">
        <v>1367</v>
      </c>
      <c r="BK312">
        <f t="shared" si="109"/>
        <v>1518.8888888888889</v>
      </c>
      <c r="BL312" t="s">
        <v>1280</v>
      </c>
      <c r="BM312">
        <v>812</v>
      </c>
    </row>
    <row r="313" spans="1:65" x14ac:dyDescent="0.4">
      <c r="A313" s="3">
        <v>134</v>
      </c>
      <c r="B313" s="3">
        <v>134</v>
      </c>
      <c r="C313" s="4" t="s">
        <v>123</v>
      </c>
      <c r="D313" s="4" t="str">
        <f t="shared" si="88"/>
        <v>J1807P</v>
      </c>
      <c r="E313" s="4" t="s">
        <v>123</v>
      </c>
      <c r="F313" s="4" t="str">
        <f t="shared" si="104"/>
        <v>J1807P5</v>
      </c>
      <c r="G313" s="4" t="s">
        <v>769</v>
      </c>
      <c r="H313" s="5">
        <v>4974268698421</v>
      </c>
      <c r="I313" s="5">
        <v>5</v>
      </c>
      <c r="J313" s="5"/>
      <c r="K313" s="5">
        <v>1</v>
      </c>
      <c r="L313" s="5">
        <v>1</v>
      </c>
      <c r="M313" s="4">
        <v>1550</v>
      </c>
      <c r="N313" s="4">
        <v>1359</v>
      </c>
      <c r="O313" s="4">
        <v>930</v>
      </c>
      <c r="P313" s="6">
        <f t="shared" si="89"/>
        <v>0.3156732891832229</v>
      </c>
      <c r="Q313" s="4" t="s">
        <v>1280</v>
      </c>
      <c r="R313" s="4" t="s">
        <v>1280</v>
      </c>
      <c r="S313" s="4" t="s">
        <v>1280</v>
      </c>
      <c r="T313" s="4">
        <v>2000</v>
      </c>
      <c r="U313" s="4">
        <f t="shared" si="90"/>
        <v>2000</v>
      </c>
      <c r="V313" s="4">
        <v>1200</v>
      </c>
      <c r="W313" s="4">
        <f t="shared" si="91"/>
        <v>1200</v>
      </c>
      <c r="X313" s="4"/>
      <c r="Y313" s="21">
        <f t="shared" si="92"/>
        <v>1754</v>
      </c>
      <c r="Z313" s="6">
        <f t="shared" si="93"/>
        <v>0.31584948688711512</v>
      </c>
      <c r="AA313" s="4">
        <v>0</v>
      </c>
      <c r="AB313" s="4">
        <f t="shared" si="94"/>
        <v>1550</v>
      </c>
      <c r="AC313" s="4">
        <f t="shared" si="105"/>
        <v>2000</v>
      </c>
      <c r="AD313" s="6">
        <f t="shared" si="106"/>
        <v>0.4</v>
      </c>
      <c r="AE313" s="4">
        <f t="shared" si="107"/>
        <v>1900</v>
      </c>
      <c r="AF313" s="7">
        <v>1800</v>
      </c>
      <c r="AG313" s="6">
        <f t="shared" si="95"/>
        <v>0.33333333333333337</v>
      </c>
      <c r="AH313" s="4">
        <f t="shared" si="96"/>
        <v>600</v>
      </c>
      <c r="AI313" s="28"/>
      <c r="AJ313" s="6"/>
      <c r="AK313" s="6"/>
      <c r="AL313" s="6">
        <f t="shared" si="97"/>
        <v>1.2903225806451613</v>
      </c>
      <c r="AM313" s="6">
        <f t="shared" si="98"/>
        <v>1.3245033112582782</v>
      </c>
      <c r="AN313" s="6">
        <f t="shared" si="99"/>
        <v>1.2903225806451613</v>
      </c>
      <c r="AO313" s="4" t="str">
        <f t="shared" si="100"/>
        <v>-</v>
      </c>
      <c r="AP313" s="4" t="str">
        <f t="shared" si="101"/>
        <v>-</v>
      </c>
      <c r="AQ313" s="4" t="str">
        <f t="shared" si="102"/>
        <v>-</v>
      </c>
      <c r="AR313" s="4">
        <v>0</v>
      </c>
      <c r="AS313" s="4" t="s">
        <v>1825</v>
      </c>
      <c r="AT313" s="4">
        <v>1</v>
      </c>
      <c r="AU313" s="4">
        <v>2</v>
      </c>
      <c r="AV313" s="4" t="s">
        <v>1826</v>
      </c>
      <c r="AW313" s="4">
        <v>3100</v>
      </c>
      <c r="AX313" s="4">
        <v>3100</v>
      </c>
      <c r="AY313" s="4">
        <v>3100</v>
      </c>
      <c r="AZ313" s="4">
        <f t="shared" si="103"/>
        <v>1550</v>
      </c>
      <c r="BA313" s="19">
        <v>4</v>
      </c>
      <c r="BB313" s="19">
        <v>8</v>
      </c>
      <c r="BC313" s="16">
        <v>4</v>
      </c>
      <c r="BD313" t="s">
        <v>1280</v>
      </c>
      <c r="BE313" t="s">
        <v>1280</v>
      </c>
      <c r="BF313" t="s">
        <v>1280</v>
      </c>
      <c r="BG313" t="str">
        <f t="shared" si="108"/>
        <v>-</v>
      </c>
      <c r="BH313" t="s">
        <v>1280</v>
      </c>
      <c r="BI313" t="s">
        <v>1280</v>
      </c>
      <c r="BJ313" t="s">
        <v>1280</v>
      </c>
      <c r="BK313" t="str">
        <f t="shared" si="109"/>
        <v>-</v>
      </c>
      <c r="BL313" t="s">
        <v>1384</v>
      </c>
      <c r="BM313">
        <v>812</v>
      </c>
    </row>
    <row r="314" spans="1:65" x14ac:dyDescent="0.4">
      <c r="A314" s="3">
        <v>135</v>
      </c>
      <c r="B314" s="3">
        <v>135</v>
      </c>
      <c r="C314" s="4" t="s">
        <v>124</v>
      </c>
      <c r="D314" s="4" t="str">
        <f t="shared" si="88"/>
        <v>J1808P</v>
      </c>
      <c r="E314" s="4" t="s">
        <v>124</v>
      </c>
      <c r="F314" s="4" t="str">
        <f t="shared" si="104"/>
        <v>J1808P5</v>
      </c>
      <c r="G314" s="4" t="s">
        <v>770</v>
      </c>
      <c r="H314" s="5">
        <v>4974268698438</v>
      </c>
      <c r="I314" s="5">
        <v>5</v>
      </c>
      <c r="J314" s="5"/>
      <c r="K314" s="5">
        <v>1</v>
      </c>
      <c r="L314" s="5">
        <v>1</v>
      </c>
      <c r="M314" s="4">
        <v>1550</v>
      </c>
      <c r="N314" s="4">
        <v>1359</v>
      </c>
      <c r="O314" s="4">
        <v>930</v>
      </c>
      <c r="P314" s="6">
        <f t="shared" si="89"/>
        <v>0.3156732891832229</v>
      </c>
      <c r="Q314" s="4" t="s">
        <v>1280</v>
      </c>
      <c r="R314" s="4" t="s">
        <v>1280</v>
      </c>
      <c r="S314" s="4" t="s">
        <v>1280</v>
      </c>
      <c r="T314" s="4">
        <v>2000</v>
      </c>
      <c r="U314" s="4">
        <f t="shared" si="90"/>
        <v>2000</v>
      </c>
      <c r="V314" s="4">
        <v>1200</v>
      </c>
      <c r="W314" s="4">
        <f t="shared" si="91"/>
        <v>1200</v>
      </c>
      <c r="X314" s="4"/>
      <c r="Y314" s="21">
        <f t="shared" si="92"/>
        <v>1754</v>
      </c>
      <c r="Z314" s="6">
        <f t="shared" si="93"/>
        <v>0.31584948688711512</v>
      </c>
      <c r="AA314" s="4">
        <v>0</v>
      </c>
      <c r="AB314" s="4">
        <f t="shared" si="94"/>
        <v>1550</v>
      </c>
      <c r="AC314" s="4">
        <f t="shared" si="105"/>
        <v>2000</v>
      </c>
      <c r="AD314" s="6">
        <f t="shared" si="106"/>
        <v>0.4</v>
      </c>
      <c r="AE314" s="4">
        <f t="shared" si="107"/>
        <v>1900</v>
      </c>
      <c r="AF314" s="7">
        <v>1800</v>
      </c>
      <c r="AG314" s="6">
        <f t="shared" si="95"/>
        <v>0.33333333333333337</v>
      </c>
      <c r="AH314" s="4">
        <f t="shared" si="96"/>
        <v>600</v>
      </c>
      <c r="AI314" s="28"/>
      <c r="AJ314" s="6"/>
      <c r="AK314" s="6"/>
      <c r="AL314" s="6">
        <f t="shared" si="97"/>
        <v>1.2903225806451613</v>
      </c>
      <c r="AM314" s="6">
        <f t="shared" si="98"/>
        <v>1.3245033112582782</v>
      </c>
      <c r="AN314" s="6">
        <f t="shared" si="99"/>
        <v>1.2903225806451613</v>
      </c>
      <c r="AO314" s="4" t="str">
        <f t="shared" si="100"/>
        <v>-</v>
      </c>
      <c r="AP314" s="4" t="str">
        <f t="shared" si="101"/>
        <v>-</v>
      </c>
      <c r="AQ314" s="4" t="str">
        <f t="shared" si="102"/>
        <v>-</v>
      </c>
      <c r="AR314" s="4">
        <v>0</v>
      </c>
      <c r="AS314" s="4" t="s">
        <v>1827</v>
      </c>
      <c r="AT314" s="4">
        <v>1</v>
      </c>
      <c r="AU314" s="4">
        <v>2</v>
      </c>
      <c r="AV314" s="4" t="s">
        <v>1826</v>
      </c>
      <c r="AW314" s="4">
        <v>3100</v>
      </c>
      <c r="AX314" s="4">
        <v>3100</v>
      </c>
      <c r="AY314" s="4">
        <v>3100</v>
      </c>
      <c r="AZ314" s="4">
        <f t="shared" si="103"/>
        <v>1550</v>
      </c>
      <c r="BA314" s="19">
        <v>4</v>
      </c>
      <c r="BB314" s="19">
        <v>8</v>
      </c>
      <c r="BC314" s="16">
        <v>4</v>
      </c>
      <c r="BD314" t="s">
        <v>1280</v>
      </c>
      <c r="BE314" t="s">
        <v>1280</v>
      </c>
      <c r="BF314" t="s">
        <v>1280</v>
      </c>
      <c r="BG314" t="str">
        <f t="shared" si="108"/>
        <v>-</v>
      </c>
      <c r="BH314" t="s">
        <v>1280</v>
      </c>
      <c r="BI314" t="s">
        <v>1280</v>
      </c>
      <c r="BJ314" t="s">
        <v>1280</v>
      </c>
      <c r="BK314" t="str">
        <f t="shared" si="109"/>
        <v>-</v>
      </c>
      <c r="BL314" t="s">
        <v>1385</v>
      </c>
      <c r="BM314">
        <v>812</v>
      </c>
    </row>
    <row r="315" spans="1:65" x14ac:dyDescent="0.4">
      <c r="A315" s="3">
        <v>136</v>
      </c>
      <c r="B315" s="3">
        <v>136</v>
      </c>
      <c r="C315" s="4" t="s">
        <v>125</v>
      </c>
      <c r="D315" s="4" t="str">
        <f t="shared" si="88"/>
        <v>J1809P</v>
      </c>
      <c r="E315" s="4" t="s">
        <v>125</v>
      </c>
      <c r="F315" s="4" t="str">
        <f t="shared" si="104"/>
        <v>J1809P5</v>
      </c>
      <c r="G315" s="4" t="s">
        <v>771</v>
      </c>
      <c r="H315" s="5">
        <v>4974268698445</v>
      </c>
      <c r="I315" s="5">
        <v>5</v>
      </c>
      <c r="J315" s="5"/>
      <c r="K315" s="5">
        <v>1</v>
      </c>
      <c r="L315" s="5">
        <v>1</v>
      </c>
      <c r="M315" s="4">
        <v>1550</v>
      </c>
      <c r="N315" s="4">
        <v>1359</v>
      </c>
      <c r="O315" s="4">
        <v>930</v>
      </c>
      <c r="P315" s="6">
        <f t="shared" si="89"/>
        <v>0.3156732891832229</v>
      </c>
      <c r="Q315" s="4" t="s">
        <v>1280</v>
      </c>
      <c r="R315" s="4" t="s">
        <v>1280</v>
      </c>
      <c r="S315" s="4" t="s">
        <v>1280</v>
      </c>
      <c r="T315" s="4">
        <v>2000</v>
      </c>
      <c r="U315" s="4">
        <f t="shared" si="90"/>
        <v>2000</v>
      </c>
      <c r="V315" s="4">
        <v>1200</v>
      </c>
      <c r="W315" s="4">
        <f t="shared" si="91"/>
        <v>1200</v>
      </c>
      <c r="X315" s="4"/>
      <c r="Y315" s="21">
        <f t="shared" si="92"/>
        <v>1754</v>
      </c>
      <c r="Z315" s="6">
        <f t="shared" si="93"/>
        <v>0.31584948688711512</v>
      </c>
      <c r="AA315" s="4">
        <v>0</v>
      </c>
      <c r="AB315" s="4">
        <f t="shared" si="94"/>
        <v>1550</v>
      </c>
      <c r="AC315" s="4">
        <f t="shared" si="105"/>
        <v>2000</v>
      </c>
      <c r="AD315" s="6">
        <f t="shared" si="106"/>
        <v>0.4</v>
      </c>
      <c r="AE315" s="4">
        <f t="shared" si="107"/>
        <v>1900</v>
      </c>
      <c r="AF315" s="7">
        <v>1800</v>
      </c>
      <c r="AG315" s="6">
        <f t="shared" si="95"/>
        <v>0.33333333333333337</v>
      </c>
      <c r="AH315" s="4">
        <f t="shared" si="96"/>
        <v>600</v>
      </c>
      <c r="AI315" s="28"/>
      <c r="AJ315" s="6"/>
      <c r="AK315" s="6"/>
      <c r="AL315" s="6">
        <f t="shared" si="97"/>
        <v>1.2903225806451613</v>
      </c>
      <c r="AM315" s="6">
        <f t="shared" si="98"/>
        <v>1.3245033112582782</v>
      </c>
      <c r="AN315" s="6">
        <f t="shared" si="99"/>
        <v>1.2903225806451613</v>
      </c>
      <c r="AO315" s="4" t="str">
        <f t="shared" si="100"/>
        <v>-</v>
      </c>
      <c r="AP315" s="4" t="str">
        <f t="shared" si="101"/>
        <v>-</v>
      </c>
      <c r="AQ315" s="4" t="str">
        <f t="shared" si="102"/>
        <v>-</v>
      </c>
      <c r="AR315" s="4">
        <v>0</v>
      </c>
      <c r="AS315" s="4" t="s">
        <v>1828</v>
      </c>
      <c r="AT315" s="4">
        <v>1</v>
      </c>
      <c r="AU315" s="4">
        <v>2</v>
      </c>
      <c r="AV315" s="4" t="s">
        <v>1826</v>
      </c>
      <c r="AW315" s="4">
        <v>3100</v>
      </c>
      <c r="AX315" s="4">
        <v>3100</v>
      </c>
      <c r="AY315" s="4">
        <v>3100</v>
      </c>
      <c r="AZ315" s="4">
        <f t="shared" si="103"/>
        <v>1550</v>
      </c>
      <c r="BA315" s="19">
        <v>4</v>
      </c>
      <c r="BB315" s="19">
        <v>8</v>
      </c>
      <c r="BC315" s="16">
        <v>4</v>
      </c>
      <c r="BD315" t="s">
        <v>1280</v>
      </c>
      <c r="BE315" t="s">
        <v>1280</v>
      </c>
      <c r="BF315" t="s">
        <v>1280</v>
      </c>
      <c r="BG315" t="str">
        <f t="shared" si="108"/>
        <v>-</v>
      </c>
      <c r="BH315" t="s">
        <v>1280</v>
      </c>
      <c r="BI315" t="s">
        <v>1280</v>
      </c>
      <c r="BJ315" t="s">
        <v>1280</v>
      </c>
      <c r="BK315" t="str">
        <f t="shared" si="109"/>
        <v>-</v>
      </c>
      <c r="BL315" t="s">
        <v>1386</v>
      </c>
      <c r="BM315">
        <v>812</v>
      </c>
    </row>
    <row r="316" spans="1:65" x14ac:dyDescent="0.4">
      <c r="A316" s="32">
        <v>190</v>
      </c>
      <c r="B316" s="3">
        <v>190</v>
      </c>
      <c r="C316" s="4" t="s">
        <v>179</v>
      </c>
      <c r="D316" s="4" t="str">
        <f t="shared" si="88"/>
        <v>J3052N</v>
      </c>
      <c r="E316" s="4" t="s">
        <v>179</v>
      </c>
      <c r="F316" s="4" t="str">
        <f t="shared" si="104"/>
        <v>J3052N5</v>
      </c>
      <c r="G316" s="4" t="s">
        <v>825</v>
      </c>
      <c r="H316" s="5">
        <v>4974268838445</v>
      </c>
      <c r="I316" s="5">
        <v>5</v>
      </c>
      <c r="J316" s="5"/>
      <c r="K316" s="5">
        <v>1</v>
      </c>
      <c r="L316" s="5">
        <v>1</v>
      </c>
      <c r="M316" s="4">
        <v>1800</v>
      </c>
      <c r="N316" s="4">
        <v>1600</v>
      </c>
      <c r="O316" s="4">
        <v>1080</v>
      </c>
      <c r="P316" s="6">
        <f t="shared" si="89"/>
        <v>0.32499999999999996</v>
      </c>
      <c r="Q316" s="4" t="s">
        <v>1280</v>
      </c>
      <c r="R316" s="4" t="s">
        <v>1280</v>
      </c>
      <c r="S316" s="4" t="s">
        <v>1280</v>
      </c>
      <c r="T316" s="4">
        <v>2000</v>
      </c>
      <c r="U316" s="4">
        <f t="shared" si="90"/>
        <v>2000</v>
      </c>
      <c r="V316" s="4">
        <v>1200</v>
      </c>
      <c r="W316" s="4">
        <f t="shared" si="91"/>
        <v>1200</v>
      </c>
      <c r="X316" s="4"/>
      <c r="Y316" s="21">
        <f t="shared" si="92"/>
        <v>1778</v>
      </c>
      <c r="Z316" s="6">
        <f t="shared" si="93"/>
        <v>0.32508436445444322</v>
      </c>
      <c r="AA316" s="4">
        <v>0</v>
      </c>
      <c r="AB316" s="4" t="str">
        <f t="shared" si="94"/>
        <v>-</v>
      </c>
      <c r="AC316" s="4" t="str">
        <f t="shared" si="105"/>
        <v>-</v>
      </c>
      <c r="AD316" s="6" t="str">
        <f t="shared" si="106"/>
        <v>-</v>
      </c>
      <c r="AE316" s="4">
        <f t="shared" si="107"/>
        <v>1900</v>
      </c>
      <c r="AF316" s="7">
        <v>1950</v>
      </c>
      <c r="AG316" s="6">
        <f t="shared" si="95"/>
        <v>0.38461538461538458</v>
      </c>
      <c r="AH316" s="4">
        <f t="shared" si="96"/>
        <v>750</v>
      </c>
      <c r="AI316" s="28"/>
      <c r="AJ316" s="6"/>
      <c r="AK316" s="6"/>
      <c r="AL316" s="6">
        <f t="shared" si="97"/>
        <v>1.1111111111111112</v>
      </c>
      <c r="AM316" s="6">
        <f t="shared" si="98"/>
        <v>1.21875</v>
      </c>
      <c r="AN316" s="6">
        <f t="shared" si="99"/>
        <v>1.1111111111111112</v>
      </c>
      <c r="AO316" s="4" t="str">
        <f t="shared" si="100"/>
        <v>-</v>
      </c>
      <c r="AP316" s="4" t="str">
        <f t="shared" si="101"/>
        <v>-</v>
      </c>
      <c r="AQ316" s="4" t="str">
        <f t="shared" si="102"/>
        <v>-</v>
      </c>
      <c r="AR316" s="4">
        <v>0</v>
      </c>
      <c r="AS316" s="4" t="s">
        <v>1280</v>
      </c>
      <c r="AT316" s="4"/>
      <c r="AU316" s="4"/>
      <c r="AV316" s="4" t="s">
        <v>1280</v>
      </c>
      <c r="AW316" s="4" t="s">
        <v>1280</v>
      </c>
      <c r="AX316" s="4" t="s">
        <v>1280</v>
      </c>
      <c r="AY316" s="4" t="s">
        <v>1280</v>
      </c>
      <c r="AZ316" s="4" t="str">
        <f t="shared" si="103"/>
        <v>-</v>
      </c>
      <c r="BA316" s="19">
        <v>2</v>
      </c>
      <c r="BB316" s="19">
        <v>8</v>
      </c>
      <c r="BC316" s="16">
        <v>18</v>
      </c>
      <c r="BD316">
        <v>1636</v>
      </c>
      <c r="BE316">
        <v>1636</v>
      </c>
      <c r="BF316">
        <v>1636</v>
      </c>
      <c r="BG316">
        <f t="shared" si="108"/>
        <v>1817.7777777777778</v>
      </c>
      <c r="BH316">
        <v>1652</v>
      </c>
      <c r="BI316">
        <v>1652</v>
      </c>
      <c r="BJ316">
        <v>1652</v>
      </c>
      <c r="BK316">
        <f t="shared" si="109"/>
        <v>1835.5555555555557</v>
      </c>
      <c r="BL316" t="s">
        <v>1280</v>
      </c>
      <c r="BM316">
        <v>812</v>
      </c>
    </row>
    <row r="317" spans="1:65" x14ac:dyDescent="0.4">
      <c r="A317" s="32">
        <v>191</v>
      </c>
      <c r="B317" s="3">
        <v>191</v>
      </c>
      <c r="C317" s="4" t="s">
        <v>180</v>
      </c>
      <c r="D317" s="4" t="str">
        <f t="shared" si="88"/>
        <v>J3053N</v>
      </c>
      <c r="E317" s="4" t="s">
        <v>180</v>
      </c>
      <c r="F317" s="4" t="str">
        <f t="shared" si="104"/>
        <v>J3053N5</v>
      </c>
      <c r="G317" s="4" t="s">
        <v>826</v>
      </c>
      <c r="H317" s="5">
        <v>4974268838452</v>
      </c>
      <c r="I317" s="5">
        <v>5</v>
      </c>
      <c r="J317" s="5"/>
      <c r="K317" s="5">
        <v>1</v>
      </c>
      <c r="L317" s="5">
        <v>1</v>
      </c>
      <c r="M317" s="4">
        <v>1800</v>
      </c>
      <c r="N317" s="4">
        <v>1600</v>
      </c>
      <c r="O317" s="4">
        <v>1080</v>
      </c>
      <c r="P317" s="6">
        <f t="shared" si="89"/>
        <v>0.32499999999999996</v>
      </c>
      <c r="Q317" s="4" t="s">
        <v>1280</v>
      </c>
      <c r="R317" s="4" t="s">
        <v>1280</v>
      </c>
      <c r="S317" s="4" t="s">
        <v>1280</v>
      </c>
      <c r="T317" s="4">
        <v>2000</v>
      </c>
      <c r="U317" s="4">
        <f t="shared" si="90"/>
        <v>2000</v>
      </c>
      <c r="V317" s="4">
        <v>1200</v>
      </c>
      <c r="W317" s="4">
        <f t="shared" si="91"/>
        <v>1200</v>
      </c>
      <c r="X317" s="4"/>
      <c r="Y317" s="21">
        <f t="shared" si="92"/>
        <v>1778</v>
      </c>
      <c r="Z317" s="6">
        <f t="shared" si="93"/>
        <v>0.32508436445444322</v>
      </c>
      <c r="AA317" s="4">
        <v>0</v>
      </c>
      <c r="AB317" s="4" t="str">
        <f t="shared" si="94"/>
        <v>-</v>
      </c>
      <c r="AC317" s="4" t="str">
        <f t="shared" si="105"/>
        <v>-</v>
      </c>
      <c r="AD317" s="6" t="str">
        <f t="shared" si="106"/>
        <v>-</v>
      </c>
      <c r="AE317" s="4">
        <f t="shared" si="107"/>
        <v>1900</v>
      </c>
      <c r="AF317" s="7">
        <v>1950</v>
      </c>
      <c r="AG317" s="6">
        <f t="shared" si="95"/>
        <v>0.38461538461538458</v>
      </c>
      <c r="AH317" s="4">
        <f t="shared" si="96"/>
        <v>750</v>
      </c>
      <c r="AI317" s="28"/>
      <c r="AJ317" s="6"/>
      <c r="AK317" s="6"/>
      <c r="AL317" s="6">
        <f t="shared" si="97"/>
        <v>1.1111111111111112</v>
      </c>
      <c r="AM317" s="6">
        <f t="shared" si="98"/>
        <v>1.21875</v>
      </c>
      <c r="AN317" s="6">
        <f t="shared" si="99"/>
        <v>1.1111111111111112</v>
      </c>
      <c r="AO317" s="4" t="str">
        <f t="shared" si="100"/>
        <v>-</v>
      </c>
      <c r="AP317" s="4" t="str">
        <f t="shared" si="101"/>
        <v>-</v>
      </c>
      <c r="AQ317" s="4" t="str">
        <f t="shared" si="102"/>
        <v>-</v>
      </c>
      <c r="AR317" s="4">
        <v>0</v>
      </c>
      <c r="AS317" s="4" t="s">
        <v>1280</v>
      </c>
      <c r="AT317" s="4"/>
      <c r="AU317" s="4"/>
      <c r="AV317" s="4" t="s">
        <v>1280</v>
      </c>
      <c r="AW317" s="4" t="s">
        <v>1280</v>
      </c>
      <c r="AX317" s="4" t="s">
        <v>1280</v>
      </c>
      <c r="AY317" s="4" t="s">
        <v>1280</v>
      </c>
      <c r="AZ317" s="4" t="str">
        <f t="shared" si="103"/>
        <v>-</v>
      </c>
      <c r="BA317" s="19">
        <v>2</v>
      </c>
      <c r="BB317" s="19">
        <v>8</v>
      </c>
      <c r="BC317" s="16">
        <v>18</v>
      </c>
      <c r="BD317">
        <v>1636</v>
      </c>
      <c r="BE317">
        <v>1636</v>
      </c>
      <c r="BF317" t="s">
        <v>1280</v>
      </c>
      <c r="BG317" t="str">
        <f t="shared" si="108"/>
        <v>-</v>
      </c>
      <c r="BH317">
        <v>1652</v>
      </c>
      <c r="BI317">
        <v>1652</v>
      </c>
      <c r="BJ317">
        <v>1652</v>
      </c>
      <c r="BK317">
        <f t="shared" si="109"/>
        <v>1835.5555555555557</v>
      </c>
      <c r="BL317" t="s">
        <v>1280</v>
      </c>
      <c r="BM317">
        <v>812</v>
      </c>
    </row>
    <row r="318" spans="1:65" x14ac:dyDescent="0.4">
      <c r="A318" s="32">
        <v>192</v>
      </c>
      <c r="B318" s="3">
        <v>192</v>
      </c>
      <c r="C318" s="4" t="s">
        <v>181</v>
      </c>
      <c r="D318" s="4" t="str">
        <f t="shared" si="88"/>
        <v>J3054N</v>
      </c>
      <c r="E318" s="4" t="s">
        <v>181</v>
      </c>
      <c r="F318" s="4" t="str">
        <f t="shared" si="104"/>
        <v>J3054N5</v>
      </c>
      <c r="G318" s="4" t="s">
        <v>827</v>
      </c>
      <c r="H318" s="5">
        <v>4974268838469</v>
      </c>
      <c r="I318" s="5">
        <v>5</v>
      </c>
      <c r="J318" s="5"/>
      <c r="K318" s="5">
        <v>1</v>
      </c>
      <c r="L318" s="5">
        <v>1</v>
      </c>
      <c r="M318" s="4">
        <v>1800</v>
      </c>
      <c r="N318" s="4">
        <v>1632</v>
      </c>
      <c r="O318" s="4">
        <v>1080</v>
      </c>
      <c r="P318" s="6">
        <f t="shared" si="89"/>
        <v>0.33823529411764708</v>
      </c>
      <c r="Q318" s="4" t="s">
        <v>1280</v>
      </c>
      <c r="R318" s="4" t="s">
        <v>1280</v>
      </c>
      <c r="S318" s="4" t="s">
        <v>1280</v>
      </c>
      <c r="T318" s="4">
        <v>2000</v>
      </c>
      <c r="U318" s="4">
        <f t="shared" si="90"/>
        <v>2000</v>
      </c>
      <c r="V318" s="4">
        <v>1200</v>
      </c>
      <c r="W318" s="4">
        <f t="shared" si="91"/>
        <v>1200</v>
      </c>
      <c r="X318" s="4"/>
      <c r="Y318" s="21">
        <f t="shared" si="92"/>
        <v>1813</v>
      </c>
      <c r="Z318" s="6">
        <f t="shared" si="93"/>
        <v>0.33811362382790955</v>
      </c>
      <c r="AA318" s="4">
        <v>0</v>
      </c>
      <c r="AB318" s="4">
        <f t="shared" si="94"/>
        <v>1799</v>
      </c>
      <c r="AC318" s="4">
        <f t="shared" si="105"/>
        <v>1998.8888888888889</v>
      </c>
      <c r="AD318" s="6">
        <f t="shared" si="106"/>
        <v>0.39966648137854366</v>
      </c>
      <c r="AE318" s="4">
        <f t="shared" si="107"/>
        <v>1900</v>
      </c>
      <c r="AF318" s="7">
        <v>1950</v>
      </c>
      <c r="AG318" s="6">
        <f t="shared" si="95"/>
        <v>0.38461538461538458</v>
      </c>
      <c r="AH318" s="4">
        <f t="shared" si="96"/>
        <v>750</v>
      </c>
      <c r="AI318" s="28"/>
      <c r="AJ318" s="6"/>
      <c r="AK318" s="6"/>
      <c r="AL318" s="6">
        <f t="shared" si="97"/>
        <v>1.1111111111111112</v>
      </c>
      <c r="AM318" s="6">
        <f t="shared" si="98"/>
        <v>1.1948529411764706</v>
      </c>
      <c r="AN318" s="6">
        <f t="shared" si="99"/>
        <v>1.1111111111111112</v>
      </c>
      <c r="AO318" s="4" t="str">
        <f t="shared" si="100"/>
        <v>-</v>
      </c>
      <c r="AP318" s="4" t="str">
        <f t="shared" si="101"/>
        <v>-</v>
      </c>
      <c r="AQ318" s="4" t="str">
        <f t="shared" si="102"/>
        <v>-</v>
      </c>
      <c r="AR318" s="4">
        <v>0</v>
      </c>
      <c r="AS318" s="4" t="s">
        <v>1852</v>
      </c>
      <c r="AT318" s="4"/>
      <c r="AU318" s="4"/>
      <c r="AV318" s="4" t="s">
        <v>1843</v>
      </c>
      <c r="AW318" s="4">
        <v>1799</v>
      </c>
      <c r="AX318" s="4">
        <v>1799</v>
      </c>
      <c r="AY318" s="4">
        <v>1799</v>
      </c>
      <c r="AZ318" s="4">
        <f t="shared" si="103"/>
        <v>1799</v>
      </c>
      <c r="BA318" s="19">
        <v>2</v>
      </c>
      <c r="BB318" s="19">
        <v>8</v>
      </c>
      <c r="BC318" s="16">
        <v>18</v>
      </c>
      <c r="BD318" t="s">
        <v>1280</v>
      </c>
      <c r="BE318" t="s">
        <v>1280</v>
      </c>
      <c r="BF318" t="s">
        <v>1280</v>
      </c>
      <c r="BG318" t="str">
        <f t="shared" si="108"/>
        <v>-</v>
      </c>
      <c r="BH318">
        <v>1652</v>
      </c>
      <c r="BI318">
        <v>1652</v>
      </c>
      <c r="BJ318">
        <v>1652</v>
      </c>
      <c r="BK318">
        <f t="shared" si="109"/>
        <v>1835.5555555555557</v>
      </c>
      <c r="BL318" t="s">
        <v>1405</v>
      </c>
      <c r="BM318">
        <v>812</v>
      </c>
    </row>
    <row r="319" spans="1:65" x14ac:dyDescent="0.4">
      <c r="A319" s="32">
        <v>193</v>
      </c>
      <c r="B319" s="3">
        <v>193</v>
      </c>
      <c r="C319" s="4" t="s">
        <v>182</v>
      </c>
      <c r="D319" s="4" t="str">
        <f t="shared" si="88"/>
        <v>J3056N</v>
      </c>
      <c r="E319" s="4" t="s">
        <v>182</v>
      </c>
      <c r="F319" s="4" t="str">
        <f t="shared" si="104"/>
        <v>J3056N5</v>
      </c>
      <c r="G319" s="4" t="s">
        <v>828</v>
      </c>
      <c r="H319" s="5">
        <v>4974268838551</v>
      </c>
      <c r="I319" s="5">
        <v>5</v>
      </c>
      <c r="J319" s="5"/>
      <c r="K319" s="5">
        <v>1</v>
      </c>
      <c r="L319" s="5">
        <v>1</v>
      </c>
      <c r="M319" s="4">
        <v>1800</v>
      </c>
      <c r="N319" s="4">
        <v>1632</v>
      </c>
      <c r="O319" s="4">
        <v>1080</v>
      </c>
      <c r="P319" s="6">
        <f t="shared" si="89"/>
        <v>0.33823529411764708</v>
      </c>
      <c r="Q319" s="4" t="s">
        <v>1280</v>
      </c>
      <c r="R319" s="4" t="s">
        <v>1280</v>
      </c>
      <c r="S319" s="4" t="s">
        <v>1280</v>
      </c>
      <c r="T319" s="4">
        <v>2000</v>
      </c>
      <c r="U319" s="4">
        <f t="shared" si="90"/>
        <v>2000</v>
      </c>
      <c r="V319" s="4">
        <v>1200</v>
      </c>
      <c r="W319" s="4">
        <f t="shared" si="91"/>
        <v>1200</v>
      </c>
      <c r="X319" s="4"/>
      <c r="Y319" s="21">
        <f t="shared" si="92"/>
        <v>1813</v>
      </c>
      <c r="Z319" s="6">
        <f t="shared" si="93"/>
        <v>0.33811362382790955</v>
      </c>
      <c r="AA319" s="4">
        <v>0</v>
      </c>
      <c r="AB319" s="4">
        <f t="shared" si="94"/>
        <v>1799</v>
      </c>
      <c r="AC319" s="4">
        <f t="shared" si="105"/>
        <v>1998.8888888888889</v>
      </c>
      <c r="AD319" s="6">
        <f t="shared" si="106"/>
        <v>0.39966648137854366</v>
      </c>
      <c r="AE319" s="4">
        <f t="shared" si="107"/>
        <v>1900</v>
      </c>
      <c r="AF319" s="7">
        <v>1950</v>
      </c>
      <c r="AG319" s="6">
        <f t="shared" si="95"/>
        <v>0.38461538461538458</v>
      </c>
      <c r="AH319" s="4">
        <f t="shared" si="96"/>
        <v>750</v>
      </c>
      <c r="AI319" s="28"/>
      <c r="AJ319" s="6"/>
      <c r="AK319" s="6"/>
      <c r="AL319" s="6">
        <f t="shared" si="97"/>
        <v>1.1111111111111112</v>
      </c>
      <c r="AM319" s="6">
        <f t="shared" si="98"/>
        <v>1.1948529411764706</v>
      </c>
      <c r="AN319" s="6">
        <f t="shared" si="99"/>
        <v>1.1111111111111112</v>
      </c>
      <c r="AO319" s="4" t="str">
        <f t="shared" si="100"/>
        <v>-</v>
      </c>
      <c r="AP319" s="4" t="str">
        <f t="shared" si="101"/>
        <v>-</v>
      </c>
      <c r="AQ319" s="4" t="str">
        <f t="shared" si="102"/>
        <v>-</v>
      </c>
      <c r="AR319" s="4">
        <v>0</v>
      </c>
      <c r="AS319" s="4" t="s">
        <v>1853</v>
      </c>
      <c r="AT319" s="4"/>
      <c r="AU319" s="4"/>
      <c r="AV319" s="4" t="s">
        <v>1843</v>
      </c>
      <c r="AW319" s="4">
        <v>1799</v>
      </c>
      <c r="AX319" s="4">
        <v>1799</v>
      </c>
      <c r="AY319" s="4">
        <v>1799</v>
      </c>
      <c r="AZ319" s="4">
        <f t="shared" si="103"/>
        <v>1799</v>
      </c>
      <c r="BA319" s="19">
        <v>2</v>
      </c>
      <c r="BB319" s="19">
        <v>8</v>
      </c>
      <c r="BC319" s="16">
        <v>18</v>
      </c>
      <c r="BD319" t="s">
        <v>1280</v>
      </c>
      <c r="BE319" t="s">
        <v>1280</v>
      </c>
      <c r="BF319" t="s">
        <v>1280</v>
      </c>
      <c r="BG319" t="str">
        <f t="shared" si="108"/>
        <v>-</v>
      </c>
      <c r="BH319">
        <v>1652</v>
      </c>
      <c r="BI319">
        <v>1652</v>
      </c>
      <c r="BJ319">
        <v>1652</v>
      </c>
      <c r="BK319">
        <f t="shared" si="109"/>
        <v>1835.5555555555557</v>
      </c>
      <c r="BL319" t="s">
        <v>1406</v>
      </c>
      <c r="BM319">
        <v>812</v>
      </c>
    </row>
    <row r="320" spans="1:65" x14ac:dyDescent="0.4">
      <c r="A320" s="32">
        <v>194</v>
      </c>
      <c r="B320" s="3">
        <v>194</v>
      </c>
      <c r="C320" s="4" t="s">
        <v>183</v>
      </c>
      <c r="D320" s="4" t="str">
        <f t="shared" si="88"/>
        <v>J3057N</v>
      </c>
      <c r="E320" s="4" t="s">
        <v>183</v>
      </c>
      <c r="F320" s="4" t="str">
        <f t="shared" si="104"/>
        <v>J3057N5</v>
      </c>
      <c r="G320" s="4" t="s">
        <v>829</v>
      </c>
      <c r="H320" s="5">
        <v>4974268838391</v>
      </c>
      <c r="I320" s="5">
        <v>5</v>
      </c>
      <c r="J320" s="5"/>
      <c r="K320" s="5">
        <v>1</v>
      </c>
      <c r="L320" s="5">
        <v>1</v>
      </c>
      <c r="M320" s="4">
        <v>1800</v>
      </c>
      <c r="N320" s="4">
        <v>1648</v>
      </c>
      <c r="O320" s="4">
        <v>1080</v>
      </c>
      <c r="P320" s="6">
        <f t="shared" si="89"/>
        <v>0.34466019417475724</v>
      </c>
      <c r="Q320" s="4" t="s">
        <v>1280</v>
      </c>
      <c r="R320" s="4" t="s">
        <v>1280</v>
      </c>
      <c r="S320" s="4" t="s">
        <v>1280</v>
      </c>
      <c r="T320" s="4">
        <v>2000</v>
      </c>
      <c r="U320" s="4">
        <f t="shared" si="90"/>
        <v>2000</v>
      </c>
      <c r="V320" s="4">
        <v>1200</v>
      </c>
      <c r="W320" s="4">
        <f t="shared" si="91"/>
        <v>1200</v>
      </c>
      <c r="X320" s="4"/>
      <c r="Y320" s="21">
        <f t="shared" si="92"/>
        <v>1831</v>
      </c>
      <c r="Z320" s="6">
        <f t="shared" si="93"/>
        <v>0.34462042599672316</v>
      </c>
      <c r="AA320" s="4">
        <v>0.25</v>
      </c>
      <c r="AB320" s="4">
        <f t="shared" si="94"/>
        <v>1799</v>
      </c>
      <c r="AC320" s="4">
        <f t="shared" si="105"/>
        <v>1998.8888888888889</v>
      </c>
      <c r="AD320" s="6">
        <f t="shared" si="106"/>
        <v>0.39966648137854366</v>
      </c>
      <c r="AE320" s="4">
        <f t="shared" si="107"/>
        <v>1900</v>
      </c>
      <c r="AF320" s="7">
        <v>1950</v>
      </c>
      <c r="AG320" s="6">
        <f t="shared" si="95"/>
        <v>0.38461538461538458</v>
      </c>
      <c r="AH320" s="4">
        <f t="shared" si="96"/>
        <v>750</v>
      </c>
      <c r="AI320" s="28"/>
      <c r="AJ320" s="6"/>
      <c r="AK320" s="6"/>
      <c r="AL320" s="6">
        <f t="shared" si="97"/>
        <v>1.1111111111111112</v>
      </c>
      <c r="AM320" s="6">
        <f t="shared" si="98"/>
        <v>1.183252427184466</v>
      </c>
      <c r="AN320" s="6">
        <f t="shared" si="99"/>
        <v>1.1111111111111112</v>
      </c>
      <c r="AO320" s="4" t="str">
        <f t="shared" si="100"/>
        <v>-</v>
      </c>
      <c r="AP320" s="4" t="str">
        <f t="shared" si="101"/>
        <v>-</v>
      </c>
      <c r="AQ320" s="4" t="str">
        <f t="shared" si="102"/>
        <v>-</v>
      </c>
      <c r="AR320" s="4">
        <v>0</v>
      </c>
      <c r="AS320" s="4" t="s">
        <v>1854</v>
      </c>
      <c r="AT320" s="4"/>
      <c r="AU320" s="4"/>
      <c r="AV320" s="4" t="s">
        <v>1843</v>
      </c>
      <c r="AW320" s="4">
        <v>1799</v>
      </c>
      <c r="AX320" s="4">
        <v>1799</v>
      </c>
      <c r="AY320" s="4">
        <v>1799</v>
      </c>
      <c r="AZ320" s="4">
        <f t="shared" si="103"/>
        <v>1799</v>
      </c>
      <c r="BA320" s="19">
        <v>2</v>
      </c>
      <c r="BB320" s="19">
        <v>8</v>
      </c>
      <c r="BC320" s="16">
        <v>18</v>
      </c>
      <c r="BD320">
        <v>1636</v>
      </c>
      <c r="BE320">
        <v>1636</v>
      </c>
      <c r="BF320">
        <v>1636</v>
      </c>
      <c r="BG320">
        <f t="shared" si="108"/>
        <v>1817.7777777777778</v>
      </c>
      <c r="BH320">
        <v>1652</v>
      </c>
      <c r="BI320">
        <v>1652</v>
      </c>
      <c r="BJ320">
        <v>1652</v>
      </c>
      <c r="BK320">
        <f t="shared" si="109"/>
        <v>1835.5555555555557</v>
      </c>
      <c r="BL320" t="s">
        <v>1407</v>
      </c>
      <c r="BM320">
        <v>812</v>
      </c>
    </row>
    <row r="321" spans="1:65" x14ac:dyDescent="0.4">
      <c r="A321" s="32">
        <v>195</v>
      </c>
      <c r="B321" s="3">
        <v>195</v>
      </c>
      <c r="C321" s="4" t="s">
        <v>184</v>
      </c>
      <c r="D321" s="4" t="str">
        <f t="shared" si="88"/>
        <v>J3058N</v>
      </c>
      <c r="E321" s="4" t="s">
        <v>184</v>
      </c>
      <c r="F321" s="4" t="str">
        <f t="shared" si="104"/>
        <v>J3058N5</v>
      </c>
      <c r="G321" s="4" t="s">
        <v>830</v>
      </c>
      <c r="H321" s="5">
        <v>4974268838407</v>
      </c>
      <c r="I321" s="5">
        <v>5</v>
      </c>
      <c r="J321" s="5"/>
      <c r="K321" s="5">
        <v>1</v>
      </c>
      <c r="L321" s="5">
        <v>1</v>
      </c>
      <c r="M321" s="4">
        <v>1800</v>
      </c>
      <c r="N321" s="4">
        <v>1600</v>
      </c>
      <c r="O321" s="4">
        <v>1080</v>
      </c>
      <c r="P321" s="6">
        <f t="shared" si="89"/>
        <v>0.32499999999999996</v>
      </c>
      <c r="Q321" s="4" t="s">
        <v>1280</v>
      </c>
      <c r="R321" s="4" t="s">
        <v>1280</v>
      </c>
      <c r="S321" s="4" t="s">
        <v>1280</v>
      </c>
      <c r="T321" s="4">
        <v>2000</v>
      </c>
      <c r="U321" s="4">
        <f t="shared" si="90"/>
        <v>2000</v>
      </c>
      <c r="V321" s="4">
        <v>1200</v>
      </c>
      <c r="W321" s="4">
        <f t="shared" si="91"/>
        <v>1200</v>
      </c>
      <c r="X321" s="4"/>
      <c r="Y321" s="21">
        <f t="shared" si="92"/>
        <v>1778</v>
      </c>
      <c r="Z321" s="6">
        <f t="shared" si="93"/>
        <v>0.32508436445444322</v>
      </c>
      <c r="AA321" s="4">
        <v>0</v>
      </c>
      <c r="AB321" s="4">
        <f t="shared" si="94"/>
        <v>1600</v>
      </c>
      <c r="AC321" s="4">
        <f t="shared" si="105"/>
        <v>1777.7777777777778</v>
      </c>
      <c r="AD321" s="6">
        <f t="shared" si="106"/>
        <v>0.32500000000000007</v>
      </c>
      <c r="AE321" s="4">
        <f t="shared" si="107"/>
        <v>1900</v>
      </c>
      <c r="AF321" s="7">
        <v>1950</v>
      </c>
      <c r="AG321" s="6">
        <f t="shared" si="95"/>
        <v>0.38461538461538458</v>
      </c>
      <c r="AH321" s="4">
        <f t="shared" si="96"/>
        <v>750</v>
      </c>
      <c r="AI321" s="28"/>
      <c r="AJ321" s="6"/>
      <c r="AK321" s="6"/>
      <c r="AL321" s="6">
        <f t="shared" si="97"/>
        <v>1.1111111111111112</v>
      </c>
      <c r="AM321" s="6">
        <f t="shared" si="98"/>
        <v>1.21875</v>
      </c>
      <c r="AN321" s="6">
        <f t="shared" si="99"/>
        <v>1.1111111111111112</v>
      </c>
      <c r="AO321" s="4" t="str">
        <f t="shared" si="100"/>
        <v>-</v>
      </c>
      <c r="AP321" s="4" t="str">
        <f t="shared" si="101"/>
        <v>-</v>
      </c>
      <c r="AQ321" s="4" t="str">
        <f t="shared" si="102"/>
        <v>-</v>
      </c>
      <c r="AR321" s="4">
        <v>0</v>
      </c>
      <c r="AS321" s="4" t="s">
        <v>1855</v>
      </c>
      <c r="AT321" s="4"/>
      <c r="AU321" s="4"/>
      <c r="AV321" s="4" t="s">
        <v>1843</v>
      </c>
      <c r="AW321" s="4">
        <v>1600</v>
      </c>
      <c r="AX321" s="4">
        <v>1600</v>
      </c>
      <c r="AY321" s="4">
        <v>1600</v>
      </c>
      <c r="AZ321" s="4">
        <f t="shared" si="103"/>
        <v>1600</v>
      </c>
      <c r="BA321" s="19">
        <v>2</v>
      </c>
      <c r="BB321" s="19">
        <v>8</v>
      </c>
      <c r="BC321" s="16">
        <v>18</v>
      </c>
      <c r="BD321">
        <v>1636</v>
      </c>
      <c r="BE321">
        <v>1636</v>
      </c>
      <c r="BF321">
        <v>1636</v>
      </c>
      <c r="BG321">
        <f t="shared" si="108"/>
        <v>1817.7777777777778</v>
      </c>
      <c r="BH321">
        <v>1652</v>
      </c>
      <c r="BI321">
        <v>1652</v>
      </c>
      <c r="BJ321">
        <v>1652</v>
      </c>
      <c r="BK321">
        <f t="shared" si="109"/>
        <v>1835.5555555555557</v>
      </c>
      <c r="BL321" t="s">
        <v>1408</v>
      </c>
      <c r="BM321">
        <v>812</v>
      </c>
    </row>
    <row r="322" spans="1:65" x14ac:dyDescent="0.4">
      <c r="A322" s="32">
        <v>197</v>
      </c>
      <c r="B322" s="3">
        <v>197</v>
      </c>
      <c r="C322" s="4" t="s">
        <v>186</v>
      </c>
      <c r="D322" s="4" t="str">
        <f t="shared" si="88"/>
        <v>J3060N</v>
      </c>
      <c r="E322" s="4" t="s">
        <v>186</v>
      </c>
      <c r="F322" s="4" t="str">
        <f t="shared" si="104"/>
        <v>J3060N5</v>
      </c>
      <c r="G322" s="4" t="s">
        <v>832</v>
      </c>
      <c r="H322" s="5">
        <v>4974268838421</v>
      </c>
      <c r="I322" s="5">
        <v>5</v>
      </c>
      <c r="J322" s="5"/>
      <c r="K322" s="5">
        <v>1</v>
      </c>
      <c r="L322" s="5">
        <v>1</v>
      </c>
      <c r="M322" s="4">
        <v>1800</v>
      </c>
      <c r="N322" s="4">
        <v>1632</v>
      </c>
      <c r="O322" s="4">
        <v>1080</v>
      </c>
      <c r="P322" s="6">
        <f t="shared" si="89"/>
        <v>0.33823529411764708</v>
      </c>
      <c r="Q322" s="4" t="s">
        <v>1280</v>
      </c>
      <c r="R322" s="4" t="s">
        <v>1280</v>
      </c>
      <c r="S322" s="4" t="s">
        <v>1280</v>
      </c>
      <c r="T322" s="4">
        <v>2000</v>
      </c>
      <c r="U322" s="4">
        <f t="shared" si="90"/>
        <v>2000</v>
      </c>
      <c r="V322" s="4">
        <v>1200</v>
      </c>
      <c r="W322" s="4">
        <f t="shared" si="91"/>
        <v>1200</v>
      </c>
      <c r="X322" s="4"/>
      <c r="Y322" s="21">
        <f t="shared" si="92"/>
        <v>1813</v>
      </c>
      <c r="Z322" s="6">
        <f t="shared" si="93"/>
        <v>0.33811362382790955</v>
      </c>
      <c r="AA322" s="4">
        <v>0</v>
      </c>
      <c r="AB322" s="4">
        <f t="shared" si="94"/>
        <v>1799</v>
      </c>
      <c r="AC322" s="4">
        <f t="shared" si="105"/>
        <v>1998.8888888888889</v>
      </c>
      <c r="AD322" s="6">
        <f t="shared" si="106"/>
        <v>0.39966648137854366</v>
      </c>
      <c r="AE322" s="4">
        <f t="shared" si="107"/>
        <v>1900</v>
      </c>
      <c r="AF322" s="7">
        <v>1950</v>
      </c>
      <c r="AG322" s="6">
        <f t="shared" si="95"/>
        <v>0.38461538461538458</v>
      </c>
      <c r="AH322" s="4">
        <f t="shared" si="96"/>
        <v>750</v>
      </c>
      <c r="AI322" s="28"/>
      <c r="AJ322" s="6"/>
      <c r="AK322" s="6"/>
      <c r="AL322" s="6">
        <f t="shared" si="97"/>
        <v>1.1111111111111112</v>
      </c>
      <c r="AM322" s="6">
        <f t="shared" si="98"/>
        <v>1.1948529411764706</v>
      </c>
      <c r="AN322" s="6">
        <f t="shared" si="99"/>
        <v>1.1111111111111112</v>
      </c>
      <c r="AO322" s="4" t="str">
        <f t="shared" si="100"/>
        <v>-</v>
      </c>
      <c r="AP322" s="4" t="str">
        <f t="shared" si="101"/>
        <v>-</v>
      </c>
      <c r="AQ322" s="4" t="str">
        <f t="shared" si="102"/>
        <v>-</v>
      </c>
      <c r="AR322" s="4">
        <v>0</v>
      </c>
      <c r="AS322" s="4" t="s">
        <v>1857</v>
      </c>
      <c r="AT322" s="4"/>
      <c r="AU322" s="4"/>
      <c r="AV322" s="4" t="s">
        <v>1843</v>
      </c>
      <c r="AW322" s="4">
        <v>1799</v>
      </c>
      <c r="AX322" s="4">
        <v>1799</v>
      </c>
      <c r="AY322" s="4">
        <v>1799</v>
      </c>
      <c r="AZ322" s="4">
        <f t="shared" si="103"/>
        <v>1799</v>
      </c>
      <c r="BA322" s="19">
        <v>2</v>
      </c>
      <c r="BB322" s="19">
        <v>8</v>
      </c>
      <c r="BC322" s="16">
        <v>18</v>
      </c>
      <c r="BD322">
        <v>1636</v>
      </c>
      <c r="BE322">
        <v>1636</v>
      </c>
      <c r="BF322" t="s">
        <v>1280</v>
      </c>
      <c r="BG322" t="str">
        <f t="shared" si="108"/>
        <v>-</v>
      </c>
      <c r="BH322">
        <v>1652</v>
      </c>
      <c r="BI322">
        <v>1652</v>
      </c>
      <c r="BJ322">
        <v>1652</v>
      </c>
      <c r="BK322">
        <f t="shared" si="109"/>
        <v>1835.5555555555557</v>
      </c>
      <c r="BL322" t="s">
        <v>1410</v>
      </c>
      <c r="BM322">
        <v>812</v>
      </c>
    </row>
    <row r="323" spans="1:65" x14ac:dyDescent="0.4">
      <c r="A323" s="32">
        <v>198</v>
      </c>
      <c r="B323" s="3">
        <v>198</v>
      </c>
      <c r="C323" s="4" t="s">
        <v>187</v>
      </c>
      <c r="D323" s="4" t="str">
        <f t="shared" si="88"/>
        <v>J3061N</v>
      </c>
      <c r="E323" s="4" t="s">
        <v>187</v>
      </c>
      <c r="F323" s="4" t="str">
        <f t="shared" si="104"/>
        <v>J3061N5</v>
      </c>
      <c r="G323" s="4" t="s">
        <v>833</v>
      </c>
      <c r="H323" s="5">
        <v>4974268838537</v>
      </c>
      <c r="I323" s="5">
        <v>5</v>
      </c>
      <c r="J323" s="5"/>
      <c r="K323" s="5">
        <v>1</v>
      </c>
      <c r="L323" s="5">
        <v>1</v>
      </c>
      <c r="M323" s="4">
        <v>1800</v>
      </c>
      <c r="N323" s="4">
        <v>1600</v>
      </c>
      <c r="O323" s="4">
        <v>1080</v>
      </c>
      <c r="P323" s="6">
        <f t="shared" si="89"/>
        <v>0.32499999999999996</v>
      </c>
      <c r="Q323" s="4" t="s">
        <v>1280</v>
      </c>
      <c r="R323" s="4" t="s">
        <v>1280</v>
      </c>
      <c r="S323" s="4" t="s">
        <v>1280</v>
      </c>
      <c r="T323" s="4">
        <v>2000</v>
      </c>
      <c r="U323" s="4">
        <f t="shared" si="90"/>
        <v>2000</v>
      </c>
      <c r="V323" s="4">
        <v>1200</v>
      </c>
      <c r="W323" s="4">
        <f t="shared" si="91"/>
        <v>1200</v>
      </c>
      <c r="X323" s="4"/>
      <c r="Y323" s="21">
        <f t="shared" si="92"/>
        <v>1778</v>
      </c>
      <c r="Z323" s="6">
        <f t="shared" si="93"/>
        <v>0.32508436445444322</v>
      </c>
      <c r="AA323" s="4">
        <v>0.25</v>
      </c>
      <c r="AB323" s="4">
        <f t="shared" si="94"/>
        <v>1499</v>
      </c>
      <c r="AC323" s="4">
        <f t="shared" si="105"/>
        <v>1665.5555555555557</v>
      </c>
      <c r="AD323" s="6">
        <f t="shared" si="106"/>
        <v>0.27951967978652437</v>
      </c>
      <c r="AE323" s="4">
        <f t="shared" si="107"/>
        <v>1900</v>
      </c>
      <c r="AF323" s="7">
        <v>1950</v>
      </c>
      <c r="AG323" s="6">
        <f t="shared" si="95"/>
        <v>0.38461538461538458</v>
      </c>
      <c r="AH323" s="4">
        <f t="shared" si="96"/>
        <v>750</v>
      </c>
      <c r="AI323" s="28"/>
      <c r="AJ323" s="6"/>
      <c r="AK323" s="6"/>
      <c r="AL323" s="6">
        <f t="shared" si="97"/>
        <v>1.1111111111111112</v>
      </c>
      <c r="AM323" s="6">
        <f t="shared" si="98"/>
        <v>1.21875</v>
      </c>
      <c r="AN323" s="6">
        <f t="shared" si="99"/>
        <v>1.1111111111111112</v>
      </c>
      <c r="AO323" s="4" t="str">
        <f t="shared" si="100"/>
        <v>-</v>
      </c>
      <c r="AP323" s="4" t="str">
        <f t="shared" si="101"/>
        <v>-</v>
      </c>
      <c r="AQ323" s="4" t="str">
        <f t="shared" si="102"/>
        <v>-</v>
      </c>
      <c r="AR323" s="4">
        <v>0</v>
      </c>
      <c r="AS323" s="4" t="s">
        <v>1858</v>
      </c>
      <c r="AT323" s="4"/>
      <c r="AU323" s="4"/>
      <c r="AV323" s="4" t="s">
        <v>1843</v>
      </c>
      <c r="AW323" s="4">
        <v>1499</v>
      </c>
      <c r="AX323" s="4">
        <v>1499</v>
      </c>
      <c r="AY323" s="4">
        <v>1499</v>
      </c>
      <c r="AZ323" s="4">
        <f t="shared" si="103"/>
        <v>1499</v>
      </c>
      <c r="BA323" s="19">
        <v>2</v>
      </c>
      <c r="BB323" s="19">
        <v>8</v>
      </c>
      <c r="BC323" s="16">
        <v>18</v>
      </c>
      <c r="BD323" t="s">
        <v>1280</v>
      </c>
      <c r="BE323" t="s">
        <v>1280</v>
      </c>
      <c r="BF323" t="s">
        <v>1280</v>
      </c>
      <c r="BG323" t="str">
        <f t="shared" si="108"/>
        <v>-</v>
      </c>
      <c r="BH323">
        <v>1652</v>
      </c>
      <c r="BI323">
        <v>1652</v>
      </c>
      <c r="BJ323">
        <v>1652</v>
      </c>
      <c r="BK323">
        <f t="shared" si="109"/>
        <v>1835.5555555555557</v>
      </c>
      <c r="BL323" t="s">
        <v>1411</v>
      </c>
      <c r="BM323">
        <v>812</v>
      </c>
    </row>
    <row r="324" spans="1:65" x14ac:dyDescent="0.4">
      <c r="A324" s="32">
        <v>199</v>
      </c>
      <c r="B324" s="3">
        <v>199</v>
      </c>
      <c r="C324" s="4" t="s">
        <v>188</v>
      </c>
      <c r="D324" s="4" t="str">
        <f t="shared" ref="D324:D387" si="110">TEXT(C324,"000000")</f>
        <v>J3062N</v>
      </c>
      <c r="E324" s="4" t="s">
        <v>188</v>
      </c>
      <c r="F324" s="4" t="str">
        <f t="shared" si="104"/>
        <v>J3062N5</v>
      </c>
      <c r="G324" s="4" t="s">
        <v>834</v>
      </c>
      <c r="H324" s="5">
        <v>4974268838483</v>
      </c>
      <c r="I324" s="5">
        <v>5</v>
      </c>
      <c r="J324" s="5"/>
      <c r="K324" s="5">
        <v>1</v>
      </c>
      <c r="L324" s="5">
        <v>1</v>
      </c>
      <c r="M324" s="4">
        <v>1800</v>
      </c>
      <c r="N324" s="4">
        <v>1600</v>
      </c>
      <c r="O324" s="4">
        <v>1080</v>
      </c>
      <c r="P324" s="6">
        <f t="shared" ref="P324:P387" si="111">1-O324/N324</f>
        <v>0.32499999999999996</v>
      </c>
      <c r="Q324" s="4" t="s">
        <v>1280</v>
      </c>
      <c r="R324" s="4" t="s">
        <v>1280</v>
      </c>
      <c r="S324" s="4" t="s">
        <v>1280</v>
      </c>
      <c r="T324" s="4">
        <v>2000</v>
      </c>
      <c r="U324" s="4">
        <f t="shared" ref="U324:U387" si="112">IF(X324="",T324,T324*X324)</f>
        <v>2000</v>
      </c>
      <c r="V324" s="4">
        <v>1200</v>
      </c>
      <c r="W324" s="4">
        <f t="shared" ref="W324:W387" si="113">IF(X324="",V324,V324*X324)</f>
        <v>1200</v>
      </c>
      <c r="X324" s="4"/>
      <c r="Y324" s="21">
        <f t="shared" ref="Y324:Y387" si="114">ROUND(N324*AN324,0)</f>
        <v>1778</v>
      </c>
      <c r="Z324" s="6">
        <f t="shared" ref="Z324:Z387" si="115">1-W324/Y324</f>
        <v>0.32508436445444322</v>
      </c>
      <c r="AA324" s="4">
        <v>0</v>
      </c>
      <c r="AB324" s="4">
        <f t="shared" ref="AB324:AB387" si="116">AZ324</f>
        <v>1799</v>
      </c>
      <c r="AC324" s="4">
        <f t="shared" si="105"/>
        <v>1998.8888888888889</v>
      </c>
      <c r="AD324" s="6">
        <f t="shared" si="106"/>
        <v>0.39966648137854366</v>
      </c>
      <c r="AE324" s="4">
        <f t="shared" si="107"/>
        <v>1900</v>
      </c>
      <c r="AF324" s="7">
        <v>1950</v>
      </c>
      <c r="AG324" s="6">
        <f t="shared" ref="AG324:AG387" si="117">1-W324/AF324</f>
        <v>0.38461538461538458</v>
      </c>
      <c r="AH324" s="4">
        <f t="shared" ref="AH324:AH387" si="118">AF324-W324</f>
        <v>750</v>
      </c>
      <c r="AI324" s="28"/>
      <c r="AJ324" s="6"/>
      <c r="AK324" s="6"/>
      <c r="AL324" s="6">
        <f t="shared" ref="AL324:AL387" si="119">U324/M324</f>
        <v>1.1111111111111112</v>
      </c>
      <c r="AM324" s="6">
        <f t="shared" ref="AM324:AM387" si="120">AF324/N324</f>
        <v>1.21875</v>
      </c>
      <c r="AN324" s="6">
        <f t="shared" ref="AN324:AN387" si="121">W324/O324</f>
        <v>1.1111111111111112</v>
      </c>
      <c r="AO324" s="4" t="str">
        <f t="shared" ref="AO324:AO387" si="122">IFERROR(ROUND($AF324*Q324/$N324,0),"-")</f>
        <v>-</v>
      </c>
      <c r="AP324" s="4" t="str">
        <f t="shared" ref="AP324:AP387" si="123">IF(R324="","-",R324)</f>
        <v>-</v>
      </c>
      <c r="AQ324" s="4" t="str">
        <f t="shared" ref="AQ324:AQ387" si="124">IF(S324="","-",S324)</f>
        <v>-</v>
      </c>
      <c r="AR324" s="4">
        <v>0</v>
      </c>
      <c r="AS324" s="4" t="s">
        <v>1859</v>
      </c>
      <c r="AT324" s="4"/>
      <c r="AU324" s="4"/>
      <c r="AV324" s="4" t="s">
        <v>1843</v>
      </c>
      <c r="AW324" s="4">
        <v>1799</v>
      </c>
      <c r="AX324" s="4">
        <v>1799</v>
      </c>
      <c r="AY324" s="4">
        <v>1799</v>
      </c>
      <c r="AZ324" s="4">
        <f t="shared" ref="AZ324:AZ387" si="125">IF(AT324="",AY324,AT324/AU324*AY324)</f>
        <v>1799</v>
      </c>
      <c r="BA324" s="19">
        <v>2</v>
      </c>
      <c r="BB324" s="19">
        <v>8</v>
      </c>
      <c r="BC324" s="16">
        <v>18</v>
      </c>
      <c r="BD324" t="s">
        <v>1280</v>
      </c>
      <c r="BE324" t="s">
        <v>1280</v>
      </c>
      <c r="BF324" t="s">
        <v>1280</v>
      </c>
      <c r="BG324" t="str">
        <f t="shared" si="108"/>
        <v>-</v>
      </c>
      <c r="BH324">
        <v>1652</v>
      </c>
      <c r="BI324">
        <v>1652</v>
      </c>
      <c r="BJ324">
        <v>1652</v>
      </c>
      <c r="BK324">
        <f t="shared" si="109"/>
        <v>1835.5555555555557</v>
      </c>
      <c r="BL324" t="s">
        <v>1412</v>
      </c>
      <c r="BM324">
        <v>812</v>
      </c>
    </row>
    <row r="325" spans="1:65" x14ac:dyDescent="0.4">
      <c r="A325" s="32">
        <v>200</v>
      </c>
      <c r="B325" s="3">
        <v>200</v>
      </c>
      <c r="C325" s="4" t="s">
        <v>189</v>
      </c>
      <c r="D325" s="4" t="str">
        <f t="shared" si="110"/>
        <v>J3059N</v>
      </c>
      <c r="E325" s="4" t="s">
        <v>189</v>
      </c>
      <c r="F325" s="4" t="str">
        <f t="shared" ref="F325:F388" si="126">D325&amp;I325</f>
        <v>J3059N5</v>
      </c>
      <c r="G325" s="4" t="s">
        <v>835</v>
      </c>
      <c r="H325" s="5">
        <v>4974268838414</v>
      </c>
      <c r="I325" s="5">
        <v>5</v>
      </c>
      <c r="J325" s="5"/>
      <c r="K325" s="5">
        <v>1</v>
      </c>
      <c r="L325" s="5">
        <v>1</v>
      </c>
      <c r="M325" s="4">
        <v>1800</v>
      </c>
      <c r="N325" s="4">
        <v>1632</v>
      </c>
      <c r="O325" s="4">
        <v>1080</v>
      </c>
      <c r="P325" s="6">
        <f t="shared" si="111"/>
        <v>0.33823529411764708</v>
      </c>
      <c r="Q325" s="4" t="s">
        <v>1280</v>
      </c>
      <c r="R325" s="4" t="s">
        <v>1280</v>
      </c>
      <c r="S325" s="4" t="s">
        <v>1280</v>
      </c>
      <c r="T325" s="4">
        <v>2000</v>
      </c>
      <c r="U325" s="4">
        <f t="shared" si="112"/>
        <v>2000</v>
      </c>
      <c r="V325" s="4">
        <v>1200</v>
      </c>
      <c r="W325" s="4">
        <f t="shared" si="113"/>
        <v>1200</v>
      </c>
      <c r="X325" s="4"/>
      <c r="Y325" s="21">
        <f t="shared" si="114"/>
        <v>1813</v>
      </c>
      <c r="Z325" s="6">
        <f t="shared" si="115"/>
        <v>0.33811362382790955</v>
      </c>
      <c r="AA325" s="4">
        <v>0</v>
      </c>
      <c r="AB325" s="4" t="str">
        <f t="shared" si="116"/>
        <v>-</v>
      </c>
      <c r="AC325" s="4" t="str">
        <f t="shared" ref="AC325:AC388" si="127">IFERROR(AB325*AN325,"-")</f>
        <v>-</v>
      </c>
      <c r="AD325" s="6" t="str">
        <f t="shared" ref="AD325:AD388" si="128">IFERROR(1-W325/AC325,"-")</f>
        <v>-</v>
      </c>
      <c r="AE325" s="4">
        <f t="shared" ref="AE325:AE388" si="129">U325*0.95</f>
        <v>1900</v>
      </c>
      <c r="AF325" s="7">
        <v>1950</v>
      </c>
      <c r="AG325" s="6">
        <f t="shared" si="117"/>
        <v>0.38461538461538458</v>
      </c>
      <c r="AH325" s="4">
        <f t="shared" si="118"/>
        <v>750</v>
      </c>
      <c r="AI325" s="28"/>
      <c r="AJ325" s="6"/>
      <c r="AK325" s="6"/>
      <c r="AL325" s="6">
        <f t="shared" si="119"/>
        <v>1.1111111111111112</v>
      </c>
      <c r="AM325" s="6">
        <f t="shared" si="120"/>
        <v>1.1948529411764706</v>
      </c>
      <c r="AN325" s="6">
        <f t="shared" si="121"/>
        <v>1.1111111111111112</v>
      </c>
      <c r="AO325" s="4" t="str">
        <f t="shared" si="122"/>
        <v>-</v>
      </c>
      <c r="AP325" s="4" t="str">
        <f t="shared" si="123"/>
        <v>-</v>
      </c>
      <c r="AQ325" s="4" t="str">
        <f t="shared" si="124"/>
        <v>-</v>
      </c>
      <c r="AR325" s="4">
        <v>0</v>
      </c>
      <c r="AS325" s="4" t="s">
        <v>1280</v>
      </c>
      <c r="AT325" s="4"/>
      <c r="AU325" s="4"/>
      <c r="AV325" s="4" t="s">
        <v>1280</v>
      </c>
      <c r="AW325" s="4" t="s">
        <v>1280</v>
      </c>
      <c r="AX325" s="4" t="s">
        <v>1280</v>
      </c>
      <c r="AY325" s="4" t="s">
        <v>1280</v>
      </c>
      <c r="AZ325" s="4" t="str">
        <f t="shared" si="125"/>
        <v>-</v>
      </c>
      <c r="BA325" s="19">
        <v>2</v>
      </c>
      <c r="BB325" s="19">
        <v>8</v>
      </c>
      <c r="BC325" s="16">
        <v>18</v>
      </c>
      <c r="BD325">
        <v>1636</v>
      </c>
      <c r="BE325">
        <v>1636</v>
      </c>
      <c r="BF325" t="s">
        <v>1280</v>
      </c>
      <c r="BG325" t="str">
        <f t="shared" ref="BG325:BG388" si="130">IFERROR(BF325*AN325,"-")</f>
        <v>-</v>
      </c>
      <c r="BH325">
        <v>1652</v>
      </c>
      <c r="BI325">
        <v>1652</v>
      </c>
      <c r="BJ325">
        <v>1652</v>
      </c>
      <c r="BK325">
        <f t="shared" ref="BK325:BK388" si="131">IFERROR(BJ325*AN325,"-")</f>
        <v>1835.5555555555557</v>
      </c>
      <c r="BL325" t="s">
        <v>1280</v>
      </c>
      <c r="BM325">
        <v>812</v>
      </c>
    </row>
    <row r="326" spans="1:65" x14ac:dyDescent="0.4">
      <c r="A326" s="3">
        <v>505</v>
      </c>
      <c r="B326" s="3">
        <v>505</v>
      </c>
      <c r="C326" s="4" t="s">
        <v>494</v>
      </c>
      <c r="D326" s="4" t="str">
        <f t="shared" si="110"/>
        <v>J760RZ</v>
      </c>
      <c r="E326" s="4" t="s">
        <v>494</v>
      </c>
      <c r="F326" s="4" t="str">
        <f t="shared" si="126"/>
        <v>J760RZ5</v>
      </c>
      <c r="G326" s="4" t="s">
        <v>1138</v>
      </c>
      <c r="H326" s="5">
        <v>4974268697820</v>
      </c>
      <c r="I326" s="5">
        <v>5</v>
      </c>
      <c r="J326" s="5"/>
      <c r="K326" s="5">
        <v>1</v>
      </c>
      <c r="L326" s="5">
        <v>1</v>
      </c>
      <c r="M326" s="4">
        <v>1400</v>
      </c>
      <c r="N326" s="4">
        <v>1400</v>
      </c>
      <c r="O326" s="4">
        <v>1120</v>
      </c>
      <c r="P326" s="6">
        <f t="shared" si="111"/>
        <v>0.19999999999999996</v>
      </c>
      <c r="Q326" s="4" t="s">
        <v>1280</v>
      </c>
      <c r="R326" s="4" t="s">
        <v>1280</v>
      </c>
      <c r="S326" s="4" t="s">
        <v>1280</v>
      </c>
      <c r="T326" s="4">
        <v>1500</v>
      </c>
      <c r="U326" s="4">
        <f t="shared" si="112"/>
        <v>1500</v>
      </c>
      <c r="V326" s="4">
        <v>1200</v>
      </c>
      <c r="W326" s="4">
        <f t="shared" si="113"/>
        <v>1200</v>
      </c>
      <c r="X326" s="4"/>
      <c r="Y326" s="21">
        <f t="shared" si="114"/>
        <v>1500</v>
      </c>
      <c r="Z326" s="6">
        <f t="shared" si="115"/>
        <v>0.19999999999999996</v>
      </c>
      <c r="AA326" s="4">
        <v>0</v>
      </c>
      <c r="AB326" s="4" t="str">
        <f t="shared" si="116"/>
        <v>-</v>
      </c>
      <c r="AC326" s="4" t="str">
        <f t="shared" si="127"/>
        <v>-</v>
      </c>
      <c r="AD326" s="6" t="str">
        <f t="shared" si="128"/>
        <v>-</v>
      </c>
      <c r="AE326" s="4">
        <f t="shared" si="129"/>
        <v>1425</v>
      </c>
      <c r="AF326" s="7">
        <v>1500</v>
      </c>
      <c r="AG326" s="6">
        <f t="shared" si="117"/>
        <v>0.19999999999999996</v>
      </c>
      <c r="AH326" s="4">
        <f t="shared" si="118"/>
        <v>300</v>
      </c>
      <c r="AI326" s="28"/>
      <c r="AJ326" s="6"/>
      <c r="AK326" s="6"/>
      <c r="AL326" s="6">
        <f t="shared" si="119"/>
        <v>1.0714285714285714</v>
      </c>
      <c r="AM326" s="6">
        <f t="shared" si="120"/>
        <v>1.0714285714285714</v>
      </c>
      <c r="AN326" s="6">
        <f t="shared" si="121"/>
        <v>1.0714285714285714</v>
      </c>
      <c r="AO326" s="4" t="str">
        <f t="shared" si="122"/>
        <v>-</v>
      </c>
      <c r="AP326" s="4" t="str">
        <f t="shared" si="123"/>
        <v>-</v>
      </c>
      <c r="AQ326" s="4" t="str">
        <f t="shared" si="124"/>
        <v>-</v>
      </c>
      <c r="AR326" s="4">
        <v>0</v>
      </c>
      <c r="AS326" s="4" t="s">
        <v>1280</v>
      </c>
      <c r="AT326" s="4"/>
      <c r="AU326" s="4"/>
      <c r="AV326" s="4" t="s">
        <v>1280</v>
      </c>
      <c r="AW326" s="4" t="s">
        <v>1280</v>
      </c>
      <c r="AX326" s="4" t="s">
        <v>1280</v>
      </c>
      <c r="AY326" s="4" t="s">
        <v>1280</v>
      </c>
      <c r="AZ326" s="4" t="str">
        <f t="shared" si="125"/>
        <v>-</v>
      </c>
      <c r="BA326" s="19">
        <v>4</v>
      </c>
      <c r="BB326" s="19">
        <v>8</v>
      </c>
      <c r="BC326" s="16">
        <v>19</v>
      </c>
      <c r="BD326" t="s">
        <v>1280</v>
      </c>
      <c r="BE326" t="s">
        <v>1280</v>
      </c>
      <c r="BF326" t="s">
        <v>1280</v>
      </c>
      <c r="BG326" t="str">
        <f t="shared" si="130"/>
        <v>-</v>
      </c>
      <c r="BH326">
        <v>1400</v>
      </c>
      <c r="BI326">
        <v>1400</v>
      </c>
      <c r="BJ326">
        <v>1400</v>
      </c>
      <c r="BK326">
        <f t="shared" si="131"/>
        <v>1500</v>
      </c>
      <c r="BL326" t="s">
        <v>1280</v>
      </c>
      <c r="BM326">
        <v>812</v>
      </c>
    </row>
    <row r="327" spans="1:65" x14ac:dyDescent="0.4">
      <c r="A327" s="3">
        <v>351</v>
      </c>
      <c r="B327" s="3">
        <v>351</v>
      </c>
      <c r="C327" s="4" t="s">
        <v>340</v>
      </c>
      <c r="D327" s="4" t="str">
        <f t="shared" si="110"/>
        <v>J4003N</v>
      </c>
      <c r="E327" s="4" t="s">
        <v>340</v>
      </c>
      <c r="F327" s="4" t="str">
        <f t="shared" si="126"/>
        <v>J4003N5</v>
      </c>
      <c r="G327" s="4" t="s">
        <v>986</v>
      </c>
      <c r="H327" s="5">
        <v>4529671084141</v>
      </c>
      <c r="I327" s="5">
        <v>5</v>
      </c>
      <c r="J327" s="5"/>
      <c r="K327" s="5">
        <v>1</v>
      </c>
      <c r="L327" s="5">
        <v>1</v>
      </c>
      <c r="M327" s="4">
        <v>0</v>
      </c>
      <c r="N327" s="4">
        <v>1649</v>
      </c>
      <c r="O327" s="4">
        <v>1122</v>
      </c>
      <c r="P327" s="6">
        <f t="shared" si="111"/>
        <v>0.31958762886597936</v>
      </c>
      <c r="Q327" s="4" t="s">
        <v>1280</v>
      </c>
      <c r="R327" s="4" t="s">
        <v>1280</v>
      </c>
      <c r="S327" s="4" t="s">
        <v>1280</v>
      </c>
      <c r="T327" s="4">
        <v>0</v>
      </c>
      <c r="U327" s="4">
        <f t="shared" si="112"/>
        <v>0</v>
      </c>
      <c r="V327" s="4">
        <v>1230</v>
      </c>
      <c r="W327" s="4">
        <f t="shared" si="113"/>
        <v>1230</v>
      </c>
      <c r="X327" s="4"/>
      <c r="Y327" s="21">
        <f t="shared" si="114"/>
        <v>1808</v>
      </c>
      <c r="Z327" s="6">
        <f t="shared" si="115"/>
        <v>0.31969026548672563</v>
      </c>
      <c r="AA327" s="4">
        <v>0</v>
      </c>
      <c r="AB327" s="4">
        <f t="shared" si="116"/>
        <v>963</v>
      </c>
      <c r="AC327" s="4">
        <f t="shared" si="127"/>
        <v>1055.6951871657755</v>
      </c>
      <c r="AD327" s="6">
        <f t="shared" si="128"/>
        <v>-0.16510903426791268</v>
      </c>
      <c r="AE327" s="4">
        <f t="shared" si="129"/>
        <v>0</v>
      </c>
      <c r="AF327" s="7">
        <v>1900</v>
      </c>
      <c r="AG327" s="6">
        <f t="shared" si="117"/>
        <v>0.35263157894736841</v>
      </c>
      <c r="AH327" s="4">
        <f t="shared" si="118"/>
        <v>670</v>
      </c>
      <c r="AI327" s="28"/>
      <c r="AJ327" s="6"/>
      <c r="AK327" s="6"/>
      <c r="AL327" s="6" t="e">
        <f t="shared" si="119"/>
        <v>#DIV/0!</v>
      </c>
      <c r="AM327" s="6">
        <f t="shared" si="120"/>
        <v>1.1522134627046694</v>
      </c>
      <c r="AN327" s="6">
        <f t="shared" si="121"/>
        <v>1.0962566844919786</v>
      </c>
      <c r="AO327" s="4" t="str">
        <f t="shared" si="122"/>
        <v>-</v>
      </c>
      <c r="AP327" s="4" t="str">
        <f t="shared" si="123"/>
        <v>-</v>
      </c>
      <c r="AQ327" s="4" t="str">
        <f t="shared" si="124"/>
        <v>-</v>
      </c>
      <c r="AR327" s="4">
        <v>0</v>
      </c>
      <c r="AS327" s="4" t="s">
        <v>1933</v>
      </c>
      <c r="AT327" s="4"/>
      <c r="AU327" s="4"/>
      <c r="AV327" s="4" t="s">
        <v>1934</v>
      </c>
      <c r="AW327" s="4">
        <v>963</v>
      </c>
      <c r="AX327" s="4">
        <v>963</v>
      </c>
      <c r="AY327" s="4">
        <v>963</v>
      </c>
      <c r="AZ327" s="4">
        <f t="shared" si="125"/>
        <v>963</v>
      </c>
      <c r="BA327" s="19">
        <v>4</v>
      </c>
      <c r="BB327" s="19">
        <v>8</v>
      </c>
      <c r="BC327" s="16">
        <v>19</v>
      </c>
      <c r="BD327" t="s">
        <v>1280</v>
      </c>
      <c r="BE327" t="s">
        <v>1280</v>
      </c>
      <c r="BF327" t="s">
        <v>1280</v>
      </c>
      <c r="BG327" t="str">
        <f t="shared" si="130"/>
        <v>-</v>
      </c>
      <c r="BH327">
        <v>1402</v>
      </c>
      <c r="BI327">
        <v>1402</v>
      </c>
      <c r="BJ327">
        <v>1402</v>
      </c>
      <c r="BK327">
        <f t="shared" si="131"/>
        <v>1536.9518716577538</v>
      </c>
      <c r="BL327" t="s">
        <v>1464</v>
      </c>
      <c r="BM327">
        <v>812</v>
      </c>
    </row>
    <row r="328" spans="1:65" x14ac:dyDescent="0.4">
      <c r="A328" s="3">
        <v>375</v>
      </c>
      <c r="B328" s="3">
        <v>375</v>
      </c>
      <c r="C328" s="4" t="s">
        <v>364</v>
      </c>
      <c r="D328" s="4" t="str">
        <f t="shared" si="110"/>
        <v>J4027N</v>
      </c>
      <c r="E328" s="4" t="s">
        <v>364</v>
      </c>
      <c r="F328" s="4" t="str">
        <f t="shared" si="126"/>
        <v>J4027N5</v>
      </c>
      <c r="G328" s="4" t="s">
        <v>1010</v>
      </c>
      <c r="H328" s="5">
        <v>4529671076658</v>
      </c>
      <c r="I328" s="5">
        <v>5</v>
      </c>
      <c r="J328" s="5"/>
      <c r="K328" s="5">
        <v>1</v>
      </c>
      <c r="L328" s="5">
        <v>1</v>
      </c>
      <c r="M328" s="4">
        <v>0</v>
      </c>
      <c r="N328" s="4">
        <v>1647</v>
      </c>
      <c r="O328" s="4">
        <v>1122</v>
      </c>
      <c r="P328" s="6">
        <f t="shared" si="111"/>
        <v>0.31876138433515477</v>
      </c>
      <c r="Q328" s="4" t="s">
        <v>1280</v>
      </c>
      <c r="R328" s="4" t="s">
        <v>1280</v>
      </c>
      <c r="S328" s="4" t="s">
        <v>1280</v>
      </c>
      <c r="T328" s="4">
        <v>0</v>
      </c>
      <c r="U328" s="4">
        <f t="shared" si="112"/>
        <v>0</v>
      </c>
      <c r="V328" s="4">
        <v>1230</v>
      </c>
      <c r="W328" s="4">
        <f t="shared" si="113"/>
        <v>1230</v>
      </c>
      <c r="X328" s="4"/>
      <c r="Y328" s="21">
        <f t="shared" si="114"/>
        <v>1806</v>
      </c>
      <c r="Z328" s="6">
        <f t="shared" si="115"/>
        <v>0.31893687707641194</v>
      </c>
      <c r="AA328" s="4">
        <v>0</v>
      </c>
      <c r="AB328" s="4" t="str">
        <f t="shared" si="116"/>
        <v>-</v>
      </c>
      <c r="AC328" s="4" t="str">
        <f t="shared" si="127"/>
        <v>-</v>
      </c>
      <c r="AD328" s="6" t="str">
        <f t="shared" si="128"/>
        <v>-</v>
      </c>
      <c r="AE328" s="4">
        <f t="shared" si="129"/>
        <v>0</v>
      </c>
      <c r="AF328" s="7">
        <v>1900</v>
      </c>
      <c r="AG328" s="6">
        <f t="shared" si="117"/>
        <v>0.35263157894736841</v>
      </c>
      <c r="AH328" s="4">
        <f t="shared" si="118"/>
        <v>670</v>
      </c>
      <c r="AI328" s="28"/>
      <c r="AJ328" s="6"/>
      <c r="AK328" s="6"/>
      <c r="AL328" s="6" t="e">
        <f t="shared" si="119"/>
        <v>#DIV/0!</v>
      </c>
      <c r="AM328" s="6">
        <f t="shared" si="120"/>
        <v>1.1536126290224651</v>
      </c>
      <c r="AN328" s="6">
        <f t="shared" si="121"/>
        <v>1.0962566844919786</v>
      </c>
      <c r="AO328" s="4" t="str">
        <f t="shared" si="122"/>
        <v>-</v>
      </c>
      <c r="AP328" s="4" t="str">
        <f t="shared" si="123"/>
        <v>-</v>
      </c>
      <c r="AQ328" s="4" t="str">
        <f t="shared" si="124"/>
        <v>-</v>
      </c>
      <c r="AR328" s="4">
        <v>0</v>
      </c>
      <c r="AS328" s="4" t="s">
        <v>1280</v>
      </c>
      <c r="AT328" s="4"/>
      <c r="AU328" s="4"/>
      <c r="AV328" s="4" t="s">
        <v>1280</v>
      </c>
      <c r="AW328" s="4" t="s">
        <v>1280</v>
      </c>
      <c r="AX328" s="4" t="s">
        <v>1280</v>
      </c>
      <c r="AY328" s="4" t="s">
        <v>1280</v>
      </c>
      <c r="AZ328" s="4" t="str">
        <f t="shared" si="125"/>
        <v>-</v>
      </c>
      <c r="BA328" s="19">
        <v>4</v>
      </c>
      <c r="BB328" s="19">
        <v>8</v>
      </c>
      <c r="BC328" s="16">
        <v>19</v>
      </c>
      <c r="BD328" t="s">
        <v>1280</v>
      </c>
      <c r="BE328" t="s">
        <v>1280</v>
      </c>
      <c r="BF328" t="s">
        <v>1280</v>
      </c>
      <c r="BG328" t="str">
        <f t="shared" si="130"/>
        <v>-</v>
      </c>
      <c r="BH328" t="s">
        <v>1280</v>
      </c>
      <c r="BI328" t="s">
        <v>1280</v>
      </c>
      <c r="BJ328" t="s">
        <v>1280</v>
      </c>
      <c r="BK328" t="str">
        <f t="shared" si="131"/>
        <v>-</v>
      </c>
      <c r="BL328" t="s">
        <v>1280</v>
      </c>
      <c r="BM328">
        <v>812</v>
      </c>
    </row>
    <row r="329" spans="1:65" x14ac:dyDescent="0.4">
      <c r="A329" s="3">
        <v>565</v>
      </c>
      <c r="B329" s="3">
        <v>565</v>
      </c>
      <c r="C329" s="4" t="s">
        <v>554</v>
      </c>
      <c r="D329" s="4" t="str">
        <f t="shared" si="110"/>
        <v>J927WN</v>
      </c>
      <c r="E329" s="4" t="s">
        <v>554</v>
      </c>
      <c r="F329" s="4" t="str">
        <f t="shared" si="126"/>
        <v>J927WN5</v>
      </c>
      <c r="G329" s="4" t="s">
        <v>1198</v>
      </c>
      <c r="H329" s="5">
        <v>4974268697967</v>
      </c>
      <c r="I329" s="5">
        <v>5</v>
      </c>
      <c r="J329" s="5"/>
      <c r="K329" s="5">
        <v>1</v>
      </c>
      <c r="L329" s="5">
        <v>1</v>
      </c>
      <c r="M329" s="4">
        <v>1300</v>
      </c>
      <c r="N329" s="4">
        <v>1300</v>
      </c>
      <c r="O329" s="4">
        <v>1040</v>
      </c>
      <c r="P329" s="6">
        <f t="shared" si="111"/>
        <v>0.19999999999999996</v>
      </c>
      <c r="Q329" s="4" t="s">
        <v>1280</v>
      </c>
      <c r="R329" s="4" t="s">
        <v>1280</v>
      </c>
      <c r="S329" s="4" t="s">
        <v>1280</v>
      </c>
      <c r="T329" s="4">
        <v>1550</v>
      </c>
      <c r="U329" s="4">
        <f t="shared" si="112"/>
        <v>1550</v>
      </c>
      <c r="V329" s="4">
        <v>1240</v>
      </c>
      <c r="W329" s="4">
        <f t="shared" si="113"/>
        <v>1240</v>
      </c>
      <c r="X329" s="4"/>
      <c r="Y329" s="21">
        <f t="shared" si="114"/>
        <v>1550</v>
      </c>
      <c r="Z329" s="6">
        <f t="shared" si="115"/>
        <v>0.19999999999999996</v>
      </c>
      <c r="AA329" s="4">
        <v>0</v>
      </c>
      <c r="AB329" s="4">
        <f t="shared" si="116"/>
        <v>1478</v>
      </c>
      <c r="AC329" s="4">
        <f t="shared" si="127"/>
        <v>1762.2307692307693</v>
      </c>
      <c r="AD329" s="6">
        <f t="shared" si="128"/>
        <v>0.29634641407307172</v>
      </c>
      <c r="AE329" s="4">
        <f t="shared" si="129"/>
        <v>1472.5</v>
      </c>
      <c r="AF329" s="7">
        <v>1550</v>
      </c>
      <c r="AG329" s="6">
        <f t="shared" si="117"/>
        <v>0.19999999999999996</v>
      </c>
      <c r="AH329" s="4">
        <f t="shared" si="118"/>
        <v>310</v>
      </c>
      <c r="AI329" s="28"/>
      <c r="AJ329" s="6"/>
      <c r="AK329" s="6"/>
      <c r="AL329" s="6">
        <f t="shared" si="119"/>
        <v>1.1923076923076923</v>
      </c>
      <c r="AM329" s="6">
        <f t="shared" si="120"/>
        <v>1.1923076923076923</v>
      </c>
      <c r="AN329" s="6">
        <f t="shared" si="121"/>
        <v>1.1923076923076923</v>
      </c>
      <c r="AO329" s="4" t="str">
        <f t="shared" si="122"/>
        <v>-</v>
      </c>
      <c r="AP329" s="4" t="str">
        <f t="shared" si="123"/>
        <v>-</v>
      </c>
      <c r="AQ329" s="4" t="str">
        <f t="shared" si="124"/>
        <v>-</v>
      </c>
      <c r="AR329" s="4">
        <v>0</v>
      </c>
      <c r="AS329" s="4" t="s">
        <v>2125</v>
      </c>
      <c r="AT329" s="4"/>
      <c r="AU329" s="4"/>
      <c r="AV329" s="4" t="s">
        <v>1713</v>
      </c>
      <c r="AW329" s="4">
        <v>1478</v>
      </c>
      <c r="AX329" s="4">
        <v>1478</v>
      </c>
      <c r="AY329" s="4">
        <v>1478</v>
      </c>
      <c r="AZ329" s="4">
        <f t="shared" si="125"/>
        <v>1478</v>
      </c>
      <c r="BA329" s="19">
        <v>4</v>
      </c>
      <c r="BB329" s="19">
        <v>8</v>
      </c>
      <c r="BC329" s="16">
        <v>19</v>
      </c>
      <c r="BD329" t="s">
        <v>1280</v>
      </c>
      <c r="BE329" t="s">
        <v>1280</v>
      </c>
      <c r="BF329" t="s">
        <v>1280</v>
      </c>
      <c r="BG329" t="str">
        <f t="shared" si="130"/>
        <v>-</v>
      </c>
      <c r="BH329">
        <v>1486</v>
      </c>
      <c r="BI329">
        <v>1486</v>
      </c>
      <c r="BJ329">
        <v>1486</v>
      </c>
      <c r="BK329">
        <f t="shared" si="131"/>
        <v>1771.7692307692307</v>
      </c>
      <c r="BL329" t="s">
        <v>1616</v>
      </c>
      <c r="BM329">
        <v>812</v>
      </c>
    </row>
    <row r="330" spans="1:65" x14ac:dyDescent="0.4">
      <c r="A330" s="3">
        <v>280</v>
      </c>
      <c r="B330" s="3">
        <v>280</v>
      </c>
      <c r="C330" s="4" t="s">
        <v>269</v>
      </c>
      <c r="D330" s="4" t="str">
        <f t="shared" si="110"/>
        <v>J38995</v>
      </c>
      <c r="E330" s="4" t="s">
        <v>269</v>
      </c>
      <c r="F330" s="4" t="str">
        <f t="shared" si="126"/>
        <v>J389955</v>
      </c>
      <c r="G330" s="4" t="s">
        <v>915</v>
      </c>
      <c r="H330" s="5">
        <v>4974268602893</v>
      </c>
      <c r="I330" s="5">
        <v>5</v>
      </c>
      <c r="J330" s="5"/>
      <c r="K330" s="5">
        <v>1</v>
      </c>
      <c r="L330" s="5">
        <v>1</v>
      </c>
      <c r="M330" s="4">
        <v>1680</v>
      </c>
      <c r="N330" s="4">
        <v>1287</v>
      </c>
      <c r="O330" s="4">
        <v>1008</v>
      </c>
      <c r="P330" s="6">
        <f t="shared" si="111"/>
        <v>0.21678321678321677</v>
      </c>
      <c r="Q330" s="4" t="s">
        <v>1280</v>
      </c>
      <c r="R330" s="4" t="s">
        <v>1280</v>
      </c>
      <c r="S330" s="4" t="s">
        <v>1280</v>
      </c>
      <c r="T330" s="4">
        <v>2100</v>
      </c>
      <c r="U330" s="4">
        <f t="shared" si="112"/>
        <v>2100</v>
      </c>
      <c r="V330" s="4">
        <v>1260</v>
      </c>
      <c r="W330" s="4">
        <f t="shared" si="113"/>
        <v>1260</v>
      </c>
      <c r="X330" s="4"/>
      <c r="Y330" s="21">
        <f t="shared" si="114"/>
        <v>1609</v>
      </c>
      <c r="Z330" s="6">
        <f t="shared" si="115"/>
        <v>0.21690490988191424</v>
      </c>
      <c r="AA330" s="4">
        <v>0</v>
      </c>
      <c r="AB330" s="4">
        <f t="shared" si="116"/>
        <v>1671</v>
      </c>
      <c r="AC330" s="4">
        <f t="shared" si="127"/>
        <v>2088.75</v>
      </c>
      <c r="AD330" s="6">
        <f t="shared" si="128"/>
        <v>0.39676840215439857</v>
      </c>
      <c r="AE330" s="4">
        <f t="shared" si="129"/>
        <v>1995</v>
      </c>
      <c r="AF330" s="7">
        <v>1950</v>
      </c>
      <c r="AG330" s="6">
        <f t="shared" si="117"/>
        <v>0.35384615384615381</v>
      </c>
      <c r="AH330" s="4">
        <f t="shared" si="118"/>
        <v>690</v>
      </c>
      <c r="AI330" s="28"/>
      <c r="AJ330" s="6"/>
      <c r="AK330" s="6"/>
      <c r="AL330" s="6">
        <f t="shared" si="119"/>
        <v>1.25</v>
      </c>
      <c r="AM330" s="6">
        <f t="shared" si="120"/>
        <v>1.5151515151515151</v>
      </c>
      <c r="AN330" s="6">
        <f t="shared" si="121"/>
        <v>1.25</v>
      </c>
      <c r="AO330" s="4" t="str">
        <f t="shared" si="122"/>
        <v>-</v>
      </c>
      <c r="AP330" s="4" t="str">
        <f t="shared" si="123"/>
        <v>-</v>
      </c>
      <c r="AQ330" s="4" t="str">
        <f t="shared" si="124"/>
        <v>-</v>
      </c>
      <c r="AR330" s="4">
        <v>0</v>
      </c>
      <c r="AS330" s="4" t="s">
        <v>1910</v>
      </c>
      <c r="AT330" s="4"/>
      <c r="AU330" s="4"/>
      <c r="AV330" s="4" t="s">
        <v>1911</v>
      </c>
      <c r="AW330" s="4">
        <v>1671</v>
      </c>
      <c r="AX330" s="4">
        <v>1671</v>
      </c>
      <c r="AY330" s="4">
        <v>1671</v>
      </c>
      <c r="AZ330" s="4">
        <f t="shared" si="125"/>
        <v>1671</v>
      </c>
      <c r="BA330" s="19">
        <v>4</v>
      </c>
      <c r="BB330" s="19">
        <v>8</v>
      </c>
      <c r="BC330" s="16">
        <v>19</v>
      </c>
      <c r="BD330" t="s">
        <v>1280</v>
      </c>
      <c r="BE330" t="s">
        <v>1280</v>
      </c>
      <c r="BF330" t="s">
        <v>1280</v>
      </c>
      <c r="BG330" t="str">
        <f t="shared" si="130"/>
        <v>-</v>
      </c>
      <c r="BH330">
        <v>1680</v>
      </c>
      <c r="BI330">
        <v>1680</v>
      </c>
      <c r="BJ330">
        <v>1680</v>
      </c>
      <c r="BK330">
        <f t="shared" si="131"/>
        <v>2100</v>
      </c>
      <c r="BL330" t="s">
        <v>1450</v>
      </c>
      <c r="BM330">
        <v>812</v>
      </c>
    </row>
    <row r="331" spans="1:65" x14ac:dyDescent="0.4">
      <c r="A331" s="3">
        <v>468</v>
      </c>
      <c r="B331" s="3">
        <v>468</v>
      </c>
      <c r="C331" s="4" t="s">
        <v>457</v>
      </c>
      <c r="D331" s="4" t="str">
        <f t="shared" si="110"/>
        <v>J54552</v>
      </c>
      <c r="E331" s="4" t="s">
        <v>457</v>
      </c>
      <c r="F331" s="4" t="str">
        <f t="shared" si="126"/>
        <v>J545525</v>
      </c>
      <c r="G331" s="4" t="s">
        <v>1101</v>
      </c>
      <c r="H331" s="5">
        <v>4974268562838</v>
      </c>
      <c r="I331" s="5">
        <v>5</v>
      </c>
      <c r="J331" s="5"/>
      <c r="K331" s="5">
        <v>1</v>
      </c>
      <c r="L331" s="5">
        <v>1</v>
      </c>
      <c r="M331" s="4">
        <v>1900</v>
      </c>
      <c r="N331" s="4">
        <v>1844</v>
      </c>
      <c r="O331" s="4">
        <v>1140</v>
      </c>
      <c r="P331" s="6">
        <f t="shared" si="111"/>
        <v>0.38177874186550975</v>
      </c>
      <c r="Q331" s="4" t="s">
        <v>1280</v>
      </c>
      <c r="R331" s="4" t="s">
        <v>1280</v>
      </c>
      <c r="S331" s="4" t="s">
        <v>1280</v>
      </c>
      <c r="T331" s="4">
        <v>2100</v>
      </c>
      <c r="U331" s="4">
        <f t="shared" si="112"/>
        <v>2100</v>
      </c>
      <c r="V331" s="4">
        <v>1260</v>
      </c>
      <c r="W331" s="4">
        <f t="shared" si="113"/>
        <v>1260</v>
      </c>
      <c r="X331" s="4"/>
      <c r="Y331" s="21">
        <f t="shared" si="114"/>
        <v>2038</v>
      </c>
      <c r="Z331" s="6">
        <f t="shared" si="115"/>
        <v>0.38174681059862614</v>
      </c>
      <c r="AA331" s="4">
        <v>1.25</v>
      </c>
      <c r="AB331" s="4">
        <f t="shared" si="116"/>
        <v>1464</v>
      </c>
      <c r="AC331" s="4">
        <f t="shared" si="127"/>
        <v>1618.1052631578948</v>
      </c>
      <c r="AD331" s="6">
        <f t="shared" si="128"/>
        <v>0.22131147540983609</v>
      </c>
      <c r="AE331" s="4">
        <f t="shared" si="129"/>
        <v>1995</v>
      </c>
      <c r="AF331" s="7">
        <v>1950</v>
      </c>
      <c r="AG331" s="6">
        <f t="shared" si="117"/>
        <v>0.35384615384615381</v>
      </c>
      <c r="AH331" s="4">
        <f t="shared" si="118"/>
        <v>690</v>
      </c>
      <c r="AI331" s="28"/>
      <c r="AJ331" s="6"/>
      <c r="AK331" s="6"/>
      <c r="AL331" s="6">
        <f t="shared" si="119"/>
        <v>1.1052631578947369</v>
      </c>
      <c r="AM331" s="6">
        <f t="shared" si="120"/>
        <v>1.0574837310195229</v>
      </c>
      <c r="AN331" s="6">
        <f t="shared" si="121"/>
        <v>1.1052631578947369</v>
      </c>
      <c r="AO331" s="4" t="str">
        <f t="shared" si="122"/>
        <v>-</v>
      </c>
      <c r="AP331" s="4" t="str">
        <f t="shared" si="123"/>
        <v>-</v>
      </c>
      <c r="AQ331" s="4" t="str">
        <f t="shared" si="124"/>
        <v>-</v>
      </c>
      <c r="AR331" s="4">
        <v>0</v>
      </c>
      <c r="AS331" s="4" t="s">
        <v>2026</v>
      </c>
      <c r="AT331" s="4"/>
      <c r="AU331" s="4"/>
      <c r="AV331" s="4" t="s">
        <v>2027</v>
      </c>
      <c r="AW331" s="4">
        <v>1464</v>
      </c>
      <c r="AX331" s="4">
        <v>1464</v>
      </c>
      <c r="AY331" s="4">
        <v>1464</v>
      </c>
      <c r="AZ331" s="4">
        <f t="shared" si="125"/>
        <v>1464</v>
      </c>
      <c r="BA331" s="19">
        <v>4</v>
      </c>
      <c r="BB331" s="19">
        <v>8</v>
      </c>
      <c r="BC331" s="16">
        <v>18</v>
      </c>
      <c r="BD331" t="s">
        <v>1280</v>
      </c>
      <c r="BE331" t="s">
        <v>1280</v>
      </c>
      <c r="BF331" t="s">
        <v>1280</v>
      </c>
      <c r="BG331" t="str">
        <f t="shared" si="130"/>
        <v>-</v>
      </c>
      <c r="BH331" t="s">
        <v>1280</v>
      </c>
      <c r="BI331">
        <v>1805</v>
      </c>
      <c r="BJ331">
        <v>1805</v>
      </c>
      <c r="BK331">
        <f t="shared" si="131"/>
        <v>1995.0000000000002</v>
      </c>
      <c r="BL331" t="s">
        <v>1541</v>
      </c>
      <c r="BM331">
        <v>812</v>
      </c>
    </row>
    <row r="332" spans="1:65" x14ac:dyDescent="0.4">
      <c r="A332" s="3">
        <v>603</v>
      </c>
      <c r="B332" s="3">
        <v>603</v>
      </c>
      <c r="C332" s="4" t="s">
        <v>592</v>
      </c>
      <c r="D332" s="4" t="str">
        <f t="shared" si="110"/>
        <v>J94656</v>
      </c>
      <c r="E332" s="4" t="s">
        <v>592</v>
      </c>
      <c r="F332" s="4" t="str">
        <f t="shared" si="126"/>
        <v>J946565</v>
      </c>
      <c r="G332" s="4" t="s">
        <v>1236</v>
      </c>
      <c r="H332" s="5">
        <v>4974268560841</v>
      </c>
      <c r="I332" s="5">
        <v>5</v>
      </c>
      <c r="J332" s="5"/>
      <c r="K332" s="5">
        <v>1</v>
      </c>
      <c r="L332" s="5">
        <v>1</v>
      </c>
      <c r="M332" s="4">
        <v>1900</v>
      </c>
      <c r="N332" s="4">
        <v>1469</v>
      </c>
      <c r="O332" s="4">
        <v>1140</v>
      </c>
      <c r="P332" s="6">
        <f t="shared" si="111"/>
        <v>0.22396187882913543</v>
      </c>
      <c r="Q332" s="4" t="s">
        <v>1280</v>
      </c>
      <c r="R332" s="4" t="s">
        <v>1280</v>
      </c>
      <c r="S332" s="4" t="s">
        <v>1280</v>
      </c>
      <c r="T332" s="4">
        <v>2100</v>
      </c>
      <c r="U332" s="4">
        <f t="shared" si="112"/>
        <v>2100</v>
      </c>
      <c r="V332" s="4">
        <v>1260</v>
      </c>
      <c r="W332" s="4">
        <f t="shared" si="113"/>
        <v>1260</v>
      </c>
      <c r="X332" s="4"/>
      <c r="Y332" s="21">
        <f t="shared" si="114"/>
        <v>1624</v>
      </c>
      <c r="Z332" s="6">
        <f t="shared" si="115"/>
        <v>0.22413793103448276</v>
      </c>
      <c r="AA332" s="4">
        <v>0</v>
      </c>
      <c r="AB332" s="4">
        <f t="shared" si="116"/>
        <v>1899</v>
      </c>
      <c r="AC332" s="4">
        <f t="shared" si="127"/>
        <v>2098.8947368421054</v>
      </c>
      <c r="AD332" s="6">
        <f t="shared" si="128"/>
        <v>0.39968404423380732</v>
      </c>
      <c r="AE332" s="4">
        <f t="shared" si="129"/>
        <v>1995</v>
      </c>
      <c r="AF332" s="7">
        <v>1909</v>
      </c>
      <c r="AG332" s="6">
        <f t="shared" si="117"/>
        <v>0.3399685699319015</v>
      </c>
      <c r="AH332" s="4">
        <f t="shared" si="118"/>
        <v>649</v>
      </c>
      <c r="AI332" s="28"/>
      <c r="AJ332" s="6"/>
      <c r="AK332" s="6"/>
      <c r="AL332" s="6">
        <f t="shared" si="119"/>
        <v>1.1052631578947369</v>
      </c>
      <c r="AM332" s="6">
        <f t="shared" si="120"/>
        <v>1.2995234853641933</v>
      </c>
      <c r="AN332" s="6">
        <f t="shared" si="121"/>
        <v>1.1052631578947369</v>
      </c>
      <c r="AO332" s="4" t="str">
        <f t="shared" si="122"/>
        <v>-</v>
      </c>
      <c r="AP332" s="4" t="str">
        <f t="shared" si="123"/>
        <v>-</v>
      </c>
      <c r="AQ332" s="4" t="str">
        <f t="shared" si="124"/>
        <v>-</v>
      </c>
      <c r="AR332" s="4">
        <v>0</v>
      </c>
      <c r="AS332" s="4" t="s">
        <v>2160</v>
      </c>
      <c r="AT332" s="4"/>
      <c r="AU332" s="4"/>
      <c r="AV332" s="4" t="s">
        <v>2158</v>
      </c>
      <c r="AW332" s="4">
        <v>1899</v>
      </c>
      <c r="AX332" s="4">
        <v>1899</v>
      </c>
      <c r="AY332" s="4">
        <v>1899</v>
      </c>
      <c r="AZ332" s="4">
        <f t="shared" si="125"/>
        <v>1899</v>
      </c>
      <c r="BA332" s="19">
        <v>4</v>
      </c>
      <c r="BB332" s="19">
        <v>8</v>
      </c>
      <c r="BC332" s="16">
        <v>18</v>
      </c>
      <c r="BD332">
        <v>1900</v>
      </c>
      <c r="BE332">
        <v>1900</v>
      </c>
      <c r="BF332">
        <v>1900</v>
      </c>
      <c r="BG332">
        <f t="shared" si="130"/>
        <v>2100</v>
      </c>
      <c r="BH332" t="s">
        <v>1280</v>
      </c>
      <c r="BI332">
        <v>1728</v>
      </c>
      <c r="BJ332">
        <v>1728</v>
      </c>
      <c r="BK332">
        <f t="shared" si="131"/>
        <v>1909.8947368421054</v>
      </c>
      <c r="BL332" t="s">
        <v>1645</v>
      </c>
      <c r="BM332">
        <v>812</v>
      </c>
    </row>
    <row r="333" spans="1:65" x14ac:dyDescent="0.4">
      <c r="A333" s="3">
        <v>616</v>
      </c>
      <c r="B333" s="3">
        <v>616</v>
      </c>
      <c r="C333" s="4" t="s">
        <v>605</v>
      </c>
      <c r="D333" s="4" t="str">
        <f t="shared" si="110"/>
        <v>J958WN</v>
      </c>
      <c r="E333" s="4" t="s">
        <v>605</v>
      </c>
      <c r="F333" s="4" t="str">
        <f t="shared" si="126"/>
        <v>J958WN5</v>
      </c>
      <c r="G333" s="4" t="s">
        <v>1249</v>
      </c>
      <c r="H333" s="5">
        <v>4974268560919</v>
      </c>
      <c r="I333" s="5">
        <v>5</v>
      </c>
      <c r="J333" s="5"/>
      <c r="K333" s="5">
        <v>1</v>
      </c>
      <c r="L333" s="5">
        <v>1</v>
      </c>
      <c r="M333" s="4">
        <v>1900</v>
      </c>
      <c r="N333" s="4">
        <v>1630</v>
      </c>
      <c r="O333" s="4">
        <v>1140</v>
      </c>
      <c r="P333" s="6">
        <f t="shared" si="111"/>
        <v>0.30061349693251538</v>
      </c>
      <c r="Q333" s="4" t="s">
        <v>1280</v>
      </c>
      <c r="R333" s="4" t="s">
        <v>1280</v>
      </c>
      <c r="S333" s="4" t="s">
        <v>1280</v>
      </c>
      <c r="T333" s="4">
        <v>2100</v>
      </c>
      <c r="U333" s="4">
        <f t="shared" si="112"/>
        <v>2100</v>
      </c>
      <c r="V333" s="4">
        <v>1260</v>
      </c>
      <c r="W333" s="4">
        <f t="shared" si="113"/>
        <v>1260</v>
      </c>
      <c r="X333" s="4"/>
      <c r="Y333" s="21">
        <f t="shared" si="114"/>
        <v>1802</v>
      </c>
      <c r="Z333" s="6">
        <f t="shared" si="115"/>
        <v>0.3007769145394007</v>
      </c>
      <c r="AA333" s="4">
        <v>0</v>
      </c>
      <c r="AB333" s="4" t="str">
        <f t="shared" si="116"/>
        <v>-</v>
      </c>
      <c r="AC333" s="4" t="str">
        <f t="shared" si="127"/>
        <v>-</v>
      </c>
      <c r="AD333" s="6" t="str">
        <f t="shared" si="128"/>
        <v>-</v>
      </c>
      <c r="AE333" s="4">
        <f t="shared" si="129"/>
        <v>1995</v>
      </c>
      <c r="AF333" s="7">
        <v>1909</v>
      </c>
      <c r="AG333" s="6">
        <f t="shared" si="117"/>
        <v>0.3399685699319015</v>
      </c>
      <c r="AH333" s="4">
        <f t="shared" si="118"/>
        <v>649</v>
      </c>
      <c r="AI333" s="28"/>
      <c r="AJ333" s="6"/>
      <c r="AK333" s="6"/>
      <c r="AL333" s="6">
        <f t="shared" si="119"/>
        <v>1.1052631578947369</v>
      </c>
      <c r="AM333" s="6">
        <f t="shared" si="120"/>
        <v>1.171165644171779</v>
      </c>
      <c r="AN333" s="6">
        <f t="shared" si="121"/>
        <v>1.1052631578947369</v>
      </c>
      <c r="AO333" s="4" t="str">
        <f t="shared" si="122"/>
        <v>-</v>
      </c>
      <c r="AP333" s="4" t="str">
        <f t="shared" si="123"/>
        <v>-</v>
      </c>
      <c r="AQ333" s="4" t="str">
        <f t="shared" si="124"/>
        <v>-</v>
      </c>
      <c r="AR333" s="4">
        <v>0</v>
      </c>
      <c r="AS333" s="4" t="s">
        <v>2175</v>
      </c>
      <c r="AT333" s="4"/>
      <c r="AU333" s="4"/>
      <c r="AV333" s="4" t="s">
        <v>2019</v>
      </c>
      <c r="AW333" s="4">
        <v>997</v>
      </c>
      <c r="AX333" s="4">
        <v>997</v>
      </c>
      <c r="AY333" s="4" t="s">
        <v>1280</v>
      </c>
      <c r="AZ333" s="4" t="str">
        <f t="shared" si="125"/>
        <v>-</v>
      </c>
      <c r="BA333" s="19">
        <v>4</v>
      </c>
      <c r="BB333" s="19">
        <v>8</v>
      </c>
      <c r="BC333" s="16">
        <v>18</v>
      </c>
      <c r="BD333">
        <v>1900</v>
      </c>
      <c r="BE333">
        <v>1900</v>
      </c>
      <c r="BF333" t="s">
        <v>1280</v>
      </c>
      <c r="BG333" t="str">
        <f t="shared" si="130"/>
        <v>-</v>
      </c>
      <c r="BH333" t="s">
        <v>1280</v>
      </c>
      <c r="BI333">
        <v>1728</v>
      </c>
      <c r="BJ333">
        <v>1728</v>
      </c>
      <c r="BK333">
        <f t="shared" si="131"/>
        <v>1909.8947368421054</v>
      </c>
      <c r="BL333" t="s">
        <v>1657</v>
      </c>
      <c r="BM333">
        <v>812</v>
      </c>
    </row>
    <row r="334" spans="1:65" x14ac:dyDescent="0.4">
      <c r="A334" s="3">
        <v>639</v>
      </c>
      <c r="B334" s="3">
        <v>639</v>
      </c>
      <c r="C334" s="4" t="s">
        <v>628</v>
      </c>
      <c r="D334" s="4" t="str">
        <f t="shared" si="110"/>
        <v>J980WN</v>
      </c>
      <c r="E334" s="4" t="s">
        <v>628</v>
      </c>
      <c r="F334" s="4" t="str">
        <f t="shared" si="126"/>
        <v>J980WN5</v>
      </c>
      <c r="G334" s="4" t="s">
        <v>1272</v>
      </c>
      <c r="H334" s="5">
        <v>4974268562821</v>
      </c>
      <c r="I334" s="5">
        <v>5</v>
      </c>
      <c r="J334" s="5"/>
      <c r="K334" s="5">
        <v>1</v>
      </c>
      <c r="L334" s="5">
        <v>1</v>
      </c>
      <c r="M334" s="4">
        <v>1900</v>
      </c>
      <c r="N334" s="4">
        <v>1630</v>
      </c>
      <c r="O334" s="4">
        <v>1140</v>
      </c>
      <c r="P334" s="6">
        <f t="shared" si="111"/>
        <v>0.30061349693251538</v>
      </c>
      <c r="Q334" s="4" t="s">
        <v>1280</v>
      </c>
      <c r="R334" s="4" t="s">
        <v>1280</v>
      </c>
      <c r="S334" s="4" t="s">
        <v>1280</v>
      </c>
      <c r="T334" s="4">
        <v>2100</v>
      </c>
      <c r="U334" s="4">
        <f t="shared" si="112"/>
        <v>2100</v>
      </c>
      <c r="V334" s="4">
        <v>1260</v>
      </c>
      <c r="W334" s="4">
        <f t="shared" si="113"/>
        <v>1260</v>
      </c>
      <c r="X334" s="4"/>
      <c r="Y334" s="21">
        <f t="shared" si="114"/>
        <v>1802</v>
      </c>
      <c r="Z334" s="6">
        <f t="shared" si="115"/>
        <v>0.3007769145394007</v>
      </c>
      <c r="AA334" s="4">
        <v>0.25</v>
      </c>
      <c r="AB334" s="4">
        <f t="shared" si="116"/>
        <v>1800</v>
      </c>
      <c r="AC334" s="4">
        <f t="shared" si="127"/>
        <v>1989.4736842105265</v>
      </c>
      <c r="AD334" s="6">
        <f t="shared" si="128"/>
        <v>0.3666666666666667</v>
      </c>
      <c r="AE334" s="4">
        <f t="shared" si="129"/>
        <v>1995</v>
      </c>
      <c r="AF334" s="7">
        <v>1909</v>
      </c>
      <c r="AG334" s="6">
        <f t="shared" si="117"/>
        <v>0.3399685699319015</v>
      </c>
      <c r="AH334" s="4">
        <f t="shared" si="118"/>
        <v>649</v>
      </c>
      <c r="AI334" s="28"/>
      <c r="AJ334" s="6"/>
      <c r="AK334" s="6"/>
      <c r="AL334" s="6">
        <f t="shared" si="119"/>
        <v>1.1052631578947369</v>
      </c>
      <c r="AM334" s="6">
        <f t="shared" si="120"/>
        <v>1.171165644171779</v>
      </c>
      <c r="AN334" s="6">
        <f t="shared" si="121"/>
        <v>1.1052631578947369</v>
      </c>
      <c r="AO334" s="4" t="str">
        <f t="shared" si="122"/>
        <v>-</v>
      </c>
      <c r="AP334" s="4" t="str">
        <f t="shared" si="123"/>
        <v>-</v>
      </c>
      <c r="AQ334" s="4" t="str">
        <f t="shared" si="124"/>
        <v>-</v>
      </c>
      <c r="AR334" s="4">
        <v>0</v>
      </c>
      <c r="AS334" s="4" t="s">
        <v>2194</v>
      </c>
      <c r="AT334" s="4"/>
      <c r="AU334" s="4"/>
      <c r="AV334" s="4" t="s">
        <v>2195</v>
      </c>
      <c r="AW334" s="4">
        <v>1800</v>
      </c>
      <c r="AX334" s="4">
        <v>1800</v>
      </c>
      <c r="AY334" s="4">
        <v>1800</v>
      </c>
      <c r="AZ334" s="4">
        <f t="shared" si="125"/>
        <v>1800</v>
      </c>
      <c r="BA334" s="19">
        <v>4</v>
      </c>
      <c r="BB334" s="19">
        <v>8</v>
      </c>
      <c r="BC334" s="16">
        <v>18</v>
      </c>
      <c r="BD334" t="s">
        <v>1280</v>
      </c>
      <c r="BE334" t="s">
        <v>1280</v>
      </c>
      <c r="BF334" t="s">
        <v>1280</v>
      </c>
      <c r="BG334" t="str">
        <f t="shared" si="130"/>
        <v>-</v>
      </c>
      <c r="BH334" t="s">
        <v>1280</v>
      </c>
      <c r="BI334">
        <v>1728</v>
      </c>
      <c r="BJ334">
        <v>1728</v>
      </c>
      <c r="BK334">
        <f t="shared" si="131"/>
        <v>1909.8947368421054</v>
      </c>
      <c r="BL334" t="s">
        <v>1673</v>
      </c>
      <c r="BM334">
        <v>812</v>
      </c>
    </row>
    <row r="335" spans="1:65" x14ac:dyDescent="0.4">
      <c r="A335" s="3">
        <v>369</v>
      </c>
      <c r="B335" s="3">
        <v>369</v>
      </c>
      <c r="C335" s="4" t="s">
        <v>358</v>
      </c>
      <c r="D335" s="4" t="str">
        <f t="shared" si="110"/>
        <v>J4030N</v>
      </c>
      <c r="E335" s="4" t="s">
        <v>358</v>
      </c>
      <c r="F335" s="4" t="str">
        <f t="shared" si="126"/>
        <v>J4030N5</v>
      </c>
      <c r="G335" s="4" t="s">
        <v>1004</v>
      </c>
      <c r="H335" s="5">
        <v>4529671008468</v>
      </c>
      <c r="I335" s="5">
        <v>5</v>
      </c>
      <c r="J335" s="5"/>
      <c r="K335" s="5">
        <v>1</v>
      </c>
      <c r="L335" s="5">
        <v>1</v>
      </c>
      <c r="M335" s="4">
        <v>0</v>
      </c>
      <c r="N335" s="4">
        <v>1753</v>
      </c>
      <c r="O335" s="4">
        <v>1194</v>
      </c>
      <c r="P335" s="6">
        <f t="shared" si="111"/>
        <v>0.31888191671420418</v>
      </c>
      <c r="Q335" s="4" t="s">
        <v>1280</v>
      </c>
      <c r="R335" s="4" t="s">
        <v>1280</v>
      </c>
      <c r="S335" s="4" t="s">
        <v>1280</v>
      </c>
      <c r="T335" s="4">
        <v>0</v>
      </c>
      <c r="U335" s="4">
        <f t="shared" si="112"/>
        <v>0</v>
      </c>
      <c r="V335" s="4">
        <v>1290</v>
      </c>
      <c r="W335" s="4">
        <f t="shared" si="113"/>
        <v>1290</v>
      </c>
      <c r="X335" s="4"/>
      <c r="Y335" s="21">
        <f t="shared" si="114"/>
        <v>1894</v>
      </c>
      <c r="Z335" s="6">
        <f t="shared" si="115"/>
        <v>0.31890179514255546</v>
      </c>
      <c r="AA335" s="4">
        <v>0</v>
      </c>
      <c r="AB335" s="4" t="str">
        <f t="shared" si="116"/>
        <v>-</v>
      </c>
      <c r="AC335" s="4" t="str">
        <f t="shared" si="127"/>
        <v>-</v>
      </c>
      <c r="AD335" s="6" t="str">
        <f t="shared" si="128"/>
        <v>-</v>
      </c>
      <c r="AE335" s="4">
        <f t="shared" si="129"/>
        <v>0</v>
      </c>
      <c r="AF335" s="7">
        <v>1697</v>
      </c>
      <c r="AG335" s="6">
        <f t="shared" si="117"/>
        <v>0.23983500294637594</v>
      </c>
      <c r="AH335" s="4">
        <f t="shared" si="118"/>
        <v>407</v>
      </c>
      <c r="AI335" s="28"/>
      <c r="AJ335" s="6"/>
      <c r="AK335" s="6"/>
      <c r="AL335" s="6" t="e">
        <f t="shared" si="119"/>
        <v>#DIV/0!</v>
      </c>
      <c r="AM335" s="6">
        <f t="shared" si="120"/>
        <v>0.96805476326297779</v>
      </c>
      <c r="AN335" s="6">
        <f t="shared" si="121"/>
        <v>1.0804020100502512</v>
      </c>
      <c r="AO335" s="4" t="str">
        <f t="shared" si="122"/>
        <v>-</v>
      </c>
      <c r="AP335" s="4" t="str">
        <f t="shared" si="123"/>
        <v>-</v>
      </c>
      <c r="AQ335" s="4" t="str">
        <f t="shared" si="124"/>
        <v>-</v>
      </c>
      <c r="AR335" s="4">
        <v>0</v>
      </c>
      <c r="AS335" s="4" t="s">
        <v>1280</v>
      </c>
      <c r="AT335" s="4"/>
      <c r="AU335" s="4"/>
      <c r="AV335" s="4" t="s">
        <v>1280</v>
      </c>
      <c r="AW335" s="4" t="s">
        <v>1280</v>
      </c>
      <c r="AX335" s="4" t="s">
        <v>1280</v>
      </c>
      <c r="AY335" s="4" t="s">
        <v>1280</v>
      </c>
      <c r="AZ335" s="4" t="str">
        <f t="shared" si="125"/>
        <v>-</v>
      </c>
      <c r="BA335" s="19">
        <v>4</v>
      </c>
      <c r="BB335" s="19">
        <v>8</v>
      </c>
      <c r="BC335" s="16">
        <v>19</v>
      </c>
      <c r="BD335" t="s">
        <v>1280</v>
      </c>
      <c r="BE335" t="s">
        <v>1280</v>
      </c>
      <c r="BF335" t="s">
        <v>1280</v>
      </c>
      <c r="BG335" t="str">
        <f t="shared" si="130"/>
        <v>-</v>
      </c>
      <c r="BH335">
        <v>1571</v>
      </c>
      <c r="BI335">
        <v>1571</v>
      </c>
      <c r="BJ335">
        <v>1571</v>
      </c>
      <c r="BK335">
        <f t="shared" si="131"/>
        <v>1697.3115577889446</v>
      </c>
      <c r="BL335" t="s">
        <v>1280</v>
      </c>
      <c r="BM335">
        <v>812</v>
      </c>
    </row>
    <row r="336" spans="1:65" x14ac:dyDescent="0.4">
      <c r="A336" s="3">
        <v>598</v>
      </c>
      <c r="B336" s="3">
        <v>598</v>
      </c>
      <c r="C336" s="4" t="s">
        <v>587</v>
      </c>
      <c r="D336" s="4" t="str">
        <f t="shared" si="110"/>
        <v>J94638</v>
      </c>
      <c r="E336" s="4" t="s">
        <v>587</v>
      </c>
      <c r="F336" s="4" t="str">
        <f t="shared" si="126"/>
        <v>J946385</v>
      </c>
      <c r="G336" s="4" t="s">
        <v>1231</v>
      </c>
      <c r="H336" s="5">
        <v>4974268560155</v>
      </c>
      <c r="I336" s="5">
        <v>5</v>
      </c>
      <c r="J336" s="5"/>
      <c r="K336" s="5">
        <v>1</v>
      </c>
      <c r="L336" s="5">
        <v>1</v>
      </c>
      <c r="M336" s="4">
        <v>1900</v>
      </c>
      <c r="N336" s="4">
        <v>1667</v>
      </c>
      <c r="O336" s="4">
        <v>1140</v>
      </c>
      <c r="P336" s="6">
        <f t="shared" si="111"/>
        <v>0.31613677264547091</v>
      </c>
      <c r="Q336" s="4" t="s">
        <v>1280</v>
      </c>
      <c r="R336" s="4" t="s">
        <v>1280</v>
      </c>
      <c r="S336" s="4" t="s">
        <v>1280</v>
      </c>
      <c r="T336" s="4">
        <v>2150</v>
      </c>
      <c r="U336" s="4">
        <f t="shared" si="112"/>
        <v>2150</v>
      </c>
      <c r="V336" s="4">
        <v>1290</v>
      </c>
      <c r="W336" s="4">
        <f t="shared" si="113"/>
        <v>1290</v>
      </c>
      <c r="X336" s="4"/>
      <c r="Y336" s="21">
        <f t="shared" si="114"/>
        <v>1886</v>
      </c>
      <c r="Z336" s="6">
        <f t="shared" si="115"/>
        <v>0.31601272534464475</v>
      </c>
      <c r="AA336" s="4">
        <v>0.5</v>
      </c>
      <c r="AB336" s="4">
        <f t="shared" si="116"/>
        <v>1663</v>
      </c>
      <c r="AC336" s="4">
        <f t="shared" si="127"/>
        <v>1881.8157894736842</v>
      </c>
      <c r="AD336" s="6">
        <f t="shared" si="128"/>
        <v>0.31449188214070956</v>
      </c>
      <c r="AE336" s="4">
        <f t="shared" si="129"/>
        <v>2042.5</v>
      </c>
      <c r="AF336" s="7">
        <v>1881</v>
      </c>
      <c r="AG336" s="6">
        <f t="shared" si="117"/>
        <v>0.31419457735247214</v>
      </c>
      <c r="AH336" s="4">
        <f t="shared" si="118"/>
        <v>591</v>
      </c>
      <c r="AI336" s="28"/>
      <c r="AJ336" s="6"/>
      <c r="AK336" s="6"/>
      <c r="AL336" s="6">
        <f t="shared" si="119"/>
        <v>1.131578947368421</v>
      </c>
      <c r="AM336" s="6">
        <f t="shared" si="120"/>
        <v>1.1283743251349729</v>
      </c>
      <c r="AN336" s="6">
        <f t="shared" si="121"/>
        <v>1.131578947368421</v>
      </c>
      <c r="AO336" s="4" t="str">
        <f t="shared" si="122"/>
        <v>-</v>
      </c>
      <c r="AP336" s="4" t="str">
        <f t="shared" si="123"/>
        <v>-</v>
      </c>
      <c r="AQ336" s="4" t="str">
        <f t="shared" si="124"/>
        <v>-</v>
      </c>
      <c r="AR336" s="4">
        <v>0</v>
      </c>
      <c r="AS336" s="4" t="s">
        <v>2153</v>
      </c>
      <c r="AT336" s="4"/>
      <c r="AU336" s="4"/>
      <c r="AV336" s="4" t="s">
        <v>2154</v>
      </c>
      <c r="AW336" s="4">
        <v>1663</v>
      </c>
      <c r="AX336" s="4">
        <v>1663</v>
      </c>
      <c r="AY336" s="4">
        <v>1663</v>
      </c>
      <c r="AZ336" s="4">
        <f t="shared" si="125"/>
        <v>1663</v>
      </c>
      <c r="BA336" s="19">
        <v>4</v>
      </c>
      <c r="BB336" s="19">
        <v>8</v>
      </c>
      <c r="BC336" s="16">
        <v>18</v>
      </c>
      <c r="BD336">
        <v>1900</v>
      </c>
      <c r="BE336">
        <v>1900</v>
      </c>
      <c r="BF336">
        <v>1900</v>
      </c>
      <c r="BG336">
        <f t="shared" si="130"/>
        <v>2150</v>
      </c>
      <c r="BH336">
        <v>1788</v>
      </c>
      <c r="BI336">
        <v>1788</v>
      </c>
      <c r="BJ336">
        <v>1788</v>
      </c>
      <c r="BK336">
        <f t="shared" si="131"/>
        <v>2023.2631578947369</v>
      </c>
      <c r="BL336" t="s">
        <v>1640</v>
      </c>
      <c r="BM336">
        <v>812</v>
      </c>
    </row>
    <row r="337" spans="1:65" x14ac:dyDescent="0.4">
      <c r="A337" s="3">
        <v>583</v>
      </c>
      <c r="B337" s="3">
        <v>583</v>
      </c>
      <c r="C337" s="4" t="s">
        <v>572</v>
      </c>
      <c r="D337" s="4" t="str">
        <f t="shared" si="110"/>
        <v>J94441</v>
      </c>
      <c r="E337" s="4" t="s">
        <v>572</v>
      </c>
      <c r="F337" s="4" t="str">
        <f t="shared" si="126"/>
        <v>J944415</v>
      </c>
      <c r="G337" s="4" t="s">
        <v>1216</v>
      </c>
      <c r="H337" s="5">
        <v>4974268153487</v>
      </c>
      <c r="I337" s="5">
        <v>5</v>
      </c>
      <c r="J337" s="5"/>
      <c r="K337" s="5">
        <v>1</v>
      </c>
      <c r="L337" s="5">
        <v>1</v>
      </c>
      <c r="M337" s="4">
        <v>1700</v>
      </c>
      <c r="N337" s="4">
        <v>1751</v>
      </c>
      <c r="O337" s="4">
        <v>1190</v>
      </c>
      <c r="P337" s="6">
        <f t="shared" si="111"/>
        <v>0.32038834951456308</v>
      </c>
      <c r="Q337" s="4" t="s">
        <v>1280</v>
      </c>
      <c r="R337" s="4" t="s">
        <v>1280</v>
      </c>
      <c r="S337" s="4" t="s">
        <v>1280</v>
      </c>
      <c r="T337" s="4">
        <v>1850</v>
      </c>
      <c r="U337" s="4">
        <f t="shared" si="112"/>
        <v>1850</v>
      </c>
      <c r="V337" s="4">
        <v>1295</v>
      </c>
      <c r="W337" s="4">
        <f t="shared" si="113"/>
        <v>1295</v>
      </c>
      <c r="X337" s="4"/>
      <c r="Y337" s="21">
        <f t="shared" si="114"/>
        <v>1906</v>
      </c>
      <c r="Z337" s="6">
        <f t="shared" si="115"/>
        <v>0.32056663168940192</v>
      </c>
      <c r="AA337" s="4">
        <v>1.5</v>
      </c>
      <c r="AB337" s="4">
        <f t="shared" si="116"/>
        <v>1609</v>
      </c>
      <c r="AC337" s="4">
        <f t="shared" si="127"/>
        <v>1750.9705882352939</v>
      </c>
      <c r="AD337" s="6">
        <f t="shared" si="128"/>
        <v>0.2604101926662522</v>
      </c>
      <c r="AE337" s="4">
        <f t="shared" si="129"/>
        <v>1757.5</v>
      </c>
      <c r="AF337" s="7">
        <v>1750</v>
      </c>
      <c r="AG337" s="6">
        <f t="shared" si="117"/>
        <v>0.26</v>
      </c>
      <c r="AH337" s="4">
        <f t="shared" si="118"/>
        <v>455</v>
      </c>
      <c r="AI337" s="28"/>
      <c r="AJ337" s="6"/>
      <c r="AK337" s="6"/>
      <c r="AL337" s="6">
        <f t="shared" si="119"/>
        <v>1.088235294117647</v>
      </c>
      <c r="AM337" s="6">
        <f t="shared" si="120"/>
        <v>0.99942889777270127</v>
      </c>
      <c r="AN337" s="6">
        <f t="shared" si="121"/>
        <v>1.088235294117647</v>
      </c>
      <c r="AO337" s="4" t="str">
        <f t="shared" si="122"/>
        <v>-</v>
      </c>
      <c r="AP337" s="4" t="str">
        <f t="shared" si="123"/>
        <v>-</v>
      </c>
      <c r="AQ337" s="4" t="str">
        <f t="shared" si="124"/>
        <v>-</v>
      </c>
      <c r="AR337" s="4">
        <v>0</v>
      </c>
      <c r="AS337" s="4" t="s">
        <v>2143</v>
      </c>
      <c r="AT337" s="4"/>
      <c r="AU337" s="4"/>
      <c r="AV337" s="4" t="s">
        <v>2108</v>
      </c>
      <c r="AW337" s="4">
        <v>1609</v>
      </c>
      <c r="AX337" s="4">
        <v>1609</v>
      </c>
      <c r="AY337" s="4">
        <v>1609</v>
      </c>
      <c r="AZ337" s="4">
        <f t="shared" si="125"/>
        <v>1609</v>
      </c>
      <c r="BA337" s="19">
        <v>4</v>
      </c>
      <c r="BB337" s="19">
        <v>8</v>
      </c>
      <c r="BC337" s="16">
        <v>6</v>
      </c>
      <c r="BD337" t="s">
        <v>1280</v>
      </c>
      <c r="BE337" t="s">
        <v>1280</v>
      </c>
      <c r="BF337" t="s">
        <v>1280</v>
      </c>
      <c r="BG337" t="str">
        <f t="shared" si="130"/>
        <v>-</v>
      </c>
      <c r="BH337" t="s">
        <v>1280</v>
      </c>
      <c r="BI337">
        <v>1700</v>
      </c>
      <c r="BJ337">
        <v>1700</v>
      </c>
      <c r="BK337">
        <f t="shared" si="131"/>
        <v>1849.9999999999998</v>
      </c>
      <c r="BL337" t="s">
        <v>1631</v>
      </c>
      <c r="BM337">
        <v>812</v>
      </c>
    </row>
    <row r="338" spans="1:65" x14ac:dyDescent="0.4">
      <c r="A338" s="3">
        <v>51</v>
      </c>
      <c r="B338" s="3">
        <v>51</v>
      </c>
      <c r="C338" s="4" t="s">
        <v>56</v>
      </c>
      <c r="D338" s="4" t="str">
        <f t="shared" si="110"/>
        <v>6266AM</v>
      </c>
      <c r="E338" s="4" t="s">
        <v>56</v>
      </c>
      <c r="F338" s="4" t="str">
        <f t="shared" si="126"/>
        <v>6266AM5</v>
      </c>
      <c r="G338" s="4" t="s">
        <v>686</v>
      </c>
      <c r="H338" s="5">
        <v>4974268147431</v>
      </c>
      <c r="I338" s="5">
        <v>5</v>
      </c>
      <c r="J338" s="5"/>
      <c r="K338" s="5">
        <v>1</v>
      </c>
      <c r="L338" s="5">
        <v>1</v>
      </c>
      <c r="M338" s="4">
        <v>1900</v>
      </c>
      <c r="N338" s="4">
        <v>1799</v>
      </c>
      <c r="O338" s="4">
        <v>1140</v>
      </c>
      <c r="P338" s="6">
        <f t="shared" si="111"/>
        <v>0.3663146192329072</v>
      </c>
      <c r="Q338" s="4" t="s">
        <v>1280</v>
      </c>
      <c r="R338" s="4" t="s">
        <v>1280</v>
      </c>
      <c r="S338" s="4" t="s">
        <v>1280</v>
      </c>
      <c r="T338" s="4">
        <v>2200</v>
      </c>
      <c r="U338" s="4">
        <f t="shared" si="112"/>
        <v>2200</v>
      </c>
      <c r="V338" s="4">
        <v>1320</v>
      </c>
      <c r="W338" s="4">
        <f t="shared" si="113"/>
        <v>1320</v>
      </c>
      <c r="X338" s="4"/>
      <c r="Y338" s="21">
        <f t="shared" si="114"/>
        <v>2083</v>
      </c>
      <c r="Z338" s="6">
        <f t="shared" si="115"/>
        <v>0.36629860777724432</v>
      </c>
      <c r="AA338" s="4">
        <v>0.25</v>
      </c>
      <c r="AB338" s="4">
        <f t="shared" si="116"/>
        <v>1799</v>
      </c>
      <c r="AC338" s="4">
        <f t="shared" si="127"/>
        <v>2083.0526315789475</v>
      </c>
      <c r="AD338" s="6">
        <f t="shared" si="128"/>
        <v>0.3663146192329072</v>
      </c>
      <c r="AE338" s="4">
        <f t="shared" si="129"/>
        <v>2090</v>
      </c>
      <c r="AF338" s="7">
        <v>1914</v>
      </c>
      <c r="AG338" s="6">
        <f t="shared" si="117"/>
        <v>0.31034482758620685</v>
      </c>
      <c r="AH338" s="4">
        <f t="shared" si="118"/>
        <v>594</v>
      </c>
      <c r="AI338" s="28"/>
      <c r="AJ338" s="6"/>
      <c r="AK338" s="6"/>
      <c r="AL338" s="6">
        <f t="shared" si="119"/>
        <v>1.1578947368421053</v>
      </c>
      <c r="AM338" s="6">
        <f t="shared" si="120"/>
        <v>1.0639244024458032</v>
      </c>
      <c r="AN338" s="6">
        <f t="shared" si="121"/>
        <v>1.1578947368421053</v>
      </c>
      <c r="AO338" s="4" t="str">
        <f t="shared" si="122"/>
        <v>-</v>
      </c>
      <c r="AP338" s="4" t="str">
        <f t="shared" si="123"/>
        <v>-</v>
      </c>
      <c r="AQ338" s="4" t="str">
        <f t="shared" si="124"/>
        <v>-</v>
      </c>
      <c r="AR338" s="4">
        <v>0</v>
      </c>
      <c r="AS338" s="4" t="s">
        <v>1736</v>
      </c>
      <c r="AT338" s="4"/>
      <c r="AU338" s="4"/>
      <c r="AV338" s="4" t="s">
        <v>1737</v>
      </c>
      <c r="AW338" s="4">
        <v>1799</v>
      </c>
      <c r="AX338" s="4">
        <v>1799</v>
      </c>
      <c r="AY338" s="4">
        <v>1799</v>
      </c>
      <c r="AZ338" s="4">
        <f t="shared" si="125"/>
        <v>1799</v>
      </c>
      <c r="BA338" s="19">
        <v>4</v>
      </c>
      <c r="BB338" s="19">
        <v>1</v>
      </c>
      <c r="BC338" s="16">
        <v>6</v>
      </c>
      <c r="BD338" t="s">
        <v>1280</v>
      </c>
      <c r="BE338" t="s">
        <v>1280</v>
      </c>
      <c r="BF338" t="s">
        <v>1280</v>
      </c>
      <c r="BG338" t="str">
        <f t="shared" si="130"/>
        <v>-</v>
      </c>
      <c r="BH338">
        <v>1653</v>
      </c>
      <c r="BI338">
        <v>1653</v>
      </c>
      <c r="BJ338">
        <v>1653</v>
      </c>
      <c r="BK338">
        <f t="shared" si="131"/>
        <v>1914</v>
      </c>
      <c r="BL338" t="s">
        <v>1326</v>
      </c>
      <c r="BM338">
        <v>812</v>
      </c>
    </row>
    <row r="339" spans="1:65" x14ac:dyDescent="0.4">
      <c r="A339" s="3">
        <v>60</v>
      </c>
      <c r="B339" s="3">
        <v>60</v>
      </c>
      <c r="C339" s="4">
        <v>738693</v>
      </c>
      <c r="D339" s="4" t="str">
        <f t="shared" si="110"/>
        <v>738693</v>
      </c>
      <c r="E339" s="4">
        <v>738693</v>
      </c>
      <c r="F339" s="4" t="str">
        <f t="shared" si="126"/>
        <v>7386935</v>
      </c>
      <c r="G339" s="4" t="s">
        <v>695</v>
      </c>
      <c r="H339" s="5">
        <v>4974268400031</v>
      </c>
      <c r="I339" s="5">
        <v>5</v>
      </c>
      <c r="J339" s="5"/>
      <c r="K339" s="5">
        <v>1</v>
      </c>
      <c r="L339" s="5">
        <v>1</v>
      </c>
      <c r="M339" s="4">
        <v>2000</v>
      </c>
      <c r="N339" s="4">
        <v>1810</v>
      </c>
      <c r="O339" s="4">
        <v>1200</v>
      </c>
      <c r="P339" s="6">
        <f t="shared" si="111"/>
        <v>0.33701657458563539</v>
      </c>
      <c r="Q339" s="4" t="s">
        <v>1280</v>
      </c>
      <c r="R339" s="4" t="s">
        <v>1280</v>
      </c>
      <c r="S339" s="4" t="s">
        <v>1280</v>
      </c>
      <c r="T339" s="4">
        <v>2200</v>
      </c>
      <c r="U339" s="4">
        <f t="shared" si="112"/>
        <v>2200</v>
      </c>
      <c r="V339" s="4">
        <v>1320</v>
      </c>
      <c r="W339" s="4">
        <f t="shared" si="113"/>
        <v>1320</v>
      </c>
      <c r="X339" s="4"/>
      <c r="Y339" s="21">
        <f t="shared" si="114"/>
        <v>1991</v>
      </c>
      <c r="Z339" s="6">
        <f t="shared" si="115"/>
        <v>0.33701657458563539</v>
      </c>
      <c r="AA339" s="4">
        <v>1.5</v>
      </c>
      <c r="AB339" s="4">
        <f t="shared" si="116"/>
        <v>1757</v>
      </c>
      <c r="AC339" s="4">
        <f t="shared" si="127"/>
        <v>1932.7</v>
      </c>
      <c r="AD339" s="6">
        <f t="shared" si="128"/>
        <v>0.31701764371087082</v>
      </c>
      <c r="AE339" s="4">
        <f t="shared" si="129"/>
        <v>2090</v>
      </c>
      <c r="AF339" s="7">
        <v>1920</v>
      </c>
      <c r="AG339" s="6">
        <f t="shared" si="117"/>
        <v>0.3125</v>
      </c>
      <c r="AH339" s="4">
        <f t="shared" si="118"/>
        <v>600</v>
      </c>
      <c r="AI339" s="28"/>
      <c r="AJ339" s="6"/>
      <c r="AK339" s="6"/>
      <c r="AL339" s="6">
        <f t="shared" si="119"/>
        <v>1.1000000000000001</v>
      </c>
      <c r="AM339" s="6">
        <f t="shared" si="120"/>
        <v>1.0607734806629834</v>
      </c>
      <c r="AN339" s="6">
        <f t="shared" si="121"/>
        <v>1.1000000000000001</v>
      </c>
      <c r="AO339" s="4" t="str">
        <f t="shared" si="122"/>
        <v>-</v>
      </c>
      <c r="AP339" s="4" t="str">
        <f t="shared" si="123"/>
        <v>-</v>
      </c>
      <c r="AQ339" s="4" t="str">
        <f t="shared" si="124"/>
        <v>-</v>
      </c>
      <c r="AR339" s="4" t="s">
        <v>1286</v>
      </c>
      <c r="AS339" s="4" t="s">
        <v>1748</v>
      </c>
      <c r="AT339" s="4"/>
      <c r="AU339" s="4"/>
      <c r="AV339" s="4" t="s">
        <v>1695</v>
      </c>
      <c r="AW339" s="4">
        <v>1757</v>
      </c>
      <c r="AX339" s="4">
        <v>1757</v>
      </c>
      <c r="AY339" s="4">
        <v>1757</v>
      </c>
      <c r="AZ339" s="4">
        <f t="shared" si="125"/>
        <v>1757</v>
      </c>
      <c r="BA339" s="19">
        <v>4</v>
      </c>
      <c r="BB339" s="19">
        <v>1</v>
      </c>
      <c r="BC339" s="16">
        <v>19</v>
      </c>
      <c r="BD339">
        <v>2000</v>
      </c>
      <c r="BE339">
        <v>2000</v>
      </c>
      <c r="BF339">
        <v>2000</v>
      </c>
      <c r="BG339">
        <f t="shared" si="130"/>
        <v>2200</v>
      </c>
      <c r="BH339">
        <v>1746</v>
      </c>
      <c r="BI339">
        <v>1746</v>
      </c>
      <c r="BJ339">
        <v>1746</v>
      </c>
      <c r="BK339">
        <f t="shared" si="131"/>
        <v>1920.6000000000001</v>
      </c>
      <c r="BL339" t="s">
        <v>1333</v>
      </c>
      <c r="BM339">
        <v>812</v>
      </c>
    </row>
    <row r="340" spans="1:65" x14ac:dyDescent="0.4">
      <c r="A340" s="3">
        <v>266</v>
      </c>
      <c r="B340" s="3">
        <v>266</v>
      </c>
      <c r="C340" s="4" t="s">
        <v>255</v>
      </c>
      <c r="D340" s="4" t="str">
        <f t="shared" si="110"/>
        <v>J38814</v>
      </c>
      <c r="E340" s="4" t="s">
        <v>255</v>
      </c>
      <c r="F340" s="4" t="str">
        <f t="shared" si="126"/>
        <v>J388145</v>
      </c>
      <c r="G340" s="4" t="s">
        <v>901</v>
      </c>
      <c r="H340" s="5">
        <v>4974268147424</v>
      </c>
      <c r="I340" s="5">
        <v>5</v>
      </c>
      <c r="J340" s="5"/>
      <c r="K340" s="5">
        <v>1</v>
      </c>
      <c r="L340" s="5">
        <v>1</v>
      </c>
      <c r="M340" s="4">
        <v>1900</v>
      </c>
      <c r="N340" s="4">
        <v>1807</v>
      </c>
      <c r="O340" s="4">
        <v>1140</v>
      </c>
      <c r="P340" s="6">
        <f t="shared" si="111"/>
        <v>0.36912008854454903</v>
      </c>
      <c r="Q340" s="4" t="s">
        <v>1280</v>
      </c>
      <c r="R340" s="4" t="s">
        <v>1280</v>
      </c>
      <c r="S340" s="4" t="s">
        <v>1280</v>
      </c>
      <c r="T340" s="4">
        <v>2200</v>
      </c>
      <c r="U340" s="4">
        <f t="shared" si="112"/>
        <v>2200</v>
      </c>
      <c r="V340" s="4">
        <v>1320</v>
      </c>
      <c r="W340" s="4">
        <f t="shared" si="113"/>
        <v>1320</v>
      </c>
      <c r="X340" s="4"/>
      <c r="Y340" s="21">
        <f t="shared" si="114"/>
        <v>2092</v>
      </c>
      <c r="Z340" s="6">
        <f t="shared" si="115"/>
        <v>0.36902485659655837</v>
      </c>
      <c r="AA340" s="4">
        <v>2</v>
      </c>
      <c r="AB340" s="4">
        <f t="shared" si="116"/>
        <v>2000</v>
      </c>
      <c r="AC340" s="4">
        <f t="shared" si="127"/>
        <v>2315.7894736842104</v>
      </c>
      <c r="AD340" s="6">
        <f t="shared" si="128"/>
        <v>0.42999999999999994</v>
      </c>
      <c r="AE340" s="4">
        <f t="shared" si="129"/>
        <v>2090</v>
      </c>
      <c r="AF340" s="7">
        <v>1876</v>
      </c>
      <c r="AG340" s="6">
        <f t="shared" si="117"/>
        <v>0.29637526652452029</v>
      </c>
      <c r="AH340" s="4">
        <f t="shared" si="118"/>
        <v>556</v>
      </c>
      <c r="AI340" s="28"/>
      <c r="AJ340" s="6"/>
      <c r="AK340" s="6"/>
      <c r="AL340" s="6">
        <f t="shared" si="119"/>
        <v>1.1578947368421053</v>
      </c>
      <c r="AM340" s="6">
        <f t="shared" si="120"/>
        <v>1.0381848367459878</v>
      </c>
      <c r="AN340" s="6">
        <f t="shared" si="121"/>
        <v>1.1578947368421053</v>
      </c>
      <c r="AO340" s="4" t="str">
        <f t="shared" si="122"/>
        <v>-</v>
      </c>
      <c r="AP340" s="4" t="str">
        <f t="shared" si="123"/>
        <v>-</v>
      </c>
      <c r="AQ340" s="4" t="str">
        <f t="shared" si="124"/>
        <v>-</v>
      </c>
      <c r="AR340" s="4">
        <v>0</v>
      </c>
      <c r="AS340" s="4" t="s">
        <v>1895</v>
      </c>
      <c r="AT340" s="4"/>
      <c r="AU340" s="4"/>
      <c r="AV340" s="4" t="s">
        <v>1866</v>
      </c>
      <c r="AW340" s="4">
        <v>2000</v>
      </c>
      <c r="AX340" s="4">
        <v>2000</v>
      </c>
      <c r="AY340" s="4">
        <v>2000</v>
      </c>
      <c r="AZ340" s="4">
        <f t="shared" si="125"/>
        <v>2000</v>
      </c>
      <c r="BA340" s="19">
        <v>4</v>
      </c>
      <c r="BB340" s="19">
        <v>1</v>
      </c>
      <c r="BC340" s="16">
        <v>6</v>
      </c>
      <c r="BD340">
        <v>1600</v>
      </c>
      <c r="BE340" t="s">
        <v>1280</v>
      </c>
      <c r="BF340">
        <v>1600</v>
      </c>
      <c r="BG340">
        <f t="shared" si="130"/>
        <v>1852.6315789473686</v>
      </c>
      <c r="BH340">
        <v>1621</v>
      </c>
      <c r="BI340">
        <v>1621</v>
      </c>
      <c r="BJ340">
        <v>1621</v>
      </c>
      <c r="BK340">
        <f t="shared" si="131"/>
        <v>1876.9473684210527</v>
      </c>
      <c r="BL340" t="s">
        <v>1440</v>
      </c>
      <c r="BM340">
        <v>812</v>
      </c>
    </row>
    <row r="341" spans="1:65" x14ac:dyDescent="0.4">
      <c r="A341" s="3">
        <v>566</v>
      </c>
      <c r="B341" s="3">
        <v>566</v>
      </c>
      <c r="C341" s="4" t="s">
        <v>555</v>
      </c>
      <c r="D341" s="4" t="str">
        <f t="shared" si="110"/>
        <v>J926WN</v>
      </c>
      <c r="E341" s="4" t="s">
        <v>555</v>
      </c>
      <c r="F341" s="4" t="str">
        <f t="shared" si="126"/>
        <v>J926WN5</v>
      </c>
      <c r="G341" s="4" t="s">
        <v>1199</v>
      </c>
      <c r="H341" s="5">
        <v>4974268697806</v>
      </c>
      <c r="I341" s="5">
        <v>5</v>
      </c>
      <c r="J341" s="5"/>
      <c r="K341" s="5">
        <v>1</v>
      </c>
      <c r="L341" s="5">
        <v>1</v>
      </c>
      <c r="M341" s="4">
        <v>1500</v>
      </c>
      <c r="N341" s="4">
        <v>1500</v>
      </c>
      <c r="O341" s="4">
        <v>1200</v>
      </c>
      <c r="P341" s="6">
        <f t="shared" si="111"/>
        <v>0.19999999999999996</v>
      </c>
      <c r="Q341" s="4" t="s">
        <v>1280</v>
      </c>
      <c r="R341" s="4" t="s">
        <v>1280</v>
      </c>
      <c r="S341" s="4" t="s">
        <v>1280</v>
      </c>
      <c r="T341" s="4">
        <v>1650</v>
      </c>
      <c r="U341" s="4">
        <f t="shared" si="112"/>
        <v>1650</v>
      </c>
      <c r="V341" s="4">
        <v>1320</v>
      </c>
      <c r="W341" s="4">
        <f t="shared" si="113"/>
        <v>1320</v>
      </c>
      <c r="X341" s="4"/>
      <c r="Y341" s="21">
        <f t="shared" si="114"/>
        <v>1650</v>
      </c>
      <c r="Z341" s="6">
        <f t="shared" si="115"/>
        <v>0.19999999999999996</v>
      </c>
      <c r="AA341" s="4">
        <v>0</v>
      </c>
      <c r="AB341" s="4">
        <f t="shared" si="116"/>
        <v>1637</v>
      </c>
      <c r="AC341" s="4">
        <f t="shared" si="127"/>
        <v>1800.7</v>
      </c>
      <c r="AD341" s="6">
        <f t="shared" si="128"/>
        <v>0.26695174098961516</v>
      </c>
      <c r="AE341" s="4">
        <f t="shared" si="129"/>
        <v>1567.5</v>
      </c>
      <c r="AF341" s="7">
        <v>1650</v>
      </c>
      <c r="AG341" s="6">
        <f t="shared" si="117"/>
        <v>0.19999999999999996</v>
      </c>
      <c r="AH341" s="4">
        <f t="shared" si="118"/>
        <v>330</v>
      </c>
      <c r="AI341" s="28"/>
      <c r="AJ341" s="6"/>
      <c r="AK341" s="6"/>
      <c r="AL341" s="6">
        <f t="shared" si="119"/>
        <v>1.1000000000000001</v>
      </c>
      <c r="AM341" s="6">
        <f t="shared" si="120"/>
        <v>1.1000000000000001</v>
      </c>
      <c r="AN341" s="6">
        <f t="shared" si="121"/>
        <v>1.1000000000000001</v>
      </c>
      <c r="AO341" s="4" t="str">
        <f t="shared" si="122"/>
        <v>-</v>
      </c>
      <c r="AP341" s="4" t="str">
        <f t="shared" si="123"/>
        <v>-</v>
      </c>
      <c r="AQ341" s="4" t="str">
        <f t="shared" si="124"/>
        <v>-</v>
      </c>
      <c r="AR341" s="4">
        <v>0</v>
      </c>
      <c r="AS341" s="4" t="s">
        <v>2126</v>
      </c>
      <c r="AT341" s="4"/>
      <c r="AU341" s="4"/>
      <c r="AV341" s="4" t="s">
        <v>2122</v>
      </c>
      <c r="AW341" s="4">
        <v>1637</v>
      </c>
      <c r="AX341" s="4">
        <v>1637</v>
      </c>
      <c r="AY341" s="4">
        <v>1637</v>
      </c>
      <c r="AZ341" s="4">
        <f t="shared" si="125"/>
        <v>1637</v>
      </c>
      <c r="BA341" s="19">
        <v>4</v>
      </c>
      <c r="BB341" s="19">
        <v>8</v>
      </c>
      <c r="BC341" s="16">
        <v>19</v>
      </c>
      <c r="BD341" t="s">
        <v>1280</v>
      </c>
      <c r="BE341" t="s">
        <v>1280</v>
      </c>
      <c r="BF341" t="s">
        <v>1280</v>
      </c>
      <c r="BG341" t="str">
        <f t="shared" si="130"/>
        <v>-</v>
      </c>
      <c r="BH341">
        <v>1500</v>
      </c>
      <c r="BI341">
        <v>1500</v>
      </c>
      <c r="BJ341">
        <v>1500</v>
      </c>
      <c r="BK341">
        <f t="shared" si="131"/>
        <v>1650.0000000000002</v>
      </c>
      <c r="BL341" t="s">
        <v>1617</v>
      </c>
      <c r="BM341">
        <v>812</v>
      </c>
    </row>
    <row r="342" spans="1:65" x14ac:dyDescent="0.4">
      <c r="A342" s="3">
        <v>574</v>
      </c>
      <c r="B342" s="3">
        <v>574</v>
      </c>
      <c r="C342" s="4" t="s">
        <v>563</v>
      </c>
      <c r="D342" s="4" t="str">
        <f t="shared" si="110"/>
        <v>J9394W</v>
      </c>
      <c r="E342" s="4" t="s">
        <v>563</v>
      </c>
      <c r="F342" s="4" t="str">
        <f t="shared" si="126"/>
        <v>J9394W5</v>
      </c>
      <c r="G342" s="4" t="s">
        <v>1207</v>
      </c>
      <c r="H342" s="5">
        <v>4974268402455</v>
      </c>
      <c r="I342" s="5">
        <v>5</v>
      </c>
      <c r="J342" s="5"/>
      <c r="K342" s="5">
        <v>1</v>
      </c>
      <c r="L342" s="5">
        <v>1</v>
      </c>
      <c r="M342" s="4">
        <v>1950</v>
      </c>
      <c r="N342" s="4">
        <v>1836</v>
      </c>
      <c r="O342" s="4">
        <v>1170</v>
      </c>
      <c r="P342" s="6">
        <f t="shared" si="111"/>
        <v>0.36274509803921573</v>
      </c>
      <c r="Q342" s="4" t="s">
        <v>1280</v>
      </c>
      <c r="R342" s="4" t="s">
        <v>1280</v>
      </c>
      <c r="S342" s="4" t="s">
        <v>1280</v>
      </c>
      <c r="T342" s="4">
        <v>2200</v>
      </c>
      <c r="U342" s="4">
        <f t="shared" si="112"/>
        <v>2200</v>
      </c>
      <c r="V342" s="4">
        <v>1320</v>
      </c>
      <c r="W342" s="4">
        <f t="shared" si="113"/>
        <v>1320</v>
      </c>
      <c r="X342" s="4"/>
      <c r="Y342" s="21">
        <f t="shared" si="114"/>
        <v>2071</v>
      </c>
      <c r="Z342" s="6">
        <f t="shared" si="115"/>
        <v>0.36262675036214387</v>
      </c>
      <c r="AA342" s="4">
        <v>0.25</v>
      </c>
      <c r="AB342" s="4" t="str">
        <f t="shared" si="116"/>
        <v>-</v>
      </c>
      <c r="AC342" s="4" t="str">
        <f t="shared" si="127"/>
        <v>-</v>
      </c>
      <c r="AD342" s="6" t="str">
        <f t="shared" si="128"/>
        <v>-</v>
      </c>
      <c r="AE342" s="4">
        <f t="shared" si="129"/>
        <v>2090</v>
      </c>
      <c r="AF342" s="7">
        <v>2050</v>
      </c>
      <c r="AG342" s="6">
        <f t="shared" si="117"/>
        <v>0.35609756097560974</v>
      </c>
      <c r="AH342" s="4">
        <f t="shared" si="118"/>
        <v>730</v>
      </c>
      <c r="AI342" s="28"/>
      <c r="AJ342" s="6"/>
      <c r="AK342" s="6"/>
      <c r="AL342" s="6">
        <f t="shared" si="119"/>
        <v>1.1282051282051282</v>
      </c>
      <c r="AM342" s="6">
        <f t="shared" si="120"/>
        <v>1.116557734204793</v>
      </c>
      <c r="AN342" s="6">
        <f t="shared" si="121"/>
        <v>1.1282051282051282</v>
      </c>
      <c r="AO342" s="4" t="str">
        <f t="shared" si="122"/>
        <v>-</v>
      </c>
      <c r="AP342" s="4" t="str">
        <f t="shared" si="123"/>
        <v>-</v>
      </c>
      <c r="AQ342" s="4" t="str">
        <f t="shared" si="124"/>
        <v>-</v>
      </c>
      <c r="AR342" s="4">
        <v>0</v>
      </c>
      <c r="AS342" s="4" t="s">
        <v>1280</v>
      </c>
      <c r="AT342" s="4"/>
      <c r="AU342" s="4"/>
      <c r="AV342" s="4" t="s">
        <v>1280</v>
      </c>
      <c r="AW342" s="4" t="s">
        <v>1280</v>
      </c>
      <c r="AX342" s="4" t="s">
        <v>1280</v>
      </c>
      <c r="AY342" s="4" t="s">
        <v>1280</v>
      </c>
      <c r="AZ342" s="4" t="str">
        <f t="shared" si="125"/>
        <v>-</v>
      </c>
      <c r="BA342" s="19">
        <v>4</v>
      </c>
      <c r="BB342" s="19">
        <v>8</v>
      </c>
      <c r="BC342" s="16">
        <v>19</v>
      </c>
      <c r="BD342" t="s">
        <v>1280</v>
      </c>
      <c r="BE342" t="s">
        <v>1280</v>
      </c>
      <c r="BF342" t="s">
        <v>1280</v>
      </c>
      <c r="BG342" t="str">
        <f t="shared" si="130"/>
        <v>-</v>
      </c>
      <c r="BH342" t="s">
        <v>1280</v>
      </c>
      <c r="BI342" t="s">
        <v>1280</v>
      </c>
      <c r="BJ342" t="s">
        <v>1280</v>
      </c>
      <c r="BK342" t="str">
        <f t="shared" si="131"/>
        <v>-</v>
      </c>
      <c r="BL342" t="s">
        <v>1280</v>
      </c>
      <c r="BM342">
        <v>812</v>
      </c>
    </row>
    <row r="343" spans="1:65" x14ac:dyDescent="0.4">
      <c r="A343" s="3">
        <v>604</v>
      </c>
      <c r="B343" s="3">
        <v>604</v>
      </c>
      <c r="C343" s="4" t="s">
        <v>593</v>
      </c>
      <c r="D343" s="4" t="str">
        <f t="shared" si="110"/>
        <v>J94582</v>
      </c>
      <c r="E343" s="4" t="s">
        <v>593</v>
      </c>
      <c r="F343" s="4" t="str">
        <f t="shared" si="126"/>
        <v>J945825</v>
      </c>
      <c r="G343" s="4" t="s">
        <v>1237</v>
      </c>
      <c r="H343" s="5">
        <v>4974268690135</v>
      </c>
      <c r="I343" s="5">
        <v>5</v>
      </c>
      <c r="J343" s="5"/>
      <c r="K343" s="5">
        <v>1</v>
      </c>
      <c r="L343" s="5">
        <v>1</v>
      </c>
      <c r="M343" s="4">
        <v>2000</v>
      </c>
      <c r="N343" s="4">
        <v>1754</v>
      </c>
      <c r="O343" s="4">
        <v>1200</v>
      </c>
      <c r="P343" s="6">
        <f t="shared" si="111"/>
        <v>0.31584948688711512</v>
      </c>
      <c r="Q343" s="4" t="s">
        <v>1280</v>
      </c>
      <c r="R343" s="4" t="s">
        <v>1280</v>
      </c>
      <c r="S343" s="4" t="s">
        <v>1280</v>
      </c>
      <c r="T343" s="4">
        <v>2200</v>
      </c>
      <c r="U343" s="4">
        <f t="shared" si="112"/>
        <v>2200</v>
      </c>
      <c r="V343" s="4">
        <v>1320</v>
      </c>
      <c r="W343" s="4">
        <f t="shared" si="113"/>
        <v>1320</v>
      </c>
      <c r="X343" s="4"/>
      <c r="Y343" s="21">
        <f t="shared" si="114"/>
        <v>1929</v>
      </c>
      <c r="Z343" s="6">
        <f t="shared" si="115"/>
        <v>0.31570762052877144</v>
      </c>
      <c r="AA343" s="4">
        <v>0</v>
      </c>
      <c r="AB343" s="4">
        <f t="shared" si="116"/>
        <v>2174</v>
      </c>
      <c r="AC343" s="4">
        <f t="shared" si="127"/>
        <v>2391.4</v>
      </c>
      <c r="AD343" s="6">
        <f t="shared" si="128"/>
        <v>0.44802207911683534</v>
      </c>
      <c r="AE343" s="4">
        <f t="shared" si="129"/>
        <v>2090</v>
      </c>
      <c r="AF343" s="7">
        <v>2050</v>
      </c>
      <c r="AG343" s="6">
        <f t="shared" si="117"/>
        <v>0.35609756097560974</v>
      </c>
      <c r="AH343" s="4">
        <f t="shared" si="118"/>
        <v>730</v>
      </c>
      <c r="AI343" s="28"/>
      <c r="AJ343" s="6"/>
      <c r="AK343" s="6"/>
      <c r="AL343" s="6">
        <f t="shared" si="119"/>
        <v>1.1000000000000001</v>
      </c>
      <c r="AM343" s="6">
        <f t="shared" si="120"/>
        <v>1.1687571265678449</v>
      </c>
      <c r="AN343" s="6">
        <f t="shared" si="121"/>
        <v>1.1000000000000001</v>
      </c>
      <c r="AO343" s="4" t="str">
        <f t="shared" si="122"/>
        <v>-</v>
      </c>
      <c r="AP343" s="4" t="str">
        <f t="shared" si="123"/>
        <v>-</v>
      </c>
      <c r="AQ343" s="4" t="str">
        <f t="shared" si="124"/>
        <v>-</v>
      </c>
      <c r="AR343" s="4">
        <v>0</v>
      </c>
      <c r="AS343" s="4" t="s">
        <v>2161</v>
      </c>
      <c r="AT343" s="4"/>
      <c r="AU343" s="4"/>
      <c r="AV343" s="4" t="s">
        <v>2162</v>
      </c>
      <c r="AW343" s="4">
        <v>2174</v>
      </c>
      <c r="AX343" s="4">
        <v>2174</v>
      </c>
      <c r="AY343" s="4">
        <v>2174</v>
      </c>
      <c r="AZ343" s="4">
        <f t="shared" si="125"/>
        <v>2174</v>
      </c>
      <c r="BA343" s="19">
        <v>4</v>
      </c>
      <c r="BB343" s="19">
        <v>8</v>
      </c>
      <c r="BC343" s="16">
        <v>6</v>
      </c>
      <c r="BD343" t="s">
        <v>1280</v>
      </c>
      <c r="BE343" t="s">
        <v>1280</v>
      </c>
      <c r="BF343" t="s">
        <v>1280</v>
      </c>
      <c r="BG343" t="str">
        <f t="shared" si="130"/>
        <v>-</v>
      </c>
      <c r="BH343" t="s">
        <v>1280</v>
      </c>
      <c r="BI343" t="s">
        <v>1280</v>
      </c>
      <c r="BJ343" t="s">
        <v>1280</v>
      </c>
      <c r="BK343" t="str">
        <f t="shared" si="131"/>
        <v>-</v>
      </c>
      <c r="BL343" t="s">
        <v>1646</v>
      </c>
      <c r="BM343">
        <v>812</v>
      </c>
    </row>
    <row r="344" spans="1:65" x14ac:dyDescent="0.4">
      <c r="A344" s="3">
        <v>416</v>
      </c>
      <c r="B344" s="3">
        <v>416</v>
      </c>
      <c r="C344" s="4" t="s">
        <v>405</v>
      </c>
      <c r="D344" s="4" t="str">
        <f t="shared" si="110"/>
        <v>J54435</v>
      </c>
      <c r="E344" s="4" t="s">
        <v>405</v>
      </c>
      <c r="F344" s="4" t="str">
        <f t="shared" si="126"/>
        <v>J544355</v>
      </c>
      <c r="G344" s="4" t="s">
        <v>1049</v>
      </c>
      <c r="H344" s="5">
        <v>4974268602909</v>
      </c>
      <c r="I344" s="5">
        <v>5</v>
      </c>
      <c r="J344" s="5"/>
      <c r="K344" s="5">
        <v>1</v>
      </c>
      <c r="L344" s="5">
        <v>1</v>
      </c>
      <c r="M344" s="4">
        <v>1860</v>
      </c>
      <c r="N344" s="4">
        <v>1664</v>
      </c>
      <c r="O344" s="4">
        <v>1116</v>
      </c>
      <c r="P344" s="6">
        <f t="shared" si="111"/>
        <v>0.32932692307692313</v>
      </c>
      <c r="Q344" s="4" t="s">
        <v>1280</v>
      </c>
      <c r="R344" s="4" t="s">
        <v>1280</v>
      </c>
      <c r="S344" s="4" t="s">
        <v>1280</v>
      </c>
      <c r="T344" s="4">
        <v>2250</v>
      </c>
      <c r="U344" s="4">
        <f t="shared" si="112"/>
        <v>2250</v>
      </c>
      <c r="V344" s="4">
        <v>1350</v>
      </c>
      <c r="W344" s="4">
        <f t="shared" si="113"/>
        <v>1350</v>
      </c>
      <c r="X344" s="4"/>
      <c r="Y344" s="21">
        <f t="shared" si="114"/>
        <v>2013</v>
      </c>
      <c r="Z344" s="6">
        <f t="shared" si="115"/>
        <v>0.3293591654247392</v>
      </c>
      <c r="AA344" s="4">
        <v>0.75</v>
      </c>
      <c r="AB344" s="4">
        <f t="shared" si="116"/>
        <v>1860</v>
      </c>
      <c r="AC344" s="4">
        <f t="shared" si="127"/>
        <v>2250</v>
      </c>
      <c r="AD344" s="6">
        <f t="shared" si="128"/>
        <v>0.4</v>
      </c>
      <c r="AE344" s="4">
        <f t="shared" si="129"/>
        <v>2137.5</v>
      </c>
      <c r="AF344" s="7">
        <v>2100</v>
      </c>
      <c r="AG344" s="6">
        <f t="shared" si="117"/>
        <v>0.3571428571428571</v>
      </c>
      <c r="AH344" s="4">
        <f t="shared" si="118"/>
        <v>750</v>
      </c>
      <c r="AI344" s="28"/>
      <c r="AJ344" s="6"/>
      <c r="AK344" s="6"/>
      <c r="AL344" s="6">
        <f t="shared" si="119"/>
        <v>1.2096774193548387</v>
      </c>
      <c r="AM344" s="6">
        <f t="shared" si="120"/>
        <v>1.2620192307692308</v>
      </c>
      <c r="AN344" s="6">
        <f t="shared" si="121"/>
        <v>1.2096774193548387</v>
      </c>
      <c r="AO344" s="4" t="str">
        <f t="shared" si="122"/>
        <v>-</v>
      </c>
      <c r="AP344" s="4" t="str">
        <f t="shared" si="123"/>
        <v>-</v>
      </c>
      <c r="AQ344" s="4" t="str">
        <f t="shared" si="124"/>
        <v>-</v>
      </c>
      <c r="AR344" s="4">
        <v>0</v>
      </c>
      <c r="AS344" s="4" t="s">
        <v>1977</v>
      </c>
      <c r="AT344" s="4"/>
      <c r="AU344" s="4"/>
      <c r="AV344" s="4" t="s">
        <v>1911</v>
      </c>
      <c r="AW344" s="4">
        <v>1860</v>
      </c>
      <c r="AX344" s="4">
        <v>1860</v>
      </c>
      <c r="AY344" s="4">
        <v>1860</v>
      </c>
      <c r="AZ344" s="4">
        <f t="shared" si="125"/>
        <v>1860</v>
      </c>
      <c r="BA344" s="19">
        <v>4</v>
      </c>
      <c r="BB344" s="19">
        <v>8</v>
      </c>
      <c r="BC344" s="16">
        <v>19</v>
      </c>
      <c r="BD344" t="s">
        <v>1280</v>
      </c>
      <c r="BE344" t="s">
        <v>1280</v>
      </c>
      <c r="BF344" t="s">
        <v>1280</v>
      </c>
      <c r="BG344" t="str">
        <f t="shared" si="130"/>
        <v>-</v>
      </c>
      <c r="BH344">
        <v>1860</v>
      </c>
      <c r="BI344">
        <v>1860</v>
      </c>
      <c r="BJ344">
        <v>1860</v>
      </c>
      <c r="BK344">
        <f t="shared" si="131"/>
        <v>2250</v>
      </c>
      <c r="BL344" t="s">
        <v>1499</v>
      </c>
      <c r="BM344">
        <v>812</v>
      </c>
    </row>
    <row r="345" spans="1:65" x14ac:dyDescent="0.4">
      <c r="A345" s="3">
        <v>443</v>
      </c>
      <c r="B345" s="3">
        <v>443</v>
      </c>
      <c r="C345" s="4" t="s">
        <v>432</v>
      </c>
      <c r="D345" s="4" t="str">
        <f t="shared" si="110"/>
        <v>J54520</v>
      </c>
      <c r="E345" s="4" t="s">
        <v>432</v>
      </c>
      <c r="F345" s="4" t="str">
        <f t="shared" si="126"/>
        <v>J545205</v>
      </c>
      <c r="G345" s="4" t="s">
        <v>1076</v>
      </c>
      <c r="H345" s="5">
        <v>4974268560124</v>
      </c>
      <c r="I345" s="5">
        <v>5</v>
      </c>
      <c r="J345" s="5"/>
      <c r="K345" s="5">
        <v>1</v>
      </c>
      <c r="L345" s="5">
        <v>1</v>
      </c>
      <c r="M345" s="4">
        <v>2000</v>
      </c>
      <c r="N345" s="4">
        <v>1553</v>
      </c>
      <c r="O345" s="4">
        <v>1200</v>
      </c>
      <c r="P345" s="6">
        <f t="shared" si="111"/>
        <v>0.22730199613651003</v>
      </c>
      <c r="Q345" s="4" t="s">
        <v>1280</v>
      </c>
      <c r="R345" s="4" t="s">
        <v>1280</v>
      </c>
      <c r="S345" s="4" t="s">
        <v>1280</v>
      </c>
      <c r="T345" s="4">
        <v>2250</v>
      </c>
      <c r="U345" s="4">
        <f t="shared" si="112"/>
        <v>2250</v>
      </c>
      <c r="V345" s="4">
        <v>1350</v>
      </c>
      <c r="W345" s="4">
        <f t="shared" si="113"/>
        <v>1350</v>
      </c>
      <c r="X345" s="4"/>
      <c r="Y345" s="21">
        <f t="shared" si="114"/>
        <v>1747</v>
      </c>
      <c r="Z345" s="6">
        <f t="shared" si="115"/>
        <v>0.2272467086433887</v>
      </c>
      <c r="AA345" s="4">
        <v>0</v>
      </c>
      <c r="AB345" s="4" t="str">
        <f t="shared" si="116"/>
        <v>-</v>
      </c>
      <c r="AC345" s="4" t="str">
        <f t="shared" si="127"/>
        <v>-</v>
      </c>
      <c r="AD345" s="6" t="str">
        <f t="shared" si="128"/>
        <v>-</v>
      </c>
      <c r="AE345" s="4">
        <f t="shared" si="129"/>
        <v>2137.5</v>
      </c>
      <c r="AF345" s="7">
        <v>1855</v>
      </c>
      <c r="AG345" s="6">
        <f t="shared" si="117"/>
        <v>0.27223719676549862</v>
      </c>
      <c r="AH345" s="4">
        <f t="shared" si="118"/>
        <v>505</v>
      </c>
      <c r="AI345" s="28"/>
      <c r="AJ345" s="6"/>
      <c r="AK345" s="6"/>
      <c r="AL345" s="6">
        <f t="shared" si="119"/>
        <v>1.125</v>
      </c>
      <c r="AM345" s="6">
        <f t="shared" si="120"/>
        <v>1.1944623309723117</v>
      </c>
      <c r="AN345" s="6">
        <f t="shared" si="121"/>
        <v>1.125</v>
      </c>
      <c r="AO345" s="4" t="str">
        <f t="shared" si="122"/>
        <v>-</v>
      </c>
      <c r="AP345" s="4" t="str">
        <f t="shared" si="123"/>
        <v>-</v>
      </c>
      <c r="AQ345" s="4" t="str">
        <f t="shared" si="124"/>
        <v>-</v>
      </c>
      <c r="AR345" s="4">
        <v>0</v>
      </c>
      <c r="AS345" s="4" t="s">
        <v>1280</v>
      </c>
      <c r="AT345" s="4"/>
      <c r="AU345" s="4"/>
      <c r="AV345" s="4" t="s">
        <v>1280</v>
      </c>
      <c r="AW345" s="4" t="s">
        <v>1280</v>
      </c>
      <c r="AX345" s="4" t="s">
        <v>1280</v>
      </c>
      <c r="AY345" s="4" t="s">
        <v>1280</v>
      </c>
      <c r="AZ345" s="4" t="str">
        <f t="shared" si="125"/>
        <v>-</v>
      </c>
      <c r="BA345" s="19">
        <v>4</v>
      </c>
      <c r="BB345" s="19">
        <v>8</v>
      </c>
      <c r="BC345" s="16">
        <v>18</v>
      </c>
      <c r="BD345">
        <v>2000</v>
      </c>
      <c r="BE345">
        <v>2000</v>
      </c>
      <c r="BF345">
        <v>2000</v>
      </c>
      <c r="BG345">
        <f t="shared" si="130"/>
        <v>2250</v>
      </c>
      <c r="BH345">
        <v>1923</v>
      </c>
      <c r="BI345">
        <v>1923</v>
      </c>
      <c r="BJ345">
        <v>1923</v>
      </c>
      <c r="BK345">
        <f t="shared" si="131"/>
        <v>2163.375</v>
      </c>
      <c r="BL345" t="s">
        <v>1280</v>
      </c>
      <c r="BM345">
        <v>812</v>
      </c>
    </row>
    <row r="346" spans="1:65" x14ac:dyDescent="0.4">
      <c r="A346" s="3">
        <v>444</v>
      </c>
      <c r="B346" s="3">
        <v>444</v>
      </c>
      <c r="C346" s="4" t="s">
        <v>433</v>
      </c>
      <c r="D346" s="4" t="str">
        <f t="shared" si="110"/>
        <v>J54521</v>
      </c>
      <c r="E346" s="4" t="s">
        <v>433</v>
      </c>
      <c r="F346" s="4" t="str">
        <f t="shared" si="126"/>
        <v>J545215</v>
      </c>
      <c r="G346" s="4" t="s">
        <v>1077</v>
      </c>
      <c r="H346" s="5">
        <v>4974268560131</v>
      </c>
      <c r="I346" s="5">
        <v>5</v>
      </c>
      <c r="J346" s="5"/>
      <c r="K346" s="5">
        <v>1</v>
      </c>
      <c r="L346" s="5">
        <v>1</v>
      </c>
      <c r="M346" s="4">
        <v>2000</v>
      </c>
      <c r="N346" s="4">
        <v>1933</v>
      </c>
      <c r="O346" s="4">
        <v>1200</v>
      </c>
      <c r="P346" s="6">
        <f t="shared" si="111"/>
        <v>0.37920331091567516</v>
      </c>
      <c r="Q346" s="4" t="s">
        <v>1280</v>
      </c>
      <c r="R346" s="4" t="s">
        <v>1280</v>
      </c>
      <c r="S346" s="4" t="s">
        <v>1280</v>
      </c>
      <c r="T346" s="4">
        <v>2250</v>
      </c>
      <c r="U346" s="4">
        <f t="shared" si="112"/>
        <v>2250</v>
      </c>
      <c r="V346" s="4">
        <v>1350</v>
      </c>
      <c r="W346" s="4">
        <f t="shared" si="113"/>
        <v>1350</v>
      </c>
      <c r="X346" s="4"/>
      <c r="Y346" s="21">
        <f t="shared" si="114"/>
        <v>2175</v>
      </c>
      <c r="Z346" s="6">
        <f t="shared" si="115"/>
        <v>0.37931034482758619</v>
      </c>
      <c r="AA346" s="4">
        <v>0.25</v>
      </c>
      <c r="AB346" s="4">
        <f t="shared" si="116"/>
        <v>1649.3333333333333</v>
      </c>
      <c r="AC346" s="4">
        <f t="shared" si="127"/>
        <v>1855.5</v>
      </c>
      <c r="AD346" s="6">
        <f t="shared" si="128"/>
        <v>0.27243330638641872</v>
      </c>
      <c r="AE346" s="4">
        <f t="shared" si="129"/>
        <v>2137.5</v>
      </c>
      <c r="AF346" s="7">
        <v>1855</v>
      </c>
      <c r="AG346" s="6">
        <f t="shared" si="117"/>
        <v>0.27223719676549862</v>
      </c>
      <c r="AH346" s="4">
        <f t="shared" si="118"/>
        <v>505</v>
      </c>
      <c r="AI346" s="28"/>
      <c r="AJ346" s="6"/>
      <c r="AK346" s="6"/>
      <c r="AL346" s="6">
        <f t="shared" si="119"/>
        <v>1.125</v>
      </c>
      <c r="AM346" s="6">
        <f t="shared" si="120"/>
        <v>0.95964821520951893</v>
      </c>
      <c r="AN346" s="6">
        <f t="shared" si="121"/>
        <v>1.125</v>
      </c>
      <c r="AO346" s="4" t="str">
        <f t="shared" si="122"/>
        <v>-</v>
      </c>
      <c r="AP346" s="4" t="str">
        <f t="shared" si="123"/>
        <v>-</v>
      </c>
      <c r="AQ346" s="4" t="str">
        <f t="shared" si="124"/>
        <v>-</v>
      </c>
      <c r="AR346" s="4">
        <v>0</v>
      </c>
      <c r="AS346" s="4" t="s">
        <v>2000</v>
      </c>
      <c r="AT346" s="4">
        <v>1</v>
      </c>
      <c r="AU346" s="4">
        <v>3</v>
      </c>
      <c r="AV346" s="4" t="s">
        <v>2001</v>
      </c>
      <c r="AW346" s="4">
        <v>4948</v>
      </c>
      <c r="AX346" s="4">
        <v>4948</v>
      </c>
      <c r="AY346" s="4">
        <v>4948</v>
      </c>
      <c r="AZ346" s="4">
        <f t="shared" si="125"/>
        <v>1649.3333333333333</v>
      </c>
      <c r="BA346" s="19">
        <v>4</v>
      </c>
      <c r="BB346" s="19">
        <v>8</v>
      </c>
      <c r="BC346" s="16">
        <v>18</v>
      </c>
      <c r="BD346">
        <v>2000</v>
      </c>
      <c r="BE346">
        <v>2000</v>
      </c>
      <c r="BF346" t="s">
        <v>1280</v>
      </c>
      <c r="BG346" t="str">
        <f t="shared" si="130"/>
        <v>-</v>
      </c>
      <c r="BH346">
        <v>1923</v>
      </c>
      <c r="BI346">
        <v>1923</v>
      </c>
      <c r="BJ346">
        <v>1923</v>
      </c>
      <c r="BK346">
        <f t="shared" si="131"/>
        <v>2163.375</v>
      </c>
      <c r="BL346" t="s">
        <v>1521</v>
      </c>
      <c r="BM346">
        <v>812</v>
      </c>
    </row>
    <row r="347" spans="1:65" x14ac:dyDescent="0.4">
      <c r="A347" s="3">
        <v>58</v>
      </c>
      <c r="B347" s="3">
        <v>58</v>
      </c>
      <c r="C347" s="4">
        <v>683693</v>
      </c>
      <c r="D347" s="4" t="str">
        <f t="shared" si="110"/>
        <v>683693</v>
      </c>
      <c r="E347" s="4">
        <v>683693</v>
      </c>
      <c r="F347" s="4" t="str">
        <f t="shared" si="126"/>
        <v>6836935</v>
      </c>
      <c r="G347" s="4" t="s">
        <v>693</v>
      </c>
      <c r="H347" s="5">
        <v>4974268637901</v>
      </c>
      <c r="I347" s="5">
        <v>5</v>
      </c>
      <c r="J347" s="5"/>
      <c r="K347" s="5">
        <v>1</v>
      </c>
      <c r="L347" s="5">
        <v>1</v>
      </c>
      <c r="M347" s="4">
        <v>2100</v>
      </c>
      <c r="N347" s="4">
        <v>2142</v>
      </c>
      <c r="O347" s="4">
        <v>1260</v>
      </c>
      <c r="P347" s="6">
        <f t="shared" si="111"/>
        <v>0.41176470588235292</v>
      </c>
      <c r="Q347" s="4" t="s">
        <v>1280</v>
      </c>
      <c r="R347" s="4" t="s">
        <v>1280</v>
      </c>
      <c r="S347" s="4" t="s">
        <v>1280</v>
      </c>
      <c r="T347" s="4">
        <v>2300</v>
      </c>
      <c r="U347" s="4">
        <f t="shared" si="112"/>
        <v>2300</v>
      </c>
      <c r="V347" s="4">
        <v>1380</v>
      </c>
      <c r="W347" s="4">
        <f t="shared" si="113"/>
        <v>1380</v>
      </c>
      <c r="X347" s="4"/>
      <c r="Y347" s="21">
        <f t="shared" si="114"/>
        <v>2346</v>
      </c>
      <c r="Z347" s="6">
        <f t="shared" si="115"/>
        <v>0.41176470588235292</v>
      </c>
      <c r="AA347" s="4">
        <v>18</v>
      </c>
      <c r="AB347" s="4">
        <f t="shared" si="116"/>
        <v>1723.8000000000002</v>
      </c>
      <c r="AC347" s="4">
        <f t="shared" si="127"/>
        <v>1887.971428571429</v>
      </c>
      <c r="AD347" s="6">
        <f t="shared" si="128"/>
        <v>0.26905673512008366</v>
      </c>
      <c r="AE347" s="4">
        <f t="shared" si="129"/>
        <v>2185</v>
      </c>
      <c r="AF347" s="7">
        <v>1887</v>
      </c>
      <c r="AG347" s="6">
        <f t="shared" si="117"/>
        <v>0.2686804451510334</v>
      </c>
      <c r="AH347" s="4">
        <f t="shared" si="118"/>
        <v>507</v>
      </c>
      <c r="AI347" s="28"/>
      <c r="AJ347" s="6"/>
      <c r="AK347" s="6"/>
      <c r="AL347" s="6">
        <f t="shared" si="119"/>
        <v>1.0952380952380953</v>
      </c>
      <c r="AM347" s="6">
        <f t="shared" si="120"/>
        <v>0.88095238095238093</v>
      </c>
      <c r="AN347" s="6">
        <f t="shared" si="121"/>
        <v>1.0952380952380953</v>
      </c>
      <c r="AO347" s="4" t="str">
        <f t="shared" si="122"/>
        <v>-</v>
      </c>
      <c r="AP347" s="4" t="str">
        <f t="shared" si="123"/>
        <v>-</v>
      </c>
      <c r="AQ347" s="4" t="str">
        <f t="shared" si="124"/>
        <v>-</v>
      </c>
      <c r="AR347" s="4" t="s">
        <v>1281</v>
      </c>
      <c r="AS347" s="4" t="s">
        <v>1745</v>
      </c>
      <c r="AT347" s="4">
        <v>1</v>
      </c>
      <c r="AU347" s="4">
        <v>5</v>
      </c>
      <c r="AV347" s="4" t="s">
        <v>1746</v>
      </c>
      <c r="AW347" s="4">
        <v>8619</v>
      </c>
      <c r="AX347" s="4">
        <v>8619</v>
      </c>
      <c r="AY347" s="4">
        <v>8619</v>
      </c>
      <c r="AZ347" s="4">
        <f t="shared" si="125"/>
        <v>1723.8000000000002</v>
      </c>
      <c r="BA347" s="19">
        <v>4</v>
      </c>
      <c r="BB347" s="19">
        <v>1</v>
      </c>
      <c r="BC347" s="16">
        <v>18</v>
      </c>
      <c r="BD347">
        <v>1724</v>
      </c>
      <c r="BE347">
        <v>1724</v>
      </c>
      <c r="BF347" t="s">
        <v>1280</v>
      </c>
      <c r="BG347" t="str">
        <f t="shared" si="130"/>
        <v>-</v>
      </c>
      <c r="BH347">
        <v>1750</v>
      </c>
      <c r="BI347">
        <v>1750</v>
      </c>
      <c r="BJ347">
        <v>1750</v>
      </c>
      <c r="BK347">
        <f t="shared" si="131"/>
        <v>1916.6666666666667</v>
      </c>
      <c r="BL347" t="s">
        <v>1331</v>
      </c>
      <c r="BM347">
        <v>812</v>
      </c>
    </row>
    <row r="348" spans="1:65" x14ac:dyDescent="0.4">
      <c r="A348" s="3">
        <v>396</v>
      </c>
      <c r="B348" s="3">
        <v>396</v>
      </c>
      <c r="C348" s="4" t="s">
        <v>385</v>
      </c>
      <c r="D348" s="4" t="str">
        <f t="shared" si="110"/>
        <v>J54475</v>
      </c>
      <c r="E348" s="4" t="s">
        <v>385</v>
      </c>
      <c r="F348" s="4" t="str">
        <f t="shared" si="126"/>
        <v>J544755</v>
      </c>
      <c r="G348" s="4" t="s">
        <v>1029</v>
      </c>
      <c r="H348" s="5">
        <v>4974268831217</v>
      </c>
      <c r="I348" s="5">
        <v>5</v>
      </c>
      <c r="J348" s="5"/>
      <c r="K348" s="5">
        <v>1</v>
      </c>
      <c r="L348" s="5">
        <v>1</v>
      </c>
      <c r="M348" s="4">
        <v>2100</v>
      </c>
      <c r="N348" s="4">
        <v>2045</v>
      </c>
      <c r="O348" s="4">
        <v>1260</v>
      </c>
      <c r="P348" s="6">
        <f t="shared" si="111"/>
        <v>0.38386308068459662</v>
      </c>
      <c r="Q348" s="4" t="s">
        <v>1280</v>
      </c>
      <c r="R348" s="4" t="s">
        <v>1280</v>
      </c>
      <c r="S348" s="4" t="s">
        <v>1280</v>
      </c>
      <c r="T348" s="4">
        <v>2300</v>
      </c>
      <c r="U348" s="4">
        <f t="shared" si="112"/>
        <v>2300</v>
      </c>
      <c r="V348" s="4">
        <v>1380</v>
      </c>
      <c r="W348" s="4">
        <f t="shared" si="113"/>
        <v>1380</v>
      </c>
      <c r="X348" s="4"/>
      <c r="Y348" s="21">
        <f t="shared" si="114"/>
        <v>2240</v>
      </c>
      <c r="Z348" s="6">
        <f t="shared" si="115"/>
        <v>0.3839285714285714</v>
      </c>
      <c r="AA348" s="4">
        <v>1</v>
      </c>
      <c r="AB348" s="4">
        <f t="shared" si="116"/>
        <v>1817</v>
      </c>
      <c r="AC348" s="4">
        <f t="shared" si="127"/>
        <v>1990.0476190476193</v>
      </c>
      <c r="AD348" s="6">
        <f t="shared" si="128"/>
        <v>0.30654925701706115</v>
      </c>
      <c r="AE348" s="4">
        <f t="shared" si="129"/>
        <v>2185</v>
      </c>
      <c r="AF348" s="7">
        <v>1990</v>
      </c>
      <c r="AG348" s="6">
        <f t="shared" si="117"/>
        <v>0.30653266331658291</v>
      </c>
      <c r="AH348" s="4">
        <f t="shared" si="118"/>
        <v>610</v>
      </c>
      <c r="AI348" s="28"/>
      <c r="AJ348" s="6"/>
      <c r="AK348" s="6"/>
      <c r="AL348" s="6">
        <f t="shared" si="119"/>
        <v>1.0952380952380953</v>
      </c>
      <c r="AM348" s="6">
        <f t="shared" si="120"/>
        <v>0.97310513447432767</v>
      </c>
      <c r="AN348" s="6">
        <f t="shared" si="121"/>
        <v>1.0952380952380953</v>
      </c>
      <c r="AO348" s="4" t="str">
        <f t="shared" si="122"/>
        <v>-</v>
      </c>
      <c r="AP348" s="4" t="str">
        <f t="shared" si="123"/>
        <v>-</v>
      </c>
      <c r="AQ348" s="4" t="str">
        <f t="shared" si="124"/>
        <v>-</v>
      </c>
      <c r="AR348" s="4">
        <v>0</v>
      </c>
      <c r="AS348" s="4" t="s">
        <v>1952</v>
      </c>
      <c r="AT348" s="4"/>
      <c r="AU348" s="4"/>
      <c r="AV348" s="4" t="s">
        <v>1697</v>
      </c>
      <c r="AW348" s="4">
        <v>1817</v>
      </c>
      <c r="AX348" s="4">
        <v>1817</v>
      </c>
      <c r="AY348" s="4">
        <v>1817</v>
      </c>
      <c r="AZ348" s="4">
        <f t="shared" si="125"/>
        <v>1817</v>
      </c>
      <c r="BA348" s="19">
        <v>4</v>
      </c>
      <c r="BB348" s="19">
        <v>8</v>
      </c>
      <c r="BC348" s="16">
        <v>18</v>
      </c>
      <c r="BD348" t="s">
        <v>1280</v>
      </c>
      <c r="BE348" t="s">
        <v>1280</v>
      </c>
      <c r="BF348" t="s">
        <v>1280</v>
      </c>
      <c r="BG348" t="str">
        <f t="shared" si="130"/>
        <v>-</v>
      </c>
      <c r="BH348">
        <v>2002</v>
      </c>
      <c r="BI348">
        <v>2002</v>
      </c>
      <c r="BJ348">
        <v>2002</v>
      </c>
      <c r="BK348">
        <f t="shared" si="131"/>
        <v>2192.666666666667</v>
      </c>
      <c r="BL348" t="s">
        <v>1480</v>
      </c>
      <c r="BM348">
        <v>812</v>
      </c>
    </row>
    <row r="349" spans="1:65" x14ac:dyDescent="0.4">
      <c r="A349" s="3">
        <v>459</v>
      </c>
      <c r="B349" s="3">
        <v>459</v>
      </c>
      <c r="C349" s="4" t="s">
        <v>448</v>
      </c>
      <c r="D349" s="4" t="str">
        <f t="shared" si="110"/>
        <v>J54534</v>
      </c>
      <c r="E349" s="4" t="s">
        <v>448</v>
      </c>
      <c r="F349" s="4" t="str">
        <f t="shared" si="126"/>
        <v>J545345</v>
      </c>
      <c r="G349" s="4" t="s">
        <v>1092</v>
      </c>
      <c r="H349" s="5">
        <v>4974268561275</v>
      </c>
      <c r="I349" s="5">
        <v>5</v>
      </c>
      <c r="J349" s="5"/>
      <c r="K349" s="5">
        <v>1</v>
      </c>
      <c r="L349" s="5">
        <v>1</v>
      </c>
      <c r="M349" s="4">
        <v>2100</v>
      </c>
      <c r="N349" s="4">
        <v>1639</v>
      </c>
      <c r="O349" s="4">
        <v>1260</v>
      </c>
      <c r="P349" s="6">
        <f t="shared" si="111"/>
        <v>0.23123856009762045</v>
      </c>
      <c r="Q349" s="4" t="s">
        <v>1280</v>
      </c>
      <c r="R349" s="4" t="s">
        <v>1280</v>
      </c>
      <c r="S349" s="4" t="s">
        <v>1280</v>
      </c>
      <c r="T349" s="4">
        <v>2300</v>
      </c>
      <c r="U349" s="4">
        <f t="shared" si="112"/>
        <v>2300</v>
      </c>
      <c r="V349" s="4">
        <v>1380</v>
      </c>
      <c r="W349" s="4">
        <f t="shared" si="113"/>
        <v>1380</v>
      </c>
      <c r="X349" s="4"/>
      <c r="Y349" s="21">
        <f t="shared" si="114"/>
        <v>1795</v>
      </c>
      <c r="Z349" s="6">
        <f t="shared" si="115"/>
        <v>0.23119777158774368</v>
      </c>
      <c r="AA349" s="4">
        <v>0</v>
      </c>
      <c r="AB349" s="4" t="str">
        <f t="shared" si="116"/>
        <v>-</v>
      </c>
      <c r="AC349" s="4" t="str">
        <f t="shared" si="127"/>
        <v>-</v>
      </c>
      <c r="AD349" s="6" t="str">
        <f t="shared" si="128"/>
        <v>-</v>
      </c>
      <c r="AE349" s="4">
        <f t="shared" si="129"/>
        <v>2185</v>
      </c>
      <c r="AF349" s="7">
        <v>2000</v>
      </c>
      <c r="AG349" s="6">
        <f t="shared" si="117"/>
        <v>0.31000000000000005</v>
      </c>
      <c r="AH349" s="4">
        <f t="shared" si="118"/>
        <v>620</v>
      </c>
      <c r="AI349" s="28"/>
      <c r="AJ349" s="6"/>
      <c r="AK349" s="6"/>
      <c r="AL349" s="6">
        <f t="shared" si="119"/>
        <v>1.0952380952380953</v>
      </c>
      <c r="AM349" s="6">
        <f t="shared" si="120"/>
        <v>1.2202562538133008</v>
      </c>
      <c r="AN349" s="6">
        <f t="shared" si="121"/>
        <v>1.0952380952380953</v>
      </c>
      <c r="AO349" s="4" t="str">
        <f t="shared" si="122"/>
        <v>-</v>
      </c>
      <c r="AP349" s="4" t="str">
        <f t="shared" si="123"/>
        <v>-</v>
      </c>
      <c r="AQ349" s="4" t="str">
        <f t="shared" si="124"/>
        <v>-</v>
      </c>
      <c r="AR349" s="4">
        <v>0</v>
      </c>
      <c r="AS349" s="4" t="s">
        <v>1280</v>
      </c>
      <c r="AT349" s="4"/>
      <c r="AU349" s="4"/>
      <c r="AV349" s="4" t="s">
        <v>1280</v>
      </c>
      <c r="AW349" s="4" t="s">
        <v>1280</v>
      </c>
      <c r="AX349" s="4" t="s">
        <v>1280</v>
      </c>
      <c r="AY349" s="4" t="s">
        <v>1280</v>
      </c>
      <c r="AZ349" s="4" t="str">
        <f t="shared" si="125"/>
        <v>-</v>
      </c>
      <c r="BA349" s="19">
        <v>4</v>
      </c>
      <c r="BB349" s="19">
        <v>8</v>
      </c>
      <c r="BC349" s="16">
        <v>18</v>
      </c>
      <c r="BD349">
        <v>2100</v>
      </c>
      <c r="BE349">
        <v>2100</v>
      </c>
      <c r="BF349" t="s">
        <v>1280</v>
      </c>
      <c r="BG349" t="str">
        <f t="shared" si="130"/>
        <v>-</v>
      </c>
      <c r="BH349" t="s">
        <v>1280</v>
      </c>
      <c r="BI349">
        <v>1910</v>
      </c>
      <c r="BJ349">
        <v>1910</v>
      </c>
      <c r="BK349">
        <f t="shared" si="131"/>
        <v>2091.9047619047619</v>
      </c>
      <c r="BL349" t="s">
        <v>1280</v>
      </c>
      <c r="BM349">
        <v>812</v>
      </c>
    </row>
    <row r="350" spans="1:65" x14ac:dyDescent="0.4">
      <c r="A350" s="32">
        <v>474</v>
      </c>
      <c r="B350" s="3">
        <v>474</v>
      </c>
      <c r="C350" s="4" t="s">
        <v>463</v>
      </c>
      <c r="D350" s="4" t="str">
        <f t="shared" si="110"/>
        <v>J54561</v>
      </c>
      <c r="E350" s="4" t="s">
        <v>463</v>
      </c>
      <c r="F350" s="4" t="str">
        <f t="shared" si="126"/>
        <v>J545615</v>
      </c>
      <c r="G350" s="4" t="s">
        <v>1107</v>
      </c>
      <c r="H350" s="5">
        <v>4974268563439</v>
      </c>
      <c r="I350" s="5">
        <v>5</v>
      </c>
      <c r="J350" s="5"/>
      <c r="K350" s="5">
        <v>1</v>
      </c>
      <c r="L350" s="5">
        <v>1</v>
      </c>
      <c r="M350" s="4">
        <v>2100</v>
      </c>
      <c r="N350" s="4">
        <v>2163</v>
      </c>
      <c r="O350" s="4">
        <v>1260</v>
      </c>
      <c r="P350" s="6">
        <f t="shared" si="111"/>
        <v>0.41747572815533984</v>
      </c>
      <c r="Q350" s="4" t="s">
        <v>1280</v>
      </c>
      <c r="R350" s="4" t="s">
        <v>1280</v>
      </c>
      <c r="S350" s="4" t="s">
        <v>1280</v>
      </c>
      <c r="T350" s="4">
        <v>2300</v>
      </c>
      <c r="U350" s="4">
        <f t="shared" si="112"/>
        <v>2300</v>
      </c>
      <c r="V350" s="4">
        <v>1380</v>
      </c>
      <c r="W350" s="4">
        <f t="shared" si="113"/>
        <v>1380</v>
      </c>
      <c r="X350" s="4"/>
      <c r="Y350" s="21">
        <f t="shared" si="114"/>
        <v>2369</v>
      </c>
      <c r="Z350" s="6">
        <f t="shared" si="115"/>
        <v>0.41747572815533984</v>
      </c>
      <c r="AA350" s="4">
        <v>0.25</v>
      </c>
      <c r="AB350" s="4" t="str">
        <f t="shared" si="116"/>
        <v>-</v>
      </c>
      <c r="AC350" s="4" t="str">
        <f t="shared" si="127"/>
        <v>-</v>
      </c>
      <c r="AD350" s="6" t="str">
        <f t="shared" si="128"/>
        <v>-</v>
      </c>
      <c r="AE350" s="4">
        <f t="shared" si="129"/>
        <v>2185</v>
      </c>
      <c r="AF350" s="7">
        <v>2300</v>
      </c>
      <c r="AG350" s="6">
        <f t="shared" si="117"/>
        <v>0.4</v>
      </c>
      <c r="AH350" s="4">
        <f t="shared" si="118"/>
        <v>920</v>
      </c>
      <c r="AI350" s="28"/>
      <c r="AJ350" s="6"/>
      <c r="AK350" s="6"/>
      <c r="AL350" s="6">
        <f t="shared" si="119"/>
        <v>1.0952380952380953</v>
      </c>
      <c r="AM350" s="6">
        <f t="shared" si="120"/>
        <v>1.0633379565418399</v>
      </c>
      <c r="AN350" s="6">
        <f t="shared" si="121"/>
        <v>1.0952380952380953</v>
      </c>
      <c r="AO350" s="4" t="str">
        <f t="shared" si="122"/>
        <v>-</v>
      </c>
      <c r="AP350" s="4" t="str">
        <f t="shared" si="123"/>
        <v>-</v>
      </c>
      <c r="AQ350" s="4" t="str">
        <f t="shared" si="124"/>
        <v>-</v>
      </c>
      <c r="AR350" s="4">
        <v>0</v>
      </c>
      <c r="AS350" s="4" t="s">
        <v>1280</v>
      </c>
      <c r="AT350" s="4"/>
      <c r="AU350" s="4"/>
      <c r="AV350" s="4" t="s">
        <v>1280</v>
      </c>
      <c r="AW350" s="4" t="s">
        <v>1280</v>
      </c>
      <c r="AX350" s="4" t="s">
        <v>1280</v>
      </c>
      <c r="AY350" s="4" t="s">
        <v>1280</v>
      </c>
      <c r="AZ350" s="4" t="str">
        <f t="shared" si="125"/>
        <v>-</v>
      </c>
      <c r="BA350" s="19">
        <v>2</v>
      </c>
      <c r="BB350" s="19">
        <v>8</v>
      </c>
      <c r="BC350" s="16">
        <v>18</v>
      </c>
      <c r="BD350">
        <v>2100</v>
      </c>
      <c r="BE350">
        <v>2100</v>
      </c>
      <c r="BF350">
        <v>2100</v>
      </c>
      <c r="BG350">
        <f t="shared" si="130"/>
        <v>2300</v>
      </c>
      <c r="BH350">
        <v>2100</v>
      </c>
      <c r="BI350">
        <v>2100</v>
      </c>
      <c r="BJ350">
        <v>2100</v>
      </c>
      <c r="BK350">
        <f t="shared" si="131"/>
        <v>2300</v>
      </c>
      <c r="BL350" t="s">
        <v>1280</v>
      </c>
      <c r="BM350">
        <v>812</v>
      </c>
    </row>
    <row r="351" spans="1:65" x14ac:dyDescent="0.4">
      <c r="A351" s="3">
        <v>593</v>
      </c>
      <c r="B351" s="3">
        <v>593</v>
      </c>
      <c r="C351" s="4" t="s">
        <v>582</v>
      </c>
      <c r="D351" s="4" t="str">
        <f t="shared" si="110"/>
        <v>J94613</v>
      </c>
      <c r="E351" s="4" t="s">
        <v>582</v>
      </c>
      <c r="F351" s="4" t="str">
        <f t="shared" si="126"/>
        <v>J946135</v>
      </c>
      <c r="G351" s="4" t="s">
        <v>1226</v>
      </c>
      <c r="H351" s="5">
        <v>4974268831200</v>
      </c>
      <c r="I351" s="5">
        <v>5</v>
      </c>
      <c r="J351" s="5"/>
      <c r="K351" s="5">
        <v>1</v>
      </c>
      <c r="L351" s="5">
        <v>1</v>
      </c>
      <c r="M351" s="4">
        <v>2100</v>
      </c>
      <c r="N351" s="4">
        <v>1618</v>
      </c>
      <c r="O351" s="4">
        <v>1260</v>
      </c>
      <c r="P351" s="6">
        <f t="shared" si="111"/>
        <v>0.22126081582200252</v>
      </c>
      <c r="Q351" s="4" t="s">
        <v>1280</v>
      </c>
      <c r="R351" s="4" t="s">
        <v>1280</v>
      </c>
      <c r="S351" s="4" t="s">
        <v>1280</v>
      </c>
      <c r="T351" s="4">
        <v>2300</v>
      </c>
      <c r="U351" s="4">
        <f t="shared" si="112"/>
        <v>2300</v>
      </c>
      <c r="V351" s="4">
        <v>1380</v>
      </c>
      <c r="W351" s="4">
        <f t="shared" si="113"/>
        <v>1380</v>
      </c>
      <c r="X351" s="4"/>
      <c r="Y351" s="21">
        <f t="shared" si="114"/>
        <v>1772</v>
      </c>
      <c r="Z351" s="6">
        <f t="shared" si="115"/>
        <v>0.22121896162528221</v>
      </c>
      <c r="AA351" s="4">
        <v>0.25</v>
      </c>
      <c r="AB351" s="4" t="str">
        <f t="shared" si="116"/>
        <v>-</v>
      </c>
      <c r="AC351" s="4" t="str">
        <f t="shared" si="127"/>
        <v>-</v>
      </c>
      <c r="AD351" s="6" t="str">
        <f t="shared" si="128"/>
        <v>-</v>
      </c>
      <c r="AE351" s="4">
        <f t="shared" si="129"/>
        <v>2185</v>
      </c>
      <c r="AF351" s="7">
        <v>1990</v>
      </c>
      <c r="AG351" s="6">
        <f t="shared" si="117"/>
        <v>0.30653266331658291</v>
      </c>
      <c r="AH351" s="4">
        <f t="shared" si="118"/>
        <v>610</v>
      </c>
      <c r="AI351" s="28"/>
      <c r="AJ351" s="6"/>
      <c r="AK351" s="6"/>
      <c r="AL351" s="6">
        <f t="shared" si="119"/>
        <v>1.0952380952380953</v>
      </c>
      <c r="AM351" s="6">
        <f t="shared" si="120"/>
        <v>1.2299134734239803</v>
      </c>
      <c r="AN351" s="6">
        <f t="shared" si="121"/>
        <v>1.0952380952380953</v>
      </c>
      <c r="AO351" s="4" t="str">
        <f t="shared" si="122"/>
        <v>-</v>
      </c>
      <c r="AP351" s="4" t="str">
        <f t="shared" si="123"/>
        <v>-</v>
      </c>
      <c r="AQ351" s="4" t="str">
        <f t="shared" si="124"/>
        <v>-</v>
      </c>
      <c r="AR351" s="4">
        <v>0</v>
      </c>
      <c r="AS351" s="4" t="s">
        <v>1280</v>
      </c>
      <c r="AT351" s="4"/>
      <c r="AU351" s="4"/>
      <c r="AV351" s="4" t="s">
        <v>1280</v>
      </c>
      <c r="AW351" s="4" t="s">
        <v>1280</v>
      </c>
      <c r="AX351" s="4" t="s">
        <v>1280</v>
      </c>
      <c r="AY351" s="4" t="s">
        <v>1280</v>
      </c>
      <c r="AZ351" s="4" t="str">
        <f t="shared" si="125"/>
        <v>-</v>
      </c>
      <c r="BA351" s="19">
        <v>4</v>
      </c>
      <c r="BB351" s="19">
        <v>8</v>
      </c>
      <c r="BC351" s="16">
        <v>18</v>
      </c>
      <c r="BD351">
        <v>2100</v>
      </c>
      <c r="BE351">
        <v>2100</v>
      </c>
      <c r="BF351">
        <v>2100</v>
      </c>
      <c r="BG351">
        <f t="shared" si="130"/>
        <v>2300</v>
      </c>
      <c r="BH351">
        <v>1918</v>
      </c>
      <c r="BI351">
        <v>1918</v>
      </c>
      <c r="BJ351">
        <v>1918</v>
      </c>
      <c r="BK351">
        <f t="shared" si="131"/>
        <v>2100.666666666667</v>
      </c>
      <c r="BL351" t="s">
        <v>1280</v>
      </c>
      <c r="BM351">
        <v>812</v>
      </c>
    </row>
    <row r="352" spans="1:65" x14ac:dyDescent="0.4">
      <c r="A352" s="3">
        <v>451</v>
      </c>
      <c r="B352" s="3">
        <v>451</v>
      </c>
      <c r="C352" s="4" t="s">
        <v>440</v>
      </c>
      <c r="D352" s="4" t="str">
        <f t="shared" si="110"/>
        <v>J54529</v>
      </c>
      <c r="E352" s="4" t="s">
        <v>440</v>
      </c>
      <c r="F352" s="4" t="str">
        <f t="shared" si="126"/>
        <v>J545295</v>
      </c>
      <c r="G352" s="4" t="s">
        <v>1084</v>
      </c>
      <c r="H352" s="5">
        <v>4974268560797</v>
      </c>
      <c r="I352" s="5">
        <v>5</v>
      </c>
      <c r="J352" s="5"/>
      <c r="K352" s="5">
        <v>1</v>
      </c>
      <c r="L352" s="5">
        <v>1</v>
      </c>
      <c r="M352" s="4">
        <v>2100</v>
      </c>
      <c r="N352" s="4">
        <v>2036</v>
      </c>
      <c r="O352" s="4">
        <v>1260</v>
      </c>
      <c r="P352" s="6">
        <f t="shared" si="111"/>
        <v>0.38113948919449903</v>
      </c>
      <c r="Q352" s="4" t="s">
        <v>1280</v>
      </c>
      <c r="R352" s="4" t="s">
        <v>1280</v>
      </c>
      <c r="S352" s="4" t="s">
        <v>1280</v>
      </c>
      <c r="T352" s="4">
        <v>2350</v>
      </c>
      <c r="U352" s="4">
        <f t="shared" si="112"/>
        <v>2350</v>
      </c>
      <c r="V352" s="4">
        <v>1410</v>
      </c>
      <c r="W352" s="4">
        <f t="shared" si="113"/>
        <v>1410</v>
      </c>
      <c r="X352" s="4"/>
      <c r="Y352" s="21">
        <f t="shared" si="114"/>
        <v>2278</v>
      </c>
      <c r="Z352" s="6">
        <f t="shared" si="115"/>
        <v>0.38103599648814745</v>
      </c>
      <c r="AA352" s="4">
        <v>1.25</v>
      </c>
      <c r="AB352" s="4">
        <f t="shared" si="116"/>
        <v>3463</v>
      </c>
      <c r="AC352" s="4">
        <f t="shared" si="127"/>
        <v>3875.261904761905</v>
      </c>
      <c r="AD352" s="6">
        <f t="shared" si="128"/>
        <v>0.63615362402541153</v>
      </c>
      <c r="AE352" s="4">
        <f t="shared" si="129"/>
        <v>2232.5</v>
      </c>
      <c r="AF352" s="7">
        <v>2130</v>
      </c>
      <c r="AG352" s="6">
        <f t="shared" si="117"/>
        <v>0.3380281690140845</v>
      </c>
      <c r="AH352" s="4">
        <f t="shared" si="118"/>
        <v>720</v>
      </c>
      <c r="AI352" s="28"/>
      <c r="AJ352" s="6"/>
      <c r="AK352" s="6"/>
      <c r="AL352" s="6">
        <f t="shared" si="119"/>
        <v>1.1190476190476191</v>
      </c>
      <c r="AM352" s="6">
        <f t="shared" si="120"/>
        <v>1.0461689587426326</v>
      </c>
      <c r="AN352" s="6">
        <f t="shared" si="121"/>
        <v>1.1190476190476191</v>
      </c>
      <c r="AO352" s="4" t="str">
        <f t="shared" si="122"/>
        <v>-</v>
      </c>
      <c r="AP352" s="4" t="str">
        <f t="shared" si="123"/>
        <v>-</v>
      </c>
      <c r="AQ352" s="4" t="str">
        <f t="shared" si="124"/>
        <v>-</v>
      </c>
      <c r="AR352" s="4">
        <v>0</v>
      </c>
      <c r="AS352" s="4" t="s">
        <v>2010</v>
      </c>
      <c r="AT352" s="4"/>
      <c r="AU352" s="4"/>
      <c r="AV352" s="4" t="s">
        <v>2011</v>
      </c>
      <c r="AW352" s="4">
        <v>3463</v>
      </c>
      <c r="AX352" s="4">
        <v>3463</v>
      </c>
      <c r="AY352" s="4">
        <v>3463</v>
      </c>
      <c r="AZ352" s="4">
        <f t="shared" si="125"/>
        <v>3463</v>
      </c>
      <c r="BA352" s="19">
        <v>4</v>
      </c>
      <c r="BB352" s="19">
        <v>8</v>
      </c>
      <c r="BC352" s="16">
        <v>18</v>
      </c>
      <c r="BD352">
        <v>2100</v>
      </c>
      <c r="BE352">
        <v>2100</v>
      </c>
      <c r="BF352" t="s">
        <v>1280</v>
      </c>
      <c r="BG352" t="str">
        <f t="shared" si="130"/>
        <v>-</v>
      </c>
      <c r="BH352">
        <v>1904</v>
      </c>
      <c r="BI352">
        <v>1904</v>
      </c>
      <c r="BJ352">
        <v>1904</v>
      </c>
      <c r="BK352">
        <f t="shared" si="131"/>
        <v>2130.6666666666665</v>
      </c>
      <c r="BL352" t="s">
        <v>1528</v>
      </c>
      <c r="BM352">
        <v>812</v>
      </c>
    </row>
    <row r="353" spans="1:65" x14ac:dyDescent="0.4">
      <c r="A353" s="3">
        <v>599</v>
      </c>
      <c r="B353" s="3">
        <v>599</v>
      </c>
      <c r="C353" s="4" t="s">
        <v>588</v>
      </c>
      <c r="D353" s="4" t="str">
        <f t="shared" si="110"/>
        <v>J94639</v>
      </c>
      <c r="E353" s="4" t="s">
        <v>588</v>
      </c>
      <c r="F353" s="4" t="str">
        <f t="shared" si="126"/>
        <v>J946395</v>
      </c>
      <c r="G353" s="4" t="s">
        <v>1232</v>
      </c>
      <c r="H353" s="5">
        <v>4974268560186</v>
      </c>
      <c r="I353" s="5">
        <v>5</v>
      </c>
      <c r="J353" s="5"/>
      <c r="K353" s="5">
        <v>1</v>
      </c>
      <c r="L353" s="5">
        <v>1</v>
      </c>
      <c r="M353" s="4">
        <v>2200</v>
      </c>
      <c r="N353" s="4">
        <v>2091</v>
      </c>
      <c r="O353" s="4">
        <v>1320</v>
      </c>
      <c r="P353" s="6">
        <f t="shared" si="111"/>
        <v>0.36872309899569589</v>
      </c>
      <c r="Q353" s="4" t="s">
        <v>1280</v>
      </c>
      <c r="R353" s="4" t="s">
        <v>1280</v>
      </c>
      <c r="S353" s="4" t="s">
        <v>1280</v>
      </c>
      <c r="T353" s="4">
        <v>2350</v>
      </c>
      <c r="U353" s="4">
        <f t="shared" si="112"/>
        <v>2350</v>
      </c>
      <c r="V353" s="4">
        <v>1410</v>
      </c>
      <c r="W353" s="4">
        <f t="shared" si="113"/>
        <v>1410</v>
      </c>
      <c r="X353" s="4"/>
      <c r="Y353" s="21">
        <f t="shared" si="114"/>
        <v>2234</v>
      </c>
      <c r="Z353" s="6">
        <f t="shared" si="115"/>
        <v>0.36884512085944499</v>
      </c>
      <c r="AA353" s="4">
        <v>1</v>
      </c>
      <c r="AB353" s="4">
        <f t="shared" si="116"/>
        <v>1610</v>
      </c>
      <c r="AC353" s="4">
        <f t="shared" si="127"/>
        <v>1719.7727272727273</v>
      </c>
      <c r="AD353" s="6">
        <f t="shared" si="128"/>
        <v>0.18012422360248448</v>
      </c>
      <c r="AE353" s="4">
        <f t="shared" si="129"/>
        <v>2232.5</v>
      </c>
      <c r="AF353" s="7">
        <v>2078</v>
      </c>
      <c r="AG353" s="6">
        <f t="shared" si="117"/>
        <v>0.32146294513955731</v>
      </c>
      <c r="AH353" s="4">
        <f t="shared" si="118"/>
        <v>668</v>
      </c>
      <c r="AI353" s="28"/>
      <c r="AJ353" s="6"/>
      <c r="AK353" s="6"/>
      <c r="AL353" s="6">
        <f t="shared" si="119"/>
        <v>1.0681818181818181</v>
      </c>
      <c r="AM353" s="6">
        <f t="shared" si="120"/>
        <v>0.99378287900526063</v>
      </c>
      <c r="AN353" s="6">
        <f t="shared" si="121"/>
        <v>1.0681818181818181</v>
      </c>
      <c r="AO353" s="4" t="str">
        <f t="shared" si="122"/>
        <v>-</v>
      </c>
      <c r="AP353" s="4" t="str">
        <f t="shared" si="123"/>
        <v>-</v>
      </c>
      <c r="AQ353" s="4" t="str">
        <f t="shared" si="124"/>
        <v>-</v>
      </c>
      <c r="AR353" s="4">
        <v>0</v>
      </c>
      <c r="AS353" s="4" t="s">
        <v>2155</v>
      </c>
      <c r="AT353" s="4"/>
      <c r="AU353" s="4"/>
      <c r="AV353" s="4" t="s">
        <v>1721</v>
      </c>
      <c r="AW353" s="4">
        <v>1610</v>
      </c>
      <c r="AX353" s="4">
        <v>1610</v>
      </c>
      <c r="AY353" s="4">
        <v>1610</v>
      </c>
      <c r="AZ353" s="4">
        <f t="shared" si="125"/>
        <v>1610</v>
      </c>
      <c r="BA353" s="19">
        <v>4</v>
      </c>
      <c r="BB353" s="19">
        <v>8</v>
      </c>
      <c r="BC353" s="16">
        <v>18</v>
      </c>
      <c r="BD353" t="s">
        <v>1280</v>
      </c>
      <c r="BE353" t="s">
        <v>1280</v>
      </c>
      <c r="BF353" t="s">
        <v>1280</v>
      </c>
      <c r="BG353" t="str">
        <f t="shared" si="130"/>
        <v>-</v>
      </c>
      <c r="BH353">
        <v>2185</v>
      </c>
      <c r="BI353">
        <v>2185</v>
      </c>
      <c r="BJ353">
        <v>2185</v>
      </c>
      <c r="BK353">
        <f t="shared" si="131"/>
        <v>2333.9772727272725</v>
      </c>
      <c r="BL353" t="s">
        <v>1641</v>
      </c>
      <c r="BM353">
        <v>812</v>
      </c>
    </row>
    <row r="354" spans="1:65" x14ac:dyDescent="0.4">
      <c r="A354" s="3">
        <v>600</v>
      </c>
      <c r="B354" s="3">
        <v>600</v>
      </c>
      <c r="C354" s="4" t="s">
        <v>589</v>
      </c>
      <c r="D354" s="4" t="str">
        <f t="shared" si="110"/>
        <v>J94641</v>
      </c>
      <c r="E354" s="4" t="s">
        <v>589</v>
      </c>
      <c r="F354" s="4" t="str">
        <f t="shared" si="126"/>
        <v>J946415</v>
      </c>
      <c r="G354" s="4" t="s">
        <v>1233</v>
      </c>
      <c r="H354" s="5">
        <v>4974268560209</v>
      </c>
      <c r="I354" s="5">
        <v>5</v>
      </c>
      <c r="J354" s="5"/>
      <c r="K354" s="5">
        <v>1</v>
      </c>
      <c r="L354" s="5">
        <v>1</v>
      </c>
      <c r="M354" s="4">
        <v>2200</v>
      </c>
      <c r="N354" s="4">
        <v>1929</v>
      </c>
      <c r="O354" s="4">
        <v>1320</v>
      </c>
      <c r="P354" s="6">
        <f t="shared" si="111"/>
        <v>0.31570762052877144</v>
      </c>
      <c r="Q354" s="4" t="s">
        <v>1280</v>
      </c>
      <c r="R354" s="4" t="s">
        <v>1280</v>
      </c>
      <c r="S354" s="4" t="s">
        <v>1280</v>
      </c>
      <c r="T354" s="4">
        <v>2350</v>
      </c>
      <c r="U354" s="4">
        <f t="shared" si="112"/>
        <v>2350</v>
      </c>
      <c r="V354" s="4">
        <v>1410</v>
      </c>
      <c r="W354" s="4">
        <f t="shared" si="113"/>
        <v>1410</v>
      </c>
      <c r="X354" s="4"/>
      <c r="Y354" s="21">
        <f t="shared" si="114"/>
        <v>2061</v>
      </c>
      <c r="Z354" s="6">
        <f t="shared" si="115"/>
        <v>0.31586608442503639</v>
      </c>
      <c r="AA354" s="4">
        <v>0</v>
      </c>
      <c r="AB354" s="4">
        <f t="shared" si="116"/>
        <v>1946</v>
      </c>
      <c r="AC354" s="4">
        <f t="shared" si="127"/>
        <v>2078.681818181818</v>
      </c>
      <c r="AD354" s="6">
        <f t="shared" si="128"/>
        <v>0.32168550873586843</v>
      </c>
      <c r="AE354" s="4">
        <f t="shared" si="129"/>
        <v>2232.5</v>
      </c>
      <c r="AF354" s="7">
        <v>2078</v>
      </c>
      <c r="AG354" s="6">
        <f t="shared" si="117"/>
        <v>0.32146294513955731</v>
      </c>
      <c r="AH354" s="4">
        <f t="shared" si="118"/>
        <v>668</v>
      </c>
      <c r="AI354" s="28"/>
      <c r="AJ354" s="6"/>
      <c r="AK354" s="6"/>
      <c r="AL354" s="6">
        <f t="shared" si="119"/>
        <v>1.0681818181818181</v>
      </c>
      <c r="AM354" s="6">
        <f t="shared" si="120"/>
        <v>1.0772420943494039</v>
      </c>
      <c r="AN354" s="6">
        <f t="shared" si="121"/>
        <v>1.0681818181818181</v>
      </c>
      <c r="AO354" s="4" t="str">
        <f t="shared" si="122"/>
        <v>-</v>
      </c>
      <c r="AP354" s="4" t="str">
        <f t="shared" si="123"/>
        <v>-</v>
      </c>
      <c r="AQ354" s="4" t="str">
        <f t="shared" si="124"/>
        <v>-</v>
      </c>
      <c r="AR354" s="4">
        <v>0</v>
      </c>
      <c r="AS354" s="4" t="s">
        <v>2156</v>
      </c>
      <c r="AT354" s="4"/>
      <c r="AU354" s="4"/>
      <c r="AV354" s="4" t="s">
        <v>1721</v>
      </c>
      <c r="AW354" s="4">
        <v>1946</v>
      </c>
      <c r="AX354" s="4">
        <v>1946</v>
      </c>
      <c r="AY354" s="4">
        <v>1946</v>
      </c>
      <c r="AZ354" s="4">
        <f t="shared" si="125"/>
        <v>1946</v>
      </c>
      <c r="BA354" s="19">
        <v>4</v>
      </c>
      <c r="BB354" s="19">
        <v>8</v>
      </c>
      <c r="BC354" s="16">
        <v>18</v>
      </c>
      <c r="BD354" t="s">
        <v>1280</v>
      </c>
      <c r="BE354" t="s">
        <v>1280</v>
      </c>
      <c r="BF354" t="s">
        <v>1280</v>
      </c>
      <c r="BG354" t="str">
        <f t="shared" si="130"/>
        <v>-</v>
      </c>
      <c r="BH354">
        <v>2148</v>
      </c>
      <c r="BI354">
        <v>2148</v>
      </c>
      <c r="BJ354">
        <v>2148</v>
      </c>
      <c r="BK354">
        <f t="shared" si="131"/>
        <v>2294.4545454545455</v>
      </c>
      <c r="BL354" t="s">
        <v>1642</v>
      </c>
      <c r="BM354">
        <v>812</v>
      </c>
    </row>
    <row r="355" spans="1:65" x14ac:dyDescent="0.4">
      <c r="A355" s="3">
        <v>602</v>
      </c>
      <c r="B355" s="3">
        <v>602</v>
      </c>
      <c r="C355" s="4" t="s">
        <v>591</v>
      </c>
      <c r="D355" s="4" t="str">
        <f t="shared" si="110"/>
        <v>J94655</v>
      </c>
      <c r="E355" s="4" t="s">
        <v>591</v>
      </c>
      <c r="F355" s="4" t="str">
        <f t="shared" si="126"/>
        <v>J946555</v>
      </c>
      <c r="G355" s="4" t="s">
        <v>1235</v>
      </c>
      <c r="H355" s="5">
        <v>4974268560780</v>
      </c>
      <c r="I355" s="5">
        <v>5</v>
      </c>
      <c r="J355" s="5"/>
      <c r="K355" s="5">
        <v>1</v>
      </c>
      <c r="L355" s="5">
        <v>1</v>
      </c>
      <c r="M355" s="4">
        <v>2100</v>
      </c>
      <c r="N355" s="4">
        <v>1997</v>
      </c>
      <c r="O355" s="4">
        <v>1260</v>
      </c>
      <c r="P355" s="6">
        <f t="shared" si="111"/>
        <v>0.3690535803705558</v>
      </c>
      <c r="Q355" s="4" t="s">
        <v>1280</v>
      </c>
      <c r="R355" s="4" t="s">
        <v>1280</v>
      </c>
      <c r="S355" s="4" t="s">
        <v>1280</v>
      </c>
      <c r="T355" s="4">
        <v>2350</v>
      </c>
      <c r="U355" s="4">
        <f t="shared" si="112"/>
        <v>2350</v>
      </c>
      <c r="V355" s="4">
        <v>1410</v>
      </c>
      <c r="W355" s="4">
        <f t="shared" si="113"/>
        <v>1410</v>
      </c>
      <c r="X355" s="4"/>
      <c r="Y355" s="21">
        <f t="shared" si="114"/>
        <v>2235</v>
      </c>
      <c r="Z355" s="6">
        <f t="shared" si="115"/>
        <v>0.36912751677852351</v>
      </c>
      <c r="AA355" s="4">
        <v>0.75</v>
      </c>
      <c r="AB355" s="4">
        <f t="shared" si="116"/>
        <v>1999</v>
      </c>
      <c r="AC355" s="4">
        <f t="shared" si="127"/>
        <v>2236.9761904761904</v>
      </c>
      <c r="AD355" s="6">
        <f t="shared" si="128"/>
        <v>0.36968484242121058</v>
      </c>
      <c r="AE355" s="4">
        <f t="shared" si="129"/>
        <v>2232.5</v>
      </c>
      <c r="AF355" s="7">
        <v>2130</v>
      </c>
      <c r="AG355" s="6">
        <f t="shared" si="117"/>
        <v>0.3380281690140845</v>
      </c>
      <c r="AH355" s="4">
        <f t="shared" si="118"/>
        <v>720</v>
      </c>
      <c r="AI355" s="28"/>
      <c r="AJ355" s="6"/>
      <c r="AK355" s="6"/>
      <c r="AL355" s="6">
        <f t="shared" si="119"/>
        <v>1.1190476190476191</v>
      </c>
      <c r="AM355" s="6">
        <f t="shared" si="120"/>
        <v>1.0665998998497748</v>
      </c>
      <c r="AN355" s="6">
        <f t="shared" si="121"/>
        <v>1.1190476190476191</v>
      </c>
      <c r="AO355" s="4" t="str">
        <f t="shared" si="122"/>
        <v>-</v>
      </c>
      <c r="AP355" s="4" t="str">
        <f t="shared" si="123"/>
        <v>-</v>
      </c>
      <c r="AQ355" s="4" t="str">
        <f t="shared" si="124"/>
        <v>-</v>
      </c>
      <c r="AR355" s="4">
        <v>0</v>
      </c>
      <c r="AS355" s="4" t="s">
        <v>2159</v>
      </c>
      <c r="AT355" s="4"/>
      <c r="AU355" s="4"/>
      <c r="AV355" s="4" t="s">
        <v>2019</v>
      </c>
      <c r="AW355" s="4">
        <v>1999</v>
      </c>
      <c r="AX355" s="4">
        <v>1999</v>
      </c>
      <c r="AY355" s="4">
        <v>1999</v>
      </c>
      <c r="AZ355" s="4">
        <f t="shared" si="125"/>
        <v>1999</v>
      </c>
      <c r="BA355" s="19">
        <v>4</v>
      </c>
      <c r="BB355" s="19">
        <v>8</v>
      </c>
      <c r="BC355" s="16">
        <v>18</v>
      </c>
      <c r="BD355">
        <v>2100</v>
      </c>
      <c r="BE355">
        <v>2100</v>
      </c>
      <c r="BF355">
        <v>2100</v>
      </c>
      <c r="BG355">
        <f t="shared" si="130"/>
        <v>2350</v>
      </c>
      <c r="BH355">
        <v>1904</v>
      </c>
      <c r="BI355">
        <v>1904</v>
      </c>
      <c r="BJ355">
        <v>1904</v>
      </c>
      <c r="BK355">
        <f t="shared" si="131"/>
        <v>2130.6666666666665</v>
      </c>
      <c r="BL355" t="s">
        <v>1644</v>
      </c>
      <c r="BM355">
        <v>812</v>
      </c>
    </row>
    <row r="356" spans="1:65" x14ac:dyDescent="0.4">
      <c r="A356" s="3">
        <v>350</v>
      </c>
      <c r="B356" s="3">
        <v>350</v>
      </c>
      <c r="C356" s="4" t="s">
        <v>339</v>
      </c>
      <c r="D356" s="4" t="str">
        <f t="shared" si="110"/>
        <v>J4002N</v>
      </c>
      <c r="E356" s="4" t="s">
        <v>339</v>
      </c>
      <c r="F356" s="4" t="str">
        <f t="shared" si="126"/>
        <v>J4002N5</v>
      </c>
      <c r="G356" s="4" t="s">
        <v>985</v>
      </c>
      <c r="H356" s="5">
        <v>4529671084134</v>
      </c>
      <c r="I356" s="5">
        <v>5</v>
      </c>
      <c r="J356" s="5"/>
      <c r="K356" s="5">
        <v>1</v>
      </c>
      <c r="L356" s="5">
        <v>1</v>
      </c>
      <c r="M356" s="4">
        <v>0</v>
      </c>
      <c r="N356" s="4">
        <v>1911</v>
      </c>
      <c r="O356" s="4">
        <v>1302</v>
      </c>
      <c r="P356" s="6">
        <f t="shared" si="111"/>
        <v>0.31868131868131866</v>
      </c>
      <c r="Q356" s="4" t="s">
        <v>1280</v>
      </c>
      <c r="R356" s="4" t="s">
        <v>1280</v>
      </c>
      <c r="S356" s="4" t="s">
        <v>1280</v>
      </c>
      <c r="T356" s="4">
        <v>0</v>
      </c>
      <c r="U356" s="4">
        <f t="shared" si="112"/>
        <v>0</v>
      </c>
      <c r="V356" s="4">
        <v>1422</v>
      </c>
      <c r="W356" s="4">
        <f t="shared" si="113"/>
        <v>1422</v>
      </c>
      <c r="X356" s="4"/>
      <c r="Y356" s="21">
        <f t="shared" si="114"/>
        <v>2087</v>
      </c>
      <c r="Z356" s="6">
        <f t="shared" si="115"/>
        <v>0.31863919501677052</v>
      </c>
      <c r="AA356" s="4">
        <v>5</v>
      </c>
      <c r="AB356" s="4" t="str">
        <f t="shared" si="116"/>
        <v>-</v>
      </c>
      <c r="AC356" s="4" t="str">
        <f t="shared" si="127"/>
        <v>-</v>
      </c>
      <c r="AD356" s="6" t="str">
        <f t="shared" si="128"/>
        <v>-</v>
      </c>
      <c r="AE356" s="4">
        <f t="shared" si="129"/>
        <v>0</v>
      </c>
      <c r="AF356" s="7">
        <v>1850</v>
      </c>
      <c r="AG356" s="6">
        <f t="shared" si="117"/>
        <v>0.23135135135135132</v>
      </c>
      <c r="AH356" s="4">
        <f t="shared" si="118"/>
        <v>428</v>
      </c>
      <c r="AI356" s="28"/>
      <c r="AJ356" s="6"/>
      <c r="AK356" s="6"/>
      <c r="AL356" s="6" t="e">
        <f t="shared" si="119"/>
        <v>#DIV/0!</v>
      </c>
      <c r="AM356" s="6">
        <f t="shared" si="120"/>
        <v>0.96807953950811099</v>
      </c>
      <c r="AN356" s="6">
        <f t="shared" si="121"/>
        <v>1.0921658986175116</v>
      </c>
      <c r="AO356" s="4" t="str">
        <f t="shared" si="122"/>
        <v>-</v>
      </c>
      <c r="AP356" s="4" t="str">
        <f t="shared" si="123"/>
        <v>-</v>
      </c>
      <c r="AQ356" s="4" t="str">
        <f t="shared" si="124"/>
        <v>-</v>
      </c>
      <c r="AR356" s="4">
        <v>0</v>
      </c>
      <c r="AS356" s="4" t="s">
        <v>1280</v>
      </c>
      <c r="AT356" s="4"/>
      <c r="AU356" s="4"/>
      <c r="AV356" s="4" t="s">
        <v>1280</v>
      </c>
      <c r="AW356" s="4" t="s">
        <v>1280</v>
      </c>
      <c r="AX356" s="4" t="s">
        <v>1280</v>
      </c>
      <c r="AY356" s="4" t="s">
        <v>1280</v>
      </c>
      <c r="AZ356" s="4" t="str">
        <f t="shared" si="125"/>
        <v>-</v>
      </c>
      <c r="BA356" s="19">
        <v>4</v>
      </c>
      <c r="BB356" s="19">
        <v>8</v>
      </c>
      <c r="BC356" s="16">
        <v>19</v>
      </c>
      <c r="BD356" t="s">
        <v>1280</v>
      </c>
      <c r="BE356" t="s">
        <v>1280</v>
      </c>
      <c r="BF356" t="s">
        <v>1280</v>
      </c>
      <c r="BG356" t="str">
        <f t="shared" si="130"/>
        <v>-</v>
      </c>
      <c r="BH356">
        <v>1694</v>
      </c>
      <c r="BI356">
        <v>1694</v>
      </c>
      <c r="BJ356">
        <v>1694</v>
      </c>
      <c r="BK356">
        <f t="shared" si="131"/>
        <v>1850.1290322580646</v>
      </c>
      <c r="BL356" t="s">
        <v>1280</v>
      </c>
      <c r="BM356">
        <v>812</v>
      </c>
    </row>
    <row r="357" spans="1:65" x14ac:dyDescent="0.4">
      <c r="A357" s="3">
        <v>352</v>
      </c>
      <c r="B357" s="3">
        <v>352</v>
      </c>
      <c r="C357" s="4" t="s">
        <v>341</v>
      </c>
      <c r="D357" s="4" t="str">
        <f t="shared" si="110"/>
        <v>J4000N</v>
      </c>
      <c r="E357" s="4" t="s">
        <v>341</v>
      </c>
      <c r="F357" s="4" t="str">
        <f t="shared" si="126"/>
        <v>J4000N5</v>
      </c>
      <c r="G357" s="4" t="s">
        <v>987</v>
      </c>
      <c r="H357" s="5">
        <v>4529671084110</v>
      </c>
      <c r="I357" s="5">
        <v>5</v>
      </c>
      <c r="J357" s="5"/>
      <c r="K357" s="5">
        <v>1</v>
      </c>
      <c r="L357" s="5">
        <v>1</v>
      </c>
      <c r="M357" s="4">
        <v>0</v>
      </c>
      <c r="N357" s="4">
        <v>1911</v>
      </c>
      <c r="O357" s="4">
        <v>1302</v>
      </c>
      <c r="P357" s="6">
        <f t="shared" si="111"/>
        <v>0.31868131868131866</v>
      </c>
      <c r="Q357" s="4" t="s">
        <v>1280</v>
      </c>
      <c r="R357" s="4" t="s">
        <v>1280</v>
      </c>
      <c r="S357" s="4" t="s">
        <v>1280</v>
      </c>
      <c r="T357" s="4">
        <v>0</v>
      </c>
      <c r="U357" s="4">
        <f t="shared" si="112"/>
        <v>0</v>
      </c>
      <c r="V357" s="4">
        <v>1422</v>
      </c>
      <c r="W357" s="4">
        <f t="shared" si="113"/>
        <v>1422</v>
      </c>
      <c r="X357" s="4"/>
      <c r="Y357" s="21">
        <f t="shared" si="114"/>
        <v>2087</v>
      </c>
      <c r="Z357" s="6">
        <f t="shared" si="115"/>
        <v>0.31863919501677052</v>
      </c>
      <c r="AA357" s="4">
        <v>0</v>
      </c>
      <c r="AB357" s="4" t="str">
        <f t="shared" si="116"/>
        <v>-</v>
      </c>
      <c r="AC357" s="4" t="str">
        <f t="shared" si="127"/>
        <v>-</v>
      </c>
      <c r="AD357" s="6" t="str">
        <f t="shared" si="128"/>
        <v>-</v>
      </c>
      <c r="AE357" s="4">
        <f t="shared" si="129"/>
        <v>0</v>
      </c>
      <c r="AF357" s="7">
        <v>1850</v>
      </c>
      <c r="AG357" s="6">
        <f t="shared" si="117"/>
        <v>0.23135135135135132</v>
      </c>
      <c r="AH357" s="4">
        <f t="shared" si="118"/>
        <v>428</v>
      </c>
      <c r="AI357" s="28"/>
      <c r="AJ357" s="6"/>
      <c r="AK357" s="6"/>
      <c r="AL357" s="6" t="e">
        <f t="shared" si="119"/>
        <v>#DIV/0!</v>
      </c>
      <c r="AM357" s="6">
        <f t="shared" si="120"/>
        <v>0.96807953950811099</v>
      </c>
      <c r="AN357" s="6">
        <f t="shared" si="121"/>
        <v>1.0921658986175116</v>
      </c>
      <c r="AO357" s="4" t="str">
        <f t="shared" si="122"/>
        <v>-</v>
      </c>
      <c r="AP357" s="4" t="str">
        <f t="shared" si="123"/>
        <v>-</v>
      </c>
      <c r="AQ357" s="4" t="str">
        <f t="shared" si="124"/>
        <v>-</v>
      </c>
      <c r="AR357" s="4">
        <v>0</v>
      </c>
      <c r="AS357" s="4" t="s">
        <v>1280</v>
      </c>
      <c r="AT357" s="4"/>
      <c r="AU357" s="4"/>
      <c r="AV357" s="4" t="s">
        <v>1280</v>
      </c>
      <c r="AW357" s="4" t="s">
        <v>1280</v>
      </c>
      <c r="AX357" s="4" t="s">
        <v>1280</v>
      </c>
      <c r="AY357" s="4" t="s">
        <v>1280</v>
      </c>
      <c r="AZ357" s="4" t="str">
        <f t="shared" si="125"/>
        <v>-</v>
      </c>
      <c r="BA357" s="19">
        <v>4</v>
      </c>
      <c r="BB357" s="19">
        <v>8</v>
      </c>
      <c r="BC357" s="16">
        <v>19</v>
      </c>
      <c r="BD357" t="s">
        <v>1280</v>
      </c>
      <c r="BE357" t="s">
        <v>1280</v>
      </c>
      <c r="BF357" t="s">
        <v>1280</v>
      </c>
      <c r="BG357" t="str">
        <f t="shared" si="130"/>
        <v>-</v>
      </c>
      <c r="BH357">
        <v>1694</v>
      </c>
      <c r="BI357">
        <v>1694</v>
      </c>
      <c r="BJ357">
        <v>1694</v>
      </c>
      <c r="BK357">
        <f t="shared" si="131"/>
        <v>1850.1290322580646</v>
      </c>
      <c r="BL357" t="s">
        <v>1280</v>
      </c>
      <c r="BM357">
        <v>812</v>
      </c>
    </row>
    <row r="358" spans="1:65" x14ac:dyDescent="0.4">
      <c r="A358" s="3">
        <v>353</v>
      </c>
      <c r="B358" s="3">
        <v>353</v>
      </c>
      <c r="C358" s="4" t="s">
        <v>342</v>
      </c>
      <c r="D358" s="4" t="str">
        <f t="shared" si="110"/>
        <v>J4001N</v>
      </c>
      <c r="E358" s="4" t="s">
        <v>342</v>
      </c>
      <c r="F358" s="4" t="str">
        <f t="shared" si="126"/>
        <v>J4001N5</v>
      </c>
      <c r="G358" s="4" t="s">
        <v>988</v>
      </c>
      <c r="H358" s="5">
        <v>4529671084127</v>
      </c>
      <c r="I358" s="5">
        <v>5</v>
      </c>
      <c r="J358" s="5"/>
      <c r="K358" s="5">
        <v>1</v>
      </c>
      <c r="L358" s="5">
        <v>1</v>
      </c>
      <c r="M358" s="4">
        <v>0</v>
      </c>
      <c r="N358" s="4">
        <v>1911</v>
      </c>
      <c r="O358" s="4">
        <v>1302</v>
      </c>
      <c r="P358" s="6">
        <f t="shared" si="111"/>
        <v>0.31868131868131866</v>
      </c>
      <c r="Q358" s="4" t="s">
        <v>1280</v>
      </c>
      <c r="R358" s="4" t="s">
        <v>1280</v>
      </c>
      <c r="S358" s="4" t="s">
        <v>1280</v>
      </c>
      <c r="T358" s="4">
        <v>0</v>
      </c>
      <c r="U358" s="4">
        <f t="shared" si="112"/>
        <v>0</v>
      </c>
      <c r="V358" s="4">
        <v>1422</v>
      </c>
      <c r="W358" s="4">
        <f t="shared" si="113"/>
        <v>1422</v>
      </c>
      <c r="X358" s="4"/>
      <c r="Y358" s="21">
        <f t="shared" si="114"/>
        <v>2087</v>
      </c>
      <c r="Z358" s="6">
        <f t="shared" si="115"/>
        <v>0.31863919501677052</v>
      </c>
      <c r="AA358" s="4">
        <v>0.75</v>
      </c>
      <c r="AB358" s="4" t="str">
        <f t="shared" si="116"/>
        <v>-</v>
      </c>
      <c r="AC358" s="4" t="str">
        <f t="shared" si="127"/>
        <v>-</v>
      </c>
      <c r="AD358" s="6" t="str">
        <f t="shared" si="128"/>
        <v>-</v>
      </c>
      <c r="AE358" s="4">
        <f t="shared" si="129"/>
        <v>0</v>
      </c>
      <c r="AF358" s="7">
        <v>1850</v>
      </c>
      <c r="AG358" s="6">
        <f t="shared" si="117"/>
        <v>0.23135135135135132</v>
      </c>
      <c r="AH358" s="4">
        <f t="shared" si="118"/>
        <v>428</v>
      </c>
      <c r="AI358" s="28"/>
      <c r="AJ358" s="6"/>
      <c r="AK358" s="6"/>
      <c r="AL358" s="6" t="e">
        <f t="shared" si="119"/>
        <v>#DIV/0!</v>
      </c>
      <c r="AM358" s="6">
        <f t="shared" si="120"/>
        <v>0.96807953950811099</v>
      </c>
      <c r="AN358" s="6">
        <f t="shared" si="121"/>
        <v>1.0921658986175116</v>
      </c>
      <c r="AO358" s="4" t="str">
        <f t="shared" si="122"/>
        <v>-</v>
      </c>
      <c r="AP358" s="4" t="str">
        <f t="shared" si="123"/>
        <v>-</v>
      </c>
      <c r="AQ358" s="4" t="str">
        <f t="shared" si="124"/>
        <v>-</v>
      </c>
      <c r="AR358" s="4">
        <v>0</v>
      </c>
      <c r="AS358" s="4" t="s">
        <v>1280</v>
      </c>
      <c r="AT358" s="4"/>
      <c r="AU358" s="4"/>
      <c r="AV358" s="4" t="s">
        <v>1280</v>
      </c>
      <c r="AW358" s="4" t="s">
        <v>1280</v>
      </c>
      <c r="AX358" s="4" t="s">
        <v>1280</v>
      </c>
      <c r="AY358" s="4" t="s">
        <v>1280</v>
      </c>
      <c r="AZ358" s="4" t="str">
        <f t="shared" si="125"/>
        <v>-</v>
      </c>
      <c r="BA358" s="19">
        <v>4</v>
      </c>
      <c r="BB358" s="19">
        <v>8</v>
      </c>
      <c r="BC358" s="16">
        <v>19</v>
      </c>
      <c r="BD358" t="s">
        <v>1280</v>
      </c>
      <c r="BE358" t="s">
        <v>1280</v>
      </c>
      <c r="BF358" t="s">
        <v>1280</v>
      </c>
      <c r="BG358" t="str">
        <f t="shared" si="130"/>
        <v>-</v>
      </c>
      <c r="BH358">
        <v>1694</v>
      </c>
      <c r="BI358">
        <v>1694</v>
      </c>
      <c r="BJ358">
        <v>1694</v>
      </c>
      <c r="BK358">
        <f t="shared" si="131"/>
        <v>1850.1290322580646</v>
      </c>
      <c r="BL358" t="s">
        <v>1280</v>
      </c>
      <c r="BM358">
        <v>812</v>
      </c>
    </row>
    <row r="359" spans="1:65" x14ac:dyDescent="0.4">
      <c r="A359" s="3">
        <v>358</v>
      </c>
      <c r="B359" s="3">
        <v>358</v>
      </c>
      <c r="C359" s="4" t="s">
        <v>347</v>
      </c>
      <c r="D359" s="4" t="str">
        <f t="shared" si="110"/>
        <v>J4008N</v>
      </c>
      <c r="E359" s="4" t="s">
        <v>347</v>
      </c>
      <c r="F359" s="4" t="str">
        <f t="shared" si="126"/>
        <v>J4008N5</v>
      </c>
      <c r="G359" s="4" t="s">
        <v>993</v>
      </c>
      <c r="H359" s="5">
        <v>4529671084196</v>
      </c>
      <c r="I359" s="5">
        <v>5</v>
      </c>
      <c r="J359" s="5"/>
      <c r="K359" s="5">
        <v>1</v>
      </c>
      <c r="L359" s="5">
        <v>1</v>
      </c>
      <c r="M359" s="4">
        <v>0</v>
      </c>
      <c r="N359" s="4">
        <v>1909</v>
      </c>
      <c r="O359" s="4">
        <v>1302</v>
      </c>
      <c r="P359" s="6">
        <f t="shared" si="111"/>
        <v>0.31796752226296487</v>
      </c>
      <c r="Q359" s="4" t="s">
        <v>1280</v>
      </c>
      <c r="R359" s="4" t="s">
        <v>1280</v>
      </c>
      <c r="S359" s="4" t="s">
        <v>1280</v>
      </c>
      <c r="T359" s="4">
        <v>0</v>
      </c>
      <c r="U359" s="4">
        <f t="shared" si="112"/>
        <v>0</v>
      </c>
      <c r="V359" s="4">
        <v>1422</v>
      </c>
      <c r="W359" s="4">
        <f t="shared" si="113"/>
        <v>1422</v>
      </c>
      <c r="X359" s="4"/>
      <c r="Y359" s="21">
        <f t="shared" si="114"/>
        <v>2085</v>
      </c>
      <c r="Z359" s="6">
        <f t="shared" si="115"/>
        <v>0.31798561151079141</v>
      </c>
      <c r="AA359" s="4">
        <v>0</v>
      </c>
      <c r="AB359" s="4">
        <f t="shared" si="116"/>
        <v>1044</v>
      </c>
      <c r="AC359" s="4">
        <f t="shared" si="127"/>
        <v>1140.221198156682</v>
      </c>
      <c r="AD359" s="6">
        <f t="shared" si="128"/>
        <v>-0.24712643678160928</v>
      </c>
      <c r="AE359" s="4">
        <f t="shared" si="129"/>
        <v>0</v>
      </c>
      <c r="AF359" s="7">
        <v>2180</v>
      </c>
      <c r="AG359" s="6">
        <f t="shared" si="117"/>
        <v>0.34770642201834867</v>
      </c>
      <c r="AH359" s="4">
        <f t="shared" si="118"/>
        <v>758</v>
      </c>
      <c r="AI359" s="28"/>
      <c r="AJ359" s="6"/>
      <c r="AK359" s="6"/>
      <c r="AL359" s="6" t="e">
        <f t="shared" si="119"/>
        <v>#DIV/0!</v>
      </c>
      <c r="AM359" s="6">
        <f t="shared" si="120"/>
        <v>1.141959140911472</v>
      </c>
      <c r="AN359" s="6">
        <f t="shared" si="121"/>
        <v>1.0921658986175116</v>
      </c>
      <c r="AO359" s="4" t="str">
        <f t="shared" si="122"/>
        <v>-</v>
      </c>
      <c r="AP359" s="4" t="str">
        <f t="shared" si="123"/>
        <v>-</v>
      </c>
      <c r="AQ359" s="4" t="str">
        <f t="shared" si="124"/>
        <v>-</v>
      </c>
      <c r="AR359" s="4">
        <v>0</v>
      </c>
      <c r="AS359" s="4" t="s">
        <v>1935</v>
      </c>
      <c r="AT359" s="4"/>
      <c r="AU359" s="4"/>
      <c r="AV359" s="4" t="s">
        <v>1936</v>
      </c>
      <c r="AW359" s="4">
        <v>1044</v>
      </c>
      <c r="AX359" s="4">
        <v>1044</v>
      </c>
      <c r="AY359" s="4">
        <v>1044</v>
      </c>
      <c r="AZ359" s="4">
        <f t="shared" si="125"/>
        <v>1044</v>
      </c>
      <c r="BA359" s="19">
        <v>4</v>
      </c>
      <c r="BB359" s="19">
        <v>8</v>
      </c>
      <c r="BC359" s="16">
        <v>19</v>
      </c>
      <c r="BD359" t="s">
        <v>1280</v>
      </c>
      <c r="BE359" t="s">
        <v>1280</v>
      </c>
      <c r="BF359" t="s">
        <v>1280</v>
      </c>
      <c r="BG359" t="str">
        <f t="shared" si="130"/>
        <v>-</v>
      </c>
      <c r="BH359">
        <v>2408</v>
      </c>
      <c r="BI359">
        <v>2408</v>
      </c>
      <c r="BJ359">
        <v>2408</v>
      </c>
      <c r="BK359">
        <f t="shared" si="131"/>
        <v>2629.9354838709678</v>
      </c>
      <c r="BL359" t="s">
        <v>1465</v>
      </c>
      <c r="BM359">
        <v>812</v>
      </c>
    </row>
    <row r="360" spans="1:65" x14ac:dyDescent="0.4">
      <c r="A360" s="3">
        <v>359</v>
      </c>
      <c r="B360" s="3">
        <v>359</v>
      </c>
      <c r="C360" s="4" t="s">
        <v>348</v>
      </c>
      <c r="D360" s="4" t="str">
        <f t="shared" si="110"/>
        <v>J4009N</v>
      </c>
      <c r="E360" s="4" t="s">
        <v>348</v>
      </c>
      <c r="F360" s="4" t="str">
        <f t="shared" si="126"/>
        <v>J4009N5</v>
      </c>
      <c r="G360" s="4" t="s">
        <v>994</v>
      </c>
      <c r="H360" s="5">
        <v>4529671084202</v>
      </c>
      <c r="I360" s="5">
        <v>5</v>
      </c>
      <c r="J360" s="5"/>
      <c r="K360" s="5">
        <v>1</v>
      </c>
      <c r="L360" s="5">
        <v>1</v>
      </c>
      <c r="M360" s="4">
        <v>0</v>
      </c>
      <c r="N360" s="4">
        <v>1909</v>
      </c>
      <c r="O360" s="4">
        <v>1302</v>
      </c>
      <c r="P360" s="6">
        <f t="shared" si="111"/>
        <v>0.31796752226296487</v>
      </c>
      <c r="Q360" s="4" t="s">
        <v>1280</v>
      </c>
      <c r="R360" s="4" t="s">
        <v>1280</v>
      </c>
      <c r="S360" s="4" t="s">
        <v>1280</v>
      </c>
      <c r="T360" s="4">
        <v>0</v>
      </c>
      <c r="U360" s="4">
        <f t="shared" si="112"/>
        <v>0</v>
      </c>
      <c r="V360" s="4">
        <v>1422</v>
      </c>
      <c r="W360" s="4">
        <f t="shared" si="113"/>
        <v>1422</v>
      </c>
      <c r="X360" s="4"/>
      <c r="Y360" s="21">
        <f t="shared" si="114"/>
        <v>2085</v>
      </c>
      <c r="Z360" s="6">
        <f t="shared" si="115"/>
        <v>0.31798561151079141</v>
      </c>
      <c r="AA360" s="4">
        <v>0</v>
      </c>
      <c r="AB360" s="4">
        <f t="shared" si="116"/>
        <v>1044</v>
      </c>
      <c r="AC360" s="4">
        <f t="shared" si="127"/>
        <v>1140.221198156682</v>
      </c>
      <c r="AD360" s="6">
        <f t="shared" si="128"/>
        <v>-0.24712643678160928</v>
      </c>
      <c r="AE360" s="4">
        <f t="shared" si="129"/>
        <v>0</v>
      </c>
      <c r="AF360" s="7">
        <v>2180</v>
      </c>
      <c r="AG360" s="6">
        <f t="shared" si="117"/>
        <v>0.34770642201834867</v>
      </c>
      <c r="AH360" s="4">
        <f t="shared" si="118"/>
        <v>758</v>
      </c>
      <c r="AI360" s="28"/>
      <c r="AJ360" s="6"/>
      <c r="AK360" s="6"/>
      <c r="AL360" s="6" t="e">
        <f t="shared" si="119"/>
        <v>#DIV/0!</v>
      </c>
      <c r="AM360" s="6">
        <f t="shared" si="120"/>
        <v>1.141959140911472</v>
      </c>
      <c r="AN360" s="6">
        <f t="shared" si="121"/>
        <v>1.0921658986175116</v>
      </c>
      <c r="AO360" s="4" t="str">
        <f t="shared" si="122"/>
        <v>-</v>
      </c>
      <c r="AP360" s="4" t="str">
        <f t="shared" si="123"/>
        <v>-</v>
      </c>
      <c r="AQ360" s="4" t="str">
        <f t="shared" si="124"/>
        <v>-</v>
      </c>
      <c r="AR360" s="4">
        <v>0</v>
      </c>
      <c r="AS360" s="4" t="s">
        <v>1937</v>
      </c>
      <c r="AT360" s="4"/>
      <c r="AU360" s="4"/>
      <c r="AV360" s="4" t="s">
        <v>1936</v>
      </c>
      <c r="AW360" s="4">
        <v>1044</v>
      </c>
      <c r="AX360" s="4">
        <v>1044</v>
      </c>
      <c r="AY360" s="4">
        <v>1044</v>
      </c>
      <c r="AZ360" s="4">
        <f t="shared" si="125"/>
        <v>1044</v>
      </c>
      <c r="BA360" s="19">
        <v>4</v>
      </c>
      <c r="BB360" s="19">
        <v>8</v>
      </c>
      <c r="BC360" s="16">
        <v>19</v>
      </c>
      <c r="BD360" t="s">
        <v>1280</v>
      </c>
      <c r="BE360" t="s">
        <v>1280</v>
      </c>
      <c r="BF360" t="s">
        <v>1280</v>
      </c>
      <c r="BG360" t="str">
        <f t="shared" si="130"/>
        <v>-</v>
      </c>
      <c r="BH360">
        <v>2408</v>
      </c>
      <c r="BI360">
        <v>2408</v>
      </c>
      <c r="BJ360">
        <v>2408</v>
      </c>
      <c r="BK360">
        <f t="shared" si="131"/>
        <v>2629.9354838709678</v>
      </c>
      <c r="BL360" t="s">
        <v>1466</v>
      </c>
      <c r="BM360">
        <v>812</v>
      </c>
    </row>
    <row r="361" spans="1:65" x14ac:dyDescent="0.4">
      <c r="A361" s="3">
        <v>360</v>
      </c>
      <c r="B361" s="3">
        <v>360</v>
      </c>
      <c r="C361" s="4" t="s">
        <v>349</v>
      </c>
      <c r="D361" s="4" t="str">
        <f t="shared" si="110"/>
        <v>J4010N</v>
      </c>
      <c r="E361" s="4" t="s">
        <v>349</v>
      </c>
      <c r="F361" s="4" t="str">
        <f t="shared" si="126"/>
        <v>J4010N5</v>
      </c>
      <c r="G361" s="4" t="s">
        <v>995</v>
      </c>
      <c r="H361" s="5">
        <v>4529671084219</v>
      </c>
      <c r="I361" s="5">
        <v>5</v>
      </c>
      <c r="J361" s="5"/>
      <c r="K361" s="5">
        <v>1</v>
      </c>
      <c r="L361" s="5">
        <v>1</v>
      </c>
      <c r="M361" s="4">
        <v>0</v>
      </c>
      <c r="N361" s="4">
        <v>1909</v>
      </c>
      <c r="O361" s="4">
        <v>1302</v>
      </c>
      <c r="P361" s="6">
        <f t="shared" si="111"/>
        <v>0.31796752226296487</v>
      </c>
      <c r="Q361" s="4" t="s">
        <v>1280</v>
      </c>
      <c r="R361" s="4" t="s">
        <v>1280</v>
      </c>
      <c r="S361" s="4" t="s">
        <v>1280</v>
      </c>
      <c r="T361" s="4">
        <v>0</v>
      </c>
      <c r="U361" s="4">
        <f t="shared" si="112"/>
        <v>0</v>
      </c>
      <c r="V361" s="4">
        <v>1422</v>
      </c>
      <c r="W361" s="4">
        <f t="shared" si="113"/>
        <v>1422</v>
      </c>
      <c r="X361" s="4"/>
      <c r="Y361" s="21">
        <f t="shared" si="114"/>
        <v>2085</v>
      </c>
      <c r="Z361" s="6">
        <f t="shared" si="115"/>
        <v>0.31798561151079141</v>
      </c>
      <c r="AA361" s="4">
        <v>0</v>
      </c>
      <c r="AB361" s="4">
        <f t="shared" si="116"/>
        <v>1044</v>
      </c>
      <c r="AC361" s="4">
        <f t="shared" si="127"/>
        <v>1140.221198156682</v>
      </c>
      <c r="AD361" s="6">
        <f t="shared" si="128"/>
        <v>-0.24712643678160928</v>
      </c>
      <c r="AE361" s="4">
        <f t="shared" si="129"/>
        <v>0</v>
      </c>
      <c r="AF361" s="7">
        <v>2180</v>
      </c>
      <c r="AG361" s="6">
        <f t="shared" si="117"/>
        <v>0.34770642201834867</v>
      </c>
      <c r="AH361" s="4">
        <f t="shared" si="118"/>
        <v>758</v>
      </c>
      <c r="AI361" s="28"/>
      <c r="AJ361" s="6"/>
      <c r="AK361" s="6"/>
      <c r="AL361" s="6" t="e">
        <f t="shared" si="119"/>
        <v>#DIV/0!</v>
      </c>
      <c r="AM361" s="6">
        <f t="shared" si="120"/>
        <v>1.141959140911472</v>
      </c>
      <c r="AN361" s="6">
        <f t="shared" si="121"/>
        <v>1.0921658986175116</v>
      </c>
      <c r="AO361" s="4" t="str">
        <f t="shared" si="122"/>
        <v>-</v>
      </c>
      <c r="AP361" s="4" t="str">
        <f t="shared" si="123"/>
        <v>-</v>
      </c>
      <c r="AQ361" s="4" t="str">
        <f t="shared" si="124"/>
        <v>-</v>
      </c>
      <c r="AR361" s="4">
        <v>0</v>
      </c>
      <c r="AS361" s="4" t="s">
        <v>1938</v>
      </c>
      <c r="AT361" s="4"/>
      <c r="AU361" s="4"/>
      <c r="AV361" s="4" t="s">
        <v>1936</v>
      </c>
      <c r="AW361" s="4">
        <v>1044</v>
      </c>
      <c r="AX361" s="4">
        <v>1044</v>
      </c>
      <c r="AY361" s="4">
        <v>1044</v>
      </c>
      <c r="AZ361" s="4">
        <f t="shared" si="125"/>
        <v>1044</v>
      </c>
      <c r="BA361" s="19">
        <v>4</v>
      </c>
      <c r="BB361" s="19">
        <v>8</v>
      </c>
      <c r="BC361" s="16">
        <v>19</v>
      </c>
      <c r="BD361" t="s">
        <v>1280</v>
      </c>
      <c r="BE361" t="s">
        <v>1280</v>
      </c>
      <c r="BF361" t="s">
        <v>1280</v>
      </c>
      <c r="BG361" t="str">
        <f t="shared" si="130"/>
        <v>-</v>
      </c>
      <c r="BH361">
        <v>2408</v>
      </c>
      <c r="BI361">
        <v>2408</v>
      </c>
      <c r="BJ361">
        <v>2408</v>
      </c>
      <c r="BK361">
        <f t="shared" si="131"/>
        <v>2629.9354838709678</v>
      </c>
      <c r="BL361" t="s">
        <v>1467</v>
      </c>
      <c r="BM361">
        <v>812</v>
      </c>
    </row>
    <row r="362" spans="1:65" x14ac:dyDescent="0.4">
      <c r="A362" s="3">
        <v>361</v>
      </c>
      <c r="B362" s="3">
        <v>361</v>
      </c>
      <c r="C362" s="4" t="s">
        <v>350</v>
      </c>
      <c r="D362" s="4" t="str">
        <f t="shared" si="110"/>
        <v>J4011N</v>
      </c>
      <c r="E362" s="4" t="s">
        <v>350</v>
      </c>
      <c r="F362" s="4" t="str">
        <f t="shared" si="126"/>
        <v>J4011N5</v>
      </c>
      <c r="G362" s="4" t="s">
        <v>996</v>
      </c>
      <c r="H362" s="5">
        <v>4529671084226</v>
      </c>
      <c r="I362" s="5">
        <v>5</v>
      </c>
      <c r="J362" s="5"/>
      <c r="K362" s="5">
        <v>1</v>
      </c>
      <c r="L362" s="5">
        <v>1</v>
      </c>
      <c r="M362" s="4">
        <v>0</v>
      </c>
      <c r="N362" s="4">
        <v>1909</v>
      </c>
      <c r="O362" s="4">
        <v>1302</v>
      </c>
      <c r="P362" s="6">
        <f t="shared" si="111"/>
        <v>0.31796752226296487</v>
      </c>
      <c r="Q362" s="4" t="s">
        <v>1280</v>
      </c>
      <c r="R362" s="4" t="s">
        <v>1280</v>
      </c>
      <c r="S362" s="4" t="s">
        <v>1280</v>
      </c>
      <c r="T362" s="4">
        <v>0</v>
      </c>
      <c r="U362" s="4">
        <f t="shared" si="112"/>
        <v>0</v>
      </c>
      <c r="V362" s="4">
        <v>1422</v>
      </c>
      <c r="W362" s="4">
        <f t="shared" si="113"/>
        <v>1422</v>
      </c>
      <c r="X362" s="4"/>
      <c r="Y362" s="21">
        <f t="shared" si="114"/>
        <v>2085</v>
      </c>
      <c r="Z362" s="6">
        <f t="shared" si="115"/>
        <v>0.31798561151079141</v>
      </c>
      <c r="AA362" s="4">
        <v>0</v>
      </c>
      <c r="AB362" s="4">
        <f t="shared" si="116"/>
        <v>1044</v>
      </c>
      <c r="AC362" s="4">
        <f t="shared" si="127"/>
        <v>1140.221198156682</v>
      </c>
      <c r="AD362" s="6">
        <f t="shared" si="128"/>
        <v>-0.24712643678160928</v>
      </c>
      <c r="AE362" s="4">
        <f t="shared" si="129"/>
        <v>0</v>
      </c>
      <c r="AF362" s="7">
        <v>2180</v>
      </c>
      <c r="AG362" s="6">
        <f t="shared" si="117"/>
        <v>0.34770642201834867</v>
      </c>
      <c r="AH362" s="4">
        <f t="shared" si="118"/>
        <v>758</v>
      </c>
      <c r="AI362" s="28"/>
      <c r="AJ362" s="6"/>
      <c r="AK362" s="6"/>
      <c r="AL362" s="6" t="e">
        <f t="shared" si="119"/>
        <v>#DIV/0!</v>
      </c>
      <c r="AM362" s="6">
        <f t="shared" si="120"/>
        <v>1.141959140911472</v>
      </c>
      <c r="AN362" s="6">
        <f t="shared" si="121"/>
        <v>1.0921658986175116</v>
      </c>
      <c r="AO362" s="4" t="str">
        <f t="shared" si="122"/>
        <v>-</v>
      </c>
      <c r="AP362" s="4" t="str">
        <f t="shared" si="123"/>
        <v>-</v>
      </c>
      <c r="AQ362" s="4" t="str">
        <f t="shared" si="124"/>
        <v>-</v>
      </c>
      <c r="AR362" s="4">
        <v>0</v>
      </c>
      <c r="AS362" s="4" t="s">
        <v>1939</v>
      </c>
      <c r="AT362" s="4"/>
      <c r="AU362" s="4"/>
      <c r="AV362" s="4" t="s">
        <v>1936</v>
      </c>
      <c r="AW362" s="4">
        <v>1044</v>
      </c>
      <c r="AX362" s="4">
        <v>1044</v>
      </c>
      <c r="AY362" s="4">
        <v>1044</v>
      </c>
      <c r="AZ362" s="4">
        <f t="shared" si="125"/>
        <v>1044</v>
      </c>
      <c r="BA362" s="19">
        <v>4</v>
      </c>
      <c r="BB362" s="19">
        <v>8</v>
      </c>
      <c r="BC362" s="16">
        <v>19</v>
      </c>
      <c r="BD362" t="s">
        <v>1280</v>
      </c>
      <c r="BE362" t="s">
        <v>1280</v>
      </c>
      <c r="BF362" t="s">
        <v>1280</v>
      </c>
      <c r="BG362" t="str">
        <f t="shared" si="130"/>
        <v>-</v>
      </c>
      <c r="BH362">
        <v>2408</v>
      </c>
      <c r="BI362">
        <v>2408</v>
      </c>
      <c r="BJ362">
        <v>2408</v>
      </c>
      <c r="BK362">
        <f t="shared" si="131"/>
        <v>2629.9354838709678</v>
      </c>
      <c r="BL362" t="s">
        <v>1468</v>
      </c>
      <c r="BM362">
        <v>812</v>
      </c>
    </row>
    <row r="363" spans="1:65" x14ac:dyDescent="0.4">
      <c r="A363" s="3">
        <v>362</v>
      </c>
      <c r="B363" s="3">
        <v>362</v>
      </c>
      <c r="C363" s="4" t="s">
        <v>351</v>
      </c>
      <c r="D363" s="4" t="str">
        <f t="shared" si="110"/>
        <v>J4012N</v>
      </c>
      <c r="E363" s="4" t="s">
        <v>351</v>
      </c>
      <c r="F363" s="4" t="str">
        <f t="shared" si="126"/>
        <v>J4012N5</v>
      </c>
      <c r="G363" s="4" t="s">
        <v>997</v>
      </c>
      <c r="H363" s="5">
        <v>4529671084233</v>
      </c>
      <c r="I363" s="5">
        <v>5</v>
      </c>
      <c r="J363" s="5"/>
      <c r="K363" s="5">
        <v>1</v>
      </c>
      <c r="L363" s="5">
        <v>1</v>
      </c>
      <c r="M363" s="4">
        <v>0</v>
      </c>
      <c r="N363" s="4">
        <v>1909</v>
      </c>
      <c r="O363" s="4">
        <v>1302</v>
      </c>
      <c r="P363" s="6">
        <f t="shared" si="111"/>
        <v>0.31796752226296487</v>
      </c>
      <c r="Q363" s="4" t="s">
        <v>1280</v>
      </c>
      <c r="R363" s="4" t="s">
        <v>1280</v>
      </c>
      <c r="S363" s="4" t="s">
        <v>1280</v>
      </c>
      <c r="T363" s="4">
        <v>0</v>
      </c>
      <c r="U363" s="4">
        <f t="shared" si="112"/>
        <v>0</v>
      </c>
      <c r="V363" s="4">
        <v>1422</v>
      </c>
      <c r="W363" s="4">
        <f t="shared" si="113"/>
        <v>1422</v>
      </c>
      <c r="X363" s="4"/>
      <c r="Y363" s="21">
        <f t="shared" si="114"/>
        <v>2085</v>
      </c>
      <c r="Z363" s="6">
        <f t="shared" si="115"/>
        <v>0.31798561151079141</v>
      </c>
      <c r="AA363" s="4">
        <v>0</v>
      </c>
      <c r="AB363" s="4">
        <f t="shared" si="116"/>
        <v>1044</v>
      </c>
      <c r="AC363" s="4">
        <f t="shared" si="127"/>
        <v>1140.221198156682</v>
      </c>
      <c r="AD363" s="6">
        <f t="shared" si="128"/>
        <v>-0.24712643678160928</v>
      </c>
      <c r="AE363" s="4">
        <f t="shared" si="129"/>
        <v>0</v>
      </c>
      <c r="AF363" s="7">
        <v>2180</v>
      </c>
      <c r="AG363" s="6">
        <f t="shared" si="117"/>
        <v>0.34770642201834867</v>
      </c>
      <c r="AH363" s="4">
        <f t="shared" si="118"/>
        <v>758</v>
      </c>
      <c r="AI363" s="28"/>
      <c r="AJ363" s="6"/>
      <c r="AK363" s="6"/>
      <c r="AL363" s="6" t="e">
        <f t="shared" si="119"/>
        <v>#DIV/0!</v>
      </c>
      <c r="AM363" s="6">
        <f t="shared" si="120"/>
        <v>1.141959140911472</v>
      </c>
      <c r="AN363" s="6">
        <f t="shared" si="121"/>
        <v>1.0921658986175116</v>
      </c>
      <c r="AO363" s="4" t="str">
        <f t="shared" si="122"/>
        <v>-</v>
      </c>
      <c r="AP363" s="4" t="str">
        <f t="shared" si="123"/>
        <v>-</v>
      </c>
      <c r="AQ363" s="4" t="str">
        <f t="shared" si="124"/>
        <v>-</v>
      </c>
      <c r="AR363" s="4">
        <v>0</v>
      </c>
      <c r="AS363" s="4" t="s">
        <v>1940</v>
      </c>
      <c r="AT363" s="4"/>
      <c r="AU363" s="4"/>
      <c r="AV363" s="4" t="s">
        <v>1936</v>
      </c>
      <c r="AW363" s="4">
        <v>1044</v>
      </c>
      <c r="AX363" s="4">
        <v>1044</v>
      </c>
      <c r="AY363" s="4">
        <v>1044</v>
      </c>
      <c r="AZ363" s="4">
        <f t="shared" si="125"/>
        <v>1044</v>
      </c>
      <c r="BA363" s="19">
        <v>4</v>
      </c>
      <c r="BB363" s="19">
        <v>8</v>
      </c>
      <c r="BC363" s="16">
        <v>19</v>
      </c>
      <c r="BD363" t="s">
        <v>1280</v>
      </c>
      <c r="BE363" t="s">
        <v>1280</v>
      </c>
      <c r="BF363" t="s">
        <v>1280</v>
      </c>
      <c r="BG363" t="str">
        <f t="shared" si="130"/>
        <v>-</v>
      </c>
      <c r="BH363">
        <v>2408</v>
      </c>
      <c r="BI363">
        <v>2408</v>
      </c>
      <c r="BJ363">
        <v>2408</v>
      </c>
      <c r="BK363">
        <f t="shared" si="131"/>
        <v>2629.9354838709678</v>
      </c>
      <c r="BL363" t="s">
        <v>1469</v>
      </c>
      <c r="BM363">
        <v>812</v>
      </c>
    </row>
    <row r="364" spans="1:65" x14ac:dyDescent="0.4">
      <c r="A364" s="3">
        <v>363</v>
      </c>
      <c r="B364" s="3">
        <v>363</v>
      </c>
      <c r="C364" s="4" t="s">
        <v>352</v>
      </c>
      <c r="D364" s="4" t="str">
        <f t="shared" si="110"/>
        <v>J4013N</v>
      </c>
      <c r="E364" s="4" t="s">
        <v>352</v>
      </c>
      <c r="F364" s="4" t="str">
        <f t="shared" si="126"/>
        <v>J4013N5</v>
      </c>
      <c r="G364" s="4" t="s">
        <v>998</v>
      </c>
      <c r="H364" s="5">
        <v>4529671084240</v>
      </c>
      <c r="I364" s="5">
        <v>5</v>
      </c>
      <c r="J364" s="5"/>
      <c r="K364" s="5">
        <v>1</v>
      </c>
      <c r="L364" s="5">
        <v>1</v>
      </c>
      <c r="M364" s="4">
        <v>0</v>
      </c>
      <c r="N364" s="4">
        <v>1909</v>
      </c>
      <c r="O364" s="4">
        <v>1302</v>
      </c>
      <c r="P364" s="6">
        <f t="shared" si="111"/>
        <v>0.31796752226296487</v>
      </c>
      <c r="Q364" s="4" t="s">
        <v>1280</v>
      </c>
      <c r="R364" s="4" t="s">
        <v>1280</v>
      </c>
      <c r="S364" s="4" t="s">
        <v>1280</v>
      </c>
      <c r="T364" s="4">
        <v>0</v>
      </c>
      <c r="U364" s="4">
        <f t="shared" si="112"/>
        <v>0</v>
      </c>
      <c r="V364" s="4">
        <v>1422</v>
      </c>
      <c r="W364" s="4">
        <f t="shared" si="113"/>
        <v>1422</v>
      </c>
      <c r="X364" s="4"/>
      <c r="Y364" s="21">
        <f t="shared" si="114"/>
        <v>2085</v>
      </c>
      <c r="Z364" s="6">
        <f t="shared" si="115"/>
        <v>0.31798561151079141</v>
      </c>
      <c r="AA364" s="4">
        <v>0</v>
      </c>
      <c r="AB364" s="4">
        <f t="shared" si="116"/>
        <v>1044</v>
      </c>
      <c r="AC364" s="4">
        <f t="shared" si="127"/>
        <v>1140.221198156682</v>
      </c>
      <c r="AD364" s="6">
        <f t="shared" si="128"/>
        <v>-0.24712643678160928</v>
      </c>
      <c r="AE364" s="4">
        <f t="shared" si="129"/>
        <v>0</v>
      </c>
      <c r="AF364" s="7">
        <v>2180</v>
      </c>
      <c r="AG364" s="6">
        <f t="shared" si="117"/>
        <v>0.34770642201834867</v>
      </c>
      <c r="AH364" s="4">
        <f t="shared" si="118"/>
        <v>758</v>
      </c>
      <c r="AI364" s="28"/>
      <c r="AJ364" s="6"/>
      <c r="AK364" s="6"/>
      <c r="AL364" s="6" t="e">
        <f t="shared" si="119"/>
        <v>#DIV/0!</v>
      </c>
      <c r="AM364" s="6">
        <f t="shared" si="120"/>
        <v>1.141959140911472</v>
      </c>
      <c r="AN364" s="6">
        <f t="shared" si="121"/>
        <v>1.0921658986175116</v>
      </c>
      <c r="AO364" s="4" t="str">
        <f t="shared" si="122"/>
        <v>-</v>
      </c>
      <c r="AP364" s="4" t="str">
        <f t="shared" si="123"/>
        <v>-</v>
      </c>
      <c r="AQ364" s="4" t="str">
        <f t="shared" si="124"/>
        <v>-</v>
      </c>
      <c r="AR364" s="4">
        <v>0</v>
      </c>
      <c r="AS364" s="4" t="s">
        <v>1941</v>
      </c>
      <c r="AT364" s="4"/>
      <c r="AU364" s="4"/>
      <c r="AV364" s="4" t="s">
        <v>1936</v>
      </c>
      <c r="AW364" s="4">
        <v>1044</v>
      </c>
      <c r="AX364" s="4">
        <v>1044</v>
      </c>
      <c r="AY364" s="4">
        <v>1044</v>
      </c>
      <c r="AZ364" s="4">
        <f t="shared" si="125"/>
        <v>1044</v>
      </c>
      <c r="BA364" s="19">
        <v>4</v>
      </c>
      <c r="BB364" s="19">
        <v>8</v>
      </c>
      <c r="BC364" s="16">
        <v>19</v>
      </c>
      <c r="BD364" t="s">
        <v>1280</v>
      </c>
      <c r="BE364" t="s">
        <v>1280</v>
      </c>
      <c r="BF364" t="s">
        <v>1280</v>
      </c>
      <c r="BG364" t="str">
        <f t="shared" si="130"/>
        <v>-</v>
      </c>
      <c r="BH364">
        <v>2408</v>
      </c>
      <c r="BI364">
        <v>2408</v>
      </c>
      <c r="BJ364">
        <v>2408</v>
      </c>
      <c r="BK364">
        <f t="shared" si="131"/>
        <v>2629.9354838709678</v>
      </c>
      <c r="BL364" t="s">
        <v>1470</v>
      </c>
      <c r="BM364">
        <v>812</v>
      </c>
    </row>
    <row r="365" spans="1:65" x14ac:dyDescent="0.4">
      <c r="A365" s="3">
        <v>364</v>
      </c>
      <c r="B365" s="3">
        <v>364</v>
      </c>
      <c r="C365" s="4" t="s">
        <v>353</v>
      </c>
      <c r="D365" s="4" t="str">
        <f t="shared" si="110"/>
        <v>J4014N</v>
      </c>
      <c r="E365" s="4" t="s">
        <v>353</v>
      </c>
      <c r="F365" s="4" t="str">
        <f t="shared" si="126"/>
        <v>J4014N5</v>
      </c>
      <c r="G365" s="4" t="s">
        <v>999</v>
      </c>
      <c r="H365" s="5">
        <v>4529671084257</v>
      </c>
      <c r="I365" s="5">
        <v>5</v>
      </c>
      <c r="J365" s="5"/>
      <c r="K365" s="5">
        <v>1</v>
      </c>
      <c r="L365" s="5">
        <v>1</v>
      </c>
      <c r="M365" s="4">
        <v>0</v>
      </c>
      <c r="N365" s="4">
        <v>1909</v>
      </c>
      <c r="O365" s="4">
        <v>1302</v>
      </c>
      <c r="P365" s="6">
        <f t="shared" si="111"/>
        <v>0.31796752226296487</v>
      </c>
      <c r="Q365" s="4" t="s">
        <v>1280</v>
      </c>
      <c r="R365" s="4" t="s">
        <v>1280</v>
      </c>
      <c r="S365" s="4" t="s">
        <v>1280</v>
      </c>
      <c r="T365" s="4">
        <v>0</v>
      </c>
      <c r="U365" s="4">
        <f t="shared" si="112"/>
        <v>0</v>
      </c>
      <c r="V365" s="4">
        <v>1422</v>
      </c>
      <c r="W365" s="4">
        <f t="shared" si="113"/>
        <v>1422</v>
      </c>
      <c r="X365" s="4"/>
      <c r="Y365" s="21">
        <f t="shared" si="114"/>
        <v>2085</v>
      </c>
      <c r="Z365" s="6">
        <f t="shared" si="115"/>
        <v>0.31798561151079141</v>
      </c>
      <c r="AA365" s="4">
        <v>0</v>
      </c>
      <c r="AB365" s="4">
        <f t="shared" si="116"/>
        <v>1044</v>
      </c>
      <c r="AC365" s="4">
        <f t="shared" si="127"/>
        <v>1140.221198156682</v>
      </c>
      <c r="AD365" s="6">
        <f t="shared" si="128"/>
        <v>-0.24712643678160928</v>
      </c>
      <c r="AE365" s="4">
        <f t="shared" si="129"/>
        <v>0</v>
      </c>
      <c r="AF365" s="7">
        <v>2180</v>
      </c>
      <c r="AG365" s="6">
        <f t="shared" si="117"/>
        <v>0.34770642201834867</v>
      </c>
      <c r="AH365" s="4">
        <f t="shared" si="118"/>
        <v>758</v>
      </c>
      <c r="AI365" s="28"/>
      <c r="AJ365" s="6"/>
      <c r="AK365" s="6"/>
      <c r="AL365" s="6" t="e">
        <f t="shared" si="119"/>
        <v>#DIV/0!</v>
      </c>
      <c r="AM365" s="6">
        <f t="shared" si="120"/>
        <v>1.141959140911472</v>
      </c>
      <c r="AN365" s="6">
        <f t="shared" si="121"/>
        <v>1.0921658986175116</v>
      </c>
      <c r="AO365" s="4" t="str">
        <f t="shared" si="122"/>
        <v>-</v>
      </c>
      <c r="AP365" s="4" t="str">
        <f t="shared" si="123"/>
        <v>-</v>
      </c>
      <c r="AQ365" s="4" t="str">
        <f t="shared" si="124"/>
        <v>-</v>
      </c>
      <c r="AR365" s="4">
        <v>0</v>
      </c>
      <c r="AS365" s="4" t="s">
        <v>1942</v>
      </c>
      <c r="AT365" s="4"/>
      <c r="AU365" s="4"/>
      <c r="AV365" s="4" t="s">
        <v>1936</v>
      </c>
      <c r="AW365" s="4">
        <v>1044</v>
      </c>
      <c r="AX365" s="4">
        <v>1044</v>
      </c>
      <c r="AY365" s="4">
        <v>1044</v>
      </c>
      <c r="AZ365" s="4">
        <f t="shared" si="125"/>
        <v>1044</v>
      </c>
      <c r="BA365" s="19">
        <v>4</v>
      </c>
      <c r="BB365" s="19">
        <v>8</v>
      </c>
      <c r="BC365" s="16">
        <v>19</v>
      </c>
      <c r="BD365" t="s">
        <v>1280</v>
      </c>
      <c r="BE365" t="s">
        <v>1280</v>
      </c>
      <c r="BF365" t="s">
        <v>1280</v>
      </c>
      <c r="BG365" t="str">
        <f t="shared" si="130"/>
        <v>-</v>
      </c>
      <c r="BH365">
        <v>2408</v>
      </c>
      <c r="BI365">
        <v>2408</v>
      </c>
      <c r="BJ365">
        <v>2408</v>
      </c>
      <c r="BK365">
        <f t="shared" si="131"/>
        <v>2629.9354838709678</v>
      </c>
      <c r="BL365" t="s">
        <v>1471</v>
      </c>
      <c r="BM365">
        <v>812</v>
      </c>
    </row>
    <row r="366" spans="1:65" x14ac:dyDescent="0.4">
      <c r="A366" s="3">
        <v>365</v>
      </c>
      <c r="B366" s="3">
        <v>365</v>
      </c>
      <c r="C366" s="4" t="s">
        <v>354</v>
      </c>
      <c r="D366" s="4" t="str">
        <f t="shared" si="110"/>
        <v>J4015N</v>
      </c>
      <c r="E366" s="4" t="s">
        <v>354</v>
      </c>
      <c r="F366" s="4" t="str">
        <f t="shared" si="126"/>
        <v>J4015N5</v>
      </c>
      <c r="G366" s="4" t="s">
        <v>1000</v>
      </c>
      <c r="H366" s="5">
        <v>4529671084400</v>
      </c>
      <c r="I366" s="5">
        <v>5</v>
      </c>
      <c r="J366" s="5"/>
      <c r="K366" s="5">
        <v>1</v>
      </c>
      <c r="L366" s="5">
        <v>1</v>
      </c>
      <c r="M366" s="4">
        <v>0</v>
      </c>
      <c r="N366" s="4">
        <v>1909</v>
      </c>
      <c r="O366" s="4">
        <v>1302</v>
      </c>
      <c r="P366" s="6">
        <f t="shared" si="111"/>
        <v>0.31796752226296487</v>
      </c>
      <c r="Q366" s="4" t="s">
        <v>1280</v>
      </c>
      <c r="R366" s="4" t="s">
        <v>1280</v>
      </c>
      <c r="S366" s="4" t="s">
        <v>1280</v>
      </c>
      <c r="T366" s="4">
        <v>0</v>
      </c>
      <c r="U366" s="4">
        <f t="shared" si="112"/>
        <v>0</v>
      </c>
      <c r="V366" s="4">
        <v>1422</v>
      </c>
      <c r="W366" s="4">
        <f t="shared" si="113"/>
        <v>1422</v>
      </c>
      <c r="X366" s="4"/>
      <c r="Y366" s="21">
        <f t="shared" si="114"/>
        <v>2085</v>
      </c>
      <c r="Z366" s="6">
        <f t="shared" si="115"/>
        <v>0.31798561151079141</v>
      </c>
      <c r="AA366" s="4">
        <v>0</v>
      </c>
      <c r="AB366" s="4" t="str">
        <f t="shared" si="116"/>
        <v>-</v>
      </c>
      <c r="AC366" s="4" t="str">
        <f t="shared" si="127"/>
        <v>-</v>
      </c>
      <c r="AD366" s="6" t="str">
        <f t="shared" si="128"/>
        <v>-</v>
      </c>
      <c r="AE366" s="4">
        <f t="shared" si="129"/>
        <v>0</v>
      </c>
      <c r="AF366" s="7">
        <v>2180</v>
      </c>
      <c r="AG366" s="6">
        <f t="shared" si="117"/>
        <v>0.34770642201834867</v>
      </c>
      <c r="AH366" s="4">
        <f t="shared" si="118"/>
        <v>758</v>
      </c>
      <c r="AI366" s="28"/>
      <c r="AJ366" s="6"/>
      <c r="AK366" s="6"/>
      <c r="AL366" s="6" t="e">
        <f t="shared" si="119"/>
        <v>#DIV/0!</v>
      </c>
      <c r="AM366" s="6">
        <f t="shared" si="120"/>
        <v>1.141959140911472</v>
      </c>
      <c r="AN366" s="6">
        <f t="shared" si="121"/>
        <v>1.0921658986175116</v>
      </c>
      <c r="AO366" s="4" t="str">
        <f t="shared" si="122"/>
        <v>-</v>
      </c>
      <c r="AP366" s="4" t="str">
        <f t="shared" si="123"/>
        <v>-</v>
      </c>
      <c r="AQ366" s="4" t="str">
        <f t="shared" si="124"/>
        <v>-</v>
      </c>
      <c r="AR366" s="4">
        <v>0</v>
      </c>
      <c r="AS366" s="4" t="s">
        <v>1280</v>
      </c>
      <c r="AT366" s="4"/>
      <c r="AU366" s="4"/>
      <c r="AV366" s="4" t="s">
        <v>1280</v>
      </c>
      <c r="AW366" s="4" t="s">
        <v>1280</v>
      </c>
      <c r="AX366" s="4" t="s">
        <v>1280</v>
      </c>
      <c r="AY366" s="4" t="s">
        <v>1280</v>
      </c>
      <c r="AZ366" s="4" t="str">
        <f t="shared" si="125"/>
        <v>-</v>
      </c>
      <c r="BA366" s="19">
        <v>4</v>
      </c>
      <c r="BB366" s="19">
        <v>8</v>
      </c>
      <c r="BC366" s="16">
        <v>19</v>
      </c>
      <c r="BD366" t="s">
        <v>1280</v>
      </c>
      <c r="BE366" t="s">
        <v>1280</v>
      </c>
      <c r="BF366" t="s">
        <v>1280</v>
      </c>
      <c r="BG366" t="str">
        <f t="shared" si="130"/>
        <v>-</v>
      </c>
      <c r="BH366">
        <v>1694</v>
      </c>
      <c r="BI366">
        <v>1694</v>
      </c>
      <c r="BJ366">
        <v>1694</v>
      </c>
      <c r="BK366">
        <f t="shared" si="131"/>
        <v>1850.1290322580646</v>
      </c>
      <c r="BL366" t="s">
        <v>1280</v>
      </c>
      <c r="BM366">
        <v>812</v>
      </c>
    </row>
    <row r="367" spans="1:65" x14ac:dyDescent="0.4">
      <c r="A367" s="3">
        <v>488</v>
      </c>
      <c r="B367" s="3">
        <v>488</v>
      </c>
      <c r="C367" s="4" t="s">
        <v>477</v>
      </c>
      <c r="D367" s="4" t="str">
        <f t="shared" si="110"/>
        <v>J6480N</v>
      </c>
      <c r="E367" s="4" t="s">
        <v>477</v>
      </c>
      <c r="F367" s="4" t="str">
        <f t="shared" si="126"/>
        <v>J6480N5</v>
      </c>
      <c r="G367" s="4" t="s">
        <v>1121</v>
      </c>
      <c r="H367" s="5">
        <v>4974268254436</v>
      </c>
      <c r="I367" s="5">
        <v>5</v>
      </c>
      <c r="J367" s="5"/>
      <c r="K367" s="5">
        <v>1</v>
      </c>
      <c r="L367" s="5">
        <v>1</v>
      </c>
      <c r="M367" s="4">
        <v>1900</v>
      </c>
      <c r="N367" s="4">
        <v>1789</v>
      </c>
      <c r="O367" s="4">
        <v>1140</v>
      </c>
      <c r="P367" s="6">
        <f t="shared" si="111"/>
        <v>0.36277249860257121</v>
      </c>
      <c r="Q367" s="4" t="s">
        <v>1280</v>
      </c>
      <c r="R367" s="4" t="s">
        <v>1280</v>
      </c>
      <c r="S367" s="4" t="s">
        <v>1280</v>
      </c>
      <c r="T367" s="4">
        <v>2400</v>
      </c>
      <c r="U367" s="4">
        <f t="shared" si="112"/>
        <v>2400</v>
      </c>
      <c r="V367" s="4">
        <v>1440</v>
      </c>
      <c r="W367" s="4">
        <f t="shared" si="113"/>
        <v>1440</v>
      </c>
      <c r="X367" s="4"/>
      <c r="Y367" s="21">
        <f t="shared" si="114"/>
        <v>2260</v>
      </c>
      <c r="Z367" s="6">
        <f t="shared" si="115"/>
        <v>0.36283185840707965</v>
      </c>
      <c r="AA367" s="4">
        <v>0.75</v>
      </c>
      <c r="AB367" s="4">
        <f t="shared" si="116"/>
        <v>1727.2</v>
      </c>
      <c r="AC367" s="4">
        <f t="shared" si="127"/>
        <v>2181.7263157894736</v>
      </c>
      <c r="AD367" s="6">
        <f t="shared" si="128"/>
        <v>0.33997220935618333</v>
      </c>
      <c r="AE367" s="4">
        <f t="shared" si="129"/>
        <v>2280</v>
      </c>
      <c r="AF367" s="7">
        <v>2180</v>
      </c>
      <c r="AG367" s="6">
        <f t="shared" si="117"/>
        <v>0.33944954128440363</v>
      </c>
      <c r="AH367" s="4">
        <f t="shared" si="118"/>
        <v>740</v>
      </c>
      <c r="AI367" s="28"/>
      <c r="AJ367" s="6"/>
      <c r="AK367" s="6"/>
      <c r="AL367" s="6">
        <f t="shared" si="119"/>
        <v>1.263157894736842</v>
      </c>
      <c r="AM367" s="6">
        <f t="shared" si="120"/>
        <v>1.218557853549469</v>
      </c>
      <c r="AN367" s="6">
        <f t="shared" si="121"/>
        <v>1.263157894736842</v>
      </c>
      <c r="AO367" s="4" t="str">
        <f t="shared" si="122"/>
        <v>-</v>
      </c>
      <c r="AP367" s="4" t="str">
        <f t="shared" si="123"/>
        <v>-</v>
      </c>
      <c r="AQ367" s="4" t="str">
        <f t="shared" si="124"/>
        <v>-</v>
      </c>
      <c r="AR367" s="4">
        <v>0</v>
      </c>
      <c r="AS367" s="4" t="s">
        <v>2047</v>
      </c>
      <c r="AT367" s="4">
        <v>1</v>
      </c>
      <c r="AU367" s="4">
        <v>10</v>
      </c>
      <c r="AV367" s="4" t="s">
        <v>2048</v>
      </c>
      <c r="AW367" s="4">
        <v>17272</v>
      </c>
      <c r="AX367" s="4">
        <v>17272</v>
      </c>
      <c r="AY367" s="4">
        <v>17272</v>
      </c>
      <c r="AZ367" s="4">
        <f t="shared" si="125"/>
        <v>1727.2</v>
      </c>
      <c r="BA367" s="19">
        <v>4</v>
      </c>
      <c r="BB367" s="19">
        <v>8</v>
      </c>
      <c r="BC367" s="16">
        <v>6</v>
      </c>
      <c r="BD367" t="s">
        <v>1280</v>
      </c>
      <c r="BE367" t="s">
        <v>1280</v>
      </c>
      <c r="BF367" t="s">
        <v>1280</v>
      </c>
      <c r="BG367" t="str">
        <f t="shared" si="130"/>
        <v>-</v>
      </c>
      <c r="BH367">
        <v>1900</v>
      </c>
      <c r="BI367">
        <v>1900</v>
      </c>
      <c r="BJ367">
        <v>1900</v>
      </c>
      <c r="BK367">
        <f t="shared" si="131"/>
        <v>2400</v>
      </c>
      <c r="BL367" t="s">
        <v>1557</v>
      </c>
      <c r="BM367">
        <v>812</v>
      </c>
    </row>
    <row r="368" spans="1:65" x14ac:dyDescent="0.4">
      <c r="A368" s="3">
        <v>489</v>
      </c>
      <c r="B368" s="3">
        <v>489</v>
      </c>
      <c r="C368" s="4" t="s">
        <v>478</v>
      </c>
      <c r="D368" s="4" t="str">
        <f t="shared" si="110"/>
        <v>J6479N</v>
      </c>
      <c r="E368" s="4" t="s">
        <v>478</v>
      </c>
      <c r="F368" s="4" t="str">
        <f t="shared" si="126"/>
        <v>J6479N5</v>
      </c>
      <c r="G368" s="4" t="s">
        <v>1122</v>
      </c>
      <c r="H368" s="5">
        <v>4974268254429</v>
      </c>
      <c r="I368" s="5">
        <v>5</v>
      </c>
      <c r="J368" s="5"/>
      <c r="K368" s="5">
        <v>1</v>
      </c>
      <c r="L368" s="5">
        <v>1</v>
      </c>
      <c r="M368" s="4">
        <v>1900</v>
      </c>
      <c r="N368" s="4">
        <v>1666</v>
      </c>
      <c r="O368" s="4">
        <v>1140</v>
      </c>
      <c r="P368" s="6">
        <f t="shared" si="111"/>
        <v>0.31572629051620649</v>
      </c>
      <c r="Q368" s="4" t="s">
        <v>1280</v>
      </c>
      <c r="R368" s="4" t="s">
        <v>1280</v>
      </c>
      <c r="S368" s="4" t="s">
        <v>1280</v>
      </c>
      <c r="T368" s="4">
        <v>2400</v>
      </c>
      <c r="U368" s="4">
        <f t="shared" si="112"/>
        <v>2400</v>
      </c>
      <c r="V368" s="4">
        <v>1440</v>
      </c>
      <c r="W368" s="4">
        <f t="shared" si="113"/>
        <v>1440</v>
      </c>
      <c r="X368" s="4"/>
      <c r="Y368" s="21">
        <f t="shared" si="114"/>
        <v>2104</v>
      </c>
      <c r="Z368" s="6">
        <f t="shared" si="115"/>
        <v>0.31558935361216733</v>
      </c>
      <c r="AA368" s="4">
        <v>0</v>
      </c>
      <c r="AB368" s="4">
        <f t="shared" si="116"/>
        <v>1727.2</v>
      </c>
      <c r="AC368" s="4">
        <f t="shared" si="127"/>
        <v>2181.7263157894736</v>
      </c>
      <c r="AD368" s="6">
        <f t="shared" si="128"/>
        <v>0.33997220935618333</v>
      </c>
      <c r="AE368" s="4">
        <f t="shared" si="129"/>
        <v>2280</v>
      </c>
      <c r="AF368" s="7">
        <v>2180</v>
      </c>
      <c r="AG368" s="6">
        <f t="shared" si="117"/>
        <v>0.33944954128440363</v>
      </c>
      <c r="AH368" s="4">
        <f t="shared" si="118"/>
        <v>740</v>
      </c>
      <c r="AI368" s="28"/>
      <c r="AJ368" s="6"/>
      <c r="AK368" s="6"/>
      <c r="AL368" s="6">
        <f t="shared" si="119"/>
        <v>1.263157894736842</v>
      </c>
      <c r="AM368" s="6">
        <f t="shared" si="120"/>
        <v>1.3085234093637454</v>
      </c>
      <c r="AN368" s="6">
        <f t="shared" si="121"/>
        <v>1.263157894736842</v>
      </c>
      <c r="AO368" s="4" t="str">
        <f t="shared" si="122"/>
        <v>-</v>
      </c>
      <c r="AP368" s="4" t="str">
        <f t="shared" si="123"/>
        <v>-</v>
      </c>
      <c r="AQ368" s="4" t="str">
        <f t="shared" si="124"/>
        <v>-</v>
      </c>
      <c r="AR368" s="4">
        <v>0</v>
      </c>
      <c r="AS368" s="4" t="s">
        <v>2049</v>
      </c>
      <c r="AT368" s="4">
        <v>1</v>
      </c>
      <c r="AU368" s="4">
        <v>10</v>
      </c>
      <c r="AV368" s="4" t="s">
        <v>2048</v>
      </c>
      <c r="AW368" s="4">
        <v>17272</v>
      </c>
      <c r="AX368" s="4">
        <v>17272</v>
      </c>
      <c r="AY368" s="4">
        <v>17272</v>
      </c>
      <c r="AZ368" s="4">
        <f t="shared" si="125"/>
        <v>1727.2</v>
      </c>
      <c r="BA368" s="19">
        <v>4</v>
      </c>
      <c r="BB368" s="19">
        <v>8</v>
      </c>
      <c r="BC368" s="16">
        <v>6</v>
      </c>
      <c r="BD368" t="s">
        <v>1280</v>
      </c>
      <c r="BE368" t="s">
        <v>1280</v>
      </c>
      <c r="BF368" t="s">
        <v>1280</v>
      </c>
      <c r="BG368" t="str">
        <f t="shared" si="130"/>
        <v>-</v>
      </c>
      <c r="BH368">
        <v>1900</v>
      </c>
      <c r="BI368">
        <v>1900</v>
      </c>
      <c r="BJ368">
        <v>1900</v>
      </c>
      <c r="BK368">
        <f t="shared" si="131"/>
        <v>2400</v>
      </c>
      <c r="BL368" t="s">
        <v>1558</v>
      </c>
      <c r="BM368">
        <v>812</v>
      </c>
    </row>
    <row r="369" spans="1:65" x14ac:dyDescent="0.4">
      <c r="A369" s="3">
        <v>490</v>
      </c>
      <c r="B369" s="3">
        <v>490</v>
      </c>
      <c r="C369" s="4" t="s">
        <v>479</v>
      </c>
      <c r="D369" s="4" t="str">
        <f t="shared" si="110"/>
        <v>J6481N</v>
      </c>
      <c r="E369" s="4" t="s">
        <v>479</v>
      </c>
      <c r="F369" s="4" t="str">
        <f t="shared" si="126"/>
        <v>J6481N5</v>
      </c>
      <c r="G369" s="4" t="s">
        <v>1123</v>
      </c>
      <c r="H369" s="5">
        <v>4974268254443</v>
      </c>
      <c r="I369" s="5">
        <v>5</v>
      </c>
      <c r="J369" s="5"/>
      <c r="K369" s="5">
        <v>1</v>
      </c>
      <c r="L369" s="5">
        <v>1</v>
      </c>
      <c r="M369" s="4">
        <v>1900</v>
      </c>
      <c r="N369" s="4">
        <v>1666</v>
      </c>
      <c r="O369" s="4">
        <v>1140</v>
      </c>
      <c r="P369" s="6">
        <f t="shared" si="111"/>
        <v>0.31572629051620649</v>
      </c>
      <c r="Q369" s="4" t="s">
        <v>1280</v>
      </c>
      <c r="R369" s="4" t="s">
        <v>1280</v>
      </c>
      <c r="S369" s="4" t="s">
        <v>1280</v>
      </c>
      <c r="T369" s="4">
        <v>2400</v>
      </c>
      <c r="U369" s="4">
        <f t="shared" si="112"/>
        <v>2400</v>
      </c>
      <c r="V369" s="4">
        <v>1440</v>
      </c>
      <c r="W369" s="4">
        <f t="shared" si="113"/>
        <v>1440</v>
      </c>
      <c r="X369" s="4"/>
      <c r="Y369" s="21">
        <f t="shared" si="114"/>
        <v>2104</v>
      </c>
      <c r="Z369" s="6">
        <f t="shared" si="115"/>
        <v>0.31558935361216733</v>
      </c>
      <c r="AA369" s="4">
        <v>0</v>
      </c>
      <c r="AB369" s="4">
        <f t="shared" si="116"/>
        <v>1727.2</v>
      </c>
      <c r="AC369" s="4">
        <f t="shared" si="127"/>
        <v>2181.7263157894736</v>
      </c>
      <c r="AD369" s="6">
        <f t="shared" si="128"/>
        <v>0.33997220935618333</v>
      </c>
      <c r="AE369" s="4">
        <f t="shared" si="129"/>
        <v>2280</v>
      </c>
      <c r="AF369" s="7">
        <v>2180</v>
      </c>
      <c r="AG369" s="6">
        <f t="shared" si="117"/>
        <v>0.33944954128440363</v>
      </c>
      <c r="AH369" s="4">
        <f t="shared" si="118"/>
        <v>740</v>
      </c>
      <c r="AI369" s="28"/>
      <c r="AJ369" s="6"/>
      <c r="AK369" s="6"/>
      <c r="AL369" s="6">
        <f t="shared" si="119"/>
        <v>1.263157894736842</v>
      </c>
      <c r="AM369" s="6">
        <f t="shared" si="120"/>
        <v>1.3085234093637454</v>
      </c>
      <c r="AN369" s="6">
        <f t="shared" si="121"/>
        <v>1.263157894736842</v>
      </c>
      <c r="AO369" s="4" t="str">
        <f t="shared" si="122"/>
        <v>-</v>
      </c>
      <c r="AP369" s="4" t="str">
        <f t="shared" si="123"/>
        <v>-</v>
      </c>
      <c r="AQ369" s="4" t="str">
        <f t="shared" si="124"/>
        <v>-</v>
      </c>
      <c r="AR369" s="4">
        <v>0</v>
      </c>
      <c r="AS369" s="4" t="s">
        <v>2050</v>
      </c>
      <c r="AT369" s="4">
        <v>1</v>
      </c>
      <c r="AU369" s="4">
        <v>10</v>
      </c>
      <c r="AV369" s="4" t="s">
        <v>2048</v>
      </c>
      <c r="AW369" s="4">
        <v>17272</v>
      </c>
      <c r="AX369" s="4">
        <v>17272</v>
      </c>
      <c r="AY369" s="4">
        <v>17272</v>
      </c>
      <c r="AZ369" s="4">
        <f t="shared" si="125"/>
        <v>1727.2</v>
      </c>
      <c r="BA369" s="19">
        <v>4</v>
      </c>
      <c r="BB369" s="19">
        <v>8</v>
      </c>
      <c r="BC369" s="16">
        <v>6</v>
      </c>
      <c r="BD369" t="s">
        <v>1280</v>
      </c>
      <c r="BE369" t="s">
        <v>1280</v>
      </c>
      <c r="BF369" t="s">
        <v>1280</v>
      </c>
      <c r="BG369" t="str">
        <f t="shared" si="130"/>
        <v>-</v>
      </c>
      <c r="BH369">
        <v>1900</v>
      </c>
      <c r="BI369">
        <v>1900</v>
      </c>
      <c r="BJ369">
        <v>1900</v>
      </c>
      <c r="BK369">
        <f t="shared" si="131"/>
        <v>2400</v>
      </c>
      <c r="BL369" t="s">
        <v>1559</v>
      </c>
      <c r="BM369">
        <v>812</v>
      </c>
    </row>
    <row r="370" spans="1:65" x14ac:dyDescent="0.4">
      <c r="A370" s="3">
        <v>491</v>
      </c>
      <c r="B370" s="3">
        <v>491</v>
      </c>
      <c r="C370" s="4" t="s">
        <v>480</v>
      </c>
      <c r="D370" s="4" t="str">
        <f t="shared" si="110"/>
        <v>J6482N</v>
      </c>
      <c r="E370" s="4" t="s">
        <v>480</v>
      </c>
      <c r="F370" s="4" t="str">
        <f t="shared" si="126"/>
        <v>J6482N5</v>
      </c>
      <c r="G370" s="4" t="s">
        <v>1124</v>
      </c>
      <c r="H370" s="5">
        <v>4974268254450</v>
      </c>
      <c r="I370" s="5">
        <v>5</v>
      </c>
      <c r="J370" s="5"/>
      <c r="K370" s="5">
        <v>1</v>
      </c>
      <c r="L370" s="5">
        <v>1</v>
      </c>
      <c r="M370" s="4">
        <v>1900</v>
      </c>
      <c r="N370" s="4">
        <v>1666</v>
      </c>
      <c r="O370" s="4">
        <v>1140</v>
      </c>
      <c r="P370" s="6">
        <f t="shared" si="111"/>
        <v>0.31572629051620649</v>
      </c>
      <c r="Q370" s="4" t="s">
        <v>1280</v>
      </c>
      <c r="R370" s="4" t="s">
        <v>1280</v>
      </c>
      <c r="S370" s="4" t="s">
        <v>1280</v>
      </c>
      <c r="T370" s="4">
        <v>2400</v>
      </c>
      <c r="U370" s="4">
        <f t="shared" si="112"/>
        <v>2400</v>
      </c>
      <c r="V370" s="4">
        <v>1440</v>
      </c>
      <c r="W370" s="4">
        <f t="shared" si="113"/>
        <v>1440</v>
      </c>
      <c r="X370" s="4"/>
      <c r="Y370" s="21">
        <f t="shared" si="114"/>
        <v>2104</v>
      </c>
      <c r="Z370" s="6">
        <f t="shared" si="115"/>
        <v>0.31558935361216733</v>
      </c>
      <c r="AA370" s="4">
        <v>0</v>
      </c>
      <c r="AB370" s="4">
        <f t="shared" si="116"/>
        <v>1727.2</v>
      </c>
      <c r="AC370" s="4">
        <f t="shared" si="127"/>
        <v>2181.7263157894736</v>
      </c>
      <c r="AD370" s="6">
        <f t="shared" si="128"/>
        <v>0.33997220935618333</v>
      </c>
      <c r="AE370" s="4">
        <f t="shared" si="129"/>
        <v>2280</v>
      </c>
      <c r="AF370" s="7">
        <v>2180</v>
      </c>
      <c r="AG370" s="6">
        <f t="shared" si="117"/>
        <v>0.33944954128440363</v>
      </c>
      <c r="AH370" s="4">
        <f t="shared" si="118"/>
        <v>740</v>
      </c>
      <c r="AI370" s="28"/>
      <c r="AJ370" s="6"/>
      <c r="AK370" s="6"/>
      <c r="AL370" s="6">
        <f t="shared" si="119"/>
        <v>1.263157894736842</v>
      </c>
      <c r="AM370" s="6">
        <f t="shared" si="120"/>
        <v>1.3085234093637454</v>
      </c>
      <c r="AN370" s="6">
        <f t="shared" si="121"/>
        <v>1.263157894736842</v>
      </c>
      <c r="AO370" s="4" t="str">
        <f t="shared" si="122"/>
        <v>-</v>
      </c>
      <c r="AP370" s="4" t="str">
        <f t="shared" si="123"/>
        <v>-</v>
      </c>
      <c r="AQ370" s="4" t="str">
        <f t="shared" si="124"/>
        <v>-</v>
      </c>
      <c r="AR370" s="4">
        <v>0</v>
      </c>
      <c r="AS370" s="4" t="s">
        <v>2051</v>
      </c>
      <c r="AT370" s="4">
        <v>1</v>
      </c>
      <c r="AU370" s="4">
        <v>10</v>
      </c>
      <c r="AV370" s="4" t="s">
        <v>2048</v>
      </c>
      <c r="AW370" s="4">
        <v>17272</v>
      </c>
      <c r="AX370" s="4">
        <v>17272</v>
      </c>
      <c r="AY370" s="4">
        <v>17272</v>
      </c>
      <c r="AZ370" s="4">
        <f t="shared" si="125"/>
        <v>1727.2</v>
      </c>
      <c r="BA370" s="19">
        <v>4</v>
      </c>
      <c r="BB370" s="19">
        <v>8</v>
      </c>
      <c r="BC370" s="16">
        <v>6</v>
      </c>
      <c r="BD370" t="s">
        <v>1280</v>
      </c>
      <c r="BE370" t="s">
        <v>1280</v>
      </c>
      <c r="BF370" t="s">
        <v>1280</v>
      </c>
      <c r="BG370" t="str">
        <f t="shared" si="130"/>
        <v>-</v>
      </c>
      <c r="BH370">
        <v>1900</v>
      </c>
      <c r="BI370">
        <v>1900</v>
      </c>
      <c r="BJ370">
        <v>1900</v>
      </c>
      <c r="BK370">
        <f t="shared" si="131"/>
        <v>2400</v>
      </c>
      <c r="BL370" t="s">
        <v>1560</v>
      </c>
      <c r="BM370">
        <v>812</v>
      </c>
    </row>
    <row r="371" spans="1:65" x14ac:dyDescent="0.4">
      <c r="A371" s="3">
        <v>562</v>
      </c>
      <c r="B371" s="3">
        <v>562</v>
      </c>
      <c r="C371" s="4" t="s">
        <v>551</v>
      </c>
      <c r="D371" s="4" t="str">
        <f t="shared" si="110"/>
        <v>J924WN</v>
      </c>
      <c r="E371" s="4" t="s">
        <v>551</v>
      </c>
      <c r="F371" s="4" t="str">
        <f t="shared" si="126"/>
        <v>J924WN5</v>
      </c>
      <c r="G371" s="4" t="s">
        <v>1195</v>
      </c>
      <c r="H371" s="5">
        <v>4974268697783</v>
      </c>
      <c r="I371" s="5">
        <v>5</v>
      </c>
      <c r="J371" s="5"/>
      <c r="K371" s="5">
        <v>1</v>
      </c>
      <c r="L371" s="5">
        <v>1</v>
      </c>
      <c r="M371" s="4">
        <v>1600</v>
      </c>
      <c r="N371" s="4">
        <v>1600</v>
      </c>
      <c r="O371" s="4">
        <v>1280</v>
      </c>
      <c r="P371" s="6">
        <f t="shared" si="111"/>
        <v>0.19999999999999996</v>
      </c>
      <c r="Q371" s="4" t="s">
        <v>1280</v>
      </c>
      <c r="R371" s="4" t="s">
        <v>1280</v>
      </c>
      <c r="S371" s="4" t="s">
        <v>1280</v>
      </c>
      <c r="T371" s="4">
        <v>1800</v>
      </c>
      <c r="U371" s="4">
        <f t="shared" si="112"/>
        <v>1800</v>
      </c>
      <c r="V371" s="4">
        <v>1440</v>
      </c>
      <c r="W371" s="4">
        <f t="shared" si="113"/>
        <v>1440</v>
      </c>
      <c r="X371" s="4"/>
      <c r="Y371" s="21">
        <f t="shared" si="114"/>
        <v>1800</v>
      </c>
      <c r="Z371" s="6">
        <f t="shared" si="115"/>
        <v>0.19999999999999996</v>
      </c>
      <c r="AA371" s="4">
        <v>0.75</v>
      </c>
      <c r="AB371" s="4">
        <f t="shared" si="116"/>
        <v>1819</v>
      </c>
      <c r="AC371" s="4">
        <f t="shared" si="127"/>
        <v>2046.375</v>
      </c>
      <c r="AD371" s="6">
        <f t="shared" si="128"/>
        <v>0.29631665750412317</v>
      </c>
      <c r="AE371" s="4">
        <f t="shared" si="129"/>
        <v>1710</v>
      </c>
      <c r="AF371" s="7">
        <v>1800</v>
      </c>
      <c r="AG371" s="6">
        <f t="shared" si="117"/>
        <v>0.19999999999999996</v>
      </c>
      <c r="AH371" s="4">
        <f t="shared" si="118"/>
        <v>360</v>
      </c>
      <c r="AI371" s="28"/>
      <c r="AJ371" s="6"/>
      <c r="AK371" s="6"/>
      <c r="AL371" s="6">
        <f t="shared" si="119"/>
        <v>1.125</v>
      </c>
      <c r="AM371" s="6">
        <f t="shared" si="120"/>
        <v>1.125</v>
      </c>
      <c r="AN371" s="6">
        <f t="shared" si="121"/>
        <v>1.125</v>
      </c>
      <c r="AO371" s="4" t="str">
        <f t="shared" si="122"/>
        <v>-</v>
      </c>
      <c r="AP371" s="4" t="str">
        <f t="shared" si="123"/>
        <v>-</v>
      </c>
      <c r="AQ371" s="4" t="str">
        <f t="shared" si="124"/>
        <v>-</v>
      </c>
      <c r="AR371" s="4">
        <v>0</v>
      </c>
      <c r="AS371" s="4" t="s">
        <v>2121</v>
      </c>
      <c r="AT371" s="4"/>
      <c r="AU371" s="4"/>
      <c r="AV371" s="4" t="s">
        <v>2122</v>
      </c>
      <c r="AW371" s="4">
        <v>1819</v>
      </c>
      <c r="AX371" s="4">
        <v>1819</v>
      </c>
      <c r="AY371" s="4">
        <v>1819</v>
      </c>
      <c r="AZ371" s="4">
        <f t="shared" si="125"/>
        <v>1819</v>
      </c>
      <c r="BA371" s="19">
        <v>4</v>
      </c>
      <c r="BB371" s="19">
        <v>8</v>
      </c>
      <c r="BC371" s="16">
        <v>19</v>
      </c>
      <c r="BD371" t="s">
        <v>1280</v>
      </c>
      <c r="BE371" t="s">
        <v>1280</v>
      </c>
      <c r="BF371" t="s">
        <v>1280</v>
      </c>
      <c r="BG371" t="str">
        <f t="shared" si="130"/>
        <v>-</v>
      </c>
      <c r="BH371" t="s">
        <v>1280</v>
      </c>
      <c r="BI371" t="s">
        <v>1280</v>
      </c>
      <c r="BJ371" t="s">
        <v>1280</v>
      </c>
      <c r="BK371" t="str">
        <f t="shared" si="131"/>
        <v>-</v>
      </c>
      <c r="BL371" t="s">
        <v>1613</v>
      </c>
      <c r="BM371">
        <v>812</v>
      </c>
    </row>
    <row r="372" spans="1:65" x14ac:dyDescent="0.4">
      <c r="A372" s="3">
        <v>418</v>
      </c>
      <c r="B372" s="3">
        <v>418</v>
      </c>
      <c r="C372" s="4" t="s">
        <v>407</v>
      </c>
      <c r="D372" s="4" t="str">
        <f t="shared" si="110"/>
        <v>J54485</v>
      </c>
      <c r="E372" s="4" t="s">
        <v>407</v>
      </c>
      <c r="F372" s="4" t="str">
        <f t="shared" si="126"/>
        <v>J544855</v>
      </c>
      <c r="G372" s="4" t="s">
        <v>1051</v>
      </c>
      <c r="H372" s="5">
        <v>4974268835109</v>
      </c>
      <c r="I372" s="5">
        <v>5</v>
      </c>
      <c r="J372" s="5"/>
      <c r="K372" s="5">
        <v>1</v>
      </c>
      <c r="L372" s="5">
        <v>1</v>
      </c>
      <c r="M372" s="4">
        <v>2200</v>
      </c>
      <c r="N372" s="4">
        <v>1836</v>
      </c>
      <c r="O372" s="4">
        <v>1320</v>
      </c>
      <c r="P372" s="6">
        <f t="shared" si="111"/>
        <v>0.28104575163398693</v>
      </c>
      <c r="Q372" s="4" t="s">
        <v>1280</v>
      </c>
      <c r="R372" s="4" t="s">
        <v>1280</v>
      </c>
      <c r="S372" s="4" t="s">
        <v>1280</v>
      </c>
      <c r="T372" s="4">
        <v>2450</v>
      </c>
      <c r="U372" s="4">
        <f t="shared" si="112"/>
        <v>2450</v>
      </c>
      <c r="V372" s="4">
        <v>1470</v>
      </c>
      <c r="W372" s="4">
        <f t="shared" si="113"/>
        <v>1470</v>
      </c>
      <c r="X372" s="4"/>
      <c r="Y372" s="21">
        <f t="shared" si="114"/>
        <v>2045</v>
      </c>
      <c r="Z372" s="6">
        <f t="shared" si="115"/>
        <v>0.28117359413202936</v>
      </c>
      <c r="AA372" s="4">
        <v>0.25</v>
      </c>
      <c r="AB372" s="4">
        <f t="shared" si="116"/>
        <v>1800</v>
      </c>
      <c r="AC372" s="4">
        <f t="shared" si="127"/>
        <v>2004.5454545454543</v>
      </c>
      <c r="AD372" s="6">
        <f t="shared" si="128"/>
        <v>0.26666666666666661</v>
      </c>
      <c r="AE372" s="4">
        <f t="shared" si="129"/>
        <v>2327.5</v>
      </c>
      <c r="AF372" s="7">
        <v>2004</v>
      </c>
      <c r="AG372" s="6">
        <f t="shared" si="117"/>
        <v>0.26646706586826352</v>
      </c>
      <c r="AH372" s="4">
        <f t="shared" si="118"/>
        <v>534</v>
      </c>
      <c r="AI372" s="28"/>
      <c r="AJ372" s="6"/>
      <c r="AK372" s="6"/>
      <c r="AL372" s="6">
        <f t="shared" si="119"/>
        <v>1.1136363636363635</v>
      </c>
      <c r="AM372" s="6">
        <f t="shared" si="120"/>
        <v>1.0915032679738561</v>
      </c>
      <c r="AN372" s="6">
        <f t="shared" si="121"/>
        <v>1.1136363636363635</v>
      </c>
      <c r="AO372" s="4" t="str">
        <f t="shared" si="122"/>
        <v>-</v>
      </c>
      <c r="AP372" s="4" t="str">
        <f t="shared" si="123"/>
        <v>-</v>
      </c>
      <c r="AQ372" s="4" t="str">
        <f t="shared" si="124"/>
        <v>-</v>
      </c>
      <c r="AR372" s="4">
        <v>0</v>
      </c>
      <c r="AS372" s="4" t="s">
        <v>1980</v>
      </c>
      <c r="AT372" s="4"/>
      <c r="AU372" s="4"/>
      <c r="AV372" s="4" t="s">
        <v>1979</v>
      </c>
      <c r="AW372" s="4">
        <v>1800</v>
      </c>
      <c r="AX372" s="4">
        <v>1800</v>
      </c>
      <c r="AY372" s="4">
        <v>1800</v>
      </c>
      <c r="AZ372" s="4">
        <f t="shared" si="125"/>
        <v>1800</v>
      </c>
      <c r="BA372" s="19">
        <v>4</v>
      </c>
      <c r="BB372" s="19">
        <v>8</v>
      </c>
      <c r="BC372" s="16">
        <v>18</v>
      </c>
      <c r="BD372" t="s">
        <v>1280</v>
      </c>
      <c r="BE372" t="s">
        <v>1280</v>
      </c>
      <c r="BF372" t="s">
        <v>1280</v>
      </c>
      <c r="BG372" t="str">
        <f t="shared" si="130"/>
        <v>-</v>
      </c>
      <c r="BH372">
        <v>2138</v>
      </c>
      <c r="BI372">
        <v>2138</v>
      </c>
      <c r="BJ372">
        <v>2138</v>
      </c>
      <c r="BK372">
        <f t="shared" si="131"/>
        <v>2380.954545454545</v>
      </c>
      <c r="BL372" t="s">
        <v>1501</v>
      </c>
      <c r="BM372">
        <v>812</v>
      </c>
    </row>
    <row r="373" spans="1:65" x14ac:dyDescent="0.4">
      <c r="A373" s="3">
        <v>41</v>
      </c>
      <c r="B373" s="3">
        <v>41</v>
      </c>
      <c r="C373" s="4">
        <v>332679</v>
      </c>
      <c r="D373" s="4" t="str">
        <f t="shared" si="110"/>
        <v>332679</v>
      </c>
      <c r="E373" s="4">
        <v>568728</v>
      </c>
      <c r="F373" s="4" t="str">
        <f t="shared" si="126"/>
        <v>3326795</v>
      </c>
      <c r="G373" s="4" t="s">
        <v>676</v>
      </c>
      <c r="H373" s="5">
        <v>4974268100467</v>
      </c>
      <c r="I373" s="5">
        <v>5</v>
      </c>
      <c r="J373" s="5"/>
      <c r="K373" s="5">
        <v>1</v>
      </c>
      <c r="L373" s="5">
        <v>1</v>
      </c>
      <c r="M373" s="4">
        <v>2400</v>
      </c>
      <c r="N373" s="4">
        <v>1934</v>
      </c>
      <c r="O373" s="4">
        <v>1440</v>
      </c>
      <c r="P373" s="6">
        <f t="shared" si="111"/>
        <v>0.25542916235780766</v>
      </c>
      <c r="Q373" s="4" t="s">
        <v>1280</v>
      </c>
      <c r="R373" s="4" t="s">
        <v>1280</v>
      </c>
      <c r="S373" s="4" t="s">
        <v>1280</v>
      </c>
      <c r="T373" s="4">
        <v>2600</v>
      </c>
      <c r="U373" s="4">
        <f t="shared" si="112"/>
        <v>2600</v>
      </c>
      <c r="V373" s="4">
        <v>1560</v>
      </c>
      <c r="W373" s="4">
        <f t="shared" si="113"/>
        <v>1560</v>
      </c>
      <c r="X373" s="4"/>
      <c r="Y373" s="21">
        <f t="shared" si="114"/>
        <v>2095</v>
      </c>
      <c r="Z373" s="6">
        <f t="shared" si="115"/>
        <v>0.25536992840095463</v>
      </c>
      <c r="AA373" s="4">
        <v>0.5</v>
      </c>
      <c r="AB373" s="4">
        <f t="shared" si="116"/>
        <v>2308</v>
      </c>
      <c r="AC373" s="4">
        <f t="shared" si="127"/>
        <v>2500.333333333333</v>
      </c>
      <c r="AD373" s="6">
        <f t="shared" si="128"/>
        <v>0.37608318890814552</v>
      </c>
      <c r="AE373" s="4">
        <f t="shared" si="129"/>
        <v>2470</v>
      </c>
      <c r="AF373" s="7">
        <v>2112</v>
      </c>
      <c r="AG373" s="6">
        <f t="shared" si="117"/>
        <v>0.26136363636363635</v>
      </c>
      <c r="AH373" s="4">
        <f t="shared" si="118"/>
        <v>552</v>
      </c>
      <c r="AI373" s="28"/>
      <c r="AJ373" s="6"/>
      <c r="AK373" s="6"/>
      <c r="AL373" s="6">
        <f t="shared" si="119"/>
        <v>1.0833333333333333</v>
      </c>
      <c r="AM373" s="6">
        <f t="shared" si="120"/>
        <v>1.092037228541882</v>
      </c>
      <c r="AN373" s="6">
        <f t="shared" si="121"/>
        <v>1.0833333333333333</v>
      </c>
      <c r="AO373" s="4" t="str">
        <f t="shared" si="122"/>
        <v>-</v>
      </c>
      <c r="AP373" s="4" t="str">
        <f t="shared" si="123"/>
        <v>-</v>
      </c>
      <c r="AQ373" s="4" t="str">
        <f t="shared" si="124"/>
        <v>-</v>
      </c>
      <c r="AR373" s="4" t="s">
        <v>1283</v>
      </c>
      <c r="AS373" s="4" t="s">
        <v>1728</v>
      </c>
      <c r="AT373" s="4"/>
      <c r="AU373" s="4"/>
      <c r="AV373" s="4" t="s">
        <v>1729</v>
      </c>
      <c r="AW373" s="4">
        <v>2308</v>
      </c>
      <c r="AX373" s="4">
        <v>2308</v>
      </c>
      <c r="AY373" s="4">
        <v>2308</v>
      </c>
      <c r="AZ373" s="4">
        <f t="shared" si="125"/>
        <v>2308</v>
      </c>
      <c r="BA373" s="19">
        <v>4</v>
      </c>
      <c r="BB373" s="19">
        <v>1</v>
      </c>
      <c r="BC373" s="16">
        <v>19</v>
      </c>
      <c r="BD373" t="s">
        <v>1280</v>
      </c>
      <c r="BE373" t="s">
        <v>1280</v>
      </c>
      <c r="BF373" t="s">
        <v>1280</v>
      </c>
      <c r="BG373" t="str">
        <f t="shared" si="130"/>
        <v>-</v>
      </c>
      <c r="BH373">
        <v>1950</v>
      </c>
      <c r="BI373">
        <v>1950</v>
      </c>
      <c r="BJ373">
        <v>1950</v>
      </c>
      <c r="BK373">
        <f t="shared" si="131"/>
        <v>2112.5</v>
      </c>
      <c r="BL373" t="s">
        <v>1321</v>
      </c>
      <c r="BM373">
        <v>812</v>
      </c>
    </row>
    <row r="374" spans="1:65" x14ac:dyDescent="0.4">
      <c r="A374" s="3">
        <v>42</v>
      </c>
      <c r="B374" s="3">
        <v>42</v>
      </c>
      <c r="C374" s="4">
        <v>332683</v>
      </c>
      <c r="D374" s="4" t="str">
        <f t="shared" si="110"/>
        <v>332683</v>
      </c>
      <c r="E374" s="4">
        <v>568737</v>
      </c>
      <c r="F374" s="4" t="str">
        <f t="shared" si="126"/>
        <v>3326835</v>
      </c>
      <c r="G374" s="4" t="s">
        <v>677</v>
      </c>
      <c r="H374" s="5">
        <v>4974268102928</v>
      </c>
      <c r="I374" s="5">
        <v>5</v>
      </c>
      <c r="J374" s="5"/>
      <c r="K374" s="5">
        <v>1</v>
      </c>
      <c r="L374" s="5">
        <v>1</v>
      </c>
      <c r="M374" s="4">
        <v>2400</v>
      </c>
      <c r="N374" s="4">
        <v>2172</v>
      </c>
      <c r="O374" s="4">
        <v>1440</v>
      </c>
      <c r="P374" s="6">
        <f t="shared" si="111"/>
        <v>0.33701657458563539</v>
      </c>
      <c r="Q374" s="4" t="s">
        <v>1280</v>
      </c>
      <c r="R374" s="4" t="s">
        <v>1280</v>
      </c>
      <c r="S374" s="4" t="s">
        <v>1280</v>
      </c>
      <c r="T374" s="4">
        <v>2600</v>
      </c>
      <c r="U374" s="4">
        <f t="shared" si="112"/>
        <v>2600</v>
      </c>
      <c r="V374" s="4">
        <v>1560</v>
      </c>
      <c r="W374" s="4">
        <f t="shared" si="113"/>
        <v>1560</v>
      </c>
      <c r="X374" s="4"/>
      <c r="Y374" s="21">
        <f t="shared" si="114"/>
        <v>2353</v>
      </c>
      <c r="Z374" s="6">
        <f t="shared" si="115"/>
        <v>0.33701657458563539</v>
      </c>
      <c r="AA374" s="4">
        <v>1</v>
      </c>
      <c r="AB374" s="4">
        <f t="shared" si="116"/>
        <v>2308</v>
      </c>
      <c r="AC374" s="4">
        <f t="shared" si="127"/>
        <v>2500.333333333333</v>
      </c>
      <c r="AD374" s="6">
        <f t="shared" si="128"/>
        <v>0.37608318890814552</v>
      </c>
      <c r="AE374" s="4">
        <f t="shared" si="129"/>
        <v>2470</v>
      </c>
      <c r="AF374" s="7">
        <v>2112</v>
      </c>
      <c r="AG374" s="6">
        <f t="shared" si="117"/>
        <v>0.26136363636363635</v>
      </c>
      <c r="AH374" s="4">
        <f t="shared" si="118"/>
        <v>552</v>
      </c>
      <c r="AI374" s="28"/>
      <c r="AJ374" s="6"/>
      <c r="AK374" s="6"/>
      <c r="AL374" s="6">
        <f t="shared" si="119"/>
        <v>1.0833333333333333</v>
      </c>
      <c r="AM374" s="6">
        <f t="shared" si="120"/>
        <v>0.97237569060773477</v>
      </c>
      <c r="AN374" s="6">
        <f t="shared" si="121"/>
        <v>1.0833333333333333</v>
      </c>
      <c r="AO374" s="4" t="str">
        <f t="shared" si="122"/>
        <v>-</v>
      </c>
      <c r="AP374" s="4" t="str">
        <f t="shared" si="123"/>
        <v>-</v>
      </c>
      <c r="AQ374" s="4" t="str">
        <f t="shared" si="124"/>
        <v>-</v>
      </c>
      <c r="AR374" s="4" t="s">
        <v>1283</v>
      </c>
      <c r="AS374" s="4" t="s">
        <v>1730</v>
      </c>
      <c r="AT374" s="4"/>
      <c r="AU374" s="4"/>
      <c r="AV374" s="4" t="s">
        <v>1729</v>
      </c>
      <c r="AW374" s="4">
        <v>2308</v>
      </c>
      <c r="AX374" s="4">
        <v>2308</v>
      </c>
      <c r="AY374" s="4">
        <v>2308</v>
      </c>
      <c r="AZ374" s="4">
        <f t="shared" si="125"/>
        <v>2308</v>
      </c>
      <c r="BA374" s="19">
        <v>4</v>
      </c>
      <c r="BB374" s="19">
        <v>1</v>
      </c>
      <c r="BC374" s="16">
        <v>19</v>
      </c>
      <c r="BD374" t="s">
        <v>1280</v>
      </c>
      <c r="BE374" t="s">
        <v>1280</v>
      </c>
      <c r="BF374" t="s">
        <v>1280</v>
      </c>
      <c r="BG374" t="str">
        <f t="shared" si="130"/>
        <v>-</v>
      </c>
      <c r="BH374">
        <v>1950</v>
      </c>
      <c r="BI374">
        <v>1950</v>
      </c>
      <c r="BJ374">
        <v>1950</v>
      </c>
      <c r="BK374">
        <f t="shared" si="131"/>
        <v>2112.5</v>
      </c>
      <c r="BL374" t="s">
        <v>1322</v>
      </c>
      <c r="BM374">
        <v>812</v>
      </c>
    </row>
    <row r="375" spans="1:65" x14ac:dyDescent="0.4">
      <c r="A375" s="32">
        <v>237</v>
      </c>
      <c r="B375" s="3">
        <v>237</v>
      </c>
      <c r="C375" s="4" t="s">
        <v>226</v>
      </c>
      <c r="D375" s="4" t="str">
        <f t="shared" si="110"/>
        <v>J38341</v>
      </c>
      <c r="E375" s="4" t="s">
        <v>226</v>
      </c>
      <c r="F375" s="4" t="str">
        <f t="shared" si="126"/>
        <v>J383415</v>
      </c>
      <c r="G375" s="4" t="s">
        <v>872</v>
      </c>
      <c r="H375" s="5">
        <v>4974268563446</v>
      </c>
      <c r="I375" s="5">
        <v>5</v>
      </c>
      <c r="J375" s="5"/>
      <c r="K375" s="5">
        <v>1</v>
      </c>
      <c r="L375" s="5">
        <v>1</v>
      </c>
      <c r="M375" s="4">
        <v>2300</v>
      </c>
      <c r="N375" s="4">
        <v>2333</v>
      </c>
      <c r="O375" s="4">
        <v>1380</v>
      </c>
      <c r="P375" s="6">
        <f t="shared" si="111"/>
        <v>0.40848692670381481</v>
      </c>
      <c r="Q375" s="4" t="s">
        <v>1280</v>
      </c>
      <c r="R375" s="4" t="s">
        <v>1280</v>
      </c>
      <c r="S375" s="4" t="s">
        <v>1280</v>
      </c>
      <c r="T375" s="4">
        <v>2600</v>
      </c>
      <c r="U375" s="4">
        <f t="shared" si="112"/>
        <v>2600</v>
      </c>
      <c r="V375" s="4">
        <v>1560</v>
      </c>
      <c r="W375" s="4">
        <f t="shared" si="113"/>
        <v>1560</v>
      </c>
      <c r="X375" s="4"/>
      <c r="Y375" s="21">
        <f t="shared" si="114"/>
        <v>2637</v>
      </c>
      <c r="Z375" s="6">
        <f t="shared" si="115"/>
        <v>0.40841865756541529</v>
      </c>
      <c r="AA375" s="4">
        <v>0.5</v>
      </c>
      <c r="AB375" s="4" t="str">
        <f t="shared" si="116"/>
        <v>-</v>
      </c>
      <c r="AC375" s="4" t="str">
        <f t="shared" si="127"/>
        <v>-</v>
      </c>
      <c r="AD375" s="6" t="str">
        <f t="shared" si="128"/>
        <v>-</v>
      </c>
      <c r="AE375" s="4">
        <f t="shared" si="129"/>
        <v>2470</v>
      </c>
      <c r="AF375" s="7">
        <v>2400</v>
      </c>
      <c r="AG375" s="6">
        <f t="shared" si="117"/>
        <v>0.35</v>
      </c>
      <c r="AH375" s="4">
        <f t="shared" si="118"/>
        <v>840</v>
      </c>
      <c r="AI375" s="28"/>
      <c r="AJ375" s="6"/>
      <c r="AK375" s="6"/>
      <c r="AL375" s="6">
        <f t="shared" si="119"/>
        <v>1.1304347826086956</v>
      </c>
      <c r="AM375" s="6">
        <f t="shared" si="120"/>
        <v>1.0287183883411917</v>
      </c>
      <c r="AN375" s="6">
        <f t="shared" si="121"/>
        <v>1.1304347826086956</v>
      </c>
      <c r="AO375" s="4" t="str">
        <f t="shared" si="122"/>
        <v>-</v>
      </c>
      <c r="AP375" s="4" t="str">
        <f t="shared" si="123"/>
        <v>-</v>
      </c>
      <c r="AQ375" s="4" t="str">
        <f t="shared" si="124"/>
        <v>-</v>
      </c>
      <c r="AR375" s="4">
        <v>0</v>
      </c>
      <c r="AS375" s="4" t="s">
        <v>1280</v>
      </c>
      <c r="AT375" s="4"/>
      <c r="AU375" s="4"/>
      <c r="AV375" s="4" t="s">
        <v>1280</v>
      </c>
      <c r="AW375" s="4" t="s">
        <v>1280</v>
      </c>
      <c r="AX375" s="4" t="s">
        <v>1280</v>
      </c>
      <c r="AY375" s="4" t="s">
        <v>1280</v>
      </c>
      <c r="AZ375" s="4" t="str">
        <f t="shared" si="125"/>
        <v>-</v>
      </c>
      <c r="BA375" s="19">
        <v>2</v>
      </c>
      <c r="BB375" s="19">
        <v>8</v>
      </c>
      <c r="BC375" s="16">
        <v>18</v>
      </c>
      <c r="BD375" t="s">
        <v>1280</v>
      </c>
      <c r="BE375" t="s">
        <v>1280</v>
      </c>
      <c r="BF375" t="s">
        <v>1280</v>
      </c>
      <c r="BG375" t="str">
        <f t="shared" si="130"/>
        <v>-</v>
      </c>
      <c r="BH375">
        <v>2300</v>
      </c>
      <c r="BI375">
        <v>2300</v>
      </c>
      <c r="BJ375">
        <v>2300</v>
      </c>
      <c r="BK375">
        <f t="shared" si="131"/>
        <v>2600</v>
      </c>
      <c r="BL375" t="s">
        <v>1280</v>
      </c>
      <c r="BM375">
        <v>812</v>
      </c>
    </row>
    <row r="376" spans="1:65" x14ac:dyDescent="0.4">
      <c r="A376" s="32">
        <v>241</v>
      </c>
      <c r="B376" s="3">
        <v>241</v>
      </c>
      <c r="C376" s="4" t="s">
        <v>230</v>
      </c>
      <c r="D376" s="4" t="str">
        <f t="shared" si="110"/>
        <v>J38345</v>
      </c>
      <c r="E376" s="4" t="s">
        <v>230</v>
      </c>
      <c r="F376" s="4" t="str">
        <f t="shared" si="126"/>
        <v>J383455</v>
      </c>
      <c r="G376" s="4" t="s">
        <v>876</v>
      </c>
      <c r="H376" s="5">
        <v>4974268563453</v>
      </c>
      <c r="I376" s="5">
        <v>5</v>
      </c>
      <c r="J376" s="5"/>
      <c r="K376" s="5">
        <v>1</v>
      </c>
      <c r="L376" s="5">
        <v>1</v>
      </c>
      <c r="M376" s="4">
        <v>2300</v>
      </c>
      <c r="N376" s="4">
        <v>2369</v>
      </c>
      <c r="O376" s="4">
        <v>1380</v>
      </c>
      <c r="P376" s="6">
        <f t="shared" si="111"/>
        <v>0.41747572815533984</v>
      </c>
      <c r="Q376" s="4" t="s">
        <v>1280</v>
      </c>
      <c r="R376" s="4" t="s">
        <v>1280</v>
      </c>
      <c r="S376" s="4" t="s">
        <v>1280</v>
      </c>
      <c r="T376" s="4">
        <v>2600</v>
      </c>
      <c r="U376" s="4">
        <f t="shared" si="112"/>
        <v>2600</v>
      </c>
      <c r="V376" s="4">
        <v>1560</v>
      </c>
      <c r="W376" s="4">
        <f t="shared" si="113"/>
        <v>1560</v>
      </c>
      <c r="X376" s="4"/>
      <c r="Y376" s="21">
        <f t="shared" si="114"/>
        <v>2678</v>
      </c>
      <c r="Z376" s="6">
        <f t="shared" si="115"/>
        <v>0.41747572815533984</v>
      </c>
      <c r="AA376" s="4">
        <v>0.25</v>
      </c>
      <c r="AB376" s="4">
        <f t="shared" si="116"/>
        <v>2299</v>
      </c>
      <c r="AC376" s="4">
        <f t="shared" si="127"/>
        <v>2598.869565217391</v>
      </c>
      <c r="AD376" s="6">
        <f t="shared" si="128"/>
        <v>0.39973901696389724</v>
      </c>
      <c r="AE376" s="4">
        <f t="shared" si="129"/>
        <v>2470</v>
      </c>
      <c r="AF376" s="7">
        <v>2400</v>
      </c>
      <c r="AG376" s="6">
        <f t="shared" si="117"/>
        <v>0.35</v>
      </c>
      <c r="AH376" s="4">
        <f t="shared" si="118"/>
        <v>840</v>
      </c>
      <c r="AI376" s="28"/>
      <c r="AJ376" s="6"/>
      <c r="AK376" s="6"/>
      <c r="AL376" s="6">
        <f t="shared" si="119"/>
        <v>1.1304347826086956</v>
      </c>
      <c r="AM376" s="6">
        <f t="shared" si="120"/>
        <v>1.0130856901646264</v>
      </c>
      <c r="AN376" s="6">
        <f t="shared" si="121"/>
        <v>1.1304347826086956</v>
      </c>
      <c r="AO376" s="4" t="str">
        <f t="shared" si="122"/>
        <v>-</v>
      </c>
      <c r="AP376" s="4" t="str">
        <f t="shared" si="123"/>
        <v>-</v>
      </c>
      <c r="AQ376" s="4" t="str">
        <f t="shared" si="124"/>
        <v>-</v>
      </c>
      <c r="AR376" s="4">
        <v>0</v>
      </c>
      <c r="AS376" s="4" t="s">
        <v>1871</v>
      </c>
      <c r="AT376" s="4"/>
      <c r="AU376" s="4"/>
      <c r="AV376" s="4" t="s">
        <v>1691</v>
      </c>
      <c r="AW376" s="4">
        <v>2299</v>
      </c>
      <c r="AX376" s="4">
        <v>2299</v>
      </c>
      <c r="AY376" s="4">
        <v>2299</v>
      </c>
      <c r="AZ376" s="4">
        <f t="shared" si="125"/>
        <v>2299</v>
      </c>
      <c r="BA376" s="19">
        <v>2</v>
      </c>
      <c r="BB376" s="19">
        <v>8</v>
      </c>
      <c r="BC376" s="16">
        <v>18</v>
      </c>
      <c r="BD376" t="s">
        <v>1280</v>
      </c>
      <c r="BE376" t="s">
        <v>1280</v>
      </c>
      <c r="BF376" t="s">
        <v>1280</v>
      </c>
      <c r="BG376" t="str">
        <f t="shared" si="130"/>
        <v>-</v>
      </c>
      <c r="BH376">
        <v>2300</v>
      </c>
      <c r="BI376">
        <v>2300</v>
      </c>
      <c r="BJ376">
        <v>2300</v>
      </c>
      <c r="BK376">
        <f t="shared" si="131"/>
        <v>2600</v>
      </c>
      <c r="BL376" t="s">
        <v>1419</v>
      </c>
      <c r="BM376">
        <v>812</v>
      </c>
    </row>
    <row r="377" spans="1:65" x14ac:dyDescent="0.4">
      <c r="A377" s="32">
        <v>245</v>
      </c>
      <c r="B377" s="3">
        <v>245</v>
      </c>
      <c r="C377" s="4" t="s">
        <v>234</v>
      </c>
      <c r="D377" s="4" t="str">
        <f t="shared" si="110"/>
        <v>J38349</v>
      </c>
      <c r="E377" s="4" t="s">
        <v>234</v>
      </c>
      <c r="F377" s="4" t="str">
        <f t="shared" si="126"/>
        <v>J383495</v>
      </c>
      <c r="G377" s="4" t="s">
        <v>880</v>
      </c>
      <c r="H377" s="5">
        <v>4974268563460</v>
      </c>
      <c r="I377" s="5">
        <v>5</v>
      </c>
      <c r="J377" s="5"/>
      <c r="K377" s="5">
        <v>1</v>
      </c>
      <c r="L377" s="5">
        <v>1</v>
      </c>
      <c r="M377" s="4">
        <v>2300</v>
      </c>
      <c r="N377" s="4">
        <v>2121</v>
      </c>
      <c r="O377" s="4">
        <v>1380</v>
      </c>
      <c r="P377" s="6">
        <f t="shared" si="111"/>
        <v>0.34936350777934932</v>
      </c>
      <c r="Q377" s="4" t="s">
        <v>1280</v>
      </c>
      <c r="R377" s="4" t="s">
        <v>1280</v>
      </c>
      <c r="S377" s="4" t="s">
        <v>1280</v>
      </c>
      <c r="T377" s="4">
        <v>2600</v>
      </c>
      <c r="U377" s="4">
        <f t="shared" si="112"/>
        <v>2600</v>
      </c>
      <c r="V377" s="4">
        <v>1560</v>
      </c>
      <c r="W377" s="4">
        <f t="shared" si="113"/>
        <v>1560</v>
      </c>
      <c r="X377" s="4"/>
      <c r="Y377" s="21">
        <f t="shared" si="114"/>
        <v>2398</v>
      </c>
      <c r="Z377" s="6">
        <f t="shared" si="115"/>
        <v>0.34945788156797331</v>
      </c>
      <c r="AA377" s="4">
        <v>0</v>
      </c>
      <c r="AB377" s="4">
        <f t="shared" si="116"/>
        <v>2059</v>
      </c>
      <c r="AC377" s="4">
        <f t="shared" si="127"/>
        <v>2327.565217391304</v>
      </c>
      <c r="AD377" s="6">
        <f t="shared" si="128"/>
        <v>0.32977173385138403</v>
      </c>
      <c r="AE377" s="4">
        <f t="shared" si="129"/>
        <v>2470</v>
      </c>
      <c r="AF377" s="7">
        <v>2400</v>
      </c>
      <c r="AG377" s="6">
        <f t="shared" si="117"/>
        <v>0.35</v>
      </c>
      <c r="AH377" s="4">
        <f t="shared" si="118"/>
        <v>840</v>
      </c>
      <c r="AI377" s="28"/>
      <c r="AJ377" s="6"/>
      <c r="AK377" s="6"/>
      <c r="AL377" s="6">
        <f t="shared" si="119"/>
        <v>1.1304347826086956</v>
      </c>
      <c r="AM377" s="6">
        <f t="shared" si="120"/>
        <v>1.1315417256011315</v>
      </c>
      <c r="AN377" s="6">
        <f t="shared" si="121"/>
        <v>1.1304347826086956</v>
      </c>
      <c r="AO377" s="4" t="str">
        <f t="shared" si="122"/>
        <v>-</v>
      </c>
      <c r="AP377" s="4" t="str">
        <f t="shared" si="123"/>
        <v>-</v>
      </c>
      <c r="AQ377" s="4" t="str">
        <f t="shared" si="124"/>
        <v>-</v>
      </c>
      <c r="AR377" s="4">
        <v>0</v>
      </c>
      <c r="AS377" s="4" t="s">
        <v>1873</v>
      </c>
      <c r="AT377" s="4"/>
      <c r="AU377" s="4"/>
      <c r="AV377" s="4" t="s">
        <v>1691</v>
      </c>
      <c r="AW377" s="4">
        <v>2059</v>
      </c>
      <c r="AX377" s="4">
        <v>2059</v>
      </c>
      <c r="AY377" s="4">
        <v>2059</v>
      </c>
      <c r="AZ377" s="4">
        <f t="shared" si="125"/>
        <v>2059</v>
      </c>
      <c r="BA377" s="19">
        <v>2</v>
      </c>
      <c r="BB377" s="19">
        <v>8</v>
      </c>
      <c r="BC377" s="16">
        <v>18</v>
      </c>
      <c r="BD377" t="s">
        <v>1280</v>
      </c>
      <c r="BE377" t="s">
        <v>1280</v>
      </c>
      <c r="BF377" t="s">
        <v>1280</v>
      </c>
      <c r="BG377" t="str">
        <f t="shared" si="130"/>
        <v>-</v>
      </c>
      <c r="BH377">
        <v>2300</v>
      </c>
      <c r="BI377">
        <v>2300</v>
      </c>
      <c r="BJ377">
        <v>2300</v>
      </c>
      <c r="BK377">
        <f t="shared" si="131"/>
        <v>2600</v>
      </c>
      <c r="BL377" t="s">
        <v>1421</v>
      </c>
      <c r="BM377">
        <v>812</v>
      </c>
    </row>
    <row r="378" spans="1:65" x14ac:dyDescent="0.4">
      <c r="A378" s="3">
        <v>258</v>
      </c>
      <c r="B378" s="3">
        <v>258</v>
      </c>
      <c r="C378" s="4" t="s">
        <v>247</v>
      </c>
      <c r="D378" s="4" t="str">
        <f t="shared" si="110"/>
        <v>J38804</v>
      </c>
      <c r="E378" s="4" t="s">
        <v>247</v>
      </c>
      <c r="F378" s="4" t="str">
        <f t="shared" si="126"/>
        <v>J388045</v>
      </c>
      <c r="G378" s="4" t="s">
        <v>893</v>
      </c>
      <c r="H378" s="5">
        <v>4974268152312</v>
      </c>
      <c r="I378" s="5">
        <v>5</v>
      </c>
      <c r="J378" s="5"/>
      <c r="K378" s="5">
        <v>1</v>
      </c>
      <c r="L378" s="5">
        <v>1</v>
      </c>
      <c r="M378" s="4">
        <v>2400</v>
      </c>
      <c r="N378" s="4">
        <v>1800</v>
      </c>
      <c r="O378" s="4">
        <v>1440</v>
      </c>
      <c r="P378" s="6">
        <f t="shared" si="111"/>
        <v>0.19999999999999996</v>
      </c>
      <c r="Q378" s="4" t="s">
        <v>1280</v>
      </c>
      <c r="R378" s="4" t="s">
        <v>1280</v>
      </c>
      <c r="S378" s="4" t="s">
        <v>1280</v>
      </c>
      <c r="T378" s="4">
        <v>2600</v>
      </c>
      <c r="U378" s="4">
        <f t="shared" si="112"/>
        <v>2600</v>
      </c>
      <c r="V378" s="4">
        <v>1560</v>
      </c>
      <c r="W378" s="4">
        <f t="shared" si="113"/>
        <v>1560</v>
      </c>
      <c r="X378" s="4"/>
      <c r="Y378" s="21">
        <f t="shared" si="114"/>
        <v>1950</v>
      </c>
      <c r="Z378" s="6">
        <f t="shared" si="115"/>
        <v>0.19999999999999996</v>
      </c>
      <c r="AA378" s="4">
        <v>0.25</v>
      </c>
      <c r="AB378" s="4">
        <f t="shared" si="116"/>
        <v>2377</v>
      </c>
      <c r="AC378" s="4">
        <f t="shared" si="127"/>
        <v>2575.083333333333</v>
      </c>
      <c r="AD378" s="6">
        <f t="shared" si="128"/>
        <v>0.3941943626419856</v>
      </c>
      <c r="AE378" s="4">
        <f t="shared" si="129"/>
        <v>2470</v>
      </c>
      <c r="AF378" s="7">
        <v>2400</v>
      </c>
      <c r="AG378" s="6">
        <f t="shared" si="117"/>
        <v>0.35</v>
      </c>
      <c r="AH378" s="4">
        <f t="shared" si="118"/>
        <v>840</v>
      </c>
      <c r="AI378" s="28"/>
      <c r="AJ378" s="6"/>
      <c r="AK378" s="6"/>
      <c r="AL378" s="6">
        <f t="shared" si="119"/>
        <v>1.0833333333333333</v>
      </c>
      <c r="AM378" s="6">
        <f t="shared" si="120"/>
        <v>1.3333333333333333</v>
      </c>
      <c r="AN378" s="6">
        <f t="shared" si="121"/>
        <v>1.0833333333333333</v>
      </c>
      <c r="AO378" s="4" t="str">
        <f t="shared" si="122"/>
        <v>-</v>
      </c>
      <c r="AP378" s="4" t="str">
        <f t="shared" si="123"/>
        <v>-</v>
      </c>
      <c r="AQ378" s="4" t="str">
        <f t="shared" si="124"/>
        <v>-</v>
      </c>
      <c r="AR378" s="4">
        <v>0</v>
      </c>
      <c r="AS378" s="4" t="s">
        <v>1886</v>
      </c>
      <c r="AT378" s="4"/>
      <c r="AU378" s="4"/>
      <c r="AV378" s="4" t="s">
        <v>1887</v>
      </c>
      <c r="AW378" s="4">
        <v>2377</v>
      </c>
      <c r="AX378" s="4">
        <v>2377</v>
      </c>
      <c r="AY378" s="4">
        <v>2377</v>
      </c>
      <c r="AZ378" s="4">
        <f t="shared" si="125"/>
        <v>2377</v>
      </c>
      <c r="BA378" s="19">
        <v>4</v>
      </c>
      <c r="BB378" s="19">
        <v>8</v>
      </c>
      <c r="BC378" s="16">
        <v>18</v>
      </c>
      <c r="BD378" t="s">
        <v>1280</v>
      </c>
      <c r="BE378" t="s">
        <v>1280</v>
      </c>
      <c r="BF378" t="s">
        <v>1280</v>
      </c>
      <c r="BG378" t="str">
        <f t="shared" si="130"/>
        <v>-</v>
      </c>
      <c r="BH378">
        <v>2307</v>
      </c>
      <c r="BI378">
        <v>2307</v>
      </c>
      <c r="BJ378">
        <v>2307</v>
      </c>
      <c r="BK378">
        <f t="shared" si="131"/>
        <v>2499.25</v>
      </c>
      <c r="BL378" t="s">
        <v>1433</v>
      </c>
      <c r="BM378">
        <v>812</v>
      </c>
    </row>
    <row r="379" spans="1:65" x14ac:dyDescent="0.4">
      <c r="A379" s="3">
        <v>261</v>
      </c>
      <c r="B379" s="3">
        <v>261</v>
      </c>
      <c r="C379" s="4" t="s">
        <v>250</v>
      </c>
      <c r="D379" s="4" t="str">
        <f t="shared" si="110"/>
        <v>J38805</v>
      </c>
      <c r="E379" s="4" t="s">
        <v>250</v>
      </c>
      <c r="F379" s="4" t="str">
        <f t="shared" si="126"/>
        <v>J388055</v>
      </c>
      <c r="G379" s="4" t="s">
        <v>896</v>
      </c>
      <c r="H379" s="5">
        <v>4974268152329</v>
      </c>
      <c r="I379" s="5">
        <v>5</v>
      </c>
      <c r="J379" s="5"/>
      <c r="K379" s="5">
        <v>1</v>
      </c>
      <c r="L379" s="5">
        <v>1</v>
      </c>
      <c r="M379" s="4">
        <v>2400</v>
      </c>
      <c r="N379" s="4">
        <v>1800</v>
      </c>
      <c r="O379" s="4">
        <v>1440</v>
      </c>
      <c r="P379" s="6">
        <f t="shared" si="111"/>
        <v>0.19999999999999996</v>
      </c>
      <c r="Q379" s="4" t="s">
        <v>1280</v>
      </c>
      <c r="R379" s="4" t="s">
        <v>1280</v>
      </c>
      <c r="S379" s="4" t="s">
        <v>1280</v>
      </c>
      <c r="T379" s="4">
        <v>2600</v>
      </c>
      <c r="U379" s="4">
        <f t="shared" si="112"/>
        <v>2600</v>
      </c>
      <c r="V379" s="4">
        <v>1560</v>
      </c>
      <c r="W379" s="4">
        <f t="shared" si="113"/>
        <v>1560</v>
      </c>
      <c r="X379" s="4"/>
      <c r="Y379" s="21">
        <f t="shared" si="114"/>
        <v>1950</v>
      </c>
      <c r="Z379" s="6">
        <f t="shared" si="115"/>
        <v>0.19999999999999996</v>
      </c>
      <c r="AA379" s="4">
        <v>0.25</v>
      </c>
      <c r="AB379" s="4" t="str">
        <f t="shared" si="116"/>
        <v>-</v>
      </c>
      <c r="AC379" s="4" t="str">
        <f t="shared" si="127"/>
        <v>-</v>
      </c>
      <c r="AD379" s="6" t="str">
        <f t="shared" si="128"/>
        <v>-</v>
      </c>
      <c r="AE379" s="4">
        <f t="shared" si="129"/>
        <v>2470</v>
      </c>
      <c r="AF379" s="7">
        <v>2400</v>
      </c>
      <c r="AG379" s="6">
        <f t="shared" si="117"/>
        <v>0.35</v>
      </c>
      <c r="AH379" s="4">
        <f t="shared" si="118"/>
        <v>840</v>
      </c>
      <c r="AI379" s="28"/>
      <c r="AJ379" s="6"/>
      <c r="AK379" s="6"/>
      <c r="AL379" s="6">
        <f t="shared" si="119"/>
        <v>1.0833333333333333</v>
      </c>
      <c r="AM379" s="6">
        <f t="shared" si="120"/>
        <v>1.3333333333333333</v>
      </c>
      <c r="AN379" s="6">
        <f t="shared" si="121"/>
        <v>1.0833333333333333</v>
      </c>
      <c r="AO379" s="4" t="str">
        <f t="shared" si="122"/>
        <v>-</v>
      </c>
      <c r="AP379" s="4" t="str">
        <f t="shared" si="123"/>
        <v>-</v>
      </c>
      <c r="AQ379" s="4" t="str">
        <f t="shared" si="124"/>
        <v>-</v>
      </c>
      <c r="AR379" s="4">
        <v>0</v>
      </c>
      <c r="AS379" s="4" t="s">
        <v>1280</v>
      </c>
      <c r="AT379" s="4"/>
      <c r="AU379" s="4"/>
      <c r="AV379" s="4" t="s">
        <v>1280</v>
      </c>
      <c r="AW379" s="4" t="s">
        <v>1280</v>
      </c>
      <c r="AX379" s="4" t="s">
        <v>1280</v>
      </c>
      <c r="AY379" s="4" t="s">
        <v>1280</v>
      </c>
      <c r="AZ379" s="4" t="str">
        <f t="shared" si="125"/>
        <v>-</v>
      </c>
      <c r="BA379" s="19">
        <v>4</v>
      </c>
      <c r="BB379" s="19">
        <v>8</v>
      </c>
      <c r="BC379" s="16">
        <v>18</v>
      </c>
      <c r="BD379" t="s">
        <v>1280</v>
      </c>
      <c r="BE379" t="s">
        <v>1280</v>
      </c>
      <c r="BF379" t="s">
        <v>1280</v>
      </c>
      <c r="BG379" t="str">
        <f t="shared" si="130"/>
        <v>-</v>
      </c>
      <c r="BH379">
        <v>2307</v>
      </c>
      <c r="BI379">
        <v>2307</v>
      </c>
      <c r="BJ379">
        <v>2307</v>
      </c>
      <c r="BK379">
        <f t="shared" si="131"/>
        <v>2499.25</v>
      </c>
      <c r="BL379" t="s">
        <v>1280</v>
      </c>
      <c r="BM379">
        <v>812</v>
      </c>
    </row>
    <row r="380" spans="1:65" x14ac:dyDescent="0.4">
      <c r="A380" s="3">
        <v>262</v>
      </c>
      <c r="B380" s="3">
        <v>262</v>
      </c>
      <c r="C380" s="4" t="s">
        <v>251</v>
      </c>
      <c r="D380" s="4" t="str">
        <f t="shared" si="110"/>
        <v>J38806</v>
      </c>
      <c r="E380" s="4" t="s">
        <v>251</v>
      </c>
      <c r="F380" s="4" t="str">
        <f t="shared" si="126"/>
        <v>J388065</v>
      </c>
      <c r="G380" s="4" t="s">
        <v>897</v>
      </c>
      <c r="H380" s="5">
        <v>4974268152336</v>
      </c>
      <c r="I380" s="5">
        <v>5</v>
      </c>
      <c r="J380" s="5"/>
      <c r="K380" s="5">
        <v>1</v>
      </c>
      <c r="L380" s="5">
        <v>1</v>
      </c>
      <c r="M380" s="4">
        <v>2400</v>
      </c>
      <c r="N380" s="4">
        <v>2145</v>
      </c>
      <c r="O380" s="4">
        <v>1440</v>
      </c>
      <c r="P380" s="6">
        <f t="shared" si="111"/>
        <v>0.32867132867132864</v>
      </c>
      <c r="Q380" s="4" t="s">
        <v>1280</v>
      </c>
      <c r="R380" s="4" t="s">
        <v>1280</v>
      </c>
      <c r="S380" s="4" t="s">
        <v>1280</v>
      </c>
      <c r="T380" s="4">
        <v>2600</v>
      </c>
      <c r="U380" s="4">
        <f t="shared" si="112"/>
        <v>2600</v>
      </c>
      <c r="V380" s="4">
        <v>1560</v>
      </c>
      <c r="W380" s="4">
        <f t="shared" si="113"/>
        <v>1560</v>
      </c>
      <c r="X380" s="4"/>
      <c r="Y380" s="21">
        <f t="shared" si="114"/>
        <v>2324</v>
      </c>
      <c r="Z380" s="6">
        <f t="shared" si="115"/>
        <v>0.32874354561101549</v>
      </c>
      <c r="AA380" s="4">
        <v>0</v>
      </c>
      <c r="AB380" s="4">
        <f t="shared" si="116"/>
        <v>2377</v>
      </c>
      <c r="AC380" s="4">
        <f t="shared" si="127"/>
        <v>2575.083333333333</v>
      </c>
      <c r="AD380" s="6">
        <f t="shared" si="128"/>
        <v>0.3941943626419856</v>
      </c>
      <c r="AE380" s="4">
        <f t="shared" si="129"/>
        <v>2470</v>
      </c>
      <c r="AF380" s="7">
        <v>2400</v>
      </c>
      <c r="AG380" s="6">
        <f t="shared" si="117"/>
        <v>0.35</v>
      </c>
      <c r="AH380" s="4">
        <f t="shared" si="118"/>
        <v>840</v>
      </c>
      <c r="AI380" s="28"/>
      <c r="AJ380" s="6"/>
      <c r="AK380" s="6"/>
      <c r="AL380" s="6">
        <f t="shared" si="119"/>
        <v>1.0833333333333333</v>
      </c>
      <c r="AM380" s="6">
        <f t="shared" si="120"/>
        <v>1.118881118881119</v>
      </c>
      <c r="AN380" s="6">
        <f t="shared" si="121"/>
        <v>1.0833333333333333</v>
      </c>
      <c r="AO380" s="4" t="str">
        <f t="shared" si="122"/>
        <v>-</v>
      </c>
      <c r="AP380" s="4" t="str">
        <f t="shared" si="123"/>
        <v>-</v>
      </c>
      <c r="AQ380" s="4" t="str">
        <f t="shared" si="124"/>
        <v>-</v>
      </c>
      <c r="AR380" s="4">
        <v>0</v>
      </c>
      <c r="AS380" s="4" t="s">
        <v>1890</v>
      </c>
      <c r="AT380" s="4"/>
      <c r="AU380" s="4"/>
      <c r="AV380" s="4" t="s">
        <v>1887</v>
      </c>
      <c r="AW380" s="4">
        <v>2377</v>
      </c>
      <c r="AX380" s="4">
        <v>2377</v>
      </c>
      <c r="AY380" s="4">
        <v>2377</v>
      </c>
      <c r="AZ380" s="4">
        <f t="shared" si="125"/>
        <v>2377</v>
      </c>
      <c r="BA380" s="19">
        <v>4</v>
      </c>
      <c r="BB380" s="19">
        <v>8</v>
      </c>
      <c r="BC380" s="16">
        <v>18</v>
      </c>
      <c r="BD380" t="s">
        <v>1280</v>
      </c>
      <c r="BE380" t="s">
        <v>1280</v>
      </c>
      <c r="BF380" t="s">
        <v>1280</v>
      </c>
      <c r="BG380" t="str">
        <f t="shared" si="130"/>
        <v>-</v>
      </c>
      <c r="BH380">
        <v>2307</v>
      </c>
      <c r="BI380">
        <v>2307</v>
      </c>
      <c r="BJ380">
        <v>2307</v>
      </c>
      <c r="BK380">
        <f t="shared" si="131"/>
        <v>2499.25</v>
      </c>
      <c r="BL380" t="s">
        <v>1436</v>
      </c>
      <c r="BM380">
        <v>812</v>
      </c>
    </row>
    <row r="381" spans="1:65" x14ac:dyDescent="0.4">
      <c r="A381" s="3">
        <v>265</v>
      </c>
      <c r="B381" s="3">
        <v>265</v>
      </c>
      <c r="C381" s="4" t="s">
        <v>254</v>
      </c>
      <c r="D381" s="4" t="str">
        <f t="shared" si="110"/>
        <v>J38807</v>
      </c>
      <c r="E381" s="4" t="s">
        <v>254</v>
      </c>
      <c r="F381" s="4" t="str">
        <f t="shared" si="126"/>
        <v>J388075</v>
      </c>
      <c r="G381" s="4" t="s">
        <v>900</v>
      </c>
      <c r="H381" s="5">
        <v>4974268152343</v>
      </c>
      <c r="I381" s="5">
        <v>5</v>
      </c>
      <c r="J381" s="5"/>
      <c r="K381" s="5">
        <v>1</v>
      </c>
      <c r="L381" s="5">
        <v>1</v>
      </c>
      <c r="M381" s="4">
        <v>2400</v>
      </c>
      <c r="N381" s="4">
        <v>2145</v>
      </c>
      <c r="O381" s="4">
        <v>1440</v>
      </c>
      <c r="P381" s="6">
        <f t="shared" si="111"/>
        <v>0.32867132867132864</v>
      </c>
      <c r="Q381" s="4" t="s">
        <v>1280</v>
      </c>
      <c r="R381" s="4" t="s">
        <v>1280</v>
      </c>
      <c r="S381" s="4" t="s">
        <v>1280</v>
      </c>
      <c r="T381" s="4">
        <v>2600</v>
      </c>
      <c r="U381" s="4">
        <f t="shared" si="112"/>
        <v>2600</v>
      </c>
      <c r="V381" s="4">
        <v>1560</v>
      </c>
      <c r="W381" s="4">
        <f t="shared" si="113"/>
        <v>1560</v>
      </c>
      <c r="X381" s="4"/>
      <c r="Y381" s="21">
        <f t="shared" si="114"/>
        <v>2324</v>
      </c>
      <c r="Z381" s="6">
        <f t="shared" si="115"/>
        <v>0.32874354561101549</v>
      </c>
      <c r="AA381" s="4">
        <v>0.25</v>
      </c>
      <c r="AB381" s="4">
        <f t="shared" si="116"/>
        <v>2400</v>
      </c>
      <c r="AC381" s="4">
        <f t="shared" si="127"/>
        <v>2600</v>
      </c>
      <c r="AD381" s="6">
        <f t="shared" si="128"/>
        <v>0.4</v>
      </c>
      <c r="AE381" s="4">
        <f t="shared" si="129"/>
        <v>2470</v>
      </c>
      <c r="AF381" s="7">
        <v>2400</v>
      </c>
      <c r="AG381" s="6">
        <f t="shared" si="117"/>
        <v>0.35</v>
      </c>
      <c r="AH381" s="4">
        <f t="shared" si="118"/>
        <v>840</v>
      </c>
      <c r="AI381" s="28"/>
      <c r="AJ381" s="6"/>
      <c r="AK381" s="6"/>
      <c r="AL381" s="6">
        <f t="shared" si="119"/>
        <v>1.0833333333333333</v>
      </c>
      <c r="AM381" s="6">
        <f t="shared" si="120"/>
        <v>1.118881118881119</v>
      </c>
      <c r="AN381" s="6">
        <f t="shared" si="121"/>
        <v>1.0833333333333333</v>
      </c>
      <c r="AO381" s="4" t="str">
        <f t="shared" si="122"/>
        <v>-</v>
      </c>
      <c r="AP381" s="4" t="str">
        <f t="shared" si="123"/>
        <v>-</v>
      </c>
      <c r="AQ381" s="4" t="str">
        <f t="shared" si="124"/>
        <v>-</v>
      </c>
      <c r="AR381" s="4">
        <v>0</v>
      </c>
      <c r="AS381" s="4" t="s">
        <v>1894</v>
      </c>
      <c r="AT381" s="4"/>
      <c r="AU381" s="4"/>
      <c r="AV381" s="4" t="s">
        <v>1887</v>
      </c>
      <c r="AW381" s="4">
        <v>2400</v>
      </c>
      <c r="AX381" s="4">
        <v>2400</v>
      </c>
      <c r="AY381" s="4">
        <v>2400</v>
      </c>
      <c r="AZ381" s="4">
        <f t="shared" si="125"/>
        <v>2400</v>
      </c>
      <c r="BA381" s="19">
        <v>4</v>
      </c>
      <c r="BB381" s="19">
        <v>8</v>
      </c>
      <c r="BC381" s="16">
        <v>18</v>
      </c>
      <c r="BD381" t="s">
        <v>1280</v>
      </c>
      <c r="BE381" t="s">
        <v>1280</v>
      </c>
      <c r="BF381" t="s">
        <v>1280</v>
      </c>
      <c r="BG381" t="str">
        <f t="shared" si="130"/>
        <v>-</v>
      </c>
      <c r="BH381">
        <v>2307</v>
      </c>
      <c r="BI381">
        <v>2307</v>
      </c>
      <c r="BJ381">
        <v>2307</v>
      </c>
      <c r="BK381">
        <f t="shared" si="131"/>
        <v>2499.25</v>
      </c>
      <c r="BL381" t="s">
        <v>1439</v>
      </c>
      <c r="BM381">
        <v>812</v>
      </c>
    </row>
    <row r="382" spans="1:65" x14ac:dyDescent="0.4">
      <c r="A382" s="3">
        <v>391</v>
      </c>
      <c r="B382" s="3">
        <v>391</v>
      </c>
      <c r="C382" s="4" t="s">
        <v>380</v>
      </c>
      <c r="D382" s="4" t="str">
        <f t="shared" si="110"/>
        <v>J54405</v>
      </c>
      <c r="E382" s="4" t="s">
        <v>380</v>
      </c>
      <c r="F382" s="4" t="str">
        <f t="shared" si="126"/>
        <v>J544055</v>
      </c>
      <c r="G382" s="4" t="s">
        <v>1024</v>
      </c>
      <c r="H382" s="5">
        <v>4974268100443</v>
      </c>
      <c r="I382" s="5">
        <v>5</v>
      </c>
      <c r="J382" s="5"/>
      <c r="K382" s="5">
        <v>1</v>
      </c>
      <c r="L382" s="5">
        <v>1</v>
      </c>
      <c r="M382" s="4">
        <v>2400</v>
      </c>
      <c r="N382" s="4">
        <v>2296</v>
      </c>
      <c r="O382" s="4">
        <v>1440</v>
      </c>
      <c r="P382" s="6">
        <f t="shared" si="111"/>
        <v>0.37282229965156799</v>
      </c>
      <c r="Q382" s="4" t="s">
        <v>1280</v>
      </c>
      <c r="R382" s="4" t="s">
        <v>1280</v>
      </c>
      <c r="S382" s="4" t="s">
        <v>1280</v>
      </c>
      <c r="T382" s="4">
        <v>2600</v>
      </c>
      <c r="U382" s="4">
        <f t="shared" si="112"/>
        <v>2600</v>
      </c>
      <c r="V382" s="4">
        <v>1560</v>
      </c>
      <c r="W382" s="4">
        <f t="shared" si="113"/>
        <v>1560</v>
      </c>
      <c r="X382" s="4"/>
      <c r="Y382" s="21">
        <f t="shared" si="114"/>
        <v>2487</v>
      </c>
      <c r="Z382" s="6">
        <f t="shared" si="115"/>
        <v>0.37273823884197832</v>
      </c>
      <c r="AA382" s="4">
        <v>0</v>
      </c>
      <c r="AB382" s="4">
        <f t="shared" si="116"/>
        <v>2308</v>
      </c>
      <c r="AC382" s="4">
        <f t="shared" si="127"/>
        <v>2500.333333333333</v>
      </c>
      <c r="AD382" s="6">
        <f t="shared" si="128"/>
        <v>0.37608318890814552</v>
      </c>
      <c r="AE382" s="4">
        <f t="shared" si="129"/>
        <v>2470</v>
      </c>
      <c r="AF382" s="7">
        <v>2400</v>
      </c>
      <c r="AG382" s="6">
        <f t="shared" si="117"/>
        <v>0.35</v>
      </c>
      <c r="AH382" s="4">
        <f t="shared" si="118"/>
        <v>840</v>
      </c>
      <c r="AI382" s="28"/>
      <c r="AJ382" s="6"/>
      <c r="AK382" s="6"/>
      <c r="AL382" s="6">
        <f t="shared" si="119"/>
        <v>1.0833333333333333</v>
      </c>
      <c r="AM382" s="6">
        <f t="shared" si="120"/>
        <v>1.0452961672473868</v>
      </c>
      <c r="AN382" s="6">
        <f t="shared" si="121"/>
        <v>1.0833333333333333</v>
      </c>
      <c r="AO382" s="4" t="str">
        <f t="shared" si="122"/>
        <v>-</v>
      </c>
      <c r="AP382" s="4" t="str">
        <f t="shared" si="123"/>
        <v>-</v>
      </c>
      <c r="AQ382" s="4" t="str">
        <f t="shared" si="124"/>
        <v>-</v>
      </c>
      <c r="AR382" s="4">
        <v>0</v>
      </c>
      <c r="AS382" s="4" t="s">
        <v>1947</v>
      </c>
      <c r="AT382" s="4"/>
      <c r="AU382" s="4"/>
      <c r="AV382" s="4" t="s">
        <v>1729</v>
      </c>
      <c r="AW382" s="4">
        <v>2308</v>
      </c>
      <c r="AX382" s="4">
        <v>2308</v>
      </c>
      <c r="AY382" s="4">
        <v>2308</v>
      </c>
      <c r="AZ382" s="4">
        <f t="shared" si="125"/>
        <v>2308</v>
      </c>
      <c r="BA382" s="19">
        <v>4</v>
      </c>
      <c r="BB382" s="19">
        <v>8</v>
      </c>
      <c r="BC382" s="16">
        <v>19</v>
      </c>
      <c r="BD382" t="s">
        <v>1280</v>
      </c>
      <c r="BE382" t="s">
        <v>1280</v>
      </c>
      <c r="BF382" t="s">
        <v>1280</v>
      </c>
      <c r="BG382" t="str">
        <f t="shared" si="130"/>
        <v>-</v>
      </c>
      <c r="BH382">
        <v>1950</v>
      </c>
      <c r="BI382">
        <v>1950</v>
      </c>
      <c r="BJ382">
        <v>1950</v>
      </c>
      <c r="BK382">
        <f t="shared" si="131"/>
        <v>2112.5</v>
      </c>
      <c r="BL382" t="s">
        <v>1475</v>
      </c>
      <c r="BM382">
        <v>812</v>
      </c>
    </row>
    <row r="383" spans="1:65" x14ac:dyDescent="0.4">
      <c r="A383" s="32">
        <v>473</v>
      </c>
      <c r="B383" s="3">
        <v>473</v>
      </c>
      <c r="C383" s="4" t="s">
        <v>462</v>
      </c>
      <c r="D383" s="4" t="str">
        <f t="shared" si="110"/>
        <v>J54560</v>
      </c>
      <c r="E383" s="4" t="s">
        <v>462</v>
      </c>
      <c r="F383" s="4" t="str">
        <f t="shared" si="126"/>
        <v>J545605</v>
      </c>
      <c r="G383" s="4" t="s">
        <v>1106</v>
      </c>
      <c r="H383" s="5">
        <v>4974268563422</v>
      </c>
      <c r="I383" s="5">
        <v>5</v>
      </c>
      <c r="J383" s="5"/>
      <c r="K383" s="5">
        <v>1</v>
      </c>
      <c r="L383" s="5">
        <v>1</v>
      </c>
      <c r="M383" s="4">
        <v>2300</v>
      </c>
      <c r="N383" s="4">
        <v>2346</v>
      </c>
      <c r="O383" s="4">
        <v>1380</v>
      </c>
      <c r="P383" s="6">
        <f t="shared" si="111"/>
        <v>0.41176470588235292</v>
      </c>
      <c r="Q383" s="4" t="s">
        <v>1280</v>
      </c>
      <c r="R383" s="4" t="s">
        <v>1280</v>
      </c>
      <c r="S383" s="4" t="s">
        <v>1280</v>
      </c>
      <c r="T383" s="4">
        <v>2600</v>
      </c>
      <c r="U383" s="4">
        <f t="shared" si="112"/>
        <v>2600</v>
      </c>
      <c r="V383" s="4">
        <v>1560</v>
      </c>
      <c r="W383" s="4">
        <f t="shared" si="113"/>
        <v>1560</v>
      </c>
      <c r="X383" s="4"/>
      <c r="Y383" s="21">
        <f t="shared" si="114"/>
        <v>2652</v>
      </c>
      <c r="Z383" s="6">
        <f t="shared" si="115"/>
        <v>0.41176470588235292</v>
      </c>
      <c r="AA383" s="4">
        <v>0.5</v>
      </c>
      <c r="AB383" s="4">
        <f t="shared" si="116"/>
        <v>2300</v>
      </c>
      <c r="AC383" s="4">
        <f t="shared" si="127"/>
        <v>2600</v>
      </c>
      <c r="AD383" s="6">
        <f t="shared" si="128"/>
        <v>0.4</v>
      </c>
      <c r="AE383" s="4">
        <f t="shared" si="129"/>
        <v>2470</v>
      </c>
      <c r="AF383" s="7">
        <v>2400</v>
      </c>
      <c r="AG383" s="6">
        <f t="shared" si="117"/>
        <v>0.35</v>
      </c>
      <c r="AH383" s="4">
        <f t="shared" si="118"/>
        <v>840</v>
      </c>
      <c r="AI383" s="28"/>
      <c r="AJ383" s="6"/>
      <c r="AK383" s="6"/>
      <c r="AL383" s="6">
        <f t="shared" si="119"/>
        <v>1.1304347826086956</v>
      </c>
      <c r="AM383" s="6">
        <f t="shared" si="120"/>
        <v>1.0230179028132993</v>
      </c>
      <c r="AN383" s="6">
        <f t="shared" si="121"/>
        <v>1.1304347826086956</v>
      </c>
      <c r="AO383" s="4" t="str">
        <f t="shared" si="122"/>
        <v>-</v>
      </c>
      <c r="AP383" s="4" t="str">
        <f t="shared" si="123"/>
        <v>-</v>
      </c>
      <c r="AQ383" s="4" t="str">
        <f t="shared" si="124"/>
        <v>-</v>
      </c>
      <c r="AR383" s="4">
        <v>0</v>
      </c>
      <c r="AS383" s="4" t="s">
        <v>2031</v>
      </c>
      <c r="AT383" s="4"/>
      <c r="AU383" s="4"/>
      <c r="AV383" s="4" t="s">
        <v>1691</v>
      </c>
      <c r="AW383" s="4">
        <v>2300</v>
      </c>
      <c r="AX383" s="4">
        <v>2300</v>
      </c>
      <c r="AY383" s="4">
        <v>2300</v>
      </c>
      <c r="AZ383" s="4">
        <f t="shared" si="125"/>
        <v>2300</v>
      </c>
      <c r="BA383" s="19">
        <v>2</v>
      </c>
      <c r="BB383" s="19">
        <v>8</v>
      </c>
      <c r="BC383" s="16">
        <v>18</v>
      </c>
      <c r="BD383">
        <v>2300</v>
      </c>
      <c r="BE383">
        <v>2300</v>
      </c>
      <c r="BF383">
        <v>2300</v>
      </c>
      <c r="BG383">
        <f t="shared" si="130"/>
        <v>2600</v>
      </c>
      <c r="BH383">
        <v>2300</v>
      </c>
      <c r="BI383">
        <v>2300</v>
      </c>
      <c r="BJ383">
        <v>2300</v>
      </c>
      <c r="BK383">
        <f t="shared" si="131"/>
        <v>2600</v>
      </c>
      <c r="BL383" t="s">
        <v>1544</v>
      </c>
      <c r="BM383">
        <v>812</v>
      </c>
    </row>
    <row r="384" spans="1:65" x14ac:dyDescent="0.4">
      <c r="A384" s="3">
        <v>580</v>
      </c>
      <c r="B384" s="3">
        <v>580</v>
      </c>
      <c r="C384" s="4" t="s">
        <v>569</v>
      </c>
      <c r="D384" s="4" t="str">
        <f t="shared" si="110"/>
        <v>J94438</v>
      </c>
      <c r="E384" s="4" t="s">
        <v>569</v>
      </c>
      <c r="F384" s="4" t="str">
        <f t="shared" si="126"/>
        <v>J944385</v>
      </c>
      <c r="G384" s="4" t="s">
        <v>1213</v>
      </c>
      <c r="H384" s="5">
        <v>4974268100481</v>
      </c>
      <c r="I384" s="5">
        <v>5</v>
      </c>
      <c r="J384" s="5"/>
      <c r="K384" s="5">
        <v>1</v>
      </c>
      <c r="L384" s="5">
        <v>1</v>
      </c>
      <c r="M384" s="4">
        <v>2400</v>
      </c>
      <c r="N384" s="4">
        <v>2261</v>
      </c>
      <c r="O384" s="4">
        <v>1440</v>
      </c>
      <c r="P384" s="6">
        <f t="shared" si="111"/>
        <v>0.36311366651923926</v>
      </c>
      <c r="Q384" s="4" t="s">
        <v>1280</v>
      </c>
      <c r="R384" s="4" t="s">
        <v>1280</v>
      </c>
      <c r="S384" s="4" t="s">
        <v>1280</v>
      </c>
      <c r="T384" s="4">
        <v>2600</v>
      </c>
      <c r="U384" s="4">
        <f t="shared" si="112"/>
        <v>2600</v>
      </c>
      <c r="V384" s="4">
        <v>1560</v>
      </c>
      <c r="W384" s="4">
        <f t="shared" si="113"/>
        <v>1560</v>
      </c>
      <c r="X384" s="4"/>
      <c r="Y384" s="21">
        <f t="shared" si="114"/>
        <v>2449</v>
      </c>
      <c r="Z384" s="6">
        <f t="shared" si="115"/>
        <v>0.36300530828909761</v>
      </c>
      <c r="AA384" s="4">
        <v>7.75</v>
      </c>
      <c r="AB384" s="4">
        <f t="shared" si="116"/>
        <v>2199</v>
      </c>
      <c r="AC384" s="4">
        <f t="shared" si="127"/>
        <v>2382.25</v>
      </c>
      <c r="AD384" s="6">
        <f t="shared" si="128"/>
        <v>0.34515688949522505</v>
      </c>
      <c r="AE384" s="4">
        <f t="shared" si="129"/>
        <v>2470</v>
      </c>
      <c r="AF384" s="7">
        <v>2112</v>
      </c>
      <c r="AG384" s="6">
        <f t="shared" si="117"/>
        <v>0.26136363636363635</v>
      </c>
      <c r="AH384" s="4">
        <f t="shared" si="118"/>
        <v>552</v>
      </c>
      <c r="AI384" s="28"/>
      <c r="AJ384" s="6"/>
      <c r="AK384" s="6"/>
      <c r="AL384" s="6">
        <f t="shared" si="119"/>
        <v>1.0833333333333333</v>
      </c>
      <c r="AM384" s="6">
        <f t="shared" si="120"/>
        <v>0.9340999557717824</v>
      </c>
      <c r="AN384" s="6">
        <f t="shared" si="121"/>
        <v>1.0833333333333333</v>
      </c>
      <c r="AO384" s="4" t="str">
        <f t="shared" si="122"/>
        <v>-</v>
      </c>
      <c r="AP384" s="4" t="str">
        <f t="shared" si="123"/>
        <v>-</v>
      </c>
      <c r="AQ384" s="4" t="str">
        <f t="shared" si="124"/>
        <v>-</v>
      </c>
      <c r="AR384" s="4">
        <v>0</v>
      </c>
      <c r="AS384" s="4" t="s">
        <v>2140</v>
      </c>
      <c r="AT384" s="4"/>
      <c r="AU384" s="4"/>
      <c r="AV384" s="4" t="s">
        <v>1729</v>
      </c>
      <c r="AW384" s="4">
        <v>2199</v>
      </c>
      <c r="AX384" s="4">
        <v>2199</v>
      </c>
      <c r="AY384" s="4">
        <v>2199</v>
      </c>
      <c r="AZ384" s="4">
        <f t="shared" si="125"/>
        <v>2199</v>
      </c>
      <c r="BA384" s="19">
        <v>4</v>
      </c>
      <c r="BB384" s="19">
        <v>8</v>
      </c>
      <c r="BC384" s="16">
        <v>19</v>
      </c>
      <c r="BD384" t="s">
        <v>1280</v>
      </c>
      <c r="BE384" t="s">
        <v>1280</v>
      </c>
      <c r="BF384" t="s">
        <v>1280</v>
      </c>
      <c r="BG384" t="str">
        <f t="shared" si="130"/>
        <v>-</v>
      </c>
      <c r="BH384">
        <v>1950</v>
      </c>
      <c r="BI384">
        <v>1950</v>
      </c>
      <c r="BJ384">
        <v>1950</v>
      </c>
      <c r="BK384">
        <f t="shared" si="131"/>
        <v>2112.5</v>
      </c>
      <c r="BL384" t="s">
        <v>1628</v>
      </c>
      <c r="BM384">
        <v>812</v>
      </c>
    </row>
    <row r="385" spans="1:65" x14ac:dyDescent="0.4">
      <c r="A385" s="3">
        <v>581</v>
      </c>
      <c r="B385" s="3">
        <v>581</v>
      </c>
      <c r="C385" s="4" t="s">
        <v>570</v>
      </c>
      <c r="D385" s="4" t="str">
        <f t="shared" si="110"/>
        <v>J94439</v>
      </c>
      <c r="E385" s="4" t="s">
        <v>570</v>
      </c>
      <c r="F385" s="4" t="str">
        <f t="shared" si="126"/>
        <v>J944395</v>
      </c>
      <c r="G385" s="4" t="s">
        <v>1214</v>
      </c>
      <c r="H385" s="5">
        <v>4974268100498</v>
      </c>
      <c r="I385" s="5">
        <v>5</v>
      </c>
      <c r="J385" s="5"/>
      <c r="K385" s="5">
        <v>1</v>
      </c>
      <c r="L385" s="5">
        <v>1</v>
      </c>
      <c r="M385" s="4">
        <v>2400</v>
      </c>
      <c r="N385" s="4">
        <v>2106</v>
      </c>
      <c r="O385" s="4">
        <v>1440</v>
      </c>
      <c r="P385" s="6">
        <f t="shared" si="111"/>
        <v>0.31623931623931623</v>
      </c>
      <c r="Q385" s="4" t="s">
        <v>1280</v>
      </c>
      <c r="R385" s="4" t="s">
        <v>1280</v>
      </c>
      <c r="S385" s="4" t="s">
        <v>1280</v>
      </c>
      <c r="T385" s="4">
        <v>2600</v>
      </c>
      <c r="U385" s="4">
        <f t="shared" si="112"/>
        <v>2600</v>
      </c>
      <c r="V385" s="4">
        <v>1560</v>
      </c>
      <c r="W385" s="4">
        <f t="shared" si="113"/>
        <v>1560</v>
      </c>
      <c r="X385" s="4"/>
      <c r="Y385" s="21">
        <f t="shared" si="114"/>
        <v>2282</v>
      </c>
      <c r="Z385" s="6">
        <f t="shared" si="115"/>
        <v>0.31638913234005261</v>
      </c>
      <c r="AA385" s="4">
        <v>0.25</v>
      </c>
      <c r="AB385" s="4">
        <f t="shared" si="116"/>
        <v>2564</v>
      </c>
      <c r="AC385" s="4">
        <f t="shared" si="127"/>
        <v>2777.6666666666665</v>
      </c>
      <c r="AD385" s="6">
        <f t="shared" si="128"/>
        <v>0.43837753510140398</v>
      </c>
      <c r="AE385" s="4">
        <f t="shared" si="129"/>
        <v>2470</v>
      </c>
      <c r="AF385" s="7">
        <v>2112</v>
      </c>
      <c r="AG385" s="6">
        <f t="shared" si="117"/>
        <v>0.26136363636363635</v>
      </c>
      <c r="AH385" s="4">
        <f t="shared" si="118"/>
        <v>552</v>
      </c>
      <c r="AI385" s="28"/>
      <c r="AJ385" s="6"/>
      <c r="AK385" s="6"/>
      <c r="AL385" s="6">
        <f t="shared" si="119"/>
        <v>1.0833333333333333</v>
      </c>
      <c r="AM385" s="6">
        <f t="shared" si="120"/>
        <v>1.0028490028490029</v>
      </c>
      <c r="AN385" s="6">
        <f t="shared" si="121"/>
        <v>1.0833333333333333</v>
      </c>
      <c r="AO385" s="4" t="str">
        <f t="shared" si="122"/>
        <v>-</v>
      </c>
      <c r="AP385" s="4" t="str">
        <f t="shared" si="123"/>
        <v>-</v>
      </c>
      <c r="AQ385" s="4" t="str">
        <f t="shared" si="124"/>
        <v>-</v>
      </c>
      <c r="AR385" s="4">
        <v>0</v>
      </c>
      <c r="AS385" s="4" t="s">
        <v>2141</v>
      </c>
      <c r="AT385" s="4"/>
      <c r="AU385" s="4"/>
      <c r="AV385" s="4" t="s">
        <v>1729</v>
      </c>
      <c r="AW385" s="4">
        <v>2564</v>
      </c>
      <c r="AX385" s="4">
        <v>2564</v>
      </c>
      <c r="AY385" s="4">
        <v>2564</v>
      </c>
      <c r="AZ385" s="4">
        <f t="shared" si="125"/>
        <v>2564</v>
      </c>
      <c r="BA385" s="19">
        <v>4</v>
      </c>
      <c r="BB385" s="19">
        <v>8</v>
      </c>
      <c r="BC385" s="16">
        <v>19</v>
      </c>
      <c r="BD385" t="s">
        <v>1280</v>
      </c>
      <c r="BE385" t="s">
        <v>1280</v>
      </c>
      <c r="BF385" t="s">
        <v>1280</v>
      </c>
      <c r="BG385" t="str">
        <f t="shared" si="130"/>
        <v>-</v>
      </c>
      <c r="BH385">
        <v>1950</v>
      </c>
      <c r="BI385">
        <v>1950</v>
      </c>
      <c r="BJ385">
        <v>1950</v>
      </c>
      <c r="BK385">
        <f t="shared" si="131"/>
        <v>2112.5</v>
      </c>
      <c r="BL385" t="s">
        <v>1629</v>
      </c>
      <c r="BM385">
        <v>812</v>
      </c>
    </row>
    <row r="386" spans="1:65" x14ac:dyDescent="0.4">
      <c r="A386" s="3">
        <v>582</v>
      </c>
      <c r="B386" s="3">
        <v>582</v>
      </c>
      <c r="C386" s="4" t="s">
        <v>571</v>
      </c>
      <c r="D386" s="4" t="str">
        <f t="shared" si="110"/>
        <v>J94440</v>
      </c>
      <c r="E386" s="4" t="s">
        <v>571</v>
      </c>
      <c r="F386" s="4" t="str">
        <f t="shared" si="126"/>
        <v>J944405</v>
      </c>
      <c r="G386" s="4" t="s">
        <v>1215</v>
      </c>
      <c r="H386" s="5">
        <v>4974268103505</v>
      </c>
      <c r="I386" s="5">
        <v>5</v>
      </c>
      <c r="J386" s="5"/>
      <c r="K386" s="5">
        <v>1</v>
      </c>
      <c r="L386" s="5">
        <v>1</v>
      </c>
      <c r="M386" s="4">
        <v>2400</v>
      </c>
      <c r="N386" s="4">
        <v>2261</v>
      </c>
      <c r="O386" s="4">
        <v>1440</v>
      </c>
      <c r="P386" s="6">
        <f t="shared" si="111"/>
        <v>0.36311366651923926</v>
      </c>
      <c r="Q386" s="4" t="s">
        <v>1280</v>
      </c>
      <c r="R386" s="4" t="s">
        <v>1280</v>
      </c>
      <c r="S386" s="4" t="s">
        <v>1280</v>
      </c>
      <c r="T386" s="4">
        <v>2600</v>
      </c>
      <c r="U386" s="4">
        <f t="shared" si="112"/>
        <v>2600</v>
      </c>
      <c r="V386" s="4">
        <v>1560</v>
      </c>
      <c r="W386" s="4">
        <f t="shared" si="113"/>
        <v>1560</v>
      </c>
      <c r="X386" s="4"/>
      <c r="Y386" s="21">
        <f t="shared" si="114"/>
        <v>2449</v>
      </c>
      <c r="Z386" s="6">
        <f t="shared" si="115"/>
        <v>0.36300530828909761</v>
      </c>
      <c r="AA386" s="4">
        <v>0</v>
      </c>
      <c r="AB386" s="4">
        <f t="shared" si="116"/>
        <v>2299</v>
      </c>
      <c r="AC386" s="4">
        <f t="shared" si="127"/>
        <v>2490.583333333333</v>
      </c>
      <c r="AD386" s="6">
        <f t="shared" si="128"/>
        <v>0.37364071335363191</v>
      </c>
      <c r="AE386" s="4">
        <f t="shared" si="129"/>
        <v>2470</v>
      </c>
      <c r="AF386" s="7">
        <v>2112</v>
      </c>
      <c r="AG386" s="6">
        <f t="shared" si="117"/>
        <v>0.26136363636363635</v>
      </c>
      <c r="AH386" s="4">
        <f t="shared" si="118"/>
        <v>552</v>
      </c>
      <c r="AI386" s="28"/>
      <c r="AJ386" s="6"/>
      <c r="AK386" s="6"/>
      <c r="AL386" s="6">
        <f t="shared" si="119"/>
        <v>1.0833333333333333</v>
      </c>
      <c r="AM386" s="6">
        <f t="shared" si="120"/>
        <v>0.9340999557717824</v>
      </c>
      <c r="AN386" s="6">
        <f t="shared" si="121"/>
        <v>1.0833333333333333</v>
      </c>
      <c r="AO386" s="4" t="str">
        <f t="shared" si="122"/>
        <v>-</v>
      </c>
      <c r="AP386" s="4" t="str">
        <f t="shared" si="123"/>
        <v>-</v>
      </c>
      <c r="AQ386" s="4" t="str">
        <f t="shared" si="124"/>
        <v>-</v>
      </c>
      <c r="AR386" s="4">
        <v>0</v>
      </c>
      <c r="AS386" s="4" t="s">
        <v>2142</v>
      </c>
      <c r="AT386" s="4"/>
      <c r="AU386" s="4"/>
      <c r="AV386" s="4" t="s">
        <v>1729</v>
      </c>
      <c r="AW386" s="4">
        <v>2299</v>
      </c>
      <c r="AX386" s="4">
        <v>2299</v>
      </c>
      <c r="AY386" s="4">
        <v>2299</v>
      </c>
      <c r="AZ386" s="4">
        <f t="shared" si="125"/>
        <v>2299</v>
      </c>
      <c r="BA386" s="19">
        <v>4</v>
      </c>
      <c r="BB386" s="19">
        <v>8</v>
      </c>
      <c r="BC386" s="16">
        <v>19</v>
      </c>
      <c r="BD386">
        <v>1920</v>
      </c>
      <c r="BE386">
        <v>1920</v>
      </c>
      <c r="BF386">
        <v>1920</v>
      </c>
      <c r="BG386">
        <f t="shared" si="130"/>
        <v>2080</v>
      </c>
      <c r="BH386" t="s">
        <v>1280</v>
      </c>
      <c r="BI386">
        <v>2182</v>
      </c>
      <c r="BJ386">
        <v>2182</v>
      </c>
      <c r="BK386">
        <f t="shared" si="131"/>
        <v>2363.833333333333</v>
      </c>
      <c r="BL386" t="s">
        <v>1630</v>
      </c>
      <c r="BM386">
        <v>812</v>
      </c>
    </row>
    <row r="387" spans="1:65" x14ac:dyDescent="0.4">
      <c r="A387" s="3">
        <v>621</v>
      </c>
      <c r="B387" s="3">
        <v>621</v>
      </c>
      <c r="C387" s="4" t="s">
        <v>610</v>
      </c>
      <c r="D387" s="4" t="str">
        <f t="shared" si="110"/>
        <v>J960WN</v>
      </c>
      <c r="E387" s="4" t="s">
        <v>610</v>
      </c>
      <c r="F387" s="4" t="str">
        <f t="shared" si="126"/>
        <v>J960WN5</v>
      </c>
      <c r="G387" s="4" t="s">
        <v>1254</v>
      </c>
      <c r="H387" s="5">
        <v>4974268561152</v>
      </c>
      <c r="I387" s="5">
        <v>5</v>
      </c>
      <c r="J387" s="5"/>
      <c r="K387" s="5">
        <v>1</v>
      </c>
      <c r="L387" s="5">
        <v>1</v>
      </c>
      <c r="M387" s="4">
        <v>2300</v>
      </c>
      <c r="N387" s="4">
        <v>1970</v>
      </c>
      <c r="O387" s="4">
        <v>1380</v>
      </c>
      <c r="P387" s="6">
        <f t="shared" si="111"/>
        <v>0.29949238578680204</v>
      </c>
      <c r="Q387" s="4" t="s">
        <v>1280</v>
      </c>
      <c r="R387" s="4" t="s">
        <v>1280</v>
      </c>
      <c r="S387" s="4" t="s">
        <v>1280</v>
      </c>
      <c r="T387" s="4">
        <v>2600</v>
      </c>
      <c r="U387" s="4">
        <f t="shared" si="112"/>
        <v>2600</v>
      </c>
      <c r="V387" s="4">
        <v>1560</v>
      </c>
      <c r="W387" s="4">
        <f t="shared" si="113"/>
        <v>1560</v>
      </c>
      <c r="X387" s="4"/>
      <c r="Y387" s="21">
        <f t="shared" si="114"/>
        <v>2227</v>
      </c>
      <c r="Z387" s="6">
        <f t="shared" si="115"/>
        <v>0.29950606196677143</v>
      </c>
      <c r="AA387" s="4">
        <v>0</v>
      </c>
      <c r="AB387" s="4">
        <f t="shared" si="116"/>
        <v>2299</v>
      </c>
      <c r="AC387" s="4">
        <f t="shared" si="127"/>
        <v>2598.869565217391</v>
      </c>
      <c r="AD387" s="6">
        <f t="shared" si="128"/>
        <v>0.39973901696389724</v>
      </c>
      <c r="AE387" s="4">
        <f t="shared" si="129"/>
        <v>2470</v>
      </c>
      <c r="AF387" s="7">
        <v>2400</v>
      </c>
      <c r="AG387" s="6">
        <f t="shared" si="117"/>
        <v>0.35</v>
      </c>
      <c r="AH387" s="4">
        <f t="shared" si="118"/>
        <v>840</v>
      </c>
      <c r="AI387" s="28"/>
      <c r="AJ387" s="6"/>
      <c r="AK387" s="6"/>
      <c r="AL387" s="6">
        <f t="shared" si="119"/>
        <v>1.1304347826086956</v>
      </c>
      <c r="AM387" s="6">
        <f t="shared" si="120"/>
        <v>1.218274111675127</v>
      </c>
      <c r="AN387" s="6">
        <f t="shared" si="121"/>
        <v>1.1304347826086956</v>
      </c>
      <c r="AO387" s="4" t="str">
        <f t="shared" si="122"/>
        <v>-</v>
      </c>
      <c r="AP387" s="4" t="str">
        <f t="shared" si="123"/>
        <v>-</v>
      </c>
      <c r="AQ387" s="4" t="str">
        <f t="shared" si="124"/>
        <v>-</v>
      </c>
      <c r="AR387" s="4">
        <v>0</v>
      </c>
      <c r="AS387" s="4" t="s">
        <v>2181</v>
      </c>
      <c r="AT387" s="4"/>
      <c r="AU387" s="4"/>
      <c r="AV387" s="4" t="s">
        <v>2158</v>
      </c>
      <c r="AW387" s="4">
        <v>2299</v>
      </c>
      <c r="AX387" s="4">
        <v>2299</v>
      </c>
      <c r="AY387" s="4">
        <v>2299</v>
      </c>
      <c r="AZ387" s="4">
        <f t="shared" si="125"/>
        <v>2299</v>
      </c>
      <c r="BA387" s="19">
        <v>4</v>
      </c>
      <c r="BB387" s="19">
        <v>8</v>
      </c>
      <c r="BC387" s="16">
        <v>18</v>
      </c>
      <c r="BD387" t="s">
        <v>1280</v>
      </c>
      <c r="BE387" t="s">
        <v>1280</v>
      </c>
      <c r="BF387" t="s">
        <v>1280</v>
      </c>
      <c r="BG387" t="str">
        <f t="shared" si="130"/>
        <v>-</v>
      </c>
      <c r="BH387">
        <v>2300</v>
      </c>
      <c r="BI387">
        <v>2300</v>
      </c>
      <c r="BJ387">
        <v>2300</v>
      </c>
      <c r="BK387">
        <f t="shared" si="131"/>
        <v>2600</v>
      </c>
      <c r="BL387" t="s">
        <v>1662</v>
      </c>
      <c r="BM387">
        <v>812</v>
      </c>
    </row>
    <row r="388" spans="1:65" x14ac:dyDescent="0.4">
      <c r="A388" s="3">
        <v>638</v>
      </c>
      <c r="B388" s="3">
        <v>638</v>
      </c>
      <c r="C388" s="4" t="s">
        <v>627</v>
      </c>
      <c r="D388" s="4" t="str">
        <f t="shared" ref="D388:D451" si="132">TEXT(C388,"000000")</f>
        <v>J979WN</v>
      </c>
      <c r="E388" s="4" t="s">
        <v>627</v>
      </c>
      <c r="F388" s="4" t="str">
        <f t="shared" si="126"/>
        <v>J979WN5</v>
      </c>
      <c r="G388" s="4" t="s">
        <v>1271</v>
      </c>
      <c r="H388" s="5">
        <v>4974268562791</v>
      </c>
      <c r="I388" s="5">
        <v>5</v>
      </c>
      <c r="J388" s="5"/>
      <c r="K388" s="5">
        <v>1</v>
      </c>
      <c r="L388" s="5">
        <v>1</v>
      </c>
      <c r="M388" s="4">
        <v>2300</v>
      </c>
      <c r="N388" s="4">
        <v>1970</v>
      </c>
      <c r="O388" s="4">
        <v>1380</v>
      </c>
      <c r="P388" s="6">
        <f t="shared" ref="P388:P451" si="133">1-O388/N388</f>
        <v>0.29949238578680204</v>
      </c>
      <c r="Q388" s="4" t="s">
        <v>1280</v>
      </c>
      <c r="R388" s="4" t="s">
        <v>1280</v>
      </c>
      <c r="S388" s="4" t="s">
        <v>1280</v>
      </c>
      <c r="T388" s="4">
        <v>2600</v>
      </c>
      <c r="U388" s="4">
        <f t="shared" ref="U388:U451" si="134">IF(X388="",T388,T388*X388)</f>
        <v>2600</v>
      </c>
      <c r="V388" s="4">
        <v>1560</v>
      </c>
      <c r="W388" s="4">
        <f t="shared" ref="W388:W451" si="135">IF(X388="",V388,V388*X388)</f>
        <v>1560</v>
      </c>
      <c r="X388" s="4"/>
      <c r="Y388" s="21">
        <f t="shared" ref="Y388:Y451" si="136">ROUND(N388*AN388,0)</f>
        <v>2227</v>
      </c>
      <c r="Z388" s="6">
        <f t="shared" ref="Z388:Z451" si="137">1-W388/Y388</f>
        <v>0.29950606196677143</v>
      </c>
      <c r="AA388" s="4">
        <v>0</v>
      </c>
      <c r="AB388" s="4">
        <f t="shared" ref="AB388:AB451" si="138">AZ388</f>
        <v>2046</v>
      </c>
      <c r="AC388" s="4">
        <f t="shared" si="127"/>
        <v>2312.869565217391</v>
      </c>
      <c r="AD388" s="6">
        <f t="shared" si="128"/>
        <v>0.32551319648093835</v>
      </c>
      <c r="AE388" s="4">
        <f t="shared" si="129"/>
        <v>2470</v>
      </c>
      <c r="AF388" s="7">
        <v>2312</v>
      </c>
      <c r="AG388" s="6">
        <f t="shared" ref="AG388:AG451" si="139">1-W388/AF388</f>
        <v>0.32525951557093424</v>
      </c>
      <c r="AH388" s="4">
        <f t="shared" ref="AH388:AH451" si="140">AF388-W388</f>
        <v>752</v>
      </c>
      <c r="AI388" s="28"/>
      <c r="AJ388" s="6"/>
      <c r="AK388" s="6"/>
      <c r="AL388" s="6">
        <f t="shared" ref="AL388:AL451" si="141">U388/M388</f>
        <v>1.1304347826086956</v>
      </c>
      <c r="AM388" s="6">
        <f t="shared" ref="AM388:AM451" si="142">AF388/N388</f>
        <v>1.1736040609137055</v>
      </c>
      <c r="AN388" s="6">
        <f t="shared" ref="AN388:AN451" si="143">W388/O388</f>
        <v>1.1304347826086956</v>
      </c>
      <c r="AO388" s="4" t="str">
        <f t="shared" ref="AO388:AO451" si="144">IFERROR(ROUND($AF388*Q388/$N388,0),"-")</f>
        <v>-</v>
      </c>
      <c r="AP388" s="4" t="str">
        <f t="shared" ref="AP388:AP451" si="145">IF(R388="","-",R388)</f>
        <v>-</v>
      </c>
      <c r="AQ388" s="4" t="str">
        <f t="shared" ref="AQ388:AQ451" si="146">IF(S388="","-",S388)</f>
        <v>-</v>
      </c>
      <c r="AR388" s="4">
        <v>0</v>
      </c>
      <c r="AS388" s="4" t="s">
        <v>2193</v>
      </c>
      <c r="AT388" s="4"/>
      <c r="AU388" s="4"/>
      <c r="AV388" s="4" t="s">
        <v>2027</v>
      </c>
      <c r="AW388" s="4">
        <v>2046</v>
      </c>
      <c r="AX388" s="4">
        <v>2046</v>
      </c>
      <c r="AY388" s="4">
        <v>2046</v>
      </c>
      <c r="AZ388" s="4">
        <f t="shared" ref="AZ388:AZ451" si="147">IF(AT388="",AY388,AT388/AU388*AY388)</f>
        <v>2046</v>
      </c>
      <c r="BA388" s="19">
        <v>4</v>
      </c>
      <c r="BB388" s="19">
        <v>8</v>
      </c>
      <c r="BC388" s="16">
        <v>18</v>
      </c>
      <c r="BD388" t="s">
        <v>1280</v>
      </c>
      <c r="BE388" t="s">
        <v>1280</v>
      </c>
      <c r="BF388" t="s">
        <v>1280</v>
      </c>
      <c r="BG388" t="str">
        <f t="shared" si="130"/>
        <v>-</v>
      </c>
      <c r="BH388" t="s">
        <v>1280</v>
      </c>
      <c r="BI388">
        <v>2092</v>
      </c>
      <c r="BJ388">
        <v>2092</v>
      </c>
      <c r="BK388">
        <f t="shared" si="131"/>
        <v>2364.869565217391</v>
      </c>
      <c r="BL388" t="s">
        <v>1672</v>
      </c>
      <c r="BM388">
        <v>812</v>
      </c>
    </row>
    <row r="389" spans="1:65" x14ac:dyDescent="0.4">
      <c r="A389" s="3">
        <v>640</v>
      </c>
      <c r="B389" s="3">
        <v>640</v>
      </c>
      <c r="C389" s="4" t="s">
        <v>629</v>
      </c>
      <c r="D389" s="4" t="str">
        <f t="shared" si="132"/>
        <v>J981WN</v>
      </c>
      <c r="E389" s="4" t="s">
        <v>629</v>
      </c>
      <c r="F389" s="4" t="str">
        <f t="shared" ref="F389:F452" si="148">D389&amp;I389</f>
        <v>J981WN5</v>
      </c>
      <c r="G389" s="4" t="s">
        <v>1273</v>
      </c>
      <c r="H389" s="5">
        <v>4974268562845</v>
      </c>
      <c r="I389" s="5">
        <v>5</v>
      </c>
      <c r="J389" s="5"/>
      <c r="K389" s="5">
        <v>1</v>
      </c>
      <c r="L389" s="5">
        <v>1</v>
      </c>
      <c r="M389" s="4">
        <v>2300</v>
      </c>
      <c r="N389" s="4">
        <v>1970</v>
      </c>
      <c r="O389" s="4">
        <v>1380</v>
      </c>
      <c r="P389" s="6">
        <f t="shared" si="133"/>
        <v>0.29949238578680204</v>
      </c>
      <c r="Q389" s="4" t="s">
        <v>1280</v>
      </c>
      <c r="R389" s="4" t="s">
        <v>1280</v>
      </c>
      <c r="S389" s="4" t="s">
        <v>1280</v>
      </c>
      <c r="T389" s="4">
        <v>2600</v>
      </c>
      <c r="U389" s="4">
        <f t="shared" si="134"/>
        <v>2600</v>
      </c>
      <c r="V389" s="4">
        <v>1560</v>
      </c>
      <c r="W389" s="4">
        <f t="shared" si="135"/>
        <v>1560</v>
      </c>
      <c r="X389" s="4"/>
      <c r="Y389" s="21">
        <f t="shared" si="136"/>
        <v>2227</v>
      </c>
      <c r="Z389" s="6">
        <f t="shared" si="137"/>
        <v>0.29950606196677143</v>
      </c>
      <c r="AA389" s="4">
        <v>0</v>
      </c>
      <c r="AB389" s="4">
        <f t="shared" si="138"/>
        <v>2046</v>
      </c>
      <c r="AC389" s="4">
        <f t="shared" ref="AC389:AC452" si="149">IFERROR(AB389*AN389,"-")</f>
        <v>2312.869565217391</v>
      </c>
      <c r="AD389" s="6">
        <f t="shared" ref="AD389:AD452" si="150">IFERROR(1-W389/AC389,"-")</f>
        <v>0.32551319648093835</v>
      </c>
      <c r="AE389" s="4">
        <f t="shared" ref="AE389:AE452" si="151">U389*0.95</f>
        <v>2470</v>
      </c>
      <c r="AF389" s="7">
        <v>2312</v>
      </c>
      <c r="AG389" s="6">
        <f t="shared" si="139"/>
        <v>0.32525951557093424</v>
      </c>
      <c r="AH389" s="4">
        <f t="shared" si="140"/>
        <v>752</v>
      </c>
      <c r="AI389" s="28"/>
      <c r="AJ389" s="6"/>
      <c r="AK389" s="6"/>
      <c r="AL389" s="6">
        <f t="shared" si="141"/>
        <v>1.1304347826086956</v>
      </c>
      <c r="AM389" s="6">
        <f t="shared" si="142"/>
        <v>1.1736040609137055</v>
      </c>
      <c r="AN389" s="6">
        <f t="shared" si="143"/>
        <v>1.1304347826086956</v>
      </c>
      <c r="AO389" s="4" t="str">
        <f t="shared" si="144"/>
        <v>-</v>
      </c>
      <c r="AP389" s="4" t="str">
        <f t="shared" si="145"/>
        <v>-</v>
      </c>
      <c r="AQ389" s="4" t="str">
        <f t="shared" si="146"/>
        <v>-</v>
      </c>
      <c r="AR389" s="4">
        <v>0</v>
      </c>
      <c r="AS389" s="4" t="s">
        <v>2196</v>
      </c>
      <c r="AT389" s="4"/>
      <c r="AU389" s="4"/>
      <c r="AV389" s="4" t="s">
        <v>2027</v>
      </c>
      <c r="AW389" s="4">
        <v>2046</v>
      </c>
      <c r="AX389" s="4">
        <v>2046</v>
      </c>
      <c r="AY389" s="4">
        <v>2046</v>
      </c>
      <c r="AZ389" s="4">
        <f t="shared" si="147"/>
        <v>2046</v>
      </c>
      <c r="BA389" s="19">
        <v>4</v>
      </c>
      <c r="BB389" s="19">
        <v>8</v>
      </c>
      <c r="BC389" s="16">
        <v>18</v>
      </c>
      <c r="BD389" t="s">
        <v>1280</v>
      </c>
      <c r="BE389" t="s">
        <v>1280</v>
      </c>
      <c r="BF389" t="s">
        <v>1280</v>
      </c>
      <c r="BG389" t="str">
        <f t="shared" ref="BG389:BG452" si="152">IFERROR(BF389*AN389,"-")</f>
        <v>-</v>
      </c>
      <c r="BH389" t="s">
        <v>1280</v>
      </c>
      <c r="BI389">
        <v>2092</v>
      </c>
      <c r="BJ389">
        <v>2092</v>
      </c>
      <c r="BK389">
        <f t="shared" ref="BK389:BK452" si="153">IFERROR(BJ389*AN389,"-")</f>
        <v>2364.869565217391</v>
      </c>
      <c r="BL389" t="s">
        <v>1674</v>
      </c>
      <c r="BM389">
        <v>812</v>
      </c>
    </row>
    <row r="390" spans="1:65" x14ac:dyDescent="0.4">
      <c r="A390" s="3">
        <v>283</v>
      </c>
      <c r="B390" s="3">
        <v>283</v>
      </c>
      <c r="C390" s="4" t="s">
        <v>272</v>
      </c>
      <c r="D390" s="4" t="str">
        <f t="shared" si="132"/>
        <v>J38998</v>
      </c>
      <c r="E390" s="4" t="s">
        <v>272</v>
      </c>
      <c r="F390" s="4" t="str">
        <f t="shared" si="148"/>
        <v>J389985</v>
      </c>
      <c r="G390" s="4" t="s">
        <v>918</v>
      </c>
      <c r="H390" s="5">
        <v>4974268602824</v>
      </c>
      <c r="I390" s="5">
        <v>5</v>
      </c>
      <c r="J390" s="5"/>
      <c r="K390" s="5">
        <v>1</v>
      </c>
      <c r="L390" s="5">
        <v>1</v>
      </c>
      <c r="M390" s="4">
        <v>5200</v>
      </c>
      <c r="N390" s="4">
        <v>4104</v>
      </c>
      <c r="O390" s="4">
        <v>3120</v>
      </c>
      <c r="P390" s="6">
        <f t="shared" si="133"/>
        <v>0.23976608187134507</v>
      </c>
      <c r="Q390" s="4" t="s">
        <v>1280</v>
      </c>
      <c r="R390" s="4" t="s">
        <v>1280</v>
      </c>
      <c r="S390" s="4" t="s">
        <v>1280</v>
      </c>
      <c r="T390" s="4">
        <v>2700</v>
      </c>
      <c r="U390" s="4">
        <f t="shared" si="134"/>
        <v>5400</v>
      </c>
      <c r="V390" s="4">
        <v>1620</v>
      </c>
      <c r="W390" s="4">
        <f t="shared" si="135"/>
        <v>3240</v>
      </c>
      <c r="X390" s="4">
        <v>2</v>
      </c>
      <c r="Y390" s="21">
        <f t="shared" si="136"/>
        <v>4262</v>
      </c>
      <c r="Z390" s="6">
        <f t="shared" si="137"/>
        <v>0.23979352416705768</v>
      </c>
      <c r="AA390" s="4">
        <v>0</v>
      </c>
      <c r="AB390" s="4">
        <f t="shared" si="138"/>
        <v>4116</v>
      </c>
      <c r="AC390" s="4">
        <f t="shared" si="149"/>
        <v>4274.3076923076924</v>
      </c>
      <c r="AD390" s="6">
        <f t="shared" si="150"/>
        <v>0.2419825072886298</v>
      </c>
      <c r="AE390" s="4">
        <f t="shared" si="151"/>
        <v>5130</v>
      </c>
      <c r="AF390" s="7">
        <v>4274</v>
      </c>
      <c r="AG390" s="6">
        <f t="shared" si="139"/>
        <v>0.24192793635938226</v>
      </c>
      <c r="AH390" s="4">
        <f t="shared" si="140"/>
        <v>1034</v>
      </c>
      <c r="AI390" s="28"/>
      <c r="AJ390" s="6"/>
      <c r="AK390" s="6"/>
      <c r="AL390" s="6">
        <f t="shared" si="141"/>
        <v>1.0384615384615385</v>
      </c>
      <c r="AM390" s="6">
        <f t="shared" si="142"/>
        <v>1.0414230019493178</v>
      </c>
      <c r="AN390" s="6">
        <f t="shared" si="143"/>
        <v>1.0384615384615385</v>
      </c>
      <c r="AO390" s="4" t="str">
        <f t="shared" si="144"/>
        <v>-</v>
      </c>
      <c r="AP390" s="4" t="str">
        <f t="shared" si="145"/>
        <v>-</v>
      </c>
      <c r="AQ390" s="4" t="str">
        <f t="shared" si="146"/>
        <v>-</v>
      </c>
      <c r="AR390" s="4">
        <v>0</v>
      </c>
      <c r="AS390" s="4" t="s">
        <v>1915</v>
      </c>
      <c r="AT390" s="4"/>
      <c r="AU390" s="4"/>
      <c r="AV390" s="4" t="s">
        <v>1916</v>
      </c>
      <c r="AW390" s="4">
        <v>4116</v>
      </c>
      <c r="AX390" s="4">
        <v>4116</v>
      </c>
      <c r="AY390" s="4">
        <v>4116</v>
      </c>
      <c r="AZ390" s="4">
        <f t="shared" si="147"/>
        <v>4116</v>
      </c>
      <c r="BA390" s="19">
        <v>4</v>
      </c>
      <c r="BB390" s="19">
        <v>8</v>
      </c>
      <c r="BC390" s="16">
        <v>19</v>
      </c>
      <c r="BD390" t="s">
        <v>1280</v>
      </c>
      <c r="BE390" t="s">
        <v>1280</v>
      </c>
      <c r="BF390" t="s">
        <v>1280</v>
      </c>
      <c r="BG390" t="str">
        <f t="shared" si="152"/>
        <v>-</v>
      </c>
      <c r="BH390" t="s">
        <v>1280</v>
      </c>
      <c r="BI390" t="s">
        <v>1280</v>
      </c>
      <c r="BJ390" t="s">
        <v>1280</v>
      </c>
      <c r="BK390" t="str">
        <f t="shared" si="153"/>
        <v>-</v>
      </c>
      <c r="BL390" t="s">
        <v>1453</v>
      </c>
      <c r="BM390">
        <v>812</v>
      </c>
    </row>
    <row r="391" spans="1:65" x14ac:dyDescent="0.4">
      <c r="A391" s="3">
        <v>419</v>
      </c>
      <c r="B391" s="3">
        <v>419</v>
      </c>
      <c r="C391" s="4" t="s">
        <v>408</v>
      </c>
      <c r="D391" s="4" t="str">
        <f t="shared" si="132"/>
        <v>J54436</v>
      </c>
      <c r="E391" s="4" t="s">
        <v>408</v>
      </c>
      <c r="F391" s="4" t="str">
        <f t="shared" si="148"/>
        <v>J544365</v>
      </c>
      <c r="G391" s="4" t="s">
        <v>1052</v>
      </c>
      <c r="H391" s="5">
        <v>4974268602916</v>
      </c>
      <c r="I391" s="5">
        <v>5</v>
      </c>
      <c r="J391" s="5"/>
      <c r="K391" s="5">
        <v>1</v>
      </c>
      <c r="L391" s="5">
        <v>1</v>
      </c>
      <c r="M391" s="4">
        <v>2230</v>
      </c>
      <c r="N391" s="4">
        <v>1762</v>
      </c>
      <c r="O391" s="4">
        <v>1338</v>
      </c>
      <c r="P391" s="6">
        <f t="shared" si="133"/>
        <v>0.24063564131668558</v>
      </c>
      <c r="Q391" s="4" t="s">
        <v>1280</v>
      </c>
      <c r="R391" s="4" t="s">
        <v>1280</v>
      </c>
      <c r="S391" s="4" t="s">
        <v>1280</v>
      </c>
      <c r="T391" s="4">
        <v>2700</v>
      </c>
      <c r="U391" s="4">
        <f t="shared" si="134"/>
        <v>2700</v>
      </c>
      <c r="V391" s="4">
        <v>1620</v>
      </c>
      <c r="W391" s="4">
        <f t="shared" si="135"/>
        <v>1620</v>
      </c>
      <c r="X391" s="4"/>
      <c r="Y391" s="21">
        <f t="shared" si="136"/>
        <v>2133</v>
      </c>
      <c r="Z391" s="6">
        <f t="shared" si="137"/>
        <v>0.240506329113924</v>
      </c>
      <c r="AA391" s="4">
        <v>0</v>
      </c>
      <c r="AB391" s="4">
        <f t="shared" si="138"/>
        <v>2308</v>
      </c>
      <c r="AC391" s="4">
        <f t="shared" si="149"/>
        <v>2794.4394618834081</v>
      </c>
      <c r="AD391" s="6">
        <f t="shared" si="150"/>
        <v>0.42027729636048528</v>
      </c>
      <c r="AE391" s="4">
        <f t="shared" si="151"/>
        <v>2565</v>
      </c>
      <c r="AF391" s="7">
        <v>2500</v>
      </c>
      <c r="AG391" s="6">
        <f t="shared" si="139"/>
        <v>0.35199999999999998</v>
      </c>
      <c r="AH391" s="4">
        <f t="shared" si="140"/>
        <v>880</v>
      </c>
      <c r="AI391" s="28"/>
      <c r="AJ391" s="6"/>
      <c r="AK391" s="6"/>
      <c r="AL391" s="6">
        <f t="shared" si="141"/>
        <v>1.210762331838565</v>
      </c>
      <c r="AM391" s="6">
        <f t="shared" si="142"/>
        <v>1.4188422247446084</v>
      </c>
      <c r="AN391" s="6">
        <f t="shared" si="143"/>
        <v>1.210762331838565</v>
      </c>
      <c r="AO391" s="4" t="str">
        <f t="shared" si="144"/>
        <v>-</v>
      </c>
      <c r="AP391" s="4" t="str">
        <f t="shared" si="145"/>
        <v>-</v>
      </c>
      <c r="AQ391" s="4" t="str">
        <f t="shared" si="146"/>
        <v>-</v>
      </c>
      <c r="AR391" s="4">
        <v>0</v>
      </c>
      <c r="AS391" s="4" t="s">
        <v>1981</v>
      </c>
      <c r="AT391" s="4"/>
      <c r="AU391" s="4"/>
      <c r="AV391" s="4" t="s">
        <v>1911</v>
      </c>
      <c r="AW391" s="4">
        <v>2308</v>
      </c>
      <c r="AX391" s="4">
        <v>2308</v>
      </c>
      <c r="AY391" s="4">
        <v>2308</v>
      </c>
      <c r="AZ391" s="4">
        <f t="shared" si="147"/>
        <v>2308</v>
      </c>
      <c r="BA391" s="19">
        <v>4</v>
      </c>
      <c r="BB391" s="19">
        <v>8</v>
      </c>
      <c r="BC391" s="16">
        <v>19</v>
      </c>
      <c r="BD391" t="s">
        <v>1280</v>
      </c>
      <c r="BE391" t="s">
        <v>1280</v>
      </c>
      <c r="BF391" t="s">
        <v>1280</v>
      </c>
      <c r="BG391" t="str">
        <f t="shared" si="152"/>
        <v>-</v>
      </c>
      <c r="BH391">
        <v>2230</v>
      </c>
      <c r="BI391">
        <v>2230</v>
      </c>
      <c r="BJ391">
        <v>2230</v>
      </c>
      <c r="BK391">
        <f t="shared" si="153"/>
        <v>2700</v>
      </c>
      <c r="BL391" t="s">
        <v>1502</v>
      </c>
      <c r="BM391">
        <v>812</v>
      </c>
    </row>
    <row r="392" spans="1:65" x14ac:dyDescent="0.4">
      <c r="A392" s="3">
        <v>622</v>
      </c>
      <c r="B392" s="3">
        <v>622</v>
      </c>
      <c r="C392" s="4" t="s">
        <v>611</v>
      </c>
      <c r="D392" s="4" t="str">
        <f t="shared" si="132"/>
        <v>J963WN</v>
      </c>
      <c r="E392" s="4" t="s">
        <v>611</v>
      </c>
      <c r="F392" s="4" t="str">
        <f t="shared" si="148"/>
        <v>J963WN5</v>
      </c>
      <c r="G392" s="4" t="s">
        <v>1255</v>
      </c>
      <c r="H392" s="5">
        <v>4974268561480</v>
      </c>
      <c r="I392" s="5">
        <v>5</v>
      </c>
      <c r="J392" s="5"/>
      <c r="K392" s="5">
        <v>1</v>
      </c>
      <c r="L392" s="5">
        <v>1</v>
      </c>
      <c r="M392" s="4">
        <v>2400</v>
      </c>
      <c r="N392" s="4">
        <v>2060</v>
      </c>
      <c r="O392" s="4">
        <v>1440</v>
      </c>
      <c r="P392" s="6">
        <f t="shared" si="133"/>
        <v>0.30097087378640774</v>
      </c>
      <c r="Q392" s="4" t="s">
        <v>1280</v>
      </c>
      <c r="R392" s="4" t="s">
        <v>1280</v>
      </c>
      <c r="S392" s="4" t="s">
        <v>1280</v>
      </c>
      <c r="T392" s="4">
        <v>2700</v>
      </c>
      <c r="U392" s="4">
        <f t="shared" si="134"/>
        <v>2700</v>
      </c>
      <c r="V392" s="4">
        <v>1620</v>
      </c>
      <c r="W392" s="4">
        <f t="shared" si="135"/>
        <v>1620</v>
      </c>
      <c r="X392" s="4"/>
      <c r="Y392" s="21">
        <f t="shared" si="136"/>
        <v>2318</v>
      </c>
      <c r="Z392" s="6">
        <f t="shared" si="137"/>
        <v>0.30112165660051771</v>
      </c>
      <c r="AA392" s="4">
        <v>0</v>
      </c>
      <c r="AB392" s="4">
        <f t="shared" si="138"/>
        <v>983</v>
      </c>
      <c r="AC392" s="4">
        <f t="shared" si="149"/>
        <v>1105.875</v>
      </c>
      <c r="AD392" s="6">
        <f t="shared" si="150"/>
        <v>-0.46490335707019326</v>
      </c>
      <c r="AE392" s="4">
        <f t="shared" si="151"/>
        <v>2565</v>
      </c>
      <c r="AF392" s="7">
        <v>2360</v>
      </c>
      <c r="AG392" s="6">
        <f t="shared" si="139"/>
        <v>0.31355932203389836</v>
      </c>
      <c r="AH392" s="4">
        <f t="shared" si="140"/>
        <v>740</v>
      </c>
      <c r="AI392" s="28"/>
      <c r="AJ392" s="6"/>
      <c r="AK392" s="6"/>
      <c r="AL392" s="6">
        <f t="shared" si="141"/>
        <v>1.125</v>
      </c>
      <c r="AM392" s="6">
        <f t="shared" si="142"/>
        <v>1.145631067961165</v>
      </c>
      <c r="AN392" s="6">
        <f t="shared" si="143"/>
        <v>1.125</v>
      </c>
      <c r="AO392" s="4" t="str">
        <f t="shared" si="144"/>
        <v>-</v>
      </c>
      <c r="AP392" s="4" t="str">
        <f t="shared" si="145"/>
        <v>-</v>
      </c>
      <c r="AQ392" s="4" t="str">
        <f t="shared" si="146"/>
        <v>-</v>
      </c>
      <c r="AR392" s="4">
        <v>0</v>
      </c>
      <c r="AS392" s="4" t="s">
        <v>2182</v>
      </c>
      <c r="AT392" s="4"/>
      <c r="AU392" s="4"/>
      <c r="AV392" s="4" t="s">
        <v>2158</v>
      </c>
      <c r="AW392" s="4">
        <v>983</v>
      </c>
      <c r="AX392" s="4">
        <v>983</v>
      </c>
      <c r="AY392" s="4">
        <v>983</v>
      </c>
      <c r="AZ392" s="4">
        <f t="shared" si="147"/>
        <v>983</v>
      </c>
      <c r="BA392" s="19">
        <v>4</v>
      </c>
      <c r="BB392" s="19">
        <v>8</v>
      </c>
      <c r="BC392" s="16">
        <v>18</v>
      </c>
      <c r="BD392">
        <v>2400</v>
      </c>
      <c r="BE392">
        <v>2400</v>
      </c>
      <c r="BF392" t="s">
        <v>1280</v>
      </c>
      <c r="BG392" t="str">
        <f t="shared" si="152"/>
        <v>-</v>
      </c>
      <c r="BH392" t="s">
        <v>1280</v>
      </c>
      <c r="BI392">
        <v>2098</v>
      </c>
      <c r="BJ392">
        <v>2098</v>
      </c>
      <c r="BK392">
        <f t="shared" si="153"/>
        <v>2360.25</v>
      </c>
      <c r="BL392" t="s">
        <v>1663</v>
      </c>
      <c r="BM392">
        <v>812</v>
      </c>
    </row>
    <row r="393" spans="1:65" x14ac:dyDescent="0.4">
      <c r="A393" s="3">
        <v>634</v>
      </c>
      <c r="B393" s="3">
        <v>634</v>
      </c>
      <c r="C393" s="4" t="s">
        <v>623</v>
      </c>
      <c r="D393" s="4" t="str">
        <f t="shared" si="132"/>
        <v>J975WN</v>
      </c>
      <c r="E393" s="4" t="s">
        <v>623</v>
      </c>
      <c r="F393" s="4" t="str">
        <f t="shared" si="148"/>
        <v>J975WN5</v>
      </c>
      <c r="G393" s="4" t="s">
        <v>1267</v>
      </c>
      <c r="H393" s="5">
        <v>4974268569776</v>
      </c>
      <c r="I393" s="5">
        <v>5</v>
      </c>
      <c r="J393" s="5"/>
      <c r="K393" s="5">
        <v>1</v>
      </c>
      <c r="L393" s="5">
        <v>1</v>
      </c>
      <c r="M393" s="4">
        <v>2400</v>
      </c>
      <c r="N393" s="4">
        <v>2060</v>
      </c>
      <c r="O393" s="4">
        <v>1440</v>
      </c>
      <c r="P393" s="6">
        <f t="shared" si="133"/>
        <v>0.30097087378640774</v>
      </c>
      <c r="Q393" s="4" t="s">
        <v>1280</v>
      </c>
      <c r="R393" s="4" t="s">
        <v>1280</v>
      </c>
      <c r="S393" s="4" t="s">
        <v>1280</v>
      </c>
      <c r="T393" s="4">
        <v>2700</v>
      </c>
      <c r="U393" s="4">
        <f t="shared" si="134"/>
        <v>2700</v>
      </c>
      <c r="V393" s="4">
        <v>1620</v>
      </c>
      <c r="W393" s="4">
        <f t="shared" si="135"/>
        <v>1620</v>
      </c>
      <c r="X393" s="4"/>
      <c r="Y393" s="21">
        <f t="shared" si="136"/>
        <v>2318</v>
      </c>
      <c r="Z393" s="6">
        <f t="shared" si="137"/>
        <v>0.30112165660051771</v>
      </c>
      <c r="AA393" s="4">
        <v>0.5</v>
      </c>
      <c r="AB393" s="4">
        <f t="shared" si="138"/>
        <v>2255</v>
      </c>
      <c r="AC393" s="4">
        <f t="shared" si="149"/>
        <v>2536.875</v>
      </c>
      <c r="AD393" s="6">
        <f t="shared" si="150"/>
        <v>0.36141906873614194</v>
      </c>
      <c r="AE393" s="4">
        <f t="shared" si="151"/>
        <v>2565</v>
      </c>
      <c r="AF393" s="7">
        <v>2500</v>
      </c>
      <c r="AG393" s="6">
        <f t="shared" si="139"/>
        <v>0.35199999999999998</v>
      </c>
      <c r="AH393" s="4">
        <f t="shared" si="140"/>
        <v>880</v>
      </c>
      <c r="AI393" s="28"/>
      <c r="AJ393" s="6"/>
      <c r="AK393" s="6"/>
      <c r="AL393" s="6">
        <f t="shared" si="141"/>
        <v>1.125</v>
      </c>
      <c r="AM393" s="6">
        <f t="shared" si="142"/>
        <v>1.2135922330097086</v>
      </c>
      <c r="AN393" s="6">
        <f t="shared" si="143"/>
        <v>1.125</v>
      </c>
      <c r="AO393" s="4" t="str">
        <f t="shared" si="144"/>
        <v>-</v>
      </c>
      <c r="AP393" s="4" t="str">
        <f t="shared" si="145"/>
        <v>-</v>
      </c>
      <c r="AQ393" s="4" t="str">
        <f t="shared" si="146"/>
        <v>-</v>
      </c>
      <c r="AR393" s="4">
        <v>0</v>
      </c>
      <c r="AS393" s="4" t="s">
        <v>2189</v>
      </c>
      <c r="AT393" s="4"/>
      <c r="AU393" s="4"/>
      <c r="AV393" s="4" t="s">
        <v>2190</v>
      </c>
      <c r="AW393" s="4">
        <v>2255</v>
      </c>
      <c r="AX393" s="4">
        <v>2255</v>
      </c>
      <c r="AY393" s="4">
        <v>2255</v>
      </c>
      <c r="AZ393" s="4">
        <f t="shared" si="147"/>
        <v>2255</v>
      </c>
      <c r="BA393" s="19">
        <v>4</v>
      </c>
      <c r="BB393" s="19">
        <v>8</v>
      </c>
      <c r="BC393" s="16">
        <v>18</v>
      </c>
      <c r="BD393" t="s">
        <v>1280</v>
      </c>
      <c r="BE393" t="s">
        <v>1280</v>
      </c>
      <c r="BF393" t="s">
        <v>1280</v>
      </c>
      <c r="BG393" t="str">
        <f t="shared" si="152"/>
        <v>-</v>
      </c>
      <c r="BH393">
        <v>2224</v>
      </c>
      <c r="BI393">
        <v>2224</v>
      </c>
      <c r="BJ393">
        <v>2224</v>
      </c>
      <c r="BK393">
        <f t="shared" si="153"/>
        <v>2502</v>
      </c>
      <c r="BL393" t="s">
        <v>1670</v>
      </c>
      <c r="BM393">
        <v>812</v>
      </c>
    </row>
    <row r="394" spans="1:65" x14ac:dyDescent="0.4">
      <c r="A394" s="32">
        <v>641</v>
      </c>
      <c r="B394" s="3">
        <v>641</v>
      </c>
      <c r="C394" s="4" t="s">
        <v>630</v>
      </c>
      <c r="D394" s="4" t="str">
        <f t="shared" si="132"/>
        <v>J983WN</v>
      </c>
      <c r="E394" s="4" t="s">
        <v>630</v>
      </c>
      <c r="F394" s="4" t="str">
        <f t="shared" si="148"/>
        <v>J983WN5</v>
      </c>
      <c r="G394" s="4" t="s">
        <v>1274</v>
      </c>
      <c r="H394" s="5">
        <v>4974268563675</v>
      </c>
      <c r="I394" s="5">
        <v>5</v>
      </c>
      <c r="J394" s="5"/>
      <c r="K394" s="5">
        <v>1</v>
      </c>
      <c r="L394" s="5">
        <v>1</v>
      </c>
      <c r="M394" s="4">
        <v>2400</v>
      </c>
      <c r="N394" s="4">
        <v>2100</v>
      </c>
      <c r="O394" s="4">
        <v>1440</v>
      </c>
      <c r="P394" s="6">
        <f t="shared" si="133"/>
        <v>0.31428571428571428</v>
      </c>
      <c r="Q394" s="4" t="s">
        <v>1280</v>
      </c>
      <c r="R394" s="4" t="s">
        <v>1280</v>
      </c>
      <c r="S394" s="4" t="s">
        <v>1280</v>
      </c>
      <c r="T394" s="4">
        <v>2700</v>
      </c>
      <c r="U394" s="4">
        <f t="shared" si="134"/>
        <v>2700</v>
      </c>
      <c r="V394" s="4">
        <v>1620</v>
      </c>
      <c r="W394" s="4">
        <f t="shared" si="135"/>
        <v>1620</v>
      </c>
      <c r="X394" s="4"/>
      <c r="Y394" s="21">
        <f t="shared" si="136"/>
        <v>2363</v>
      </c>
      <c r="Z394" s="6">
        <f t="shared" si="137"/>
        <v>0.31443080829454084</v>
      </c>
      <c r="AA394" s="4">
        <v>0</v>
      </c>
      <c r="AB394" s="4">
        <f t="shared" si="138"/>
        <v>2271</v>
      </c>
      <c r="AC394" s="4">
        <f t="shared" si="149"/>
        <v>2554.875</v>
      </c>
      <c r="AD394" s="6">
        <f t="shared" si="150"/>
        <v>0.36591809775429329</v>
      </c>
      <c r="AE394" s="4">
        <f t="shared" si="151"/>
        <v>2565</v>
      </c>
      <c r="AF394" s="7">
        <v>2500</v>
      </c>
      <c r="AG394" s="6">
        <f t="shared" si="139"/>
        <v>0.35199999999999998</v>
      </c>
      <c r="AH394" s="4">
        <f t="shared" si="140"/>
        <v>880</v>
      </c>
      <c r="AI394" s="28"/>
      <c r="AJ394" s="6"/>
      <c r="AK394" s="6"/>
      <c r="AL394" s="6">
        <f t="shared" si="141"/>
        <v>1.125</v>
      </c>
      <c r="AM394" s="6">
        <f t="shared" si="142"/>
        <v>1.1904761904761905</v>
      </c>
      <c r="AN394" s="6">
        <f t="shared" si="143"/>
        <v>1.125</v>
      </c>
      <c r="AO394" s="4" t="str">
        <f t="shared" si="144"/>
        <v>-</v>
      </c>
      <c r="AP394" s="4" t="str">
        <f t="shared" si="145"/>
        <v>-</v>
      </c>
      <c r="AQ394" s="4" t="str">
        <f t="shared" si="146"/>
        <v>-</v>
      </c>
      <c r="AR394" s="4">
        <v>0</v>
      </c>
      <c r="AS394" s="4" t="s">
        <v>2197</v>
      </c>
      <c r="AT394" s="4"/>
      <c r="AU394" s="4"/>
      <c r="AV394" s="4" t="s">
        <v>1691</v>
      </c>
      <c r="AW394" s="4">
        <v>2271</v>
      </c>
      <c r="AX394" s="4">
        <v>2271</v>
      </c>
      <c r="AY394" s="4">
        <v>2271</v>
      </c>
      <c r="AZ394" s="4">
        <f t="shared" si="147"/>
        <v>2271</v>
      </c>
      <c r="BA394" s="19">
        <v>2</v>
      </c>
      <c r="BB394" s="19">
        <v>8</v>
      </c>
      <c r="BC394" s="16">
        <v>18</v>
      </c>
      <c r="BD394">
        <v>2400</v>
      </c>
      <c r="BE394">
        <v>2400</v>
      </c>
      <c r="BF394">
        <v>2400</v>
      </c>
      <c r="BG394">
        <f t="shared" si="152"/>
        <v>2700</v>
      </c>
      <c r="BH394">
        <v>2400</v>
      </c>
      <c r="BI394">
        <v>2400</v>
      </c>
      <c r="BJ394">
        <v>2400</v>
      </c>
      <c r="BK394">
        <f t="shared" si="153"/>
        <v>2700</v>
      </c>
      <c r="BL394" t="s">
        <v>1675</v>
      </c>
      <c r="BM394">
        <v>812</v>
      </c>
    </row>
    <row r="395" spans="1:65" x14ac:dyDescent="0.4">
      <c r="A395" s="3">
        <v>378</v>
      </c>
      <c r="B395" s="3">
        <v>378</v>
      </c>
      <c r="C395" s="4" t="s">
        <v>367</v>
      </c>
      <c r="D395" s="4" t="str">
        <f t="shared" si="132"/>
        <v>J4028N</v>
      </c>
      <c r="E395" s="4" t="s">
        <v>367</v>
      </c>
      <c r="F395" s="4" t="str">
        <f t="shared" si="148"/>
        <v>J4028N5</v>
      </c>
      <c r="G395" s="4" t="s">
        <v>1012</v>
      </c>
      <c r="H395" s="5">
        <v>4529671076665</v>
      </c>
      <c r="I395" s="5">
        <v>5</v>
      </c>
      <c r="J395" s="5"/>
      <c r="K395" s="5">
        <v>1</v>
      </c>
      <c r="L395" s="5">
        <v>1</v>
      </c>
      <c r="M395" s="4">
        <v>0</v>
      </c>
      <c r="N395" s="4">
        <v>2194</v>
      </c>
      <c r="O395" s="4">
        <v>1494</v>
      </c>
      <c r="P395" s="6">
        <f t="shared" si="133"/>
        <v>0.31905195989061075</v>
      </c>
      <c r="Q395" s="4" t="s">
        <v>1280</v>
      </c>
      <c r="R395" s="4" t="s">
        <v>1280</v>
      </c>
      <c r="S395" s="4" t="s">
        <v>1280</v>
      </c>
      <c r="T395" s="4">
        <v>0</v>
      </c>
      <c r="U395" s="4">
        <f t="shared" si="134"/>
        <v>0</v>
      </c>
      <c r="V395" s="4">
        <v>1638</v>
      </c>
      <c r="W395" s="4">
        <f t="shared" si="135"/>
        <v>1638</v>
      </c>
      <c r="X395" s="4"/>
      <c r="Y395" s="21">
        <f t="shared" si="136"/>
        <v>2405</v>
      </c>
      <c r="Z395" s="6">
        <f t="shared" si="137"/>
        <v>0.31891891891891888</v>
      </c>
      <c r="AA395" s="4">
        <v>0.25</v>
      </c>
      <c r="AB395" s="4" t="str">
        <f t="shared" si="138"/>
        <v>-</v>
      </c>
      <c r="AC395" s="4" t="str">
        <f t="shared" si="149"/>
        <v>-</v>
      </c>
      <c r="AD395" s="6" t="str">
        <f t="shared" si="150"/>
        <v>-</v>
      </c>
      <c r="AE395" s="4">
        <f t="shared" si="151"/>
        <v>0</v>
      </c>
      <c r="AF395" s="7">
        <v>2500</v>
      </c>
      <c r="AG395" s="6">
        <f t="shared" si="139"/>
        <v>0.3448</v>
      </c>
      <c r="AH395" s="4">
        <f t="shared" si="140"/>
        <v>862</v>
      </c>
      <c r="AI395" s="28"/>
      <c r="AJ395" s="6"/>
      <c r="AK395" s="6"/>
      <c r="AL395" s="6" t="e">
        <f t="shared" si="141"/>
        <v>#DIV/0!</v>
      </c>
      <c r="AM395" s="6">
        <f t="shared" si="142"/>
        <v>1.1394712853236098</v>
      </c>
      <c r="AN395" s="6">
        <f t="shared" si="143"/>
        <v>1.0963855421686748</v>
      </c>
      <c r="AO395" s="4" t="str">
        <f t="shared" si="144"/>
        <v>-</v>
      </c>
      <c r="AP395" s="4" t="str">
        <f t="shared" si="145"/>
        <v>-</v>
      </c>
      <c r="AQ395" s="4" t="str">
        <f t="shared" si="146"/>
        <v>-</v>
      </c>
      <c r="AR395" s="4">
        <v>0</v>
      </c>
      <c r="AS395" s="4" t="s">
        <v>1280</v>
      </c>
      <c r="AT395" s="4"/>
      <c r="AU395" s="4"/>
      <c r="AV395" s="4" t="s">
        <v>1280</v>
      </c>
      <c r="AW395" s="4" t="s">
        <v>1280</v>
      </c>
      <c r="AX395" s="4" t="s">
        <v>1280</v>
      </c>
      <c r="AY395" s="4" t="s">
        <v>1280</v>
      </c>
      <c r="AZ395" s="4" t="str">
        <f t="shared" si="147"/>
        <v>-</v>
      </c>
      <c r="BA395" s="19">
        <v>4</v>
      </c>
      <c r="BB395" s="19">
        <v>8</v>
      </c>
      <c r="BC395" s="16">
        <v>19</v>
      </c>
      <c r="BD395" t="s">
        <v>1280</v>
      </c>
      <c r="BE395" t="s">
        <v>1280</v>
      </c>
      <c r="BF395" t="s">
        <v>1280</v>
      </c>
      <c r="BG395" t="str">
        <f t="shared" si="152"/>
        <v>-</v>
      </c>
      <c r="BH395" t="s">
        <v>1280</v>
      </c>
      <c r="BI395">
        <v>1906</v>
      </c>
      <c r="BJ395">
        <v>1906</v>
      </c>
      <c r="BK395">
        <f t="shared" si="153"/>
        <v>2089.7108433734943</v>
      </c>
      <c r="BL395" t="s">
        <v>1280</v>
      </c>
      <c r="BM395">
        <v>812</v>
      </c>
    </row>
    <row r="396" spans="1:65" x14ac:dyDescent="0.4">
      <c r="A396" s="3">
        <v>161</v>
      </c>
      <c r="B396" s="3">
        <v>161</v>
      </c>
      <c r="C396" s="4" t="s">
        <v>150</v>
      </c>
      <c r="D396" s="4" t="str">
        <f t="shared" si="132"/>
        <v>J2492X</v>
      </c>
      <c r="E396" s="4" t="s">
        <v>150</v>
      </c>
      <c r="F396" s="4" t="str">
        <f t="shared" si="148"/>
        <v>J2492X5</v>
      </c>
      <c r="G396" s="4" t="s">
        <v>796</v>
      </c>
      <c r="H396" s="5">
        <v>4974268254528</v>
      </c>
      <c r="I396" s="5">
        <v>5</v>
      </c>
      <c r="J396" s="5"/>
      <c r="K396" s="5">
        <v>1</v>
      </c>
      <c r="L396" s="5">
        <v>1</v>
      </c>
      <c r="M396" s="4">
        <v>2600</v>
      </c>
      <c r="N396" s="4">
        <v>2423</v>
      </c>
      <c r="O396" s="4">
        <v>1560</v>
      </c>
      <c r="P396" s="6">
        <f t="shared" si="133"/>
        <v>0.35617003714403628</v>
      </c>
      <c r="Q396" s="4" t="s">
        <v>1280</v>
      </c>
      <c r="R396" s="4" t="s">
        <v>1280</v>
      </c>
      <c r="S396" s="4" t="s">
        <v>1280</v>
      </c>
      <c r="T396" s="4">
        <v>2800</v>
      </c>
      <c r="U396" s="4">
        <f t="shared" si="134"/>
        <v>2800</v>
      </c>
      <c r="V396" s="4">
        <v>1680</v>
      </c>
      <c r="W396" s="4">
        <f t="shared" si="135"/>
        <v>1680</v>
      </c>
      <c r="X396" s="4"/>
      <c r="Y396" s="21">
        <f t="shared" si="136"/>
        <v>2609</v>
      </c>
      <c r="Z396" s="6">
        <f t="shared" si="137"/>
        <v>0.35607512456880031</v>
      </c>
      <c r="AA396" s="4">
        <v>0.25</v>
      </c>
      <c r="AB396" s="4" t="str">
        <f t="shared" si="138"/>
        <v>-</v>
      </c>
      <c r="AC396" s="4" t="str">
        <f t="shared" si="149"/>
        <v>-</v>
      </c>
      <c r="AD396" s="6" t="str">
        <f t="shared" si="150"/>
        <v>-</v>
      </c>
      <c r="AE396" s="4">
        <f t="shared" si="151"/>
        <v>2660</v>
      </c>
      <c r="AF396" s="7">
        <v>2600</v>
      </c>
      <c r="AG396" s="6">
        <f t="shared" si="139"/>
        <v>0.35384615384615381</v>
      </c>
      <c r="AH396" s="4">
        <f t="shared" si="140"/>
        <v>920</v>
      </c>
      <c r="AI396" s="28"/>
      <c r="AJ396" s="6"/>
      <c r="AK396" s="6"/>
      <c r="AL396" s="6">
        <f t="shared" si="141"/>
        <v>1.0769230769230769</v>
      </c>
      <c r="AM396" s="6">
        <f t="shared" si="142"/>
        <v>1.0730499380932728</v>
      </c>
      <c r="AN396" s="6">
        <f t="shared" si="143"/>
        <v>1.0769230769230769</v>
      </c>
      <c r="AO396" s="4" t="str">
        <f t="shared" si="144"/>
        <v>-</v>
      </c>
      <c r="AP396" s="4" t="str">
        <f t="shared" si="145"/>
        <v>-</v>
      </c>
      <c r="AQ396" s="4" t="str">
        <f t="shared" si="146"/>
        <v>-</v>
      </c>
      <c r="AR396" s="4">
        <v>0</v>
      </c>
      <c r="AS396" s="4" t="s">
        <v>1280</v>
      </c>
      <c r="AT396" s="4"/>
      <c r="AU396" s="4"/>
      <c r="AV396" s="4" t="s">
        <v>1280</v>
      </c>
      <c r="AW396" s="4" t="s">
        <v>1280</v>
      </c>
      <c r="AX396" s="4" t="s">
        <v>1280</v>
      </c>
      <c r="AY396" s="4" t="s">
        <v>1280</v>
      </c>
      <c r="AZ396" s="4" t="str">
        <f t="shared" si="147"/>
        <v>-</v>
      </c>
      <c r="BA396" s="19">
        <v>4</v>
      </c>
      <c r="BB396" s="19">
        <v>1</v>
      </c>
      <c r="BC396" s="16">
        <v>4</v>
      </c>
      <c r="BD396">
        <v>2128</v>
      </c>
      <c r="BE396">
        <v>2128</v>
      </c>
      <c r="BF396">
        <v>2128</v>
      </c>
      <c r="BG396">
        <f t="shared" si="152"/>
        <v>2291.6923076923076</v>
      </c>
      <c r="BH396" t="s">
        <v>1280</v>
      </c>
      <c r="BI396" t="s">
        <v>1280</v>
      </c>
      <c r="BJ396" t="s">
        <v>1280</v>
      </c>
      <c r="BK396" t="str">
        <f t="shared" si="153"/>
        <v>-</v>
      </c>
      <c r="BL396" t="s">
        <v>1280</v>
      </c>
      <c r="BM396">
        <v>812</v>
      </c>
    </row>
    <row r="397" spans="1:65" x14ac:dyDescent="0.4">
      <c r="A397" s="3">
        <v>417</v>
      </c>
      <c r="B397" s="3">
        <v>417</v>
      </c>
      <c r="C397" s="4" t="s">
        <v>406</v>
      </c>
      <c r="D397" s="4" t="str">
        <f t="shared" si="132"/>
        <v>J54484</v>
      </c>
      <c r="E397" s="4" t="s">
        <v>406</v>
      </c>
      <c r="F397" s="4" t="str">
        <f t="shared" si="148"/>
        <v>J544845</v>
      </c>
      <c r="G397" s="4" t="s">
        <v>1050</v>
      </c>
      <c r="H397" s="5">
        <v>4974268835116</v>
      </c>
      <c r="I397" s="5">
        <v>5</v>
      </c>
      <c r="J397" s="5"/>
      <c r="K397" s="5">
        <v>1</v>
      </c>
      <c r="L397" s="5">
        <v>1</v>
      </c>
      <c r="M397" s="4">
        <v>2550</v>
      </c>
      <c r="N397" s="4">
        <v>2145</v>
      </c>
      <c r="O397" s="4">
        <v>1530</v>
      </c>
      <c r="P397" s="6">
        <f t="shared" si="133"/>
        <v>0.28671328671328666</v>
      </c>
      <c r="Q397" s="4" t="s">
        <v>1280</v>
      </c>
      <c r="R397" s="4" t="s">
        <v>1280</v>
      </c>
      <c r="S397" s="4" t="s">
        <v>1280</v>
      </c>
      <c r="T397" s="4">
        <v>2800</v>
      </c>
      <c r="U397" s="4">
        <f t="shared" si="134"/>
        <v>2800</v>
      </c>
      <c r="V397" s="4">
        <v>1680</v>
      </c>
      <c r="W397" s="4">
        <f t="shared" si="135"/>
        <v>1680</v>
      </c>
      <c r="X397" s="4"/>
      <c r="Y397" s="21">
        <f t="shared" si="136"/>
        <v>2355</v>
      </c>
      <c r="Z397" s="6">
        <f t="shared" si="137"/>
        <v>0.2866242038216561</v>
      </c>
      <c r="AA397" s="4">
        <v>0.75</v>
      </c>
      <c r="AB397" s="4">
        <f t="shared" si="138"/>
        <v>2082</v>
      </c>
      <c r="AC397" s="4">
        <f t="shared" si="149"/>
        <v>2286.1176470588239</v>
      </c>
      <c r="AD397" s="6">
        <f t="shared" si="150"/>
        <v>0.26512968299711825</v>
      </c>
      <c r="AE397" s="4">
        <f t="shared" si="151"/>
        <v>2660</v>
      </c>
      <c r="AF397" s="7">
        <v>2286</v>
      </c>
      <c r="AG397" s="6">
        <f t="shared" si="139"/>
        <v>0.26509186351706038</v>
      </c>
      <c r="AH397" s="4">
        <f t="shared" si="140"/>
        <v>606</v>
      </c>
      <c r="AI397" s="28"/>
      <c r="AJ397" s="6"/>
      <c r="AK397" s="6"/>
      <c r="AL397" s="6">
        <f t="shared" si="141"/>
        <v>1.0980392156862746</v>
      </c>
      <c r="AM397" s="6">
        <f t="shared" si="142"/>
        <v>1.0657342657342657</v>
      </c>
      <c r="AN397" s="6">
        <f t="shared" si="143"/>
        <v>1.0980392156862746</v>
      </c>
      <c r="AO397" s="4" t="str">
        <f t="shared" si="144"/>
        <v>-</v>
      </c>
      <c r="AP397" s="4" t="str">
        <f t="shared" si="145"/>
        <v>-</v>
      </c>
      <c r="AQ397" s="4" t="str">
        <f t="shared" si="146"/>
        <v>-</v>
      </c>
      <c r="AR397" s="4">
        <v>0</v>
      </c>
      <c r="AS397" s="4" t="s">
        <v>1978</v>
      </c>
      <c r="AT397" s="4"/>
      <c r="AU397" s="4"/>
      <c r="AV397" s="4" t="s">
        <v>1979</v>
      </c>
      <c r="AW397" s="4">
        <v>2082</v>
      </c>
      <c r="AX397" s="4">
        <v>2082</v>
      </c>
      <c r="AY397" s="4">
        <v>2082</v>
      </c>
      <c r="AZ397" s="4">
        <f t="shared" si="147"/>
        <v>2082</v>
      </c>
      <c r="BA397" s="19">
        <v>4</v>
      </c>
      <c r="BB397" s="19">
        <v>8</v>
      </c>
      <c r="BC397" s="16">
        <v>18</v>
      </c>
      <c r="BD397">
        <v>2318</v>
      </c>
      <c r="BE397">
        <v>2318</v>
      </c>
      <c r="BF397">
        <v>2318</v>
      </c>
      <c r="BG397">
        <f t="shared" si="152"/>
        <v>2545.2549019607845</v>
      </c>
      <c r="BH397">
        <v>2520</v>
      </c>
      <c r="BI397">
        <v>2520</v>
      </c>
      <c r="BJ397">
        <v>2520</v>
      </c>
      <c r="BK397">
        <f t="shared" si="153"/>
        <v>2767.0588235294122</v>
      </c>
      <c r="BL397" t="s">
        <v>1500</v>
      </c>
      <c r="BM397">
        <v>812</v>
      </c>
    </row>
    <row r="398" spans="1:65" x14ac:dyDescent="0.4">
      <c r="A398" s="3">
        <v>446</v>
      </c>
      <c r="B398" s="3">
        <v>446</v>
      </c>
      <c r="C398" s="4" t="s">
        <v>435</v>
      </c>
      <c r="D398" s="4" t="str">
        <f t="shared" si="132"/>
        <v>J54525</v>
      </c>
      <c r="E398" s="4" t="s">
        <v>435</v>
      </c>
      <c r="F398" s="4" t="str">
        <f t="shared" si="148"/>
        <v>J545255</v>
      </c>
      <c r="G398" s="4" t="s">
        <v>1079</v>
      </c>
      <c r="H398" s="5">
        <v>4974268569004</v>
      </c>
      <c r="I398" s="5">
        <v>5</v>
      </c>
      <c r="J398" s="5"/>
      <c r="K398" s="5">
        <v>1</v>
      </c>
      <c r="L398" s="5">
        <v>1</v>
      </c>
      <c r="M398" s="4">
        <v>2500</v>
      </c>
      <c r="N398" s="4">
        <v>2398</v>
      </c>
      <c r="O398" s="4">
        <v>1500</v>
      </c>
      <c r="P398" s="6">
        <f t="shared" si="133"/>
        <v>0.37447873227689743</v>
      </c>
      <c r="Q398" s="4" t="s">
        <v>1280</v>
      </c>
      <c r="R398" s="4" t="s">
        <v>1280</v>
      </c>
      <c r="S398" s="4" t="s">
        <v>1280</v>
      </c>
      <c r="T398" s="4">
        <v>2800</v>
      </c>
      <c r="U398" s="4">
        <f t="shared" si="134"/>
        <v>2800</v>
      </c>
      <c r="V398" s="4">
        <v>1680</v>
      </c>
      <c r="W398" s="4">
        <f t="shared" si="135"/>
        <v>1680</v>
      </c>
      <c r="X398" s="4"/>
      <c r="Y398" s="21">
        <f t="shared" si="136"/>
        <v>2686</v>
      </c>
      <c r="Z398" s="6">
        <f t="shared" si="137"/>
        <v>0.37453462397617276</v>
      </c>
      <c r="AA398" s="4">
        <v>2.75</v>
      </c>
      <c r="AB398" s="4">
        <f t="shared" si="138"/>
        <v>2037</v>
      </c>
      <c r="AC398" s="4">
        <f t="shared" si="149"/>
        <v>2281.44</v>
      </c>
      <c r="AD398" s="6">
        <f t="shared" si="150"/>
        <v>0.26362297496318121</v>
      </c>
      <c r="AE398" s="4">
        <f t="shared" si="151"/>
        <v>2660</v>
      </c>
      <c r="AF398" s="7">
        <v>2281</v>
      </c>
      <c r="AG398" s="6">
        <f t="shared" si="139"/>
        <v>0.26348092941692236</v>
      </c>
      <c r="AH398" s="4">
        <f t="shared" si="140"/>
        <v>601</v>
      </c>
      <c r="AI398" s="28"/>
      <c r="AJ398" s="6"/>
      <c r="AK398" s="6"/>
      <c r="AL398" s="6">
        <f t="shared" si="141"/>
        <v>1.1200000000000001</v>
      </c>
      <c r="AM398" s="6">
        <f t="shared" si="142"/>
        <v>0.95120934111759803</v>
      </c>
      <c r="AN398" s="6">
        <f t="shared" si="143"/>
        <v>1.1200000000000001</v>
      </c>
      <c r="AO398" s="4" t="str">
        <f t="shared" si="144"/>
        <v>-</v>
      </c>
      <c r="AP398" s="4" t="str">
        <f t="shared" si="145"/>
        <v>-</v>
      </c>
      <c r="AQ398" s="4" t="str">
        <f t="shared" si="146"/>
        <v>-</v>
      </c>
      <c r="AR398" s="4">
        <v>0</v>
      </c>
      <c r="AS398" s="4" t="s">
        <v>2004</v>
      </c>
      <c r="AT398" s="4"/>
      <c r="AU398" s="4"/>
      <c r="AV398" s="4" t="s">
        <v>2005</v>
      </c>
      <c r="AW398" s="4">
        <v>2037</v>
      </c>
      <c r="AX398" s="4">
        <v>2037</v>
      </c>
      <c r="AY398" s="4">
        <v>2037</v>
      </c>
      <c r="AZ398" s="4">
        <f t="shared" si="147"/>
        <v>2037</v>
      </c>
      <c r="BA398" s="19">
        <v>4</v>
      </c>
      <c r="BB398" s="19">
        <v>8</v>
      </c>
      <c r="BC398" s="16">
        <v>18</v>
      </c>
      <c r="BD398" t="s">
        <v>1280</v>
      </c>
      <c r="BE398" t="s">
        <v>1280</v>
      </c>
      <c r="BF398" t="s">
        <v>1280</v>
      </c>
      <c r="BG398" t="str">
        <f t="shared" si="152"/>
        <v>-</v>
      </c>
      <c r="BH398">
        <v>2320</v>
      </c>
      <c r="BI398">
        <v>2320</v>
      </c>
      <c r="BJ398">
        <v>2320</v>
      </c>
      <c r="BK398">
        <f t="shared" si="153"/>
        <v>2598.4</v>
      </c>
      <c r="BL398" t="s">
        <v>1523</v>
      </c>
      <c r="BM398">
        <v>812</v>
      </c>
    </row>
    <row r="399" spans="1:65" x14ac:dyDescent="0.4">
      <c r="A399" s="3">
        <v>452</v>
      </c>
      <c r="B399" s="3">
        <v>452</v>
      </c>
      <c r="C399" s="4" t="s">
        <v>441</v>
      </c>
      <c r="D399" s="4" t="str">
        <f t="shared" si="132"/>
        <v>J54530</v>
      </c>
      <c r="E399" s="4" t="s">
        <v>441</v>
      </c>
      <c r="F399" s="4" t="str">
        <f t="shared" si="148"/>
        <v>J545305</v>
      </c>
      <c r="G399" s="4" t="s">
        <v>1085</v>
      </c>
      <c r="H399" s="5">
        <v>4974268561077</v>
      </c>
      <c r="I399" s="5">
        <v>5</v>
      </c>
      <c r="J399" s="5"/>
      <c r="K399" s="5">
        <v>1</v>
      </c>
      <c r="L399" s="5">
        <v>1</v>
      </c>
      <c r="M399" s="4">
        <v>2500</v>
      </c>
      <c r="N399" s="4">
        <v>1983</v>
      </c>
      <c r="O399" s="4">
        <v>1500</v>
      </c>
      <c r="P399" s="6">
        <f t="shared" si="133"/>
        <v>0.24357034795763999</v>
      </c>
      <c r="Q399" s="4" t="s">
        <v>1280</v>
      </c>
      <c r="R399" s="4" t="s">
        <v>1280</v>
      </c>
      <c r="S399" s="4" t="s">
        <v>1280</v>
      </c>
      <c r="T399" s="4">
        <v>2800</v>
      </c>
      <c r="U399" s="4">
        <f t="shared" si="134"/>
        <v>2800</v>
      </c>
      <c r="V399" s="4">
        <v>1680</v>
      </c>
      <c r="W399" s="4">
        <f t="shared" si="135"/>
        <v>1680</v>
      </c>
      <c r="X399" s="4"/>
      <c r="Y399" s="21">
        <f t="shared" si="136"/>
        <v>2221</v>
      </c>
      <c r="Z399" s="6">
        <f t="shared" si="137"/>
        <v>0.24358397118415132</v>
      </c>
      <c r="AA399" s="4">
        <v>0</v>
      </c>
      <c r="AB399" s="4">
        <f t="shared" si="138"/>
        <v>1865</v>
      </c>
      <c r="AC399" s="4">
        <f t="shared" si="149"/>
        <v>2088.8000000000002</v>
      </c>
      <c r="AD399" s="6">
        <f t="shared" si="150"/>
        <v>0.19571045576407509</v>
      </c>
      <c r="AE399" s="4">
        <f t="shared" si="151"/>
        <v>2660</v>
      </c>
      <c r="AF399" s="7">
        <v>2300</v>
      </c>
      <c r="AG399" s="6">
        <f t="shared" si="139"/>
        <v>0.26956521739130435</v>
      </c>
      <c r="AH399" s="4">
        <f t="shared" si="140"/>
        <v>620</v>
      </c>
      <c r="AI399" s="28"/>
      <c r="AJ399" s="6"/>
      <c r="AK399" s="6"/>
      <c r="AL399" s="6">
        <f t="shared" si="141"/>
        <v>1.1200000000000001</v>
      </c>
      <c r="AM399" s="6">
        <f t="shared" si="142"/>
        <v>1.1598587997982854</v>
      </c>
      <c r="AN399" s="6">
        <f t="shared" si="143"/>
        <v>1.1200000000000001</v>
      </c>
      <c r="AO399" s="4" t="str">
        <f t="shared" si="144"/>
        <v>-</v>
      </c>
      <c r="AP399" s="4" t="str">
        <f t="shared" si="145"/>
        <v>-</v>
      </c>
      <c r="AQ399" s="4" t="str">
        <f t="shared" si="146"/>
        <v>-</v>
      </c>
      <c r="AR399" s="4">
        <v>0</v>
      </c>
      <c r="AS399" s="4" t="s">
        <v>2012</v>
      </c>
      <c r="AT399" s="4">
        <v>1</v>
      </c>
      <c r="AU399" s="4">
        <v>2</v>
      </c>
      <c r="AV399" s="4" t="s">
        <v>2011</v>
      </c>
      <c r="AW399" s="4">
        <v>3730</v>
      </c>
      <c r="AX399" s="4">
        <v>3730</v>
      </c>
      <c r="AY399" s="4">
        <v>3730</v>
      </c>
      <c r="AZ399" s="4">
        <f t="shared" si="147"/>
        <v>1865</v>
      </c>
      <c r="BA399" s="19">
        <v>4</v>
      </c>
      <c r="BB399" s="19">
        <v>8</v>
      </c>
      <c r="BC399" s="16">
        <v>18</v>
      </c>
      <c r="BD399">
        <v>2500</v>
      </c>
      <c r="BE399">
        <v>2500</v>
      </c>
      <c r="BF399">
        <v>2500</v>
      </c>
      <c r="BG399">
        <f t="shared" si="152"/>
        <v>2800.0000000000005</v>
      </c>
      <c r="BH399">
        <v>2364</v>
      </c>
      <c r="BI399">
        <v>2364</v>
      </c>
      <c r="BJ399">
        <v>2364</v>
      </c>
      <c r="BK399">
        <f t="shared" si="153"/>
        <v>2647.6800000000003</v>
      </c>
      <c r="BL399" t="s">
        <v>1529</v>
      </c>
      <c r="BM399">
        <v>812</v>
      </c>
    </row>
    <row r="400" spans="1:65" x14ac:dyDescent="0.4">
      <c r="A400" s="3">
        <v>591</v>
      </c>
      <c r="B400" s="3">
        <v>591</v>
      </c>
      <c r="C400" s="4" t="s">
        <v>580</v>
      </c>
      <c r="D400" s="4" t="str">
        <f t="shared" si="132"/>
        <v>J94611</v>
      </c>
      <c r="E400" s="4" t="s">
        <v>580</v>
      </c>
      <c r="F400" s="4" t="str">
        <f t="shared" si="148"/>
        <v>J946115</v>
      </c>
      <c r="G400" s="4" t="s">
        <v>1224</v>
      </c>
      <c r="H400" s="5">
        <v>4974268830678</v>
      </c>
      <c r="I400" s="5">
        <v>5</v>
      </c>
      <c r="J400" s="5"/>
      <c r="K400" s="5">
        <v>1</v>
      </c>
      <c r="L400" s="5">
        <v>1</v>
      </c>
      <c r="M400" s="4">
        <v>2550</v>
      </c>
      <c r="N400" s="4">
        <v>2080</v>
      </c>
      <c r="O400" s="4">
        <v>1530</v>
      </c>
      <c r="P400" s="6">
        <f t="shared" si="133"/>
        <v>0.26442307692307687</v>
      </c>
      <c r="Q400" s="4" t="s">
        <v>1280</v>
      </c>
      <c r="R400" s="4" t="s">
        <v>1280</v>
      </c>
      <c r="S400" s="4" t="s">
        <v>1280</v>
      </c>
      <c r="T400" s="4">
        <v>2800</v>
      </c>
      <c r="U400" s="4">
        <f t="shared" si="134"/>
        <v>2800</v>
      </c>
      <c r="V400" s="4">
        <v>1680</v>
      </c>
      <c r="W400" s="4">
        <f t="shared" si="135"/>
        <v>1680</v>
      </c>
      <c r="X400" s="4"/>
      <c r="Y400" s="21">
        <f t="shared" si="136"/>
        <v>2284</v>
      </c>
      <c r="Z400" s="6">
        <f t="shared" si="137"/>
        <v>0.26444833625218911</v>
      </c>
      <c r="AA400" s="4">
        <v>0</v>
      </c>
      <c r="AB400" s="4">
        <f t="shared" si="138"/>
        <v>2073</v>
      </c>
      <c r="AC400" s="4">
        <f t="shared" si="149"/>
        <v>2276.2352941176473</v>
      </c>
      <c r="AD400" s="6">
        <f t="shared" si="150"/>
        <v>0.26193921852387847</v>
      </c>
      <c r="AE400" s="4">
        <f t="shared" si="151"/>
        <v>2660</v>
      </c>
      <c r="AF400" s="7">
        <v>2276</v>
      </c>
      <c r="AG400" s="6">
        <f t="shared" si="139"/>
        <v>0.26186291739894552</v>
      </c>
      <c r="AH400" s="4">
        <f t="shared" si="140"/>
        <v>596</v>
      </c>
      <c r="AI400" s="28"/>
      <c r="AJ400" s="6"/>
      <c r="AK400" s="6"/>
      <c r="AL400" s="6">
        <f t="shared" si="141"/>
        <v>1.0980392156862746</v>
      </c>
      <c r="AM400" s="6">
        <f t="shared" si="142"/>
        <v>1.0942307692307693</v>
      </c>
      <c r="AN400" s="6">
        <f t="shared" si="143"/>
        <v>1.0980392156862746</v>
      </c>
      <c r="AO400" s="4" t="str">
        <f t="shared" si="144"/>
        <v>-</v>
      </c>
      <c r="AP400" s="4" t="str">
        <f t="shared" si="145"/>
        <v>-</v>
      </c>
      <c r="AQ400" s="4" t="str">
        <f t="shared" si="146"/>
        <v>-</v>
      </c>
      <c r="AR400" s="4">
        <v>0</v>
      </c>
      <c r="AS400" s="4" t="s">
        <v>2148</v>
      </c>
      <c r="AT400" s="4"/>
      <c r="AU400" s="4"/>
      <c r="AV400" s="4" t="s">
        <v>1697</v>
      </c>
      <c r="AW400" s="4">
        <v>2073</v>
      </c>
      <c r="AX400" s="4">
        <v>2073</v>
      </c>
      <c r="AY400" s="4">
        <v>2073</v>
      </c>
      <c r="AZ400" s="4">
        <f t="shared" si="147"/>
        <v>2073</v>
      </c>
      <c r="BA400" s="19">
        <v>4</v>
      </c>
      <c r="BB400" s="19">
        <v>8</v>
      </c>
      <c r="BC400" s="16">
        <v>18</v>
      </c>
      <c r="BD400" t="s">
        <v>1280</v>
      </c>
      <c r="BE400" t="s">
        <v>1280</v>
      </c>
      <c r="BF400" t="s">
        <v>1280</v>
      </c>
      <c r="BG400" t="str">
        <f t="shared" si="152"/>
        <v>-</v>
      </c>
      <c r="BH400">
        <v>2118</v>
      </c>
      <c r="BI400">
        <v>2118</v>
      </c>
      <c r="BJ400">
        <v>2118</v>
      </c>
      <c r="BK400">
        <f t="shared" si="153"/>
        <v>2325.6470588235297</v>
      </c>
      <c r="BL400" t="s">
        <v>1635</v>
      </c>
      <c r="BM400">
        <v>812</v>
      </c>
    </row>
    <row r="401" spans="1:65" x14ac:dyDescent="0.4">
      <c r="A401" s="3">
        <v>592</v>
      </c>
      <c r="B401" s="3">
        <v>592</v>
      </c>
      <c r="C401" s="4" t="s">
        <v>581</v>
      </c>
      <c r="D401" s="4" t="str">
        <f t="shared" si="132"/>
        <v>J94612</v>
      </c>
      <c r="E401" s="4" t="s">
        <v>581</v>
      </c>
      <c r="F401" s="4" t="str">
        <f t="shared" si="148"/>
        <v>J946125</v>
      </c>
      <c r="G401" s="4" t="s">
        <v>1225</v>
      </c>
      <c r="H401" s="5">
        <v>4974268830685</v>
      </c>
      <c r="I401" s="5">
        <v>5</v>
      </c>
      <c r="J401" s="5"/>
      <c r="K401" s="5">
        <v>1</v>
      </c>
      <c r="L401" s="5">
        <v>1</v>
      </c>
      <c r="M401" s="4">
        <v>2550</v>
      </c>
      <c r="N401" s="4">
        <v>2353</v>
      </c>
      <c r="O401" s="4">
        <v>1530</v>
      </c>
      <c r="P401" s="6">
        <f t="shared" si="133"/>
        <v>0.34976625584360388</v>
      </c>
      <c r="Q401" s="4" t="s">
        <v>1280</v>
      </c>
      <c r="R401" s="4" t="s">
        <v>1280</v>
      </c>
      <c r="S401" s="4" t="s">
        <v>1280</v>
      </c>
      <c r="T401" s="4">
        <v>2800</v>
      </c>
      <c r="U401" s="4">
        <f t="shared" si="134"/>
        <v>2800</v>
      </c>
      <c r="V401" s="4">
        <v>1680</v>
      </c>
      <c r="W401" s="4">
        <f t="shared" si="135"/>
        <v>1680</v>
      </c>
      <c r="X401" s="4"/>
      <c r="Y401" s="21">
        <f t="shared" si="136"/>
        <v>2584</v>
      </c>
      <c r="Z401" s="6">
        <f t="shared" si="137"/>
        <v>0.34984520123839014</v>
      </c>
      <c r="AA401" s="4">
        <v>0</v>
      </c>
      <c r="AB401" s="4">
        <f t="shared" si="138"/>
        <v>2073</v>
      </c>
      <c r="AC401" s="4">
        <f t="shared" si="149"/>
        <v>2276.2352941176473</v>
      </c>
      <c r="AD401" s="6">
        <f t="shared" si="150"/>
        <v>0.26193921852387847</v>
      </c>
      <c r="AE401" s="4">
        <f t="shared" si="151"/>
        <v>2660</v>
      </c>
      <c r="AF401" s="7">
        <v>2276</v>
      </c>
      <c r="AG401" s="6">
        <f t="shared" si="139"/>
        <v>0.26186291739894552</v>
      </c>
      <c r="AH401" s="4">
        <f t="shared" si="140"/>
        <v>596</v>
      </c>
      <c r="AI401" s="28"/>
      <c r="AJ401" s="6"/>
      <c r="AK401" s="6"/>
      <c r="AL401" s="6">
        <f t="shared" si="141"/>
        <v>1.0980392156862746</v>
      </c>
      <c r="AM401" s="6">
        <f t="shared" si="142"/>
        <v>0.96727581810454744</v>
      </c>
      <c r="AN401" s="6">
        <f t="shared" si="143"/>
        <v>1.0980392156862746</v>
      </c>
      <c r="AO401" s="4" t="str">
        <f t="shared" si="144"/>
        <v>-</v>
      </c>
      <c r="AP401" s="4" t="str">
        <f t="shared" si="145"/>
        <v>-</v>
      </c>
      <c r="AQ401" s="4" t="str">
        <f t="shared" si="146"/>
        <v>-</v>
      </c>
      <c r="AR401" s="4">
        <v>0</v>
      </c>
      <c r="AS401" s="4" t="s">
        <v>2149</v>
      </c>
      <c r="AT401" s="4"/>
      <c r="AU401" s="4"/>
      <c r="AV401" s="4" t="s">
        <v>1697</v>
      </c>
      <c r="AW401" s="4">
        <v>2073</v>
      </c>
      <c r="AX401" s="4">
        <v>2073</v>
      </c>
      <c r="AY401" s="4">
        <v>2073</v>
      </c>
      <c r="AZ401" s="4">
        <f t="shared" si="147"/>
        <v>2073</v>
      </c>
      <c r="BA401" s="19">
        <v>4</v>
      </c>
      <c r="BB401" s="19">
        <v>8</v>
      </c>
      <c r="BC401" s="16">
        <v>18</v>
      </c>
      <c r="BD401" t="s">
        <v>1280</v>
      </c>
      <c r="BE401" t="s">
        <v>1280</v>
      </c>
      <c r="BF401" t="s">
        <v>1280</v>
      </c>
      <c r="BG401" t="str">
        <f t="shared" si="152"/>
        <v>-</v>
      </c>
      <c r="BH401">
        <v>2118</v>
      </c>
      <c r="BI401">
        <v>2118</v>
      </c>
      <c r="BJ401">
        <v>2118</v>
      </c>
      <c r="BK401">
        <f t="shared" si="153"/>
        <v>2325.6470588235297</v>
      </c>
      <c r="BL401" t="s">
        <v>1636</v>
      </c>
      <c r="BM401">
        <v>812</v>
      </c>
    </row>
    <row r="402" spans="1:65" x14ac:dyDescent="0.4">
      <c r="A402" s="3">
        <v>595</v>
      </c>
      <c r="B402" s="3">
        <v>595</v>
      </c>
      <c r="C402" s="4" t="s">
        <v>584</v>
      </c>
      <c r="D402" s="4" t="str">
        <f t="shared" si="132"/>
        <v>J94616</v>
      </c>
      <c r="E402" s="4" t="s">
        <v>584</v>
      </c>
      <c r="F402" s="4" t="str">
        <f t="shared" si="148"/>
        <v>J946165</v>
      </c>
      <c r="G402" s="4" t="s">
        <v>1228</v>
      </c>
      <c r="H402" s="5">
        <v>4974268834157</v>
      </c>
      <c r="I402" s="5">
        <v>5</v>
      </c>
      <c r="J402" s="5"/>
      <c r="K402" s="5">
        <v>1</v>
      </c>
      <c r="L402" s="5">
        <v>1</v>
      </c>
      <c r="M402" s="4">
        <v>2550</v>
      </c>
      <c r="N402" s="4">
        <v>2282</v>
      </c>
      <c r="O402" s="4">
        <v>1530</v>
      </c>
      <c r="P402" s="6">
        <f t="shared" si="133"/>
        <v>0.32953549517966696</v>
      </c>
      <c r="Q402" s="4" t="s">
        <v>1280</v>
      </c>
      <c r="R402" s="4" t="s">
        <v>1280</v>
      </c>
      <c r="S402" s="4" t="s">
        <v>1280</v>
      </c>
      <c r="T402" s="4">
        <v>2800</v>
      </c>
      <c r="U402" s="4">
        <f t="shared" si="134"/>
        <v>2800</v>
      </c>
      <c r="V402" s="4">
        <v>1680</v>
      </c>
      <c r="W402" s="4">
        <f t="shared" si="135"/>
        <v>1680</v>
      </c>
      <c r="X402" s="4"/>
      <c r="Y402" s="21">
        <f t="shared" si="136"/>
        <v>2506</v>
      </c>
      <c r="Z402" s="6">
        <f t="shared" si="137"/>
        <v>0.32960893854748607</v>
      </c>
      <c r="AA402" s="4">
        <v>0.25</v>
      </c>
      <c r="AB402" s="4">
        <f t="shared" si="138"/>
        <v>2273</v>
      </c>
      <c r="AC402" s="4">
        <f t="shared" si="149"/>
        <v>2495.8431372549021</v>
      </c>
      <c r="AD402" s="6">
        <f t="shared" si="150"/>
        <v>0.32688077430708318</v>
      </c>
      <c r="AE402" s="4">
        <f t="shared" si="151"/>
        <v>2660</v>
      </c>
      <c r="AF402" s="7">
        <v>2495</v>
      </c>
      <c r="AG402" s="6">
        <f t="shared" si="139"/>
        <v>0.32665330661322645</v>
      </c>
      <c r="AH402" s="4">
        <f t="shared" si="140"/>
        <v>815</v>
      </c>
      <c r="AI402" s="28"/>
      <c r="AJ402" s="6"/>
      <c r="AK402" s="6"/>
      <c r="AL402" s="6">
        <f t="shared" si="141"/>
        <v>1.0980392156862746</v>
      </c>
      <c r="AM402" s="6">
        <f t="shared" si="142"/>
        <v>1.0933391761612621</v>
      </c>
      <c r="AN402" s="6">
        <f t="shared" si="143"/>
        <v>1.0980392156862746</v>
      </c>
      <c r="AO402" s="4" t="str">
        <f t="shared" si="144"/>
        <v>-</v>
      </c>
      <c r="AP402" s="4" t="str">
        <f t="shared" si="145"/>
        <v>-</v>
      </c>
      <c r="AQ402" s="4" t="str">
        <f t="shared" si="146"/>
        <v>-</v>
      </c>
      <c r="AR402" s="4">
        <v>0</v>
      </c>
      <c r="AS402" s="4" t="s">
        <v>2151</v>
      </c>
      <c r="AT402" s="4"/>
      <c r="AU402" s="4"/>
      <c r="AV402" s="4" t="s">
        <v>1697</v>
      </c>
      <c r="AW402" s="4">
        <v>2273</v>
      </c>
      <c r="AX402" s="4">
        <v>2273</v>
      </c>
      <c r="AY402" s="4">
        <v>2273</v>
      </c>
      <c r="AZ402" s="4">
        <f t="shared" si="147"/>
        <v>2273</v>
      </c>
      <c r="BA402" s="19">
        <v>4</v>
      </c>
      <c r="BB402" s="19">
        <v>8</v>
      </c>
      <c r="BC402" s="16">
        <v>18</v>
      </c>
      <c r="BD402" t="s">
        <v>1280</v>
      </c>
      <c r="BE402" t="s">
        <v>1280</v>
      </c>
      <c r="BF402" t="s">
        <v>1280</v>
      </c>
      <c r="BG402" t="str">
        <f t="shared" si="152"/>
        <v>-</v>
      </c>
      <c r="BH402">
        <v>2437</v>
      </c>
      <c r="BI402">
        <v>2437</v>
      </c>
      <c r="BJ402">
        <v>2437</v>
      </c>
      <c r="BK402">
        <f t="shared" si="153"/>
        <v>2675.9215686274511</v>
      </c>
      <c r="BL402" t="s">
        <v>1638</v>
      </c>
      <c r="BM402">
        <v>812</v>
      </c>
    </row>
    <row r="403" spans="1:65" x14ac:dyDescent="0.4">
      <c r="A403" s="3">
        <v>596</v>
      </c>
      <c r="B403" s="3">
        <v>596</v>
      </c>
      <c r="C403" s="4" t="s">
        <v>585</v>
      </c>
      <c r="D403" s="4" t="str">
        <f t="shared" si="132"/>
        <v>J94617</v>
      </c>
      <c r="E403" s="4" t="s">
        <v>585</v>
      </c>
      <c r="F403" s="4" t="str">
        <f t="shared" si="148"/>
        <v>J946175</v>
      </c>
      <c r="G403" s="4" t="s">
        <v>1229</v>
      </c>
      <c r="H403" s="5">
        <v>4974268834164</v>
      </c>
      <c r="I403" s="5">
        <v>5</v>
      </c>
      <c r="J403" s="5"/>
      <c r="K403" s="5">
        <v>1</v>
      </c>
      <c r="L403" s="5">
        <v>1</v>
      </c>
      <c r="M403" s="4">
        <v>2550</v>
      </c>
      <c r="N403" s="4">
        <v>2282</v>
      </c>
      <c r="O403" s="4">
        <v>1530</v>
      </c>
      <c r="P403" s="6">
        <f t="shared" si="133"/>
        <v>0.32953549517966696</v>
      </c>
      <c r="Q403" s="4" t="s">
        <v>1280</v>
      </c>
      <c r="R403" s="4" t="s">
        <v>1280</v>
      </c>
      <c r="S403" s="4" t="s">
        <v>1280</v>
      </c>
      <c r="T403" s="4">
        <v>2800</v>
      </c>
      <c r="U403" s="4">
        <f t="shared" si="134"/>
        <v>2800</v>
      </c>
      <c r="V403" s="4">
        <v>1680</v>
      </c>
      <c r="W403" s="4">
        <f t="shared" si="135"/>
        <v>1680</v>
      </c>
      <c r="X403" s="4"/>
      <c r="Y403" s="21">
        <f t="shared" si="136"/>
        <v>2506</v>
      </c>
      <c r="Z403" s="6">
        <f t="shared" si="137"/>
        <v>0.32960893854748607</v>
      </c>
      <c r="AA403" s="4">
        <v>0</v>
      </c>
      <c r="AB403" s="4">
        <f t="shared" si="138"/>
        <v>2273</v>
      </c>
      <c r="AC403" s="4">
        <f t="shared" si="149"/>
        <v>2495.8431372549021</v>
      </c>
      <c r="AD403" s="6">
        <f t="shared" si="150"/>
        <v>0.32688077430708318</v>
      </c>
      <c r="AE403" s="4">
        <f t="shared" si="151"/>
        <v>2660</v>
      </c>
      <c r="AF403" s="7">
        <v>2495</v>
      </c>
      <c r="AG403" s="6">
        <f t="shared" si="139"/>
        <v>0.32665330661322645</v>
      </c>
      <c r="AH403" s="4">
        <f t="shared" si="140"/>
        <v>815</v>
      </c>
      <c r="AI403" s="28"/>
      <c r="AJ403" s="6"/>
      <c r="AK403" s="6"/>
      <c r="AL403" s="6">
        <f t="shared" si="141"/>
        <v>1.0980392156862746</v>
      </c>
      <c r="AM403" s="6">
        <f t="shared" si="142"/>
        <v>1.0933391761612621</v>
      </c>
      <c r="AN403" s="6">
        <f t="shared" si="143"/>
        <v>1.0980392156862746</v>
      </c>
      <c r="AO403" s="4" t="str">
        <f t="shared" si="144"/>
        <v>-</v>
      </c>
      <c r="AP403" s="4" t="str">
        <f t="shared" si="145"/>
        <v>-</v>
      </c>
      <c r="AQ403" s="4" t="str">
        <f t="shared" si="146"/>
        <v>-</v>
      </c>
      <c r="AR403" s="4">
        <v>0</v>
      </c>
      <c r="AS403" s="4" t="s">
        <v>2152</v>
      </c>
      <c r="AT403" s="4"/>
      <c r="AU403" s="4"/>
      <c r="AV403" s="4" t="s">
        <v>1697</v>
      </c>
      <c r="AW403" s="4">
        <v>2273</v>
      </c>
      <c r="AX403" s="4">
        <v>2273</v>
      </c>
      <c r="AY403" s="4">
        <v>2273</v>
      </c>
      <c r="AZ403" s="4">
        <f t="shared" si="147"/>
        <v>2273</v>
      </c>
      <c r="BA403" s="19">
        <v>4</v>
      </c>
      <c r="BB403" s="19">
        <v>8</v>
      </c>
      <c r="BC403" s="16">
        <v>18</v>
      </c>
      <c r="BD403" t="s">
        <v>1280</v>
      </c>
      <c r="BE403" t="s">
        <v>1280</v>
      </c>
      <c r="BF403" t="s">
        <v>1280</v>
      </c>
      <c r="BG403" t="str">
        <f t="shared" si="152"/>
        <v>-</v>
      </c>
      <c r="BH403" t="s">
        <v>1280</v>
      </c>
      <c r="BI403" t="s">
        <v>1280</v>
      </c>
      <c r="BJ403" t="s">
        <v>1280</v>
      </c>
      <c r="BK403" t="str">
        <f t="shared" si="153"/>
        <v>-</v>
      </c>
      <c r="BL403" t="s">
        <v>1639</v>
      </c>
      <c r="BM403">
        <v>812</v>
      </c>
    </row>
    <row r="404" spans="1:65" x14ac:dyDescent="0.4">
      <c r="A404" s="3">
        <v>618</v>
      </c>
      <c r="B404" s="3">
        <v>618</v>
      </c>
      <c r="C404" s="4" t="s">
        <v>607</v>
      </c>
      <c r="D404" s="4" t="str">
        <f t="shared" si="132"/>
        <v>J959WN</v>
      </c>
      <c r="E404" s="4" t="s">
        <v>607</v>
      </c>
      <c r="F404" s="4" t="str">
        <f t="shared" si="148"/>
        <v>J959WN5</v>
      </c>
      <c r="G404" s="4" t="s">
        <v>1251</v>
      </c>
      <c r="H404" s="5">
        <v>4974268561060</v>
      </c>
      <c r="I404" s="5">
        <v>5</v>
      </c>
      <c r="J404" s="5"/>
      <c r="K404" s="5">
        <v>1</v>
      </c>
      <c r="L404" s="5">
        <v>1</v>
      </c>
      <c r="M404" s="4">
        <v>2500</v>
      </c>
      <c r="N404" s="4">
        <v>2140</v>
      </c>
      <c r="O404" s="4">
        <v>1500</v>
      </c>
      <c r="P404" s="6">
        <f t="shared" si="133"/>
        <v>0.2990654205607477</v>
      </c>
      <c r="Q404" s="4" t="s">
        <v>1280</v>
      </c>
      <c r="R404" s="4" t="s">
        <v>1280</v>
      </c>
      <c r="S404" s="4" t="s">
        <v>1280</v>
      </c>
      <c r="T404" s="4">
        <v>2800</v>
      </c>
      <c r="U404" s="4">
        <f t="shared" si="134"/>
        <v>2800</v>
      </c>
      <c r="V404" s="4">
        <v>1680</v>
      </c>
      <c r="W404" s="4">
        <f t="shared" si="135"/>
        <v>1680</v>
      </c>
      <c r="X404" s="4"/>
      <c r="Y404" s="21">
        <f t="shared" si="136"/>
        <v>2397</v>
      </c>
      <c r="Z404" s="6">
        <f t="shared" si="137"/>
        <v>0.29912390488110141</v>
      </c>
      <c r="AA404" s="4">
        <v>0</v>
      </c>
      <c r="AB404" s="4">
        <f t="shared" si="138"/>
        <v>2055.5</v>
      </c>
      <c r="AC404" s="4">
        <f t="shared" si="149"/>
        <v>2302.1600000000003</v>
      </c>
      <c r="AD404" s="6">
        <f t="shared" si="150"/>
        <v>0.27025054731208964</v>
      </c>
      <c r="AE404" s="4">
        <f t="shared" si="151"/>
        <v>2660</v>
      </c>
      <c r="AF404" s="7">
        <v>2300</v>
      </c>
      <c r="AG404" s="6">
        <f t="shared" si="139"/>
        <v>0.26956521739130435</v>
      </c>
      <c r="AH404" s="4">
        <f t="shared" si="140"/>
        <v>620</v>
      </c>
      <c r="AI404" s="28"/>
      <c r="AJ404" s="6"/>
      <c r="AK404" s="6"/>
      <c r="AL404" s="6">
        <f t="shared" si="141"/>
        <v>1.1200000000000001</v>
      </c>
      <c r="AM404" s="6">
        <f t="shared" si="142"/>
        <v>1.0747663551401869</v>
      </c>
      <c r="AN404" s="6">
        <f t="shared" si="143"/>
        <v>1.1200000000000001</v>
      </c>
      <c r="AO404" s="4" t="str">
        <f t="shared" si="144"/>
        <v>-</v>
      </c>
      <c r="AP404" s="4" t="str">
        <f t="shared" si="145"/>
        <v>-</v>
      </c>
      <c r="AQ404" s="4" t="str">
        <f t="shared" si="146"/>
        <v>-</v>
      </c>
      <c r="AR404" s="4">
        <v>0</v>
      </c>
      <c r="AS404" s="4" t="s">
        <v>2177</v>
      </c>
      <c r="AT404" s="4">
        <v>1</v>
      </c>
      <c r="AU404" s="4">
        <v>2</v>
      </c>
      <c r="AV404" s="4" t="s">
        <v>2011</v>
      </c>
      <c r="AW404" s="4">
        <v>4111</v>
      </c>
      <c r="AX404" s="4">
        <v>4111</v>
      </c>
      <c r="AY404" s="4">
        <v>4111</v>
      </c>
      <c r="AZ404" s="4">
        <f t="shared" si="147"/>
        <v>2055.5</v>
      </c>
      <c r="BA404" s="19">
        <v>4</v>
      </c>
      <c r="BB404" s="19">
        <v>8</v>
      </c>
      <c r="BC404" s="16">
        <v>18</v>
      </c>
      <c r="BD404">
        <v>2500</v>
      </c>
      <c r="BE404">
        <v>2500</v>
      </c>
      <c r="BF404">
        <v>2500</v>
      </c>
      <c r="BG404">
        <f t="shared" si="152"/>
        <v>2800.0000000000005</v>
      </c>
      <c r="BH404">
        <v>2364</v>
      </c>
      <c r="BI404">
        <v>2364</v>
      </c>
      <c r="BJ404">
        <v>2364</v>
      </c>
      <c r="BK404">
        <f t="shared" si="153"/>
        <v>2647.6800000000003</v>
      </c>
      <c r="BL404" t="s">
        <v>1659</v>
      </c>
      <c r="BM404">
        <v>812</v>
      </c>
    </row>
    <row r="405" spans="1:65" x14ac:dyDescent="0.4">
      <c r="A405" s="3">
        <v>645</v>
      </c>
      <c r="B405" s="3">
        <v>645</v>
      </c>
      <c r="C405" s="4" t="s">
        <v>634</v>
      </c>
      <c r="D405" s="4" t="str">
        <f t="shared" si="132"/>
        <v>JB4453</v>
      </c>
      <c r="E405" s="4" t="s">
        <v>634</v>
      </c>
      <c r="F405" s="4" t="str">
        <f t="shared" si="148"/>
        <v>JB44535</v>
      </c>
      <c r="G405" s="4" t="s">
        <v>1278</v>
      </c>
      <c r="H405" s="5">
        <v>4974268144904</v>
      </c>
      <c r="I405" s="5">
        <v>5</v>
      </c>
      <c r="J405" s="5"/>
      <c r="K405" s="5">
        <v>1</v>
      </c>
      <c r="L405" s="5">
        <v>1</v>
      </c>
      <c r="M405" s="4">
        <v>2600</v>
      </c>
      <c r="N405" s="4">
        <v>1987</v>
      </c>
      <c r="O405" s="4">
        <v>1560</v>
      </c>
      <c r="P405" s="6">
        <f t="shared" si="133"/>
        <v>0.21489682939104182</v>
      </c>
      <c r="Q405" s="4" t="s">
        <v>1280</v>
      </c>
      <c r="R405" s="4" t="s">
        <v>1280</v>
      </c>
      <c r="S405" s="4" t="s">
        <v>1280</v>
      </c>
      <c r="T405" s="4">
        <v>2800</v>
      </c>
      <c r="U405" s="4">
        <f t="shared" si="134"/>
        <v>2800</v>
      </c>
      <c r="V405" s="4">
        <v>1680</v>
      </c>
      <c r="W405" s="4">
        <f t="shared" si="135"/>
        <v>1680</v>
      </c>
      <c r="X405" s="4"/>
      <c r="Y405" s="21">
        <f t="shared" si="136"/>
        <v>2140</v>
      </c>
      <c r="Z405" s="6">
        <f t="shared" si="137"/>
        <v>0.21495327102803741</v>
      </c>
      <c r="AA405" s="4">
        <v>0</v>
      </c>
      <c r="AB405" s="4">
        <f t="shared" si="138"/>
        <v>2599</v>
      </c>
      <c r="AC405" s="4">
        <f t="shared" si="149"/>
        <v>2798.9230769230767</v>
      </c>
      <c r="AD405" s="6">
        <f t="shared" si="150"/>
        <v>0.39976914197768365</v>
      </c>
      <c r="AE405" s="4">
        <f t="shared" si="151"/>
        <v>2660</v>
      </c>
      <c r="AF405" s="7">
        <v>2260</v>
      </c>
      <c r="AG405" s="6">
        <f t="shared" si="139"/>
        <v>0.25663716814159288</v>
      </c>
      <c r="AH405" s="4">
        <f t="shared" si="140"/>
        <v>580</v>
      </c>
      <c r="AI405" s="28"/>
      <c r="AJ405" s="6"/>
      <c r="AK405" s="6"/>
      <c r="AL405" s="6">
        <f t="shared" si="141"/>
        <v>1.0769230769230769</v>
      </c>
      <c r="AM405" s="6">
        <f t="shared" si="142"/>
        <v>1.1373930548565676</v>
      </c>
      <c r="AN405" s="6">
        <f t="shared" si="143"/>
        <v>1.0769230769230769</v>
      </c>
      <c r="AO405" s="4" t="str">
        <f t="shared" si="144"/>
        <v>-</v>
      </c>
      <c r="AP405" s="4" t="str">
        <f t="shared" si="145"/>
        <v>-</v>
      </c>
      <c r="AQ405" s="4" t="str">
        <f t="shared" si="146"/>
        <v>-</v>
      </c>
      <c r="AR405" s="4">
        <v>0</v>
      </c>
      <c r="AS405" s="4" t="s">
        <v>2201</v>
      </c>
      <c r="AT405" s="4"/>
      <c r="AU405" s="4"/>
      <c r="AV405" s="4" t="s">
        <v>1925</v>
      </c>
      <c r="AW405" s="4">
        <v>2599</v>
      </c>
      <c r="AX405" s="4">
        <v>2599</v>
      </c>
      <c r="AY405" s="4">
        <v>2599</v>
      </c>
      <c r="AZ405" s="4">
        <f t="shared" si="147"/>
        <v>2599</v>
      </c>
      <c r="BA405" s="19">
        <v>4</v>
      </c>
      <c r="BB405" s="19">
        <v>8</v>
      </c>
      <c r="BC405" s="16">
        <v>18</v>
      </c>
      <c r="BD405" t="s">
        <v>1280</v>
      </c>
      <c r="BE405" t="s">
        <v>1280</v>
      </c>
      <c r="BF405" t="s">
        <v>1280</v>
      </c>
      <c r="BG405" t="str">
        <f t="shared" si="152"/>
        <v>-</v>
      </c>
      <c r="BH405">
        <v>2099</v>
      </c>
      <c r="BI405">
        <v>2099</v>
      </c>
      <c r="BJ405">
        <v>2099</v>
      </c>
      <c r="BK405">
        <f t="shared" si="153"/>
        <v>2260.4615384615386</v>
      </c>
      <c r="BL405" t="s">
        <v>1679</v>
      </c>
      <c r="BM405">
        <v>812</v>
      </c>
    </row>
    <row r="406" spans="1:65" x14ac:dyDescent="0.4">
      <c r="A406" s="3">
        <v>35</v>
      </c>
      <c r="B406" s="3">
        <v>35</v>
      </c>
      <c r="C406" s="4">
        <v>190354</v>
      </c>
      <c r="D406" s="4" t="str">
        <f t="shared" si="132"/>
        <v>190354</v>
      </c>
      <c r="E406" s="4">
        <v>190354</v>
      </c>
      <c r="F406" s="4" t="str">
        <f t="shared" si="148"/>
        <v>1903545</v>
      </c>
      <c r="G406" s="4" t="s">
        <v>670</v>
      </c>
      <c r="H406" s="5">
        <v>4974268641885</v>
      </c>
      <c r="I406" s="5">
        <v>5</v>
      </c>
      <c r="J406" s="5"/>
      <c r="K406" s="5">
        <v>1</v>
      </c>
      <c r="L406" s="5">
        <v>1</v>
      </c>
      <c r="M406" s="4">
        <v>2560</v>
      </c>
      <c r="N406" s="4">
        <v>2115</v>
      </c>
      <c r="O406" s="4">
        <v>1536</v>
      </c>
      <c r="P406" s="6">
        <f t="shared" si="133"/>
        <v>0.2737588652482269</v>
      </c>
      <c r="Q406" s="4" t="s">
        <v>1280</v>
      </c>
      <c r="R406" s="4" t="s">
        <v>1280</v>
      </c>
      <c r="S406" s="4" t="s">
        <v>1280</v>
      </c>
      <c r="T406" s="4">
        <v>2820</v>
      </c>
      <c r="U406" s="4">
        <f t="shared" si="134"/>
        <v>2820</v>
      </c>
      <c r="V406" s="4">
        <v>1692</v>
      </c>
      <c r="W406" s="4">
        <f t="shared" si="135"/>
        <v>1692</v>
      </c>
      <c r="X406" s="4"/>
      <c r="Y406" s="21">
        <f t="shared" si="136"/>
        <v>2330</v>
      </c>
      <c r="Z406" s="6">
        <f t="shared" si="137"/>
        <v>0.27381974248927043</v>
      </c>
      <c r="AA406" s="4">
        <v>0.5</v>
      </c>
      <c r="AB406" s="4">
        <f t="shared" si="138"/>
        <v>2271</v>
      </c>
      <c r="AC406" s="4">
        <f t="shared" si="149"/>
        <v>2501.6484375</v>
      </c>
      <c r="AD406" s="6">
        <f t="shared" si="150"/>
        <v>0.32364597093791281</v>
      </c>
      <c r="AE406" s="4">
        <f t="shared" si="151"/>
        <v>2679</v>
      </c>
      <c r="AF406" s="7">
        <v>2500</v>
      </c>
      <c r="AG406" s="6">
        <f t="shared" si="139"/>
        <v>0.32320000000000004</v>
      </c>
      <c r="AH406" s="4">
        <f t="shared" si="140"/>
        <v>808</v>
      </c>
      <c r="AI406" s="28"/>
      <c r="AJ406" s="6"/>
      <c r="AK406" s="6"/>
      <c r="AL406" s="6">
        <f t="shared" si="141"/>
        <v>1.1015625</v>
      </c>
      <c r="AM406" s="6">
        <f t="shared" si="142"/>
        <v>1.1820330969267139</v>
      </c>
      <c r="AN406" s="6">
        <f t="shared" si="143"/>
        <v>1.1015625</v>
      </c>
      <c r="AO406" s="4" t="str">
        <f t="shared" si="144"/>
        <v>-</v>
      </c>
      <c r="AP406" s="4" t="str">
        <f t="shared" si="145"/>
        <v>-</v>
      </c>
      <c r="AQ406" s="4" t="str">
        <f t="shared" si="146"/>
        <v>-</v>
      </c>
      <c r="AR406" s="4">
        <v>0</v>
      </c>
      <c r="AS406" s="4" t="s">
        <v>1720</v>
      </c>
      <c r="AT406" s="4"/>
      <c r="AU406" s="4"/>
      <c r="AV406" s="4" t="s">
        <v>1721</v>
      </c>
      <c r="AW406" s="4">
        <v>2271</v>
      </c>
      <c r="AX406" s="4">
        <v>2271</v>
      </c>
      <c r="AY406" s="4">
        <v>2271</v>
      </c>
      <c r="AZ406" s="4">
        <f t="shared" si="147"/>
        <v>2271</v>
      </c>
      <c r="BA406" s="19">
        <v>4</v>
      </c>
      <c r="BB406" s="19">
        <v>8</v>
      </c>
      <c r="BC406" s="16">
        <v>18</v>
      </c>
      <c r="BD406">
        <v>2047</v>
      </c>
      <c r="BE406">
        <v>2047</v>
      </c>
      <c r="BF406">
        <v>2047</v>
      </c>
      <c r="BG406">
        <f t="shared" si="152"/>
        <v>2254.8984375</v>
      </c>
      <c r="BH406">
        <v>2375</v>
      </c>
      <c r="BI406">
        <v>2375</v>
      </c>
      <c r="BJ406">
        <v>2375</v>
      </c>
      <c r="BK406">
        <f t="shared" si="153"/>
        <v>2616.2109375</v>
      </c>
      <c r="BL406" t="s">
        <v>1315</v>
      </c>
      <c r="BM406">
        <v>812</v>
      </c>
    </row>
    <row r="407" spans="1:65" x14ac:dyDescent="0.4">
      <c r="A407" s="3">
        <v>36</v>
      </c>
      <c r="B407" s="3">
        <v>36</v>
      </c>
      <c r="C407" s="4">
        <v>190355</v>
      </c>
      <c r="D407" s="4" t="str">
        <f t="shared" si="132"/>
        <v>190355</v>
      </c>
      <c r="E407" s="4">
        <v>190355</v>
      </c>
      <c r="F407" s="4" t="str">
        <f t="shared" si="148"/>
        <v>1903555</v>
      </c>
      <c r="G407" s="4" t="s">
        <v>671</v>
      </c>
      <c r="H407" s="5">
        <v>4974268641892</v>
      </c>
      <c r="I407" s="5">
        <v>5</v>
      </c>
      <c r="J407" s="5"/>
      <c r="K407" s="5">
        <v>1</v>
      </c>
      <c r="L407" s="5">
        <v>1</v>
      </c>
      <c r="M407" s="4">
        <v>2560</v>
      </c>
      <c r="N407" s="4">
        <v>2548</v>
      </c>
      <c r="O407" s="4">
        <v>1536</v>
      </c>
      <c r="P407" s="6">
        <f t="shared" si="133"/>
        <v>0.39717425431711151</v>
      </c>
      <c r="Q407" s="4" t="s">
        <v>1280</v>
      </c>
      <c r="R407" s="4" t="s">
        <v>1280</v>
      </c>
      <c r="S407" s="4" t="s">
        <v>1280</v>
      </c>
      <c r="T407" s="4">
        <v>2820</v>
      </c>
      <c r="U407" s="4">
        <f t="shared" si="134"/>
        <v>2820</v>
      </c>
      <c r="V407" s="4">
        <v>1692</v>
      </c>
      <c r="W407" s="4">
        <f t="shared" si="135"/>
        <v>1692</v>
      </c>
      <c r="X407" s="4"/>
      <c r="Y407" s="21">
        <f t="shared" si="136"/>
        <v>2807</v>
      </c>
      <c r="Z407" s="6">
        <f t="shared" si="137"/>
        <v>0.39722123263270392</v>
      </c>
      <c r="AA407" s="4">
        <v>2</v>
      </c>
      <c r="AB407" s="4">
        <f t="shared" si="138"/>
        <v>2271</v>
      </c>
      <c r="AC407" s="4">
        <f t="shared" si="149"/>
        <v>2501.6484375</v>
      </c>
      <c r="AD407" s="6">
        <f t="shared" si="150"/>
        <v>0.32364597093791281</v>
      </c>
      <c r="AE407" s="4">
        <f t="shared" si="151"/>
        <v>2679</v>
      </c>
      <c r="AF407" s="7">
        <v>2500</v>
      </c>
      <c r="AG407" s="6">
        <f t="shared" si="139"/>
        <v>0.32320000000000004</v>
      </c>
      <c r="AH407" s="4">
        <f t="shared" si="140"/>
        <v>808</v>
      </c>
      <c r="AI407" s="28"/>
      <c r="AJ407" s="6"/>
      <c r="AK407" s="6"/>
      <c r="AL407" s="6">
        <f t="shared" si="141"/>
        <v>1.1015625</v>
      </c>
      <c r="AM407" s="6">
        <f t="shared" si="142"/>
        <v>0.98116169544740972</v>
      </c>
      <c r="AN407" s="6">
        <f t="shared" si="143"/>
        <v>1.1015625</v>
      </c>
      <c r="AO407" s="4" t="str">
        <f t="shared" si="144"/>
        <v>-</v>
      </c>
      <c r="AP407" s="4" t="str">
        <f t="shared" si="145"/>
        <v>-</v>
      </c>
      <c r="AQ407" s="4" t="str">
        <f t="shared" si="146"/>
        <v>-</v>
      </c>
      <c r="AR407" s="4">
        <v>0</v>
      </c>
      <c r="AS407" s="4" t="s">
        <v>1722</v>
      </c>
      <c r="AT407" s="4"/>
      <c r="AU407" s="4"/>
      <c r="AV407" s="4" t="s">
        <v>1721</v>
      </c>
      <c r="AW407" s="4">
        <v>2271</v>
      </c>
      <c r="AX407" s="4">
        <v>2271</v>
      </c>
      <c r="AY407" s="4">
        <v>2271</v>
      </c>
      <c r="AZ407" s="4">
        <f t="shared" si="147"/>
        <v>2271</v>
      </c>
      <c r="BA407" s="19">
        <v>4</v>
      </c>
      <c r="BB407" s="19">
        <v>1</v>
      </c>
      <c r="BC407" s="16">
        <v>18</v>
      </c>
      <c r="BD407">
        <v>2047</v>
      </c>
      <c r="BE407">
        <v>2047</v>
      </c>
      <c r="BF407">
        <v>2047</v>
      </c>
      <c r="BG407">
        <f t="shared" si="152"/>
        <v>2254.8984375</v>
      </c>
      <c r="BH407">
        <v>2375</v>
      </c>
      <c r="BI407">
        <v>2375</v>
      </c>
      <c r="BJ407">
        <v>2375</v>
      </c>
      <c r="BK407">
        <f t="shared" si="153"/>
        <v>2616.2109375</v>
      </c>
      <c r="BL407" t="s">
        <v>1316</v>
      </c>
      <c r="BM407">
        <v>812</v>
      </c>
    </row>
    <row r="408" spans="1:65" x14ac:dyDescent="0.4">
      <c r="A408" s="3">
        <v>37</v>
      </c>
      <c r="B408" s="3">
        <v>37</v>
      </c>
      <c r="C408" s="4">
        <v>190356</v>
      </c>
      <c r="D408" s="4" t="str">
        <f t="shared" si="132"/>
        <v>190356</v>
      </c>
      <c r="E408" s="4">
        <v>190356</v>
      </c>
      <c r="F408" s="4" t="str">
        <f t="shared" si="148"/>
        <v>1903565</v>
      </c>
      <c r="G408" s="4" t="s">
        <v>672</v>
      </c>
      <c r="H408" s="5">
        <v>4974268641908</v>
      </c>
      <c r="I408" s="5">
        <v>5</v>
      </c>
      <c r="J408" s="5"/>
      <c r="K408" s="5">
        <v>1</v>
      </c>
      <c r="L408" s="5">
        <v>1</v>
      </c>
      <c r="M408" s="4">
        <v>2560</v>
      </c>
      <c r="N408" s="4">
        <v>2255</v>
      </c>
      <c r="O408" s="4">
        <v>1536</v>
      </c>
      <c r="P408" s="6">
        <f t="shared" si="133"/>
        <v>0.3188470066518847</v>
      </c>
      <c r="Q408" s="4" t="s">
        <v>1280</v>
      </c>
      <c r="R408" s="4" t="s">
        <v>1280</v>
      </c>
      <c r="S408" s="4" t="s">
        <v>1280</v>
      </c>
      <c r="T408" s="4">
        <v>2820</v>
      </c>
      <c r="U408" s="4">
        <f t="shared" si="134"/>
        <v>2820</v>
      </c>
      <c r="V408" s="4">
        <v>1692</v>
      </c>
      <c r="W408" s="4">
        <f t="shared" si="135"/>
        <v>1692</v>
      </c>
      <c r="X408" s="4"/>
      <c r="Y408" s="21">
        <f t="shared" si="136"/>
        <v>2484</v>
      </c>
      <c r="Z408" s="6">
        <f t="shared" si="137"/>
        <v>0.3188405797101449</v>
      </c>
      <c r="AA408" s="4">
        <v>0.25</v>
      </c>
      <c r="AB408" s="4">
        <f t="shared" si="138"/>
        <v>2224</v>
      </c>
      <c r="AC408" s="4">
        <f t="shared" si="149"/>
        <v>2449.875</v>
      </c>
      <c r="AD408" s="6">
        <f t="shared" si="150"/>
        <v>0.30935251798561147</v>
      </c>
      <c r="AE408" s="4">
        <f t="shared" si="151"/>
        <v>2679</v>
      </c>
      <c r="AF408" s="7">
        <v>2500</v>
      </c>
      <c r="AG408" s="6">
        <f t="shared" si="139"/>
        <v>0.32320000000000004</v>
      </c>
      <c r="AH408" s="4">
        <f t="shared" si="140"/>
        <v>808</v>
      </c>
      <c r="AI408" s="28"/>
      <c r="AJ408" s="6"/>
      <c r="AK408" s="6"/>
      <c r="AL408" s="6">
        <f t="shared" si="141"/>
        <v>1.1015625</v>
      </c>
      <c r="AM408" s="6">
        <f t="shared" si="142"/>
        <v>1.1086474501108647</v>
      </c>
      <c r="AN408" s="6">
        <f t="shared" si="143"/>
        <v>1.1015625</v>
      </c>
      <c r="AO408" s="4" t="str">
        <f t="shared" si="144"/>
        <v>-</v>
      </c>
      <c r="AP408" s="4" t="str">
        <f t="shared" si="145"/>
        <v>-</v>
      </c>
      <c r="AQ408" s="4" t="str">
        <f t="shared" si="146"/>
        <v>-</v>
      </c>
      <c r="AR408" s="4">
        <v>0</v>
      </c>
      <c r="AS408" s="4" t="s">
        <v>1723</v>
      </c>
      <c r="AT408" s="4"/>
      <c r="AU408" s="4"/>
      <c r="AV408" s="4" t="s">
        <v>1721</v>
      </c>
      <c r="AW408" s="4">
        <v>2224</v>
      </c>
      <c r="AX408" s="4">
        <v>2224</v>
      </c>
      <c r="AY408" s="4">
        <v>2224</v>
      </c>
      <c r="AZ408" s="4">
        <f t="shared" si="147"/>
        <v>2224</v>
      </c>
      <c r="BA408" s="19">
        <v>4</v>
      </c>
      <c r="BB408" s="19">
        <v>8</v>
      </c>
      <c r="BC408" s="16">
        <v>18</v>
      </c>
      <c r="BD408">
        <v>2047</v>
      </c>
      <c r="BE408">
        <v>2047</v>
      </c>
      <c r="BF408" t="s">
        <v>1280</v>
      </c>
      <c r="BG408" t="str">
        <f t="shared" si="152"/>
        <v>-</v>
      </c>
      <c r="BH408">
        <v>2375</v>
      </c>
      <c r="BI408">
        <v>2375</v>
      </c>
      <c r="BJ408">
        <v>2375</v>
      </c>
      <c r="BK408">
        <f t="shared" si="153"/>
        <v>2616.2109375</v>
      </c>
      <c r="BL408" t="s">
        <v>1317</v>
      </c>
      <c r="BM408">
        <v>812</v>
      </c>
    </row>
    <row r="409" spans="1:65" x14ac:dyDescent="0.4">
      <c r="A409" s="3">
        <v>38</v>
      </c>
      <c r="B409" s="3">
        <v>38</v>
      </c>
      <c r="C409" s="4">
        <v>190357</v>
      </c>
      <c r="D409" s="4" t="str">
        <f t="shared" si="132"/>
        <v>190357</v>
      </c>
      <c r="E409" s="4">
        <v>190357</v>
      </c>
      <c r="F409" s="4" t="str">
        <f t="shared" si="148"/>
        <v>1903575</v>
      </c>
      <c r="G409" s="4" t="s">
        <v>673</v>
      </c>
      <c r="H409" s="5">
        <v>4974268641915</v>
      </c>
      <c r="I409" s="5">
        <v>5</v>
      </c>
      <c r="J409" s="5"/>
      <c r="K409" s="5">
        <v>1</v>
      </c>
      <c r="L409" s="5">
        <v>1</v>
      </c>
      <c r="M409" s="4">
        <v>2560</v>
      </c>
      <c r="N409" s="4">
        <v>2255</v>
      </c>
      <c r="O409" s="4">
        <v>1536</v>
      </c>
      <c r="P409" s="6">
        <f t="shared" si="133"/>
        <v>0.3188470066518847</v>
      </c>
      <c r="Q409" s="4" t="s">
        <v>1280</v>
      </c>
      <c r="R409" s="4" t="s">
        <v>1280</v>
      </c>
      <c r="S409" s="4" t="s">
        <v>1280</v>
      </c>
      <c r="T409" s="4">
        <v>2820</v>
      </c>
      <c r="U409" s="4">
        <f t="shared" si="134"/>
        <v>2820</v>
      </c>
      <c r="V409" s="4">
        <v>1692</v>
      </c>
      <c r="W409" s="4">
        <f t="shared" si="135"/>
        <v>1692</v>
      </c>
      <c r="X409" s="4"/>
      <c r="Y409" s="21">
        <f t="shared" si="136"/>
        <v>2484</v>
      </c>
      <c r="Z409" s="6">
        <f t="shared" si="137"/>
        <v>0.3188405797101449</v>
      </c>
      <c r="AA409" s="4">
        <v>4.25</v>
      </c>
      <c r="AB409" s="4">
        <f t="shared" si="138"/>
        <v>2271</v>
      </c>
      <c r="AC409" s="4">
        <f t="shared" si="149"/>
        <v>2501.6484375</v>
      </c>
      <c r="AD409" s="6">
        <f t="shared" si="150"/>
        <v>0.32364597093791281</v>
      </c>
      <c r="AE409" s="4">
        <f t="shared" si="151"/>
        <v>2679</v>
      </c>
      <c r="AF409" s="7">
        <v>2500</v>
      </c>
      <c r="AG409" s="6">
        <f t="shared" si="139"/>
        <v>0.32320000000000004</v>
      </c>
      <c r="AH409" s="4">
        <f t="shared" si="140"/>
        <v>808</v>
      </c>
      <c r="AI409" s="28"/>
      <c r="AJ409" s="6"/>
      <c r="AK409" s="6"/>
      <c r="AL409" s="6">
        <f t="shared" si="141"/>
        <v>1.1015625</v>
      </c>
      <c r="AM409" s="6">
        <f t="shared" si="142"/>
        <v>1.1086474501108647</v>
      </c>
      <c r="AN409" s="6">
        <f t="shared" si="143"/>
        <v>1.1015625</v>
      </c>
      <c r="AO409" s="4" t="str">
        <f t="shared" si="144"/>
        <v>-</v>
      </c>
      <c r="AP409" s="4" t="str">
        <f t="shared" si="145"/>
        <v>-</v>
      </c>
      <c r="AQ409" s="4" t="str">
        <f t="shared" si="146"/>
        <v>-</v>
      </c>
      <c r="AR409" s="4">
        <v>0</v>
      </c>
      <c r="AS409" s="4" t="s">
        <v>1724</v>
      </c>
      <c r="AT409" s="4"/>
      <c r="AU409" s="4"/>
      <c r="AV409" s="4" t="s">
        <v>1721</v>
      </c>
      <c r="AW409" s="4">
        <v>2271</v>
      </c>
      <c r="AX409" s="4">
        <v>2271</v>
      </c>
      <c r="AY409" s="4">
        <v>2271</v>
      </c>
      <c r="AZ409" s="4">
        <f t="shared" si="147"/>
        <v>2271</v>
      </c>
      <c r="BA409" s="19">
        <v>4</v>
      </c>
      <c r="BB409" s="19">
        <v>1</v>
      </c>
      <c r="BC409" s="16">
        <v>18</v>
      </c>
      <c r="BD409">
        <v>2047</v>
      </c>
      <c r="BE409">
        <v>2047</v>
      </c>
      <c r="BF409" t="s">
        <v>1280</v>
      </c>
      <c r="BG409" t="str">
        <f t="shared" si="152"/>
        <v>-</v>
      </c>
      <c r="BH409">
        <v>2375</v>
      </c>
      <c r="BI409">
        <v>2375</v>
      </c>
      <c r="BJ409">
        <v>2375</v>
      </c>
      <c r="BK409">
        <f t="shared" si="153"/>
        <v>2616.2109375</v>
      </c>
      <c r="BL409" t="s">
        <v>1318</v>
      </c>
      <c r="BM409">
        <v>812</v>
      </c>
    </row>
    <row r="410" spans="1:65" x14ac:dyDescent="0.4">
      <c r="A410" s="3">
        <v>39</v>
      </c>
      <c r="B410" s="3">
        <v>39</v>
      </c>
      <c r="C410" s="4">
        <v>190358</v>
      </c>
      <c r="D410" s="4" t="str">
        <f t="shared" si="132"/>
        <v>190358</v>
      </c>
      <c r="E410" s="4">
        <v>190358</v>
      </c>
      <c r="F410" s="4" t="str">
        <f t="shared" si="148"/>
        <v>1903585</v>
      </c>
      <c r="G410" s="4" t="s">
        <v>674</v>
      </c>
      <c r="H410" s="5">
        <v>4974268641922</v>
      </c>
      <c r="I410" s="5">
        <v>5</v>
      </c>
      <c r="J410" s="5"/>
      <c r="K410" s="5">
        <v>1</v>
      </c>
      <c r="L410" s="5">
        <v>1</v>
      </c>
      <c r="M410" s="4">
        <v>2560</v>
      </c>
      <c r="N410" s="4">
        <v>2574</v>
      </c>
      <c r="O410" s="4">
        <v>1536</v>
      </c>
      <c r="P410" s="6">
        <f t="shared" si="133"/>
        <v>0.40326340326340326</v>
      </c>
      <c r="Q410" s="4" t="s">
        <v>1280</v>
      </c>
      <c r="R410" s="4" t="s">
        <v>1280</v>
      </c>
      <c r="S410" s="4" t="s">
        <v>1280</v>
      </c>
      <c r="T410" s="4">
        <v>2820</v>
      </c>
      <c r="U410" s="4">
        <f t="shared" si="134"/>
        <v>2820</v>
      </c>
      <c r="V410" s="4">
        <v>1692</v>
      </c>
      <c r="W410" s="4">
        <f t="shared" si="135"/>
        <v>1692</v>
      </c>
      <c r="X410" s="4"/>
      <c r="Y410" s="21">
        <f t="shared" si="136"/>
        <v>2835</v>
      </c>
      <c r="Z410" s="6">
        <f t="shared" si="137"/>
        <v>0.40317460317460319</v>
      </c>
      <c r="AA410" s="4">
        <v>1</v>
      </c>
      <c r="AB410" s="4">
        <f t="shared" si="138"/>
        <v>2271</v>
      </c>
      <c r="AC410" s="4">
        <f t="shared" si="149"/>
        <v>2501.6484375</v>
      </c>
      <c r="AD410" s="6">
        <f t="shared" si="150"/>
        <v>0.32364597093791281</v>
      </c>
      <c r="AE410" s="4">
        <f t="shared" si="151"/>
        <v>2679</v>
      </c>
      <c r="AF410" s="7">
        <v>2500</v>
      </c>
      <c r="AG410" s="6">
        <f t="shared" si="139"/>
        <v>0.32320000000000004</v>
      </c>
      <c r="AH410" s="4">
        <f t="shared" si="140"/>
        <v>808</v>
      </c>
      <c r="AI410" s="28"/>
      <c r="AJ410" s="6"/>
      <c r="AK410" s="6"/>
      <c r="AL410" s="6">
        <f t="shared" si="141"/>
        <v>1.1015625</v>
      </c>
      <c r="AM410" s="6">
        <f t="shared" si="142"/>
        <v>0.97125097125097126</v>
      </c>
      <c r="AN410" s="6">
        <f t="shared" si="143"/>
        <v>1.1015625</v>
      </c>
      <c r="AO410" s="4" t="str">
        <f t="shared" si="144"/>
        <v>-</v>
      </c>
      <c r="AP410" s="4" t="str">
        <f t="shared" si="145"/>
        <v>-</v>
      </c>
      <c r="AQ410" s="4" t="str">
        <f t="shared" si="146"/>
        <v>-</v>
      </c>
      <c r="AR410" s="4">
        <v>0</v>
      </c>
      <c r="AS410" s="4" t="s">
        <v>1725</v>
      </c>
      <c r="AT410" s="4"/>
      <c r="AU410" s="4"/>
      <c r="AV410" s="4" t="s">
        <v>1721</v>
      </c>
      <c r="AW410" s="4">
        <v>2271</v>
      </c>
      <c r="AX410" s="4">
        <v>2271</v>
      </c>
      <c r="AY410" s="4">
        <v>2271</v>
      </c>
      <c r="AZ410" s="4">
        <f t="shared" si="147"/>
        <v>2271</v>
      </c>
      <c r="BA410" s="19">
        <v>4</v>
      </c>
      <c r="BB410" s="19">
        <v>1</v>
      </c>
      <c r="BC410" s="16">
        <v>18</v>
      </c>
      <c r="BD410">
        <v>2047</v>
      </c>
      <c r="BE410">
        <v>2047</v>
      </c>
      <c r="BF410">
        <v>2047</v>
      </c>
      <c r="BG410">
        <f t="shared" si="152"/>
        <v>2254.8984375</v>
      </c>
      <c r="BH410">
        <v>2375</v>
      </c>
      <c r="BI410">
        <v>2375</v>
      </c>
      <c r="BJ410">
        <v>2375</v>
      </c>
      <c r="BK410">
        <f t="shared" si="153"/>
        <v>2616.2109375</v>
      </c>
      <c r="BL410" t="s">
        <v>1319</v>
      </c>
      <c r="BM410">
        <v>812</v>
      </c>
    </row>
    <row r="411" spans="1:65" x14ac:dyDescent="0.4">
      <c r="A411" s="3">
        <v>10</v>
      </c>
      <c r="B411" s="3">
        <v>10</v>
      </c>
      <c r="C411" s="4">
        <v>134723</v>
      </c>
      <c r="D411" s="4" t="str">
        <f t="shared" si="132"/>
        <v>134723</v>
      </c>
      <c r="E411" s="4">
        <v>134723</v>
      </c>
      <c r="F411" s="4" t="str">
        <f t="shared" si="148"/>
        <v>1347235</v>
      </c>
      <c r="G411" s="4" t="s">
        <v>645</v>
      </c>
      <c r="H411" s="5">
        <v>4974268832054</v>
      </c>
      <c r="I411" s="5">
        <v>5</v>
      </c>
      <c r="J411" s="5"/>
      <c r="K411" s="5">
        <v>1</v>
      </c>
      <c r="L411" s="5">
        <v>1</v>
      </c>
      <c r="M411" s="4">
        <v>2600</v>
      </c>
      <c r="N411" s="4">
        <v>2365</v>
      </c>
      <c r="O411" s="4">
        <v>1560</v>
      </c>
      <c r="P411" s="6">
        <f t="shared" si="133"/>
        <v>0.34038054968287523</v>
      </c>
      <c r="Q411" s="4" t="s">
        <v>1280</v>
      </c>
      <c r="R411" s="4" t="s">
        <v>1280</v>
      </c>
      <c r="S411" s="4" t="s">
        <v>1280</v>
      </c>
      <c r="T411" s="4">
        <v>2900</v>
      </c>
      <c r="U411" s="4">
        <f t="shared" si="134"/>
        <v>2900</v>
      </c>
      <c r="V411" s="4">
        <v>1740</v>
      </c>
      <c r="W411" s="4">
        <f t="shared" si="135"/>
        <v>1740</v>
      </c>
      <c r="X411" s="4"/>
      <c r="Y411" s="21">
        <f t="shared" si="136"/>
        <v>2638</v>
      </c>
      <c r="Z411" s="6">
        <f t="shared" si="137"/>
        <v>0.34040940106141016</v>
      </c>
      <c r="AA411" s="4">
        <v>0.5</v>
      </c>
      <c r="AB411" s="4">
        <f t="shared" si="138"/>
        <v>2319</v>
      </c>
      <c r="AC411" s="4">
        <f t="shared" si="149"/>
        <v>2586.5769230769233</v>
      </c>
      <c r="AD411" s="6">
        <f t="shared" si="150"/>
        <v>0.3272962483829237</v>
      </c>
      <c r="AE411" s="4">
        <f t="shared" si="151"/>
        <v>2755</v>
      </c>
      <c r="AF411" s="7">
        <v>2586</v>
      </c>
      <c r="AG411" s="6">
        <f t="shared" si="139"/>
        <v>0.3271461716937355</v>
      </c>
      <c r="AH411" s="4">
        <f t="shared" si="140"/>
        <v>846</v>
      </c>
      <c r="AI411" s="28"/>
      <c r="AJ411" s="6"/>
      <c r="AK411" s="6"/>
      <c r="AL411" s="6">
        <f t="shared" si="141"/>
        <v>1.1153846153846154</v>
      </c>
      <c r="AM411" s="6">
        <f t="shared" si="142"/>
        <v>1.093446088794926</v>
      </c>
      <c r="AN411" s="6">
        <f t="shared" si="143"/>
        <v>1.1153846153846154</v>
      </c>
      <c r="AO411" s="4" t="str">
        <f t="shared" si="144"/>
        <v>-</v>
      </c>
      <c r="AP411" s="4" t="str">
        <f t="shared" si="145"/>
        <v>-</v>
      </c>
      <c r="AQ411" s="4" t="str">
        <f t="shared" si="146"/>
        <v>-</v>
      </c>
      <c r="AR411" s="4" t="s">
        <v>1281</v>
      </c>
      <c r="AS411" s="4" t="s">
        <v>1696</v>
      </c>
      <c r="AT411" s="4"/>
      <c r="AU411" s="4"/>
      <c r="AV411" s="4" t="s">
        <v>1697</v>
      </c>
      <c r="AW411" s="4">
        <v>2319</v>
      </c>
      <c r="AX411" s="4">
        <v>2319</v>
      </c>
      <c r="AY411" s="4">
        <v>2319</v>
      </c>
      <c r="AZ411" s="4">
        <f t="shared" si="147"/>
        <v>2319</v>
      </c>
      <c r="BA411" s="19">
        <v>4</v>
      </c>
      <c r="BB411" s="19">
        <v>1</v>
      </c>
      <c r="BC411" s="16">
        <v>18</v>
      </c>
      <c r="BD411">
        <v>2213</v>
      </c>
      <c r="BE411">
        <v>2213</v>
      </c>
      <c r="BF411">
        <v>2213</v>
      </c>
      <c r="BG411">
        <f t="shared" si="152"/>
        <v>2468.3461538461538</v>
      </c>
      <c r="BH411">
        <v>1929</v>
      </c>
      <c r="BI411">
        <v>1929</v>
      </c>
      <c r="BJ411">
        <v>1929</v>
      </c>
      <c r="BK411">
        <f t="shared" si="153"/>
        <v>2151.5769230769233</v>
      </c>
      <c r="BL411" t="s">
        <v>1295</v>
      </c>
      <c r="BM411">
        <v>812</v>
      </c>
    </row>
    <row r="412" spans="1:65" x14ac:dyDescent="0.4">
      <c r="A412" s="32">
        <v>478</v>
      </c>
      <c r="B412" s="3">
        <v>478</v>
      </c>
      <c r="C412" s="4" t="s">
        <v>467</v>
      </c>
      <c r="D412" s="4" t="str">
        <f t="shared" si="132"/>
        <v>J54570</v>
      </c>
      <c r="E412" s="4" t="s">
        <v>467</v>
      </c>
      <c r="F412" s="4" t="str">
        <f t="shared" si="148"/>
        <v>J545705</v>
      </c>
      <c r="G412" s="4" t="s">
        <v>1111</v>
      </c>
      <c r="H412" s="5">
        <v>4974268563866</v>
      </c>
      <c r="I412" s="5">
        <v>5</v>
      </c>
      <c r="J412" s="5"/>
      <c r="K412" s="5">
        <v>1</v>
      </c>
      <c r="L412" s="5">
        <v>1</v>
      </c>
      <c r="M412" s="4">
        <v>2600</v>
      </c>
      <c r="N412" s="4">
        <v>2678</v>
      </c>
      <c r="O412" s="4">
        <v>1560</v>
      </c>
      <c r="P412" s="6">
        <f t="shared" si="133"/>
        <v>0.41747572815533984</v>
      </c>
      <c r="Q412" s="4" t="s">
        <v>1280</v>
      </c>
      <c r="R412" s="4" t="s">
        <v>1280</v>
      </c>
      <c r="S412" s="4" t="s">
        <v>1280</v>
      </c>
      <c r="T412" s="4">
        <v>2900</v>
      </c>
      <c r="U412" s="4">
        <f t="shared" si="134"/>
        <v>2900</v>
      </c>
      <c r="V412" s="4">
        <v>1740</v>
      </c>
      <c r="W412" s="4">
        <f t="shared" si="135"/>
        <v>1740</v>
      </c>
      <c r="X412" s="4"/>
      <c r="Y412" s="21">
        <f t="shared" si="136"/>
        <v>2987</v>
      </c>
      <c r="Z412" s="6">
        <f t="shared" si="137"/>
        <v>0.41747572815533984</v>
      </c>
      <c r="AA412" s="4">
        <v>0.25</v>
      </c>
      <c r="AB412" s="4">
        <f t="shared" si="138"/>
        <v>2271</v>
      </c>
      <c r="AC412" s="4">
        <f t="shared" si="149"/>
        <v>2533.0384615384614</v>
      </c>
      <c r="AD412" s="6">
        <f t="shared" si="150"/>
        <v>0.31307793923381766</v>
      </c>
      <c r="AE412" s="4">
        <f t="shared" si="151"/>
        <v>2755</v>
      </c>
      <c r="AF412" s="7">
        <v>2533</v>
      </c>
      <c r="AG412" s="6">
        <f t="shared" si="139"/>
        <v>0.3130675088827477</v>
      </c>
      <c r="AH412" s="4">
        <f t="shared" si="140"/>
        <v>793</v>
      </c>
      <c r="AI412" s="28"/>
      <c r="AJ412" s="6"/>
      <c r="AK412" s="6"/>
      <c r="AL412" s="6">
        <f t="shared" si="141"/>
        <v>1.1153846153846154</v>
      </c>
      <c r="AM412" s="6">
        <f t="shared" si="142"/>
        <v>0.94585511575802839</v>
      </c>
      <c r="AN412" s="6">
        <f t="shared" si="143"/>
        <v>1.1153846153846154</v>
      </c>
      <c r="AO412" s="4" t="str">
        <f t="shared" si="144"/>
        <v>-</v>
      </c>
      <c r="AP412" s="4" t="str">
        <f t="shared" si="145"/>
        <v>-</v>
      </c>
      <c r="AQ412" s="4" t="str">
        <f t="shared" si="146"/>
        <v>-</v>
      </c>
      <c r="AR412" s="4">
        <v>0</v>
      </c>
      <c r="AS412" s="4" t="s">
        <v>2036</v>
      </c>
      <c r="AT412" s="4"/>
      <c r="AU412" s="4"/>
      <c r="AV412" s="4" t="s">
        <v>1691</v>
      </c>
      <c r="AW412" s="4">
        <v>2271</v>
      </c>
      <c r="AX412" s="4">
        <v>2271</v>
      </c>
      <c r="AY412" s="4">
        <v>2271</v>
      </c>
      <c r="AZ412" s="4">
        <f t="shared" si="147"/>
        <v>2271</v>
      </c>
      <c r="BA412" s="19">
        <v>2</v>
      </c>
      <c r="BB412" s="19">
        <v>8</v>
      </c>
      <c r="BC412" s="16">
        <v>18</v>
      </c>
      <c r="BD412">
        <v>2600</v>
      </c>
      <c r="BE412">
        <v>2600</v>
      </c>
      <c r="BF412">
        <v>2600</v>
      </c>
      <c r="BG412">
        <f t="shared" si="152"/>
        <v>2900</v>
      </c>
      <c r="BH412">
        <v>2600</v>
      </c>
      <c r="BI412">
        <v>2600</v>
      </c>
      <c r="BJ412">
        <v>2600</v>
      </c>
      <c r="BK412">
        <f t="shared" si="153"/>
        <v>2900</v>
      </c>
      <c r="BL412" t="s">
        <v>1548</v>
      </c>
      <c r="BM412">
        <v>812</v>
      </c>
    </row>
    <row r="413" spans="1:65" x14ac:dyDescent="0.4">
      <c r="A413" s="3">
        <v>544</v>
      </c>
      <c r="B413" s="3">
        <v>544</v>
      </c>
      <c r="C413" s="4" t="s">
        <v>533</v>
      </c>
      <c r="D413" s="4" t="str">
        <f t="shared" si="132"/>
        <v>J900WN</v>
      </c>
      <c r="E413" s="4" t="s">
        <v>533</v>
      </c>
      <c r="F413" s="4" t="str">
        <f t="shared" si="148"/>
        <v>J900WN5</v>
      </c>
      <c r="G413" s="4" t="s">
        <v>1177</v>
      </c>
      <c r="H413" s="5">
        <v>4974268103314</v>
      </c>
      <c r="I413" s="5">
        <v>5</v>
      </c>
      <c r="J413" s="5"/>
      <c r="K413" s="5">
        <v>1</v>
      </c>
      <c r="L413" s="5">
        <v>1</v>
      </c>
      <c r="M413" s="4">
        <v>2700</v>
      </c>
      <c r="N413" s="4">
        <v>2310</v>
      </c>
      <c r="O413" s="4">
        <v>1620</v>
      </c>
      <c r="P413" s="6">
        <f t="shared" si="133"/>
        <v>0.29870129870129869</v>
      </c>
      <c r="Q413" s="4" t="s">
        <v>1280</v>
      </c>
      <c r="R413" s="4" t="s">
        <v>1280</v>
      </c>
      <c r="S413" s="4" t="s">
        <v>1280</v>
      </c>
      <c r="T413" s="4">
        <v>2900</v>
      </c>
      <c r="U413" s="4">
        <f t="shared" si="134"/>
        <v>2900</v>
      </c>
      <c r="V413" s="4">
        <v>1740</v>
      </c>
      <c r="W413" s="4">
        <f t="shared" si="135"/>
        <v>1740</v>
      </c>
      <c r="X413" s="4"/>
      <c r="Y413" s="21">
        <f t="shared" si="136"/>
        <v>2481</v>
      </c>
      <c r="Z413" s="6">
        <f t="shared" si="137"/>
        <v>0.29866989117291409</v>
      </c>
      <c r="AA413" s="4">
        <v>0</v>
      </c>
      <c r="AB413" s="4">
        <f t="shared" si="138"/>
        <v>2518</v>
      </c>
      <c r="AC413" s="4">
        <f t="shared" si="149"/>
        <v>2704.5185185185187</v>
      </c>
      <c r="AD413" s="6">
        <f t="shared" si="150"/>
        <v>0.35663224781572678</v>
      </c>
      <c r="AE413" s="4">
        <f t="shared" si="151"/>
        <v>2755</v>
      </c>
      <c r="AF413" s="7">
        <v>2698</v>
      </c>
      <c r="AG413" s="6">
        <f t="shared" si="139"/>
        <v>0.35507783543365457</v>
      </c>
      <c r="AH413" s="4">
        <f t="shared" si="140"/>
        <v>958</v>
      </c>
      <c r="AI413" s="28"/>
      <c r="AJ413" s="6"/>
      <c r="AK413" s="6"/>
      <c r="AL413" s="6">
        <f t="shared" si="141"/>
        <v>1.0740740740740742</v>
      </c>
      <c r="AM413" s="6">
        <f t="shared" si="142"/>
        <v>1.1679653679653679</v>
      </c>
      <c r="AN413" s="6">
        <f t="shared" si="143"/>
        <v>1.0740740740740742</v>
      </c>
      <c r="AO413" s="4" t="str">
        <f t="shared" si="144"/>
        <v>-</v>
      </c>
      <c r="AP413" s="4" t="str">
        <f t="shared" si="145"/>
        <v>-</v>
      </c>
      <c r="AQ413" s="4" t="str">
        <f t="shared" si="146"/>
        <v>-</v>
      </c>
      <c r="AR413" s="4">
        <v>0</v>
      </c>
      <c r="AS413" s="4" t="s">
        <v>2097</v>
      </c>
      <c r="AT413" s="4"/>
      <c r="AU413" s="4"/>
      <c r="AV413" s="4" t="s">
        <v>1729</v>
      </c>
      <c r="AW413" s="4">
        <v>2518</v>
      </c>
      <c r="AX413" s="4">
        <v>2518</v>
      </c>
      <c r="AY413" s="4">
        <v>2518</v>
      </c>
      <c r="AZ413" s="4">
        <f t="shared" si="147"/>
        <v>2518</v>
      </c>
      <c r="BA413" s="19">
        <v>4</v>
      </c>
      <c r="BB413" s="19">
        <v>8</v>
      </c>
      <c r="BC413" s="16">
        <v>19</v>
      </c>
      <c r="BD413" t="s">
        <v>1280</v>
      </c>
      <c r="BE413" t="s">
        <v>1280</v>
      </c>
      <c r="BF413" t="s">
        <v>1280</v>
      </c>
      <c r="BG413" t="str">
        <f t="shared" si="152"/>
        <v>-</v>
      </c>
      <c r="BH413">
        <v>2512</v>
      </c>
      <c r="BI413">
        <v>2512</v>
      </c>
      <c r="BJ413">
        <v>2512</v>
      </c>
      <c r="BK413">
        <f t="shared" si="153"/>
        <v>2698.0740740740744</v>
      </c>
      <c r="BL413" t="s">
        <v>1595</v>
      </c>
      <c r="BM413">
        <v>812</v>
      </c>
    </row>
    <row r="414" spans="1:65" x14ac:dyDescent="0.4">
      <c r="A414" s="3">
        <v>594</v>
      </c>
      <c r="B414" s="3">
        <v>594</v>
      </c>
      <c r="C414" s="4" t="s">
        <v>583</v>
      </c>
      <c r="D414" s="4" t="str">
        <f t="shared" si="132"/>
        <v>J94614</v>
      </c>
      <c r="E414" s="4" t="s">
        <v>583</v>
      </c>
      <c r="F414" s="4" t="str">
        <f t="shared" si="148"/>
        <v>J946145</v>
      </c>
      <c r="G414" s="4" t="s">
        <v>1227</v>
      </c>
      <c r="H414" s="5">
        <v>4974268831316</v>
      </c>
      <c r="I414" s="5">
        <v>5</v>
      </c>
      <c r="J414" s="5"/>
      <c r="K414" s="5">
        <v>1</v>
      </c>
      <c r="L414" s="5">
        <v>1</v>
      </c>
      <c r="M414" s="4">
        <v>2650</v>
      </c>
      <c r="N414" s="4">
        <v>2323</v>
      </c>
      <c r="O414" s="4">
        <v>1590</v>
      </c>
      <c r="P414" s="6">
        <f t="shared" si="133"/>
        <v>0.31554024967714167</v>
      </c>
      <c r="Q414" s="4" t="s">
        <v>1280</v>
      </c>
      <c r="R414" s="4" t="s">
        <v>1280</v>
      </c>
      <c r="S414" s="4" t="s">
        <v>1280</v>
      </c>
      <c r="T414" s="4">
        <v>2950</v>
      </c>
      <c r="U414" s="4">
        <f t="shared" si="134"/>
        <v>2950</v>
      </c>
      <c r="V414" s="4">
        <v>1770</v>
      </c>
      <c r="W414" s="4">
        <f t="shared" si="135"/>
        <v>1770</v>
      </c>
      <c r="X414" s="4"/>
      <c r="Y414" s="21">
        <f t="shared" si="136"/>
        <v>2586</v>
      </c>
      <c r="Z414" s="6">
        <f t="shared" si="137"/>
        <v>0.31554524361948955</v>
      </c>
      <c r="AA414" s="4">
        <v>0.25</v>
      </c>
      <c r="AB414" s="4">
        <f t="shared" si="138"/>
        <v>2091</v>
      </c>
      <c r="AC414" s="4">
        <f t="shared" si="149"/>
        <v>2327.7169811320755</v>
      </c>
      <c r="AD414" s="6">
        <f t="shared" si="150"/>
        <v>0.23959827833572456</v>
      </c>
      <c r="AE414" s="4">
        <f t="shared" si="151"/>
        <v>2802.5</v>
      </c>
      <c r="AF414" s="7">
        <v>2327</v>
      </c>
      <c r="AG414" s="6">
        <f t="shared" si="139"/>
        <v>0.23936398796733993</v>
      </c>
      <c r="AH414" s="4">
        <f t="shared" si="140"/>
        <v>557</v>
      </c>
      <c r="AI414" s="28"/>
      <c r="AJ414" s="6"/>
      <c r="AK414" s="6"/>
      <c r="AL414" s="6">
        <f t="shared" si="141"/>
        <v>1.1132075471698113</v>
      </c>
      <c r="AM414" s="6">
        <f t="shared" si="142"/>
        <v>1.001721911321567</v>
      </c>
      <c r="AN414" s="6">
        <f t="shared" si="143"/>
        <v>1.1132075471698113</v>
      </c>
      <c r="AO414" s="4" t="str">
        <f t="shared" si="144"/>
        <v>-</v>
      </c>
      <c r="AP414" s="4" t="str">
        <f t="shared" si="145"/>
        <v>-</v>
      </c>
      <c r="AQ414" s="4" t="str">
        <f t="shared" si="146"/>
        <v>-</v>
      </c>
      <c r="AR414" s="4">
        <v>0</v>
      </c>
      <c r="AS414" s="4" t="s">
        <v>2150</v>
      </c>
      <c r="AT414" s="4"/>
      <c r="AU414" s="4"/>
      <c r="AV414" s="4" t="s">
        <v>1697</v>
      </c>
      <c r="AW414" s="4">
        <v>2091</v>
      </c>
      <c r="AX414" s="4">
        <v>2091</v>
      </c>
      <c r="AY414" s="4">
        <v>2091</v>
      </c>
      <c r="AZ414" s="4">
        <f t="shared" si="147"/>
        <v>2091</v>
      </c>
      <c r="BA414" s="19">
        <v>4</v>
      </c>
      <c r="BB414" s="19">
        <v>8</v>
      </c>
      <c r="BC414" s="16">
        <v>18</v>
      </c>
      <c r="BD414" t="s">
        <v>1280</v>
      </c>
      <c r="BE414" t="s">
        <v>1280</v>
      </c>
      <c r="BF414" t="s">
        <v>1280</v>
      </c>
      <c r="BG414" t="str">
        <f t="shared" si="152"/>
        <v>-</v>
      </c>
      <c r="BH414">
        <v>1955</v>
      </c>
      <c r="BI414">
        <v>1955</v>
      </c>
      <c r="BJ414">
        <v>1955</v>
      </c>
      <c r="BK414">
        <f t="shared" si="153"/>
        <v>2176.3207547169809</v>
      </c>
      <c r="BL414" t="s">
        <v>1637</v>
      </c>
      <c r="BM414">
        <v>812</v>
      </c>
    </row>
    <row r="415" spans="1:65" x14ac:dyDescent="0.4">
      <c r="A415" s="3">
        <v>597</v>
      </c>
      <c r="B415" s="3">
        <v>597</v>
      </c>
      <c r="C415" s="4" t="s">
        <v>586</v>
      </c>
      <c r="D415" s="4" t="str">
        <f t="shared" si="132"/>
        <v>J94618</v>
      </c>
      <c r="E415" s="4" t="s">
        <v>586</v>
      </c>
      <c r="F415" s="4" t="str">
        <f t="shared" si="148"/>
        <v>J946185</v>
      </c>
      <c r="G415" s="4" t="s">
        <v>1230</v>
      </c>
      <c r="H415" s="5">
        <v>4974268833129</v>
      </c>
      <c r="I415" s="5">
        <v>5</v>
      </c>
      <c r="J415" s="5"/>
      <c r="K415" s="5">
        <v>1</v>
      </c>
      <c r="L415" s="5">
        <v>1</v>
      </c>
      <c r="M415" s="4">
        <v>2650</v>
      </c>
      <c r="N415" s="4">
        <v>2135</v>
      </c>
      <c r="O415" s="4">
        <v>1590</v>
      </c>
      <c r="P415" s="6">
        <f t="shared" si="133"/>
        <v>0.25526932084309129</v>
      </c>
      <c r="Q415" s="4" t="s">
        <v>1280</v>
      </c>
      <c r="R415" s="4" t="s">
        <v>1280</v>
      </c>
      <c r="S415" s="4" t="s">
        <v>1280</v>
      </c>
      <c r="T415" s="4">
        <v>2950</v>
      </c>
      <c r="U415" s="4">
        <f t="shared" si="134"/>
        <v>2950</v>
      </c>
      <c r="V415" s="4">
        <v>1770</v>
      </c>
      <c r="W415" s="4">
        <f t="shared" si="135"/>
        <v>1770</v>
      </c>
      <c r="X415" s="4"/>
      <c r="Y415" s="21">
        <f t="shared" si="136"/>
        <v>2377</v>
      </c>
      <c r="Z415" s="6">
        <f t="shared" si="137"/>
        <v>0.25536390408077414</v>
      </c>
      <c r="AA415" s="4">
        <v>0.25</v>
      </c>
      <c r="AB415" s="4" t="str">
        <f t="shared" si="138"/>
        <v>-</v>
      </c>
      <c r="AC415" s="4" t="str">
        <f t="shared" si="149"/>
        <v>-</v>
      </c>
      <c r="AD415" s="6" t="str">
        <f t="shared" si="150"/>
        <v>-</v>
      </c>
      <c r="AE415" s="4">
        <f t="shared" si="151"/>
        <v>2802.5</v>
      </c>
      <c r="AF415" s="7">
        <v>2327</v>
      </c>
      <c r="AG415" s="6">
        <f t="shared" si="139"/>
        <v>0.23936398796733993</v>
      </c>
      <c r="AH415" s="4">
        <f t="shared" si="140"/>
        <v>557</v>
      </c>
      <c r="AI415" s="28"/>
      <c r="AJ415" s="6"/>
      <c r="AK415" s="6"/>
      <c r="AL415" s="6">
        <f t="shared" si="141"/>
        <v>1.1132075471698113</v>
      </c>
      <c r="AM415" s="6">
        <f t="shared" si="142"/>
        <v>1.0899297423887588</v>
      </c>
      <c r="AN415" s="6">
        <f t="shared" si="143"/>
        <v>1.1132075471698113</v>
      </c>
      <c r="AO415" s="4" t="str">
        <f t="shared" si="144"/>
        <v>-</v>
      </c>
      <c r="AP415" s="4" t="str">
        <f t="shared" si="145"/>
        <v>-</v>
      </c>
      <c r="AQ415" s="4" t="str">
        <f t="shared" si="146"/>
        <v>-</v>
      </c>
      <c r="AR415" s="4">
        <v>0</v>
      </c>
      <c r="AS415" s="4" t="s">
        <v>1280</v>
      </c>
      <c r="AT415" s="4"/>
      <c r="AU415" s="4"/>
      <c r="AV415" s="4" t="s">
        <v>1280</v>
      </c>
      <c r="AW415" s="4" t="s">
        <v>1280</v>
      </c>
      <c r="AX415" s="4" t="s">
        <v>1280</v>
      </c>
      <c r="AY415" s="4" t="s">
        <v>1280</v>
      </c>
      <c r="AZ415" s="4" t="str">
        <f t="shared" si="147"/>
        <v>-</v>
      </c>
      <c r="BA415" s="19">
        <v>4</v>
      </c>
      <c r="BB415" s="19">
        <v>8</v>
      </c>
      <c r="BC415" s="16">
        <v>18</v>
      </c>
      <c r="BD415" t="s">
        <v>1280</v>
      </c>
      <c r="BE415" t="s">
        <v>1280</v>
      </c>
      <c r="BF415" t="s">
        <v>1280</v>
      </c>
      <c r="BG415" t="str">
        <f t="shared" si="152"/>
        <v>-</v>
      </c>
      <c r="BH415">
        <v>2562</v>
      </c>
      <c r="BI415">
        <v>2562</v>
      </c>
      <c r="BJ415">
        <v>2562</v>
      </c>
      <c r="BK415">
        <f t="shared" si="153"/>
        <v>2852.0377358490564</v>
      </c>
      <c r="BL415" t="s">
        <v>1280</v>
      </c>
      <c r="BM415">
        <v>812</v>
      </c>
    </row>
    <row r="416" spans="1:65" x14ac:dyDescent="0.4">
      <c r="A416" s="3">
        <v>160</v>
      </c>
      <c r="B416" s="3">
        <v>160</v>
      </c>
      <c r="C416" s="4" t="s">
        <v>149</v>
      </c>
      <c r="D416" s="4" t="str">
        <f t="shared" si="132"/>
        <v>J2491X</v>
      </c>
      <c r="E416" s="4" t="s">
        <v>149</v>
      </c>
      <c r="F416" s="4" t="str">
        <f t="shared" si="148"/>
        <v>J2491X5</v>
      </c>
      <c r="G416" s="4" t="s">
        <v>795</v>
      </c>
      <c r="H416" s="5">
        <v>4974268254511</v>
      </c>
      <c r="I416" s="5">
        <v>5</v>
      </c>
      <c r="J416" s="5"/>
      <c r="K416" s="5">
        <v>1</v>
      </c>
      <c r="L416" s="5">
        <v>1</v>
      </c>
      <c r="M416" s="4">
        <v>2800</v>
      </c>
      <c r="N416" s="4">
        <v>2520</v>
      </c>
      <c r="O416" s="4">
        <v>1680</v>
      </c>
      <c r="P416" s="6">
        <f t="shared" si="133"/>
        <v>0.33333333333333337</v>
      </c>
      <c r="Q416" s="4" t="s">
        <v>1280</v>
      </c>
      <c r="R416" s="4" t="s">
        <v>1280</v>
      </c>
      <c r="S416" s="4" t="s">
        <v>1280</v>
      </c>
      <c r="T416" s="4">
        <v>3000</v>
      </c>
      <c r="U416" s="4">
        <f t="shared" si="134"/>
        <v>3000</v>
      </c>
      <c r="V416" s="4">
        <v>1800</v>
      </c>
      <c r="W416" s="4">
        <f t="shared" si="135"/>
        <v>1800</v>
      </c>
      <c r="X416" s="4"/>
      <c r="Y416" s="21">
        <f t="shared" si="136"/>
        <v>2700</v>
      </c>
      <c r="Z416" s="6">
        <f t="shared" si="137"/>
        <v>0.33333333333333337</v>
      </c>
      <c r="AA416" s="4">
        <v>0.25</v>
      </c>
      <c r="AB416" s="4" t="str">
        <f t="shared" si="138"/>
        <v>-</v>
      </c>
      <c r="AC416" s="4" t="str">
        <f t="shared" si="149"/>
        <v>-</v>
      </c>
      <c r="AD416" s="6" t="str">
        <f t="shared" si="150"/>
        <v>-</v>
      </c>
      <c r="AE416" s="4">
        <f t="shared" si="151"/>
        <v>2850</v>
      </c>
      <c r="AF416" s="7">
        <v>2453</v>
      </c>
      <c r="AG416" s="6">
        <f t="shared" si="139"/>
        <v>0.2662046473705667</v>
      </c>
      <c r="AH416" s="4">
        <f t="shared" si="140"/>
        <v>653</v>
      </c>
      <c r="AI416" s="28"/>
      <c r="AJ416" s="6"/>
      <c r="AK416" s="6"/>
      <c r="AL416" s="6">
        <f t="shared" si="141"/>
        <v>1.0714285714285714</v>
      </c>
      <c r="AM416" s="6">
        <f t="shared" si="142"/>
        <v>0.9734126984126984</v>
      </c>
      <c r="AN416" s="6">
        <f t="shared" si="143"/>
        <v>1.0714285714285714</v>
      </c>
      <c r="AO416" s="4" t="str">
        <f t="shared" si="144"/>
        <v>-</v>
      </c>
      <c r="AP416" s="4" t="str">
        <f t="shared" si="145"/>
        <v>-</v>
      </c>
      <c r="AQ416" s="4" t="str">
        <f t="shared" si="146"/>
        <v>-</v>
      </c>
      <c r="AR416" s="4">
        <v>0</v>
      </c>
      <c r="AS416" s="4" t="s">
        <v>1280</v>
      </c>
      <c r="AT416" s="4"/>
      <c r="AU416" s="4"/>
      <c r="AV416" s="4" t="s">
        <v>1280</v>
      </c>
      <c r="AW416" s="4" t="s">
        <v>1280</v>
      </c>
      <c r="AX416" s="4" t="s">
        <v>1280</v>
      </c>
      <c r="AY416" s="4" t="s">
        <v>1280</v>
      </c>
      <c r="AZ416" s="4" t="str">
        <f t="shared" si="147"/>
        <v>-</v>
      </c>
      <c r="BA416" s="19">
        <v>4</v>
      </c>
      <c r="BB416" s="19">
        <v>1</v>
      </c>
      <c r="BC416" s="16">
        <v>4</v>
      </c>
      <c r="BD416">
        <v>2290</v>
      </c>
      <c r="BE416">
        <v>2290</v>
      </c>
      <c r="BF416">
        <v>2290</v>
      </c>
      <c r="BG416">
        <f t="shared" si="152"/>
        <v>2453.5714285714284</v>
      </c>
      <c r="BH416" t="s">
        <v>1280</v>
      </c>
      <c r="BI416">
        <v>2800</v>
      </c>
      <c r="BJ416">
        <v>2800</v>
      </c>
      <c r="BK416">
        <f t="shared" si="153"/>
        <v>3000</v>
      </c>
      <c r="BL416" t="s">
        <v>1280</v>
      </c>
      <c r="BM416">
        <v>812</v>
      </c>
    </row>
    <row r="417" spans="1:65" x14ac:dyDescent="0.4">
      <c r="A417" s="3">
        <v>404</v>
      </c>
      <c r="B417" s="3">
        <v>404</v>
      </c>
      <c r="C417" s="4" t="s">
        <v>393</v>
      </c>
      <c r="D417" s="4" t="str">
        <f t="shared" si="132"/>
        <v>J54479</v>
      </c>
      <c r="E417" s="4" t="s">
        <v>393</v>
      </c>
      <c r="F417" s="4" t="str">
        <f t="shared" si="148"/>
        <v>J544795</v>
      </c>
      <c r="G417" s="4" t="s">
        <v>1037</v>
      </c>
      <c r="H417" s="5">
        <v>4974268831330</v>
      </c>
      <c r="I417" s="5">
        <v>5</v>
      </c>
      <c r="J417" s="5"/>
      <c r="K417" s="5">
        <v>1</v>
      </c>
      <c r="L417" s="5">
        <v>1</v>
      </c>
      <c r="M417" s="4">
        <v>2700</v>
      </c>
      <c r="N417" s="4">
        <v>2621</v>
      </c>
      <c r="O417" s="4">
        <v>1620</v>
      </c>
      <c r="P417" s="6">
        <f t="shared" si="133"/>
        <v>0.38191529950400616</v>
      </c>
      <c r="Q417" s="4" t="s">
        <v>1280</v>
      </c>
      <c r="R417" s="4" t="s">
        <v>1280</v>
      </c>
      <c r="S417" s="4" t="s">
        <v>1280</v>
      </c>
      <c r="T417" s="4">
        <v>3000</v>
      </c>
      <c r="U417" s="4">
        <f t="shared" si="134"/>
        <v>3000</v>
      </c>
      <c r="V417" s="4">
        <v>1800</v>
      </c>
      <c r="W417" s="4">
        <f t="shared" si="135"/>
        <v>1800</v>
      </c>
      <c r="X417" s="4"/>
      <c r="Y417" s="21">
        <f t="shared" si="136"/>
        <v>2912</v>
      </c>
      <c r="Z417" s="6">
        <f t="shared" si="137"/>
        <v>0.38186813186813184</v>
      </c>
      <c r="AA417" s="4">
        <v>1</v>
      </c>
      <c r="AB417" s="4">
        <f t="shared" si="138"/>
        <v>2308</v>
      </c>
      <c r="AC417" s="4">
        <f t="shared" si="149"/>
        <v>2564.4444444444443</v>
      </c>
      <c r="AD417" s="6">
        <f t="shared" si="150"/>
        <v>0.29809358752166371</v>
      </c>
      <c r="AE417" s="4">
        <f t="shared" si="151"/>
        <v>2850</v>
      </c>
      <c r="AF417" s="7">
        <v>2564</v>
      </c>
      <c r="AG417" s="6">
        <f t="shared" si="139"/>
        <v>0.29797191887675512</v>
      </c>
      <c r="AH417" s="4">
        <f t="shared" si="140"/>
        <v>764</v>
      </c>
      <c r="AI417" s="28"/>
      <c r="AJ417" s="6"/>
      <c r="AK417" s="6"/>
      <c r="AL417" s="6">
        <f t="shared" si="141"/>
        <v>1.1111111111111112</v>
      </c>
      <c r="AM417" s="6">
        <f t="shared" si="142"/>
        <v>0.97825257535291876</v>
      </c>
      <c r="AN417" s="6">
        <f t="shared" si="143"/>
        <v>1.1111111111111112</v>
      </c>
      <c r="AO417" s="4" t="str">
        <f t="shared" si="144"/>
        <v>-</v>
      </c>
      <c r="AP417" s="4" t="str">
        <f t="shared" si="145"/>
        <v>-</v>
      </c>
      <c r="AQ417" s="4" t="str">
        <f t="shared" si="146"/>
        <v>-</v>
      </c>
      <c r="AR417" s="4">
        <v>0</v>
      </c>
      <c r="AS417" s="4" t="s">
        <v>1960</v>
      </c>
      <c r="AT417" s="4"/>
      <c r="AU417" s="4"/>
      <c r="AV417" s="4" t="s">
        <v>1754</v>
      </c>
      <c r="AW417" s="4">
        <v>2308</v>
      </c>
      <c r="AX417" s="4">
        <v>2308</v>
      </c>
      <c r="AY417" s="4">
        <v>2308</v>
      </c>
      <c r="AZ417" s="4">
        <f t="shared" si="147"/>
        <v>2308</v>
      </c>
      <c r="BA417" s="19">
        <v>4</v>
      </c>
      <c r="BB417" s="19">
        <v>1</v>
      </c>
      <c r="BC417" s="16">
        <v>18</v>
      </c>
      <c r="BD417">
        <v>2159</v>
      </c>
      <c r="BE417">
        <v>2159</v>
      </c>
      <c r="BF417">
        <v>2159</v>
      </c>
      <c r="BG417">
        <f t="shared" si="152"/>
        <v>2398.8888888888891</v>
      </c>
      <c r="BH417">
        <v>1983</v>
      </c>
      <c r="BI417">
        <v>1983</v>
      </c>
      <c r="BJ417">
        <v>1983</v>
      </c>
      <c r="BK417">
        <f t="shared" si="153"/>
        <v>2203.3333333333335</v>
      </c>
      <c r="BL417" t="s">
        <v>1487</v>
      </c>
      <c r="BM417">
        <v>812</v>
      </c>
    </row>
    <row r="418" spans="1:65" x14ac:dyDescent="0.4">
      <c r="A418" s="3">
        <v>410</v>
      </c>
      <c r="B418" s="3">
        <v>410</v>
      </c>
      <c r="C418" s="4" t="s">
        <v>399</v>
      </c>
      <c r="D418" s="4" t="str">
        <f t="shared" si="132"/>
        <v>J54480</v>
      </c>
      <c r="E418" s="4" t="s">
        <v>399</v>
      </c>
      <c r="F418" s="4" t="str">
        <f t="shared" si="148"/>
        <v>J544805</v>
      </c>
      <c r="G418" s="4" t="s">
        <v>1043</v>
      </c>
      <c r="H418" s="5">
        <v>4974268831354</v>
      </c>
      <c r="I418" s="5">
        <v>5</v>
      </c>
      <c r="J418" s="5"/>
      <c r="K418" s="5">
        <v>1</v>
      </c>
      <c r="L418" s="5">
        <v>1</v>
      </c>
      <c r="M418" s="4">
        <v>2700</v>
      </c>
      <c r="N418" s="4">
        <v>2621</v>
      </c>
      <c r="O418" s="4">
        <v>1620</v>
      </c>
      <c r="P418" s="6">
        <f t="shared" si="133"/>
        <v>0.38191529950400616</v>
      </c>
      <c r="Q418" s="4" t="s">
        <v>1280</v>
      </c>
      <c r="R418" s="4" t="s">
        <v>1280</v>
      </c>
      <c r="S418" s="4" t="s">
        <v>1280</v>
      </c>
      <c r="T418" s="4">
        <v>3000</v>
      </c>
      <c r="U418" s="4">
        <f t="shared" si="134"/>
        <v>3000</v>
      </c>
      <c r="V418" s="4">
        <v>1800</v>
      </c>
      <c r="W418" s="4">
        <f t="shared" si="135"/>
        <v>1800</v>
      </c>
      <c r="X418" s="4"/>
      <c r="Y418" s="21">
        <f t="shared" si="136"/>
        <v>2912</v>
      </c>
      <c r="Z418" s="6">
        <f t="shared" si="137"/>
        <v>0.38186813186813184</v>
      </c>
      <c r="AA418" s="4">
        <v>0.5</v>
      </c>
      <c r="AB418" s="4">
        <f t="shared" si="138"/>
        <v>1862</v>
      </c>
      <c r="AC418" s="4">
        <f t="shared" si="149"/>
        <v>2068.8888888888891</v>
      </c>
      <c r="AD418" s="6">
        <f t="shared" si="150"/>
        <v>0.12996777658431802</v>
      </c>
      <c r="AE418" s="4">
        <f t="shared" si="151"/>
        <v>2850</v>
      </c>
      <c r="AF418" s="7">
        <v>2564</v>
      </c>
      <c r="AG418" s="6">
        <f t="shared" si="139"/>
        <v>0.29797191887675512</v>
      </c>
      <c r="AH418" s="4">
        <f t="shared" si="140"/>
        <v>764</v>
      </c>
      <c r="AI418" s="28"/>
      <c r="AJ418" s="6"/>
      <c r="AK418" s="6"/>
      <c r="AL418" s="6">
        <f t="shared" si="141"/>
        <v>1.1111111111111112</v>
      </c>
      <c r="AM418" s="6">
        <f t="shared" si="142"/>
        <v>0.97825257535291876</v>
      </c>
      <c r="AN418" s="6">
        <f t="shared" si="143"/>
        <v>1.1111111111111112</v>
      </c>
      <c r="AO418" s="4" t="str">
        <f t="shared" si="144"/>
        <v>-</v>
      </c>
      <c r="AP418" s="4" t="str">
        <f t="shared" si="145"/>
        <v>-</v>
      </c>
      <c r="AQ418" s="4" t="str">
        <f t="shared" si="146"/>
        <v>-</v>
      </c>
      <c r="AR418" s="4">
        <v>0</v>
      </c>
      <c r="AS418" s="4" t="s">
        <v>1970</v>
      </c>
      <c r="AT418" s="4"/>
      <c r="AU418" s="4"/>
      <c r="AV418" s="4" t="s">
        <v>1971</v>
      </c>
      <c r="AW418" s="4">
        <v>1862</v>
      </c>
      <c r="AX418" s="4">
        <v>1862</v>
      </c>
      <c r="AY418" s="4">
        <v>1862</v>
      </c>
      <c r="AZ418" s="4">
        <f t="shared" si="147"/>
        <v>1862</v>
      </c>
      <c r="BA418" s="19">
        <v>4</v>
      </c>
      <c r="BB418" s="19">
        <v>1</v>
      </c>
      <c r="BC418" s="16">
        <v>18</v>
      </c>
      <c r="BD418">
        <v>2159</v>
      </c>
      <c r="BE418">
        <v>2159</v>
      </c>
      <c r="BF418" t="s">
        <v>1280</v>
      </c>
      <c r="BG418" t="str">
        <f t="shared" si="152"/>
        <v>-</v>
      </c>
      <c r="BH418">
        <v>2192</v>
      </c>
      <c r="BI418">
        <v>2192</v>
      </c>
      <c r="BJ418">
        <v>2192</v>
      </c>
      <c r="BK418">
        <f t="shared" si="153"/>
        <v>2435.5555555555557</v>
      </c>
      <c r="BL418" t="s">
        <v>1493</v>
      </c>
      <c r="BM418">
        <v>812</v>
      </c>
    </row>
    <row r="419" spans="1:65" x14ac:dyDescent="0.4">
      <c r="A419" s="3">
        <v>543</v>
      </c>
      <c r="B419" s="3">
        <v>543</v>
      </c>
      <c r="C419" s="4" t="s">
        <v>532</v>
      </c>
      <c r="D419" s="4" t="str">
        <f t="shared" si="132"/>
        <v>J899WN</v>
      </c>
      <c r="E419" s="4" t="s">
        <v>532</v>
      </c>
      <c r="F419" s="4" t="str">
        <f t="shared" si="148"/>
        <v>J899WN5</v>
      </c>
      <c r="G419" s="4" t="s">
        <v>1176</v>
      </c>
      <c r="H419" s="5">
        <v>4974268101426</v>
      </c>
      <c r="I419" s="5">
        <v>5</v>
      </c>
      <c r="J419" s="5"/>
      <c r="K419" s="5">
        <v>1</v>
      </c>
      <c r="L419" s="5">
        <v>1</v>
      </c>
      <c r="M419" s="4">
        <v>2800</v>
      </c>
      <c r="N419" s="4">
        <v>2400</v>
      </c>
      <c r="O419" s="4">
        <v>1680</v>
      </c>
      <c r="P419" s="6">
        <f t="shared" si="133"/>
        <v>0.30000000000000004</v>
      </c>
      <c r="Q419" s="4" t="s">
        <v>1280</v>
      </c>
      <c r="R419" s="4" t="s">
        <v>1280</v>
      </c>
      <c r="S419" s="4" t="s">
        <v>1280</v>
      </c>
      <c r="T419" s="4">
        <v>3000</v>
      </c>
      <c r="U419" s="4">
        <f t="shared" si="134"/>
        <v>3000</v>
      </c>
      <c r="V419" s="4">
        <v>1800</v>
      </c>
      <c r="W419" s="4">
        <f t="shared" si="135"/>
        <v>1800</v>
      </c>
      <c r="X419" s="4"/>
      <c r="Y419" s="21">
        <f t="shared" si="136"/>
        <v>2571</v>
      </c>
      <c r="Z419" s="6">
        <f t="shared" si="137"/>
        <v>0.2998833138856476</v>
      </c>
      <c r="AA419" s="4">
        <v>0</v>
      </c>
      <c r="AB419" s="4">
        <f t="shared" si="138"/>
        <v>2730</v>
      </c>
      <c r="AC419" s="4">
        <f t="shared" si="149"/>
        <v>2925</v>
      </c>
      <c r="AD419" s="6">
        <f t="shared" si="150"/>
        <v>0.38461538461538458</v>
      </c>
      <c r="AE419" s="4">
        <f t="shared" si="151"/>
        <v>2850</v>
      </c>
      <c r="AF419" s="7">
        <v>2800</v>
      </c>
      <c r="AG419" s="6">
        <f t="shared" si="139"/>
        <v>0.3571428571428571</v>
      </c>
      <c r="AH419" s="4">
        <f t="shared" si="140"/>
        <v>1000</v>
      </c>
      <c r="AI419" s="28"/>
      <c r="AJ419" s="6"/>
      <c r="AK419" s="6"/>
      <c r="AL419" s="6">
        <f t="shared" si="141"/>
        <v>1.0714285714285714</v>
      </c>
      <c r="AM419" s="6">
        <f t="shared" si="142"/>
        <v>1.1666666666666667</v>
      </c>
      <c r="AN419" s="6">
        <f t="shared" si="143"/>
        <v>1.0714285714285714</v>
      </c>
      <c r="AO419" s="4" t="str">
        <f t="shared" si="144"/>
        <v>-</v>
      </c>
      <c r="AP419" s="4" t="str">
        <f t="shared" si="145"/>
        <v>-</v>
      </c>
      <c r="AQ419" s="4" t="str">
        <f t="shared" si="146"/>
        <v>-</v>
      </c>
      <c r="AR419" s="4">
        <v>0</v>
      </c>
      <c r="AS419" s="4" t="s">
        <v>2096</v>
      </c>
      <c r="AT419" s="4"/>
      <c r="AU419" s="4"/>
      <c r="AV419" s="4" t="s">
        <v>1729</v>
      </c>
      <c r="AW419" s="4">
        <v>2730</v>
      </c>
      <c r="AX419" s="4">
        <v>2730</v>
      </c>
      <c r="AY419" s="4">
        <v>2730</v>
      </c>
      <c r="AZ419" s="4">
        <f t="shared" si="147"/>
        <v>2730</v>
      </c>
      <c r="BA419" s="19">
        <v>4</v>
      </c>
      <c r="BB419" s="19">
        <v>8</v>
      </c>
      <c r="BC419" s="16">
        <v>19</v>
      </c>
      <c r="BD419" t="s">
        <v>1280</v>
      </c>
      <c r="BE419" t="s">
        <v>1280</v>
      </c>
      <c r="BF419" t="s">
        <v>1280</v>
      </c>
      <c r="BG419" t="str">
        <f t="shared" si="152"/>
        <v>-</v>
      </c>
      <c r="BH419" t="s">
        <v>1280</v>
      </c>
      <c r="BI419">
        <v>2546</v>
      </c>
      <c r="BJ419">
        <v>2546</v>
      </c>
      <c r="BK419">
        <f t="shared" si="153"/>
        <v>2727.8571428571427</v>
      </c>
      <c r="BL419" t="s">
        <v>1594</v>
      </c>
      <c r="BM419">
        <v>812</v>
      </c>
    </row>
    <row r="420" spans="1:65" x14ac:dyDescent="0.4">
      <c r="A420" s="3">
        <v>613</v>
      </c>
      <c r="B420" s="3">
        <v>613</v>
      </c>
      <c r="C420" s="4" t="s">
        <v>602</v>
      </c>
      <c r="D420" s="4" t="str">
        <f t="shared" si="132"/>
        <v>J954WN</v>
      </c>
      <c r="E420" s="4" t="s">
        <v>602</v>
      </c>
      <c r="F420" s="4" t="str">
        <f t="shared" si="148"/>
        <v>J954WN5</v>
      </c>
      <c r="G420" s="4" t="s">
        <v>1246</v>
      </c>
      <c r="H420" s="5">
        <v>4974268560308</v>
      </c>
      <c r="I420" s="5">
        <v>5</v>
      </c>
      <c r="J420" s="5"/>
      <c r="K420" s="5">
        <v>1</v>
      </c>
      <c r="L420" s="5">
        <v>1</v>
      </c>
      <c r="M420" s="4">
        <v>2750</v>
      </c>
      <c r="N420" s="4">
        <v>2360</v>
      </c>
      <c r="O420" s="4">
        <v>1650</v>
      </c>
      <c r="P420" s="6">
        <f t="shared" si="133"/>
        <v>0.30084745762711862</v>
      </c>
      <c r="Q420" s="4" t="s">
        <v>1280</v>
      </c>
      <c r="R420" s="4" t="s">
        <v>1280</v>
      </c>
      <c r="S420" s="4" t="s">
        <v>1280</v>
      </c>
      <c r="T420" s="4">
        <v>3000</v>
      </c>
      <c r="U420" s="4">
        <f t="shared" si="134"/>
        <v>3000</v>
      </c>
      <c r="V420" s="4">
        <v>1800</v>
      </c>
      <c r="W420" s="4">
        <f t="shared" si="135"/>
        <v>1800</v>
      </c>
      <c r="X420" s="4"/>
      <c r="Y420" s="21">
        <f t="shared" si="136"/>
        <v>2575</v>
      </c>
      <c r="Z420" s="6">
        <f t="shared" si="137"/>
        <v>0.30097087378640774</v>
      </c>
      <c r="AA420" s="4">
        <v>0</v>
      </c>
      <c r="AB420" s="4">
        <f t="shared" si="138"/>
        <v>2437</v>
      </c>
      <c r="AC420" s="4">
        <f t="shared" si="149"/>
        <v>2658.5454545454545</v>
      </c>
      <c r="AD420" s="6">
        <f t="shared" si="150"/>
        <v>0.32293803857201475</v>
      </c>
      <c r="AE420" s="4">
        <f t="shared" si="151"/>
        <v>2850</v>
      </c>
      <c r="AF420" s="7">
        <v>2658</v>
      </c>
      <c r="AG420" s="6">
        <f t="shared" si="139"/>
        <v>0.32279909706546273</v>
      </c>
      <c r="AH420" s="4">
        <f t="shared" si="140"/>
        <v>858</v>
      </c>
      <c r="AI420" s="28"/>
      <c r="AJ420" s="6"/>
      <c r="AK420" s="6"/>
      <c r="AL420" s="6">
        <f t="shared" si="141"/>
        <v>1.0909090909090908</v>
      </c>
      <c r="AM420" s="6">
        <f t="shared" si="142"/>
        <v>1.126271186440678</v>
      </c>
      <c r="AN420" s="6">
        <f t="shared" si="143"/>
        <v>1.0909090909090908</v>
      </c>
      <c r="AO420" s="4" t="str">
        <f t="shared" si="144"/>
        <v>-</v>
      </c>
      <c r="AP420" s="4" t="str">
        <f t="shared" si="145"/>
        <v>-</v>
      </c>
      <c r="AQ420" s="4" t="str">
        <f t="shared" si="146"/>
        <v>-</v>
      </c>
      <c r="AR420" s="4">
        <v>0</v>
      </c>
      <c r="AS420" s="4" t="s">
        <v>2172</v>
      </c>
      <c r="AT420" s="4"/>
      <c r="AU420" s="4"/>
      <c r="AV420" s="4" t="s">
        <v>1721</v>
      </c>
      <c r="AW420" s="4">
        <v>2437</v>
      </c>
      <c r="AX420" s="4">
        <v>2437</v>
      </c>
      <c r="AY420" s="4">
        <v>2437</v>
      </c>
      <c r="AZ420" s="4">
        <f t="shared" si="147"/>
        <v>2437</v>
      </c>
      <c r="BA420" s="19">
        <v>4</v>
      </c>
      <c r="BB420" s="19">
        <v>8</v>
      </c>
      <c r="BC420" s="16">
        <v>18</v>
      </c>
      <c r="BD420" t="s">
        <v>1280</v>
      </c>
      <c r="BE420" t="s">
        <v>1280</v>
      </c>
      <c r="BF420" t="s">
        <v>1280</v>
      </c>
      <c r="BG420" t="str">
        <f t="shared" si="152"/>
        <v>-</v>
      </c>
      <c r="BH420">
        <v>2688</v>
      </c>
      <c r="BI420">
        <v>2688</v>
      </c>
      <c r="BJ420">
        <v>2688</v>
      </c>
      <c r="BK420">
        <f t="shared" si="153"/>
        <v>2932.363636363636</v>
      </c>
      <c r="BL420" t="s">
        <v>1654</v>
      </c>
      <c r="BM420">
        <v>812</v>
      </c>
    </row>
    <row r="421" spans="1:65" x14ac:dyDescent="0.4">
      <c r="A421" s="3">
        <v>26</v>
      </c>
      <c r="B421" s="3">
        <v>26</v>
      </c>
      <c r="C421" s="4">
        <v>178835</v>
      </c>
      <c r="D421" s="4" t="str">
        <f t="shared" si="132"/>
        <v>178835</v>
      </c>
      <c r="E421" s="4">
        <v>178835</v>
      </c>
      <c r="F421" s="4" t="str">
        <f t="shared" si="148"/>
        <v>1788355</v>
      </c>
      <c r="G421" s="4" t="s">
        <v>661</v>
      </c>
      <c r="H421" s="5">
        <v>4974268832092</v>
      </c>
      <c r="I421" s="5">
        <v>5</v>
      </c>
      <c r="J421" s="5"/>
      <c r="K421" s="5">
        <v>1</v>
      </c>
      <c r="L421" s="5">
        <v>1</v>
      </c>
      <c r="M421" s="4">
        <v>2800</v>
      </c>
      <c r="N421" s="4">
        <v>2487</v>
      </c>
      <c r="O421" s="4">
        <v>1680</v>
      </c>
      <c r="P421" s="6">
        <f t="shared" si="133"/>
        <v>0.32448733413751507</v>
      </c>
      <c r="Q421" s="4" t="s">
        <v>1280</v>
      </c>
      <c r="R421" s="4" t="s">
        <v>1280</v>
      </c>
      <c r="S421" s="4" t="s">
        <v>1280</v>
      </c>
      <c r="T421" s="4">
        <v>3100</v>
      </c>
      <c r="U421" s="4">
        <f t="shared" si="134"/>
        <v>3100</v>
      </c>
      <c r="V421" s="4">
        <v>1860</v>
      </c>
      <c r="W421" s="4">
        <f t="shared" si="135"/>
        <v>1860</v>
      </c>
      <c r="X421" s="4"/>
      <c r="Y421" s="21">
        <f t="shared" si="136"/>
        <v>2753</v>
      </c>
      <c r="Z421" s="6">
        <f t="shared" si="137"/>
        <v>0.32437341082455506</v>
      </c>
      <c r="AA421" s="4">
        <v>3</v>
      </c>
      <c r="AB421" s="4">
        <f t="shared" si="138"/>
        <v>2655</v>
      </c>
      <c r="AC421" s="4">
        <f t="shared" si="149"/>
        <v>2939.4642857142858</v>
      </c>
      <c r="AD421" s="6">
        <f t="shared" si="150"/>
        <v>0.36723163841807915</v>
      </c>
      <c r="AE421" s="4">
        <f t="shared" si="151"/>
        <v>2945</v>
      </c>
      <c r="AF421" s="7">
        <v>2745</v>
      </c>
      <c r="AG421" s="6">
        <f t="shared" si="139"/>
        <v>0.32240437158469948</v>
      </c>
      <c r="AH421" s="4">
        <f t="shared" si="140"/>
        <v>885</v>
      </c>
      <c r="AI421" s="28"/>
      <c r="AJ421" s="6"/>
      <c r="AK421" s="6"/>
      <c r="AL421" s="6">
        <f t="shared" si="141"/>
        <v>1.1071428571428572</v>
      </c>
      <c r="AM421" s="6">
        <f t="shared" si="142"/>
        <v>1.1037394451145959</v>
      </c>
      <c r="AN421" s="6">
        <f t="shared" si="143"/>
        <v>1.1071428571428572</v>
      </c>
      <c r="AO421" s="4" t="str">
        <f t="shared" si="144"/>
        <v>-</v>
      </c>
      <c r="AP421" s="4" t="str">
        <f t="shared" si="145"/>
        <v>-</v>
      </c>
      <c r="AQ421" s="4" t="str">
        <f t="shared" si="146"/>
        <v>-</v>
      </c>
      <c r="AR421" s="4" t="s">
        <v>1281</v>
      </c>
      <c r="AS421" s="4" t="s">
        <v>1710</v>
      </c>
      <c r="AT421" s="4"/>
      <c r="AU421" s="4"/>
      <c r="AV421" s="4" t="s">
        <v>1697</v>
      </c>
      <c r="AW421" s="4">
        <v>2655</v>
      </c>
      <c r="AX421" s="4">
        <v>2655</v>
      </c>
      <c r="AY421" s="4">
        <v>2655</v>
      </c>
      <c r="AZ421" s="4">
        <f t="shared" si="147"/>
        <v>2655</v>
      </c>
      <c r="BA421" s="19">
        <v>4</v>
      </c>
      <c r="BB421" s="19">
        <v>1</v>
      </c>
      <c r="BC421" s="16">
        <v>18</v>
      </c>
      <c r="BD421">
        <v>2480</v>
      </c>
      <c r="BE421">
        <v>2480</v>
      </c>
      <c r="BF421">
        <v>2480</v>
      </c>
      <c r="BG421">
        <f t="shared" si="152"/>
        <v>2745.7142857142858</v>
      </c>
      <c r="BH421">
        <v>2071</v>
      </c>
      <c r="BI421">
        <v>2071</v>
      </c>
      <c r="BJ421">
        <v>2071</v>
      </c>
      <c r="BK421">
        <f t="shared" si="153"/>
        <v>2292.8928571428573</v>
      </c>
      <c r="BL421" t="s">
        <v>1306</v>
      </c>
      <c r="BM421">
        <v>812</v>
      </c>
    </row>
    <row r="422" spans="1:65" x14ac:dyDescent="0.4">
      <c r="A422" s="3">
        <v>63</v>
      </c>
      <c r="B422" s="3">
        <v>63</v>
      </c>
      <c r="C422" s="4" t="s">
        <v>59</v>
      </c>
      <c r="D422" s="4" t="str">
        <f t="shared" si="132"/>
        <v>7903AM</v>
      </c>
      <c r="E422" s="4" t="s">
        <v>59</v>
      </c>
      <c r="F422" s="4" t="str">
        <f t="shared" si="148"/>
        <v>7903AM5</v>
      </c>
      <c r="G422" s="4" t="s">
        <v>698</v>
      </c>
      <c r="H422" s="5">
        <v>4974268832085</v>
      </c>
      <c r="I422" s="5">
        <v>5</v>
      </c>
      <c r="J422" s="5"/>
      <c r="K422" s="5">
        <v>1</v>
      </c>
      <c r="L422" s="5">
        <v>1</v>
      </c>
      <c r="M422" s="4">
        <v>2750</v>
      </c>
      <c r="N422" s="4">
        <v>2338</v>
      </c>
      <c r="O422" s="4">
        <v>1650</v>
      </c>
      <c r="P422" s="6">
        <f t="shared" si="133"/>
        <v>0.29426860564585111</v>
      </c>
      <c r="Q422" s="4" t="s">
        <v>1280</v>
      </c>
      <c r="R422" s="4" t="s">
        <v>1280</v>
      </c>
      <c r="S422" s="4" t="s">
        <v>1280</v>
      </c>
      <c r="T422" s="4">
        <v>3100</v>
      </c>
      <c r="U422" s="4">
        <f t="shared" si="134"/>
        <v>3100</v>
      </c>
      <c r="V422" s="4">
        <v>1860</v>
      </c>
      <c r="W422" s="4">
        <f t="shared" si="135"/>
        <v>1860</v>
      </c>
      <c r="X422" s="4"/>
      <c r="Y422" s="21">
        <f t="shared" si="136"/>
        <v>2636</v>
      </c>
      <c r="Z422" s="6">
        <f t="shared" si="137"/>
        <v>0.29438543247344462</v>
      </c>
      <c r="AA422" s="4">
        <v>0.25</v>
      </c>
      <c r="AB422" s="4">
        <f t="shared" si="138"/>
        <v>2499</v>
      </c>
      <c r="AC422" s="4">
        <f t="shared" si="149"/>
        <v>2817.0545454545454</v>
      </c>
      <c r="AD422" s="6">
        <f t="shared" si="150"/>
        <v>0.3397358943577431</v>
      </c>
      <c r="AE422" s="4">
        <f t="shared" si="151"/>
        <v>2945</v>
      </c>
      <c r="AF422" s="7">
        <v>2817</v>
      </c>
      <c r="AG422" s="6">
        <f t="shared" si="139"/>
        <v>0.33972310969116082</v>
      </c>
      <c r="AH422" s="4">
        <f t="shared" si="140"/>
        <v>957</v>
      </c>
      <c r="AI422" s="28"/>
      <c r="AJ422" s="6"/>
      <c r="AK422" s="6"/>
      <c r="AL422" s="6">
        <f t="shared" si="141"/>
        <v>1.1272727272727272</v>
      </c>
      <c r="AM422" s="6">
        <f t="shared" si="142"/>
        <v>1.2048759623609924</v>
      </c>
      <c r="AN422" s="6">
        <f t="shared" si="143"/>
        <v>1.1272727272727272</v>
      </c>
      <c r="AO422" s="4" t="str">
        <f t="shared" si="144"/>
        <v>-</v>
      </c>
      <c r="AP422" s="4" t="str">
        <f t="shared" si="145"/>
        <v>-</v>
      </c>
      <c r="AQ422" s="4" t="str">
        <f t="shared" si="146"/>
        <v>-</v>
      </c>
      <c r="AR422" s="4">
        <v>0</v>
      </c>
      <c r="AS422" s="4" t="s">
        <v>1753</v>
      </c>
      <c r="AT422" s="4"/>
      <c r="AU422" s="4"/>
      <c r="AV422" s="4" t="s">
        <v>1754</v>
      </c>
      <c r="AW422" s="4">
        <v>2499</v>
      </c>
      <c r="AX422" s="4">
        <v>2499</v>
      </c>
      <c r="AY422" s="4">
        <v>2499</v>
      </c>
      <c r="AZ422" s="4">
        <f t="shared" si="147"/>
        <v>2499</v>
      </c>
      <c r="BA422" s="19">
        <v>4</v>
      </c>
      <c r="BB422" s="19">
        <v>1</v>
      </c>
      <c r="BC422" s="16">
        <v>18</v>
      </c>
      <c r="BD422" t="s">
        <v>1280</v>
      </c>
      <c r="BE422" t="s">
        <v>1280</v>
      </c>
      <c r="BF422" t="s">
        <v>1280</v>
      </c>
      <c r="BG422" t="str">
        <f t="shared" si="152"/>
        <v>-</v>
      </c>
      <c r="BH422">
        <v>1908</v>
      </c>
      <c r="BI422">
        <v>1908</v>
      </c>
      <c r="BJ422">
        <v>1908</v>
      </c>
      <c r="BK422">
        <f t="shared" si="153"/>
        <v>2150.8363636363633</v>
      </c>
      <c r="BL422" t="s">
        <v>1336</v>
      </c>
      <c r="BM422">
        <v>812</v>
      </c>
    </row>
    <row r="423" spans="1:65" x14ac:dyDescent="0.4">
      <c r="A423" s="3">
        <v>413</v>
      </c>
      <c r="B423" s="3">
        <v>413</v>
      </c>
      <c r="C423" s="4" t="s">
        <v>402</v>
      </c>
      <c r="D423" s="4" t="str">
        <f t="shared" si="132"/>
        <v>J54483</v>
      </c>
      <c r="E423" s="4" t="s">
        <v>402</v>
      </c>
      <c r="F423" s="4" t="str">
        <f t="shared" si="148"/>
        <v>J544835</v>
      </c>
      <c r="G423" s="4" t="s">
        <v>1046</v>
      </c>
      <c r="H423" s="5">
        <v>4974268831552</v>
      </c>
      <c r="I423" s="5">
        <v>5</v>
      </c>
      <c r="J423" s="5"/>
      <c r="K423" s="5">
        <v>1</v>
      </c>
      <c r="L423" s="5">
        <v>1</v>
      </c>
      <c r="M423" s="4">
        <v>2750</v>
      </c>
      <c r="N423" s="4">
        <v>2090</v>
      </c>
      <c r="O423" s="4">
        <v>1650</v>
      </c>
      <c r="P423" s="6">
        <f t="shared" si="133"/>
        <v>0.21052631578947367</v>
      </c>
      <c r="Q423" s="4" t="s">
        <v>1280</v>
      </c>
      <c r="R423" s="4" t="s">
        <v>1280</v>
      </c>
      <c r="S423" s="4" t="s">
        <v>1280</v>
      </c>
      <c r="T423" s="4">
        <v>3100</v>
      </c>
      <c r="U423" s="4">
        <f t="shared" si="134"/>
        <v>3100</v>
      </c>
      <c r="V423" s="4">
        <v>1860</v>
      </c>
      <c r="W423" s="4">
        <f t="shared" si="135"/>
        <v>1860</v>
      </c>
      <c r="X423" s="4"/>
      <c r="Y423" s="21">
        <f t="shared" si="136"/>
        <v>2356</v>
      </c>
      <c r="Z423" s="6">
        <f t="shared" si="137"/>
        <v>0.21052631578947367</v>
      </c>
      <c r="AA423" s="4">
        <v>0.5</v>
      </c>
      <c r="AB423" s="4">
        <f t="shared" si="138"/>
        <v>2200</v>
      </c>
      <c r="AC423" s="4">
        <f t="shared" si="149"/>
        <v>2480</v>
      </c>
      <c r="AD423" s="6">
        <f t="shared" si="150"/>
        <v>0.25</v>
      </c>
      <c r="AE423" s="4">
        <f t="shared" si="151"/>
        <v>2945</v>
      </c>
      <c r="AF423" s="7">
        <v>2466</v>
      </c>
      <c r="AG423" s="6">
        <f t="shared" si="139"/>
        <v>0.24574209245742096</v>
      </c>
      <c r="AH423" s="4">
        <f t="shared" si="140"/>
        <v>606</v>
      </c>
      <c r="AI423" s="28"/>
      <c r="AJ423" s="6"/>
      <c r="AK423" s="6"/>
      <c r="AL423" s="6">
        <f t="shared" si="141"/>
        <v>1.1272727272727272</v>
      </c>
      <c r="AM423" s="6">
        <f t="shared" si="142"/>
        <v>1.1799043062200958</v>
      </c>
      <c r="AN423" s="6">
        <f t="shared" si="143"/>
        <v>1.1272727272727272</v>
      </c>
      <c r="AO423" s="4" t="str">
        <f t="shared" si="144"/>
        <v>-</v>
      </c>
      <c r="AP423" s="4" t="str">
        <f t="shared" si="145"/>
        <v>-</v>
      </c>
      <c r="AQ423" s="4" t="str">
        <f t="shared" si="146"/>
        <v>-</v>
      </c>
      <c r="AR423" s="4">
        <v>0</v>
      </c>
      <c r="AS423" s="4" t="s">
        <v>1974</v>
      </c>
      <c r="AT423" s="4"/>
      <c r="AU423" s="4"/>
      <c r="AV423" s="4" t="s">
        <v>1697</v>
      </c>
      <c r="AW423" s="4">
        <v>2200</v>
      </c>
      <c r="AX423" s="4">
        <v>2200</v>
      </c>
      <c r="AY423" s="4">
        <v>2200</v>
      </c>
      <c r="AZ423" s="4">
        <f t="shared" si="147"/>
        <v>2200</v>
      </c>
      <c r="BA423" s="19">
        <v>4</v>
      </c>
      <c r="BB423" s="19">
        <v>1</v>
      </c>
      <c r="BC423" s="16">
        <v>18</v>
      </c>
      <c r="BD423">
        <v>2202</v>
      </c>
      <c r="BE423">
        <v>2202</v>
      </c>
      <c r="BF423">
        <v>2202</v>
      </c>
      <c r="BG423">
        <f t="shared" si="152"/>
        <v>2482.2545454545452</v>
      </c>
      <c r="BH423">
        <v>2188</v>
      </c>
      <c r="BI423">
        <v>2188</v>
      </c>
      <c r="BJ423">
        <v>2188</v>
      </c>
      <c r="BK423">
        <f t="shared" si="153"/>
        <v>2466.4727272727273</v>
      </c>
      <c r="BL423" t="s">
        <v>1496</v>
      </c>
      <c r="BM423">
        <v>812</v>
      </c>
    </row>
    <row r="424" spans="1:65" x14ac:dyDescent="0.4">
      <c r="A424" s="3">
        <v>421</v>
      </c>
      <c r="B424" s="3">
        <v>421</v>
      </c>
      <c r="C424" s="4" t="s">
        <v>410</v>
      </c>
      <c r="D424" s="4" t="str">
        <f t="shared" si="132"/>
        <v>J54486</v>
      </c>
      <c r="E424" s="4" t="s">
        <v>410</v>
      </c>
      <c r="F424" s="4" t="str">
        <f t="shared" si="148"/>
        <v>J544865</v>
      </c>
      <c r="G424" s="4" t="s">
        <v>1054</v>
      </c>
      <c r="H424" s="5">
        <v>4974268831859</v>
      </c>
      <c r="I424" s="5">
        <v>5</v>
      </c>
      <c r="J424" s="5"/>
      <c r="K424" s="5">
        <v>1</v>
      </c>
      <c r="L424" s="5">
        <v>1</v>
      </c>
      <c r="M424" s="4">
        <v>2750</v>
      </c>
      <c r="N424" s="4">
        <v>2471</v>
      </c>
      <c r="O424" s="4">
        <v>1650</v>
      </c>
      <c r="P424" s="6">
        <f t="shared" si="133"/>
        <v>0.33225414811817078</v>
      </c>
      <c r="Q424" s="4" t="s">
        <v>1280</v>
      </c>
      <c r="R424" s="4" t="s">
        <v>1280</v>
      </c>
      <c r="S424" s="4" t="s">
        <v>1280</v>
      </c>
      <c r="T424" s="4">
        <v>3100</v>
      </c>
      <c r="U424" s="4">
        <f t="shared" si="134"/>
        <v>3100</v>
      </c>
      <c r="V424" s="4">
        <v>1860</v>
      </c>
      <c r="W424" s="4">
        <f t="shared" si="135"/>
        <v>1860</v>
      </c>
      <c r="X424" s="4"/>
      <c r="Y424" s="21">
        <f t="shared" si="136"/>
        <v>2785</v>
      </c>
      <c r="Z424" s="6">
        <f t="shared" si="137"/>
        <v>0.33213644524236985</v>
      </c>
      <c r="AA424" s="4">
        <v>0.5</v>
      </c>
      <c r="AB424" s="4">
        <f t="shared" si="138"/>
        <v>2399</v>
      </c>
      <c r="AC424" s="4">
        <f t="shared" si="149"/>
        <v>2704.3272727272724</v>
      </c>
      <c r="AD424" s="6">
        <f t="shared" si="150"/>
        <v>0.31221342225927462</v>
      </c>
      <c r="AE424" s="4">
        <f t="shared" si="151"/>
        <v>2945</v>
      </c>
      <c r="AF424" s="7">
        <v>2704</v>
      </c>
      <c r="AG424" s="6">
        <f t="shared" si="139"/>
        <v>0.31213017751479288</v>
      </c>
      <c r="AH424" s="4">
        <f t="shared" si="140"/>
        <v>844</v>
      </c>
      <c r="AI424" s="28"/>
      <c r="AJ424" s="6"/>
      <c r="AK424" s="6"/>
      <c r="AL424" s="6">
        <f t="shared" si="141"/>
        <v>1.1272727272727272</v>
      </c>
      <c r="AM424" s="6">
        <f t="shared" si="142"/>
        <v>1.0942938081748279</v>
      </c>
      <c r="AN424" s="6">
        <f t="shared" si="143"/>
        <v>1.1272727272727272</v>
      </c>
      <c r="AO424" s="4" t="str">
        <f t="shared" si="144"/>
        <v>-</v>
      </c>
      <c r="AP424" s="4" t="str">
        <f t="shared" si="145"/>
        <v>-</v>
      </c>
      <c r="AQ424" s="4" t="str">
        <f t="shared" si="146"/>
        <v>-</v>
      </c>
      <c r="AR424" s="4">
        <v>0</v>
      </c>
      <c r="AS424" s="4" t="s">
        <v>1983</v>
      </c>
      <c r="AT424" s="4"/>
      <c r="AU424" s="4"/>
      <c r="AV424" s="4" t="s">
        <v>1697</v>
      </c>
      <c r="AW424" s="4">
        <v>2399</v>
      </c>
      <c r="AX424" s="4">
        <v>2399</v>
      </c>
      <c r="AY424" s="4">
        <v>2399</v>
      </c>
      <c r="AZ424" s="4">
        <f t="shared" si="147"/>
        <v>2399</v>
      </c>
      <c r="BA424" s="19">
        <v>4</v>
      </c>
      <c r="BB424" s="19">
        <v>8</v>
      </c>
      <c r="BC424" s="16">
        <v>18</v>
      </c>
      <c r="BD424">
        <v>2500</v>
      </c>
      <c r="BE424">
        <v>2500</v>
      </c>
      <c r="BF424">
        <v>2500</v>
      </c>
      <c r="BG424">
        <f t="shared" si="152"/>
        <v>2818.181818181818</v>
      </c>
      <c r="BH424">
        <v>1985</v>
      </c>
      <c r="BI424">
        <v>1985</v>
      </c>
      <c r="BJ424">
        <v>1985</v>
      </c>
      <c r="BK424">
        <f t="shared" si="153"/>
        <v>2237.6363636363635</v>
      </c>
      <c r="BL424" t="s">
        <v>1504</v>
      </c>
      <c r="BM424">
        <v>812</v>
      </c>
    </row>
    <row r="425" spans="1:65" x14ac:dyDescent="0.4">
      <c r="A425" s="3">
        <v>433</v>
      </c>
      <c r="B425" s="3">
        <v>433</v>
      </c>
      <c r="C425" s="4" t="s">
        <v>422</v>
      </c>
      <c r="D425" s="4" t="str">
        <f t="shared" si="132"/>
        <v>J54472</v>
      </c>
      <c r="E425" s="4" t="s">
        <v>422</v>
      </c>
      <c r="F425" s="4" t="str">
        <f t="shared" si="148"/>
        <v>J544725</v>
      </c>
      <c r="G425" s="4" t="s">
        <v>1066</v>
      </c>
      <c r="H425" s="5">
        <v>4974268830524</v>
      </c>
      <c r="I425" s="5">
        <v>5</v>
      </c>
      <c r="J425" s="5"/>
      <c r="K425" s="5">
        <v>1</v>
      </c>
      <c r="L425" s="5">
        <v>1</v>
      </c>
      <c r="M425" s="4">
        <v>2750</v>
      </c>
      <c r="N425" s="4">
        <v>2457</v>
      </c>
      <c r="O425" s="4">
        <v>1650</v>
      </c>
      <c r="P425" s="6">
        <f t="shared" si="133"/>
        <v>0.3284493284493285</v>
      </c>
      <c r="Q425" s="4" t="s">
        <v>1280</v>
      </c>
      <c r="R425" s="4" t="s">
        <v>1280</v>
      </c>
      <c r="S425" s="4" t="s">
        <v>1280</v>
      </c>
      <c r="T425" s="4">
        <v>3100</v>
      </c>
      <c r="U425" s="4">
        <f t="shared" si="134"/>
        <v>3100</v>
      </c>
      <c r="V425" s="4">
        <v>1860</v>
      </c>
      <c r="W425" s="4">
        <f t="shared" si="135"/>
        <v>1860</v>
      </c>
      <c r="X425" s="4"/>
      <c r="Y425" s="21">
        <f t="shared" si="136"/>
        <v>2770</v>
      </c>
      <c r="Z425" s="6">
        <f t="shared" si="137"/>
        <v>0.32851985559566788</v>
      </c>
      <c r="AA425" s="4">
        <v>0.25</v>
      </c>
      <c r="AB425" s="4">
        <f t="shared" si="138"/>
        <v>2391</v>
      </c>
      <c r="AC425" s="4">
        <f t="shared" si="149"/>
        <v>2695.3090909090906</v>
      </c>
      <c r="AD425" s="6">
        <f t="shared" si="150"/>
        <v>0.30991217063989951</v>
      </c>
      <c r="AE425" s="4">
        <f t="shared" si="151"/>
        <v>2945</v>
      </c>
      <c r="AF425" s="7">
        <v>2695</v>
      </c>
      <c r="AG425" s="6">
        <f t="shared" si="139"/>
        <v>0.30983302411873836</v>
      </c>
      <c r="AH425" s="4">
        <f t="shared" si="140"/>
        <v>835</v>
      </c>
      <c r="AI425" s="28"/>
      <c r="AJ425" s="6"/>
      <c r="AK425" s="6"/>
      <c r="AL425" s="6">
        <f t="shared" si="141"/>
        <v>1.1272727272727272</v>
      </c>
      <c r="AM425" s="6">
        <f t="shared" si="142"/>
        <v>1.0968660968660968</v>
      </c>
      <c r="AN425" s="6">
        <f t="shared" si="143"/>
        <v>1.1272727272727272</v>
      </c>
      <c r="AO425" s="4" t="str">
        <f t="shared" si="144"/>
        <v>-</v>
      </c>
      <c r="AP425" s="4" t="str">
        <f t="shared" si="145"/>
        <v>-</v>
      </c>
      <c r="AQ425" s="4" t="str">
        <f t="shared" si="146"/>
        <v>-</v>
      </c>
      <c r="AR425" s="4">
        <v>0</v>
      </c>
      <c r="AS425" s="4" t="s">
        <v>1992</v>
      </c>
      <c r="AT425" s="4"/>
      <c r="AU425" s="4"/>
      <c r="AV425" s="4" t="s">
        <v>1697</v>
      </c>
      <c r="AW425" s="4">
        <v>2391</v>
      </c>
      <c r="AX425" s="4">
        <v>2391</v>
      </c>
      <c r="AY425" s="4">
        <v>2391</v>
      </c>
      <c r="AZ425" s="4">
        <f t="shared" si="147"/>
        <v>2391</v>
      </c>
      <c r="BA425" s="19">
        <v>4</v>
      </c>
      <c r="BB425" s="19">
        <v>8</v>
      </c>
      <c r="BC425" s="16">
        <v>18</v>
      </c>
      <c r="BD425" t="s">
        <v>1280</v>
      </c>
      <c r="BE425" t="s">
        <v>1280</v>
      </c>
      <c r="BF425" t="s">
        <v>1280</v>
      </c>
      <c r="BG425" t="str">
        <f t="shared" si="152"/>
        <v>-</v>
      </c>
      <c r="BH425">
        <v>2453</v>
      </c>
      <c r="BI425">
        <v>2453</v>
      </c>
      <c r="BJ425">
        <v>2453</v>
      </c>
      <c r="BK425">
        <f t="shared" si="153"/>
        <v>2765.2</v>
      </c>
      <c r="BL425" t="s">
        <v>1513</v>
      </c>
      <c r="BM425">
        <v>812</v>
      </c>
    </row>
    <row r="426" spans="1:65" x14ac:dyDescent="0.4">
      <c r="A426" s="3">
        <v>285</v>
      </c>
      <c r="B426" s="3">
        <v>285</v>
      </c>
      <c r="C426" s="4" t="s">
        <v>274</v>
      </c>
      <c r="D426" s="4" t="str">
        <f t="shared" si="132"/>
        <v>J39000</v>
      </c>
      <c r="E426" s="4" t="s">
        <v>274</v>
      </c>
      <c r="F426" s="4" t="str">
        <f t="shared" si="148"/>
        <v>J390005</v>
      </c>
      <c r="G426" s="4" t="s">
        <v>920</v>
      </c>
      <c r="H426" s="5">
        <v>4974268695390</v>
      </c>
      <c r="I426" s="5">
        <v>5</v>
      </c>
      <c r="J426" s="5"/>
      <c r="K426" s="5">
        <v>1</v>
      </c>
      <c r="L426" s="5">
        <v>1</v>
      </c>
      <c r="M426" s="4">
        <v>2500</v>
      </c>
      <c r="N426" s="4">
        <v>2429</v>
      </c>
      <c r="O426" s="4">
        <v>1750</v>
      </c>
      <c r="P426" s="6">
        <f t="shared" si="133"/>
        <v>0.27953890489913547</v>
      </c>
      <c r="Q426" s="4" t="s">
        <v>1280</v>
      </c>
      <c r="R426" s="4" t="s">
        <v>1280</v>
      </c>
      <c r="S426" s="4" t="s">
        <v>1280</v>
      </c>
      <c r="T426" s="4">
        <v>2700</v>
      </c>
      <c r="U426" s="4">
        <f t="shared" si="134"/>
        <v>2700</v>
      </c>
      <c r="V426" s="4">
        <v>1890</v>
      </c>
      <c r="W426" s="4">
        <f t="shared" si="135"/>
        <v>1890</v>
      </c>
      <c r="X426" s="4"/>
      <c r="Y426" s="21">
        <f t="shared" si="136"/>
        <v>2623</v>
      </c>
      <c r="Z426" s="6">
        <f t="shared" si="137"/>
        <v>0.27945101029355701</v>
      </c>
      <c r="AA426" s="4">
        <v>0.5</v>
      </c>
      <c r="AB426" s="4">
        <f t="shared" si="138"/>
        <v>2382</v>
      </c>
      <c r="AC426" s="4">
        <f t="shared" si="149"/>
        <v>2572.56</v>
      </c>
      <c r="AD426" s="6">
        <f t="shared" si="150"/>
        <v>0.26532325776658272</v>
      </c>
      <c r="AE426" s="4">
        <f t="shared" si="151"/>
        <v>2565</v>
      </c>
      <c r="AF426" s="7">
        <v>2572</v>
      </c>
      <c r="AG426" s="6">
        <f t="shared" si="139"/>
        <v>0.26516329704510111</v>
      </c>
      <c r="AH426" s="4">
        <f t="shared" si="140"/>
        <v>682</v>
      </c>
      <c r="AI426" s="28"/>
      <c r="AJ426" s="6"/>
      <c r="AK426" s="6"/>
      <c r="AL426" s="6">
        <f t="shared" si="141"/>
        <v>1.08</v>
      </c>
      <c r="AM426" s="6">
        <f t="shared" si="142"/>
        <v>1.0588719637710993</v>
      </c>
      <c r="AN426" s="6">
        <f t="shared" si="143"/>
        <v>1.08</v>
      </c>
      <c r="AO426" s="4" t="str">
        <f t="shared" si="144"/>
        <v>-</v>
      </c>
      <c r="AP426" s="4" t="str">
        <f t="shared" si="145"/>
        <v>-</v>
      </c>
      <c r="AQ426" s="4" t="str">
        <f t="shared" si="146"/>
        <v>-</v>
      </c>
      <c r="AR426" s="4">
        <v>0</v>
      </c>
      <c r="AS426" s="4" t="s">
        <v>1917</v>
      </c>
      <c r="AT426" s="4"/>
      <c r="AU426" s="4"/>
      <c r="AV426" s="4" t="s">
        <v>1918</v>
      </c>
      <c r="AW426" s="4">
        <v>2382</v>
      </c>
      <c r="AX426" s="4">
        <v>2382</v>
      </c>
      <c r="AY426" s="4">
        <v>2382</v>
      </c>
      <c r="AZ426" s="4">
        <f t="shared" si="147"/>
        <v>2382</v>
      </c>
      <c r="BA426" s="19">
        <v>4</v>
      </c>
      <c r="BB426" s="19">
        <v>8</v>
      </c>
      <c r="BC426" s="16">
        <v>19</v>
      </c>
      <c r="BD426" t="s">
        <v>1280</v>
      </c>
      <c r="BE426">
        <v>2500</v>
      </c>
      <c r="BF426">
        <v>2500</v>
      </c>
      <c r="BG426">
        <f t="shared" si="152"/>
        <v>2700</v>
      </c>
      <c r="BH426">
        <v>2500</v>
      </c>
      <c r="BI426">
        <v>2500</v>
      </c>
      <c r="BJ426">
        <v>2500</v>
      </c>
      <c r="BK426">
        <f t="shared" si="153"/>
        <v>2700</v>
      </c>
      <c r="BL426" t="s">
        <v>1454</v>
      </c>
      <c r="BM426">
        <v>812</v>
      </c>
    </row>
    <row r="427" spans="1:65" x14ac:dyDescent="0.4">
      <c r="A427" s="3">
        <v>286</v>
      </c>
      <c r="B427" s="3">
        <v>286</v>
      </c>
      <c r="C427" s="4" t="s">
        <v>275</v>
      </c>
      <c r="D427" s="4" t="str">
        <f t="shared" si="132"/>
        <v>J39001</v>
      </c>
      <c r="E427" s="4" t="s">
        <v>275</v>
      </c>
      <c r="F427" s="4" t="str">
        <f t="shared" si="148"/>
        <v>J390015</v>
      </c>
      <c r="G427" s="4" t="s">
        <v>921</v>
      </c>
      <c r="H427" s="5">
        <v>4974268695475</v>
      </c>
      <c r="I427" s="5">
        <v>5</v>
      </c>
      <c r="J427" s="5"/>
      <c r="K427" s="5">
        <v>1</v>
      </c>
      <c r="L427" s="5">
        <v>1</v>
      </c>
      <c r="M427" s="4">
        <v>2500</v>
      </c>
      <c r="N427" s="4">
        <v>2429</v>
      </c>
      <c r="O427" s="4">
        <v>1750</v>
      </c>
      <c r="P427" s="6">
        <f t="shared" si="133"/>
        <v>0.27953890489913547</v>
      </c>
      <c r="Q427" s="4" t="s">
        <v>1280</v>
      </c>
      <c r="R427" s="4" t="s">
        <v>1280</v>
      </c>
      <c r="S427" s="4" t="s">
        <v>1280</v>
      </c>
      <c r="T427" s="4">
        <v>2700</v>
      </c>
      <c r="U427" s="4">
        <f t="shared" si="134"/>
        <v>2700</v>
      </c>
      <c r="V427" s="4">
        <v>1890</v>
      </c>
      <c r="W427" s="4">
        <f t="shared" si="135"/>
        <v>1890</v>
      </c>
      <c r="X427" s="4"/>
      <c r="Y427" s="21">
        <f t="shared" si="136"/>
        <v>2623</v>
      </c>
      <c r="Z427" s="6">
        <f t="shared" si="137"/>
        <v>0.27945101029355701</v>
      </c>
      <c r="AA427" s="4">
        <v>0</v>
      </c>
      <c r="AB427" s="4">
        <f t="shared" si="138"/>
        <v>2382</v>
      </c>
      <c r="AC427" s="4">
        <f t="shared" si="149"/>
        <v>2572.56</v>
      </c>
      <c r="AD427" s="6">
        <f t="shared" si="150"/>
        <v>0.26532325776658272</v>
      </c>
      <c r="AE427" s="4">
        <f t="shared" si="151"/>
        <v>2565</v>
      </c>
      <c r="AF427" s="7">
        <v>2572</v>
      </c>
      <c r="AG427" s="6">
        <f t="shared" si="139"/>
        <v>0.26516329704510111</v>
      </c>
      <c r="AH427" s="4">
        <f t="shared" si="140"/>
        <v>682</v>
      </c>
      <c r="AI427" s="28"/>
      <c r="AJ427" s="6"/>
      <c r="AK427" s="6"/>
      <c r="AL427" s="6">
        <f t="shared" si="141"/>
        <v>1.08</v>
      </c>
      <c r="AM427" s="6">
        <f t="shared" si="142"/>
        <v>1.0588719637710993</v>
      </c>
      <c r="AN427" s="6">
        <f t="shared" si="143"/>
        <v>1.08</v>
      </c>
      <c r="AO427" s="4" t="str">
        <f t="shared" si="144"/>
        <v>-</v>
      </c>
      <c r="AP427" s="4" t="str">
        <f t="shared" si="145"/>
        <v>-</v>
      </c>
      <c r="AQ427" s="4" t="str">
        <f t="shared" si="146"/>
        <v>-</v>
      </c>
      <c r="AR427" s="4">
        <v>0</v>
      </c>
      <c r="AS427" s="4" t="s">
        <v>1919</v>
      </c>
      <c r="AT427" s="4"/>
      <c r="AU427" s="4"/>
      <c r="AV427" s="4" t="s">
        <v>1918</v>
      </c>
      <c r="AW427" s="4">
        <v>2382</v>
      </c>
      <c r="AX427" s="4">
        <v>2382</v>
      </c>
      <c r="AY427" s="4">
        <v>2382</v>
      </c>
      <c r="AZ427" s="4">
        <f t="shared" si="147"/>
        <v>2382</v>
      </c>
      <c r="BA427" s="19">
        <v>4</v>
      </c>
      <c r="BB427" s="19">
        <v>8</v>
      </c>
      <c r="BC427" s="16">
        <v>19</v>
      </c>
      <c r="BD427">
        <v>2500</v>
      </c>
      <c r="BE427">
        <v>2500</v>
      </c>
      <c r="BF427">
        <v>2500</v>
      </c>
      <c r="BG427">
        <f t="shared" si="152"/>
        <v>2700</v>
      </c>
      <c r="BH427">
        <v>2500</v>
      </c>
      <c r="BI427">
        <v>2500</v>
      </c>
      <c r="BJ427">
        <v>2500</v>
      </c>
      <c r="BK427">
        <f t="shared" si="153"/>
        <v>2700</v>
      </c>
      <c r="BL427" t="s">
        <v>1455</v>
      </c>
      <c r="BM427">
        <v>812</v>
      </c>
    </row>
    <row r="428" spans="1:65" x14ac:dyDescent="0.4">
      <c r="A428" s="3">
        <v>605</v>
      </c>
      <c r="B428" s="3">
        <v>605</v>
      </c>
      <c r="C428" s="4" t="s">
        <v>594</v>
      </c>
      <c r="D428" s="4" t="str">
        <f t="shared" si="132"/>
        <v>J94586</v>
      </c>
      <c r="E428" s="4" t="s">
        <v>594</v>
      </c>
      <c r="F428" s="4" t="str">
        <f t="shared" si="148"/>
        <v>J945865</v>
      </c>
      <c r="G428" s="4" t="s">
        <v>1238</v>
      </c>
      <c r="H428" s="5">
        <v>4974268695406</v>
      </c>
      <c r="I428" s="5">
        <v>5</v>
      </c>
      <c r="J428" s="5"/>
      <c r="K428" s="5">
        <v>1</v>
      </c>
      <c r="L428" s="5">
        <v>1</v>
      </c>
      <c r="M428" s="4">
        <v>2500</v>
      </c>
      <c r="N428" s="4">
        <v>2281</v>
      </c>
      <c r="O428" s="4">
        <v>1750</v>
      </c>
      <c r="P428" s="6">
        <f t="shared" si="133"/>
        <v>0.23279263480929413</v>
      </c>
      <c r="Q428" s="4" t="s">
        <v>1280</v>
      </c>
      <c r="R428" s="4" t="s">
        <v>1280</v>
      </c>
      <c r="S428" s="4" t="s">
        <v>1280</v>
      </c>
      <c r="T428" s="4">
        <v>2700</v>
      </c>
      <c r="U428" s="4">
        <f t="shared" si="134"/>
        <v>2700</v>
      </c>
      <c r="V428" s="4">
        <v>1890</v>
      </c>
      <c r="W428" s="4">
        <f t="shared" si="135"/>
        <v>1890</v>
      </c>
      <c r="X428" s="4"/>
      <c r="Y428" s="21">
        <f t="shared" si="136"/>
        <v>2463</v>
      </c>
      <c r="Z428" s="6">
        <f t="shared" si="137"/>
        <v>0.23264311814859928</v>
      </c>
      <c r="AA428" s="4">
        <v>0.5</v>
      </c>
      <c r="AB428" s="4">
        <f t="shared" si="138"/>
        <v>2500</v>
      </c>
      <c r="AC428" s="4">
        <f t="shared" si="149"/>
        <v>2700</v>
      </c>
      <c r="AD428" s="6">
        <f t="shared" si="150"/>
        <v>0.30000000000000004</v>
      </c>
      <c r="AE428" s="4">
        <f t="shared" si="151"/>
        <v>2565</v>
      </c>
      <c r="AF428" s="7">
        <v>2572</v>
      </c>
      <c r="AG428" s="6">
        <f t="shared" si="139"/>
        <v>0.26516329704510111</v>
      </c>
      <c r="AH428" s="4">
        <f t="shared" si="140"/>
        <v>682</v>
      </c>
      <c r="AI428" s="28"/>
      <c r="AJ428" s="6"/>
      <c r="AK428" s="6"/>
      <c r="AL428" s="6">
        <f t="shared" si="141"/>
        <v>1.08</v>
      </c>
      <c r="AM428" s="6">
        <f t="shared" si="142"/>
        <v>1.1275756247259974</v>
      </c>
      <c r="AN428" s="6">
        <f t="shared" si="143"/>
        <v>1.08</v>
      </c>
      <c r="AO428" s="4" t="str">
        <f t="shared" si="144"/>
        <v>-</v>
      </c>
      <c r="AP428" s="4" t="str">
        <f t="shared" si="145"/>
        <v>-</v>
      </c>
      <c r="AQ428" s="4" t="str">
        <f t="shared" si="146"/>
        <v>-</v>
      </c>
      <c r="AR428" s="4">
        <v>0</v>
      </c>
      <c r="AS428" s="4" t="s">
        <v>2163</v>
      </c>
      <c r="AT428" s="4"/>
      <c r="AU428" s="4"/>
      <c r="AV428" s="4" t="s">
        <v>1918</v>
      </c>
      <c r="AW428" s="4">
        <v>2500</v>
      </c>
      <c r="AX428" s="4">
        <v>2500</v>
      </c>
      <c r="AY428" s="4">
        <v>2500</v>
      </c>
      <c r="AZ428" s="4">
        <f t="shared" si="147"/>
        <v>2500</v>
      </c>
      <c r="BA428" s="19">
        <v>4</v>
      </c>
      <c r="BB428" s="19">
        <v>8</v>
      </c>
      <c r="BC428" s="16">
        <v>19</v>
      </c>
      <c r="BD428">
        <v>2500</v>
      </c>
      <c r="BE428">
        <v>2500</v>
      </c>
      <c r="BF428">
        <v>2500</v>
      </c>
      <c r="BG428">
        <f t="shared" si="152"/>
        <v>2700</v>
      </c>
      <c r="BH428">
        <v>2500</v>
      </c>
      <c r="BI428">
        <v>2500</v>
      </c>
      <c r="BJ428">
        <v>2500</v>
      </c>
      <c r="BK428">
        <f t="shared" si="153"/>
        <v>2700</v>
      </c>
      <c r="BL428" t="s">
        <v>1647</v>
      </c>
      <c r="BM428">
        <v>812</v>
      </c>
    </row>
    <row r="429" spans="1:65" x14ac:dyDescent="0.4">
      <c r="A429" s="3">
        <v>9</v>
      </c>
      <c r="B429" s="3">
        <v>9</v>
      </c>
      <c r="C429" s="4">
        <v>132421</v>
      </c>
      <c r="D429" s="4" t="str">
        <f t="shared" si="132"/>
        <v>132421</v>
      </c>
      <c r="E429" s="4">
        <v>132421</v>
      </c>
      <c r="F429" s="4" t="str">
        <f t="shared" si="148"/>
        <v>1324215</v>
      </c>
      <c r="G429" s="4" t="s">
        <v>644</v>
      </c>
      <c r="H429" s="5">
        <v>4974268400048</v>
      </c>
      <c r="I429" s="5">
        <v>5</v>
      </c>
      <c r="J429" s="5"/>
      <c r="K429" s="5">
        <v>1</v>
      </c>
      <c r="L429" s="5">
        <v>1</v>
      </c>
      <c r="M429" s="4">
        <v>2850</v>
      </c>
      <c r="N429" s="4">
        <v>2336</v>
      </c>
      <c r="O429" s="4">
        <v>1710</v>
      </c>
      <c r="P429" s="6">
        <f t="shared" si="133"/>
        <v>0.26797945205479456</v>
      </c>
      <c r="Q429" s="4" t="s">
        <v>1280</v>
      </c>
      <c r="R429" s="4" t="s">
        <v>1280</v>
      </c>
      <c r="S429" s="4" t="s">
        <v>1280</v>
      </c>
      <c r="T429" s="4">
        <v>3200</v>
      </c>
      <c r="U429" s="4">
        <f t="shared" si="134"/>
        <v>3200</v>
      </c>
      <c r="V429" s="4">
        <v>1920</v>
      </c>
      <c r="W429" s="4">
        <f t="shared" si="135"/>
        <v>1920</v>
      </c>
      <c r="X429" s="4"/>
      <c r="Y429" s="21">
        <f t="shared" si="136"/>
        <v>2623</v>
      </c>
      <c r="Z429" s="6">
        <f t="shared" si="137"/>
        <v>0.26801372474266105</v>
      </c>
      <c r="AA429" s="4">
        <v>0</v>
      </c>
      <c r="AB429" s="4">
        <f t="shared" si="138"/>
        <v>2459</v>
      </c>
      <c r="AC429" s="4">
        <f t="shared" si="149"/>
        <v>2760.9824561403507</v>
      </c>
      <c r="AD429" s="6">
        <f t="shared" si="150"/>
        <v>0.30459536396909304</v>
      </c>
      <c r="AE429" s="4">
        <f t="shared" si="151"/>
        <v>3040</v>
      </c>
      <c r="AF429" s="7">
        <v>2745</v>
      </c>
      <c r="AG429" s="6">
        <f t="shared" si="139"/>
        <v>0.30054644808743169</v>
      </c>
      <c r="AH429" s="4">
        <f t="shared" si="140"/>
        <v>825</v>
      </c>
      <c r="AI429" s="28"/>
      <c r="AJ429" s="6"/>
      <c r="AK429" s="6"/>
      <c r="AL429" s="6">
        <f t="shared" si="141"/>
        <v>1.1228070175438596</v>
      </c>
      <c r="AM429" s="6">
        <f t="shared" si="142"/>
        <v>1.1750856164383561</v>
      </c>
      <c r="AN429" s="6">
        <f t="shared" si="143"/>
        <v>1.1228070175438596</v>
      </c>
      <c r="AO429" s="4" t="str">
        <f t="shared" si="144"/>
        <v>-</v>
      </c>
      <c r="AP429" s="4" t="str">
        <f t="shared" si="145"/>
        <v>-</v>
      </c>
      <c r="AQ429" s="4" t="str">
        <f t="shared" si="146"/>
        <v>-</v>
      </c>
      <c r="AR429" s="4">
        <v>0</v>
      </c>
      <c r="AS429" s="4" t="s">
        <v>1694</v>
      </c>
      <c r="AT429" s="4"/>
      <c r="AU429" s="4"/>
      <c r="AV429" s="4" t="s">
        <v>1695</v>
      </c>
      <c r="AW429" s="4">
        <v>2459</v>
      </c>
      <c r="AX429" s="4">
        <v>2459</v>
      </c>
      <c r="AY429" s="4">
        <v>2459</v>
      </c>
      <c r="AZ429" s="4">
        <f t="shared" si="147"/>
        <v>2459</v>
      </c>
      <c r="BA429" s="19">
        <v>4</v>
      </c>
      <c r="BB429" s="19">
        <v>8</v>
      </c>
      <c r="BC429" s="16">
        <v>19</v>
      </c>
      <c r="BD429" t="s">
        <v>1280</v>
      </c>
      <c r="BE429" t="s">
        <v>1280</v>
      </c>
      <c r="BF429" t="s">
        <v>1280</v>
      </c>
      <c r="BG429" t="str">
        <f t="shared" si="152"/>
        <v>-</v>
      </c>
      <c r="BH429">
        <v>2445</v>
      </c>
      <c r="BI429">
        <v>2445</v>
      </c>
      <c r="BJ429">
        <v>2445</v>
      </c>
      <c r="BK429">
        <f t="shared" si="153"/>
        <v>2745.2631578947367</v>
      </c>
      <c r="BL429" t="s">
        <v>1294</v>
      </c>
      <c r="BM429">
        <v>812</v>
      </c>
    </row>
    <row r="430" spans="1:65" x14ac:dyDescent="0.4">
      <c r="A430" s="3">
        <v>425</v>
      </c>
      <c r="B430" s="3">
        <v>425</v>
      </c>
      <c r="C430" s="4" t="s">
        <v>414</v>
      </c>
      <c r="D430" s="4" t="str">
        <f t="shared" si="132"/>
        <v>J54493</v>
      </c>
      <c r="E430" s="4" t="s">
        <v>414</v>
      </c>
      <c r="F430" s="4" t="str">
        <f t="shared" si="148"/>
        <v>J544935</v>
      </c>
      <c r="G430" s="4" t="s">
        <v>1058</v>
      </c>
      <c r="H430" s="5">
        <v>4974268832115</v>
      </c>
      <c r="I430" s="5">
        <v>5</v>
      </c>
      <c r="J430" s="5"/>
      <c r="K430" s="5">
        <v>1</v>
      </c>
      <c r="L430" s="5">
        <v>1</v>
      </c>
      <c r="M430" s="4">
        <v>2900</v>
      </c>
      <c r="N430" s="4">
        <v>2778</v>
      </c>
      <c r="O430" s="4">
        <v>1740</v>
      </c>
      <c r="P430" s="6">
        <f t="shared" si="133"/>
        <v>0.37365010799136067</v>
      </c>
      <c r="Q430" s="4" t="s">
        <v>1280</v>
      </c>
      <c r="R430" s="4" t="s">
        <v>1280</v>
      </c>
      <c r="S430" s="4" t="s">
        <v>1280</v>
      </c>
      <c r="T430" s="4">
        <v>3200</v>
      </c>
      <c r="U430" s="4">
        <f t="shared" si="134"/>
        <v>3200</v>
      </c>
      <c r="V430" s="4">
        <v>1920</v>
      </c>
      <c r="W430" s="4">
        <f t="shared" si="135"/>
        <v>1920</v>
      </c>
      <c r="X430" s="4"/>
      <c r="Y430" s="21">
        <f t="shared" si="136"/>
        <v>3065</v>
      </c>
      <c r="Z430" s="6">
        <f t="shared" si="137"/>
        <v>0.37357259380097885</v>
      </c>
      <c r="AA430" s="4">
        <v>1</v>
      </c>
      <c r="AB430" s="4" t="str">
        <f t="shared" si="138"/>
        <v>-</v>
      </c>
      <c r="AC430" s="4" t="str">
        <f t="shared" si="149"/>
        <v>-</v>
      </c>
      <c r="AD430" s="6" t="str">
        <f t="shared" si="150"/>
        <v>-</v>
      </c>
      <c r="AE430" s="4">
        <f t="shared" si="151"/>
        <v>3040</v>
      </c>
      <c r="AF430" s="7">
        <v>2460</v>
      </c>
      <c r="AG430" s="6">
        <f t="shared" si="139"/>
        <v>0.21951219512195119</v>
      </c>
      <c r="AH430" s="4">
        <f t="shared" si="140"/>
        <v>540</v>
      </c>
      <c r="AI430" s="28"/>
      <c r="AJ430" s="6"/>
      <c r="AK430" s="6"/>
      <c r="AL430" s="6">
        <f t="shared" si="141"/>
        <v>1.103448275862069</v>
      </c>
      <c r="AM430" s="6">
        <f t="shared" si="142"/>
        <v>0.8855291576673866</v>
      </c>
      <c r="AN430" s="6">
        <f t="shared" si="143"/>
        <v>1.103448275862069</v>
      </c>
      <c r="AO430" s="4" t="str">
        <f t="shared" si="144"/>
        <v>-</v>
      </c>
      <c r="AP430" s="4" t="str">
        <f t="shared" si="145"/>
        <v>-</v>
      </c>
      <c r="AQ430" s="4" t="str">
        <f t="shared" si="146"/>
        <v>-</v>
      </c>
      <c r="AR430" s="4">
        <v>0</v>
      </c>
      <c r="AS430" s="4" t="s">
        <v>1280</v>
      </c>
      <c r="AT430" s="4"/>
      <c r="AU430" s="4"/>
      <c r="AV430" s="4" t="s">
        <v>1280</v>
      </c>
      <c r="AW430" s="4" t="s">
        <v>1280</v>
      </c>
      <c r="AX430" s="4" t="s">
        <v>1280</v>
      </c>
      <c r="AY430" s="4" t="s">
        <v>1280</v>
      </c>
      <c r="AZ430" s="4" t="str">
        <f t="shared" si="147"/>
        <v>-</v>
      </c>
      <c r="BA430" s="19">
        <v>4</v>
      </c>
      <c r="BB430" s="19">
        <v>1</v>
      </c>
      <c r="BC430" s="16">
        <v>18</v>
      </c>
      <c r="BD430" t="s">
        <v>1280</v>
      </c>
      <c r="BE430" t="s">
        <v>1280</v>
      </c>
      <c r="BF430" t="s">
        <v>1280</v>
      </c>
      <c r="BG430" t="str">
        <f t="shared" si="152"/>
        <v>-</v>
      </c>
      <c r="BH430">
        <v>2230</v>
      </c>
      <c r="BI430">
        <v>2230</v>
      </c>
      <c r="BJ430">
        <v>2230</v>
      </c>
      <c r="BK430">
        <f t="shared" si="153"/>
        <v>2460.6896551724139</v>
      </c>
      <c r="BL430" t="s">
        <v>1280</v>
      </c>
      <c r="BM430">
        <v>812</v>
      </c>
    </row>
    <row r="431" spans="1:65" x14ac:dyDescent="0.4">
      <c r="A431" s="3">
        <v>428</v>
      </c>
      <c r="B431" s="3">
        <v>428</v>
      </c>
      <c r="C431" s="4" t="s">
        <v>417</v>
      </c>
      <c r="D431" s="4" t="str">
        <f t="shared" si="132"/>
        <v>J54468</v>
      </c>
      <c r="E431" s="4" t="s">
        <v>417</v>
      </c>
      <c r="F431" s="4" t="str">
        <f t="shared" si="148"/>
        <v>J544685</v>
      </c>
      <c r="G431" s="4" t="s">
        <v>1061</v>
      </c>
      <c r="H431" s="5">
        <v>4974268830388</v>
      </c>
      <c r="I431" s="5">
        <v>5</v>
      </c>
      <c r="J431" s="5"/>
      <c r="K431" s="5">
        <v>1</v>
      </c>
      <c r="L431" s="5">
        <v>1</v>
      </c>
      <c r="M431" s="4">
        <v>2900</v>
      </c>
      <c r="N431" s="4">
        <v>2369</v>
      </c>
      <c r="O431" s="4">
        <v>1740</v>
      </c>
      <c r="P431" s="6">
        <f t="shared" si="133"/>
        <v>0.26551287463064588</v>
      </c>
      <c r="Q431" s="4" t="s">
        <v>1280</v>
      </c>
      <c r="R431" s="4" t="s">
        <v>1280</v>
      </c>
      <c r="S431" s="4" t="s">
        <v>1280</v>
      </c>
      <c r="T431" s="4">
        <v>3200</v>
      </c>
      <c r="U431" s="4">
        <f t="shared" si="134"/>
        <v>3200</v>
      </c>
      <c r="V431" s="4">
        <v>1920</v>
      </c>
      <c r="W431" s="4">
        <f t="shared" si="135"/>
        <v>1920</v>
      </c>
      <c r="X431" s="4"/>
      <c r="Y431" s="21">
        <f t="shared" si="136"/>
        <v>2614</v>
      </c>
      <c r="Z431" s="6">
        <f t="shared" si="137"/>
        <v>0.26549349655700072</v>
      </c>
      <c r="AA431" s="4">
        <v>0</v>
      </c>
      <c r="AB431" s="4">
        <f t="shared" si="138"/>
        <v>2726</v>
      </c>
      <c r="AC431" s="4">
        <f t="shared" si="149"/>
        <v>3008</v>
      </c>
      <c r="AD431" s="6">
        <f t="shared" si="150"/>
        <v>0.36170212765957444</v>
      </c>
      <c r="AE431" s="4">
        <f t="shared" si="151"/>
        <v>3040</v>
      </c>
      <c r="AF431" s="7">
        <v>2906</v>
      </c>
      <c r="AG431" s="6">
        <f t="shared" si="139"/>
        <v>0.33929800412938749</v>
      </c>
      <c r="AH431" s="4">
        <f t="shared" si="140"/>
        <v>986</v>
      </c>
      <c r="AI431" s="28"/>
      <c r="AJ431" s="6"/>
      <c r="AK431" s="6"/>
      <c r="AL431" s="6">
        <f t="shared" si="141"/>
        <v>1.103448275862069</v>
      </c>
      <c r="AM431" s="6">
        <f t="shared" si="142"/>
        <v>1.2266779231743352</v>
      </c>
      <c r="AN431" s="6">
        <f t="shared" si="143"/>
        <v>1.103448275862069</v>
      </c>
      <c r="AO431" s="4" t="str">
        <f t="shared" si="144"/>
        <v>-</v>
      </c>
      <c r="AP431" s="4" t="str">
        <f t="shared" si="145"/>
        <v>-</v>
      </c>
      <c r="AQ431" s="4" t="str">
        <f t="shared" si="146"/>
        <v>-</v>
      </c>
      <c r="AR431" s="4">
        <v>0</v>
      </c>
      <c r="AS431" s="4" t="s">
        <v>1988</v>
      </c>
      <c r="AT431" s="4"/>
      <c r="AU431" s="4"/>
      <c r="AV431" s="4" t="s">
        <v>1697</v>
      </c>
      <c r="AW431" s="4">
        <v>2726</v>
      </c>
      <c r="AX431" s="4">
        <v>2726</v>
      </c>
      <c r="AY431" s="4">
        <v>2726</v>
      </c>
      <c r="AZ431" s="4">
        <f t="shared" si="147"/>
        <v>2726</v>
      </c>
      <c r="BA431" s="19">
        <v>4</v>
      </c>
      <c r="BB431" s="19">
        <v>8</v>
      </c>
      <c r="BC431" s="16">
        <v>18</v>
      </c>
      <c r="BD431">
        <v>2900</v>
      </c>
      <c r="BE431">
        <v>2900</v>
      </c>
      <c r="BF431">
        <v>2900</v>
      </c>
      <c r="BG431">
        <f t="shared" si="152"/>
        <v>3200</v>
      </c>
      <c r="BH431">
        <v>2634</v>
      </c>
      <c r="BI431">
        <v>2634</v>
      </c>
      <c r="BJ431">
        <v>2634</v>
      </c>
      <c r="BK431">
        <f t="shared" si="153"/>
        <v>2906.4827586206898</v>
      </c>
      <c r="BL431" t="s">
        <v>1509</v>
      </c>
      <c r="BM431">
        <v>812</v>
      </c>
    </row>
    <row r="432" spans="1:65" x14ac:dyDescent="0.4">
      <c r="A432" s="3">
        <v>429</v>
      </c>
      <c r="B432" s="3">
        <v>429</v>
      </c>
      <c r="C432" s="4" t="s">
        <v>418</v>
      </c>
      <c r="D432" s="4" t="str">
        <f t="shared" si="132"/>
        <v>J54469</v>
      </c>
      <c r="E432" s="4" t="s">
        <v>418</v>
      </c>
      <c r="F432" s="4" t="str">
        <f t="shared" si="148"/>
        <v>J544695</v>
      </c>
      <c r="G432" s="4" t="s">
        <v>1062</v>
      </c>
      <c r="H432" s="5">
        <v>4974268830395</v>
      </c>
      <c r="I432" s="5">
        <v>5</v>
      </c>
      <c r="J432" s="5"/>
      <c r="K432" s="5">
        <v>1</v>
      </c>
      <c r="L432" s="5">
        <v>1</v>
      </c>
      <c r="M432" s="4">
        <v>2900</v>
      </c>
      <c r="N432" s="4">
        <v>2591</v>
      </c>
      <c r="O432" s="4">
        <v>1740</v>
      </c>
      <c r="P432" s="6">
        <f t="shared" si="133"/>
        <v>0.3284446159783867</v>
      </c>
      <c r="Q432" s="4" t="s">
        <v>1280</v>
      </c>
      <c r="R432" s="4" t="s">
        <v>1280</v>
      </c>
      <c r="S432" s="4" t="s">
        <v>1280</v>
      </c>
      <c r="T432" s="4">
        <v>3200</v>
      </c>
      <c r="U432" s="4">
        <f t="shared" si="134"/>
        <v>3200</v>
      </c>
      <c r="V432" s="4">
        <v>1920</v>
      </c>
      <c r="W432" s="4">
        <f t="shared" si="135"/>
        <v>1920</v>
      </c>
      <c r="X432" s="4"/>
      <c r="Y432" s="21">
        <f t="shared" si="136"/>
        <v>2859</v>
      </c>
      <c r="Z432" s="6">
        <f t="shared" si="137"/>
        <v>0.32843651626442816</v>
      </c>
      <c r="AA432" s="4">
        <v>1.25</v>
      </c>
      <c r="AB432" s="4">
        <f t="shared" si="138"/>
        <v>2726</v>
      </c>
      <c r="AC432" s="4">
        <f t="shared" si="149"/>
        <v>3008</v>
      </c>
      <c r="AD432" s="6">
        <f t="shared" si="150"/>
        <v>0.36170212765957444</v>
      </c>
      <c r="AE432" s="4">
        <f t="shared" si="151"/>
        <v>3040</v>
      </c>
      <c r="AF432" s="7">
        <v>2906</v>
      </c>
      <c r="AG432" s="6">
        <f t="shared" si="139"/>
        <v>0.33929800412938749</v>
      </c>
      <c r="AH432" s="4">
        <f t="shared" si="140"/>
        <v>986</v>
      </c>
      <c r="AI432" s="28"/>
      <c r="AJ432" s="6"/>
      <c r="AK432" s="6"/>
      <c r="AL432" s="6">
        <f t="shared" si="141"/>
        <v>1.103448275862069</v>
      </c>
      <c r="AM432" s="6">
        <f t="shared" si="142"/>
        <v>1.1215746815901197</v>
      </c>
      <c r="AN432" s="6">
        <f t="shared" si="143"/>
        <v>1.103448275862069</v>
      </c>
      <c r="AO432" s="4" t="str">
        <f t="shared" si="144"/>
        <v>-</v>
      </c>
      <c r="AP432" s="4" t="str">
        <f t="shared" si="145"/>
        <v>-</v>
      </c>
      <c r="AQ432" s="4" t="str">
        <f t="shared" si="146"/>
        <v>-</v>
      </c>
      <c r="AR432" s="4">
        <v>0</v>
      </c>
      <c r="AS432" s="4" t="s">
        <v>1989</v>
      </c>
      <c r="AT432" s="4"/>
      <c r="AU432" s="4"/>
      <c r="AV432" s="4" t="s">
        <v>1697</v>
      </c>
      <c r="AW432" s="4">
        <v>2726</v>
      </c>
      <c r="AX432" s="4">
        <v>2726</v>
      </c>
      <c r="AY432" s="4">
        <v>2726</v>
      </c>
      <c r="AZ432" s="4">
        <f t="shared" si="147"/>
        <v>2726</v>
      </c>
      <c r="BA432" s="19">
        <v>4</v>
      </c>
      <c r="BB432" s="19">
        <v>8</v>
      </c>
      <c r="BC432" s="16">
        <v>18</v>
      </c>
      <c r="BD432" t="s">
        <v>1280</v>
      </c>
      <c r="BE432" t="s">
        <v>1280</v>
      </c>
      <c r="BF432" t="s">
        <v>1280</v>
      </c>
      <c r="BG432" t="str">
        <f t="shared" si="152"/>
        <v>-</v>
      </c>
      <c r="BH432">
        <v>2634</v>
      </c>
      <c r="BI432">
        <v>2634</v>
      </c>
      <c r="BJ432">
        <v>2634</v>
      </c>
      <c r="BK432">
        <f t="shared" si="153"/>
        <v>2906.4827586206898</v>
      </c>
      <c r="BL432" t="s">
        <v>1510</v>
      </c>
      <c r="BM432">
        <v>812</v>
      </c>
    </row>
    <row r="433" spans="1:65" x14ac:dyDescent="0.4">
      <c r="A433" s="3">
        <v>510</v>
      </c>
      <c r="B433" s="3">
        <v>510</v>
      </c>
      <c r="C433" s="4" t="s">
        <v>499</v>
      </c>
      <c r="D433" s="4" t="str">
        <f t="shared" si="132"/>
        <v>J772RZ</v>
      </c>
      <c r="E433" s="4" t="s">
        <v>499</v>
      </c>
      <c r="F433" s="4" t="str">
        <f t="shared" si="148"/>
        <v>J772RZ5</v>
      </c>
      <c r="G433" s="4" t="s">
        <v>1143</v>
      </c>
      <c r="H433" s="5">
        <v>4974268698230</v>
      </c>
      <c r="I433" s="5">
        <v>5</v>
      </c>
      <c r="J433" s="5"/>
      <c r="K433" s="5">
        <v>1</v>
      </c>
      <c r="L433" s="5">
        <v>1</v>
      </c>
      <c r="M433" s="4">
        <v>2600</v>
      </c>
      <c r="N433" s="4">
        <v>2678</v>
      </c>
      <c r="O433" s="4">
        <v>1820</v>
      </c>
      <c r="P433" s="6">
        <f t="shared" si="133"/>
        <v>0.32038834951456308</v>
      </c>
      <c r="Q433" s="4" t="s">
        <v>1280</v>
      </c>
      <c r="R433" s="4" t="s">
        <v>1280</v>
      </c>
      <c r="S433" s="4" t="s">
        <v>1280</v>
      </c>
      <c r="T433" s="4">
        <v>2800</v>
      </c>
      <c r="U433" s="4">
        <f t="shared" si="134"/>
        <v>2800</v>
      </c>
      <c r="V433" s="4">
        <v>1960</v>
      </c>
      <c r="W433" s="4">
        <f t="shared" si="135"/>
        <v>1960</v>
      </c>
      <c r="X433" s="4"/>
      <c r="Y433" s="21">
        <f t="shared" si="136"/>
        <v>2884</v>
      </c>
      <c r="Z433" s="6">
        <f t="shared" si="137"/>
        <v>0.32038834951456308</v>
      </c>
      <c r="AA433" s="4">
        <v>0.5</v>
      </c>
      <c r="AB433" s="4" t="str">
        <f t="shared" si="138"/>
        <v>-</v>
      </c>
      <c r="AC433" s="4" t="str">
        <f t="shared" si="149"/>
        <v>-</v>
      </c>
      <c r="AD433" s="6" t="str">
        <f t="shared" si="150"/>
        <v>-</v>
      </c>
      <c r="AE433" s="4">
        <f t="shared" si="151"/>
        <v>2660</v>
      </c>
      <c r="AF433" s="7">
        <v>2800</v>
      </c>
      <c r="AG433" s="6">
        <f t="shared" si="139"/>
        <v>0.30000000000000004</v>
      </c>
      <c r="AH433" s="4">
        <f t="shared" si="140"/>
        <v>840</v>
      </c>
      <c r="AI433" s="28"/>
      <c r="AJ433" s="6"/>
      <c r="AK433" s="6"/>
      <c r="AL433" s="6">
        <f t="shared" si="141"/>
        <v>1.0769230769230769</v>
      </c>
      <c r="AM433" s="6">
        <f t="shared" si="142"/>
        <v>1.0455563853622105</v>
      </c>
      <c r="AN433" s="6">
        <f t="shared" si="143"/>
        <v>1.0769230769230769</v>
      </c>
      <c r="AO433" s="4" t="str">
        <f t="shared" si="144"/>
        <v>-</v>
      </c>
      <c r="AP433" s="4" t="str">
        <f t="shared" si="145"/>
        <v>-</v>
      </c>
      <c r="AQ433" s="4" t="str">
        <f t="shared" si="146"/>
        <v>-</v>
      </c>
      <c r="AR433" s="4">
        <v>0</v>
      </c>
      <c r="AS433" s="4" t="s">
        <v>1280</v>
      </c>
      <c r="AT433" s="4"/>
      <c r="AU433" s="4"/>
      <c r="AV433" s="4" t="s">
        <v>1280</v>
      </c>
      <c r="AW433" s="4" t="s">
        <v>1280</v>
      </c>
      <c r="AX433" s="4" t="s">
        <v>1280</v>
      </c>
      <c r="AY433" s="4" t="s">
        <v>1280</v>
      </c>
      <c r="AZ433" s="4" t="str">
        <f t="shared" si="147"/>
        <v>-</v>
      </c>
      <c r="BA433" s="19">
        <v>4</v>
      </c>
      <c r="BB433" s="19">
        <v>8</v>
      </c>
      <c r="BC433" s="16">
        <v>19</v>
      </c>
      <c r="BD433" t="s">
        <v>1280</v>
      </c>
      <c r="BE433" t="s">
        <v>1280</v>
      </c>
      <c r="BF433" t="s">
        <v>1280</v>
      </c>
      <c r="BG433" t="str">
        <f t="shared" si="152"/>
        <v>-</v>
      </c>
      <c r="BH433">
        <v>2837</v>
      </c>
      <c r="BI433">
        <v>2837</v>
      </c>
      <c r="BJ433">
        <v>2837</v>
      </c>
      <c r="BK433">
        <f t="shared" si="153"/>
        <v>3055.2307692307691</v>
      </c>
      <c r="BL433" t="s">
        <v>1280</v>
      </c>
      <c r="BM433">
        <v>812</v>
      </c>
    </row>
    <row r="434" spans="1:65" x14ac:dyDescent="0.4">
      <c r="A434" s="3">
        <v>511</v>
      </c>
      <c r="B434" s="3">
        <v>511</v>
      </c>
      <c r="C434" s="4" t="s">
        <v>500</v>
      </c>
      <c r="D434" s="4" t="str">
        <f t="shared" si="132"/>
        <v>J773RZ</v>
      </c>
      <c r="E434" s="4" t="s">
        <v>500</v>
      </c>
      <c r="F434" s="4" t="str">
        <f t="shared" si="148"/>
        <v>J773RZ5</v>
      </c>
      <c r="G434" s="4" t="s">
        <v>1144</v>
      </c>
      <c r="H434" s="5">
        <v>4974268698247</v>
      </c>
      <c r="I434" s="5">
        <v>5</v>
      </c>
      <c r="J434" s="5"/>
      <c r="K434" s="5">
        <v>1</v>
      </c>
      <c r="L434" s="5">
        <v>1</v>
      </c>
      <c r="M434" s="4">
        <v>2600</v>
      </c>
      <c r="N434" s="4">
        <v>2652</v>
      </c>
      <c r="O434" s="4">
        <v>1820</v>
      </c>
      <c r="P434" s="6">
        <f t="shared" si="133"/>
        <v>0.31372549019607843</v>
      </c>
      <c r="Q434" s="4" t="s">
        <v>1280</v>
      </c>
      <c r="R434" s="4" t="s">
        <v>1280</v>
      </c>
      <c r="S434" s="4" t="s">
        <v>1280</v>
      </c>
      <c r="T434" s="4">
        <v>2800</v>
      </c>
      <c r="U434" s="4">
        <f t="shared" si="134"/>
        <v>2800</v>
      </c>
      <c r="V434" s="4">
        <v>1960</v>
      </c>
      <c r="W434" s="4">
        <f t="shared" si="135"/>
        <v>1960</v>
      </c>
      <c r="X434" s="4"/>
      <c r="Y434" s="21">
        <f t="shared" si="136"/>
        <v>2856</v>
      </c>
      <c r="Z434" s="6">
        <f t="shared" si="137"/>
        <v>0.31372549019607843</v>
      </c>
      <c r="AA434" s="4">
        <v>0.5</v>
      </c>
      <c r="AB434" s="4" t="str">
        <f t="shared" si="138"/>
        <v>-</v>
      </c>
      <c r="AC434" s="4" t="str">
        <f t="shared" si="149"/>
        <v>-</v>
      </c>
      <c r="AD434" s="6" t="str">
        <f t="shared" si="150"/>
        <v>-</v>
      </c>
      <c r="AE434" s="4">
        <f t="shared" si="151"/>
        <v>2660</v>
      </c>
      <c r="AF434" s="7">
        <v>2800</v>
      </c>
      <c r="AG434" s="6">
        <f t="shared" si="139"/>
        <v>0.30000000000000004</v>
      </c>
      <c r="AH434" s="4">
        <f t="shared" si="140"/>
        <v>840</v>
      </c>
      <c r="AI434" s="28"/>
      <c r="AJ434" s="6"/>
      <c r="AK434" s="6"/>
      <c r="AL434" s="6">
        <f t="shared" si="141"/>
        <v>1.0769230769230769</v>
      </c>
      <c r="AM434" s="6">
        <f t="shared" si="142"/>
        <v>1.0558069381598794</v>
      </c>
      <c r="AN434" s="6">
        <f t="shared" si="143"/>
        <v>1.0769230769230769</v>
      </c>
      <c r="AO434" s="4" t="str">
        <f t="shared" si="144"/>
        <v>-</v>
      </c>
      <c r="AP434" s="4" t="str">
        <f t="shared" si="145"/>
        <v>-</v>
      </c>
      <c r="AQ434" s="4" t="str">
        <f t="shared" si="146"/>
        <v>-</v>
      </c>
      <c r="AR434" s="4">
        <v>0</v>
      </c>
      <c r="AS434" s="4" t="s">
        <v>1280</v>
      </c>
      <c r="AT434" s="4"/>
      <c r="AU434" s="4"/>
      <c r="AV434" s="4" t="s">
        <v>1280</v>
      </c>
      <c r="AW434" s="4" t="s">
        <v>1280</v>
      </c>
      <c r="AX434" s="4" t="s">
        <v>1280</v>
      </c>
      <c r="AY434" s="4" t="s">
        <v>1280</v>
      </c>
      <c r="AZ434" s="4" t="str">
        <f t="shared" si="147"/>
        <v>-</v>
      </c>
      <c r="BA434" s="19">
        <v>4</v>
      </c>
      <c r="BB434" s="19">
        <v>1</v>
      </c>
      <c r="BC434" s="16">
        <v>19</v>
      </c>
      <c r="BD434" t="s">
        <v>1280</v>
      </c>
      <c r="BE434" t="s">
        <v>1280</v>
      </c>
      <c r="BF434" t="s">
        <v>1280</v>
      </c>
      <c r="BG434" t="str">
        <f t="shared" si="152"/>
        <v>-</v>
      </c>
      <c r="BH434">
        <v>2837</v>
      </c>
      <c r="BI434">
        <v>2837</v>
      </c>
      <c r="BJ434">
        <v>2837</v>
      </c>
      <c r="BK434">
        <f t="shared" si="153"/>
        <v>3055.2307692307691</v>
      </c>
      <c r="BL434" t="s">
        <v>1280</v>
      </c>
      <c r="BM434">
        <v>812</v>
      </c>
    </row>
    <row r="435" spans="1:65" x14ac:dyDescent="0.4">
      <c r="A435" s="3">
        <v>512</v>
      </c>
      <c r="B435" s="3">
        <v>512</v>
      </c>
      <c r="C435" s="4" t="s">
        <v>501</v>
      </c>
      <c r="D435" s="4" t="str">
        <f t="shared" si="132"/>
        <v>J774RZ</v>
      </c>
      <c r="E435" s="4" t="s">
        <v>501</v>
      </c>
      <c r="F435" s="4" t="str">
        <f t="shared" si="148"/>
        <v>J774RZ5</v>
      </c>
      <c r="G435" s="4" t="s">
        <v>1145</v>
      </c>
      <c r="H435" s="5">
        <v>4974268698254</v>
      </c>
      <c r="I435" s="5">
        <v>5</v>
      </c>
      <c r="J435" s="5"/>
      <c r="K435" s="5">
        <v>1</v>
      </c>
      <c r="L435" s="5">
        <v>1</v>
      </c>
      <c r="M435" s="4">
        <v>2600</v>
      </c>
      <c r="N435" s="4">
        <v>2678</v>
      </c>
      <c r="O435" s="4">
        <v>1820</v>
      </c>
      <c r="P435" s="6">
        <f t="shared" si="133"/>
        <v>0.32038834951456308</v>
      </c>
      <c r="Q435" s="4" t="s">
        <v>1280</v>
      </c>
      <c r="R435" s="4" t="s">
        <v>1280</v>
      </c>
      <c r="S435" s="4" t="s">
        <v>1280</v>
      </c>
      <c r="T435" s="4">
        <v>2800</v>
      </c>
      <c r="U435" s="4">
        <f t="shared" si="134"/>
        <v>2800</v>
      </c>
      <c r="V435" s="4">
        <v>1960</v>
      </c>
      <c r="W435" s="4">
        <f t="shared" si="135"/>
        <v>1960</v>
      </c>
      <c r="X435" s="4"/>
      <c r="Y435" s="21">
        <f t="shared" si="136"/>
        <v>2884</v>
      </c>
      <c r="Z435" s="6">
        <f t="shared" si="137"/>
        <v>0.32038834951456308</v>
      </c>
      <c r="AA435" s="4">
        <v>0.5</v>
      </c>
      <c r="AB435" s="4" t="str">
        <f t="shared" si="138"/>
        <v>-</v>
      </c>
      <c r="AC435" s="4" t="str">
        <f t="shared" si="149"/>
        <v>-</v>
      </c>
      <c r="AD435" s="6" t="str">
        <f t="shared" si="150"/>
        <v>-</v>
      </c>
      <c r="AE435" s="4">
        <f t="shared" si="151"/>
        <v>2660</v>
      </c>
      <c r="AF435" s="7">
        <v>2800</v>
      </c>
      <c r="AG435" s="6">
        <f t="shared" si="139"/>
        <v>0.30000000000000004</v>
      </c>
      <c r="AH435" s="4">
        <f t="shared" si="140"/>
        <v>840</v>
      </c>
      <c r="AI435" s="28"/>
      <c r="AJ435" s="6"/>
      <c r="AK435" s="6"/>
      <c r="AL435" s="6">
        <f t="shared" si="141"/>
        <v>1.0769230769230769</v>
      </c>
      <c r="AM435" s="6">
        <f t="shared" si="142"/>
        <v>1.0455563853622105</v>
      </c>
      <c r="AN435" s="6">
        <f t="shared" si="143"/>
        <v>1.0769230769230769</v>
      </c>
      <c r="AO435" s="4" t="str">
        <f t="shared" si="144"/>
        <v>-</v>
      </c>
      <c r="AP435" s="4" t="str">
        <f t="shared" si="145"/>
        <v>-</v>
      </c>
      <c r="AQ435" s="4" t="str">
        <f t="shared" si="146"/>
        <v>-</v>
      </c>
      <c r="AR435" s="4">
        <v>0</v>
      </c>
      <c r="AS435" s="4" t="s">
        <v>1280</v>
      </c>
      <c r="AT435" s="4"/>
      <c r="AU435" s="4"/>
      <c r="AV435" s="4" t="s">
        <v>1280</v>
      </c>
      <c r="AW435" s="4" t="s">
        <v>1280</v>
      </c>
      <c r="AX435" s="4" t="s">
        <v>1280</v>
      </c>
      <c r="AY435" s="4" t="s">
        <v>1280</v>
      </c>
      <c r="AZ435" s="4" t="str">
        <f t="shared" si="147"/>
        <v>-</v>
      </c>
      <c r="BA435" s="19">
        <v>4</v>
      </c>
      <c r="BB435" s="19">
        <v>8</v>
      </c>
      <c r="BC435" s="16">
        <v>19</v>
      </c>
      <c r="BD435" t="s">
        <v>1280</v>
      </c>
      <c r="BE435" t="s">
        <v>1280</v>
      </c>
      <c r="BF435" t="s">
        <v>1280</v>
      </c>
      <c r="BG435" t="str">
        <f t="shared" si="152"/>
        <v>-</v>
      </c>
      <c r="BH435">
        <v>2837</v>
      </c>
      <c r="BI435">
        <v>2837</v>
      </c>
      <c r="BJ435">
        <v>2837</v>
      </c>
      <c r="BK435">
        <f t="shared" si="153"/>
        <v>3055.2307692307691</v>
      </c>
      <c r="BL435" t="s">
        <v>1280</v>
      </c>
      <c r="BM435">
        <v>812</v>
      </c>
    </row>
    <row r="436" spans="1:65" x14ac:dyDescent="0.4">
      <c r="A436" s="3">
        <v>11</v>
      </c>
      <c r="B436" s="3">
        <v>11</v>
      </c>
      <c r="C436" s="4">
        <v>172120</v>
      </c>
      <c r="D436" s="4" t="str">
        <f t="shared" si="132"/>
        <v>172120</v>
      </c>
      <c r="E436" s="4">
        <v>172120</v>
      </c>
      <c r="F436" s="4" t="str">
        <f t="shared" si="148"/>
        <v>1721205</v>
      </c>
      <c r="G436" s="4" t="s">
        <v>646</v>
      </c>
      <c r="H436" s="5">
        <v>4974268837745</v>
      </c>
      <c r="I436" s="5">
        <v>5</v>
      </c>
      <c r="J436" s="5"/>
      <c r="K436" s="5">
        <v>1</v>
      </c>
      <c r="L436" s="5">
        <v>1</v>
      </c>
      <c r="M436" s="4">
        <v>3000</v>
      </c>
      <c r="N436" s="4">
        <v>2407</v>
      </c>
      <c r="O436" s="4">
        <v>1800</v>
      </c>
      <c r="P436" s="6">
        <f t="shared" si="133"/>
        <v>0.25218113834648936</v>
      </c>
      <c r="Q436" s="4" t="s">
        <v>1280</v>
      </c>
      <c r="R436" s="4" t="s">
        <v>1280</v>
      </c>
      <c r="S436" s="4" t="s">
        <v>1280</v>
      </c>
      <c r="T436" s="4">
        <v>3300</v>
      </c>
      <c r="U436" s="4">
        <f t="shared" si="134"/>
        <v>3300</v>
      </c>
      <c r="V436" s="4">
        <v>1980</v>
      </c>
      <c r="W436" s="4">
        <f t="shared" si="135"/>
        <v>1980</v>
      </c>
      <c r="X436" s="4"/>
      <c r="Y436" s="21">
        <f t="shared" si="136"/>
        <v>2648</v>
      </c>
      <c r="Z436" s="6">
        <f t="shared" si="137"/>
        <v>0.25226586102719029</v>
      </c>
      <c r="AA436" s="4">
        <v>0.75</v>
      </c>
      <c r="AB436" s="4">
        <f t="shared" si="138"/>
        <v>2360</v>
      </c>
      <c r="AC436" s="4">
        <f t="shared" si="149"/>
        <v>2596</v>
      </c>
      <c r="AD436" s="6">
        <f t="shared" si="150"/>
        <v>0.23728813559322037</v>
      </c>
      <c r="AE436" s="4">
        <f t="shared" si="151"/>
        <v>3135</v>
      </c>
      <c r="AF436" s="7">
        <v>2895</v>
      </c>
      <c r="AG436" s="6">
        <f t="shared" si="139"/>
        <v>0.31606217616580312</v>
      </c>
      <c r="AH436" s="4">
        <f t="shared" si="140"/>
        <v>915</v>
      </c>
      <c r="AI436" s="28"/>
      <c r="AJ436" s="6"/>
      <c r="AK436" s="6"/>
      <c r="AL436" s="6">
        <f t="shared" si="141"/>
        <v>1.1000000000000001</v>
      </c>
      <c r="AM436" s="6">
        <f t="shared" si="142"/>
        <v>1.2027420024927296</v>
      </c>
      <c r="AN436" s="6">
        <f t="shared" si="143"/>
        <v>1.1000000000000001</v>
      </c>
      <c r="AO436" s="4" t="str">
        <f t="shared" si="144"/>
        <v>-</v>
      </c>
      <c r="AP436" s="4" t="str">
        <f t="shared" si="145"/>
        <v>-</v>
      </c>
      <c r="AQ436" s="4" t="str">
        <f t="shared" si="146"/>
        <v>-</v>
      </c>
      <c r="AR436" s="4" t="s">
        <v>1281</v>
      </c>
      <c r="AS436" s="4" t="s">
        <v>1698</v>
      </c>
      <c r="AT436" s="4"/>
      <c r="AU436" s="4"/>
      <c r="AV436" s="4" t="s">
        <v>1699</v>
      </c>
      <c r="AW436" s="4">
        <v>2360</v>
      </c>
      <c r="AX436" s="4">
        <v>2360</v>
      </c>
      <c r="AY436" s="4">
        <v>2360</v>
      </c>
      <c r="AZ436" s="4">
        <f t="shared" si="147"/>
        <v>2360</v>
      </c>
      <c r="BA436" s="19">
        <v>4</v>
      </c>
      <c r="BB436" s="19">
        <v>8</v>
      </c>
      <c r="BC436" s="16">
        <v>18</v>
      </c>
      <c r="BD436" t="s">
        <v>1280</v>
      </c>
      <c r="BE436" t="s">
        <v>1280</v>
      </c>
      <c r="BF436" t="s">
        <v>1280</v>
      </c>
      <c r="BG436" t="str">
        <f t="shared" si="152"/>
        <v>-</v>
      </c>
      <c r="BH436">
        <v>2666</v>
      </c>
      <c r="BI436">
        <v>2666</v>
      </c>
      <c r="BJ436">
        <v>2666</v>
      </c>
      <c r="BK436">
        <f t="shared" si="153"/>
        <v>2932.6000000000004</v>
      </c>
      <c r="BL436" t="s">
        <v>1296</v>
      </c>
      <c r="BM436">
        <v>812</v>
      </c>
    </row>
    <row r="437" spans="1:65" x14ac:dyDescent="0.4">
      <c r="A437" s="3">
        <v>12</v>
      </c>
      <c r="B437" s="3">
        <v>12</v>
      </c>
      <c r="C437" s="4">
        <v>172121</v>
      </c>
      <c r="D437" s="4" t="str">
        <f t="shared" si="132"/>
        <v>172121</v>
      </c>
      <c r="E437" s="4">
        <v>172121</v>
      </c>
      <c r="F437" s="4" t="str">
        <f t="shared" si="148"/>
        <v>1721215</v>
      </c>
      <c r="G437" s="4" t="s">
        <v>647</v>
      </c>
      <c r="H437" s="5">
        <v>4974268837752</v>
      </c>
      <c r="I437" s="5">
        <v>5</v>
      </c>
      <c r="J437" s="5"/>
      <c r="K437" s="5">
        <v>1</v>
      </c>
      <c r="L437" s="5">
        <v>1</v>
      </c>
      <c r="M437" s="4">
        <v>3000</v>
      </c>
      <c r="N437" s="4">
        <v>2407</v>
      </c>
      <c r="O437" s="4">
        <v>1800</v>
      </c>
      <c r="P437" s="6">
        <f t="shared" si="133"/>
        <v>0.25218113834648936</v>
      </c>
      <c r="Q437" s="4" t="s">
        <v>1280</v>
      </c>
      <c r="R437" s="4" t="s">
        <v>1280</v>
      </c>
      <c r="S437" s="4" t="s">
        <v>1280</v>
      </c>
      <c r="T437" s="4">
        <v>3300</v>
      </c>
      <c r="U437" s="4">
        <f t="shared" si="134"/>
        <v>3300</v>
      </c>
      <c r="V437" s="4">
        <v>1980</v>
      </c>
      <c r="W437" s="4">
        <f t="shared" si="135"/>
        <v>1980</v>
      </c>
      <c r="X437" s="4"/>
      <c r="Y437" s="21">
        <f t="shared" si="136"/>
        <v>2648</v>
      </c>
      <c r="Z437" s="6">
        <f t="shared" si="137"/>
        <v>0.25226586102719029</v>
      </c>
      <c r="AA437" s="4">
        <v>1</v>
      </c>
      <c r="AB437" s="4">
        <f t="shared" si="138"/>
        <v>2360</v>
      </c>
      <c r="AC437" s="4">
        <f t="shared" si="149"/>
        <v>2596</v>
      </c>
      <c r="AD437" s="6">
        <f t="shared" si="150"/>
        <v>0.23728813559322037</v>
      </c>
      <c r="AE437" s="4">
        <f t="shared" si="151"/>
        <v>3135</v>
      </c>
      <c r="AF437" s="7">
        <v>2895</v>
      </c>
      <c r="AG437" s="6">
        <f t="shared" si="139"/>
        <v>0.31606217616580312</v>
      </c>
      <c r="AH437" s="4">
        <f t="shared" si="140"/>
        <v>915</v>
      </c>
      <c r="AI437" s="28"/>
      <c r="AJ437" s="6"/>
      <c r="AK437" s="6"/>
      <c r="AL437" s="6">
        <f t="shared" si="141"/>
        <v>1.1000000000000001</v>
      </c>
      <c r="AM437" s="6">
        <f t="shared" si="142"/>
        <v>1.2027420024927296</v>
      </c>
      <c r="AN437" s="6">
        <f t="shared" si="143"/>
        <v>1.1000000000000001</v>
      </c>
      <c r="AO437" s="4" t="str">
        <f t="shared" si="144"/>
        <v>-</v>
      </c>
      <c r="AP437" s="4" t="str">
        <f t="shared" si="145"/>
        <v>-</v>
      </c>
      <c r="AQ437" s="4" t="str">
        <f t="shared" si="146"/>
        <v>-</v>
      </c>
      <c r="AR437" s="4" t="s">
        <v>1281</v>
      </c>
      <c r="AS437" s="4" t="s">
        <v>1700</v>
      </c>
      <c r="AT437" s="4"/>
      <c r="AU437" s="4"/>
      <c r="AV437" s="4" t="s">
        <v>1699</v>
      </c>
      <c r="AW437" s="4">
        <v>2360</v>
      </c>
      <c r="AX437" s="4">
        <v>2360</v>
      </c>
      <c r="AY437" s="4">
        <v>2360</v>
      </c>
      <c r="AZ437" s="4">
        <f t="shared" si="147"/>
        <v>2360</v>
      </c>
      <c r="BA437" s="19">
        <v>4</v>
      </c>
      <c r="BB437" s="19">
        <v>8</v>
      </c>
      <c r="BC437" s="16">
        <v>18</v>
      </c>
      <c r="BD437" t="s">
        <v>1280</v>
      </c>
      <c r="BE437">
        <v>2727</v>
      </c>
      <c r="BF437" t="s">
        <v>1280</v>
      </c>
      <c r="BG437" t="str">
        <f t="shared" si="152"/>
        <v>-</v>
      </c>
      <c r="BH437">
        <v>2666</v>
      </c>
      <c r="BI437">
        <v>2666</v>
      </c>
      <c r="BJ437">
        <v>2666</v>
      </c>
      <c r="BK437">
        <f t="shared" si="153"/>
        <v>2932.6000000000004</v>
      </c>
      <c r="BL437" t="s">
        <v>1297</v>
      </c>
      <c r="BM437">
        <v>812</v>
      </c>
    </row>
    <row r="438" spans="1:65" x14ac:dyDescent="0.4">
      <c r="A438" s="3">
        <v>13</v>
      </c>
      <c r="B438" s="3">
        <v>13</v>
      </c>
      <c r="C438" s="4">
        <v>172122</v>
      </c>
      <c r="D438" s="4" t="str">
        <f t="shared" si="132"/>
        <v>172122</v>
      </c>
      <c r="E438" s="4">
        <v>172122</v>
      </c>
      <c r="F438" s="4" t="str">
        <f t="shared" si="148"/>
        <v>1721225</v>
      </c>
      <c r="G438" s="4" t="s">
        <v>648</v>
      </c>
      <c r="H438" s="5">
        <v>4974268837790</v>
      </c>
      <c r="I438" s="5">
        <v>5</v>
      </c>
      <c r="J438" s="5"/>
      <c r="K438" s="5">
        <v>1</v>
      </c>
      <c r="L438" s="5">
        <v>1</v>
      </c>
      <c r="M438" s="4">
        <v>3000</v>
      </c>
      <c r="N438" s="4">
        <v>2407</v>
      </c>
      <c r="O438" s="4">
        <v>1800</v>
      </c>
      <c r="P438" s="6">
        <f t="shared" si="133"/>
        <v>0.25218113834648936</v>
      </c>
      <c r="Q438" s="4" t="s">
        <v>1280</v>
      </c>
      <c r="R438" s="4" t="s">
        <v>1280</v>
      </c>
      <c r="S438" s="4" t="s">
        <v>1280</v>
      </c>
      <c r="T438" s="4">
        <v>3300</v>
      </c>
      <c r="U438" s="4">
        <f t="shared" si="134"/>
        <v>3300</v>
      </c>
      <c r="V438" s="4">
        <v>1980</v>
      </c>
      <c r="W438" s="4">
        <f t="shared" si="135"/>
        <v>1980</v>
      </c>
      <c r="X438" s="4"/>
      <c r="Y438" s="21">
        <f t="shared" si="136"/>
        <v>2648</v>
      </c>
      <c r="Z438" s="6">
        <f t="shared" si="137"/>
        <v>0.25226586102719029</v>
      </c>
      <c r="AA438" s="4">
        <v>2.5</v>
      </c>
      <c r="AB438" s="4">
        <f t="shared" si="138"/>
        <v>2360</v>
      </c>
      <c r="AC438" s="4">
        <f t="shared" si="149"/>
        <v>2596</v>
      </c>
      <c r="AD438" s="6">
        <f t="shared" si="150"/>
        <v>0.23728813559322037</v>
      </c>
      <c r="AE438" s="4">
        <f t="shared" si="151"/>
        <v>3135</v>
      </c>
      <c r="AF438" s="7">
        <v>2895</v>
      </c>
      <c r="AG438" s="6">
        <f t="shared" si="139"/>
        <v>0.31606217616580312</v>
      </c>
      <c r="AH438" s="4">
        <f t="shared" si="140"/>
        <v>915</v>
      </c>
      <c r="AI438" s="28"/>
      <c r="AJ438" s="6"/>
      <c r="AK438" s="6"/>
      <c r="AL438" s="6">
        <f t="shared" si="141"/>
        <v>1.1000000000000001</v>
      </c>
      <c r="AM438" s="6">
        <f t="shared" si="142"/>
        <v>1.2027420024927296</v>
      </c>
      <c r="AN438" s="6">
        <f t="shared" si="143"/>
        <v>1.1000000000000001</v>
      </c>
      <c r="AO438" s="4" t="str">
        <f t="shared" si="144"/>
        <v>-</v>
      </c>
      <c r="AP438" s="4" t="str">
        <f t="shared" si="145"/>
        <v>-</v>
      </c>
      <c r="AQ438" s="4" t="str">
        <f t="shared" si="146"/>
        <v>-</v>
      </c>
      <c r="AR438" s="4" t="s">
        <v>1281</v>
      </c>
      <c r="AS438" s="4" t="s">
        <v>1701</v>
      </c>
      <c r="AT438" s="4"/>
      <c r="AU438" s="4"/>
      <c r="AV438" s="4" t="s">
        <v>1699</v>
      </c>
      <c r="AW438" s="4">
        <v>2360</v>
      </c>
      <c r="AX438" s="4">
        <v>2360</v>
      </c>
      <c r="AY438" s="4">
        <v>2360</v>
      </c>
      <c r="AZ438" s="4">
        <f t="shared" si="147"/>
        <v>2360</v>
      </c>
      <c r="BA438" s="19">
        <v>4</v>
      </c>
      <c r="BB438" s="19">
        <v>1</v>
      </c>
      <c r="BC438" s="16">
        <v>18</v>
      </c>
      <c r="BD438" t="s">
        <v>1280</v>
      </c>
      <c r="BE438" t="s">
        <v>1280</v>
      </c>
      <c r="BF438" t="s">
        <v>1280</v>
      </c>
      <c r="BG438" t="str">
        <f t="shared" si="152"/>
        <v>-</v>
      </c>
      <c r="BH438">
        <v>2666</v>
      </c>
      <c r="BI438">
        <v>2666</v>
      </c>
      <c r="BJ438">
        <v>2666</v>
      </c>
      <c r="BK438">
        <f t="shared" si="153"/>
        <v>2932.6000000000004</v>
      </c>
      <c r="BL438" t="s">
        <v>1298</v>
      </c>
      <c r="BM438">
        <v>812</v>
      </c>
    </row>
    <row r="439" spans="1:65" x14ac:dyDescent="0.4">
      <c r="A439" s="3">
        <v>388</v>
      </c>
      <c r="B439" s="3">
        <v>388</v>
      </c>
      <c r="C439" s="4" t="s">
        <v>377</v>
      </c>
      <c r="D439" s="4" t="str">
        <f t="shared" si="132"/>
        <v>J441MP</v>
      </c>
      <c r="E439" s="4" t="s">
        <v>377</v>
      </c>
      <c r="F439" s="4" t="str">
        <f t="shared" si="148"/>
        <v>J441MP5</v>
      </c>
      <c r="G439" s="4" t="s">
        <v>1021</v>
      </c>
      <c r="H439" s="5">
        <v>4974268837806</v>
      </c>
      <c r="I439" s="5">
        <v>5</v>
      </c>
      <c r="J439" s="5"/>
      <c r="K439" s="5">
        <v>1</v>
      </c>
      <c r="L439" s="5">
        <v>1</v>
      </c>
      <c r="M439" s="4">
        <v>3000</v>
      </c>
      <c r="N439" s="4">
        <v>2684</v>
      </c>
      <c r="O439" s="4">
        <v>1800</v>
      </c>
      <c r="P439" s="6">
        <f t="shared" si="133"/>
        <v>0.3293591654247392</v>
      </c>
      <c r="Q439" s="4" t="s">
        <v>1280</v>
      </c>
      <c r="R439" s="4" t="s">
        <v>1280</v>
      </c>
      <c r="S439" s="4" t="s">
        <v>1280</v>
      </c>
      <c r="T439" s="4">
        <v>3300</v>
      </c>
      <c r="U439" s="4">
        <f t="shared" si="134"/>
        <v>3300</v>
      </c>
      <c r="V439" s="4">
        <v>1980</v>
      </c>
      <c r="W439" s="4">
        <f t="shared" si="135"/>
        <v>1980</v>
      </c>
      <c r="X439" s="4"/>
      <c r="Y439" s="21">
        <f t="shared" si="136"/>
        <v>2952</v>
      </c>
      <c r="Z439" s="6">
        <f t="shared" si="137"/>
        <v>0.32926829268292679</v>
      </c>
      <c r="AA439" s="4">
        <v>1</v>
      </c>
      <c r="AB439" s="4">
        <f t="shared" si="138"/>
        <v>2632</v>
      </c>
      <c r="AC439" s="4">
        <f t="shared" si="149"/>
        <v>2895.2000000000003</v>
      </c>
      <c r="AD439" s="6">
        <f t="shared" si="150"/>
        <v>0.31610942249240126</v>
      </c>
      <c r="AE439" s="4">
        <f t="shared" si="151"/>
        <v>3135</v>
      </c>
      <c r="AF439" s="7">
        <v>2895</v>
      </c>
      <c r="AG439" s="6">
        <f t="shared" si="139"/>
        <v>0.31606217616580312</v>
      </c>
      <c r="AH439" s="4">
        <f t="shared" si="140"/>
        <v>915</v>
      </c>
      <c r="AI439" s="28"/>
      <c r="AJ439" s="6"/>
      <c r="AK439" s="6"/>
      <c r="AL439" s="6">
        <f t="shared" si="141"/>
        <v>1.1000000000000001</v>
      </c>
      <c r="AM439" s="6">
        <f t="shared" si="142"/>
        <v>1.0786140089418779</v>
      </c>
      <c r="AN439" s="6">
        <f t="shared" si="143"/>
        <v>1.1000000000000001</v>
      </c>
      <c r="AO439" s="4" t="str">
        <f t="shared" si="144"/>
        <v>-</v>
      </c>
      <c r="AP439" s="4" t="str">
        <f t="shared" si="145"/>
        <v>-</v>
      </c>
      <c r="AQ439" s="4" t="str">
        <f t="shared" si="146"/>
        <v>-</v>
      </c>
      <c r="AR439" s="4">
        <v>0</v>
      </c>
      <c r="AS439" s="4" t="s">
        <v>1944</v>
      </c>
      <c r="AT439" s="4"/>
      <c r="AU439" s="4"/>
      <c r="AV439" s="4" t="s">
        <v>1699</v>
      </c>
      <c r="AW439" s="4">
        <v>2632</v>
      </c>
      <c r="AX439" s="4">
        <v>2632</v>
      </c>
      <c r="AY439" s="4">
        <v>2632</v>
      </c>
      <c r="AZ439" s="4">
        <f t="shared" si="147"/>
        <v>2632</v>
      </c>
      <c r="BA439" s="19">
        <v>4</v>
      </c>
      <c r="BB439" s="19">
        <v>8</v>
      </c>
      <c r="BC439" s="16">
        <v>18</v>
      </c>
      <c r="BD439">
        <v>2727</v>
      </c>
      <c r="BE439">
        <v>2727</v>
      </c>
      <c r="BF439">
        <v>2727</v>
      </c>
      <c r="BG439">
        <f t="shared" si="152"/>
        <v>2999.7000000000003</v>
      </c>
      <c r="BH439" t="s">
        <v>1280</v>
      </c>
      <c r="BI439" t="s">
        <v>1280</v>
      </c>
      <c r="BJ439" t="s">
        <v>1280</v>
      </c>
      <c r="BK439" t="str">
        <f t="shared" si="153"/>
        <v>-</v>
      </c>
      <c r="BL439" t="s">
        <v>1473</v>
      </c>
      <c r="BM439">
        <v>812</v>
      </c>
    </row>
    <row r="440" spans="1:65" x14ac:dyDescent="0.4">
      <c r="A440" s="3">
        <v>522</v>
      </c>
      <c r="B440" s="3">
        <v>522</v>
      </c>
      <c r="C440" s="4" t="s">
        <v>511</v>
      </c>
      <c r="D440" s="4" t="str">
        <f t="shared" si="132"/>
        <v>J853MZ</v>
      </c>
      <c r="E440" s="4" t="s">
        <v>511</v>
      </c>
      <c r="F440" s="4" t="str">
        <f t="shared" si="148"/>
        <v>J853MZ5</v>
      </c>
      <c r="G440" s="4" t="s">
        <v>1155</v>
      </c>
      <c r="H440" s="5">
        <v>4974268837660</v>
      </c>
      <c r="I440" s="5">
        <v>5</v>
      </c>
      <c r="J440" s="5"/>
      <c r="K440" s="5">
        <v>1</v>
      </c>
      <c r="L440" s="5">
        <v>1</v>
      </c>
      <c r="M440" s="4">
        <v>3000</v>
      </c>
      <c r="N440" s="4">
        <v>2500</v>
      </c>
      <c r="O440" s="4">
        <v>1800</v>
      </c>
      <c r="P440" s="6">
        <f t="shared" si="133"/>
        <v>0.28000000000000003</v>
      </c>
      <c r="Q440" s="4" t="s">
        <v>1280</v>
      </c>
      <c r="R440" s="4" t="s">
        <v>1280</v>
      </c>
      <c r="S440" s="4" t="s">
        <v>1280</v>
      </c>
      <c r="T440" s="4">
        <v>3300</v>
      </c>
      <c r="U440" s="4">
        <f t="shared" si="134"/>
        <v>3300</v>
      </c>
      <c r="V440" s="4">
        <v>1980</v>
      </c>
      <c r="W440" s="4">
        <f t="shared" si="135"/>
        <v>1980</v>
      </c>
      <c r="X440" s="4"/>
      <c r="Y440" s="21">
        <f t="shared" si="136"/>
        <v>2750</v>
      </c>
      <c r="Z440" s="6">
        <f t="shared" si="137"/>
        <v>0.28000000000000003</v>
      </c>
      <c r="AA440" s="4">
        <v>0</v>
      </c>
      <c r="AB440" s="4">
        <f t="shared" si="138"/>
        <v>2632</v>
      </c>
      <c r="AC440" s="4">
        <f t="shared" si="149"/>
        <v>2895.2000000000003</v>
      </c>
      <c r="AD440" s="6">
        <f t="shared" si="150"/>
        <v>0.31610942249240126</v>
      </c>
      <c r="AE440" s="4">
        <f t="shared" si="151"/>
        <v>3135</v>
      </c>
      <c r="AF440" s="7">
        <v>2895</v>
      </c>
      <c r="AG440" s="6">
        <f t="shared" si="139"/>
        <v>0.31606217616580312</v>
      </c>
      <c r="AH440" s="4">
        <f t="shared" si="140"/>
        <v>915</v>
      </c>
      <c r="AI440" s="28"/>
      <c r="AJ440" s="6"/>
      <c r="AK440" s="6"/>
      <c r="AL440" s="6">
        <f t="shared" si="141"/>
        <v>1.1000000000000001</v>
      </c>
      <c r="AM440" s="6">
        <f t="shared" si="142"/>
        <v>1.1579999999999999</v>
      </c>
      <c r="AN440" s="6">
        <f t="shared" si="143"/>
        <v>1.1000000000000001</v>
      </c>
      <c r="AO440" s="4" t="str">
        <f t="shared" si="144"/>
        <v>-</v>
      </c>
      <c r="AP440" s="4" t="str">
        <f t="shared" si="145"/>
        <v>-</v>
      </c>
      <c r="AQ440" s="4" t="str">
        <f t="shared" si="146"/>
        <v>-</v>
      </c>
      <c r="AR440" s="4">
        <v>0</v>
      </c>
      <c r="AS440" s="4" t="s">
        <v>2078</v>
      </c>
      <c r="AT440" s="4"/>
      <c r="AU440" s="4"/>
      <c r="AV440" s="4" t="s">
        <v>1699</v>
      </c>
      <c r="AW440" s="4">
        <v>2632</v>
      </c>
      <c r="AX440" s="4">
        <v>2632</v>
      </c>
      <c r="AY440" s="4">
        <v>2632</v>
      </c>
      <c r="AZ440" s="4">
        <f t="shared" si="147"/>
        <v>2632</v>
      </c>
      <c r="BA440" s="19">
        <v>4</v>
      </c>
      <c r="BB440" s="19">
        <v>8</v>
      </c>
      <c r="BC440" s="16">
        <v>18</v>
      </c>
      <c r="BD440" t="s">
        <v>1280</v>
      </c>
      <c r="BE440">
        <v>2727</v>
      </c>
      <c r="BF440">
        <v>2727</v>
      </c>
      <c r="BG440">
        <f t="shared" si="152"/>
        <v>2999.7000000000003</v>
      </c>
      <c r="BH440" t="s">
        <v>1280</v>
      </c>
      <c r="BI440" t="s">
        <v>1280</v>
      </c>
      <c r="BJ440" t="s">
        <v>1280</v>
      </c>
      <c r="BK440" t="str">
        <f t="shared" si="153"/>
        <v>-</v>
      </c>
      <c r="BL440" t="s">
        <v>1578</v>
      </c>
      <c r="BM440">
        <v>812</v>
      </c>
    </row>
    <row r="441" spans="1:65" x14ac:dyDescent="0.4">
      <c r="A441" s="3">
        <v>523</v>
      </c>
      <c r="B441" s="3">
        <v>523</v>
      </c>
      <c r="C441" s="4" t="s">
        <v>512</v>
      </c>
      <c r="D441" s="4" t="str">
        <f t="shared" si="132"/>
        <v>J854MZ</v>
      </c>
      <c r="E441" s="4" t="s">
        <v>512</v>
      </c>
      <c r="F441" s="4" t="str">
        <f t="shared" si="148"/>
        <v>J854MZ5</v>
      </c>
      <c r="G441" s="4" t="s">
        <v>1156</v>
      </c>
      <c r="H441" s="5">
        <v>4974268837677</v>
      </c>
      <c r="I441" s="5">
        <v>5</v>
      </c>
      <c r="J441" s="5"/>
      <c r="K441" s="5">
        <v>1</v>
      </c>
      <c r="L441" s="5">
        <v>1</v>
      </c>
      <c r="M441" s="4">
        <v>3000</v>
      </c>
      <c r="N441" s="4">
        <v>2500</v>
      </c>
      <c r="O441" s="4">
        <v>1800</v>
      </c>
      <c r="P441" s="6">
        <f t="shared" si="133"/>
        <v>0.28000000000000003</v>
      </c>
      <c r="Q441" s="4" t="s">
        <v>1280</v>
      </c>
      <c r="R441" s="4" t="s">
        <v>1280</v>
      </c>
      <c r="S441" s="4" t="s">
        <v>1280</v>
      </c>
      <c r="T441" s="4">
        <v>3300</v>
      </c>
      <c r="U441" s="4">
        <f t="shared" si="134"/>
        <v>3300</v>
      </c>
      <c r="V441" s="4">
        <v>1980</v>
      </c>
      <c r="W441" s="4">
        <f t="shared" si="135"/>
        <v>1980</v>
      </c>
      <c r="X441" s="4"/>
      <c r="Y441" s="21">
        <f t="shared" si="136"/>
        <v>2750</v>
      </c>
      <c r="Z441" s="6">
        <f t="shared" si="137"/>
        <v>0.28000000000000003</v>
      </c>
      <c r="AA441" s="4">
        <v>0.25</v>
      </c>
      <c r="AB441" s="4">
        <f t="shared" si="138"/>
        <v>2632</v>
      </c>
      <c r="AC441" s="4">
        <f t="shared" si="149"/>
        <v>2895.2000000000003</v>
      </c>
      <c r="AD441" s="6">
        <f t="shared" si="150"/>
        <v>0.31610942249240126</v>
      </c>
      <c r="AE441" s="4">
        <f t="shared" si="151"/>
        <v>3135</v>
      </c>
      <c r="AF441" s="7">
        <v>2895</v>
      </c>
      <c r="AG441" s="6">
        <f t="shared" si="139"/>
        <v>0.31606217616580312</v>
      </c>
      <c r="AH441" s="4">
        <f t="shared" si="140"/>
        <v>915</v>
      </c>
      <c r="AI441" s="28"/>
      <c r="AJ441" s="6"/>
      <c r="AK441" s="6"/>
      <c r="AL441" s="6">
        <f t="shared" si="141"/>
        <v>1.1000000000000001</v>
      </c>
      <c r="AM441" s="6">
        <f t="shared" si="142"/>
        <v>1.1579999999999999</v>
      </c>
      <c r="AN441" s="6">
        <f t="shared" si="143"/>
        <v>1.1000000000000001</v>
      </c>
      <c r="AO441" s="4" t="str">
        <f t="shared" si="144"/>
        <v>-</v>
      </c>
      <c r="AP441" s="4" t="str">
        <f t="shared" si="145"/>
        <v>-</v>
      </c>
      <c r="AQ441" s="4" t="str">
        <f t="shared" si="146"/>
        <v>-</v>
      </c>
      <c r="AR441" s="4">
        <v>0</v>
      </c>
      <c r="AS441" s="4" t="s">
        <v>2079</v>
      </c>
      <c r="AT441" s="4"/>
      <c r="AU441" s="4"/>
      <c r="AV441" s="4" t="s">
        <v>1699</v>
      </c>
      <c r="AW441" s="4">
        <v>2632</v>
      </c>
      <c r="AX441" s="4">
        <v>2632</v>
      </c>
      <c r="AY441" s="4">
        <v>2632</v>
      </c>
      <c r="AZ441" s="4">
        <f t="shared" si="147"/>
        <v>2632</v>
      </c>
      <c r="BA441" s="19">
        <v>4</v>
      </c>
      <c r="BB441" s="19">
        <v>8</v>
      </c>
      <c r="BC441" s="16">
        <v>18</v>
      </c>
      <c r="BD441">
        <v>2727</v>
      </c>
      <c r="BE441">
        <v>2727</v>
      </c>
      <c r="BF441">
        <v>2727</v>
      </c>
      <c r="BG441">
        <f t="shared" si="152"/>
        <v>2999.7000000000003</v>
      </c>
      <c r="BH441" t="s">
        <v>1280</v>
      </c>
      <c r="BI441" t="s">
        <v>1280</v>
      </c>
      <c r="BJ441" t="s">
        <v>1280</v>
      </c>
      <c r="BK441" t="str">
        <f t="shared" si="153"/>
        <v>-</v>
      </c>
      <c r="BL441" t="s">
        <v>1579</v>
      </c>
      <c r="BM441">
        <v>812</v>
      </c>
    </row>
    <row r="442" spans="1:65" x14ac:dyDescent="0.4">
      <c r="A442" s="3">
        <v>524</v>
      </c>
      <c r="B442" s="3">
        <v>524</v>
      </c>
      <c r="C442" s="4" t="s">
        <v>513</v>
      </c>
      <c r="D442" s="4" t="str">
        <f t="shared" si="132"/>
        <v>J855MZ</v>
      </c>
      <c r="E442" s="4" t="s">
        <v>513</v>
      </c>
      <c r="F442" s="4" t="str">
        <f t="shared" si="148"/>
        <v>J855MZ5</v>
      </c>
      <c r="G442" s="4" t="s">
        <v>1157</v>
      </c>
      <c r="H442" s="5">
        <v>4974268837684</v>
      </c>
      <c r="I442" s="5">
        <v>5</v>
      </c>
      <c r="J442" s="5"/>
      <c r="K442" s="5">
        <v>1</v>
      </c>
      <c r="L442" s="5">
        <v>1</v>
      </c>
      <c r="M442" s="4">
        <v>3000</v>
      </c>
      <c r="N442" s="4">
        <v>2500</v>
      </c>
      <c r="O442" s="4">
        <v>1800</v>
      </c>
      <c r="P442" s="6">
        <f t="shared" si="133"/>
        <v>0.28000000000000003</v>
      </c>
      <c r="Q442" s="4" t="s">
        <v>1280</v>
      </c>
      <c r="R442" s="4" t="s">
        <v>1280</v>
      </c>
      <c r="S442" s="4" t="s">
        <v>1280</v>
      </c>
      <c r="T442" s="4">
        <v>3300</v>
      </c>
      <c r="U442" s="4">
        <f t="shared" si="134"/>
        <v>3300</v>
      </c>
      <c r="V442" s="4">
        <v>1980</v>
      </c>
      <c r="W442" s="4">
        <f t="shared" si="135"/>
        <v>1980</v>
      </c>
      <c r="X442" s="4"/>
      <c r="Y442" s="21">
        <f t="shared" si="136"/>
        <v>2750</v>
      </c>
      <c r="Z442" s="6">
        <f t="shared" si="137"/>
        <v>0.28000000000000003</v>
      </c>
      <c r="AA442" s="4">
        <v>0.25</v>
      </c>
      <c r="AB442" s="4">
        <f t="shared" si="138"/>
        <v>2632</v>
      </c>
      <c r="AC442" s="4">
        <f t="shared" si="149"/>
        <v>2895.2000000000003</v>
      </c>
      <c r="AD442" s="6">
        <f t="shared" si="150"/>
        <v>0.31610942249240126</v>
      </c>
      <c r="AE442" s="4">
        <f t="shared" si="151"/>
        <v>3135</v>
      </c>
      <c r="AF442" s="7">
        <v>2895</v>
      </c>
      <c r="AG442" s="6">
        <f t="shared" si="139"/>
        <v>0.31606217616580312</v>
      </c>
      <c r="AH442" s="4">
        <f t="shared" si="140"/>
        <v>915</v>
      </c>
      <c r="AI442" s="28"/>
      <c r="AJ442" s="6"/>
      <c r="AK442" s="6"/>
      <c r="AL442" s="6">
        <f t="shared" si="141"/>
        <v>1.1000000000000001</v>
      </c>
      <c r="AM442" s="6">
        <f t="shared" si="142"/>
        <v>1.1579999999999999</v>
      </c>
      <c r="AN442" s="6">
        <f t="shared" si="143"/>
        <v>1.1000000000000001</v>
      </c>
      <c r="AO442" s="4" t="str">
        <f t="shared" si="144"/>
        <v>-</v>
      </c>
      <c r="AP442" s="4" t="str">
        <f t="shared" si="145"/>
        <v>-</v>
      </c>
      <c r="AQ442" s="4" t="str">
        <f t="shared" si="146"/>
        <v>-</v>
      </c>
      <c r="AR442" s="4">
        <v>0</v>
      </c>
      <c r="AS442" s="4" t="s">
        <v>2080</v>
      </c>
      <c r="AT442" s="4"/>
      <c r="AU442" s="4"/>
      <c r="AV442" s="4" t="s">
        <v>1699</v>
      </c>
      <c r="AW442" s="4">
        <v>2632</v>
      </c>
      <c r="AX442" s="4">
        <v>2632</v>
      </c>
      <c r="AY442" s="4">
        <v>2632</v>
      </c>
      <c r="AZ442" s="4">
        <f t="shared" si="147"/>
        <v>2632</v>
      </c>
      <c r="BA442" s="19">
        <v>4</v>
      </c>
      <c r="BB442" s="19">
        <v>8</v>
      </c>
      <c r="BC442" s="16">
        <v>18</v>
      </c>
      <c r="BD442">
        <v>2727</v>
      </c>
      <c r="BE442" t="s">
        <v>1280</v>
      </c>
      <c r="BF442" t="s">
        <v>1280</v>
      </c>
      <c r="BG442" t="str">
        <f t="shared" si="152"/>
        <v>-</v>
      </c>
      <c r="BH442" t="s">
        <v>1280</v>
      </c>
      <c r="BI442" t="s">
        <v>1280</v>
      </c>
      <c r="BJ442" t="s">
        <v>1280</v>
      </c>
      <c r="BK442" t="str">
        <f t="shared" si="153"/>
        <v>-</v>
      </c>
      <c r="BL442" t="s">
        <v>1580</v>
      </c>
      <c r="BM442">
        <v>812</v>
      </c>
    </row>
    <row r="443" spans="1:65" x14ac:dyDescent="0.4">
      <c r="A443" s="3">
        <v>525</v>
      </c>
      <c r="B443" s="3">
        <v>525</v>
      </c>
      <c r="C443" s="4" t="s">
        <v>514</v>
      </c>
      <c r="D443" s="4" t="str">
        <f t="shared" si="132"/>
        <v>J856MZ</v>
      </c>
      <c r="E443" s="4" t="s">
        <v>514</v>
      </c>
      <c r="F443" s="4" t="str">
        <f t="shared" si="148"/>
        <v>J856MZ5</v>
      </c>
      <c r="G443" s="4" t="s">
        <v>1158</v>
      </c>
      <c r="H443" s="5">
        <v>4974268837691</v>
      </c>
      <c r="I443" s="5">
        <v>5</v>
      </c>
      <c r="J443" s="5"/>
      <c r="K443" s="5">
        <v>1</v>
      </c>
      <c r="L443" s="5">
        <v>1</v>
      </c>
      <c r="M443" s="4">
        <v>3000</v>
      </c>
      <c r="N443" s="4">
        <v>2711</v>
      </c>
      <c r="O443" s="4">
        <v>1800</v>
      </c>
      <c r="P443" s="6">
        <f t="shared" si="133"/>
        <v>0.33603836222796013</v>
      </c>
      <c r="Q443" s="4" t="s">
        <v>1280</v>
      </c>
      <c r="R443" s="4" t="s">
        <v>1280</v>
      </c>
      <c r="S443" s="4" t="s">
        <v>1280</v>
      </c>
      <c r="T443" s="4">
        <v>3300</v>
      </c>
      <c r="U443" s="4">
        <f t="shared" si="134"/>
        <v>3300</v>
      </c>
      <c r="V443" s="4">
        <v>1980</v>
      </c>
      <c r="W443" s="4">
        <f t="shared" si="135"/>
        <v>1980</v>
      </c>
      <c r="X443" s="4"/>
      <c r="Y443" s="21">
        <f t="shared" si="136"/>
        <v>2982</v>
      </c>
      <c r="Z443" s="6">
        <f t="shared" si="137"/>
        <v>0.33601609657947684</v>
      </c>
      <c r="AA443" s="4">
        <v>0.5</v>
      </c>
      <c r="AB443" s="4">
        <f t="shared" si="138"/>
        <v>2632</v>
      </c>
      <c r="AC443" s="4">
        <f t="shared" si="149"/>
        <v>2895.2000000000003</v>
      </c>
      <c r="AD443" s="6">
        <f t="shared" si="150"/>
        <v>0.31610942249240126</v>
      </c>
      <c r="AE443" s="4">
        <f t="shared" si="151"/>
        <v>3135</v>
      </c>
      <c r="AF443" s="7">
        <v>2895</v>
      </c>
      <c r="AG443" s="6">
        <f t="shared" si="139"/>
        <v>0.31606217616580312</v>
      </c>
      <c r="AH443" s="4">
        <f t="shared" si="140"/>
        <v>915</v>
      </c>
      <c r="AI443" s="28"/>
      <c r="AJ443" s="6"/>
      <c r="AK443" s="6"/>
      <c r="AL443" s="6">
        <f t="shared" si="141"/>
        <v>1.1000000000000001</v>
      </c>
      <c r="AM443" s="6">
        <f t="shared" si="142"/>
        <v>1.0678716340833641</v>
      </c>
      <c r="AN443" s="6">
        <f t="shared" si="143"/>
        <v>1.1000000000000001</v>
      </c>
      <c r="AO443" s="4" t="str">
        <f t="shared" si="144"/>
        <v>-</v>
      </c>
      <c r="AP443" s="4" t="str">
        <f t="shared" si="145"/>
        <v>-</v>
      </c>
      <c r="AQ443" s="4" t="str">
        <f t="shared" si="146"/>
        <v>-</v>
      </c>
      <c r="AR443" s="4">
        <v>0</v>
      </c>
      <c r="AS443" s="4" t="s">
        <v>2081</v>
      </c>
      <c r="AT443" s="4"/>
      <c r="AU443" s="4"/>
      <c r="AV443" s="4" t="s">
        <v>1699</v>
      </c>
      <c r="AW443" s="4">
        <v>2632</v>
      </c>
      <c r="AX443" s="4">
        <v>2632</v>
      </c>
      <c r="AY443" s="4">
        <v>2632</v>
      </c>
      <c r="AZ443" s="4">
        <f t="shared" si="147"/>
        <v>2632</v>
      </c>
      <c r="BA443" s="19">
        <v>4</v>
      </c>
      <c r="BB443" s="19">
        <v>8</v>
      </c>
      <c r="BC443" s="16">
        <v>18</v>
      </c>
      <c r="BD443">
        <v>2727</v>
      </c>
      <c r="BE443">
        <v>2727</v>
      </c>
      <c r="BF443">
        <v>2727</v>
      </c>
      <c r="BG443">
        <f t="shared" si="152"/>
        <v>2999.7000000000003</v>
      </c>
      <c r="BH443" t="s">
        <v>1280</v>
      </c>
      <c r="BI443" t="s">
        <v>1280</v>
      </c>
      <c r="BJ443" t="s">
        <v>1280</v>
      </c>
      <c r="BK443" t="str">
        <f t="shared" si="153"/>
        <v>-</v>
      </c>
      <c r="BL443" t="s">
        <v>1581</v>
      </c>
      <c r="BM443">
        <v>812</v>
      </c>
    </row>
    <row r="444" spans="1:65" x14ac:dyDescent="0.4">
      <c r="A444" s="3">
        <v>527</v>
      </c>
      <c r="B444" s="3">
        <v>527</v>
      </c>
      <c r="C444" s="4" t="s">
        <v>516</v>
      </c>
      <c r="D444" s="4" t="str">
        <f t="shared" si="132"/>
        <v>J860MZ</v>
      </c>
      <c r="E444" s="4" t="s">
        <v>516</v>
      </c>
      <c r="F444" s="4" t="str">
        <f t="shared" si="148"/>
        <v>J860MZ5</v>
      </c>
      <c r="G444" s="4" t="s">
        <v>1160</v>
      </c>
      <c r="H444" s="5">
        <v>4974268837738</v>
      </c>
      <c r="I444" s="5">
        <v>5</v>
      </c>
      <c r="J444" s="5"/>
      <c r="K444" s="5">
        <v>1</v>
      </c>
      <c r="L444" s="5">
        <v>1</v>
      </c>
      <c r="M444" s="4">
        <v>3000</v>
      </c>
      <c r="N444" s="4">
        <v>2500</v>
      </c>
      <c r="O444" s="4">
        <v>1800</v>
      </c>
      <c r="P444" s="6">
        <f t="shared" si="133"/>
        <v>0.28000000000000003</v>
      </c>
      <c r="Q444" s="4" t="s">
        <v>1280</v>
      </c>
      <c r="R444" s="4" t="s">
        <v>1280</v>
      </c>
      <c r="S444" s="4" t="s">
        <v>1280</v>
      </c>
      <c r="T444" s="4">
        <v>3300</v>
      </c>
      <c r="U444" s="4">
        <f t="shared" si="134"/>
        <v>3300</v>
      </c>
      <c r="V444" s="4">
        <v>1980</v>
      </c>
      <c r="W444" s="4">
        <f t="shared" si="135"/>
        <v>1980</v>
      </c>
      <c r="X444" s="4"/>
      <c r="Y444" s="21">
        <f t="shared" si="136"/>
        <v>2750</v>
      </c>
      <c r="Z444" s="6">
        <f t="shared" si="137"/>
        <v>0.28000000000000003</v>
      </c>
      <c r="AA444" s="4">
        <v>0</v>
      </c>
      <c r="AB444" s="4" t="str">
        <f t="shared" si="138"/>
        <v>-</v>
      </c>
      <c r="AC444" s="4" t="str">
        <f t="shared" si="149"/>
        <v>-</v>
      </c>
      <c r="AD444" s="6" t="str">
        <f t="shared" si="150"/>
        <v>-</v>
      </c>
      <c r="AE444" s="4">
        <f t="shared" si="151"/>
        <v>3135</v>
      </c>
      <c r="AF444" s="7">
        <v>2895</v>
      </c>
      <c r="AG444" s="6">
        <f t="shared" si="139"/>
        <v>0.31606217616580312</v>
      </c>
      <c r="AH444" s="4">
        <f t="shared" si="140"/>
        <v>915</v>
      </c>
      <c r="AI444" s="28"/>
      <c r="AJ444" s="6"/>
      <c r="AK444" s="6"/>
      <c r="AL444" s="6">
        <f t="shared" si="141"/>
        <v>1.1000000000000001</v>
      </c>
      <c r="AM444" s="6">
        <f t="shared" si="142"/>
        <v>1.1579999999999999</v>
      </c>
      <c r="AN444" s="6">
        <f t="shared" si="143"/>
        <v>1.1000000000000001</v>
      </c>
      <c r="AO444" s="4" t="str">
        <f t="shared" si="144"/>
        <v>-</v>
      </c>
      <c r="AP444" s="4" t="str">
        <f t="shared" si="145"/>
        <v>-</v>
      </c>
      <c r="AQ444" s="4" t="str">
        <f t="shared" si="146"/>
        <v>-</v>
      </c>
      <c r="AR444" s="4">
        <v>0</v>
      </c>
      <c r="AS444" s="4" t="s">
        <v>1280</v>
      </c>
      <c r="AT444" s="4"/>
      <c r="AU444" s="4"/>
      <c r="AV444" s="4" t="s">
        <v>1280</v>
      </c>
      <c r="AW444" s="4" t="s">
        <v>1280</v>
      </c>
      <c r="AX444" s="4" t="s">
        <v>1280</v>
      </c>
      <c r="AY444" s="4" t="s">
        <v>1280</v>
      </c>
      <c r="AZ444" s="4" t="str">
        <f t="shared" si="147"/>
        <v>-</v>
      </c>
      <c r="BA444" s="19">
        <v>4</v>
      </c>
      <c r="BB444" s="19">
        <v>8</v>
      </c>
      <c r="BC444" s="16">
        <v>18</v>
      </c>
      <c r="BD444">
        <v>2727</v>
      </c>
      <c r="BE444">
        <v>2727</v>
      </c>
      <c r="BF444">
        <v>2727</v>
      </c>
      <c r="BG444">
        <f t="shared" si="152"/>
        <v>2999.7000000000003</v>
      </c>
      <c r="BH444" t="s">
        <v>1280</v>
      </c>
      <c r="BI444" t="s">
        <v>1280</v>
      </c>
      <c r="BJ444" t="s">
        <v>1280</v>
      </c>
      <c r="BK444" t="str">
        <f t="shared" si="153"/>
        <v>-</v>
      </c>
      <c r="BL444" t="s">
        <v>1280</v>
      </c>
      <c r="BM444">
        <v>812</v>
      </c>
    </row>
    <row r="445" spans="1:65" x14ac:dyDescent="0.4">
      <c r="A445" s="3">
        <v>529</v>
      </c>
      <c r="B445" s="3">
        <v>529</v>
      </c>
      <c r="C445" s="4" t="s">
        <v>518</v>
      </c>
      <c r="D445" s="4" t="str">
        <f t="shared" si="132"/>
        <v>J861MZ</v>
      </c>
      <c r="E445" s="4" t="s">
        <v>518</v>
      </c>
      <c r="F445" s="4" t="str">
        <f t="shared" si="148"/>
        <v>J861MZ5</v>
      </c>
      <c r="G445" s="4" t="s">
        <v>1162</v>
      </c>
      <c r="H445" s="5">
        <v>4974268837769</v>
      </c>
      <c r="I445" s="5">
        <v>5</v>
      </c>
      <c r="J445" s="5"/>
      <c r="K445" s="5">
        <v>1</v>
      </c>
      <c r="L445" s="5">
        <v>1</v>
      </c>
      <c r="M445" s="4">
        <v>3000</v>
      </c>
      <c r="N445" s="4">
        <v>2684</v>
      </c>
      <c r="O445" s="4">
        <v>1800</v>
      </c>
      <c r="P445" s="6">
        <f t="shared" si="133"/>
        <v>0.3293591654247392</v>
      </c>
      <c r="Q445" s="4" t="s">
        <v>1280</v>
      </c>
      <c r="R445" s="4" t="s">
        <v>1280</v>
      </c>
      <c r="S445" s="4" t="s">
        <v>1280</v>
      </c>
      <c r="T445" s="4">
        <v>3300</v>
      </c>
      <c r="U445" s="4">
        <f t="shared" si="134"/>
        <v>3300</v>
      </c>
      <c r="V445" s="4">
        <v>1980</v>
      </c>
      <c r="W445" s="4">
        <f t="shared" si="135"/>
        <v>1980</v>
      </c>
      <c r="X445" s="4"/>
      <c r="Y445" s="21">
        <f t="shared" si="136"/>
        <v>2952</v>
      </c>
      <c r="Z445" s="6">
        <f t="shared" si="137"/>
        <v>0.32926829268292679</v>
      </c>
      <c r="AA445" s="4">
        <v>0.25</v>
      </c>
      <c r="AB445" s="4">
        <f t="shared" si="138"/>
        <v>2632</v>
      </c>
      <c r="AC445" s="4">
        <f t="shared" si="149"/>
        <v>2895.2000000000003</v>
      </c>
      <c r="AD445" s="6">
        <f t="shared" si="150"/>
        <v>0.31610942249240126</v>
      </c>
      <c r="AE445" s="4">
        <f t="shared" si="151"/>
        <v>3135</v>
      </c>
      <c r="AF445" s="7">
        <v>2895</v>
      </c>
      <c r="AG445" s="6">
        <f t="shared" si="139"/>
        <v>0.31606217616580312</v>
      </c>
      <c r="AH445" s="4">
        <f t="shared" si="140"/>
        <v>915</v>
      </c>
      <c r="AI445" s="28"/>
      <c r="AJ445" s="6"/>
      <c r="AK445" s="6"/>
      <c r="AL445" s="6">
        <f t="shared" si="141"/>
        <v>1.1000000000000001</v>
      </c>
      <c r="AM445" s="6">
        <f t="shared" si="142"/>
        <v>1.0786140089418779</v>
      </c>
      <c r="AN445" s="6">
        <f t="shared" si="143"/>
        <v>1.1000000000000001</v>
      </c>
      <c r="AO445" s="4" t="str">
        <f t="shared" si="144"/>
        <v>-</v>
      </c>
      <c r="AP445" s="4" t="str">
        <f t="shared" si="145"/>
        <v>-</v>
      </c>
      <c r="AQ445" s="4" t="str">
        <f t="shared" si="146"/>
        <v>-</v>
      </c>
      <c r="AR445" s="4" t="s">
        <v>1281</v>
      </c>
      <c r="AS445" s="4" t="s">
        <v>2083</v>
      </c>
      <c r="AT445" s="4"/>
      <c r="AU445" s="4"/>
      <c r="AV445" s="4" t="s">
        <v>1699</v>
      </c>
      <c r="AW445" s="4">
        <v>2632</v>
      </c>
      <c r="AX445" s="4">
        <v>2632</v>
      </c>
      <c r="AY445" s="4">
        <v>2632</v>
      </c>
      <c r="AZ445" s="4">
        <f t="shared" si="147"/>
        <v>2632</v>
      </c>
      <c r="BA445" s="19">
        <v>4</v>
      </c>
      <c r="BB445" s="19">
        <v>8</v>
      </c>
      <c r="BC445" s="16">
        <v>18</v>
      </c>
      <c r="BD445">
        <v>2727</v>
      </c>
      <c r="BE445" t="s">
        <v>1280</v>
      </c>
      <c r="BF445">
        <v>2727</v>
      </c>
      <c r="BG445">
        <f t="shared" si="152"/>
        <v>2999.7000000000003</v>
      </c>
      <c r="BH445" t="s">
        <v>1280</v>
      </c>
      <c r="BI445" t="s">
        <v>1280</v>
      </c>
      <c r="BJ445" t="s">
        <v>1280</v>
      </c>
      <c r="BK445" t="str">
        <f t="shared" si="153"/>
        <v>-</v>
      </c>
      <c r="BL445" t="s">
        <v>1583</v>
      </c>
      <c r="BM445">
        <v>812</v>
      </c>
    </row>
    <row r="446" spans="1:65" x14ac:dyDescent="0.4">
      <c r="A446" s="3">
        <v>530</v>
      </c>
      <c r="B446" s="3">
        <v>530</v>
      </c>
      <c r="C446" s="4" t="s">
        <v>519</v>
      </c>
      <c r="D446" s="4" t="str">
        <f t="shared" si="132"/>
        <v>J862MZ</v>
      </c>
      <c r="E446" s="4" t="s">
        <v>519</v>
      </c>
      <c r="F446" s="4" t="str">
        <f t="shared" si="148"/>
        <v>J862MZ5</v>
      </c>
      <c r="G446" s="4" t="s">
        <v>1163</v>
      </c>
      <c r="H446" s="5">
        <v>4974268837776</v>
      </c>
      <c r="I446" s="5">
        <v>5</v>
      </c>
      <c r="J446" s="5"/>
      <c r="K446" s="5">
        <v>1</v>
      </c>
      <c r="L446" s="5">
        <v>1</v>
      </c>
      <c r="M446" s="4">
        <v>3000</v>
      </c>
      <c r="N446" s="4">
        <v>2500</v>
      </c>
      <c r="O446" s="4">
        <v>1800</v>
      </c>
      <c r="P446" s="6">
        <f t="shared" si="133"/>
        <v>0.28000000000000003</v>
      </c>
      <c r="Q446" s="4" t="s">
        <v>1280</v>
      </c>
      <c r="R446" s="4" t="s">
        <v>1280</v>
      </c>
      <c r="S446" s="4" t="s">
        <v>1280</v>
      </c>
      <c r="T446" s="4">
        <v>3300</v>
      </c>
      <c r="U446" s="4">
        <f t="shared" si="134"/>
        <v>3300</v>
      </c>
      <c r="V446" s="4">
        <v>1980</v>
      </c>
      <c r="W446" s="4">
        <f t="shared" si="135"/>
        <v>1980</v>
      </c>
      <c r="X446" s="4"/>
      <c r="Y446" s="21">
        <f t="shared" si="136"/>
        <v>2750</v>
      </c>
      <c r="Z446" s="6">
        <f t="shared" si="137"/>
        <v>0.28000000000000003</v>
      </c>
      <c r="AA446" s="4">
        <v>0.75</v>
      </c>
      <c r="AB446" s="4">
        <f t="shared" si="138"/>
        <v>2632</v>
      </c>
      <c r="AC446" s="4">
        <f t="shared" si="149"/>
        <v>2895.2000000000003</v>
      </c>
      <c r="AD446" s="6">
        <f t="shared" si="150"/>
        <v>0.31610942249240126</v>
      </c>
      <c r="AE446" s="4">
        <f t="shared" si="151"/>
        <v>3135</v>
      </c>
      <c r="AF446" s="7">
        <v>2895</v>
      </c>
      <c r="AG446" s="6">
        <f t="shared" si="139"/>
        <v>0.31606217616580312</v>
      </c>
      <c r="AH446" s="4">
        <f t="shared" si="140"/>
        <v>915</v>
      </c>
      <c r="AI446" s="28"/>
      <c r="AJ446" s="6"/>
      <c r="AK446" s="6"/>
      <c r="AL446" s="6">
        <f t="shared" si="141"/>
        <v>1.1000000000000001</v>
      </c>
      <c r="AM446" s="6">
        <f t="shared" si="142"/>
        <v>1.1579999999999999</v>
      </c>
      <c r="AN446" s="6">
        <f t="shared" si="143"/>
        <v>1.1000000000000001</v>
      </c>
      <c r="AO446" s="4" t="str">
        <f t="shared" si="144"/>
        <v>-</v>
      </c>
      <c r="AP446" s="4" t="str">
        <f t="shared" si="145"/>
        <v>-</v>
      </c>
      <c r="AQ446" s="4" t="str">
        <f t="shared" si="146"/>
        <v>-</v>
      </c>
      <c r="AR446" s="4">
        <v>0</v>
      </c>
      <c r="AS446" s="4" t="s">
        <v>2084</v>
      </c>
      <c r="AT446" s="4"/>
      <c r="AU446" s="4"/>
      <c r="AV446" s="4" t="s">
        <v>1699</v>
      </c>
      <c r="AW446" s="4">
        <v>2632</v>
      </c>
      <c r="AX446" s="4">
        <v>2632</v>
      </c>
      <c r="AY446" s="4">
        <v>2632</v>
      </c>
      <c r="AZ446" s="4">
        <f t="shared" si="147"/>
        <v>2632</v>
      </c>
      <c r="BA446" s="19">
        <v>4</v>
      </c>
      <c r="BB446" s="19">
        <v>8</v>
      </c>
      <c r="BC446" s="16">
        <v>18</v>
      </c>
      <c r="BD446">
        <v>2727</v>
      </c>
      <c r="BE446">
        <v>2727</v>
      </c>
      <c r="BF446">
        <v>2727</v>
      </c>
      <c r="BG446">
        <f t="shared" si="152"/>
        <v>2999.7000000000003</v>
      </c>
      <c r="BH446" t="s">
        <v>1280</v>
      </c>
      <c r="BI446" t="s">
        <v>1280</v>
      </c>
      <c r="BJ446" t="s">
        <v>1280</v>
      </c>
      <c r="BK446" t="str">
        <f t="shared" si="153"/>
        <v>-</v>
      </c>
      <c r="BL446" t="s">
        <v>1584</v>
      </c>
      <c r="BM446">
        <v>812</v>
      </c>
    </row>
    <row r="447" spans="1:65" x14ac:dyDescent="0.4">
      <c r="A447" s="3">
        <v>531</v>
      </c>
      <c r="B447" s="3">
        <v>531</v>
      </c>
      <c r="C447" s="4" t="s">
        <v>520</v>
      </c>
      <c r="D447" s="4" t="str">
        <f t="shared" si="132"/>
        <v>J863MZ</v>
      </c>
      <c r="E447" s="4" t="s">
        <v>520</v>
      </c>
      <c r="F447" s="4" t="str">
        <f t="shared" si="148"/>
        <v>J863MZ5</v>
      </c>
      <c r="G447" s="4" t="s">
        <v>1164</v>
      </c>
      <c r="H447" s="5">
        <v>4974268837783</v>
      </c>
      <c r="I447" s="5">
        <v>5</v>
      </c>
      <c r="J447" s="5"/>
      <c r="K447" s="5">
        <v>1</v>
      </c>
      <c r="L447" s="5">
        <v>1</v>
      </c>
      <c r="M447" s="4">
        <v>3000</v>
      </c>
      <c r="N447" s="4">
        <v>2711</v>
      </c>
      <c r="O447" s="4">
        <v>1800</v>
      </c>
      <c r="P447" s="6">
        <f t="shared" si="133"/>
        <v>0.33603836222796013</v>
      </c>
      <c r="Q447" s="4" t="s">
        <v>1280</v>
      </c>
      <c r="R447" s="4" t="s">
        <v>1280</v>
      </c>
      <c r="S447" s="4" t="s">
        <v>1280</v>
      </c>
      <c r="T447" s="4">
        <v>3300</v>
      </c>
      <c r="U447" s="4">
        <f t="shared" si="134"/>
        <v>3300</v>
      </c>
      <c r="V447" s="4">
        <v>1980</v>
      </c>
      <c r="W447" s="4">
        <f t="shared" si="135"/>
        <v>1980</v>
      </c>
      <c r="X447" s="4"/>
      <c r="Y447" s="21">
        <f t="shared" si="136"/>
        <v>2982</v>
      </c>
      <c r="Z447" s="6">
        <f t="shared" si="137"/>
        <v>0.33601609657947684</v>
      </c>
      <c r="AA447" s="4">
        <v>4.25</v>
      </c>
      <c r="AB447" s="4">
        <f t="shared" si="138"/>
        <v>2632</v>
      </c>
      <c r="AC447" s="4">
        <f t="shared" si="149"/>
        <v>2895.2000000000003</v>
      </c>
      <c r="AD447" s="6">
        <f t="shared" si="150"/>
        <v>0.31610942249240126</v>
      </c>
      <c r="AE447" s="4">
        <f t="shared" si="151"/>
        <v>3135</v>
      </c>
      <c r="AF447" s="7">
        <v>2895</v>
      </c>
      <c r="AG447" s="6">
        <f t="shared" si="139"/>
        <v>0.31606217616580312</v>
      </c>
      <c r="AH447" s="4">
        <f t="shared" si="140"/>
        <v>915</v>
      </c>
      <c r="AI447" s="28"/>
      <c r="AJ447" s="6"/>
      <c r="AK447" s="6"/>
      <c r="AL447" s="6">
        <f t="shared" si="141"/>
        <v>1.1000000000000001</v>
      </c>
      <c r="AM447" s="6">
        <f t="shared" si="142"/>
        <v>1.0678716340833641</v>
      </c>
      <c r="AN447" s="6">
        <f t="shared" si="143"/>
        <v>1.1000000000000001</v>
      </c>
      <c r="AO447" s="4" t="str">
        <f t="shared" si="144"/>
        <v>-</v>
      </c>
      <c r="AP447" s="4" t="str">
        <f t="shared" si="145"/>
        <v>-</v>
      </c>
      <c r="AQ447" s="4" t="str">
        <f t="shared" si="146"/>
        <v>-</v>
      </c>
      <c r="AR447" s="4">
        <v>0</v>
      </c>
      <c r="AS447" s="4" t="s">
        <v>2085</v>
      </c>
      <c r="AT447" s="4"/>
      <c r="AU447" s="4"/>
      <c r="AV447" s="4" t="s">
        <v>1699</v>
      </c>
      <c r="AW447" s="4">
        <v>2632</v>
      </c>
      <c r="AX447" s="4">
        <v>2632</v>
      </c>
      <c r="AY447" s="4">
        <v>2632</v>
      </c>
      <c r="AZ447" s="4">
        <f t="shared" si="147"/>
        <v>2632</v>
      </c>
      <c r="BA447" s="19">
        <v>4</v>
      </c>
      <c r="BB447" s="19">
        <v>1</v>
      </c>
      <c r="BC447" s="16">
        <v>18</v>
      </c>
      <c r="BD447" t="s">
        <v>1280</v>
      </c>
      <c r="BE447" t="s">
        <v>1280</v>
      </c>
      <c r="BF447" t="s">
        <v>1280</v>
      </c>
      <c r="BG447" t="str">
        <f t="shared" si="152"/>
        <v>-</v>
      </c>
      <c r="BH447" t="s">
        <v>1280</v>
      </c>
      <c r="BI447" t="s">
        <v>1280</v>
      </c>
      <c r="BJ447" t="s">
        <v>1280</v>
      </c>
      <c r="BK447" t="str">
        <f t="shared" si="153"/>
        <v>-</v>
      </c>
      <c r="BL447" t="s">
        <v>1585</v>
      </c>
      <c r="BM447">
        <v>812</v>
      </c>
    </row>
    <row r="448" spans="1:65" x14ac:dyDescent="0.4">
      <c r="A448" s="3">
        <v>611</v>
      </c>
      <c r="B448" s="3">
        <v>611</v>
      </c>
      <c r="C448" s="4" t="s">
        <v>600</v>
      </c>
      <c r="D448" s="4" t="str">
        <f t="shared" si="132"/>
        <v>J953WN</v>
      </c>
      <c r="E448" s="4" t="s">
        <v>600</v>
      </c>
      <c r="F448" s="4" t="str">
        <f t="shared" si="148"/>
        <v>J953WN5</v>
      </c>
      <c r="G448" s="4" t="s">
        <v>1244</v>
      </c>
      <c r="H448" s="5">
        <v>4974268569868</v>
      </c>
      <c r="I448" s="5">
        <v>5</v>
      </c>
      <c r="J448" s="5"/>
      <c r="K448" s="5">
        <v>1</v>
      </c>
      <c r="L448" s="5">
        <v>1</v>
      </c>
      <c r="M448" s="4">
        <v>3000</v>
      </c>
      <c r="N448" s="4">
        <v>2570</v>
      </c>
      <c r="O448" s="4">
        <v>1800</v>
      </c>
      <c r="P448" s="6">
        <f t="shared" si="133"/>
        <v>0.29961089494163429</v>
      </c>
      <c r="Q448" s="4" t="s">
        <v>1280</v>
      </c>
      <c r="R448" s="4" t="s">
        <v>1280</v>
      </c>
      <c r="S448" s="4" t="s">
        <v>1280</v>
      </c>
      <c r="T448" s="4">
        <v>3300</v>
      </c>
      <c r="U448" s="4">
        <f t="shared" si="134"/>
        <v>3300</v>
      </c>
      <c r="V448" s="4">
        <v>1980</v>
      </c>
      <c r="W448" s="4">
        <f t="shared" si="135"/>
        <v>1980</v>
      </c>
      <c r="X448" s="4"/>
      <c r="Y448" s="21">
        <f t="shared" si="136"/>
        <v>2827</v>
      </c>
      <c r="Z448" s="6">
        <f t="shared" si="137"/>
        <v>0.29961089494163429</v>
      </c>
      <c r="AA448" s="4">
        <v>0</v>
      </c>
      <c r="AB448" s="4">
        <f t="shared" si="138"/>
        <v>2455</v>
      </c>
      <c r="AC448" s="4">
        <f t="shared" si="149"/>
        <v>2700.5</v>
      </c>
      <c r="AD448" s="6">
        <f t="shared" si="150"/>
        <v>0.26680244399185338</v>
      </c>
      <c r="AE448" s="4">
        <f t="shared" si="151"/>
        <v>3135</v>
      </c>
      <c r="AF448" s="7">
        <v>2700</v>
      </c>
      <c r="AG448" s="6">
        <f t="shared" si="139"/>
        <v>0.26666666666666672</v>
      </c>
      <c r="AH448" s="4">
        <f t="shared" si="140"/>
        <v>720</v>
      </c>
      <c r="AI448" s="28"/>
      <c r="AJ448" s="6"/>
      <c r="AK448" s="6"/>
      <c r="AL448" s="6">
        <f t="shared" si="141"/>
        <v>1.1000000000000001</v>
      </c>
      <c r="AM448" s="6">
        <f t="shared" si="142"/>
        <v>1.0505836575875487</v>
      </c>
      <c r="AN448" s="6">
        <f t="shared" si="143"/>
        <v>1.1000000000000001</v>
      </c>
      <c r="AO448" s="4" t="str">
        <f t="shared" si="144"/>
        <v>-</v>
      </c>
      <c r="AP448" s="4" t="str">
        <f t="shared" si="145"/>
        <v>-</v>
      </c>
      <c r="AQ448" s="4" t="str">
        <f t="shared" si="146"/>
        <v>-</v>
      </c>
      <c r="AR448" s="4">
        <v>0</v>
      </c>
      <c r="AS448" s="4" t="s">
        <v>2171</v>
      </c>
      <c r="AT448" s="4"/>
      <c r="AU448" s="4"/>
      <c r="AV448" s="4" t="s">
        <v>1971</v>
      </c>
      <c r="AW448" s="4">
        <v>2455</v>
      </c>
      <c r="AX448" s="4">
        <v>2455</v>
      </c>
      <c r="AY448" s="4">
        <v>2455</v>
      </c>
      <c r="AZ448" s="4">
        <f t="shared" si="147"/>
        <v>2455</v>
      </c>
      <c r="BA448" s="19">
        <v>4</v>
      </c>
      <c r="BB448" s="19">
        <v>8</v>
      </c>
      <c r="BC448" s="16">
        <v>18</v>
      </c>
      <c r="BD448" t="s">
        <v>1280</v>
      </c>
      <c r="BE448" t="s">
        <v>1280</v>
      </c>
      <c r="BF448" t="s">
        <v>1280</v>
      </c>
      <c r="BG448" t="str">
        <f t="shared" si="152"/>
        <v>-</v>
      </c>
      <c r="BH448" t="s">
        <v>1280</v>
      </c>
      <c r="BI448">
        <v>2873</v>
      </c>
      <c r="BJ448">
        <v>2873</v>
      </c>
      <c r="BK448">
        <f t="shared" si="153"/>
        <v>3160.3</v>
      </c>
      <c r="BL448" t="s">
        <v>1653</v>
      </c>
      <c r="BM448">
        <v>812</v>
      </c>
    </row>
    <row r="449" spans="1:65" x14ac:dyDescent="0.4">
      <c r="A449" s="3">
        <v>552</v>
      </c>
      <c r="B449" s="3">
        <v>552</v>
      </c>
      <c r="C449" s="4" t="s">
        <v>541</v>
      </c>
      <c r="D449" s="4" t="str">
        <f t="shared" si="132"/>
        <v>J910SA</v>
      </c>
      <c r="E449" s="4" t="s">
        <v>541</v>
      </c>
      <c r="F449" s="4" t="str">
        <f t="shared" si="148"/>
        <v>J910SA5</v>
      </c>
      <c r="G449" s="4" t="s">
        <v>1185</v>
      </c>
      <c r="H449" s="5">
        <v>4974268151223</v>
      </c>
      <c r="I449" s="5">
        <v>5</v>
      </c>
      <c r="J449" s="5"/>
      <c r="K449" s="5">
        <v>1</v>
      </c>
      <c r="L449" s="5">
        <v>1</v>
      </c>
      <c r="M449" s="4">
        <v>3100</v>
      </c>
      <c r="N449" s="4">
        <v>2945</v>
      </c>
      <c r="O449" s="4">
        <v>1860</v>
      </c>
      <c r="P449" s="6">
        <f t="shared" si="133"/>
        <v>0.36842105263157898</v>
      </c>
      <c r="Q449" s="4" t="s">
        <v>1280</v>
      </c>
      <c r="R449" s="4" t="s">
        <v>1280</v>
      </c>
      <c r="S449" s="4" t="s">
        <v>1280</v>
      </c>
      <c r="T449" s="4">
        <v>3400</v>
      </c>
      <c r="U449" s="4">
        <f t="shared" si="134"/>
        <v>3400</v>
      </c>
      <c r="V449" s="4">
        <v>2040</v>
      </c>
      <c r="W449" s="4">
        <f t="shared" si="135"/>
        <v>2040</v>
      </c>
      <c r="X449" s="4"/>
      <c r="Y449" s="21">
        <f t="shared" si="136"/>
        <v>3230</v>
      </c>
      <c r="Z449" s="6">
        <f t="shared" si="137"/>
        <v>0.36842105263157898</v>
      </c>
      <c r="AA449" s="4">
        <v>0.25</v>
      </c>
      <c r="AB449" s="4">
        <f t="shared" si="138"/>
        <v>1364</v>
      </c>
      <c r="AC449" s="4">
        <f t="shared" si="149"/>
        <v>1495.9999999999998</v>
      </c>
      <c r="AD449" s="6">
        <f t="shared" si="150"/>
        <v>-0.36363636363636376</v>
      </c>
      <c r="AE449" s="4">
        <f t="shared" si="151"/>
        <v>3230</v>
      </c>
      <c r="AF449" s="7">
        <v>3200</v>
      </c>
      <c r="AG449" s="6">
        <f t="shared" si="139"/>
        <v>0.36250000000000004</v>
      </c>
      <c r="AH449" s="4">
        <f t="shared" si="140"/>
        <v>1160</v>
      </c>
      <c r="AI449" s="28"/>
      <c r="AJ449" s="6"/>
      <c r="AK449" s="6"/>
      <c r="AL449" s="6">
        <f t="shared" si="141"/>
        <v>1.096774193548387</v>
      </c>
      <c r="AM449" s="6">
        <f t="shared" si="142"/>
        <v>1.0865874363327674</v>
      </c>
      <c r="AN449" s="6">
        <f t="shared" si="143"/>
        <v>1.096774193548387</v>
      </c>
      <c r="AO449" s="4" t="str">
        <f t="shared" si="144"/>
        <v>-</v>
      </c>
      <c r="AP449" s="4" t="str">
        <f t="shared" si="145"/>
        <v>-</v>
      </c>
      <c r="AQ449" s="4" t="str">
        <f t="shared" si="146"/>
        <v>-</v>
      </c>
      <c r="AR449" s="4">
        <v>0</v>
      </c>
      <c r="AS449" s="4" t="s">
        <v>2106</v>
      </c>
      <c r="AT449" s="4"/>
      <c r="AU449" s="4"/>
      <c r="AV449" s="4" t="s">
        <v>1866</v>
      </c>
      <c r="AW449" s="4">
        <v>1364</v>
      </c>
      <c r="AX449" s="4">
        <v>1364</v>
      </c>
      <c r="AY449" s="4">
        <v>1364</v>
      </c>
      <c r="AZ449" s="4">
        <f t="shared" si="147"/>
        <v>1364</v>
      </c>
      <c r="BA449" s="19">
        <v>4</v>
      </c>
      <c r="BB449" s="19">
        <v>8</v>
      </c>
      <c r="BC449" s="16">
        <v>18</v>
      </c>
      <c r="BD449" t="s">
        <v>1280</v>
      </c>
      <c r="BE449" t="s">
        <v>1280</v>
      </c>
      <c r="BF449" t="s">
        <v>1280</v>
      </c>
      <c r="BG449" t="str">
        <f t="shared" si="152"/>
        <v>-</v>
      </c>
      <c r="BH449" t="s">
        <v>1280</v>
      </c>
      <c r="BI449" t="s">
        <v>1280</v>
      </c>
      <c r="BJ449" t="s">
        <v>1280</v>
      </c>
      <c r="BK449" t="str">
        <f t="shared" si="153"/>
        <v>-</v>
      </c>
      <c r="BL449" t="s">
        <v>1603</v>
      </c>
      <c r="BM449">
        <v>812</v>
      </c>
    </row>
    <row r="450" spans="1:65" x14ac:dyDescent="0.4">
      <c r="A450" s="3">
        <v>554</v>
      </c>
      <c r="B450" s="3">
        <v>554</v>
      </c>
      <c r="C450" s="4" t="s">
        <v>543</v>
      </c>
      <c r="D450" s="4" t="str">
        <f t="shared" si="132"/>
        <v>J912SA</v>
      </c>
      <c r="E450" s="4" t="s">
        <v>543</v>
      </c>
      <c r="F450" s="4" t="str">
        <f t="shared" si="148"/>
        <v>J912SA5</v>
      </c>
      <c r="G450" s="4" t="s">
        <v>1187</v>
      </c>
      <c r="H450" s="5">
        <v>4974268152299</v>
      </c>
      <c r="I450" s="5">
        <v>5</v>
      </c>
      <c r="J450" s="5"/>
      <c r="K450" s="5">
        <v>1</v>
      </c>
      <c r="L450" s="5">
        <v>1</v>
      </c>
      <c r="M450" s="4">
        <v>3100</v>
      </c>
      <c r="N450" s="4">
        <v>2945</v>
      </c>
      <c r="O450" s="4">
        <v>1860</v>
      </c>
      <c r="P450" s="6">
        <f t="shared" si="133"/>
        <v>0.36842105263157898</v>
      </c>
      <c r="Q450" s="4" t="s">
        <v>1280</v>
      </c>
      <c r="R450" s="4" t="s">
        <v>1280</v>
      </c>
      <c r="S450" s="4" t="s">
        <v>1280</v>
      </c>
      <c r="T450" s="4">
        <v>3400</v>
      </c>
      <c r="U450" s="4">
        <f t="shared" si="134"/>
        <v>3400</v>
      </c>
      <c r="V450" s="4">
        <v>2040</v>
      </c>
      <c r="W450" s="4">
        <f t="shared" si="135"/>
        <v>2040</v>
      </c>
      <c r="X450" s="4"/>
      <c r="Y450" s="21">
        <f t="shared" si="136"/>
        <v>3230</v>
      </c>
      <c r="Z450" s="6">
        <f t="shared" si="137"/>
        <v>0.36842105263157898</v>
      </c>
      <c r="AA450" s="4">
        <v>0.25</v>
      </c>
      <c r="AB450" s="4">
        <f t="shared" si="138"/>
        <v>1364</v>
      </c>
      <c r="AC450" s="4">
        <f t="shared" si="149"/>
        <v>1495.9999999999998</v>
      </c>
      <c r="AD450" s="6">
        <f t="shared" si="150"/>
        <v>-0.36363636363636376</v>
      </c>
      <c r="AE450" s="4">
        <f t="shared" si="151"/>
        <v>3230</v>
      </c>
      <c r="AF450" s="7">
        <v>3200</v>
      </c>
      <c r="AG450" s="6">
        <f t="shared" si="139"/>
        <v>0.36250000000000004</v>
      </c>
      <c r="AH450" s="4">
        <f t="shared" si="140"/>
        <v>1160</v>
      </c>
      <c r="AI450" s="28"/>
      <c r="AJ450" s="6"/>
      <c r="AK450" s="6"/>
      <c r="AL450" s="6">
        <f t="shared" si="141"/>
        <v>1.096774193548387</v>
      </c>
      <c r="AM450" s="6">
        <f t="shared" si="142"/>
        <v>1.0865874363327674</v>
      </c>
      <c r="AN450" s="6">
        <f t="shared" si="143"/>
        <v>1.096774193548387</v>
      </c>
      <c r="AO450" s="4" t="str">
        <f t="shared" si="144"/>
        <v>-</v>
      </c>
      <c r="AP450" s="4" t="str">
        <f t="shared" si="145"/>
        <v>-</v>
      </c>
      <c r="AQ450" s="4" t="str">
        <f t="shared" si="146"/>
        <v>-</v>
      </c>
      <c r="AR450" s="4">
        <v>0</v>
      </c>
      <c r="AS450" s="4" t="s">
        <v>2109</v>
      </c>
      <c r="AT450" s="4"/>
      <c r="AU450" s="4"/>
      <c r="AV450" s="4" t="s">
        <v>1866</v>
      </c>
      <c r="AW450" s="4">
        <v>1364</v>
      </c>
      <c r="AX450" s="4">
        <v>1364</v>
      </c>
      <c r="AY450" s="4">
        <v>1364</v>
      </c>
      <c r="AZ450" s="4">
        <f t="shared" si="147"/>
        <v>1364</v>
      </c>
      <c r="BA450" s="19">
        <v>4</v>
      </c>
      <c r="BB450" s="19">
        <v>8</v>
      </c>
      <c r="BC450" s="16">
        <v>18</v>
      </c>
      <c r="BD450" t="s">
        <v>1280</v>
      </c>
      <c r="BE450" t="s">
        <v>1280</v>
      </c>
      <c r="BF450" t="s">
        <v>1280</v>
      </c>
      <c r="BG450" t="str">
        <f t="shared" si="152"/>
        <v>-</v>
      </c>
      <c r="BH450">
        <v>3011</v>
      </c>
      <c r="BI450">
        <v>3011</v>
      </c>
      <c r="BJ450">
        <v>3011</v>
      </c>
      <c r="BK450">
        <f t="shared" si="153"/>
        <v>3302.3870967741932</v>
      </c>
      <c r="BL450" t="s">
        <v>1605</v>
      </c>
      <c r="BM450">
        <v>812</v>
      </c>
    </row>
    <row r="451" spans="1:65" x14ac:dyDescent="0.4">
      <c r="A451" s="3">
        <v>555</v>
      </c>
      <c r="B451" s="3">
        <v>555</v>
      </c>
      <c r="C451" s="4" t="s">
        <v>544</v>
      </c>
      <c r="D451" s="4" t="str">
        <f t="shared" si="132"/>
        <v>J916SA</v>
      </c>
      <c r="E451" s="4" t="s">
        <v>544</v>
      </c>
      <c r="F451" s="4" t="str">
        <f t="shared" si="148"/>
        <v>J916SA5</v>
      </c>
      <c r="G451" s="4" t="s">
        <v>1188</v>
      </c>
      <c r="H451" s="5">
        <v>4974268152664</v>
      </c>
      <c r="I451" s="5">
        <v>5</v>
      </c>
      <c r="J451" s="5"/>
      <c r="K451" s="5">
        <v>1</v>
      </c>
      <c r="L451" s="5">
        <v>1</v>
      </c>
      <c r="M451" s="4">
        <v>3100</v>
      </c>
      <c r="N451" s="4">
        <v>2945</v>
      </c>
      <c r="O451" s="4">
        <v>1860</v>
      </c>
      <c r="P451" s="6">
        <f t="shared" si="133"/>
        <v>0.36842105263157898</v>
      </c>
      <c r="Q451" s="4" t="s">
        <v>1280</v>
      </c>
      <c r="R451" s="4" t="s">
        <v>1280</v>
      </c>
      <c r="S451" s="4" t="s">
        <v>1280</v>
      </c>
      <c r="T451" s="4">
        <v>3400</v>
      </c>
      <c r="U451" s="4">
        <f t="shared" si="134"/>
        <v>3400</v>
      </c>
      <c r="V451" s="4">
        <v>2040</v>
      </c>
      <c r="W451" s="4">
        <f t="shared" si="135"/>
        <v>2040</v>
      </c>
      <c r="X451" s="4"/>
      <c r="Y451" s="21">
        <f t="shared" si="136"/>
        <v>3230</v>
      </c>
      <c r="Z451" s="6">
        <f t="shared" si="137"/>
        <v>0.36842105263157898</v>
      </c>
      <c r="AA451" s="4">
        <v>0.25</v>
      </c>
      <c r="AB451" s="4">
        <f t="shared" si="138"/>
        <v>1364</v>
      </c>
      <c r="AC451" s="4">
        <f t="shared" si="149"/>
        <v>1495.9999999999998</v>
      </c>
      <c r="AD451" s="6">
        <f t="shared" si="150"/>
        <v>-0.36363636363636376</v>
      </c>
      <c r="AE451" s="4">
        <f t="shared" si="151"/>
        <v>3230</v>
      </c>
      <c r="AF451" s="7">
        <v>3200</v>
      </c>
      <c r="AG451" s="6">
        <f t="shared" si="139"/>
        <v>0.36250000000000004</v>
      </c>
      <c r="AH451" s="4">
        <f t="shared" si="140"/>
        <v>1160</v>
      </c>
      <c r="AI451" s="28"/>
      <c r="AJ451" s="6"/>
      <c r="AK451" s="6"/>
      <c r="AL451" s="6">
        <f t="shared" si="141"/>
        <v>1.096774193548387</v>
      </c>
      <c r="AM451" s="6">
        <f t="shared" si="142"/>
        <v>1.0865874363327674</v>
      </c>
      <c r="AN451" s="6">
        <f t="shared" si="143"/>
        <v>1.096774193548387</v>
      </c>
      <c r="AO451" s="4" t="str">
        <f t="shared" si="144"/>
        <v>-</v>
      </c>
      <c r="AP451" s="4" t="str">
        <f t="shared" si="145"/>
        <v>-</v>
      </c>
      <c r="AQ451" s="4" t="str">
        <f t="shared" si="146"/>
        <v>-</v>
      </c>
      <c r="AR451" s="4">
        <v>0</v>
      </c>
      <c r="AS451" s="4" t="s">
        <v>2110</v>
      </c>
      <c r="AT451" s="4"/>
      <c r="AU451" s="4"/>
      <c r="AV451" s="4" t="s">
        <v>1866</v>
      </c>
      <c r="AW451" s="4">
        <v>1364</v>
      </c>
      <c r="AX451" s="4">
        <v>1364</v>
      </c>
      <c r="AY451" s="4">
        <v>1364</v>
      </c>
      <c r="AZ451" s="4">
        <f t="shared" si="147"/>
        <v>1364</v>
      </c>
      <c r="BA451" s="19">
        <v>4</v>
      </c>
      <c r="BB451" s="19">
        <v>8</v>
      </c>
      <c r="BC451" s="16">
        <v>18</v>
      </c>
      <c r="BD451" t="s">
        <v>1280</v>
      </c>
      <c r="BE451" t="s">
        <v>1280</v>
      </c>
      <c r="BF451" t="s">
        <v>1280</v>
      </c>
      <c r="BG451" t="str">
        <f t="shared" si="152"/>
        <v>-</v>
      </c>
      <c r="BH451" t="s">
        <v>1280</v>
      </c>
      <c r="BI451" t="s">
        <v>1280</v>
      </c>
      <c r="BJ451" t="s">
        <v>1280</v>
      </c>
      <c r="BK451" t="str">
        <f t="shared" si="153"/>
        <v>-</v>
      </c>
      <c r="BL451" t="s">
        <v>1606</v>
      </c>
      <c r="BM451">
        <v>812</v>
      </c>
    </row>
    <row r="452" spans="1:65" x14ac:dyDescent="0.4">
      <c r="A452" s="3">
        <v>586</v>
      </c>
      <c r="B452" s="3">
        <v>586</v>
      </c>
      <c r="C452" s="4" t="s">
        <v>575</v>
      </c>
      <c r="D452" s="4" t="str">
        <f t="shared" ref="D452:D515" si="154">TEXT(C452,"000000")</f>
        <v>J94456</v>
      </c>
      <c r="E452" s="4" t="s">
        <v>575</v>
      </c>
      <c r="F452" s="4" t="str">
        <f t="shared" si="148"/>
        <v>J944565</v>
      </c>
      <c r="G452" s="4" t="s">
        <v>1219</v>
      </c>
      <c r="H452" s="5">
        <v>4974268150035</v>
      </c>
      <c r="I452" s="5">
        <v>5</v>
      </c>
      <c r="J452" s="5"/>
      <c r="K452" s="5">
        <v>1</v>
      </c>
      <c r="L452" s="5">
        <v>1</v>
      </c>
      <c r="M452" s="4">
        <v>3100</v>
      </c>
      <c r="N452" s="4">
        <v>2900</v>
      </c>
      <c r="O452" s="4">
        <v>1860</v>
      </c>
      <c r="P452" s="6">
        <f t="shared" ref="P452:P515" si="155">1-O452/N452</f>
        <v>0.35862068965517246</v>
      </c>
      <c r="Q452" s="4" t="s">
        <v>1280</v>
      </c>
      <c r="R452" s="4" t="s">
        <v>1280</v>
      </c>
      <c r="S452" s="4" t="s">
        <v>1280</v>
      </c>
      <c r="T452" s="4">
        <v>3400</v>
      </c>
      <c r="U452" s="4">
        <f t="shared" ref="U452:U515" si="156">IF(X452="",T452,T452*X452)</f>
        <v>3400</v>
      </c>
      <c r="V452" s="4">
        <v>2040</v>
      </c>
      <c r="W452" s="4">
        <f t="shared" ref="W452:W515" si="157">IF(X452="",V452,V452*X452)</f>
        <v>2040</v>
      </c>
      <c r="X452" s="4"/>
      <c r="Y452" s="21">
        <f t="shared" ref="Y452:Y515" si="158">ROUND(N452*AN452,0)</f>
        <v>3181</v>
      </c>
      <c r="Z452" s="6">
        <f t="shared" ref="Z452:Z515" si="159">1-W452/Y452</f>
        <v>0.35869223514618043</v>
      </c>
      <c r="AA452" s="4">
        <v>0.75</v>
      </c>
      <c r="AB452" s="4">
        <f t="shared" ref="AB452:AB515" si="160">AZ452</f>
        <v>3064</v>
      </c>
      <c r="AC452" s="4">
        <f t="shared" si="149"/>
        <v>3360.5161290322576</v>
      </c>
      <c r="AD452" s="6">
        <f t="shared" si="150"/>
        <v>0.39295039164490853</v>
      </c>
      <c r="AE452" s="4">
        <f t="shared" si="151"/>
        <v>3230</v>
      </c>
      <c r="AF452" s="7">
        <v>3180</v>
      </c>
      <c r="AG452" s="6">
        <f t="shared" ref="AG452:AG515" si="161">1-W452/AF452</f>
        <v>0.35849056603773588</v>
      </c>
      <c r="AH452" s="4">
        <f t="shared" ref="AH452:AH515" si="162">AF452-W452</f>
        <v>1140</v>
      </c>
      <c r="AI452" s="28"/>
      <c r="AJ452" s="6"/>
      <c r="AK452" s="6"/>
      <c r="AL452" s="6">
        <f t="shared" ref="AL452:AL515" si="163">U452/M452</f>
        <v>1.096774193548387</v>
      </c>
      <c r="AM452" s="6">
        <f t="shared" ref="AM452:AM515" si="164">AF452/N452</f>
        <v>1.096551724137931</v>
      </c>
      <c r="AN452" s="6">
        <f t="shared" ref="AN452:AN515" si="165">W452/O452</f>
        <v>1.096774193548387</v>
      </c>
      <c r="AO452" s="4" t="str">
        <f t="shared" ref="AO452:AO515" si="166">IFERROR(ROUND($AF452*Q452/$N452,0),"-")</f>
        <v>-</v>
      </c>
      <c r="AP452" s="4" t="str">
        <f t="shared" ref="AP452:AP515" si="167">IF(R452="","-",R452)</f>
        <v>-</v>
      </c>
      <c r="AQ452" s="4" t="str">
        <f t="shared" ref="AQ452:AQ515" si="168">IF(S452="","-",S452)</f>
        <v>-</v>
      </c>
      <c r="AR452" s="4" t="s">
        <v>1281</v>
      </c>
      <c r="AS452" s="4" t="s">
        <v>2146</v>
      </c>
      <c r="AT452" s="4"/>
      <c r="AU452" s="4"/>
      <c r="AV452" s="4" t="s">
        <v>2147</v>
      </c>
      <c r="AW452" s="4">
        <v>3064</v>
      </c>
      <c r="AX452" s="4">
        <v>3064</v>
      </c>
      <c r="AY452" s="4">
        <v>3064</v>
      </c>
      <c r="AZ452" s="4">
        <f t="shared" ref="AZ452:AZ515" si="169">IF(AT452="",AY452,AT452/AU452*AY452)</f>
        <v>3064</v>
      </c>
      <c r="BA452" s="19">
        <v>4</v>
      </c>
      <c r="BB452" s="19">
        <v>8</v>
      </c>
      <c r="BC452" s="16">
        <v>18</v>
      </c>
      <c r="BD452" t="s">
        <v>1280</v>
      </c>
      <c r="BE452" t="s">
        <v>1280</v>
      </c>
      <c r="BF452" t="s">
        <v>1280</v>
      </c>
      <c r="BG452" t="str">
        <f t="shared" si="152"/>
        <v>-</v>
      </c>
      <c r="BH452">
        <v>2906</v>
      </c>
      <c r="BI452">
        <v>2906</v>
      </c>
      <c r="BJ452">
        <v>2906</v>
      </c>
      <c r="BK452">
        <f t="shared" si="153"/>
        <v>3187.2258064516127</v>
      </c>
      <c r="BL452" t="s">
        <v>1634</v>
      </c>
      <c r="BM452">
        <v>812</v>
      </c>
    </row>
    <row r="453" spans="1:65" x14ac:dyDescent="0.4">
      <c r="A453" s="3">
        <v>587</v>
      </c>
      <c r="B453" s="3">
        <v>587</v>
      </c>
      <c r="C453" s="4" t="s">
        <v>576</v>
      </c>
      <c r="D453" s="4" t="str">
        <f t="shared" si="154"/>
        <v>J94460</v>
      </c>
      <c r="E453" s="4" t="s">
        <v>576</v>
      </c>
      <c r="F453" s="4" t="str">
        <f t="shared" ref="F453:F516" si="170">D453&amp;I453</f>
        <v>J944605</v>
      </c>
      <c r="G453" s="4" t="s">
        <v>1220</v>
      </c>
      <c r="H453" s="5">
        <v>4974268151179</v>
      </c>
      <c r="I453" s="5">
        <v>5</v>
      </c>
      <c r="J453" s="5"/>
      <c r="K453" s="5">
        <v>1</v>
      </c>
      <c r="L453" s="5">
        <v>1</v>
      </c>
      <c r="M453" s="4">
        <v>3100</v>
      </c>
      <c r="N453" s="4">
        <v>2810</v>
      </c>
      <c r="O453" s="4">
        <v>1860</v>
      </c>
      <c r="P453" s="6">
        <f t="shared" si="155"/>
        <v>0.33807829181494664</v>
      </c>
      <c r="Q453" s="4" t="s">
        <v>1280</v>
      </c>
      <c r="R453" s="4" t="s">
        <v>1280</v>
      </c>
      <c r="S453" s="4" t="s">
        <v>1280</v>
      </c>
      <c r="T453" s="4">
        <v>3400</v>
      </c>
      <c r="U453" s="4">
        <f t="shared" si="156"/>
        <v>3400</v>
      </c>
      <c r="V453" s="4">
        <v>2040</v>
      </c>
      <c r="W453" s="4">
        <f t="shared" si="157"/>
        <v>2040</v>
      </c>
      <c r="X453" s="4"/>
      <c r="Y453" s="21">
        <f t="shared" si="158"/>
        <v>3082</v>
      </c>
      <c r="Z453" s="6">
        <f t="shared" si="159"/>
        <v>0.33809214795587283</v>
      </c>
      <c r="AA453" s="4">
        <v>1.7500000000000002</v>
      </c>
      <c r="AB453" s="4" t="str">
        <f t="shared" si="160"/>
        <v>-</v>
      </c>
      <c r="AC453" s="4" t="str">
        <f t="shared" ref="AC453:AC516" si="171">IFERROR(AB453*AN453,"-")</f>
        <v>-</v>
      </c>
      <c r="AD453" s="6" t="str">
        <f t="shared" ref="AD453:AD516" si="172">IFERROR(1-W453/AC453,"-")</f>
        <v>-</v>
      </c>
      <c r="AE453" s="4">
        <f t="shared" ref="AE453:AE516" si="173">U453*0.95</f>
        <v>3230</v>
      </c>
      <c r="AF453" s="7">
        <v>3180</v>
      </c>
      <c r="AG453" s="6">
        <f t="shared" si="161"/>
        <v>0.35849056603773588</v>
      </c>
      <c r="AH453" s="4">
        <f t="shared" si="162"/>
        <v>1140</v>
      </c>
      <c r="AI453" s="28"/>
      <c r="AJ453" s="6"/>
      <c r="AK453" s="6"/>
      <c r="AL453" s="6">
        <f t="shared" si="163"/>
        <v>1.096774193548387</v>
      </c>
      <c r="AM453" s="6">
        <f t="shared" si="164"/>
        <v>1.1316725978647686</v>
      </c>
      <c r="AN453" s="6">
        <f t="shared" si="165"/>
        <v>1.096774193548387</v>
      </c>
      <c r="AO453" s="4" t="str">
        <f t="shared" si="166"/>
        <v>-</v>
      </c>
      <c r="AP453" s="4" t="str">
        <f t="shared" si="167"/>
        <v>-</v>
      </c>
      <c r="AQ453" s="4" t="str">
        <f t="shared" si="168"/>
        <v>-</v>
      </c>
      <c r="AR453" s="4">
        <v>0</v>
      </c>
      <c r="AS453" s="4" t="s">
        <v>1280</v>
      </c>
      <c r="AT453" s="4"/>
      <c r="AU453" s="4"/>
      <c r="AV453" s="4" t="s">
        <v>1280</v>
      </c>
      <c r="AW453" s="4" t="s">
        <v>1280</v>
      </c>
      <c r="AX453" s="4" t="s">
        <v>1280</v>
      </c>
      <c r="AY453" s="4" t="s">
        <v>1280</v>
      </c>
      <c r="AZ453" s="4" t="str">
        <f t="shared" si="169"/>
        <v>-</v>
      </c>
      <c r="BA453" s="19">
        <v>4</v>
      </c>
      <c r="BB453" s="19">
        <v>8</v>
      </c>
      <c r="BC453" s="16">
        <v>18</v>
      </c>
      <c r="BD453">
        <v>2105</v>
      </c>
      <c r="BE453">
        <v>2105</v>
      </c>
      <c r="BF453">
        <v>2105</v>
      </c>
      <c r="BG453">
        <f t="shared" ref="BG453:BG516" si="174">IFERROR(BF453*AN453,"-")</f>
        <v>2308.7096774193546</v>
      </c>
      <c r="BH453">
        <v>2906</v>
      </c>
      <c r="BI453">
        <v>2906</v>
      </c>
      <c r="BJ453">
        <v>2906</v>
      </c>
      <c r="BK453">
        <f t="shared" ref="BK453:BK516" si="175">IFERROR(BJ453*AN453,"-")</f>
        <v>3187.2258064516127</v>
      </c>
      <c r="BL453" t="s">
        <v>1280</v>
      </c>
      <c r="BM453">
        <v>812</v>
      </c>
    </row>
    <row r="454" spans="1:65" x14ac:dyDescent="0.4">
      <c r="A454" s="3">
        <v>646</v>
      </c>
      <c r="B454" s="3">
        <v>646</v>
      </c>
      <c r="C454" s="4" t="s">
        <v>635</v>
      </c>
      <c r="D454" s="4" t="str">
        <f t="shared" si="154"/>
        <v>JB4461</v>
      </c>
      <c r="E454" s="4" t="s">
        <v>635</v>
      </c>
      <c r="F454" s="4" t="str">
        <f t="shared" si="170"/>
        <v>JB44615</v>
      </c>
      <c r="G454" s="4" t="s">
        <v>1279</v>
      </c>
      <c r="H454" s="5">
        <v>4974268696052</v>
      </c>
      <c r="I454" s="5">
        <v>5</v>
      </c>
      <c r="J454" s="5"/>
      <c r="K454" s="5">
        <v>1</v>
      </c>
      <c r="L454" s="5">
        <v>1</v>
      </c>
      <c r="M454" s="4">
        <v>3100</v>
      </c>
      <c r="N454" s="4">
        <v>2919</v>
      </c>
      <c r="O454" s="4">
        <v>1860</v>
      </c>
      <c r="P454" s="6">
        <f t="shared" si="155"/>
        <v>0.36279547790339162</v>
      </c>
      <c r="Q454" s="4" t="s">
        <v>1280</v>
      </c>
      <c r="R454" s="4" t="s">
        <v>1280</v>
      </c>
      <c r="S454" s="4" t="s">
        <v>1280</v>
      </c>
      <c r="T454" s="4">
        <v>3420</v>
      </c>
      <c r="U454" s="4">
        <f t="shared" si="156"/>
        <v>3420</v>
      </c>
      <c r="V454" s="4">
        <v>2052</v>
      </c>
      <c r="W454" s="4">
        <f t="shared" si="157"/>
        <v>2052</v>
      </c>
      <c r="X454" s="4"/>
      <c r="Y454" s="21">
        <f t="shared" si="158"/>
        <v>3220</v>
      </c>
      <c r="Z454" s="6">
        <f t="shared" si="159"/>
        <v>0.36273291925465834</v>
      </c>
      <c r="AA454" s="4">
        <v>0.5</v>
      </c>
      <c r="AB454" s="4">
        <f t="shared" si="160"/>
        <v>2618</v>
      </c>
      <c r="AC454" s="4">
        <f t="shared" si="171"/>
        <v>2888.2451612903228</v>
      </c>
      <c r="AD454" s="6">
        <f t="shared" si="172"/>
        <v>0.28953399541634839</v>
      </c>
      <c r="AE454" s="4">
        <f t="shared" si="173"/>
        <v>3249</v>
      </c>
      <c r="AF454" s="7">
        <v>2888</v>
      </c>
      <c r="AG454" s="6">
        <f t="shared" si="161"/>
        <v>0.28947368421052633</v>
      </c>
      <c r="AH454" s="4">
        <f t="shared" si="162"/>
        <v>836</v>
      </c>
      <c r="AI454" s="28"/>
      <c r="AJ454" s="6"/>
      <c r="AK454" s="6"/>
      <c r="AL454" s="6">
        <f t="shared" si="163"/>
        <v>1.1032258064516129</v>
      </c>
      <c r="AM454" s="6">
        <f t="shared" si="164"/>
        <v>0.9893799246317232</v>
      </c>
      <c r="AN454" s="6">
        <f t="shared" si="165"/>
        <v>1.1032258064516129</v>
      </c>
      <c r="AO454" s="4" t="str">
        <f t="shared" si="166"/>
        <v>-</v>
      </c>
      <c r="AP454" s="4" t="str">
        <f t="shared" si="167"/>
        <v>-</v>
      </c>
      <c r="AQ454" s="4" t="str">
        <f t="shared" si="168"/>
        <v>-</v>
      </c>
      <c r="AR454" s="4">
        <v>0</v>
      </c>
      <c r="AS454" s="4" t="s">
        <v>2202</v>
      </c>
      <c r="AT454" s="4"/>
      <c r="AU454" s="4"/>
      <c r="AV454" s="4" t="s">
        <v>1697</v>
      </c>
      <c r="AW454" s="4">
        <v>2618</v>
      </c>
      <c r="AX454" s="4">
        <v>2618</v>
      </c>
      <c r="AY454" s="4">
        <v>2618</v>
      </c>
      <c r="AZ454" s="4">
        <f t="shared" si="169"/>
        <v>2618</v>
      </c>
      <c r="BA454" s="19">
        <v>4</v>
      </c>
      <c r="BB454" s="19">
        <v>8</v>
      </c>
      <c r="BC454" s="16">
        <v>4</v>
      </c>
      <c r="BD454" t="s">
        <v>1280</v>
      </c>
      <c r="BE454" t="s">
        <v>1280</v>
      </c>
      <c r="BF454" t="s">
        <v>1280</v>
      </c>
      <c r="BG454" t="str">
        <f t="shared" si="174"/>
        <v>-</v>
      </c>
      <c r="BH454" t="s">
        <v>1280</v>
      </c>
      <c r="BI454">
        <v>3200</v>
      </c>
      <c r="BJ454">
        <v>3200</v>
      </c>
      <c r="BK454">
        <f t="shared" si="175"/>
        <v>3530.3225806451615</v>
      </c>
      <c r="BL454" t="s">
        <v>1680</v>
      </c>
      <c r="BM454">
        <v>812</v>
      </c>
    </row>
    <row r="455" spans="1:65" x14ac:dyDescent="0.4">
      <c r="A455" s="3">
        <v>322</v>
      </c>
      <c r="B455" s="3">
        <v>322</v>
      </c>
      <c r="C455" s="4" t="s">
        <v>311</v>
      </c>
      <c r="D455" s="4" t="str">
        <f t="shared" si="154"/>
        <v>J3975N</v>
      </c>
      <c r="E455" s="4" t="s">
        <v>311</v>
      </c>
      <c r="F455" s="4" t="str">
        <f t="shared" si="170"/>
        <v>J3975N5</v>
      </c>
      <c r="G455" s="4" t="s">
        <v>957</v>
      </c>
      <c r="H455" s="5">
        <v>4529671084868</v>
      </c>
      <c r="I455" s="5">
        <v>5</v>
      </c>
      <c r="J455" s="5"/>
      <c r="K455" s="5">
        <v>1</v>
      </c>
      <c r="L455" s="5">
        <v>1</v>
      </c>
      <c r="M455" s="4">
        <v>0</v>
      </c>
      <c r="N455" s="4">
        <v>2747</v>
      </c>
      <c r="O455" s="4">
        <v>1872</v>
      </c>
      <c r="P455" s="6">
        <f t="shared" si="155"/>
        <v>0.31852930469603202</v>
      </c>
      <c r="Q455" s="4" t="s">
        <v>1280</v>
      </c>
      <c r="R455" s="4" t="s">
        <v>1280</v>
      </c>
      <c r="S455" s="4" t="s">
        <v>1280</v>
      </c>
      <c r="T455" s="4">
        <v>0</v>
      </c>
      <c r="U455" s="4">
        <f t="shared" si="156"/>
        <v>0</v>
      </c>
      <c r="V455" s="4">
        <v>2058</v>
      </c>
      <c r="W455" s="4">
        <f t="shared" si="157"/>
        <v>2058</v>
      </c>
      <c r="X455" s="4"/>
      <c r="Y455" s="21">
        <f t="shared" si="158"/>
        <v>3020</v>
      </c>
      <c r="Z455" s="6">
        <f t="shared" si="159"/>
        <v>0.31854304635761588</v>
      </c>
      <c r="AA455" s="4">
        <v>0</v>
      </c>
      <c r="AB455" s="4" t="str">
        <f t="shared" si="160"/>
        <v>-</v>
      </c>
      <c r="AC455" s="4" t="str">
        <f t="shared" si="171"/>
        <v>-</v>
      </c>
      <c r="AD455" s="6" t="str">
        <f t="shared" si="172"/>
        <v>-</v>
      </c>
      <c r="AE455" s="4">
        <f t="shared" si="173"/>
        <v>0</v>
      </c>
      <c r="AF455" s="7">
        <v>3150</v>
      </c>
      <c r="AG455" s="6">
        <f t="shared" si="161"/>
        <v>0.34666666666666668</v>
      </c>
      <c r="AH455" s="4">
        <f t="shared" si="162"/>
        <v>1092</v>
      </c>
      <c r="AI455" s="28"/>
      <c r="AJ455" s="6"/>
      <c r="AK455" s="6"/>
      <c r="AL455" s="6" t="e">
        <f t="shared" si="163"/>
        <v>#DIV/0!</v>
      </c>
      <c r="AM455" s="6">
        <f t="shared" si="164"/>
        <v>1.1467054969057153</v>
      </c>
      <c r="AN455" s="6">
        <f t="shared" si="165"/>
        <v>1.0993589743589745</v>
      </c>
      <c r="AO455" s="4" t="str">
        <f t="shared" si="166"/>
        <v>-</v>
      </c>
      <c r="AP455" s="4" t="str">
        <f t="shared" si="167"/>
        <v>-</v>
      </c>
      <c r="AQ455" s="4" t="str">
        <f t="shared" si="168"/>
        <v>-</v>
      </c>
      <c r="AR455" s="4">
        <v>0</v>
      </c>
      <c r="AS455" s="4" t="s">
        <v>1280</v>
      </c>
      <c r="AT455" s="4"/>
      <c r="AU455" s="4"/>
      <c r="AV455" s="4" t="s">
        <v>1280</v>
      </c>
      <c r="AW455" s="4" t="s">
        <v>1280</v>
      </c>
      <c r="AX455" s="4" t="s">
        <v>1280</v>
      </c>
      <c r="AY455" s="4" t="s">
        <v>1280</v>
      </c>
      <c r="AZ455" s="4" t="str">
        <f t="shared" si="169"/>
        <v>-</v>
      </c>
      <c r="BA455" s="19">
        <v>4</v>
      </c>
      <c r="BB455" s="19">
        <v>8</v>
      </c>
      <c r="BC455" s="16">
        <v>19</v>
      </c>
      <c r="BD455" t="s">
        <v>1280</v>
      </c>
      <c r="BE455" t="s">
        <v>1280</v>
      </c>
      <c r="BF455" t="s">
        <v>1280</v>
      </c>
      <c r="BG455" t="str">
        <f t="shared" si="174"/>
        <v>-</v>
      </c>
      <c r="BH455">
        <v>2331</v>
      </c>
      <c r="BI455">
        <v>2331</v>
      </c>
      <c r="BJ455">
        <v>2331</v>
      </c>
      <c r="BK455">
        <f t="shared" si="175"/>
        <v>2562.6057692307695</v>
      </c>
      <c r="BL455" t="s">
        <v>1280</v>
      </c>
      <c r="BM455">
        <v>812</v>
      </c>
    </row>
    <row r="456" spans="1:65" x14ac:dyDescent="0.4">
      <c r="A456" s="3">
        <v>323</v>
      </c>
      <c r="B456" s="3">
        <v>323</v>
      </c>
      <c r="C456" s="4" t="s">
        <v>312</v>
      </c>
      <c r="D456" s="4" t="str">
        <f t="shared" si="154"/>
        <v>J3976N</v>
      </c>
      <c r="E456" s="4" t="s">
        <v>312</v>
      </c>
      <c r="F456" s="4" t="str">
        <f t="shared" si="170"/>
        <v>J3976N5</v>
      </c>
      <c r="G456" s="4" t="s">
        <v>958</v>
      </c>
      <c r="H456" s="5">
        <v>4529671084875</v>
      </c>
      <c r="I456" s="5">
        <v>5</v>
      </c>
      <c r="J456" s="5"/>
      <c r="K456" s="5">
        <v>1</v>
      </c>
      <c r="L456" s="5">
        <v>1</v>
      </c>
      <c r="M456" s="4">
        <v>0</v>
      </c>
      <c r="N456" s="4">
        <v>2747</v>
      </c>
      <c r="O456" s="4">
        <v>1872</v>
      </c>
      <c r="P456" s="6">
        <f t="shared" si="155"/>
        <v>0.31852930469603202</v>
      </c>
      <c r="Q456" s="4" t="s">
        <v>1280</v>
      </c>
      <c r="R456" s="4" t="s">
        <v>1280</v>
      </c>
      <c r="S456" s="4" t="s">
        <v>1280</v>
      </c>
      <c r="T456" s="4">
        <v>0</v>
      </c>
      <c r="U456" s="4">
        <f t="shared" si="156"/>
        <v>0</v>
      </c>
      <c r="V456" s="4">
        <v>2058</v>
      </c>
      <c r="W456" s="4">
        <f t="shared" si="157"/>
        <v>2058</v>
      </c>
      <c r="X456" s="4"/>
      <c r="Y456" s="21">
        <f t="shared" si="158"/>
        <v>3020</v>
      </c>
      <c r="Z456" s="6">
        <f t="shared" si="159"/>
        <v>0.31854304635761588</v>
      </c>
      <c r="AA456" s="4">
        <v>0</v>
      </c>
      <c r="AB456" s="4" t="str">
        <f t="shared" si="160"/>
        <v>-</v>
      </c>
      <c r="AC456" s="4" t="str">
        <f t="shared" si="171"/>
        <v>-</v>
      </c>
      <c r="AD456" s="6" t="str">
        <f t="shared" si="172"/>
        <v>-</v>
      </c>
      <c r="AE456" s="4">
        <f t="shared" si="173"/>
        <v>0</v>
      </c>
      <c r="AF456" s="7">
        <v>3150</v>
      </c>
      <c r="AG456" s="6">
        <f t="shared" si="161"/>
        <v>0.34666666666666668</v>
      </c>
      <c r="AH456" s="4">
        <f t="shared" si="162"/>
        <v>1092</v>
      </c>
      <c r="AI456" s="28"/>
      <c r="AJ456" s="6"/>
      <c r="AK456" s="6"/>
      <c r="AL456" s="6" t="e">
        <f t="shared" si="163"/>
        <v>#DIV/0!</v>
      </c>
      <c r="AM456" s="6">
        <f t="shared" si="164"/>
        <v>1.1467054969057153</v>
      </c>
      <c r="AN456" s="6">
        <f t="shared" si="165"/>
        <v>1.0993589743589745</v>
      </c>
      <c r="AO456" s="4" t="str">
        <f t="shared" si="166"/>
        <v>-</v>
      </c>
      <c r="AP456" s="4" t="str">
        <f t="shared" si="167"/>
        <v>-</v>
      </c>
      <c r="AQ456" s="4" t="str">
        <f t="shared" si="168"/>
        <v>-</v>
      </c>
      <c r="AR456" s="4">
        <v>0</v>
      </c>
      <c r="AS456" s="4" t="s">
        <v>1280</v>
      </c>
      <c r="AT456" s="4"/>
      <c r="AU456" s="4"/>
      <c r="AV456" s="4" t="s">
        <v>1280</v>
      </c>
      <c r="AW456" s="4" t="s">
        <v>1280</v>
      </c>
      <c r="AX456" s="4" t="s">
        <v>1280</v>
      </c>
      <c r="AY456" s="4" t="s">
        <v>1280</v>
      </c>
      <c r="AZ456" s="4" t="str">
        <f t="shared" si="169"/>
        <v>-</v>
      </c>
      <c r="BA456" s="19">
        <v>4</v>
      </c>
      <c r="BB456" s="19">
        <v>8</v>
      </c>
      <c r="BC456" s="16">
        <v>19</v>
      </c>
      <c r="BD456" t="s">
        <v>1280</v>
      </c>
      <c r="BE456" t="s">
        <v>1280</v>
      </c>
      <c r="BF456" t="s">
        <v>1280</v>
      </c>
      <c r="BG456" t="str">
        <f t="shared" si="174"/>
        <v>-</v>
      </c>
      <c r="BH456">
        <v>2331</v>
      </c>
      <c r="BI456">
        <v>2331</v>
      </c>
      <c r="BJ456">
        <v>2331</v>
      </c>
      <c r="BK456">
        <f t="shared" si="175"/>
        <v>2562.6057692307695</v>
      </c>
      <c r="BL456" t="s">
        <v>1280</v>
      </c>
      <c r="BM456">
        <v>812</v>
      </c>
    </row>
    <row r="457" spans="1:65" x14ac:dyDescent="0.4">
      <c r="A457" s="3">
        <v>324</v>
      </c>
      <c r="B457" s="3">
        <v>324</v>
      </c>
      <c r="C457" s="4" t="s">
        <v>313</v>
      </c>
      <c r="D457" s="4" t="str">
        <f t="shared" si="154"/>
        <v>J3977N</v>
      </c>
      <c r="E457" s="4" t="s">
        <v>313</v>
      </c>
      <c r="F457" s="4" t="str">
        <f t="shared" si="170"/>
        <v>J3977N5</v>
      </c>
      <c r="G457" s="4" t="s">
        <v>959</v>
      </c>
      <c r="H457" s="5">
        <v>4529671084882</v>
      </c>
      <c r="I457" s="5">
        <v>5</v>
      </c>
      <c r="J457" s="5"/>
      <c r="K457" s="5">
        <v>1</v>
      </c>
      <c r="L457" s="5">
        <v>1</v>
      </c>
      <c r="M457" s="4">
        <v>0</v>
      </c>
      <c r="N457" s="4">
        <v>2747</v>
      </c>
      <c r="O457" s="4">
        <v>1872</v>
      </c>
      <c r="P457" s="6">
        <f t="shared" si="155"/>
        <v>0.31852930469603202</v>
      </c>
      <c r="Q457" s="4" t="s">
        <v>1280</v>
      </c>
      <c r="R457" s="4" t="s">
        <v>1280</v>
      </c>
      <c r="S457" s="4" t="s">
        <v>1280</v>
      </c>
      <c r="T457" s="4">
        <v>0</v>
      </c>
      <c r="U457" s="4">
        <f t="shared" si="156"/>
        <v>0</v>
      </c>
      <c r="V457" s="4">
        <v>2058</v>
      </c>
      <c r="W457" s="4">
        <f t="shared" si="157"/>
        <v>2058</v>
      </c>
      <c r="X457" s="4"/>
      <c r="Y457" s="21">
        <f t="shared" si="158"/>
        <v>3020</v>
      </c>
      <c r="Z457" s="6">
        <f t="shared" si="159"/>
        <v>0.31854304635761588</v>
      </c>
      <c r="AA457" s="4">
        <v>0</v>
      </c>
      <c r="AB457" s="4" t="str">
        <f t="shared" si="160"/>
        <v>-</v>
      </c>
      <c r="AC457" s="4" t="str">
        <f t="shared" si="171"/>
        <v>-</v>
      </c>
      <c r="AD457" s="6" t="str">
        <f t="shared" si="172"/>
        <v>-</v>
      </c>
      <c r="AE457" s="4">
        <f t="shared" si="173"/>
        <v>0</v>
      </c>
      <c r="AF457" s="7">
        <v>3150</v>
      </c>
      <c r="AG457" s="6">
        <f t="shared" si="161"/>
        <v>0.34666666666666668</v>
      </c>
      <c r="AH457" s="4">
        <f t="shared" si="162"/>
        <v>1092</v>
      </c>
      <c r="AI457" s="28"/>
      <c r="AJ457" s="6"/>
      <c r="AK457" s="6"/>
      <c r="AL457" s="6" t="e">
        <f t="shared" si="163"/>
        <v>#DIV/0!</v>
      </c>
      <c r="AM457" s="6">
        <f t="shared" si="164"/>
        <v>1.1467054969057153</v>
      </c>
      <c r="AN457" s="6">
        <f t="shared" si="165"/>
        <v>1.0993589743589745</v>
      </c>
      <c r="AO457" s="4" t="str">
        <f t="shared" si="166"/>
        <v>-</v>
      </c>
      <c r="AP457" s="4" t="str">
        <f t="shared" si="167"/>
        <v>-</v>
      </c>
      <c r="AQ457" s="4" t="str">
        <f t="shared" si="168"/>
        <v>-</v>
      </c>
      <c r="AR457" s="4">
        <v>0</v>
      </c>
      <c r="AS457" s="4" t="s">
        <v>1280</v>
      </c>
      <c r="AT457" s="4"/>
      <c r="AU457" s="4"/>
      <c r="AV457" s="4" t="s">
        <v>1280</v>
      </c>
      <c r="AW457" s="4" t="s">
        <v>1280</v>
      </c>
      <c r="AX457" s="4" t="s">
        <v>1280</v>
      </c>
      <c r="AY457" s="4" t="s">
        <v>1280</v>
      </c>
      <c r="AZ457" s="4" t="str">
        <f t="shared" si="169"/>
        <v>-</v>
      </c>
      <c r="BA457" s="19">
        <v>4</v>
      </c>
      <c r="BB457" s="19">
        <v>8</v>
      </c>
      <c r="BC457" s="16">
        <v>19</v>
      </c>
      <c r="BD457" t="s">
        <v>1280</v>
      </c>
      <c r="BE457" t="s">
        <v>1280</v>
      </c>
      <c r="BF457" t="s">
        <v>1280</v>
      </c>
      <c r="BG457" t="str">
        <f t="shared" si="174"/>
        <v>-</v>
      </c>
      <c r="BH457">
        <v>2331</v>
      </c>
      <c r="BI457">
        <v>2331</v>
      </c>
      <c r="BJ457">
        <v>2331</v>
      </c>
      <c r="BK457">
        <f t="shared" si="175"/>
        <v>2562.6057692307695</v>
      </c>
      <c r="BL457" t="s">
        <v>1280</v>
      </c>
      <c r="BM457">
        <v>812</v>
      </c>
    </row>
    <row r="458" spans="1:65" x14ac:dyDescent="0.4">
      <c r="A458" s="3">
        <v>325</v>
      </c>
      <c r="B458" s="3">
        <v>325</v>
      </c>
      <c r="C458" s="4" t="s">
        <v>314</v>
      </c>
      <c r="D458" s="4" t="str">
        <f t="shared" si="154"/>
        <v>J3978N</v>
      </c>
      <c r="E458" s="4" t="s">
        <v>314</v>
      </c>
      <c r="F458" s="4" t="str">
        <f t="shared" si="170"/>
        <v>J3978N5</v>
      </c>
      <c r="G458" s="4" t="s">
        <v>960</v>
      </c>
      <c r="H458" s="5">
        <v>4529671084899</v>
      </c>
      <c r="I458" s="5">
        <v>5</v>
      </c>
      <c r="J458" s="5"/>
      <c r="K458" s="5">
        <v>1</v>
      </c>
      <c r="L458" s="5">
        <v>1</v>
      </c>
      <c r="M458" s="4">
        <v>0</v>
      </c>
      <c r="N458" s="4">
        <v>2747</v>
      </c>
      <c r="O458" s="4">
        <v>1872</v>
      </c>
      <c r="P458" s="6">
        <f t="shared" si="155"/>
        <v>0.31852930469603202</v>
      </c>
      <c r="Q458" s="4" t="s">
        <v>1280</v>
      </c>
      <c r="R458" s="4" t="s">
        <v>1280</v>
      </c>
      <c r="S458" s="4" t="s">
        <v>1280</v>
      </c>
      <c r="T458" s="4">
        <v>0</v>
      </c>
      <c r="U458" s="4">
        <f t="shared" si="156"/>
        <v>0</v>
      </c>
      <c r="V458" s="4">
        <v>2058</v>
      </c>
      <c r="W458" s="4">
        <f t="shared" si="157"/>
        <v>2058</v>
      </c>
      <c r="X458" s="4"/>
      <c r="Y458" s="21">
        <f t="shared" si="158"/>
        <v>3020</v>
      </c>
      <c r="Z458" s="6">
        <f t="shared" si="159"/>
        <v>0.31854304635761588</v>
      </c>
      <c r="AA458" s="4">
        <v>0</v>
      </c>
      <c r="AB458" s="4" t="str">
        <f t="shared" si="160"/>
        <v>-</v>
      </c>
      <c r="AC458" s="4" t="str">
        <f t="shared" si="171"/>
        <v>-</v>
      </c>
      <c r="AD458" s="6" t="str">
        <f t="shared" si="172"/>
        <v>-</v>
      </c>
      <c r="AE458" s="4">
        <f t="shared" si="173"/>
        <v>0</v>
      </c>
      <c r="AF458" s="7">
        <v>3150</v>
      </c>
      <c r="AG458" s="6">
        <f t="shared" si="161"/>
        <v>0.34666666666666668</v>
      </c>
      <c r="AH458" s="4">
        <f t="shared" si="162"/>
        <v>1092</v>
      </c>
      <c r="AI458" s="28"/>
      <c r="AJ458" s="6"/>
      <c r="AK458" s="6"/>
      <c r="AL458" s="6" t="e">
        <f t="shared" si="163"/>
        <v>#DIV/0!</v>
      </c>
      <c r="AM458" s="6">
        <f t="shared" si="164"/>
        <v>1.1467054969057153</v>
      </c>
      <c r="AN458" s="6">
        <f t="shared" si="165"/>
        <v>1.0993589743589745</v>
      </c>
      <c r="AO458" s="4" t="str">
        <f t="shared" si="166"/>
        <v>-</v>
      </c>
      <c r="AP458" s="4" t="str">
        <f t="shared" si="167"/>
        <v>-</v>
      </c>
      <c r="AQ458" s="4" t="str">
        <f t="shared" si="168"/>
        <v>-</v>
      </c>
      <c r="AR458" s="4">
        <v>0</v>
      </c>
      <c r="AS458" s="4" t="s">
        <v>1280</v>
      </c>
      <c r="AT458" s="4"/>
      <c r="AU458" s="4"/>
      <c r="AV458" s="4" t="s">
        <v>1280</v>
      </c>
      <c r="AW458" s="4" t="s">
        <v>1280</v>
      </c>
      <c r="AX458" s="4" t="s">
        <v>1280</v>
      </c>
      <c r="AY458" s="4" t="s">
        <v>1280</v>
      </c>
      <c r="AZ458" s="4" t="str">
        <f t="shared" si="169"/>
        <v>-</v>
      </c>
      <c r="BA458" s="19">
        <v>4</v>
      </c>
      <c r="BB458" s="19">
        <v>8</v>
      </c>
      <c r="BC458" s="16">
        <v>19</v>
      </c>
      <c r="BD458" t="s">
        <v>1280</v>
      </c>
      <c r="BE458" t="s">
        <v>1280</v>
      </c>
      <c r="BF458" t="s">
        <v>1280</v>
      </c>
      <c r="BG458" t="str">
        <f t="shared" si="174"/>
        <v>-</v>
      </c>
      <c r="BH458">
        <v>2331</v>
      </c>
      <c r="BI458">
        <v>2331</v>
      </c>
      <c r="BJ458">
        <v>2331</v>
      </c>
      <c r="BK458">
        <f t="shared" si="175"/>
        <v>2562.6057692307695</v>
      </c>
      <c r="BL458" t="s">
        <v>1280</v>
      </c>
      <c r="BM458">
        <v>812</v>
      </c>
    </row>
    <row r="459" spans="1:65" x14ac:dyDescent="0.4">
      <c r="A459" s="3">
        <v>328</v>
      </c>
      <c r="B459" s="3">
        <v>328</v>
      </c>
      <c r="C459" s="4" t="s">
        <v>317</v>
      </c>
      <c r="D459" s="4" t="str">
        <f t="shared" si="154"/>
        <v>J3979N</v>
      </c>
      <c r="E459" s="4" t="s">
        <v>317</v>
      </c>
      <c r="F459" s="4" t="str">
        <f t="shared" si="170"/>
        <v>J3979N5</v>
      </c>
      <c r="G459" s="4" t="s">
        <v>963</v>
      </c>
      <c r="H459" s="5">
        <v>4529671084905</v>
      </c>
      <c r="I459" s="5">
        <v>5</v>
      </c>
      <c r="J459" s="5"/>
      <c r="K459" s="5">
        <v>1</v>
      </c>
      <c r="L459" s="5">
        <v>1</v>
      </c>
      <c r="M459" s="4">
        <v>0</v>
      </c>
      <c r="N459" s="4">
        <v>2747</v>
      </c>
      <c r="O459" s="4">
        <v>1872</v>
      </c>
      <c r="P459" s="6">
        <f t="shared" si="155"/>
        <v>0.31852930469603202</v>
      </c>
      <c r="Q459" s="4" t="s">
        <v>1280</v>
      </c>
      <c r="R459" s="4" t="s">
        <v>1280</v>
      </c>
      <c r="S459" s="4" t="s">
        <v>1280</v>
      </c>
      <c r="T459" s="4">
        <v>0</v>
      </c>
      <c r="U459" s="4">
        <f t="shared" si="156"/>
        <v>0</v>
      </c>
      <c r="V459" s="4">
        <v>2058</v>
      </c>
      <c r="W459" s="4">
        <f t="shared" si="157"/>
        <v>2058</v>
      </c>
      <c r="X459" s="4"/>
      <c r="Y459" s="21">
        <f t="shared" si="158"/>
        <v>3020</v>
      </c>
      <c r="Z459" s="6">
        <f t="shared" si="159"/>
        <v>0.31854304635761588</v>
      </c>
      <c r="AA459" s="4">
        <v>0</v>
      </c>
      <c r="AB459" s="4" t="str">
        <f t="shared" si="160"/>
        <v>-</v>
      </c>
      <c r="AC459" s="4" t="str">
        <f t="shared" si="171"/>
        <v>-</v>
      </c>
      <c r="AD459" s="6" t="str">
        <f t="shared" si="172"/>
        <v>-</v>
      </c>
      <c r="AE459" s="4">
        <f t="shared" si="173"/>
        <v>0</v>
      </c>
      <c r="AF459" s="7">
        <v>3150</v>
      </c>
      <c r="AG459" s="6">
        <f t="shared" si="161"/>
        <v>0.34666666666666668</v>
      </c>
      <c r="AH459" s="4">
        <f t="shared" si="162"/>
        <v>1092</v>
      </c>
      <c r="AI459" s="28"/>
      <c r="AJ459" s="6"/>
      <c r="AK459" s="6"/>
      <c r="AL459" s="6" t="e">
        <f t="shared" si="163"/>
        <v>#DIV/0!</v>
      </c>
      <c r="AM459" s="6">
        <f t="shared" si="164"/>
        <v>1.1467054969057153</v>
      </c>
      <c r="AN459" s="6">
        <f t="shared" si="165"/>
        <v>1.0993589743589745</v>
      </c>
      <c r="AO459" s="4" t="str">
        <f t="shared" si="166"/>
        <v>-</v>
      </c>
      <c r="AP459" s="4" t="str">
        <f t="shared" si="167"/>
        <v>-</v>
      </c>
      <c r="AQ459" s="4" t="str">
        <f t="shared" si="168"/>
        <v>-</v>
      </c>
      <c r="AR459" s="4">
        <v>0</v>
      </c>
      <c r="AS459" s="4" t="s">
        <v>1280</v>
      </c>
      <c r="AT459" s="4"/>
      <c r="AU459" s="4"/>
      <c r="AV459" s="4" t="s">
        <v>1280</v>
      </c>
      <c r="AW459" s="4" t="s">
        <v>1280</v>
      </c>
      <c r="AX459" s="4" t="s">
        <v>1280</v>
      </c>
      <c r="AY459" s="4" t="s">
        <v>1280</v>
      </c>
      <c r="AZ459" s="4" t="str">
        <f t="shared" si="169"/>
        <v>-</v>
      </c>
      <c r="BA459" s="19">
        <v>4</v>
      </c>
      <c r="BB459" s="19">
        <v>8</v>
      </c>
      <c r="BC459" s="16">
        <v>19</v>
      </c>
      <c r="BD459" t="s">
        <v>1280</v>
      </c>
      <c r="BE459" t="s">
        <v>1280</v>
      </c>
      <c r="BF459" t="s">
        <v>1280</v>
      </c>
      <c r="BG459" t="str">
        <f t="shared" si="174"/>
        <v>-</v>
      </c>
      <c r="BH459">
        <v>2331</v>
      </c>
      <c r="BI459">
        <v>2331</v>
      </c>
      <c r="BJ459">
        <v>2331</v>
      </c>
      <c r="BK459">
        <f t="shared" si="175"/>
        <v>2562.6057692307695</v>
      </c>
      <c r="BL459" t="s">
        <v>1280</v>
      </c>
      <c r="BM459">
        <v>812</v>
      </c>
    </row>
    <row r="460" spans="1:65" x14ac:dyDescent="0.4">
      <c r="A460" s="3">
        <v>329</v>
      </c>
      <c r="B460" s="3">
        <v>329</v>
      </c>
      <c r="C460" s="4" t="s">
        <v>318</v>
      </c>
      <c r="D460" s="4" t="str">
        <f t="shared" si="154"/>
        <v>J3980N</v>
      </c>
      <c r="E460" s="4" t="s">
        <v>318</v>
      </c>
      <c r="F460" s="4" t="str">
        <f t="shared" si="170"/>
        <v>J3980N5</v>
      </c>
      <c r="G460" s="4" t="s">
        <v>964</v>
      </c>
      <c r="H460" s="5">
        <v>4529671084912</v>
      </c>
      <c r="I460" s="5">
        <v>5</v>
      </c>
      <c r="J460" s="5"/>
      <c r="K460" s="5">
        <v>1</v>
      </c>
      <c r="L460" s="5">
        <v>1</v>
      </c>
      <c r="M460" s="4">
        <v>0</v>
      </c>
      <c r="N460" s="4">
        <v>2747</v>
      </c>
      <c r="O460" s="4">
        <v>1872</v>
      </c>
      <c r="P460" s="6">
        <f t="shared" si="155"/>
        <v>0.31852930469603202</v>
      </c>
      <c r="Q460" s="4" t="s">
        <v>1280</v>
      </c>
      <c r="R460" s="4" t="s">
        <v>1280</v>
      </c>
      <c r="S460" s="4" t="s">
        <v>1280</v>
      </c>
      <c r="T460" s="4">
        <v>0</v>
      </c>
      <c r="U460" s="4">
        <f t="shared" si="156"/>
        <v>0</v>
      </c>
      <c r="V460" s="4">
        <v>2058</v>
      </c>
      <c r="W460" s="4">
        <f t="shared" si="157"/>
        <v>2058</v>
      </c>
      <c r="X460" s="4"/>
      <c r="Y460" s="21">
        <f t="shared" si="158"/>
        <v>3020</v>
      </c>
      <c r="Z460" s="6">
        <f t="shared" si="159"/>
        <v>0.31854304635761588</v>
      </c>
      <c r="AA460" s="4">
        <v>0</v>
      </c>
      <c r="AB460" s="4" t="str">
        <f t="shared" si="160"/>
        <v>-</v>
      </c>
      <c r="AC460" s="4" t="str">
        <f t="shared" si="171"/>
        <v>-</v>
      </c>
      <c r="AD460" s="6" t="str">
        <f t="shared" si="172"/>
        <v>-</v>
      </c>
      <c r="AE460" s="4">
        <f t="shared" si="173"/>
        <v>0</v>
      </c>
      <c r="AF460" s="7">
        <v>3150</v>
      </c>
      <c r="AG460" s="6">
        <f t="shared" si="161"/>
        <v>0.34666666666666668</v>
      </c>
      <c r="AH460" s="4">
        <f t="shared" si="162"/>
        <v>1092</v>
      </c>
      <c r="AI460" s="28"/>
      <c r="AJ460" s="6"/>
      <c r="AK460" s="6"/>
      <c r="AL460" s="6" t="e">
        <f t="shared" si="163"/>
        <v>#DIV/0!</v>
      </c>
      <c r="AM460" s="6">
        <f t="shared" si="164"/>
        <v>1.1467054969057153</v>
      </c>
      <c r="AN460" s="6">
        <f t="shared" si="165"/>
        <v>1.0993589743589745</v>
      </c>
      <c r="AO460" s="4" t="str">
        <f t="shared" si="166"/>
        <v>-</v>
      </c>
      <c r="AP460" s="4" t="str">
        <f t="shared" si="167"/>
        <v>-</v>
      </c>
      <c r="AQ460" s="4" t="str">
        <f t="shared" si="168"/>
        <v>-</v>
      </c>
      <c r="AR460" s="4">
        <v>0</v>
      </c>
      <c r="AS460" s="4" t="s">
        <v>1280</v>
      </c>
      <c r="AT460" s="4"/>
      <c r="AU460" s="4"/>
      <c r="AV460" s="4" t="s">
        <v>1280</v>
      </c>
      <c r="AW460" s="4" t="s">
        <v>1280</v>
      </c>
      <c r="AX460" s="4" t="s">
        <v>1280</v>
      </c>
      <c r="AY460" s="4" t="s">
        <v>1280</v>
      </c>
      <c r="AZ460" s="4" t="str">
        <f t="shared" si="169"/>
        <v>-</v>
      </c>
      <c r="BA460" s="19">
        <v>4</v>
      </c>
      <c r="BB460" s="19">
        <v>8</v>
      </c>
      <c r="BC460" s="16">
        <v>19</v>
      </c>
      <c r="BD460" t="s">
        <v>1280</v>
      </c>
      <c r="BE460" t="s">
        <v>1280</v>
      </c>
      <c r="BF460" t="s">
        <v>1280</v>
      </c>
      <c r="BG460" t="str">
        <f t="shared" si="174"/>
        <v>-</v>
      </c>
      <c r="BH460">
        <v>2331</v>
      </c>
      <c r="BI460">
        <v>2331</v>
      </c>
      <c r="BJ460">
        <v>2331</v>
      </c>
      <c r="BK460">
        <f t="shared" si="175"/>
        <v>2562.6057692307695</v>
      </c>
      <c r="BL460" t="s">
        <v>1280</v>
      </c>
      <c r="BM460">
        <v>812</v>
      </c>
    </row>
    <row r="461" spans="1:65" x14ac:dyDescent="0.4">
      <c r="A461" s="3">
        <v>332</v>
      </c>
      <c r="B461" s="3">
        <v>332</v>
      </c>
      <c r="C461" s="4" t="s">
        <v>321</v>
      </c>
      <c r="D461" s="4" t="str">
        <f t="shared" si="154"/>
        <v>J3981N</v>
      </c>
      <c r="E461" s="4" t="s">
        <v>321</v>
      </c>
      <c r="F461" s="4" t="str">
        <f t="shared" si="170"/>
        <v>J3981N5</v>
      </c>
      <c r="G461" s="4" t="s">
        <v>967</v>
      </c>
      <c r="H461" s="5">
        <v>4529671084929</v>
      </c>
      <c r="I461" s="5">
        <v>5</v>
      </c>
      <c r="J461" s="5"/>
      <c r="K461" s="5">
        <v>1</v>
      </c>
      <c r="L461" s="5">
        <v>1</v>
      </c>
      <c r="M461" s="4">
        <v>0</v>
      </c>
      <c r="N461" s="4">
        <v>2747</v>
      </c>
      <c r="O461" s="4">
        <v>1872</v>
      </c>
      <c r="P461" s="6">
        <f t="shared" si="155"/>
        <v>0.31852930469603202</v>
      </c>
      <c r="Q461" s="4" t="s">
        <v>1280</v>
      </c>
      <c r="R461" s="4" t="s">
        <v>1280</v>
      </c>
      <c r="S461" s="4" t="s">
        <v>1280</v>
      </c>
      <c r="T461" s="4">
        <v>0</v>
      </c>
      <c r="U461" s="4">
        <f t="shared" si="156"/>
        <v>0</v>
      </c>
      <c r="V461" s="4">
        <v>2058</v>
      </c>
      <c r="W461" s="4">
        <f t="shared" si="157"/>
        <v>2058</v>
      </c>
      <c r="X461" s="4"/>
      <c r="Y461" s="21">
        <f t="shared" si="158"/>
        <v>3020</v>
      </c>
      <c r="Z461" s="6">
        <f t="shared" si="159"/>
        <v>0.31854304635761588</v>
      </c>
      <c r="AA461" s="4">
        <v>0</v>
      </c>
      <c r="AB461" s="4" t="str">
        <f t="shared" si="160"/>
        <v>-</v>
      </c>
      <c r="AC461" s="4" t="str">
        <f t="shared" si="171"/>
        <v>-</v>
      </c>
      <c r="AD461" s="6" t="str">
        <f t="shared" si="172"/>
        <v>-</v>
      </c>
      <c r="AE461" s="4">
        <f t="shared" si="173"/>
        <v>0</v>
      </c>
      <c r="AF461" s="7">
        <v>3150</v>
      </c>
      <c r="AG461" s="6">
        <f t="shared" si="161"/>
        <v>0.34666666666666668</v>
      </c>
      <c r="AH461" s="4">
        <f t="shared" si="162"/>
        <v>1092</v>
      </c>
      <c r="AI461" s="28"/>
      <c r="AJ461" s="6"/>
      <c r="AK461" s="6"/>
      <c r="AL461" s="6" t="e">
        <f t="shared" si="163"/>
        <v>#DIV/0!</v>
      </c>
      <c r="AM461" s="6">
        <f t="shared" si="164"/>
        <v>1.1467054969057153</v>
      </c>
      <c r="AN461" s="6">
        <f t="shared" si="165"/>
        <v>1.0993589743589745</v>
      </c>
      <c r="AO461" s="4" t="str">
        <f t="shared" si="166"/>
        <v>-</v>
      </c>
      <c r="AP461" s="4" t="str">
        <f t="shared" si="167"/>
        <v>-</v>
      </c>
      <c r="AQ461" s="4" t="str">
        <f t="shared" si="168"/>
        <v>-</v>
      </c>
      <c r="AR461" s="4">
        <v>0</v>
      </c>
      <c r="AS461" s="4" t="s">
        <v>1280</v>
      </c>
      <c r="AT461" s="4"/>
      <c r="AU461" s="4"/>
      <c r="AV461" s="4" t="s">
        <v>1280</v>
      </c>
      <c r="AW461" s="4" t="s">
        <v>1280</v>
      </c>
      <c r="AX461" s="4" t="s">
        <v>1280</v>
      </c>
      <c r="AY461" s="4" t="s">
        <v>1280</v>
      </c>
      <c r="AZ461" s="4" t="str">
        <f t="shared" si="169"/>
        <v>-</v>
      </c>
      <c r="BA461" s="19">
        <v>4</v>
      </c>
      <c r="BB461" s="19">
        <v>8</v>
      </c>
      <c r="BC461" s="16">
        <v>19</v>
      </c>
      <c r="BD461" t="s">
        <v>1280</v>
      </c>
      <c r="BE461" t="s">
        <v>1280</v>
      </c>
      <c r="BF461" t="s">
        <v>1280</v>
      </c>
      <c r="BG461" t="str">
        <f t="shared" si="174"/>
        <v>-</v>
      </c>
      <c r="BH461">
        <v>2331</v>
      </c>
      <c r="BI461">
        <v>2331</v>
      </c>
      <c r="BJ461">
        <v>2331</v>
      </c>
      <c r="BK461">
        <f t="shared" si="175"/>
        <v>2562.6057692307695</v>
      </c>
      <c r="BL461" t="s">
        <v>1280</v>
      </c>
      <c r="BM461">
        <v>812</v>
      </c>
    </row>
    <row r="462" spans="1:65" x14ac:dyDescent="0.4">
      <c r="A462" s="3">
        <v>333</v>
      </c>
      <c r="B462" s="3">
        <v>333</v>
      </c>
      <c r="C462" s="4" t="s">
        <v>322</v>
      </c>
      <c r="D462" s="4" t="str">
        <f t="shared" si="154"/>
        <v>J3982N</v>
      </c>
      <c r="E462" s="4" t="s">
        <v>322</v>
      </c>
      <c r="F462" s="4" t="str">
        <f t="shared" si="170"/>
        <v>J3982N5</v>
      </c>
      <c r="G462" s="4" t="s">
        <v>968</v>
      </c>
      <c r="H462" s="5">
        <v>4529671084936</v>
      </c>
      <c r="I462" s="5">
        <v>5</v>
      </c>
      <c r="J462" s="5"/>
      <c r="K462" s="5">
        <v>1</v>
      </c>
      <c r="L462" s="5">
        <v>1</v>
      </c>
      <c r="M462" s="4">
        <v>0</v>
      </c>
      <c r="N462" s="4">
        <v>2747</v>
      </c>
      <c r="O462" s="4">
        <v>1872</v>
      </c>
      <c r="P462" s="6">
        <f t="shared" si="155"/>
        <v>0.31852930469603202</v>
      </c>
      <c r="Q462" s="4" t="s">
        <v>1280</v>
      </c>
      <c r="R462" s="4" t="s">
        <v>1280</v>
      </c>
      <c r="S462" s="4" t="s">
        <v>1280</v>
      </c>
      <c r="T462" s="4">
        <v>0</v>
      </c>
      <c r="U462" s="4">
        <f t="shared" si="156"/>
        <v>0</v>
      </c>
      <c r="V462" s="4">
        <v>2058</v>
      </c>
      <c r="W462" s="4">
        <f t="shared" si="157"/>
        <v>2058</v>
      </c>
      <c r="X462" s="4"/>
      <c r="Y462" s="21">
        <f t="shared" si="158"/>
        <v>3020</v>
      </c>
      <c r="Z462" s="6">
        <f t="shared" si="159"/>
        <v>0.31854304635761588</v>
      </c>
      <c r="AA462" s="4">
        <v>0</v>
      </c>
      <c r="AB462" s="4" t="str">
        <f t="shared" si="160"/>
        <v>-</v>
      </c>
      <c r="AC462" s="4" t="str">
        <f t="shared" si="171"/>
        <v>-</v>
      </c>
      <c r="AD462" s="6" t="str">
        <f t="shared" si="172"/>
        <v>-</v>
      </c>
      <c r="AE462" s="4">
        <f t="shared" si="173"/>
        <v>0</v>
      </c>
      <c r="AF462" s="7">
        <v>3150</v>
      </c>
      <c r="AG462" s="6">
        <f t="shared" si="161"/>
        <v>0.34666666666666668</v>
      </c>
      <c r="AH462" s="4">
        <f t="shared" si="162"/>
        <v>1092</v>
      </c>
      <c r="AI462" s="28"/>
      <c r="AJ462" s="6"/>
      <c r="AK462" s="6"/>
      <c r="AL462" s="6" t="e">
        <f t="shared" si="163"/>
        <v>#DIV/0!</v>
      </c>
      <c r="AM462" s="6">
        <f t="shared" si="164"/>
        <v>1.1467054969057153</v>
      </c>
      <c r="AN462" s="6">
        <f t="shared" si="165"/>
        <v>1.0993589743589745</v>
      </c>
      <c r="AO462" s="4" t="str">
        <f t="shared" si="166"/>
        <v>-</v>
      </c>
      <c r="AP462" s="4" t="str">
        <f t="shared" si="167"/>
        <v>-</v>
      </c>
      <c r="AQ462" s="4" t="str">
        <f t="shared" si="168"/>
        <v>-</v>
      </c>
      <c r="AR462" s="4">
        <v>0</v>
      </c>
      <c r="AS462" s="4" t="s">
        <v>1280</v>
      </c>
      <c r="AT462" s="4"/>
      <c r="AU462" s="4"/>
      <c r="AV462" s="4" t="s">
        <v>1280</v>
      </c>
      <c r="AW462" s="4" t="s">
        <v>1280</v>
      </c>
      <c r="AX462" s="4" t="s">
        <v>1280</v>
      </c>
      <c r="AY462" s="4" t="s">
        <v>1280</v>
      </c>
      <c r="AZ462" s="4" t="str">
        <f t="shared" si="169"/>
        <v>-</v>
      </c>
      <c r="BA462" s="19">
        <v>4</v>
      </c>
      <c r="BB462" s="19">
        <v>8</v>
      </c>
      <c r="BC462" s="16">
        <v>19</v>
      </c>
      <c r="BD462" t="s">
        <v>1280</v>
      </c>
      <c r="BE462" t="s">
        <v>1280</v>
      </c>
      <c r="BF462" t="s">
        <v>1280</v>
      </c>
      <c r="BG462" t="str">
        <f t="shared" si="174"/>
        <v>-</v>
      </c>
      <c r="BH462">
        <v>2331</v>
      </c>
      <c r="BI462">
        <v>2331</v>
      </c>
      <c r="BJ462">
        <v>2331</v>
      </c>
      <c r="BK462">
        <f t="shared" si="175"/>
        <v>2562.6057692307695</v>
      </c>
      <c r="BL462" t="s">
        <v>1280</v>
      </c>
      <c r="BM462">
        <v>812</v>
      </c>
    </row>
    <row r="463" spans="1:65" x14ac:dyDescent="0.4">
      <c r="A463" s="3">
        <v>335</v>
      </c>
      <c r="B463" s="3">
        <v>335</v>
      </c>
      <c r="C463" s="4" t="s">
        <v>324</v>
      </c>
      <c r="D463" s="4" t="str">
        <f t="shared" si="154"/>
        <v>J3974N</v>
      </c>
      <c r="E463" s="4" t="s">
        <v>324</v>
      </c>
      <c r="F463" s="4" t="str">
        <f t="shared" si="170"/>
        <v>J3974N5</v>
      </c>
      <c r="G463" s="4" t="s">
        <v>970</v>
      </c>
      <c r="H463" s="5">
        <v>4529671084851</v>
      </c>
      <c r="I463" s="5">
        <v>5</v>
      </c>
      <c r="J463" s="5"/>
      <c r="K463" s="5">
        <v>1</v>
      </c>
      <c r="L463" s="5">
        <v>1</v>
      </c>
      <c r="M463" s="4">
        <v>0</v>
      </c>
      <c r="N463" s="4">
        <v>2747</v>
      </c>
      <c r="O463" s="4">
        <v>1872</v>
      </c>
      <c r="P463" s="6">
        <f t="shared" si="155"/>
        <v>0.31852930469603202</v>
      </c>
      <c r="Q463" s="4" t="s">
        <v>1280</v>
      </c>
      <c r="R463" s="4" t="s">
        <v>1280</v>
      </c>
      <c r="S463" s="4" t="s">
        <v>1280</v>
      </c>
      <c r="T463" s="4">
        <v>0</v>
      </c>
      <c r="U463" s="4">
        <f t="shared" si="156"/>
        <v>0</v>
      </c>
      <c r="V463" s="4">
        <v>2058</v>
      </c>
      <c r="W463" s="4">
        <f t="shared" si="157"/>
        <v>2058</v>
      </c>
      <c r="X463" s="4"/>
      <c r="Y463" s="21">
        <f t="shared" si="158"/>
        <v>3020</v>
      </c>
      <c r="Z463" s="6">
        <f t="shared" si="159"/>
        <v>0.31854304635761588</v>
      </c>
      <c r="AA463" s="4">
        <v>0</v>
      </c>
      <c r="AB463" s="4" t="str">
        <f t="shared" si="160"/>
        <v>-</v>
      </c>
      <c r="AC463" s="4" t="str">
        <f t="shared" si="171"/>
        <v>-</v>
      </c>
      <c r="AD463" s="6" t="str">
        <f t="shared" si="172"/>
        <v>-</v>
      </c>
      <c r="AE463" s="4">
        <f t="shared" si="173"/>
        <v>0</v>
      </c>
      <c r="AF463" s="7">
        <v>3150</v>
      </c>
      <c r="AG463" s="6">
        <f t="shared" si="161"/>
        <v>0.34666666666666668</v>
      </c>
      <c r="AH463" s="4">
        <f t="shared" si="162"/>
        <v>1092</v>
      </c>
      <c r="AI463" s="28"/>
      <c r="AJ463" s="6"/>
      <c r="AK463" s="6"/>
      <c r="AL463" s="6" t="e">
        <f t="shared" si="163"/>
        <v>#DIV/0!</v>
      </c>
      <c r="AM463" s="6">
        <f t="shared" si="164"/>
        <v>1.1467054969057153</v>
      </c>
      <c r="AN463" s="6">
        <f t="shared" si="165"/>
        <v>1.0993589743589745</v>
      </c>
      <c r="AO463" s="4" t="str">
        <f t="shared" si="166"/>
        <v>-</v>
      </c>
      <c r="AP463" s="4" t="str">
        <f t="shared" si="167"/>
        <v>-</v>
      </c>
      <c r="AQ463" s="4" t="str">
        <f t="shared" si="168"/>
        <v>-</v>
      </c>
      <c r="AR463" s="4">
        <v>0</v>
      </c>
      <c r="AS463" s="4" t="s">
        <v>1280</v>
      </c>
      <c r="AT463" s="4"/>
      <c r="AU463" s="4"/>
      <c r="AV463" s="4" t="s">
        <v>1280</v>
      </c>
      <c r="AW463" s="4" t="s">
        <v>1280</v>
      </c>
      <c r="AX463" s="4" t="s">
        <v>1280</v>
      </c>
      <c r="AY463" s="4" t="s">
        <v>1280</v>
      </c>
      <c r="AZ463" s="4" t="str">
        <f t="shared" si="169"/>
        <v>-</v>
      </c>
      <c r="BA463" s="19">
        <v>4</v>
      </c>
      <c r="BB463" s="19">
        <v>8</v>
      </c>
      <c r="BC463" s="16">
        <v>19</v>
      </c>
      <c r="BD463" t="s">
        <v>1280</v>
      </c>
      <c r="BE463" t="s">
        <v>1280</v>
      </c>
      <c r="BF463" t="s">
        <v>1280</v>
      </c>
      <c r="BG463" t="str">
        <f t="shared" si="174"/>
        <v>-</v>
      </c>
      <c r="BH463">
        <v>2331</v>
      </c>
      <c r="BI463">
        <v>2331</v>
      </c>
      <c r="BJ463">
        <v>2331</v>
      </c>
      <c r="BK463">
        <f t="shared" si="175"/>
        <v>2562.6057692307695</v>
      </c>
      <c r="BL463" t="s">
        <v>1280</v>
      </c>
      <c r="BM463">
        <v>812</v>
      </c>
    </row>
    <row r="464" spans="1:65" x14ac:dyDescent="0.4">
      <c r="A464" s="3">
        <v>336</v>
      </c>
      <c r="B464" s="3">
        <v>336</v>
      </c>
      <c r="C464" s="4" t="s">
        <v>325</v>
      </c>
      <c r="D464" s="4" t="str">
        <f t="shared" si="154"/>
        <v>J3983N</v>
      </c>
      <c r="E464" s="4" t="s">
        <v>325</v>
      </c>
      <c r="F464" s="4" t="str">
        <f t="shared" si="170"/>
        <v>J3983N5</v>
      </c>
      <c r="G464" s="4" t="s">
        <v>971</v>
      </c>
      <c r="H464" s="5">
        <v>4529671084943</v>
      </c>
      <c r="I464" s="5">
        <v>5</v>
      </c>
      <c r="J464" s="5"/>
      <c r="K464" s="5">
        <v>1</v>
      </c>
      <c r="L464" s="5">
        <v>1</v>
      </c>
      <c r="M464" s="4">
        <v>0</v>
      </c>
      <c r="N464" s="4">
        <v>2747</v>
      </c>
      <c r="O464" s="4">
        <v>1872</v>
      </c>
      <c r="P464" s="6">
        <f t="shared" si="155"/>
        <v>0.31852930469603202</v>
      </c>
      <c r="Q464" s="4" t="s">
        <v>1280</v>
      </c>
      <c r="R464" s="4" t="s">
        <v>1280</v>
      </c>
      <c r="S464" s="4" t="s">
        <v>1280</v>
      </c>
      <c r="T464" s="4">
        <v>0</v>
      </c>
      <c r="U464" s="4">
        <f t="shared" si="156"/>
        <v>0</v>
      </c>
      <c r="V464" s="4">
        <v>2058</v>
      </c>
      <c r="W464" s="4">
        <f t="shared" si="157"/>
        <v>2058</v>
      </c>
      <c r="X464" s="4"/>
      <c r="Y464" s="21">
        <f t="shared" si="158"/>
        <v>3020</v>
      </c>
      <c r="Z464" s="6">
        <f t="shared" si="159"/>
        <v>0.31854304635761588</v>
      </c>
      <c r="AA464" s="4">
        <v>0</v>
      </c>
      <c r="AB464" s="4" t="str">
        <f t="shared" si="160"/>
        <v>-</v>
      </c>
      <c r="AC464" s="4" t="str">
        <f t="shared" si="171"/>
        <v>-</v>
      </c>
      <c r="AD464" s="6" t="str">
        <f t="shared" si="172"/>
        <v>-</v>
      </c>
      <c r="AE464" s="4">
        <f t="shared" si="173"/>
        <v>0</v>
      </c>
      <c r="AF464" s="7">
        <v>3150</v>
      </c>
      <c r="AG464" s="6">
        <f t="shared" si="161"/>
        <v>0.34666666666666668</v>
      </c>
      <c r="AH464" s="4">
        <f t="shared" si="162"/>
        <v>1092</v>
      </c>
      <c r="AI464" s="28"/>
      <c r="AJ464" s="6"/>
      <c r="AK464" s="6"/>
      <c r="AL464" s="6" t="e">
        <f t="shared" si="163"/>
        <v>#DIV/0!</v>
      </c>
      <c r="AM464" s="6">
        <f t="shared" si="164"/>
        <v>1.1467054969057153</v>
      </c>
      <c r="AN464" s="6">
        <f t="shared" si="165"/>
        <v>1.0993589743589745</v>
      </c>
      <c r="AO464" s="4" t="str">
        <f t="shared" si="166"/>
        <v>-</v>
      </c>
      <c r="AP464" s="4" t="str">
        <f t="shared" si="167"/>
        <v>-</v>
      </c>
      <c r="AQ464" s="4" t="str">
        <f t="shared" si="168"/>
        <v>-</v>
      </c>
      <c r="AR464" s="4">
        <v>0</v>
      </c>
      <c r="AS464" s="4" t="s">
        <v>1280</v>
      </c>
      <c r="AT464" s="4"/>
      <c r="AU464" s="4"/>
      <c r="AV464" s="4" t="s">
        <v>1280</v>
      </c>
      <c r="AW464" s="4" t="s">
        <v>1280</v>
      </c>
      <c r="AX464" s="4" t="s">
        <v>1280</v>
      </c>
      <c r="AY464" s="4" t="s">
        <v>1280</v>
      </c>
      <c r="AZ464" s="4" t="str">
        <f t="shared" si="169"/>
        <v>-</v>
      </c>
      <c r="BA464" s="19">
        <v>4</v>
      </c>
      <c r="BB464" s="19">
        <v>8</v>
      </c>
      <c r="BC464" s="16">
        <v>19</v>
      </c>
      <c r="BD464" t="s">
        <v>1280</v>
      </c>
      <c r="BE464" t="s">
        <v>1280</v>
      </c>
      <c r="BF464" t="s">
        <v>1280</v>
      </c>
      <c r="BG464" t="str">
        <f t="shared" si="174"/>
        <v>-</v>
      </c>
      <c r="BH464">
        <v>2331</v>
      </c>
      <c r="BI464">
        <v>2331</v>
      </c>
      <c r="BJ464">
        <v>2331</v>
      </c>
      <c r="BK464">
        <f t="shared" si="175"/>
        <v>2562.6057692307695</v>
      </c>
      <c r="BL464" t="s">
        <v>1280</v>
      </c>
      <c r="BM464">
        <v>812</v>
      </c>
    </row>
    <row r="465" spans="1:65" x14ac:dyDescent="0.4">
      <c r="A465" s="3">
        <v>337</v>
      </c>
      <c r="B465" s="3">
        <v>337</v>
      </c>
      <c r="C465" s="4" t="s">
        <v>326</v>
      </c>
      <c r="D465" s="4" t="str">
        <f t="shared" si="154"/>
        <v>J3984N</v>
      </c>
      <c r="E465" s="4" t="s">
        <v>326</v>
      </c>
      <c r="F465" s="4" t="str">
        <f t="shared" si="170"/>
        <v>J3984N5</v>
      </c>
      <c r="G465" s="4" t="s">
        <v>972</v>
      </c>
      <c r="H465" s="5">
        <v>4529671084950</v>
      </c>
      <c r="I465" s="5">
        <v>5</v>
      </c>
      <c r="J465" s="5"/>
      <c r="K465" s="5">
        <v>1</v>
      </c>
      <c r="L465" s="5">
        <v>1</v>
      </c>
      <c r="M465" s="4">
        <v>0</v>
      </c>
      <c r="N465" s="4">
        <v>2747</v>
      </c>
      <c r="O465" s="4">
        <v>1872</v>
      </c>
      <c r="P465" s="6">
        <f t="shared" si="155"/>
        <v>0.31852930469603202</v>
      </c>
      <c r="Q465" s="4" t="s">
        <v>1280</v>
      </c>
      <c r="R465" s="4" t="s">
        <v>1280</v>
      </c>
      <c r="S465" s="4" t="s">
        <v>1280</v>
      </c>
      <c r="T465" s="4">
        <v>0</v>
      </c>
      <c r="U465" s="4">
        <f t="shared" si="156"/>
        <v>0</v>
      </c>
      <c r="V465" s="4">
        <v>2058</v>
      </c>
      <c r="W465" s="4">
        <f t="shared" si="157"/>
        <v>2058</v>
      </c>
      <c r="X465" s="4"/>
      <c r="Y465" s="21">
        <f t="shared" si="158"/>
        <v>3020</v>
      </c>
      <c r="Z465" s="6">
        <f t="shared" si="159"/>
        <v>0.31854304635761588</v>
      </c>
      <c r="AA465" s="4">
        <v>0</v>
      </c>
      <c r="AB465" s="4" t="str">
        <f t="shared" si="160"/>
        <v>-</v>
      </c>
      <c r="AC465" s="4" t="str">
        <f t="shared" si="171"/>
        <v>-</v>
      </c>
      <c r="AD465" s="6" t="str">
        <f t="shared" si="172"/>
        <v>-</v>
      </c>
      <c r="AE465" s="4">
        <f t="shared" si="173"/>
        <v>0</v>
      </c>
      <c r="AF465" s="7">
        <v>3150</v>
      </c>
      <c r="AG465" s="6">
        <f t="shared" si="161"/>
        <v>0.34666666666666668</v>
      </c>
      <c r="AH465" s="4">
        <f t="shared" si="162"/>
        <v>1092</v>
      </c>
      <c r="AI465" s="28"/>
      <c r="AJ465" s="6"/>
      <c r="AK465" s="6"/>
      <c r="AL465" s="6" t="e">
        <f t="shared" si="163"/>
        <v>#DIV/0!</v>
      </c>
      <c r="AM465" s="6">
        <f t="shared" si="164"/>
        <v>1.1467054969057153</v>
      </c>
      <c r="AN465" s="6">
        <f t="shared" si="165"/>
        <v>1.0993589743589745</v>
      </c>
      <c r="AO465" s="4" t="str">
        <f t="shared" si="166"/>
        <v>-</v>
      </c>
      <c r="AP465" s="4" t="str">
        <f t="shared" si="167"/>
        <v>-</v>
      </c>
      <c r="AQ465" s="4" t="str">
        <f t="shared" si="168"/>
        <v>-</v>
      </c>
      <c r="AR465" s="4">
        <v>0</v>
      </c>
      <c r="AS465" s="4" t="s">
        <v>1280</v>
      </c>
      <c r="AT465" s="4"/>
      <c r="AU465" s="4"/>
      <c r="AV465" s="4" t="s">
        <v>1280</v>
      </c>
      <c r="AW465" s="4" t="s">
        <v>1280</v>
      </c>
      <c r="AX465" s="4" t="s">
        <v>1280</v>
      </c>
      <c r="AY465" s="4" t="s">
        <v>1280</v>
      </c>
      <c r="AZ465" s="4" t="str">
        <f t="shared" si="169"/>
        <v>-</v>
      </c>
      <c r="BA465" s="19">
        <v>4</v>
      </c>
      <c r="BB465" s="19">
        <v>8</v>
      </c>
      <c r="BC465" s="16">
        <v>19</v>
      </c>
      <c r="BD465" t="s">
        <v>1280</v>
      </c>
      <c r="BE465" t="s">
        <v>1280</v>
      </c>
      <c r="BF465" t="s">
        <v>1280</v>
      </c>
      <c r="BG465" t="str">
        <f t="shared" si="174"/>
        <v>-</v>
      </c>
      <c r="BH465">
        <v>2331</v>
      </c>
      <c r="BI465">
        <v>2331</v>
      </c>
      <c r="BJ465">
        <v>2331</v>
      </c>
      <c r="BK465">
        <f t="shared" si="175"/>
        <v>2562.6057692307695</v>
      </c>
      <c r="BL465" t="s">
        <v>1280</v>
      </c>
      <c r="BM465">
        <v>812</v>
      </c>
    </row>
    <row r="466" spans="1:65" x14ac:dyDescent="0.4">
      <c r="A466" s="3">
        <v>338</v>
      </c>
      <c r="B466" s="3">
        <v>338</v>
      </c>
      <c r="C466" s="4" t="s">
        <v>327</v>
      </c>
      <c r="D466" s="4" t="str">
        <f t="shared" si="154"/>
        <v>J3985N</v>
      </c>
      <c r="E466" s="4" t="s">
        <v>327</v>
      </c>
      <c r="F466" s="4" t="str">
        <f t="shared" si="170"/>
        <v>J3985N5</v>
      </c>
      <c r="G466" s="4" t="s">
        <v>973</v>
      </c>
      <c r="H466" s="5">
        <v>4529671084967</v>
      </c>
      <c r="I466" s="5">
        <v>5</v>
      </c>
      <c r="J466" s="5"/>
      <c r="K466" s="5">
        <v>1</v>
      </c>
      <c r="L466" s="5">
        <v>1</v>
      </c>
      <c r="M466" s="4">
        <v>0</v>
      </c>
      <c r="N466" s="4">
        <v>2747</v>
      </c>
      <c r="O466" s="4">
        <v>1872</v>
      </c>
      <c r="P466" s="6">
        <f t="shared" si="155"/>
        <v>0.31852930469603202</v>
      </c>
      <c r="Q466" s="4" t="s">
        <v>1280</v>
      </c>
      <c r="R466" s="4" t="s">
        <v>1280</v>
      </c>
      <c r="S466" s="4" t="s">
        <v>1280</v>
      </c>
      <c r="T466" s="4">
        <v>0</v>
      </c>
      <c r="U466" s="4">
        <f t="shared" si="156"/>
        <v>0</v>
      </c>
      <c r="V466" s="4">
        <v>2058</v>
      </c>
      <c r="W466" s="4">
        <f t="shared" si="157"/>
        <v>2058</v>
      </c>
      <c r="X466" s="4"/>
      <c r="Y466" s="21">
        <f t="shared" si="158"/>
        <v>3020</v>
      </c>
      <c r="Z466" s="6">
        <f t="shared" si="159"/>
        <v>0.31854304635761588</v>
      </c>
      <c r="AA466" s="4">
        <v>0</v>
      </c>
      <c r="AB466" s="4" t="str">
        <f t="shared" si="160"/>
        <v>-</v>
      </c>
      <c r="AC466" s="4" t="str">
        <f t="shared" si="171"/>
        <v>-</v>
      </c>
      <c r="AD466" s="6" t="str">
        <f t="shared" si="172"/>
        <v>-</v>
      </c>
      <c r="AE466" s="4">
        <f t="shared" si="173"/>
        <v>0</v>
      </c>
      <c r="AF466" s="7">
        <v>3150</v>
      </c>
      <c r="AG466" s="6">
        <f t="shared" si="161"/>
        <v>0.34666666666666668</v>
      </c>
      <c r="AH466" s="4">
        <f t="shared" si="162"/>
        <v>1092</v>
      </c>
      <c r="AI466" s="28"/>
      <c r="AJ466" s="6"/>
      <c r="AK466" s="6"/>
      <c r="AL466" s="6" t="e">
        <f t="shared" si="163"/>
        <v>#DIV/0!</v>
      </c>
      <c r="AM466" s="6">
        <f t="shared" si="164"/>
        <v>1.1467054969057153</v>
      </c>
      <c r="AN466" s="6">
        <f t="shared" si="165"/>
        <v>1.0993589743589745</v>
      </c>
      <c r="AO466" s="4" t="str">
        <f t="shared" si="166"/>
        <v>-</v>
      </c>
      <c r="AP466" s="4" t="str">
        <f t="shared" si="167"/>
        <v>-</v>
      </c>
      <c r="AQ466" s="4" t="str">
        <f t="shared" si="168"/>
        <v>-</v>
      </c>
      <c r="AR466" s="4">
        <v>0</v>
      </c>
      <c r="AS466" s="4" t="s">
        <v>1280</v>
      </c>
      <c r="AT466" s="4"/>
      <c r="AU466" s="4"/>
      <c r="AV466" s="4" t="s">
        <v>1280</v>
      </c>
      <c r="AW466" s="4" t="s">
        <v>1280</v>
      </c>
      <c r="AX466" s="4" t="s">
        <v>1280</v>
      </c>
      <c r="AY466" s="4" t="s">
        <v>1280</v>
      </c>
      <c r="AZ466" s="4" t="str">
        <f t="shared" si="169"/>
        <v>-</v>
      </c>
      <c r="BA466" s="19">
        <v>4</v>
      </c>
      <c r="BB466" s="19">
        <v>8</v>
      </c>
      <c r="BC466" s="16">
        <v>19</v>
      </c>
      <c r="BD466" t="s">
        <v>1280</v>
      </c>
      <c r="BE466" t="s">
        <v>1280</v>
      </c>
      <c r="BF466" t="s">
        <v>1280</v>
      </c>
      <c r="BG466" t="str">
        <f t="shared" si="174"/>
        <v>-</v>
      </c>
      <c r="BH466">
        <v>2331</v>
      </c>
      <c r="BI466">
        <v>2331</v>
      </c>
      <c r="BJ466">
        <v>2331</v>
      </c>
      <c r="BK466">
        <f t="shared" si="175"/>
        <v>2562.6057692307695</v>
      </c>
      <c r="BL466" t="s">
        <v>1280</v>
      </c>
      <c r="BM466">
        <v>812</v>
      </c>
    </row>
    <row r="467" spans="1:65" x14ac:dyDescent="0.4">
      <c r="A467" s="3">
        <v>339</v>
      </c>
      <c r="B467" s="3">
        <v>339</v>
      </c>
      <c r="C467" s="4" t="s">
        <v>328</v>
      </c>
      <c r="D467" s="4" t="str">
        <f t="shared" si="154"/>
        <v>J3986N</v>
      </c>
      <c r="E467" s="4" t="s">
        <v>328</v>
      </c>
      <c r="F467" s="4" t="str">
        <f t="shared" si="170"/>
        <v>J3986N5</v>
      </c>
      <c r="G467" s="4" t="s">
        <v>974</v>
      </c>
      <c r="H467" s="5">
        <v>4529671084974</v>
      </c>
      <c r="I467" s="5">
        <v>5</v>
      </c>
      <c r="J467" s="5"/>
      <c r="K467" s="5">
        <v>1</v>
      </c>
      <c r="L467" s="5">
        <v>1</v>
      </c>
      <c r="M467" s="4">
        <v>0</v>
      </c>
      <c r="N467" s="4">
        <v>2747</v>
      </c>
      <c r="O467" s="4">
        <v>1872</v>
      </c>
      <c r="P467" s="6">
        <f t="shared" si="155"/>
        <v>0.31852930469603202</v>
      </c>
      <c r="Q467" s="4" t="s">
        <v>1280</v>
      </c>
      <c r="R467" s="4" t="s">
        <v>1280</v>
      </c>
      <c r="S467" s="4" t="s">
        <v>1280</v>
      </c>
      <c r="T467" s="4">
        <v>0</v>
      </c>
      <c r="U467" s="4">
        <f t="shared" si="156"/>
        <v>0</v>
      </c>
      <c r="V467" s="4">
        <v>2058</v>
      </c>
      <c r="W467" s="4">
        <f t="shared" si="157"/>
        <v>2058</v>
      </c>
      <c r="X467" s="4"/>
      <c r="Y467" s="21">
        <f t="shared" si="158"/>
        <v>3020</v>
      </c>
      <c r="Z467" s="6">
        <f t="shared" si="159"/>
        <v>0.31854304635761588</v>
      </c>
      <c r="AA467" s="4">
        <v>0</v>
      </c>
      <c r="AB467" s="4" t="str">
        <f t="shared" si="160"/>
        <v>-</v>
      </c>
      <c r="AC467" s="4" t="str">
        <f t="shared" si="171"/>
        <v>-</v>
      </c>
      <c r="AD467" s="6" t="str">
        <f t="shared" si="172"/>
        <v>-</v>
      </c>
      <c r="AE467" s="4">
        <f t="shared" si="173"/>
        <v>0</v>
      </c>
      <c r="AF467" s="7">
        <v>3150</v>
      </c>
      <c r="AG467" s="6">
        <f t="shared" si="161"/>
        <v>0.34666666666666668</v>
      </c>
      <c r="AH467" s="4">
        <f t="shared" si="162"/>
        <v>1092</v>
      </c>
      <c r="AI467" s="28"/>
      <c r="AJ467" s="6"/>
      <c r="AK467" s="6"/>
      <c r="AL467" s="6" t="e">
        <f t="shared" si="163"/>
        <v>#DIV/0!</v>
      </c>
      <c r="AM467" s="6">
        <f t="shared" si="164"/>
        <v>1.1467054969057153</v>
      </c>
      <c r="AN467" s="6">
        <f t="shared" si="165"/>
        <v>1.0993589743589745</v>
      </c>
      <c r="AO467" s="4" t="str">
        <f t="shared" si="166"/>
        <v>-</v>
      </c>
      <c r="AP467" s="4" t="str">
        <f t="shared" si="167"/>
        <v>-</v>
      </c>
      <c r="AQ467" s="4" t="str">
        <f t="shared" si="168"/>
        <v>-</v>
      </c>
      <c r="AR467" s="4">
        <v>0</v>
      </c>
      <c r="AS467" s="4" t="s">
        <v>1280</v>
      </c>
      <c r="AT467" s="4"/>
      <c r="AU467" s="4"/>
      <c r="AV467" s="4" t="s">
        <v>1280</v>
      </c>
      <c r="AW467" s="4" t="s">
        <v>1280</v>
      </c>
      <c r="AX467" s="4" t="s">
        <v>1280</v>
      </c>
      <c r="AY467" s="4" t="s">
        <v>1280</v>
      </c>
      <c r="AZ467" s="4" t="str">
        <f t="shared" si="169"/>
        <v>-</v>
      </c>
      <c r="BA467" s="19">
        <v>4</v>
      </c>
      <c r="BB467" s="19">
        <v>8</v>
      </c>
      <c r="BC467" s="16">
        <v>19</v>
      </c>
      <c r="BD467" t="s">
        <v>1280</v>
      </c>
      <c r="BE467" t="s">
        <v>1280</v>
      </c>
      <c r="BF467" t="s">
        <v>1280</v>
      </c>
      <c r="BG467" t="str">
        <f t="shared" si="174"/>
        <v>-</v>
      </c>
      <c r="BH467">
        <v>2331</v>
      </c>
      <c r="BI467">
        <v>2331</v>
      </c>
      <c r="BJ467">
        <v>2331</v>
      </c>
      <c r="BK467">
        <f t="shared" si="175"/>
        <v>2562.6057692307695</v>
      </c>
      <c r="BL467" t="s">
        <v>1280</v>
      </c>
      <c r="BM467">
        <v>812</v>
      </c>
    </row>
    <row r="468" spans="1:65" x14ac:dyDescent="0.4">
      <c r="A468" s="3">
        <v>340</v>
      </c>
      <c r="B468" s="3">
        <v>340</v>
      </c>
      <c r="C468" s="4" t="s">
        <v>329</v>
      </c>
      <c r="D468" s="4" t="str">
        <f t="shared" si="154"/>
        <v>J3987N</v>
      </c>
      <c r="E468" s="4" t="s">
        <v>329</v>
      </c>
      <c r="F468" s="4" t="str">
        <f t="shared" si="170"/>
        <v>J3987N5</v>
      </c>
      <c r="G468" s="4" t="s">
        <v>975</v>
      </c>
      <c r="H468" s="5">
        <v>4529671084981</v>
      </c>
      <c r="I468" s="5">
        <v>5</v>
      </c>
      <c r="J468" s="5"/>
      <c r="K468" s="5">
        <v>1</v>
      </c>
      <c r="L468" s="5">
        <v>1</v>
      </c>
      <c r="M468" s="4">
        <v>0</v>
      </c>
      <c r="N468" s="4">
        <v>2747</v>
      </c>
      <c r="O468" s="4">
        <v>1872</v>
      </c>
      <c r="P468" s="6">
        <f t="shared" si="155"/>
        <v>0.31852930469603202</v>
      </c>
      <c r="Q468" s="4" t="s">
        <v>1280</v>
      </c>
      <c r="R468" s="4" t="s">
        <v>1280</v>
      </c>
      <c r="S468" s="4" t="s">
        <v>1280</v>
      </c>
      <c r="T468" s="4">
        <v>0</v>
      </c>
      <c r="U468" s="4">
        <f t="shared" si="156"/>
        <v>0</v>
      </c>
      <c r="V468" s="4">
        <v>2058</v>
      </c>
      <c r="W468" s="4">
        <f t="shared" si="157"/>
        <v>2058</v>
      </c>
      <c r="X468" s="4"/>
      <c r="Y468" s="21">
        <f t="shared" si="158"/>
        <v>3020</v>
      </c>
      <c r="Z468" s="6">
        <f t="shared" si="159"/>
        <v>0.31854304635761588</v>
      </c>
      <c r="AA468" s="4">
        <v>0</v>
      </c>
      <c r="AB468" s="4" t="str">
        <f t="shared" si="160"/>
        <v>-</v>
      </c>
      <c r="AC468" s="4" t="str">
        <f t="shared" si="171"/>
        <v>-</v>
      </c>
      <c r="AD468" s="6" t="str">
        <f t="shared" si="172"/>
        <v>-</v>
      </c>
      <c r="AE468" s="4">
        <f t="shared" si="173"/>
        <v>0</v>
      </c>
      <c r="AF468" s="7">
        <v>3150</v>
      </c>
      <c r="AG468" s="6">
        <f t="shared" si="161"/>
        <v>0.34666666666666668</v>
      </c>
      <c r="AH468" s="4">
        <f t="shared" si="162"/>
        <v>1092</v>
      </c>
      <c r="AI468" s="28"/>
      <c r="AJ468" s="6"/>
      <c r="AK468" s="6"/>
      <c r="AL468" s="6" t="e">
        <f t="shared" si="163"/>
        <v>#DIV/0!</v>
      </c>
      <c r="AM468" s="6">
        <f t="shared" si="164"/>
        <v>1.1467054969057153</v>
      </c>
      <c r="AN468" s="6">
        <f t="shared" si="165"/>
        <v>1.0993589743589745</v>
      </c>
      <c r="AO468" s="4" t="str">
        <f t="shared" si="166"/>
        <v>-</v>
      </c>
      <c r="AP468" s="4" t="str">
        <f t="shared" si="167"/>
        <v>-</v>
      </c>
      <c r="AQ468" s="4" t="str">
        <f t="shared" si="168"/>
        <v>-</v>
      </c>
      <c r="AR468" s="4">
        <v>0</v>
      </c>
      <c r="AS468" s="4" t="s">
        <v>1280</v>
      </c>
      <c r="AT468" s="4"/>
      <c r="AU468" s="4"/>
      <c r="AV468" s="4" t="s">
        <v>1280</v>
      </c>
      <c r="AW468" s="4" t="s">
        <v>1280</v>
      </c>
      <c r="AX468" s="4" t="s">
        <v>1280</v>
      </c>
      <c r="AY468" s="4" t="s">
        <v>1280</v>
      </c>
      <c r="AZ468" s="4" t="str">
        <f t="shared" si="169"/>
        <v>-</v>
      </c>
      <c r="BA468" s="19">
        <v>4</v>
      </c>
      <c r="BB468" s="19">
        <v>8</v>
      </c>
      <c r="BC468" s="16">
        <v>19</v>
      </c>
      <c r="BD468" t="s">
        <v>1280</v>
      </c>
      <c r="BE468" t="s">
        <v>1280</v>
      </c>
      <c r="BF468" t="s">
        <v>1280</v>
      </c>
      <c r="BG468" t="str">
        <f t="shared" si="174"/>
        <v>-</v>
      </c>
      <c r="BH468">
        <v>2331</v>
      </c>
      <c r="BI468">
        <v>2331</v>
      </c>
      <c r="BJ468">
        <v>2331</v>
      </c>
      <c r="BK468">
        <f t="shared" si="175"/>
        <v>2562.6057692307695</v>
      </c>
      <c r="BL468" t="s">
        <v>1280</v>
      </c>
      <c r="BM468">
        <v>812</v>
      </c>
    </row>
    <row r="469" spans="1:65" x14ac:dyDescent="0.4">
      <c r="A469" s="3">
        <v>341</v>
      </c>
      <c r="B469" s="3">
        <v>341</v>
      </c>
      <c r="C469" s="4" t="s">
        <v>330</v>
      </c>
      <c r="D469" s="4" t="str">
        <f t="shared" si="154"/>
        <v>J3988N</v>
      </c>
      <c r="E469" s="4" t="s">
        <v>330</v>
      </c>
      <c r="F469" s="4" t="str">
        <f t="shared" si="170"/>
        <v>J3988N5</v>
      </c>
      <c r="G469" s="4" t="s">
        <v>976</v>
      </c>
      <c r="H469" s="5">
        <v>4529671084998</v>
      </c>
      <c r="I469" s="5">
        <v>5</v>
      </c>
      <c r="J469" s="5"/>
      <c r="K469" s="5">
        <v>1</v>
      </c>
      <c r="L469" s="5">
        <v>1</v>
      </c>
      <c r="M469" s="4">
        <v>0</v>
      </c>
      <c r="N469" s="4">
        <v>2747</v>
      </c>
      <c r="O469" s="4">
        <v>1872</v>
      </c>
      <c r="P469" s="6">
        <f t="shared" si="155"/>
        <v>0.31852930469603202</v>
      </c>
      <c r="Q469" s="4" t="s">
        <v>1280</v>
      </c>
      <c r="R469" s="4" t="s">
        <v>1280</v>
      </c>
      <c r="S469" s="4" t="s">
        <v>1280</v>
      </c>
      <c r="T469" s="4">
        <v>0</v>
      </c>
      <c r="U469" s="4">
        <f t="shared" si="156"/>
        <v>0</v>
      </c>
      <c r="V469" s="4">
        <v>2058</v>
      </c>
      <c r="W469" s="4">
        <f t="shared" si="157"/>
        <v>2058</v>
      </c>
      <c r="X469" s="4"/>
      <c r="Y469" s="21">
        <f t="shared" si="158"/>
        <v>3020</v>
      </c>
      <c r="Z469" s="6">
        <f t="shared" si="159"/>
        <v>0.31854304635761588</v>
      </c>
      <c r="AA469" s="4">
        <v>0</v>
      </c>
      <c r="AB469" s="4" t="str">
        <f t="shared" si="160"/>
        <v>-</v>
      </c>
      <c r="AC469" s="4" t="str">
        <f t="shared" si="171"/>
        <v>-</v>
      </c>
      <c r="AD469" s="6" t="str">
        <f t="shared" si="172"/>
        <v>-</v>
      </c>
      <c r="AE469" s="4">
        <f t="shared" si="173"/>
        <v>0</v>
      </c>
      <c r="AF469" s="7">
        <v>3150</v>
      </c>
      <c r="AG469" s="6">
        <f t="shared" si="161"/>
        <v>0.34666666666666668</v>
      </c>
      <c r="AH469" s="4">
        <f t="shared" si="162"/>
        <v>1092</v>
      </c>
      <c r="AI469" s="28"/>
      <c r="AJ469" s="6"/>
      <c r="AK469" s="6"/>
      <c r="AL469" s="6" t="e">
        <f t="shared" si="163"/>
        <v>#DIV/0!</v>
      </c>
      <c r="AM469" s="6">
        <f t="shared" si="164"/>
        <v>1.1467054969057153</v>
      </c>
      <c r="AN469" s="6">
        <f t="shared" si="165"/>
        <v>1.0993589743589745</v>
      </c>
      <c r="AO469" s="4" t="str">
        <f t="shared" si="166"/>
        <v>-</v>
      </c>
      <c r="AP469" s="4" t="str">
        <f t="shared" si="167"/>
        <v>-</v>
      </c>
      <c r="AQ469" s="4" t="str">
        <f t="shared" si="168"/>
        <v>-</v>
      </c>
      <c r="AR469" s="4">
        <v>0</v>
      </c>
      <c r="AS469" s="4" t="s">
        <v>1280</v>
      </c>
      <c r="AT469" s="4"/>
      <c r="AU469" s="4"/>
      <c r="AV469" s="4" t="s">
        <v>1280</v>
      </c>
      <c r="AW469" s="4" t="s">
        <v>1280</v>
      </c>
      <c r="AX469" s="4" t="s">
        <v>1280</v>
      </c>
      <c r="AY469" s="4" t="s">
        <v>1280</v>
      </c>
      <c r="AZ469" s="4" t="str">
        <f t="shared" si="169"/>
        <v>-</v>
      </c>
      <c r="BA469" s="19">
        <v>4</v>
      </c>
      <c r="BB469" s="19">
        <v>8</v>
      </c>
      <c r="BC469" s="16">
        <v>19</v>
      </c>
      <c r="BD469" t="s">
        <v>1280</v>
      </c>
      <c r="BE469" t="s">
        <v>1280</v>
      </c>
      <c r="BF469" t="s">
        <v>1280</v>
      </c>
      <c r="BG469" t="str">
        <f t="shared" si="174"/>
        <v>-</v>
      </c>
      <c r="BH469">
        <v>2331</v>
      </c>
      <c r="BI469">
        <v>2331</v>
      </c>
      <c r="BJ469">
        <v>2331</v>
      </c>
      <c r="BK469">
        <f t="shared" si="175"/>
        <v>2562.6057692307695</v>
      </c>
      <c r="BL469" t="s">
        <v>1280</v>
      </c>
      <c r="BM469">
        <v>812</v>
      </c>
    </row>
    <row r="470" spans="1:65" x14ac:dyDescent="0.4">
      <c r="A470" s="3">
        <v>342</v>
      </c>
      <c r="B470" s="3">
        <v>342</v>
      </c>
      <c r="C470" s="4" t="s">
        <v>331</v>
      </c>
      <c r="D470" s="4" t="str">
        <f t="shared" si="154"/>
        <v>J3990N</v>
      </c>
      <c r="E470" s="4" t="s">
        <v>331</v>
      </c>
      <c r="F470" s="4" t="str">
        <f t="shared" si="170"/>
        <v>J3990N5</v>
      </c>
      <c r="G470" s="4" t="s">
        <v>977</v>
      </c>
      <c r="H470" s="5">
        <v>4529671085018</v>
      </c>
      <c r="I470" s="5">
        <v>5</v>
      </c>
      <c r="J470" s="5"/>
      <c r="K470" s="5">
        <v>1</v>
      </c>
      <c r="L470" s="5">
        <v>1</v>
      </c>
      <c r="M470" s="4">
        <v>0</v>
      </c>
      <c r="N470" s="4">
        <v>2747</v>
      </c>
      <c r="O470" s="4">
        <v>1872</v>
      </c>
      <c r="P470" s="6">
        <f t="shared" si="155"/>
        <v>0.31852930469603202</v>
      </c>
      <c r="Q470" s="4" t="s">
        <v>1280</v>
      </c>
      <c r="R470" s="4" t="s">
        <v>1280</v>
      </c>
      <c r="S470" s="4" t="s">
        <v>1280</v>
      </c>
      <c r="T470" s="4">
        <v>0</v>
      </c>
      <c r="U470" s="4">
        <f t="shared" si="156"/>
        <v>0</v>
      </c>
      <c r="V470" s="4">
        <v>2058</v>
      </c>
      <c r="W470" s="4">
        <f t="shared" si="157"/>
        <v>2058</v>
      </c>
      <c r="X470" s="4"/>
      <c r="Y470" s="21">
        <f t="shared" si="158"/>
        <v>3020</v>
      </c>
      <c r="Z470" s="6">
        <f t="shared" si="159"/>
        <v>0.31854304635761588</v>
      </c>
      <c r="AA470" s="4">
        <v>0</v>
      </c>
      <c r="AB470" s="4" t="str">
        <f t="shared" si="160"/>
        <v>-</v>
      </c>
      <c r="AC470" s="4" t="str">
        <f t="shared" si="171"/>
        <v>-</v>
      </c>
      <c r="AD470" s="6" t="str">
        <f t="shared" si="172"/>
        <v>-</v>
      </c>
      <c r="AE470" s="4">
        <f t="shared" si="173"/>
        <v>0</v>
      </c>
      <c r="AF470" s="7">
        <v>3150</v>
      </c>
      <c r="AG470" s="6">
        <f t="shared" si="161"/>
        <v>0.34666666666666668</v>
      </c>
      <c r="AH470" s="4">
        <f t="shared" si="162"/>
        <v>1092</v>
      </c>
      <c r="AI470" s="28"/>
      <c r="AJ470" s="6"/>
      <c r="AK470" s="6"/>
      <c r="AL470" s="6" t="e">
        <f t="shared" si="163"/>
        <v>#DIV/0!</v>
      </c>
      <c r="AM470" s="6">
        <f t="shared" si="164"/>
        <v>1.1467054969057153</v>
      </c>
      <c r="AN470" s="6">
        <f t="shared" si="165"/>
        <v>1.0993589743589745</v>
      </c>
      <c r="AO470" s="4" t="str">
        <f t="shared" si="166"/>
        <v>-</v>
      </c>
      <c r="AP470" s="4" t="str">
        <f t="shared" si="167"/>
        <v>-</v>
      </c>
      <c r="AQ470" s="4" t="str">
        <f t="shared" si="168"/>
        <v>-</v>
      </c>
      <c r="AR470" s="4">
        <v>0</v>
      </c>
      <c r="AS470" s="4" t="s">
        <v>1280</v>
      </c>
      <c r="AT470" s="4"/>
      <c r="AU470" s="4"/>
      <c r="AV470" s="4" t="s">
        <v>1280</v>
      </c>
      <c r="AW470" s="4" t="s">
        <v>1280</v>
      </c>
      <c r="AX470" s="4" t="s">
        <v>1280</v>
      </c>
      <c r="AY470" s="4" t="s">
        <v>1280</v>
      </c>
      <c r="AZ470" s="4" t="str">
        <f t="shared" si="169"/>
        <v>-</v>
      </c>
      <c r="BA470" s="19">
        <v>4</v>
      </c>
      <c r="BB470" s="19">
        <v>8</v>
      </c>
      <c r="BC470" s="16">
        <v>19</v>
      </c>
      <c r="BD470" t="s">
        <v>1280</v>
      </c>
      <c r="BE470" t="s">
        <v>1280</v>
      </c>
      <c r="BF470" t="s">
        <v>1280</v>
      </c>
      <c r="BG470" t="str">
        <f t="shared" si="174"/>
        <v>-</v>
      </c>
      <c r="BH470" t="s">
        <v>1280</v>
      </c>
      <c r="BI470" t="s">
        <v>1280</v>
      </c>
      <c r="BJ470" t="s">
        <v>1280</v>
      </c>
      <c r="BK470" t="str">
        <f t="shared" si="175"/>
        <v>-</v>
      </c>
      <c r="BL470" t="s">
        <v>1280</v>
      </c>
      <c r="BM470">
        <v>812</v>
      </c>
    </row>
    <row r="471" spans="1:65" x14ac:dyDescent="0.4">
      <c r="A471" s="3">
        <v>343</v>
      </c>
      <c r="B471" s="3">
        <v>343</v>
      </c>
      <c r="C471" s="4" t="s">
        <v>332</v>
      </c>
      <c r="D471" s="4" t="str">
        <f t="shared" si="154"/>
        <v>J3992N</v>
      </c>
      <c r="E471" s="4" t="s">
        <v>332</v>
      </c>
      <c r="F471" s="4" t="str">
        <f t="shared" si="170"/>
        <v>J3992N5</v>
      </c>
      <c r="G471" s="4" t="s">
        <v>978</v>
      </c>
      <c r="H471" s="5">
        <v>4529671085032</v>
      </c>
      <c r="I471" s="5">
        <v>5</v>
      </c>
      <c r="J471" s="5"/>
      <c r="K471" s="5">
        <v>1</v>
      </c>
      <c r="L471" s="5">
        <v>1</v>
      </c>
      <c r="M471" s="4">
        <v>0</v>
      </c>
      <c r="N471" s="4">
        <v>2747</v>
      </c>
      <c r="O471" s="4">
        <v>1872</v>
      </c>
      <c r="P471" s="6">
        <f t="shared" si="155"/>
        <v>0.31852930469603202</v>
      </c>
      <c r="Q471" s="4" t="s">
        <v>1280</v>
      </c>
      <c r="R471" s="4" t="s">
        <v>1280</v>
      </c>
      <c r="S471" s="4" t="s">
        <v>1280</v>
      </c>
      <c r="T471" s="4">
        <v>0</v>
      </c>
      <c r="U471" s="4">
        <f t="shared" si="156"/>
        <v>0</v>
      </c>
      <c r="V471" s="4">
        <v>2058</v>
      </c>
      <c r="W471" s="4">
        <f t="shared" si="157"/>
        <v>2058</v>
      </c>
      <c r="X471" s="4"/>
      <c r="Y471" s="21">
        <f t="shared" si="158"/>
        <v>3020</v>
      </c>
      <c r="Z471" s="6">
        <f t="shared" si="159"/>
        <v>0.31854304635761588</v>
      </c>
      <c r="AA471" s="4">
        <v>0</v>
      </c>
      <c r="AB471" s="4" t="str">
        <f t="shared" si="160"/>
        <v>-</v>
      </c>
      <c r="AC471" s="4" t="str">
        <f t="shared" si="171"/>
        <v>-</v>
      </c>
      <c r="AD471" s="6" t="str">
        <f t="shared" si="172"/>
        <v>-</v>
      </c>
      <c r="AE471" s="4">
        <f t="shared" si="173"/>
        <v>0</v>
      </c>
      <c r="AF471" s="7">
        <v>3150</v>
      </c>
      <c r="AG471" s="6">
        <f t="shared" si="161"/>
        <v>0.34666666666666668</v>
      </c>
      <c r="AH471" s="4">
        <f t="shared" si="162"/>
        <v>1092</v>
      </c>
      <c r="AI471" s="28"/>
      <c r="AJ471" s="6"/>
      <c r="AK471" s="6"/>
      <c r="AL471" s="6" t="e">
        <f t="shared" si="163"/>
        <v>#DIV/0!</v>
      </c>
      <c r="AM471" s="6">
        <f t="shared" si="164"/>
        <v>1.1467054969057153</v>
      </c>
      <c r="AN471" s="6">
        <f t="shared" si="165"/>
        <v>1.0993589743589745</v>
      </c>
      <c r="AO471" s="4" t="str">
        <f t="shared" si="166"/>
        <v>-</v>
      </c>
      <c r="AP471" s="4" t="str">
        <f t="shared" si="167"/>
        <v>-</v>
      </c>
      <c r="AQ471" s="4" t="str">
        <f t="shared" si="168"/>
        <v>-</v>
      </c>
      <c r="AR471" s="4">
        <v>0</v>
      </c>
      <c r="AS471" s="4" t="s">
        <v>1280</v>
      </c>
      <c r="AT471" s="4"/>
      <c r="AU471" s="4"/>
      <c r="AV471" s="4" t="s">
        <v>1280</v>
      </c>
      <c r="AW471" s="4" t="s">
        <v>1280</v>
      </c>
      <c r="AX471" s="4" t="s">
        <v>1280</v>
      </c>
      <c r="AY471" s="4" t="s">
        <v>1280</v>
      </c>
      <c r="AZ471" s="4" t="str">
        <f t="shared" si="169"/>
        <v>-</v>
      </c>
      <c r="BA471" s="19">
        <v>4</v>
      </c>
      <c r="BB471" s="19">
        <v>8</v>
      </c>
      <c r="BC471" s="16">
        <v>19</v>
      </c>
      <c r="BD471" t="s">
        <v>1280</v>
      </c>
      <c r="BE471" t="s">
        <v>1280</v>
      </c>
      <c r="BF471" t="s">
        <v>1280</v>
      </c>
      <c r="BG471" t="str">
        <f t="shared" si="174"/>
        <v>-</v>
      </c>
      <c r="BH471">
        <v>2331</v>
      </c>
      <c r="BI471">
        <v>2331</v>
      </c>
      <c r="BJ471">
        <v>2331</v>
      </c>
      <c r="BK471">
        <f t="shared" si="175"/>
        <v>2562.6057692307695</v>
      </c>
      <c r="BL471" t="s">
        <v>1280</v>
      </c>
      <c r="BM471">
        <v>812</v>
      </c>
    </row>
    <row r="472" spans="1:65" x14ac:dyDescent="0.4">
      <c r="A472" s="3">
        <v>344</v>
      </c>
      <c r="B472" s="3">
        <v>344</v>
      </c>
      <c r="C472" s="4" t="s">
        <v>333</v>
      </c>
      <c r="D472" s="4" t="str">
        <f t="shared" si="154"/>
        <v>J3989N</v>
      </c>
      <c r="E472" s="4" t="s">
        <v>333</v>
      </c>
      <c r="F472" s="4" t="str">
        <f t="shared" si="170"/>
        <v>J3989N5</v>
      </c>
      <c r="G472" s="4" t="s">
        <v>979</v>
      </c>
      <c r="H472" s="5">
        <v>4529671085001</v>
      </c>
      <c r="I472" s="5">
        <v>5</v>
      </c>
      <c r="J472" s="5"/>
      <c r="K472" s="5">
        <v>1</v>
      </c>
      <c r="L472" s="5">
        <v>1</v>
      </c>
      <c r="M472" s="4">
        <v>0</v>
      </c>
      <c r="N472" s="4">
        <v>2747</v>
      </c>
      <c r="O472" s="4">
        <v>1872</v>
      </c>
      <c r="P472" s="6">
        <f t="shared" si="155"/>
        <v>0.31852930469603202</v>
      </c>
      <c r="Q472" s="4" t="s">
        <v>1280</v>
      </c>
      <c r="R472" s="4" t="s">
        <v>1280</v>
      </c>
      <c r="S472" s="4" t="s">
        <v>1280</v>
      </c>
      <c r="T472" s="4">
        <v>0</v>
      </c>
      <c r="U472" s="4">
        <f t="shared" si="156"/>
        <v>0</v>
      </c>
      <c r="V472" s="4">
        <v>2058</v>
      </c>
      <c r="W472" s="4">
        <f t="shared" si="157"/>
        <v>2058</v>
      </c>
      <c r="X472" s="4"/>
      <c r="Y472" s="21">
        <f t="shared" si="158"/>
        <v>3020</v>
      </c>
      <c r="Z472" s="6">
        <f t="shared" si="159"/>
        <v>0.31854304635761588</v>
      </c>
      <c r="AA472" s="4">
        <v>0</v>
      </c>
      <c r="AB472" s="4" t="str">
        <f t="shared" si="160"/>
        <v>-</v>
      </c>
      <c r="AC472" s="4" t="str">
        <f t="shared" si="171"/>
        <v>-</v>
      </c>
      <c r="AD472" s="6" t="str">
        <f t="shared" si="172"/>
        <v>-</v>
      </c>
      <c r="AE472" s="4">
        <f t="shared" si="173"/>
        <v>0</v>
      </c>
      <c r="AF472" s="7">
        <v>3150</v>
      </c>
      <c r="AG472" s="6">
        <f t="shared" si="161"/>
        <v>0.34666666666666668</v>
      </c>
      <c r="AH472" s="4">
        <f t="shared" si="162"/>
        <v>1092</v>
      </c>
      <c r="AI472" s="28"/>
      <c r="AJ472" s="6"/>
      <c r="AK472" s="6"/>
      <c r="AL472" s="6" t="e">
        <f t="shared" si="163"/>
        <v>#DIV/0!</v>
      </c>
      <c r="AM472" s="6">
        <f t="shared" si="164"/>
        <v>1.1467054969057153</v>
      </c>
      <c r="AN472" s="6">
        <f t="shared" si="165"/>
        <v>1.0993589743589745</v>
      </c>
      <c r="AO472" s="4" t="str">
        <f t="shared" si="166"/>
        <v>-</v>
      </c>
      <c r="AP472" s="4" t="str">
        <f t="shared" si="167"/>
        <v>-</v>
      </c>
      <c r="AQ472" s="4" t="str">
        <f t="shared" si="168"/>
        <v>-</v>
      </c>
      <c r="AR472" s="4">
        <v>0</v>
      </c>
      <c r="AS472" s="4" t="s">
        <v>1280</v>
      </c>
      <c r="AT472" s="4"/>
      <c r="AU472" s="4"/>
      <c r="AV472" s="4" t="s">
        <v>1280</v>
      </c>
      <c r="AW472" s="4" t="s">
        <v>1280</v>
      </c>
      <c r="AX472" s="4" t="s">
        <v>1280</v>
      </c>
      <c r="AY472" s="4" t="s">
        <v>1280</v>
      </c>
      <c r="AZ472" s="4" t="str">
        <f t="shared" si="169"/>
        <v>-</v>
      </c>
      <c r="BA472" s="19">
        <v>4</v>
      </c>
      <c r="BB472" s="19">
        <v>8</v>
      </c>
      <c r="BC472" s="16">
        <v>19</v>
      </c>
      <c r="BD472" t="s">
        <v>1280</v>
      </c>
      <c r="BE472" t="s">
        <v>1280</v>
      </c>
      <c r="BF472" t="s">
        <v>1280</v>
      </c>
      <c r="BG472" t="str">
        <f t="shared" si="174"/>
        <v>-</v>
      </c>
      <c r="BH472">
        <v>2331</v>
      </c>
      <c r="BI472">
        <v>2331</v>
      </c>
      <c r="BJ472">
        <v>2331</v>
      </c>
      <c r="BK472">
        <f t="shared" si="175"/>
        <v>2562.6057692307695</v>
      </c>
      <c r="BL472" t="s">
        <v>1280</v>
      </c>
      <c r="BM472">
        <v>812</v>
      </c>
    </row>
    <row r="473" spans="1:65" x14ac:dyDescent="0.4">
      <c r="A473" s="3">
        <v>345</v>
      </c>
      <c r="B473" s="3">
        <v>345</v>
      </c>
      <c r="C473" s="4" t="s">
        <v>334</v>
      </c>
      <c r="D473" s="4" t="str">
        <f t="shared" si="154"/>
        <v>J3998N</v>
      </c>
      <c r="E473" s="4" t="s">
        <v>334</v>
      </c>
      <c r="F473" s="4" t="str">
        <f t="shared" si="170"/>
        <v>J3998N5</v>
      </c>
      <c r="G473" s="4" t="s">
        <v>980</v>
      </c>
      <c r="H473" s="5">
        <v>4529671089801</v>
      </c>
      <c r="I473" s="5">
        <v>5</v>
      </c>
      <c r="J473" s="5"/>
      <c r="K473" s="5">
        <v>1</v>
      </c>
      <c r="L473" s="5">
        <v>1</v>
      </c>
      <c r="M473" s="4">
        <v>0</v>
      </c>
      <c r="N473" s="4">
        <v>2747</v>
      </c>
      <c r="O473" s="4">
        <v>1872</v>
      </c>
      <c r="P473" s="6">
        <f t="shared" si="155"/>
        <v>0.31852930469603202</v>
      </c>
      <c r="Q473" s="4" t="s">
        <v>1280</v>
      </c>
      <c r="R473" s="4" t="s">
        <v>1280</v>
      </c>
      <c r="S473" s="4" t="s">
        <v>1280</v>
      </c>
      <c r="T473" s="4">
        <v>0</v>
      </c>
      <c r="U473" s="4">
        <f t="shared" si="156"/>
        <v>0</v>
      </c>
      <c r="V473" s="4">
        <v>2058</v>
      </c>
      <c r="W473" s="4">
        <f t="shared" si="157"/>
        <v>2058</v>
      </c>
      <c r="X473" s="4"/>
      <c r="Y473" s="21">
        <f t="shared" si="158"/>
        <v>3020</v>
      </c>
      <c r="Z473" s="6">
        <f t="shared" si="159"/>
        <v>0.31854304635761588</v>
      </c>
      <c r="AA473" s="4">
        <v>0</v>
      </c>
      <c r="AB473" s="4" t="str">
        <f t="shared" si="160"/>
        <v>-</v>
      </c>
      <c r="AC473" s="4" t="str">
        <f t="shared" si="171"/>
        <v>-</v>
      </c>
      <c r="AD473" s="6" t="str">
        <f t="shared" si="172"/>
        <v>-</v>
      </c>
      <c r="AE473" s="4">
        <f t="shared" si="173"/>
        <v>0</v>
      </c>
      <c r="AF473" s="7">
        <v>3150</v>
      </c>
      <c r="AG473" s="6">
        <f t="shared" si="161"/>
        <v>0.34666666666666668</v>
      </c>
      <c r="AH473" s="4">
        <f t="shared" si="162"/>
        <v>1092</v>
      </c>
      <c r="AI473" s="28"/>
      <c r="AJ473" s="6"/>
      <c r="AK473" s="6"/>
      <c r="AL473" s="6" t="e">
        <f t="shared" si="163"/>
        <v>#DIV/0!</v>
      </c>
      <c r="AM473" s="6">
        <f t="shared" si="164"/>
        <v>1.1467054969057153</v>
      </c>
      <c r="AN473" s="6">
        <f t="shared" si="165"/>
        <v>1.0993589743589745</v>
      </c>
      <c r="AO473" s="4" t="str">
        <f t="shared" si="166"/>
        <v>-</v>
      </c>
      <c r="AP473" s="4" t="str">
        <f t="shared" si="167"/>
        <v>-</v>
      </c>
      <c r="AQ473" s="4" t="str">
        <f t="shared" si="168"/>
        <v>-</v>
      </c>
      <c r="AR473" s="4">
        <v>0</v>
      </c>
      <c r="AS473" s="4" t="s">
        <v>1280</v>
      </c>
      <c r="AT473" s="4"/>
      <c r="AU473" s="4"/>
      <c r="AV473" s="4" t="s">
        <v>1280</v>
      </c>
      <c r="AW473" s="4" t="s">
        <v>1280</v>
      </c>
      <c r="AX473" s="4" t="s">
        <v>1280</v>
      </c>
      <c r="AY473" s="4" t="s">
        <v>1280</v>
      </c>
      <c r="AZ473" s="4" t="str">
        <f t="shared" si="169"/>
        <v>-</v>
      </c>
      <c r="BA473" s="19">
        <v>4</v>
      </c>
      <c r="BB473" s="19">
        <v>8</v>
      </c>
      <c r="BC473" s="16">
        <v>19</v>
      </c>
      <c r="BD473" t="s">
        <v>1280</v>
      </c>
      <c r="BE473" t="s">
        <v>1280</v>
      </c>
      <c r="BF473" t="s">
        <v>1280</v>
      </c>
      <c r="BG473" t="str">
        <f t="shared" si="174"/>
        <v>-</v>
      </c>
      <c r="BH473">
        <v>2331</v>
      </c>
      <c r="BI473">
        <v>2331</v>
      </c>
      <c r="BJ473">
        <v>2331</v>
      </c>
      <c r="BK473">
        <f t="shared" si="175"/>
        <v>2562.6057692307695</v>
      </c>
      <c r="BL473" t="s">
        <v>1280</v>
      </c>
      <c r="BM473">
        <v>812</v>
      </c>
    </row>
    <row r="474" spans="1:65" x14ac:dyDescent="0.4">
      <c r="A474" s="3">
        <v>346</v>
      </c>
      <c r="B474" s="3">
        <v>346</v>
      </c>
      <c r="C474" s="4" t="s">
        <v>335</v>
      </c>
      <c r="D474" s="4" t="str">
        <f t="shared" si="154"/>
        <v>J3994N</v>
      </c>
      <c r="E474" s="4" t="s">
        <v>335</v>
      </c>
      <c r="F474" s="4" t="str">
        <f t="shared" si="170"/>
        <v>J3994N5</v>
      </c>
      <c r="G474" s="4" t="s">
        <v>981</v>
      </c>
      <c r="H474" s="5">
        <v>4529671085056</v>
      </c>
      <c r="I474" s="5">
        <v>5</v>
      </c>
      <c r="J474" s="5"/>
      <c r="K474" s="5">
        <v>1</v>
      </c>
      <c r="L474" s="5">
        <v>1</v>
      </c>
      <c r="M474" s="4">
        <v>0</v>
      </c>
      <c r="N474" s="4">
        <v>2747</v>
      </c>
      <c r="O474" s="4">
        <v>1872</v>
      </c>
      <c r="P474" s="6">
        <f t="shared" si="155"/>
        <v>0.31852930469603202</v>
      </c>
      <c r="Q474" s="4" t="s">
        <v>1280</v>
      </c>
      <c r="R474" s="4" t="s">
        <v>1280</v>
      </c>
      <c r="S474" s="4" t="s">
        <v>1280</v>
      </c>
      <c r="T474" s="4">
        <v>0</v>
      </c>
      <c r="U474" s="4">
        <f t="shared" si="156"/>
        <v>0</v>
      </c>
      <c r="V474" s="4">
        <v>2058</v>
      </c>
      <c r="W474" s="4">
        <f t="shared" si="157"/>
        <v>2058</v>
      </c>
      <c r="X474" s="4"/>
      <c r="Y474" s="21">
        <f t="shared" si="158"/>
        <v>3020</v>
      </c>
      <c r="Z474" s="6">
        <f t="shared" si="159"/>
        <v>0.31854304635761588</v>
      </c>
      <c r="AA474" s="4">
        <v>0</v>
      </c>
      <c r="AB474" s="4" t="str">
        <f t="shared" si="160"/>
        <v>-</v>
      </c>
      <c r="AC474" s="4" t="str">
        <f t="shared" si="171"/>
        <v>-</v>
      </c>
      <c r="AD474" s="6" t="str">
        <f t="shared" si="172"/>
        <v>-</v>
      </c>
      <c r="AE474" s="4">
        <f t="shared" si="173"/>
        <v>0</v>
      </c>
      <c r="AF474" s="7">
        <v>3150</v>
      </c>
      <c r="AG474" s="6">
        <f t="shared" si="161"/>
        <v>0.34666666666666668</v>
      </c>
      <c r="AH474" s="4">
        <f t="shared" si="162"/>
        <v>1092</v>
      </c>
      <c r="AI474" s="28"/>
      <c r="AJ474" s="6"/>
      <c r="AK474" s="6"/>
      <c r="AL474" s="6" t="e">
        <f t="shared" si="163"/>
        <v>#DIV/0!</v>
      </c>
      <c r="AM474" s="6">
        <f t="shared" si="164"/>
        <v>1.1467054969057153</v>
      </c>
      <c r="AN474" s="6">
        <f t="shared" si="165"/>
        <v>1.0993589743589745</v>
      </c>
      <c r="AO474" s="4" t="str">
        <f t="shared" si="166"/>
        <v>-</v>
      </c>
      <c r="AP474" s="4" t="str">
        <f t="shared" si="167"/>
        <v>-</v>
      </c>
      <c r="AQ474" s="4" t="str">
        <f t="shared" si="168"/>
        <v>-</v>
      </c>
      <c r="AR474" s="4">
        <v>0</v>
      </c>
      <c r="AS474" s="4" t="s">
        <v>1280</v>
      </c>
      <c r="AT474" s="4"/>
      <c r="AU474" s="4"/>
      <c r="AV474" s="4" t="s">
        <v>1280</v>
      </c>
      <c r="AW474" s="4" t="s">
        <v>1280</v>
      </c>
      <c r="AX474" s="4" t="s">
        <v>1280</v>
      </c>
      <c r="AY474" s="4" t="s">
        <v>1280</v>
      </c>
      <c r="AZ474" s="4" t="str">
        <f t="shared" si="169"/>
        <v>-</v>
      </c>
      <c r="BA474" s="19">
        <v>4</v>
      </c>
      <c r="BB474" s="19">
        <v>8</v>
      </c>
      <c r="BC474" s="16">
        <v>19</v>
      </c>
      <c r="BD474" t="s">
        <v>1280</v>
      </c>
      <c r="BE474" t="s">
        <v>1280</v>
      </c>
      <c r="BF474" t="s">
        <v>1280</v>
      </c>
      <c r="BG474" t="str">
        <f t="shared" si="174"/>
        <v>-</v>
      </c>
      <c r="BH474">
        <v>2331</v>
      </c>
      <c r="BI474">
        <v>2331</v>
      </c>
      <c r="BJ474">
        <v>2331</v>
      </c>
      <c r="BK474">
        <f t="shared" si="175"/>
        <v>2562.6057692307695</v>
      </c>
      <c r="BL474" t="s">
        <v>1280</v>
      </c>
      <c r="BM474">
        <v>812</v>
      </c>
    </row>
    <row r="475" spans="1:65" x14ac:dyDescent="0.4">
      <c r="A475" s="3">
        <v>347</v>
      </c>
      <c r="B475" s="3">
        <v>347</v>
      </c>
      <c r="C475" s="4" t="s">
        <v>336</v>
      </c>
      <c r="D475" s="4" t="str">
        <f t="shared" si="154"/>
        <v>J3995N</v>
      </c>
      <c r="E475" s="4" t="s">
        <v>336</v>
      </c>
      <c r="F475" s="4" t="str">
        <f t="shared" si="170"/>
        <v>J3995N5</v>
      </c>
      <c r="G475" s="4" t="s">
        <v>982</v>
      </c>
      <c r="H475" s="5">
        <v>4529671086213</v>
      </c>
      <c r="I475" s="5">
        <v>5</v>
      </c>
      <c r="J475" s="5"/>
      <c r="K475" s="5">
        <v>1</v>
      </c>
      <c r="L475" s="5">
        <v>1</v>
      </c>
      <c r="M475" s="4">
        <v>0</v>
      </c>
      <c r="N475" s="4">
        <v>2747</v>
      </c>
      <c r="O475" s="4">
        <v>1872</v>
      </c>
      <c r="P475" s="6">
        <f t="shared" si="155"/>
        <v>0.31852930469603202</v>
      </c>
      <c r="Q475" s="4" t="s">
        <v>1280</v>
      </c>
      <c r="R475" s="4" t="s">
        <v>1280</v>
      </c>
      <c r="S475" s="4" t="s">
        <v>1280</v>
      </c>
      <c r="T475" s="4">
        <v>0</v>
      </c>
      <c r="U475" s="4">
        <f t="shared" si="156"/>
        <v>0</v>
      </c>
      <c r="V475" s="4">
        <v>2058</v>
      </c>
      <c r="W475" s="4">
        <f t="shared" si="157"/>
        <v>2058</v>
      </c>
      <c r="X475" s="4"/>
      <c r="Y475" s="21">
        <f t="shared" si="158"/>
        <v>3020</v>
      </c>
      <c r="Z475" s="6">
        <f t="shared" si="159"/>
        <v>0.31854304635761588</v>
      </c>
      <c r="AA475" s="4">
        <v>0</v>
      </c>
      <c r="AB475" s="4" t="str">
        <f t="shared" si="160"/>
        <v>-</v>
      </c>
      <c r="AC475" s="4" t="str">
        <f t="shared" si="171"/>
        <v>-</v>
      </c>
      <c r="AD475" s="6" t="str">
        <f t="shared" si="172"/>
        <v>-</v>
      </c>
      <c r="AE475" s="4">
        <f t="shared" si="173"/>
        <v>0</v>
      </c>
      <c r="AF475" s="7">
        <v>3150</v>
      </c>
      <c r="AG475" s="6">
        <f t="shared" si="161"/>
        <v>0.34666666666666668</v>
      </c>
      <c r="AH475" s="4">
        <f t="shared" si="162"/>
        <v>1092</v>
      </c>
      <c r="AI475" s="28"/>
      <c r="AJ475" s="6"/>
      <c r="AK475" s="6"/>
      <c r="AL475" s="6" t="e">
        <f t="shared" si="163"/>
        <v>#DIV/0!</v>
      </c>
      <c r="AM475" s="6">
        <f t="shared" si="164"/>
        <v>1.1467054969057153</v>
      </c>
      <c r="AN475" s="6">
        <f t="shared" si="165"/>
        <v>1.0993589743589745</v>
      </c>
      <c r="AO475" s="4" t="str">
        <f t="shared" si="166"/>
        <v>-</v>
      </c>
      <c r="AP475" s="4" t="str">
        <f t="shared" si="167"/>
        <v>-</v>
      </c>
      <c r="AQ475" s="4" t="str">
        <f t="shared" si="168"/>
        <v>-</v>
      </c>
      <c r="AR475" s="4">
        <v>0</v>
      </c>
      <c r="AS475" s="4" t="s">
        <v>1280</v>
      </c>
      <c r="AT475" s="4"/>
      <c r="AU475" s="4"/>
      <c r="AV475" s="4" t="s">
        <v>1280</v>
      </c>
      <c r="AW475" s="4" t="s">
        <v>1280</v>
      </c>
      <c r="AX475" s="4" t="s">
        <v>1280</v>
      </c>
      <c r="AY475" s="4" t="s">
        <v>1280</v>
      </c>
      <c r="AZ475" s="4" t="str">
        <f t="shared" si="169"/>
        <v>-</v>
      </c>
      <c r="BA475" s="19">
        <v>4</v>
      </c>
      <c r="BB475" s="19">
        <v>8</v>
      </c>
      <c r="BC475" s="16">
        <v>19</v>
      </c>
      <c r="BD475" t="s">
        <v>1280</v>
      </c>
      <c r="BE475" t="s">
        <v>1280</v>
      </c>
      <c r="BF475" t="s">
        <v>1280</v>
      </c>
      <c r="BG475" t="str">
        <f t="shared" si="174"/>
        <v>-</v>
      </c>
      <c r="BH475">
        <v>2331</v>
      </c>
      <c r="BI475">
        <v>2331</v>
      </c>
      <c r="BJ475">
        <v>2331</v>
      </c>
      <c r="BK475">
        <f t="shared" si="175"/>
        <v>2562.6057692307695</v>
      </c>
      <c r="BL475" t="s">
        <v>1280</v>
      </c>
      <c r="BM475">
        <v>812</v>
      </c>
    </row>
    <row r="476" spans="1:65" x14ac:dyDescent="0.4">
      <c r="A476" s="3">
        <v>348</v>
      </c>
      <c r="B476" s="3">
        <v>348</v>
      </c>
      <c r="C476" s="4" t="s">
        <v>337</v>
      </c>
      <c r="D476" s="4" t="str">
        <f t="shared" si="154"/>
        <v>J3996N</v>
      </c>
      <c r="E476" s="4" t="s">
        <v>337</v>
      </c>
      <c r="F476" s="4" t="str">
        <f t="shared" si="170"/>
        <v>J3996N5</v>
      </c>
      <c r="G476" s="4" t="s">
        <v>983</v>
      </c>
      <c r="H476" s="5">
        <v>4529671086220</v>
      </c>
      <c r="I476" s="5">
        <v>5</v>
      </c>
      <c r="J476" s="5"/>
      <c r="K476" s="5">
        <v>1</v>
      </c>
      <c r="L476" s="5">
        <v>1</v>
      </c>
      <c r="M476" s="4">
        <v>0</v>
      </c>
      <c r="N476" s="4">
        <v>2747</v>
      </c>
      <c r="O476" s="4">
        <v>1872</v>
      </c>
      <c r="P476" s="6">
        <f t="shared" si="155"/>
        <v>0.31852930469603202</v>
      </c>
      <c r="Q476" s="4" t="s">
        <v>1280</v>
      </c>
      <c r="R476" s="4" t="s">
        <v>1280</v>
      </c>
      <c r="S476" s="4" t="s">
        <v>1280</v>
      </c>
      <c r="T476" s="4">
        <v>0</v>
      </c>
      <c r="U476" s="4">
        <f t="shared" si="156"/>
        <v>0</v>
      </c>
      <c r="V476" s="4">
        <v>2058</v>
      </c>
      <c r="W476" s="4">
        <f t="shared" si="157"/>
        <v>2058</v>
      </c>
      <c r="X476" s="4"/>
      <c r="Y476" s="21">
        <f t="shared" si="158"/>
        <v>3020</v>
      </c>
      <c r="Z476" s="6">
        <f t="shared" si="159"/>
        <v>0.31854304635761588</v>
      </c>
      <c r="AA476" s="4">
        <v>0</v>
      </c>
      <c r="AB476" s="4" t="str">
        <f t="shared" si="160"/>
        <v>-</v>
      </c>
      <c r="AC476" s="4" t="str">
        <f t="shared" si="171"/>
        <v>-</v>
      </c>
      <c r="AD476" s="6" t="str">
        <f t="shared" si="172"/>
        <v>-</v>
      </c>
      <c r="AE476" s="4">
        <f t="shared" si="173"/>
        <v>0</v>
      </c>
      <c r="AF476" s="7">
        <v>3150</v>
      </c>
      <c r="AG476" s="6">
        <f t="shared" si="161"/>
        <v>0.34666666666666668</v>
      </c>
      <c r="AH476" s="4">
        <f t="shared" si="162"/>
        <v>1092</v>
      </c>
      <c r="AI476" s="28"/>
      <c r="AJ476" s="6"/>
      <c r="AK476" s="6"/>
      <c r="AL476" s="6" t="e">
        <f t="shared" si="163"/>
        <v>#DIV/0!</v>
      </c>
      <c r="AM476" s="6">
        <f t="shared" si="164"/>
        <v>1.1467054969057153</v>
      </c>
      <c r="AN476" s="6">
        <f t="shared" si="165"/>
        <v>1.0993589743589745</v>
      </c>
      <c r="AO476" s="4" t="str">
        <f t="shared" si="166"/>
        <v>-</v>
      </c>
      <c r="AP476" s="4" t="str">
        <f t="shared" si="167"/>
        <v>-</v>
      </c>
      <c r="AQ476" s="4" t="str">
        <f t="shared" si="168"/>
        <v>-</v>
      </c>
      <c r="AR476" s="4">
        <v>0</v>
      </c>
      <c r="AS476" s="4" t="s">
        <v>1280</v>
      </c>
      <c r="AT476" s="4"/>
      <c r="AU476" s="4"/>
      <c r="AV476" s="4" t="s">
        <v>1280</v>
      </c>
      <c r="AW476" s="4" t="s">
        <v>1280</v>
      </c>
      <c r="AX476" s="4" t="s">
        <v>1280</v>
      </c>
      <c r="AY476" s="4" t="s">
        <v>1280</v>
      </c>
      <c r="AZ476" s="4" t="str">
        <f t="shared" si="169"/>
        <v>-</v>
      </c>
      <c r="BA476" s="19">
        <v>4</v>
      </c>
      <c r="BB476" s="19">
        <v>8</v>
      </c>
      <c r="BC476" s="16">
        <v>19</v>
      </c>
      <c r="BD476" t="s">
        <v>1280</v>
      </c>
      <c r="BE476" t="s">
        <v>1280</v>
      </c>
      <c r="BF476" t="s">
        <v>1280</v>
      </c>
      <c r="BG476" t="str">
        <f t="shared" si="174"/>
        <v>-</v>
      </c>
      <c r="BH476">
        <v>2331</v>
      </c>
      <c r="BI476">
        <v>2331</v>
      </c>
      <c r="BJ476">
        <v>2331</v>
      </c>
      <c r="BK476">
        <f t="shared" si="175"/>
        <v>2562.6057692307695</v>
      </c>
      <c r="BL476" t="s">
        <v>1280</v>
      </c>
      <c r="BM476">
        <v>812</v>
      </c>
    </row>
    <row r="477" spans="1:65" x14ac:dyDescent="0.4">
      <c r="A477" s="3">
        <v>349</v>
      </c>
      <c r="B477" s="3">
        <v>349</v>
      </c>
      <c r="C477" s="4" t="s">
        <v>338</v>
      </c>
      <c r="D477" s="4" t="str">
        <f t="shared" si="154"/>
        <v>J3997N</v>
      </c>
      <c r="E477" s="4" t="s">
        <v>338</v>
      </c>
      <c r="F477" s="4" t="str">
        <f t="shared" si="170"/>
        <v>J3997N5</v>
      </c>
      <c r="G477" s="4" t="s">
        <v>984</v>
      </c>
      <c r="H477" s="5">
        <v>4529671089795</v>
      </c>
      <c r="I477" s="5">
        <v>5</v>
      </c>
      <c r="J477" s="5"/>
      <c r="K477" s="5">
        <v>1</v>
      </c>
      <c r="L477" s="5">
        <v>1</v>
      </c>
      <c r="M477" s="4">
        <v>0</v>
      </c>
      <c r="N477" s="4">
        <v>2747</v>
      </c>
      <c r="O477" s="4">
        <v>1872</v>
      </c>
      <c r="P477" s="6">
        <f t="shared" si="155"/>
        <v>0.31852930469603202</v>
      </c>
      <c r="Q477" s="4" t="s">
        <v>1280</v>
      </c>
      <c r="R477" s="4" t="s">
        <v>1280</v>
      </c>
      <c r="S477" s="4" t="s">
        <v>1280</v>
      </c>
      <c r="T477" s="4">
        <v>0</v>
      </c>
      <c r="U477" s="4">
        <f t="shared" si="156"/>
        <v>0</v>
      </c>
      <c r="V477" s="4">
        <v>2058</v>
      </c>
      <c r="W477" s="4">
        <f t="shared" si="157"/>
        <v>2058</v>
      </c>
      <c r="X477" s="4"/>
      <c r="Y477" s="21">
        <f t="shared" si="158"/>
        <v>3020</v>
      </c>
      <c r="Z477" s="6">
        <f t="shared" si="159"/>
        <v>0.31854304635761588</v>
      </c>
      <c r="AA477" s="4">
        <v>0</v>
      </c>
      <c r="AB477" s="4" t="str">
        <f t="shared" si="160"/>
        <v>-</v>
      </c>
      <c r="AC477" s="4" t="str">
        <f t="shared" si="171"/>
        <v>-</v>
      </c>
      <c r="AD477" s="6" t="str">
        <f t="shared" si="172"/>
        <v>-</v>
      </c>
      <c r="AE477" s="4">
        <f t="shared" si="173"/>
        <v>0</v>
      </c>
      <c r="AF477" s="7">
        <v>3150</v>
      </c>
      <c r="AG477" s="6">
        <f t="shared" si="161"/>
        <v>0.34666666666666668</v>
      </c>
      <c r="AH477" s="4">
        <f t="shared" si="162"/>
        <v>1092</v>
      </c>
      <c r="AI477" s="28"/>
      <c r="AJ477" s="6"/>
      <c r="AK477" s="6"/>
      <c r="AL477" s="6" t="e">
        <f t="shared" si="163"/>
        <v>#DIV/0!</v>
      </c>
      <c r="AM477" s="6">
        <f t="shared" si="164"/>
        <v>1.1467054969057153</v>
      </c>
      <c r="AN477" s="6">
        <f t="shared" si="165"/>
        <v>1.0993589743589745</v>
      </c>
      <c r="AO477" s="4" t="str">
        <f t="shared" si="166"/>
        <v>-</v>
      </c>
      <c r="AP477" s="4" t="str">
        <f t="shared" si="167"/>
        <v>-</v>
      </c>
      <c r="AQ477" s="4" t="str">
        <f t="shared" si="168"/>
        <v>-</v>
      </c>
      <c r="AR477" s="4">
        <v>0</v>
      </c>
      <c r="AS477" s="4" t="s">
        <v>1280</v>
      </c>
      <c r="AT477" s="4"/>
      <c r="AU477" s="4"/>
      <c r="AV477" s="4" t="s">
        <v>1280</v>
      </c>
      <c r="AW477" s="4" t="s">
        <v>1280</v>
      </c>
      <c r="AX477" s="4" t="s">
        <v>1280</v>
      </c>
      <c r="AY477" s="4" t="s">
        <v>1280</v>
      </c>
      <c r="AZ477" s="4" t="str">
        <f t="shared" si="169"/>
        <v>-</v>
      </c>
      <c r="BA477" s="19">
        <v>4</v>
      </c>
      <c r="BB477" s="19">
        <v>8</v>
      </c>
      <c r="BC477" s="16">
        <v>19</v>
      </c>
      <c r="BD477" t="s">
        <v>1280</v>
      </c>
      <c r="BE477" t="s">
        <v>1280</v>
      </c>
      <c r="BF477" t="s">
        <v>1280</v>
      </c>
      <c r="BG477" t="str">
        <f t="shared" si="174"/>
        <v>-</v>
      </c>
      <c r="BH477">
        <v>2331</v>
      </c>
      <c r="BI477">
        <v>2331</v>
      </c>
      <c r="BJ477">
        <v>2331</v>
      </c>
      <c r="BK477">
        <f t="shared" si="175"/>
        <v>2562.6057692307695</v>
      </c>
      <c r="BL477" t="s">
        <v>1280</v>
      </c>
      <c r="BM477">
        <v>812</v>
      </c>
    </row>
    <row r="478" spans="1:65" x14ac:dyDescent="0.4">
      <c r="A478" s="3">
        <v>357</v>
      </c>
      <c r="B478" s="3">
        <v>357</v>
      </c>
      <c r="C478" s="4" t="s">
        <v>346</v>
      </c>
      <c r="D478" s="4" t="str">
        <f t="shared" si="154"/>
        <v>J4007N</v>
      </c>
      <c r="E478" s="4" t="s">
        <v>346</v>
      </c>
      <c r="F478" s="4" t="str">
        <f t="shared" si="170"/>
        <v>J4007N5</v>
      </c>
      <c r="G478" s="4" t="s">
        <v>992</v>
      </c>
      <c r="H478" s="5">
        <v>4529671084189</v>
      </c>
      <c r="I478" s="5">
        <v>5</v>
      </c>
      <c r="J478" s="5"/>
      <c r="K478" s="5">
        <v>1</v>
      </c>
      <c r="L478" s="5">
        <v>1</v>
      </c>
      <c r="M478" s="4">
        <v>0</v>
      </c>
      <c r="N478" s="4">
        <v>2762</v>
      </c>
      <c r="O478" s="4">
        <v>1884</v>
      </c>
      <c r="P478" s="6">
        <f t="shared" si="155"/>
        <v>0.31788559015206375</v>
      </c>
      <c r="Q478" s="4" t="s">
        <v>1280</v>
      </c>
      <c r="R478" s="4" t="s">
        <v>1280</v>
      </c>
      <c r="S478" s="4" t="s">
        <v>1280</v>
      </c>
      <c r="T478" s="4">
        <v>0</v>
      </c>
      <c r="U478" s="4">
        <f t="shared" si="156"/>
        <v>0</v>
      </c>
      <c r="V478" s="4">
        <v>2064</v>
      </c>
      <c r="W478" s="4">
        <f t="shared" si="157"/>
        <v>2064</v>
      </c>
      <c r="X478" s="4"/>
      <c r="Y478" s="21">
        <f t="shared" si="158"/>
        <v>3026</v>
      </c>
      <c r="Z478" s="6">
        <f t="shared" si="159"/>
        <v>0.31791143423661594</v>
      </c>
      <c r="AA478" s="4">
        <v>0</v>
      </c>
      <c r="AB478" s="4" t="str">
        <f t="shared" si="160"/>
        <v>-</v>
      </c>
      <c r="AC478" s="4" t="str">
        <f t="shared" si="171"/>
        <v>-</v>
      </c>
      <c r="AD478" s="6" t="str">
        <f t="shared" si="172"/>
        <v>-</v>
      </c>
      <c r="AE478" s="4">
        <f t="shared" si="173"/>
        <v>0</v>
      </c>
      <c r="AF478" s="7">
        <v>3150</v>
      </c>
      <c r="AG478" s="6">
        <f t="shared" si="161"/>
        <v>0.34476190476190471</v>
      </c>
      <c r="AH478" s="4">
        <f t="shared" si="162"/>
        <v>1086</v>
      </c>
      <c r="AI478" s="28"/>
      <c r="AJ478" s="6"/>
      <c r="AK478" s="6"/>
      <c r="AL478" s="6" t="e">
        <f t="shared" si="163"/>
        <v>#DIV/0!</v>
      </c>
      <c r="AM478" s="6">
        <f t="shared" si="164"/>
        <v>1.1404779145546706</v>
      </c>
      <c r="AN478" s="6">
        <f t="shared" si="165"/>
        <v>1.0955414012738853</v>
      </c>
      <c r="AO478" s="4" t="str">
        <f t="shared" si="166"/>
        <v>-</v>
      </c>
      <c r="AP478" s="4" t="str">
        <f t="shared" si="167"/>
        <v>-</v>
      </c>
      <c r="AQ478" s="4" t="str">
        <f t="shared" si="168"/>
        <v>-</v>
      </c>
      <c r="AR478" s="4">
        <v>0</v>
      </c>
      <c r="AS478" s="4" t="s">
        <v>1280</v>
      </c>
      <c r="AT478" s="4"/>
      <c r="AU478" s="4"/>
      <c r="AV478" s="4" t="s">
        <v>1280</v>
      </c>
      <c r="AW478" s="4" t="s">
        <v>1280</v>
      </c>
      <c r="AX478" s="4" t="s">
        <v>1280</v>
      </c>
      <c r="AY478" s="4" t="s">
        <v>1280</v>
      </c>
      <c r="AZ478" s="4" t="str">
        <f t="shared" si="169"/>
        <v>-</v>
      </c>
      <c r="BA478" s="19">
        <v>4</v>
      </c>
      <c r="BB478" s="19">
        <v>8</v>
      </c>
      <c r="BC478" s="16">
        <v>19</v>
      </c>
      <c r="BD478" t="s">
        <v>1280</v>
      </c>
      <c r="BE478" t="s">
        <v>1280</v>
      </c>
      <c r="BF478" t="s">
        <v>1280</v>
      </c>
      <c r="BG478" t="str">
        <f t="shared" si="174"/>
        <v>-</v>
      </c>
      <c r="BH478">
        <v>2408</v>
      </c>
      <c r="BI478">
        <v>2408</v>
      </c>
      <c r="BJ478">
        <v>2408</v>
      </c>
      <c r="BK478">
        <f t="shared" si="175"/>
        <v>2638.063694267516</v>
      </c>
      <c r="BL478" t="s">
        <v>1280</v>
      </c>
      <c r="BM478">
        <v>812</v>
      </c>
    </row>
    <row r="479" spans="1:65" x14ac:dyDescent="0.4">
      <c r="A479" s="3">
        <v>302</v>
      </c>
      <c r="B479" s="3">
        <v>302</v>
      </c>
      <c r="C479" s="4" t="s">
        <v>291</v>
      </c>
      <c r="D479" s="4" t="str">
        <f t="shared" si="154"/>
        <v>J39047</v>
      </c>
      <c r="E479" s="4" t="s">
        <v>291</v>
      </c>
      <c r="F479" s="4" t="str">
        <f t="shared" si="170"/>
        <v>J390475</v>
      </c>
      <c r="G479" s="4" t="s">
        <v>937</v>
      </c>
      <c r="H479" s="5">
        <v>4974268152190</v>
      </c>
      <c r="I479" s="5">
        <v>5</v>
      </c>
      <c r="J479" s="5"/>
      <c r="K479" s="5">
        <v>1</v>
      </c>
      <c r="L479" s="5">
        <v>1</v>
      </c>
      <c r="M479" s="4">
        <v>3200</v>
      </c>
      <c r="N479" s="4">
        <v>2400</v>
      </c>
      <c r="O479" s="4">
        <v>1920</v>
      </c>
      <c r="P479" s="6">
        <f t="shared" si="155"/>
        <v>0.19999999999999996</v>
      </c>
      <c r="Q479" s="4" t="s">
        <v>1280</v>
      </c>
      <c r="R479" s="4" t="s">
        <v>1280</v>
      </c>
      <c r="S479" s="4" t="s">
        <v>1280</v>
      </c>
      <c r="T479" s="4">
        <v>3500</v>
      </c>
      <c r="U479" s="4">
        <f t="shared" si="156"/>
        <v>3500</v>
      </c>
      <c r="V479" s="4">
        <v>2100</v>
      </c>
      <c r="W479" s="4">
        <f t="shared" si="157"/>
        <v>2100</v>
      </c>
      <c r="X479" s="4"/>
      <c r="Y479" s="21">
        <f t="shared" si="158"/>
        <v>2625</v>
      </c>
      <c r="Z479" s="6">
        <f t="shared" si="159"/>
        <v>0.19999999999999996</v>
      </c>
      <c r="AA479" s="4">
        <v>0.5</v>
      </c>
      <c r="AB479" s="4" t="str">
        <f t="shared" si="160"/>
        <v>-</v>
      </c>
      <c r="AC479" s="4" t="str">
        <f t="shared" si="171"/>
        <v>-</v>
      </c>
      <c r="AD479" s="6" t="str">
        <f t="shared" si="172"/>
        <v>-</v>
      </c>
      <c r="AE479" s="4">
        <f t="shared" si="173"/>
        <v>3325</v>
      </c>
      <c r="AF479" s="7">
        <v>3133</v>
      </c>
      <c r="AG479" s="6">
        <f t="shared" si="161"/>
        <v>0.32971592722630072</v>
      </c>
      <c r="AH479" s="4">
        <f t="shared" si="162"/>
        <v>1033</v>
      </c>
      <c r="AI479" s="28"/>
      <c r="AJ479" s="6"/>
      <c r="AK479" s="6"/>
      <c r="AL479" s="6">
        <f t="shared" si="163"/>
        <v>1.09375</v>
      </c>
      <c r="AM479" s="6">
        <f t="shared" si="164"/>
        <v>1.3054166666666667</v>
      </c>
      <c r="AN479" s="6">
        <f t="shared" si="165"/>
        <v>1.09375</v>
      </c>
      <c r="AO479" s="4" t="str">
        <f t="shared" si="166"/>
        <v>-</v>
      </c>
      <c r="AP479" s="4" t="str">
        <f t="shared" si="167"/>
        <v>-</v>
      </c>
      <c r="AQ479" s="4" t="str">
        <f t="shared" si="168"/>
        <v>-</v>
      </c>
      <c r="AR479" s="4">
        <v>0</v>
      </c>
      <c r="AS479" s="4" t="s">
        <v>1931</v>
      </c>
      <c r="AT479" s="4"/>
      <c r="AU479" s="4"/>
      <c r="AV479" s="4" t="s">
        <v>1925</v>
      </c>
      <c r="AW479" s="4">
        <v>1372</v>
      </c>
      <c r="AX479" s="4">
        <v>1372</v>
      </c>
      <c r="AY479" s="4" t="s">
        <v>1280</v>
      </c>
      <c r="AZ479" s="4" t="str">
        <f t="shared" si="169"/>
        <v>-</v>
      </c>
      <c r="BA479" s="19">
        <v>4</v>
      </c>
      <c r="BB479" s="19">
        <v>8</v>
      </c>
      <c r="BC479" s="16">
        <v>18</v>
      </c>
      <c r="BD479" t="s">
        <v>1280</v>
      </c>
      <c r="BE479" t="s">
        <v>1280</v>
      </c>
      <c r="BF479" t="s">
        <v>1280</v>
      </c>
      <c r="BG479" t="str">
        <f t="shared" si="174"/>
        <v>-</v>
      </c>
      <c r="BH479">
        <v>2865</v>
      </c>
      <c r="BI479">
        <v>2865</v>
      </c>
      <c r="BJ479">
        <v>2865</v>
      </c>
      <c r="BK479">
        <f t="shared" si="175"/>
        <v>3133.59375</v>
      </c>
      <c r="BL479" t="s">
        <v>1462</v>
      </c>
      <c r="BM479">
        <v>812</v>
      </c>
    </row>
    <row r="480" spans="1:65" x14ac:dyDescent="0.4">
      <c r="A480" s="3">
        <v>304</v>
      </c>
      <c r="B480" s="3">
        <v>304</v>
      </c>
      <c r="C480" s="4" t="s">
        <v>293</v>
      </c>
      <c r="D480" s="4" t="str">
        <f t="shared" si="154"/>
        <v>J39050</v>
      </c>
      <c r="E480" s="4" t="s">
        <v>293</v>
      </c>
      <c r="F480" s="4" t="str">
        <f t="shared" si="170"/>
        <v>J390505</v>
      </c>
      <c r="G480" s="4" t="s">
        <v>939</v>
      </c>
      <c r="H480" s="5">
        <v>4974268152206</v>
      </c>
      <c r="I480" s="5">
        <v>5</v>
      </c>
      <c r="J480" s="5"/>
      <c r="K480" s="5">
        <v>1</v>
      </c>
      <c r="L480" s="5">
        <v>1</v>
      </c>
      <c r="M480" s="4">
        <v>3200</v>
      </c>
      <c r="N480" s="4">
        <v>2888</v>
      </c>
      <c r="O480" s="4">
        <v>1920</v>
      </c>
      <c r="P480" s="6">
        <f t="shared" si="155"/>
        <v>0.33518005540166207</v>
      </c>
      <c r="Q480" s="4" t="s">
        <v>1280</v>
      </c>
      <c r="R480" s="4" t="s">
        <v>1280</v>
      </c>
      <c r="S480" s="4" t="s">
        <v>1280</v>
      </c>
      <c r="T480" s="4">
        <v>3500</v>
      </c>
      <c r="U480" s="4">
        <f t="shared" si="156"/>
        <v>3500</v>
      </c>
      <c r="V480" s="4">
        <v>2100</v>
      </c>
      <c r="W480" s="4">
        <f t="shared" si="157"/>
        <v>2100</v>
      </c>
      <c r="X480" s="4"/>
      <c r="Y480" s="21">
        <f t="shared" si="158"/>
        <v>3159</v>
      </c>
      <c r="Z480" s="6">
        <f t="shared" si="159"/>
        <v>0.33523266856600187</v>
      </c>
      <c r="AA480" s="4">
        <v>0</v>
      </c>
      <c r="AB480" s="4" t="str">
        <f t="shared" si="160"/>
        <v>-</v>
      </c>
      <c r="AC480" s="4" t="str">
        <f t="shared" si="171"/>
        <v>-</v>
      </c>
      <c r="AD480" s="6" t="str">
        <f t="shared" si="172"/>
        <v>-</v>
      </c>
      <c r="AE480" s="4">
        <f t="shared" si="173"/>
        <v>3325</v>
      </c>
      <c r="AF480" s="7">
        <v>3133</v>
      </c>
      <c r="AG480" s="6">
        <f t="shared" si="161"/>
        <v>0.32971592722630072</v>
      </c>
      <c r="AH480" s="4">
        <f t="shared" si="162"/>
        <v>1033</v>
      </c>
      <c r="AI480" s="28"/>
      <c r="AJ480" s="6"/>
      <c r="AK480" s="6"/>
      <c r="AL480" s="6">
        <f t="shared" si="163"/>
        <v>1.09375</v>
      </c>
      <c r="AM480" s="6">
        <f t="shared" si="164"/>
        <v>1.0848337950138505</v>
      </c>
      <c r="AN480" s="6">
        <f t="shared" si="165"/>
        <v>1.09375</v>
      </c>
      <c r="AO480" s="4" t="str">
        <f t="shared" si="166"/>
        <v>-</v>
      </c>
      <c r="AP480" s="4" t="str">
        <f t="shared" si="167"/>
        <v>-</v>
      </c>
      <c r="AQ480" s="4" t="str">
        <f t="shared" si="168"/>
        <v>-</v>
      </c>
      <c r="AR480" s="4">
        <v>0</v>
      </c>
      <c r="AS480" s="4" t="s">
        <v>1280</v>
      </c>
      <c r="AT480" s="4"/>
      <c r="AU480" s="4"/>
      <c r="AV480" s="4" t="s">
        <v>1280</v>
      </c>
      <c r="AW480" s="4" t="s">
        <v>1280</v>
      </c>
      <c r="AX480" s="4" t="s">
        <v>1280</v>
      </c>
      <c r="AY480" s="4" t="s">
        <v>1280</v>
      </c>
      <c r="AZ480" s="4" t="str">
        <f t="shared" si="169"/>
        <v>-</v>
      </c>
      <c r="BA480" s="19">
        <v>4</v>
      </c>
      <c r="BB480" s="19">
        <v>8</v>
      </c>
      <c r="BC480" s="16">
        <v>18</v>
      </c>
      <c r="BD480" t="s">
        <v>1280</v>
      </c>
      <c r="BE480" t="s">
        <v>1280</v>
      </c>
      <c r="BF480" t="s">
        <v>1280</v>
      </c>
      <c r="BG480" t="str">
        <f t="shared" si="174"/>
        <v>-</v>
      </c>
      <c r="BH480" t="s">
        <v>1280</v>
      </c>
      <c r="BI480">
        <v>3064</v>
      </c>
      <c r="BJ480">
        <v>3064</v>
      </c>
      <c r="BK480">
        <f t="shared" si="175"/>
        <v>3351.25</v>
      </c>
      <c r="BL480" t="s">
        <v>1280</v>
      </c>
      <c r="BM480">
        <v>812</v>
      </c>
    </row>
    <row r="481" spans="1:65" x14ac:dyDescent="0.4">
      <c r="A481" s="3">
        <v>389</v>
      </c>
      <c r="B481" s="3">
        <v>389</v>
      </c>
      <c r="C481" s="4" t="s">
        <v>378</v>
      </c>
      <c r="D481" s="4" t="str">
        <f t="shared" si="154"/>
        <v>J54403</v>
      </c>
      <c r="E481" s="4" t="s">
        <v>378</v>
      </c>
      <c r="F481" s="4" t="str">
        <f t="shared" si="170"/>
        <v>J544035</v>
      </c>
      <c r="G481" s="4" t="s">
        <v>1022</v>
      </c>
      <c r="H481" s="5">
        <v>4974268100351</v>
      </c>
      <c r="I481" s="5">
        <v>5</v>
      </c>
      <c r="J481" s="5"/>
      <c r="K481" s="5">
        <v>1</v>
      </c>
      <c r="L481" s="5">
        <v>1</v>
      </c>
      <c r="M481" s="4">
        <v>3200</v>
      </c>
      <c r="N481" s="4">
        <v>2743</v>
      </c>
      <c r="O481" s="4">
        <v>1920</v>
      </c>
      <c r="P481" s="6">
        <f t="shared" si="155"/>
        <v>0.30003645643456067</v>
      </c>
      <c r="Q481" s="4" t="s">
        <v>1280</v>
      </c>
      <c r="R481" s="4" t="s">
        <v>1280</v>
      </c>
      <c r="S481" s="4" t="s">
        <v>1280</v>
      </c>
      <c r="T481" s="4">
        <v>3500</v>
      </c>
      <c r="U481" s="4">
        <f t="shared" si="156"/>
        <v>3500</v>
      </c>
      <c r="V481" s="4">
        <v>2100</v>
      </c>
      <c r="W481" s="4">
        <f t="shared" si="157"/>
        <v>2100</v>
      </c>
      <c r="X481" s="4"/>
      <c r="Y481" s="21">
        <f t="shared" si="158"/>
        <v>3000</v>
      </c>
      <c r="Z481" s="6">
        <f t="shared" si="159"/>
        <v>0.30000000000000004</v>
      </c>
      <c r="AA481" s="4">
        <v>0.5</v>
      </c>
      <c r="AB481" s="4">
        <f t="shared" si="160"/>
        <v>3419</v>
      </c>
      <c r="AC481" s="4">
        <f t="shared" si="171"/>
        <v>3739.53125</v>
      </c>
      <c r="AD481" s="6">
        <f t="shared" si="172"/>
        <v>0.43843229014331675</v>
      </c>
      <c r="AE481" s="4">
        <f t="shared" si="173"/>
        <v>3325</v>
      </c>
      <c r="AF481" s="7">
        <v>3250</v>
      </c>
      <c r="AG481" s="6">
        <f t="shared" si="161"/>
        <v>0.35384615384615381</v>
      </c>
      <c r="AH481" s="4">
        <f t="shared" si="162"/>
        <v>1150</v>
      </c>
      <c r="AI481" s="28"/>
      <c r="AJ481" s="6"/>
      <c r="AK481" s="6"/>
      <c r="AL481" s="6">
        <f t="shared" si="163"/>
        <v>1.09375</v>
      </c>
      <c r="AM481" s="6">
        <f t="shared" si="164"/>
        <v>1.1848341232227488</v>
      </c>
      <c r="AN481" s="6">
        <f t="shared" si="165"/>
        <v>1.09375</v>
      </c>
      <c r="AO481" s="4" t="str">
        <f t="shared" si="166"/>
        <v>-</v>
      </c>
      <c r="AP481" s="4" t="str">
        <f t="shared" si="167"/>
        <v>-</v>
      </c>
      <c r="AQ481" s="4" t="str">
        <f t="shared" si="168"/>
        <v>-</v>
      </c>
      <c r="AR481" s="4">
        <v>0</v>
      </c>
      <c r="AS481" s="4" t="s">
        <v>1945</v>
      </c>
      <c r="AT481" s="4"/>
      <c r="AU481" s="4"/>
      <c r="AV481" s="4" t="s">
        <v>1946</v>
      </c>
      <c r="AW481" s="4">
        <v>3419</v>
      </c>
      <c r="AX481" s="4">
        <v>3419</v>
      </c>
      <c r="AY481" s="4">
        <v>3419</v>
      </c>
      <c r="AZ481" s="4">
        <f t="shared" si="169"/>
        <v>3419</v>
      </c>
      <c r="BA481" s="19">
        <v>4</v>
      </c>
      <c r="BB481" s="19">
        <v>8</v>
      </c>
      <c r="BC481" s="16">
        <v>19</v>
      </c>
      <c r="BD481" t="s">
        <v>1280</v>
      </c>
      <c r="BE481" t="s">
        <v>1280</v>
      </c>
      <c r="BF481" t="s">
        <v>1280</v>
      </c>
      <c r="BG481" t="str">
        <f t="shared" si="174"/>
        <v>-</v>
      </c>
      <c r="BH481" t="s">
        <v>1280</v>
      </c>
      <c r="BI481">
        <v>2910</v>
      </c>
      <c r="BJ481">
        <v>2910</v>
      </c>
      <c r="BK481">
        <f t="shared" si="175"/>
        <v>3182.8125</v>
      </c>
      <c r="BL481" t="s">
        <v>1474</v>
      </c>
      <c r="BM481">
        <v>812</v>
      </c>
    </row>
    <row r="482" spans="1:65" x14ac:dyDescent="0.4">
      <c r="A482" s="3">
        <v>390</v>
      </c>
      <c r="B482" s="3">
        <v>390</v>
      </c>
      <c r="C482" s="4" t="s">
        <v>379</v>
      </c>
      <c r="D482" s="4" t="str">
        <f t="shared" si="154"/>
        <v>J54404</v>
      </c>
      <c r="E482" s="4" t="s">
        <v>379</v>
      </c>
      <c r="F482" s="4" t="str">
        <f t="shared" si="170"/>
        <v>J544045</v>
      </c>
      <c r="G482" s="4" t="s">
        <v>1023</v>
      </c>
      <c r="H482" s="5">
        <v>4974268100368</v>
      </c>
      <c r="I482" s="5">
        <v>5</v>
      </c>
      <c r="J482" s="5"/>
      <c r="K482" s="5">
        <v>1</v>
      </c>
      <c r="L482" s="5">
        <v>1</v>
      </c>
      <c r="M482" s="4">
        <v>3200</v>
      </c>
      <c r="N482" s="4">
        <v>2716</v>
      </c>
      <c r="O482" s="4">
        <v>1920</v>
      </c>
      <c r="P482" s="6">
        <f t="shared" si="155"/>
        <v>0.29307805596465386</v>
      </c>
      <c r="Q482" s="4" t="s">
        <v>1280</v>
      </c>
      <c r="R482" s="4" t="s">
        <v>1280</v>
      </c>
      <c r="S482" s="4" t="s">
        <v>1280</v>
      </c>
      <c r="T482" s="4">
        <v>3500</v>
      </c>
      <c r="U482" s="4">
        <f t="shared" si="156"/>
        <v>3500</v>
      </c>
      <c r="V482" s="4">
        <v>2100</v>
      </c>
      <c r="W482" s="4">
        <f t="shared" si="157"/>
        <v>2100</v>
      </c>
      <c r="X482" s="4"/>
      <c r="Y482" s="21">
        <f t="shared" si="158"/>
        <v>2971</v>
      </c>
      <c r="Z482" s="6">
        <f t="shared" si="159"/>
        <v>0.29316728374284751</v>
      </c>
      <c r="AA482" s="4">
        <v>0.25</v>
      </c>
      <c r="AB482" s="4" t="str">
        <f t="shared" si="160"/>
        <v>-</v>
      </c>
      <c r="AC482" s="4" t="str">
        <f t="shared" si="171"/>
        <v>-</v>
      </c>
      <c r="AD482" s="6" t="str">
        <f t="shared" si="172"/>
        <v>-</v>
      </c>
      <c r="AE482" s="4">
        <f t="shared" si="173"/>
        <v>3325</v>
      </c>
      <c r="AF482" s="7">
        <v>3250</v>
      </c>
      <c r="AG482" s="6">
        <f t="shared" si="161"/>
        <v>0.35384615384615381</v>
      </c>
      <c r="AH482" s="4">
        <f t="shared" si="162"/>
        <v>1150</v>
      </c>
      <c r="AI482" s="28"/>
      <c r="AJ482" s="6"/>
      <c r="AK482" s="6"/>
      <c r="AL482" s="6">
        <f t="shared" si="163"/>
        <v>1.09375</v>
      </c>
      <c r="AM482" s="6">
        <f t="shared" si="164"/>
        <v>1.1966126656848306</v>
      </c>
      <c r="AN482" s="6">
        <f t="shared" si="165"/>
        <v>1.09375</v>
      </c>
      <c r="AO482" s="4" t="str">
        <f t="shared" si="166"/>
        <v>-</v>
      </c>
      <c r="AP482" s="4" t="str">
        <f t="shared" si="167"/>
        <v>-</v>
      </c>
      <c r="AQ482" s="4" t="str">
        <f t="shared" si="168"/>
        <v>-</v>
      </c>
      <c r="AR482" s="4">
        <v>0</v>
      </c>
      <c r="AS482" s="4" t="s">
        <v>1280</v>
      </c>
      <c r="AT482" s="4"/>
      <c r="AU482" s="4"/>
      <c r="AV482" s="4" t="s">
        <v>1280</v>
      </c>
      <c r="AW482" s="4" t="s">
        <v>1280</v>
      </c>
      <c r="AX482" s="4" t="s">
        <v>1280</v>
      </c>
      <c r="AY482" s="4" t="s">
        <v>1280</v>
      </c>
      <c r="AZ482" s="4" t="str">
        <f t="shared" si="169"/>
        <v>-</v>
      </c>
      <c r="BA482" s="19">
        <v>4</v>
      </c>
      <c r="BB482" s="19">
        <v>8</v>
      </c>
      <c r="BC482" s="16">
        <v>19</v>
      </c>
      <c r="BD482" t="s">
        <v>1280</v>
      </c>
      <c r="BE482" t="s">
        <v>1280</v>
      </c>
      <c r="BF482" t="s">
        <v>1280</v>
      </c>
      <c r="BG482" t="str">
        <f t="shared" si="174"/>
        <v>-</v>
      </c>
      <c r="BH482" t="s">
        <v>1280</v>
      </c>
      <c r="BI482">
        <v>2976</v>
      </c>
      <c r="BJ482">
        <v>2976</v>
      </c>
      <c r="BK482">
        <f t="shared" si="175"/>
        <v>3255</v>
      </c>
      <c r="BL482" t="s">
        <v>1280</v>
      </c>
      <c r="BM482">
        <v>812</v>
      </c>
    </row>
    <row r="483" spans="1:65" x14ac:dyDescent="0.4">
      <c r="A483" s="3">
        <v>401</v>
      </c>
      <c r="B483" s="3">
        <v>401</v>
      </c>
      <c r="C483" s="4" t="s">
        <v>390</v>
      </c>
      <c r="D483" s="4" t="str">
        <f t="shared" si="154"/>
        <v>J54416</v>
      </c>
      <c r="E483" s="4" t="s">
        <v>390</v>
      </c>
      <c r="F483" s="4" t="str">
        <f t="shared" si="170"/>
        <v>J544165</v>
      </c>
      <c r="G483" s="4" t="s">
        <v>1034</v>
      </c>
      <c r="H483" s="5">
        <v>4974268102911</v>
      </c>
      <c r="I483" s="5">
        <v>5</v>
      </c>
      <c r="J483" s="5"/>
      <c r="K483" s="5">
        <v>1</v>
      </c>
      <c r="L483" s="5">
        <v>1</v>
      </c>
      <c r="M483" s="4">
        <v>3200</v>
      </c>
      <c r="N483" s="4">
        <v>2918</v>
      </c>
      <c r="O483" s="4">
        <v>1920</v>
      </c>
      <c r="P483" s="6">
        <f t="shared" si="155"/>
        <v>0.34201507882111037</v>
      </c>
      <c r="Q483" s="4" t="s">
        <v>1280</v>
      </c>
      <c r="R483" s="4" t="s">
        <v>1280</v>
      </c>
      <c r="S483" s="4" t="s">
        <v>1280</v>
      </c>
      <c r="T483" s="4">
        <v>3500</v>
      </c>
      <c r="U483" s="4">
        <f t="shared" si="156"/>
        <v>3500</v>
      </c>
      <c r="V483" s="4">
        <v>2100</v>
      </c>
      <c r="W483" s="4">
        <f t="shared" si="157"/>
        <v>2100</v>
      </c>
      <c r="X483" s="4"/>
      <c r="Y483" s="21">
        <f t="shared" si="158"/>
        <v>3192</v>
      </c>
      <c r="Z483" s="6">
        <f t="shared" si="159"/>
        <v>0.34210526315789469</v>
      </c>
      <c r="AA483" s="4">
        <v>0.25</v>
      </c>
      <c r="AB483" s="4">
        <f t="shared" si="160"/>
        <v>3074</v>
      </c>
      <c r="AC483" s="4">
        <f t="shared" si="171"/>
        <v>3362.1875</v>
      </c>
      <c r="AD483" s="6">
        <f t="shared" si="172"/>
        <v>0.37540663630448923</v>
      </c>
      <c r="AE483" s="4">
        <f t="shared" si="173"/>
        <v>3325</v>
      </c>
      <c r="AF483" s="7">
        <v>3250</v>
      </c>
      <c r="AG483" s="6">
        <f t="shared" si="161"/>
        <v>0.35384615384615381</v>
      </c>
      <c r="AH483" s="4">
        <f t="shared" si="162"/>
        <v>1150</v>
      </c>
      <c r="AI483" s="28"/>
      <c r="AJ483" s="6"/>
      <c r="AK483" s="6"/>
      <c r="AL483" s="6">
        <f t="shared" si="163"/>
        <v>1.09375</v>
      </c>
      <c r="AM483" s="6">
        <f t="shared" si="164"/>
        <v>1.1137765592871831</v>
      </c>
      <c r="AN483" s="6">
        <f t="shared" si="165"/>
        <v>1.09375</v>
      </c>
      <c r="AO483" s="4" t="str">
        <f t="shared" si="166"/>
        <v>-</v>
      </c>
      <c r="AP483" s="4" t="str">
        <f t="shared" si="167"/>
        <v>-</v>
      </c>
      <c r="AQ483" s="4" t="str">
        <f t="shared" si="168"/>
        <v>-</v>
      </c>
      <c r="AR483" s="4">
        <v>0</v>
      </c>
      <c r="AS483" s="4" t="s">
        <v>1957</v>
      </c>
      <c r="AT483" s="4"/>
      <c r="AU483" s="4"/>
      <c r="AV483" s="4" t="s">
        <v>1729</v>
      </c>
      <c r="AW483" s="4">
        <v>3074</v>
      </c>
      <c r="AX483" s="4">
        <v>3074</v>
      </c>
      <c r="AY483" s="4">
        <v>3074</v>
      </c>
      <c r="AZ483" s="4">
        <f t="shared" si="169"/>
        <v>3074</v>
      </c>
      <c r="BA483" s="19">
        <v>4</v>
      </c>
      <c r="BB483" s="19">
        <v>8</v>
      </c>
      <c r="BC483" s="16">
        <v>19</v>
      </c>
      <c r="BD483" t="s">
        <v>1280</v>
      </c>
      <c r="BE483" t="s">
        <v>1280</v>
      </c>
      <c r="BF483" t="s">
        <v>1280</v>
      </c>
      <c r="BG483" t="str">
        <f t="shared" si="174"/>
        <v>-</v>
      </c>
      <c r="BH483">
        <v>2976</v>
      </c>
      <c r="BI483">
        <v>2976</v>
      </c>
      <c r="BJ483">
        <v>2976</v>
      </c>
      <c r="BK483">
        <f t="shared" si="175"/>
        <v>3255</v>
      </c>
      <c r="BL483" t="s">
        <v>1485</v>
      </c>
      <c r="BM483">
        <v>812</v>
      </c>
    </row>
    <row r="484" spans="1:65" x14ac:dyDescent="0.4">
      <c r="A484" s="3">
        <v>458</v>
      </c>
      <c r="B484" s="3">
        <v>458</v>
      </c>
      <c r="C484" s="4" t="s">
        <v>447</v>
      </c>
      <c r="D484" s="4" t="str">
        <f t="shared" si="154"/>
        <v>J54519</v>
      </c>
      <c r="E484" s="4" t="s">
        <v>447</v>
      </c>
      <c r="F484" s="4" t="str">
        <f t="shared" si="170"/>
        <v>J545195</v>
      </c>
      <c r="G484" s="4" t="s">
        <v>1091</v>
      </c>
      <c r="H484" s="5">
        <v>4974268568991</v>
      </c>
      <c r="I484" s="5">
        <v>5</v>
      </c>
      <c r="J484" s="5"/>
      <c r="K484" s="5">
        <v>1</v>
      </c>
      <c r="L484" s="5">
        <v>1</v>
      </c>
      <c r="M484" s="4">
        <v>3200</v>
      </c>
      <c r="N484" s="4">
        <v>2720</v>
      </c>
      <c r="O484" s="4">
        <v>1920</v>
      </c>
      <c r="P484" s="6">
        <f t="shared" si="155"/>
        <v>0.29411764705882348</v>
      </c>
      <c r="Q484" s="4" t="s">
        <v>1280</v>
      </c>
      <c r="R484" s="4" t="s">
        <v>1280</v>
      </c>
      <c r="S484" s="4" t="s">
        <v>1280</v>
      </c>
      <c r="T484" s="4">
        <v>3550</v>
      </c>
      <c r="U484" s="4">
        <f t="shared" si="156"/>
        <v>3550</v>
      </c>
      <c r="V484" s="4">
        <v>2130</v>
      </c>
      <c r="W484" s="4">
        <f t="shared" si="157"/>
        <v>2130</v>
      </c>
      <c r="X484" s="4"/>
      <c r="Y484" s="21">
        <f t="shared" si="158"/>
        <v>3018</v>
      </c>
      <c r="Z484" s="6">
        <f t="shared" si="159"/>
        <v>0.29423459244532801</v>
      </c>
      <c r="AA484" s="4">
        <v>0.25</v>
      </c>
      <c r="AB484" s="4">
        <f t="shared" si="160"/>
        <v>2619</v>
      </c>
      <c r="AC484" s="4">
        <f t="shared" si="171"/>
        <v>2905.453125</v>
      </c>
      <c r="AD484" s="6">
        <f t="shared" si="172"/>
        <v>0.26689576174112262</v>
      </c>
      <c r="AE484" s="4">
        <f t="shared" si="173"/>
        <v>3372.5</v>
      </c>
      <c r="AF484" s="7">
        <v>2905</v>
      </c>
      <c r="AG484" s="6">
        <f t="shared" si="161"/>
        <v>0.26678141135972466</v>
      </c>
      <c r="AH484" s="4">
        <f t="shared" si="162"/>
        <v>775</v>
      </c>
      <c r="AI484" s="28"/>
      <c r="AJ484" s="6"/>
      <c r="AK484" s="6"/>
      <c r="AL484" s="6">
        <f t="shared" si="163"/>
        <v>1.109375</v>
      </c>
      <c r="AM484" s="6">
        <f t="shared" si="164"/>
        <v>1.068014705882353</v>
      </c>
      <c r="AN484" s="6">
        <f t="shared" si="165"/>
        <v>1.109375</v>
      </c>
      <c r="AO484" s="4" t="str">
        <f t="shared" si="166"/>
        <v>-</v>
      </c>
      <c r="AP484" s="4" t="str">
        <f t="shared" si="167"/>
        <v>-</v>
      </c>
      <c r="AQ484" s="4" t="str">
        <f t="shared" si="168"/>
        <v>-</v>
      </c>
      <c r="AR484" s="4">
        <v>0</v>
      </c>
      <c r="AS484" s="4" t="s">
        <v>2017</v>
      </c>
      <c r="AT484" s="4"/>
      <c r="AU484" s="4"/>
      <c r="AV484" s="4" t="s">
        <v>2014</v>
      </c>
      <c r="AW484" s="4">
        <v>2619</v>
      </c>
      <c r="AX484" s="4">
        <v>2619</v>
      </c>
      <c r="AY484" s="4">
        <v>2619</v>
      </c>
      <c r="AZ484" s="4">
        <f t="shared" si="169"/>
        <v>2619</v>
      </c>
      <c r="BA484" s="19">
        <v>4</v>
      </c>
      <c r="BB484" s="19">
        <v>8</v>
      </c>
      <c r="BC484" s="16">
        <v>18</v>
      </c>
      <c r="BD484" t="s">
        <v>1280</v>
      </c>
      <c r="BE484" t="s">
        <v>1280</v>
      </c>
      <c r="BF484" t="s">
        <v>1280</v>
      </c>
      <c r="BG484" t="str">
        <f t="shared" si="174"/>
        <v>-</v>
      </c>
      <c r="BH484">
        <v>2994</v>
      </c>
      <c r="BI484">
        <v>2994</v>
      </c>
      <c r="BJ484">
        <v>2994</v>
      </c>
      <c r="BK484">
        <f t="shared" si="175"/>
        <v>3321.46875</v>
      </c>
      <c r="BL484" t="s">
        <v>1533</v>
      </c>
      <c r="BM484">
        <v>812</v>
      </c>
    </row>
    <row r="485" spans="1:65" x14ac:dyDescent="0.4">
      <c r="A485" s="3">
        <v>521</v>
      </c>
      <c r="B485" s="3">
        <v>521</v>
      </c>
      <c r="C485" s="4" t="s">
        <v>510</v>
      </c>
      <c r="D485" s="4" t="str">
        <f t="shared" si="154"/>
        <v>J852MZ</v>
      </c>
      <c r="E485" s="4" t="s">
        <v>510</v>
      </c>
      <c r="F485" s="4" t="str">
        <f t="shared" si="170"/>
        <v>J852MZ5</v>
      </c>
      <c r="G485" s="4" t="s">
        <v>1154</v>
      </c>
      <c r="H485" s="5">
        <v>4974268837653</v>
      </c>
      <c r="I485" s="5">
        <v>5</v>
      </c>
      <c r="J485" s="5"/>
      <c r="K485" s="5">
        <v>1</v>
      </c>
      <c r="L485" s="5">
        <v>1</v>
      </c>
      <c r="M485" s="4">
        <v>3200</v>
      </c>
      <c r="N485" s="4">
        <v>3092</v>
      </c>
      <c r="O485" s="4">
        <v>1920</v>
      </c>
      <c r="P485" s="6">
        <f t="shared" si="155"/>
        <v>0.37904269081500652</v>
      </c>
      <c r="Q485" s="4" t="s">
        <v>1280</v>
      </c>
      <c r="R485" s="4" t="s">
        <v>1280</v>
      </c>
      <c r="S485" s="4" t="s">
        <v>1280</v>
      </c>
      <c r="T485" s="4">
        <v>3550</v>
      </c>
      <c r="U485" s="4">
        <f t="shared" si="156"/>
        <v>3550</v>
      </c>
      <c r="V485" s="4">
        <v>2130</v>
      </c>
      <c r="W485" s="4">
        <f t="shared" si="157"/>
        <v>2130</v>
      </c>
      <c r="X485" s="4"/>
      <c r="Y485" s="21">
        <f t="shared" si="158"/>
        <v>3430</v>
      </c>
      <c r="Z485" s="6">
        <f t="shared" si="159"/>
        <v>0.37900874635568516</v>
      </c>
      <c r="AA485" s="4">
        <v>0</v>
      </c>
      <c r="AB485" s="4" t="str">
        <f t="shared" si="160"/>
        <v>-</v>
      </c>
      <c r="AC485" s="4" t="str">
        <f t="shared" si="171"/>
        <v>-</v>
      </c>
      <c r="AD485" s="6" t="str">
        <f t="shared" si="172"/>
        <v>-</v>
      </c>
      <c r="AE485" s="4">
        <f t="shared" si="173"/>
        <v>3372.5</v>
      </c>
      <c r="AF485" s="7">
        <v>3227</v>
      </c>
      <c r="AG485" s="6">
        <f t="shared" si="161"/>
        <v>0.33994422063836383</v>
      </c>
      <c r="AH485" s="4">
        <f t="shared" si="162"/>
        <v>1097</v>
      </c>
      <c r="AI485" s="28"/>
      <c r="AJ485" s="6"/>
      <c r="AK485" s="6"/>
      <c r="AL485" s="6">
        <f t="shared" si="163"/>
        <v>1.109375</v>
      </c>
      <c r="AM485" s="6">
        <f t="shared" si="164"/>
        <v>1.0436610608020698</v>
      </c>
      <c r="AN485" s="6">
        <f t="shared" si="165"/>
        <v>1.109375</v>
      </c>
      <c r="AO485" s="4" t="str">
        <f t="shared" si="166"/>
        <v>-</v>
      </c>
      <c r="AP485" s="4" t="str">
        <f t="shared" si="167"/>
        <v>-</v>
      </c>
      <c r="AQ485" s="4" t="str">
        <f t="shared" si="168"/>
        <v>-</v>
      </c>
      <c r="AR485" s="4">
        <v>0</v>
      </c>
      <c r="AS485" s="4" t="s">
        <v>1280</v>
      </c>
      <c r="AT485" s="4"/>
      <c r="AU485" s="4"/>
      <c r="AV485" s="4" t="s">
        <v>1280</v>
      </c>
      <c r="AW485" s="4" t="s">
        <v>1280</v>
      </c>
      <c r="AX485" s="4" t="s">
        <v>1280</v>
      </c>
      <c r="AY485" s="4" t="s">
        <v>1280</v>
      </c>
      <c r="AZ485" s="4" t="str">
        <f t="shared" si="169"/>
        <v>-</v>
      </c>
      <c r="BA485" s="19">
        <v>4</v>
      </c>
      <c r="BB485" s="19">
        <v>8</v>
      </c>
      <c r="BC485" s="16">
        <v>18</v>
      </c>
      <c r="BD485">
        <v>2909</v>
      </c>
      <c r="BE485">
        <v>2909</v>
      </c>
      <c r="BF485" t="s">
        <v>1280</v>
      </c>
      <c r="BG485" t="str">
        <f t="shared" si="174"/>
        <v>-</v>
      </c>
      <c r="BH485" t="s">
        <v>1280</v>
      </c>
      <c r="BI485" t="s">
        <v>1280</v>
      </c>
      <c r="BJ485" t="s">
        <v>1280</v>
      </c>
      <c r="BK485" t="str">
        <f t="shared" si="175"/>
        <v>-</v>
      </c>
      <c r="BL485" t="s">
        <v>1280</v>
      </c>
      <c r="BM485">
        <v>812</v>
      </c>
    </row>
    <row r="486" spans="1:65" x14ac:dyDescent="0.4">
      <c r="A486" s="3">
        <v>256</v>
      </c>
      <c r="B486" s="3">
        <v>256</v>
      </c>
      <c r="C486" s="4" t="s">
        <v>245</v>
      </c>
      <c r="D486" s="4" t="str">
        <f t="shared" si="154"/>
        <v>J38800</v>
      </c>
      <c r="E486" s="4" t="s">
        <v>245</v>
      </c>
      <c r="F486" s="4" t="str">
        <f t="shared" si="170"/>
        <v>J388005</v>
      </c>
      <c r="G486" s="4" t="s">
        <v>891</v>
      </c>
      <c r="H486" s="5">
        <v>4974268152114</v>
      </c>
      <c r="I486" s="5">
        <v>5</v>
      </c>
      <c r="J486" s="5"/>
      <c r="K486" s="5">
        <v>1</v>
      </c>
      <c r="L486" s="5">
        <v>1</v>
      </c>
      <c r="M486" s="4">
        <v>3100</v>
      </c>
      <c r="N486" s="4">
        <v>3004</v>
      </c>
      <c r="O486" s="4">
        <v>1860</v>
      </c>
      <c r="P486" s="6">
        <f t="shared" si="155"/>
        <v>0.38082556591211714</v>
      </c>
      <c r="Q486" s="4" t="s">
        <v>1280</v>
      </c>
      <c r="R486" s="4" t="s">
        <v>1280</v>
      </c>
      <c r="S486" s="4" t="s">
        <v>1280</v>
      </c>
      <c r="T486" s="4">
        <v>3600</v>
      </c>
      <c r="U486" s="4">
        <f t="shared" si="156"/>
        <v>3600</v>
      </c>
      <c r="V486" s="4">
        <v>2160</v>
      </c>
      <c r="W486" s="4">
        <f t="shared" si="157"/>
        <v>2160</v>
      </c>
      <c r="X486" s="4"/>
      <c r="Y486" s="21">
        <f t="shared" si="158"/>
        <v>3489</v>
      </c>
      <c r="Z486" s="6">
        <f t="shared" si="159"/>
        <v>0.38091143594153054</v>
      </c>
      <c r="AA486" s="4">
        <v>0.75</v>
      </c>
      <c r="AB486" s="4">
        <f t="shared" si="160"/>
        <v>3273</v>
      </c>
      <c r="AC486" s="4">
        <f t="shared" si="171"/>
        <v>3800.9032258064517</v>
      </c>
      <c r="AD486" s="6">
        <f t="shared" si="172"/>
        <v>0.43171402383134738</v>
      </c>
      <c r="AE486" s="4">
        <f t="shared" si="173"/>
        <v>3420</v>
      </c>
      <c r="AF486" s="7">
        <v>2914</v>
      </c>
      <c r="AG486" s="6">
        <f t="shared" si="161"/>
        <v>0.25875085792724772</v>
      </c>
      <c r="AH486" s="4">
        <f t="shared" si="162"/>
        <v>754</v>
      </c>
      <c r="AI486" s="28"/>
      <c r="AJ486" s="6"/>
      <c r="AK486" s="6"/>
      <c r="AL486" s="6">
        <f t="shared" si="163"/>
        <v>1.1612903225806452</v>
      </c>
      <c r="AM486" s="6">
        <f t="shared" si="164"/>
        <v>0.97003994673768312</v>
      </c>
      <c r="AN486" s="6">
        <f t="shared" si="165"/>
        <v>1.1612903225806452</v>
      </c>
      <c r="AO486" s="4" t="str">
        <f t="shared" si="166"/>
        <v>-</v>
      </c>
      <c r="AP486" s="4" t="str">
        <f t="shared" si="167"/>
        <v>-</v>
      </c>
      <c r="AQ486" s="4" t="str">
        <f t="shared" si="168"/>
        <v>-</v>
      </c>
      <c r="AR486" s="4">
        <v>0</v>
      </c>
      <c r="AS486" s="4" t="s">
        <v>1883</v>
      </c>
      <c r="AT486" s="4"/>
      <c r="AU486" s="4"/>
      <c r="AV486" s="4" t="s">
        <v>1884</v>
      </c>
      <c r="AW486" s="4">
        <v>3273</v>
      </c>
      <c r="AX486" s="4">
        <v>3273</v>
      </c>
      <c r="AY486" s="4">
        <v>3273</v>
      </c>
      <c r="AZ486" s="4">
        <f t="shared" si="169"/>
        <v>3273</v>
      </c>
      <c r="BA486" s="19">
        <v>4</v>
      </c>
      <c r="BB486" s="19">
        <v>8</v>
      </c>
      <c r="BC486" s="16">
        <v>18</v>
      </c>
      <c r="BD486" t="s">
        <v>1280</v>
      </c>
      <c r="BE486" t="s">
        <v>1280</v>
      </c>
      <c r="BF486" t="s">
        <v>1280</v>
      </c>
      <c r="BG486" t="str">
        <f t="shared" si="174"/>
        <v>-</v>
      </c>
      <c r="BH486">
        <v>2971</v>
      </c>
      <c r="BI486">
        <v>2971</v>
      </c>
      <c r="BJ486">
        <v>2971</v>
      </c>
      <c r="BK486">
        <f t="shared" si="175"/>
        <v>3450.1935483870971</v>
      </c>
      <c r="BL486" t="s">
        <v>1431</v>
      </c>
      <c r="BM486">
        <v>812</v>
      </c>
    </row>
    <row r="487" spans="1:65" x14ac:dyDescent="0.4">
      <c r="A487" s="3">
        <v>257</v>
      </c>
      <c r="B487" s="3">
        <v>257</v>
      </c>
      <c r="C487" s="4" t="s">
        <v>246</v>
      </c>
      <c r="D487" s="4" t="str">
        <f t="shared" si="154"/>
        <v>J38803</v>
      </c>
      <c r="E487" s="4" t="s">
        <v>246</v>
      </c>
      <c r="F487" s="4" t="str">
        <f t="shared" si="170"/>
        <v>J388035</v>
      </c>
      <c r="G487" s="4" t="s">
        <v>892</v>
      </c>
      <c r="H487" s="5">
        <v>4974268152107</v>
      </c>
      <c r="I487" s="5">
        <v>5</v>
      </c>
      <c r="J487" s="5"/>
      <c r="K487" s="5">
        <v>1</v>
      </c>
      <c r="L487" s="5">
        <v>1</v>
      </c>
      <c r="M487" s="4">
        <v>3100</v>
      </c>
      <c r="N487" s="4">
        <v>3004</v>
      </c>
      <c r="O487" s="4">
        <v>1860</v>
      </c>
      <c r="P487" s="6">
        <f t="shared" si="155"/>
        <v>0.38082556591211714</v>
      </c>
      <c r="Q487" s="4" t="s">
        <v>1280</v>
      </c>
      <c r="R487" s="4" t="s">
        <v>1280</v>
      </c>
      <c r="S487" s="4" t="s">
        <v>1280</v>
      </c>
      <c r="T487" s="4">
        <v>3600</v>
      </c>
      <c r="U487" s="4">
        <f t="shared" si="156"/>
        <v>3600</v>
      </c>
      <c r="V487" s="4">
        <v>2160</v>
      </c>
      <c r="W487" s="4">
        <f t="shared" si="157"/>
        <v>2160</v>
      </c>
      <c r="X487" s="4"/>
      <c r="Y487" s="21">
        <f t="shared" si="158"/>
        <v>3489</v>
      </c>
      <c r="Z487" s="6">
        <f t="shared" si="159"/>
        <v>0.38091143594153054</v>
      </c>
      <c r="AA487" s="4">
        <v>0</v>
      </c>
      <c r="AB487" s="4">
        <f t="shared" si="160"/>
        <v>2510</v>
      </c>
      <c r="AC487" s="4">
        <f t="shared" si="171"/>
        <v>2914.8387096774195</v>
      </c>
      <c r="AD487" s="6">
        <f t="shared" si="172"/>
        <v>0.25896414342629481</v>
      </c>
      <c r="AE487" s="4">
        <f t="shared" si="173"/>
        <v>3420</v>
      </c>
      <c r="AF487" s="7">
        <v>2914</v>
      </c>
      <c r="AG487" s="6">
        <f t="shared" si="161"/>
        <v>0.25875085792724772</v>
      </c>
      <c r="AH487" s="4">
        <f t="shared" si="162"/>
        <v>754</v>
      </c>
      <c r="AI487" s="28"/>
      <c r="AJ487" s="6"/>
      <c r="AK487" s="6"/>
      <c r="AL487" s="6">
        <f t="shared" si="163"/>
        <v>1.1612903225806452</v>
      </c>
      <c r="AM487" s="6">
        <f t="shared" si="164"/>
        <v>0.97003994673768312</v>
      </c>
      <c r="AN487" s="6">
        <f t="shared" si="165"/>
        <v>1.1612903225806452</v>
      </c>
      <c r="AO487" s="4" t="str">
        <f t="shared" si="166"/>
        <v>-</v>
      </c>
      <c r="AP487" s="4" t="str">
        <f t="shared" si="167"/>
        <v>-</v>
      </c>
      <c r="AQ487" s="4" t="str">
        <f t="shared" si="168"/>
        <v>-</v>
      </c>
      <c r="AR487" s="4">
        <v>0</v>
      </c>
      <c r="AS487" s="4" t="s">
        <v>1885</v>
      </c>
      <c r="AT487" s="4"/>
      <c r="AU487" s="4"/>
      <c r="AV487" s="4" t="s">
        <v>1884</v>
      </c>
      <c r="AW487" s="4">
        <v>2510</v>
      </c>
      <c r="AX487" s="4">
        <v>2510</v>
      </c>
      <c r="AY487" s="4">
        <v>2510</v>
      </c>
      <c r="AZ487" s="4">
        <f t="shared" si="169"/>
        <v>2510</v>
      </c>
      <c r="BA487" s="19">
        <v>4</v>
      </c>
      <c r="BB487" s="19">
        <v>8</v>
      </c>
      <c r="BC487" s="16">
        <v>18</v>
      </c>
      <c r="BD487" t="s">
        <v>1280</v>
      </c>
      <c r="BE487" t="s">
        <v>1280</v>
      </c>
      <c r="BF487" t="s">
        <v>1280</v>
      </c>
      <c r="BG487" t="str">
        <f t="shared" si="174"/>
        <v>-</v>
      </c>
      <c r="BH487">
        <v>2971</v>
      </c>
      <c r="BI487">
        <v>2971</v>
      </c>
      <c r="BJ487">
        <v>2971</v>
      </c>
      <c r="BK487">
        <f t="shared" si="175"/>
        <v>3450.1935483870971</v>
      </c>
      <c r="BL487" t="s">
        <v>1432</v>
      </c>
      <c r="BM487">
        <v>812</v>
      </c>
    </row>
    <row r="488" spans="1:65" x14ac:dyDescent="0.4">
      <c r="A488" s="3">
        <v>392</v>
      </c>
      <c r="B488" s="3">
        <v>392</v>
      </c>
      <c r="C488" s="4" t="s">
        <v>381</v>
      </c>
      <c r="D488" s="4" t="str">
        <f t="shared" si="154"/>
        <v>J54408</v>
      </c>
      <c r="E488" s="4" t="s">
        <v>381</v>
      </c>
      <c r="F488" s="4" t="str">
        <f t="shared" si="170"/>
        <v>J544085</v>
      </c>
      <c r="G488" s="4" t="s">
        <v>1025</v>
      </c>
      <c r="H488" s="5">
        <v>4974268102997</v>
      </c>
      <c r="I488" s="5">
        <v>5</v>
      </c>
      <c r="J488" s="5"/>
      <c r="K488" s="5">
        <v>1</v>
      </c>
      <c r="L488" s="5">
        <v>1</v>
      </c>
      <c r="M488" s="4">
        <v>3300</v>
      </c>
      <c r="N488" s="4">
        <v>3002</v>
      </c>
      <c r="O488" s="4">
        <v>1980</v>
      </c>
      <c r="P488" s="6">
        <f t="shared" si="155"/>
        <v>0.34043970686209191</v>
      </c>
      <c r="Q488" s="4" t="s">
        <v>1280</v>
      </c>
      <c r="R488" s="4" t="s">
        <v>1280</v>
      </c>
      <c r="S488" s="4" t="s">
        <v>1280</v>
      </c>
      <c r="T488" s="4">
        <v>3600</v>
      </c>
      <c r="U488" s="4">
        <f t="shared" si="156"/>
        <v>3600</v>
      </c>
      <c r="V488" s="4">
        <v>2160</v>
      </c>
      <c r="W488" s="4">
        <f t="shared" si="157"/>
        <v>2160</v>
      </c>
      <c r="X488" s="4"/>
      <c r="Y488" s="21">
        <f t="shared" si="158"/>
        <v>3275</v>
      </c>
      <c r="Z488" s="6">
        <f t="shared" si="159"/>
        <v>0.34045801526717556</v>
      </c>
      <c r="AA488" s="4">
        <v>0.25</v>
      </c>
      <c r="AB488" s="4">
        <f t="shared" si="160"/>
        <v>3537</v>
      </c>
      <c r="AC488" s="4">
        <f t="shared" si="171"/>
        <v>3858.545454545454</v>
      </c>
      <c r="AD488" s="6">
        <f t="shared" si="172"/>
        <v>0.4402035623409668</v>
      </c>
      <c r="AE488" s="4">
        <f t="shared" si="173"/>
        <v>3420</v>
      </c>
      <c r="AF488" s="7">
        <v>3300</v>
      </c>
      <c r="AG488" s="6">
        <f t="shared" si="161"/>
        <v>0.34545454545454546</v>
      </c>
      <c r="AH488" s="4">
        <f t="shared" si="162"/>
        <v>1140</v>
      </c>
      <c r="AI488" s="28"/>
      <c r="AJ488" s="6"/>
      <c r="AK488" s="6"/>
      <c r="AL488" s="6">
        <f t="shared" si="163"/>
        <v>1.0909090909090908</v>
      </c>
      <c r="AM488" s="6">
        <f t="shared" si="164"/>
        <v>1.0992671552298467</v>
      </c>
      <c r="AN488" s="6">
        <f t="shared" si="165"/>
        <v>1.0909090909090908</v>
      </c>
      <c r="AO488" s="4" t="str">
        <f t="shared" si="166"/>
        <v>-</v>
      </c>
      <c r="AP488" s="4" t="str">
        <f t="shared" si="167"/>
        <v>-</v>
      </c>
      <c r="AQ488" s="4" t="str">
        <f t="shared" si="168"/>
        <v>-</v>
      </c>
      <c r="AR488" s="4">
        <v>0</v>
      </c>
      <c r="AS488" s="4" t="s">
        <v>1948</v>
      </c>
      <c r="AT488" s="4"/>
      <c r="AU488" s="4"/>
      <c r="AV488" s="4" t="s">
        <v>1729</v>
      </c>
      <c r="AW488" s="4">
        <v>3537</v>
      </c>
      <c r="AX488" s="4">
        <v>3537</v>
      </c>
      <c r="AY488" s="4">
        <v>3537</v>
      </c>
      <c r="AZ488" s="4">
        <f t="shared" si="169"/>
        <v>3537</v>
      </c>
      <c r="BA488" s="19">
        <v>4</v>
      </c>
      <c r="BB488" s="19">
        <v>8</v>
      </c>
      <c r="BC488" s="16">
        <v>19</v>
      </c>
      <c r="BD488" t="s">
        <v>1280</v>
      </c>
      <c r="BE488" t="s">
        <v>1280</v>
      </c>
      <c r="BF488" t="s">
        <v>1280</v>
      </c>
      <c r="BG488" t="str">
        <f t="shared" si="174"/>
        <v>-</v>
      </c>
      <c r="BH488" t="s">
        <v>1280</v>
      </c>
      <c r="BI488">
        <v>3070</v>
      </c>
      <c r="BJ488">
        <v>3070</v>
      </c>
      <c r="BK488">
        <f t="shared" si="175"/>
        <v>3349.090909090909</v>
      </c>
      <c r="BL488" t="s">
        <v>1476</v>
      </c>
      <c r="BM488">
        <v>812</v>
      </c>
    </row>
    <row r="489" spans="1:65" x14ac:dyDescent="0.4">
      <c r="A489" s="3">
        <v>394</v>
      </c>
      <c r="B489" s="3">
        <v>394</v>
      </c>
      <c r="C489" s="4" t="s">
        <v>383</v>
      </c>
      <c r="D489" s="4" t="str">
        <f t="shared" si="154"/>
        <v>J54410</v>
      </c>
      <c r="E489" s="4" t="s">
        <v>383</v>
      </c>
      <c r="F489" s="4" t="str">
        <f t="shared" si="170"/>
        <v>J544105</v>
      </c>
      <c r="G489" s="4" t="s">
        <v>1027</v>
      </c>
      <c r="H489" s="5">
        <v>4974268103499</v>
      </c>
      <c r="I489" s="5">
        <v>5</v>
      </c>
      <c r="J489" s="5"/>
      <c r="K489" s="5">
        <v>1</v>
      </c>
      <c r="L489" s="5">
        <v>1</v>
      </c>
      <c r="M489" s="4">
        <v>3300</v>
      </c>
      <c r="N489" s="4">
        <v>2367</v>
      </c>
      <c r="O489" s="4">
        <v>1980</v>
      </c>
      <c r="P489" s="6">
        <f t="shared" si="155"/>
        <v>0.16349809885931554</v>
      </c>
      <c r="Q489" s="4" t="s">
        <v>1280</v>
      </c>
      <c r="R489" s="4" t="s">
        <v>1280</v>
      </c>
      <c r="S489" s="4" t="s">
        <v>1280</v>
      </c>
      <c r="T489" s="4">
        <v>3600</v>
      </c>
      <c r="U489" s="4">
        <f t="shared" si="156"/>
        <v>3600</v>
      </c>
      <c r="V489" s="4">
        <v>2160</v>
      </c>
      <c r="W489" s="4">
        <f t="shared" si="157"/>
        <v>2160</v>
      </c>
      <c r="X489" s="4"/>
      <c r="Y489" s="21">
        <f t="shared" si="158"/>
        <v>2582</v>
      </c>
      <c r="Z489" s="6">
        <f t="shared" si="159"/>
        <v>0.16343919442292798</v>
      </c>
      <c r="AA489" s="4">
        <v>0</v>
      </c>
      <c r="AB489" s="4">
        <f t="shared" si="160"/>
        <v>3148</v>
      </c>
      <c r="AC489" s="4">
        <f t="shared" si="171"/>
        <v>3434.181818181818</v>
      </c>
      <c r="AD489" s="6">
        <f t="shared" si="172"/>
        <v>0.37102922490470136</v>
      </c>
      <c r="AE489" s="4">
        <f t="shared" si="173"/>
        <v>3420</v>
      </c>
      <c r="AF489" s="7">
        <v>3300</v>
      </c>
      <c r="AG489" s="6">
        <f t="shared" si="161"/>
        <v>0.34545454545454546</v>
      </c>
      <c r="AH489" s="4">
        <f t="shared" si="162"/>
        <v>1140</v>
      </c>
      <c r="AI489" s="28"/>
      <c r="AJ489" s="6"/>
      <c r="AK489" s="6"/>
      <c r="AL489" s="6">
        <f t="shared" si="163"/>
        <v>1.0909090909090908</v>
      </c>
      <c r="AM489" s="6">
        <f t="shared" si="164"/>
        <v>1.394169835234474</v>
      </c>
      <c r="AN489" s="6">
        <f t="shared" si="165"/>
        <v>1.0909090909090908</v>
      </c>
      <c r="AO489" s="4" t="str">
        <f t="shared" si="166"/>
        <v>-</v>
      </c>
      <c r="AP489" s="4" t="str">
        <f t="shared" si="167"/>
        <v>-</v>
      </c>
      <c r="AQ489" s="4" t="str">
        <f t="shared" si="168"/>
        <v>-</v>
      </c>
      <c r="AR489" s="4">
        <v>0</v>
      </c>
      <c r="AS489" s="4" t="s">
        <v>1950</v>
      </c>
      <c r="AT489" s="4"/>
      <c r="AU489" s="4"/>
      <c r="AV489" s="4" t="s">
        <v>1729</v>
      </c>
      <c r="AW489" s="4">
        <v>3148</v>
      </c>
      <c r="AX489" s="4">
        <v>3148</v>
      </c>
      <c r="AY489" s="4">
        <v>3148</v>
      </c>
      <c r="AZ489" s="4">
        <f t="shared" si="169"/>
        <v>3148</v>
      </c>
      <c r="BA489" s="19">
        <v>4</v>
      </c>
      <c r="BB489" s="19">
        <v>1</v>
      </c>
      <c r="BC489" s="16">
        <v>19</v>
      </c>
      <c r="BD489">
        <v>2644</v>
      </c>
      <c r="BE489" t="s">
        <v>1280</v>
      </c>
      <c r="BF489">
        <v>2644</v>
      </c>
      <c r="BG489">
        <f t="shared" si="174"/>
        <v>2884.363636363636</v>
      </c>
      <c r="BH489" t="s">
        <v>1280</v>
      </c>
      <c r="BI489">
        <v>2750</v>
      </c>
      <c r="BJ489">
        <v>2750</v>
      </c>
      <c r="BK489">
        <f t="shared" si="175"/>
        <v>3000</v>
      </c>
      <c r="BL489" t="s">
        <v>1478</v>
      </c>
      <c r="BM489">
        <v>812</v>
      </c>
    </row>
    <row r="490" spans="1:65" x14ac:dyDescent="0.4">
      <c r="A490" s="3">
        <v>395</v>
      </c>
      <c r="B490" s="3">
        <v>395</v>
      </c>
      <c r="C490" s="4" t="s">
        <v>384</v>
      </c>
      <c r="D490" s="4" t="str">
        <f t="shared" si="154"/>
        <v>J54411</v>
      </c>
      <c r="E490" s="4" t="s">
        <v>384</v>
      </c>
      <c r="F490" s="4" t="str">
        <f t="shared" si="170"/>
        <v>J544115</v>
      </c>
      <c r="G490" s="4" t="s">
        <v>1028</v>
      </c>
      <c r="H490" s="5">
        <v>4974268103512</v>
      </c>
      <c r="I490" s="5">
        <v>5</v>
      </c>
      <c r="J490" s="5"/>
      <c r="K490" s="5">
        <v>1</v>
      </c>
      <c r="L490" s="5">
        <v>1</v>
      </c>
      <c r="M490" s="4">
        <v>3300</v>
      </c>
      <c r="N490" s="4">
        <v>2944</v>
      </c>
      <c r="O490" s="4">
        <v>1980</v>
      </c>
      <c r="P490" s="6">
        <f t="shared" si="155"/>
        <v>0.32744565217391308</v>
      </c>
      <c r="Q490" s="4" t="s">
        <v>1280</v>
      </c>
      <c r="R490" s="4" t="s">
        <v>1280</v>
      </c>
      <c r="S490" s="4" t="s">
        <v>1280</v>
      </c>
      <c r="T490" s="4">
        <v>3600</v>
      </c>
      <c r="U490" s="4">
        <f t="shared" si="156"/>
        <v>3600</v>
      </c>
      <c r="V490" s="4">
        <v>2160</v>
      </c>
      <c r="W490" s="4">
        <f t="shared" si="157"/>
        <v>2160</v>
      </c>
      <c r="X490" s="4"/>
      <c r="Y490" s="21">
        <f t="shared" si="158"/>
        <v>3212</v>
      </c>
      <c r="Z490" s="6">
        <f t="shared" si="159"/>
        <v>0.32752179327521791</v>
      </c>
      <c r="AA490" s="4">
        <v>0.5</v>
      </c>
      <c r="AB490" s="4">
        <f t="shared" si="160"/>
        <v>3510</v>
      </c>
      <c r="AC490" s="4">
        <f t="shared" si="171"/>
        <v>3829.090909090909</v>
      </c>
      <c r="AD490" s="6">
        <f t="shared" si="172"/>
        <v>0.4358974358974359</v>
      </c>
      <c r="AE490" s="4">
        <f t="shared" si="173"/>
        <v>3420</v>
      </c>
      <c r="AF490" s="7">
        <v>3300</v>
      </c>
      <c r="AG490" s="6">
        <f t="shared" si="161"/>
        <v>0.34545454545454546</v>
      </c>
      <c r="AH490" s="4">
        <f t="shared" si="162"/>
        <v>1140</v>
      </c>
      <c r="AI490" s="28"/>
      <c r="AJ490" s="6"/>
      <c r="AK490" s="6"/>
      <c r="AL490" s="6">
        <f t="shared" si="163"/>
        <v>1.0909090909090908</v>
      </c>
      <c r="AM490" s="6">
        <f t="shared" si="164"/>
        <v>1.1209239130434783</v>
      </c>
      <c r="AN490" s="6">
        <f t="shared" si="165"/>
        <v>1.0909090909090908</v>
      </c>
      <c r="AO490" s="4" t="str">
        <f t="shared" si="166"/>
        <v>-</v>
      </c>
      <c r="AP490" s="4" t="str">
        <f t="shared" si="167"/>
        <v>-</v>
      </c>
      <c r="AQ490" s="4" t="str">
        <f t="shared" si="168"/>
        <v>-</v>
      </c>
      <c r="AR490" s="4">
        <v>0</v>
      </c>
      <c r="AS490" s="4" t="s">
        <v>1951</v>
      </c>
      <c r="AT490" s="4"/>
      <c r="AU490" s="4"/>
      <c r="AV490" s="4" t="s">
        <v>1729</v>
      </c>
      <c r="AW490" s="4">
        <v>3510</v>
      </c>
      <c r="AX490" s="4">
        <v>3510</v>
      </c>
      <c r="AY490" s="4">
        <v>3510</v>
      </c>
      <c r="AZ490" s="4">
        <f t="shared" si="169"/>
        <v>3510</v>
      </c>
      <c r="BA490" s="19">
        <v>4</v>
      </c>
      <c r="BB490" s="19">
        <v>8</v>
      </c>
      <c r="BC490" s="16">
        <v>19</v>
      </c>
      <c r="BD490">
        <v>2640</v>
      </c>
      <c r="BE490">
        <v>2640</v>
      </c>
      <c r="BF490">
        <v>2640</v>
      </c>
      <c r="BG490">
        <f t="shared" si="174"/>
        <v>2880</v>
      </c>
      <c r="BH490" t="s">
        <v>1280</v>
      </c>
      <c r="BI490">
        <v>3000</v>
      </c>
      <c r="BJ490">
        <v>3000</v>
      </c>
      <c r="BK490">
        <f t="shared" si="175"/>
        <v>3272.7272727272725</v>
      </c>
      <c r="BL490" t="s">
        <v>1479</v>
      </c>
      <c r="BM490">
        <v>812</v>
      </c>
    </row>
    <row r="491" spans="1:65" x14ac:dyDescent="0.4">
      <c r="A491" s="3">
        <v>545</v>
      </c>
      <c r="B491" s="3">
        <v>545</v>
      </c>
      <c r="C491" s="4" t="s">
        <v>534</v>
      </c>
      <c r="D491" s="4" t="str">
        <f t="shared" si="154"/>
        <v>J901WN</v>
      </c>
      <c r="E491" s="4" t="s">
        <v>534</v>
      </c>
      <c r="F491" s="4" t="str">
        <f t="shared" si="170"/>
        <v>J901WN5</v>
      </c>
      <c r="G491" s="4" t="s">
        <v>1178</v>
      </c>
      <c r="H491" s="5">
        <v>4974268102089</v>
      </c>
      <c r="I491" s="5">
        <v>5</v>
      </c>
      <c r="J491" s="5"/>
      <c r="K491" s="5">
        <v>1</v>
      </c>
      <c r="L491" s="5">
        <v>1</v>
      </c>
      <c r="M491" s="4">
        <v>3300</v>
      </c>
      <c r="N491" s="4">
        <v>2830</v>
      </c>
      <c r="O491" s="4">
        <v>1980</v>
      </c>
      <c r="P491" s="6">
        <f t="shared" si="155"/>
        <v>0.30035335689045939</v>
      </c>
      <c r="Q491" s="4" t="s">
        <v>1280</v>
      </c>
      <c r="R491" s="4" t="s">
        <v>1280</v>
      </c>
      <c r="S491" s="4" t="s">
        <v>1280</v>
      </c>
      <c r="T491" s="4">
        <v>3600</v>
      </c>
      <c r="U491" s="4">
        <f t="shared" si="156"/>
        <v>3600</v>
      </c>
      <c r="V491" s="4">
        <v>2160</v>
      </c>
      <c r="W491" s="4">
        <f t="shared" si="157"/>
        <v>2160</v>
      </c>
      <c r="X491" s="4"/>
      <c r="Y491" s="21">
        <f t="shared" si="158"/>
        <v>3087</v>
      </c>
      <c r="Z491" s="6">
        <f t="shared" si="159"/>
        <v>0.30029154518950441</v>
      </c>
      <c r="AA491" s="4">
        <v>0</v>
      </c>
      <c r="AB491" s="4">
        <f t="shared" si="160"/>
        <v>3151</v>
      </c>
      <c r="AC491" s="4">
        <f t="shared" si="171"/>
        <v>3437.454545454545</v>
      </c>
      <c r="AD491" s="6">
        <f t="shared" si="172"/>
        <v>0.37162805458584569</v>
      </c>
      <c r="AE491" s="4">
        <f t="shared" si="173"/>
        <v>3420</v>
      </c>
      <c r="AF491" s="7">
        <v>3300</v>
      </c>
      <c r="AG491" s="6">
        <f t="shared" si="161"/>
        <v>0.34545454545454546</v>
      </c>
      <c r="AH491" s="4">
        <f t="shared" si="162"/>
        <v>1140</v>
      </c>
      <c r="AI491" s="28"/>
      <c r="AJ491" s="6"/>
      <c r="AK491" s="6"/>
      <c r="AL491" s="6">
        <f t="shared" si="163"/>
        <v>1.0909090909090908</v>
      </c>
      <c r="AM491" s="6">
        <f t="shared" si="164"/>
        <v>1.1660777385159011</v>
      </c>
      <c r="AN491" s="6">
        <f t="shared" si="165"/>
        <v>1.0909090909090908</v>
      </c>
      <c r="AO491" s="4" t="str">
        <f t="shared" si="166"/>
        <v>-</v>
      </c>
      <c r="AP491" s="4" t="str">
        <f t="shared" si="167"/>
        <v>-</v>
      </c>
      <c r="AQ491" s="4" t="str">
        <f t="shared" si="168"/>
        <v>-</v>
      </c>
      <c r="AR491" s="4">
        <v>0</v>
      </c>
      <c r="AS491" s="4" t="s">
        <v>2098</v>
      </c>
      <c r="AT491" s="4"/>
      <c r="AU491" s="4"/>
      <c r="AV491" s="4" t="s">
        <v>1729</v>
      </c>
      <c r="AW491" s="4">
        <v>3151</v>
      </c>
      <c r="AX491" s="4">
        <v>3151</v>
      </c>
      <c r="AY491" s="4">
        <v>3151</v>
      </c>
      <c r="AZ491" s="4">
        <f t="shared" si="169"/>
        <v>3151</v>
      </c>
      <c r="BA491" s="19">
        <v>4</v>
      </c>
      <c r="BB491" s="19">
        <v>8</v>
      </c>
      <c r="BC491" s="16">
        <v>19</v>
      </c>
      <c r="BD491" t="s">
        <v>1280</v>
      </c>
      <c r="BE491" t="s">
        <v>1280</v>
      </c>
      <c r="BF491" t="s">
        <v>1280</v>
      </c>
      <c r="BG491" t="str">
        <f t="shared" si="174"/>
        <v>-</v>
      </c>
      <c r="BH491" t="s">
        <v>1280</v>
      </c>
      <c r="BI491">
        <v>3000</v>
      </c>
      <c r="BJ491">
        <v>3000</v>
      </c>
      <c r="BK491">
        <f t="shared" si="175"/>
        <v>3272.7272727272725</v>
      </c>
      <c r="BL491" t="s">
        <v>1596</v>
      </c>
      <c r="BM491">
        <v>812</v>
      </c>
    </row>
    <row r="492" spans="1:65" x14ac:dyDescent="0.4">
      <c r="A492" s="3">
        <v>547</v>
      </c>
      <c r="B492" s="3">
        <v>547</v>
      </c>
      <c r="C492" s="4" t="s">
        <v>536</v>
      </c>
      <c r="D492" s="4" t="str">
        <f t="shared" si="154"/>
        <v>J904WN</v>
      </c>
      <c r="E492" s="4" t="s">
        <v>536</v>
      </c>
      <c r="F492" s="4" t="str">
        <f t="shared" si="170"/>
        <v>J904WN5</v>
      </c>
      <c r="G492" s="4" t="s">
        <v>1180</v>
      </c>
      <c r="H492" s="5">
        <v>4974268103635</v>
      </c>
      <c r="I492" s="5">
        <v>5</v>
      </c>
      <c r="J492" s="5"/>
      <c r="K492" s="5">
        <v>1</v>
      </c>
      <c r="L492" s="5">
        <v>1</v>
      </c>
      <c r="M492" s="4">
        <v>3300</v>
      </c>
      <c r="N492" s="4">
        <v>2830</v>
      </c>
      <c r="O492" s="4">
        <v>1980</v>
      </c>
      <c r="P492" s="6">
        <f t="shared" si="155"/>
        <v>0.30035335689045939</v>
      </c>
      <c r="Q492" s="4" t="s">
        <v>1280</v>
      </c>
      <c r="R492" s="4" t="s">
        <v>1280</v>
      </c>
      <c r="S492" s="4" t="s">
        <v>1280</v>
      </c>
      <c r="T492" s="4">
        <v>3600</v>
      </c>
      <c r="U492" s="4">
        <f t="shared" si="156"/>
        <v>3600</v>
      </c>
      <c r="V492" s="4">
        <v>2160</v>
      </c>
      <c r="W492" s="4">
        <f t="shared" si="157"/>
        <v>2160</v>
      </c>
      <c r="X492" s="4"/>
      <c r="Y492" s="21">
        <f t="shared" si="158"/>
        <v>3087</v>
      </c>
      <c r="Z492" s="6">
        <f t="shared" si="159"/>
        <v>0.30029154518950441</v>
      </c>
      <c r="AA492" s="4">
        <v>0</v>
      </c>
      <c r="AB492" s="4">
        <f t="shared" si="160"/>
        <v>1303</v>
      </c>
      <c r="AC492" s="4">
        <f t="shared" si="171"/>
        <v>1421.4545454545453</v>
      </c>
      <c r="AD492" s="6">
        <f t="shared" si="172"/>
        <v>-0.51957022256331564</v>
      </c>
      <c r="AE492" s="4">
        <f t="shared" si="173"/>
        <v>3420</v>
      </c>
      <c r="AF492" s="7">
        <v>3300</v>
      </c>
      <c r="AG492" s="6">
        <f t="shared" si="161"/>
        <v>0.34545454545454546</v>
      </c>
      <c r="AH492" s="4">
        <f t="shared" si="162"/>
        <v>1140</v>
      </c>
      <c r="AI492" s="28"/>
      <c r="AJ492" s="6"/>
      <c r="AK492" s="6"/>
      <c r="AL492" s="6">
        <f t="shared" si="163"/>
        <v>1.0909090909090908</v>
      </c>
      <c r="AM492" s="6">
        <f t="shared" si="164"/>
        <v>1.1660777385159011</v>
      </c>
      <c r="AN492" s="6">
        <f t="shared" si="165"/>
        <v>1.0909090909090908</v>
      </c>
      <c r="AO492" s="4" t="str">
        <f t="shared" si="166"/>
        <v>-</v>
      </c>
      <c r="AP492" s="4" t="str">
        <f t="shared" si="167"/>
        <v>-</v>
      </c>
      <c r="AQ492" s="4" t="str">
        <f t="shared" si="168"/>
        <v>-</v>
      </c>
      <c r="AR492" s="4">
        <v>0</v>
      </c>
      <c r="AS492" s="4" t="s">
        <v>2100</v>
      </c>
      <c r="AT492" s="4"/>
      <c r="AU492" s="4"/>
      <c r="AV492" s="4" t="s">
        <v>1729</v>
      </c>
      <c r="AW492" s="4">
        <v>1303</v>
      </c>
      <c r="AX492" s="4">
        <v>1303</v>
      </c>
      <c r="AY492" s="4">
        <v>1303</v>
      </c>
      <c r="AZ492" s="4">
        <f t="shared" si="169"/>
        <v>1303</v>
      </c>
      <c r="BA492" s="19">
        <v>4</v>
      </c>
      <c r="BB492" s="19">
        <v>8</v>
      </c>
      <c r="BC492" s="16">
        <v>19</v>
      </c>
      <c r="BD492" t="s">
        <v>1280</v>
      </c>
      <c r="BE492" t="s">
        <v>1280</v>
      </c>
      <c r="BF492" t="s">
        <v>1280</v>
      </c>
      <c r="BG492" t="str">
        <f t="shared" si="174"/>
        <v>-</v>
      </c>
      <c r="BH492">
        <v>3070</v>
      </c>
      <c r="BI492">
        <v>3070</v>
      </c>
      <c r="BJ492">
        <v>3070</v>
      </c>
      <c r="BK492">
        <f t="shared" si="175"/>
        <v>3349.090909090909</v>
      </c>
      <c r="BL492" t="s">
        <v>1598</v>
      </c>
      <c r="BM492">
        <v>812</v>
      </c>
    </row>
    <row r="493" spans="1:65" x14ac:dyDescent="0.4">
      <c r="A493" s="3">
        <v>585</v>
      </c>
      <c r="B493" s="3">
        <v>585</v>
      </c>
      <c r="C493" s="4" t="s">
        <v>574</v>
      </c>
      <c r="D493" s="4" t="str">
        <f t="shared" si="154"/>
        <v>J94448</v>
      </c>
      <c r="E493" s="4" t="s">
        <v>574</v>
      </c>
      <c r="F493" s="4" t="str">
        <f t="shared" si="170"/>
        <v>J944485</v>
      </c>
      <c r="G493" s="4" t="s">
        <v>1218</v>
      </c>
      <c r="H493" s="5">
        <v>4974268152053</v>
      </c>
      <c r="I493" s="5">
        <v>5</v>
      </c>
      <c r="J493" s="5"/>
      <c r="K493" s="5">
        <v>1</v>
      </c>
      <c r="L493" s="5">
        <v>1</v>
      </c>
      <c r="M493" s="4">
        <v>3100</v>
      </c>
      <c r="N493" s="4">
        <v>2325</v>
      </c>
      <c r="O493" s="4">
        <v>1860</v>
      </c>
      <c r="P493" s="6">
        <f t="shared" si="155"/>
        <v>0.19999999999999996</v>
      </c>
      <c r="Q493" s="4" t="s">
        <v>1280</v>
      </c>
      <c r="R493" s="4" t="s">
        <v>1280</v>
      </c>
      <c r="S493" s="4" t="s">
        <v>1280</v>
      </c>
      <c r="T493" s="4">
        <v>3600</v>
      </c>
      <c r="U493" s="4">
        <f t="shared" si="156"/>
        <v>3600</v>
      </c>
      <c r="V493" s="4">
        <v>2160</v>
      </c>
      <c r="W493" s="4">
        <f t="shared" si="157"/>
        <v>2160</v>
      </c>
      <c r="X493" s="4"/>
      <c r="Y493" s="21">
        <f t="shared" si="158"/>
        <v>2700</v>
      </c>
      <c r="Z493" s="6">
        <f t="shared" si="159"/>
        <v>0.19999999999999996</v>
      </c>
      <c r="AA493" s="4">
        <v>0.25</v>
      </c>
      <c r="AB493" s="4">
        <f t="shared" si="160"/>
        <v>2536</v>
      </c>
      <c r="AC493" s="4">
        <f t="shared" si="171"/>
        <v>2945.0322580645166</v>
      </c>
      <c r="AD493" s="6">
        <f t="shared" si="172"/>
        <v>0.26656151419558372</v>
      </c>
      <c r="AE493" s="4">
        <f t="shared" si="173"/>
        <v>3420</v>
      </c>
      <c r="AF493" s="7">
        <v>2914</v>
      </c>
      <c r="AG493" s="6">
        <f t="shared" si="161"/>
        <v>0.25875085792724772</v>
      </c>
      <c r="AH493" s="4">
        <f t="shared" si="162"/>
        <v>754</v>
      </c>
      <c r="AI493" s="28"/>
      <c r="AJ493" s="6"/>
      <c r="AK493" s="6"/>
      <c r="AL493" s="6">
        <f t="shared" si="163"/>
        <v>1.1612903225806452</v>
      </c>
      <c r="AM493" s="6">
        <f t="shared" si="164"/>
        <v>1.2533333333333334</v>
      </c>
      <c r="AN493" s="6">
        <f t="shared" si="165"/>
        <v>1.1612903225806452</v>
      </c>
      <c r="AO493" s="4" t="str">
        <f t="shared" si="166"/>
        <v>-</v>
      </c>
      <c r="AP493" s="4" t="str">
        <f t="shared" si="167"/>
        <v>-</v>
      </c>
      <c r="AQ493" s="4" t="str">
        <f t="shared" si="168"/>
        <v>-</v>
      </c>
      <c r="AR493" s="4">
        <v>0</v>
      </c>
      <c r="AS493" s="4" t="s">
        <v>2145</v>
      </c>
      <c r="AT493" s="4"/>
      <c r="AU493" s="4"/>
      <c r="AV493" s="4" t="s">
        <v>1884</v>
      </c>
      <c r="AW493" s="4">
        <v>2536</v>
      </c>
      <c r="AX493" s="4">
        <v>2536</v>
      </c>
      <c r="AY493" s="4">
        <v>2536</v>
      </c>
      <c r="AZ493" s="4">
        <f t="shared" si="169"/>
        <v>2536</v>
      </c>
      <c r="BA493" s="19">
        <v>4</v>
      </c>
      <c r="BB493" s="19">
        <v>8</v>
      </c>
      <c r="BC493" s="16">
        <v>18</v>
      </c>
      <c r="BD493" t="s">
        <v>1280</v>
      </c>
      <c r="BE493" t="s">
        <v>1280</v>
      </c>
      <c r="BF493" t="s">
        <v>1280</v>
      </c>
      <c r="BG493" t="str">
        <f t="shared" si="174"/>
        <v>-</v>
      </c>
      <c r="BH493" t="s">
        <v>1280</v>
      </c>
      <c r="BI493" t="s">
        <v>1280</v>
      </c>
      <c r="BJ493" t="s">
        <v>1280</v>
      </c>
      <c r="BK493" t="str">
        <f t="shared" si="175"/>
        <v>-</v>
      </c>
      <c r="BL493" t="s">
        <v>1633</v>
      </c>
      <c r="BM493">
        <v>812</v>
      </c>
    </row>
    <row r="494" spans="1:65" x14ac:dyDescent="0.4">
      <c r="A494" s="3">
        <v>526</v>
      </c>
      <c r="B494" s="3">
        <v>526</v>
      </c>
      <c r="C494" s="4" t="s">
        <v>515</v>
      </c>
      <c r="D494" s="4" t="str">
        <f t="shared" si="154"/>
        <v>J858MZ</v>
      </c>
      <c r="E494" s="4" t="s">
        <v>515</v>
      </c>
      <c r="F494" s="4" t="str">
        <f t="shared" si="170"/>
        <v>J858MZ5</v>
      </c>
      <c r="G494" s="4" t="s">
        <v>1159</v>
      </c>
      <c r="H494" s="5">
        <v>4974268837714</v>
      </c>
      <c r="I494" s="5">
        <v>5</v>
      </c>
      <c r="J494" s="5"/>
      <c r="K494" s="5">
        <v>1</v>
      </c>
      <c r="L494" s="5">
        <v>1</v>
      </c>
      <c r="M494" s="4">
        <v>3300</v>
      </c>
      <c r="N494" s="4">
        <v>2658</v>
      </c>
      <c r="O494" s="4">
        <v>1980</v>
      </c>
      <c r="P494" s="6">
        <f t="shared" si="155"/>
        <v>0.25507900677200901</v>
      </c>
      <c r="Q494" s="4" t="s">
        <v>1280</v>
      </c>
      <c r="R494" s="4" t="s">
        <v>1280</v>
      </c>
      <c r="S494" s="4" t="s">
        <v>1280</v>
      </c>
      <c r="T494" s="4">
        <v>3650</v>
      </c>
      <c r="U494" s="4">
        <f t="shared" si="156"/>
        <v>3650</v>
      </c>
      <c r="V494" s="4">
        <v>2190</v>
      </c>
      <c r="W494" s="4">
        <f t="shared" si="157"/>
        <v>2190</v>
      </c>
      <c r="X494" s="4"/>
      <c r="Y494" s="21">
        <f t="shared" si="158"/>
        <v>2940</v>
      </c>
      <c r="Z494" s="6">
        <f t="shared" si="159"/>
        <v>0.25510204081632648</v>
      </c>
      <c r="AA494" s="4">
        <v>0.25</v>
      </c>
      <c r="AB494" s="4" t="str">
        <f t="shared" si="160"/>
        <v>-</v>
      </c>
      <c r="AC494" s="4" t="str">
        <f t="shared" si="171"/>
        <v>-</v>
      </c>
      <c r="AD494" s="6" t="str">
        <f t="shared" si="172"/>
        <v>-</v>
      </c>
      <c r="AE494" s="4">
        <f t="shared" si="173"/>
        <v>3467.5</v>
      </c>
      <c r="AF494" s="7">
        <v>3275</v>
      </c>
      <c r="AG494" s="6">
        <f t="shared" si="161"/>
        <v>0.33129770992366414</v>
      </c>
      <c r="AH494" s="4">
        <f t="shared" si="162"/>
        <v>1085</v>
      </c>
      <c r="AI494" s="28"/>
      <c r="AJ494" s="6"/>
      <c r="AK494" s="6"/>
      <c r="AL494" s="6">
        <f t="shared" si="163"/>
        <v>1.106060606060606</v>
      </c>
      <c r="AM494" s="6">
        <f t="shared" si="164"/>
        <v>1.2321294206170053</v>
      </c>
      <c r="AN494" s="6">
        <f t="shared" si="165"/>
        <v>1.106060606060606</v>
      </c>
      <c r="AO494" s="4" t="str">
        <f t="shared" si="166"/>
        <v>-</v>
      </c>
      <c r="AP494" s="4" t="str">
        <f t="shared" si="167"/>
        <v>-</v>
      </c>
      <c r="AQ494" s="4" t="str">
        <f t="shared" si="168"/>
        <v>-</v>
      </c>
      <c r="AR494" s="4">
        <v>0</v>
      </c>
      <c r="AS494" s="4" t="s">
        <v>1280</v>
      </c>
      <c r="AT494" s="4"/>
      <c r="AU494" s="4"/>
      <c r="AV494" s="4" t="s">
        <v>1280</v>
      </c>
      <c r="AW494" s="4" t="s">
        <v>1280</v>
      </c>
      <c r="AX494" s="4" t="s">
        <v>1280</v>
      </c>
      <c r="AY494" s="4" t="s">
        <v>1280</v>
      </c>
      <c r="AZ494" s="4" t="str">
        <f t="shared" si="169"/>
        <v>-</v>
      </c>
      <c r="BA494" s="19">
        <v>4</v>
      </c>
      <c r="BB494" s="19">
        <v>8</v>
      </c>
      <c r="BC494" s="16">
        <v>18</v>
      </c>
      <c r="BD494" t="s">
        <v>1280</v>
      </c>
      <c r="BE494" t="s">
        <v>1280</v>
      </c>
      <c r="BF494" t="s">
        <v>1280</v>
      </c>
      <c r="BG494" t="str">
        <f t="shared" si="174"/>
        <v>-</v>
      </c>
      <c r="BH494" t="s">
        <v>1280</v>
      </c>
      <c r="BI494">
        <v>3001</v>
      </c>
      <c r="BJ494">
        <v>3001</v>
      </c>
      <c r="BK494">
        <f t="shared" si="175"/>
        <v>3319.2878787878785</v>
      </c>
      <c r="BL494" t="s">
        <v>1280</v>
      </c>
      <c r="BM494">
        <v>812</v>
      </c>
    </row>
    <row r="495" spans="1:65" x14ac:dyDescent="0.4">
      <c r="A495" s="3">
        <v>528</v>
      </c>
      <c r="B495" s="3">
        <v>528</v>
      </c>
      <c r="C495" s="4" t="s">
        <v>517</v>
      </c>
      <c r="D495" s="4" t="str">
        <f t="shared" si="154"/>
        <v>J859MZ</v>
      </c>
      <c r="E495" s="4" t="s">
        <v>517</v>
      </c>
      <c r="F495" s="4" t="str">
        <f t="shared" si="170"/>
        <v>J859MZ5</v>
      </c>
      <c r="G495" s="4" t="s">
        <v>1161</v>
      </c>
      <c r="H495" s="5">
        <v>4974268837721</v>
      </c>
      <c r="I495" s="5">
        <v>5</v>
      </c>
      <c r="J495" s="5"/>
      <c r="K495" s="5">
        <v>1</v>
      </c>
      <c r="L495" s="5">
        <v>1</v>
      </c>
      <c r="M495" s="4">
        <v>3300</v>
      </c>
      <c r="N495" s="4">
        <v>2658</v>
      </c>
      <c r="O495" s="4">
        <v>1980</v>
      </c>
      <c r="P495" s="6">
        <f t="shared" si="155"/>
        <v>0.25507900677200901</v>
      </c>
      <c r="Q495" s="4" t="s">
        <v>1280</v>
      </c>
      <c r="R495" s="4" t="s">
        <v>1280</v>
      </c>
      <c r="S495" s="4" t="s">
        <v>1280</v>
      </c>
      <c r="T495" s="4">
        <v>3650</v>
      </c>
      <c r="U495" s="4">
        <f t="shared" si="156"/>
        <v>3650</v>
      </c>
      <c r="V495" s="4">
        <v>2190</v>
      </c>
      <c r="W495" s="4">
        <f t="shared" si="157"/>
        <v>2190</v>
      </c>
      <c r="X495" s="4"/>
      <c r="Y495" s="21">
        <f t="shared" si="158"/>
        <v>2940</v>
      </c>
      <c r="Z495" s="6">
        <f t="shared" si="159"/>
        <v>0.25510204081632648</v>
      </c>
      <c r="AA495" s="4">
        <v>0.25</v>
      </c>
      <c r="AB495" s="4">
        <f t="shared" si="160"/>
        <v>2961</v>
      </c>
      <c r="AC495" s="4">
        <f t="shared" si="171"/>
        <v>3275.045454545454</v>
      </c>
      <c r="AD495" s="6">
        <f t="shared" si="172"/>
        <v>0.33130699088145887</v>
      </c>
      <c r="AE495" s="4">
        <f t="shared" si="173"/>
        <v>3467.5</v>
      </c>
      <c r="AF495" s="7">
        <v>3275</v>
      </c>
      <c r="AG495" s="6">
        <f t="shared" si="161"/>
        <v>0.33129770992366414</v>
      </c>
      <c r="AH495" s="4">
        <f t="shared" si="162"/>
        <v>1085</v>
      </c>
      <c r="AI495" s="28"/>
      <c r="AJ495" s="6"/>
      <c r="AK495" s="6"/>
      <c r="AL495" s="6">
        <f t="shared" si="163"/>
        <v>1.106060606060606</v>
      </c>
      <c r="AM495" s="6">
        <f t="shared" si="164"/>
        <v>1.2321294206170053</v>
      </c>
      <c r="AN495" s="6">
        <f t="shared" si="165"/>
        <v>1.106060606060606</v>
      </c>
      <c r="AO495" s="4" t="str">
        <f t="shared" si="166"/>
        <v>-</v>
      </c>
      <c r="AP495" s="4" t="str">
        <f t="shared" si="167"/>
        <v>-</v>
      </c>
      <c r="AQ495" s="4" t="str">
        <f t="shared" si="168"/>
        <v>-</v>
      </c>
      <c r="AR495" s="4">
        <v>0</v>
      </c>
      <c r="AS495" s="4" t="s">
        <v>2082</v>
      </c>
      <c r="AT495" s="4"/>
      <c r="AU495" s="4"/>
      <c r="AV495" s="4" t="s">
        <v>1699</v>
      </c>
      <c r="AW495" s="4">
        <v>2961</v>
      </c>
      <c r="AX495" s="4">
        <v>2961</v>
      </c>
      <c r="AY495" s="4">
        <v>2961</v>
      </c>
      <c r="AZ495" s="4">
        <f t="shared" si="169"/>
        <v>2961</v>
      </c>
      <c r="BA495" s="19">
        <v>4</v>
      </c>
      <c r="BB495" s="19">
        <v>8</v>
      </c>
      <c r="BC495" s="16">
        <v>18</v>
      </c>
      <c r="BD495">
        <v>3300</v>
      </c>
      <c r="BE495">
        <v>3300</v>
      </c>
      <c r="BF495">
        <v>3300</v>
      </c>
      <c r="BG495">
        <f t="shared" si="174"/>
        <v>3649.9999999999995</v>
      </c>
      <c r="BH495" t="s">
        <v>1280</v>
      </c>
      <c r="BI495">
        <v>3001</v>
      </c>
      <c r="BJ495">
        <v>3001</v>
      </c>
      <c r="BK495">
        <f t="shared" si="175"/>
        <v>3319.2878787878785</v>
      </c>
      <c r="BL495" t="s">
        <v>1582</v>
      </c>
      <c r="BM495">
        <v>812</v>
      </c>
    </row>
    <row r="496" spans="1:65" x14ac:dyDescent="0.4">
      <c r="A496" s="3">
        <v>445</v>
      </c>
      <c r="B496" s="3">
        <v>445</v>
      </c>
      <c r="C496" s="4" t="s">
        <v>434</v>
      </c>
      <c r="D496" s="4" t="str">
        <f t="shared" si="154"/>
        <v>J54523</v>
      </c>
      <c r="E496" s="4" t="s">
        <v>434</v>
      </c>
      <c r="F496" s="4" t="str">
        <f t="shared" si="170"/>
        <v>J545235</v>
      </c>
      <c r="G496" s="4" t="s">
        <v>1078</v>
      </c>
      <c r="H496" s="5">
        <v>4974268560247</v>
      </c>
      <c r="I496" s="5">
        <v>5</v>
      </c>
      <c r="J496" s="5"/>
      <c r="K496" s="5">
        <v>1</v>
      </c>
      <c r="L496" s="5">
        <v>1</v>
      </c>
      <c r="M496" s="4">
        <v>3300</v>
      </c>
      <c r="N496" s="4">
        <v>3008</v>
      </c>
      <c r="O496" s="4">
        <v>1980</v>
      </c>
      <c r="P496" s="6">
        <f t="shared" si="155"/>
        <v>0.3417553191489362</v>
      </c>
      <c r="Q496" s="4" t="s">
        <v>1280</v>
      </c>
      <c r="R496" s="4" t="s">
        <v>1280</v>
      </c>
      <c r="S496" s="4" t="s">
        <v>1280</v>
      </c>
      <c r="T496" s="4">
        <v>3700</v>
      </c>
      <c r="U496" s="4">
        <f t="shared" si="156"/>
        <v>3700</v>
      </c>
      <c r="V496" s="4">
        <v>2220</v>
      </c>
      <c r="W496" s="4">
        <f t="shared" si="157"/>
        <v>2220</v>
      </c>
      <c r="X496" s="4"/>
      <c r="Y496" s="21">
        <f t="shared" si="158"/>
        <v>3373</v>
      </c>
      <c r="Z496" s="6">
        <f t="shared" si="159"/>
        <v>0.34183219685739696</v>
      </c>
      <c r="AA496" s="4">
        <v>0</v>
      </c>
      <c r="AB496" s="4">
        <f t="shared" si="160"/>
        <v>2721.5</v>
      </c>
      <c r="AC496" s="4">
        <f t="shared" si="171"/>
        <v>3051.3787878787875</v>
      </c>
      <c r="AD496" s="6">
        <f t="shared" si="172"/>
        <v>0.27246004041888661</v>
      </c>
      <c r="AE496" s="4">
        <f t="shared" si="173"/>
        <v>3515</v>
      </c>
      <c r="AF496" s="7">
        <v>3050</v>
      </c>
      <c r="AG496" s="6">
        <f t="shared" si="161"/>
        <v>0.27213114754098355</v>
      </c>
      <c r="AH496" s="4">
        <f t="shared" si="162"/>
        <v>830</v>
      </c>
      <c r="AI496" s="28"/>
      <c r="AJ496" s="6"/>
      <c r="AK496" s="6"/>
      <c r="AL496" s="6">
        <f t="shared" si="163"/>
        <v>1.1212121212121211</v>
      </c>
      <c r="AM496" s="6">
        <f t="shared" si="164"/>
        <v>1.0139627659574468</v>
      </c>
      <c r="AN496" s="6">
        <f t="shared" si="165"/>
        <v>1.1212121212121211</v>
      </c>
      <c r="AO496" s="4" t="str">
        <f t="shared" si="166"/>
        <v>-</v>
      </c>
      <c r="AP496" s="4" t="str">
        <f t="shared" si="167"/>
        <v>-</v>
      </c>
      <c r="AQ496" s="4" t="str">
        <f t="shared" si="168"/>
        <v>-</v>
      </c>
      <c r="AR496" s="4">
        <v>0</v>
      </c>
      <c r="AS496" s="4" t="s">
        <v>2002</v>
      </c>
      <c r="AT496" s="4">
        <v>1</v>
      </c>
      <c r="AU496" s="4">
        <v>2</v>
      </c>
      <c r="AV496" s="4" t="s">
        <v>2003</v>
      </c>
      <c r="AW496" s="4">
        <v>5443</v>
      </c>
      <c r="AX496" s="4">
        <v>5443</v>
      </c>
      <c r="AY496" s="4">
        <v>5443</v>
      </c>
      <c r="AZ496" s="4">
        <f t="shared" si="169"/>
        <v>2721.5</v>
      </c>
      <c r="BA496" s="19">
        <v>4</v>
      </c>
      <c r="BB496" s="19">
        <v>8</v>
      </c>
      <c r="BC496" s="16">
        <v>18</v>
      </c>
      <c r="BD496">
        <v>3300</v>
      </c>
      <c r="BE496">
        <v>3300</v>
      </c>
      <c r="BF496">
        <v>3300</v>
      </c>
      <c r="BG496">
        <f t="shared" si="174"/>
        <v>3699.9999999999995</v>
      </c>
      <c r="BH496">
        <v>3246</v>
      </c>
      <c r="BI496">
        <v>3246</v>
      </c>
      <c r="BJ496">
        <v>3246</v>
      </c>
      <c r="BK496">
        <f t="shared" si="175"/>
        <v>3639.454545454545</v>
      </c>
      <c r="BL496" t="s">
        <v>1522</v>
      </c>
      <c r="BM496">
        <v>812</v>
      </c>
    </row>
    <row r="497" spans="1:65" x14ac:dyDescent="0.4">
      <c r="A497" s="3">
        <v>460</v>
      </c>
      <c r="B497" s="3">
        <v>460</v>
      </c>
      <c r="C497" s="4" t="s">
        <v>449</v>
      </c>
      <c r="D497" s="4" t="str">
        <f t="shared" si="154"/>
        <v>J54535</v>
      </c>
      <c r="E497" s="4" t="s">
        <v>449</v>
      </c>
      <c r="F497" s="4" t="str">
        <f t="shared" si="170"/>
        <v>J545355</v>
      </c>
      <c r="G497" s="4" t="s">
        <v>1093</v>
      </c>
      <c r="H497" s="5">
        <v>4974268561466</v>
      </c>
      <c r="I497" s="5">
        <v>5</v>
      </c>
      <c r="J497" s="5"/>
      <c r="K497" s="5">
        <v>1</v>
      </c>
      <c r="L497" s="5">
        <v>1</v>
      </c>
      <c r="M497" s="4">
        <v>3300</v>
      </c>
      <c r="N497" s="4">
        <v>2532</v>
      </c>
      <c r="O497" s="4">
        <v>1980</v>
      </c>
      <c r="P497" s="6">
        <f t="shared" si="155"/>
        <v>0.21800947867298581</v>
      </c>
      <c r="Q497" s="4" t="s">
        <v>1280</v>
      </c>
      <c r="R497" s="4" t="s">
        <v>1280</v>
      </c>
      <c r="S497" s="4" t="s">
        <v>1280</v>
      </c>
      <c r="T497" s="4">
        <v>3700</v>
      </c>
      <c r="U497" s="4">
        <f t="shared" si="156"/>
        <v>3700</v>
      </c>
      <c r="V497" s="4">
        <v>2220</v>
      </c>
      <c r="W497" s="4">
        <f t="shared" si="157"/>
        <v>2220</v>
      </c>
      <c r="X497" s="4"/>
      <c r="Y497" s="21">
        <f t="shared" si="158"/>
        <v>2839</v>
      </c>
      <c r="Z497" s="6">
        <f t="shared" si="159"/>
        <v>0.21803451919690031</v>
      </c>
      <c r="AA497" s="4">
        <v>0</v>
      </c>
      <c r="AB497" s="4">
        <f t="shared" si="160"/>
        <v>2482</v>
      </c>
      <c r="AC497" s="4">
        <f t="shared" si="171"/>
        <v>2782.8484848484845</v>
      </c>
      <c r="AD497" s="6">
        <f t="shared" si="172"/>
        <v>0.20225624496373884</v>
      </c>
      <c r="AE497" s="4">
        <f t="shared" si="173"/>
        <v>3515</v>
      </c>
      <c r="AF497" s="7">
        <v>3050</v>
      </c>
      <c r="AG497" s="6">
        <f t="shared" si="161"/>
        <v>0.27213114754098355</v>
      </c>
      <c r="AH497" s="4">
        <f t="shared" si="162"/>
        <v>830</v>
      </c>
      <c r="AI497" s="28"/>
      <c r="AJ497" s="6"/>
      <c r="AK497" s="6"/>
      <c r="AL497" s="6">
        <f t="shared" si="163"/>
        <v>1.1212121212121211</v>
      </c>
      <c r="AM497" s="6">
        <f t="shared" si="164"/>
        <v>1.2045813586097947</v>
      </c>
      <c r="AN497" s="6">
        <f t="shared" si="165"/>
        <v>1.1212121212121211</v>
      </c>
      <c r="AO497" s="4" t="str">
        <f t="shared" si="166"/>
        <v>-</v>
      </c>
      <c r="AP497" s="4" t="str">
        <f t="shared" si="167"/>
        <v>-</v>
      </c>
      <c r="AQ497" s="4" t="str">
        <f t="shared" si="168"/>
        <v>-</v>
      </c>
      <c r="AR497" s="4">
        <v>0</v>
      </c>
      <c r="AS497" s="4" t="s">
        <v>2018</v>
      </c>
      <c r="AT497" s="4"/>
      <c r="AU497" s="4"/>
      <c r="AV497" s="4" t="s">
        <v>2019</v>
      </c>
      <c r="AW497" s="4">
        <v>2482</v>
      </c>
      <c r="AX497" s="4">
        <v>2482</v>
      </c>
      <c r="AY497" s="4">
        <v>2482</v>
      </c>
      <c r="AZ497" s="4">
        <f t="shared" si="169"/>
        <v>2482</v>
      </c>
      <c r="BA497" s="19">
        <v>4</v>
      </c>
      <c r="BB497" s="19">
        <v>8</v>
      </c>
      <c r="BC497" s="16">
        <v>18</v>
      </c>
      <c r="BD497" t="s">
        <v>1280</v>
      </c>
      <c r="BE497" t="s">
        <v>1280</v>
      </c>
      <c r="BF497">
        <v>3300</v>
      </c>
      <c r="BG497">
        <f t="shared" si="174"/>
        <v>3699.9999999999995</v>
      </c>
      <c r="BH497">
        <v>2986</v>
      </c>
      <c r="BI497">
        <v>2986</v>
      </c>
      <c r="BJ497">
        <v>2986</v>
      </c>
      <c r="BK497">
        <f t="shared" si="175"/>
        <v>3347.9393939393935</v>
      </c>
      <c r="BL497" t="s">
        <v>1534</v>
      </c>
      <c r="BM497">
        <v>812</v>
      </c>
    </row>
    <row r="498" spans="1:65" x14ac:dyDescent="0.4">
      <c r="A498" s="3">
        <v>610</v>
      </c>
      <c r="B498" s="3">
        <v>610</v>
      </c>
      <c r="C498" s="4" t="s">
        <v>599</v>
      </c>
      <c r="D498" s="4" t="str">
        <f t="shared" si="154"/>
        <v>J952WN</v>
      </c>
      <c r="E498" s="4" t="s">
        <v>599</v>
      </c>
      <c r="F498" s="4" t="str">
        <f t="shared" si="170"/>
        <v>J952WN5</v>
      </c>
      <c r="G498" s="4" t="s">
        <v>1243</v>
      </c>
      <c r="H498" s="5">
        <v>4974268560230</v>
      </c>
      <c r="I498" s="5">
        <v>5</v>
      </c>
      <c r="J498" s="5"/>
      <c r="K498" s="5">
        <v>1</v>
      </c>
      <c r="L498" s="5">
        <v>1</v>
      </c>
      <c r="M498" s="4">
        <v>3300</v>
      </c>
      <c r="N498" s="4">
        <v>2830</v>
      </c>
      <c r="O498" s="4">
        <v>1980</v>
      </c>
      <c r="P498" s="6">
        <f t="shared" si="155"/>
        <v>0.30035335689045939</v>
      </c>
      <c r="Q498" s="4" t="s">
        <v>1280</v>
      </c>
      <c r="R498" s="4" t="s">
        <v>1280</v>
      </c>
      <c r="S498" s="4" t="s">
        <v>1280</v>
      </c>
      <c r="T498" s="4">
        <v>3700</v>
      </c>
      <c r="U498" s="4">
        <f t="shared" si="156"/>
        <v>3700</v>
      </c>
      <c r="V498" s="4">
        <v>2220</v>
      </c>
      <c r="W498" s="4">
        <f t="shared" si="157"/>
        <v>2220</v>
      </c>
      <c r="X498" s="4"/>
      <c r="Y498" s="21">
        <f t="shared" si="158"/>
        <v>3173</v>
      </c>
      <c r="Z498" s="6">
        <f t="shared" si="159"/>
        <v>0.30034667507091084</v>
      </c>
      <c r="AA498" s="4">
        <v>0</v>
      </c>
      <c r="AB498" s="4">
        <f t="shared" si="160"/>
        <v>2807.5</v>
      </c>
      <c r="AC498" s="4">
        <f t="shared" si="171"/>
        <v>3147.80303030303</v>
      </c>
      <c r="AD498" s="6">
        <f t="shared" si="172"/>
        <v>0.29474621549421187</v>
      </c>
      <c r="AE498" s="4">
        <f t="shared" si="173"/>
        <v>3515</v>
      </c>
      <c r="AF498" s="7">
        <v>3147</v>
      </c>
      <c r="AG498" s="6">
        <f t="shared" si="161"/>
        <v>0.29456625357483313</v>
      </c>
      <c r="AH498" s="4">
        <f t="shared" si="162"/>
        <v>927</v>
      </c>
      <c r="AI498" s="28"/>
      <c r="AJ498" s="6"/>
      <c r="AK498" s="6"/>
      <c r="AL498" s="6">
        <f t="shared" si="163"/>
        <v>1.1212121212121211</v>
      </c>
      <c r="AM498" s="6">
        <f t="shared" si="164"/>
        <v>1.1120141342756185</v>
      </c>
      <c r="AN498" s="6">
        <f t="shared" si="165"/>
        <v>1.1212121212121211</v>
      </c>
      <c r="AO498" s="4" t="str">
        <f t="shared" si="166"/>
        <v>-</v>
      </c>
      <c r="AP498" s="4" t="str">
        <f t="shared" si="167"/>
        <v>-</v>
      </c>
      <c r="AQ498" s="4" t="str">
        <f t="shared" si="168"/>
        <v>-</v>
      </c>
      <c r="AR498" s="4">
        <v>0</v>
      </c>
      <c r="AS498" s="4" t="s">
        <v>2169</v>
      </c>
      <c r="AT498" s="4">
        <v>1</v>
      </c>
      <c r="AU498" s="4">
        <v>2</v>
      </c>
      <c r="AV498" s="4" t="s">
        <v>2170</v>
      </c>
      <c r="AW498" s="4">
        <v>5615</v>
      </c>
      <c r="AX498" s="4">
        <v>5615</v>
      </c>
      <c r="AY498" s="4">
        <v>5615</v>
      </c>
      <c r="AZ498" s="4">
        <f t="shared" si="169"/>
        <v>2807.5</v>
      </c>
      <c r="BA498" s="19">
        <v>4</v>
      </c>
      <c r="BB498" s="19">
        <v>8</v>
      </c>
      <c r="BC498" s="16">
        <v>18</v>
      </c>
      <c r="BD498">
        <v>3300</v>
      </c>
      <c r="BE498">
        <v>3300</v>
      </c>
      <c r="BF498">
        <v>3300</v>
      </c>
      <c r="BG498">
        <f t="shared" si="174"/>
        <v>3699.9999999999995</v>
      </c>
      <c r="BH498">
        <v>3246</v>
      </c>
      <c r="BI498">
        <v>3246</v>
      </c>
      <c r="BJ498">
        <v>3246</v>
      </c>
      <c r="BK498">
        <f t="shared" si="175"/>
        <v>3639.454545454545</v>
      </c>
      <c r="BL498" t="s">
        <v>1652</v>
      </c>
      <c r="BM498">
        <v>812</v>
      </c>
    </row>
    <row r="499" spans="1:65" x14ac:dyDescent="0.4">
      <c r="A499" s="3">
        <v>619</v>
      </c>
      <c r="B499" s="3">
        <v>619</v>
      </c>
      <c r="C499" s="4" t="s">
        <v>608</v>
      </c>
      <c r="D499" s="4" t="str">
        <f t="shared" si="154"/>
        <v>J961WN</v>
      </c>
      <c r="E499" s="4" t="s">
        <v>608</v>
      </c>
      <c r="F499" s="4" t="str">
        <f t="shared" si="170"/>
        <v>J961WN5</v>
      </c>
      <c r="G499" s="4" t="s">
        <v>1252</v>
      </c>
      <c r="H499" s="5">
        <v>4974268561459</v>
      </c>
      <c r="I499" s="5">
        <v>5</v>
      </c>
      <c r="J499" s="5"/>
      <c r="K499" s="5">
        <v>1</v>
      </c>
      <c r="L499" s="5">
        <v>1</v>
      </c>
      <c r="M499" s="4">
        <v>3300</v>
      </c>
      <c r="N499" s="4">
        <v>2830</v>
      </c>
      <c r="O499" s="4">
        <v>1980</v>
      </c>
      <c r="P499" s="6">
        <f t="shared" si="155"/>
        <v>0.30035335689045939</v>
      </c>
      <c r="Q499" s="4" t="s">
        <v>1280</v>
      </c>
      <c r="R499" s="4" t="s">
        <v>1280</v>
      </c>
      <c r="S499" s="4" t="s">
        <v>1280</v>
      </c>
      <c r="T499" s="4">
        <v>3700</v>
      </c>
      <c r="U499" s="4">
        <f t="shared" si="156"/>
        <v>3700</v>
      </c>
      <c r="V499" s="4">
        <v>2220</v>
      </c>
      <c r="W499" s="4">
        <f t="shared" si="157"/>
        <v>2220</v>
      </c>
      <c r="X499" s="4"/>
      <c r="Y499" s="21">
        <f t="shared" si="158"/>
        <v>3173</v>
      </c>
      <c r="Z499" s="6">
        <f t="shared" si="159"/>
        <v>0.30034667507091084</v>
      </c>
      <c r="AA499" s="4">
        <v>0</v>
      </c>
      <c r="AB499" s="4">
        <f t="shared" si="160"/>
        <v>2298.5</v>
      </c>
      <c r="AC499" s="4">
        <f t="shared" si="171"/>
        <v>2577.1060606060605</v>
      </c>
      <c r="AD499" s="6">
        <f t="shared" si="172"/>
        <v>0.13856863171633671</v>
      </c>
      <c r="AE499" s="4">
        <f t="shared" si="173"/>
        <v>3515</v>
      </c>
      <c r="AF499" s="7">
        <v>3347</v>
      </c>
      <c r="AG499" s="6">
        <f t="shared" si="161"/>
        <v>0.33671945025395877</v>
      </c>
      <c r="AH499" s="4">
        <f t="shared" si="162"/>
        <v>1127</v>
      </c>
      <c r="AI499" s="28"/>
      <c r="AJ499" s="6"/>
      <c r="AK499" s="6"/>
      <c r="AL499" s="6">
        <f t="shared" si="163"/>
        <v>1.1212121212121211</v>
      </c>
      <c r="AM499" s="6">
        <f t="shared" si="164"/>
        <v>1.1826855123674911</v>
      </c>
      <c r="AN499" s="6">
        <f t="shared" si="165"/>
        <v>1.1212121212121211</v>
      </c>
      <c r="AO499" s="4" t="str">
        <f t="shared" si="166"/>
        <v>-</v>
      </c>
      <c r="AP499" s="4" t="str">
        <f t="shared" si="167"/>
        <v>-</v>
      </c>
      <c r="AQ499" s="4" t="str">
        <f t="shared" si="168"/>
        <v>-</v>
      </c>
      <c r="AR499" s="4">
        <v>0</v>
      </c>
      <c r="AS499" s="4" t="s">
        <v>2178</v>
      </c>
      <c r="AT499" s="4">
        <v>1</v>
      </c>
      <c r="AU499" s="4">
        <v>2</v>
      </c>
      <c r="AV499" s="4" t="s">
        <v>2179</v>
      </c>
      <c r="AW499" s="4">
        <v>4597</v>
      </c>
      <c r="AX499" s="4">
        <v>4597</v>
      </c>
      <c r="AY499" s="4">
        <v>4597</v>
      </c>
      <c r="AZ499" s="4">
        <f t="shared" si="169"/>
        <v>2298.5</v>
      </c>
      <c r="BA499" s="19">
        <v>4</v>
      </c>
      <c r="BB499" s="19">
        <v>8</v>
      </c>
      <c r="BC499" s="16">
        <v>18</v>
      </c>
      <c r="BD499">
        <v>3300</v>
      </c>
      <c r="BE499">
        <v>3300</v>
      </c>
      <c r="BF499">
        <v>3300</v>
      </c>
      <c r="BG499">
        <f t="shared" si="174"/>
        <v>3699.9999999999995</v>
      </c>
      <c r="BH499">
        <v>2986</v>
      </c>
      <c r="BI499">
        <v>2986</v>
      </c>
      <c r="BJ499">
        <v>2986</v>
      </c>
      <c r="BK499">
        <f t="shared" si="175"/>
        <v>3347.9393939393935</v>
      </c>
      <c r="BL499" t="s">
        <v>1660</v>
      </c>
      <c r="BM499">
        <v>812</v>
      </c>
    </row>
    <row r="500" spans="1:65" x14ac:dyDescent="0.4">
      <c r="A500" s="3">
        <v>516</v>
      </c>
      <c r="B500" s="3">
        <v>516</v>
      </c>
      <c r="C500" s="4" t="s">
        <v>505</v>
      </c>
      <c r="D500" s="4" t="str">
        <f t="shared" si="154"/>
        <v>J780RZ</v>
      </c>
      <c r="E500" s="4" t="s">
        <v>505</v>
      </c>
      <c r="F500" s="4" t="str">
        <f t="shared" si="170"/>
        <v>J780RZ5</v>
      </c>
      <c r="G500" s="4" t="s">
        <v>1149</v>
      </c>
      <c r="H500" s="5">
        <v>4974268695932</v>
      </c>
      <c r="I500" s="5">
        <v>5</v>
      </c>
      <c r="J500" s="5"/>
      <c r="K500" s="5">
        <v>1</v>
      </c>
      <c r="L500" s="5">
        <v>1</v>
      </c>
      <c r="M500" s="4">
        <v>2900</v>
      </c>
      <c r="N500" s="4">
        <v>2718</v>
      </c>
      <c r="O500" s="4">
        <v>2030</v>
      </c>
      <c r="P500" s="6">
        <f t="shared" si="155"/>
        <v>0.25312729948491541</v>
      </c>
      <c r="Q500" s="4" t="s">
        <v>1280</v>
      </c>
      <c r="R500" s="4" t="s">
        <v>1280</v>
      </c>
      <c r="S500" s="4" t="s">
        <v>1280</v>
      </c>
      <c r="T500" s="4">
        <v>3200</v>
      </c>
      <c r="U500" s="4">
        <f t="shared" si="156"/>
        <v>3200</v>
      </c>
      <c r="V500" s="4">
        <v>2240</v>
      </c>
      <c r="W500" s="4">
        <f t="shared" si="157"/>
        <v>2240</v>
      </c>
      <c r="X500" s="4"/>
      <c r="Y500" s="21">
        <f t="shared" si="158"/>
        <v>2999</v>
      </c>
      <c r="Z500" s="6">
        <f t="shared" si="159"/>
        <v>0.25308436145381796</v>
      </c>
      <c r="AA500" s="4">
        <v>0.25</v>
      </c>
      <c r="AB500" s="4">
        <f t="shared" si="160"/>
        <v>2900</v>
      </c>
      <c r="AC500" s="4">
        <f t="shared" si="171"/>
        <v>3200</v>
      </c>
      <c r="AD500" s="6">
        <f t="shared" si="172"/>
        <v>0.30000000000000004</v>
      </c>
      <c r="AE500" s="4">
        <f t="shared" si="173"/>
        <v>3040</v>
      </c>
      <c r="AF500" s="7">
        <v>3200</v>
      </c>
      <c r="AG500" s="6">
        <f t="shared" si="161"/>
        <v>0.30000000000000004</v>
      </c>
      <c r="AH500" s="4">
        <f t="shared" si="162"/>
        <v>960</v>
      </c>
      <c r="AI500" s="28"/>
      <c r="AJ500" s="6"/>
      <c r="AK500" s="6"/>
      <c r="AL500" s="6">
        <f t="shared" si="163"/>
        <v>1.103448275862069</v>
      </c>
      <c r="AM500" s="6">
        <f t="shared" si="164"/>
        <v>1.177336276674025</v>
      </c>
      <c r="AN500" s="6">
        <f t="shared" si="165"/>
        <v>1.103448275862069</v>
      </c>
      <c r="AO500" s="4" t="str">
        <f t="shared" si="166"/>
        <v>-</v>
      </c>
      <c r="AP500" s="4" t="str">
        <f t="shared" si="167"/>
        <v>-</v>
      </c>
      <c r="AQ500" s="4" t="str">
        <f t="shared" si="168"/>
        <v>-</v>
      </c>
      <c r="AR500" s="4">
        <v>0</v>
      </c>
      <c r="AS500" s="4" t="s">
        <v>2071</v>
      </c>
      <c r="AT500" s="4"/>
      <c r="AU500" s="4"/>
      <c r="AV500" s="4" t="s">
        <v>2072</v>
      </c>
      <c r="AW500" s="4">
        <v>2900</v>
      </c>
      <c r="AX500" s="4">
        <v>2900</v>
      </c>
      <c r="AY500" s="4">
        <v>2900</v>
      </c>
      <c r="AZ500" s="4">
        <f t="shared" si="169"/>
        <v>2900</v>
      </c>
      <c r="BA500" s="19">
        <v>4</v>
      </c>
      <c r="BB500" s="19">
        <v>8</v>
      </c>
      <c r="BC500" s="16">
        <v>19</v>
      </c>
      <c r="BD500">
        <v>2636</v>
      </c>
      <c r="BE500">
        <v>2636</v>
      </c>
      <c r="BF500" t="s">
        <v>1280</v>
      </c>
      <c r="BG500" t="str">
        <f t="shared" si="174"/>
        <v>-</v>
      </c>
      <c r="BH500">
        <v>3480</v>
      </c>
      <c r="BI500">
        <v>3480</v>
      </c>
      <c r="BJ500">
        <v>3480</v>
      </c>
      <c r="BK500">
        <f t="shared" si="175"/>
        <v>3840</v>
      </c>
      <c r="BL500" t="s">
        <v>1573</v>
      </c>
      <c r="BM500">
        <v>812</v>
      </c>
    </row>
    <row r="501" spans="1:65" x14ac:dyDescent="0.4">
      <c r="A501" s="3">
        <v>517</v>
      </c>
      <c r="B501" s="3">
        <v>517</v>
      </c>
      <c r="C501" s="4" t="s">
        <v>506</v>
      </c>
      <c r="D501" s="4" t="str">
        <f t="shared" si="154"/>
        <v>J781RZ</v>
      </c>
      <c r="E501" s="4" t="s">
        <v>506</v>
      </c>
      <c r="F501" s="4" t="str">
        <f t="shared" si="170"/>
        <v>J781RZ5</v>
      </c>
      <c r="G501" s="4" t="s">
        <v>1150</v>
      </c>
      <c r="H501" s="5">
        <v>4974268695949</v>
      </c>
      <c r="I501" s="5">
        <v>5</v>
      </c>
      <c r="J501" s="5"/>
      <c r="K501" s="5">
        <v>1</v>
      </c>
      <c r="L501" s="5">
        <v>1</v>
      </c>
      <c r="M501" s="4">
        <v>2900</v>
      </c>
      <c r="N501" s="4">
        <v>2718</v>
      </c>
      <c r="O501" s="4">
        <v>2030</v>
      </c>
      <c r="P501" s="6">
        <f t="shared" si="155"/>
        <v>0.25312729948491541</v>
      </c>
      <c r="Q501" s="4" t="s">
        <v>1280</v>
      </c>
      <c r="R501" s="4" t="s">
        <v>1280</v>
      </c>
      <c r="S501" s="4" t="s">
        <v>1280</v>
      </c>
      <c r="T501" s="4">
        <v>3200</v>
      </c>
      <c r="U501" s="4">
        <f t="shared" si="156"/>
        <v>3200</v>
      </c>
      <c r="V501" s="4">
        <v>2240</v>
      </c>
      <c r="W501" s="4">
        <f t="shared" si="157"/>
        <v>2240</v>
      </c>
      <c r="X501" s="4"/>
      <c r="Y501" s="21">
        <f t="shared" si="158"/>
        <v>2999</v>
      </c>
      <c r="Z501" s="6">
        <f t="shared" si="159"/>
        <v>0.25308436145381796</v>
      </c>
      <c r="AA501" s="4">
        <v>0.75</v>
      </c>
      <c r="AB501" s="4">
        <f t="shared" si="160"/>
        <v>2900</v>
      </c>
      <c r="AC501" s="4">
        <f t="shared" si="171"/>
        <v>3200</v>
      </c>
      <c r="AD501" s="6">
        <f t="shared" si="172"/>
        <v>0.30000000000000004</v>
      </c>
      <c r="AE501" s="4">
        <f t="shared" si="173"/>
        <v>3040</v>
      </c>
      <c r="AF501" s="7">
        <v>3200</v>
      </c>
      <c r="AG501" s="6">
        <f t="shared" si="161"/>
        <v>0.30000000000000004</v>
      </c>
      <c r="AH501" s="4">
        <f t="shared" si="162"/>
        <v>960</v>
      </c>
      <c r="AI501" s="28"/>
      <c r="AJ501" s="6"/>
      <c r="AK501" s="6"/>
      <c r="AL501" s="6">
        <f t="shared" si="163"/>
        <v>1.103448275862069</v>
      </c>
      <c r="AM501" s="6">
        <f t="shared" si="164"/>
        <v>1.177336276674025</v>
      </c>
      <c r="AN501" s="6">
        <f t="shared" si="165"/>
        <v>1.103448275862069</v>
      </c>
      <c r="AO501" s="4" t="str">
        <f t="shared" si="166"/>
        <v>-</v>
      </c>
      <c r="AP501" s="4" t="str">
        <f t="shared" si="167"/>
        <v>-</v>
      </c>
      <c r="AQ501" s="4" t="str">
        <f t="shared" si="168"/>
        <v>-</v>
      </c>
      <c r="AR501" s="4">
        <v>0</v>
      </c>
      <c r="AS501" s="4" t="s">
        <v>2073</v>
      </c>
      <c r="AT501" s="4"/>
      <c r="AU501" s="4"/>
      <c r="AV501" s="4" t="s">
        <v>2072</v>
      </c>
      <c r="AW501" s="4">
        <v>2900</v>
      </c>
      <c r="AX501" s="4">
        <v>2900</v>
      </c>
      <c r="AY501" s="4">
        <v>2900</v>
      </c>
      <c r="AZ501" s="4">
        <f t="shared" si="169"/>
        <v>2900</v>
      </c>
      <c r="BA501" s="19">
        <v>4</v>
      </c>
      <c r="BB501" s="19">
        <v>8</v>
      </c>
      <c r="BC501" s="16">
        <v>19</v>
      </c>
      <c r="BD501">
        <v>2636</v>
      </c>
      <c r="BE501">
        <v>2636</v>
      </c>
      <c r="BF501">
        <v>2636</v>
      </c>
      <c r="BG501">
        <f t="shared" si="174"/>
        <v>2908.6896551724139</v>
      </c>
      <c r="BH501">
        <v>3480</v>
      </c>
      <c r="BI501">
        <v>3480</v>
      </c>
      <c r="BJ501">
        <v>3480</v>
      </c>
      <c r="BK501">
        <f t="shared" si="175"/>
        <v>3840</v>
      </c>
      <c r="BL501" t="s">
        <v>1574</v>
      </c>
      <c r="BM501">
        <v>812</v>
      </c>
    </row>
    <row r="502" spans="1:65" x14ac:dyDescent="0.4">
      <c r="A502" s="3">
        <v>519</v>
      </c>
      <c r="B502" s="3">
        <v>519</v>
      </c>
      <c r="C502" s="4" t="s">
        <v>508</v>
      </c>
      <c r="D502" s="4" t="str">
        <f t="shared" si="154"/>
        <v>J782RZ</v>
      </c>
      <c r="E502" s="4" t="s">
        <v>508</v>
      </c>
      <c r="F502" s="4" t="str">
        <f t="shared" si="170"/>
        <v>J782RZ5</v>
      </c>
      <c r="G502" s="4" t="s">
        <v>1152</v>
      </c>
      <c r="H502" s="5">
        <v>4974268695956</v>
      </c>
      <c r="I502" s="5">
        <v>5</v>
      </c>
      <c r="J502" s="5"/>
      <c r="K502" s="5">
        <v>1</v>
      </c>
      <c r="L502" s="5">
        <v>1</v>
      </c>
      <c r="M502" s="4">
        <v>2900</v>
      </c>
      <c r="N502" s="4">
        <v>2718</v>
      </c>
      <c r="O502" s="4">
        <v>2030</v>
      </c>
      <c r="P502" s="6">
        <f t="shared" si="155"/>
        <v>0.25312729948491541</v>
      </c>
      <c r="Q502" s="4" t="s">
        <v>1280</v>
      </c>
      <c r="R502" s="4" t="s">
        <v>1280</v>
      </c>
      <c r="S502" s="4" t="s">
        <v>1280</v>
      </c>
      <c r="T502" s="4">
        <v>3200</v>
      </c>
      <c r="U502" s="4">
        <f t="shared" si="156"/>
        <v>3200</v>
      </c>
      <c r="V502" s="4">
        <v>2240</v>
      </c>
      <c r="W502" s="4">
        <f t="shared" si="157"/>
        <v>2240</v>
      </c>
      <c r="X502" s="4"/>
      <c r="Y502" s="21">
        <f t="shared" si="158"/>
        <v>2999</v>
      </c>
      <c r="Z502" s="6">
        <f t="shared" si="159"/>
        <v>0.25308436145381796</v>
      </c>
      <c r="AA502" s="4">
        <v>0</v>
      </c>
      <c r="AB502" s="4">
        <f t="shared" si="160"/>
        <v>2900</v>
      </c>
      <c r="AC502" s="4">
        <f t="shared" si="171"/>
        <v>3200</v>
      </c>
      <c r="AD502" s="6">
        <f t="shared" si="172"/>
        <v>0.30000000000000004</v>
      </c>
      <c r="AE502" s="4">
        <f t="shared" si="173"/>
        <v>3040</v>
      </c>
      <c r="AF502" s="7">
        <v>3200</v>
      </c>
      <c r="AG502" s="6">
        <f t="shared" si="161"/>
        <v>0.30000000000000004</v>
      </c>
      <c r="AH502" s="4">
        <f t="shared" si="162"/>
        <v>960</v>
      </c>
      <c r="AI502" s="28"/>
      <c r="AJ502" s="6"/>
      <c r="AK502" s="6"/>
      <c r="AL502" s="6">
        <f t="shared" si="163"/>
        <v>1.103448275862069</v>
      </c>
      <c r="AM502" s="6">
        <f t="shared" si="164"/>
        <v>1.177336276674025</v>
      </c>
      <c r="AN502" s="6">
        <f t="shared" si="165"/>
        <v>1.103448275862069</v>
      </c>
      <c r="AO502" s="4" t="str">
        <f t="shared" si="166"/>
        <v>-</v>
      </c>
      <c r="AP502" s="4" t="str">
        <f t="shared" si="167"/>
        <v>-</v>
      </c>
      <c r="AQ502" s="4" t="str">
        <f t="shared" si="168"/>
        <v>-</v>
      </c>
      <c r="AR502" s="4">
        <v>0</v>
      </c>
      <c r="AS502" s="4" t="s">
        <v>2075</v>
      </c>
      <c r="AT502" s="4"/>
      <c r="AU502" s="4"/>
      <c r="AV502" s="4" t="s">
        <v>1713</v>
      </c>
      <c r="AW502" s="4">
        <v>2900</v>
      </c>
      <c r="AX502" s="4">
        <v>2900</v>
      </c>
      <c r="AY502" s="4">
        <v>2900</v>
      </c>
      <c r="AZ502" s="4">
        <f t="shared" si="169"/>
        <v>2900</v>
      </c>
      <c r="BA502" s="19">
        <v>4</v>
      </c>
      <c r="BB502" s="19">
        <v>8</v>
      </c>
      <c r="BC502" s="16">
        <v>19</v>
      </c>
      <c r="BD502">
        <v>2636</v>
      </c>
      <c r="BE502">
        <v>2636</v>
      </c>
      <c r="BF502">
        <v>2636</v>
      </c>
      <c r="BG502">
        <f t="shared" si="174"/>
        <v>2908.6896551724139</v>
      </c>
      <c r="BH502">
        <v>3480</v>
      </c>
      <c r="BI502">
        <v>3480</v>
      </c>
      <c r="BJ502">
        <v>3480</v>
      </c>
      <c r="BK502">
        <f t="shared" si="175"/>
        <v>3840</v>
      </c>
      <c r="BL502" t="s">
        <v>1576</v>
      </c>
      <c r="BM502">
        <v>812</v>
      </c>
    </row>
    <row r="503" spans="1:65" x14ac:dyDescent="0.4">
      <c r="A503" s="3">
        <v>558</v>
      </c>
      <c r="B503" s="3">
        <v>558</v>
      </c>
      <c r="C503" s="4" t="s">
        <v>547</v>
      </c>
      <c r="D503" s="4" t="str">
        <f t="shared" si="154"/>
        <v>J919WN</v>
      </c>
      <c r="E503" s="4" t="s">
        <v>547</v>
      </c>
      <c r="F503" s="4" t="str">
        <f t="shared" si="170"/>
        <v>J919WN5</v>
      </c>
      <c r="G503" s="4" t="s">
        <v>1191</v>
      </c>
      <c r="H503" s="5">
        <v>4974268696021</v>
      </c>
      <c r="I503" s="5">
        <v>5</v>
      </c>
      <c r="J503" s="5"/>
      <c r="K503" s="5">
        <v>1</v>
      </c>
      <c r="L503" s="5">
        <v>1</v>
      </c>
      <c r="M503" s="4">
        <v>2600</v>
      </c>
      <c r="N503" s="4">
        <v>2600</v>
      </c>
      <c r="O503" s="4">
        <v>2080</v>
      </c>
      <c r="P503" s="6">
        <f t="shared" si="155"/>
        <v>0.19999999999999996</v>
      </c>
      <c r="Q503" s="4" t="s">
        <v>1280</v>
      </c>
      <c r="R503" s="4" t="s">
        <v>1280</v>
      </c>
      <c r="S503" s="4" t="s">
        <v>1280</v>
      </c>
      <c r="T503" s="4">
        <v>2800</v>
      </c>
      <c r="U503" s="4">
        <f t="shared" si="156"/>
        <v>2800</v>
      </c>
      <c r="V503" s="4">
        <v>2240</v>
      </c>
      <c r="W503" s="4">
        <f t="shared" si="157"/>
        <v>2240</v>
      </c>
      <c r="X503" s="4"/>
      <c r="Y503" s="21">
        <f t="shared" si="158"/>
        <v>2800</v>
      </c>
      <c r="Z503" s="6">
        <f t="shared" si="159"/>
        <v>0.19999999999999996</v>
      </c>
      <c r="AA503" s="4">
        <v>0</v>
      </c>
      <c r="AB503" s="4">
        <f t="shared" si="160"/>
        <v>3677</v>
      </c>
      <c r="AC503" s="4">
        <f t="shared" si="171"/>
        <v>3959.8461538461538</v>
      </c>
      <c r="AD503" s="6">
        <f t="shared" si="172"/>
        <v>0.43432145771008979</v>
      </c>
      <c r="AE503" s="4">
        <f t="shared" si="173"/>
        <v>2660</v>
      </c>
      <c r="AF503" s="7">
        <v>2800</v>
      </c>
      <c r="AG503" s="6">
        <f t="shared" si="161"/>
        <v>0.19999999999999996</v>
      </c>
      <c r="AH503" s="4">
        <f t="shared" si="162"/>
        <v>560</v>
      </c>
      <c r="AI503" s="28"/>
      <c r="AJ503" s="6"/>
      <c r="AK503" s="6"/>
      <c r="AL503" s="6">
        <f t="shared" si="163"/>
        <v>1.0769230769230769</v>
      </c>
      <c r="AM503" s="6">
        <f t="shared" si="164"/>
        <v>1.0769230769230769</v>
      </c>
      <c r="AN503" s="6">
        <f t="shared" si="165"/>
        <v>1.0769230769230769</v>
      </c>
      <c r="AO503" s="4" t="str">
        <f t="shared" si="166"/>
        <v>-</v>
      </c>
      <c r="AP503" s="4" t="str">
        <f t="shared" si="167"/>
        <v>-</v>
      </c>
      <c r="AQ503" s="4" t="str">
        <f t="shared" si="168"/>
        <v>-</v>
      </c>
      <c r="AR503" s="4">
        <v>0</v>
      </c>
      <c r="AS503" s="4" t="s">
        <v>2115</v>
      </c>
      <c r="AT503" s="4"/>
      <c r="AU503" s="4"/>
      <c r="AV503" s="4" t="s">
        <v>1713</v>
      </c>
      <c r="AW503" s="4">
        <v>3677</v>
      </c>
      <c r="AX503" s="4">
        <v>3677</v>
      </c>
      <c r="AY503" s="4">
        <v>3677</v>
      </c>
      <c r="AZ503" s="4">
        <f t="shared" si="169"/>
        <v>3677</v>
      </c>
      <c r="BA503" s="19">
        <v>4</v>
      </c>
      <c r="BB503" s="19">
        <v>8</v>
      </c>
      <c r="BC503" s="16">
        <v>19</v>
      </c>
      <c r="BD503" t="s">
        <v>1280</v>
      </c>
      <c r="BE503" t="s">
        <v>1280</v>
      </c>
      <c r="BF503" t="s">
        <v>1280</v>
      </c>
      <c r="BG503" t="str">
        <f t="shared" si="174"/>
        <v>-</v>
      </c>
      <c r="BH503">
        <v>2972</v>
      </c>
      <c r="BI503">
        <v>2972</v>
      </c>
      <c r="BJ503">
        <v>2972</v>
      </c>
      <c r="BK503">
        <f t="shared" si="175"/>
        <v>3200.6153846153843</v>
      </c>
      <c r="BL503" t="s">
        <v>1609</v>
      </c>
      <c r="BM503">
        <v>812</v>
      </c>
    </row>
    <row r="504" spans="1:65" x14ac:dyDescent="0.4">
      <c r="A504" s="3">
        <v>560</v>
      </c>
      <c r="B504" s="3">
        <v>560</v>
      </c>
      <c r="C504" s="4" t="s">
        <v>549</v>
      </c>
      <c r="D504" s="4" t="str">
        <f t="shared" si="154"/>
        <v>J921WN</v>
      </c>
      <c r="E504" s="4" t="s">
        <v>549</v>
      </c>
      <c r="F504" s="4" t="str">
        <f t="shared" si="170"/>
        <v>J921WN5</v>
      </c>
      <c r="G504" s="4" t="s">
        <v>1193</v>
      </c>
      <c r="H504" s="5">
        <v>4974268696045</v>
      </c>
      <c r="I504" s="5">
        <v>5</v>
      </c>
      <c r="J504" s="5"/>
      <c r="K504" s="5">
        <v>1</v>
      </c>
      <c r="L504" s="5">
        <v>1</v>
      </c>
      <c r="M504" s="4">
        <v>2600</v>
      </c>
      <c r="N504" s="4">
        <v>2600</v>
      </c>
      <c r="O504" s="4">
        <v>2080</v>
      </c>
      <c r="P504" s="6">
        <f t="shared" si="155"/>
        <v>0.19999999999999996</v>
      </c>
      <c r="Q504" s="4" t="s">
        <v>1280</v>
      </c>
      <c r="R504" s="4" t="s">
        <v>1280</v>
      </c>
      <c r="S504" s="4" t="s">
        <v>1280</v>
      </c>
      <c r="T504" s="4">
        <v>2800</v>
      </c>
      <c r="U504" s="4">
        <f t="shared" si="156"/>
        <v>2800</v>
      </c>
      <c r="V504" s="4">
        <v>2240</v>
      </c>
      <c r="W504" s="4">
        <f t="shared" si="157"/>
        <v>2240</v>
      </c>
      <c r="X504" s="4"/>
      <c r="Y504" s="21">
        <f t="shared" si="158"/>
        <v>2800</v>
      </c>
      <c r="Z504" s="6">
        <f t="shared" si="159"/>
        <v>0.19999999999999996</v>
      </c>
      <c r="AA504" s="4">
        <v>0</v>
      </c>
      <c r="AB504" s="4">
        <f t="shared" si="160"/>
        <v>2955</v>
      </c>
      <c r="AC504" s="4">
        <f t="shared" si="171"/>
        <v>3182.3076923076924</v>
      </c>
      <c r="AD504" s="6">
        <f t="shared" si="172"/>
        <v>0.29610829103214886</v>
      </c>
      <c r="AE504" s="4">
        <f t="shared" si="173"/>
        <v>2660</v>
      </c>
      <c r="AF504" s="7">
        <v>2800</v>
      </c>
      <c r="AG504" s="6">
        <f t="shared" si="161"/>
        <v>0.19999999999999996</v>
      </c>
      <c r="AH504" s="4">
        <f t="shared" si="162"/>
        <v>560</v>
      </c>
      <c r="AI504" s="28"/>
      <c r="AJ504" s="6"/>
      <c r="AK504" s="6"/>
      <c r="AL504" s="6">
        <f t="shared" si="163"/>
        <v>1.0769230769230769</v>
      </c>
      <c r="AM504" s="6">
        <f t="shared" si="164"/>
        <v>1.0769230769230769</v>
      </c>
      <c r="AN504" s="6">
        <f t="shared" si="165"/>
        <v>1.0769230769230769</v>
      </c>
      <c r="AO504" s="4" t="str">
        <f t="shared" si="166"/>
        <v>-</v>
      </c>
      <c r="AP504" s="4" t="str">
        <f t="shared" si="167"/>
        <v>-</v>
      </c>
      <c r="AQ504" s="4" t="str">
        <f t="shared" si="168"/>
        <v>-</v>
      </c>
      <c r="AR504" s="4">
        <v>0</v>
      </c>
      <c r="AS504" s="4" t="s">
        <v>2118</v>
      </c>
      <c r="AT504" s="4"/>
      <c r="AU504" s="4"/>
      <c r="AV504" s="4" t="s">
        <v>1713</v>
      </c>
      <c r="AW504" s="4">
        <v>2955</v>
      </c>
      <c r="AX504" s="4">
        <v>2955</v>
      </c>
      <c r="AY504" s="4">
        <v>2955</v>
      </c>
      <c r="AZ504" s="4">
        <f t="shared" si="169"/>
        <v>2955</v>
      </c>
      <c r="BA504" s="19">
        <v>4</v>
      </c>
      <c r="BB504" s="19">
        <v>8</v>
      </c>
      <c r="BC504" s="16">
        <v>19</v>
      </c>
      <c r="BD504" t="s">
        <v>1280</v>
      </c>
      <c r="BE504" t="s">
        <v>1280</v>
      </c>
      <c r="BF504" t="s">
        <v>1280</v>
      </c>
      <c r="BG504" t="str">
        <f t="shared" si="174"/>
        <v>-</v>
      </c>
      <c r="BH504">
        <v>2972</v>
      </c>
      <c r="BI504">
        <v>2972</v>
      </c>
      <c r="BJ504">
        <v>2972</v>
      </c>
      <c r="BK504">
        <f t="shared" si="175"/>
        <v>3200.6153846153843</v>
      </c>
      <c r="BL504" t="s">
        <v>1611</v>
      </c>
      <c r="BM504">
        <v>812</v>
      </c>
    </row>
    <row r="505" spans="1:65" x14ac:dyDescent="0.4">
      <c r="A505" s="3">
        <v>561</v>
      </c>
      <c r="B505" s="3">
        <v>561</v>
      </c>
      <c r="C505" s="4" t="s">
        <v>550</v>
      </c>
      <c r="D505" s="4" t="str">
        <f t="shared" si="154"/>
        <v>J920WN</v>
      </c>
      <c r="E505" s="4" t="s">
        <v>550</v>
      </c>
      <c r="F505" s="4" t="str">
        <f t="shared" si="170"/>
        <v>J920WN5</v>
      </c>
      <c r="G505" s="4" t="s">
        <v>1194</v>
      </c>
      <c r="H505" s="5">
        <v>4974268696038</v>
      </c>
      <c r="I505" s="5">
        <v>5</v>
      </c>
      <c r="J505" s="5"/>
      <c r="K505" s="5">
        <v>1</v>
      </c>
      <c r="L505" s="5">
        <v>1</v>
      </c>
      <c r="M505" s="4">
        <v>2600</v>
      </c>
      <c r="N505" s="4">
        <v>2600</v>
      </c>
      <c r="O505" s="4">
        <v>2080</v>
      </c>
      <c r="P505" s="6">
        <f t="shared" si="155"/>
        <v>0.19999999999999996</v>
      </c>
      <c r="Q505" s="4" t="s">
        <v>1280</v>
      </c>
      <c r="R505" s="4" t="s">
        <v>1280</v>
      </c>
      <c r="S505" s="4" t="s">
        <v>1280</v>
      </c>
      <c r="T505" s="4">
        <v>2800</v>
      </c>
      <c r="U505" s="4">
        <f t="shared" si="156"/>
        <v>2800</v>
      </c>
      <c r="V505" s="4">
        <v>2240</v>
      </c>
      <c r="W505" s="4">
        <f t="shared" si="157"/>
        <v>2240</v>
      </c>
      <c r="X505" s="4"/>
      <c r="Y505" s="21">
        <f t="shared" si="158"/>
        <v>2800</v>
      </c>
      <c r="Z505" s="6">
        <f t="shared" si="159"/>
        <v>0.19999999999999996</v>
      </c>
      <c r="AA505" s="4">
        <v>0</v>
      </c>
      <c r="AB505" s="4">
        <f t="shared" si="160"/>
        <v>2731</v>
      </c>
      <c r="AC505" s="4">
        <f t="shared" si="171"/>
        <v>2941.0769230769229</v>
      </c>
      <c r="AD505" s="6">
        <f t="shared" si="172"/>
        <v>0.23837422189674107</v>
      </c>
      <c r="AE505" s="4">
        <f t="shared" si="173"/>
        <v>2660</v>
      </c>
      <c r="AF505" s="7">
        <v>2800</v>
      </c>
      <c r="AG505" s="6">
        <f t="shared" si="161"/>
        <v>0.19999999999999996</v>
      </c>
      <c r="AH505" s="4">
        <f t="shared" si="162"/>
        <v>560</v>
      </c>
      <c r="AI505" s="28"/>
      <c r="AJ505" s="6"/>
      <c r="AK505" s="6"/>
      <c r="AL505" s="6">
        <f t="shared" si="163"/>
        <v>1.0769230769230769</v>
      </c>
      <c r="AM505" s="6">
        <f t="shared" si="164"/>
        <v>1.0769230769230769</v>
      </c>
      <c r="AN505" s="6">
        <f t="shared" si="165"/>
        <v>1.0769230769230769</v>
      </c>
      <c r="AO505" s="4" t="str">
        <f t="shared" si="166"/>
        <v>-</v>
      </c>
      <c r="AP505" s="4" t="str">
        <f t="shared" si="167"/>
        <v>-</v>
      </c>
      <c r="AQ505" s="4" t="str">
        <f t="shared" si="168"/>
        <v>-</v>
      </c>
      <c r="AR505" s="4">
        <v>0</v>
      </c>
      <c r="AS505" s="4" t="s">
        <v>2119</v>
      </c>
      <c r="AT505" s="4"/>
      <c r="AU505" s="4"/>
      <c r="AV505" s="4" t="s">
        <v>2120</v>
      </c>
      <c r="AW505" s="4">
        <v>2731</v>
      </c>
      <c r="AX505" s="4">
        <v>2731</v>
      </c>
      <c r="AY505" s="4">
        <v>2731</v>
      </c>
      <c r="AZ505" s="4">
        <f t="shared" si="169"/>
        <v>2731</v>
      </c>
      <c r="BA505" s="19">
        <v>4</v>
      </c>
      <c r="BB505" s="19">
        <v>8</v>
      </c>
      <c r="BC505" s="16">
        <v>19</v>
      </c>
      <c r="BD505" t="s">
        <v>1280</v>
      </c>
      <c r="BE505" t="s">
        <v>1280</v>
      </c>
      <c r="BF505" t="s">
        <v>1280</v>
      </c>
      <c r="BG505" t="str">
        <f t="shared" si="174"/>
        <v>-</v>
      </c>
      <c r="BH505">
        <v>2972</v>
      </c>
      <c r="BI505">
        <v>2972</v>
      </c>
      <c r="BJ505">
        <v>2972</v>
      </c>
      <c r="BK505">
        <f t="shared" si="175"/>
        <v>3200.6153846153843</v>
      </c>
      <c r="BL505" t="s">
        <v>1612</v>
      </c>
      <c r="BM505">
        <v>812</v>
      </c>
    </row>
    <row r="506" spans="1:65" x14ac:dyDescent="0.4">
      <c r="A506" s="3">
        <v>449</v>
      </c>
      <c r="B506" s="3">
        <v>449</v>
      </c>
      <c r="C506" s="4" t="s">
        <v>438</v>
      </c>
      <c r="D506" s="4" t="str">
        <f t="shared" si="154"/>
        <v>J54510</v>
      </c>
      <c r="E506" s="4" t="s">
        <v>438</v>
      </c>
      <c r="F506" s="4" t="str">
        <f t="shared" si="170"/>
        <v>J545105</v>
      </c>
      <c r="G506" s="4" t="s">
        <v>1082</v>
      </c>
      <c r="H506" s="5">
        <v>4974268833990</v>
      </c>
      <c r="I506" s="5">
        <v>5</v>
      </c>
      <c r="J506" s="5"/>
      <c r="K506" s="5">
        <v>1</v>
      </c>
      <c r="L506" s="5">
        <v>1</v>
      </c>
      <c r="M506" s="4">
        <v>3400</v>
      </c>
      <c r="N506" s="4">
        <v>2613</v>
      </c>
      <c r="O506" s="4">
        <v>2040</v>
      </c>
      <c r="P506" s="6">
        <f t="shared" si="155"/>
        <v>0.21928817451205507</v>
      </c>
      <c r="Q506" s="4" t="s">
        <v>1280</v>
      </c>
      <c r="R506" s="4" t="s">
        <v>1280</v>
      </c>
      <c r="S506" s="4" t="s">
        <v>1280</v>
      </c>
      <c r="T506" s="4">
        <v>3800</v>
      </c>
      <c r="U506" s="4">
        <f t="shared" si="156"/>
        <v>3800</v>
      </c>
      <c r="V506" s="4">
        <v>2280</v>
      </c>
      <c r="W506" s="4">
        <f t="shared" si="157"/>
        <v>2280</v>
      </c>
      <c r="X506" s="4"/>
      <c r="Y506" s="21">
        <f t="shared" si="158"/>
        <v>2920</v>
      </c>
      <c r="Z506" s="6">
        <f t="shared" si="159"/>
        <v>0.21917808219178081</v>
      </c>
      <c r="AA506" s="4">
        <v>0.25</v>
      </c>
      <c r="AB506" s="4">
        <f t="shared" si="160"/>
        <v>3357</v>
      </c>
      <c r="AC506" s="4">
        <f t="shared" si="171"/>
        <v>3751.9411764705883</v>
      </c>
      <c r="AD506" s="6">
        <f t="shared" si="172"/>
        <v>0.39231456657730113</v>
      </c>
      <c r="AE506" s="4">
        <f t="shared" si="173"/>
        <v>3610</v>
      </c>
      <c r="AF506" s="7">
        <v>3466</v>
      </c>
      <c r="AG506" s="6">
        <f t="shared" si="161"/>
        <v>0.3421811886901327</v>
      </c>
      <c r="AH506" s="4">
        <f t="shared" si="162"/>
        <v>1186</v>
      </c>
      <c r="AI506" s="28"/>
      <c r="AJ506" s="6"/>
      <c r="AK506" s="6"/>
      <c r="AL506" s="6">
        <f t="shared" si="163"/>
        <v>1.1176470588235294</v>
      </c>
      <c r="AM506" s="6">
        <f t="shared" si="164"/>
        <v>1.326444699579028</v>
      </c>
      <c r="AN506" s="6">
        <f t="shared" si="165"/>
        <v>1.1176470588235294</v>
      </c>
      <c r="AO506" s="4" t="str">
        <f t="shared" si="166"/>
        <v>-</v>
      </c>
      <c r="AP506" s="4" t="str">
        <f t="shared" si="167"/>
        <v>-</v>
      </c>
      <c r="AQ506" s="4" t="str">
        <f t="shared" si="168"/>
        <v>-</v>
      </c>
      <c r="AR506" s="4">
        <v>0</v>
      </c>
      <c r="AS506" s="4" t="s">
        <v>2008</v>
      </c>
      <c r="AT506" s="4"/>
      <c r="AU506" s="4"/>
      <c r="AV506" s="4" t="s">
        <v>1697</v>
      </c>
      <c r="AW506" s="4">
        <v>3357</v>
      </c>
      <c r="AX506" s="4">
        <v>3357</v>
      </c>
      <c r="AY506" s="4">
        <v>3357</v>
      </c>
      <c r="AZ506" s="4">
        <f t="shared" si="169"/>
        <v>3357</v>
      </c>
      <c r="BA506" s="19">
        <v>4</v>
      </c>
      <c r="BB506" s="19">
        <v>8</v>
      </c>
      <c r="BC506" s="16">
        <v>18</v>
      </c>
      <c r="BD506" t="s">
        <v>1280</v>
      </c>
      <c r="BE506" t="s">
        <v>1280</v>
      </c>
      <c r="BF506" t="s">
        <v>1280</v>
      </c>
      <c r="BG506" t="str">
        <f t="shared" si="174"/>
        <v>-</v>
      </c>
      <c r="BH506">
        <v>3102</v>
      </c>
      <c r="BI506">
        <v>3102</v>
      </c>
      <c r="BJ506">
        <v>3102</v>
      </c>
      <c r="BK506">
        <f t="shared" si="175"/>
        <v>3466.9411764705883</v>
      </c>
      <c r="BL506" t="s">
        <v>1526</v>
      </c>
      <c r="BM506">
        <v>812</v>
      </c>
    </row>
    <row r="507" spans="1:65" x14ac:dyDescent="0.4">
      <c r="A507" s="3">
        <v>450</v>
      </c>
      <c r="B507" s="3">
        <v>450</v>
      </c>
      <c r="C507" s="4" t="s">
        <v>439</v>
      </c>
      <c r="D507" s="4" t="str">
        <f t="shared" si="154"/>
        <v>J54511</v>
      </c>
      <c r="E507" s="4" t="s">
        <v>439</v>
      </c>
      <c r="F507" s="4" t="str">
        <f t="shared" si="170"/>
        <v>J545115</v>
      </c>
      <c r="G507" s="4" t="s">
        <v>1083</v>
      </c>
      <c r="H507" s="5">
        <v>4974268834003</v>
      </c>
      <c r="I507" s="5">
        <v>5</v>
      </c>
      <c r="J507" s="5"/>
      <c r="K507" s="5">
        <v>1</v>
      </c>
      <c r="L507" s="5">
        <v>1</v>
      </c>
      <c r="M507" s="4">
        <v>3400</v>
      </c>
      <c r="N507" s="4">
        <v>3105</v>
      </c>
      <c r="O507" s="4">
        <v>2040</v>
      </c>
      <c r="P507" s="6">
        <f t="shared" si="155"/>
        <v>0.34299516908212557</v>
      </c>
      <c r="Q507" s="4" t="s">
        <v>1280</v>
      </c>
      <c r="R507" s="4" t="s">
        <v>1280</v>
      </c>
      <c r="S507" s="4" t="s">
        <v>1280</v>
      </c>
      <c r="T507" s="4">
        <v>3800</v>
      </c>
      <c r="U507" s="4">
        <f t="shared" si="156"/>
        <v>3800</v>
      </c>
      <c r="V507" s="4">
        <v>2280</v>
      </c>
      <c r="W507" s="4">
        <f t="shared" si="157"/>
        <v>2280</v>
      </c>
      <c r="X507" s="4"/>
      <c r="Y507" s="21">
        <f t="shared" si="158"/>
        <v>3470</v>
      </c>
      <c r="Z507" s="6">
        <f t="shared" si="159"/>
        <v>0.34293948126801155</v>
      </c>
      <c r="AA507" s="4">
        <v>0.75</v>
      </c>
      <c r="AB507" s="4">
        <f t="shared" si="160"/>
        <v>3180</v>
      </c>
      <c r="AC507" s="4">
        <f t="shared" si="171"/>
        <v>3554.1176470588234</v>
      </c>
      <c r="AD507" s="6">
        <f t="shared" si="172"/>
        <v>0.35849056603773588</v>
      </c>
      <c r="AE507" s="4">
        <f t="shared" si="173"/>
        <v>3610</v>
      </c>
      <c r="AF507" s="7">
        <v>3466</v>
      </c>
      <c r="AG507" s="6">
        <f t="shared" si="161"/>
        <v>0.3421811886901327</v>
      </c>
      <c r="AH507" s="4">
        <f t="shared" si="162"/>
        <v>1186</v>
      </c>
      <c r="AI507" s="28"/>
      <c r="AJ507" s="6"/>
      <c r="AK507" s="6"/>
      <c r="AL507" s="6">
        <f t="shared" si="163"/>
        <v>1.1176470588235294</v>
      </c>
      <c r="AM507" s="6">
        <f t="shared" si="164"/>
        <v>1.1162640901771337</v>
      </c>
      <c r="AN507" s="6">
        <f t="shared" si="165"/>
        <v>1.1176470588235294</v>
      </c>
      <c r="AO507" s="4" t="str">
        <f t="shared" si="166"/>
        <v>-</v>
      </c>
      <c r="AP507" s="4" t="str">
        <f t="shared" si="167"/>
        <v>-</v>
      </c>
      <c r="AQ507" s="4" t="str">
        <f t="shared" si="168"/>
        <v>-</v>
      </c>
      <c r="AR507" s="4">
        <v>0</v>
      </c>
      <c r="AS507" s="4" t="s">
        <v>2009</v>
      </c>
      <c r="AT507" s="4"/>
      <c r="AU507" s="4"/>
      <c r="AV507" s="4" t="s">
        <v>1697</v>
      </c>
      <c r="AW507" s="4">
        <v>3180</v>
      </c>
      <c r="AX507" s="4">
        <v>3180</v>
      </c>
      <c r="AY507" s="4">
        <v>3180</v>
      </c>
      <c r="AZ507" s="4">
        <f t="shared" si="169"/>
        <v>3180</v>
      </c>
      <c r="BA507" s="19">
        <v>4</v>
      </c>
      <c r="BB507" s="19">
        <v>8</v>
      </c>
      <c r="BC507" s="16">
        <v>18</v>
      </c>
      <c r="BD507" t="s">
        <v>1280</v>
      </c>
      <c r="BE507" t="s">
        <v>1280</v>
      </c>
      <c r="BF507" t="s">
        <v>1280</v>
      </c>
      <c r="BG507" t="str">
        <f t="shared" si="174"/>
        <v>-</v>
      </c>
      <c r="BH507" t="s">
        <v>1280</v>
      </c>
      <c r="BI507" t="s">
        <v>1280</v>
      </c>
      <c r="BJ507" t="s">
        <v>1280</v>
      </c>
      <c r="BK507" t="str">
        <f t="shared" si="175"/>
        <v>-</v>
      </c>
      <c r="BL507" t="s">
        <v>1527</v>
      </c>
      <c r="BM507">
        <v>812</v>
      </c>
    </row>
    <row r="508" spans="1:65" x14ac:dyDescent="0.4">
      <c r="A508" s="3">
        <v>532</v>
      </c>
      <c r="B508" s="3">
        <v>532</v>
      </c>
      <c r="C508" s="4" t="s">
        <v>521</v>
      </c>
      <c r="D508" s="4" t="str">
        <f t="shared" si="154"/>
        <v>J865MZ</v>
      </c>
      <c r="E508" s="4" t="s">
        <v>521</v>
      </c>
      <c r="F508" s="4" t="str">
        <f t="shared" si="170"/>
        <v>J865MZ5</v>
      </c>
      <c r="G508" s="4" t="s">
        <v>1165</v>
      </c>
      <c r="H508" s="5">
        <v>4974268838582</v>
      </c>
      <c r="I508" s="5">
        <v>5</v>
      </c>
      <c r="J508" s="5"/>
      <c r="K508" s="5">
        <v>1</v>
      </c>
      <c r="L508" s="5">
        <v>1</v>
      </c>
      <c r="M508" s="4">
        <v>3400</v>
      </c>
      <c r="N508" s="4">
        <v>3502</v>
      </c>
      <c r="O508" s="4">
        <v>2040</v>
      </c>
      <c r="P508" s="6">
        <f t="shared" si="155"/>
        <v>0.41747572815533984</v>
      </c>
      <c r="Q508" s="4" t="s">
        <v>1280</v>
      </c>
      <c r="R508" s="4" t="s">
        <v>1280</v>
      </c>
      <c r="S508" s="4" t="s">
        <v>1280</v>
      </c>
      <c r="T508" s="4">
        <v>3800</v>
      </c>
      <c r="U508" s="4">
        <f t="shared" si="156"/>
        <v>3800</v>
      </c>
      <c r="V508" s="4">
        <v>2280</v>
      </c>
      <c r="W508" s="4">
        <f t="shared" si="157"/>
        <v>2280</v>
      </c>
      <c r="X508" s="4"/>
      <c r="Y508" s="21">
        <f t="shared" si="158"/>
        <v>3914</v>
      </c>
      <c r="Z508" s="6">
        <f t="shared" si="159"/>
        <v>0.41747572815533984</v>
      </c>
      <c r="AA508" s="4">
        <v>0.25</v>
      </c>
      <c r="AB508" s="4" t="str">
        <f t="shared" si="160"/>
        <v>-</v>
      </c>
      <c r="AC508" s="4" t="str">
        <f t="shared" si="171"/>
        <v>-</v>
      </c>
      <c r="AD508" s="6" t="str">
        <f t="shared" si="172"/>
        <v>-</v>
      </c>
      <c r="AE508" s="4">
        <f t="shared" si="173"/>
        <v>3610</v>
      </c>
      <c r="AF508" s="7">
        <v>3466</v>
      </c>
      <c r="AG508" s="6">
        <f t="shared" si="161"/>
        <v>0.3421811886901327</v>
      </c>
      <c r="AH508" s="4">
        <f t="shared" si="162"/>
        <v>1186</v>
      </c>
      <c r="AI508" s="28"/>
      <c r="AJ508" s="6"/>
      <c r="AK508" s="6"/>
      <c r="AL508" s="6">
        <f t="shared" si="163"/>
        <v>1.1176470588235294</v>
      </c>
      <c r="AM508" s="6">
        <f t="shared" si="164"/>
        <v>0.98972015990862361</v>
      </c>
      <c r="AN508" s="6">
        <f t="shared" si="165"/>
        <v>1.1176470588235294</v>
      </c>
      <c r="AO508" s="4" t="str">
        <f t="shared" si="166"/>
        <v>-</v>
      </c>
      <c r="AP508" s="4" t="str">
        <f t="shared" si="167"/>
        <v>-</v>
      </c>
      <c r="AQ508" s="4" t="str">
        <f t="shared" si="168"/>
        <v>-</v>
      </c>
      <c r="AR508" s="4">
        <v>0</v>
      </c>
      <c r="AS508" s="4" t="s">
        <v>1280</v>
      </c>
      <c r="AT508" s="4"/>
      <c r="AU508" s="4"/>
      <c r="AV508" s="4" t="s">
        <v>1280</v>
      </c>
      <c r="AW508" s="4" t="s">
        <v>1280</v>
      </c>
      <c r="AX508" s="4" t="s">
        <v>1280</v>
      </c>
      <c r="AY508" s="4" t="s">
        <v>1280</v>
      </c>
      <c r="AZ508" s="4" t="str">
        <f t="shared" si="169"/>
        <v>-</v>
      </c>
      <c r="BA508" s="19">
        <v>4</v>
      </c>
      <c r="BB508" s="19">
        <v>8</v>
      </c>
      <c r="BC508" s="16">
        <v>18</v>
      </c>
      <c r="BD508">
        <v>3400</v>
      </c>
      <c r="BE508">
        <v>3400</v>
      </c>
      <c r="BF508">
        <v>3400</v>
      </c>
      <c r="BG508">
        <f t="shared" si="174"/>
        <v>3800</v>
      </c>
      <c r="BH508" t="s">
        <v>1280</v>
      </c>
      <c r="BI508">
        <v>3091</v>
      </c>
      <c r="BJ508">
        <v>3091</v>
      </c>
      <c r="BK508">
        <f t="shared" si="175"/>
        <v>3454.6470588235293</v>
      </c>
      <c r="BL508" t="s">
        <v>1280</v>
      </c>
      <c r="BM508">
        <v>812</v>
      </c>
    </row>
    <row r="509" spans="1:65" x14ac:dyDescent="0.4">
      <c r="A509" s="3">
        <v>533</v>
      </c>
      <c r="B509" s="3">
        <v>533</v>
      </c>
      <c r="C509" s="4" t="s">
        <v>522</v>
      </c>
      <c r="D509" s="4" t="str">
        <f t="shared" si="154"/>
        <v>J864MZ</v>
      </c>
      <c r="E509" s="4" t="s">
        <v>522</v>
      </c>
      <c r="F509" s="4" t="str">
        <f t="shared" si="170"/>
        <v>J864MZ5</v>
      </c>
      <c r="G509" s="4" t="s">
        <v>1166</v>
      </c>
      <c r="H509" s="5">
        <v>4974268838575</v>
      </c>
      <c r="I509" s="5">
        <v>5</v>
      </c>
      <c r="J509" s="5"/>
      <c r="K509" s="5">
        <v>1</v>
      </c>
      <c r="L509" s="5">
        <v>1</v>
      </c>
      <c r="M509" s="4">
        <v>3400</v>
      </c>
      <c r="N509" s="4">
        <v>3295</v>
      </c>
      <c r="O509" s="4">
        <v>2040</v>
      </c>
      <c r="P509" s="6">
        <f t="shared" si="155"/>
        <v>0.38088012139605465</v>
      </c>
      <c r="Q509" s="4" t="s">
        <v>1280</v>
      </c>
      <c r="R509" s="4" t="s">
        <v>1280</v>
      </c>
      <c r="S509" s="4" t="s">
        <v>1280</v>
      </c>
      <c r="T509" s="4">
        <v>3800</v>
      </c>
      <c r="U509" s="4">
        <f t="shared" si="156"/>
        <v>3800</v>
      </c>
      <c r="V509" s="4">
        <v>2280</v>
      </c>
      <c r="W509" s="4">
        <f t="shared" si="157"/>
        <v>2280</v>
      </c>
      <c r="X509" s="4"/>
      <c r="Y509" s="21">
        <f t="shared" si="158"/>
        <v>3683</v>
      </c>
      <c r="Z509" s="6">
        <f t="shared" si="159"/>
        <v>0.38093945153407549</v>
      </c>
      <c r="AA509" s="4">
        <v>0</v>
      </c>
      <c r="AB509" s="4" t="str">
        <f t="shared" si="160"/>
        <v>-</v>
      </c>
      <c r="AC509" s="4" t="str">
        <f t="shared" si="171"/>
        <v>-</v>
      </c>
      <c r="AD509" s="6" t="str">
        <f t="shared" si="172"/>
        <v>-</v>
      </c>
      <c r="AE509" s="4">
        <f t="shared" si="173"/>
        <v>3610</v>
      </c>
      <c r="AF509" s="7">
        <v>3466</v>
      </c>
      <c r="AG509" s="6">
        <f t="shared" si="161"/>
        <v>0.3421811886901327</v>
      </c>
      <c r="AH509" s="4">
        <f t="shared" si="162"/>
        <v>1186</v>
      </c>
      <c r="AI509" s="28"/>
      <c r="AJ509" s="6"/>
      <c r="AK509" s="6"/>
      <c r="AL509" s="6">
        <f t="shared" si="163"/>
        <v>1.1176470588235294</v>
      </c>
      <c r="AM509" s="6">
        <f t="shared" si="164"/>
        <v>1.051896813353566</v>
      </c>
      <c r="AN509" s="6">
        <f t="shared" si="165"/>
        <v>1.1176470588235294</v>
      </c>
      <c r="AO509" s="4" t="str">
        <f t="shared" si="166"/>
        <v>-</v>
      </c>
      <c r="AP509" s="4" t="str">
        <f t="shared" si="167"/>
        <v>-</v>
      </c>
      <c r="AQ509" s="4" t="str">
        <f t="shared" si="168"/>
        <v>-</v>
      </c>
      <c r="AR509" s="4">
        <v>0</v>
      </c>
      <c r="AS509" s="4" t="s">
        <v>1280</v>
      </c>
      <c r="AT509" s="4"/>
      <c r="AU509" s="4"/>
      <c r="AV509" s="4" t="s">
        <v>1280</v>
      </c>
      <c r="AW509" s="4" t="s">
        <v>1280</v>
      </c>
      <c r="AX509" s="4" t="s">
        <v>1280</v>
      </c>
      <c r="AY509" s="4" t="s">
        <v>1280</v>
      </c>
      <c r="AZ509" s="4" t="str">
        <f t="shared" si="169"/>
        <v>-</v>
      </c>
      <c r="BA509" s="19">
        <v>4</v>
      </c>
      <c r="BB509" s="19">
        <v>8</v>
      </c>
      <c r="BC509" s="16">
        <v>18</v>
      </c>
      <c r="BD509">
        <v>3400</v>
      </c>
      <c r="BE509">
        <v>3400</v>
      </c>
      <c r="BF509">
        <v>3400</v>
      </c>
      <c r="BG509">
        <f t="shared" si="174"/>
        <v>3800</v>
      </c>
      <c r="BH509" t="s">
        <v>1280</v>
      </c>
      <c r="BI509" t="s">
        <v>1280</v>
      </c>
      <c r="BJ509" t="s">
        <v>1280</v>
      </c>
      <c r="BK509" t="str">
        <f t="shared" si="175"/>
        <v>-</v>
      </c>
      <c r="BL509" t="s">
        <v>1280</v>
      </c>
      <c r="BM509">
        <v>812</v>
      </c>
    </row>
    <row r="510" spans="1:65" x14ac:dyDescent="0.4">
      <c r="A510" s="3">
        <v>534</v>
      </c>
      <c r="B510" s="3">
        <v>534</v>
      </c>
      <c r="C510" s="4" t="s">
        <v>523</v>
      </c>
      <c r="D510" s="4" t="str">
        <f t="shared" si="154"/>
        <v>J866MZ</v>
      </c>
      <c r="E510" s="4" t="s">
        <v>523</v>
      </c>
      <c r="F510" s="4" t="str">
        <f t="shared" si="170"/>
        <v>J866MZ5</v>
      </c>
      <c r="G510" s="4" t="s">
        <v>1167</v>
      </c>
      <c r="H510" s="5">
        <v>4974268838599</v>
      </c>
      <c r="I510" s="5">
        <v>5</v>
      </c>
      <c r="J510" s="5"/>
      <c r="K510" s="5">
        <v>1</v>
      </c>
      <c r="L510" s="5">
        <v>1</v>
      </c>
      <c r="M510" s="4">
        <v>3400</v>
      </c>
      <c r="N510" s="4">
        <v>3069</v>
      </c>
      <c r="O510" s="4">
        <v>2040</v>
      </c>
      <c r="P510" s="6">
        <f t="shared" si="155"/>
        <v>0.3352883675464321</v>
      </c>
      <c r="Q510" s="4" t="s">
        <v>1280</v>
      </c>
      <c r="R510" s="4" t="s">
        <v>1280</v>
      </c>
      <c r="S510" s="4" t="s">
        <v>1280</v>
      </c>
      <c r="T510" s="4">
        <v>3800</v>
      </c>
      <c r="U510" s="4">
        <f t="shared" si="156"/>
        <v>3800</v>
      </c>
      <c r="V510" s="4">
        <v>2280</v>
      </c>
      <c r="W510" s="4">
        <f t="shared" si="157"/>
        <v>2280</v>
      </c>
      <c r="X510" s="4"/>
      <c r="Y510" s="21">
        <f t="shared" si="158"/>
        <v>3430</v>
      </c>
      <c r="Z510" s="6">
        <f t="shared" si="159"/>
        <v>0.33527696793002915</v>
      </c>
      <c r="AA510" s="4">
        <v>0</v>
      </c>
      <c r="AB510" s="4" t="str">
        <f t="shared" si="160"/>
        <v>-</v>
      </c>
      <c r="AC510" s="4" t="str">
        <f t="shared" si="171"/>
        <v>-</v>
      </c>
      <c r="AD510" s="6" t="str">
        <f t="shared" si="172"/>
        <v>-</v>
      </c>
      <c r="AE510" s="4">
        <f t="shared" si="173"/>
        <v>3610</v>
      </c>
      <c r="AF510" s="7">
        <v>3466</v>
      </c>
      <c r="AG510" s="6">
        <f t="shared" si="161"/>
        <v>0.3421811886901327</v>
      </c>
      <c r="AH510" s="4">
        <f t="shared" si="162"/>
        <v>1186</v>
      </c>
      <c r="AI510" s="28"/>
      <c r="AJ510" s="6"/>
      <c r="AK510" s="6"/>
      <c r="AL510" s="6">
        <f t="shared" si="163"/>
        <v>1.1176470588235294</v>
      </c>
      <c r="AM510" s="6">
        <f t="shared" si="164"/>
        <v>1.1293580971000325</v>
      </c>
      <c r="AN510" s="6">
        <f t="shared" si="165"/>
        <v>1.1176470588235294</v>
      </c>
      <c r="AO510" s="4" t="str">
        <f t="shared" si="166"/>
        <v>-</v>
      </c>
      <c r="AP510" s="4" t="str">
        <f t="shared" si="167"/>
        <v>-</v>
      </c>
      <c r="AQ510" s="4" t="str">
        <f t="shared" si="168"/>
        <v>-</v>
      </c>
      <c r="AR510" s="4">
        <v>0</v>
      </c>
      <c r="AS510" s="4" t="s">
        <v>1280</v>
      </c>
      <c r="AT510" s="4"/>
      <c r="AU510" s="4"/>
      <c r="AV510" s="4" t="s">
        <v>1280</v>
      </c>
      <c r="AW510" s="4" t="s">
        <v>1280</v>
      </c>
      <c r="AX510" s="4" t="s">
        <v>1280</v>
      </c>
      <c r="AY510" s="4" t="s">
        <v>1280</v>
      </c>
      <c r="AZ510" s="4" t="str">
        <f t="shared" si="169"/>
        <v>-</v>
      </c>
      <c r="BA510" s="19">
        <v>4</v>
      </c>
      <c r="BB510" s="19">
        <v>8</v>
      </c>
      <c r="BC510" s="16">
        <v>18</v>
      </c>
      <c r="BD510" t="s">
        <v>1280</v>
      </c>
      <c r="BE510" t="s">
        <v>1280</v>
      </c>
      <c r="BF510" t="s">
        <v>1280</v>
      </c>
      <c r="BG510" t="str">
        <f t="shared" si="174"/>
        <v>-</v>
      </c>
      <c r="BH510" t="s">
        <v>1280</v>
      </c>
      <c r="BI510" t="s">
        <v>1280</v>
      </c>
      <c r="BJ510" t="s">
        <v>1280</v>
      </c>
      <c r="BK510" t="str">
        <f t="shared" si="175"/>
        <v>-</v>
      </c>
      <c r="BL510" t="s">
        <v>1280</v>
      </c>
      <c r="BM510">
        <v>812</v>
      </c>
    </row>
    <row r="511" spans="1:65" x14ac:dyDescent="0.4">
      <c r="A511" s="3">
        <v>513</v>
      </c>
      <c r="B511" s="3">
        <v>513</v>
      </c>
      <c r="C511" s="4" t="s">
        <v>502</v>
      </c>
      <c r="D511" s="4" t="str">
        <f t="shared" si="154"/>
        <v>J776RZ</v>
      </c>
      <c r="E511" s="4" t="s">
        <v>502</v>
      </c>
      <c r="F511" s="4" t="str">
        <f t="shared" si="170"/>
        <v>J776RZ5</v>
      </c>
      <c r="G511" s="4" t="s">
        <v>1146</v>
      </c>
      <c r="H511" s="5">
        <v>4974268695772</v>
      </c>
      <c r="I511" s="5">
        <v>5</v>
      </c>
      <c r="J511" s="5"/>
      <c r="K511" s="5">
        <v>1</v>
      </c>
      <c r="L511" s="5">
        <v>1</v>
      </c>
      <c r="M511" s="4">
        <v>3000</v>
      </c>
      <c r="N511" s="4">
        <v>2763</v>
      </c>
      <c r="O511" s="4">
        <v>2100</v>
      </c>
      <c r="P511" s="6">
        <f t="shared" si="155"/>
        <v>0.23995656894679696</v>
      </c>
      <c r="Q511" s="4" t="s">
        <v>1280</v>
      </c>
      <c r="R511" s="4" t="s">
        <v>1280</v>
      </c>
      <c r="S511" s="4" t="s">
        <v>1280</v>
      </c>
      <c r="T511" s="4">
        <v>3300</v>
      </c>
      <c r="U511" s="4">
        <f t="shared" si="156"/>
        <v>3300</v>
      </c>
      <c r="V511" s="4">
        <v>2310</v>
      </c>
      <c r="W511" s="4">
        <f t="shared" si="157"/>
        <v>2310</v>
      </c>
      <c r="X511" s="4"/>
      <c r="Y511" s="21">
        <f t="shared" si="158"/>
        <v>3039</v>
      </c>
      <c r="Z511" s="6">
        <f t="shared" si="159"/>
        <v>0.23988153998025663</v>
      </c>
      <c r="AA511" s="4">
        <v>0</v>
      </c>
      <c r="AB511" s="4" t="str">
        <f t="shared" si="160"/>
        <v>-</v>
      </c>
      <c r="AC511" s="4" t="str">
        <f t="shared" si="171"/>
        <v>-</v>
      </c>
      <c r="AD511" s="6" t="str">
        <f t="shared" si="172"/>
        <v>-</v>
      </c>
      <c r="AE511" s="4">
        <f t="shared" si="173"/>
        <v>3135</v>
      </c>
      <c r="AF511" s="7">
        <v>3300</v>
      </c>
      <c r="AG511" s="6">
        <f t="shared" si="161"/>
        <v>0.30000000000000004</v>
      </c>
      <c r="AH511" s="4">
        <f t="shared" si="162"/>
        <v>990</v>
      </c>
      <c r="AI511" s="28"/>
      <c r="AJ511" s="6"/>
      <c r="AK511" s="6"/>
      <c r="AL511" s="6">
        <f t="shared" si="163"/>
        <v>1.1000000000000001</v>
      </c>
      <c r="AM511" s="6">
        <f t="shared" si="164"/>
        <v>1.1943539630836049</v>
      </c>
      <c r="AN511" s="6">
        <f t="shared" si="165"/>
        <v>1.1000000000000001</v>
      </c>
      <c r="AO511" s="4" t="str">
        <f t="shared" si="166"/>
        <v>-</v>
      </c>
      <c r="AP511" s="4" t="str">
        <f t="shared" si="167"/>
        <v>-</v>
      </c>
      <c r="AQ511" s="4" t="str">
        <f t="shared" si="168"/>
        <v>-</v>
      </c>
      <c r="AR511" s="4">
        <v>0</v>
      </c>
      <c r="AS511" s="4" t="s">
        <v>1280</v>
      </c>
      <c r="AT511" s="4"/>
      <c r="AU511" s="4"/>
      <c r="AV511" s="4" t="s">
        <v>1280</v>
      </c>
      <c r="AW511" s="4" t="s">
        <v>1280</v>
      </c>
      <c r="AX511" s="4" t="s">
        <v>1280</v>
      </c>
      <c r="AY511" s="4" t="s">
        <v>1280</v>
      </c>
      <c r="AZ511" s="4" t="str">
        <f t="shared" si="169"/>
        <v>-</v>
      </c>
      <c r="BA511" s="19">
        <v>4</v>
      </c>
      <c r="BB511" s="19">
        <v>8</v>
      </c>
      <c r="BC511" s="16">
        <v>19</v>
      </c>
      <c r="BD511">
        <v>2727</v>
      </c>
      <c r="BE511">
        <v>2727</v>
      </c>
      <c r="BF511" t="s">
        <v>1280</v>
      </c>
      <c r="BG511" t="str">
        <f t="shared" si="174"/>
        <v>-</v>
      </c>
      <c r="BH511">
        <v>3400</v>
      </c>
      <c r="BI511">
        <v>3400</v>
      </c>
      <c r="BJ511">
        <v>3400</v>
      </c>
      <c r="BK511">
        <f t="shared" si="175"/>
        <v>3740.0000000000005</v>
      </c>
      <c r="BL511" t="s">
        <v>1280</v>
      </c>
      <c r="BM511">
        <v>812</v>
      </c>
    </row>
    <row r="512" spans="1:65" x14ac:dyDescent="0.4">
      <c r="A512" s="3">
        <v>514</v>
      </c>
      <c r="B512" s="3">
        <v>514</v>
      </c>
      <c r="C512" s="4" t="s">
        <v>503</v>
      </c>
      <c r="D512" s="4" t="str">
        <f t="shared" si="154"/>
        <v>J775RZ</v>
      </c>
      <c r="E512" s="4" t="s">
        <v>503</v>
      </c>
      <c r="F512" s="4" t="str">
        <f t="shared" si="170"/>
        <v>J775RZ5</v>
      </c>
      <c r="G512" s="4" t="s">
        <v>1147</v>
      </c>
      <c r="H512" s="5">
        <v>4974268695765</v>
      </c>
      <c r="I512" s="5">
        <v>5</v>
      </c>
      <c r="J512" s="5"/>
      <c r="K512" s="5">
        <v>1</v>
      </c>
      <c r="L512" s="5">
        <v>1</v>
      </c>
      <c r="M512" s="4">
        <v>3000</v>
      </c>
      <c r="N512" s="4">
        <v>2846</v>
      </c>
      <c r="O512" s="4">
        <v>2100</v>
      </c>
      <c r="P512" s="6">
        <f t="shared" si="155"/>
        <v>0.26212227687983136</v>
      </c>
      <c r="Q512" s="4" t="s">
        <v>1280</v>
      </c>
      <c r="R512" s="4" t="s">
        <v>1280</v>
      </c>
      <c r="S512" s="4" t="s">
        <v>1280</v>
      </c>
      <c r="T512" s="4">
        <v>3300</v>
      </c>
      <c r="U512" s="4">
        <f t="shared" si="156"/>
        <v>3300</v>
      </c>
      <c r="V512" s="4">
        <v>2310</v>
      </c>
      <c r="W512" s="4">
        <f t="shared" si="157"/>
        <v>2310</v>
      </c>
      <c r="X512" s="4"/>
      <c r="Y512" s="21">
        <f t="shared" si="158"/>
        <v>3131</v>
      </c>
      <c r="Z512" s="6">
        <f t="shared" si="159"/>
        <v>0.26221654423506868</v>
      </c>
      <c r="AA512" s="4">
        <v>0.25</v>
      </c>
      <c r="AB512" s="4">
        <f t="shared" si="160"/>
        <v>3173</v>
      </c>
      <c r="AC512" s="4">
        <f t="shared" si="171"/>
        <v>3490.3</v>
      </c>
      <c r="AD512" s="6">
        <f t="shared" si="172"/>
        <v>0.33816577371572643</v>
      </c>
      <c r="AE512" s="4">
        <f t="shared" si="173"/>
        <v>3135</v>
      </c>
      <c r="AF512" s="7">
        <v>3300</v>
      </c>
      <c r="AG512" s="6">
        <f t="shared" si="161"/>
        <v>0.30000000000000004</v>
      </c>
      <c r="AH512" s="4">
        <f t="shared" si="162"/>
        <v>990</v>
      </c>
      <c r="AI512" s="28"/>
      <c r="AJ512" s="6"/>
      <c r="AK512" s="6"/>
      <c r="AL512" s="6">
        <f t="shared" si="163"/>
        <v>1.1000000000000001</v>
      </c>
      <c r="AM512" s="6">
        <f t="shared" si="164"/>
        <v>1.1595221363316937</v>
      </c>
      <c r="AN512" s="6">
        <f t="shared" si="165"/>
        <v>1.1000000000000001</v>
      </c>
      <c r="AO512" s="4" t="str">
        <f t="shared" si="166"/>
        <v>-</v>
      </c>
      <c r="AP512" s="4" t="str">
        <f t="shared" si="167"/>
        <v>-</v>
      </c>
      <c r="AQ512" s="4" t="str">
        <f t="shared" si="168"/>
        <v>-</v>
      </c>
      <c r="AR512" s="4">
        <v>0</v>
      </c>
      <c r="AS512" s="4" t="s">
        <v>2069</v>
      </c>
      <c r="AT512" s="4"/>
      <c r="AU512" s="4"/>
      <c r="AV512" s="4" t="s">
        <v>2070</v>
      </c>
      <c r="AW512" s="4">
        <v>3173</v>
      </c>
      <c r="AX512" s="4">
        <v>3173</v>
      </c>
      <c r="AY512" s="4">
        <v>3173</v>
      </c>
      <c r="AZ512" s="4">
        <f t="shared" si="169"/>
        <v>3173</v>
      </c>
      <c r="BA512" s="19">
        <v>4</v>
      </c>
      <c r="BB512" s="19">
        <v>8</v>
      </c>
      <c r="BC512" s="16">
        <v>19</v>
      </c>
      <c r="BD512">
        <v>2727</v>
      </c>
      <c r="BE512">
        <v>2727</v>
      </c>
      <c r="BF512">
        <v>2727</v>
      </c>
      <c r="BG512">
        <f t="shared" si="174"/>
        <v>2999.7000000000003</v>
      </c>
      <c r="BH512">
        <v>3400</v>
      </c>
      <c r="BI512">
        <v>3400</v>
      </c>
      <c r="BJ512">
        <v>3400</v>
      </c>
      <c r="BK512">
        <f t="shared" si="175"/>
        <v>3740.0000000000005</v>
      </c>
      <c r="BL512" t="s">
        <v>1572</v>
      </c>
      <c r="BM512">
        <v>812</v>
      </c>
    </row>
    <row r="513" spans="1:65" x14ac:dyDescent="0.4">
      <c r="A513" s="3">
        <v>27</v>
      </c>
      <c r="B513" s="3">
        <v>27</v>
      </c>
      <c r="C513" s="4">
        <v>178838</v>
      </c>
      <c r="D513" s="4" t="str">
        <f t="shared" si="154"/>
        <v>178838</v>
      </c>
      <c r="E513" s="4">
        <v>178838</v>
      </c>
      <c r="F513" s="4" t="str">
        <f t="shared" si="170"/>
        <v>1788385</v>
      </c>
      <c r="G513" s="4" t="s">
        <v>662</v>
      </c>
      <c r="H513" s="5">
        <v>4974268831385</v>
      </c>
      <c r="I513" s="5">
        <v>5</v>
      </c>
      <c r="J513" s="5"/>
      <c r="K513" s="5">
        <v>1</v>
      </c>
      <c r="L513" s="5">
        <v>1</v>
      </c>
      <c r="M513" s="4">
        <v>3500</v>
      </c>
      <c r="N513" s="4">
        <v>3111</v>
      </c>
      <c r="O513" s="4">
        <v>2100</v>
      </c>
      <c r="P513" s="6">
        <f t="shared" si="155"/>
        <v>0.32497589199614274</v>
      </c>
      <c r="Q513" s="4" t="s">
        <v>1280</v>
      </c>
      <c r="R513" s="4" t="s">
        <v>1280</v>
      </c>
      <c r="S513" s="4" t="s">
        <v>1280</v>
      </c>
      <c r="T513" s="4">
        <v>3900</v>
      </c>
      <c r="U513" s="4">
        <f t="shared" si="156"/>
        <v>3900</v>
      </c>
      <c r="V513" s="4">
        <v>2340</v>
      </c>
      <c r="W513" s="4">
        <f t="shared" si="157"/>
        <v>2340</v>
      </c>
      <c r="X513" s="4"/>
      <c r="Y513" s="21">
        <f t="shared" si="158"/>
        <v>3467</v>
      </c>
      <c r="Z513" s="6">
        <f t="shared" si="159"/>
        <v>0.32506489760599944</v>
      </c>
      <c r="AA513" s="4">
        <v>2</v>
      </c>
      <c r="AB513" s="4">
        <f t="shared" si="160"/>
        <v>3150</v>
      </c>
      <c r="AC513" s="4">
        <f t="shared" si="171"/>
        <v>3510</v>
      </c>
      <c r="AD513" s="6">
        <f t="shared" si="172"/>
        <v>0.33333333333333337</v>
      </c>
      <c r="AE513" s="4">
        <f t="shared" si="173"/>
        <v>3705</v>
      </c>
      <c r="AF513" s="7">
        <v>3510</v>
      </c>
      <c r="AG513" s="6">
        <f t="shared" si="161"/>
        <v>0.33333333333333337</v>
      </c>
      <c r="AH513" s="4">
        <f t="shared" si="162"/>
        <v>1170</v>
      </c>
      <c r="AI513" s="28"/>
      <c r="AJ513" s="6"/>
      <c r="AK513" s="6"/>
      <c r="AL513" s="6">
        <f t="shared" si="163"/>
        <v>1.1142857142857143</v>
      </c>
      <c r="AM513" s="6">
        <f t="shared" si="164"/>
        <v>1.1282545805207329</v>
      </c>
      <c r="AN513" s="6">
        <f t="shared" si="165"/>
        <v>1.1142857142857143</v>
      </c>
      <c r="AO513" s="4" t="str">
        <f t="shared" si="166"/>
        <v>-</v>
      </c>
      <c r="AP513" s="4" t="str">
        <f t="shared" si="167"/>
        <v>-</v>
      </c>
      <c r="AQ513" s="4" t="str">
        <f t="shared" si="168"/>
        <v>-</v>
      </c>
      <c r="AR513" s="4" t="s">
        <v>1281</v>
      </c>
      <c r="AS513" s="4" t="s">
        <v>1711</v>
      </c>
      <c r="AT513" s="4"/>
      <c r="AU513" s="4"/>
      <c r="AV513" s="4" t="s">
        <v>1697</v>
      </c>
      <c r="AW513" s="4">
        <v>3150</v>
      </c>
      <c r="AX513" s="4">
        <v>3150</v>
      </c>
      <c r="AY513" s="4">
        <v>3150</v>
      </c>
      <c r="AZ513" s="4">
        <f t="shared" si="169"/>
        <v>3150</v>
      </c>
      <c r="BA513" s="19">
        <v>4</v>
      </c>
      <c r="BB513" s="19">
        <v>1</v>
      </c>
      <c r="BC513" s="16">
        <v>18</v>
      </c>
      <c r="BD513" t="s">
        <v>1280</v>
      </c>
      <c r="BE513">
        <v>3181</v>
      </c>
      <c r="BF513" t="s">
        <v>1280</v>
      </c>
      <c r="BG513" t="str">
        <f t="shared" si="174"/>
        <v>-</v>
      </c>
      <c r="BH513">
        <v>3478</v>
      </c>
      <c r="BI513">
        <v>3478</v>
      </c>
      <c r="BJ513">
        <v>3478</v>
      </c>
      <c r="BK513">
        <f t="shared" si="175"/>
        <v>3875.4857142857145</v>
      </c>
      <c r="BL513" t="s">
        <v>1307</v>
      </c>
      <c r="BM513">
        <v>812</v>
      </c>
    </row>
    <row r="514" spans="1:65" x14ac:dyDescent="0.4">
      <c r="A514" s="3">
        <v>148</v>
      </c>
      <c r="B514" s="3">
        <v>148</v>
      </c>
      <c r="C514" s="4" t="s">
        <v>137</v>
      </c>
      <c r="D514" s="4" t="str">
        <f t="shared" si="154"/>
        <v>J1862P</v>
      </c>
      <c r="E514" s="4" t="s">
        <v>137</v>
      </c>
      <c r="F514" s="4" t="str">
        <f t="shared" si="170"/>
        <v>J1862P5</v>
      </c>
      <c r="G514" s="4" t="s">
        <v>783</v>
      </c>
      <c r="H514" s="5">
        <v>4974268103475</v>
      </c>
      <c r="I514" s="5">
        <v>5</v>
      </c>
      <c r="J514" s="5"/>
      <c r="K514" s="5">
        <v>1</v>
      </c>
      <c r="L514" s="5">
        <v>1</v>
      </c>
      <c r="M514" s="4">
        <v>3600</v>
      </c>
      <c r="N514" s="4">
        <v>3420</v>
      </c>
      <c r="O514" s="4">
        <v>2160</v>
      </c>
      <c r="P514" s="6">
        <f t="shared" si="155"/>
        <v>0.36842105263157898</v>
      </c>
      <c r="Q514" s="4" t="s">
        <v>1280</v>
      </c>
      <c r="R514" s="4" t="s">
        <v>1280</v>
      </c>
      <c r="S514" s="4" t="s">
        <v>1280</v>
      </c>
      <c r="T514" s="4">
        <v>3900</v>
      </c>
      <c r="U514" s="4">
        <f t="shared" si="156"/>
        <v>3900</v>
      </c>
      <c r="V514" s="4">
        <v>2340</v>
      </c>
      <c r="W514" s="4">
        <f t="shared" si="157"/>
        <v>2340</v>
      </c>
      <c r="X514" s="4"/>
      <c r="Y514" s="21">
        <f t="shared" si="158"/>
        <v>3705</v>
      </c>
      <c r="Z514" s="6">
        <f t="shared" si="159"/>
        <v>0.36842105263157898</v>
      </c>
      <c r="AA514" s="4">
        <v>0.25</v>
      </c>
      <c r="AB514" s="4">
        <f t="shared" si="160"/>
        <v>2999</v>
      </c>
      <c r="AC514" s="4">
        <f t="shared" si="171"/>
        <v>3248.9166666666665</v>
      </c>
      <c r="AD514" s="6">
        <f t="shared" si="172"/>
        <v>0.27975991997332439</v>
      </c>
      <c r="AE514" s="4">
        <f t="shared" si="173"/>
        <v>3705</v>
      </c>
      <c r="AF514" s="7">
        <v>3248</v>
      </c>
      <c r="AG514" s="6">
        <f t="shared" si="161"/>
        <v>0.27955665024630538</v>
      </c>
      <c r="AH514" s="4">
        <f t="shared" si="162"/>
        <v>908</v>
      </c>
      <c r="AI514" s="28"/>
      <c r="AJ514" s="6"/>
      <c r="AK514" s="6"/>
      <c r="AL514" s="6">
        <f t="shared" si="163"/>
        <v>1.0833333333333333</v>
      </c>
      <c r="AM514" s="6">
        <f t="shared" si="164"/>
        <v>0.94970760233918128</v>
      </c>
      <c r="AN514" s="6">
        <f t="shared" si="165"/>
        <v>1.0833333333333333</v>
      </c>
      <c r="AO514" s="4" t="str">
        <f t="shared" si="166"/>
        <v>-</v>
      </c>
      <c r="AP514" s="4" t="str">
        <f t="shared" si="167"/>
        <v>-</v>
      </c>
      <c r="AQ514" s="4" t="str">
        <f t="shared" si="168"/>
        <v>-</v>
      </c>
      <c r="AR514" s="4">
        <v>0</v>
      </c>
      <c r="AS514" s="4" t="s">
        <v>1834</v>
      </c>
      <c r="AT514" s="4"/>
      <c r="AU514" s="4"/>
      <c r="AV514" s="4" t="s">
        <v>1729</v>
      </c>
      <c r="AW514" s="4">
        <v>2999</v>
      </c>
      <c r="AX514" s="4">
        <v>2999</v>
      </c>
      <c r="AY514" s="4">
        <v>2999</v>
      </c>
      <c r="AZ514" s="4">
        <f t="shared" si="169"/>
        <v>2999</v>
      </c>
      <c r="BA514" s="19">
        <v>4</v>
      </c>
      <c r="BB514" s="19">
        <v>8</v>
      </c>
      <c r="BC514" s="16">
        <v>19</v>
      </c>
      <c r="BD514" t="s">
        <v>1280</v>
      </c>
      <c r="BE514" t="s">
        <v>1280</v>
      </c>
      <c r="BF514" t="s">
        <v>1280</v>
      </c>
      <c r="BG514" t="str">
        <f t="shared" si="174"/>
        <v>-</v>
      </c>
      <c r="BH514">
        <v>3349</v>
      </c>
      <c r="BI514">
        <v>3349</v>
      </c>
      <c r="BJ514">
        <v>3349</v>
      </c>
      <c r="BK514">
        <f t="shared" si="175"/>
        <v>3628.083333333333</v>
      </c>
      <c r="BL514" t="s">
        <v>1390</v>
      </c>
      <c r="BM514">
        <v>812</v>
      </c>
    </row>
    <row r="515" spans="1:65" x14ac:dyDescent="0.4">
      <c r="A515" s="3">
        <v>400</v>
      </c>
      <c r="B515" s="3">
        <v>400</v>
      </c>
      <c r="C515" s="4" t="s">
        <v>389</v>
      </c>
      <c r="D515" s="4" t="str">
        <f t="shared" si="154"/>
        <v>J54477</v>
      </c>
      <c r="E515" s="4" t="s">
        <v>389</v>
      </c>
      <c r="F515" s="4" t="str">
        <f t="shared" si="170"/>
        <v>J544775</v>
      </c>
      <c r="G515" s="4" t="s">
        <v>1033</v>
      </c>
      <c r="H515" s="5">
        <v>4974268831286</v>
      </c>
      <c r="I515" s="5">
        <v>5</v>
      </c>
      <c r="J515" s="5"/>
      <c r="K515" s="5">
        <v>1</v>
      </c>
      <c r="L515" s="5">
        <v>1</v>
      </c>
      <c r="M515" s="4">
        <v>3550</v>
      </c>
      <c r="N515" s="4">
        <v>3438</v>
      </c>
      <c r="O515" s="4">
        <v>2130</v>
      </c>
      <c r="P515" s="6">
        <f t="shared" si="155"/>
        <v>0.3804537521815009</v>
      </c>
      <c r="Q515" s="4" t="s">
        <v>1280</v>
      </c>
      <c r="R515" s="4" t="s">
        <v>1280</v>
      </c>
      <c r="S515" s="4" t="s">
        <v>1280</v>
      </c>
      <c r="T515" s="4">
        <v>3900</v>
      </c>
      <c r="U515" s="4">
        <f t="shared" si="156"/>
        <v>3900</v>
      </c>
      <c r="V515" s="4">
        <v>2340</v>
      </c>
      <c r="W515" s="4">
        <f t="shared" si="157"/>
        <v>2340</v>
      </c>
      <c r="X515" s="4"/>
      <c r="Y515" s="21">
        <f t="shared" si="158"/>
        <v>3777</v>
      </c>
      <c r="Z515" s="6">
        <f t="shared" si="159"/>
        <v>0.38046068308181091</v>
      </c>
      <c r="AA515" s="4">
        <v>0.25</v>
      </c>
      <c r="AB515" s="4">
        <f t="shared" si="160"/>
        <v>2999</v>
      </c>
      <c r="AC515" s="4">
        <f t="shared" si="171"/>
        <v>3294.6760563380285</v>
      </c>
      <c r="AD515" s="6">
        <f t="shared" si="172"/>
        <v>0.28976325441813944</v>
      </c>
      <c r="AE515" s="4">
        <f t="shared" si="173"/>
        <v>3705</v>
      </c>
      <c r="AF515" s="7">
        <v>3294</v>
      </c>
      <c r="AG515" s="6">
        <f t="shared" si="161"/>
        <v>0.2896174863387978</v>
      </c>
      <c r="AH515" s="4">
        <f t="shared" si="162"/>
        <v>954</v>
      </c>
      <c r="AI515" s="28"/>
      <c r="AJ515" s="6"/>
      <c r="AK515" s="6"/>
      <c r="AL515" s="6">
        <f t="shared" si="163"/>
        <v>1.0985915492957747</v>
      </c>
      <c r="AM515" s="6">
        <f t="shared" si="164"/>
        <v>0.95811518324607325</v>
      </c>
      <c r="AN515" s="6">
        <f t="shared" si="165"/>
        <v>1.0985915492957747</v>
      </c>
      <c r="AO515" s="4" t="str">
        <f t="shared" si="166"/>
        <v>-</v>
      </c>
      <c r="AP515" s="4" t="str">
        <f t="shared" si="167"/>
        <v>-</v>
      </c>
      <c r="AQ515" s="4" t="str">
        <f t="shared" si="168"/>
        <v>-</v>
      </c>
      <c r="AR515" s="4">
        <v>0</v>
      </c>
      <c r="AS515" s="4" t="s">
        <v>1956</v>
      </c>
      <c r="AT515" s="4"/>
      <c r="AU515" s="4"/>
      <c r="AV515" s="4" t="s">
        <v>1697</v>
      </c>
      <c r="AW515" s="4">
        <v>2999</v>
      </c>
      <c r="AX515" s="4">
        <v>2999</v>
      </c>
      <c r="AY515" s="4">
        <v>2999</v>
      </c>
      <c r="AZ515" s="4">
        <f t="shared" si="169"/>
        <v>2999</v>
      </c>
      <c r="BA515" s="19">
        <v>4</v>
      </c>
      <c r="BB515" s="19">
        <v>8</v>
      </c>
      <c r="BC515" s="16">
        <v>18</v>
      </c>
      <c r="BD515" t="s">
        <v>1280</v>
      </c>
      <c r="BE515" t="s">
        <v>1280</v>
      </c>
      <c r="BF515" t="s">
        <v>1280</v>
      </c>
      <c r="BG515" t="str">
        <f t="shared" si="174"/>
        <v>-</v>
      </c>
      <c r="BH515" t="s">
        <v>1280</v>
      </c>
      <c r="BI515" t="s">
        <v>1280</v>
      </c>
      <c r="BJ515" t="s">
        <v>1280</v>
      </c>
      <c r="BK515" t="str">
        <f t="shared" si="175"/>
        <v>-</v>
      </c>
      <c r="BL515" t="s">
        <v>1484</v>
      </c>
      <c r="BM515">
        <v>812</v>
      </c>
    </row>
    <row r="516" spans="1:65" x14ac:dyDescent="0.4">
      <c r="A516" s="3">
        <v>546</v>
      </c>
      <c r="B516" s="3">
        <v>546</v>
      </c>
      <c r="C516" s="4" t="s">
        <v>535</v>
      </c>
      <c r="D516" s="4" t="str">
        <f t="shared" ref="D516:D579" si="176">TEXT(C516,"000000")</f>
        <v>J902WN</v>
      </c>
      <c r="E516" s="4" t="s">
        <v>535</v>
      </c>
      <c r="F516" s="4" t="str">
        <f t="shared" si="170"/>
        <v>J902WN5</v>
      </c>
      <c r="G516" s="4" t="s">
        <v>1179</v>
      </c>
      <c r="H516" s="5">
        <v>4974268103413</v>
      </c>
      <c r="I516" s="5">
        <v>5</v>
      </c>
      <c r="J516" s="5"/>
      <c r="K516" s="5">
        <v>1</v>
      </c>
      <c r="L516" s="5">
        <v>1</v>
      </c>
      <c r="M516" s="4">
        <v>3600</v>
      </c>
      <c r="N516" s="4">
        <v>3090</v>
      </c>
      <c r="O516" s="4">
        <v>2160</v>
      </c>
      <c r="P516" s="6">
        <f t="shared" ref="P516:P579" si="177">1-O516/N516</f>
        <v>0.30097087378640774</v>
      </c>
      <c r="Q516" s="4" t="s">
        <v>1280</v>
      </c>
      <c r="R516" s="4" t="s">
        <v>1280</v>
      </c>
      <c r="S516" s="4" t="s">
        <v>1280</v>
      </c>
      <c r="T516" s="4">
        <v>3900</v>
      </c>
      <c r="U516" s="4">
        <f t="shared" ref="U516:U579" si="178">IF(X516="",T516,T516*X516)</f>
        <v>3900</v>
      </c>
      <c r="V516" s="4">
        <v>2340</v>
      </c>
      <c r="W516" s="4">
        <f t="shared" ref="W516:W579" si="179">IF(X516="",V516,V516*X516)</f>
        <v>2340</v>
      </c>
      <c r="X516" s="4"/>
      <c r="Y516" s="21">
        <f t="shared" ref="Y516:Y579" si="180">ROUND(N516*AN516,0)</f>
        <v>3348</v>
      </c>
      <c r="Z516" s="6">
        <f t="shared" ref="Z516:Z579" si="181">1-W516/Y516</f>
        <v>0.30107526881720426</v>
      </c>
      <c r="AA516" s="4">
        <v>0</v>
      </c>
      <c r="AB516" s="4">
        <f t="shared" ref="AB516:AB579" si="182">AZ516</f>
        <v>3059</v>
      </c>
      <c r="AC516" s="4">
        <f t="shared" si="171"/>
        <v>3313.9166666666665</v>
      </c>
      <c r="AD516" s="6">
        <f t="shared" si="172"/>
        <v>0.29388689114089572</v>
      </c>
      <c r="AE516" s="4">
        <f t="shared" si="173"/>
        <v>3705</v>
      </c>
      <c r="AF516" s="7">
        <v>3248</v>
      </c>
      <c r="AG516" s="6">
        <f t="shared" ref="AG516:AG579" si="183">1-W516/AF516</f>
        <v>0.27955665024630538</v>
      </c>
      <c r="AH516" s="4">
        <f t="shared" ref="AH516:AH579" si="184">AF516-W516</f>
        <v>908</v>
      </c>
      <c r="AI516" s="28"/>
      <c r="AJ516" s="6"/>
      <c r="AK516" s="6"/>
      <c r="AL516" s="6">
        <f t="shared" ref="AL516:AL579" si="185">U516/M516</f>
        <v>1.0833333333333333</v>
      </c>
      <c r="AM516" s="6">
        <f t="shared" ref="AM516:AM579" si="186">AF516/N516</f>
        <v>1.0511326860841423</v>
      </c>
      <c r="AN516" s="6">
        <f t="shared" ref="AN516:AN579" si="187">W516/O516</f>
        <v>1.0833333333333333</v>
      </c>
      <c r="AO516" s="4" t="str">
        <f t="shared" ref="AO516:AO579" si="188">IFERROR(ROUND($AF516*Q516/$N516,0),"-")</f>
        <v>-</v>
      </c>
      <c r="AP516" s="4" t="str">
        <f t="shared" ref="AP516:AP579" si="189">IF(R516="","-",R516)</f>
        <v>-</v>
      </c>
      <c r="AQ516" s="4" t="str">
        <f t="shared" ref="AQ516:AQ579" si="190">IF(S516="","-",S516)</f>
        <v>-</v>
      </c>
      <c r="AR516" s="4">
        <v>0</v>
      </c>
      <c r="AS516" s="4" t="s">
        <v>2099</v>
      </c>
      <c r="AT516" s="4"/>
      <c r="AU516" s="4"/>
      <c r="AV516" s="4" t="s">
        <v>1729</v>
      </c>
      <c r="AW516" s="4">
        <v>3059</v>
      </c>
      <c r="AX516" s="4">
        <v>3059</v>
      </c>
      <c r="AY516" s="4">
        <v>3059</v>
      </c>
      <c r="AZ516" s="4">
        <f t="shared" ref="AZ516:AZ579" si="191">IF(AT516="",AY516,AT516/AU516*AY516)</f>
        <v>3059</v>
      </c>
      <c r="BA516" s="19">
        <v>4</v>
      </c>
      <c r="BB516" s="19">
        <v>8</v>
      </c>
      <c r="BC516" s="16">
        <v>19</v>
      </c>
      <c r="BD516" t="s">
        <v>1280</v>
      </c>
      <c r="BE516" t="s">
        <v>1280</v>
      </c>
      <c r="BF516" t="s">
        <v>1280</v>
      </c>
      <c r="BG516" t="str">
        <f t="shared" si="174"/>
        <v>-</v>
      </c>
      <c r="BH516">
        <v>3107</v>
      </c>
      <c r="BI516">
        <v>3107</v>
      </c>
      <c r="BJ516">
        <v>3107</v>
      </c>
      <c r="BK516">
        <f t="shared" si="175"/>
        <v>3365.9166666666665</v>
      </c>
      <c r="BL516" t="s">
        <v>1597</v>
      </c>
      <c r="BM516">
        <v>812</v>
      </c>
    </row>
    <row r="517" spans="1:65" x14ac:dyDescent="0.4">
      <c r="A517" s="3">
        <v>548</v>
      </c>
      <c r="B517" s="3">
        <v>548</v>
      </c>
      <c r="C517" s="4" t="s">
        <v>537</v>
      </c>
      <c r="D517" s="4" t="str">
        <f t="shared" si="176"/>
        <v>J903WN</v>
      </c>
      <c r="E517" s="4" t="s">
        <v>537</v>
      </c>
      <c r="F517" s="4" t="str">
        <f t="shared" ref="F517:F580" si="192">D517&amp;I517</f>
        <v>J903WN5</v>
      </c>
      <c r="G517" s="4" t="s">
        <v>1181</v>
      </c>
      <c r="H517" s="5">
        <v>4974268103468</v>
      </c>
      <c r="I517" s="5">
        <v>5</v>
      </c>
      <c r="J517" s="5"/>
      <c r="K517" s="5">
        <v>1</v>
      </c>
      <c r="L517" s="5">
        <v>1</v>
      </c>
      <c r="M517" s="4">
        <v>3600</v>
      </c>
      <c r="N517" s="4">
        <v>3090</v>
      </c>
      <c r="O517" s="4">
        <v>2160</v>
      </c>
      <c r="P517" s="6">
        <f t="shared" si="177"/>
        <v>0.30097087378640774</v>
      </c>
      <c r="Q517" s="4" t="s">
        <v>1280</v>
      </c>
      <c r="R517" s="4" t="s">
        <v>1280</v>
      </c>
      <c r="S517" s="4" t="s">
        <v>1280</v>
      </c>
      <c r="T517" s="4">
        <v>3900</v>
      </c>
      <c r="U517" s="4">
        <f t="shared" si="178"/>
        <v>3900</v>
      </c>
      <c r="V517" s="4">
        <v>2340</v>
      </c>
      <c r="W517" s="4">
        <f t="shared" si="179"/>
        <v>2340</v>
      </c>
      <c r="X517" s="4"/>
      <c r="Y517" s="21">
        <f t="shared" si="180"/>
        <v>3348</v>
      </c>
      <c r="Z517" s="6">
        <f t="shared" si="181"/>
        <v>0.30107526881720426</v>
      </c>
      <c r="AA517" s="4">
        <v>0</v>
      </c>
      <c r="AB517" s="4" t="str">
        <f t="shared" si="182"/>
        <v>-</v>
      </c>
      <c r="AC517" s="4" t="str">
        <f t="shared" ref="AC517:AC580" si="193">IFERROR(AB517*AN517,"-")</f>
        <v>-</v>
      </c>
      <c r="AD517" s="6" t="str">
        <f t="shared" ref="AD517:AD580" si="194">IFERROR(1-W517/AC517,"-")</f>
        <v>-</v>
      </c>
      <c r="AE517" s="4">
        <f t="shared" ref="AE517:AE580" si="195">U517*0.95</f>
        <v>3705</v>
      </c>
      <c r="AF517" s="7">
        <v>3248</v>
      </c>
      <c r="AG517" s="6">
        <f t="shared" si="183"/>
        <v>0.27955665024630538</v>
      </c>
      <c r="AH517" s="4">
        <f t="shared" si="184"/>
        <v>908</v>
      </c>
      <c r="AI517" s="28"/>
      <c r="AJ517" s="6"/>
      <c r="AK517" s="6"/>
      <c r="AL517" s="6">
        <f t="shared" si="185"/>
        <v>1.0833333333333333</v>
      </c>
      <c r="AM517" s="6">
        <f t="shared" si="186"/>
        <v>1.0511326860841423</v>
      </c>
      <c r="AN517" s="6">
        <f t="shared" si="187"/>
        <v>1.0833333333333333</v>
      </c>
      <c r="AO517" s="4" t="str">
        <f t="shared" si="188"/>
        <v>-</v>
      </c>
      <c r="AP517" s="4" t="str">
        <f t="shared" si="189"/>
        <v>-</v>
      </c>
      <c r="AQ517" s="4" t="str">
        <f t="shared" si="190"/>
        <v>-</v>
      </c>
      <c r="AR517" s="4">
        <v>0</v>
      </c>
      <c r="AS517" s="4" t="s">
        <v>2101</v>
      </c>
      <c r="AT517" s="4"/>
      <c r="AU517" s="4"/>
      <c r="AV517" s="4" t="s">
        <v>1729</v>
      </c>
      <c r="AW517" s="4">
        <v>1352</v>
      </c>
      <c r="AX517" s="4">
        <v>1352</v>
      </c>
      <c r="AY517" s="4" t="s">
        <v>1280</v>
      </c>
      <c r="AZ517" s="4" t="str">
        <f t="shared" si="191"/>
        <v>-</v>
      </c>
      <c r="BA517" s="19">
        <v>4</v>
      </c>
      <c r="BB517" s="19">
        <v>8</v>
      </c>
      <c r="BC517" s="16">
        <v>19</v>
      </c>
      <c r="BD517" t="s">
        <v>1280</v>
      </c>
      <c r="BE517" t="s">
        <v>1280</v>
      </c>
      <c r="BF517" t="s">
        <v>1280</v>
      </c>
      <c r="BG517" t="str">
        <f t="shared" ref="BG517:BG580" si="196">IFERROR(BF517*AN517,"-")</f>
        <v>-</v>
      </c>
      <c r="BH517">
        <v>3349</v>
      </c>
      <c r="BI517">
        <v>3349</v>
      </c>
      <c r="BJ517">
        <v>3349</v>
      </c>
      <c r="BK517">
        <f t="shared" ref="BK517:BK580" si="197">IFERROR(BJ517*AN517,"-")</f>
        <v>3628.083333333333</v>
      </c>
      <c r="BL517" t="s">
        <v>1599</v>
      </c>
      <c r="BM517">
        <v>812</v>
      </c>
    </row>
    <row r="518" spans="1:65" x14ac:dyDescent="0.4">
      <c r="A518" s="3">
        <v>549</v>
      </c>
      <c r="B518" s="3">
        <v>549</v>
      </c>
      <c r="C518" s="4" t="s">
        <v>538</v>
      </c>
      <c r="D518" s="4" t="str">
        <f t="shared" si="176"/>
        <v>J905WN</v>
      </c>
      <c r="E518" s="4" t="s">
        <v>538</v>
      </c>
      <c r="F518" s="4" t="str">
        <f t="shared" si="192"/>
        <v>J905WN5</v>
      </c>
      <c r="G518" s="4" t="s">
        <v>1182</v>
      </c>
      <c r="H518" s="5">
        <v>4974268103666</v>
      </c>
      <c r="I518" s="5">
        <v>5</v>
      </c>
      <c r="J518" s="5"/>
      <c r="K518" s="5">
        <v>1</v>
      </c>
      <c r="L518" s="5">
        <v>1</v>
      </c>
      <c r="M518" s="4">
        <v>3600</v>
      </c>
      <c r="N518" s="4">
        <v>3090</v>
      </c>
      <c r="O518" s="4">
        <v>2160</v>
      </c>
      <c r="P518" s="6">
        <f t="shared" si="177"/>
        <v>0.30097087378640774</v>
      </c>
      <c r="Q518" s="4" t="s">
        <v>1280</v>
      </c>
      <c r="R518" s="4" t="s">
        <v>1280</v>
      </c>
      <c r="S518" s="4" t="s">
        <v>1280</v>
      </c>
      <c r="T518" s="4">
        <v>3900</v>
      </c>
      <c r="U518" s="4">
        <f t="shared" si="178"/>
        <v>3900</v>
      </c>
      <c r="V518" s="4">
        <v>2340</v>
      </c>
      <c r="W518" s="4">
        <f t="shared" si="179"/>
        <v>2340</v>
      </c>
      <c r="X518" s="4"/>
      <c r="Y518" s="21">
        <f t="shared" si="180"/>
        <v>3348</v>
      </c>
      <c r="Z518" s="6">
        <f t="shared" si="181"/>
        <v>0.30107526881720426</v>
      </c>
      <c r="AA518" s="4">
        <v>0</v>
      </c>
      <c r="AB518" s="4">
        <f t="shared" si="182"/>
        <v>2844</v>
      </c>
      <c r="AC518" s="4">
        <f t="shared" si="193"/>
        <v>3081</v>
      </c>
      <c r="AD518" s="6">
        <f t="shared" si="194"/>
        <v>0.240506329113924</v>
      </c>
      <c r="AE518" s="4">
        <f t="shared" si="195"/>
        <v>3705</v>
      </c>
      <c r="AF518" s="7">
        <v>3248</v>
      </c>
      <c r="AG518" s="6">
        <f t="shared" si="183"/>
        <v>0.27955665024630538</v>
      </c>
      <c r="AH518" s="4">
        <f t="shared" si="184"/>
        <v>908</v>
      </c>
      <c r="AI518" s="28"/>
      <c r="AJ518" s="6"/>
      <c r="AK518" s="6"/>
      <c r="AL518" s="6">
        <f t="shared" si="185"/>
        <v>1.0833333333333333</v>
      </c>
      <c r="AM518" s="6">
        <f t="shared" si="186"/>
        <v>1.0511326860841423</v>
      </c>
      <c r="AN518" s="6">
        <f t="shared" si="187"/>
        <v>1.0833333333333333</v>
      </c>
      <c r="AO518" s="4" t="str">
        <f t="shared" si="188"/>
        <v>-</v>
      </c>
      <c r="AP518" s="4" t="str">
        <f t="shared" si="189"/>
        <v>-</v>
      </c>
      <c r="AQ518" s="4" t="str">
        <f t="shared" si="190"/>
        <v>-</v>
      </c>
      <c r="AR518" s="4">
        <v>0</v>
      </c>
      <c r="AS518" s="4" t="s">
        <v>2102</v>
      </c>
      <c r="AT518" s="4"/>
      <c r="AU518" s="4"/>
      <c r="AV518" s="4" t="s">
        <v>1729</v>
      </c>
      <c r="AW518" s="4">
        <v>2844</v>
      </c>
      <c r="AX518" s="4">
        <v>2844</v>
      </c>
      <c r="AY518" s="4">
        <v>2844</v>
      </c>
      <c r="AZ518" s="4">
        <f t="shared" si="191"/>
        <v>2844</v>
      </c>
      <c r="BA518" s="19">
        <v>4</v>
      </c>
      <c r="BB518" s="19">
        <v>8</v>
      </c>
      <c r="BC518" s="16">
        <v>19</v>
      </c>
      <c r="BD518" t="s">
        <v>1280</v>
      </c>
      <c r="BE518" t="s">
        <v>1280</v>
      </c>
      <c r="BF518" t="s">
        <v>1280</v>
      </c>
      <c r="BG518" t="str">
        <f t="shared" si="196"/>
        <v>-</v>
      </c>
      <c r="BH518">
        <v>3349</v>
      </c>
      <c r="BI518">
        <v>3349</v>
      </c>
      <c r="BJ518">
        <v>3349</v>
      </c>
      <c r="BK518">
        <f t="shared" si="197"/>
        <v>3628.083333333333</v>
      </c>
      <c r="BL518" t="s">
        <v>1600</v>
      </c>
      <c r="BM518">
        <v>812</v>
      </c>
    </row>
    <row r="519" spans="1:65" x14ac:dyDescent="0.4">
      <c r="A519" s="32">
        <v>55</v>
      </c>
      <c r="B519" s="3">
        <v>55</v>
      </c>
      <c r="C519" s="4">
        <v>677163</v>
      </c>
      <c r="D519" s="4" t="str">
        <f t="shared" si="176"/>
        <v>677163</v>
      </c>
      <c r="E519" s="4">
        <v>677163</v>
      </c>
      <c r="F519" s="4" t="str">
        <f t="shared" si="192"/>
        <v>6771635</v>
      </c>
      <c r="G519" s="4" t="s">
        <v>690</v>
      </c>
      <c r="H519" s="5">
        <v>4974268400055</v>
      </c>
      <c r="I519" s="5">
        <v>5</v>
      </c>
      <c r="J519" s="5"/>
      <c r="K519" s="5">
        <v>1</v>
      </c>
      <c r="L519" s="5">
        <v>1</v>
      </c>
      <c r="M519" s="4">
        <v>3600</v>
      </c>
      <c r="N519" s="4">
        <v>3359</v>
      </c>
      <c r="O519" s="4">
        <v>2160</v>
      </c>
      <c r="P519" s="6">
        <f t="shared" si="177"/>
        <v>0.35695147365287283</v>
      </c>
      <c r="Q519" s="4" t="s">
        <v>1280</v>
      </c>
      <c r="R519" s="4" t="s">
        <v>1280</v>
      </c>
      <c r="S519" s="4" t="s">
        <v>1280</v>
      </c>
      <c r="T519" s="4">
        <v>4000</v>
      </c>
      <c r="U519" s="4">
        <f t="shared" si="178"/>
        <v>4000</v>
      </c>
      <c r="V519" s="4">
        <v>2400</v>
      </c>
      <c r="W519" s="4">
        <f t="shared" si="179"/>
        <v>2400</v>
      </c>
      <c r="X519" s="4"/>
      <c r="Y519" s="21">
        <f t="shared" si="180"/>
        <v>3732</v>
      </c>
      <c r="Z519" s="6">
        <f t="shared" si="181"/>
        <v>0.35691318327974275</v>
      </c>
      <c r="AA519" s="4">
        <v>0.25</v>
      </c>
      <c r="AB519" s="4">
        <f t="shared" si="182"/>
        <v>2899</v>
      </c>
      <c r="AC519" s="4">
        <f t="shared" si="193"/>
        <v>3221.1111111111113</v>
      </c>
      <c r="AD519" s="6">
        <f t="shared" si="194"/>
        <v>0.25491548809934461</v>
      </c>
      <c r="AE519" s="4">
        <f t="shared" si="195"/>
        <v>3800</v>
      </c>
      <c r="AF519" s="7">
        <v>3221</v>
      </c>
      <c r="AG519" s="6">
        <f t="shared" si="183"/>
        <v>0.25488978578081345</v>
      </c>
      <c r="AH519" s="4">
        <f t="shared" si="184"/>
        <v>821</v>
      </c>
      <c r="AI519" s="28"/>
      <c r="AJ519" s="6"/>
      <c r="AK519" s="6"/>
      <c r="AL519" s="6">
        <f t="shared" si="185"/>
        <v>1.1111111111111112</v>
      </c>
      <c r="AM519" s="6">
        <f t="shared" si="186"/>
        <v>0.95891634415004467</v>
      </c>
      <c r="AN519" s="6">
        <f t="shared" si="187"/>
        <v>1.1111111111111112</v>
      </c>
      <c r="AO519" s="4" t="str">
        <f t="shared" si="188"/>
        <v>-</v>
      </c>
      <c r="AP519" s="4" t="str">
        <f t="shared" si="189"/>
        <v>-</v>
      </c>
      <c r="AQ519" s="4" t="str">
        <f t="shared" si="190"/>
        <v>-</v>
      </c>
      <c r="AR519" s="4">
        <v>0</v>
      </c>
      <c r="AS519" s="4" t="s">
        <v>1742</v>
      </c>
      <c r="AT519" s="4"/>
      <c r="AU519" s="4"/>
      <c r="AV519" s="4" t="s">
        <v>1743</v>
      </c>
      <c r="AW519" s="4">
        <v>2899</v>
      </c>
      <c r="AX519" s="4">
        <v>2899</v>
      </c>
      <c r="AY519" s="4">
        <v>2899</v>
      </c>
      <c r="AZ519" s="4">
        <f t="shared" si="191"/>
        <v>2899</v>
      </c>
      <c r="BA519" s="19">
        <v>2</v>
      </c>
      <c r="BB519" s="19">
        <v>8</v>
      </c>
      <c r="BC519" s="16">
        <v>19</v>
      </c>
      <c r="BD519" t="s">
        <v>1280</v>
      </c>
      <c r="BE519" t="s">
        <v>1280</v>
      </c>
      <c r="BF519" t="s">
        <v>1280</v>
      </c>
      <c r="BG519" t="str">
        <f t="shared" si="196"/>
        <v>-</v>
      </c>
      <c r="BH519">
        <v>3042</v>
      </c>
      <c r="BI519">
        <v>3042</v>
      </c>
      <c r="BJ519">
        <v>3042</v>
      </c>
      <c r="BK519">
        <f t="shared" si="197"/>
        <v>3380</v>
      </c>
      <c r="BL519" t="s">
        <v>1329</v>
      </c>
      <c r="BM519">
        <v>812</v>
      </c>
    </row>
    <row r="520" spans="1:65" x14ac:dyDescent="0.4">
      <c r="A520" s="3">
        <v>294</v>
      </c>
      <c r="B520" s="3">
        <v>294</v>
      </c>
      <c r="C520" s="4" t="s">
        <v>283</v>
      </c>
      <c r="D520" s="4" t="str">
        <f t="shared" si="176"/>
        <v>J39033</v>
      </c>
      <c r="E520" s="4" t="s">
        <v>283</v>
      </c>
      <c r="F520" s="4" t="str">
        <f t="shared" si="192"/>
        <v>J390335</v>
      </c>
      <c r="G520" s="4" t="s">
        <v>929</v>
      </c>
      <c r="H520" s="5">
        <v>4974268144805</v>
      </c>
      <c r="I520" s="5">
        <v>5</v>
      </c>
      <c r="J520" s="5"/>
      <c r="K520" s="5">
        <v>1</v>
      </c>
      <c r="L520" s="5">
        <v>1</v>
      </c>
      <c r="M520" s="4">
        <v>3700</v>
      </c>
      <c r="N520" s="4">
        <v>3339</v>
      </c>
      <c r="O520" s="4">
        <v>2220</v>
      </c>
      <c r="P520" s="6">
        <f t="shared" si="177"/>
        <v>0.3351302785265049</v>
      </c>
      <c r="Q520" s="4" t="s">
        <v>1280</v>
      </c>
      <c r="R520" s="4" t="s">
        <v>1280</v>
      </c>
      <c r="S520" s="4" t="s">
        <v>1280</v>
      </c>
      <c r="T520" s="4">
        <v>4000</v>
      </c>
      <c r="U520" s="4">
        <f t="shared" si="178"/>
        <v>4000</v>
      </c>
      <c r="V520" s="4">
        <v>2400</v>
      </c>
      <c r="W520" s="4">
        <f t="shared" si="179"/>
        <v>2400</v>
      </c>
      <c r="X520" s="4"/>
      <c r="Y520" s="21">
        <f t="shared" si="180"/>
        <v>3610</v>
      </c>
      <c r="Z520" s="6">
        <f t="shared" si="181"/>
        <v>0.33518005540166207</v>
      </c>
      <c r="AA520" s="4">
        <v>0</v>
      </c>
      <c r="AB520" s="4" t="str">
        <f t="shared" si="182"/>
        <v>-</v>
      </c>
      <c r="AC520" s="4" t="str">
        <f t="shared" si="193"/>
        <v>-</v>
      </c>
      <c r="AD520" s="6" t="str">
        <f t="shared" si="194"/>
        <v>-</v>
      </c>
      <c r="AE520" s="4">
        <f t="shared" si="195"/>
        <v>3800</v>
      </c>
      <c r="AF520" s="7">
        <v>3372</v>
      </c>
      <c r="AG520" s="6">
        <f t="shared" si="183"/>
        <v>0.28825622775800708</v>
      </c>
      <c r="AH520" s="4">
        <f t="shared" si="184"/>
        <v>972</v>
      </c>
      <c r="AI520" s="28"/>
      <c r="AJ520" s="6"/>
      <c r="AK520" s="6"/>
      <c r="AL520" s="6">
        <f t="shared" si="185"/>
        <v>1.0810810810810811</v>
      </c>
      <c r="AM520" s="6">
        <f t="shared" si="186"/>
        <v>1.0098831985624439</v>
      </c>
      <c r="AN520" s="6">
        <f t="shared" si="187"/>
        <v>1.0810810810810811</v>
      </c>
      <c r="AO520" s="4" t="str">
        <f t="shared" si="188"/>
        <v>-</v>
      </c>
      <c r="AP520" s="4" t="str">
        <f t="shared" si="189"/>
        <v>-</v>
      </c>
      <c r="AQ520" s="4" t="str">
        <f t="shared" si="190"/>
        <v>-</v>
      </c>
      <c r="AR520" s="4">
        <v>0</v>
      </c>
      <c r="AS520" s="4" t="s">
        <v>1280</v>
      </c>
      <c r="AT520" s="4"/>
      <c r="AU520" s="4"/>
      <c r="AV520" s="4" t="s">
        <v>1280</v>
      </c>
      <c r="AW520" s="4" t="s">
        <v>1280</v>
      </c>
      <c r="AX520" s="4" t="s">
        <v>1280</v>
      </c>
      <c r="AY520" s="4" t="s">
        <v>1280</v>
      </c>
      <c r="AZ520" s="4" t="str">
        <f t="shared" si="191"/>
        <v>-</v>
      </c>
      <c r="BA520" s="19">
        <v>4</v>
      </c>
      <c r="BB520" s="19">
        <v>8</v>
      </c>
      <c r="BC520" s="16">
        <v>18</v>
      </c>
      <c r="BD520" t="s">
        <v>1280</v>
      </c>
      <c r="BE520" t="s">
        <v>1280</v>
      </c>
      <c r="BF520" t="s">
        <v>1280</v>
      </c>
      <c r="BG520" t="str">
        <f t="shared" si="196"/>
        <v>-</v>
      </c>
      <c r="BH520">
        <v>3120</v>
      </c>
      <c r="BI520">
        <v>3120</v>
      </c>
      <c r="BJ520">
        <v>3120</v>
      </c>
      <c r="BK520">
        <f t="shared" si="197"/>
        <v>3372.9729729729734</v>
      </c>
      <c r="BL520" t="s">
        <v>1280</v>
      </c>
      <c r="BM520">
        <v>812</v>
      </c>
    </row>
    <row r="521" spans="1:65" x14ac:dyDescent="0.4">
      <c r="A521" s="3">
        <v>539</v>
      </c>
      <c r="B521" s="3">
        <v>539</v>
      </c>
      <c r="C521" s="4" t="s">
        <v>528</v>
      </c>
      <c r="D521" s="4" t="str">
        <f t="shared" si="176"/>
        <v>J895WN</v>
      </c>
      <c r="E521" s="4" t="s">
        <v>528</v>
      </c>
      <c r="F521" s="4" t="str">
        <f t="shared" si="192"/>
        <v>J895WN5</v>
      </c>
      <c r="G521" s="4" t="s">
        <v>1172</v>
      </c>
      <c r="H521" s="5">
        <v>4974268101150</v>
      </c>
      <c r="I521" s="5">
        <v>5</v>
      </c>
      <c r="J521" s="5"/>
      <c r="K521" s="5">
        <v>1</v>
      </c>
      <c r="L521" s="5">
        <v>1</v>
      </c>
      <c r="M521" s="4">
        <v>3700</v>
      </c>
      <c r="N521" s="4">
        <v>3170</v>
      </c>
      <c r="O521" s="4">
        <v>2220</v>
      </c>
      <c r="P521" s="6">
        <f t="shared" si="177"/>
        <v>0.29968454258675081</v>
      </c>
      <c r="Q521" s="4" t="s">
        <v>1280</v>
      </c>
      <c r="R521" s="4" t="s">
        <v>1280</v>
      </c>
      <c r="S521" s="4" t="s">
        <v>1280</v>
      </c>
      <c r="T521" s="4">
        <v>4000</v>
      </c>
      <c r="U521" s="4">
        <f t="shared" si="178"/>
        <v>4000</v>
      </c>
      <c r="V521" s="4">
        <v>2400</v>
      </c>
      <c r="W521" s="4">
        <f t="shared" si="179"/>
        <v>2400</v>
      </c>
      <c r="X521" s="4"/>
      <c r="Y521" s="21">
        <f t="shared" si="180"/>
        <v>3427</v>
      </c>
      <c r="Z521" s="6">
        <f t="shared" si="181"/>
        <v>0.29967901955062737</v>
      </c>
      <c r="AA521" s="4">
        <v>0</v>
      </c>
      <c r="AB521" s="4">
        <f t="shared" si="182"/>
        <v>3552</v>
      </c>
      <c r="AC521" s="4">
        <f t="shared" si="193"/>
        <v>3840</v>
      </c>
      <c r="AD521" s="6">
        <f t="shared" si="194"/>
        <v>0.375</v>
      </c>
      <c r="AE521" s="4">
        <f t="shared" si="195"/>
        <v>3800</v>
      </c>
      <c r="AF521" s="7">
        <v>3700</v>
      </c>
      <c r="AG521" s="6">
        <f t="shared" si="183"/>
        <v>0.35135135135135132</v>
      </c>
      <c r="AH521" s="4">
        <f t="shared" si="184"/>
        <v>1300</v>
      </c>
      <c r="AI521" s="28"/>
      <c r="AJ521" s="6"/>
      <c r="AK521" s="6"/>
      <c r="AL521" s="6">
        <f t="shared" si="185"/>
        <v>1.0810810810810811</v>
      </c>
      <c r="AM521" s="6">
        <f t="shared" si="186"/>
        <v>1.1671924290220821</v>
      </c>
      <c r="AN521" s="6">
        <f t="shared" si="187"/>
        <v>1.0810810810810811</v>
      </c>
      <c r="AO521" s="4" t="str">
        <f t="shared" si="188"/>
        <v>-</v>
      </c>
      <c r="AP521" s="4" t="str">
        <f t="shared" si="189"/>
        <v>-</v>
      </c>
      <c r="AQ521" s="4" t="str">
        <f t="shared" si="190"/>
        <v>-</v>
      </c>
      <c r="AR521" s="4">
        <v>0</v>
      </c>
      <c r="AS521" s="4" t="s">
        <v>2092</v>
      </c>
      <c r="AT521" s="4"/>
      <c r="AU521" s="4"/>
      <c r="AV521" s="4" t="s">
        <v>1729</v>
      </c>
      <c r="AW521" s="4">
        <v>3552</v>
      </c>
      <c r="AX521" s="4">
        <v>3552</v>
      </c>
      <c r="AY521" s="4">
        <v>3552</v>
      </c>
      <c r="AZ521" s="4">
        <f t="shared" si="191"/>
        <v>3552</v>
      </c>
      <c r="BA521" s="19">
        <v>4</v>
      </c>
      <c r="BB521" s="19">
        <v>8</v>
      </c>
      <c r="BC521" s="16">
        <v>19</v>
      </c>
      <c r="BD521" t="s">
        <v>1280</v>
      </c>
      <c r="BE521" t="s">
        <v>1280</v>
      </c>
      <c r="BF521" t="s">
        <v>1280</v>
      </c>
      <c r="BG521" t="str">
        <f t="shared" si="196"/>
        <v>-</v>
      </c>
      <c r="BH521" t="s">
        <v>1280</v>
      </c>
      <c r="BI521">
        <v>3364</v>
      </c>
      <c r="BJ521">
        <v>3364</v>
      </c>
      <c r="BK521">
        <f t="shared" si="197"/>
        <v>3636.7567567567571</v>
      </c>
      <c r="BL521" t="s">
        <v>1590</v>
      </c>
      <c r="BM521">
        <v>812</v>
      </c>
    </row>
    <row r="522" spans="1:65" x14ac:dyDescent="0.4">
      <c r="A522" s="3">
        <v>540</v>
      </c>
      <c r="B522" s="3">
        <v>540</v>
      </c>
      <c r="C522" s="4" t="s">
        <v>529</v>
      </c>
      <c r="D522" s="4" t="str">
        <f t="shared" si="176"/>
        <v>J897WN</v>
      </c>
      <c r="E522" s="4" t="s">
        <v>529</v>
      </c>
      <c r="F522" s="4" t="str">
        <f t="shared" si="192"/>
        <v>J897WN5</v>
      </c>
      <c r="G522" s="4" t="s">
        <v>1173</v>
      </c>
      <c r="H522" s="5">
        <v>4974268103093</v>
      </c>
      <c r="I522" s="5">
        <v>5</v>
      </c>
      <c r="J522" s="5"/>
      <c r="K522" s="5">
        <v>1</v>
      </c>
      <c r="L522" s="5">
        <v>1</v>
      </c>
      <c r="M522" s="4">
        <v>3700</v>
      </c>
      <c r="N522" s="4">
        <v>3170</v>
      </c>
      <c r="O522" s="4">
        <v>2220</v>
      </c>
      <c r="P522" s="6">
        <f t="shared" si="177"/>
        <v>0.29968454258675081</v>
      </c>
      <c r="Q522" s="4" t="s">
        <v>1280</v>
      </c>
      <c r="R522" s="4" t="s">
        <v>1280</v>
      </c>
      <c r="S522" s="4" t="s">
        <v>1280</v>
      </c>
      <c r="T522" s="4">
        <v>4000</v>
      </c>
      <c r="U522" s="4">
        <f t="shared" si="178"/>
        <v>4000</v>
      </c>
      <c r="V522" s="4">
        <v>2400</v>
      </c>
      <c r="W522" s="4">
        <f t="shared" si="179"/>
        <v>2400</v>
      </c>
      <c r="X522" s="4"/>
      <c r="Y522" s="21">
        <f t="shared" si="180"/>
        <v>3427</v>
      </c>
      <c r="Z522" s="6">
        <f t="shared" si="181"/>
        <v>0.29967901955062737</v>
      </c>
      <c r="AA522" s="4">
        <v>0</v>
      </c>
      <c r="AB522" s="4">
        <f t="shared" si="182"/>
        <v>3552</v>
      </c>
      <c r="AC522" s="4">
        <f t="shared" si="193"/>
        <v>3840</v>
      </c>
      <c r="AD522" s="6">
        <f t="shared" si="194"/>
        <v>0.375</v>
      </c>
      <c r="AE522" s="4">
        <f t="shared" si="195"/>
        <v>3800</v>
      </c>
      <c r="AF522" s="7">
        <v>3700</v>
      </c>
      <c r="AG522" s="6">
        <f t="shared" si="183"/>
        <v>0.35135135135135132</v>
      </c>
      <c r="AH522" s="4">
        <f t="shared" si="184"/>
        <v>1300</v>
      </c>
      <c r="AI522" s="28"/>
      <c r="AJ522" s="6"/>
      <c r="AK522" s="6"/>
      <c r="AL522" s="6">
        <f t="shared" si="185"/>
        <v>1.0810810810810811</v>
      </c>
      <c r="AM522" s="6">
        <f t="shared" si="186"/>
        <v>1.1671924290220821</v>
      </c>
      <c r="AN522" s="6">
        <f t="shared" si="187"/>
        <v>1.0810810810810811</v>
      </c>
      <c r="AO522" s="4" t="str">
        <f t="shared" si="188"/>
        <v>-</v>
      </c>
      <c r="AP522" s="4" t="str">
        <f t="shared" si="189"/>
        <v>-</v>
      </c>
      <c r="AQ522" s="4" t="str">
        <f t="shared" si="190"/>
        <v>-</v>
      </c>
      <c r="AR522" s="4">
        <v>0</v>
      </c>
      <c r="AS522" s="4" t="s">
        <v>2093</v>
      </c>
      <c r="AT522" s="4"/>
      <c r="AU522" s="4"/>
      <c r="AV522" s="4" t="s">
        <v>1729</v>
      </c>
      <c r="AW522" s="4">
        <v>3552</v>
      </c>
      <c r="AX522" s="4">
        <v>3552</v>
      </c>
      <c r="AY522" s="4">
        <v>3552</v>
      </c>
      <c r="AZ522" s="4">
        <f t="shared" si="191"/>
        <v>3552</v>
      </c>
      <c r="BA522" s="19">
        <v>4</v>
      </c>
      <c r="BB522" s="19">
        <v>8</v>
      </c>
      <c r="BC522" s="16">
        <v>19</v>
      </c>
      <c r="BD522" t="s">
        <v>1280</v>
      </c>
      <c r="BE522" t="s">
        <v>1280</v>
      </c>
      <c r="BF522" t="s">
        <v>1280</v>
      </c>
      <c r="BG522" t="str">
        <f t="shared" si="196"/>
        <v>-</v>
      </c>
      <c r="BH522" t="s">
        <v>1280</v>
      </c>
      <c r="BI522">
        <v>3364</v>
      </c>
      <c r="BJ522">
        <v>3364</v>
      </c>
      <c r="BK522">
        <f t="shared" si="197"/>
        <v>3636.7567567567571</v>
      </c>
      <c r="BL522" t="s">
        <v>1591</v>
      </c>
      <c r="BM522">
        <v>812</v>
      </c>
    </row>
    <row r="523" spans="1:65" x14ac:dyDescent="0.4">
      <c r="A523" s="3">
        <v>542</v>
      </c>
      <c r="B523" s="3">
        <v>542</v>
      </c>
      <c r="C523" s="4" t="s">
        <v>531</v>
      </c>
      <c r="D523" s="4" t="str">
        <f t="shared" si="176"/>
        <v>J896WN</v>
      </c>
      <c r="E523" s="4" t="s">
        <v>531</v>
      </c>
      <c r="F523" s="4" t="str">
        <f t="shared" si="192"/>
        <v>J896WN5</v>
      </c>
      <c r="G523" s="4" t="s">
        <v>1175</v>
      </c>
      <c r="H523" s="5">
        <v>4974268101181</v>
      </c>
      <c r="I523" s="5">
        <v>5</v>
      </c>
      <c r="J523" s="5"/>
      <c r="K523" s="5">
        <v>1</v>
      </c>
      <c r="L523" s="5">
        <v>1</v>
      </c>
      <c r="M523" s="4">
        <v>3700</v>
      </c>
      <c r="N523" s="4">
        <v>3170</v>
      </c>
      <c r="O523" s="4">
        <v>2220</v>
      </c>
      <c r="P523" s="6">
        <f t="shared" si="177"/>
        <v>0.29968454258675081</v>
      </c>
      <c r="Q523" s="4" t="s">
        <v>1280</v>
      </c>
      <c r="R523" s="4" t="s">
        <v>1280</v>
      </c>
      <c r="S523" s="4" t="s">
        <v>1280</v>
      </c>
      <c r="T523" s="4">
        <v>4000</v>
      </c>
      <c r="U523" s="4">
        <f t="shared" si="178"/>
        <v>4000</v>
      </c>
      <c r="V523" s="4">
        <v>2400</v>
      </c>
      <c r="W523" s="4">
        <f t="shared" si="179"/>
        <v>2400</v>
      </c>
      <c r="X523" s="4"/>
      <c r="Y523" s="21">
        <f t="shared" si="180"/>
        <v>3427</v>
      </c>
      <c r="Z523" s="6">
        <f t="shared" si="181"/>
        <v>0.29967901955062737</v>
      </c>
      <c r="AA523" s="4">
        <v>0</v>
      </c>
      <c r="AB523" s="4">
        <f t="shared" si="182"/>
        <v>3552</v>
      </c>
      <c r="AC523" s="4">
        <f t="shared" si="193"/>
        <v>3840</v>
      </c>
      <c r="AD523" s="6">
        <f t="shared" si="194"/>
        <v>0.375</v>
      </c>
      <c r="AE523" s="4">
        <f t="shared" si="195"/>
        <v>3800</v>
      </c>
      <c r="AF523" s="7">
        <v>3700</v>
      </c>
      <c r="AG523" s="6">
        <f t="shared" si="183"/>
        <v>0.35135135135135132</v>
      </c>
      <c r="AH523" s="4">
        <f t="shared" si="184"/>
        <v>1300</v>
      </c>
      <c r="AI523" s="28"/>
      <c r="AJ523" s="6"/>
      <c r="AK523" s="6"/>
      <c r="AL523" s="6">
        <f t="shared" si="185"/>
        <v>1.0810810810810811</v>
      </c>
      <c r="AM523" s="6">
        <f t="shared" si="186"/>
        <v>1.1671924290220821</v>
      </c>
      <c r="AN523" s="6">
        <f t="shared" si="187"/>
        <v>1.0810810810810811</v>
      </c>
      <c r="AO523" s="4" t="str">
        <f t="shared" si="188"/>
        <v>-</v>
      </c>
      <c r="AP523" s="4" t="str">
        <f t="shared" si="189"/>
        <v>-</v>
      </c>
      <c r="AQ523" s="4" t="str">
        <f t="shared" si="190"/>
        <v>-</v>
      </c>
      <c r="AR523" s="4">
        <v>0</v>
      </c>
      <c r="AS523" s="4" t="s">
        <v>2095</v>
      </c>
      <c r="AT523" s="4"/>
      <c r="AU523" s="4"/>
      <c r="AV523" s="4" t="s">
        <v>1729</v>
      </c>
      <c r="AW523" s="4">
        <v>3552</v>
      </c>
      <c r="AX523" s="4">
        <v>3552</v>
      </c>
      <c r="AY523" s="4">
        <v>3552</v>
      </c>
      <c r="AZ523" s="4">
        <f t="shared" si="191"/>
        <v>3552</v>
      </c>
      <c r="BA523" s="19">
        <v>4</v>
      </c>
      <c r="BB523" s="19">
        <v>8</v>
      </c>
      <c r="BC523" s="16">
        <v>19</v>
      </c>
      <c r="BD523" t="s">
        <v>1280</v>
      </c>
      <c r="BE523" t="s">
        <v>1280</v>
      </c>
      <c r="BF523" t="s">
        <v>1280</v>
      </c>
      <c r="BG523" t="str">
        <f t="shared" si="196"/>
        <v>-</v>
      </c>
      <c r="BH523" t="s">
        <v>1280</v>
      </c>
      <c r="BI523">
        <v>3364</v>
      </c>
      <c r="BJ523">
        <v>3364</v>
      </c>
      <c r="BK523">
        <f t="shared" si="197"/>
        <v>3636.7567567567571</v>
      </c>
      <c r="BL523" t="s">
        <v>1593</v>
      </c>
      <c r="BM523">
        <v>812</v>
      </c>
    </row>
    <row r="524" spans="1:65" x14ac:dyDescent="0.4">
      <c r="A524" s="3">
        <v>268</v>
      </c>
      <c r="B524" s="3">
        <v>268</v>
      </c>
      <c r="C524" s="4" t="s">
        <v>257</v>
      </c>
      <c r="D524" s="4" t="str">
        <f t="shared" si="176"/>
        <v>J38920</v>
      </c>
      <c r="E524" s="4" t="s">
        <v>257</v>
      </c>
      <c r="F524" s="4" t="str">
        <f t="shared" si="192"/>
        <v>J389205</v>
      </c>
      <c r="G524" s="4" t="s">
        <v>903</v>
      </c>
      <c r="H524" s="5">
        <v>4974268830692</v>
      </c>
      <c r="I524" s="5">
        <v>5</v>
      </c>
      <c r="J524" s="5"/>
      <c r="K524" s="5">
        <v>1</v>
      </c>
      <c r="L524" s="5">
        <v>1</v>
      </c>
      <c r="M524" s="4">
        <v>3650</v>
      </c>
      <c r="N524" s="4">
        <v>3468</v>
      </c>
      <c r="O524" s="4">
        <v>2190</v>
      </c>
      <c r="P524" s="6">
        <f t="shared" si="177"/>
        <v>0.36851211072664358</v>
      </c>
      <c r="Q524" s="4" t="s">
        <v>1280</v>
      </c>
      <c r="R524" s="4" t="s">
        <v>1280</v>
      </c>
      <c r="S524" s="4" t="s">
        <v>1280</v>
      </c>
      <c r="T524" s="4">
        <v>4100</v>
      </c>
      <c r="U524" s="4">
        <f t="shared" si="178"/>
        <v>4100</v>
      </c>
      <c r="V524" s="4">
        <v>2460</v>
      </c>
      <c r="W524" s="4">
        <f t="shared" si="179"/>
        <v>2460</v>
      </c>
      <c r="X524" s="4"/>
      <c r="Y524" s="21">
        <f t="shared" si="180"/>
        <v>3896</v>
      </c>
      <c r="Z524" s="6">
        <f t="shared" si="181"/>
        <v>0.36858316221765919</v>
      </c>
      <c r="AA524" s="4">
        <v>0.25</v>
      </c>
      <c r="AB524" s="4" t="str">
        <f t="shared" si="182"/>
        <v>-</v>
      </c>
      <c r="AC524" s="4" t="str">
        <f t="shared" si="193"/>
        <v>-</v>
      </c>
      <c r="AD524" s="6" t="str">
        <f t="shared" si="194"/>
        <v>-</v>
      </c>
      <c r="AE524" s="4">
        <f t="shared" si="195"/>
        <v>3895</v>
      </c>
      <c r="AF524" s="7">
        <v>3300</v>
      </c>
      <c r="AG524" s="6">
        <f t="shared" si="183"/>
        <v>0.25454545454545452</v>
      </c>
      <c r="AH524" s="4">
        <f t="shared" si="184"/>
        <v>840</v>
      </c>
      <c r="AI524" s="28"/>
      <c r="AJ524" s="6"/>
      <c r="AK524" s="6"/>
      <c r="AL524" s="6">
        <f t="shared" si="185"/>
        <v>1.1232876712328768</v>
      </c>
      <c r="AM524" s="6">
        <f t="shared" si="186"/>
        <v>0.95155709342560557</v>
      </c>
      <c r="AN524" s="6">
        <f t="shared" si="187"/>
        <v>1.1232876712328768</v>
      </c>
      <c r="AO524" s="4" t="str">
        <f t="shared" si="188"/>
        <v>-</v>
      </c>
      <c r="AP524" s="4" t="str">
        <f t="shared" si="189"/>
        <v>-</v>
      </c>
      <c r="AQ524" s="4" t="str">
        <f t="shared" si="190"/>
        <v>-</v>
      </c>
      <c r="AR524" s="4">
        <v>0</v>
      </c>
      <c r="AS524" s="4" t="s">
        <v>1280</v>
      </c>
      <c r="AT524" s="4"/>
      <c r="AU524" s="4"/>
      <c r="AV524" s="4" t="s">
        <v>1280</v>
      </c>
      <c r="AW524" s="4" t="s">
        <v>1280</v>
      </c>
      <c r="AX524" s="4" t="s">
        <v>1280</v>
      </c>
      <c r="AY524" s="4" t="s">
        <v>1280</v>
      </c>
      <c r="AZ524" s="4" t="str">
        <f t="shared" si="191"/>
        <v>-</v>
      </c>
      <c r="BA524" s="19">
        <v>4</v>
      </c>
      <c r="BB524" s="19">
        <v>8</v>
      </c>
      <c r="BC524" s="16">
        <v>18</v>
      </c>
      <c r="BD524" t="s">
        <v>1280</v>
      </c>
      <c r="BE524" t="s">
        <v>1280</v>
      </c>
      <c r="BF524" t="s">
        <v>1280</v>
      </c>
      <c r="BG524" t="str">
        <f t="shared" si="196"/>
        <v>-</v>
      </c>
      <c r="BH524">
        <v>2939</v>
      </c>
      <c r="BI524">
        <v>2939</v>
      </c>
      <c r="BJ524">
        <v>2939</v>
      </c>
      <c r="BK524">
        <f t="shared" si="197"/>
        <v>3301.3424657534247</v>
      </c>
      <c r="BL524" t="s">
        <v>1280</v>
      </c>
      <c r="BM524">
        <v>812</v>
      </c>
    </row>
    <row r="525" spans="1:65" x14ac:dyDescent="0.4">
      <c r="A525" s="3">
        <v>271</v>
      </c>
      <c r="B525" s="3">
        <v>271</v>
      </c>
      <c r="C525" s="4" t="s">
        <v>260</v>
      </c>
      <c r="D525" s="4" t="str">
        <f t="shared" si="176"/>
        <v>J38922</v>
      </c>
      <c r="E525" s="4" t="s">
        <v>260</v>
      </c>
      <c r="F525" s="4" t="str">
        <f t="shared" si="192"/>
        <v>J389225</v>
      </c>
      <c r="G525" s="4" t="s">
        <v>906</v>
      </c>
      <c r="H525" s="5">
        <v>4974268830708</v>
      </c>
      <c r="I525" s="5">
        <v>5</v>
      </c>
      <c r="J525" s="5"/>
      <c r="K525" s="5">
        <v>1</v>
      </c>
      <c r="L525" s="5">
        <v>1</v>
      </c>
      <c r="M525" s="4">
        <v>3650</v>
      </c>
      <c r="N525" s="4">
        <v>2903</v>
      </c>
      <c r="O525" s="4">
        <v>2190</v>
      </c>
      <c r="P525" s="6">
        <f t="shared" si="177"/>
        <v>0.24560799173269032</v>
      </c>
      <c r="Q525" s="4" t="s">
        <v>1280</v>
      </c>
      <c r="R525" s="4" t="s">
        <v>1280</v>
      </c>
      <c r="S525" s="4" t="s">
        <v>1280</v>
      </c>
      <c r="T525" s="4">
        <v>4100</v>
      </c>
      <c r="U525" s="4">
        <f t="shared" si="178"/>
        <v>4100</v>
      </c>
      <c r="V525" s="4">
        <v>2460</v>
      </c>
      <c r="W525" s="4">
        <f t="shared" si="179"/>
        <v>2460</v>
      </c>
      <c r="X525" s="4"/>
      <c r="Y525" s="21">
        <f t="shared" si="180"/>
        <v>3261</v>
      </c>
      <c r="Z525" s="6">
        <f t="shared" si="181"/>
        <v>0.2456301747930083</v>
      </c>
      <c r="AA525" s="4">
        <v>0</v>
      </c>
      <c r="AB525" s="4">
        <f t="shared" si="182"/>
        <v>2799</v>
      </c>
      <c r="AC525" s="4">
        <f t="shared" si="193"/>
        <v>3144.0821917808221</v>
      </c>
      <c r="AD525" s="6">
        <f t="shared" si="194"/>
        <v>0.21757770632368711</v>
      </c>
      <c r="AE525" s="4">
        <f t="shared" si="195"/>
        <v>3895</v>
      </c>
      <c r="AF525" s="7">
        <v>3300</v>
      </c>
      <c r="AG525" s="6">
        <f t="shared" si="183"/>
        <v>0.25454545454545452</v>
      </c>
      <c r="AH525" s="4">
        <f t="shared" si="184"/>
        <v>840</v>
      </c>
      <c r="AI525" s="28"/>
      <c r="AJ525" s="6"/>
      <c r="AK525" s="6"/>
      <c r="AL525" s="6">
        <f t="shared" si="185"/>
        <v>1.1232876712328768</v>
      </c>
      <c r="AM525" s="6">
        <f t="shared" si="186"/>
        <v>1.1367550809507405</v>
      </c>
      <c r="AN525" s="6">
        <f t="shared" si="187"/>
        <v>1.1232876712328768</v>
      </c>
      <c r="AO525" s="4" t="str">
        <f t="shared" si="188"/>
        <v>-</v>
      </c>
      <c r="AP525" s="4" t="str">
        <f t="shared" si="189"/>
        <v>-</v>
      </c>
      <c r="AQ525" s="4" t="str">
        <f t="shared" si="190"/>
        <v>-</v>
      </c>
      <c r="AR525" s="4">
        <v>0</v>
      </c>
      <c r="AS525" s="4" t="s">
        <v>1900</v>
      </c>
      <c r="AT525" s="4"/>
      <c r="AU525" s="4"/>
      <c r="AV525" s="4" t="s">
        <v>1697</v>
      </c>
      <c r="AW525" s="4">
        <v>2799</v>
      </c>
      <c r="AX525" s="4">
        <v>2799</v>
      </c>
      <c r="AY525" s="4">
        <v>2799</v>
      </c>
      <c r="AZ525" s="4">
        <f t="shared" si="191"/>
        <v>2799</v>
      </c>
      <c r="BA525" s="19">
        <v>4</v>
      </c>
      <c r="BB525" s="19">
        <v>8</v>
      </c>
      <c r="BC525" s="16">
        <v>18</v>
      </c>
      <c r="BD525" t="s">
        <v>1280</v>
      </c>
      <c r="BE525" t="s">
        <v>1280</v>
      </c>
      <c r="BF525" t="s">
        <v>1280</v>
      </c>
      <c r="BG525" t="str">
        <f t="shared" si="196"/>
        <v>-</v>
      </c>
      <c r="BH525">
        <v>2939</v>
      </c>
      <c r="BI525">
        <v>2939</v>
      </c>
      <c r="BJ525">
        <v>2939</v>
      </c>
      <c r="BK525">
        <f t="shared" si="197"/>
        <v>3301.3424657534247</v>
      </c>
      <c r="BL525" t="s">
        <v>1443</v>
      </c>
      <c r="BM525">
        <v>812</v>
      </c>
    </row>
    <row r="526" spans="1:65" x14ac:dyDescent="0.4">
      <c r="A526" s="3">
        <v>412</v>
      </c>
      <c r="B526" s="3">
        <v>412</v>
      </c>
      <c r="C526" s="4" t="s">
        <v>401</v>
      </c>
      <c r="D526" s="4" t="str">
        <f t="shared" si="176"/>
        <v>J54482</v>
      </c>
      <c r="E526" s="4" t="s">
        <v>401</v>
      </c>
      <c r="F526" s="4" t="str">
        <f t="shared" si="192"/>
        <v>J544825</v>
      </c>
      <c r="G526" s="4" t="s">
        <v>1045</v>
      </c>
      <c r="H526" s="5">
        <v>4974268831446</v>
      </c>
      <c r="I526" s="5">
        <v>5</v>
      </c>
      <c r="J526" s="5"/>
      <c r="K526" s="5">
        <v>1</v>
      </c>
      <c r="L526" s="5">
        <v>1</v>
      </c>
      <c r="M526" s="4">
        <v>3650</v>
      </c>
      <c r="N526" s="4">
        <v>3310</v>
      </c>
      <c r="O526" s="4">
        <v>2190</v>
      </c>
      <c r="P526" s="6">
        <f t="shared" si="177"/>
        <v>0.33836858006042292</v>
      </c>
      <c r="Q526" s="4" t="s">
        <v>1280</v>
      </c>
      <c r="R526" s="4" t="s">
        <v>1280</v>
      </c>
      <c r="S526" s="4" t="s">
        <v>1280</v>
      </c>
      <c r="T526" s="4">
        <v>4100</v>
      </c>
      <c r="U526" s="4">
        <f t="shared" si="178"/>
        <v>4100</v>
      </c>
      <c r="V526" s="4">
        <v>2460</v>
      </c>
      <c r="W526" s="4">
        <f t="shared" si="179"/>
        <v>2460</v>
      </c>
      <c r="X526" s="4"/>
      <c r="Y526" s="21">
        <f t="shared" si="180"/>
        <v>3718</v>
      </c>
      <c r="Z526" s="6">
        <f t="shared" si="181"/>
        <v>0.33835395373856914</v>
      </c>
      <c r="AA526" s="4">
        <v>0</v>
      </c>
      <c r="AB526" s="4">
        <f t="shared" si="182"/>
        <v>3246</v>
      </c>
      <c r="AC526" s="4">
        <f t="shared" si="193"/>
        <v>3646.1917808219177</v>
      </c>
      <c r="AD526" s="6">
        <f t="shared" si="194"/>
        <v>0.32532347504621073</v>
      </c>
      <c r="AE526" s="4">
        <f t="shared" si="195"/>
        <v>3895</v>
      </c>
      <c r="AF526" s="7">
        <v>3646</v>
      </c>
      <c r="AG526" s="6">
        <f t="shared" si="183"/>
        <v>0.32528798683488758</v>
      </c>
      <c r="AH526" s="4">
        <f t="shared" si="184"/>
        <v>1186</v>
      </c>
      <c r="AI526" s="28"/>
      <c r="AJ526" s="6"/>
      <c r="AK526" s="6"/>
      <c r="AL526" s="6">
        <f t="shared" si="185"/>
        <v>1.1232876712328768</v>
      </c>
      <c r="AM526" s="6">
        <f t="shared" si="186"/>
        <v>1.1015105740181268</v>
      </c>
      <c r="AN526" s="6">
        <f t="shared" si="187"/>
        <v>1.1232876712328768</v>
      </c>
      <c r="AO526" s="4" t="str">
        <f t="shared" si="188"/>
        <v>-</v>
      </c>
      <c r="AP526" s="4" t="str">
        <f t="shared" si="189"/>
        <v>-</v>
      </c>
      <c r="AQ526" s="4" t="str">
        <f t="shared" si="190"/>
        <v>-</v>
      </c>
      <c r="AR526" s="4">
        <v>0</v>
      </c>
      <c r="AS526" s="4" t="s">
        <v>1973</v>
      </c>
      <c r="AT526" s="4"/>
      <c r="AU526" s="4"/>
      <c r="AV526" s="4" t="s">
        <v>1697</v>
      </c>
      <c r="AW526" s="4">
        <v>3246</v>
      </c>
      <c r="AX526" s="4">
        <v>3246</v>
      </c>
      <c r="AY526" s="4">
        <v>3246</v>
      </c>
      <c r="AZ526" s="4">
        <f t="shared" si="191"/>
        <v>3246</v>
      </c>
      <c r="BA526" s="19">
        <v>4</v>
      </c>
      <c r="BB526" s="19">
        <v>8</v>
      </c>
      <c r="BC526" s="16">
        <v>18</v>
      </c>
      <c r="BD526">
        <v>3318</v>
      </c>
      <c r="BE526" t="s">
        <v>1280</v>
      </c>
      <c r="BF526">
        <v>3318</v>
      </c>
      <c r="BG526">
        <f t="shared" si="196"/>
        <v>3727.0684931506853</v>
      </c>
      <c r="BH526">
        <v>3565</v>
      </c>
      <c r="BI526">
        <v>3565</v>
      </c>
      <c r="BJ526">
        <v>3565</v>
      </c>
      <c r="BK526">
        <f t="shared" si="197"/>
        <v>4004.5205479452056</v>
      </c>
      <c r="BL526" t="s">
        <v>1495</v>
      </c>
      <c r="BM526">
        <v>812</v>
      </c>
    </row>
    <row r="527" spans="1:65" x14ac:dyDescent="0.4">
      <c r="A527" s="3">
        <v>447</v>
      </c>
      <c r="B527" s="3">
        <v>447</v>
      </c>
      <c r="C527" s="4" t="s">
        <v>436</v>
      </c>
      <c r="D527" s="4" t="str">
        <f t="shared" si="176"/>
        <v>J54526</v>
      </c>
      <c r="E527" s="4" t="s">
        <v>436</v>
      </c>
      <c r="F527" s="4" t="str">
        <f t="shared" si="192"/>
        <v>J545265</v>
      </c>
      <c r="G527" s="4" t="s">
        <v>1080</v>
      </c>
      <c r="H527" s="5">
        <v>4974268560285</v>
      </c>
      <c r="I527" s="5">
        <v>5</v>
      </c>
      <c r="J527" s="5"/>
      <c r="K527" s="5">
        <v>1</v>
      </c>
      <c r="L527" s="5">
        <v>1</v>
      </c>
      <c r="M527" s="4">
        <v>3800</v>
      </c>
      <c r="N527" s="4">
        <v>3462</v>
      </c>
      <c r="O527" s="4">
        <v>2280</v>
      </c>
      <c r="P527" s="6">
        <f t="shared" si="177"/>
        <v>0.34142114384748701</v>
      </c>
      <c r="Q527" s="4" t="s">
        <v>1280</v>
      </c>
      <c r="R527" s="4" t="s">
        <v>1280</v>
      </c>
      <c r="S527" s="4" t="s">
        <v>1280</v>
      </c>
      <c r="T527" s="4">
        <v>4100</v>
      </c>
      <c r="U527" s="4">
        <f t="shared" si="178"/>
        <v>4100</v>
      </c>
      <c r="V527" s="4">
        <v>2460</v>
      </c>
      <c r="W527" s="4">
        <f t="shared" si="179"/>
        <v>2460</v>
      </c>
      <c r="X527" s="4"/>
      <c r="Y527" s="21">
        <f t="shared" si="180"/>
        <v>3735</v>
      </c>
      <c r="Z527" s="6">
        <f t="shared" si="181"/>
        <v>0.34136546184738958</v>
      </c>
      <c r="AA527" s="4">
        <v>0</v>
      </c>
      <c r="AB527" s="4">
        <f t="shared" si="182"/>
        <v>3091</v>
      </c>
      <c r="AC527" s="4">
        <f t="shared" si="193"/>
        <v>3335.0263157894738</v>
      </c>
      <c r="AD527" s="6">
        <f t="shared" si="194"/>
        <v>0.26237463604011646</v>
      </c>
      <c r="AE527" s="4">
        <f t="shared" si="195"/>
        <v>3895</v>
      </c>
      <c r="AF527" s="7">
        <v>3335</v>
      </c>
      <c r="AG527" s="6">
        <f t="shared" si="183"/>
        <v>0.26236881559220393</v>
      </c>
      <c r="AH527" s="4">
        <f t="shared" si="184"/>
        <v>875</v>
      </c>
      <c r="AI527" s="28"/>
      <c r="AJ527" s="6"/>
      <c r="AK527" s="6"/>
      <c r="AL527" s="6">
        <f t="shared" si="185"/>
        <v>1.0789473684210527</v>
      </c>
      <c r="AM527" s="6">
        <f t="shared" si="186"/>
        <v>0.96331600231080305</v>
      </c>
      <c r="AN527" s="6">
        <f t="shared" si="187"/>
        <v>1.0789473684210527</v>
      </c>
      <c r="AO527" s="4" t="str">
        <f t="shared" si="188"/>
        <v>-</v>
      </c>
      <c r="AP527" s="4" t="str">
        <f t="shared" si="189"/>
        <v>-</v>
      </c>
      <c r="AQ527" s="4" t="str">
        <f t="shared" si="190"/>
        <v>-</v>
      </c>
      <c r="AR527" s="4">
        <v>0</v>
      </c>
      <c r="AS527" s="4" t="s">
        <v>2006</v>
      </c>
      <c r="AT527" s="4"/>
      <c r="AU527" s="4"/>
      <c r="AV527" s="4" t="s">
        <v>1721</v>
      </c>
      <c r="AW527" s="4">
        <v>3091</v>
      </c>
      <c r="AX527" s="4">
        <v>3091</v>
      </c>
      <c r="AY527" s="4">
        <v>3091</v>
      </c>
      <c r="AZ527" s="4">
        <f t="shared" si="191"/>
        <v>3091</v>
      </c>
      <c r="BA527" s="19">
        <v>4</v>
      </c>
      <c r="BB527" s="19">
        <v>8</v>
      </c>
      <c r="BC527" s="16">
        <v>18</v>
      </c>
      <c r="BD527" t="s">
        <v>1280</v>
      </c>
      <c r="BE527" t="s">
        <v>1280</v>
      </c>
      <c r="BF527" t="s">
        <v>1280</v>
      </c>
      <c r="BG527" t="str">
        <f t="shared" si="196"/>
        <v>-</v>
      </c>
      <c r="BH527">
        <v>3677</v>
      </c>
      <c r="BI527">
        <v>3677</v>
      </c>
      <c r="BJ527">
        <v>3677</v>
      </c>
      <c r="BK527">
        <f t="shared" si="197"/>
        <v>3967.2894736842104</v>
      </c>
      <c r="BL527" t="s">
        <v>1524</v>
      </c>
      <c r="BM527">
        <v>812</v>
      </c>
    </row>
    <row r="528" spans="1:65" x14ac:dyDescent="0.4">
      <c r="A528" s="3">
        <v>571</v>
      </c>
      <c r="B528" s="3">
        <v>571</v>
      </c>
      <c r="C528" s="4" t="s">
        <v>560</v>
      </c>
      <c r="D528" s="4" t="str">
        <f t="shared" si="176"/>
        <v>J937SA</v>
      </c>
      <c r="E528" s="4" t="s">
        <v>560</v>
      </c>
      <c r="F528" s="4" t="str">
        <f t="shared" si="192"/>
        <v>J937SA5</v>
      </c>
      <c r="G528" s="4" t="s">
        <v>1204</v>
      </c>
      <c r="H528" s="5">
        <v>4974268831453</v>
      </c>
      <c r="I528" s="5">
        <v>5</v>
      </c>
      <c r="J528" s="5"/>
      <c r="K528" s="5">
        <v>1</v>
      </c>
      <c r="L528" s="5">
        <v>1</v>
      </c>
      <c r="M528" s="4">
        <v>3800</v>
      </c>
      <c r="N528" s="4">
        <v>2933</v>
      </c>
      <c r="O528" s="4">
        <v>2280</v>
      </c>
      <c r="P528" s="6">
        <f t="shared" si="177"/>
        <v>0.22263893624275488</v>
      </c>
      <c r="Q528" s="4" t="s">
        <v>1280</v>
      </c>
      <c r="R528" s="4" t="s">
        <v>1280</v>
      </c>
      <c r="S528" s="4" t="s">
        <v>1280</v>
      </c>
      <c r="T528" s="4">
        <v>4200</v>
      </c>
      <c r="U528" s="4">
        <f t="shared" si="178"/>
        <v>4200</v>
      </c>
      <c r="V528" s="4">
        <v>2520</v>
      </c>
      <c r="W528" s="4">
        <f t="shared" si="179"/>
        <v>2520</v>
      </c>
      <c r="X528" s="4"/>
      <c r="Y528" s="21">
        <f t="shared" si="180"/>
        <v>3242</v>
      </c>
      <c r="Z528" s="6">
        <f t="shared" si="181"/>
        <v>0.2227020357803825</v>
      </c>
      <c r="AA528" s="4">
        <v>0</v>
      </c>
      <c r="AB528" s="4">
        <f t="shared" si="182"/>
        <v>2719</v>
      </c>
      <c r="AC528" s="4">
        <f t="shared" si="193"/>
        <v>3005.2105263157896</v>
      </c>
      <c r="AD528" s="6">
        <f t="shared" si="194"/>
        <v>0.161456417800662</v>
      </c>
      <c r="AE528" s="4">
        <f t="shared" si="195"/>
        <v>3990</v>
      </c>
      <c r="AF528" s="7">
        <v>3358</v>
      </c>
      <c r="AG528" s="6">
        <f t="shared" si="183"/>
        <v>0.24955330553901134</v>
      </c>
      <c r="AH528" s="4">
        <f t="shared" si="184"/>
        <v>838</v>
      </c>
      <c r="AI528" s="28"/>
      <c r="AJ528" s="6"/>
      <c r="AK528" s="6"/>
      <c r="AL528" s="6">
        <f t="shared" si="185"/>
        <v>1.1052631578947369</v>
      </c>
      <c r="AM528" s="6">
        <f t="shared" si="186"/>
        <v>1.1449028298670303</v>
      </c>
      <c r="AN528" s="6">
        <f t="shared" si="187"/>
        <v>1.1052631578947369</v>
      </c>
      <c r="AO528" s="4" t="str">
        <f t="shared" si="188"/>
        <v>-</v>
      </c>
      <c r="AP528" s="4" t="str">
        <f t="shared" si="189"/>
        <v>-</v>
      </c>
      <c r="AQ528" s="4" t="str">
        <f t="shared" si="190"/>
        <v>-</v>
      </c>
      <c r="AR528" s="4">
        <v>0</v>
      </c>
      <c r="AS528" s="4" t="s">
        <v>2131</v>
      </c>
      <c r="AT528" s="4"/>
      <c r="AU528" s="4"/>
      <c r="AV528" s="4" t="s">
        <v>2132</v>
      </c>
      <c r="AW528" s="4">
        <v>2719</v>
      </c>
      <c r="AX528" s="4">
        <v>2719</v>
      </c>
      <c r="AY528" s="4">
        <v>2719</v>
      </c>
      <c r="AZ528" s="4">
        <f t="shared" si="191"/>
        <v>2719</v>
      </c>
      <c r="BA528" s="19">
        <v>4</v>
      </c>
      <c r="BB528" s="19">
        <v>1</v>
      </c>
      <c r="BC528" s="16">
        <v>18</v>
      </c>
      <c r="BD528">
        <v>3039</v>
      </c>
      <c r="BE528">
        <v>3039</v>
      </c>
      <c r="BF528">
        <v>3039</v>
      </c>
      <c r="BG528">
        <f t="shared" si="196"/>
        <v>3358.8947368421054</v>
      </c>
      <c r="BH528">
        <v>3632</v>
      </c>
      <c r="BI528">
        <v>3632</v>
      </c>
      <c r="BJ528">
        <v>3632</v>
      </c>
      <c r="BK528">
        <f t="shared" si="197"/>
        <v>4014.3157894736846</v>
      </c>
      <c r="BL528" t="s">
        <v>1622</v>
      </c>
      <c r="BM528">
        <v>812</v>
      </c>
    </row>
    <row r="529" spans="1:65" x14ac:dyDescent="0.4">
      <c r="A529" s="3">
        <v>624</v>
      </c>
      <c r="B529" s="3">
        <v>624</v>
      </c>
      <c r="C529" s="4" t="s">
        <v>613</v>
      </c>
      <c r="D529" s="4" t="str">
        <f t="shared" si="176"/>
        <v>J965WN</v>
      </c>
      <c r="E529" s="4" t="s">
        <v>613</v>
      </c>
      <c r="F529" s="4" t="str">
        <f t="shared" si="192"/>
        <v>J965WN5</v>
      </c>
      <c r="G529" s="4" t="s">
        <v>1257</v>
      </c>
      <c r="H529" s="5">
        <v>4974268562135</v>
      </c>
      <c r="I529" s="5">
        <v>5</v>
      </c>
      <c r="J529" s="5"/>
      <c r="K529" s="5">
        <v>1</v>
      </c>
      <c r="L529" s="5">
        <v>1</v>
      </c>
      <c r="M529" s="4">
        <v>3800</v>
      </c>
      <c r="N529" s="4">
        <v>3260</v>
      </c>
      <c r="O529" s="4">
        <v>2280</v>
      </c>
      <c r="P529" s="6">
        <f t="shared" si="177"/>
        <v>0.30061349693251538</v>
      </c>
      <c r="Q529" s="4" t="s">
        <v>1280</v>
      </c>
      <c r="R529" s="4" t="s">
        <v>1280</v>
      </c>
      <c r="S529" s="4" t="s">
        <v>1280</v>
      </c>
      <c r="T529" s="4">
        <v>4200</v>
      </c>
      <c r="U529" s="4">
        <f t="shared" si="178"/>
        <v>4200</v>
      </c>
      <c r="V529" s="4">
        <v>2520</v>
      </c>
      <c r="W529" s="4">
        <f t="shared" si="179"/>
        <v>2520</v>
      </c>
      <c r="X529" s="4"/>
      <c r="Y529" s="21">
        <f t="shared" si="180"/>
        <v>3603</v>
      </c>
      <c r="Z529" s="6">
        <f t="shared" si="181"/>
        <v>0.30058284762697751</v>
      </c>
      <c r="AA529" s="4">
        <v>0</v>
      </c>
      <c r="AB529" s="4">
        <f t="shared" si="182"/>
        <v>3115</v>
      </c>
      <c r="AC529" s="4">
        <f t="shared" si="193"/>
        <v>3442.8947368421054</v>
      </c>
      <c r="AD529" s="6">
        <f t="shared" si="194"/>
        <v>0.2680577849117175</v>
      </c>
      <c r="AE529" s="4">
        <f t="shared" si="195"/>
        <v>3990</v>
      </c>
      <c r="AF529" s="7">
        <v>3442</v>
      </c>
      <c r="AG529" s="6">
        <f t="shared" si="183"/>
        <v>0.26786751888436955</v>
      </c>
      <c r="AH529" s="4">
        <f t="shared" si="184"/>
        <v>922</v>
      </c>
      <c r="AI529" s="28"/>
      <c r="AJ529" s="6"/>
      <c r="AK529" s="6"/>
      <c r="AL529" s="6">
        <f t="shared" si="185"/>
        <v>1.1052631578947369</v>
      </c>
      <c r="AM529" s="6">
        <f t="shared" si="186"/>
        <v>1.0558282208588956</v>
      </c>
      <c r="AN529" s="6">
        <f t="shared" si="187"/>
        <v>1.1052631578947369</v>
      </c>
      <c r="AO529" s="4" t="str">
        <f t="shared" si="188"/>
        <v>-</v>
      </c>
      <c r="AP529" s="4" t="str">
        <f t="shared" si="189"/>
        <v>-</v>
      </c>
      <c r="AQ529" s="4" t="str">
        <f t="shared" si="190"/>
        <v>-</v>
      </c>
      <c r="AR529" s="4">
        <v>0</v>
      </c>
      <c r="AS529" s="4" t="s">
        <v>2183</v>
      </c>
      <c r="AT529" s="4"/>
      <c r="AU529" s="4"/>
      <c r="AV529" s="4" t="s">
        <v>1697</v>
      </c>
      <c r="AW529" s="4">
        <v>3115</v>
      </c>
      <c r="AX529" s="4">
        <v>3115</v>
      </c>
      <c r="AY529" s="4">
        <v>3115</v>
      </c>
      <c r="AZ529" s="4">
        <f t="shared" si="191"/>
        <v>3115</v>
      </c>
      <c r="BA529" s="19">
        <v>4</v>
      </c>
      <c r="BB529" s="19">
        <v>8</v>
      </c>
      <c r="BC529" s="16">
        <v>18</v>
      </c>
      <c r="BD529" t="s">
        <v>1280</v>
      </c>
      <c r="BE529">
        <v>3800</v>
      </c>
      <c r="BF529">
        <v>3800</v>
      </c>
      <c r="BG529">
        <f t="shared" si="196"/>
        <v>4200</v>
      </c>
      <c r="BH529" t="s">
        <v>1280</v>
      </c>
      <c r="BI529">
        <v>3167</v>
      </c>
      <c r="BJ529">
        <v>3167</v>
      </c>
      <c r="BK529">
        <f t="shared" si="197"/>
        <v>3500.3684210526321</v>
      </c>
      <c r="BL529" t="s">
        <v>1664</v>
      </c>
      <c r="BM529">
        <v>812</v>
      </c>
    </row>
    <row r="530" spans="1:65" x14ac:dyDescent="0.4">
      <c r="A530" s="3">
        <v>374</v>
      </c>
      <c r="B530" s="3">
        <v>374</v>
      </c>
      <c r="C530" s="4" t="s">
        <v>363</v>
      </c>
      <c r="D530" s="4" t="str">
        <f t="shared" si="176"/>
        <v>J4026N</v>
      </c>
      <c r="E530" s="4" t="s">
        <v>363</v>
      </c>
      <c r="F530" s="4" t="str">
        <f t="shared" si="192"/>
        <v>J4026N5</v>
      </c>
      <c r="G530" s="4" t="s">
        <v>1009</v>
      </c>
      <c r="H530" s="5">
        <v>4529671052331</v>
      </c>
      <c r="I530" s="5">
        <v>5</v>
      </c>
      <c r="J530" s="5"/>
      <c r="K530" s="5">
        <v>1</v>
      </c>
      <c r="L530" s="5">
        <v>1</v>
      </c>
      <c r="M530" s="4">
        <v>0</v>
      </c>
      <c r="N530" s="4">
        <v>3610</v>
      </c>
      <c r="O530" s="4">
        <v>2334</v>
      </c>
      <c r="P530" s="6">
        <f t="shared" si="177"/>
        <v>0.35346260387811634</v>
      </c>
      <c r="Q530" s="4" t="s">
        <v>1280</v>
      </c>
      <c r="R530" s="4" t="s">
        <v>1280</v>
      </c>
      <c r="S530" s="4" t="s">
        <v>1280</v>
      </c>
      <c r="T530" s="4">
        <v>0</v>
      </c>
      <c r="U530" s="4">
        <f t="shared" si="178"/>
        <v>0</v>
      </c>
      <c r="V530" s="4">
        <v>2526</v>
      </c>
      <c r="W530" s="4">
        <f t="shared" si="179"/>
        <v>2526</v>
      </c>
      <c r="X530" s="4"/>
      <c r="Y530" s="21">
        <f t="shared" si="180"/>
        <v>3907</v>
      </c>
      <c r="Z530" s="6">
        <f t="shared" si="181"/>
        <v>0.35346813411824929</v>
      </c>
      <c r="AA530" s="4">
        <v>0</v>
      </c>
      <c r="AB530" s="4" t="str">
        <f t="shared" si="182"/>
        <v>-</v>
      </c>
      <c r="AC530" s="4" t="str">
        <f t="shared" si="193"/>
        <v>-</v>
      </c>
      <c r="AD530" s="6" t="str">
        <f t="shared" si="194"/>
        <v>-</v>
      </c>
      <c r="AE530" s="4">
        <f t="shared" si="195"/>
        <v>0</v>
      </c>
      <c r="AF530" s="7">
        <v>3900</v>
      </c>
      <c r="AG530" s="6">
        <f t="shared" si="183"/>
        <v>0.35230769230769232</v>
      </c>
      <c r="AH530" s="4">
        <f t="shared" si="184"/>
        <v>1374</v>
      </c>
      <c r="AI530" s="28"/>
      <c r="AJ530" s="6"/>
      <c r="AK530" s="6"/>
      <c r="AL530" s="6" t="e">
        <f t="shared" si="185"/>
        <v>#DIV/0!</v>
      </c>
      <c r="AM530" s="6">
        <f t="shared" si="186"/>
        <v>1.0803324099722991</v>
      </c>
      <c r="AN530" s="6">
        <f t="shared" si="187"/>
        <v>1.0822622107969151</v>
      </c>
      <c r="AO530" s="4" t="str">
        <f t="shared" si="188"/>
        <v>-</v>
      </c>
      <c r="AP530" s="4" t="str">
        <f t="shared" si="189"/>
        <v>-</v>
      </c>
      <c r="AQ530" s="4" t="str">
        <f t="shared" si="190"/>
        <v>-</v>
      </c>
      <c r="AR530" s="4">
        <v>0</v>
      </c>
      <c r="AS530" s="4" t="s">
        <v>1280</v>
      </c>
      <c r="AT530" s="4"/>
      <c r="AU530" s="4"/>
      <c r="AV530" s="4" t="s">
        <v>1280</v>
      </c>
      <c r="AW530" s="4" t="s">
        <v>1280</v>
      </c>
      <c r="AX530" s="4" t="s">
        <v>1280</v>
      </c>
      <c r="AY530" s="4" t="s">
        <v>1280</v>
      </c>
      <c r="AZ530" s="4" t="str">
        <f t="shared" si="191"/>
        <v>-</v>
      </c>
      <c r="BA530" s="19">
        <v>4</v>
      </c>
      <c r="BB530" s="19">
        <v>8</v>
      </c>
      <c r="BC530" s="16">
        <v>19</v>
      </c>
      <c r="BD530" t="s">
        <v>1280</v>
      </c>
      <c r="BE530" t="s">
        <v>1280</v>
      </c>
      <c r="BF530" t="s">
        <v>1280</v>
      </c>
      <c r="BG530" t="str">
        <f t="shared" si="196"/>
        <v>-</v>
      </c>
      <c r="BH530" t="s">
        <v>1280</v>
      </c>
      <c r="BI530" t="s">
        <v>1280</v>
      </c>
      <c r="BJ530" t="s">
        <v>1280</v>
      </c>
      <c r="BK530" t="str">
        <f t="shared" si="197"/>
        <v>-</v>
      </c>
      <c r="BL530" t="s">
        <v>1280</v>
      </c>
      <c r="BM530">
        <v>812</v>
      </c>
    </row>
    <row r="531" spans="1:65" x14ac:dyDescent="0.4">
      <c r="A531" s="3">
        <v>75</v>
      </c>
      <c r="B531" s="3">
        <v>75</v>
      </c>
      <c r="C531" s="4" t="s">
        <v>64</v>
      </c>
      <c r="D531" s="4" t="str">
        <f t="shared" si="176"/>
        <v>J030WG</v>
      </c>
      <c r="E531" s="4" t="s">
        <v>64</v>
      </c>
      <c r="F531" s="4" t="str">
        <f t="shared" si="192"/>
        <v>J030WG5</v>
      </c>
      <c r="G531" s="4" t="s">
        <v>710</v>
      </c>
      <c r="H531" s="5">
        <v>4974268836229</v>
      </c>
      <c r="I531" s="5">
        <v>5</v>
      </c>
      <c r="J531" s="5"/>
      <c r="K531" s="5">
        <v>1</v>
      </c>
      <c r="L531" s="5">
        <v>1</v>
      </c>
      <c r="M531" s="4">
        <v>3850</v>
      </c>
      <c r="N531" s="4">
        <v>3554</v>
      </c>
      <c r="O531" s="4">
        <v>2310</v>
      </c>
      <c r="P531" s="6">
        <f t="shared" si="177"/>
        <v>0.35002813731007321</v>
      </c>
      <c r="Q531" s="4" t="s">
        <v>1280</v>
      </c>
      <c r="R531" s="4" t="s">
        <v>1280</v>
      </c>
      <c r="S531" s="4" t="s">
        <v>1280</v>
      </c>
      <c r="T531" s="4">
        <v>4250</v>
      </c>
      <c r="U531" s="4">
        <f t="shared" si="178"/>
        <v>4250</v>
      </c>
      <c r="V531" s="4">
        <v>2550</v>
      </c>
      <c r="W531" s="4">
        <f t="shared" si="179"/>
        <v>2550</v>
      </c>
      <c r="X531" s="4"/>
      <c r="Y531" s="21">
        <f t="shared" si="180"/>
        <v>3923</v>
      </c>
      <c r="Z531" s="6">
        <f t="shared" si="181"/>
        <v>0.34998725465205205</v>
      </c>
      <c r="AA531" s="4">
        <v>0</v>
      </c>
      <c r="AB531" s="4" t="str">
        <f t="shared" si="182"/>
        <v>-</v>
      </c>
      <c r="AC531" s="4" t="str">
        <f t="shared" si="193"/>
        <v>-</v>
      </c>
      <c r="AD531" s="6" t="str">
        <f t="shared" si="194"/>
        <v>-</v>
      </c>
      <c r="AE531" s="4">
        <f t="shared" si="195"/>
        <v>4037.5</v>
      </c>
      <c r="AF531" s="7">
        <v>3900</v>
      </c>
      <c r="AG531" s="6">
        <f t="shared" si="183"/>
        <v>0.34615384615384615</v>
      </c>
      <c r="AH531" s="4">
        <f t="shared" si="184"/>
        <v>1350</v>
      </c>
      <c r="AI531" s="28"/>
      <c r="AJ531" s="6"/>
      <c r="AK531" s="6"/>
      <c r="AL531" s="6">
        <f t="shared" si="185"/>
        <v>1.1038961038961039</v>
      </c>
      <c r="AM531" s="6">
        <f t="shared" si="186"/>
        <v>1.0973550928531233</v>
      </c>
      <c r="AN531" s="6">
        <f t="shared" si="187"/>
        <v>1.1038961038961039</v>
      </c>
      <c r="AO531" s="4" t="str">
        <f t="shared" si="188"/>
        <v>-</v>
      </c>
      <c r="AP531" s="4" t="str">
        <f t="shared" si="189"/>
        <v>-</v>
      </c>
      <c r="AQ531" s="4" t="str">
        <f t="shared" si="190"/>
        <v>-</v>
      </c>
      <c r="AR531" s="4">
        <v>0</v>
      </c>
      <c r="AS531" s="4" t="s">
        <v>1280</v>
      </c>
      <c r="AT531" s="4"/>
      <c r="AU531" s="4"/>
      <c r="AV531" s="4" t="s">
        <v>1280</v>
      </c>
      <c r="AW531" s="4" t="s">
        <v>1280</v>
      </c>
      <c r="AX531" s="4" t="s">
        <v>1280</v>
      </c>
      <c r="AY531" s="4" t="s">
        <v>1280</v>
      </c>
      <c r="AZ531" s="4" t="str">
        <f t="shared" si="191"/>
        <v>-</v>
      </c>
      <c r="BA531" s="19">
        <v>4</v>
      </c>
      <c r="BB531" s="19">
        <v>8</v>
      </c>
      <c r="BC531" s="16">
        <v>18</v>
      </c>
      <c r="BD531" t="s">
        <v>1280</v>
      </c>
      <c r="BE531" t="s">
        <v>1280</v>
      </c>
      <c r="BF531" t="s">
        <v>1280</v>
      </c>
      <c r="BG531" t="str">
        <f t="shared" si="196"/>
        <v>-</v>
      </c>
      <c r="BH531">
        <v>3850</v>
      </c>
      <c r="BI531">
        <v>3850</v>
      </c>
      <c r="BJ531">
        <v>3850</v>
      </c>
      <c r="BK531">
        <f t="shared" si="197"/>
        <v>4250</v>
      </c>
      <c r="BL531" t="s">
        <v>1280</v>
      </c>
      <c r="BM531">
        <v>812</v>
      </c>
    </row>
    <row r="532" spans="1:65" x14ac:dyDescent="0.4">
      <c r="A532" s="3">
        <v>76</v>
      </c>
      <c r="B532" s="3">
        <v>76</v>
      </c>
      <c r="C532" s="4" t="s">
        <v>65</v>
      </c>
      <c r="D532" s="4" t="str">
        <f t="shared" si="176"/>
        <v>J029WG</v>
      </c>
      <c r="E532" s="4" t="s">
        <v>65</v>
      </c>
      <c r="F532" s="4" t="str">
        <f t="shared" si="192"/>
        <v>J029WG5</v>
      </c>
      <c r="G532" s="4" t="s">
        <v>711</v>
      </c>
      <c r="H532" s="5">
        <v>4974268833075</v>
      </c>
      <c r="I532" s="5">
        <v>5</v>
      </c>
      <c r="J532" s="5"/>
      <c r="K532" s="5">
        <v>1</v>
      </c>
      <c r="L532" s="5">
        <v>1</v>
      </c>
      <c r="M532" s="4">
        <v>3850</v>
      </c>
      <c r="N532" s="4">
        <v>3554</v>
      </c>
      <c r="O532" s="4">
        <v>2310</v>
      </c>
      <c r="P532" s="6">
        <f t="shared" si="177"/>
        <v>0.35002813731007321</v>
      </c>
      <c r="Q532" s="4" t="s">
        <v>1280</v>
      </c>
      <c r="R532" s="4" t="s">
        <v>1280</v>
      </c>
      <c r="S532" s="4" t="s">
        <v>1280</v>
      </c>
      <c r="T532" s="4">
        <v>4250</v>
      </c>
      <c r="U532" s="4">
        <f t="shared" si="178"/>
        <v>4250</v>
      </c>
      <c r="V532" s="4">
        <v>2550</v>
      </c>
      <c r="W532" s="4">
        <f t="shared" si="179"/>
        <v>2550</v>
      </c>
      <c r="X532" s="4"/>
      <c r="Y532" s="21">
        <f t="shared" si="180"/>
        <v>3923</v>
      </c>
      <c r="Z532" s="6">
        <f t="shared" si="181"/>
        <v>0.34998725465205205</v>
      </c>
      <c r="AA532" s="4">
        <v>0</v>
      </c>
      <c r="AB532" s="4" t="str">
        <f t="shared" si="182"/>
        <v>-</v>
      </c>
      <c r="AC532" s="4" t="str">
        <f t="shared" si="193"/>
        <v>-</v>
      </c>
      <c r="AD532" s="6" t="str">
        <f t="shared" si="194"/>
        <v>-</v>
      </c>
      <c r="AE532" s="4">
        <f t="shared" si="195"/>
        <v>4037.5</v>
      </c>
      <c r="AF532" s="7">
        <v>3900</v>
      </c>
      <c r="AG532" s="6">
        <f t="shared" si="183"/>
        <v>0.34615384615384615</v>
      </c>
      <c r="AH532" s="4">
        <f t="shared" si="184"/>
        <v>1350</v>
      </c>
      <c r="AI532" s="28"/>
      <c r="AJ532" s="6"/>
      <c r="AK532" s="6"/>
      <c r="AL532" s="6">
        <f t="shared" si="185"/>
        <v>1.1038961038961039</v>
      </c>
      <c r="AM532" s="6">
        <f t="shared" si="186"/>
        <v>1.0973550928531233</v>
      </c>
      <c r="AN532" s="6">
        <f t="shared" si="187"/>
        <v>1.1038961038961039</v>
      </c>
      <c r="AO532" s="4" t="str">
        <f t="shared" si="188"/>
        <v>-</v>
      </c>
      <c r="AP532" s="4" t="str">
        <f t="shared" si="189"/>
        <v>-</v>
      </c>
      <c r="AQ532" s="4" t="str">
        <f t="shared" si="190"/>
        <v>-</v>
      </c>
      <c r="AR532" s="4">
        <v>0</v>
      </c>
      <c r="AS532" s="4" t="s">
        <v>1280</v>
      </c>
      <c r="AT532" s="4"/>
      <c r="AU532" s="4"/>
      <c r="AV532" s="4" t="s">
        <v>1280</v>
      </c>
      <c r="AW532" s="4" t="s">
        <v>1280</v>
      </c>
      <c r="AX532" s="4" t="s">
        <v>1280</v>
      </c>
      <c r="AY532" s="4" t="s">
        <v>1280</v>
      </c>
      <c r="AZ532" s="4" t="str">
        <f t="shared" si="191"/>
        <v>-</v>
      </c>
      <c r="BA532" s="19">
        <v>4</v>
      </c>
      <c r="BB532" s="19">
        <v>8</v>
      </c>
      <c r="BC532" s="16">
        <v>18</v>
      </c>
      <c r="BD532" t="s">
        <v>1280</v>
      </c>
      <c r="BE532" t="s">
        <v>1280</v>
      </c>
      <c r="BF532" t="s">
        <v>1280</v>
      </c>
      <c r="BG532" t="str">
        <f t="shared" si="196"/>
        <v>-</v>
      </c>
      <c r="BH532">
        <v>3811</v>
      </c>
      <c r="BI532">
        <v>3811</v>
      </c>
      <c r="BJ532">
        <v>3811</v>
      </c>
      <c r="BK532">
        <f t="shared" si="197"/>
        <v>4206.9480519480521</v>
      </c>
      <c r="BL532" t="s">
        <v>1280</v>
      </c>
      <c r="BM532">
        <v>812</v>
      </c>
    </row>
    <row r="533" spans="1:65" x14ac:dyDescent="0.4">
      <c r="A533" s="3">
        <v>575</v>
      </c>
      <c r="B533" s="3">
        <v>575</v>
      </c>
      <c r="C533" s="4" t="s">
        <v>564</v>
      </c>
      <c r="D533" s="4" t="str">
        <f t="shared" si="176"/>
        <v>J942SA</v>
      </c>
      <c r="E533" s="4" t="s">
        <v>564</v>
      </c>
      <c r="F533" s="4" t="str">
        <f t="shared" si="192"/>
        <v>J942SA5</v>
      </c>
      <c r="G533" s="4" t="s">
        <v>1208</v>
      </c>
      <c r="H533" s="5">
        <v>4974268833082</v>
      </c>
      <c r="I533" s="5">
        <v>5</v>
      </c>
      <c r="J533" s="5"/>
      <c r="K533" s="5">
        <v>1</v>
      </c>
      <c r="L533" s="5">
        <v>1</v>
      </c>
      <c r="M533" s="4">
        <v>3850</v>
      </c>
      <c r="N533" s="4">
        <v>3475</v>
      </c>
      <c r="O533" s="4">
        <v>2310</v>
      </c>
      <c r="P533" s="6">
        <f t="shared" si="177"/>
        <v>0.33525179856115106</v>
      </c>
      <c r="Q533" s="4" t="s">
        <v>1280</v>
      </c>
      <c r="R533" s="4" t="s">
        <v>1280</v>
      </c>
      <c r="S533" s="4" t="s">
        <v>1280</v>
      </c>
      <c r="T533" s="4">
        <v>4250</v>
      </c>
      <c r="U533" s="4">
        <f t="shared" si="178"/>
        <v>4250</v>
      </c>
      <c r="V533" s="4">
        <v>2550</v>
      </c>
      <c r="W533" s="4">
        <f t="shared" si="179"/>
        <v>2550</v>
      </c>
      <c r="X533" s="4"/>
      <c r="Y533" s="21">
        <f t="shared" si="180"/>
        <v>3836</v>
      </c>
      <c r="Z533" s="6">
        <f t="shared" si="181"/>
        <v>0.33524504692387902</v>
      </c>
      <c r="AA533" s="4">
        <v>0</v>
      </c>
      <c r="AB533" s="4" t="str">
        <f t="shared" si="182"/>
        <v>-</v>
      </c>
      <c r="AC533" s="4" t="str">
        <f t="shared" si="193"/>
        <v>-</v>
      </c>
      <c r="AD533" s="6" t="str">
        <f t="shared" si="194"/>
        <v>-</v>
      </c>
      <c r="AE533" s="4">
        <f t="shared" si="195"/>
        <v>4037.5</v>
      </c>
      <c r="AF533" s="7">
        <v>3900</v>
      </c>
      <c r="AG533" s="6">
        <f t="shared" si="183"/>
        <v>0.34615384615384615</v>
      </c>
      <c r="AH533" s="4">
        <f t="shared" si="184"/>
        <v>1350</v>
      </c>
      <c r="AI533" s="28"/>
      <c r="AJ533" s="6"/>
      <c r="AK533" s="6"/>
      <c r="AL533" s="6">
        <f t="shared" si="185"/>
        <v>1.1038961038961039</v>
      </c>
      <c r="AM533" s="6">
        <f t="shared" si="186"/>
        <v>1.1223021582733812</v>
      </c>
      <c r="AN533" s="6">
        <f t="shared" si="187"/>
        <v>1.1038961038961039</v>
      </c>
      <c r="AO533" s="4" t="str">
        <f t="shared" si="188"/>
        <v>-</v>
      </c>
      <c r="AP533" s="4" t="str">
        <f t="shared" si="189"/>
        <v>-</v>
      </c>
      <c r="AQ533" s="4" t="str">
        <f t="shared" si="190"/>
        <v>-</v>
      </c>
      <c r="AR533" s="4">
        <v>0</v>
      </c>
      <c r="AS533" s="4" t="s">
        <v>1280</v>
      </c>
      <c r="AT533" s="4"/>
      <c r="AU533" s="4"/>
      <c r="AV533" s="4" t="s">
        <v>1280</v>
      </c>
      <c r="AW533" s="4" t="s">
        <v>1280</v>
      </c>
      <c r="AX533" s="4" t="s">
        <v>1280</v>
      </c>
      <c r="AY533" s="4" t="s">
        <v>1280</v>
      </c>
      <c r="AZ533" s="4" t="str">
        <f t="shared" si="191"/>
        <v>-</v>
      </c>
      <c r="BA533" s="19">
        <v>4</v>
      </c>
      <c r="BB533" s="19">
        <v>8</v>
      </c>
      <c r="BC533" s="16">
        <v>18</v>
      </c>
      <c r="BD533" t="s">
        <v>1280</v>
      </c>
      <c r="BE533" t="s">
        <v>1280</v>
      </c>
      <c r="BF533" t="s">
        <v>1280</v>
      </c>
      <c r="BG533" t="str">
        <f t="shared" si="196"/>
        <v>-</v>
      </c>
      <c r="BH533">
        <v>3811</v>
      </c>
      <c r="BI533">
        <v>3811</v>
      </c>
      <c r="BJ533">
        <v>3811</v>
      </c>
      <c r="BK533">
        <f t="shared" si="197"/>
        <v>4206.9480519480521</v>
      </c>
      <c r="BL533" t="s">
        <v>1280</v>
      </c>
      <c r="BM533">
        <v>812</v>
      </c>
    </row>
    <row r="534" spans="1:65" x14ac:dyDescent="0.4">
      <c r="A534" s="3">
        <v>588</v>
      </c>
      <c r="B534" s="3">
        <v>588</v>
      </c>
      <c r="C534" s="4" t="s">
        <v>577</v>
      </c>
      <c r="D534" s="4" t="str">
        <f t="shared" si="176"/>
        <v>J943SA</v>
      </c>
      <c r="E534" s="4" t="s">
        <v>577</v>
      </c>
      <c r="F534" s="4" t="str">
        <f t="shared" si="192"/>
        <v>J943SA5</v>
      </c>
      <c r="G534" s="4" t="s">
        <v>1221</v>
      </c>
      <c r="H534" s="5">
        <v>4974268835819</v>
      </c>
      <c r="I534" s="5">
        <v>5</v>
      </c>
      <c r="J534" s="5"/>
      <c r="K534" s="5">
        <v>1</v>
      </c>
      <c r="L534" s="5">
        <v>1</v>
      </c>
      <c r="M534" s="4">
        <v>3850</v>
      </c>
      <c r="N534" s="4">
        <v>2984</v>
      </c>
      <c r="O534" s="4">
        <v>2310</v>
      </c>
      <c r="P534" s="6">
        <f t="shared" si="177"/>
        <v>0.22587131367292224</v>
      </c>
      <c r="Q534" s="4" t="s">
        <v>1280</v>
      </c>
      <c r="R534" s="4" t="s">
        <v>1280</v>
      </c>
      <c r="S534" s="4" t="s">
        <v>1280</v>
      </c>
      <c r="T534" s="4">
        <v>4250</v>
      </c>
      <c r="U534" s="4">
        <f t="shared" si="178"/>
        <v>4250</v>
      </c>
      <c r="V534" s="4">
        <v>2550</v>
      </c>
      <c r="W534" s="4">
        <f t="shared" si="179"/>
        <v>2550</v>
      </c>
      <c r="X534" s="4"/>
      <c r="Y534" s="21">
        <f t="shared" si="180"/>
        <v>3294</v>
      </c>
      <c r="Z534" s="6">
        <f t="shared" si="181"/>
        <v>0.2258652094717668</v>
      </c>
      <c r="AA534" s="4">
        <v>0</v>
      </c>
      <c r="AB534" s="4" t="str">
        <f t="shared" si="182"/>
        <v>-</v>
      </c>
      <c r="AC534" s="4" t="str">
        <f t="shared" si="193"/>
        <v>-</v>
      </c>
      <c r="AD534" s="6" t="str">
        <f t="shared" si="194"/>
        <v>-</v>
      </c>
      <c r="AE534" s="4">
        <f t="shared" si="195"/>
        <v>4037.5</v>
      </c>
      <c r="AF534" s="7">
        <v>3900</v>
      </c>
      <c r="AG534" s="6">
        <f t="shared" si="183"/>
        <v>0.34615384615384615</v>
      </c>
      <c r="AH534" s="4">
        <f t="shared" si="184"/>
        <v>1350</v>
      </c>
      <c r="AI534" s="28"/>
      <c r="AJ534" s="6"/>
      <c r="AK534" s="6"/>
      <c r="AL534" s="6">
        <f t="shared" si="185"/>
        <v>1.1038961038961039</v>
      </c>
      <c r="AM534" s="6">
        <f t="shared" si="186"/>
        <v>1.3069705093833781</v>
      </c>
      <c r="AN534" s="6">
        <f t="shared" si="187"/>
        <v>1.1038961038961039</v>
      </c>
      <c r="AO534" s="4" t="str">
        <f t="shared" si="188"/>
        <v>-</v>
      </c>
      <c r="AP534" s="4" t="str">
        <f t="shared" si="189"/>
        <v>-</v>
      </c>
      <c r="AQ534" s="4" t="str">
        <f t="shared" si="190"/>
        <v>-</v>
      </c>
      <c r="AR534" s="4">
        <v>0</v>
      </c>
      <c r="AS534" s="4" t="s">
        <v>1280</v>
      </c>
      <c r="AT534" s="4"/>
      <c r="AU534" s="4"/>
      <c r="AV534" s="4" t="s">
        <v>1280</v>
      </c>
      <c r="AW534" s="4" t="s">
        <v>1280</v>
      </c>
      <c r="AX534" s="4" t="s">
        <v>1280</v>
      </c>
      <c r="AY534" s="4" t="s">
        <v>1280</v>
      </c>
      <c r="AZ534" s="4" t="str">
        <f t="shared" si="191"/>
        <v>-</v>
      </c>
      <c r="BA534" s="19">
        <v>4</v>
      </c>
      <c r="BB534" s="19">
        <v>8</v>
      </c>
      <c r="BC534" s="16">
        <v>18</v>
      </c>
      <c r="BD534" t="s">
        <v>1280</v>
      </c>
      <c r="BE534" t="s">
        <v>1280</v>
      </c>
      <c r="BF534" t="s">
        <v>1280</v>
      </c>
      <c r="BG534" t="str">
        <f t="shared" si="196"/>
        <v>-</v>
      </c>
      <c r="BH534">
        <v>3744</v>
      </c>
      <c r="BI534">
        <v>3744</v>
      </c>
      <c r="BJ534">
        <v>3744</v>
      </c>
      <c r="BK534">
        <f t="shared" si="197"/>
        <v>4132.9870129870133</v>
      </c>
      <c r="BL534" t="s">
        <v>1280</v>
      </c>
      <c r="BM534">
        <v>812</v>
      </c>
    </row>
    <row r="535" spans="1:65" x14ac:dyDescent="0.4">
      <c r="A535" s="3">
        <v>589</v>
      </c>
      <c r="B535" s="3">
        <v>589</v>
      </c>
      <c r="C535" s="4" t="s">
        <v>578</v>
      </c>
      <c r="D535" s="4" t="str">
        <f t="shared" si="176"/>
        <v>J944SA</v>
      </c>
      <c r="E535" s="4" t="s">
        <v>578</v>
      </c>
      <c r="F535" s="4" t="str">
        <f t="shared" si="192"/>
        <v>J944SA5</v>
      </c>
      <c r="G535" s="4" t="s">
        <v>1222</v>
      </c>
      <c r="H535" s="5">
        <v>4974268835833</v>
      </c>
      <c r="I535" s="5">
        <v>5</v>
      </c>
      <c r="J535" s="5"/>
      <c r="K535" s="5">
        <v>1</v>
      </c>
      <c r="L535" s="5">
        <v>1</v>
      </c>
      <c r="M535" s="4">
        <v>3850</v>
      </c>
      <c r="N535" s="4">
        <v>3475</v>
      </c>
      <c r="O535" s="4">
        <v>2310</v>
      </c>
      <c r="P535" s="6">
        <f t="shared" si="177"/>
        <v>0.33525179856115106</v>
      </c>
      <c r="Q535" s="4" t="s">
        <v>1280</v>
      </c>
      <c r="R535" s="4" t="s">
        <v>1280</v>
      </c>
      <c r="S535" s="4" t="s">
        <v>1280</v>
      </c>
      <c r="T535" s="4">
        <v>4250</v>
      </c>
      <c r="U535" s="4">
        <f t="shared" si="178"/>
        <v>4250</v>
      </c>
      <c r="V535" s="4">
        <v>2550</v>
      </c>
      <c r="W535" s="4">
        <f t="shared" si="179"/>
        <v>2550</v>
      </c>
      <c r="X535" s="4"/>
      <c r="Y535" s="21">
        <f t="shared" si="180"/>
        <v>3836</v>
      </c>
      <c r="Z535" s="6">
        <f t="shared" si="181"/>
        <v>0.33524504692387902</v>
      </c>
      <c r="AA535" s="4">
        <v>0</v>
      </c>
      <c r="AB535" s="4" t="str">
        <f t="shared" si="182"/>
        <v>-</v>
      </c>
      <c r="AC535" s="4" t="str">
        <f t="shared" si="193"/>
        <v>-</v>
      </c>
      <c r="AD535" s="6" t="str">
        <f t="shared" si="194"/>
        <v>-</v>
      </c>
      <c r="AE535" s="4">
        <f t="shared" si="195"/>
        <v>4037.5</v>
      </c>
      <c r="AF535" s="7">
        <v>3900</v>
      </c>
      <c r="AG535" s="6">
        <f t="shared" si="183"/>
        <v>0.34615384615384615</v>
      </c>
      <c r="AH535" s="4">
        <f t="shared" si="184"/>
        <v>1350</v>
      </c>
      <c r="AI535" s="28"/>
      <c r="AJ535" s="6"/>
      <c r="AK535" s="6"/>
      <c r="AL535" s="6">
        <f t="shared" si="185"/>
        <v>1.1038961038961039</v>
      </c>
      <c r="AM535" s="6">
        <f t="shared" si="186"/>
        <v>1.1223021582733812</v>
      </c>
      <c r="AN535" s="6">
        <f t="shared" si="187"/>
        <v>1.1038961038961039</v>
      </c>
      <c r="AO535" s="4" t="str">
        <f t="shared" si="188"/>
        <v>-</v>
      </c>
      <c r="AP535" s="4" t="str">
        <f t="shared" si="189"/>
        <v>-</v>
      </c>
      <c r="AQ535" s="4" t="str">
        <f t="shared" si="190"/>
        <v>-</v>
      </c>
      <c r="AR535" s="4">
        <v>0</v>
      </c>
      <c r="AS535" s="4" t="s">
        <v>1280</v>
      </c>
      <c r="AT535" s="4"/>
      <c r="AU535" s="4"/>
      <c r="AV535" s="4" t="s">
        <v>1280</v>
      </c>
      <c r="AW535" s="4" t="s">
        <v>1280</v>
      </c>
      <c r="AX535" s="4" t="s">
        <v>1280</v>
      </c>
      <c r="AY535" s="4" t="s">
        <v>1280</v>
      </c>
      <c r="AZ535" s="4" t="str">
        <f t="shared" si="191"/>
        <v>-</v>
      </c>
      <c r="BA535" s="19">
        <v>4</v>
      </c>
      <c r="BB535" s="19">
        <v>8</v>
      </c>
      <c r="BC535" s="16">
        <v>18</v>
      </c>
      <c r="BD535" t="s">
        <v>1280</v>
      </c>
      <c r="BE535" t="s">
        <v>1280</v>
      </c>
      <c r="BF535" t="s">
        <v>1280</v>
      </c>
      <c r="BG535" t="str">
        <f t="shared" si="196"/>
        <v>-</v>
      </c>
      <c r="BH535">
        <v>3744</v>
      </c>
      <c r="BI535">
        <v>3744</v>
      </c>
      <c r="BJ535">
        <v>3744</v>
      </c>
      <c r="BK535">
        <f t="shared" si="197"/>
        <v>4132.9870129870133</v>
      </c>
      <c r="BL535" t="s">
        <v>1280</v>
      </c>
      <c r="BM535">
        <v>812</v>
      </c>
    </row>
    <row r="536" spans="1:65" x14ac:dyDescent="0.4">
      <c r="A536" s="3">
        <v>590</v>
      </c>
      <c r="B536" s="3">
        <v>590</v>
      </c>
      <c r="C536" s="4" t="s">
        <v>579</v>
      </c>
      <c r="D536" s="4" t="str">
        <f t="shared" si="176"/>
        <v>J945SA</v>
      </c>
      <c r="E536" s="4" t="s">
        <v>579</v>
      </c>
      <c r="F536" s="4" t="str">
        <f t="shared" si="192"/>
        <v>J945SA5</v>
      </c>
      <c r="G536" s="4" t="s">
        <v>1223</v>
      </c>
      <c r="H536" s="5">
        <v>4974268836205</v>
      </c>
      <c r="I536" s="5">
        <v>5</v>
      </c>
      <c r="J536" s="5"/>
      <c r="K536" s="5">
        <v>1</v>
      </c>
      <c r="L536" s="5">
        <v>1</v>
      </c>
      <c r="M536" s="4">
        <v>3850</v>
      </c>
      <c r="N536" s="4">
        <v>3258</v>
      </c>
      <c r="O536" s="4">
        <v>2310</v>
      </c>
      <c r="P536" s="6">
        <f t="shared" si="177"/>
        <v>0.29097605893186007</v>
      </c>
      <c r="Q536" s="4" t="s">
        <v>1280</v>
      </c>
      <c r="R536" s="4" t="s">
        <v>1280</v>
      </c>
      <c r="S536" s="4" t="s">
        <v>1280</v>
      </c>
      <c r="T536" s="4">
        <v>4250</v>
      </c>
      <c r="U536" s="4">
        <f t="shared" si="178"/>
        <v>4250</v>
      </c>
      <c r="V536" s="4">
        <v>2550</v>
      </c>
      <c r="W536" s="4">
        <f t="shared" si="179"/>
        <v>2550</v>
      </c>
      <c r="X536" s="4"/>
      <c r="Y536" s="21">
        <f t="shared" si="180"/>
        <v>3596</v>
      </c>
      <c r="Z536" s="6">
        <f t="shared" si="181"/>
        <v>0.29087875417130149</v>
      </c>
      <c r="AA536" s="4">
        <v>0.25</v>
      </c>
      <c r="AB536" s="4" t="str">
        <f t="shared" si="182"/>
        <v>-</v>
      </c>
      <c r="AC536" s="4" t="str">
        <f t="shared" si="193"/>
        <v>-</v>
      </c>
      <c r="AD536" s="6" t="str">
        <f t="shared" si="194"/>
        <v>-</v>
      </c>
      <c r="AE536" s="4">
        <f t="shared" si="195"/>
        <v>4037.5</v>
      </c>
      <c r="AF536" s="7">
        <v>3900</v>
      </c>
      <c r="AG536" s="6">
        <f t="shared" si="183"/>
        <v>0.34615384615384615</v>
      </c>
      <c r="AH536" s="4">
        <f t="shared" si="184"/>
        <v>1350</v>
      </c>
      <c r="AI536" s="28"/>
      <c r="AJ536" s="6"/>
      <c r="AK536" s="6"/>
      <c r="AL536" s="6">
        <f t="shared" si="185"/>
        <v>1.1038961038961039</v>
      </c>
      <c r="AM536" s="6">
        <f t="shared" si="186"/>
        <v>1.1970534069981584</v>
      </c>
      <c r="AN536" s="6">
        <f t="shared" si="187"/>
        <v>1.1038961038961039</v>
      </c>
      <c r="AO536" s="4" t="str">
        <f t="shared" si="188"/>
        <v>-</v>
      </c>
      <c r="AP536" s="4" t="str">
        <f t="shared" si="189"/>
        <v>-</v>
      </c>
      <c r="AQ536" s="4" t="str">
        <f t="shared" si="190"/>
        <v>-</v>
      </c>
      <c r="AR536" s="4">
        <v>0</v>
      </c>
      <c r="AS536" s="4" t="s">
        <v>1280</v>
      </c>
      <c r="AT536" s="4"/>
      <c r="AU536" s="4"/>
      <c r="AV536" s="4" t="s">
        <v>1280</v>
      </c>
      <c r="AW536" s="4" t="s">
        <v>1280</v>
      </c>
      <c r="AX536" s="4" t="s">
        <v>1280</v>
      </c>
      <c r="AY536" s="4" t="s">
        <v>1280</v>
      </c>
      <c r="AZ536" s="4" t="str">
        <f t="shared" si="191"/>
        <v>-</v>
      </c>
      <c r="BA536" s="19">
        <v>4</v>
      </c>
      <c r="BB536" s="19">
        <v>8</v>
      </c>
      <c r="BC536" s="16">
        <v>18</v>
      </c>
      <c r="BD536" t="s">
        <v>1280</v>
      </c>
      <c r="BE536" t="s">
        <v>1280</v>
      </c>
      <c r="BF536" t="s">
        <v>1280</v>
      </c>
      <c r="BG536" t="str">
        <f t="shared" si="196"/>
        <v>-</v>
      </c>
      <c r="BH536" t="s">
        <v>1280</v>
      </c>
      <c r="BI536" t="s">
        <v>1280</v>
      </c>
      <c r="BJ536" t="s">
        <v>1280</v>
      </c>
      <c r="BK536" t="str">
        <f t="shared" si="197"/>
        <v>-</v>
      </c>
      <c r="BL536" t="s">
        <v>1280</v>
      </c>
      <c r="BM536">
        <v>812</v>
      </c>
    </row>
    <row r="537" spans="1:65" x14ac:dyDescent="0.4">
      <c r="A537" s="3">
        <v>612</v>
      </c>
      <c r="B537" s="3">
        <v>612</v>
      </c>
      <c r="C537" s="4" t="s">
        <v>601</v>
      </c>
      <c r="D537" s="4" t="str">
        <f t="shared" si="176"/>
        <v>J955WN</v>
      </c>
      <c r="E537" s="4" t="s">
        <v>601</v>
      </c>
      <c r="F537" s="4" t="str">
        <f t="shared" si="192"/>
        <v>J955WN5</v>
      </c>
      <c r="G537" s="4" t="s">
        <v>1245</v>
      </c>
      <c r="H537" s="5">
        <v>4974268560322</v>
      </c>
      <c r="I537" s="5">
        <v>5</v>
      </c>
      <c r="J537" s="5"/>
      <c r="K537" s="5">
        <v>1</v>
      </c>
      <c r="L537" s="5">
        <v>1</v>
      </c>
      <c r="M537" s="4">
        <v>3900</v>
      </c>
      <c r="N537" s="4">
        <v>3340</v>
      </c>
      <c r="O537" s="4">
        <v>2340</v>
      </c>
      <c r="P537" s="6">
        <f t="shared" si="177"/>
        <v>0.29940119760479045</v>
      </c>
      <c r="Q537" s="4" t="s">
        <v>1280</v>
      </c>
      <c r="R537" s="4" t="s">
        <v>1280</v>
      </c>
      <c r="S537" s="4" t="s">
        <v>1280</v>
      </c>
      <c r="T537" s="4">
        <v>4250</v>
      </c>
      <c r="U537" s="4">
        <f t="shared" si="178"/>
        <v>4250</v>
      </c>
      <c r="V537" s="4">
        <v>2550</v>
      </c>
      <c r="W537" s="4">
        <f t="shared" si="179"/>
        <v>2550</v>
      </c>
      <c r="X537" s="4"/>
      <c r="Y537" s="21">
        <f t="shared" si="180"/>
        <v>3640</v>
      </c>
      <c r="Z537" s="6">
        <f t="shared" si="181"/>
        <v>0.2994505494505495</v>
      </c>
      <c r="AA537" s="4">
        <v>0</v>
      </c>
      <c r="AB537" s="4" t="str">
        <f t="shared" si="182"/>
        <v>-</v>
      </c>
      <c r="AC537" s="4" t="str">
        <f t="shared" si="193"/>
        <v>-</v>
      </c>
      <c r="AD537" s="6" t="str">
        <f t="shared" si="194"/>
        <v>-</v>
      </c>
      <c r="AE537" s="4">
        <f t="shared" si="195"/>
        <v>4037.5</v>
      </c>
      <c r="AF537" s="7">
        <v>3640</v>
      </c>
      <c r="AG537" s="6">
        <f t="shared" si="183"/>
        <v>0.2994505494505495</v>
      </c>
      <c r="AH537" s="4">
        <f t="shared" si="184"/>
        <v>1090</v>
      </c>
      <c r="AI537" s="28"/>
      <c r="AJ537" s="6"/>
      <c r="AK537" s="6"/>
      <c r="AL537" s="6">
        <f t="shared" si="185"/>
        <v>1.0897435897435896</v>
      </c>
      <c r="AM537" s="6">
        <f t="shared" si="186"/>
        <v>1.0898203592814371</v>
      </c>
      <c r="AN537" s="6">
        <f t="shared" si="187"/>
        <v>1.0897435897435896</v>
      </c>
      <c r="AO537" s="4" t="str">
        <f t="shared" si="188"/>
        <v>-</v>
      </c>
      <c r="AP537" s="4" t="str">
        <f t="shared" si="189"/>
        <v>-</v>
      </c>
      <c r="AQ537" s="4" t="str">
        <f t="shared" si="190"/>
        <v>-</v>
      </c>
      <c r="AR537" s="4">
        <v>0</v>
      </c>
      <c r="AS537" s="4" t="s">
        <v>1280</v>
      </c>
      <c r="AT537" s="4"/>
      <c r="AU537" s="4"/>
      <c r="AV537" s="4" t="s">
        <v>1280</v>
      </c>
      <c r="AW537" s="4" t="s">
        <v>1280</v>
      </c>
      <c r="AX537" s="4" t="s">
        <v>1280</v>
      </c>
      <c r="AY537" s="4" t="s">
        <v>1280</v>
      </c>
      <c r="AZ537" s="4" t="str">
        <f t="shared" si="191"/>
        <v>-</v>
      </c>
      <c r="BA537" s="19">
        <v>4</v>
      </c>
      <c r="BB537" s="19">
        <v>8</v>
      </c>
      <c r="BC537" s="16">
        <v>18</v>
      </c>
      <c r="BD537" t="s">
        <v>1280</v>
      </c>
      <c r="BE537" t="s">
        <v>1280</v>
      </c>
      <c r="BF537" t="s">
        <v>1280</v>
      </c>
      <c r="BG537" t="str">
        <f t="shared" si="196"/>
        <v>-</v>
      </c>
      <c r="BH537" t="s">
        <v>1280</v>
      </c>
      <c r="BI537">
        <v>3837</v>
      </c>
      <c r="BJ537">
        <v>3837</v>
      </c>
      <c r="BK537">
        <f t="shared" si="197"/>
        <v>4181.3461538461534</v>
      </c>
      <c r="BL537" t="s">
        <v>1280</v>
      </c>
      <c r="BM537">
        <v>812</v>
      </c>
    </row>
    <row r="538" spans="1:65" x14ac:dyDescent="0.4">
      <c r="A538" s="32">
        <v>54</v>
      </c>
      <c r="B538" s="3">
        <v>54</v>
      </c>
      <c r="C538" s="4">
        <v>637492</v>
      </c>
      <c r="D538" s="4" t="str">
        <f t="shared" si="176"/>
        <v>637492</v>
      </c>
      <c r="E538" s="4">
        <v>637492</v>
      </c>
      <c r="F538" s="4" t="str">
        <f t="shared" si="192"/>
        <v>6374925</v>
      </c>
      <c r="G538" s="4" t="s">
        <v>689</v>
      </c>
      <c r="H538" s="5">
        <v>4974268637918</v>
      </c>
      <c r="I538" s="5">
        <v>5</v>
      </c>
      <c r="J538" s="5"/>
      <c r="K538" s="5">
        <v>1</v>
      </c>
      <c r="L538" s="5">
        <v>1</v>
      </c>
      <c r="M538" s="4">
        <v>4000</v>
      </c>
      <c r="N538" s="4">
        <v>4120</v>
      </c>
      <c r="O538" s="4">
        <v>2400</v>
      </c>
      <c r="P538" s="6">
        <f t="shared" si="177"/>
        <v>0.41747572815533984</v>
      </c>
      <c r="Q538" s="4" t="s">
        <v>1280</v>
      </c>
      <c r="R538" s="4" t="s">
        <v>1280</v>
      </c>
      <c r="S538" s="4" t="s">
        <v>1280</v>
      </c>
      <c r="T538" s="4">
        <v>4400</v>
      </c>
      <c r="U538" s="4">
        <f t="shared" si="178"/>
        <v>4400</v>
      </c>
      <c r="V538" s="4">
        <v>2640</v>
      </c>
      <c r="W538" s="4">
        <f t="shared" si="179"/>
        <v>2640</v>
      </c>
      <c r="X538" s="4"/>
      <c r="Y538" s="21">
        <f t="shared" si="180"/>
        <v>4532</v>
      </c>
      <c r="Z538" s="6">
        <f t="shared" si="181"/>
        <v>0.41747572815533984</v>
      </c>
      <c r="AA538" s="4">
        <v>8</v>
      </c>
      <c r="AB538" s="4" t="str">
        <f t="shared" si="182"/>
        <v>-</v>
      </c>
      <c r="AC538" s="4" t="str">
        <f t="shared" si="193"/>
        <v>-</v>
      </c>
      <c r="AD538" s="6" t="str">
        <f t="shared" si="194"/>
        <v>-</v>
      </c>
      <c r="AE538" s="4">
        <f t="shared" si="195"/>
        <v>4180</v>
      </c>
      <c r="AF538" s="7">
        <v>3664</v>
      </c>
      <c r="AG538" s="6">
        <f t="shared" si="183"/>
        <v>0.27947598253275108</v>
      </c>
      <c r="AH538" s="4">
        <f t="shared" si="184"/>
        <v>1024</v>
      </c>
      <c r="AI538" s="28"/>
      <c r="AJ538" s="6"/>
      <c r="AK538" s="6"/>
      <c r="AL538" s="6">
        <f t="shared" si="185"/>
        <v>1.1000000000000001</v>
      </c>
      <c r="AM538" s="6">
        <f t="shared" si="186"/>
        <v>0.88932038834951455</v>
      </c>
      <c r="AN538" s="6">
        <f t="shared" si="187"/>
        <v>1.1000000000000001</v>
      </c>
      <c r="AO538" s="4" t="str">
        <f t="shared" si="188"/>
        <v>-</v>
      </c>
      <c r="AP538" s="4" t="str">
        <f t="shared" si="189"/>
        <v>-</v>
      </c>
      <c r="AQ538" s="4" t="str">
        <f t="shared" si="190"/>
        <v>-</v>
      </c>
      <c r="AR538" s="4" t="s">
        <v>1285</v>
      </c>
      <c r="AS538" s="4" t="s">
        <v>1280</v>
      </c>
      <c r="AT538" s="4"/>
      <c r="AU538" s="4"/>
      <c r="AV538" s="4" t="s">
        <v>1280</v>
      </c>
      <c r="AW538" s="4" t="s">
        <v>1280</v>
      </c>
      <c r="AX538" s="4" t="s">
        <v>1280</v>
      </c>
      <c r="AY538" s="4" t="s">
        <v>1280</v>
      </c>
      <c r="AZ538" s="4" t="str">
        <f t="shared" si="191"/>
        <v>-</v>
      </c>
      <c r="BA538" s="19">
        <v>2</v>
      </c>
      <c r="BB538" s="19">
        <v>1</v>
      </c>
      <c r="BC538" s="16">
        <v>18</v>
      </c>
      <c r="BD538">
        <v>3158</v>
      </c>
      <c r="BE538">
        <v>3158</v>
      </c>
      <c r="BF538">
        <v>3158</v>
      </c>
      <c r="BG538">
        <f t="shared" si="196"/>
        <v>3473.8</v>
      </c>
      <c r="BH538">
        <v>3331</v>
      </c>
      <c r="BI538">
        <v>3331</v>
      </c>
      <c r="BJ538">
        <v>3331</v>
      </c>
      <c r="BK538">
        <f t="shared" si="197"/>
        <v>3664.1000000000004</v>
      </c>
      <c r="BL538" t="s">
        <v>1280</v>
      </c>
      <c r="BM538">
        <v>812</v>
      </c>
    </row>
    <row r="539" spans="1:65" x14ac:dyDescent="0.4">
      <c r="A539" s="3">
        <v>399</v>
      </c>
      <c r="B539" s="3">
        <v>399</v>
      </c>
      <c r="C539" s="4" t="s">
        <v>388</v>
      </c>
      <c r="D539" s="4" t="str">
        <f t="shared" si="176"/>
        <v>J54476</v>
      </c>
      <c r="E539" s="4" t="s">
        <v>388</v>
      </c>
      <c r="F539" s="4" t="str">
        <f t="shared" si="192"/>
        <v>J544765</v>
      </c>
      <c r="G539" s="4" t="s">
        <v>1032</v>
      </c>
      <c r="H539" s="5">
        <v>4974268831279</v>
      </c>
      <c r="I539" s="5">
        <v>5</v>
      </c>
      <c r="J539" s="5"/>
      <c r="K539" s="5">
        <v>1</v>
      </c>
      <c r="L539" s="5">
        <v>1</v>
      </c>
      <c r="M539" s="4">
        <v>4000</v>
      </c>
      <c r="N539" s="4">
        <v>3085</v>
      </c>
      <c r="O539" s="4">
        <v>2400</v>
      </c>
      <c r="P539" s="6">
        <f t="shared" si="177"/>
        <v>0.22204213938411665</v>
      </c>
      <c r="Q539" s="4" t="s">
        <v>1280</v>
      </c>
      <c r="R539" s="4" t="s">
        <v>1280</v>
      </c>
      <c r="S539" s="4" t="s">
        <v>1280</v>
      </c>
      <c r="T539" s="4">
        <v>4400</v>
      </c>
      <c r="U539" s="4">
        <f t="shared" si="178"/>
        <v>4400</v>
      </c>
      <c r="V539" s="4">
        <v>2640</v>
      </c>
      <c r="W539" s="4">
        <f t="shared" si="179"/>
        <v>2640</v>
      </c>
      <c r="X539" s="4"/>
      <c r="Y539" s="21">
        <f t="shared" si="180"/>
        <v>3394</v>
      </c>
      <c r="Z539" s="6">
        <f t="shared" si="181"/>
        <v>0.22215674720094281</v>
      </c>
      <c r="AA539" s="4">
        <v>0</v>
      </c>
      <c r="AB539" s="4">
        <f t="shared" si="182"/>
        <v>3564</v>
      </c>
      <c r="AC539" s="4">
        <f t="shared" si="193"/>
        <v>3920.4</v>
      </c>
      <c r="AD539" s="6">
        <f t="shared" si="194"/>
        <v>0.32659932659932667</v>
      </c>
      <c r="AE539" s="4">
        <f t="shared" si="195"/>
        <v>4180</v>
      </c>
      <c r="AF539" s="7">
        <v>3920</v>
      </c>
      <c r="AG539" s="6">
        <f t="shared" si="183"/>
        <v>0.32653061224489799</v>
      </c>
      <c r="AH539" s="4">
        <f t="shared" si="184"/>
        <v>1280</v>
      </c>
      <c r="AI539" s="28"/>
      <c r="AJ539" s="6"/>
      <c r="AK539" s="6"/>
      <c r="AL539" s="6">
        <f t="shared" si="185"/>
        <v>1.1000000000000001</v>
      </c>
      <c r="AM539" s="6">
        <f t="shared" si="186"/>
        <v>1.2706645056726094</v>
      </c>
      <c r="AN539" s="6">
        <f t="shared" si="187"/>
        <v>1.1000000000000001</v>
      </c>
      <c r="AO539" s="4" t="str">
        <f t="shared" si="188"/>
        <v>-</v>
      </c>
      <c r="AP539" s="4" t="str">
        <f t="shared" si="189"/>
        <v>-</v>
      </c>
      <c r="AQ539" s="4" t="str">
        <f t="shared" si="190"/>
        <v>-</v>
      </c>
      <c r="AR539" s="4">
        <v>0</v>
      </c>
      <c r="AS539" s="4" t="s">
        <v>1955</v>
      </c>
      <c r="AT539" s="4"/>
      <c r="AU539" s="4"/>
      <c r="AV539" s="4" t="s">
        <v>1697</v>
      </c>
      <c r="AW539" s="4">
        <v>3564</v>
      </c>
      <c r="AX539" s="4">
        <v>3564</v>
      </c>
      <c r="AY539" s="4">
        <v>3564</v>
      </c>
      <c r="AZ539" s="4">
        <f t="shared" si="191"/>
        <v>3564</v>
      </c>
      <c r="BA539" s="19">
        <v>4</v>
      </c>
      <c r="BB539" s="19">
        <v>8</v>
      </c>
      <c r="BC539" s="16">
        <v>18</v>
      </c>
      <c r="BD539" t="s">
        <v>1280</v>
      </c>
      <c r="BE539" t="s">
        <v>1280</v>
      </c>
      <c r="BF539" t="s">
        <v>1280</v>
      </c>
      <c r="BG539" t="str">
        <f t="shared" si="196"/>
        <v>-</v>
      </c>
      <c r="BH539">
        <v>3840</v>
      </c>
      <c r="BI539">
        <v>3840</v>
      </c>
      <c r="BJ539">
        <v>3840</v>
      </c>
      <c r="BK539">
        <f t="shared" si="197"/>
        <v>4224</v>
      </c>
      <c r="BL539" t="s">
        <v>1483</v>
      </c>
      <c r="BM539">
        <v>812</v>
      </c>
    </row>
    <row r="540" spans="1:65" x14ac:dyDescent="0.4">
      <c r="A540" s="3">
        <v>464</v>
      </c>
      <c r="B540" s="3">
        <v>464</v>
      </c>
      <c r="C540" s="4" t="s">
        <v>453</v>
      </c>
      <c r="D540" s="4" t="str">
        <f t="shared" si="176"/>
        <v>J54541</v>
      </c>
      <c r="E540" s="4" t="s">
        <v>453</v>
      </c>
      <c r="F540" s="4" t="str">
        <f t="shared" si="192"/>
        <v>J545415</v>
      </c>
      <c r="G540" s="4" t="s">
        <v>1097</v>
      </c>
      <c r="H540" s="5">
        <v>4974268562128</v>
      </c>
      <c r="I540" s="5">
        <v>5</v>
      </c>
      <c r="J540" s="5"/>
      <c r="K540" s="5">
        <v>1</v>
      </c>
      <c r="L540" s="5">
        <v>1</v>
      </c>
      <c r="M540" s="4">
        <v>4000</v>
      </c>
      <c r="N540" s="4">
        <v>3100</v>
      </c>
      <c r="O540" s="4">
        <v>2400</v>
      </c>
      <c r="P540" s="6">
        <f t="shared" si="177"/>
        <v>0.22580645161290325</v>
      </c>
      <c r="Q540" s="4" t="s">
        <v>1280</v>
      </c>
      <c r="R540" s="4" t="s">
        <v>1280</v>
      </c>
      <c r="S540" s="4" t="s">
        <v>1280</v>
      </c>
      <c r="T540" s="4">
        <v>4400</v>
      </c>
      <c r="U540" s="4">
        <f t="shared" si="178"/>
        <v>4400</v>
      </c>
      <c r="V540" s="4">
        <v>2640</v>
      </c>
      <c r="W540" s="4">
        <f t="shared" si="179"/>
        <v>2640</v>
      </c>
      <c r="X540" s="4"/>
      <c r="Y540" s="21">
        <f t="shared" si="180"/>
        <v>3410</v>
      </c>
      <c r="Z540" s="6">
        <f t="shared" si="181"/>
        <v>0.22580645161290325</v>
      </c>
      <c r="AA540" s="4">
        <v>0.25</v>
      </c>
      <c r="AB540" s="4">
        <f t="shared" si="182"/>
        <v>3999</v>
      </c>
      <c r="AC540" s="4">
        <f t="shared" si="193"/>
        <v>4398.9000000000005</v>
      </c>
      <c r="AD540" s="6">
        <f t="shared" si="194"/>
        <v>0.39984996249062277</v>
      </c>
      <c r="AE540" s="4">
        <f t="shared" si="195"/>
        <v>4180</v>
      </c>
      <c r="AF540" s="7">
        <v>4000</v>
      </c>
      <c r="AG540" s="6">
        <f t="shared" si="183"/>
        <v>0.33999999999999997</v>
      </c>
      <c r="AH540" s="4">
        <f t="shared" si="184"/>
        <v>1360</v>
      </c>
      <c r="AI540" s="28"/>
      <c r="AJ540" s="6"/>
      <c r="AK540" s="6"/>
      <c r="AL540" s="6">
        <f t="shared" si="185"/>
        <v>1.1000000000000001</v>
      </c>
      <c r="AM540" s="6">
        <f t="shared" si="186"/>
        <v>1.2903225806451613</v>
      </c>
      <c r="AN540" s="6">
        <f t="shared" si="187"/>
        <v>1.1000000000000001</v>
      </c>
      <c r="AO540" s="4" t="str">
        <f t="shared" si="188"/>
        <v>-</v>
      </c>
      <c r="AP540" s="4" t="str">
        <f t="shared" si="189"/>
        <v>-</v>
      </c>
      <c r="AQ540" s="4" t="str">
        <f t="shared" si="190"/>
        <v>-</v>
      </c>
      <c r="AR540" s="4">
        <v>0</v>
      </c>
      <c r="AS540" s="4" t="s">
        <v>2023</v>
      </c>
      <c r="AT540" s="4"/>
      <c r="AU540" s="4"/>
      <c r="AV540" s="4" t="s">
        <v>1697</v>
      </c>
      <c r="AW540" s="4">
        <v>3999</v>
      </c>
      <c r="AX540" s="4">
        <v>3999</v>
      </c>
      <c r="AY540" s="4">
        <v>3999</v>
      </c>
      <c r="AZ540" s="4">
        <f t="shared" si="191"/>
        <v>3999</v>
      </c>
      <c r="BA540" s="19">
        <v>4</v>
      </c>
      <c r="BB540" s="19">
        <v>8</v>
      </c>
      <c r="BC540" s="16">
        <v>18</v>
      </c>
      <c r="BD540">
        <v>4000</v>
      </c>
      <c r="BE540">
        <v>4000</v>
      </c>
      <c r="BF540">
        <v>4000</v>
      </c>
      <c r="BG540">
        <f t="shared" si="196"/>
        <v>4400</v>
      </c>
      <c r="BH540" t="s">
        <v>1280</v>
      </c>
      <c r="BI540">
        <v>3334</v>
      </c>
      <c r="BJ540">
        <v>3334</v>
      </c>
      <c r="BK540">
        <f t="shared" si="197"/>
        <v>3667.4</v>
      </c>
      <c r="BL540" t="s">
        <v>1538</v>
      </c>
      <c r="BM540">
        <v>812</v>
      </c>
    </row>
    <row r="541" spans="1:65" x14ac:dyDescent="0.4">
      <c r="A541" s="3">
        <v>620</v>
      </c>
      <c r="B541" s="3">
        <v>620</v>
      </c>
      <c r="C541" s="4" t="s">
        <v>609</v>
      </c>
      <c r="D541" s="4" t="str">
        <f t="shared" si="176"/>
        <v>J962WN</v>
      </c>
      <c r="E541" s="4" t="s">
        <v>609</v>
      </c>
      <c r="F541" s="4" t="str">
        <f t="shared" si="192"/>
        <v>J962WN5</v>
      </c>
      <c r="G541" s="4" t="s">
        <v>1253</v>
      </c>
      <c r="H541" s="5">
        <v>4974268561473</v>
      </c>
      <c r="I541" s="5">
        <v>5</v>
      </c>
      <c r="J541" s="5"/>
      <c r="K541" s="5">
        <v>1</v>
      </c>
      <c r="L541" s="5">
        <v>1</v>
      </c>
      <c r="M541" s="4">
        <v>4000</v>
      </c>
      <c r="N541" s="4">
        <v>3430</v>
      </c>
      <c r="O541" s="4">
        <v>2400</v>
      </c>
      <c r="P541" s="6">
        <f t="shared" si="177"/>
        <v>0.30029154518950441</v>
      </c>
      <c r="Q541" s="4" t="s">
        <v>1280</v>
      </c>
      <c r="R541" s="4" t="s">
        <v>1280</v>
      </c>
      <c r="S541" s="4" t="s">
        <v>1280</v>
      </c>
      <c r="T541" s="4">
        <v>4400</v>
      </c>
      <c r="U541" s="4">
        <f t="shared" si="178"/>
        <v>4400</v>
      </c>
      <c r="V541" s="4">
        <v>2640</v>
      </c>
      <c r="W541" s="4">
        <f t="shared" si="179"/>
        <v>2640</v>
      </c>
      <c r="X541" s="4"/>
      <c r="Y541" s="21">
        <f t="shared" si="180"/>
        <v>3773</v>
      </c>
      <c r="Z541" s="6">
        <f t="shared" si="181"/>
        <v>0.30029154518950441</v>
      </c>
      <c r="AA541" s="4">
        <v>0</v>
      </c>
      <c r="AB541" s="4">
        <f t="shared" si="182"/>
        <v>3524</v>
      </c>
      <c r="AC541" s="4">
        <f t="shared" si="193"/>
        <v>3876.4</v>
      </c>
      <c r="AD541" s="6">
        <f t="shared" si="194"/>
        <v>0.31895573212258799</v>
      </c>
      <c r="AE541" s="4">
        <f t="shared" si="195"/>
        <v>4180</v>
      </c>
      <c r="AF541" s="7">
        <v>3876</v>
      </c>
      <c r="AG541" s="6">
        <f t="shared" si="183"/>
        <v>0.31888544891640869</v>
      </c>
      <c r="AH541" s="4">
        <f t="shared" si="184"/>
        <v>1236</v>
      </c>
      <c r="AI541" s="28"/>
      <c r="AJ541" s="6"/>
      <c r="AK541" s="6"/>
      <c r="AL541" s="6">
        <f t="shared" si="185"/>
        <v>1.1000000000000001</v>
      </c>
      <c r="AM541" s="6">
        <f t="shared" si="186"/>
        <v>1.1300291545189505</v>
      </c>
      <c r="AN541" s="6">
        <f t="shared" si="187"/>
        <v>1.1000000000000001</v>
      </c>
      <c r="AO541" s="4" t="str">
        <f t="shared" si="188"/>
        <v>-</v>
      </c>
      <c r="AP541" s="4" t="str">
        <f t="shared" si="189"/>
        <v>-</v>
      </c>
      <c r="AQ541" s="4" t="str">
        <f t="shared" si="190"/>
        <v>-</v>
      </c>
      <c r="AR541" s="4">
        <v>0</v>
      </c>
      <c r="AS541" s="4" t="s">
        <v>2180</v>
      </c>
      <c r="AT541" s="4"/>
      <c r="AU541" s="4"/>
      <c r="AV541" s="4" t="s">
        <v>2158</v>
      </c>
      <c r="AW541" s="4">
        <v>3524</v>
      </c>
      <c r="AX541" s="4">
        <v>3524</v>
      </c>
      <c r="AY541" s="4">
        <v>3524</v>
      </c>
      <c r="AZ541" s="4">
        <f t="shared" si="191"/>
        <v>3524</v>
      </c>
      <c r="BA541" s="19">
        <v>4</v>
      </c>
      <c r="BB541" s="19">
        <v>8</v>
      </c>
      <c r="BC541" s="16">
        <v>18</v>
      </c>
      <c r="BD541">
        <v>4000</v>
      </c>
      <c r="BE541">
        <v>4000</v>
      </c>
      <c r="BF541">
        <v>4000</v>
      </c>
      <c r="BG541">
        <f t="shared" si="196"/>
        <v>4400</v>
      </c>
      <c r="BH541" t="s">
        <v>1280</v>
      </c>
      <c r="BI541">
        <v>3497</v>
      </c>
      <c r="BJ541">
        <v>3497</v>
      </c>
      <c r="BK541">
        <f t="shared" si="197"/>
        <v>3846.7000000000003</v>
      </c>
      <c r="BL541" t="s">
        <v>1661</v>
      </c>
      <c r="BM541">
        <v>812</v>
      </c>
    </row>
    <row r="542" spans="1:65" x14ac:dyDescent="0.4">
      <c r="A542" s="3">
        <v>354</v>
      </c>
      <c r="B542" s="3">
        <v>354</v>
      </c>
      <c r="C542" s="4" t="s">
        <v>343</v>
      </c>
      <c r="D542" s="4" t="str">
        <f t="shared" si="176"/>
        <v>J4004N</v>
      </c>
      <c r="E542" s="4" t="s">
        <v>343</v>
      </c>
      <c r="F542" s="4" t="str">
        <f t="shared" si="192"/>
        <v>J4004N5</v>
      </c>
      <c r="G542" s="4" t="s">
        <v>989</v>
      </c>
      <c r="H542" s="5">
        <v>4529671084158</v>
      </c>
      <c r="I542" s="5">
        <v>5</v>
      </c>
      <c r="J542" s="5"/>
      <c r="K542" s="5">
        <v>1</v>
      </c>
      <c r="L542" s="5">
        <v>1</v>
      </c>
      <c r="M542" s="4">
        <v>0</v>
      </c>
      <c r="N542" s="4">
        <v>3567</v>
      </c>
      <c r="O542" s="4">
        <v>2430</v>
      </c>
      <c r="P542" s="6">
        <f t="shared" si="177"/>
        <v>0.31875525651808245</v>
      </c>
      <c r="Q542" s="4" t="s">
        <v>1280</v>
      </c>
      <c r="R542" s="4" t="s">
        <v>1280</v>
      </c>
      <c r="S542" s="4" t="s">
        <v>1280</v>
      </c>
      <c r="T542" s="4">
        <v>0</v>
      </c>
      <c r="U542" s="4">
        <f t="shared" si="178"/>
        <v>0</v>
      </c>
      <c r="V542" s="4">
        <v>2676</v>
      </c>
      <c r="W542" s="4">
        <f t="shared" si="179"/>
        <v>2676</v>
      </c>
      <c r="X542" s="4"/>
      <c r="Y542" s="21">
        <f t="shared" si="180"/>
        <v>3928</v>
      </c>
      <c r="Z542" s="6">
        <f t="shared" si="181"/>
        <v>0.31873727087576376</v>
      </c>
      <c r="AA542" s="4">
        <v>0</v>
      </c>
      <c r="AB542" s="4" t="str">
        <f t="shared" si="182"/>
        <v>-</v>
      </c>
      <c r="AC542" s="4" t="str">
        <f t="shared" si="193"/>
        <v>-</v>
      </c>
      <c r="AD542" s="6" t="str">
        <f t="shared" si="194"/>
        <v>-</v>
      </c>
      <c r="AE542" s="4">
        <f t="shared" si="195"/>
        <v>0</v>
      </c>
      <c r="AF542" s="7">
        <v>4000</v>
      </c>
      <c r="AG542" s="6">
        <f t="shared" si="183"/>
        <v>0.33099999999999996</v>
      </c>
      <c r="AH542" s="4">
        <f t="shared" si="184"/>
        <v>1324</v>
      </c>
      <c r="AI542" s="28"/>
      <c r="AJ542" s="6"/>
      <c r="AK542" s="6"/>
      <c r="AL542" s="6" t="e">
        <f t="shared" si="185"/>
        <v>#DIV/0!</v>
      </c>
      <c r="AM542" s="6">
        <f t="shared" si="186"/>
        <v>1.1213905242500701</v>
      </c>
      <c r="AN542" s="6">
        <f t="shared" si="187"/>
        <v>1.1012345679012345</v>
      </c>
      <c r="AO542" s="4" t="str">
        <f t="shared" si="188"/>
        <v>-</v>
      </c>
      <c r="AP542" s="4" t="str">
        <f t="shared" si="189"/>
        <v>-</v>
      </c>
      <c r="AQ542" s="4" t="str">
        <f t="shared" si="190"/>
        <v>-</v>
      </c>
      <c r="AR542" s="4">
        <v>0</v>
      </c>
      <c r="AS542" s="4" t="s">
        <v>1280</v>
      </c>
      <c r="AT542" s="4"/>
      <c r="AU542" s="4"/>
      <c r="AV542" s="4" t="s">
        <v>1280</v>
      </c>
      <c r="AW542" s="4" t="s">
        <v>1280</v>
      </c>
      <c r="AX542" s="4" t="s">
        <v>1280</v>
      </c>
      <c r="AY542" s="4" t="s">
        <v>1280</v>
      </c>
      <c r="AZ542" s="4" t="str">
        <f t="shared" si="191"/>
        <v>-</v>
      </c>
      <c r="BA542" s="19">
        <v>4</v>
      </c>
      <c r="BB542" s="19">
        <v>8</v>
      </c>
      <c r="BC542" s="16">
        <v>19</v>
      </c>
      <c r="BD542" t="s">
        <v>1280</v>
      </c>
      <c r="BE542" t="s">
        <v>1280</v>
      </c>
      <c r="BF542" t="s">
        <v>1280</v>
      </c>
      <c r="BG542" t="str">
        <f t="shared" si="196"/>
        <v>-</v>
      </c>
      <c r="BH542">
        <v>3005</v>
      </c>
      <c r="BI542">
        <v>3005</v>
      </c>
      <c r="BJ542">
        <v>3005</v>
      </c>
      <c r="BK542">
        <f t="shared" si="197"/>
        <v>3309.2098765432097</v>
      </c>
      <c r="BL542" t="s">
        <v>1280</v>
      </c>
      <c r="BM542">
        <v>812</v>
      </c>
    </row>
    <row r="543" spans="1:65" x14ac:dyDescent="0.4">
      <c r="A543" s="3">
        <v>355</v>
      </c>
      <c r="B543" s="3">
        <v>355</v>
      </c>
      <c r="C543" s="4" t="s">
        <v>344</v>
      </c>
      <c r="D543" s="4" t="str">
        <f t="shared" si="176"/>
        <v>J4005N</v>
      </c>
      <c r="E543" s="4" t="s">
        <v>344</v>
      </c>
      <c r="F543" s="4" t="str">
        <f t="shared" si="192"/>
        <v>J4005N5</v>
      </c>
      <c r="G543" s="4" t="s">
        <v>990</v>
      </c>
      <c r="H543" s="5">
        <v>4529671084165</v>
      </c>
      <c r="I543" s="5">
        <v>5</v>
      </c>
      <c r="J543" s="5"/>
      <c r="K543" s="5">
        <v>1</v>
      </c>
      <c r="L543" s="5">
        <v>1</v>
      </c>
      <c r="M543" s="4">
        <v>0</v>
      </c>
      <c r="N543" s="4">
        <v>3567</v>
      </c>
      <c r="O543" s="4">
        <v>2430</v>
      </c>
      <c r="P543" s="6">
        <f t="shared" si="177"/>
        <v>0.31875525651808245</v>
      </c>
      <c r="Q543" s="4" t="s">
        <v>1280</v>
      </c>
      <c r="R543" s="4" t="s">
        <v>1280</v>
      </c>
      <c r="S543" s="4" t="s">
        <v>1280</v>
      </c>
      <c r="T543" s="4">
        <v>0</v>
      </c>
      <c r="U543" s="4">
        <f t="shared" si="178"/>
        <v>0</v>
      </c>
      <c r="V543" s="4">
        <v>2676</v>
      </c>
      <c r="W543" s="4">
        <f t="shared" si="179"/>
        <v>2676</v>
      </c>
      <c r="X543" s="4"/>
      <c r="Y543" s="21">
        <f t="shared" si="180"/>
        <v>3928</v>
      </c>
      <c r="Z543" s="6">
        <f t="shared" si="181"/>
        <v>0.31873727087576376</v>
      </c>
      <c r="AA543" s="4">
        <v>0</v>
      </c>
      <c r="AB543" s="4" t="str">
        <f t="shared" si="182"/>
        <v>-</v>
      </c>
      <c r="AC543" s="4" t="str">
        <f t="shared" si="193"/>
        <v>-</v>
      </c>
      <c r="AD543" s="6" t="str">
        <f t="shared" si="194"/>
        <v>-</v>
      </c>
      <c r="AE543" s="4">
        <f t="shared" si="195"/>
        <v>0</v>
      </c>
      <c r="AF543" s="7">
        <v>4000</v>
      </c>
      <c r="AG543" s="6">
        <f t="shared" si="183"/>
        <v>0.33099999999999996</v>
      </c>
      <c r="AH543" s="4">
        <f t="shared" si="184"/>
        <v>1324</v>
      </c>
      <c r="AI543" s="28"/>
      <c r="AJ543" s="6"/>
      <c r="AK543" s="6"/>
      <c r="AL543" s="6" t="e">
        <f t="shared" si="185"/>
        <v>#DIV/0!</v>
      </c>
      <c r="AM543" s="6">
        <f t="shared" si="186"/>
        <v>1.1213905242500701</v>
      </c>
      <c r="AN543" s="6">
        <f t="shared" si="187"/>
        <v>1.1012345679012345</v>
      </c>
      <c r="AO543" s="4" t="str">
        <f t="shared" si="188"/>
        <v>-</v>
      </c>
      <c r="AP543" s="4" t="str">
        <f t="shared" si="189"/>
        <v>-</v>
      </c>
      <c r="AQ543" s="4" t="str">
        <f t="shared" si="190"/>
        <v>-</v>
      </c>
      <c r="AR543" s="4">
        <v>0</v>
      </c>
      <c r="AS543" s="4" t="s">
        <v>1280</v>
      </c>
      <c r="AT543" s="4"/>
      <c r="AU543" s="4"/>
      <c r="AV543" s="4" t="s">
        <v>1280</v>
      </c>
      <c r="AW543" s="4" t="s">
        <v>1280</v>
      </c>
      <c r="AX543" s="4" t="s">
        <v>1280</v>
      </c>
      <c r="AY543" s="4" t="s">
        <v>1280</v>
      </c>
      <c r="AZ543" s="4" t="str">
        <f t="shared" si="191"/>
        <v>-</v>
      </c>
      <c r="BA543" s="19">
        <v>4</v>
      </c>
      <c r="BB543" s="19">
        <v>8</v>
      </c>
      <c r="BC543" s="16">
        <v>19</v>
      </c>
      <c r="BD543" t="s">
        <v>1280</v>
      </c>
      <c r="BE543" t="s">
        <v>1280</v>
      </c>
      <c r="BF543" t="s">
        <v>1280</v>
      </c>
      <c r="BG543" t="str">
        <f t="shared" si="196"/>
        <v>-</v>
      </c>
      <c r="BH543">
        <v>3005</v>
      </c>
      <c r="BI543">
        <v>3005</v>
      </c>
      <c r="BJ543">
        <v>3005</v>
      </c>
      <c r="BK543">
        <f t="shared" si="197"/>
        <v>3309.2098765432097</v>
      </c>
      <c r="BL543" t="s">
        <v>1280</v>
      </c>
      <c r="BM543">
        <v>812</v>
      </c>
    </row>
    <row r="544" spans="1:65" x14ac:dyDescent="0.4">
      <c r="A544" s="3">
        <v>356</v>
      </c>
      <c r="B544" s="3">
        <v>356</v>
      </c>
      <c r="C544" s="4" t="s">
        <v>345</v>
      </c>
      <c r="D544" s="4" t="str">
        <f t="shared" si="176"/>
        <v>J4006N</v>
      </c>
      <c r="E544" s="4" t="s">
        <v>345</v>
      </c>
      <c r="F544" s="4" t="str">
        <f t="shared" si="192"/>
        <v>J4006N5</v>
      </c>
      <c r="G544" s="4" t="s">
        <v>991</v>
      </c>
      <c r="H544" s="5">
        <v>4529671084172</v>
      </c>
      <c r="I544" s="5">
        <v>5</v>
      </c>
      <c r="J544" s="5"/>
      <c r="K544" s="5">
        <v>1</v>
      </c>
      <c r="L544" s="5">
        <v>1</v>
      </c>
      <c r="M544" s="4">
        <v>0</v>
      </c>
      <c r="N544" s="4">
        <v>3567</v>
      </c>
      <c r="O544" s="4">
        <v>2430</v>
      </c>
      <c r="P544" s="6">
        <f t="shared" si="177"/>
        <v>0.31875525651808245</v>
      </c>
      <c r="Q544" s="4" t="s">
        <v>1280</v>
      </c>
      <c r="R544" s="4" t="s">
        <v>1280</v>
      </c>
      <c r="S544" s="4" t="s">
        <v>1280</v>
      </c>
      <c r="T544" s="4">
        <v>0</v>
      </c>
      <c r="U544" s="4">
        <f t="shared" si="178"/>
        <v>0</v>
      </c>
      <c r="V544" s="4">
        <v>2676</v>
      </c>
      <c r="W544" s="4">
        <f t="shared" si="179"/>
        <v>2676</v>
      </c>
      <c r="X544" s="4"/>
      <c r="Y544" s="21">
        <f t="shared" si="180"/>
        <v>3928</v>
      </c>
      <c r="Z544" s="6">
        <f t="shared" si="181"/>
        <v>0.31873727087576376</v>
      </c>
      <c r="AA544" s="4">
        <v>2.75</v>
      </c>
      <c r="AB544" s="4" t="str">
        <f t="shared" si="182"/>
        <v>-</v>
      </c>
      <c r="AC544" s="4" t="str">
        <f t="shared" si="193"/>
        <v>-</v>
      </c>
      <c r="AD544" s="6" t="str">
        <f t="shared" si="194"/>
        <v>-</v>
      </c>
      <c r="AE544" s="4">
        <f t="shared" si="195"/>
        <v>0</v>
      </c>
      <c r="AF544" s="7">
        <v>4000</v>
      </c>
      <c r="AG544" s="6">
        <f t="shared" si="183"/>
        <v>0.33099999999999996</v>
      </c>
      <c r="AH544" s="4">
        <f t="shared" si="184"/>
        <v>1324</v>
      </c>
      <c r="AI544" s="28"/>
      <c r="AJ544" s="6"/>
      <c r="AK544" s="6"/>
      <c r="AL544" s="6" t="e">
        <f t="shared" si="185"/>
        <v>#DIV/0!</v>
      </c>
      <c r="AM544" s="6">
        <f t="shared" si="186"/>
        <v>1.1213905242500701</v>
      </c>
      <c r="AN544" s="6">
        <f t="shared" si="187"/>
        <v>1.1012345679012345</v>
      </c>
      <c r="AO544" s="4" t="str">
        <f t="shared" si="188"/>
        <v>-</v>
      </c>
      <c r="AP544" s="4" t="str">
        <f t="shared" si="189"/>
        <v>-</v>
      </c>
      <c r="AQ544" s="4" t="str">
        <f t="shared" si="190"/>
        <v>-</v>
      </c>
      <c r="AR544" s="4">
        <v>0</v>
      </c>
      <c r="AS544" s="4" t="s">
        <v>1280</v>
      </c>
      <c r="AT544" s="4"/>
      <c r="AU544" s="4"/>
      <c r="AV544" s="4" t="s">
        <v>1280</v>
      </c>
      <c r="AW544" s="4" t="s">
        <v>1280</v>
      </c>
      <c r="AX544" s="4" t="s">
        <v>1280</v>
      </c>
      <c r="AY544" s="4" t="s">
        <v>1280</v>
      </c>
      <c r="AZ544" s="4" t="str">
        <f t="shared" si="191"/>
        <v>-</v>
      </c>
      <c r="BA544" s="19">
        <v>4</v>
      </c>
      <c r="BB544" s="19">
        <v>8</v>
      </c>
      <c r="BC544" s="16">
        <v>19</v>
      </c>
      <c r="BD544" t="s">
        <v>1280</v>
      </c>
      <c r="BE544" t="s">
        <v>1280</v>
      </c>
      <c r="BF544" t="s">
        <v>1280</v>
      </c>
      <c r="BG544" t="str">
        <f t="shared" si="196"/>
        <v>-</v>
      </c>
      <c r="BH544" t="s">
        <v>1280</v>
      </c>
      <c r="BI544" t="s">
        <v>1280</v>
      </c>
      <c r="BJ544" t="s">
        <v>1280</v>
      </c>
      <c r="BK544" t="str">
        <f t="shared" si="197"/>
        <v>-</v>
      </c>
      <c r="BL544" t="s">
        <v>1280</v>
      </c>
      <c r="BM544">
        <v>812</v>
      </c>
    </row>
    <row r="545" spans="1:65" x14ac:dyDescent="0.4">
      <c r="A545" s="3">
        <v>366</v>
      </c>
      <c r="B545" s="3">
        <v>366</v>
      </c>
      <c r="C545" s="4" t="s">
        <v>355</v>
      </c>
      <c r="D545" s="4" t="str">
        <f t="shared" si="176"/>
        <v>J4016N</v>
      </c>
      <c r="E545" s="4" t="s">
        <v>355</v>
      </c>
      <c r="F545" s="4" t="str">
        <f t="shared" si="192"/>
        <v>J4016N5</v>
      </c>
      <c r="G545" s="4" t="s">
        <v>1001</v>
      </c>
      <c r="H545" s="5">
        <v>4529671084608</v>
      </c>
      <c r="I545" s="5">
        <v>5</v>
      </c>
      <c r="J545" s="5"/>
      <c r="K545" s="5">
        <v>1</v>
      </c>
      <c r="L545" s="5">
        <v>1</v>
      </c>
      <c r="M545" s="4">
        <v>0</v>
      </c>
      <c r="N545" s="4">
        <v>3567</v>
      </c>
      <c r="O545" s="4">
        <v>2430</v>
      </c>
      <c r="P545" s="6">
        <f t="shared" si="177"/>
        <v>0.31875525651808245</v>
      </c>
      <c r="Q545" s="4" t="s">
        <v>1280</v>
      </c>
      <c r="R545" s="4" t="s">
        <v>1280</v>
      </c>
      <c r="S545" s="4" t="s">
        <v>1280</v>
      </c>
      <c r="T545" s="4">
        <v>0</v>
      </c>
      <c r="U545" s="4">
        <f t="shared" si="178"/>
        <v>0</v>
      </c>
      <c r="V545" s="4">
        <v>2676</v>
      </c>
      <c r="W545" s="4">
        <f t="shared" si="179"/>
        <v>2676</v>
      </c>
      <c r="X545" s="4"/>
      <c r="Y545" s="21">
        <f t="shared" si="180"/>
        <v>3928</v>
      </c>
      <c r="Z545" s="6">
        <f t="shared" si="181"/>
        <v>0.31873727087576376</v>
      </c>
      <c r="AA545" s="4">
        <v>0</v>
      </c>
      <c r="AB545" s="4">
        <f t="shared" si="182"/>
        <v>2089</v>
      </c>
      <c r="AC545" s="4">
        <f t="shared" si="193"/>
        <v>2300.4790123456787</v>
      </c>
      <c r="AD545" s="6">
        <f t="shared" si="194"/>
        <v>-0.16323599808520828</v>
      </c>
      <c r="AE545" s="4">
        <f t="shared" si="195"/>
        <v>0</v>
      </c>
      <c r="AF545" s="7">
        <v>4000</v>
      </c>
      <c r="AG545" s="6">
        <f t="shared" si="183"/>
        <v>0.33099999999999996</v>
      </c>
      <c r="AH545" s="4">
        <f t="shared" si="184"/>
        <v>1324</v>
      </c>
      <c r="AI545" s="28"/>
      <c r="AJ545" s="6"/>
      <c r="AK545" s="6"/>
      <c r="AL545" s="6" t="e">
        <f t="shared" si="185"/>
        <v>#DIV/0!</v>
      </c>
      <c r="AM545" s="6">
        <f t="shared" si="186"/>
        <v>1.1213905242500701</v>
      </c>
      <c r="AN545" s="6">
        <f t="shared" si="187"/>
        <v>1.1012345679012345</v>
      </c>
      <c r="AO545" s="4" t="str">
        <f t="shared" si="188"/>
        <v>-</v>
      </c>
      <c r="AP545" s="4" t="str">
        <f t="shared" si="189"/>
        <v>-</v>
      </c>
      <c r="AQ545" s="4" t="str">
        <f t="shared" si="190"/>
        <v>-</v>
      </c>
      <c r="AR545" s="4">
        <v>0</v>
      </c>
      <c r="AS545" s="4" t="s">
        <v>1943</v>
      </c>
      <c r="AT545" s="4"/>
      <c r="AU545" s="4"/>
      <c r="AV545" s="4" t="s">
        <v>1934</v>
      </c>
      <c r="AW545" s="4">
        <v>2089</v>
      </c>
      <c r="AX545" s="4">
        <v>2089</v>
      </c>
      <c r="AY545" s="4">
        <v>2089</v>
      </c>
      <c r="AZ545" s="4">
        <f t="shared" si="191"/>
        <v>2089</v>
      </c>
      <c r="BA545" s="19">
        <v>4</v>
      </c>
      <c r="BB545" s="19">
        <v>8</v>
      </c>
      <c r="BC545" s="16">
        <v>19</v>
      </c>
      <c r="BD545" t="s">
        <v>1280</v>
      </c>
      <c r="BE545" t="s">
        <v>1280</v>
      </c>
      <c r="BF545" t="s">
        <v>1280</v>
      </c>
      <c r="BG545" t="str">
        <f t="shared" si="196"/>
        <v>-</v>
      </c>
      <c r="BH545">
        <v>3005</v>
      </c>
      <c r="BI545">
        <v>3005</v>
      </c>
      <c r="BJ545">
        <v>3005</v>
      </c>
      <c r="BK545">
        <f t="shared" si="197"/>
        <v>3309.2098765432097</v>
      </c>
      <c r="BL545" t="s">
        <v>1472</v>
      </c>
      <c r="BM545">
        <v>812</v>
      </c>
    </row>
    <row r="546" spans="1:65" x14ac:dyDescent="0.4">
      <c r="A546" s="32">
        <v>480</v>
      </c>
      <c r="B546" s="3">
        <v>480</v>
      </c>
      <c r="C546" s="4" t="s">
        <v>469</v>
      </c>
      <c r="D546" s="4" t="str">
        <f t="shared" si="176"/>
        <v>J54575</v>
      </c>
      <c r="E546" s="4" t="s">
        <v>469</v>
      </c>
      <c r="F546" s="4" t="str">
        <f t="shared" si="192"/>
        <v>J545755</v>
      </c>
      <c r="G546" s="4" t="s">
        <v>1113</v>
      </c>
      <c r="H546" s="5">
        <v>4974268564054</v>
      </c>
      <c r="I546" s="5">
        <v>5</v>
      </c>
      <c r="J546" s="5"/>
      <c r="K546" s="5">
        <v>1</v>
      </c>
      <c r="L546" s="5">
        <v>1</v>
      </c>
      <c r="M546" s="4">
        <v>4100</v>
      </c>
      <c r="N546" s="4">
        <v>3936</v>
      </c>
      <c r="O546" s="4">
        <v>2460</v>
      </c>
      <c r="P546" s="6">
        <f t="shared" si="177"/>
        <v>0.375</v>
      </c>
      <c r="Q546" s="4" t="s">
        <v>1280</v>
      </c>
      <c r="R546" s="4" t="s">
        <v>1280</v>
      </c>
      <c r="S546" s="4" t="s">
        <v>1280</v>
      </c>
      <c r="T546" s="4">
        <v>4500</v>
      </c>
      <c r="U546" s="4">
        <f t="shared" si="178"/>
        <v>4500</v>
      </c>
      <c r="V546" s="4">
        <v>2700</v>
      </c>
      <c r="W546" s="4">
        <f t="shared" si="179"/>
        <v>2700</v>
      </c>
      <c r="X546" s="4"/>
      <c r="Y546" s="21">
        <f t="shared" si="180"/>
        <v>4320</v>
      </c>
      <c r="Z546" s="6">
        <f t="shared" si="181"/>
        <v>0.375</v>
      </c>
      <c r="AA546" s="4">
        <v>0.5</v>
      </c>
      <c r="AB546" s="4">
        <f t="shared" si="182"/>
        <v>3635</v>
      </c>
      <c r="AC546" s="4">
        <f t="shared" si="193"/>
        <v>3989.6341463414637</v>
      </c>
      <c r="AD546" s="6">
        <f t="shared" si="194"/>
        <v>0.32324621733149939</v>
      </c>
      <c r="AE546" s="4">
        <f t="shared" si="195"/>
        <v>4275</v>
      </c>
      <c r="AF546" s="7">
        <v>3989</v>
      </c>
      <c r="AG546" s="6">
        <f t="shared" si="183"/>
        <v>0.3231386312358987</v>
      </c>
      <c r="AH546" s="4">
        <f t="shared" si="184"/>
        <v>1289</v>
      </c>
      <c r="AI546" s="28"/>
      <c r="AJ546" s="6"/>
      <c r="AK546" s="6"/>
      <c r="AL546" s="6">
        <f t="shared" si="185"/>
        <v>1.0975609756097562</v>
      </c>
      <c r="AM546" s="6">
        <f t="shared" si="186"/>
        <v>1.0134654471544715</v>
      </c>
      <c r="AN546" s="6">
        <f t="shared" si="187"/>
        <v>1.0975609756097562</v>
      </c>
      <c r="AO546" s="4" t="str">
        <f t="shared" si="188"/>
        <v>-</v>
      </c>
      <c r="AP546" s="4" t="str">
        <f t="shared" si="189"/>
        <v>-</v>
      </c>
      <c r="AQ546" s="4" t="str">
        <f t="shared" si="190"/>
        <v>-</v>
      </c>
      <c r="AR546" s="4">
        <v>0</v>
      </c>
      <c r="AS546" s="4" t="s">
        <v>2037</v>
      </c>
      <c r="AT546" s="4"/>
      <c r="AU546" s="4"/>
      <c r="AV546" s="4" t="s">
        <v>1691</v>
      </c>
      <c r="AW546" s="4">
        <v>3635</v>
      </c>
      <c r="AX546" s="4">
        <v>3635</v>
      </c>
      <c r="AY546" s="4">
        <v>3635</v>
      </c>
      <c r="AZ546" s="4">
        <f t="shared" si="191"/>
        <v>3635</v>
      </c>
      <c r="BA546" s="19">
        <v>2</v>
      </c>
      <c r="BB546" s="19">
        <v>1</v>
      </c>
      <c r="BC546" s="16">
        <v>18</v>
      </c>
      <c r="BD546">
        <v>4100</v>
      </c>
      <c r="BE546">
        <v>4100</v>
      </c>
      <c r="BF546">
        <v>4100</v>
      </c>
      <c r="BG546">
        <f t="shared" si="196"/>
        <v>4500</v>
      </c>
      <c r="BH546">
        <v>4100</v>
      </c>
      <c r="BI546">
        <v>4100</v>
      </c>
      <c r="BJ546">
        <v>4100</v>
      </c>
      <c r="BK546">
        <f t="shared" si="197"/>
        <v>4500</v>
      </c>
      <c r="BL546" t="s">
        <v>1549</v>
      </c>
      <c r="BM546">
        <v>812</v>
      </c>
    </row>
    <row r="547" spans="1:65" x14ac:dyDescent="0.4">
      <c r="A547" s="3">
        <v>74</v>
      </c>
      <c r="B547" s="3">
        <v>74</v>
      </c>
      <c r="C547" s="4" t="s">
        <v>63</v>
      </c>
      <c r="D547" s="4" t="str">
        <f t="shared" si="176"/>
        <v>J028WG</v>
      </c>
      <c r="E547" s="4" t="s">
        <v>63</v>
      </c>
      <c r="F547" s="4" t="str">
        <f t="shared" si="192"/>
        <v>J028WG5</v>
      </c>
      <c r="G547" s="4" t="s">
        <v>709</v>
      </c>
      <c r="H547" s="5">
        <v>4974268833051</v>
      </c>
      <c r="I547" s="5">
        <v>5</v>
      </c>
      <c r="J547" s="5"/>
      <c r="K547" s="5">
        <v>1</v>
      </c>
      <c r="L547" s="5">
        <v>1</v>
      </c>
      <c r="M547" s="4">
        <v>4150</v>
      </c>
      <c r="N547" s="4">
        <v>3831</v>
      </c>
      <c r="O547" s="4">
        <v>2490</v>
      </c>
      <c r="P547" s="6">
        <f t="shared" si="177"/>
        <v>0.35003915426781518</v>
      </c>
      <c r="Q547" s="4" t="s">
        <v>1280</v>
      </c>
      <c r="R547" s="4" t="s">
        <v>1280</v>
      </c>
      <c r="S547" s="4" t="s">
        <v>1280</v>
      </c>
      <c r="T547" s="4">
        <v>4600</v>
      </c>
      <c r="U547" s="4">
        <f t="shared" si="178"/>
        <v>4600</v>
      </c>
      <c r="V547" s="4">
        <v>2760</v>
      </c>
      <c r="W547" s="4">
        <f t="shared" si="179"/>
        <v>2760</v>
      </c>
      <c r="X547" s="4"/>
      <c r="Y547" s="21">
        <f t="shared" si="180"/>
        <v>4246</v>
      </c>
      <c r="Z547" s="6">
        <f t="shared" si="181"/>
        <v>0.34997644842204423</v>
      </c>
      <c r="AA547" s="4">
        <v>0</v>
      </c>
      <c r="AB547" s="4" t="str">
        <f t="shared" si="182"/>
        <v>-</v>
      </c>
      <c r="AC547" s="4" t="str">
        <f t="shared" si="193"/>
        <v>-</v>
      </c>
      <c r="AD547" s="6" t="str">
        <f t="shared" si="194"/>
        <v>-</v>
      </c>
      <c r="AE547" s="4">
        <f t="shared" si="195"/>
        <v>4370</v>
      </c>
      <c r="AF547" s="7">
        <v>4250</v>
      </c>
      <c r="AG547" s="6">
        <f t="shared" si="183"/>
        <v>0.35058823529411764</v>
      </c>
      <c r="AH547" s="4">
        <f t="shared" si="184"/>
        <v>1490</v>
      </c>
      <c r="AI547" s="28"/>
      <c r="AJ547" s="6"/>
      <c r="AK547" s="6"/>
      <c r="AL547" s="6">
        <f t="shared" si="185"/>
        <v>1.1084337349397591</v>
      </c>
      <c r="AM547" s="6">
        <f t="shared" si="186"/>
        <v>1.1093709214304359</v>
      </c>
      <c r="AN547" s="6">
        <f t="shared" si="187"/>
        <v>1.1084337349397591</v>
      </c>
      <c r="AO547" s="4" t="str">
        <f t="shared" si="188"/>
        <v>-</v>
      </c>
      <c r="AP547" s="4" t="str">
        <f t="shared" si="189"/>
        <v>-</v>
      </c>
      <c r="AQ547" s="4" t="str">
        <f t="shared" si="190"/>
        <v>-</v>
      </c>
      <c r="AR547" s="4">
        <v>0</v>
      </c>
      <c r="AS547" s="4" t="s">
        <v>1280</v>
      </c>
      <c r="AT547" s="4"/>
      <c r="AU547" s="4"/>
      <c r="AV547" s="4" t="s">
        <v>1280</v>
      </c>
      <c r="AW547" s="4" t="s">
        <v>1280</v>
      </c>
      <c r="AX547" s="4" t="s">
        <v>1280</v>
      </c>
      <c r="AY547" s="4" t="s">
        <v>1280</v>
      </c>
      <c r="AZ547" s="4" t="str">
        <f t="shared" si="191"/>
        <v>-</v>
      </c>
      <c r="BA547" s="19">
        <v>4</v>
      </c>
      <c r="BB547" s="19">
        <v>8</v>
      </c>
      <c r="BC547" s="16">
        <v>18</v>
      </c>
      <c r="BD547" t="s">
        <v>1280</v>
      </c>
      <c r="BE547" t="s">
        <v>1280</v>
      </c>
      <c r="BF547" t="s">
        <v>1280</v>
      </c>
      <c r="BG547" t="str">
        <f t="shared" si="196"/>
        <v>-</v>
      </c>
      <c r="BH547">
        <v>2877</v>
      </c>
      <c r="BI547">
        <v>3896</v>
      </c>
      <c r="BJ547">
        <v>3896</v>
      </c>
      <c r="BK547">
        <f t="shared" si="197"/>
        <v>4318.4578313253014</v>
      </c>
      <c r="BL547" t="s">
        <v>1280</v>
      </c>
      <c r="BM547">
        <v>812</v>
      </c>
    </row>
    <row r="548" spans="1:65" x14ac:dyDescent="0.4">
      <c r="A548" s="3">
        <v>273</v>
      </c>
      <c r="B548" s="3">
        <v>273</v>
      </c>
      <c r="C548" s="4" t="s">
        <v>262</v>
      </c>
      <c r="D548" s="4" t="str">
        <f t="shared" si="176"/>
        <v>J38926</v>
      </c>
      <c r="E548" s="4" t="s">
        <v>262</v>
      </c>
      <c r="F548" s="4" t="str">
        <f t="shared" si="192"/>
        <v>J389265</v>
      </c>
      <c r="G548" s="4" t="s">
        <v>908</v>
      </c>
      <c r="H548" s="5">
        <v>4974268830845</v>
      </c>
      <c r="I548" s="5">
        <v>5</v>
      </c>
      <c r="J548" s="5"/>
      <c r="K548" s="5">
        <v>1</v>
      </c>
      <c r="L548" s="5">
        <v>1</v>
      </c>
      <c r="M548" s="4">
        <v>4100</v>
      </c>
      <c r="N548" s="4">
        <v>3235</v>
      </c>
      <c r="O548" s="4">
        <v>2460</v>
      </c>
      <c r="P548" s="6">
        <f t="shared" si="177"/>
        <v>0.2395672333848532</v>
      </c>
      <c r="Q548" s="4" t="s">
        <v>1280</v>
      </c>
      <c r="R548" s="4" t="s">
        <v>1280</v>
      </c>
      <c r="S548" s="4" t="s">
        <v>1280</v>
      </c>
      <c r="T548" s="4">
        <v>4600</v>
      </c>
      <c r="U548" s="4">
        <f t="shared" si="178"/>
        <v>4600</v>
      </c>
      <c r="V548" s="4">
        <v>2760</v>
      </c>
      <c r="W548" s="4">
        <f t="shared" si="179"/>
        <v>2760</v>
      </c>
      <c r="X548" s="4"/>
      <c r="Y548" s="21">
        <f t="shared" si="180"/>
        <v>3630</v>
      </c>
      <c r="Z548" s="6">
        <f t="shared" si="181"/>
        <v>0.23966942148760328</v>
      </c>
      <c r="AA548" s="4">
        <v>0.25</v>
      </c>
      <c r="AB548" s="4">
        <f t="shared" si="182"/>
        <v>3173</v>
      </c>
      <c r="AC548" s="4">
        <f t="shared" si="193"/>
        <v>3559.9512195121956</v>
      </c>
      <c r="AD548" s="6">
        <f t="shared" si="194"/>
        <v>0.22470847778127967</v>
      </c>
      <c r="AE548" s="4">
        <f t="shared" si="195"/>
        <v>4370</v>
      </c>
      <c r="AF548" s="7">
        <v>3559</v>
      </c>
      <c r="AG548" s="6">
        <f t="shared" si="183"/>
        <v>0.22450126440011242</v>
      </c>
      <c r="AH548" s="4">
        <f t="shared" si="184"/>
        <v>799</v>
      </c>
      <c r="AI548" s="28"/>
      <c r="AJ548" s="6"/>
      <c r="AK548" s="6"/>
      <c r="AL548" s="6">
        <f t="shared" si="185"/>
        <v>1.1219512195121952</v>
      </c>
      <c r="AM548" s="6">
        <f t="shared" si="186"/>
        <v>1.1001545595054096</v>
      </c>
      <c r="AN548" s="6">
        <f t="shared" si="187"/>
        <v>1.1219512195121952</v>
      </c>
      <c r="AO548" s="4" t="str">
        <f t="shared" si="188"/>
        <v>-</v>
      </c>
      <c r="AP548" s="4" t="str">
        <f t="shared" si="189"/>
        <v>-</v>
      </c>
      <c r="AQ548" s="4" t="str">
        <f t="shared" si="190"/>
        <v>-</v>
      </c>
      <c r="AR548" s="4">
        <v>0</v>
      </c>
      <c r="AS548" s="4" t="s">
        <v>1901</v>
      </c>
      <c r="AT548" s="4"/>
      <c r="AU548" s="4"/>
      <c r="AV548" s="4" t="s">
        <v>1697</v>
      </c>
      <c r="AW548" s="4">
        <v>3173</v>
      </c>
      <c r="AX548" s="4">
        <v>3173</v>
      </c>
      <c r="AY548" s="4">
        <v>3173</v>
      </c>
      <c r="AZ548" s="4">
        <f t="shared" si="191"/>
        <v>3173</v>
      </c>
      <c r="BA548" s="19">
        <v>4</v>
      </c>
      <c r="BB548" s="19">
        <v>8</v>
      </c>
      <c r="BC548" s="16">
        <v>18</v>
      </c>
      <c r="BD548">
        <v>3727</v>
      </c>
      <c r="BE548">
        <v>3727</v>
      </c>
      <c r="BF548">
        <v>3727</v>
      </c>
      <c r="BG548">
        <f t="shared" si="196"/>
        <v>4181.5121951219517</v>
      </c>
      <c r="BH548">
        <v>3319</v>
      </c>
      <c r="BI548">
        <v>3319</v>
      </c>
      <c r="BJ548">
        <v>3319</v>
      </c>
      <c r="BK548">
        <f t="shared" si="197"/>
        <v>3723.7560975609758</v>
      </c>
      <c r="BL548" t="s">
        <v>1444</v>
      </c>
      <c r="BM548">
        <v>812</v>
      </c>
    </row>
    <row r="549" spans="1:65" x14ac:dyDescent="0.4">
      <c r="A549" s="3">
        <v>422</v>
      </c>
      <c r="B549" s="3">
        <v>422</v>
      </c>
      <c r="C549" s="4" t="s">
        <v>411</v>
      </c>
      <c r="D549" s="4" t="str">
        <f t="shared" si="176"/>
        <v>J54488</v>
      </c>
      <c r="E549" s="4" t="s">
        <v>411</v>
      </c>
      <c r="F549" s="4" t="str">
        <f t="shared" si="192"/>
        <v>J544885</v>
      </c>
      <c r="G549" s="4" t="s">
        <v>1055</v>
      </c>
      <c r="H549" s="5">
        <v>4974268831996</v>
      </c>
      <c r="I549" s="5">
        <v>5</v>
      </c>
      <c r="J549" s="5"/>
      <c r="K549" s="5">
        <v>1</v>
      </c>
      <c r="L549" s="5">
        <v>1</v>
      </c>
      <c r="M549" s="4">
        <v>4100</v>
      </c>
      <c r="N549" s="4">
        <v>3445</v>
      </c>
      <c r="O549" s="4">
        <v>2460</v>
      </c>
      <c r="P549" s="6">
        <f t="shared" si="177"/>
        <v>0.28592162554426703</v>
      </c>
      <c r="Q549" s="4" t="s">
        <v>1280</v>
      </c>
      <c r="R549" s="4" t="s">
        <v>1280</v>
      </c>
      <c r="S549" s="4" t="s">
        <v>1280</v>
      </c>
      <c r="T549" s="4">
        <v>4600</v>
      </c>
      <c r="U549" s="4">
        <f t="shared" si="178"/>
        <v>4600</v>
      </c>
      <c r="V549" s="4">
        <v>2760</v>
      </c>
      <c r="W549" s="4">
        <f t="shared" si="179"/>
        <v>2760</v>
      </c>
      <c r="X549" s="4"/>
      <c r="Y549" s="21">
        <f t="shared" si="180"/>
        <v>3865</v>
      </c>
      <c r="Z549" s="6">
        <f t="shared" si="181"/>
        <v>0.28589909443725747</v>
      </c>
      <c r="AA549" s="4">
        <v>0.25</v>
      </c>
      <c r="AB549" s="4">
        <f t="shared" si="182"/>
        <v>3291</v>
      </c>
      <c r="AC549" s="4">
        <f t="shared" si="193"/>
        <v>3692.3414634146343</v>
      </c>
      <c r="AD549" s="6">
        <f t="shared" si="194"/>
        <v>0.25250683682771202</v>
      </c>
      <c r="AE549" s="4">
        <f t="shared" si="195"/>
        <v>4370</v>
      </c>
      <c r="AF549" s="7">
        <v>3692</v>
      </c>
      <c r="AG549" s="6">
        <f t="shared" si="183"/>
        <v>0.25243770314192848</v>
      </c>
      <c r="AH549" s="4">
        <f t="shared" si="184"/>
        <v>932</v>
      </c>
      <c r="AI549" s="28"/>
      <c r="AJ549" s="6"/>
      <c r="AK549" s="6"/>
      <c r="AL549" s="6">
        <f t="shared" si="185"/>
        <v>1.1219512195121952</v>
      </c>
      <c r="AM549" s="6">
        <f t="shared" si="186"/>
        <v>1.0716981132075472</v>
      </c>
      <c r="AN549" s="6">
        <f t="shared" si="187"/>
        <v>1.1219512195121952</v>
      </c>
      <c r="AO549" s="4" t="str">
        <f t="shared" si="188"/>
        <v>-</v>
      </c>
      <c r="AP549" s="4" t="str">
        <f t="shared" si="189"/>
        <v>-</v>
      </c>
      <c r="AQ549" s="4" t="str">
        <f t="shared" si="190"/>
        <v>-</v>
      </c>
      <c r="AR549" s="4">
        <v>0</v>
      </c>
      <c r="AS549" s="4" t="s">
        <v>1984</v>
      </c>
      <c r="AT549" s="4"/>
      <c r="AU549" s="4"/>
      <c r="AV549" s="4" t="s">
        <v>1697</v>
      </c>
      <c r="AW549" s="4">
        <v>3291</v>
      </c>
      <c r="AX549" s="4">
        <v>3291</v>
      </c>
      <c r="AY549" s="4">
        <v>3291</v>
      </c>
      <c r="AZ549" s="4">
        <f t="shared" si="191"/>
        <v>3291</v>
      </c>
      <c r="BA549" s="19">
        <v>4</v>
      </c>
      <c r="BB549" s="19">
        <v>8</v>
      </c>
      <c r="BC549" s="16">
        <v>18</v>
      </c>
      <c r="BD549" t="s">
        <v>1280</v>
      </c>
      <c r="BE549" t="s">
        <v>1280</v>
      </c>
      <c r="BF549" t="s">
        <v>1280</v>
      </c>
      <c r="BG549" t="str">
        <f t="shared" si="196"/>
        <v>-</v>
      </c>
      <c r="BH549">
        <v>3341</v>
      </c>
      <c r="BI549">
        <v>3341</v>
      </c>
      <c r="BJ549">
        <v>3341</v>
      </c>
      <c r="BK549">
        <f t="shared" si="197"/>
        <v>3748.4390243902444</v>
      </c>
      <c r="BL549" t="s">
        <v>1505</v>
      </c>
      <c r="BM549">
        <v>812</v>
      </c>
    </row>
    <row r="550" spans="1:65" x14ac:dyDescent="0.4">
      <c r="A550" s="3">
        <v>424</v>
      </c>
      <c r="B550" s="3">
        <v>424</v>
      </c>
      <c r="C550" s="4" t="s">
        <v>413</v>
      </c>
      <c r="D550" s="4" t="str">
        <f t="shared" si="176"/>
        <v>J54489</v>
      </c>
      <c r="E550" s="4" t="s">
        <v>413</v>
      </c>
      <c r="F550" s="4" t="str">
        <f t="shared" si="192"/>
        <v>J544895</v>
      </c>
      <c r="G550" s="4" t="s">
        <v>1057</v>
      </c>
      <c r="H550" s="5">
        <v>4974268832009</v>
      </c>
      <c r="I550" s="5">
        <v>5</v>
      </c>
      <c r="J550" s="5"/>
      <c r="K550" s="5">
        <v>1</v>
      </c>
      <c r="L550" s="5">
        <v>1</v>
      </c>
      <c r="M550" s="4">
        <v>4100</v>
      </c>
      <c r="N550" s="4">
        <v>3165</v>
      </c>
      <c r="O550" s="4">
        <v>2460</v>
      </c>
      <c r="P550" s="6">
        <f t="shared" si="177"/>
        <v>0.22274881516587675</v>
      </c>
      <c r="Q550" s="4" t="s">
        <v>1280</v>
      </c>
      <c r="R550" s="4" t="s">
        <v>1280</v>
      </c>
      <c r="S550" s="4" t="s">
        <v>1280</v>
      </c>
      <c r="T550" s="4">
        <v>4600</v>
      </c>
      <c r="U550" s="4">
        <f t="shared" si="178"/>
        <v>4600</v>
      </c>
      <c r="V550" s="4">
        <v>2760</v>
      </c>
      <c r="W550" s="4">
        <f t="shared" si="179"/>
        <v>2760</v>
      </c>
      <c r="X550" s="4"/>
      <c r="Y550" s="21">
        <f t="shared" si="180"/>
        <v>3551</v>
      </c>
      <c r="Z550" s="6">
        <f t="shared" si="181"/>
        <v>0.22275415375950436</v>
      </c>
      <c r="AA550" s="4">
        <v>0.25</v>
      </c>
      <c r="AB550" s="4" t="str">
        <f t="shared" si="182"/>
        <v>-</v>
      </c>
      <c r="AC550" s="4" t="str">
        <f t="shared" si="193"/>
        <v>-</v>
      </c>
      <c r="AD550" s="6" t="str">
        <f t="shared" si="194"/>
        <v>-</v>
      </c>
      <c r="AE550" s="4">
        <f t="shared" si="195"/>
        <v>4370</v>
      </c>
      <c r="AF550" s="7">
        <v>3692</v>
      </c>
      <c r="AG550" s="6">
        <f t="shared" si="183"/>
        <v>0.25243770314192848</v>
      </c>
      <c r="AH550" s="4">
        <f t="shared" si="184"/>
        <v>932</v>
      </c>
      <c r="AI550" s="28"/>
      <c r="AJ550" s="6"/>
      <c r="AK550" s="6"/>
      <c r="AL550" s="6">
        <f t="shared" si="185"/>
        <v>1.1219512195121952</v>
      </c>
      <c r="AM550" s="6">
        <f t="shared" si="186"/>
        <v>1.1665086887835703</v>
      </c>
      <c r="AN550" s="6">
        <f t="shared" si="187"/>
        <v>1.1219512195121952</v>
      </c>
      <c r="AO550" s="4" t="str">
        <f t="shared" si="188"/>
        <v>-</v>
      </c>
      <c r="AP550" s="4" t="str">
        <f t="shared" si="189"/>
        <v>-</v>
      </c>
      <c r="AQ550" s="4" t="str">
        <f t="shared" si="190"/>
        <v>-</v>
      </c>
      <c r="AR550" s="4">
        <v>0</v>
      </c>
      <c r="AS550" s="4" t="s">
        <v>1280</v>
      </c>
      <c r="AT550" s="4"/>
      <c r="AU550" s="4"/>
      <c r="AV550" s="4" t="s">
        <v>1280</v>
      </c>
      <c r="AW550" s="4" t="s">
        <v>1280</v>
      </c>
      <c r="AX550" s="4" t="s">
        <v>1280</v>
      </c>
      <c r="AY550" s="4" t="s">
        <v>1280</v>
      </c>
      <c r="AZ550" s="4" t="str">
        <f t="shared" si="191"/>
        <v>-</v>
      </c>
      <c r="BA550" s="19">
        <v>4</v>
      </c>
      <c r="BB550" s="19">
        <v>8</v>
      </c>
      <c r="BC550" s="16">
        <v>18</v>
      </c>
      <c r="BD550" t="s">
        <v>1280</v>
      </c>
      <c r="BE550" t="s">
        <v>1280</v>
      </c>
      <c r="BF550" t="s">
        <v>1280</v>
      </c>
      <c r="BG550" t="str">
        <f t="shared" si="196"/>
        <v>-</v>
      </c>
      <c r="BH550">
        <v>3341</v>
      </c>
      <c r="BI550">
        <v>3341</v>
      </c>
      <c r="BJ550">
        <v>3341</v>
      </c>
      <c r="BK550">
        <f t="shared" si="197"/>
        <v>3748.4390243902444</v>
      </c>
      <c r="BL550" t="s">
        <v>1280</v>
      </c>
      <c r="BM550">
        <v>812</v>
      </c>
    </row>
    <row r="551" spans="1:65" x14ac:dyDescent="0.4">
      <c r="A551" s="3">
        <v>442</v>
      </c>
      <c r="B551" s="3">
        <v>442</v>
      </c>
      <c r="C551" s="4" t="s">
        <v>431</v>
      </c>
      <c r="D551" s="4" t="str">
        <f t="shared" si="176"/>
        <v>J54474</v>
      </c>
      <c r="E551" s="4" t="s">
        <v>431</v>
      </c>
      <c r="F551" s="4" t="str">
        <f t="shared" si="192"/>
        <v>J544745</v>
      </c>
      <c r="G551" s="4" t="s">
        <v>1075</v>
      </c>
      <c r="H551" s="5">
        <v>4974268831156</v>
      </c>
      <c r="I551" s="5">
        <v>5</v>
      </c>
      <c r="J551" s="5"/>
      <c r="K551" s="5">
        <v>1</v>
      </c>
      <c r="L551" s="5">
        <v>1</v>
      </c>
      <c r="M551" s="4">
        <v>4100</v>
      </c>
      <c r="N551" s="4">
        <v>3165</v>
      </c>
      <c r="O551" s="4">
        <v>2460</v>
      </c>
      <c r="P551" s="6">
        <f t="shared" si="177"/>
        <v>0.22274881516587675</v>
      </c>
      <c r="Q551" s="4" t="s">
        <v>1280</v>
      </c>
      <c r="R551" s="4" t="s">
        <v>1280</v>
      </c>
      <c r="S551" s="4" t="s">
        <v>1280</v>
      </c>
      <c r="T551" s="4">
        <v>4600</v>
      </c>
      <c r="U551" s="4">
        <f t="shared" si="178"/>
        <v>4600</v>
      </c>
      <c r="V551" s="4">
        <v>2760</v>
      </c>
      <c r="W551" s="4">
        <f t="shared" si="179"/>
        <v>2760</v>
      </c>
      <c r="X551" s="4"/>
      <c r="Y551" s="21">
        <f t="shared" si="180"/>
        <v>3551</v>
      </c>
      <c r="Z551" s="6">
        <f t="shared" si="181"/>
        <v>0.22275415375950436</v>
      </c>
      <c r="AA551" s="4">
        <v>0</v>
      </c>
      <c r="AB551" s="4">
        <f t="shared" si="182"/>
        <v>3646</v>
      </c>
      <c r="AC551" s="4">
        <f t="shared" si="193"/>
        <v>4090.6341463414637</v>
      </c>
      <c r="AD551" s="6">
        <f t="shared" si="194"/>
        <v>0.32528798683488758</v>
      </c>
      <c r="AE551" s="4">
        <f t="shared" si="195"/>
        <v>4370</v>
      </c>
      <c r="AF551" s="7">
        <v>3950</v>
      </c>
      <c r="AG551" s="6">
        <f t="shared" si="183"/>
        <v>0.30126582278481018</v>
      </c>
      <c r="AH551" s="4">
        <f t="shared" si="184"/>
        <v>1190</v>
      </c>
      <c r="AI551" s="28"/>
      <c r="AJ551" s="6"/>
      <c r="AK551" s="6"/>
      <c r="AL551" s="6">
        <f t="shared" si="185"/>
        <v>1.1219512195121952</v>
      </c>
      <c r="AM551" s="6">
        <f t="shared" si="186"/>
        <v>1.2480252764612954</v>
      </c>
      <c r="AN551" s="6">
        <f t="shared" si="187"/>
        <v>1.1219512195121952</v>
      </c>
      <c r="AO551" s="4" t="str">
        <f t="shared" si="188"/>
        <v>-</v>
      </c>
      <c r="AP551" s="4" t="str">
        <f t="shared" si="189"/>
        <v>-</v>
      </c>
      <c r="AQ551" s="4" t="str">
        <f t="shared" si="190"/>
        <v>-</v>
      </c>
      <c r="AR551" s="4">
        <v>0</v>
      </c>
      <c r="AS551" s="4" t="s">
        <v>1999</v>
      </c>
      <c r="AT551" s="4"/>
      <c r="AU551" s="4"/>
      <c r="AV551" s="4" t="s">
        <v>1697</v>
      </c>
      <c r="AW551" s="4">
        <v>3646</v>
      </c>
      <c r="AX551" s="4">
        <v>3646</v>
      </c>
      <c r="AY551" s="4">
        <v>3646</v>
      </c>
      <c r="AZ551" s="4">
        <f t="shared" si="191"/>
        <v>3646</v>
      </c>
      <c r="BA551" s="19">
        <v>4</v>
      </c>
      <c r="BB551" s="19">
        <v>8</v>
      </c>
      <c r="BC551" s="16">
        <v>18</v>
      </c>
      <c r="BD551">
        <v>3727</v>
      </c>
      <c r="BE551">
        <v>3727</v>
      </c>
      <c r="BF551" t="s">
        <v>1280</v>
      </c>
      <c r="BG551" t="str">
        <f t="shared" si="196"/>
        <v>-</v>
      </c>
      <c r="BH551">
        <v>3521</v>
      </c>
      <c r="BI551">
        <v>3521</v>
      </c>
      <c r="BJ551">
        <v>3521</v>
      </c>
      <c r="BK551">
        <f t="shared" si="197"/>
        <v>3950.3902439024396</v>
      </c>
      <c r="BL551" t="s">
        <v>1520</v>
      </c>
      <c r="BM551">
        <v>812</v>
      </c>
    </row>
    <row r="552" spans="1:65" x14ac:dyDescent="0.4">
      <c r="A552" s="3">
        <v>615</v>
      </c>
      <c r="B552" s="3">
        <v>615</v>
      </c>
      <c r="C552" s="4" t="s">
        <v>604</v>
      </c>
      <c r="D552" s="4" t="str">
        <f t="shared" si="176"/>
        <v>J956WN</v>
      </c>
      <c r="E552" s="4" t="s">
        <v>604</v>
      </c>
      <c r="F552" s="4" t="str">
        <f t="shared" si="192"/>
        <v>J956WN5</v>
      </c>
      <c r="G552" s="4" t="s">
        <v>1248</v>
      </c>
      <c r="H552" s="5">
        <v>4974268560339</v>
      </c>
      <c r="I552" s="5">
        <v>5</v>
      </c>
      <c r="J552" s="5"/>
      <c r="K552" s="5">
        <v>1</v>
      </c>
      <c r="L552" s="5">
        <v>1</v>
      </c>
      <c r="M552" s="4">
        <v>4100</v>
      </c>
      <c r="N552" s="4">
        <v>3510</v>
      </c>
      <c r="O552" s="4">
        <v>2460</v>
      </c>
      <c r="P552" s="6">
        <f t="shared" si="177"/>
        <v>0.29914529914529919</v>
      </c>
      <c r="Q552" s="4" t="s">
        <v>1280</v>
      </c>
      <c r="R552" s="4" t="s">
        <v>1280</v>
      </c>
      <c r="S552" s="4" t="s">
        <v>1280</v>
      </c>
      <c r="T552" s="4">
        <v>4600</v>
      </c>
      <c r="U552" s="4">
        <f t="shared" si="178"/>
        <v>4600</v>
      </c>
      <c r="V552" s="4">
        <v>2760</v>
      </c>
      <c r="W552" s="4">
        <f t="shared" si="179"/>
        <v>2760</v>
      </c>
      <c r="X552" s="4"/>
      <c r="Y552" s="21">
        <f t="shared" si="180"/>
        <v>3938</v>
      </c>
      <c r="Z552" s="6">
        <f t="shared" si="181"/>
        <v>0.29913661757237175</v>
      </c>
      <c r="AA552" s="4">
        <v>0</v>
      </c>
      <c r="AB552" s="4">
        <f t="shared" si="182"/>
        <v>3799</v>
      </c>
      <c r="AC552" s="4">
        <f t="shared" si="193"/>
        <v>4262.2926829268299</v>
      </c>
      <c r="AD552" s="6">
        <f t="shared" si="194"/>
        <v>0.35246117399315624</v>
      </c>
      <c r="AE552" s="4">
        <f t="shared" si="195"/>
        <v>4370</v>
      </c>
      <c r="AF552" s="7">
        <v>4236</v>
      </c>
      <c r="AG552" s="6">
        <f t="shared" si="183"/>
        <v>0.34844192634560911</v>
      </c>
      <c r="AH552" s="4">
        <f t="shared" si="184"/>
        <v>1476</v>
      </c>
      <c r="AI552" s="28"/>
      <c r="AJ552" s="6"/>
      <c r="AK552" s="6"/>
      <c r="AL552" s="6">
        <f t="shared" si="185"/>
        <v>1.1219512195121952</v>
      </c>
      <c r="AM552" s="6">
        <f t="shared" si="186"/>
        <v>1.2068376068376068</v>
      </c>
      <c r="AN552" s="6">
        <f t="shared" si="187"/>
        <v>1.1219512195121952</v>
      </c>
      <c r="AO552" s="4" t="str">
        <f t="shared" si="188"/>
        <v>-</v>
      </c>
      <c r="AP552" s="4" t="str">
        <f t="shared" si="189"/>
        <v>-</v>
      </c>
      <c r="AQ552" s="4" t="str">
        <f t="shared" si="190"/>
        <v>-</v>
      </c>
      <c r="AR552" s="4">
        <v>0</v>
      </c>
      <c r="AS552" s="4" t="s">
        <v>2174</v>
      </c>
      <c r="AT552" s="4"/>
      <c r="AU552" s="4"/>
      <c r="AV552" s="4" t="s">
        <v>1721</v>
      </c>
      <c r="AW552" s="4">
        <v>3799</v>
      </c>
      <c r="AX552" s="4">
        <v>3799</v>
      </c>
      <c r="AY552" s="4">
        <v>3799</v>
      </c>
      <c r="AZ552" s="4">
        <f t="shared" si="191"/>
        <v>3799</v>
      </c>
      <c r="BA552" s="19">
        <v>4</v>
      </c>
      <c r="BB552" s="19">
        <v>8</v>
      </c>
      <c r="BC552" s="16">
        <v>18</v>
      </c>
      <c r="BD552">
        <v>4100</v>
      </c>
      <c r="BE552">
        <v>4100</v>
      </c>
      <c r="BF552" t="s">
        <v>1280</v>
      </c>
      <c r="BG552" t="str">
        <f t="shared" si="196"/>
        <v>-</v>
      </c>
      <c r="BH552">
        <v>3776</v>
      </c>
      <c r="BI552">
        <v>3776</v>
      </c>
      <c r="BJ552">
        <v>3776</v>
      </c>
      <c r="BK552">
        <f t="shared" si="197"/>
        <v>4236.4878048780492</v>
      </c>
      <c r="BL552" t="s">
        <v>1656</v>
      </c>
      <c r="BM552">
        <v>812</v>
      </c>
    </row>
    <row r="553" spans="1:65" x14ac:dyDescent="0.4">
      <c r="A553" s="3">
        <v>563</v>
      </c>
      <c r="B553" s="3">
        <v>563</v>
      </c>
      <c r="C553" s="4" t="s">
        <v>552</v>
      </c>
      <c r="D553" s="4" t="str">
        <f t="shared" si="176"/>
        <v>J922WN</v>
      </c>
      <c r="E553" s="4" t="s">
        <v>552</v>
      </c>
      <c r="F553" s="4" t="str">
        <f t="shared" si="192"/>
        <v>J922WN5</v>
      </c>
      <c r="G553" s="4" t="s">
        <v>1196</v>
      </c>
      <c r="H553" s="5">
        <v>4904625754095</v>
      </c>
      <c r="I553" s="5">
        <v>5</v>
      </c>
      <c r="J553" s="5"/>
      <c r="K553" s="5">
        <v>1</v>
      </c>
      <c r="L553" s="5">
        <v>1</v>
      </c>
      <c r="M553" s="4">
        <v>3000</v>
      </c>
      <c r="N553" s="4">
        <v>3000</v>
      </c>
      <c r="O553" s="4">
        <v>2400</v>
      </c>
      <c r="P553" s="6">
        <f t="shared" si="177"/>
        <v>0.19999999999999996</v>
      </c>
      <c r="Q553" s="4" t="s">
        <v>1280</v>
      </c>
      <c r="R553" s="4" t="s">
        <v>1280</v>
      </c>
      <c r="S553" s="4" t="s">
        <v>1280</v>
      </c>
      <c r="T553" s="4">
        <v>3500</v>
      </c>
      <c r="U553" s="4">
        <f t="shared" si="178"/>
        <v>3500</v>
      </c>
      <c r="V553" s="4">
        <v>2800</v>
      </c>
      <c r="W553" s="4">
        <f t="shared" si="179"/>
        <v>2800</v>
      </c>
      <c r="X553" s="4"/>
      <c r="Y553" s="21">
        <f t="shared" si="180"/>
        <v>3500</v>
      </c>
      <c r="Z553" s="6">
        <f t="shared" si="181"/>
        <v>0.19999999999999996</v>
      </c>
      <c r="AA553" s="4">
        <v>0</v>
      </c>
      <c r="AB553" s="4">
        <f t="shared" si="182"/>
        <v>3709</v>
      </c>
      <c r="AC553" s="4">
        <f t="shared" si="193"/>
        <v>4327.166666666667</v>
      </c>
      <c r="AD553" s="6">
        <f t="shared" si="194"/>
        <v>0.35292531679698036</v>
      </c>
      <c r="AE553" s="4">
        <f t="shared" si="195"/>
        <v>3325</v>
      </c>
      <c r="AF553" s="7">
        <v>3500</v>
      </c>
      <c r="AG553" s="6">
        <f t="shared" si="183"/>
        <v>0.19999999999999996</v>
      </c>
      <c r="AH553" s="4">
        <f t="shared" si="184"/>
        <v>700</v>
      </c>
      <c r="AI553" s="28"/>
      <c r="AJ553" s="6"/>
      <c r="AK553" s="6"/>
      <c r="AL553" s="6">
        <f t="shared" si="185"/>
        <v>1.1666666666666667</v>
      </c>
      <c r="AM553" s="6">
        <f t="shared" si="186"/>
        <v>1.1666666666666667</v>
      </c>
      <c r="AN553" s="6">
        <f t="shared" si="187"/>
        <v>1.1666666666666667</v>
      </c>
      <c r="AO553" s="4" t="str">
        <f t="shared" si="188"/>
        <v>-</v>
      </c>
      <c r="AP553" s="4" t="str">
        <f t="shared" si="189"/>
        <v>-</v>
      </c>
      <c r="AQ553" s="4" t="str">
        <f t="shared" si="190"/>
        <v>-</v>
      </c>
      <c r="AR553" s="4">
        <v>0</v>
      </c>
      <c r="AS553" s="4" t="s">
        <v>2123</v>
      </c>
      <c r="AT553" s="4"/>
      <c r="AU553" s="4"/>
      <c r="AV553" s="4" t="s">
        <v>2072</v>
      </c>
      <c r="AW553" s="4">
        <v>3709</v>
      </c>
      <c r="AX553" s="4">
        <v>3709</v>
      </c>
      <c r="AY553" s="4">
        <v>3709</v>
      </c>
      <c r="AZ553" s="4">
        <f t="shared" si="191"/>
        <v>3709</v>
      </c>
      <c r="BA553" s="19">
        <v>4</v>
      </c>
      <c r="BB553" s="19">
        <v>8</v>
      </c>
      <c r="BC553" s="16">
        <v>19</v>
      </c>
      <c r="BD553" t="s">
        <v>1280</v>
      </c>
      <c r="BE553" t="s">
        <v>1280</v>
      </c>
      <c r="BF553" t="s">
        <v>1280</v>
      </c>
      <c r="BG553" t="str">
        <f t="shared" si="196"/>
        <v>-</v>
      </c>
      <c r="BH553" t="s">
        <v>1280</v>
      </c>
      <c r="BI553">
        <v>3429</v>
      </c>
      <c r="BJ553">
        <v>3429</v>
      </c>
      <c r="BK553">
        <f t="shared" si="197"/>
        <v>4000.5000000000005</v>
      </c>
      <c r="BL553" t="s">
        <v>1614</v>
      </c>
      <c r="BM553">
        <v>812</v>
      </c>
    </row>
    <row r="554" spans="1:65" x14ac:dyDescent="0.4">
      <c r="A554" s="3">
        <v>617</v>
      </c>
      <c r="B554" s="3">
        <v>617</v>
      </c>
      <c r="C554" s="4" t="s">
        <v>606</v>
      </c>
      <c r="D554" s="4" t="str">
        <f t="shared" si="176"/>
        <v>J959SA</v>
      </c>
      <c r="E554" s="4" t="s">
        <v>606</v>
      </c>
      <c r="F554" s="4" t="str">
        <f t="shared" si="192"/>
        <v>J959SA5</v>
      </c>
      <c r="G554" s="4" t="s">
        <v>1250</v>
      </c>
      <c r="H554" s="5">
        <v>4974268834355</v>
      </c>
      <c r="I554" s="5">
        <v>5</v>
      </c>
      <c r="J554" s="5"/>
      <c r="K554" s="5">
        <v>1</v>
      </c>
      <c r="L554" s="5">
        <v>1</v>
      </c>
      <c r="M554" s="4">
        <v>4250</v>
      </c>
      <c r="N554" s="4">
        <v>3836</v>
      </c>
      <c r="O554" s="4">
        <v>2550</v>
      </c>
      <c r="P554" s="6">
        <f t="shared" si="177"/>
        <v>0.33524504692387902</v>
      </c>
      <c r="Q554" s="4" t="s">
        <v>1280</v>
      </c>
      <c r="R554" s="4" t="s">
        <v>1280</v>
      </c>
      <c r="S554" s="4" t="s">
        <v>1280</v>
      </c>
      <c r="T554" s="4">
        <v>4700</v>
      </c>
      <c r="U554" s="4">
        <f t="shared" si="178"/>
        <v>4700</v>
      </c>
      <c r="V554" s="4">
        <v>2820</v>
      </c>
      <c r="W554" s="4">
        <f t="shared" si="179"/>
        <v>2820</v>
      </c>
      <c r="X554" s="4"/>
      <c r="Y554" s="21">
        <f t="shared" si="180"/>
        <v>4242</v>
      </c>
      <c r="Z554" s="6">
        <f t="shared" si="181"/>
        <v>0.33521923620933525</v>
      </c>
      <c r="AA554" s="4">
        <v>0</v>
      </c>
      <c r="AB554" s="4">
        <f t="shared" si="182"/>
        <v>2994</v>
      </c>
      <c r="AC554" s="4">
        <f t="shared" si="193"/>
        <v>3311.0117647058823</v>
      </c>
      <c r="AD554" s="6">
        <f t="shared" si="194"/>
        <v>0.14829659318637278</v>
      </c>
      <c r="AE554" s="4">
        <f t="shared" si="195"/>
        <v>4465</v>
      </c>
      <c r="AF554" s="7">
        <v>4460</v>
      </c>
      <c r="AG554" s="6">
        <f t="shared" si="183"/>
        <v>0.36771300448430488</v>
      </c>
      <c r="AH554" s="4">
        <f t="shared" si="184"/>
        <v>1640</v>
      </c>
      <c r="AI554" s="28"/>
      <c r="AJ554" s="6"/>
      <c r="AK554" s="6"/>
      <c r="AL554" s="6">
        <f t="shared" si="185"/>
        <v>1.1058823529411765</v>
      </c>
      <c r="AM554" s="6">
        <f t="shared" si="186"/>
        <v>1.1626694473409802</v>
      </c>
      <c r="AN554" s="6">
        <f t="shared" si="187"/>
        <v>1.1058823529411765</v>
      </c>
      <c r="AO554" s="4" t="str">
        <f t="shared" si="188"/>
        <v>-</v>
      </c>
      <c r="AP554" s="4" t="str">
        <f t="shared" si="189"/>
        <v>-</v>
      </c>
      <c r="AQ554" s="4" t="str">
        <f t="shared" si="190"/>
        <v>-</v>
      </c>
      <c r="AR554" s="4">
        <v>0</v>
      </c>
      <c r="AS554" s="4" t="s">
        <v>2176</v>
      </c>
      <c r="AT554" s="4"/>
      <c r="AU554" s="4"/>
      <c r="AV554" s="4" t="s">
        <v>1697</v>
      </c>
      <c r="AW554" s="4">
        <v>2994</v>
      </c>
      <c r="AX554" s="4">
        <v>2994</v>
      </c>
      <c r="AY554" s="4">
        <v>2994</v>
      </c>
      <c r="AZ554" s="4">
        <f t="shared" si="191"/>
        <v>2994</v>
      </c>
      <c r="BA554" s="19">
        <v>4</v>
      </c>
      <c r="BB554" s="19">
        <v>8</v>
      </c>
      <c r="BC554" s="16">
        <v>18</v>
      </c>
      <c r="BD554" t="s">
        <v>1280</v>
      </c>
      <c r="BE554" t="s">
        <v>1280</v>
      </c>
      <c r="BF554" t="s">
        <v>1280</v>
      </c>
      <c r="BG554" t="str">
        <f t="shared" si="196"/>
        <v>-</v>
      </c>
      <c r="BH554">
        <v>4256</v>
      </c>
      <c r="BI554">
        <v>4256</v>
      </c>
      <c r="BJ554">
        <v>4256</v>
      </c>
      <c r="BK554">
        <f t="shared" si="197"/>
        <v>4706.6352941176474</v>
      </c>
      <c r="BL554" t="s">
        <v>1658</v>
      </c>
      <c r="BM554">
        <v>812</v>
      </c>
    </row>
    <row r="555" spans="1:65" x14ac:dyDescent="0.4">
      <c r="A555" s="3">
        <v>393</v>
      </c>
      <c r="B555" s="3">
        <v>393</v>
      </c>
      <c r="C555" s="4" t="s">
        <v>382</v>
      </c>
      <c r="D555" s="4" t="str">
        <f t="shared" si="176"/>
        <v>J54409</v>
      </c>
      <c r="E555" s="4" t="s">
        <v>382</v>
      </c>
      <c r="F555" s="4" t="str">
        <f t="shared" si="192"/>
        <v>J544095</v>
      </c>
      <c r="G555" s="4" t="s">
        <v>1026</v>
      </c>
      <c r="H555" s="5">
        <v>4974268100504</v>
      </c>
      <c r="I555" s="5">
        <v>5</v>
      </c>
      <c r="J555" s="5"/>
      <c r="K555" s="5">
        <v>1</v>
      </c>
      <c r="L555" s="5">
        <v>1</v>
      </c>
      <c r="M555" s="4">
        <v>4400</v>
      </c>
      <c r="N555" s="4">
        <v>3385</v>
      </c>
      <c r="O555" s="4">
        <v>2640</v>
      </c>
      <c r="P555" s="6">
        <f t="shared" si="177"/>
        <v>0.22008862629246673</v>
      </c>
      <c r="Q555" s="4" t="s">
        <v>1280</v>
      </c>
      <c r="R555" s="4" t="s">
        <v>1280</v>
      </c>
      <c r="S555" s="4" t="s">
        <v>1280</v>
      </c>
      <c r="T555" s="4">
        <v>4800</v>
      </c>
      <c r="U555" s="4">
        <f t="shared" si="178"/>
        <v>4800</v>
      </c>
      <c r="V555" s="4">
        <v>2880</v>
      </c>
      <c r="W555" s="4">
        <f t="shared" si="179"/>
        <v>2880</v>
      </c>
      <c r="X555" s="4"/>
      <c r="Y555" s="21">
        <f t="shared" si="180"/>
        <v>3693</v>
      </c>
      <c r="Z555" s="6">
        <f t="shared" si="181"/>
        <v>0.22014622258326566</v>
      </c>
      <c r="AA555" s="4">
        <v>0</v>
      </c>
      <c r="AB555" s="4">
        <f t="shared" si="182"/>
        <v>4782</v>
      </c>
      <c r="AC555" s="4">
        <f t="shared" si="193"/>
        <v>5216.7272727272721</v>
      </c>
      <c r="AD555" s="6">
        <f t="shared" si="194"/>
        <v>0.44792973651191959</v>
      </c>
      <c r="AE555" s="4">
        <f t="shared" si="195"/>
        <v>4560</v>
      </c>
      <c r="AF555" s="7">
        <v>4300</v>
      </c>
      <c r="AG555" s="6">
        <f t="shared" si="183"/>
        <v>0.33023255813953489</v>
      </c>
      <c r="AH555" s="4">
        <f t="shared" si="184"/>
        <v>1420</v>
      </c>
      <c r="AI555" s="28"/>
      <c r="AJ555" s="6"/>
      <c r="AK555" s="6"/>
      <c r="AL555" s="6">
        <f t="shared" si="185"/>
        <v>1.0909090909090908</v>
      </c>
      <c r="AM555" s="6">
        <f t="shared" si="186"/>
        <v>1.2703101920236337</v>
      </c>
      <c r="AN555" s="6">
        <f t="shared" si="187"/>
        <v>1.0909090909090908</v>
      </c>
      <c r="AO555" s="4" t="str">
        <f t="shared" si="188"/>
        <v>-</v>
      </c>
      <c r="AP555" s="4" t="str">
        <f t="shared" si="189"/>
        <v>-</v>
      </c>
      <c r="AQ555" s="4" t="str">
        <f t="shared" si="190"/>
        <v>-</v>
      </c>
      <c r="AR555" s="4">
        <v>0</v>
      </c>
      <c r="AS555" s="4" t="s">
        <v>1949</v>
      </c>
      <c r="AT555" s="4"/>
      <c r="AU555" s="4"/>
      <c r="AV555" s="4" t="s">
        <v>1946</v>
      </c>
      <c r="AW555" s="4">
        <v>4782</v>
      </c>
      <c r="AX555" s="4">
        <v>4782</v>
      </c>
      <c r="AY555" s="4">
        <v>4782</v>
      </c>
      <c r="AZ555" s="4">
        <f t="shared" si="191"/>
        <v>4782</v>
      </c>
      <c r="BA555" s="19">
        <v>4</v>
      </c>
      <c r="BB555" s="19">
        <v>8</v>
      </c>
      <c r="BC555" s="16">
        <v>19</v>
      </c>
      <c r="BD555" t="s">
        <v>1280</v>
      </c>
      <c r="BE555" t="s">
        <v>1280</v>
      </c>
      <c r="BF555" t="s">
        <v>1280</v>
      </c>
      <c r="BG555" t="str">
        <f t="shared" si="196"/>
        <v>-</v>
      </c>
      <c r="BH555">
        <v>3325</v>
      </c>
      <c r="BI555">
        <v>3325</v>
      </c>
      <c r="BJ555">
        <v>5045</v>
      </c>
      <c r="BK555">
        <f t="shared" si="197"/>
        <v>5503.6363636363631</v>
      </c>
      <c r="BL555" t="s">
        <v>1477</v>
      </c>
      <c r="BM555">
        <v>812</v>
      </c>
    </row>
    <row r="556" spans="1:65" x14ac:dyDescent="0.4">
      <c r="A556" s="3">
        <v>411</v>
      </c>
      <c r="B556" s="3">
        <v>411</v>
      </c>
      <c r="C556" s="4" t="s">
        <v>400</v>
      </c>
      <c r="D556" s="4" t="str">
        <f t="shared" si="176"/>
        <v>J54481</v>
      </c>
      <c r="E556" s="4" t="s">
        <v>400</v>
      </c>
      <c r="F556" s="4" t="str">
        <f t="shared" si="192"/>
        <v>J544815</v>
      </c>
      <c r="G556" s="4" t="s">
        <v>1044</v>
      </c>
      <c r="H556" s="5">
        <v>4974268831415</v>
      </c>
      <c r="I556" s="5">
        <v>5</v>
      </c>
      <c r="J556" s="5"/>
      <c r="K556" s="5">
        <v>1</v>
      </c>
      <c r="L556" s="5">
        <v>1</v>
      </c>
      <c r="M556" s="4">
        <v>4350</v>
      </c>
      <c r="N556" s="4">
        <v>3632</v>
      </c>
      <c r="O556" s="4">
        <v>2610</v>
      </c>
      <c r="P556" s="6">
        <f t="shared" si="177"/>
        <v>0.28138766519823788</v>
      </c>
      <c r="Q556" s="4" t="s">
        <v>1280</v>
      </c>
      <c r="R556" s="4" t="s">
        <v>1280</v>
      </c>
      <c r="S556" s="4" t="s">
        <v>1280</v>
      </c>
      <c r="T556" s="4">
        <v>4800</v>
      </c>
      <c r="U556" s="4">
        <f t="shared" si="178"/>
        <v>4800</v>
      </c>
      <c r="V556" s="4">
        <v>2880</v>
      </c>
      <c r="W556" s="4">
        <f t="shared" si="179"/>
        <v>2880</v>
      </c>
      <c r="X556" s="4"/>
      <c r="Y556" s="21">
        <f t="shared" si="180"/>
        <v>4008</v>
      </c>
      <c r="Z556" s="6">
        <f t="shared" si="181"/>
        <v>0.28143712574850299</v>
      </c>
      <c r="AA556" s="4">
        <v>0.25</v>
      </c>
      <c r="AB556" s="4">
        <f t="shared" si="182"/>
        <v>3526</v>
      </c>
      <c r="AC556" s="4">
        <f t="shared" si="193"/>
        <v>3890.7586206896553</v>
      </c>
      <c r="AD556" s="6">
        <f t="shared" si="194"/>
        <v>0.25978445830969943</v>
      </c>
      <c r="AE556" s="4">
        <f t="shared" si="195"/>
        <v>4560</v>
      </c>
      <c r="AF556" s="7">
        <v>3890</v>
      </c>
      <c r="AG556" s="6">
        <f t="shared" si="183"/>
        <v>0.25964010282776351</v>
      </c>
      <c r="AH556" s="4">
        <f t="shared" si="184"/>
        <v>1010</v>
      </c>
      <c r="AI556" s="28"/>
      <c r="AJ556" s="6"/>
      <c r="AK556" s="6"/>
      <c r="AL556" s="6">
        <f t="shared" si="185"/>
        <v>1.103448275862069</v>
      </c>
      <c r="AM556" s="6">
        <f t="shared" si="186"/>
        <v>1.071035242290749</v>
      </c>
      <c r="AN556" s="6">
        <f t="shared" si="187"/>
        <v>1.103448275862069</v>
      </c>
      <c r="AO556" s="4" t="str">
        <f t="shared" si="188"/>
        <v>-</v>
      </c>
      <c r="AP556" s="4" t="str">
        <f t="shared" si="189"/>
        <v>-</v>
      </c>
      <c r="AQ556" s="4" t="str">
        <f t="shared" si="190"/>
        <v>-</v>
      </c>
      <c r="AR556" s="4">
        <v>0</v>
      </c>
      <c r="AS556" s="4" t="s">
        <v>1972</v>
      </c>
      <c r="AT556" s="4"/>
      <c r="AU556" s="4"/>
      <c r="AV556" s="4" t="s">
        <v>1697</v>
      </c>
      <c r="AW556" s="4">
        <v>3526</v>
      </c>
      <c r="AX556" s="4">
        <v>3526</v>
      </c>
      <c r="AY556" s="4">
        <v>3526</v>
      </c>
      <c r="AZ556" s="4">
        <f t="shared" si="191"/>
        <v>3526</v>
      </c>
      <c r="BA556" s="19">
        <v>4</v>
      </c>
      <c r="BB556" s="19">
        <v>8</v>
      </c>
      <c r="BC556" s="16">
        <v>18</v>
      </c>
      <c r="BD556" t="s">
        <v>1280</v>
      </c>
      <c r="BE556" t="s">
        <v>1280</v>
      </c>
      <c r="BF556" t="s">
        <v>1280</v>
      </c>
      <c r="BG556" t="str">
        <f t="shared" si="196"/>
        <v>-</v>
      </c>
      <c r="BH556">
        <v>3545</v>
      </c>
      <c r="BI556">
        <v>3545</v>
      </c>
      <c r="BJ556">
        <v>3545</v>
      </c>
      <c r="BK556">
        <f t="shared" si="197"/>
        <v>3911.7241379310344</v>
      </c>
      <c r="BL556" t="s">
        <v>1494</v>
      </c>
      <c r="BM556">
        <v>812</v>
      </c>
    </row>
    <row r="557" spans="1:65" x14ac:dyDescent="0.4">
      <c r="A557" s="3">
        <v>507</v>
      </c>
      <c r="B557" s="3">
        <v>507</v>
      </c>
      <c r="C557" s="4" t="s">
        <v>496</v>
      </c>
      <c r="D557" s="4" t="str">
        <f t="shared" si="176"/>
        <v>J768RZ</v>
      </c>
      <c r="E557" s="4" t="s">
        <v>496</v>
      </c>
      <c r="F557" s="4" t="str">
        <f t="shared" si="192"/>
        <v>J768RZ5</v>
      </c>
      <c r="G557" s="4" t="s">
        <v>1140</v>
      </c>
      <c r="H557" s="5">
        <v>4974268697943</v>
      </c>
      <c r="I557" s="5">
        <v>5</v>
      </c>
      <c r="J557" s="5"/>
      <c r="K557" s="5">
        <v>1</v>
      </c>
      <c r="L557" s="5">
        <v>1</v>
      </c>
      <c r="M557" s="4">
        <v>3000</v>
      </c>
      <c r="N557" s="4">
        <v>3060</v>
      </c>
      <c r="O557" s="4">
        <v>2400</v>
      </c>
      <c r="P557" s="6">
        <f t="shared" si="177"/>
        <v>0.21568627450980393</v>
      </c>
      <c r="Q557" s="4" t="s">
        <v>1280</v>
      </c>
      <c r="R557" s="4" t="s">
        <v>1280</v>
      </c>
      <c r="S557" s="4" t="s">
        <v>1280</v>
      </c>
      <c r="T557" s="4">
        <v>3600</v>
      </c>
      <c r="U557" s="4">
        <f t="shared" si="178"/>
        <v>3600</v>
      </c>
      <c r="V557" s="4">
        <v>2880</v>
      </c>
      <c r="W557" s="4">
        <f t="shared" si="179"/>
        <v>2880</v>
      </c>
      <c r="X557" s="4"/>
      <c r="Y557" s="21">
        <f t="shared" si="180"/>
        <v>3672</v>
      </c>
      <c r="Z557" s="6">
        <f t="shared" si="181"/>
        <v>0.21568627450980393</v>
      </c>
      <c r="AA557" s="4">
        <v>0.25</v>
      </c>
      <c r="AB557" s="4">
        <f t="shared" si="182"/>
        <v>3430</v>
      </c>
      <c r="AC557" s="4">
        <f t="shared" si="193"/>
        <v>4116</v>
      </c>
      <c r="AD557" s="6">
        <f t="shared" si="194"/>
        <v>0.30029154518950441</v>
      </c>
      <c r="AE557" s="4">
        <f t="shared" si="195"/>
        <v>3420</v>
      </c>
      <c r="AF557" s="7">
        <v>3600</v>
      </c>
      <c r="AG557" s="6">
        <f t="shared" si="183"/>
        <v>0.19999999999999996</v>
      </c>
      <c r="AH557" s="4">
        <f t="shared" si="184"/>
        <v>720</v>
      </c>
      <c r="AI557" s="28"/>
      <c r="AJ557" s="6"/>
      <c r="AK557" s="6"/>
      <c r="AL557" s="6">
        <f t="shared" si="185"/>
        <v>1.2</v>
      </c>
      <c r="AM557" s="6">
        <f t="shared" si="186"/>
        <v>1.1764705882352942</v>
      </c>
      <c r="AN557" s="6">
        <f t="shared" si="187"/>
        <v>1.2</v>
      </c>
      <c r="AO557" s="4" t="str">
        <f t="shared" si="188"/>
        <v>-</v>
      </c>
      <c r="AP557" s="4" t="str">
        <f t="shared" si="189"/>
        <v>-</v>
      </c>
      <c r="AQ557" s="4" t="str">
        <f t="shared" si="190"/>
        <v>-</v>
      </c>
      <c r="AR557" s="4">
        <v>0</v>
      </c>
      <c r="AS557" s="4" t="s">
        <v>2065</v>
      </c>
      <c r="AT557" s="4"/>
      <c r="AU557" s="4"/>
      <c r="AV557" s="4" t="s">
        <v>2064</v>
      </c>
      <c r="AW557" s="4">
        <v>3430</v>
      </c>
      <c r="AX557" s="4">
        <v>3430</v>
      </c>
      <c r="AY557" s="4">
        <v>3430</v>
      </c>
      <c r="AZ557" s="4">
        <f t="shared" si="191"/>
        <v>3430</v>
      </c>
      <c r="BA557" s="19">
        <v>4</v>
      </c>
      <c r="BB557" s="19">
        <v>8</v>
      </c>
      <c r="BC557" s="16">
        <v>19</v>
      </c>
      <c r="BD557" t="s">
        <v>1280</v>
      </c>
      <c r="BE557" t="s">
        <v>1280</v>
      </c>
      <c r="BF557" t="s">
        <v>1280</v>
      </c>
      <c r="BG557" t="str">
        <f t="shared" si="196"/>
        <v>-</v>
      </c>
      <c r="BH557">
        <v>3429</v>
      </c>
      <c r="BI557">
        <v>3429</v>
      </c>
      <c r="BJ557">
        <v>3429</v>
      </c>
      <c r="BK557">
        <f t="shared" si="197"/>
        <v>4114.8</v>
      </c>
      <c r="BL557" t="s">
        <v>1569</v>
      </c>
      <c r="BM557">
        <v>812</v>
      </c>
    </row>
    <row r="558" spans="1:65" x14ac:dyDescent="0.4">
      <c r="A558" s="3">
        <v>626</v>
      </c>
      <c r="B558" s="3">
        <v>626</v>
      </c>
      <c r="C558" s="4" t="s">
        <v>615</v>
      </c>
      <c r="D558" s="4" t="str">
        <f t="shared" si="176"/>
        <v>J966WN</v>
      </c>
      <c r="E558" s="4" t="s">
        <v>615</v>
      </c>
      <c r="F558" s="4" t="str">
        <f t="shared" si="192"/>
        <v>J966WN5</v>
      </c>
      <c r="G558" s="4" t="s">
        <v>1259</v>
      </c>
      <c r="H558" s="5">
        <v>4974268562258</v>
      </c>
      <c r="I558" s="5">
        <v>5</v>
      </c>
      <c r="J558" s="5"/>
      <c r="K558" s="5">
        <v>1</v>
      </c>
      <c r="L558" s="5">
        <v>1</v>
      </c>
      <c r="M558" s="4">
        <v>4300</v>
      </c>
      <c r="N558" s="4">
        <v>3690</v>
      </c>
      <c r="O558" s="4">
        <v>2580</v>
      </c>
      <c r="P558" s="6">
        <f t="shared" si="177"/>
        <v>0.30081300813008127</v>
      </c>
      <c r="Q558" s="4" t="s">
        <v>1280</v>
      </c>
      <c r="R558" s="4" t="s">
        <v>1280</v>
      </c>
      <c r="S558" s="4" t="s">
        <v>1280</v>
      </c>
      <c r="T558" s="4">
        <v>4800</v>
      </c>
      <c r="U558" s="4">
        <f t="shared" si="178"/>
        <v>4800</v>
      </c>
      <c r="V558" s="4">
        <v>2880</v>
      </c>
      <c r="W558" s="4">
        <f t="shared" si="179"/>
        <v>2880</v>
      </c>
      <c r="X558" s="4"/>
      <c r="Y558" s="21">
        <f t="shared" si="180"/>
        <v>4119</v>
      </c>
      <c r="Z558" s="6">
        <f t="shared" si="181"/>
        <v>0.30080116533139112</v>
      </c>
      <c r="AA558" s="4">
        <v>0</v>
      </c>
      <c r="AB558" s="4">
        <f t="shared" si="182"/>
        <v>4299</v>
      </c>
      <c r="AC558" s="4">
        <f t="shared" si="193"/>
        <v>4798.8837209302328</v>
      </c>
      <c r="AD558" s="6">
        <f t="shared" si="194"/>
        <v>0.39986043265875792</v>
      </c>
      <c r="AE558" s="4">
        <f t="shared" si="195"/>
        <v>4560</v>
      </c>
      <c r="AF558" s="7">
        <v>4400</v>
      </c>
      <c r="AG558" s="6">
        <f t="shared" si="183"/>
        <v>0.34545454545454546</v>
      </c>
      <c r="AH558" s="4">
        <f t="shared" si="184"/>
        <v>1520</v>
      </c>
      <c r="AI558" s="28"/>
      <c r="AJ558" s="6"/>
      <c r="AK558" s="6"/>
      <c r="AL558" s="6">
        <f t="shared" si="185"/>
        <v>1.1162790697674418</v>
      </c>
      <c r="AM558" s="6">
        <f t="shared" si="186"/>
        <v>1.1924119241192412</v>
      </c>
      <c r="AN558" s="6">
        <f t="shared" si="187"/>
        <v>1.1162790697674418</v>
      </c>
      <c r="AO558" s="4" t="str">
        <f t="shared" si="188"/>
        <v>-</v>
      </c>
      <c r="AP558" s="4" t="str">
        <f t="shared" si="189"/>
        <v>-</v>
      </c>
      <c r="AQ558" s="4" t="str">
        <f t="shared" si="190"/>
        <v>-</v>
      </c>
      <c r="AR558" s="4">
        <v>0</v>
      </c>
      <c r="AS558" s="4" t="s">
        <v>2184</v>
      </c>
      <c r="AT558" s="4"/>
      <c r="AU558" s="4"/>
      <c r="AV558" s="4" t="s">
        <v>1697</v>
      </c>
      <c r="AW558" s="4">
        <v>4299</v>
      </c>
      <c r="AX558" s="4">
        <v>4299</v>
      </c>
      <c r="AY558" s="4">
        <v>4299</v>
      </c>
      <c r="AZ558" s="4">
        <f t="shared" si="191"/>
        <v>4299</v>
      </c>
      <c r="BA558" s="19">
        <v>4</v>
      </c>
      <c r="BB558" s="19">
        <v>8</v>
      </c>
      <c r="BC558" s="16">
        <v>18</v>
      </c>
      <c r="BD558" t="s">
        <v>1280</v>
      </c>
      <c r="BE558" t="s">
        <v>1280</v>
      </c>
      <c r="BF558" t="s">
        <v>1280</v>
      </c>
      <c r="BG558" t="str">
        <f t="shared" si="196"/>
        <v>-</v>
      </c>
      <c r="BH558" t="s">
        <v>1280</v>
      </c>
      <c r="BI558">
        <v>3584</v>
      </c>
      <c r="BJ558">
        <v>3584</v>
      </c>
      <c r="BK558">
        <f t="shared" si="197"/>
        <v>4000.7441860465115</v>
      </c>
      <c r="BL558" t="s">
        <v>1665</v>
      </c>
      <c r="BM558">
        <v>812</v>
      </c>
    </row>
    <row r="559" spans="1:65" x14ac:dyDescent="0.4">
      <c r="A559" s="3">
        <v>367</v>
      </c>
      <c r="B559" s="3">
        <v>367</v>
      </c>
      <c r="C559" s="4" t="s">
        <v>356</v>
      </c>
      <c r="D559" s="4" t="str">
        <f t="shared" si="176"/>
        <v>J4017N</v>
      </c>
      <c r="E559" s="4" t="s">
        <v>356</v>
      </c>
      <c r="F559" s="4" t="str">
        <f t="shared" si="192"/>
        <v>J4017N5</v>
      </c>
      <c r="G559" s="4" t="s">
        <v>1002</v>
      </c>
      <c r="H559" s="5">
        <v>4529671052225</v>
      </c>
      <c r="I559" s="5">
        <v>5</v>
      </c>
      <c r="J559" s="5"/>
      <c r="K559" s="5">
        <v>1</v>
      </c>
      <c r="L559" s="5">
        <v>1</v>
      </c>
      <c r="M559" s="4">
        <v>0</v>
      </c>
      <c r="N559" s="4">
        <v>3928</v>
      </c>
      <c r="O559" s="4">
        <v>2676</v>
      </c>
      <c r="P559" s="6">
        <f t="shared" si="177"/>
        <v>0.31873727087576376</v>
      </c>
      <c r="Q559" s="4" t="s">
        <v>1280</v>
      </c>
      <c r="R559" s="4" t="s">
        <v>1280</v>
      </c>
      <c r="S559" s="4" t="s">
        <v>1280</v>
      </c>
      <c r="T559" s="4">
        <v>0</v>
      </c>
      <c r="U559" s="4">
        <f t="shared" si="178"/>
        <v>0</v>
      </c>
      <c r="V559" s="4">
        <v>2922</v>
      </c>
      <c r="W559" s="4">
        <f t="shared" si="179"/>
        <v>2922</v>
      </c>
      <c r="X559" s="4"/>
      <c r="Y559" s="21">
        <f t="shared" si="180"/>
        <v>4289</v>
      </c>
      <c r="Z559" s="6">
        <f t="shared" si="181"/>
        <v>0.31872231289344832</v>
      </c>
      <c r="AA559" s="4">
        <v>0</v>
      </c>
      <c r="AB559" s="4" t="str">
        <f t="shared" si="182"/>
        <v>-</v>
      </c>
      <c r="AC559" s="4" t="str">
        <f t="shared" si="193"/>
        <v>-</v>
      </c>
      <c r="AD559" s="6" t="str">
        <f t="shared" si="194"/>
        <v>-</v>
      </c>
      <c r="AE559" s="4">
        <f t="shared" si="195"/>
        <v>0</v>
      </c>
      <c r="AF559" s="7">
        <v>4300</v>
      </c>
      <c r="AG559" s="6">
        <f t="shared" si="183"/>
        <v>0.32046511627906982</v>
      </c>
      <c r="AH559" s="4">
        <f t="shared" si="184"/>
        <v>1378</v>
      </c>
      <c r="AI559" s="28"/>
      <c r="AJ559" s="6"/>
      <c r="AK559" s="6"/>
      <c r="AL559" s="6" t="e">
        <f t="shared" si="185"/>
        <v>#DIV/0!</v>
      </c>
      <c r="AM559" s="6">
        <f t="shared" si="186"/>
        <v>1.0947046843177188</v>
      </c>
      <c r="AN559" s="6">
        <f t="shared" si="187"/>
        <v>1.0919282511210762</v>
      </c>
      <c r="AO559" s="4" t="str">
        <f t="shared" si="188"/>
        <v>-</v>
      </c>
      <c r="AP559" s="4" t="str">
        <f t="shared" si="189"/>
        <v>-</v>
      </c>
      <c r="AQ559" s="4" t="str">
        <f t="shared" si="190"/>
        <v>-</v>
      </c>
      <c r="AR559" s="4">
        <v>0</v>
      </c>
      <c r="AS559" s="4" t="s">
        <v>1280</v>
      </c>
      <c r="AT559" s="4"/>
      <c r="AU559" s="4"/>
      <c r="AV559" s="4" t="s">
        <v>1280</v>
      </c>
      <c r="AW559" s="4" t="s">
        <v>1280</v>
      </c>
      <c r="AX559" s="4" t="s">
        <v>1280</v>
      </c>
      <c r="AY559" s="4" t="s">
        <v>1280</v>
      </c>
      <c r="AZ559" s="4" t="str">
        <f t="shared" si="191"/>
        <v>-</v>
      </c>
      <c r="BA559" s="19">
        <v>4</v>
      </c>
      <c r="BB559" s="19">
        <v>8</v>
      </c>
      <c r="BC559" s="16">
        <v>19</v>
      </c>
      <c r="BD559" t="s">
        <v>1280</v>
      </c>
      <c r="BE559" t="s">
        <v>1280</v>
      </c>
      <c r="BF559" t="s">
        <v>1280</v>
      </c>
      <c r="BG559" t="str">
        <f t="shared" si="196"/>
        <v>-</v>
      </c>
      <c r="BH559">
        <v>3390</v>
      </c>
      <c r="BI559">
        <v>3390</v>
      </c>
      <c r="BJ559">
        <v>3390</v>
      </c>
      <c r="BK559">
        <f t="shared" si="197"/>
        <v>3701.6367713004483</v>
      </c>
      <c r="BL559" t="s">
        <v>1280</v>
      </c>
      <c r="BM559">
        <v>812</v>
      </c>
    </row>
    <row r="560" spans="1:65" x14ac:dyDescent="0.4">
      <c r="A560" s="3">
        <v>368</v>
      </c>
      <c r="B560" s="3">
        <v>368</v>
      </c>
      <c r="C560" s="4" t="s">
        <v>357</v>
      </c>
      <c r="D560" s="4" t="str">
        <f t="shared" si="176"/>
        <v>J4018N</v>
      </c>
      <c r="E560" s="4" t="s">
        <v>357</v>
      </c>
      <c r="F560" s="4" t="str">
        <f t="shared" si="192"/>
        <v>J4018N5</v>
      </c>
      <c r="G560" s="4" t="s">
        <v>1003</v>
      </c>
      <c r="H560" s="5">
        <v>4529671052232</v>
      </c>
      <c r="I560" s="5">
        <v>5</v>
      </c>
      <c r="J560" s="5"/>
      <c r="K560" s="5">
        <v>1</v>
      </c>
      <c r="L560" s="5">
        <v>1</v>
      </c>
      <c r="M560" s="4">
        <v>0</v>
      </c>
      <c r="N560" s="4">
        <v>3928</v>
      </c>
      <c r="O560" s="4">
        <v>2676</v>
      </c>
      <c r="P560" s="6">
        <f t="shared" si="177"/>
        <v>0.31873727087576376</v>
      </c>
      <c r="Q560" s="4" t="s">
        <v>1280</v>
      </c>
      <c r="R560" s="4" t="s">
        <v>1280</v>
      </c>
      <c r="S560" s="4" t="s">
        <v>1280</v>
      </c>
      <c r="T560" s="4">
        <v>0</v>
      </c>
      <c r="U560" s="4">
        <f t="shared" si="178"/>
        <v>0</v>
      </c>
      <c r="V560" s="4">
        <v>2922</v>
      </c>
      <c r="W560" s="4">
        <f t="shared" si="179"/>
        <v>2922</v>
      </c>
      <c r="X560" s="4"/>
      <c r="Y560" s="21">
        <f t="shared" si="180"/>
        <v>4289</v>
      </c>
      <c r="Z560" s="6">
        <f t="shared" si="181"/>
        <v>0.31872231289344832</v>
      </c>
      <c r="AA560" s="4">
        <v>0</v>
      </c>
      <c r="AB560" s="4" t="str">
        <f t="shared" si="182"/>
        <v>-</v>
      </c>
      <c r="AC560" s="4" t="str">
        <f t="shared" si="193"/>
        <v>-</v>
      </c>
      <c r="AD560" s="6" t="str">
        <f t="shared" si="194"/>
        <v>-</v>
      </c>
      <c r="AE560" s="4">
        <f t="shared" si="195"/>
        <v>0</v>
      </c>
      <c r="AF560" s="7">
        <v>4300</v>
      </c>
      <c r="AG560" s="6">
        <f t="shared" si="183"/>
        <v>0.32046511627906982</v>
      </c>
      <c r="AH560" s="4">
        <f t="shared" si="184"/>
        <v>1378</v>
      </c>
      <c r="AI560" s="28"/>
      <c r="AJ560" s="6"/>
      <c r="AK560" s="6"/>
      <c r="AL560" s="6" t="e">
        <f t="shared" si="185"/>
        <v>#DIV/0!</v>
      </c>
      <c r="AM560" s="6">
        <f t="shared" si="186"/>
        <v>1.0947046843177188</v>
      </c>
      <c r="AN560" s="6">
        <f t="shared" si="187"/>
        <v>1.0919282511210762</v>
      </c>
      <c r="AO560" s="4" t="str">
        <f t="shared" si="188"/>
        <v>-</v>
      </c>
      <c r="AP560" s="4" t="str">
        <f t="shared" si="189"/>
        <v>-</v>
      </c>
      <c r="AQ560" s="4" t="str">
        <f t="shared" si="190"/>
        <v>-</v>
      </c>
      <c r="AR560" s="4">
        <v>0</v>
      </c>
      <c r="AS560" s="4" t="s">
        <v>1280</v>
      </c>
      <c r="AT560" s="4"/>
      <c r="AU560" s="4"/>
      <c r="AV560" s="4" t="s">
        <v>1280</v>
      </c>
      <c r="AW560" s="4" t="s">
        <v>1280</v>
      </c>
      <c r="AX560" s="4" t="s">
        <v>1280</v>
      </c>
      <c r="AY560" s="4" t="s">
        <v>1280</v>
      </c>
      <c r="AZ560" s="4" t="str">
        <f t="shared" si="191"/>
        <v>-</v>
      </c>
      <c r="BA560" s="19">
        <v>4</v>
      </c>
      <c r="BB560" s="19">
        <v>8</v>
      </c>
      <c r="BC560" s="16">
        <v>19</v>
      </c>
      <c r="BD560" t="s">
        <v>1280</v>
      </c>
      <c r="BE560" t="s">
        <v>1280</v>
      </c>
      <c r="BF560" t="s">
        <v>1280</v>
      </c>
      <c r="BG560" t="str">
        <f t="shared" si="196"/>
        <v>-</v>
      </c>
      <c r="BH560">
        <v>3390</v>
      </c>
      <c r="BI560">
        <v>3390</v>
      </c>
      <c r="BJ560">
        <v>3390</v>
      </c>
      <c r="BK560">
        <f t="shared" si="197"/>
        <v>3701.6367713004483</v>
      </c>
      <c r="BL560" t="s">
        <v>1280</v>
      </c>
      <c r="BM560">
        <v>812</v>
      </c>
    </row>
    <row r="561" spans="1:65" x14ac:dyDescent="0.4">
      <c r="A561" s="3">
        <v>370</v>
      </c>
      <c r="B561" s="3">
        <v>370</v>
      </c>
      <c r="C561" s="4" t="s">
        <v>359</v>
      </c>
      <c r="D561" s="4" t="str">
        <f t="shared" si="176"/>
        <v>J4022N</v>
      </c>
      <c r="E561" s="4" t="s">
        <v>359</v>
      </c>
      <c r="F561" s="4" t="str">
        <f t="shared" si="192"/>
        <v>J4022N5</v>
      </c>
      <c r="G561" s="4" t="s">
        <v>1005</v>
      </c>
      <c r="H561" s="5">
        <v>4529671052270</v>
      </c>
      <c r="I561" s="5">
        <v>5</v>
      </c>
      <c r="J561" s="5"/>
      <c r="K561" s="5">
        <v>1</v>
      </c>
      <c r="L561" s="5">
        <v>1</v>
      </c>
      <c r="M561" s="4">
        <v>0</v>
      </c>
      <c r="N561" s="4">
        <v>3928</v>
      </c>
      <c r="O561" s="4">
        <v>2676</v>
      </c>
      <c r="P561" s="6">
        <f t="shared" si="177"/>
        <v>0.31873727087576376</v>
      </c>
      <c r="Q561" s="4" t="s">
        <v>1280</v>
      </c>
      <c r="R561" s="4" t="s">
        <v>1280</v>
      </c>
      <c r="S561" s="4" t="s">
        <v>1280</v>
      </c>
      <c r="T561" s="4">
        <v>0</v>
      </c>
      <c r="U561" s="4">
        <f t="shared" si="178"/>
        <v>0</v>
      </c>
      <c r="V561" s="4">
        <v>2922</v>
      </c>
      <c r="W561" s="4">
        <f t="shared" si="179"/>
        <v>2922</v>
      </c>
      <c r="X561" s="4"/>
      <c r="Y561" s="21">
        <f t="shared" si="180"/>
        <v>4289</v>
      </c>
      <c r="Z561" s="6">
        <f t="shared" si="181"/>
        <v>0.31872231289344832</v>
      </c>
      <c r="AA561" s="4">
        <v>0</v>
      </c>
      <c r="AB561" s="4" t="str">
        <f t="shared" si="182"/>
        <v>-</v>
      </c>
      <c r="AC561" s="4" t="str">
        <f t="shared" si="193"/>
        <v>-</v>
      </c>
      <c r="AD561" s="6" t="str">
        <f t="shared" si="194"/>
        <v>-</v>
      </c>
      <c r="AE561" s="4">
        <f t="shared" si="195"/>
        <v>0</v>
      </c>
      <c r="AF561" s="7">
        <v>4300</v>
      </c>
      <c r="AG561" s="6">
        <f t="shared" si="183"/>
        <v>0.32046511627906982</v>
      </c>
      <c r="AH561" s="4">
        <f t="shared" si="184"/>
        <v>1378</v>
      </c>
      <c r="AI561" s="28"/>
      <c r="AJ561" s="6"/>
      <c r="AK561" s="6"/>
      <c r="AL561" s="6" t="e">
        <f t="shared" si="185"/>
        <v>#DIV/0!</v>
      </c>
      <c r="AM561" s="6">
        <f t="shared" si="186"/>
        <v>1.0947046843177188</v>
      </c>
      <c r="AN561" s="6">
        <f t="shared" si="187"/>
        <v>1.0919282511210762</v>
      </c>
      <c r="AO561" s="4" t="str">
        <f t="shared" si="188"/>
        <v>-</v>
      </c>
      <c r="AP561" s="4" t="str">
        <f t="shared" si="189"/>
        <v>-</v>
      </c>
      <c r="AQ561" s="4" t="str">
        <f t="shared" si="190"/>
        <v>-</v>
      </c>
      <c r="AR561" s="4">
        <v>0</v>
      </c>
      <c r="AS561" s="4" t="s">
        <v>1280</v>
      </c>
      <c r="AT561" s="4"/>
      <c r="AU561" s="4"/>
      <c r="AV561" s="4" t="s">
        <v>1280</v>
      </c>
      <c r="AW561" s="4" t="s">
        <v>1280</v>
      </c>
      <c r="AX561" s="4" t="s">
        <v>1280</v>
      </c>
      <c r="AY561" s="4" t="s">
        <v>1280</v>
      </c>
      <c r="AZ561" s="4" t="str">
        <f t="shared" si="191"/>
        <v>-</v>
      </c>
      <c r="BA561" s="19">
        <v>4</v>
      </c>
      <c r="BB561" s="19">
        <v>8</v>
      </c>
      <c r="BC561" s="16">
        <v>19</v>
      </c>
      <c r="BD561" t="s">
        <v>1280</v>
      </c>
      <c r="BE561" t="s">
        <v>1280</v>
      </c>
      <c r="BF561" t="s">
        <v>1280</v>
      </c>
      <c r="BG561" t="str">
        <f t="shared" si="196"/>
        <v>-</v>
      </c>
      <c r="BH561">
        <v>3390</v>
      </c>
      <c r="BI561">
        <v>3390</v>
      </c>
      <c r="BJ561">
        <v>3390</v>
      </c>
      <c r="BK561">
        <f t="shared" si="197"/>
        <v>3701.6367713004483</v>
      </c>
      <c r="BL561" t="s">
        <v>1280</v>
      </c>
      <c r="BM561">
        <v>812</v>
      </c>
    </row>
    <row r="562" spans="1:65" x14ac:dyDescent="0.4">
      <c r="A562" s="3">
        <v>371</v>
      </c>
      <c r="B562" s="3">
        <v>371</v>
      </c>
      <c r="C562" s="4" t="s">
        <v>360</v>
      </c>
      <c r="D562" s="4" t="str">
        <f t="shared" si="176"/>
        <v>J4023N</v>
      </c>
      <c r="E562" s="4" t="s">
        <v>360</v>
      </c>
      <c r="F562" s="4" t="str">
        <f t="shared" si="192"/>
        <v>J4023N5</v>
      </c>
      <c r="G562" s="4" t="s">
        <v>1006</v>
      </c>
      <c r="H562" s="5">
        <v>4529671052287</v>
      </c>
      <c r="I562" s="5">
        <v>5</v>
      </c>
      <c r="J562" s="5"/>
      <c r="K562" s="5">
        <v>1</v>
      </c>
      <c r="L562" s="5">
        <v>1</v>
      </c>
      <c r="M562" s="4">
        <v>0</v>
      </c>
      <c r="N562" s="4">
        <v>3928</v>
      </c>
      <c r="O562" s="4">
        <v>2676</v>
      </c>
      <c r="P562" s="6">
        <f t="shared" si="177"/>
        <v>0.31873727087576376</v>
      </c>
      <c r="Q562" s="4" t="s">
        <v>1280</v>
      </c>
      <c r="R562" s="4" t="s">
        <v>1280</v>
      </c>
      <c r="S562" s="4" t="s">
        <v>1280</v>
      </c>
      <c r="T562" s="4">
        <v>0</v>
      </c>
      <c r="U562" s="4">
        <f t="shared" si="178"/>
        <v>0</v>
      </c>
      <c r="V562" s="4">
        <v>2922</v>
      </c>
      <c r="W562" s="4">
        <f t="shared" si="179"/>
        <v>2922</v>
      </c>
      <c r="X562" s="4"/>
      <c r="Y562" s="21">
        <f t="shared" si="180"/>
        <v>4289</v>
      </c>
      <c r="Z562" s="6">
        <f t="shared" si="181"/>
        <v>0.31872231289344832</v>
      </c>
      <c r="AA562" s="4">
        <v>0</v>
      </c>
      <c r="AB562" s="4" t="str">
        <f t="shared" si="182"/>
        <v>-</v>
      </c>
      <c r="AC562" s="4" t="str">
        <f t="shared" si="193"/>
        <v>-</v>
      </c>
      <c r="AD562" s="6" t="str">
        <f t="shared" si="194"/>
        <v>-</v>
      </c>
      <c r="AE562" s="4">
        <f t="shared" si="195"/>
        <v>0</v>
      </c>
      <c r="AF562" s="7">
        <v>4300</v>
      </c>
      <c r="AG562" s="6">
        <f t="shared" si="183"/>
        <v>0.32046511627906982</v>
      </c>
      <c r="AH562" s="4">
        <f t="shared" si="184"/>
        <v>1378</v>
      </c>
      <c r="AI562" s="28"/>
      <c r="AJ562" s="6"/>
      <c r="AK562" s="6"/>
      <c r="AL562" s="6" t="e">
        <f t="shared" si="185"/>
        <v>#DIV/0!</v>
      </c>
      <c r="AM562" s="6">
        <f t="shared" si="186"/>
        <v>1.0947046843177188</v>
      </c>
      <c r="AN562" s="6">
        <f t="shared" si="187"/>
        <v>1.0919282511210762</v>
      </c>
      <c r="AO562" s="4" t="str">
        <f t="shared" si="188"/>
        <v>-</v>
      </c>
      <c r="AP562" s="4" t="str">
        <f t="shared" si="189"/>
        <v>-</v>
      </c>
      <c r="AQ562" s="4" t="str">
        <f t="shared" si="190"/>
        <v>-</v>
      </c>
      <c r="AR562" s="4">
        <v>0</v>
      </c>
      <c r="AS562" s="4" t="s">
        <v>1280</v>
      </c>
      <c r="AT562" s="4"/>
      <c r="AU562" s="4"/>
      <c r="AV562" s="4" t="s">
        <v>1280</v>
      </c>
      <c r="AW562" s="4" t="s">
        <v>1280</v>
      </c>
      <c r="AX562" s="4" t="s">
        <v>1280</v>
      </c>
      <c r="AY562" s="4" t="s">
        <v>1280</v>
      </c>
      <c r="AZ562" s="4" t="str">
        <f t="shared" si="191"/>
        <v>-</v>
      </c>
      <c r="BA562" s="19">
        <v>4</v>
      </c>
      <c r="BB562" s="19">
        <v>8</v>
      </c>
      <c r="BC562" s="16">
        <v>19</v>
      </c>
      <c r="BD562" t="s">
        <v>1280</v>
      </c>
      <c r="BE562" t="s">
        <v>1280</v>
      </c>
      <c r="BF562" t="s">
        <v>1280</v>
      </c>
      <c r="BG562" t="str">
        <f t="shared" si="196"/>
        <v>-</v>
      </c>
      <c r="BH562">
        <v>3390</v>
      </c>
      <c r="BI562">
        <v>3390</v>
      </c>
      <c r="BJ562">
        <v>3390</v>
      </c>
      <c r="BK562">
        <f t="shared" si="197"/>
        <v>3701.6367713004483</v>
      </c>
      <c r="BL562" t="s">
        <v>1280</v>
      </c>
      <c r="BM562">
        <v>812</v>
      </c>
    </row>
    <row r="563" spans="1:65" x14ac:dyDescent="0.4">
      <c r="A563" s="32">
        <v>267</v>
      </c>
      <c r="B563" s="3">
        <v>267</v>
      </c>
      <c r="C563" s="4" t="s">
        <v>256</v>
      </c>
      <c r="D563" s="4" t="str">
        <f t="shared" si="176"/>
        <v>J38872</v>
      </c>
      <c r="E563" s="4" t="s">
        <v>256</v>
      </c>
      <c r="F563" s="4" t="str">
        <f t="shared" si="192"/>
        <v>J388725</v>
      </c>
      <c r="G563" s="4" t="s">
        <v>902</v>
      </c>
      <c r="H563" s="5">
        <v>4974268682697</v>
      </c>
      <c r="I563" s="5">
        <v>5</v>
      </c>
      <c r="J563" s="5"/>
      <c r="K563" s="5">
        <v>1</v>
      </c>
      <c r="L563" s="5">
        <v>1</v>
      </c>
      <c r="M563" s="4">
        <v>4500</v>
      </c>
      <c r="N563" s="4">
        <v>4043</v>
      </c>
      <c r="O563" s="4">
        <v>2700</v>
      </c>
      <c r="P563" s="6">
        <f t="shared" si="177"/>
        <v>0.33217907494434828</v>
      </c>
      <c r="Q563" s="4" t="s">
        <v>1280</v>
      </c>
      <c r="R563" s="4" t="s">
        <v>1280</v>
      </c>
      <c r="S563" s="4" t="s">
        <v>1280</v>
      </c>
      <c r="T563" s="4">
        <v>4900</v>
      </c>
      <c r="U563" s="4">
        <f t="shared" si="178"/>
        <v>4900</v>
      </c>
      <c r="V563" s="4">
        <v>2940</v>
      </c>
      <c r="W563" s="4">
        <f t="shared" si="179"/>
        <v>2940</v>
      </c>
      <c r="X563" s="4"/>
      <c r="Y563" s="21">
        <f t="shared" si="180"/>
        <v>4402</v>
      </c>
      <c r="Z563" s="6">
        <f t="shared" si="181"/>
        <v>0.332121762835075</v>
      </c>
      <c r="AA563" s="4">
        <v>0</v>
      </c>
      <c r="AB563" s="4">
        <f t="shared" si="182"/>
        <v>4255</v>
      </c>
      <c r="AC563" s="4">
        <f t="shared" si="193"/>
        <v>4633.2222222222217</v>
      </c>
      <c r="AD563" s="6">
        <f t="shared" si="194"/>
        <v>0.36545240893066977</v>
      </c>
      <c r="AE563" s="4">
        <f t="shared" si="195"/>
        <v>4655</v>
      </c>
      <c r="AF563" s="7">
        <v>4600</v>
      </c>
      <c r="AG563" s="6">
        <f t="shared" si="183"/>
        <v>0.36086956521739133</v>
      </c>
      <c r="AH563" s="4">
        <f t="shared" si="184"/>
        <v>1660</v>
      </c>
      <c r="AI563" s="28"/>
      <c r="AJ563" s="6"/>
      <c r="AK563" s="6"/>
      <c r="AL563" s="6">
        <f t="shared" si="185"/>
        <v>1.0888888888888888</v>
      </c>
      <c r="AM563" s="6">
        <f t="shared" si="186"/>
        <v>1.1377689834281475</v>
      </c>
      <c r="AN563" s="6">
        <f t="shared" si="187"/>
        <v>1.0888888888888888</v>
      </c>
      <c r="AO563" s="4" t="str">
        <f t="shared" si="188"/>
        <v>-</v>
      </c>
      <c r="AP563" s="4" t="str">
        <f t="shared" si="189"/>
        <v>-</v>
      </c>
      <c r="AQ563" s="4" t="str">
        <f t="shared" si="190"/>
        <v>-</v>
      </c>
      <c r="AR563" s="4">
        <v>0</v>
      </c>
      <c r="AS563" s="4" t="s">
        <v>1896</v>
      </c>
      <c r="AT563" s="4"/>
      <c r="AU563" s="4"/>
      <c r="AV563" s="4" t="s">
        <v>1897</v>
      </c>
      <c r="AW563" s="4">
        <v>4255</v>
      </c>
      <c r="AX563" s="4">
        <v>4255</v>
      </c>
      <c r="AY563" s="4">
        <v>4255</v>
      </c>
      <c r="AZ563" s="4">
        <f t="shared" si="191"/>
        <v>4255</v>
      </c>
      <c r="BA563" s="19">
        <v>2</v>
      </c>
      <c r="BB563" s="19">
        <v>8</v>
      </c>
      <c r="BC563" s="16">
        <v>18</v>
      </c>
      <c r="BD563" t="s">
        <v>1280</v>
      </c>
      <c r="BE563" t="s">
        <v>1280</v>
      </c>
      <c r="BF563" t="s">
        <v>1280</v>
      </c>
      <c r="BG563" t="str">
        <f t="shared" si="196"/>
        <v>-</v>
      </c>
      <c r="BH563" t="s">
        <v>1280</v>
      </c>
      <c r="BI563">
        <v>4186</v>
      </c>
      <c r="BJ563">
        <v>4186</v>
      </c>
      <c r="BK563">
        <f t="shared" si="197"/>
        <v>4558.0888888888885</v>
      </c>
      <c r="BL563" t="s">
        <v>1441</v>
      </c>
      <c r="BM563">
        <v>812</v>
      </c>
    </row>
    <row r="564" spans="1:65" x14ac:dyDescent="0.4">
      <c r="A564" s="3">
        <v>397</v>
      </c>
      <c r="B564" s="3">
        <v>397</v>
      </c>
      <c r="C564" s="4" t="s">
        <v>386</v>
      </c>
      <c r="D564" s="4" t="str">
        <f t="shared" si="176"/>
        <v>J54413</v>
      </c>
      <c r="E564" s="4" t="s">
        <v>386</v>
      </c>
      <c r="F564" s="4" t="str">
        <f t="shared" si="192"/>
        <v>J544135</v>
      </c>
      <c r="G564" s="4" t="s">
        <v>1030</v>
      </c>
      <c r="H564" s="5">
        <v>4974268101228</v>
      </c>
      <c r="I564" s="5">
        <v>5</v>
      </c>
      <c r="J564" s="5"/>
      <c r="K564" s="5">
        <v>1</v>
      </c>
      <c r="L564" s="5">
        <v>1</v>
      </c>
      <c r="M564" s="4">
        <v>4500</v>
      </c>
      <c r="N564" s="4">
        <v>4099</v>
      </c>
      <c r="O564" s="4">
        <v>2700</v>
      </c>
      <c r="P564" s="6">
        <f t="shared" si="177"/>
        <v>0.34130275676994393</v>
      </c>
      <c r="Q564" s="4" t="s">
        <v>1280</v>
      </c>
      <c r="R564" s="4" t="s">
        <v>1280</v>
      </c>
      <c r="S564" s="4" t="s">
        <v>1280</v>
      </c>
      <c r="T564" s="4">
        <v>4900</v>
      </c>
      <c r="U564" s="4">
        <f t="shared" si="178"/>
        <v>4900</v>
      </c>
      <c r="V564" s="4">
        <v>2940</v>
      </c>
      <c r="W564" s="4">
        <f t="shared" si="179"/>
        <v>2940</v>
      </c>
      <c r="X564" s="4"/>
      <c r="Y564" s="21">
        <f t="shared" si="180"/>
        <v>4463</v>
      </c>
      <c r="Z564" s="6">
        <f t="shared" si="181"/>
        <v>0.34125028008066327</v>
      </c>
      <c r="AA564" s="4">
        <v>0.75</v>
      </c>
      <c r="AB564" s="4">
        <f t="shared" si="182"/>
        <v>3943</v>
      </c>
      <c r="AC564" s="4">
        <f t="shared" si="193"/>
        <v>4293.4888888888881</v>
      </c>
      <c r="AD564" s="6">
        <f t="shared" si="194"/>
        <v>0.31524220136951553</v>
      </c>
      <c r="AE564" s="4">
        <f t="shared" si="195"/>
        <v>4655</v>
      </c>
      <c r="AF564" s="7">
        <v>4293</v>
      </c>
      <c r="AG564" s="6">
        <f t="shared" si="183"/>
        <v>0.31516422082459816</v>
      </c>
      <c r="AH564" s="4">
        <f t="shared" si="184"/>
        <v>1353</v>
      </c>
      <c r="AI564" s="28"/>
      <c r="AJ564" s="6"/>
      <c r="AK564" s="6"/>
      <c r="AL564" s="6">
        <f t="shared" si="185"/>
        <v>1.0888888888888888</v>
      </c>
      <c r="AM564" s="6">
        <f t="shared" si="186"/>
        <v>1.0473286167357891</v>
      </c>
      <c r="AN564" s="6">
        <f t="shared" si="187"/>
        <v>1.0888888888888888</v>
      </c>
      <c r="AO564" s="4" t="str">
        <f t="shared" si="188"/>
        <v>-</v>
      </c>
      <c r="AP564" s="4" t="str">
        <f t="shared" si="189"/>
        <v>-</v>
      </c>
      <c r="AQ564" s="4" t="str">
        <f t="shared" si="190"/>
        <v>-</v>
      </c>
      <c r="AR564" s="4">
        <v>0</v>
      </c>
      <c r="AS564" s="4" t="s">
        <v>1953</v>
      </c>
      <c r="AT564" s="4"/>
      <c r="AU564" s="4"/>
      <c r="AV564" s="4" t="s">
        <v>1729</v>
      </c>
      <c r="AW564" s="4">
        <v>3943</v>
      </c>
      <c r="AX564" s="4">
        <v>3943</v>
      </c>
      <c r="AY564" s="4">
        <v>3943</v>
      </c>
      <c r="AZ564" s="4">
        <f t="shared" si="191"/>
        <v>3943</v>
      </c>
      <c r="BA564" s="19">
        <v>4</v>
      </c>
      <c r="BB564" s="19">
        <v>8</v>
      </c>
      <c r="BC564" s="16">
        <v>19</v>
      </c>
      <c r="BD564" t="s">
        <v>1280</v>
      </c>
      <c r="BE564" t="s">
        <v>1280</v>
      </c>
      <c r="BF564" t="s">
        <v>1280</v>
      </c>
      <c r="BG564" t="str">
        <f t="shared" si="196"/>
        <v>-</v>
      </c>
      <c r="BH564" t="s">
        <v>1280</v>
      </c>
      <c r="BI564">
        <v>5187</v>
      </c>
      <c r="BJ564">
        <v>5187</v>
      </c>
      <c r="BK564">
        <f t="shared" si="197"/>
        <v>5648.0666666666666</v>
      </c>
      <c r="BL564" t="s">
        <v>1481</v>
      </c>
      <c r="BM564">
        <v>812</v>
      </c>
    </row>
    <row r="565" spans="1:65" x14ac:dyDescent="0.4">
      <c r="A565" s="3">
        <v>629</v>
      </c>
      <c r="B565" s="3">
        <v>629</v>
      </c>
      <c r="C565" s="4" t="s">
        <v>618</v>
      </c>
      <c r="D565" s="4" t="str">
        <f t="shared" si="176"/>
        <v>J970WN</v>
      </c>
      <c r="E565" s="4" t="s">
        <v>618</v>
      </c>
      <c r="F565" s="4" t="str">
        <f t="shared" si="192"/>
        <v>J970WN5</v>
      </c>
      <c r="G565" s="4" t="s">
        <v>1262</v>
      </c>
      <c r="H565" s="5">
        <v>4974268562395</v>
      </c>
      <c r="I565" s="5">
        <v>5</v>
      </c>
      <c r="J565" s="5"/>
      <c r="K565" s="5">
        <v>1</v>
      </c>
      <c r="L565" s="5">
        <v>1</v>
      </c>
      <c r="M565" s="4">
        <v>4400</v>
      </c>
      <c r="N565" s="4">
        <v>3770</v>
      </c>
      <c r="O565" s="4">
        <v>2640</v>
      </c>
      <c r="P565" s="6">
        <f t="shared" si="177"/>
        <v>0.29973474801061006</v>
      </c>
      <c r="Q565" s="4" t="s">
        <v>1280</v>
      </c>
      <c r="R565" s="4" t="s">
        <v>1280</v>
      </c>
      <c r="S565" s="4" t="s">
        <v>1280</v>
      </c>
      <c r="T565" s="4">
        <v>4900</v>
      </c>
      <c r="U565" s="4">
        <f t="shared" si="178"/>
        <v>4900</v>
      </c>
      <c r="V565" s="4">
        <v>2940</v>
      </c>
      <c r="W565" s="4">
        <f t="shared" si="179"/>
        <v>2940</v>
      </c>
      <c r="X565" s="4"/>
      <c r="Y565" s="21">
        <f t="shared" si="180"/>
        <v>4198</v>
      </c>
      <c r="Z565" s="6">
        <f t="shared" si="181"/>
        <v>0.29966650786088611</v>
      </c>
      <c r="AA565" s="4">
        <v>0</v>
      </c>
      <c r="AB565" s="4">
        <f t="shared" si="182"/>
        <v>3910</v>
      </c>
      <c r="AC565" s="4">
        <f t="shared" si="193"/>
        <v>4354.3181818181811</v>
      </c>
      <c r="AD565" s="6">
        <f t="shared" si="194"/>
        <v>0.32480818414322243</v>
      </c>
      <c r="AE565" s="4">
        <f t="shared" si="195"/>
        <v>4655</v>
      </c>
      <c r="AF565" s="7">
        <v>4354</v>
      </c>
      <c r="AG565" s="6">
        <f t="shared" si="183"/>
        <v>0.32475884244372988</v>
      </c>
      <c r="AH565" s="4">
        <f t="shared" si="184"/>
        <v>1414</v>
      </c>
      <c r="AI565" s="28"/>
      <c r="AJ565" s="6"/>
      <c r="AK565" s="6"/>
      <c r="AL565" s="6">
        <f t="shared" si="185"/>
        <v>1.1136363636363635</v>
      </c>
      <c r="AM565" s="6">
        <f t="shared" si="186"/>
        <v>1.1549071618037134</v>
      </c>
      <c r="AN565" s="6">
        <f t="shared" si="187"/>
        <v>1.1136363636363635</v>
      </c>
      <c r="AO565" s="4" t="str">
        <f t="shared" si="188"/>
        <v>-</v>
      </c>
      <c r="AP565" s="4" t="str">
        <f t="shared" si="189"/>
        <v>-</v>
      </c>
      <c r="AQ565" s="4" t="str">
        <f t="shared" si="190"/>
        <v>-</v>
      </c>
      <c r="AR565" s="4">
        <v>0</v>
      </c>
      <c r="AS565" s="4" t="s">
        <v>2187</v>
      </c>
      <c r="AT565" s="4"/>
      <c r="AU565" s="4"/>
      <c r="AV565" s="4" t="s">
        <v>1697</v>
      </c>
      <c r="AW565" s="4">
        <v>3910</v>
      </c>
      <c r="AX565" s="4">
        <v>3910</v>
      </c>
      <c r="AY565" s="4">
        <v>3910</v>
      </c>
      <c r="AZ565" s="4">
        <f t="shared" si="191"/>
        <v>3910</v>
      </c>
      <c r="BA565" s="19">
        <v>4</v>
      </c>
      <c r="BB565" s="19">
        <v>8</v>
      </c>
      <c r="BC565" s="16">
        <v>18</v>
      </c>
      <c r="BD565">
        <v>4400</v>
      </c>
      <c r="BE565">
        <v>4400</v>
      </c>
      <c r="BF565">
        <v>4400</v>
      </c>
      <c r="BG565">
        <f t="shared" si="196"/>
        <v>4900</v>
      </c>
      <c r="BH565" t="s">
        <v>1280</v>
      </c>
      <c r="BI565">
        <v>3667</v>
      </c>
      <c r="BJ565">
        <v>3667</v>
      </c>
      <c r="BK565">
        <f t="shared" si="197"/>
        <v>4083.704545454545</v>
      </c>
      <c r="BL565" t="s">
        <v>1668</v>
      </c>
      <c r="BM565">
        <v>812</v>
      </c>
    </row>
    <row r="566" spans="1:65" x14ac:dyDescent="0.4">
      <c r="A566" s="3">
        <v>398</v>
      </c>
      <c r="B566" s="3">
        <v>398</v>
      </c>
      <c r="C566" s="4" t="s">
        <v>387</v>
      </c>
      <c r="D566" s="4" t="str">
        <f t="shared" si="176"/>
        <v>J54415</v>
      </c>
      <c r="E566" s="4" t="s">
        <v>387</v>
      </c>
      <c r="F566" s="4" t="str">
        <f t="shared" si="192"/>
        <v>J544155</v>
      </c>
      <c r="G566" s="4" t="s">
        <v>1031</v>
      </c>
      <c r="H566" s="5">
        <v>4974268101068</v>
      </c>
      <c r="I566" s="5">
        <v>5</v>
      </c>
      <c r="J566" s="5"/>
      <c r="K566" s="5">
        <v>1</v>
      </c>
      <c r="L566" s="5">
        <v>1</v>
      </c>
      <c r="M566" s="4">
        <v>4600</v>
      </c>
      <c r="N566" s="4">
        <v>3787</v>
      </c>
      <c r="O566" s="4">
        <v>2760</v>
      </c>
      <c r="P566" s="6">
        <f t="shared" si="177"/>
        <v>0.27119091629257985</v>
      </c>
      <c r="Q566" s="4" t="s">
        <v>1280</v>
      </c>
      <c r="R566" s="4" t="s">
        <v>1280</v>
      </c>
      <c r="S566" s="4" t="s">
        <v>1280</v>
      </c>
      <c r="T566" s="4">
        <v>5000</v>
      </c>
      <c r="U566" s="4">
        <f t="shared" si="178"/>
        <v>5000</v>
      </c>
      <c r="V566" s="4">
        <v>3000</v>
      </c>
      <c r="W566" s="4">
        <f t="shared" si="179"/>
        <v>3000</v>
      </c>
      <c r="X566" s="4"/>
      <c r="Y566" s="21">
        <f t="shared" si="180"/>
        <v>4116</v>
      </c>
      <c r="Z566" s="6">
        <f t="shared" si="181"/>
        <v>0.2711370262390671</v>
      </c>
      <c r="AA566" s="4">
        <v>0.25</v>
      </c>
      <c r="AB566" s="4">
        <f t="shared" si="182"/>
        <v>3693</v>
      </c>
      <c r="AC566" s="4">
        <f t="shared" si="193"/>
        <v>4014.1304347826085</v>
      </c>
      <c r="AD566" s="6">
        <f t="shared" si="194"/>
        <v>0.25264012997562957</v>
      </c>
      <c r="AE566" s="4">
        <f t="shared" si="195"/>
        <v>4750</v>
      </c>
      <c r="AF566" s="7">
        <v>4014</v>
      </c>
      <c r="AG566" s="6">
        <f t="shared" si="183"/>
        <v>0.25261584454409569</v>
      </c>
      <c r="AH566" s="4">
        <f t="shared" si="184"/>
        <v>1014</v>
      </c>
      <c r="AI566" s="28"/>
      <c r="AJ566" s="6"/>
      <c r="AK566" s="6"/>
      <c r="AL566" s="6">
        <f t="shared" si="185"/>
        <v>1.0869565217391304</v>
      </c>
      <c r="AM566" s="6">
        <f t="shared" si="186"/>
        <v>1.0599419065223132</v>
      </c>
      <c r="AN566" s="6">
        <f t="shared" si="187"/>
        <v>1.0869565217391304</v>
      </c>
      <c r="AO566" s="4" t="str">
        <f t="shared" si="188"/>
        <v>-</v>
      </c>
      <c r="AP566" s="4" t="str">
        <f t="shared" si="189"/>
        <v>-</v>
      </c>
      <c r="AQ566" s="4" t="str">
        <f t="shared" si="190"/>
        <v>-</v>
      </c>
      <c r="AR566" s="4">
        <v>0</v>
      </c>
      <c r="AS566" s="4" t="s">
        <v>1954</v>
      </c>
      <c r="AT566" s="4"/>
      <c r="AU566" s="4"/>
      <c r="AV566" s="4" t="s">
        <v>1946</v>
      </c>
      <c r="AW566" s="4">
        <v>3693</v>
      </c>
      <c r="AX566" s="4">
        <v>3693</v>
      </c>
      <c r="AY566" s="4">
        <v>3693</v>
      </c>
      <c r="AZ566" s="4">
        <f t="shared" si="191"/>
        <v>3693</v>
      </c>
      <c r="BA566" s="19">
        <v>4</v>
      </c>
      <c r="BB566" s="19">
        <v>8</v>
      </c>
      <c r="BC566" s="16">
        <v>19</v>
      </c>
      <c r="BD566" t="s">
        <v>1280</v>
      </c>
      <c r="BE566" t="s">
        <v>1280</v>
      </c>
      <c r="BF566" t="s">
        <v>1280</v>
      </c>
      <c r="BG566" t="str">
        <f t="shared" si="196"/>
        <v>-</v>
      </c>
      <c r="BH566" t="s">
        <v>1280</v>
      </c>
      <c r="BI566">
        <v>3766</v>
      </c>
      <c r="BJ566">
        <v>3766</v>
      </c>
      <c r="BK566">
        <f t="shared" si="197"/>
        <v>4093.478260869565</v>
      </c>
      <c r="BL566" t="s">
        <v>1482</v>
      </c>
      <c r="BM566">
        <v>812</v>
      </c>
    </row>
    <row r="567" spans="1:65" x14ac:dyDescent="0.4">
      <c r="A567" s="3">
        <v>538</v>
      </c>
      <c r="B567" s="3">
        <v>538</v>
      </c>
      <c r="C567" s="4" t="s">
        <v>527</v>
      </c>
      <c r="D567" s="4" t="str">
        <f t="shared" si="176"/>
        <v>J894WN</v>
      </c>
      <c r="E567" s="4" t="s">
        <v>527</v>
      </c>
      <c r="F567" s="4" t="str">
        <f t="shared" si="192"/>
        <v>J894WN5</v>
      </c>
      <c r="G567" s="4" t="s">
        <v>1171</v>
      </c>
      <c r="H567" s="5">
        <v>4974268101075</v>
      </c>
      <c r="I567" s="5">
        <v>5</v>
      </c>
      <c r="J567" s="5"/>
      <c r="K567" s="5">
        <v>1</v>
      </c>
      <c r="L567" s="5">
        <v>1</v>
      </c>
      <c r="M567" s="4">
        <v>4600</v>
      </c>
      <c r="N567" s="4">
        <v>3940</v>
      </c>
      <c r="O567" s="4">
        <v>2760</v>
      </c>
      <c r="P567" s="6">
        <f t="shared" si="177"/>
        <v>0.29949238578680204</v>
      </c>
      <c r="Q567" s="4" t="s">
        <v>1280</v>
      </c>
      <c r="R567" s="4" t="s">
        <v>1280</v>
      </c>
      <c r="S567" s="4" t="s">
        <v>1280</v>
      </c>
      <c r="T567" s="4">
        <v>5000</v>
      </c>
      <c r="U567" s="4">
        <f t="shared" si="178"/>
        <v>5000</v>
      </c>
      <c r="V567" s="4">
        <v>3000</v>
      </c>
      <c r="W567" s="4">
        <f t="shared" si="179"/>
        <v>3000</v>
      </c>
      <c r="X567" s="4"/>
      <c r="Y567" s="21">
        <f t="shared" si="180"/>
        <v>4283</v>
      </c>
      <c r="Z567" s="6">
        <f t="shared" si="181"/>
        <v>0.29955638571095022</v>
      </c>
      <c r="AA567" s="4">
        <v>0</v>
      </c>
      <c r="AB567" s="4">
        <f t="shared" si="182"/>
        <v>4513</v>
      </c>
      <c r="AC567" s="4">
        <f t="shared" si="193"/>
        <v>4905.4347826086951</v>
      </c>
      <c r="AD567" s="6">
        <f t="shared" si="194"/>
        <v>0.38843341458010183</v>
      </c>
      <c r="AE567" s="4">
        <f t="shared" si="195"/>
        <v>4750</v>
      </c>
      <c r="AF567" s="7">
        <v>4650</v>
      </c>
      <c r="AG567" s="6">
        <f t="shared" si="183"/>
        <v>0.35483870967741937</v>
      </c>
      <c r="AH567" s="4">
        <f t="shared" si="184"/>
        <v>1650</v>
      </c>
      <c r="AI567" s="28"/>
      <c r="AJ567" s="6"/>
      <c r="AK567" s="6"/>
      <c r="AL567" s="6">
        <f t="shared" si="185"/>
        <v>1.0869565217391304</v>
      </c>
      <c r="AM567" s="6">
        <f t="shared" si="186"/>
        <v>1.1802030456852792</v>
      </c>
      <c r="AN567" s="6">
        <f t="shared" si="187"/>
        <v>1.0869565217391304</v>
      </c>
      <c r="AO567" s="4" t="str">
        <f t="shared" si="188"/>
        <v>-</v>
      </c>
      <c r="AP567" s="4" t="str">
        <f t="shared" si="189"/>
        <v>-</v>
      </c>
      <c r="AQ567" s="4" t="str">
        <f t="shared" si="190"/>
        <v>-</v>
      </c>
      <c r="AR567" s="4">
        <v>0</v>
      </c>
      <c r="AS567" s="4" t="s">
        <v>2091</v>
      </c>
      <c r="AT567" s="4"/>
      <c r="AU567" s="4"/>
      <c r="AV567" s="4" t="s">
        <v>1946</v>
      </c>
      <c r="AW567" s="4">
        <v>4513</v>
      </c>
      <c r="AX567" s="4">
        <v>4513</v>
      </c>
      <c r="AY567" s="4">
        <v>4513</v>
      </c>
      <c r="AZ567" s="4">
        <f t="shared" si="191"/>
        <v>4513</v>
      </c>
      <c r="BA567" s="19">
        <v>4</v>
      </c>
      <c r="BB567" s="19">
        <v>8</v>
      </c>
      <c r="BC567" s="16">
        <v>19</v>
      </c>
      <c r="BD567" t="s">
        <v>1280</v>
      </c>
      <c r="BE567" t="s">
        <v>1280</v>
      </c>
      <c r="BF567" t="s">
        <v>1280</v>
      </c>
      <c r="BG567" t="str">
        <f t="shared" si="196"/>
        <v>-</v>
      </c>
      <c r="BH567" t="s">
        <v>1280</v>
      </c>
      <c r="BI567">
        <v>5301</v>
      </c>
      <c r="BJ567">
        <v>5301</v>
      </c>
      <c r="BK567">
        <f t="shared" si="197"/>
        <v>5761.95652173913</v>
      </c>
      <c r="BL567" t="s">
        <v>1589</v>
      </c>
      <c r="BM567">
        <v>812</v>
      </c>
    </row>
    <row r="568" spans="1:65" x14ac:dyDescent="0.4">
      <c r="A568" s="3">
        <v>541</v>
      </c>
      <c r="B568" s="3">
        <v>541</v>
      </c>
      <c r="C568" s="4" t="s">
        <v>530</v>
      </c>
      <c r="D568" s="4" t="str">
        <f t="shared" si="176"/>
        <v>J898WN</v>
      </c>
      <c r="E568" s="4" t="s">
        <v>530</v>
      </c>
      <c r="F568" s="4" t="str">
        <f t="shared" si="192"/>
        <v>J898WN5</v>
      </c>
      <c r="G568" s="4" t="s">
        <v>1174</v>
      </c>
      <c r="H568" s="5">
        <v>4974268101235</v>
      </c>
      <c r="I568" s="5">
        <v>5</v>
      </c>
      <c r="J568" s="5"/>
      <c r="K568" s="5">
        <v>1</v>
      </c>
      <c r="L568" s="5">
        <v>1</v>
      </c>
      <c r="M568" s="4">
        <v>4600</v>
      </c>
      <c r="N568" s="4">
        <v>3940</v>
      </c>
      <c r="O568" s="4">
        <v>2760</v>
      </c>
      <c r="P568" s="6">
        <f t="shared" si="177"/>
        <v>0.29949238578680204</v>
      </c>
      <c r="Q568" s="4" t="s">
        <v>1280</v>
      </c>
      <c r="R568" s="4" t="s">
        <v>1280</v>
      </c>
      <c r="S568" s="4" t="s">
        <v>1280</v>
      </c>
      <c r="T568" s="4">
        <v>5000</v>
      </c>
      <c r="U568" s="4">
        <f t="shared" si="178"/>
        <v>5000</v>
      </c>
      <c r="V568" s="4">
        <v>3000</v>
      </c>
      <c r="W568" s="4">
        <f t="shared" si="179"/>
        <v>3000</v>
      </c>
      <c r="X568" s="4"/>
      <c r="Y568" s="21">
        <f t="shared" si="180"/>
        <v>4283</v>
      </c>
      <c r="Z568" s="6">
        <f t="shared" si="181"/>
        <v>0.29955638571095022</v>
      </c>
      <c r="AA568" s="4">
        <v>0</v>
      </c>
      <c r="AB568" s="4">
        <f t="shared" si="182"/>
        <v>4512</v>
      </c>
      <c r="AC568" s="4">
        <f t="shared" si="193"/>
        <v>4904.347826086956</v>
      </c>
      <c r="AD568" s="6">
        <f t="shared" si="194"/>
        <v>0.38829787234042545</v>
      </c>
      <c r="AE568" s="4">
        <f t="shared" si="195"/>
        <v>4750</v>
      </c>
      <c r="AF568" s="7">
        <v>4650</v>
      </c>
      <c r="AG568" s="6">
        <f t="shared" si="183"/>
        <v>0.35483870967741937</v>
      </c>
      <c r="AH568" s="4">
        <f t="shared" si="184"/>
        <v>1650</v>
      </c>
      <c r="AI568" s="28"/>
      <c r="AJ568" s="6"/>
      <c r="AK568" s="6"/>
      <c r="AL568" s="6">
        <f t="shared" si="185"/>
        <v>1.0869565217391304</v>
      </c>
      <c r="AM568" s="6">
        <f t="shared" si="186"/>
        <v>1.1802030456852792</v>
      </c>
      <c r="AN568" s="6">
        <f t="shared" si="187"/>
        <v>1.0869565217391304</v>
      </c>
      <c r="AO568" s="4" t="str">
        <f t="shared" si="188"/>
        <v>-</v>
      </c>
      <c r="AP568" s="4" t="str">
        <f t="shared" si="189"/>
        <v>-</v>
      </c>
      <c r="AQ568" s="4" t="str">
        <f t="shared" si="190"/>
        <v>-</v>
      </c>
      <c r="AR568" s="4">
        <v>0</v>
      </c>
      <c r="AS568" s="4" t="s">
        <v>2094</v>
      </c>
      <c r="AT568" s="4"/>
      <c r="AU568" s="4"/>
      <c r="AV568" s="4" t="s">
        <v>1729</v>
      </c>
      <c r="AW568" s="4">
        <v>4512</v>
      </c>
      <c r="AX568" s="4">
        <v>4512</v>
      </c>
      <c r="AY568" s="4">
        <v>4512</v>
      </c>
      <c r="AZ568" s="4">
        <f t="shared" si="191"/>
        <v>4512</v>
      </c>
      <c r="BA568" s="19">
        <v>4</v>
      </c>
      <c r="BB568" s="19">
        <v>8</v>
      </c>
      <c r="BC568" s="16">
        <v>19</v>
      </c>
      <c r="BD568" t="s">
        <v>1280</v>
      </c>
      <c r="BE568" t="s">
        <v>1280</v>
      </c>
      <c r="BF568" t="s">
        <v>1280</v>
      </c>
      <c r="BG568" t="str">
        <f t="shared" si="196"/>
        <v>-</v>
      </c>
      <c r="BH568">
        <v>4279</v>
      </c>
      <c r="BI568">
        <v>4279</v>
      </c>
      <c r="BJ568">
        <v>5301</v>
      </c>
      <c r="BK568">
        <f t="shared" si="197"/>
        <v>5761.95652173913</v>
      </c>
      <c r="BL568" t="s">
        <v>1592</v>
      </c>
      <c r="BM568">
        <v>812</v>
      </c>
    </row>
    <row r="569" spans="1:65" x14ac:dyDescent="0.4">
      <c r="A569" s="3">
        <v>625</v>
      </c>
      <c r="B569" s="3">
        <v>625</v>
      </c>
      <c r="C569" s="4" t="s">
        <v>614</v>
      </c>
      <c r="D569" s="4" t="str">
        <f t="shared" si="176"/>
        <v>J964WN</v>
      </c>
      <c r="E569" s="4" t="s">
        <v>614</v>
      </c>
      <c r="F569" s="4" t="str">
        <f t="shared" si="192"/>
        <v>J964WN5</v>
      </c>
      <c r="G569" s="4" t="s">
        <v>1258</v>
      </c>
      <c r="H569" s="5">
        <v>4974268572332</v>
      </c>
      <c r="I569" s="5">
        <v>5</v>
      </c>
      <c r="J569" s="5"/>
      <c r="K569" s="5">
        <v>1</v>
      </c>
      <c r="L569" s="5">
        <v>1</v>
      </c>
      <c r="M569" s="4">
        <v>4600</v>
      </c>
      <c r="N569" s="4">
        <v>3940</v>
      </c>
      <c r="O569" s="4">
        <v>2760</v>
      </c>
      <c r="P569" s="6">
        <f t="shared" si="177"/>
        <v>0.29949238578680204</v>
      </c>
      <c r="Q569" s="4" t="s">
        <v>1280</v>
      </c>
      <c r="R569" s="4" t="s">
        <v>1280</v>
      </c>
      <c r="S569" s="4" t="s">
        <v>1280</v>
      </c>
      <c r="T569" s="4">
        <v>5000</v>
      </c>
      <c r="U569" s="4">
        <f t="shared" si="178"/>
        <v>5000</v>
      </c>
      <c r="V569" s="4">
        <v>3000</v>
      </c>
      <c r="W569" s="4">
        <f t="shared" si="179"/>
        <v>3000</v>
      </c>
      <c r="X569" s="4"/>
      <c r="Y569" s="21">
        <f t="shared" si="180"/>
        <v>4283</v>
      </c>
      <c r="Z569" s="6">
        <f t="shared" si="181"/>
        <v>0.29955638571095022</v>
      </c>
      <c r="AA569" s="4">
        <v>0</v>
      </c>
      <c r="AB569" s="4" t="str">
        <f t="shared" si="182"/>
        <v>-</v>
      </c>
      <c r="AC569" s="4" t="str">
        <f t="shared" si="193"/>
        <v>-</v>
      </c>
      <c r="AD569" s="6" t="str">
        <f t="shared" si="194"/>
        <v>-</v>
      </c>
      <c r="AE569" s="4">
        <f t="shared" si="195"/>
        <v>4750</v>
      </c>
      <c r="AF569" s="7">
        <v>4400</v>
      </c>
      <c r="AG569" s="6">
        <f t="shared" si="183"/>
        <v>0.31818181818181823</v>
      </c>
      <c r="AH569" s="4">
        <f t="shared" si="184"/>
        <v>1400</v>
      </c>
      <c r="AI569" s="28"/>
      <c r="AJ569" s="6"/>
      <c r="AK569" s="6"/>
      <c r="AL569" s="6">
        <f t="shared" si="185"/>
        <v>1.0869565217391304</v>
      </c>
      <c r="AM569" s="6">
        <f t="shared" si="186"/>
        <v>1.116751269035533</v>
      </c>
      <c r="AN569" s="6">
        <f t="shared" si="187"/>
        <v>1.0869565217391304</v>
      </c>
      <c r="AO569" s="4" t="str">
        <f t="shared" si="188"/>
        <v>-</v>
      </c>
      <c r="AP569" s="4" t="str">
        <f t="shared" si="189"/>
        <v>-</v>
      </c>
      <c r="AQ569" s="4" t="str">
        <f t="shared" si="190"/>
        <v>-</v>
      </c>
      <c r="AR569" s="4">
        <v>0</v>
      </c>
      <c r="AS569" s="4" t="s">
        <v>1280</v>
      </c>
      <c r="AT569" s="4"/>
      <c r="AU569" s="4"/>
      <c r="AV569" s="4" t="s">
        <v>1280</v>
      </c>
      <c r="AW569" s="4" t="s">
        <v>1280</v>
      </c>
      <c r="AX569" s="4" t="s">
        <v>1280</v>
      </c>
      <c r="AY569" s="4" t="s">
        <v>1280</v>
      </c>
      <c r="AZ569" s="4" t="str">
        <f t="shared" si="191"/>
        <v>-</v>
      </c>
      <c r="BA569" s="19">
        <v>4</v>
      </c>
      <c r="BB569" s="19">
        <v>8</v>
      </c>
      <c r="BC569" s="16">
        <v>18</v>
      </c>
      <c r="BD569" t="s">
        <v>1280</v>
      </c>
      <c r="BE569" t="s">
        <v>1280</v>
      </c>
      <c r="BF569" t="s">
        <v>1280</v>
      </c>
      <c r="BG569" t="str">
        <f t="shared" si="196"/>
        <v>-</v>
      </c>
      <c r="BH569" t="s">
        <v>1280</v>
      </c>
      <c r="BI569">
        <v>4270</v>
      </c>
      <c r="BJ569">
        <v>4270</v>
      </c>
      <c r="BK569">
        <f t="shared" si="197"/>
        <v>4641.304347826087</v>
      </c>
      <c r="BL569" t="s">
        <v>1280</v>
      </c>
      <c r="BM569">
        <v>812</v>
      </c>
    </row>
    <row r="570" spans="1:65" x14ac:dyDescent="0.4">
      <c r="A570" s="3">
        <v>627</v>
      </c>
      <c r="B570" s="3">
        <v>627</v>
      </c>
      <c r="C570" s="4" t="s">
        <v>616</v>
      </c>
      <c r="D570" s="4" t="str">
        <f t="shared" si="176"/>
        <v>J967WN</v>
      </c>
      <c r="E570" s="4" t="s">
        <v>616</v>
      </c>
      <c r="F570" s="4" t="str">
        <f t="shared" si="192"/>
        <v>J967WN5</v>
      </c>
      <c r="G570" s="4" t="s">
        <v>1260</v>
      </c>
      <c r="H570" s="5">
        <v>4974268562296</v>
      </c>
      <c r="I570" s="5">
        <v>5</v>
      </c>
      <c r="J570" s="5"/>
      <c r="K570" s="5">
        <v>1</v>
      </c>
      <c r="L570" s="5">
        <v>1</v>
      </c>
      <c r="M570" s="4">
        <v>4500</v>
      </c>
      <c r="N570" s="4">
        <v>3860</v>
      </c>
      <c r="O570" s="4">
        <v>2700</v>
      </c>
      <c r="P570" s="6">
        <f t="shared" si="177"/>
        <v>0.30051813471502586</v>
      </c>
      <c r="Q570" s="4" t="s">
        <v>1280</v>
      </c>
      <c r="R570" s="4" t="s">
        <v>1280</v>
      </c>
      <c r="S570" s="4" t="s">
        <v>1280</v>
      </c>
      <c r="T570" s="4">
        <v>5000</v>
      </c>
      <c r="U570" s="4">
        <f t="shared" si="178"/>
        <v>5000</v>
      </c>
      <c r="V570" s="4">
        <v>3000</v>
      </c>
      <c r="W570" s="4">
        <f t="shared" si="179"/>
        <v>3000</v>
      </c>
      <c r="X570" s="4"/>
      <c r="Y570" s="21">
        <f t="shared" si="180"/>
        <v>4289</v>
      </c>
      <c r="Z570" s="6">
        <f t="shared" si="181"/>
        <v>0.30053625553742136</v>
      </c>
      <c r="AA570" s="4">
        <v>0</v>
      </c>
      <c r="AB570" s="4">
        <f t="shared" si="182"/>
        <v>3279</v>
      </c>
      <c r="AC570" s="4">
        <f t="shared" si="193"/>
        <v>3643.3333333333335</v>
      </c>
      <c r="AD570" s="6">
        <f t="shared" si="194"/>
        <v>0.17657822506861853</v>
      </c>
      <c r="AE570" s="4">
        <f t="shared" si="195"/>
        <v>4750</v>
      </c>
      <c r="AF570" s="7">
        <v>4400</v>
      </c>
      <c r="AG570" s="6">
        <f t="shared" si="183"/>
        <v>0.31818181818181823</v>
      </c>
      <c r="AH570" s="4">
        <f t="shared" si="184"/>
        <v>1400</v>
      </c>
      <c r="AI570" s="28"/>
      <c r="AJ570" s="6"/>
      <c r="AK570" s="6"/>
      <c r="AL570" s="6">
        <f t="shared" si="185"/>
        <v>1.1111111111111112</v>
      </c>
      <c r="AM570" s="6">
        <f t="shared" si="186"/>
        <v>1.1398963730569949</v>
      </c>
      <c r="AN570" s="6">
        <f t="shared" si="187"/>
        <v>1.1111111111111112</v>
      </c>
      <c r="AO570" s="4" t="str">
        <f t="shared" si="188"/>
        <v>-</v>
      </c>
      <c r="AP570" s="4" t="str">
        <f t="shared" si="189"/>
        <v>-</v>
      </c>
      <c r="AQ570" s="4" t="str">
        <f t="shared" si="190"/>
        <v>-</v>
      </c>
      <c r="AR570" s="4">
        <v>0</v>
      </c>
      <c r="AS570" s="4" t="s">
        <v>2185</v>
      </c>
      <c r="AT570" s="4"/>
      <c r="AU570" s="4"/>
      <c r="AV570" s="4" t="s">
        <v>1697</v>
      </c>
      <c r="AW570" s="4">
        <v>3279</v>
      </c>
      <c r="AX570" s="4">
        <v>3279</v>
      </c>
      <c r="AY570" s="4">
        <v>3279</v>
      </c>
      <c r="AZ570" s="4">
        <f t="shared" si="191"/>
        <v>3279</v>
      </c>
      <c r="BA570" s="19">
        <v>4</v>
      </c>
      <c r="BB570" s="19">
        <v>8</v>
      </c>
      <c r="BC570" s="16">
        <v>18</v>
      </c>
      <c r="BD570" t="s">
        <v>1280</v>
      </c>
      <c r="BE570" t="s">
        <v>1280</v>
      </c>
      <c r="BF570" t="s">
        <v>1280</v>
      </c>
      <c r="BG570" t="str">
        <f t="shared" si="196"/>
        <v>-</v>
      </c>
      <c r="BH570" t="s">
        <v>1280</v>
      </c>
      <c r="BI570">
        <v>4091</v>
      </c>
      <c r="BJ570">
        <v>4091</v>
      </c>
      <c r="BK570">
        <f t="shared" si="197"/>
        <v>4545.5555555555557</v>
      </c>
      <c r="BL570" t="s">
        <v>1666</v>
      </c>
      <c r="BM570">
        <v>812</v>
      </c>
    </row>
    <row r="571" spans="1:65" x14ac:dyDescent="0.4">
      <c r="A571" s="3">
        <v>518</v>
      </c>
      <c r="B571" s="3">
        <v>518</v>
      </c>
      <c r="C571" s="4" t="s">
        <v>507</v>
      </c>
      <c r="D571" s="4" t="str">
        <f t="shared" si="176"/>
        <v>J783RZ</v>
      </c>
      <c r="E571" s="4" t="s">
        <v>507</v>
      </c>
      <c r="F571" s="4" t="str">
        <f t="shared" si="192"/>
        <v>J783RZ5</v>
      </c>
      <c r="G571" s="4" t="s">
        <v>1151</v>
      </c>
      <c r="H571" s="5">
        <v>4974268695963</v>
      </c>
      <c r="I571" s="5">
        <v>5</v>
      </c>
      <c r="J571" s="5"/>
      <c r="K571" s="5">
        <v>1</v>
      </c>
      <c r="L571" s="5">
        <v>1</v>
      </c>
      <c r="M571" s="4">
        <v>3900</v>
      </c>
      <c r="N571" s="4">
        <v>3220</v>
      </c>
      <c r="O571" s="4">
        <v>2730</v>
      </c>
      <c r="P571" s="6">
        <f t="shared" si="177"/>
        <v>0.15217391304347827</v>
      </c>
      <c r="Q571" s="4" t="s">
        <v>1280</v>
      </c>
      <c r="R571" s="4" t="s">
        <v>1280</v>
      </c>
      <c r="S571" s="4" t="s">
        <v>1280</v>
      </c>
      <c r="T571" s="4">
        <v>4300</v>
      </c>
      <c r="U571" s="4">
        <f t="shared" si="178"/>
        <v>4300</v>
      </c>
      <c r="V571" s="4">
        <v>3010</v>
      </c>
      <c r="W571" s="4">
        <f t="shared" si="179"/>
        <v>3010</v>
      </c>
      <c r="X571" s="4"/>
      <c r="Y571" s="21">
        <f t="shared" si="180"/>
        <v>3550</v>
      </c>
      <c r="Z571" s="6">
        <f t="shared" si="181"/>
        <v>0.15211267605633805</v>
      </c>
      <c r="AA571" s="4">
        <v>0.75</v>
      </c>
      <c r="AB571" s="4">
        <f t="shared" si="182"/>
        <v>3900</v>
      </c>
      <c r="AC571" s="4">
        <f t="shared" si="193"/>
        <v>4300</v>
      </c>
      <c r="AD571" s="6">
        <f t="shared" si="194"/>
        <v>0.30000000000000004</v>
      </c>
      <c r="AE571" s="4">
        <f t="shared" si="195"/>
        <v>4085</v>
      </c>
      <c r="AF571" s="7">
        <v>4300</v>
      </c>
      <c r="AG571" s="6">
        <f t="shared" si="183"/>
        <v>0.30000000000000004</v>
      </c>
      <c r="AH571" s="4">
        <f t="shared" si="184"/>
        <v>1290</v>
      </c>
      <c r="AI571" s="28"/>
      <c r="AJ571" s="6"/>
      <c r="AK571" s="6"/>
      <c r="AL571" s="6">
        <f t="shared" si="185"/>
        <v>1.1025641025641026</v>
      </c>
      <c r="AM571" s="6">
        <f t="shared" si="186"/>
        <v>1.3354037267080745</v>
      </c>
      <c r="AN571" s="6">
        <f t="shared" si="187"/>
        <v>1.1025641025641026</v>
      </c>
      <c r="AO571" s="4" t="str">
        <f t="shared" si="188"/>
        <v>-</v>
      </c>
      <c r="AP571" s="4" t="str">
        <f t="shared" si="189"/>
        <v>-</v>
      </c>
      <c r="AQ571" s="4" t="str">
        <f t="shared" si="190"/>
        <v>-</v>
      </c>
      <c r="AR571" s="4">
        <v>0</v>
      </c>
      <c r="AS571" s="4" t="s">
        <v>2074</v>
      </c>
      <c r="AT571" s="4"/>
      <c r="AU571" s="4"/>
      <c r="AV571" s="4" t="s">
        <v>2072</v>
      </c>
      <c r="AW571" s="4">
        <v>3900</v>
      </c>
      <c r="AX571" s="4">
        <v>3900</v>
      </c>
      <c r="AY571" s="4">
        <v>3900</v>
      </c>
      <c r="AZ571" s="4">
        <f t="shared" si="191"/>
        <v>3900</v>
      </c>
      <c r="BA571" s="19">
        <v>4</v>
      </c>
      <c r="BB571" s="19">
        <v>1</v>
      </c>
      <c r="BC571" s="16">
        <v>19</v>
      </c>
      <c r="BD571">
        <v>3900</v>
      </c>
      <c r="BE571">
        <v>3900</v>
      </c>
      <c r="BF571" t="s">
        <v>1280</v>
      </c>
      <c r="BG571" t="str">
        <f t="shared" si="196"/>
        <v>-</v>
      </c>
      <c r="BH571">
        <v>4680</v>
      </c>
      <c r="BI571">
        <v>4680</v>
      </c>
      <c r="BJ571">
        <v>4680</v>
      </c>
      <c r="BK571">
        <f t="shared" si="197"/>
        <v>5160</v>
      </c>
      <c r="BL571" t="s">
        <v>1575</v>
      </c>
      <c r="BM571">
        <v>812</v>
      </c>
    </row>
    <row r="572" spans="1:65" x14ac:dyDescent="0.4">
      <c r="A572" s="3">
        <v>520</v>
      </c>
      <c r="B572" s="3">
        <v>520</v>
      </c>
      <c r="C572" s="4" t="s">
        <v>509</v>
      </c>
      <c r="D572" s="4" t="str">
        <f t="shared" si="176"/>
        <v>J784RZ</v>
      </c>
      <c r="E572" s="4" t="s">
        <v>509</v>
      </c>
      <c r="F572" s="4" t="str">
        <f t="shared" si="192"/>
        <v>J784RZ5</v>
      </c>
      <c r="G572" s="4" t="s">
        <v>1153</v>
      </c>
      <c r="H572" s="5">
        <v>4974268695970</v>
      </c>
      <c r="I572" s="5">
        <v>5</v>
      </c>
      <c r="J572" s="5"/>
      <c r="K572" s="5">
        <v>1</v>
      </c>
      <c r="L572" s="5">
        <v>1</v>
      </c>
      <c r="M572" s="4">
        <v>3900</v>
      </c>
      <c r="N572" s="4">
        <v>2898</v>
      </c>
      <c r="O572" s="4">
        <v>2730</v>
      </c>
      <c r="P572" s="6">
        <f t="shared" si="177"/>
        <v>5.7971014492753659E-2</v>
      </c>
      <c r="Q572" s="4" t="s">
        <v>1280</v>
      </c>
      <c r="R572" s="4" t="s">
        <v>1280</v>
      </c>
      <c r="S572" s="4" t="s">
        <v>1280</v>
      </c>
      <c r="T572" s="4">
        <v>4300</v>
      </c>
      <c r="U572" s="4">
        <f t="shared" si="178"/>
        <v>4300</v>
      </c>
      <c r="V572" s="4">
        <v>3010</v>
      </c>
      <c r="W572" s="4">
        <f t="shared" si="179"/>
        <v>3010</v>
      </c>
      <c r="X572" s="4"/>
      <c r="Y572" s="21">
        <f t="shared" si="180"/>
        <v>3195</v>
      </c>
      <c r="Z572" s="6">
        <f t="shared" si="181"/>
        <v>5.790297339593109E-2</v>
      </c>
      <c r="AA572" s="4">
        <v>1</v>
      </c>
      <c r="AB572" s="4">
        <f t="shared" si="182"/>
        <v>3900</v>
      </c>
      <c r="AC572" s="4">
        <f t="shared" si="193"/>
        <v>4300</v>
      </c>
      <c r="AD572" s="6">
        <f t="shared" si="194"/>
        <v>0.30000000000000004</v>
      </c>
      <c r="AE572" s="4">
        <f t="shared" si="195"/>
        <v>4085</v>
      </c>
      <c r="AF572" s="7">
        <v>4300</v>
      </c>
      <c r="AG572" s="6">
        <f t="shared" si="183"/>
        <v>0.30000000000000004</v>
      </c>
      <c r="AH572" s="4">
        <f t="shared" si="184"/>
        <v>1290</v>
      </c>
      <c r="AI572" s="28"/>
      <c r="AJ572" s="6"/>
      <c r="AK572" s="6"/>
      <c r="AL572" s="6">
        <f t="shared" si="185"/>
        <v>1.1025641025641026</v>
      </c>
      <c r="AM572" s="6">
        <f t="shared" si="186"/>
        <v>1.4837819185645273</v>
      </c>
      <c r="AN572" s="6">
        <f t="shared" si="187"/>
        <v>1.1025641025641026</v>
      </c>
      <c r="AO572" s="4" t="str">
        <f t="shared" si="188"/>
        <v>-</v>
      </c>
      <c r="AP572" s="4" t="str">
        <f t="shared" si="189"/>
        <v>-</v>
      </c>
      <c r="AQ572" s="4" t="str">
        <f t="shared" si="190"/>
        <v>-</v>
      </c>
      <c r="AR572" s="4">
        <v>0</v>
      </c>
      <c r="AS572" s="4" t="s">
        <v>2076</v>
      </c>
      <c r="AT572" s="4"/>
      <c r="AU572" s="4"/>
      <c r="AV572" s="4" t="s">
        <v>2077</v>
      </c>
      <c r="AW572" s="4">
        <v>3900</v>
      </c>
      <c r="AX572" s="4">
        <v>3900</v>
      </c>
      <c r="AY572" s="4">
        <v>3900</v>
      </c>
      <c r="AZ572" s="4">
        <f t="shared" si="191"/>
        <v>3900</v>
      </c>
      <c r="BA572" s="19">
        <v>4</v>
      </c>
      <c r="BB572" s="19">
        <v>8</v>
      </c>
      <c r="BC572" s="16">
        <v>19</v>
      </c>
      <c r="BD572">
        <v>3900</v>
      </c>
      <c r="BE572">
        <v>3900</v>
      </c>
      <c r="BF572">
        <v>3900</v>
      </c>
      <c r="BG572">
        <f t="shared" si="196"/>
        <v>4300</v>
      </c>
      <c r="BH572">
        <v>4680</v>
      </c>
      <c r="BI572">
        <v>4680</v>
      </c>
      <c r="BJ572">
        <v>4680</v>
      </c>
      <c r="BK572">
        <f t="shared" si="197"/>
        <v>5160</v>
      </c>
      <c r="BL572" t="s">
        <v>1577</v>
      </c>
      <c r="BM572">
        <v>812</v>
      </c>
    </row>
    <row r="573" spans="1:65" x14ac:dyDescent="0.4">
      <c r="A573" s="3">
        <v>305</v>
      </c>
      <c r="B573" s="3">
        <v>305</v>
      </c>
      <c r="C573" s="4" t="s">
        <v>294</v>
      </c>
      <c r="D573" s="4" t="str">
        <f t="shared" si="176"/>
        <v>J39059</v>
      </c>
      <c r="E573" s="4" t="s">
        <v>294</v>
      </c>
      <c r="F573" s="4" t="str">
        <f t="shared" si="192"/>
        <v>J390595</v>
      </c>
      <c r="G573" s="4" t="s">
        <v>940</v>
      </c>
      <c r="H573" s="5">
        <v>4974268560957</v>
      </c>
      <c r="I573" s="5">
        <v>5</v>
      </c>
      <c r="J573" s="5"/>
      <c r="K573" s="5">
        <v>1</v>
      </c>
      <c r="L573" s="5">
        <v>1</v>
      </c>
      <c r="M573" s="4">
        <v>4600</v>
      </c>
      <c r="N573" s="4">
        <v>3948</v>
      </c>
      <c r="O573" s="4">
        <v>2760</v>
      </c>
      <c r="P573" s="6">
        <f t="shared" si="177"/>
        <v>0.30091185410334342</v>
      </c>
      <c r="Q573" s="4" t="s">
        <v>1280</v>
      </c>
      <c r="R573" s="4" t="s">
        <v>1280</v>
      </c>
      <c r="S573" s="4" t="s">
        <v>1280</v>
      </c>
      <c r="T573" s="4">
        <v>5100</v>
      </c>
      <c r="U573" s="4">
        <f t="shared" si="178"/>
        <v>5100</v>
      </c>
      <c r="V573" s="4">
        <v>3060</v>
      </c>
      <c r="W573" s="4">
        <f t="shared" si="179"/>
        <v>3060</v>
      </c>
      <c r="X573" s="4"/>
      <c r="Y573" s="21">
        <f t="shared" si="180"/>
        <v>4377</v>
      </c>
      <c r="Z573" s="6">
        <f t="shared" si="181"/>
        <v>0.30089102124742972</v>
      </c>
      <c r="AA573" s="4">
        <v>0.25</v>
      </c>
      <c r="AB573" s="4" t="str">
        <f t="shared" si="182"/>
        <v>-</v>
      </c>
      <c r="AC573" s="4" t="str">
        <f t="shared" si="193"/>
        <v>-</v>
      </c>
      <c r="AD573" s="6" t="str">
        <f t="shared" si="194"/>
        <v>-</v>
      </c>
      <c r="AE573" s="4">
        <f t="shared" si="195"/>
        <v>4845</v>
      </c>
      <c r="AF573" s="7">
        <v>4600</v>
      </c>
      <c r="AG573" s="6">
        <f t="shared" si="183"/>
        <v>0.33478260869565213</v>
      </c>
      <c r="AH573" s="4">
        <f t="shared" si="184"/>
        <v>1540</v>
      </c>
      <c r="AI573" s="28"/>
      <c r="AJ573" s="6"/>
      <c r="AK573" s="6"/>
      <c r="AL573" s="6">
        <f t="shared" si="185"/>
        <v>1.1086956521739131</v>
      </c>
      <c r="AM573" s="6">
        <f t="shared" si="186"/>
        <v>1.1651469098277609</v>
      </c>
      <c r="AN573" s="6">
        <f t="shared" si="187"/>
        <v>1.1086956521739131</v>
      </c>
      <c r="AO573" s="4" t="str">
        <f t="shared" si="188"/>
        <v>-</v>
      </c>
      <c r="AP573" s="4" t="str">
        <f t="shared" si="189"/>
        <v>-</v>
      </c>
      <c r="AQ573" s="4" t="str">
        <f t="shared" si="190"/>
        <v>-</v>
      </c>
      <c r="AR573" s="4">
        <v>0</v>
      </c>
      <c r="AS573" s="4" t="s">
        <v>1280</v>
      </c>
      <c r="AT573" s="4"/>
      <c r="AU573" s="4"/>
      <c r="AV573" s="4" t="s">
        <v>1280</v>
      </c>
      <c r="AW573" s="4" t="s">
        <v>1280</v>
      </c>
      <c r="AX573" s="4" t="s">
        <v>1280</v>
      </c>
      <c r="AY573" s="4" t="s">
        <v>1280</v>
      </c>
      <c r="AZ573" s="4" t="str">
        <f t="shared" si="191"/>
        <v>-</v>
      </c>
      <c r="BA573" s="19">
        <v>4</v>
      </c>
      <c r="BB573" s="19">
        <v>8</v>
      </c>
      <c r="BC573" s="16">
        <v>18</v>
      </c>
      <c r="BD573">
        <v>4600</v>
      </c>
      <c r="BE573" t="s">
        <v>1280</v>
      </c>
      <c r="BF573" t="s">
        <v>1280</v>
      </c>
      <c r="BG573" t="str">
        <f t="shared" si="196"/>
        <v>-</v>
      </c>
      <c r="BH573">
        <v>4600</v>
      </c>
      <c r="BI573">
        <v>4600</v>
      </c>
      <c r="BJ573">
        <v>4600</v>
      </c>
      <c r="BK573">
        <f t="shared" si="197"/>
        <v>5100</v>
      </c>
      <c r="BL573" t="s">
        <v>1280</v>
      </c>
      <c r="BM573">
        <v>812</v>
      </c>
    </row>
    <row r="574" spans="1:65" x14ac:dyDescent="0.4">
      <c r="A574" s="3">
        <v>311</v>
      </c>
      <c r="B574" s="3">
        <v>311</v>
      </c>
      <c r="C574" s="4" t="s">
        <v>300</v>
      </c>
      <c r="D574" s="4" t="str">
        <f t="shared" si="176"/>
        <v>J39063</v>
      </c>
      <c r="E574" s="4" t="s">
        <v>300</v>
      </c>
      <c r="F574" s="4" t="str">
        <f t="shared" si="192"/>
        <v>J390635</v>
      </c>
      <c r="G574" s="4" t="s">
        <v>946</v>
      </c>
      <c r="H574" s="5">
        <v>4974268560964</v>
      </c>
      <c r="I574" s="5">
        <v>5</v>
      </c>
      <c r="J574" s="5"/>
      <c r="K574" s="5">
        <v>1</v>
      </c>
      <c r="L574" s="5">
        <v>1</v>
      </c>
      <c r="M574" s="4">
        <v>4600</v>
      </c>
      <c r="N574" s="4">
        <v>3644</v>
      </c>
      <c r="O574" s="4">
        <v>2760</v>
      </c>
      <c r="P574" s="6">
        <f t="shared" si="177"/>
        <v>0.24259055982436883</v>
      </c>
      <c r="Q574" s="4" t="s">
        <v>1280</v>
      </c>
      <c r="R574" s="4" t="s">
        <v>1280</v>
      </c>
      <c r="S574" s="4" t="s">
        <v>1280</v>
      </c>
      <c r="T574" s="4">
        <v>5100</v>
      </c>
      <c r="U574" s="4">
        <f t="shared" si="178"/>
        <v>5100</v>
      </c>
      <c r="V574" s="4">
        <v>3060</v>
      </c>
      <c r="W574" s="4">
        <f t="shared" si="179"/>
        <v>3060</v>
      </c>
      <c r="X574" s="4"/>
      <c r="Y574" s="21">
        <f t="shared" si="180"/>
        <v>4040</v>
      </c>
      <c r="Z574" s="6">
        <f t="shared" si="181"/>
        <v>0.24257425742574257</v>
      </c>
      <c r="AA574" s="4">
        <v>0</v>
      </c>
      <c r="AB574" s="4" t="str">
        <f t="shared" si="182"/>
        <v>-</v>
      </c>
      <c r="AC574" s="4" t="str">
        <f t="shared" si="193"/>
        <v>-</v>
      </c>
      <c r="AD574" s="6" t="str">
        <f t="shared" si="194"/>
        <v>-</v>
      </c>
      <c r="AE574" s="4">
        <f t="shared" si="195"/>
        <v>4845</v>
      </c>
      <c r="AF574" s="7">
        <v>4600</v>
      </c>
      <c r="AG574" s="6">
        <f t="shared" si="183"/>
        <v>0.33478260869565213</v>
      </c>
      <c r="AH574" s="4">
        <f t="shared" si="184"/>
        <v>1540</v>
      </c>
      <c r="AI574" s="28"/>
      <c r="AJ574" s="6"/>
      <c r="AK574" s="6"/>
      <c r="AL574" s="6">
        <f t="shared" si="185"/>
        <v>1.1086956521739131</v>
      </c>
      <c r="AM574" s="6">
        <f t="shared" si="186"/>
        <v>1.2623490669593853</v>
      </c>
      <c r="AN574" s="6">
        <f t="shared" si="187"/>
        <v>1.1086956521739131</v>
      </c>
      <c r="AO574" s="4" t="str">
        <f t="shared" si="188"/>
        <v>-</v>
      </c>
      <c r="AP574" s="4" t="str">
        <f t="shared" si="189"/>
        <v>-</v>
      </c>
      <c r="AQ574" s="4" t="str">
        <f t="shared" si="190"/>
        <v>-</v>
      </c>
      <c r="AR574" s="4">
        <v>0</v>
      </c>
      <c r="AS574" s="4" t="s">
        <v>1280</v>
      </c>
      <c r="AT574" s="4"/>
      <c r="AU574" s="4"/>
      <c r="AV574" s="4" t="s">
        <v>1280</v>
      </c>
      <c r="AW574" s="4" t="s">
        <v>1280</v>
      </c>
      <c r="AX574" s="4" t="s">
        <v>1280</v>
      </c>
      <c r="AY574" s="4" t="s">
        <v>1280</v>
      </c>
      <c r="AZ574" s="4" t="str">
        <f t="shared" si="191"/>
        <v>-</v>
      </c>
      <c r="BA574" s="19">
        <v>4</v>
      </c>
      <c r="BB574" s="19">
        <v>8</v>
      </c>
      <c r="BC574" s="16">
        <v>18</v>
      </c>
      <c r="BD574">
        <v>4600</v>
      </c>
      <c r="BE574">
        <v>4600</v>
      </c>
      <c r="BF574">
        <v>4600</v>
      </c>
      <c r="BG574">
        <f t="shared" si="196"/>
        <v>5100</v>
      </c>
      <c r="BH574">
        <v>4600</v>
      </c>
      <c r="BI574">
        <v>4600</v>
      </c>
      <c r="BJ574">
        <v>4600</v>
      </c>
      <c r="BK574">
        <f t="shared" si="197"/>
        <v>5100</v>
      </c>
      <c r="BL574" t="s">
        <v>1280</v>
      </c>
      <c r="BM574">
        <v>812</v>
      </c>
    </row>
    <row r="575" spans="1:65" x14ac:dyDescent="0.4">
      <c r="A575" s="3">
        <v>628</v>
      </c>
      <c r="B575" s="3">
        <v>628</v>
      </c>
      <c r="C575" s="4" t="s">
        <v>617</v>
      </c>
      <c r="D575" s="4" t="str">
        <f t="shared" si="176"/>
        <v>J969WN</v>
      </c>
      <c r="E575" s="4" t="s">
        <v>617</v>
      </c>
      <c r="F575" s="4" t="str">
        <f t="shared" si="192"/>
        <v>J969WN5</v>
      </c>
      <c r="G575" s="4" t="s">
        <v>1261</v>
      </c>
      <c r="H575" s="5">
        <v>4974268562388</v>
      </c>
      <c r="I575" s="5">
        <v>5</v>
      </c>
      <c r="J575" s="5"/>
      <c r="K575" s="5">
        <v>1</v>
      </c>
      <c r="L575" s="5">
        <v>1</v>
      </c>
      <c r="M575" s="4">
        <v>4600</v>
      </c>
      <c r="N575" s="4">
        <v>3940</v>
      </c>
      <c r="O575" s="4">
        <v>2760</v>
      </c>
      <c r="P575" s="6">
        <f t="shared" si="177"/>
        <v>0.29949238578680204</v>
      </c>
      <c r="Q575" s="4" t="s">
        <v>1280</v>
      </c>
      <c r="R575" s="4" t="s">
        <v>1280</v>
      </c>
      <c r="S575" s="4" t="s">
        <v>1280</v>
      </c>
      <c r="T575" s="4">
        <v>5100</v>
      </c>
      <c r="U575" s="4">
        <f t="shared" si="178"/>
        <v>5100</v>
      </c>
      <c r="V575" s="4">
        <v>3060</v>
      </c>
      <c r="W575" s="4">
        <f t="shared" si="179"/>
        <v>3060</v>
      </c>
      <c r="X575" s="4"/>
      <c r="Y575" s="21">
        <f t="shared" si="180"/>
        <v>4368</v>
      </c>
      <c r="Z575" s="6">
        <f t="shared" si="181"/>
        <v>0.2994505494505495</v>
      </c>
      <c r="AA575" s="4">
        <v>0</v>
      </c>
      <c r="AB575" s="4">
        <f t="shared" si="182"/>
        <v>4499</v>
      </c>
      <c r="AC575" s="4">
        <f t="shared" si="193"/>
        <v>4988.021739130435</v>
      </c>
      <c r="AD575" s="6">
        <f t="shared" si="194"/>
        <v>0.38653034007557241</v>
      </c>
      <c r="AE575" s="4">
        <f t="shared" si="195"/>
        <v>4845</v>
      </c>
      <c r="AF575" s="7">
        <v>4600</v>
      </c>
      <c r="AG575" s="6">
        <f t="shared" si="183"/>
        <v>0.33478260869565213</v>
      </c>
      <c r="AH575" s="4">
        <f t="shared" si="184"/>
        <v>1540</v>
      </c>
      <c r="AI575" s="28"/>
      <c r="AJ575" s="6"/>
      <c r="AK575" s="6"/>
      <c r="AL575" s="6">
        <f t="shared" si="185"/>
        <v>1.1086956521739131</v>
      </c>
      <c r="AM575" s="6">
        <f t="shared" si="186"/>
        <v>1.1675126903553299</v>
      </c>
      <c r="AN575" s="6">
        <f t="shared" si="187"/>
        <v>1.1086956521739131</v>
      </c>
      <c r="AO575" s="4" t="str">
        <f t="shared" si="188"/>
        <v>-</v>
      </c>
      <c r="AP575" s="4" t="str">
        <f t="shared" si="189"/>
        <v>-</v>
      </c>
      <c r="AQ575" s="4" t="str">
        <f t="shared" si="190"/>
        <v>-</v>
      </c>
      <c r="AR575" s="4">
        <v>0</v>
      </c>
      <c r="AS575" s="4" t="s">
        <v>2186</v>
      </c>
      <c r="AT575" s="4"/>
      <c r="AU575" s="4"/>
      <c r="AV575" s="4" t="s">
        <v>1697</v>
      </c>
      <c r="AW575" s="4">
        <v>4499</v>
      </c>
      <c r="AX575" s="4">
        <v>4499</v>
      </c>
      <c r="AY575" s="4">
        <v>4499</v>
      </c>
      <c r="AZ575" s="4">
        <f t="shared" si="191"/>
        <v>4499</v>
      </c>
      <c r="BA575" s="19">
        <v>4</v>
      </c>
      <c r="BB575" s="19">
        <v>8</v>
      </c>
      <c r="BC575" s="16">
        <v>18</v>
      </c>
      <c r="BD575">
        <v>4600</v>
      </c>
      <c r="BE575">
        <v>4600</v>
      </c>
      <c r="BF575">
        <v>4600</v>
      </c>
      <c r="BG575">
        <f t="shared" si="196"/>
        <v>5100</v>
      </c>
      <c r="BH575" t="s">
        <v>1280</v>
      </c>
      <c r="BI575">
        <v>3834</v>
      </c>
      <c r="BJ575">
        <v>3834</v>
      </c>
      <c r="BK575">
        <f t="shared" si="197"/>
        <v>4250.739130434783</v>
      </c>
      <c r="BL575" t="s">
        <v>1667</v>
      </c>
      <c r="BM575">
        <v>812</v>
      </c>
    </row>
    <row r="576" spans="1:65" x14ac:dyDescent="0.4">
      <c r="A576" s="32">
        <v>485</v>
      </c>
      <c r="B576" s="3">
        <v>485</v>
      </c>
      <c r="C576" s="4" t="s">
        <v>474</v>
      </c>
      <c r="D576" s="4" t="str">
        <f t="shared" si="176"/>
        <v>J54585</v>
      </c>
      <c r="E576" s="4" t="s">
        <v>474</v>
      </c>
      <c r="F576" s="4" t="str">
        <f t="shared" si="192"/>
        <v>J545855</v>
      </c>
      <c r="G576" s="4" t="s">
        <v>1118</v>
      </c>
      <c r="H576" s="5">
        <v>4974268564290</v>
      </c>
      <c r="I576" s="5">
        <v>5</v>
      </c>
      <c r="J576" s="5"/>
      <c r="K576" s="5">
        <v>1</v>
      </c>
      <c r="L576" s="5">
        <v>1</v>
      </c>
      <c r="M576" s="4">
        <v>4550</v>
      </c>
      <c r="N576" s="4">
        <v>4356</v>
      </c>
      <c r="O576" s="4">
        <v>2730</v>
      </c>
      <c r="P576" s="6">
        <f t="shared" si="177"/>
        <v>0.3732782369146006</v>
      </c>
      <c r="Q576" s="4" t="s">
        <v>1280</v>
      </c>
      <c r="R576" s="4" t="s">
        <v>1280</v>
      </c>
      <c r="S576" s="4" t="s">
        <v>1280</v>
      </c>
      <c r="T576" s="4">
        <v>5200</v>
      </c>
      <c r="U576" s="4">
        <f t="shared" si="178"/>
        <v>5200</v>
      </c>
      <c r="V576" s="4">
        <v>3120</v>
      </c>
      <c r="W576" s="4">
        <f t="shared" si="179"/>
        <v>3120</v>
      </c>
      <c r="X576" s="4"/>
      <c r="Y576" s="21">
        <f t="shared" si="180"/>
        <v>4978</v>
      </c>
      <c r="Z576" s="6">
        <f t="shared" si="181"/>
        <v>0.37324226597026922</v>
      </c>
      <c r="AA576" s="4">
        <v>0.25</v>
      </c>
      <c r="AB576" s="4">
        <f t="shared" si="182"/>
        <v>4451</v>
      </c>
      <c r="AC576" s="4">
        <f t="shared" si="193"/>
        <v>5086.8571428571422</v>
      </c>
      <c r="AD576" s="6">
        <f t="shared" si="194"/>
        <v>0.38665468434059758</v>
      </c>
      <c r="AE576" s="4">
        <f t="shared" si="195"/>
        <v>4940</v>
      </c>
      <c r="AF576" s="7">
        <v>4700</v>
      </c>
      <c r="AG576" s="6">
        <f t="shared" si="183"/>
        <v>0.33617021276595749</v>
      </c>
      <c r="AH576" s="4">
        <f t="shared" si="184"/>
        <v>1580</v>
      </c>
      <c r="AI576" s="28"/>
      <c r="AJ576" s="6"/>
      <c r="AK576" s="6"/>
      <c r="AL576" s="6">
        <f t="shared" si="185"/>
        <v>1.1428571428571428</v>
      </c>
      <c r="AM576" s="6">
        <f t="shared" si="186"/>
        <v>1.078971533516988</v>
      </c>
      <c r="AN576" s="6">
        <f t="shared" si="187"/>
        <v>1.1428571428571428</v>
      </c>
      <c r="AO576" s="4" t="str">
        <f t="shared" si="188"/>
        <v>-</v>
      </c>
      <c r="AP576" s="4" t="str">
        <f t="shared" si="189"/>
        <v>-</v>
      </c>
      <c r="AQ576" s="4" t="str">
        <f t="shared" si="190"/>
        <v>-</v>
      </c>
      <c r="AR576" s="4">
        <v>0</v>
      </c>
      <c r="AS576" s="4" t="s">
        <v>2042</v>
      </c>
      <c r="AT576" s="4"/>
      <c r="AU576" s="4"/>
      <c r="AV576" s="4" t="s">
        <v>1691</v>
      </c>
      <c r="AW576" s="4">
        <v>4451</v>
      </c>
      <c r="AX576" s="4">
        <v>4451</v>
      </c>
      <c r="AY576" s="4">
        <v>4451</v>
      </c>
      <c r="AZ576" s="4">
        <f t="shared" si="191"/>
        <v>4451</v>
      </c>
      <c r="BA576" s="19">
        <v>2</v>
      </c>
      <c r="BB576" s="19">
        <v>8</v>
      </c>
      <c r="BC576" s="16">
        <v>18</v>
      </c>
      <c r="BD576">
        <v>4550</v>
      </c>
      <c r="BE576">
        <v>4550</v>
      </c>
      <c r="BF576">
        <v>4550</v>
      </c>
      <c r="BG576">
        <f t="shared" si="196"/>
        <v>5200</v>
      </c>
      <c r="BH576" t="s">
        <v>1280</v>
      </c>
      <c r="BI576">
        <v>4210</v>
      </c>
      <c r="BJ576">
        <v>4210</v>
      </c>
      <c r="BK576">
        <f t="shared" si="197"/>
        <v>4811.4285714285716</v>
      </c>
      <c r="BL576" t="s">
        <v>1554</v>
      </c>
      <c r="BM576">
        <v>812</v>
      </c>
    </row>
    <row r="577" spans="1:65" x14ac:dyDescent="0.4">
      <c r="A577" s="3">
        <v>403</v>
      </c>
      <c r="B577" s="3">
        <v>403</v>
      </c>
      <c r="C577" s="4" t="s">
        <v>392</v>
      </c>
      <c r="D577" s="4" t="str">
        <f t="shared" si="176"/>
        <v>J54478</v>
      </c>
      <c r="E577" s="4" t="s">
        <v>392</v>
      </c>
      <c r="F577" s="4" t="str">
        <f t="shared" si="192"/>
        <v>J544785</v>
      </c>
      <c r="G577" s="4" t="s">
        <v>1036</v>
      </c>
      <c r="H577" s="5">
        <v>4974268831293</v>
      </c>
      <c r="I577" s="5">
        <v>5</v>
      </c>
      <c r="J577" s="5"/>
      <c r="K577" s="5">
        <v>1</v>
      </c>
      <c r="L577" s="5">
        <v>1</v>
      </c>
      <c r="M577" s="4">
        <v>4750</v>
      </c>
      <c r="N577" s="4">
        <v>3696</v>
      </c>
      <c r="O577" s="4">
        <v>2850</v>
      </c>
      <c r="P577" s="6">
        <f t="shared" si="177"/>
        <v>0.22889610389610393</v>
      </c>
      <c r="Q577" s="4" t="s">
        <v>1280</v>
      </c>
      <c r="R577" s="4" t="s">
        <v>1280</v>
      </c>
      <c r="S577" s="4" t="s">
        <v>1280</v>
      </c>
      <c r="T577" s="4">
        <v>5300</v>
      </c>
      <c r="U577" s="4">
        <f t="shared" si="178"/>
        <v>5300</v>
      </c>
      <c r="V577" s="4">
        <v>3180</v>
      </c>
      <c r="W577" s="4">
        <f t="shared" si="179"/>
        <v>3180</v>
      </c>
      <c r="X577" s="4"/>
      <c r="Y577" s="21">
        <f t="shared" si="180"/>
        <v>4124</v>
      </c>
      <c r="Z577" s="6">
        <f t="shared" si="181"/>
        <v>0.22890397672162943</v>
      </c>
      <c r="AA577" s="4">
        <v>0</v>
      </c>
      <c r="AB577" s="4" t="str">
        <f t="shared" si="182"/>
        <v>-</v>
      </c>
      <c r="AC577" s="4" t="str">
        <f t="shared" si="193"/>
        <v>-</v>
      </c>
      <c r="AD577" s="6" t="str">
        <f t="shared" si="194"/>
        <v>-</v>
      </c>
      <c r="AE577" s="4">
        <f t="shared" si="195"/>
        <v>5035</v>
      </c>
      <c r="AF577" s="7">
        <v>4740</v>
      </c>
      <c r="AG577" s="6">
        <f t="shared" si="183"/>
        <v>0.32911392405063289</v>
      </c>
      <c r="AH577" s="4">
        <f t="shared" si="184"/>
        <v>1560</v>
      </c>
      <c r="AI577" s="28"/>
      <c r="AJ577" s="6"/>
      <c r="AK577" s="6"/>
      <c r="AL577" s="6">
        <f t="shared" si="185"/>
        <v>1.1157894736842104</v>
      </c>
      <c r="AM577" s="6">
        <f t="shared" si="186"/>
        <v>1.2824675324675325</v>
      </c>
      <c r="AN577" s="6">
        <f t="shared" si="187"/>
        <v>1.1157894736842104</v>
      </c>
      <c r="AO577" s="4" t="str">
        <f t="shared" si="188"/>
        <v>-</v>
      </c>
      <c r="AP577" s="4" t="str">
        <f t="shared" si="189"/>
        <v>-</v>
      </c>
      <c r="AQ577" s="4" t="str">
        <f t="shared" si="190"/>
        <v>-</v>
      </c>
      <c r="AR577" s="4">
        <v>0</v>
      </c>
      <c r="AS577" s="4" t="s">
        <v>1280</v>
      </c>
      <c r="AT577" s="4"/>
      <c r="AU577" s="4"/>
      <c r="AV577" s="4" t="s">
        <v>1280</v>
      </c>
      <c r="AW577" s="4" t="s">
        <v>1280</v>
      </c>
      <c r="AX577" s="4" t="s">
        <v>1280</v>
      </c>
      <c r="AY577" s="4" t="s">
        <v>1280</v>
      </c>
      <c r="AZ577" s="4" t="str">
        <f t="shared" si="191"/>
        <v>-</v>
      </c>
      <c r="BA577" s="19">
        <v>4</v>
      </c>
      <c r="BB577" s="19">
        <v>8</v>
      </c>
      <c r="BC577" s="16">
        <v>18</v>
      </c>
      <c r="BD577" t="s">
        <v>1280</v>
      </c>
      <c r="BE577" t="s">
        <v>1280</v>
      </c>
      <c r="BF577" t="s">
        <v>1280</v>
      </c>
      <c r="BG577" t="str">
        <f t="shared" si="196"/>
        <v>-</v>
      </c>
      <c r="BH577">
        <v>4654</v>
      </c>
      <c r="BI577">
        <v>4654</v>
      </c>
      <c r="BJ577">
        <v>4654</v>
      </c>
      <c r="BK577">
        <f t="shared" si="197"/>
        <v>5192.8842105263157</v>
      </c>
      <c r="BL577" t="s">
        <v>1280</v>
      </c>
      <c r="BM577">
        <v>812</v>
      </c>
    </row>
    <row r="578" spans="1:65" x14ac:dyDescent="0.4">
      <c r="A578" s="3">
        <v>432</v>
      </c>
      <c r="B578" s="3">
        <v>432</v>
      </c>
      <c r="C578" s="4" t="s">
        <v>421</v>
      </c>
      <c r="D578" s="4" t="str">
        <f t="shared" si="176"/>
        <v>J54470</v>
      </c>
      <c r="E578" s="4" t="s">
        <v>421</v>
      </c>
      <c r="F578" s="4" t="str">
        <f t="shared" si="192"/>
        <v>J544705</v>
      </c>
      <c r="G578" s="4" t="s">
        <v>1065</v>
      </c>
      <c r="H578" s="5">
        <v>4974268830418</v>
      </c>
      <c r="I578" s="5">
        <v>5</v>
      </c>
      <c r="J578" s="5"/>
      <c r="K578" s="5">
        <v>1</v>
      </c>
      <c r="L578" s="5">
        <v>1</v>
      </c>
      <c r="M578" s="4">
        <v>4750</v>
      </c>
      <c r="N578" s="4">
        <v>4588</v>
      </c>
      <c r="O578" s="4">
        <v>2850</v>
      </c>
      <c r="P578" s="6">
        <f t="shared" si="177"/>
        <v>0.37881429816913692</v>
      </c>
      <c r="Q578" s="4" t="s">
        <v>1280</v>
      </c>
      <c r="R578" s="4" t="s">
        <v>1280</v>
      </c>
      <c r="S578" s="4" t="s">
        <v>1280</v>
      </c>
      <c r="T578" s="4">
        <v>5300</v>
      </c>
      <c r="U578" s="4">
        <f t="shared" si="178"/>
        <v>5300</v>
      </c>
      <c r="V578" s="4">
        <v>3180</v>
      </c>
      <c r="W578" s="4">
        <f t="shared" si="179"/>
        <v>3180</v>
      </c>
      <c r="X578" s="4"/>
      <c r="Y578" s="21">
        <f t="shared" si="180"/>
        <v>5119</v>
      </c>
      <c r="Z578" s="6">
        <f t="shared" si="181"/>
        <v>0.37878491892947841</v>
      </c>
      <c r="AA578" s="4">
        <v>0.25</v>
      </c>
      <c r="AB578" s="4">
        <f t="shared" si="182"/>
        <v>4249</v>
      </c>
      <c r="AC578" s="4">
        <f t="shared" si="193"/>
        <v>4740.9894736842098</v>
      </c>
      <c r="AD578" s="6">
        <f t="shared" si="194"/>
        <v>0.32925394210402437</v>
      </c>
      <c r="AE578" s="4">
        <f t="shared" si="195"/>
        <v>5035</v>
      </c>
      <c r="AF578" s="7">
        <v>4740</v>
      </c>
      <c r="AG578" s="6">
        <f t="shared" si="183"/>
        <v>0.32911392405063289</v>
      </c>
      <c r="AH578" s="4">
        <f t="shared" si="184"/>
        <v>1560</v>
      </c>
      <c r="AI578" s="28"/>
      <c r="AJ578" s="6"/>
      <c r="AK578" s="6"/>
      <c r="AL578" s="6">
        <f t="shared" si="185"/>
        <v>1.1157894736842104</v>
      </c>
      <c r="AM578" s="6">
        <f t="shared" si="186"/>
        <v>1.033129904097646</v>
      </c>
      <c r="AN578" s="6">
        <f t="shared" si="187"/>
        <v>1.1157894736842104</v>
      </c>
      <c r="AO578" s="4" t="str">
        <f t="shared" si="188"/>
        <v>-</v>
      </c>
      <c r="AP578" s="4" t="str">
        <f t="shared" si="189"/>
        <v>-</v>
      </c>
      <c r="AQ578" s="4" t="str">
        <f t="shared" si="190"/>
        <v>-</v>
      </c>
      <c r="AR578" s="4">
        <v>0</v>
      </c>
      <c r="AS578" s="4" t="s">
        <v>1991</v>
      </c>
      <c r="AT578" s="4"/>
      <c r="AU578" s="4"/>
      <c r="AV578" s="4" t="s">
        <v>1754</v>
      </c>
      <c r="AW578" s="4">
        <v>4249</v>
      </c>
      <c r="AX578" s="4">
        <v>4249</v>
      </c>
      <c r="AY578" s="4">
        <v>4249</v>
      </c>
      <c r="AZ578" s="4">
        <f t="shared" si="191"/>
        <v>4249</v>
      </c>
      <c r="BA578" s="19">
        <v>4</v>
      </c>
      <c r="BB578" s="19">
        <v>8</v>
      </c>
      <c r="BC578" s="16">
        <v>18</v>
      </c>
      <c r="BD578" t="s">
        <v>1280</v>
      </c>
      <c r="BE578">
        <v>4318</v>
      </c>
      <c r="BF578">
        <v>4318</v>
      </c>
      <c r="BG578">
        <f t="shared" si="196"/>
        <v>4817.9789473684204</v>
      </c>
      <c r="BH578">
        <v>4655</v>
      </c>
      <c r="BI578">
        <v>4655</v>
      </c>
      <c r="BJ578">
        <v>4655</v>
      </c>
      <c r="BK578">
        <f t="shared" si="197"/>
        <v>5194</v>
      </c>
      <c r="BL578" t="s">
        <v>1512</v>
      </c>
      <c r="BM578">
        <v>812</v>
      </c>
    </row>
    <row r="579" spans="1:65" x14ac:dyDescent="0.4">
      <c r="A579" s="3">
        <v>630</v>
      </c>
      <c r="B579" s="3">
        <v>630</v>
      </c>
      <c r="C579" s="4" t="s">
        <v>619</v>
      </c>
      <c r="D579" s="4" t="str">
        <f t="shared" si="176"/>
        <v>J971WN</v>
      </c>
      <c r="E579" s="4" t="s">
        <v>619</v>
      </c>
      <c r="F579" s="4" t="str">
        <f t="shared" si="192"/>
        <v>J971WN5</v>
      </c>
      <c r="G579" s="4" t="s">
        <v>1263</v>
      </c>
      <c r="H579" s="5">
        <v>4974268562449</v>
      </c>
      <c r="I579" s="5">
        <v>5</v>
      </c>
      <c r="J579" s="5"/>
      <c r="K579" s="5">
        <v>1</v>
      </c>
      <c r="L579" s="5">
        <v>1</v>
      </c>
      <c r="M579" s="4">
        <v>4800</v>
      </c>
      <c r="N579" s="4">
        <v>4110</v>
      </c>
      <c r="O579" s="4">
        <v>2880</v>
      </c>
      <c r="P579" s="6">
        <f t="shared" si="177"/>
        <v>0.2992700729927007</v>
      </c>
      <c r="Q579" s="4" t="s">
        <v>1280</v>
      </c>
      <c r="R579" s="4" t="s">
        <v>1280</v>
      </c>
      <c r="S579" s="4" t="s">
        <v>1280</v>
      </c>
      <c r="T579" s="4">
        <v>5300</v>
      </c>
      <c r="U579" s="4">
        <f t="shared" si="178"/>
        <v>5300</v>
      </c>
      <c r="V579" s="4">
        <v>3180</v>
      </c>
      <c r="W579" s="4">
        <f t="shared" si="179"/>
        <v>3180</v>
      </c>
      <c r="X579" s="4"/>
      <c r="Y579" s="21">
        <f t="shared" si="180"/>
        <v>4538</v>
      </c>
      <c r="Z579" s="6">
        <f t="shared" si="181"/>
        <v>0.29925077126487443</v>
      </c>
      <c r="AA579" s="4">
        <v>0</v>
      </c>
      <c r="AB579" s="4">
        <f t="shared" si="182"/>
        <v>3482</v>
      </c>
      <c r="AC579" s="4">
        <f t="shared" si="193"/>
        <v>3844.7083333333335</v>
      </c>
      <c r="AD579" s="6">
        <f t="shared" si="194"/>
        <v>0.17288914417001722</v>
      </c>
      <c r="AE579" s="4">
        <f t="shared" si="195"/>
        <v>5035</v>
      </c>
      <c r="AF579" s="7">
        <v>4900</v>
      </c>
      <c r="AG579" s="6">
        <f t="shared" si="183"/>
        <v>0.3510204081632653</v>
      </c>
      <c r="AH579" s="4">
        <f t="shared" si="184"/>
        <v>1720</v>
      </c>
      <c r="AI579" s="28"/>
      <c r="AJ579" s="6"/>
      <c r="AK579" s="6"/>
      <c r="AL579" s="6">
        <f t="shared" si="185"/>
        <v>1.1041666666666667</v>
      </c>
      <c r="AM579" s="6">
        <f t="shared" si="186"/>
        <v>1.1922141119221412</v>
      </c>
      <c r="AN579" s="6">
        <f t="shared" si="187"/>
        <v>1.1041666666666667</v>
      </c>
      <c r="AO579" s="4" t="str">
        <f t="shared" si="188"/>
        <v>-</v>
      </c>
      <c r="AP579" s="4" t="str">
        <f t="shared" si="189"/>
        <v>-</v>
      </c>
      <c r="AQ579" s="4" t="str">
        <f t="shared" si="190"/>
        <v>-</v>
      </c>
      <c r="AR579" s="4">
        <v>0</v>
      </c>
      <c r="AS579" s="4" t="s">
        <v>2188</v>
      </c>
      <c r="AT579" s="4"/>
      <c r="AU579" s="4"/>
      <c r="AV579" s="4" t="s">
        <v>1697</v>
      </c>
      <c r="AW579" s="4">
        <v>3482</v>
      </c>
      <c r="AX579" s="4">
        <v>3482</v>
      </c>
      <c r="AY579" s="4">
        <v>3482</v>
      </c>
      <c r="AZ579" s="4">
        <f t="shared" si="191"/>
        <v>3482</v>
      </c>
      <c r="BA579" s="19">
        <v>4</v>
      </c>
      <c r="BB579" s="19">
        <v>8</v>
      </c>
      <c r="BC579" s="16">
        <v>18</v>
      </c>
      <c r="BD579" t="s">
        <v>1280</v>
      </c>
      <c r="BE579" t="s">
        <v>1280</v>
      </c>
      <c r="BF579" t="s">
        <v>1280</v>
      </c>
      <c r="BG579" t="str">
        <f t="shared" si="196"/>
        <v>-</v>
      </c>
      <c r="BH579" t="s">
        <v>1280</v>
      </c>
      <c r="BI579">
        <v>4000</v>
      </c>
      <c r="BJ579">
        <v>4000</v>
      </c>
      <c r="BK579">
        <f t="shared" si="197"/>
        <v>4416.666666666667</v>
      </c>
      <c r="BL579" t="s">
        <v>1669</v>
      </c>
      <c r="BM579">
        <v>812</v>
      </c>
    </row>
    <row r="580" spans="1:65" x14ac:dyDescent="0.4">
      <c r="A580" s="3">
        <v>632</v>
      </c>
      <c r="B580" s="3">
        <v>632</v>
      </c>
      <c r="C580" s="4" t="s">
        <v>621</v>
      </c>
      <c r="D580" s="4" t="str">
        <f t="shared" ref="D580:D643" si="198">TEXT(C580,"000000")</f>
        <v>J972WN</v>
      </c>
      <c r="E580" s="4" t="s">
        <v>621</v>
      </c>
      <c r="F580" s="4" t="str">
        <f t="shared" si="192"/>
        <v>J972WN5</v>
      </c>
      <c r="G580" s="4" t="s">
        <v>1265</v>
      </c>
      <c r="H580" s="5">
        <v>4974268562531</v>
      </c>
      <c r="I580" s="5">
        <v>5</v>
      </c>
      <c r="J580" s="5"/>
      <c r="K580" s="5">
        <v>1</v>
      </c>
      <c r="L580" s="5">
        <v>1</v>
      </c>
      <c r="M580" s="4">
        <v>4900</v>
      </c>
      <c r="N580" s="4">
        <v>4200</v>
      </c>
      <c r="O580" s="4">
        <v>2940</v>
      </c>
      <c r="P580" s="6">
        <f t="shared" ref="P580:P643" si="199">1-O580/N580</f>
        <v>0.30000000000000004</v>
      </c>
      <c r="Q580" s="4" t="s">
        <v>1280</v>
      </c>
      <c r="R580" s="4" t="s">
        <v>1280</v>
      </c>
      <c r="S580" s="4" t="s">
        <v>1280</v>
      </c>
      <c r="T580" s="4">
        <v>5400</v>
      </c>
      <c r="U580" s="4">
        <f t="shared" ref="U580:U643" si="200">IF(X580="",T580,T580*X580)</f>
        <v>5400</v>
      </c>
      <c r="V580" s="4">
        <v>3240</v>
      </c>
      <c r="W580" s="4">
        <f t="shared" ref="W580:W643" si="201">IF(X580="",V580,V580*X580)</f>
        <v>3240</v>
      </c>
      <c r="X580" s="4"/>
      <c r="Y580" s="21">
        <f t="shared" ref="Y580:Y643" si="202">ROUND(N580*AN580,0)</f>
        <v>4629</v>
      </c>
      <c r="Z580" s="6">
        <f t="shared" ref="Z580:Z643" si="203">1-W580/Y580</f>
        <v>0.30006480881399866</v>
      </c>
      <c r="AA580" s="4">
        <v>0</v>
      </c>
      <c r="AB580" s="4" t="str">
        <f t="shared" ref="AB580:AB643" si="204">AZ580</f>
        <v>-</v>
      </c>
      <c r="AC580" s="4" t="str">
        <f t="shared" si="193"/>
        <v>-</v>
      </c>
      <c r="AD580" s="6" t="str">
        <f t="shared" si="194"/>
        <v>-</v>
      </c>
      <c r="AE580" s="4">
        <f t="shared" si="195"/>
        <v>5130</v>
      </c>
      <c r="AF580" s="7">
        <v>5000</v>
      </c>
      <c r="AG580" s="6">
        <f t="shared" ref="AG580:AG643" si="205">1-W580/AF580</f>
        <v>0.35199999999999998</v>
      </c>
      <c r="AH580" s="4">
        <f t="shared" ref="AH580:AH643" si="206">AF580-W580</f>
        <v>1760</v>
      </c>
      <c r="AI580" s="28"/>
      <c r="AJ580" s="6"/>
      <c r="AK580" s="6"/>
      <c r="AL580" s="6">
        <f t="shared" ref="AL580:AL643" si="207">U580/M580</f>
        <v>1.1020408163265305</v>
      </c>
      <c r="AM580" s="6">
        <f t="shared" ref="AM580:AM643" si="208">AF580/N580</f>
        <v>1.1904761904761905</v>
      </c>
      <c r="AN580" s="6">
        <f t="shared" ref="AN580:AN643" si="209">W580/O580</f>
        <v>1.1020408163265305</v>
      </c>
      <c r="AO580" s="4" t="str">
        <f t="shared" ref="AO580:AO643" si="210">IFERROR(ROUND($AF580*Q580/$N580,0),"-")</f>
        <v>-</v>
      </c>
      <c r="AP580" s="4" t="str">
        <f t="shared" ref="AP580:AP643" si="211">IF(R580="","-",R580)</f>
        <v>-</v>
      </c>
      <c r="AQ580" s="4" t="str">
        <f t="shared" ref="AQ580:AQ643" si="212">IF(S580="","-",S580)</f>
        <v>-</v>
      </c>
      <c r="AR580" s="4">
        <v>0</v>
      </c>
      <c r="AS580" s="4" t="s">
        <v>1280</v>
      </c>
      <c r="AT580" s="4"/>
      <c r="AU580" s="4"/>
      <c r="AV580" s="4" t="s">
        <v>1280</v>
      </c>
      <c r="AW580" s="4" t="s">
        <v>1280</v>
      </c>
      <c r="AX580" s="4" t="s">
        <v>1280</v>
      </c>
      <c r="AY580" s="4" t="s">
        <v>1280</v>
      </c>
      <c r="AZ580" s="4" t="str">
        <f t="shared" ref="AZ580:AZ643" si="213">IF(AT580="",AY580,AT580/AU580*AY580)</f>
        <v>-</v>
      </c>
      <c r="BA580" s="19">
        <v>4</v>
      </c>
      <c r="BB580" s="19">
        <v>8</v>
      </c>
      <c r="BC580" s="16">
        <v>18</v>
      </c>
      <c r="BD580" t="s">
        <v>1280</v>
      </c>
      <c r="BE580" t="s">
        <v>1280</v>
      </c>
      <c r="BF580" t="s">
        <v>1280</v>
      </c>
      <c r="BG580" t="str">
        <f t="shared" si="196"/>
        <v>-</v>
      </c>
      <c r="BH580" t="s">
        <v>1280</v>
      </c>
      <c r="BI580">
        <v>4549</v>
      </c>
      <c r="BJ580">
        <v>4549</v>
      </c>
      <c r="BK580">
        <f t="shared" si="197"/>
        <v>5013.183673469387</v>
      </c>
      <c r="BL580" t="s">
        <v>1280</v>
      </c>
      <c r="BM580">
        <v>812</v>
      </c>
    </row>
    <row r="581" spans="1:65" x14ac:dyDescent="0.4">
      <c r="A581" s="32">
        <v>438</v>
      </c>
      <c r="B581" s="3">
        <v>438</v>
      </c>
      <c r="C581" s="4" t="s">
        <v>427</v>
      </c>
      <c r="D581" s="4" t="str">
        <f t="shared" si="198"/>
        <v>J54503</v>
      </c>
      <c r="E581" s="4" t="s">
        <v>427</v>
      </c>
      <c r="F581" s="4" t="str">
        <f t="shared" ref="F581:F644" si="214">D581&amp;I581</f>
        <v>J545035</v>
      </c>
      <c r="G581" s="4" t="s">
        <v>1071</v>
      </c>
      <c r="H581" s="5">
        <v>4974268835123</v>
      </c>
      <c r="I581" s="5">
        <v>5</v>
      </c>
      <c r="J581" s="5"/>
      <c r="K581" s="5">
        <v>1</v>
      </c>
      <c r="L581" s="5">
        <v>1</v>
      </c>
      <c r="M581" s="4">
        <v>5100</v>
      </c>
      <c r="N581" s="4">
        <v>4892</v>
      </c>
      <c r="O581" s="4">
        <v>3060</v>
      </c>
      <c r="P581" s="6">
        <f t="shared" si="199"/>
        <v>0.37448896156991007</v>
      </c>
      <c r="Q581" s="4" t="s">
        <v>1280</v>
      </c>
      <c r="R581" s="4" t="s">
        <v>1280</v>
      </c>
      <c r="S581" s="4" t="s">
        <v>1280</v>
      </c>
      <c r="T581" s="4">
        <v>5600</v>
      </c>
      <c r="U581" s="4">
        <f t="shared" si="200"/>
        <v>5600</v>
      </c>
      <c r="V581" s="4">
        <v>3360</v>
      </c>
      <c r="W581" s="4">
        <f t="shared" si="201"/>
        <v>3360</v>
      </c>
      <c r="X581" s="4"/>
      <c r="Y581" s="21">
        <f t="shared" si="202"/>
        <v>5372</v>
      </c>
      <c r="Z581" s="6">
        <f t="shared" si="203"/>
        <v>0.37453462397617276</v>
      </c>
      <c r="AA581" s="4">
        <v>0.5</v>
      </c>
      <c r="AB581" s="4">
        <f t="shared" si="204"/>
        <v>4428</v>
      </c>
      <c r="AC581" s="4">
        <f t="shared" ref="AC581:AC644" si="215">IFERROR(AB581*AN581,"-")</f>
        <v>4862.1176470588243</v>
      </c>
      <c r="AD581" s="6">
        <f t="shared" ref="AD581:AD644" si="216">IFERROR(1-W581/AC581,"-")</f>
        <v>0.30894308943089444</v>
      </c>
      <c r="AE581" s="4">
        <f t="shared" ref="AE581:AE644" si="217">U581*0.95</f>
        <v>5320</v>
      </c>
      <c r="AF581" s="7">
        <v>4862</v>
      </c>
      <c r="AG581" s="6">
        <f t="shared" si="205"/>
        <v>0.30892636774989712</v>
      </c>
      <c r="AH581" s="4">
        <f t="shared" si="206"/>
        <v>1502</v>
      </c>
      <c r="AI581" s="28"/>
      <c r="AJ581" s="6"/>
      <c r="AK581" s="6"/>
      <c r="AL581" s="6">
        <f t="shared" si="207"/>
        <v>1.0980392156862746</v>
      </c>
      <c r="AM581" s="6">
        <f t="shared" si="208"/>
        <v>0.99386753883892065</v>
      </c>
      <c r="AN581" s="6">
        <f t="shared" si="209"/>
        <v>1.0980392156862746</v>
      </c>
      <c r="AO581" s="4" t="str">
        <f t="shared" si="210"/>
        <v>-</v>
      </c>
      <c r="AP581" s="4" t="str">
        <f t="shared" si="211"/>
        <v>-</v>
      </c>
      <c r="AQ581" s="4" t="str">
        <f t="shared" si="212"/>
        <v>-</v>
      </c>
      <c r="AR581" s="4">
        <v>0</v>
      </c>
      <c r="AS581" s="4" t="s">
        <v>1997</v>
      </c>
      <c r="AT581" s="4"/>
      <c r="AU581" s="4"/>
      <c r="AV581" s="4" t="s">
        <v>1971</v>
      </c>
      <c r="AW581" s="4">
        <v>4428</v>
      </c>
      <c r="AX581" s="4">
        <v>4428</v>
      </c>
      <c r="AY581" s="4">
        <v>4428</v>
      </c>
      <c r="AZ581" s="4">
        <f t="shared" si="213"/>
        <v>4428</v>
      </c>
      <c r="BA581" s="19">
        <v>2</v>
      </c>
      <c r="BB581" s="19">
        <v>8</v>
      </c>
      <c r="BC581" s="16">
        <v>18</v>
      </c>
      <c r="BD581">
        <v>4636</v>
      </c>
      <c r="BE581">
        <v>4636</v>
      </c>
      <c r="BF581">
        <v>4636</v>
      </c>
      <c r="BG581">
        <f t="shared" ref="BG581:BG644" si="218">IFERROR(BF581*AN581,"-")</f>
        <v>5090.5098039215691</v>
      </c>
      <c r="BH581">
        <v>4899</v>
      </c>
      <c r="BI581">
        <v>4899</v>
      </c>
      <c r="BJ581">
        <v>4899</v>
      </c>
      <c r="BK581">
        <f t="shared" ref="BK581:BK644" si="219">IFERROR(BJ581*AN581,"-")</f>
        <v>5379.2941176470595</v>
      </c>
      <c r="BL581" t="s">
        <v>1518</v>
      </c>
      <c r="BM581">
        <v>812</v>
      </c>
    </row>
    <row r="582" spans="1:65" x14ac:dyDescent="0.4">
      <c r="A582" s="3">
        <v>448</v>
      </c>
      <c r="B582" s="3">
        <v>448</v>
      </c>
      <c r="C582" s="4" t="s">
        <v>437</v>
      </c>
      <c r="D582" s="4" t="str">
        <f t="shared" si="198"/>
        <v>J54527</v>
      </c>
      <c r="E582" s="4" t="s">
        <v>437</v>
      </c>
      <c r="F582" s="4" t="str">
        <f t="shared" si="214"/>
        <v>J545275</v>
      </c>
      <c r="G582" s="4" t="s">
        <v>1081</v>
      </c>
      <c r="H582" s="5">
        <v>4974268560391</v>
      </c>
      <c r="I582" s="5">
        <v>5</v>
      </c>
      <c r="J582" s="5"/>
      <c r="K582" s="5">
        <v>1</v>
      </c>
      <c r="L582" s="5">
        <v>1</v>
      </c>
      <c r="M582" s="4">
        <v>5200</v>
      </c>
      <c r="N582" s="4">
        <v>4043</v>
      </c>
      <c r="O582" s="4">
        <v>3120</v>
      </c>
      <c r="P582" s="6">
        <f t="shared" si="199"/>
        <v>0.22829581993569137</v>
      </c>
      <c r="Q582" s="4" t="s">
        <v>1280</v>
      </c>
      <c r="R582" s="4" t="s">
        <v>1280</v>
      </c>
      <c r="S582" s="4" t="s">
        <v>1280</v>
      </c>
      <c r="T582" s="4">
        <v>5700</v>
      </c>
      <c r="U582" s="4">
        <f t="shared" si="200"/>
        <v>5700</v>
      </c>
      <c r="V582" s="4">
        <v>3420</v>
      </c>
      <c r="W582" s="4">
        <f t="shared" si="201"/>
        <v>3420</v>
      </c>
      <c r="X582" s="4"/>
      <c r="Y582" s="21">
        <f t="shared" si="202"/>
        <v>4432</v>
      </c>
      <c r="Z582" s="6">
        <f t="shared" si="203"/>
        <v>0.22833935018050544</v>
      </c>
      <c r="AA582" s="4">
        <v>0.25</v>
      </c>
      <c r="AB582" s="4">
        <f t="shared" si="204"/>
        <v>3746</v>
      </c>
      <c r="AC582" s="4">
        <f t="shared" si="215"/>
        <v>4106.1923076923076</v>
      </c>
      <c r="AD582" s="6">
        <f t="shared" si="216"/>
        <v>0.16711158569140416</v>
      </c>
      <c r="AE582" s="4">
        <f t="shared" si="217"/>
        <v>5415</v>
      </c>
      <c r="AF582" s="7">
        <v>5200</v>
      </c>
      <c r="AG582" s="6">
        <f t="shared" si="205"/>
        <v>0.34230769230769231</v>
      </c>
      <c r="AH582" s="4">
        <f t="shared" si="206"/>
        <v>1780</v>
      </c>
      <c r="AI582" s="28"/>
      <c r="AJ582" s="6"/>
      <c r="AK582" s="6"/>
      <c r="AL582" s="6">
        <f t="shared" si="207"/>
        <v>1.0961538461538463</v>
      </c>
      <c r="AM582" s="6">
        <f t="shared" si="208"/>
        <v>1.2861736334405145</v>
      </c>
      <c r="AN582" s="6">
        <f t="shared" si="209"/>
        <v>1.0961538461538463</v>
      </c>
      <c r="AO582" s="4" t="str">
        <f t="shared" si="210"/>
        <v>-</v>
      </c>
      <c r="AP582" s="4" t="str">
        <f t="shared" si="211"/>
        <v>-</v>
      </c>
      <c r="AQ582" s="4" t="str">
        <f t="shared" si="212"/>
        <v>-</v>
      </c>
      <c r="AR582" s="4">
        <v>0</v>
      </c>
      <c r="AS582" s="4" t="s">
        <v>2007</v>
      </c>
      <c r="AT582" s="4"/>
      <c r="AU582" s="4"/>
      <c r="AV582" s="4" t="s">
        <v>1721</v>
      </c>
      <c r="AW582" s="4">
        <v>3746</v>
      </c>
      <c r="AX582" s="4">
        <v>3746</v>
      </c>
      <c r="AY582" s="4">
        <v>3746</v>
      </c>
      <c r="AZ582" s="4">
        <f t="shared" si="213"/>
        <v>3746</v>
      </c>
      <c r="BA582" s="19">
        <v>4</v>
      </c>
      <c r="BB582" s="19">
        <v>8</v>
      </c>
      <c r="BC582" s="16">
        <v>18</v>
      </c>
      <c r="BD582" t="s">
        <v>1280</v>
      </c>
      <c r="BE582" t="s">
        <v>1280</v>
      </c>
      <c r="BF582" t="s">
        <v>1280</v>
      </c>
      <c r="BG582" t="str">
        <f t="shared" si="218"/>
        <v>-</v>
      </c>
      <c r="BH582">
        <v>5242</v>
      </c>
      <c r="BI582">
        <v>5242</v>
      </c>
      <c r="BJ582">
        <v>5242</v>
      </c>
      <c r="BK582">
        <f t="shared" si="219"/>
        <v>5746.0384615384619</v>
      </c>
      <c r="BL582" t="s">
        <v>1525</v>
      </c>
      <c r="BM582">
        <v>812</v>
      </c>
    </row>
    <row r="583" spans="1:65" x14ac:dyDescent="0.4">
      <c r="A583" s="3">
        <v>506</v>
      </c>
      <c r="B583" s="3">
        <v>506</v>
      </c>
      <c r="C583" s="4" t="s">
        <v>495</v>
      </c>
      <c r="D583" s="4" t="str">
        <f t="shared" si="198"/>
        <v>J767RZ</v>
      </c>
      <c r="E583" s="4" t="s">
        <v>495</v>
      </c>
      <c r="F583" s="4" t="str">
        <f t="shared" si="214"/>
        <v>J767RZ5</v>
      </c>
      <c r="G583" s="4" t="s">
        <v>1139</v>
      </c>
      <c r="H583" s="5">
        <v>4974268697936</v>
      </c>
      <c r="I583" s="5">
        <v>5</v>
      </c>
      <c r="J583" s="5"/>
      <c r="K583" s="5">
        <v>1</v>
      </c>
      <c r="L583" s="5">
        <v>1</v>
      </c>
      <c r="M583" s="4">
        <v>3500</v>
      </c>
      <c r="N583" s="4">
        <v>3500</v>
      </c>
      <c r="O583" s="4">
        <v>2800</v>
      </c>
      <c r="P583" s="6">
        <f t="shared" si="199"/>
        <v>0.19999999999999996</v>
      </c>
      <c r="Q583" s="4" t="s">
        <v>1280</v>
      </c>
      <c r="R583" s="4" t="s">
        <v>1280</v>
      </c>
      <c r="S583" s="4" t="s">
        <v>1280</v>
      </c>
      <c r="T583" s="4">
        <v>4300</v>
      </c>
      <c r="U583" s="4">
        <f t="shared" si="200"/>
        <v>4300</v>
      </c>
      <c r="V583" s="4">
        <v>3440</v>
      </c>
      <c r="W583" s="4">
        <f t="shared" si="201"/>
        <v>3440</v>
      </c>
      <c r="X583" s="4"/>
      <c r="Y583" s="21">
        <f t="shared" si="202"/>
        <v>4300</v>
      </c>
      <c r="Z583" s="6">
        <f t="shared" si="203"/>
        <v>0.19999999999999996</v>
      </c>
      <c r="AA583" s="4">
        <v>0.25</v>
      </c>
      <c r="AB583" s="4" t="str">
        <f t="shared" si="204"/>
        <v>-</v>
      </c>
      <c r="AC583" s="4" t="str">
        <f t="shared" si="215"/>
        <v>-</v>
      </c>
      <c r="AD583" s="6" t="str">
        <f t="shared" si="216"/>
        <v>-</v>
      </c>
      <c r="AE583" s="4">
        <f t="shared" si="217"/>
        <v>4085</v>
      </c>
      <c r="AF583" s="7">
        <v>4300</v>
      </c>
      <c r="AG583" s="6">
        <f t="shared" si="205"/>
        <v>0.19999999999999996</v>
      </c>
      <c r="AH583" s="4">
        <f t="shared" si="206"/>
        <v>860</v>
      </c>
      <c r="AI583" s="28"/>
      <c r="AJ583" s="6"/>
      <c r="AK583" s="6"/>
      <c r="AL583" s="6">
        <f t="shared" si="207"/>
        <v>1.2285714285714286</v>
      </c>
      <c r="AM583" s="6">
        <f t="shared" si="208"/>
        <v>1.2285714285714286</v>
      </c>
      <c r="AN583" s="6">
        <f t="shared" si="209"/>
        <v>1.2285714285714286</v>
      </c>
      <c r="AO583" s="4" t="str">
        <f t="shared" si="210"/>
        <v>-</v>
      </c>
      <c r="AP583" s="4" t="str">
        <f t="shared" si="211"/>
        <v>-</v>
      </c>
      <c r="AQ583" s="4" t="str">
        <f t="shared" si="212"/>
        <v>-</v>
      </c>
      <c r="AR583" s="4">
        <v>0</v>
      </c>
      <c r="AS583" s="4" t="s">
        <v>1280</v>
      </c>
      <c r="AT583" s="4"/>
      <c r="AU583" s="4"/>
      <c r="AV583" s="4" t="s">
        <v>1280</v>
      </c>
      <c r="AW583" s="4" t="s">
        <v>1280</v>
      </c>
      <c r="AX583" s="4" t="s">
        <v>1280</v>
      </c>
      <c r="AY583" s="4" t="s">
        <v>1280</v>
      </c>
      <c r="AZ583" s="4" t="str">
        <f t="shared" si="213"/>
        <v>-</v>
      </c>
      <c r="BA583" s="19">
        <v>4</v>
      </c>
      <c r="BB583" s="19">
        <v>8</v>
      </c>
      <c r="BC583" s="16">
        <v>19</v>
      </c>
      <c r="BD583" t="s">
        <v>1280</v>
      </c>
      <c r="BE583" t="s">
        <v>1280</v>
      </c>
      <c r="BF583" t="s">
        <v>1280</v>
      </c>
      <c r="BG583" t="str">
        <f t="shared" si="218"/>
        <v>-</v>
      </c>
      <c r="BH583" t="s">
        <v>1280</v>
      </c>
      <c r="BI583" t="s">
        <v>1280</v>
      </c>
      <c r="BJ583" t="s">
        <v>1280</v>
      </c>
      <c r="BK583" t="str">
        <f t="shared" si="219"/>
        <v>-</v>
      </c>
      <c r="BL583" t="s">
        <v>1280</v>
      </c>
      <c r="BM583">
        <v>812</v>
      </c>
    </row>
    <row r="584" spans="1:65" x14ac:dyDescent="0.4">
      <c r="A584" s="3">
        <v>636</v>
      </c>
      <c r="B584" s="3">
        <v>636</v>
      </c>
      <c r="C584" s="4" t="s">
        <v>625</v>
      </c>
      <c r="D584" s="4" t="str">
        <f t="shared" si="198"/>
        <v>J978WN</v>
      </c>
      <c r="E584" s="4" t="s">
        <v>625</v>
      </c>
      <c r="F584" s="4" t="str">
        <f t="shared" si="214"/>
        <v>J978WN5</v>
      </c>
      <c r="G584" s="4" t="s">
        <v>1269</v>
      </c>
      <c r="H584" s="5">
        <v>4974268569783</v>
      </c>
      <c r="I584" s="5">
        <v>5</v>
      </c>
      <c r="J584" s="5"/>
      <c r="K584" s="5">
        <v>1</v>
      </c>
      <c r="L584" s="5">
        <v>1</v>
      </c>
      <c r="M584" s="4">
        <v>5300</v>
      </c>
      <c r="N584" s="4">
        <v>4540</v>
      </c>
      <c r="O584" s="4">
        <v>3180</v>
      </c>
      <c r="P584" s="6">
        <f t="shared" si="199"/>
        <v>0.29955947136563876</v>
      </c>
      <c r="Q584" s="4" t="s">
        <v>1280</v>
      </c>
      <c r="R584" s="4" t="s">
        <v>1280</v>
      </c>
      <c r="S584" s="4" t="s">
        <v>1280</v>
      </c>
      <c r="T584" s="4">
        <v>5850</v>
      </c>
      <c r="U584" s="4">
        <f t="shared" si="200"/>
        <v>5850</v>
      </c>
      <c r="V584" s="4">
        <v>3510</v>
      </c>
      <c r="W584" s="4">
        <f t="shared" si="201"/>
        <v>3510</v>
      </c>
      <c r="X584" s="4"/>
      <c r="Y584" s="21">
        <f t="shared" si="202"/>
        <v>5011</v>
      </c>
      <c r="Z584" s="6">
        <f t="shared" si="203"/>
        <v>0.2995410097784873</v>
      </c>
      <c r="AA584" s="4">
        <v>0.25</v>
      </c>
      <c r="AB584" s="4">
        <f t="shared" si="204"/>
        <v>4369</v>
      </c>
      <c r="AC584" s="4">
        <f t="shared" si="215"/>
        <v>4822.3867924528304</v>
      </c>
      <c r="AD584" s="6">
        <f t="shared" si="216"/>
        <v>0.27214465552758071</v>
      </c>
      <c r="AE584" s="4">
        <f t="shared" si="217"/>
        <v>5557.5</v>
      </c>
      <c r="AF584" s="7">
        <v>4822</v>
      </c>
      <c r="AG584" s="6">
        <f t="shared" si="205"/>
        <v>0.2720862712567399</v>
      </c>
      <c r="AH584" s="4">
        <f t="shared" si="206"/>
        <v>1312</v>
      </c>
      <c r="AI584" s="28"/>
      <c r="AJ584" s="6"/>
      <c r="AK584" s="6"/>
      <c r="AL584" s="6">
        <f t="shared" si="207"/>
        <v>1.1037735849056605</v>
      </c>
      <c r="AM584" s="6">
        <f t="shared" si="208"/>
        <v>1.0621145374449339</v>
      </c>
      <c r="AN584" s="6">
        <f t="shared" si="209"/>
        <v>1.1037735849056605</v>
      </c>
      <c r="AO584" s="4" t="str">
        <f t="shared" si="210"/>
        <v>-</v>
      </c>
      <c r="AP584" s="4" t="str">
        <f t="shared" si="211"/>
        <v>-</v>
      </c>
      <c r="AQ584" s="4" t="str">
        <f t="shared" si="212"/>
        <v>-</v>
      </c>
      <c r="AR584" s="4">
        <v>0</v>
      </c>
      <c r="AS584" s="4" t="s">
        <v>2191</v>
      </c>
      <c r="AT584" s="4"/>
      <c r="AU584" s="4"/>
      <c r="AV584" s="4" t="s">
        <v>2192</v>
      </c>
      <c r="AW584" s="4">
        <v>4369</v>
      </c>
      <c r="AX584" s="4">
        <v>4369</v>
      </c>
      <c r="AY584" s="4">
        <v>4369</v>
      </c>
      <c r="AZ584" s="4">
        <f t="shared" si="213"/>
        <v>4369</v>
      </c>
      <c r="BA584" s="19">
        <v>4</v>
      </c>
      <c r="BB584" s="19">
        <v>8</v>
      </c>
      <c r="BC584" s="16">
        <v>18</v>
      </c>
      <c r="BD584" t="s">
        <v>1280</v>
      </c>
      <c r="BE584" t="s">
        <v>1280</v>
      </c>
      <c r="BF584" t="s">
        <v>1280</v>
      </c>
      <c r="BG584" t="str">
        <f t="shared" si="218"/>
        <v>-</v>
      </c>
      <c r="BH584" t="s">
        <v>1280</v>
      </c>
      <c r="BI584" t="s">
        <v>1280</v>
      </c>
      <c r="BJ584" t="s">
        <v>1280</v>
      </c>
      <c r="BK584" t="str">
        <f t="shared" si="219"/>
        <v>-</v>
      </c>
      <c r="BL584" t="s">
        <v>1671</v>
      </c>
      <c r="BM584">
        <v>812</v>
      </c>
    </row>
    <row r="585" spans="1:65" x14ac:dyDescent="0.4">
      <c r="A585" s="3">
        <v>501</v>
      </c>
      <c r="B585" s="3">
        <v>501</v>
      </c>
      <c r="C585" s="4" t="s">
        <v>490</v>
      </c>
      <c r="D585" s="4" t="str">
        <f t="shared" si="198"/>
        <v>J757RZ</v>
      </c>
      <c r="E585" s="4" t="s">
        <v>490</v>
      </c>
      <c r="F585" s="4" t="str">
        <f t="shared" si="214"/>
        <v>J757RZ5</v>
      </c>
      <c r="G585" s="4" t="s">
        <v>1134</v>
      </c>
      <c r="H585" s="5">
        <v>4974268697714</v>
      </c>
      <c r="I585" s="5">
        <v>5</v>
      </c>
      <c r="J585" s="5"/>
      <c r="K585" s="5">
        <v>1</v>
      </c>
      <c r="L585" s="5">
        <v>1</v>
      </c>
      <c r="M585" s="4">
        <v>3900</v>
      </c>
      <c r="N585" s="4">
        <v>3900</v>
      </c>
      <c r="O585" s="4">
        <v>3120</v>
      </c>
      <c r="P585" s="6">
        <f t="shared" si="199"/>
        <v>0.19999999999999996</v>
      </c>
      <c r="Q585" s="4" t="s">
        <v>1280</v>
      </c>
      <c r="R585" s="4" t="s">
        <v>1280</v>
      </c>
      <c r="S585" s="4" t="s">
        <v>1280</v>
      </c>
      <c r="T585" s="4">
        <v>4400</v>
      </c>
      <c r="U585" s="4">
        <f t="shared" si="200"/>
        <v>4400</v>
      </c>
      <c r="V585" s="4">
        <v>3520</v>
      </c>
      <c r="W585" s="4">
        <f t="shared" si="201"/>
        <v>3520</v>
      </c>
      <c r="X585" s="4"/>
      <c r="Y585" s="21">
        <f t="shared" si="202"/>
        <v>4400</v>
      </c>
      <c r="Z585" s="6">
        <f t="shared" si="203"/>
        <v>0.19999999999999996</v>
      </c>
      <c r="AA585" s="4">
        <v>0</v>
      </c>
      <c r="AB585" s="4" t="str">
        <f t="shared" si="204"/>
        <v>-</v>
      </c>
      <c r="AC585" s="4" t="str">
        <f t="shared" si="215"/>
        <v>-</v>
      </c>
      <c r="AD585" s="6" t="str">
        <f t="shared" si="216"/>
        <v>-</v>
      </c>
      <c r="AE585" s="4">
        <f t="shared" si="217"/>
        <v>4180</v>
      </c>
      <c r="AF585" s="7">
        <v>4400</v>
      </c>
      <c r="AG585" s="6">
        <f t="shared" si="205"/>
        <v>0.19999999999999996</v>
      </c>
      <c r="AH585" s="4">
        <f t="shared" si="206"/>
        <v>880</v>
      </c>
      <c r="AI585" s="28"/>
      <c r="AJ585" s="6"/>
      <c r="AK585" s="6"/>
      <c r="AL585" s="6">
        <f t="shared" si="207"/>
        <v>1.1282051282051282</v>
      </c>
      <c r="AM585" s="6">
        <f t="shared" si="208"/>
        <v>1.1282051282051282</v>
      </c>
      <c r="AN585" s="6">
        <f t="shared" si="209"/>
        <v>1.1282051282051282</v>
      </c>
      <c r="AO585" s="4" t="str">
        <f t="shared" si="210"/>
        <v>-</v>
      </c>
      <c r="AP585" s="4" t="str">
        <f t="shared" si="211"/>
        <v>-</v>
      </c>
      <c r="AQ585" s="4" t="str">
        <f t="shared" si="212"/>
        <v>-</v>
      </c>
      <c r="AR585" s="4">
        <v>0</v>
      </c>
      <c r="AS585" s="4" t="s">
        <v>1280</v>
      </c>
      <c r="AT585" s="4"/>
      <c r="AU585" s="4"/>
      <c r="AV585" s="4" t="s">
        <v>1280</v>
      </c>
      <c r="AW585" s="4" t="s">
        <v>1280</v>
      </c>
      <c r="AX585" s="4" t="s">
        <v>1280</v>
      </c>
      <c r="AY585" s="4" t="s">
        <v>1280</v>
      </c>
      <c r="AZ585" s="4" t="str">
        <f t="shared" si="213"/>
        <v>-</v>
      </c>
      <c r="BA585" s="19">
        <v>4</v>
      </c>
      <c r="BB585" s="19">
        <v>8</v>
      </c>
      <c r="BC585" s="16">
        <v>19</v>
      </c>
      <c r="BD585" t="s">
        <v>1280</v>
      </c>
      <c r="BE585" t="s">
        <v>1280</v>
      </c>
      <c r="BF585" t="s">
        <v>1280</v>
      </c>
      <c r="BG585" t="str">
        <f t="shared" si="218"/>
        <v>-</v>
      </c>
      <c r="BH585">
        <v>3900</v>
      </c>
      <c r="BI585">
        <v>3900</v>
      </c>
      <c r="BJ585">
        <v>3900</v>
      </c>
      <c r="BK585">
        <f t="shared" si="219"/>
        <v>4400</v>
      </c>
      <c r="BL585" t="s">
        <v>1280</v>
      </c>
      <c r="BM585">
        <v>812</v>
      </c>
    </row>
    <row r="586" spans="1:65" x14ac:dyDescent="0.4">
      <c r="A586" s="3">
        <v>308</v>
      </c>
      <c r="B586" s="3">
        <v>308</v>
      </c>
      <c r="C586" s="4" t="s">
        <v>297</v>
      </c>
      <c r="D586" s="4" t="str">
        <f t="shared" si="198"/>
        <v>J39060</v>
      </c>
      <c r="E586" s="4" t="s">
        <v>297</v>
      </c>
      <c r="F586" s="4" t="str">
        <f t="shared" si="214"/>
        <v>J390605</v>
      </c>
      <c r="G586" s="4" t="s">
        <v>943</v>
      </c>
      <c r="H586" s="5">
        <v>4974268561121</v>
      </c>
      <c r="I586" s="5">
        <v>5</v>
      </c>
      <c r="J586" s="5"/>
      <c r="K586" s="5">
        <v>1</v>
      </c>
      <c r="L586" s="5">
        <v>1</v>
      </c>
      <c r="M586" s="4">
        <v>5350</v>
      </c>
      <c r="N586" s="4">
        <v>4829</v>
      </c>
      <c r="O586" s="4">
        <v>3210</v>
      </c>
      <c r="P586" s="6">
        <f t="shared" si="199"/>
        <v>0.33526610064195483</v>
      </c>
      <c r="Q586" s="4" t="s">
        <v>1280</v>
      </c>
      <c r="R586" s="4" t="s">
        <v>1280</v>
      </c>
      <c r="S586" s="4" t="s">
        <v>1280</v>
      </c>
      <c r="T586" s="4">
        <v>5900</v>
      </c>
      <c r="U586" s="4">
        <f t="shared" si="200"/>
        <v>5900</v>
      </c>
      <c r="V586" s="4">
        <v>3540</v>
      </c>
      <c r="W586" s="4">
        <f t="shared" si="201"/>
        <v>3540</v>
      </c>
      <c r="X586" s="4"/>
      <c r="Y586" s="21">
        <f t="shared" si="202"/>
        <v>5325</v>
      </c>
      <c r="Z586" s="6">
        <f t="shared" si="203"/>
        <v>0.3352112676056338</v>
      </c>
      <c r="AA586" s="4">
        <v>0</v>
      </c>
      <c r="AB586" s="4" t="str">
        <f t="shared" si="204"/>
        <v>-</v>
      </c>
      <c r="AC586" s="4" t="str">
        <f t="shared" si="215"/>
        <v>-</v>
      </c>
      <c r="AD586" s="6" t="str">
        <f t="shared" si="216"/>
        <v>-</v>
      </c>
      <c r="AE586" s="4">
        <f t="shared" si="217"/>
        <v>5605</v>
      </c>
      <c r="AF586" s="7">
        <v>5500</v>
      </c>
      <c r="AG586" s="6">
        <f t="shared" si="205"/>
        <v>0.35636363636363633</v>
      </c>
      <c r="AH586" s="4">
        <f t="shared" si="206"/>
        <v>1960</v>
      </c>
      <c r="AI586" s="28"/>
      <c r="AJ586" s="6"/>
      <c r="AK586" s="6"/>
      <c r="AL586" s="6">
        <f t="shared" si="207"/>
        <v>1.1028037383177569</v>
      </c>
      <c r="AM586" s="6">
        <f t="shared" si="208"/>
        <v>1.1389521640091116</v>
      </c>
      <c r="AN586" s="6">
        <f t="shared" si="209"/>
        <v>1.1028037383177569</v>
      </c>
      <c r="AO586" s="4" t="str">
        <f t="shared" si="210"/>
        <v>-</v>
      </c>
      <c r="AP586" s="4" t="str">
        <f t="shared" si="211"/>
        <v>-</v>
      </c>
      <c r="AQ586" s="4" t="str">
        <f t="shared" si="212"/>
        <v>-</v>
      </c>
      <c r="AR586" s="4">
        <v>0</v>
      </c>
      <c r="AS586" s="4" t="s">
        <v>1280</v>
      </c>
      <c r="AT586" s="4"/>
      <c r="AU586" s="4"/>
      <c r="AV586" s="4" t="s">
        <v>1280</v>
      </c>
      <c r="AW586" s="4" t="s">
        <v>1280</v>
      </c>
      <c r="AX586" s="4" t="s">
        <v>1280</v>
      </c>
      <c r="AY586" s="4" t="s">
        <v>1280</v>
      </c>
      <c r="AZ586" s="4" t="str">
        <f t="shared" si="213"/>
        <v>-</v>
      </c>
      <c r="BA586" s="19">
        <v>4</v>
      </c>
      <c r="BB586" s="19">
        <v>8</v>
      </c>
      <c r="BC586" s="16">
        <v>18</v>
      </c>
      <c r="BD586" t="s">
        <v>1280</v>
      </c>
      <c r="BE586">
        <v>5350</v>
      </c>
      <c r="BF586" t="s">
        <v>1280</v>
      </c>
      <c r="BG586" t="str">
        <f t="shared" si="218"/>
        <v>-</v>
      </c>
      <c r="BH586">
        <v>5350</v>
      </c>
      <c r="BI586">
        <v>5350</v>
      </c>
      <c r="BJ586">
        <v>5350</v>
      </c>
      <c r="BK586">
        <f t="shared" si="219"/>
        <v>5899.9999999999991</v>
      </c>
      <c r="BL586" t="s">
        <v>1280</v>
      </c>
      <c r="BM586">
        <v>812</v>
      </c>
    </row>
    <row r="587" spans="1:65" x14ac:dyDescent="0.4">
      <c r="A587" s="3">
        <v>312</v>
      </c>
      <c r="B587" s="3">
        <v>312</v>
      </c>
      <c r="C587" s="4" t="s">
        <v>301</v>
      </c>
      <c r="D587" s="4" t="str">
        <f t="shared" si="198"/>
        <v>J39064</v>
      </c>
      <c r="E587" s="4" t="s">
        <v>301</v>
      </c>
      <c r="F587" s="4" t="str">
        <f t="shared" si="214"/>
        <v>J390645</v>
      </c>
      <c r="G587" s="4" t="s">
        <v>947</v>
      </c>
      <c r="H587" s="5">
        <v>4974268561138</v>
      </c>
      <c r="I587" s="5">
        <v>5</v>
      </c>
      <c r="J587" s="5"/>
      <c r="K587" s="5">
        <v>1</v>
      </c>
      <c r="L587" s="5">
        <v>1</v>
      </c>
      <c r="M587" s="4">
        <v>5350</v>
      </c>
      <c r="N587" s="4">
        <v>4229</v>
      </c>
      <c r="O587" s="4">
        <v>3210</v>
      </c>
      <c r="P587" s="6">
        <f t="shared" si="199"/>
        <v>0.24095530858358949</v>
      </c>
      <c r="Q587" s="4" t="s">
        <v>1280</v>
      </c>
      <c r="R587" s="4" t="s">
        <v>1280</v>
      </c>
      <c r="S587" s="4" t="s">
        <v>1280</v>
      </c>
      <c r="T587" s="4">
        <v>5900</v>
      </c>
      <c r="U587" s="4">
        <f t="shared" si="200"/>
        <v>5900</v>
      </c>
      <c r="V587" s="4">
        <v>3540</v>
      </c>
      <c r="W587" s="4">
        <f t="shared" si="201"/>
        <v>3540</v>
      </c>
      <c r="X587" s="4"/>
      <c r="Y587" s="21">
        <f t="shared" si="202"/>
        <v>4664</v>
      </c>
      <c r="Z587" s="6">
        <f t="shared" si="203"/>
        <v>0.24099485420240141</v>
      </c>
      <c r="AA587" s="4">
        <v>0</v>
      </c>
      <c r="AB587" s="4" t="str">
        <f t="shared" si="204"/>
        <v>-</v>
      </c>
      <c r="AC587" s="4" t="str">
        <f t="shared" si="215"/>
        <v>-</v>
      </c>
      <c r="AD587" s="6" t="str">
        <f t="shared" si="216"/>
        <v>-</v>
      </c>
      <c r="AE587" s="4">
        <f t="shared" si="217"/>
        <v>5605</v>
      </c>
      <c r="AF587" s="7">
        <v>5500</v>
      </c>
      <c r="AG587" s="6">
        <f t="shared" si="205"/>
        <v>0.35636363636363633</v>
      </c>
      <c r="AH587" s="4">
        <f t="shared" si="206"/>
        <v>1960</v>
      </c>
      <c r="AI587" s="28"/>
      <c r="AJ587" s="6"/>
      <c r="AK587" s="6"/>
      <c r="AL587" s="6">
        <f t="shared" si="207"/>
        <v>1.1028037383177569</v>
      </c>
      <c r="AM587" s="6">
        <f t="shared" si="208"/>
        <v>1.3005438637975881</v>
      </c>
      <c r="AN587" s="6">
        <f t="shared" si="209"/>
        <v>1.1028037383177569</v>
      </c>
      <c r="AO587" s="4" t="str">
        <f t="shared" si="210"/>
        <v>-</v>
      </c>
      <c r="AP587" s="4" t="str">
        <f t="shared" si="211"/>
        <v>-</v>
      </c>
      <c r="AQ587" s="4" t="str">
        <f t="shared" si="212"/>
        <v>-</v>
      </c>
      <c r="AR587" s="4">
        <v>0</v>
      </c>
      <c r="AS587" s="4" t="s">
        <v>1280</v>
      </c>
      <c r="AT587" s="4"/>
      <c r="AU587" s="4"/>
      <c r="AV587" s="4" t="s">
        <v>1280</v>
      </c>
      <c r="AW587" s="4" t="s">
        <v>1280</v>
      </c>
      <c r="AX587" s="4" t="s">
        <v>1280</v>
      </c>
      <c r="AY587" s="4" t="s">
        <v>1280</v>
      </c>
      <c r="AZ587" s="4" t="str">
        <f t="shared" si="213"/>
        <v>-</v>
      </c>
      <c r="BA587" s="19">
        <v>4</v>
      </c>
      <c r="BB587" s="19">
        <v>8</v>
      </c>
      <c r="BC587" s="16">
        <v>18</v>
      </c>
      <c r="BD587">
        <v>5350</v>
      </c>
      <c r="BE587">
        <v>5350</v>
      </c>
      <c r="BF587">
        <v>5350</v>
      </c>
      <c r="BG587">
        <f t="shared" si="218"/>
        <v>5899.9999999999991</v>
      </c>
      <c r="BH587">
        <v>5350</v>
      </c>
      <c r="BI587">
        <v>5350</v>
      </c>
      <c r="BJ587">
        <v>5350</v>
      </c>
      <c r="BK587">
        <f t="shared" si="219"/>
        <v>5899.9999999999991</v>
      </c>
      <c r="BL587" t="s">
        <v>1280</v>
      </c>
      <c r="BM587">
        <v>812</v>
      </c>
    </row>
    <row r="588" spans="1:65" x14ac:dyDescent="0.4">
      <c r="A588" s="3">
        <v>455</v>
      </c>
      <c r="B588" s="3">
        <v>455</v>
      </c>
      <c r="C588" s="4" t="s">
        <v>444</v>
      </c>
      <c r="D588" s="4" t="str">
        <f t="shared" si="198"/>
        <v>J54532</v>
      </c>
      <c r="E588" s="4" t="s">
        <v>444</v>
      </c>
      <c r="F588" s="4" t="str">
        <f t="shared" si="214"/>
        <v>J545325</v>
      </c>
      <c r="G588" s="4" t="s">
        <v>1088</v>
      </c>
      <c r="H588" s="5">
        <v>4974268561145</v>
      </c>
      <c r="I588" s="5">
        <v>5</v>
      </c>
      <c r="J588" s="5"/>
      <c r="K588" s="5">
        <v>1</v>
      </c>
      <c r="L588" s="5">
        <v>1</v>
      </c>
      <c r="M588" s="4">
        <v>5350</v>
      </c>
      <c r="N588" s="4">
        <v>4171</v>
      </c>
      <c r="O588" s="4">
        <v>3210</v>
      </c>
      <c r="P588" s="6">
        <f t="shared" si="199"/>
        <v>0.23040038360105486</v>
      </c>
      <c r="Q588" s="4" t="s">
        <v>1280</v>
      </c>
      <c r="R588" s="4" t="s">
        <v>1280</v>
      </c>
      <c r="S588" s="4" t="s">
        <v>1280</v>
      </c>
      <c r="T588" s="4">
        <v>5900</v>
      </c>
      <c r="U588" s="4">
        <f t="shared" si="200"/>
        <v>5900</v>
      </c>
      <c r="V588" s="4">
        <v>3540</v>
      </c>
      <c r="W588" s="4">
        <f t="shared" si="201"/>
        <v>3540</v>
      </c>
      <c r="X588" s="4"/>
      <c r="Y588" s="21">
        <f t="shared" si="202"/>
        <v>4600</v>
      </c>
      <c r="Z588" s="6">
        <f t="shared" si="203"/>
        <v>0.23043478260869565</v>
      </c>
      <c r="AA588" s="4">
        <v>0</v>
      </c>
      <c r="AB588" s="4" t="str">
        <f t="shared" si="204"/>
        <v>-</v>
      </c>
      <c r="AC588" s="4" t="str">
        <f t="shared" si="215"/>
        <v>-</v>
      </c>
      <c r="AD588" s="6" t="str">
        <f t="shared" si="216"/>
        <v>-</v>
      </c>
      <c r="AE588" s="4">
        <f t="shared" si="217"/>
        <v>5605</v>
      </c>
      <c r="AF588" s="7">
        <v>5500</v>
      </c>
      <c r="AG588" s="6">
        <f t="shared" si="205"/>
        <v>0.35636363636363633</v>
      </c>
      <c r="AH588" s="4">
        <f t="shared" si="206"/>
        <v>1960</v>
      </c>
      <c r="AI588" s="28"/>
      <c r="AJ588" s="6"/>
      <c r="AK588" s="6"/>
      <c r="AL588" s="6">
        <f t="shared" si="207"/>
        <v>1.1028037383177569</v>
      </c>
      <c r="AM588" s="6">
        <f t="shared" si="208"/>
        <v>1.3186286262287221</v>
      </c>
      <c r="AN588" s="6">
        <f t="shared" si="209"/>
        <v>1.1028037383177569</v>
      </c>
      <c r="AO588" s="4" t="str">
        <f t="shared" si="210"/>
        <v>-</v>
      </c>
      <c r="AP588" s="4" t="str">
        <f t="shared" si="211"/>
        <v>-</v>
      </c>
      <c r="AQ588" s="4" t="str">
        <f t="shared" si="212"/>
        <v>-</v>
      </c>
      <c r="AR588" s="4">
        <v>0</v>
      </c>
      <c r="AS588" s="4" t="s">
        <v>1280</v>
      </c>
      <c r="AT588" s="4"/>
      <c r="AU588" s="4"/>
      <c r="AV588" s="4" t="s">
        <v>1280</v>
      </c>
      <c r="AW588" s="4" t="s">
        <v>1280</v>
      </c>
      <c r="AX588" s="4" t="s">
        <v>1280</v>
      </c>
      <c r="AY588" s="4" t="s">
        <v>1280</v>
      </c>
      <c r="AZ588" s="4" t="str">
        <f t="shared" si="213"/>
        <v>-</v>
      </c>
      <c r="BA588" s="19">
        <v>4</v>
      </c>
      <c r="BB588" s="19">
        <v>8</v>
      </c>
      <c r="BC588" s="16">
        <v>18</v>
      </c>
      <c r="BD588">
        <v>5350</v>
      </c>
      <c r="BE588">
        <v>5350</v>
      </c>
      <c r="BF588">
        <v>5350</v>
      </c>
      <c r="BG588">
        <f t="shared" si="218"/>
        <v>5899.9999999999991</v>
      </c>
      <c r="BH588">
        <v>5350</v>
      </c>
      <c r="BI588">
        <v>5350</v>
      </c>
      <c r="BJ588">
        <v>5350</v>
      </c>
      <c r="BK588">
        <f t="shared" si="219"/>
        <v>5899.9999999999991</v>
      </c>
      <c r="BL588" t="s">
        <v>1280</v>
      </c>
      <c r="BM588">
        <v>812</v>
      </c>
    </row>
    <row r="589" spans="1:65" x14ac:dyDescent="0.4">
      <c r="A589" s="32">
        <v>64</v>
      </c>
      <c r="B589" s="3">
        <v>64</v>
      </c>
      <c r="C589" s="4" t="s">
        <v>60</v>
      </c>
      <c r="D589" s="4" t="str">
        <f t="shared" si="198"/>
        <v>7904AM</v>
      </c>
      <c r="E589" s="4" t="s">
        <v>60</v>
      </c>
      <c r="F589" s="4" t="str">
        <f t="shared" si="214"/>
        <v>7904AM5</v>
      </c>
      <c r="G589" s="4" t="s">
        <v>699</v>
      </c>
      <c r="H589" s="5">
        <v>4974268832504</v>
      </c>
      <c r="I589" s="5">
        <v>5</v>
      </c>
      <c r="J589" s="5"/>
      <c r="K589" s="5">
        <v>1</v>
      </c>
      <c r="L589" s="5">
        <v>1</v>
      </c>
      <c r="M589" s="4">
        <v>5400</v>
      </c>
      <c r="N589" s="4">
        <v>4253</v>
      </c>
      <c r="O589" s="4">
        <v>3240</v>
      </c>
      <c r="P589" s="6">
        <f t="shared" si="199"/>
        <v>0.23818481072184339</v>
      </c>
      <c r="Q589" s="4" t="s">
        <v>1280</v>
      </c>
      <c r="R589" s="4" t="s">
        <v>1280</v>
      </c>
      <c r="S589" s="4" t="s">
        <v>1280</v>
      </c>
      <c r="T589" s="4">
        <v>6000</v>
      </c>
      <c r="U589" s="4">
        <f t="shared" si="200"/>
        <v>6000</v>
      </c>
      <c r="V589" s="4">
        <v>3600</v>
      </c>
      <c r="W589" s="4">
        <f t="shared" si="201"/>
        <v>3600</v>
      </c>
      <c r="X589" s="4"/>
      <c r="Y589" s="21">
        <f t="shared" si="202"/>
        <v>4726</v>
      </c>
      <c r="Z589" s="6">
        <f t="shared" si="203"/>
        <v>0.23825645366060089</v>
      </c>
      <c r="AA589" s="4">
        <v>0.25</v>
      </c>
      <c r="AB589" s="4" t="str">
        <f t="shared" si="204"/>
        <v>-</v>
      </c>
      <c r="AC589" s="4" t="str">
        <f t="shared" si="215"/>
        <v>-</v>
      </c>
      <c r="AD589" s="6" t="str">
        <f t="shared" si="216"/>
        <v>-</v>
      </c>
      <c r="AE589" s="4">
        <f t="shared" si="217"/>
        <v>5700</v>
      </c>
      <c r="AF589" s="7">
        <v>4740</v>
      </c>
      <c r="AG589" s="6">
        <f t="shared" si="205"/>
        <v>0.240506329113924</v>
      </c>
      <c r="AH589" s="4">
        <f t="shared" si="206"/>
        <v>1140</v>
      </c>
      <c r="AI589" s="28"/>
      <c r="AJ589" s="6"/>
      <c r="AK589" s="6"/>
      <c r="AL589" s="6">
        <f t="shared" si="207"/>
        <v>1.1111111111111112</v>
      </c>
      <c r="AM589" s="6">
        <f t="shared" si="208"/>
        <v>1.1145074065365623</v>
      </c>
      <c r="AN589" s="6">
        <f t="shared" si="209"/>
        <v>1.1111111111111112</v>
      </c>
      <c r="AO589" s="4" t="str">
        <f t="shared" si="210"/>
        <v>-</v>
      </c>
      <c r="AP589" s="4" t="str">
        <f t="shared" si="211"/>
        <v>-</v>
      </c>
      <c r="AQ589" s="4" t="str">
        <f t="shared" si="212"/>
        <v>-</v>
      </c>
      <c r="AR589" s="4">
        <v>0</v>
      </c>
      <c r="AS589" s="4" t="s">
        <v>1280</v>
      </c>
      <c r="AT589" s="4"/>
      <c r="AU589" s="4"/>
      <c r="AV589" s="4" t="s">
        <v>1280</v>
      </c>
      <c r="AW589" s="4" t="s">
        <v>1280</v>
      </c>
      <c r="AX589" s="4" t="s">
        <v>1280</v>
      </c>
      <c r="AY589" s="4" t="s">
        <v>1280</v>
      </c>
      <c r="AZ589" s="4" t="str">
        <f t="shared" si="213"/>
        <v>-</v>
      </c>
      <c r="BA589" s="19">
        <v>2</v>
      </c>
      <c r="BB589" s="19">
        <v>1</v>
      </c>
      <c r="BC589" s="16">
        <v>18</v>
      </c>
      <c r="BD589" t="s">
        <v>1280</v>
      </c>
      <c r="BE589" t="s">
        <v>1280</v>
      </c>
      <c r="BF589" t="s">
        <v>1280</v>
      </c>
      <c r="BG589" t="str">
        <f t="shared" si="218"/>
        <v>-</v>
      </c>
      <c r="BH589">
        <v>4267</v>
      </c>
      <c r="BI589">
        <v>4267</v>
      </c>
      <c r="BJ589">
        <v>4267</v>
      </c>
      <c r="BK589">
        <f t="shared" si="219"/>
        <v>4741.1111111111113</v>
      </c>
      <c r="BL589" t="s">
        <v>1280</v>
      </c>
      <c r="BM589">
        <v>812</v>
      </c>
    </row>
    <row r="590" spans="1:65" x14ac:dyDescent="0.4">
      <c r="A590" s="32">
        <v>435</v>
      </c>
      <c r="B590" s="3">
        <v>435</v>
      </c>
      <c r="C590" s="4" t="s">
        <v>424</v>
      </c>
      <c r="D590" s="4" t="str">
        <f t="shared" si="198"/>
        <v>J54500</v>
      </c>
      <c r="E590" s="4" t="s">
        <v>424</v>
      </c>
      <c r="F590" s="4" t="str">
        <f t="shared" si="214"/>
        <v>J545005</v>
      </c>
      <c r="G590" s="4" t="s">
        <v>1068</v>
      </c>
      <c r="H590" s="5">
        <v>4974268832511</v>
      </c>
      <c r="I590" s="5">
        <v>5</v>
      </c>
      <c r="J590" s="5"/>
      <c r="K590" s="5">
        <v>1</v>
      </c>
      <c r="L590" s="5">
        <v>1</v>
      </c>
      <c r="M590" s="4">
        <v>5400</v>
      </c>
      <c r="N590" s="4">
        <v>5230</v>
      </c>
      <c r="O590" s="4">
        <v>3240</v>
      </c>
      <c r="P590" s="6">
        <f t="shared" si="199"/>
        <v>0.3804971319311663</v>
      </c>
      <c r="Q590" s="4">
        <v>4980</v>
      </c>
      <c r="R590" s="4">
        <v>10</v>
      </c>
      <c r="S590" s="4">
        <v>99999</v>
      </c>
      <c r="T590" s="4">
        <v>6000</v>
      </c>
      <c r="U590" s="4">
        <f t="shared" si="200"/>
        <v>6000</v>
      </c>
      <c r="V590" s="4">
        <v>3600</v>
      </c>
      <c r="W590" s="4">
        <f t="shared" si="201"/>
        <v>3600</v>
      </c>
      <c r="X590" s="4"/>
      <c r="Y590" s="21">
        <f t="shared" si="202"/>
        <v>5811</v>
      </c>
      <c r="Z590" s="6">
        <f t="shared" si="203"/>
        <v>0.38048528652555502</v>
      </c>
      <c r="AA590" s="4">
        <v>2.5</v>
      </c>
      <c r="AB590" s="4">
        <f t="shared" si="204"/>
        <v>4599</v>
      </c>
      <c r="AC590" s="4">
        <f t="shared" si="215"/>
        <v>5110</v>
      </c>
      <c r="AD590" s="6">
        <f t="shared" si="216"/>
        <v>0.29549902152641883</v>
      </c>
      <c r="AE590" s="4">
        <f t="shared" si="217"/>
        <v>5700</v>
      </c>
      <c r="AF590" s="7">
        <v>4740</v>
      </c>
      <c r="AG590" s="6">
        <f t="shared" si="205"/>
        <v>0.240506329113924</v>
      </c>
      <c r="AH590" s="4">
        <f t="shared" si="206"/>
        <v>1140</v>
      </c>
      <c r="AI590" s="28"/>
      <c r="AJ590" s="6"/>
      <c r="AK590" s="6"/>
      <c r="AL590" s="6">
        <f t="shared" si="207"/>
        <v>1.1111111111111112</v>
      </c>
      <c r="AM590" s="6">
        <f t="shared" si="208"/>
        <v>0.90630975143403447</v>
      </c>
      <c r="AN590" s="6">
        <f t="shared" si="209"/>
        <v>1.1111111111111112</v>
      </c>
      <c r="AO590" s="4">
        <f t="shared" si="210"/>
        <v>4513</v>
      </c>
      <c r="AP590" s="4">
        <f t="shared" si="211"/>
        <v>10</v>
      </c>
      <c r="AQ590" s="4">
        <f t="shared" si="212"/>
        <v>99999</v>
      </c>
      <c r="AR590" s="4">
        <v>0</v>
      </c>
      <c r="AS590" s="4" t="s">
        <v>1994</v>
      </c>
      <c r="AT590" s="4"/>
      <c r="AU590" s="4"/>
      <c r="AV590" s="4" t="s">
        <v>1971</v>
      </c>
      <c r="AW590" s="4">
        <v>4599</v>
      </c>
      <c r="AX590" s="4">
        <v>4599</v>
      </c>
      <c r="AY590" s="4">
        <v>4599</v>
      </c>
      <c r="AZ590" s="4">
        <f t="shared" si="213"/>
        <v>4599</v>
      </c>
      <c r="BA590" s="19">
        <v>2</v>
      </c>
      <c r="BB590" s="19">
        <v>8</v>
      </c>
      <c r="BC590" s="16">
        <v>18</v>
      </c>
      <c r="BD590" t="s">
        <v>1280</v>
      </c>
      <c r="BE590" t="s">
        <v>1280</v>
      </c>
      <c r="BF590" t="s">
        <v>1280</v>
      </c>
      <c r="BG590" t="str">
        <f t="shared" si="218"/>
        <v>-</v>
      </c>
      <c r="BH590">
        <v>4262</v>
      </c>
      <c r="BI590">
        <v>4262</v>
      </c>
      <c r="BJ590">
        <v>4262</v>
      </c>
      <c r="BK590">
        <f t="shared" si="219"/>
        <v>4735.5555555555557</v>
      </c>
      <c r="BL590" t="s">
        <v>1515</v>
      </c>
      <c r="BM590">
        <v>812</v>
      </c>
    </row>
    <row r="591" spans="1:65" x14ac:dyDescent="0.4">
      <c r="A591" s="32">
        <v>436</v>
      </c>
      <c r="B591" s="3">
        <v>436</v>
      </c>
      <c r="C591" s="4" t="s">
        <v>425</v>
      </c>
      <c r="D591" s="4" t="str">
        <f t="shared" si="198"/>
        <v>J54501</v>
      </c>
      <c r="E591" s="4" t="s">
        <v>425</v>
      </c>
      <c r="F591" s="4" t="str">
        <f t="shared" si="214"/>
        <v>J545015</v>
      </c>
      <c r="G591" s="4" t="s">
        <v>1069</v>
      </c>
      <c r="H591" s="5">
        <v>4974268832535</v>
      </c>
      <c r="I591" s="5">
        <v>5</v>
      </c>
      <c r="J591" s="5"/>
      <c r="K591" s="5">
        <v>1</v>
      </c>
      <c r="L591" s="5">
        <v>1</v>
      </c>
      <c r="M591" s="4">
        <v>5400</v>
      </c>
      <c r="N591" s="4">
        <v>4620</v>
      </c>
      <c r="O591" s="4">
        <v>3240</v>
      </c>
      <c r="P591" s="6">
        <f t="shared" si="199"/>
        <v>0.29870129870129869</v>
      </c>
      <c r="Q591" s="4" t="s">
        <v>1280</v>
      </c>
      <c r="R591" s="4" t="s">
        <v>1280</v>
      </c>
      <c r="S591" s="4" t="s">
        <v>1280</v>
      </c>
      <c r="T591" s="4">
        <v>6000</v>
      </c>
      <c r="U591" s="4">
        <f t="shared" si="200"/>
        <v>6000</v>
      </c>
      <c r="V591" s="4">
        <v>3600</v>
      </c>
      <c r="W591" s="4">
        <f t="shared" si="201"/>
        <v>3600</v>
      </c>
      <c r="X591" s="4"/>
      <c r="Y591" s="21">
        <f t="shared" si="202"/>
        <v>5133</v>
      </c>
      <c r="Z591" s="6">
        <f t="shared" si="203"/>
        <v>0.29865575686732904</v>
      </c>
      <c r="AA591" s="4">
        <v>0.25</v>
      </c>
      <c r="AB591" s="4">
        <f t="shared" si="204"/>
        <v>4900</v>
      </c>
      <c r="AC591" s="4">
        <f t="shared" si="215"/>
        <v>5444.4444444444443</v>
      </c>
      <c r="AD591" s="6">
        <f t="shared" si="216"/>
        <v>0.33877551020408159</v>
      </c>
      <c r="AE591" s="4">
        <f t="shared" si="217"/>
        <v>5700</v>
      </c>
      <c r="AF591" s="7">
        <v>4740</v>
      </c>
      <c r="AG591" s="6">
        <f t="shared" si="205"/>
        <v>0.240506329113924</v>
      </c>
      <c r="AH591" s="4">
        <f t="shared" si="206"/>
        <v>1140</v>
      </c>
      <c r="AI591" s="28"/>
      <c r="AJ591" s="6"/>
      <c r="AK591" s="6"/>
      <c r="AL591" s="6">
        <f t="shared" si="207"/>
        <v>1.1111111111111112</v>
      </c>
      <c r="AM591" s="6">
        <f t="shared" si="208"/>
        <v>1.025974025974026</v>
      </c>
      <c r="AN591" s="6">
        <f t="shared" si="209"/>
        <v>1.1111111111111112</v>
      </c>
      <c r="AO591" s="4" t="str">
        <f t="shared" si="210"/>
        <v>-</v>
      </c>
      <c r="AP591" s="4" t="str">
        <f t="shared" si="211"/>
        <v>-</v>
      </c>
      <c r="AQ591" s="4" t="str">
        <f t="shared" si="212"/>
        <v>-</v>
      </c>
      <c r="AR591" s="4">
        <v>0</v>
      </c>
      <c r="AS591" s="4" t="s">
        <v>1995</v>
      </c>
      <c r="AT591" s="4"/>
      <c r="AU591" s="4"/>
      <c r="AV591" s="4" t="s">
        <v>1697</v>
      </c>
      <c r="AW591" s="4">
        <v>4900</v>
      </c>
      <c r="AX591" s="4">
        <v>4900</v>
      </c>
      <c r="AY591" s="4">
        <v>4900</v>
      </c>
      <c r="AZ591" s="4">
        <f t="shared" si="213"/>
        <v>4900</v>
      </c>
      <c r="BA591" s="19">
        <v>2</v>
      </c>
      <c r="BB591" s="19">
        <v>8</v>
      </c>
      <c r="BC591" s="16">
        <v>18</v>
      </c>
      <c r="BD591">
        <v>4909</v>
      </c>
      <c r="BE591">
        <v>4909</v>
      </c>
      <c r="BF591">
        <v>4909</v>
      </c>
      <c r="BG591">
        <f t="shared" si="218"/>
        <v>5454.4444444444443</v>
      </c>
      <c r="BH591">
        <v>4266</v>
      </c>
      <c r="BI591">
        <v>4266</v>
      </c>
      <c r="BJ591">
        <v>4266</v>
      </c>
      <c r="BK591">
        <f t="shared" si="219"/>
        <v>4740</v>
      </c>
      <c r="BL591" t="s">
        <v>1516</v>
      </c>
      <c r="BM591">
        <v>812</v>
      </c>
    </row>
    <row r="592" spans="1:65" x14ac:dyDescent="0.4">
      <c r="A592" s="32">
        <v>439</v>
      </c>
      <c r="B592" s="3">
        <v>439</v>
      </c>
      <c r="C592" s="4" t="s">
        <v>428</v>
      </c>
      <c r="D592" s="4" t="str">
        <f t="shared" si="198"/>
        <v>J54504</v>
      </c>
      <c r="E592" s="4" t="s">
        <v>428</v>
      </c>
      <c r="F592" s="4" t="str">
        <f t="shared" si="214"/>
        <v>J545045</v>
      </c>
      <c r="G592" s="4" t="s">
        <v>1072</v>
      </c>
      <c r="H592" s="5">
        <v>4974268832719</v>
      </c>
      <c r="I592" s="5">
        <v>5</v>
      </c>
      <c r="J592" s="5"/>
      <c r="K592" s="5">
        <v>1</v>
      </c>
      <c r="L592" s="5">
        <v>1</v>
      </c>
      <c r="M592" s="4">
        <v>5400</v>
      </c>
      <c r="N592" s="4">
        <v>5178</v>
      </c>
      <c r="O592" s="4">
        <v>3240</v>
      </c>
      <c r="P592" s="6">
        <f t="shared" si="199"/>
        <v>0.37427578215527235</v>
      </c>
      <c r="Q592" s="4" t="s">
        <v>1280</v>
      </c>
      <c r="R592" s="4" t="s">
        <v>1280</v>
      </c>
      <c r="S592" s="4" t="s">
        <v>1280</v>
      </c>
      <c r="T592" s="4">
        <v>6000</v>
      </c>
      <c r="U592" s="4">
        <f t="shared" si="200"/>
        <v>6000</v>
      </c>
      <c r="V592" s="4">
        <v>3600</v>
      </c>
      <c r="W592" s="4">
        <f t="shared" si="201"/>
        <v>3600</v>
      </c>
      <c r="X592" s="4"/>
      <c r="Y592" s="21">
        <f t="shared" si="202"/>
        <v>5753</v>
      </c>
      <c r="Z592" s="6">
        <f t="shared" si="203"/>
        <v>0.37423952720319831</v>
      </c>
      <c r="AA592" s="4">
        <v>0.25</v>
      </c>
      <c r="AB592" s="4" t="str">
        <f t="shared" si="204"/>
        <v>-</v>
      </c>
      <c r="AC592" s="4" t="str">
        <f t="shared" si="215"/>
        <v>-</v>
      </c>
      <c r="AD592" s="6" t="str">
        <f t="shared" si="216"/>
        <v>-</v>
      </c>
      <c r="AE592" s="4">
        <f t="shared" si="217"/>
        <v>5700</v>
      </c>
      <c r="AF592" s="7">
        <v>4740</v>
      </c>
      <c r="AG592" s="6">
        <f t="shared" si="205"/>
        <v>0.240506329113924</v>
      </c>
      <c r="AH592" s="4">
        <f t="shared" si="206"/>
        <v>1140</v>
      </c>
      <c r="AI592" s="28"/>
      <c r="AJ592" s="6"/>
      <c r="AK592" s="6"/>
      <c r="AL592" s="6">
        <f t="shared" si="207"/>
        <v>1.1111111111111112</v>
      </c>
      <c r="AM592" s="6">
        <f t="shared" si="208"/>
        <v>0.91541135573580534</v>
      </c>
      <c r="AN592" s="6">
        <f t="shared" si="209"/>
        <v>1.1111111111111112</v>
      </c>
      <c r="AO592" s="4" t="str">
        <f t="shared" si="210"/>
        <v>-</v>
      </c>
      <c r="AP592" s="4" t="str">
        <f t="shared" si="211"/>
        <v>-</v>
      </c>
      <c r="AQ592" s="4" t="str">
        <f t="shared" si="212"/>
        <v>-</v>
      </c>
      <c r="AR592" s="4">
        <v>0</v>
      </c>
      <c r="AS592" s="4" t="s">
        <v>1280</v>
      </c>
      <c r="AT592" s="4"/>
      <c r="AU592" s="4"/>
      <c r="AV592" s="4" t="s">
        <v>1280</v>
      </c>
      <c r="AW592" s="4" t="s">
        <v>1280</v>
      </c>
      <c r="AX592" s="4" t="s">
        <v>1280</v>
      </c>
      <c r="AY592" s="4" t="s">
        <v>1280</v>
      </c>
      <c r="AZ592" s="4" t="str">
        <f t="shared" si="213"/>
        <v>-</v>
      </c>
      <c r="BA592" s="19">
        <v>2</v>
      </c>
      <c r="BB592" s="19">
        <v>8</v>
      </c>
      <c r="BC592" s="16">
        <v>18</v>
      </c>
      <c r="BD592" t="s">
        <v>1280</v>
      </c>
      <c r="BE592" t="s">
        <v>1280</v>
      </c>
      <c r="BF592" t="s">
        <v>1280</v>
      </c>
      <c r="BG592" t="str">
        <f t="shared" si="218"/>
        <v>-</v>
      </c>
      <c r="BH592">
        <v>4266</v>
      </c>
      <c r="BI592">
        <v>4266</v>
      </c>
      <c r="BJ592">
        <v>4266</v>
      </c>
      <c r="BK592">
        <f t="shared" si="219"/>
        <v>4740</v>
      </c>
      <c r="BL592" t="s">
        <v>1280</v>
      </c>
      <c r="BM592">
        <v>812</v>
      </c>
    </row>
    <row r="593" spans="1:65" x14ac:dyDescent="0.4">
      <c r="A593" s="3">
        <v>631</v>
      </c>
      <c r="B593" s="3">
        <v>631</v>
      </c>
      <c r="C593" s="4" t="s">
        <v>620</v>
      </c>
      <c r="D593" s="4" t="str">
        <f t="shared" si="198"/>
        <v>J973WN</v>
      </c>
      <c r="E593" s="4" t="s">
        <v>620</v>
      </c>
      <c r="F593" s="4" t="str">
        <f t="shared" si="214"/>
        <v>J973WN5</v>
      </c>
      <c r="G593" s="4" t="s">
        <v>1264</v>
      </c>
      <c r="H593" s="5">
        <v>4974268572349</v>
      </c>
      <c r="I593" s="5">
        <v>5</v>
      </c>
      <c r="J593" s="5"/>
      <c r="K593" s="5">
        <v>1</v>
      </c>
      <c r="L593" s="5">
        <v>1</v>
      </c>
      <c r="M593" s="4">
        <v>5600</v>
      </c>
      <c r="N593" s="4">
        <v>4800</v>
      </c>
      <c r="O593" s="4">
        <v>3360</v>
      </c>
      <c r="P593" s="6">
        <f t="shared" si="199"/>
        <v>0.30000000000000004</v>
      </c>
      <c r="Q593" s="4" t="s">
        <v>1280</v>
      </c>
      <c r="R593" s="4" t="s">
        <v>1280</v>
      </c>
      <c r="S593" s="4" t="s">
        <v>1280</v>
      </c>
      <c r="T593" s="4">
        <v>6000</v>
      </c>
      <c r="U593" s="4">
        <f t="shared" si="200"/>
        <v>6000</v>
      </c>
      <c r="V593" s="4">
        <v>3600</v>
      </c>
      <c r="W593" s="4">
        <f t="shared" si="201"/>
        <v>3600</v>
      </c>
      <c r="X593" s="4"/>
      <c r="Y593" s="21">
        <f t="shared" si="202"/>
        <v>5143</v>
      </c>
      <c r="Z593" s="6">
        <f t="shared" si="203"/>
        <v>0.30001944390433599</v>
      </c>
      <c r="AA593" s="4">
        <v>0</v>
      </c>
      <c r="AB593" s="4" t="str">
        <f t="shared" si="204"/>
        <v>-</v>
      </c>
      <c r="AC593" s="4" t="str">
        <f t="shared" si="215"/>
        <v>-</v>
      </c>
      <c r="AD593" s="6" t="str">
        <f t="shared" si="216"/>
        <v>-</v>
      </c>
      <c r="AE593" s="4">
        <f t="shared" si="217"/>
        <v>5700</v>
      </c>
      <c r="AF593" s="7">
        <v>5450</v>
      </c>
      <c r="AG593" s="6">
        <f t="shared" si="205"/>
        <v>0.33944954128440363</v>
      </c>
      <c r="AH593" s="4">
        <f t="shared" si="206"/>
        <v>1850</v>
      </c>
      <c r="AI593" s="28"/>
      <c r="AJ593" s="6"/>
      <c r="AK593" s="6"/>
      <c r="AL593" s="6">
        <f t="shared" si="207"/>
        <v>1.0714285714285714</v>
      </c>
      <c r="AM593" s="6">
        <f t="shared" si="208"/>
        <v>1.1354166666666667</v>
      </c>
      <c r="AN593" s="6">
        <f t="shared" si="209"/>
        <v>1.0714285714285714</v>
      </c>
      <c r="AO593" s="4" t="str">
        <f t="shared" si="210"/>
        <v>-</v>
      </c>
      <c r="AP593" s="4" t="str">
        <f t="shared" si="211"/>
        <v>-</v>
      </c>
      <c r="AQ593" s="4" t="str">
        <f t="shared" si="212"/>
        <v>-</v>
      </c>
      <c r="AR593" s="4">
        <v>0</v>
      </c>
      <c r="AS593" s="4" t="s">
        <v>1280</v>
      </c>
      <c r="AT593" s="4"/>
      <c r="AU593" s="4"/>
      <c r="AV593" s="4" t="s">
        <v>1280</v>
      </c>
      <c r="AW593" s="4" t="s">
        <v>1280</v>
      </c>
      <c r="AX593" s="4" t="s">
        <v>1280</v>
      </c>
      <c r="AY593" s="4" t="s">
        <v>1280</v>
      </c>
      <c r="AZ593" s="4" t="str">
        <f t="shared" si="213"/>
        <v>-</v>
      </c>
      <c r="BA593" s="19">
        <v>4</v>
      </c>
      <c r="BB593" s="19">
        <v>8</v>
      </c>
      <c r="BC593" s="16">
        <v>18</v>
      </c>
      <c r="BD593" t="s">
        <v>1280</v>
      </c>
      <c r="BE593" t="s">
        <v>1280</v>
      </c>
      <c r="BF593" t="s">
        <v>1280</v>
      </c>
      <c r="BG593" t="str">
        <f t="shared" si="218"/>
        <v>-</v>
      </c>
      <c r="BH593">
        <v>5090</v>
      </c>
      <c r="BI593">
        <v>5090</v>
      </c>
      <c r="BJ593">
        <v>5090</v>
      </c>
      <c r="BK593">
        <f t="shared" si="219"/>
        <v>5453.5714285714284</v>
      </c>
      <c r="BL593" t="s">
        <v>1280</v>
      </c>
      <c r="BM593">
        <v>812</v>
      </c>
    </row>
    <row r="594" spans="1:65" x14ac:dyDescent="0.4">
      <c r="A594" s="32">
        <v>441</v>
      </c>
      <c r="B594" s="3">
        <v>441</v>
      </c>
      <c r="C594" s="4" t="s">
        <v>430</v>
      </c>
      <c r="D594" s="4" t="str">
        <f t="shared" si="198"/>
        <v>J54506</v>
      </c>
      <c r="E594" s="4" t="s">
        <v>430</v>
      </c>
      <c r="F594" s="4" t="str">
        <f t="shared" si="214"/>
        <v>J545065</v>
      </c>
      <c r="G594" s="4" t="s">
        <v>1074</v>
      </c>
      <c r="H594" s="5">
        <v>4974268832795</v>
      </c>
      <c r="I594" s="5">
        <v>5</v>
      </c>
      <c r="J594" s="5"/>
      <c r="K594" s="5">
        <v>1</v>
      </c>
      <c r="L594" s="5">
        <v>1</v>
      </c>
      <c r="M594" s="4">
        <v>5600</v>
      </c>
      <c r="N594" s="4">
        <v>5424</v>
      </c>
      <c r="O594" s="4">
        <v>3360</v>
      </c>
      <c r="P594" s="6">
        <f t="shared" si="199"/>
        <v>0.38053097345132747</v>
      </c>
      <c r="Q594" s="4" t="s">
        <v>1280</v>
      </c>
      <c r="R594" s="4" t="s">
        <v>1280</v>
      </c>
      <c r="S594" s="4" t="s">
        <v>1280</v>
      </c>
      <c r="T594" s="4">
        <v>6200</v>
      </c>
      <c r="U594" s="4">
        <f t="shared" si="200"/>
        <v>6200</v>
      </c>
      <c r="V594" s="4">
        <v>3720</v>
      </c>
      <c r="W594" s="4">
        <f t="shared" si="201"/>
        <v>3720</v>
      </c>
      <c r="X594" s="4"/>
      <c r="Y594" s="21">
        <f t="shared" si="202"/>
        <v>6005</v>
      </c>
      <c r="Z594" s="6">
        <f t="shared" si="203"/>
        <v>0.38051623646960864</v>
      </c>
      <c r="AA594" s="4">
        <v>0.25</v>
      </c>
      <c r="AB594" s="4">
        <f t="shared" si="204"/>
        <v>4273</v>
      </c>
      <c r="AC594" s="4">
        <f t="shared" si="215"/>
        <v>4730.8214285714284</v>
      </c>
      <c r="AD594" s="6">
        <f t="shared" si="216"/>
        <v>0.21366721273110223</v>
      </c>
      <c r="AE594" s="4">
        <f t="shared" si="217"/>
        <v>5890</v>
      </c>
      <c r="AF594" s="7">
        <v>5029</v>
      </c>
      <c r="AG594" s="6">
        <f t="shared" si="205"/>
        <v>0.26029031616623588</v>
      </c>
      <c r="AH594" s="4">
        <f t="shared" si="206"/>
        <v>1309</v>
      </c>
      <c r="AI594" s="28"/>
      <c r="AJ594" s="6"/>
      <c r="AK594" s="6"/>
      <c r="AL594" s="6">
        <f t="shared" si="207"/>
        <v>1.1071428571428572</v>
      </c>
      <c r="AM594" s="6">
        <f t="shared" si="208"/>
        <v>0.92717551622418881</v>
      </c>
      <c r="AN594" s="6">
        <f t="shared" si="209"/>
        <v>1.1071428571428572</v>
      </c>
      <c r="AO594" s="4" t="str">
        <f t="shared" si="210"/>
        <v>-</v>
      </c>
      <c r="AP594" s="4" t="str">
        <f t="shared" si="211"/>
        <v>-</v>
      </c>
      <c r="AQ594" s="4" t="str">
        <f t="shared" si="212"/>
        <v>-</v>
      </c>
      <c r="AR594" s="4">
        <v>0</v>
      </c>
      <c r="AS594" s="4" t="s">
        <v>1998</v>
      </c>
      <c r="AT594" s="4"/>
      <c r="AU594" s="4"/>
      <c r="AV594" s="4" t="s">
        <v>1697</v>
      </c>
      <c r="AW594" s="4">
        <v>4273</v>
      </c>
      <c r="AX594" s="4">
        <v>4273</v>
      </c>
      <c r="AY594" s="4">
        <v>4273</v>
      </c>
      <c r="AZ594" s="4">
        <f t="shared" si="213"/>
        <v>4273</v>
      </c>
      <c r="BA594" s="19">
        <v>2</v>
      </c>
      <c r="BB594" s="19">
        <v>8</v>
      </c>
      <c r="BC594" s="16">
        <v>18</v>
      </c>
      <c r="BD594" t="s">
        <v>1280</v>
      </c>
      <c r="BE594" t="s">
        <v>1280</v>
      </c>
      <c r="BF594" t="s">
        <v>1280</v>
      </c>
      <c r="BG594" t="str">
        <f t="shared" si="218"/>
        <v>-</v>
      </c>
      <c r="BH594">
        <v>4543</v>
      </c>
      <c r="BI594">
        <v>4543</v>
      </c>
      <c r="BJ594">
        <v>4543</v>
      </c>
      <c r="BK594">
        <f t="shared" si="219"/>
        <v>5029.75</v>
      </c>
      <c r="BL594" t="s">
        <v>1519</v>
      </c>
      <c r="BM594">
        <v>812</v>
      </c>
    </row>
    <row r="595" spans="1:65" x14ac:dyDescent="0.4">
      <c r="A595" s="32">
        <v>426</v>
      </c>
      <c r="B595" s="3">
        <v>426</v>
      </c>
      <c r="C595" s="4" t="s">
        <v>415</v>
      </c>
      <c r="D595" s="4" t="str">
        <f t="shared" si="198"/>
        <v>J54494</v>
      </c>
      <c r="E595" s="4" t="s">
        <v>415</v>
      </c>
      <c r="F595" s="4" t="str">
        <f t="shared" si="214"/>
        <v>J544945</v>
      </c>
      <c r="G595" s="4" t="s">
        <v>1059</v>
      </c>
      <c r="H595" s="5">
        <v>4974268832153</v>
      </c>
      <c r="I595" s="5">
        <v>5</v>
      </c>
      <c r="J595" s="5"/>
      <c r="K595" s="5">
        <v>1</v>
      </c>
      <c r="L595" s="5">
        <v>1</v>
      </c>
      <c r="M595" s="4">
        <v>5800</v>
      </c>
      <c r="N595" s="4">
        <v>5179</v>
      </c>
      <c r="O595" s="4">
        <v>3480</v>
      </c>
      <c r="P595" s="6">
        <f t="shared" si="199"/>
        <v>0.32805560919096355</v>
      </c>
      <c r="Q595" s="4" t="s">
        <v>1280</v>
      </c>
      <c r="R595" s="4" t="s">
        <v>1280</v>
      </c>
      <c r="S595" s="4" t="s">
        <v>1280</v>
      </c>
      <c r="T595" s="4">
        <v>6400</v>
      </c>
      <c r="U595" s="4">
        <f t="shared" si="200"/>
        <v>6400</v>
      </c>
      <c r="V595" s="4">
        <v>3840</v>
      </c>
      <c r="W595" s="4">
        <f t="shared" si="201"/>
        <v>3840</v>
      </c>
      <c r="X595" s="4"/>
      <c r="Y595" s="21">
        <f t="shared" si="202"/>
        <v>5715</v>
      </c>
      <c r="Z595" s="6">
        <f t="shared" si="203"/>
        <v>0.32808398950131235</v>
      </c>
      <c r="AA595" s="4">
        <v>0.25</v>
      </c>
      <c r="AB595" s="4">
        <f t="shared" si="204"/>
        <v>5964</v>
      </c>
      <c r="AC595" s="4">
        <f t="shared" si="215"/>
        <v>6580.9655172413795</v>
      </c>
      <c r="AD595" s="6">
        <f t="shared" si="216"/>
        <v>0.41649899396378276</v>
      </c>
      <c r="AE595" s="4">
        <f t="shared" si="217"/>
        <v>6080</v>
      </c>
      <c r="AF595" s="7">
        <v>5400</v>
      </c>
      <c r="AG595" s="6">
        <f t="shared" si="205"/>
        <v>0.28888888888888886</v>
      </c>
      <c r="AH595" s="4">
        <f t="shared" si="206"/>
        <v>1560</v>
      </c>
      <c r="AI595" s="28"/>
      <c r="AJ595" s="6"/>
      <c r="AK595" s="6"/>
      <c r="AL595" s="6">
        <f t="shared" si="207"/>
        <v>1.103448275862069</v>
      </c>
      <c r="AM595" s="6">
        <f t="shared" si="208"/>
        <v>1.0426723305657464</v>
      </c>
      <c r="AN595" s="6">
        <f t="shared" si="209"/>
        <v>1.103448275862069</v>
      </c>
      <c r="AO595" s="4" t="str">
        <f t="shared" si="210"/>
        <v>-</v>
      </c>
      <c r="AP595" s="4" t="str">
        <f t="shared" si="211"/>
        <v>-</v>
      </c>
      <c r="AQ595" s="4" t="str">
        <f t="shared" si="212"/>
        <v>-</v>
      </c>
      <c r="AR595" s="4">
        <v>0</v>
      </c>
      <c r="AS595" s="4" t="s">
        <v>1986</v>
      </c>
      <c r="AT595" s="4"/>
      <c r="AU595" s="4"/>
      <c r="AV595" s="4" t="s">
        <v>1697</v>
      </c>
      <c r="AW595" s="4">
        <v>5964</v>
      </c>
      <c r="AX595" s="4">
        <v>5964</v>
      </c>
      <c r="AY595" s="4">
        <v>5964</v>
      </c>
      <c r="AZ595" s="4">
        <f t="shared" si="213"/>
        <v>5964</v>
      </c>
      <c r="BA595" s="19">
        <v>2</v>
      </c>
      <c r="BB595" s="19">
        <v>8</v>
      </c>
      <c r="BC595" s="16">
        <v>18</v>
      </c>
      <c r="BD595" t="s">
        <v>1280</v>
      </c>
      <c r="BE595" t="s">
        <v>1280</v>
      </c>
      <c r="BF595" t="s">
        <v>1280</v>
      </c>
      <c r="BG595" t="str">
        <f t="shared" si="218"/>
        <v>-</v>
      </c>
      <c r="BH595">
        <v>4308</v>
      </c>
      <c r="BI595">
        <v>4308</v>
      </c>
      <c r="BJ595">
        <v>4308</v>
      </c>
      <c r="BK595">
        <f t="shared" si="219"/>
        <v>4753.6551724137935</v>
      </c>
      <c r="BL595" t="s">
        <v>1507</v>
      </c>
      <c r="BM595">
        <v>812</v>
      </c>
    </row>
    <row r="596" spans="1:65" x14ac:dyDescent="0.4">
      <c r="A596" s="32">
        <v>427</v>
      </c>
      <c r="B596" s="3">
        <v>427</v>
      </c>
      <c r="C596" s="4" t="s">
        <v>416</v>
      </c>
      <c r="D596" s="4" t="str">
        <f t="shared" si="198"/>
        <v>J54495</v>
      </c>
      <c r="E596" s="4" t="s">
        <v>416</v>
      </c>
      <c r="F596" s="4" t="str">
        <f t="shared" si="214"/>
        <v>J544955</v>
      </c>
      <c r="G596" s="4" t="s">
        <v>1060</v>
      </c>
      <c r="H596" s="5">
        <v>4974268832160</v>
      </c>
      <c r="I596" s="5">
        <v>5</v>
      </c>
      <c r="J596" s="5"/>
      <c r="K596" s="5">
        <v>1</v>
      </c>
      <c r="L596" s="5">
        <v>1</v>
      </c>
      <c r="M596" s="4">
        <v>5800</v>
      </c>
      <c r="N596" s="4">
        <v>5179</v>
      </c>
      <c r="O596" s="4">
        <v>3480</v>
      </c>
      <c r="P596" s="6">
        <f t="shared" si="199"/>
        <v>0.32805560919096355</v>
      </c>
      <c r="Q596" s="4" t="s">
        <v>1280</v>
      </c>
      <c r="R596" s="4" t="s">
        <v>1280</v>
      </c>
      <c r="S596" s="4" t="s">
        <v>1280</v>
      </c>
      <c r="T596" s="4">
        <v>6400</v>
      </c>
      <c r="U596" s="4">
        <f t="shared" si="200"/>
        <v>6400</v>
      </c>
      <c r="V596" s="4">
        <v>3840</v>
      </c>
      <c r="W596" s="4">
        <f t="shared" si="201"/>
        <v>3840</v>
      </c>
      <c r="X596" s="4"/>
      <c r="Y596" s="21">
        <f t="shared" si="202"/>
        <v>5715</v>
      </c>
      <c r="Z596" s="6">
        <f t="shared" si="203"/>
        <v>0.32808398950131235</v>
      </c>
      <c r="AA596" s="4">
        <v>0.25</v>
      </c>
      <c r="AB596" s="4">
        <f t="shared" si="204"/>
        <v>5964</v>
      </c>
      <c r="AC596" s="4">
        <f t="shared" si="215"/>
        <v>6580.9655172413795</v>
      </c>
      <c r="AD596" s="6">
        <f t="shared" si="216"/>
        <v>0.41649899396378276</v>
      </c>
      <c r="AE596" s="4">
        <f t="shared" si="217"/>
        <v>6080</v>
      </c>
      <c r="AF596" s="7">
        <v>5400</v>
      </c>
      <c r="AG596" s="6">
        <f t="shared" si="205"/>
        <v>0.28888888888888886</v>
      </c>
      <c r="AH596" s="4">
        <f t="shared" si="206"/>
        <v>1560</v>
      </c>
      <c r="AI596" s="28"/>
      <c r="AJ596" s="6"/>
      <c r="AK596" s="6"/>
      <c r="AL596" s="6">
        <f t="shared" si="207"/>
        <v>1.103448275862069</v>
      </c>
      <c r="AM596" s="6">
        <f t="shared" si="208"/>
        <v>1.0426723305657464</v>
      </c>
      <c r="AN596" s="6">
        <f t="shared" si="209"/>
        <v>1.103448275862069</v>
      </c>
      <c r="AO596" s="4" t="str">
        <f t="shared" si="210"/>
        <v>-</v>
      </c>
      <c r="AP596" s="4" t="str">
        <f t="shared" si="211"/>
        <v>-</v>
      </c>
      <c r="AQ596" s="4" t="str">
        <f t="shared" si="212"/>
        <v>-</v>
      </c>
      <c r="AR596" s="4">
        <v>0</v>
      </c>
      <c r="AS596" s="4" t="s">
        <v>1987</v>
      </c>
      <c r="AT596" s="4"/>
      <c r="AU596" s="4"/>
      <c r="AV596" s="4" t="s">
        <v>1697</v>
      </c>
      <c r="AW596" s="4">
        <v>5964</v>
      </c>
      <c r="AX596" s="4">
        <v>5964</v>
      </c>
      <c r="AY596" s="4">
        <v>5964</v>
      </c>
      <c r="AZ596" s="4">
        <f t="shared" si="213"/>
        <v>5964</v>
      </c>
      <c r="BA596" s="19">
        <v>2</v>
      </c>
      <c r="BB596" s="19">
        <v>8</v>
      </c>
      <c r="BC596" s="16">
        <v>18</v>
      </c>
      <c r="BD596" t="s">
        <v>1280</v>
      </c>
      <c r="BE596" t="s">
        <v>1280</v>
      </c>
      <c r="BF596" t="s">
        <v>1280</v>
      </c>
      <c r="BG596" t="str">
        <f t="shared" si="218"/>
        <v>-</v>
      </c>
      <c r="BH596">
        <v>5476</v>
      </c>
      <c r="BI596">
        <v>5476</v>
      </c>
      <c r="BJ596">
        <v>5476</v>
      </c>
      <c r="BK596">
        <f t="shared" si="219"/>
        <v>6042.4827586206893</v>
      </c>
      <c r="BL596" t="s">
        <v>1508</v>
      </c>
      <c r="BM596">
        <v>812</v>
      </c>
    </row>
    <row r="597" spans="1:65" x14ac:dyDescent="0.4">
      <c r="A597" s="32">
        <v>430</v>
      </c>
      <c r="B597" s="3">
        <v>430</v>
      </c>
      <c r="C597" s="4" t="s">
        <v>419</v>
      </c>
      <c r="D597" s="4" t="str">
        <f t="shared" si="198"/>
        <v>J54496</v>
      </c>
      <c r="E597" s="4" t="s">
        <v>419</v>
      </c>
      <c r="F597" s="4" t="str">
        <f t="shared" si="214"/>
        <v>J544965</v>
      </c>
      <c r="G597" s="4" t="s">
        <v>1063</v>
      </c>
      <c r="H597" s="5">
        <v>4974268832177</v>
      </c>
      <c r="I597" s="5">
        <v>5</v>
      </c>
      <c r="J597" s="5"/>
      <c r="K597" s="5">
        <v>1</v>
      </c>
      <c r="L597" s="5">
        <v>1</v>
      </c>
      <c r="M597" s="4">
        <v>5800</v>
      </c>
      <c r="N597" s="4">
        <v>5179</v>
      </c>
      <c r="O597" s="4">
        <v>3480</v>
      </c>
      <c r="P597" s="6">
        <f t="shared" si="199"/>
        <v>0.32805560919096355</v>
      </c>
      <c r="Q597" s="4" t="s">
        <v>1280</v>
      </c>
      <c r="R597" s="4" t="s">
        <v>1280</v>
      </c>
      <c r="S597" s="4" t="s">
        <v>1280</v>
      </c>
      <c r="T597" s="4">
        <v>6400</v>
      </c>
      <c r="U597" s="4">
        <f t="shared" si="200"/>
        <v>6400</v>
      </c>
      <c r="V597" s="4">
        <v>3840</v>
      </c>
      <c r="W597" s="4">
        <f t="shared" si="201"/>
        <v>3840</v>
      </c>
      <c r="X597" s="4"/>
      <c r="Y597" s="21">
        <f t="shared" si="202"/>
        <v>5715</v>
      </c>
      <c r="Z597" s="6">
        <f t="shared" si="203"/>
        <v>0.32808398950131235</v>
      </c>
      <c r="AA597" s="4">
        <v>0</v>
      </c>
      <c r="AB597" s="4" t="str">
        <f t="shared" si="204"/>
        <v>-</v>
      </c>
      <c r="AC597" s="4" t="str">
        <f t="shared" si="215"/>
        <v>-</v>
      </c>
      <c r="AD597" s="6" t="str">
        <f t="shared" si="216"/>
        <v>-</v>
      </c>
      <c r="AE597" s="4">
        <f t="shared" si="217"/>
        <v>6080</v>
      </c>
      <c r="AF597" s="7">
        <v>5400</v>
      </c>
      <c r="AG597" s="6">
        <f t="shared" si="205"/>
        <v>0.28888888888888886</v>
      </c>
      <c r="AH597" s="4">
        <f t="shared" si="206"/>
        <v>1560</v>
      </c>
      <c r="AI597" s="28"/>
      <c r="AJ597" s="6"/>
      <c r="AK597" s="6"/>
      <c r="AL597" s="6">
        <f t="shared" si="207"/>
        <v>1.103448275862069</v>
      </c>
      <c r="AM597" s="6">
        <f t="shared" si="208"/>
        <v>1.0426723305657464</v>
      </c>
      <c r="AN597" s="6">
        <f t="shared" si="209"/>
        <v>1.103448275862069</v>
      </c>
      <c r="AO597" s="4" t="str">
        <f t="shared" si="210"/>
        <v>-</v>
      </c>
      <c r="AP597" s="4" t="str">
        <f t="shared" si="211"/>
        <v>-</v>
      </c>
      <c r="AQ597" s="4" t="str">
        <f t="shared" si="212"/>
        <v>-</v>
      </c>
      <c r="AR597" s="4">
        <v>0</v>
      </c>
      <c r="AS597" s="4" t="s">
        <v>1280</v>
      </c>
      <c r="AT597" s="4"/>
      <c r="AU597" s="4"/>
      <c r="AV597" s="4" t="s">
        <v>1280</v>
      </c>
      <c r="AW597" s="4" t="s">
        <v>1280</v>
      </c>
      <c r="AX597" s="4" t="s">
        <v>1280</v>
      </c>
      <c r="AY597" s="4" t="s">
        <v>1280</v>
      </c>
      <c r="AZ597" s="4" t="str">
        <f t="shared" si="213"/>
        <v>-</v>
      </c>
      <c r="BA597" s="19">
        <v>2</v>
      </c>
      <c r="BB597" s="19">
        <v>8</v>
      </c>
      <c r="BC597" s="16">
        <v>18</v>
      </c>
      <c r="BD597">
        <v>5800</v>
      </c>
      <c r="BE597">
        <v>5800</v>
      </c>
      <c r="BF597">
        <v>5800</v>
      </c>
      <c r="BG597">
        <f t="shared" si="218"/>
        <v>6400</v>
      </c>
      <c r="BH597">
        <v>4900</v>
      </c>
      <c r="BI597">
        <v>4900</v>
      </c>
      <c r="BJ597">
        <v>4900</v>
      </c>
      <c r="BK597">
        <f t="shared" si="219"/>
        <v>5406.8965517241377</v>
      </c>
      <c r="BL597" t="s">
        <v>1280</v>
      </c>
      <c r="BM597">
        <v>812</v>
      </c>
    </row>
    <row r="598" spans="1:65" x14ac:dyDescent="0.4">
      <c r="A598" s="32">
        <v>440</v>
      </c>
      <c r="B598" s="3">
        <v>440</v>
      </c>
      <c r="C598" s="4" t="s">
        <v>429</v>
      </c>
      <c r="D598" s="4" t="str">
        <f t="shared" si="198"/>
        <v>J54505</v>
      </c>
      <c r="E598" s="4" t="s">
        <v>429</v>
      </c>
      <c r="F598" s="4" t="str">
        <f t="shared" si="214"/>
        <v>J545055</v>
      </c>
      <c r="G598" s="4" t="s">
        <v>1073</v>
      </c>
      <c r="H598" s="5">
        <v>4974268832771</v>
      </c>
      <c r="I598" s="5">
        <v>5</v>
      </c>
      <c r="J598" s="5"/>
      <c r="K598" s="5">
        <v>1</v>
      </c>
      <c r="L598" s="5">
        <v>1</v>
      </c>
      <c r="M598" s="4">
        <v>5900</v>
      </c>
      <c r="N598" s="4">
        <v>5707</v>
      </c>
      <c r="O598" s="4">
        <v>3540</v>
      </c>
      <c r="P598" s="6">
        <f t="shared" si="199"/>
        <v>0.37970912913965305</v>
      </c>
      <c r="Q598" s="4" t="s">
        <v>1280</v>
      </c>
      <c r="R598" s="4" t="s">
        <v>1280</v>
      </c>
      <c r="S598" s="4" t="s">
        <v>1280</v>
      </c>
      <c r="T598" s="4">
        <v>6500</v>
      </c>
      <c r="U598" s="4">
        <f t="shared" si="200"/>
        <v>6500</v>
      </c>
      <c r="V598" s="4">
        <v>3900</v>
      </c>
      <c r="W598" s="4">
        <f t="shared" si="201"/>
        <v>3900</v>
      </c>
      <c r="X598" s="4"/>
      <c r="Y598" s="21">
        <f t="shared" si="202"/>
        <v>6287</v>
      </c>
      <c r="Z598" s="6">
        <f t="shared" si="203"/>
        <v>0.37967233974868775</v>
      </c>
      <c r="AA598" s="4">
        <v>0.25</v>
      </c>
      <c r="AB598" s="4" t="str">
        <f t="shared" si="204"/>
        <v>-</v>
      </c>
      <c r="AC598" s="4" t="str">
        <f t="shared" si="215"/>
        <v>-</v>
      </c>
      <c r="AD598" s="6" t="str">
        <f t="shared" si="216"/>
        <v>-</v>
      </c>
      <c r="AE598" s="4">
        <f t="shared" si="217"/>
        <v>6175</v>
      </c>
      <c r="AF598" s="7">
        <v>6000</v>
      </c>
      <c r="AG598" s="6">
        <f t="shared" si="205"/>
        <v>0.35</v>
      </c>
      <c r="AH598" s="4">
        <f t="shared" si="206"/>
        <v>2100</v>
      </c>
      <c r="AI598" s="28"/>
      <c r="AJ598" s="6"/>
      <c r="AK598" s="6"/>
      <c r="AL598" s="6">
        <f t="shared" si="207"/>
        <v>1.1016949152542372</v>
      </c>
      <c r="AM598" s="6">
        <f t="shared" si="208"/>
        <v>1.0513404590853339</v>
      </c>
      <c r="AN598" s="6">
        <f t="shared" si="209"/>
        <v>1.1016949152542372</v>
      </c>
      <c r="AO598" s="4" t="str">
        <f t="shared" si="210"/>
        <v>-</v>
      </c>
      <c r="AP598" s="4" t="str">
        <f t="shared" si="211"/>
        <v>-</v>
      </c>
      <c r="AQ598" s="4" t="str">
        <f t="shared" si="212"/>
        <v>-</v>
      </c>
      <c r="AR598" s="4">
        <v>0</v>
      </c>
      <c r="AS598" s="4" t="s">
        <v>1280</v>
      </c>
      <c r="AT598" s="4"/>
      <c r="AU598" s="4"/>
      <c r="AV598" s="4" t="s">
        <v>1280</v>
      </c>
      <c r="AW598" s="4" t="s">
        <v>1280</v>
      </c>
      <c r="AX598" s="4" t="s">
        <v>1280</v>
      </c>
      <c r="AY598" s="4" t="s">
        <v>1280</v>
      </c>
      <c r="AZ598" s="4" t="str">
        <f t="shared" si="213"/>
        <v>-</v>
      </c>
      <c r="BA598" s="19">
        <v>2</v>
      </c>
      <c r="BB598" s="19">
        <v>8</v>
      </c>
      <c r="BC598" s="16">
        <v>18</v>
      </c>
      <c r="BD598" t="s">
        <v>1280</v>
      </c>
      <c r="BE598" t="s">
        <v>1280</v>
      </c>
      <c r="BF598" t="s">
        <v>1280</v>
      </c>
      <c r="BG598" t="str">
        <f t="shared" si="218"/>
        <v>-</v>
      </c>
      <c r="BH598">
        <v>4498</v>
      </c>
      <c r="BI598">
        <v>4498</v>
      </c>
      <c r="BJ598">
        <v>4498</v>
      </c>
      <c r="BK598">
        <f t="shared" si="219"/>
        <v>4955.4237288135591</v>
      </c>
      <c r="BL598" t="s">
        <v>1280</v>
      </c>
      <c r="BM598">
        <v>812</v>
      </c>
    </row>
    <row r="599" spans="1:65" x14ac:dyDescent="0.4">
      <c r="A599" s="3">
        <v>633</v>
      </c>
      <c r="B599" s="3">
        <v>633</v>
      </c>
      <c r="C599" s="4" t="s">
        <v>622</v>
      </c>
      <c r="D599" s="4" t="str">
        <f t="shared" si="198"/>
        <v>J974WN</v>
      </c>
      <c r="E599" s="4" t="s">
        <v>622</v>
      </c>
      <c r="F599" s="4" t="str">
        <f t="shared" si="214"/>
        <v>J974WN5</v>
      </c>
      <c r="G599" s="4" t="s">
        <v>1266</v>
      </c>
      <c r="H599" s="5">
        <v>4974268572356</v>
      </c>
      <c r="I599" s="5">
        <v>5</v>
      </c>
      <c r="J599" s="5"/>
      <c r="K599" s="5">
        <v>1</v>
      </c>
      <c r="L599" s="5">
        <v>1</v>
      </c>
      <c r="M599" s="4">
        <v>6200</v>
      </c>
      <c r="N599" s="4">
        <v>5310</v>
      </c>
      <c r="O599" s="4">
        <v>3720</v>
      </c>
      <c r="P599" s="6">
        <f t="shared" si="199"/>
        <v>0.29943502824858759</v>
      </c>
      <c r="Q599" s="4" t="s">
        <v>1280</v>
      </c>
      <c r="R599" s="4" t="s">
        <v>1280</v>
      </c>
      <c r="S599" s="4" t="s">
        <v>1280</v>
      </c>
      <c r="T599" s="4">
        <v>6700</v>
      </c>
      <c r="U599" s="4">
        <f t="shared" si="200"/>
        <v>6700</v>
      </c>
      <c r="V599" s="4">
        <v>4020</v>
      </c>
      <c r="W599" s="4">
        <f t="shared" si="201"/>
        <v>4020</v>
      </c>
      <c r="X599" s="4"/>
      <c r="Y599" s="21">
        <f t="shared" si="202"/>
        <v>5738</v>
      </c>
      <c r="Z599" s="6">
        <f t="shared" si="203"/>
        <v>0.29940745904496335</v>
      </c>
      <c r="AA599" s="4">
        <v>0</v>
      </c>
      <c r="AB599" s="4" t="str">
        <f t="shared" si="204"/>
        <v>-</v>
      </c>
      <c r="AC599" s="4" t="str">
        <f t="shared" si="215"/>
        <v>-</v>
      </c>
      <c r="AD599" s="6" t="str">
        <f t="shared" si="216"/>
        <v>-</v>
      </c>
      <c r="AE599" s="4">
        <f t="shared" si="217"/>
        <v>6365</v>
      </c>
      <c r="AF599" s="7">
        <v>6090</v>
      </c>
      <c r="AG599" s="6">
        <f t="shared" si="205"/>
        <v>0.33990147783251234</v>
      </c>
      <c r="AH599" s="4">
        <f t="shared" si="206"/>
        <v>2070</v>
      </c>
      <c r="AI599" s="28"/>
      <c r="AJ599" s="6"/>
      <c r="AK599" s="6"/>
      <c r="AL599" s="6">
        <f t="shared" si="207"/>
        <v>1.0806451612903225</v>
      </c>
      <c r="AM599" s="6">
        <f t="shared" si="208"/>
        <v>1.1468926553672316</v>
      </c>
      <c r="AN599" s="6">
        <f t="shared" si="209"/>
        <v>1.0806451612903225</v>
      </c>
      <c r="AO599" s="4" t="str">
        <f t="shared" si="210"/>
        <v>-</v>
      </c>
      <c r="AP599" s="4" t="str">
        <f t="shared" si="211"/>
        <v>-</v>
      </c>
      <c r="AQ599" s="4" t="str">
        <f t="shared" si="212"/>
        <v>-</v>
      </c>
      <c r="AR599" s="4">
        <v>0</v>
      </c>
      <c r="AS599" s="4" t="s">
        <v>1280</v>
      </c>
      <c r="AT599" s="4"/>
      <c r="AU599" s="4"/>
      <c r="AV599" s="4" t="s">
        <v>1280</v>
      </c>
      <c r="AW599" s="4" t="s">
        <v>1280</v>
      </c>
      <c r="AX599" s="4" t="s">
        <v>1280</v>
      </c>
      <c r="AY599" s="4" t="s">
        <v>1280</v>
      </c>
      <c r="AZ599" s="4" t="str">
        <f t="shared" si="213"/>
        <v>-</v>
      </c>
      <c r="BA599" s="19">
        <v>4</v>
      </c>
      <c r="BB599" s="19">
        <v>8</v>
      </c>
      <c r="BC599" s="16">
        <v>18</v>
      </c>
      <c r="BD599" t="s">
        <v>1280</v>
      </c>
      <c r="BE599" t="s">
        <v>1280</v>
      </c>
      <c r="BF599" t="s">
        <v>1280</v>
      </c>
      <c r="BG599" t="str">
        <f t="shared" si="218"/>
        <v>-</v>
      </c>
      <c r="BH599">
        <v>5636</v>
      </c>
      <c r="BI599">
        <v>5636</v>
      </c>
      <c r="BJ599">
        <v>5636</v>
      </c>
      <c r="BK599">
        <f t="shared" si="219"/>
        <v>6090.5161290322576</v>
      </c>
      <c r="BL599" t="s">
        <v>1280</v>
      </c>
      <c r="BM599">
        <v>812</v>
      </c>
    </row>
    <row r="600" spans="1:65" x14ac:dyDescent="0.4">
      <c r="A600" s="3">
        <v>284</v>
      </c>
      <c r="B600" s="3">
        <v>284</v>
      </c>
      <c r="C600" s="4" t="s">
        <v>273</v>
      </c>
      <c r="D600" s="4" t="str">
        <f t="shared" si="198"/>
        <v>J3951N</v>
      </c>
      <c r="E600" s="4" t="s">
        <v>273</v>
      </c>
      <c r="F600" s="4" t="str">
        <f t="shared" si="214"/>
        <v>J3951N5</v>
      </c>
      <c r="G600" s="4" t="s">
        <v>919</v>
      </c>
      <c r="H600" s="5">
        <v>4529671083595</v>
      </c>
      <c r="I600" s="5">
        <v>5</v>
      </c>
      <c r="J600" s="5"/>
      <c r="K600" s="5">
        <v>1</v>
      </c>
      <c r="L600" s="5">
        <v>1</v>
      </c>
      <c r="M600" s="4">
        <v>0</v>
      </c>
      <c r="N600" s="4">
        <v>5495</v>
      </c>
      <c r="O600" s="4">
        <v>3744</v>
      </c>
      <c r="P600" s="6">
        <f t="shared" si="199"/>
        <v>0.31865332120109191</v>
      </c>
      <c r="Q600" s="4" t="s">
        <v>1280</v>
      </c>
      <c r="R600" s="4" t="s">
        <v>1280</v>
      </c>
      <c r="S600" s="4" t="s">
        <v>1280</v>
      </c>
      <c r="T600" s="4">
        <v>0</v>
      </c>
      <c r="U600" s="4">
        <f t="shared" si="200"/>
        <v>0</v>
      </c>
      <c r="V600" s="4">
        <v>4116</v>
      </c>
      <c r="W600" s="4">
        <f t="shared" si="201"/>
        <v>4116</v>
      </c>
      <c r="X600" s="4"/>
      <c r="Y600" s="21">
        <f t="shared" si="202"/>
        <v>6041</v>
      </c>
      <c r="Z600" s="6">
        <f t="shared" si="203"/>
        <v>0.3186558516801854</v>
      </c>
      <c r="AA600" s="4">
        <v>0</v>
      </c>
      <c r="AB600" s="4" t="str">
        <f t="shared" si="204"/>
        <v>-</v>
      </c>
      <c r="AC600" s="4" t="str">
        <f t="shared" si="215"/>
        <v>-</v>
      </c>
      <c r="AD600" s="6" t="str">
        <f t="shared" si="216"/>
        <v>-</v>
      </c>
      <c r="AE600" s="4">
        <f t="shared" si="217"/>
        <v>0</v>
      </c>
      <c r="AF600" s="7">
        <v>6300</v>
      </c>
      <c r="AG600" s="6">
        <f t="shared" si="205"/>
        <v>0.34666666666666668</v>
      </c>
      <c r="AH600" s="4">
        <f t="shared" si="206"/>
        <v>2184</v>
      </c>
      <c r="AI600" s="28"/>
      <c r="AJ600" s="6"/>
      <c r="AK600" s="6"/>
      <c r="AL600" s="6" t="e">
        <f t="shared" si="207"/>
        <v>#DIV/0!</v>
      </c>
      <c r="AM600" s="6">
        <f t="shared" si="208"/>
        <v>1.1464968152866242</v>
      </c>
      <c r="AN600" s="6">
        <f t="shared" si="209"/>
        <v>1.0993589743589745</v>
      </c>
      <c r="AO600" s="4" t="str">
        <f t="shared" si="210"/>
        <v>-</v>
      </c>
      <c r="AP600" s="4" t="str">
        <f t="shared" si="211"/>
        <v>-</v>
      </c>
      <c r="AQ600" s="4" t="str">
        <f t="shared" si="212"/>
        <v>-</v>
      </c>
      <c r="AR600" s="4">
        <v>0</v>
      </c>
      <c r="AS600" s="4" t="s">
        <v>1280</v>
      </c>
      <c r="AT600" s="4"/>
      <c r="AU600" s="4"/>
      <c r="AV600" s="4" t="s">
        <v>1280</v>
      </c>
      <c r="AW600" s="4" t="s">
        <v>1280</v>
      </c>
      <c r="AX600" s="4" t="s">
        <v>1280</v>
      </c>
      <c r="AY600" s="4" t="s">
        <v>1280</v>
      </c>
      <c r="AZ600" s="4" t="str">
        <f t="shared" si="213"/>
        <v>-</v>
      </c>
      <c r="BA600" s="19">
        <v>4</v>
      </c>
      <c r="BB600" s="19">
        <v>8</v>
      </c>
      <c r="BC600" s="16">
        <v>19</v>
      </c>
      <c r="BD600" t="s">
        <v>1280</v>
      </c>
      <c r="BE600" t="s">
        <v>1280</v>
      </c>
      <c r="BF600" t="s">
        <v>1280</v>
      </c>
      <c r="BG600" t="str">
        <f t="shared" si="218"/>
        <v>-</v>
      </c>
      <c r="BH600">
        <v>4491</v>
      </c>
      <c r="BI600">
        <v>4491</v>
      </c>
      <c r="BJ600">
        <v>4491</v>
      </c>
      <c r="BK600">
        <f t="shared" si="219"/>
        <v>4937.2211538461543</v>
      </c>
      <c r="BL600" t="s">
        <v>1280</v>
      </c>
      <c r="BM600">
        <v>812</v>
      </c>
    </row>
    <row r="601" spans="1:65" x14ac:dyDescent="0.4">
      <c r="A601" s="3">
        <v>288</v>
      </c>
      <c r="B601" s="3">
        <v>288</v>
      </c>
      <c r="C601" s="4" t="s">
        <v>277</v>
      </c>
      <c r="D601" s="4" t="str">
        <f t="shared" si="198"/>
        <v>J3952N</v>
      </c>
      <c r="E601" s="4" t="s">
        <v>277</v>
      </c>
      <c r="F601" s="4" t="str">
        <f t="shared" si="214"/>
        <v>J3952N5</v>
      </c>
      <c r="G601" s="4" t="s">
        <v>923</v>
      </c>
      <c r="H601" s="5">
        <v>4529671083601</v>
      </c>
      <c r="I601" s="5">
        <v>5</v>
      </c>
      <c r="J601" s="5"/>
      <c r="K601" s="5">
        <v>1</v>
      </c>
      <c r="L601" s="5">
        <v>1</v>
      </c>
      <c r="M601" s="4">
        <v>0</v>
      </c>
      <c r="N601" s="4">
        <v>5495</v>
      </c>
      <c r="O601" s="4">
        <v>3744</v>
      </c>
      <c r="P601" s="6">
        <f t="shared" si="199"/>
        <v>0.31865332120109191</v>
      </c>
      <c r="Q601" s="4" t="s">
        <v>1280</v>
      </c>
      <c r="R601" s="4" t="s">
        <v>1280</v>
      </c>
      <c r="S601" s="4" t="s">
        <v>1280</v>
      </c>
      <c r="T601" s="4">
        <v>0</v>
      </c>
      <c r="U601" s="4">
        <f t="shared" si="200"/>
        <v>0</v>
      </c>
      <c r="V601" s="4">
        <v>4116</v>
      </c>
      <c r="W601" s="4">
        <f t="shared" si="201"/>
        <v>4116</v>
      </c>
      <c r="X601" s="4"/>
      <c r="Y601" s="21">
        <f t="shared" si="202"/>
        <v>6041</v>
      </c>
      <c r="Z601" s="6">
        <f t="shared" si="203"/>
        <v>0.3186558516801854</v>
      </c>
      <c r="AA601" s="4">
        <v>0</v>
      </c>
      <c r="AB601" s="4" t="str">
        <f t="shared" si="204"/>
        <v>-</v>
      </c>
      <c r="AC601" s="4" t="str">
        <f t="shared" si="215"/>
        <v>-</v>
      </c>
      <c r="AD601" s="6" t="str">
        <f t="shared" si="216"/>
        <v>-</v>
      </c>
      <c r="AE601" s="4">
        <f t="shared" si="217"/>
        <v>0</v>
      </c>
      <c r="AF601" s="7">
        <v>6300</v>
      </c>
      <c r="AG601" s="6">
        <f t="shared" si="205"/>
        <v>0.34666666666666668</v>
      </c>
      <c r="AH601" s="4">
        <f t="shared" si="206"/>
        <v>2184</v>
      </c>
      <c r="AI601" s="28"/>
      <c r="AJ601" s="6"/>
      <c r="AK601" s="6"/>
      <c r="AL601" s="6" t="e">
        <f t="shared" si="207"/>
        <v>#DIV/0!</v>
      </c>
      <c r="AM601" s="6">
        <f t="shared" si="208"/>
        <v>1.1464968152866242</v>
      </c>
      <c r="AN601" s="6">
        <f t="shared" si="209"/>
        <v>1.0993589743589745</v>
      </c>
      <c r="AO601" s="4" t="str">
        <f t="shared" si="210"/>
        <v>-</v>
      </c>
      <c r="AP601" s="4" t="str">
        <f t="shared" si="211"/>
        <v>-</v>
      </c>
      <c r="AQ601" s="4" t="str">
        <f t="shared" si="212"/>
        <v>-</v>
      </c>
      <c r="AR601" s="4">
        <v>0</v>
      </c>
      <c r="AS601" s="4" t="s">
        <v>1280</v>
      </c>
      <c r="AT601" s="4"/>
      <c r="AU601" s="4"/>
      <c r="AV601" s="4" t="s">
        <v>1280</v>
      </c>
      <c r="AW601" s="4" t="s">
        <v>1280</v>
      </c>
      <c r="AX601" s="4" t="s">
        <v>1280</v>
      </c>
      <c r="AY601" s="4" t="s">
        <v>1280</v>
      </c>
      <c r="AZ601" s="4" t="str">
        <f t="shared" si="213"/>
        <v>-</v>
      </c>
      <c r="BA601" s="19">
        <v>4</v>
      </c>
      <c r="BB601" s="19">
        <v>8</v>
      </c>
      <c r="BC601" s="16">
        <v>19</v>
      </c>
      <c r="BD601" t="s">
        <v>1280</v>
      </c>
      <c r="BE601" t="s">
        <v>1280</v>
      </c>
      <c r="BF601" t="s">
        <v>1280</v>
      </c>
      <c r="BG601" t="str">
        <f t="shared" si="218"/>
        <v>-</v>
      </c>
      <c r="BH601">
        <v>4491</v>
      </c>
      <c r="BI601">
        <v>4491</v>
      </c>
      <c r="BJ601">
        <v>4491</v>
      </c>
      <c r="BK601">
        <f t="shared" si="219"/>
        <v>4937.2211538461543</v>
      </c>
      <c r="BL601" t="s">
        <v>1280</v>
      </c>
      <c r="BM601">
        <v>812</v>
      </c>
    </row>
    <row r="602" spans="1:65" x14ac:dyDescent="0.4">
      <c r="A602" s="3">
        <v>289</v>
      </c>
      <c r="B602" s="3">
        <v>289</v>
      </c>
      <c r="C602" s="4" t="s">
        <v>278</v>
      </c>
      <c r="D602" s="4" t="str">
        <f t="shared" si="198"/>
        <v>J3953N</v>
      </c>
      <c r="E602" s="4" t="s">
        <v>278</v>
      </c>
      <c r="F602" s="4" t="str">
        <f t="shared" si="214"/>
        <v>J3953N5</v>
      </c>
      <c r="G602" s="4" t="s">
        <v>924</v>
      </c>
      <c r="H602" s="5">
        <v>4529671083618</v>
      </c>
      <c r="I602" s="5">
        <v>5</v>
      </c>
      <c r="J602" s="5"/>
      <c r="K602" s="5">
        <v>1</v>
      </c>
      <c r="L602" s="5">
        <v>1</v>
      </c>
      <c r="M602" s="4">
        <v>0</v>
      </c>
      <c r="N602" s="4">
        <v>5495</v>
      </c>
      <c r="O602" s="4">
        <v>3744</v>
      </c>
      <c r="P602" s="6">
        <f t="shared" si="199"/>
        <v>0.31865332120109191</v>
      </c>
      <c r="Q602" s="4" t="s">
        <v>1280</v>
      </c>
      <c r="R602" s="4" t="s">
        <v>1280</v>
      </c>
      <c r="S602" s="4" t="s">
        <v>1280</v>
      </c>
      <c r="T602" s="4">
        <v>0</v>
      </c>
      <c r="U602" s="4">
        <f t="shared" si="200"/>
        <v>0</v>
      </c>
      <c r="V602" s="4">
        <v>4116</v>
      </c>
      <c r="W602" s="4">
        <f t="shared" si="201"/>
        <v>4116</v>
      </c>
      <c r="X602" s="4"/>
      <c r="Y602" s="21">
        <f t="shared" si="202"/>
        <v>6041</v>
      </c>
      <c r="Z602" s="6">
        <f t="shared" si="203"/>
        <v>0.3186558516801854</v>
      </c>
      <c r="AA602" s="4">
        <v>0</v>
      </c>
      <c r="AB602" s="4" t="str">
        <f t="shared" si="204"/>
        <v>-</v>
      </c>
      <c r="AC602" s="4" t="str">
        <f t="shared" si="215"/>
        <v>-</v>
      </c>
      <c r="AD602" s="6" t="str">
        <f t="shared" si="216"/>
        <v>-</v>
      </c>
      <c r="AE602" s="4">
        <f t="shared" si="217"/>
        <v>0</v>
      </c>
      <c r="AF602" s="7">
        <v>6300</v>
      </c>
      <c r="AG602" s="6">
        <f t="shared" si="205"/>
        <v>0.34666666666666668</v>
      </c>
      <c r="AH602" s="4">
        <f t="shared" si="206"/>
        <v>2184</v>
      </c>
      <c r="AI602" s="28"/>
      <c r="AJ602" s="6"/>
      <c r="AK602" s="6"/>
      <c r="AL602" s="6" t="e">
        <f t="shared" si="207"/>
        <v>#DIV/0!</v>
      </c>
      <c r="AM602" s="6">
        <f t="shared" si="208"/>
        <v>1.1464968152866242</v>
      </c>
      <c r="AN602" s="6">
        <f t="shared" si="209"/>
        <v>1.0993589743589745</v>
      </c>
      <c r="AO602" s="4" t="str">
        <f t="shared" si="210"/>
        <v>-</v>
      </c>
      <c r="AP602" s="4" t="str">
        <f t="shared" si="211"/>
        <v>-</v>
      </c>
      <c r="AQ602" s="4" t="str">
        <f t="shared" si="212"/>
        <v>-</v>
      </c>
      <c r="AR602" s="4">
        <v>0</v>
      </c>
      <c r="AS602" s="4" t="s">
        <v>1280</v>
      </c>
      <c r="AT602" s="4"/>
      <c r="AU602" s="4"/>
      <c r="AV602" s="4" t="s">
        <v>1280</v>
      </c>
      <c r="AW602" s="4" t="s">
        <v>1280</v>
      </c>
      <c r="AX602" s="4" t="s">
        <v>1280</v>
      </c>
      <c r="AY602" s="4" t="s">
        <v>1280</v>
      </c>
      <c r="AZ602" s="4" t="str">
        <f t="shared" si="213"/>
        <v>-</v>
      </c>
      <c r="BA602" s="19">
        <v>4</v>
      </c>
      <c r="BB602" s="19">
        <v>8</v>
      </c>
      <c r="BC602" s="16">
        <v>19</v>
      </c>
      <c r="BD602" t="s">
        <v>1280</v>
      </c>
      <c r="BE602" t="s">
        <v>1280</v>
      </c>
      <c r="BF602" t="s">
        <v>1280</v>
      </c>
      <c r="BG602" t="str">
        <f t="shared" si="218"/>
        <v>-</v>
      </c>
      <c r="BH602">
        <v>4491</v>
      </c>
      <c r="BI602">
        <v>4491</v>
      </c>
      <c r="BJ602">
        <v>4491</v>
      </c>
      <c r="BK602">
        <f t="shared" si="219"/>
        <v>4937.2211538461543</v>
      </c>
      <c r="BL602" t="s">
        <v>1280</v>
      </c>
      <c r="BM602">
        <v>812</v>
      </c>
    </row>
    <row r="603" spans="1:65" x14ac:dyDescent="0.4">
      <c r="A603" s="3">
        <v>291</v>
      </c>
      <c r="B603" s="3">
        <v>291</v>
      </c>
      <c r="C603" s="4" t="s">
        <v>280</v>
      </c>
      <c r="D603" s="4" t="str">
        <f t="shared" si="198"/>
        <v>J3954N</v>
      </c>
      <c r="E603" s="4" t="s">
        <v>280</v>
      </c>
      <c r="F603" s="4" t="str">
        <f t="shared" si="214"/>
        <v>J3954N5</v>
      </c>
      <c r="G603" s="4" t="s">
        <v>926</v>
      </c>
      <c r="H603" s="5">
        <v>4529671083625</v>
      </c>
      <c r="I603" s="5">
        <v>5</v>
      </c>
      <c r="J603" s="5"/>
      <c r="K603" s="5">
        <v>1</v>
      </c>
      <c r="L603" s="5">
        <v>1</v>
      </c>
      <c r="M603" s="4">
        <v>0</v>
      </c>
      <c r="N603" s="4">
        <v>5495</v>
      </c>
      <c r="O603" s="4">
        <v>3744</v>
      </c>
      <c r="P603" s="6">
        <f t="shared" si="199"/>
        <v>0.31865332120109191</v>
      </c>
      <c r="Q603" s="4" t="s">
        <v>1280</v>
      </c>
      <c r="R603" s="4" t="s">
        <v>1280</v>
      </c>
      <c r="S603" s="4" t="s">
        <v>1280</v>
      </c>
      <c r="T603" s="4">
        <v>0</v>
      </c>
      <c r="U603" s="4">
        <f t="shared" si="200"/>
        <v>0</v>
      </c>
      <c r="V603" s="4">
        <v>4116</v>
      </c>
      <c r="W603" s="4">
        <f t="shared" si="201"/>
        <v>4116</v>
      </c>
      <c r="X603" s="4"/>
      <c r="Y603" s="21">
        <f t="shared" si="202"/>
        <v>6041</v>
      </c>
      <c r="Z603" s="6">
        <f t="shared" si="203"/>
        <v>0.3186558516801854</v>
      </c>
      <c r="AA603" s="4">
        <v>0</v>
      </c>
      <c r="AB603" s="4" t="str">
        <f t="shared" si="204"/>
        <v>-</v>
      </c>
      <c r="AC603" s="4" t="str">
        <f t="shared" si="215"/>
        <v>-</v>
      </c>
      <c r="AD603" s="6" t="str">
        <f t="shared" si="216"/>
        <v>-</v>
      </c>
      <c r="AE603" s="4">
        <f t="shared" si="217"/>
        <v>0</v>
      </c>
      <c r="AF603" s="7">
        <v>6300</v>
      </c>
      <c r="AG603" s="6">
        <f t="shared" si="205"/>
        <v>0.34666666666666668</v>
      </c>
      <c r="AH603" s="4">
        <f t="shared" si="206"/>
        <v>2184</v>
      </c>
      <c r="AI603" s="28"/>
      <c r="AJ603" s="6"/>
      <c r="AK603" s="6"/>
      <c r="AL603" s="6" t="e">
        <f t="shared" si="207"/>
        <v>#DIV/0!</v>
      </c>
      <c r="AM603" s="6">
        <f t="shared" si="208"/>
        <v>1.1464968152866242</v>
      </c>
      <c r="AN603" s="6">
        <f t="shared" si="209"/>
        <v>1.0993589743589745</v>
      </c>
      <c r="AO603" s="4" t="str">
        <f t="shared" si="210"/>
        <v>-</v>
      </c>
      <c r="AP603" s="4" t="str">
        <f t="shared" si="211"/>
        <v>-</v>
      </c>
      <c r="AQ603" s="4" t="str">
        <f t="shared" si="212"/>
        <v>-</v>
      </c>
      <c r="AR603" s="4">
        <v>0</v>
      </c>
      <c r="AS603" s="4" t="s">
        <v>1280</v>
      </c>
      <c r="AT603" s="4"/>
      <c r="AU603" s="4"/>
      <c r="AV603" s="4" t="s">
        <v>1280</v>
      </c>
      <c r="AW603" s="4" t="s">
        <v>1280</v>
      </c>
      <c r="AX603" s="4" t="s">
        <v>1280</v>
      </c>
      <c r="AY603" s="4" t="s">
        <v>1280</v>
      </c>
      <c r="AZ603" s="4" t="str">
        <f t="shared" si="213"/>
        <v>-</v>
      </c>
      <c r="BA603" s="19">
        <v>4</v>
      </c>
      <c r="BB603" s="19">
        <v>8</v>
      </c>
      <c r="BC603" s="16">
        <v>19</v>
      </c>
      <c r="BD603" t="s">
        <v>1280</v>
      </c>
      <c r="BE603" t="s">
        <v>1280</v>
      </c>
      <c r="BF603" t="s">
        <v>1280</v>
      </c>
      <c r="BG603" t="str">
        <f t="shared" si="218"/>
        <v>-</v>
      </c>
      <c r="BH603">
        <v>4491</v>
      </c>
      <c r="BI603">
        <v>4491</v>
      </c>
      <c r="BJ603">
        <v>4491</v>
      </c>
      <c r="BK603">
        <f t="shared" si="219"/>
        <v>4937.2211538461543</v>
      </c>
      <c r="BL603" t="s">
        <v>1280</v>
      </c>
      <c r="BM603">
        <v>812</v>
      </c>
    </row>
    <row r="604" spans="1:65" x14ac:dyDescent="0.4">
      <c r="A604" s="3">
        <v>292</v>
      </c>
      <c r="B604" s="3">
        <v>292</v>
      </c>
      <c r="C604" s="4" t="s">
        <v>281</v>
      </c>
      <c r="D604" s="4" t="str">
        <f t="shared" si="198"/>
        <v>J3955N</v>
      </c>
      <c r="E604" s="4" t="s">
        <v>281</v>
      </c>
      <c r="F604" s="4" t="str">
        <f t="shared" si="214"/>
        <v>J3955N5</v>
      </c>
      <c r="G604" s="4" t="s">
        <v>927</v>
      </c>
      <c r="H604" s="5">
        <v>4529671083632</v>
      </c>
      <c r="I604" s="5">
        <v>5</v>
      </c>
      <c r="J604" s="5"/>
      <c r="K604" s="5">
        <v>1</v>
      </c>
      <c r="L604" s="5">
        <v>1</v>
      </c>
      <c r="M604" s="4">
        <v>0</v>
      </c>
      <c r="N604" s="4">
        <v>5495</v>
      </c>
      <c r="O604" s="4">
        <v>3744</v>
      </c>
      <c r="P604" s="6">
        <f t="shared" si="199"/>
        <v>0.31865332120109191</v>
      </c>
      <c r="Q604" s="4" t="s">
        <v>1280</v>
      </c>
      <c r="R604" s="4" t="s">
        <v>1280</v>
      </c>
      <c r="S604" s="4" t="s">
        <v>1280</v>
      </c>
      <c r="T604" s="4">
        <v>0</v>
      </c>
      <c r="U604" s="4">
        <f t="shared" si="200"/>
        <v>0</v>
      </c>
      <c r="V604" s="4">
        <v>4116</v>
      </c>
      <c r="W604" s="4">
        <f t="shared" si="201"/>
        <v>4116</v>
      </c>
      <c r="X604" s="4"/>
      <c r="Y604" s="21">
        <f t="shared" si="202"/>
        <v>6041</v>
      </c>
      <c r="Z604" s="6">
        <f t="shared" si="203"/>
        <v>0.3186558516801854</v>
      </c>
      <c r="AA604" s="4">
        <v>0</v>
      </c>
      <c r="AB604" s="4" t="str">
        <f t="shared" si="204"/>
        <v>-</v>
      </c>
      <c r="AC604" s="4" t="str">
        <f t="shared" si="215"/>
        <v>-</v>
      </c>
      <c r="AD604" s="6" t="str">
        <f t="shared" si="216"/>
        <v>-</v>
      </c>
      <c r="AE604" s="4">
        <f t="shared" si="217"/>
        <v>0</v>
      </c>
      <c r="AF604" s="7">
        <v>6300</v>
      </c>
      <c r="AG604" s="6">
        <f t="shared" si="205"/>
        <v>0.34666666666666668</v>
      </c>
      <c r="AH604" s="4">
        <f t="shared" si="206"/>
        <v>2184</v>
      </c>
      <c r="AI604" s="28"/>
      <c r="AJ604" s="6"/>
      <c r="AK604" s="6"/>
      <c r="AL604" s="6" t="e">
        <f t="shared" si="207"/>
        <v>#DIV/0!</v>
      </c>
      <c r="AM604" s="6">
        <f t="shared" si="208"/>
        <v>1.1464968152866242</v>
      </c>
      <c r="AN604" s="6">
        <f t="shared" si="209"/>
        <v>1.0993589743589745</v>
      </c>
      <c r="AO604" s="4" t="str">
        <f t="shared" si="210"/>
        <v>-</v>
      </c>
      <c r="AP604" s="4" t="str">
        <f t="shared" si="211"/>
        <v>-</v>
      </c>
      <c r="AQ604" s="4" t="str">
        <f t="shared" si="212"/>
        <v>-</v>
      </c>
      <c r="AR604" s="4">
        <v>0</v>
      </c>
      <c r="AS604" s="4" t="s">
        <v>1280</v>
      </c>
      <c r="AT604" s="4"/>
      <c r="AU604" s="4"/>
      <c r="AV604" s="4" t="s">
        <v>1280</v>
      </c>
      <c r="AW604" s="4" t="s">
        <v>1280</v>
      </c>
      <c r="AX604" s="4" t="s">
        <v>1280</v>
      </c>
      <c r="AY604" s="4" t="s">
        <v>1280</v>
      </c>
      <c r="AZ604" s="4" t="str">
        <f t="shared" si="213"/>
        <v>-</v>
      </c>
      <c r="BA604" s="19">
        <v>4</v>
      </c>
      <c r="BB604" s="19">
        <v>8</v>
      </c>
      <c r="BC604" s="16">
        <v>19</v>
      </c>
      <c r="BD604" t="s">
        <v>1280</v>
      </c>
      <c r="BE604" t="s">
        <v>1280</v>
      </c>
      <c r="BF604" t="s">
        <v>1280</v>
      </c>
      <c r="BG604" t="str">
        <f t="shared" si="218"/>
        <v>-</v>
      </c>
      <c r="BH604">
        <v>4491</v>
      </c>
      <c r="BI604">
        <v>4491</v>
      </c>
      <c r="BJ604">
        <v>4491</v>
      </c>
      <c r="BK604">
        <f t="shared" si="219"/>
        <v>4937.2211538461543</v>
      </c>
      <c r="BL604" t="s">
        <v>1280</v>
      </c>
      <c r="BM604">
        <v>812</v>
      </c>
    </row>
    <row r="605" spans="1:65" x14ac:dyDescent="0.4">
      <c r="A605" s="3">
        <v>297</v>
      </c>
      <c r="B605" s="3">
        <v>297</v>
      </c>
      <c r="C605" s="4" t="s">
        <v>286</v>
      </c>
      <c r="D605" s="4" t="str">
        <f t="shared" si="198"/>
        <v>J3956N</v>
      </c>
      <c r="E605" s="4" t="s">
        <v>286</v>
      </c>
      <c r="F605" s="4" t="str">
        <f t="shared" si="214"/>
        <v>J3956N5</v>
      </c>
      <c r="G605" s="4" t="s">
        <v>932</v>
      </c>
      <c r="H605" s="5">
        <v>4529671083649</v>
      </c>
      <c r="I605" s="5">
        <v>5</v>
      </c>
      <c r="J605" s="5"/>
      <c r="K605" s="5">
        <v>1</v>
      </c>
      <c r="L605" s="5">
        <v>1</v>
      </c>
      <c r="M605" s="4">
        <v>0</v>
      </c>
      <c r="N605" s="4">
        <v>5495</v>
      </c>
      <c r="O605" s="4">
        <v>3744</v>
      </c>
      <c r="P605" s="6">
        <f t="shared" si="199"/>
        <v>0.31865332120109191</v>
      </c>
      <c r="Q605" s="4" t="s">
        <v>1280</v>
      </c>
      <c r="R605" s="4" t="s">
        <v>1280</v>
      </c>
      <c r="S605" s="4" t="s">
        <v>1280</v>
      </c>
      <c r="T605" s="4">
        <v>0</v>
      </c>
      <c r="U605" s="4">
        <f t="shared" si="200"/>
        <v>0</v>
      </c>
      <c r="V605" s="4">
        <v>4116</v>
      </c>
      <c r="W605" s="4">
        <f t="shared" si="201"/>
        <v>4116</v>
      </c>
      <c r="X605" s="4"/>
      <c r="Y605" s="21">
        <f t="shared" si="202"/>
        <v>6041</v>
      </c>
      <c r="Z605" s="6">
        <f t="shared" si="203"/>
        <v>0.3186558516801854</v>
      </c>
      <c r="AA605" s="4">
        <v>0</v>
      </c>
      <c r="AB605" s="4" t="str">
        <f t="shared" si="204"/>
        <v>-</v>
      </c>
      <c r="AC605" s="4" t="str">
        <f t="shared" si="215"/>
        <v>-</v>
      </c>
      <c r="AD605" s="6" t="str">
        <f t="shared" si="216"/>
        <v>-</v>
      </c>
      <c r="AE605" s="4">
        <f t="shared" si="217"/>
        <v>0</v>
      </c>
      <c r="AF605" s="7">
        <v>6300</v>
      </c>
      <c r="AG605" s="6">
        <f t="shared" si="205"/>
        <v>0.34666666666666668</v>
      </c>
      <c r="AH605" s="4">
        <f t="shared" si="206"/>
        <v>2184</v>
      </c>
      <c r="AI605" s="28"/>
      <c r="AJ605" s="6"/>
      <c r="AK605" s="6"/>
      <c r="AL605" s="6" t="e">
        <f t="shared" si="207"/>
        <v>#DIV/0!</v>
      </c>
      <c r="AM605" s="6">
        <f t="shared" si="208"/>
        <v>1.1464968152866242</v>
      </c>
      <c r="AN605" s="6">
        <f t="shared" si="209"/>
        <v>1.0993589743589745</v>
      </c>
      <c r="AO605" s="4" t="str">
        <f t="shared" si="210"/>
        <v>-</v>
      </c>
      <c r="AP605" s="4" t="str">
        <f t="shared" si="211"/>
        <v>-</v>
      </c>
      <c r="AQ605" s="4" t="str">
        <f t="shared" si="212"/>
        <v>-</v>
      </c>
      <c r="AR605" s="4">
        <v>0</v>
      </c>
      <c r="AS605" s="4" t="s">
        <v>1280</v>
      </c>
      <c r="AT605" s="4"/>
      <c r="AU605" s="4"/>
      <c r="AV605" s="4" t="s">
        <v>1280</v>
      </c>
      <c r="AW605" s="4" t="s">
        <v>1280</v>
      </c>
      <c r="AX605" s="4" t="s">
        <v>1280</v>
      </c>
      <c r="AY605" s="4" t="s">
        <v>1280</v>
      </c>
      <c r="AZ605" s="4" t="str">
        <f t="shared" si="213"/>
        <v>-</v>
      </c>
      <c r="BA605" s="19">
        <v>4</v>
      </c>
      <c r="BB605" s="19">
        <v>8</v>
      </c>
      <c r="BC605" s="16">
        <v>19</v>
      </c>
      <c r="BD605" t="s">
        <v>1280</v>
      </c>
      <c r="BE605" t="s">
        <v>1280</v>
      </c>
      <c r="BF605" t="s">
        <v>1280</v>
      </c>
      <c r="BG605" t="str">
        <f t="shared" si="218"/>
        <v>-</v>
      </c>
      <c r="BH605">
        <v>4491</v>
      </c>
      <c r="BI605">
        <v>4491</v>
      </c>
      <c r="BJ605">
        <v>4491</v>
      </c>
      <c r="BK605">
        <f t="shared" si="219"/>
        <v>4937.2211538461543</v>
      </c>
      <c r="BL605" t="s">
        <v>1280</v>
      </c>
      <c r="BM605">
        <v>812</v>
      </c>
    </row>
    <row r="606" spans="1:65" x14ac:dyDescent="0.4">
      <c r="A606" s="3">
        <v>298</v>
      </c>
      <c r="B606" s="3">
        <v>298</v>
      </c>
      <c r="C606" s="4" t="s">
        <v>287</v>
      </c>
      <c r="D606" s="4" t="str">
        <f t="shared" si="198"/>
        <v>J3957N</v>
      </c>
      <c r="E606" s="4" t="s">
        <v>287</v>
      </c>
      <c r="F606" s="4" t="str">
        <f t="shared" si="214"/>
        <v>J3957N5</v>
      </c>
      <c r="G606" s="4" t="s">
        <v>933</v>
      </c>
      <c r="H606" s="5">
        <v>4529671083656</v>
      </c>
      <c r="I606" s="5">
        <v>5</v>
      </c>
      <c r="J606" s="5"/>
      <c r="K606" s="5">
        <v>1</v>
      </c>
      <c r="L606" s="5">
        <v>1</v>
      </c>
      <c r="M606" s="4">
        <v>0</v>
      </c>
      <c r="N606" s="4">
        <v>5495</v>
      </c>
      <c r="O606" s="4">
        <v>3744</v>
      </c>
      <c r="P606" s="6">
        <f t="shared" si="199"/>
        <v>0.31865332120109191</v>
      </c>
      <c r="Q606" s="4" t="s">
        <v>1280</v>
      </c>
      <c r="R606" s="4" t="s">
        <v>1280</v>
      </c>
      <c r="S606" s="4" t="s">
        <v>1280</v>
      </c>
      <c r="T606" s="4">
        <v>0</v>
      </c>
      <c r="U606" s="4">
        <f t="shared" si="200"/>
        <v>0</v>
      </c>
      <c r="V606" s="4">
        <v>4116</v>
      </c>
      <c r="W606" s="4">
        <f t="shared" si="201"/>
        <v>4116</v>
      </c>
      <c r="X606" s="4"/>
      <c r="Y606" s="21">
        <f t="shared" si="202"/>
        <v>6041</v>
      </c>
      <c r="Z606" s="6">
        <f t="shared" si="203"/>
        <v>0.3186558516801854</v>
      </c>
      <c r="AA606" s="4">
        <v>0</v>
      </c>
      <c r="AB606" s="4" t="str">
        <f t="shared" si="204"/>
        <v>-</v>
      </c>
      <c r="AC606" s="4" t="str">
        <f t="shared" si="215"/>
        <v>-</v>
      </c>
      <c r="AD606" s="6" t="str">
        <f t="shared" si="216"/>
        <v>-</v>
      </c>
      <c r="AE606" s="4">
        <f t="shared" si="217"/>
        <v>0</v>
      </c>
      <c r="AF606" s="7">
        <v>6300</v>
      </c>
      <c r="AG606" s="6">
        <f t="shared" si="205"/>
        <v>0.34666666666666668</v>
      </c>
      <c r="AH606" s="4">
        <f t="shared" si="206"/>
        <v>2184</v>
      </c>
      <c r="AI606" s="28"/>
      <c r="AJ606" s="6"/>
      <c r="AK606" s="6"/>
      <c r="AL606" s="6" t="e">
        <f t="shared" si="207"/>
        <v>#DIV/0!</v>
      </c>
      <c r="AM606" s="6">
        <f t="shared" si="208"/>
        <v>1.1464968152866242</v>
      </c>
      <c r="AN606" s="6">
        <f t="shared" si="209"/>
        <v>1.0993589743589745</v>
      </c>
      <c r="AO606" s="4" t="str">
        <f t="shared" si="210"/>
        <v>-</v>
      </c>
      <c r="AP606" s="4" t="str">
        <f t="shared" si="211"/>
        <v>-</v>
      </c>
      <c r="AQ606" s="4" t="str">
        <f t="shared" si="212"/>
        <v>-</v>
      </c>
      <c r="AR606" s="4">
        <v>0</v>
      </c>
      <c r="AS606" s="4" t="s">
        <v>1280</v>
      </c>
      <c r="AT606" s="4"/>
      <c r="AU606" s="4"/>
      <c r="AV606" s="4" t="s">
        <v>1280</v>
      </c>
      <c r="AW606" s="4" t="s">
        <v>1280</v>
      </c>
      <c r="AX606" s="4" t="s">
        <v>1280</v>
      </c>
      <c r="AY606" s="4" t="s">
        <v>1280</v>
      </c>
      <c r="AZ606" s="4" t="str">
        <f t="shared" si="213"/>
        <v>-</v>
      </c>
      <c r="BA606" s="19">
        <v>4</v>
      </c>
      <c r="BB606" s="19">
        <v>8</v>
      </c>
      <c r="BC606" s="16">
        <v>19</v>
      </c>
      <c r="BD606" t="s">
        <v>1280</v>
      </c>
      <c r="BE606" t="s">
        <v>1280</v>
      </c>
      <c r="BF606" t="s">
        <v>1280</v>
      </c>
      <c r="BG606" t="str">
        <f t="shared" si="218"/>
        <v>-</v>
      </c>
      <c r="BH606">
        <v>4491</v>
      </c>
      <c r="BI606">
        <v>4491</v>
      </c>
      <c r="BJ606">
        <v>4491</v>
      </c>
      <c r="BK606">
        <f t="shared" si="219"/>
        <v>4937.2211538461543</v>
      </c>
      <c r="BL606" t="s">
        <v>1280</v>
      </c>
      <c r="BM606">
        <v>812</v>
      </c>
    </row>
    <row r="607" spans="1:65" x14ac:dyDescent="0.4">
      <c r="A607" s="3">
        <v>306</v>
      </c>
      <c r="B607" s="3">
        <v>306</v>
      </c>
      <c r="C607" s="4" t="s">
        <v>295</v>
      </c>
      <c r="D607" s="4" t="str">
        <f t="shared" si="198"/>
        <v>J3958N</v>
      </c>
      <c r="E607" s="4" t="s">
        <v>295</v>
      </c>
      <c r="F607" s="4" t="str">
        <f t="shared" si="214"/>
        <v>J3958N5</v>
      </c>
      <c r="G607" s="4" t="s">
        <v>941</v>
      </c>
      <c r="H607" s="5">
        <v>4529671083663</v>
      </c>
      <c r="I607" s="5">
        <v>5</v>
      </c>
      <c r="J607" s="5"/>
      <c r="K607" s="5">
        <v>1</v>
      </c>
      <c r="L607" s="5">
        <v>1</v>
      </c>
      <c r="M607" s="4">
        <v>0</v>
      </c>
      <c r="N607" s="4">
        <v>5495</v>
      </c>
      <c r="O607" s="4">
        <v>3744</v>
      </c>
      <c r="P607" s="6">
        <f t="shared" si="199"/>
        <v>0.31865332120109191</v>
      </c>
      <c r="Q607" s="4" t="s">
        <v>1280</v>
      </c>
      <c r="R607" s="4" t="s">
        <v>1280</v>
      </c>
      <c r="S607" s="4" t="s">
        <v>1280</v>
      </c>
      <c r="T607" s="4">
        <v>0</v>
      </c>
      <c r="U607" s="4">
        <f t="shared" si="200"/>
        <v>0</v>
      </c>
      <c r="V607" s="4">
        <v>4116</v>
      </c>
      <c r="W607" s="4">
        <f t="shared" si="201"/>
        <v>4116</v>
      </c>
      <c r="X607" s="4"/>
      <c r="Y607" s="21">
        <f t="shared" si="202"/>
        <v>6041</v>
      </c>
      <c r="Z607" s="6">
        <f t="shared" si="203"/>
        <v>0.3186558516801854</v>
      </c>
      <c r="AA607" s="4">
        <v>0</v>
      </c>
      <c r="AB607" s="4" t="str">
        <f t="shared" si="204"/>
        <v>-</v>
      </c>
      <c r="AC607" s="4" t="str">
        <f t="shared" si="215"/>
        <v>-</v>
      </c>
      <c r="AD607" s="6" t="str">
        <f t="shared" si="216"/>
        <v>-</v>
      </c>
      <c r="AE607" s="4">
        <f t="shared" si="217"/>
        <v>0</v>
      </c>
      <c r="AF607" s="7">
        <v>6300</v>
      </c>
      <c r="AG607" s="6">
        <f t="shared" si="205"/>
        <v>0.34666666666666668</v>
      </c>
      <c r="AH607" s="4">
        <f t="shared" si="206"/>
        <v>2184</v>
      </c>
      <c r="AI607" s="28"/>
      <c r="AJ607" s="6"/>
      <c r="AK607" s="6"/>
      <c r="AL607" s="6" t="e">
        <f t="shared" si="207"/>
        <v>#DIV/0!</v>
      </c>
      <c r="AM607" s="6">
        <f t="shared" si="208"/>
        <v>1.1464968152866242</v>
      </c>
      <c r="AN607" s="6">
        <f t="shared" si="209"/>
        <v>1.0993589743589745</v>
      </c>
      <c r="AO607" s="4" t="str">
        <f t="shared" si="210"/>
        <v>-</v>
      </c>
      <c r="AP607" s="4" t="str">
        <f t="shared" si="211"/>
        <v>-</v>
      </c>
      <c r="AQ607" s="4" t="str">
        <f t="shared" si="212"/>
        <v>-</v>
      </c>
      <c r="AR607" s="4">
        <v>0</v>
      </c>
      <c r="AS607" s="4" t="s">
        <v>1280</v>
      </c>
      <c r="AT607" s="4"/>
      <c r="AU607" s="4"/>
      <c r="AV607" s="4" t="s">
        <v>1280</v>
      </c>
      <c r="AW607" s="4" t="s">
        <v>1280</v>
      </c>
      <c r="AX607" s="4" t="s">
        <v>1280</v>
      </c>
      <c r="AY607" s="4" t="s">
        <v>1280</v>
      </c>
      <c r="AZ607" s="4" t="str">
        <f t="shared" si="213"/>
        <v>-</v>
      </c>
      <c r="BA607" s="19">
        <v>4</v>
      </c>
      <c r="BB607" s="19">
        <v>8</v>
      </c>
      <c r="BC607" s="16">
        <v>19</v>
      </c>
      <c r="BD607" t="s">
        <v>1280</v>
      </c>
      <c r="BE607" t="s">
        <v>1280</v>
      </c>
      <c r="BF607" t="s">
        <v>1280</v>
      </c>
      <c r="BG607" t="str">
        <f t="shared" si="218"/>
        <v>-</v>
      </c>
      <c r="BH607">
        <v>4491</v>
      </c>
      <c r="BI607">
        <v>4491</v>
      </c>
      <c r="BJ607">
        <v>4491</v>
      </c>
      <c r="BK607">
        <f t="shared" si="219"/>
        <v>4937.2211538461543</v>
      </c>
      <c r="BL607" t="s">
        <v>1280</v>
      </c>
      <c r="BM607">
        <v>812</v>
      </c>
    </row>
    <row r="608" spans="1:65" x14ac:dyDescent="0.4">
      <c r="A608" s="3">
        <v>307</v>
      </c>
      <c r="B608" s="3">
        <v>307</v>
      </c>
      <c r="C608" s="4" t="s">
        <v>296</v>
      </c>
      <c r="D608" s="4" t="str">
        <f t="shared" si="198"/>
        <v>J3959N</v>
      </c>
      <c r="E608" s="4" t="s">
        <v>296</v>
      </c>
      <c r="F608" s="4" t="str">
        <f t="shared" si="214"/>
        <v>J3959N5</v>
      </c>
      <c r="G608" s="4" t="s">
        <v>942</v>
      </c>
      <c r="H608" s="5">
        <v>4529671083670</v>
      </c>
      <c r="I608" s="5">
        <v>5</v>
      </c>
      <c r="J608" s="5"/>
      <c r="K608" s="5">
        <v>1</v>
      </c>
      <c r="L608" s="5">
        <v>1</v>
      </c>
      <c r="M608" s="4">
        <v>0</v>
      </c>
      <c r="N608" s="4">
        <v>5495</v>
      </c>
      <c r="O608" s="4">
        <v>3744</v>
      </c>
      <c r="P608" s="6">
        <f t="shared" si="199"/>
        <v>0.31865332120109191</v>
      </c>
      <c r="Q608" s="4" t="s">
        <v>1280</v>
      </c>
      <c r="R608" s="4" t="s">
        <v>1280</v>
      </c>
      <c r="S608" s="4" t="s">
        <v>1280</v>
      </c>
      <c r="T608" s="4">
        <v>0</v>
      </c>
      <c r="U608" s="4">
        <f t="shared" si="200"/>
        <v>0</v>
      </c>
      <c r="V608" s="4">
        <v>4116</v>
      </c>
      <c r="W608" s="4">
        <f t="shared" si="201"/>
        <v>4116</v>
      </c>
      <c r="X608" s="4"/>
      <c r="Y608" s="21">
        <f t="shared" si="202"/>
        <v>6041</v>
      </c>
      <c r="Z608" s="6">
        <f t="shared" si="203"/>
        <v>0.3186558516801854</v>
      </c>
      <c r="AA608" s="4">
        <v>0</v>
      </c>
      <c r="AB608" s="4" t="str">
        <f t="shared" si="204"/>
        <v>-</v>
      </c>
      <c r="AC608" s="4" t="str">
        <f t="shared" si="215"/>
        <v>-</v>
      </c>
      <c r="AD608" s="6" t="str">
        <f t="shared" si="216"/>
        <v>-</v>
      </c>
      <c r="AE608" s="4">
        <f t="shared" si="217"/>
        <v>0</v>
      </c>
      <c r="AF608" s="7">
        <v>6300</v>
      </c>
      <c r="AG608" s="6">
        <f t="shared" si="205"/>
        <v>0.34666666666666668</v>
      </c>
      <c r="AH608" s="4">
        <f t="shared" si="206"/>
        <v>2184</v>
      </c>
      <c r="AI608" s="28"/>
      <c r="AJ608" s="6"/>
      <c r="AK608" s="6"/>
      <c r="AL608" s="6" t="e">
        <f t="shared" si="207"/>
        <v>#DIV/0!</v>
      </c>
      <c r="AM608" s="6">
        <f t="shared" si="208"/>
        <v>1.1464968152866242</v>
      </c>
      <c r="AN608" s="6">
        <f t="shared" si="209"/>
        <v>1.0993589743589745</v>
      </c>
      <c r="AO608" s="4" t="str">
        <f t="shared" si="210"/>
        <v>-</v>
      </c>
      <c r="AP608" s="4" t="str">
        <f t="shared" si="211"/>
        <v>-</v>
      </c>
      <c r="AQ608" s="4" t="str">
        <f t="shared" si="212"/>
        <v>-</v>
      </c>
      <c r="AR608" s="4">
        <v>0</v>
      </c>
      <c r="AS608" s="4" t="s">
        <v>1280</v>
      </c>
      <c r="AT608" s="4"/>
      <c r="AU608" s="4"/>
      <c r="AV608" s="4" t="s">
        <v>1280</v>
      </c>
      <c r="AW608" s="4" t="s">
        <v>1280</v>
      </c>
      <c r="AX608" s="4" t="s">
        <v>1280</v>
      </c>
      <c r="AY608" s="4" t="s">
        <v>1280</v>
      </c>
      <c r="AZ608" s="4" t="str">
        <f t="shared" si="213"/>
        <v>-</v>
      </c>
      <c r="BA608" s="19">
        <v>4</v>
      </c>
      <c r="BB608" s="19">
        <v>8</v>
      </c>
      <c r="BC608" s="16">
        <v>19</v>
      </c>
      <c r="BD608" t="s">
        <v>1280</v>
      </c>
      <c r="BE608" t="s">
        <v>1280</v>
      </c>
      <c r="BF608" t="s">
        <v>1280</v>
      </c>
      <c r="BG608" t="str">
        <f t="shared" si="218"/>
        <v>-</v>
      </c>
      <c r="BH608">
        <v>4491</v>
      </c>
      <c r="BI608">
        <v>4491</v>
      </c>
      <c r="BJ608">
        <v>4491</v>
      </c>
      <c r="BK608">
        <f t="shared" si="219"/>
        <v>4937.2211538461543</v>
      </c>
      <c r="BL608" t="s">
        <v>1280</v>
      </c>
      <c r="BM608">
        <v>812</v>
      </c>
    </row>
    <row r="609" spans="1:65" x14ac:dyDescent="0.4">
      <c r="A609" s="3">
        <v>314</v>
      </c>
      <c r="B609" s="3">
        <v>314</v>
      </c>
      <c r="C609" s="4" t="s">
        <v>303</v>
      </c>
      <c r="D609" s="4" t="str">
        <f t="shared" si="198"/>
        <v>J3960N</v>
      </c>
      <c r="E609" s="4" t="s">
        <v>303</v>
      </c>
      <c r="F609" s="4" t="str">
        <f t="shared" si="214"/>
        <v>J3960N5</v>
      </c>
      <c r="G609" s="4" t="s">
        <v>949</v>
      </c>
      <c r="H609" s="5">
        <v>4529671083687</v>
      </c>
      <c r="I609" s="5">
        <v>5</v>
      </c>
      <c r="J609" s="5"/>
      <c r="K609" s="5">
        <v>1</v>
      </c>
      <c r="L609" s="5">
        <v>1</v>
      </c>
      <c r="M609" s="4">
        <v>0</v>
      </c>
      <c r="N609" s="4">
        <v>5495</v>
      </c>
      <c r="O609" s="4">
        <v>3744</v>
      </c>
      <c r="P609" s="6">
        <f t="shared" si="199"/>
        <v>0.31865332120109191</v>
      </c>
      <c r="Q609" s="4" t="s">
        <v>1280</v>
      </c>
      <c r="R609" s="4" t="s">
        <v>1280</v>
      </c>
      <c r="S609" s="4" t="s">
        <v>1280</v>
      </c>
      <c r="T609" s="4">
        <v>0</v>
      </c>
      <c r="U609" s="4">
        <f t="shared" si="200"/>
        <v>0</v>
      </c>
      <c r="V609" s="4">
        <v>4116</v>
      </c>
      <c r="W609" s="4">
        <f t="shared" si="201"/>
        <v>4116</v>
      </c>
      <c r="X609" s="4"/>
      <c r="Y609" s="21">
        <f t="shared" si="202"/>
        <v>6041</v>
      </c>
      <c r="Z609" s="6">
        <f t="shared" si="203"/>
        <v>0.3186558516801854</v>
      </c>
      <c r="AA609" s="4">
        <v>0</v>
      </c>
      <c r="AB609" s="4" t="str">
        <f t="shared" si="204"/>
        <v>-</v>
      </c>
      <c r="AC609" s="4" t="str">
        <f t="shared" si="215"/>
        <v>-</v>
      </c>
      <c r="AD609" s="6" t="str">
        <f t="shared" si="216"/>
        <v>-</v>
      </c>
      <c r="AE609" s="4">
        <f t="shared" si="217"/>
        <v>0</v>
      </c>
      <c r="AF609" s="7">
        <v>6300</v>
      </c>
      <c r="AG609" s="6">
        <f t="shared" si="205"/>
        <v>0.34666666666666668</v>
      </c>
      <c r="AH609" s="4">
        <f t="shared" si="206"/>
        <v>2184</v>
      </c>
      <c r="AI609" s="28"/>
      <c r="AJ609" s="6"/>
      <c r="AK609" s="6"/>
      <c r="AL609" s="6" t="e">
        <f t="shared" si="207"/>
        <v>#DIV/0!</v>
      </c>
      <c r="AM609" s="6">
        <f t="shared" si="208"/>
        <v>1.1464968152866242</v>
      </c>
      <c r="AN609" s="6">
        <f t="shared" si="209"/>
        <v>1.0993589743589745</v>
      </c>
      <c r="AO609" s="4" t="str">
        <f t="shared" si="210"/>
        <v>-</v>
      </c>
      <c r="AP609" s="4" t="str">
        <f t="shared" si="211"/>
        <v>-</v>
      </c>
      <c r="AQ609" s="4" t="str">
        <f t="shared" si="212"/>
        <v>-</v>
      </c>
      <c r="AR609" s="4">
        <v>0</v>
      </c>
      <c r="AS609" s="4" t="s">
        <v>1280</v>
      </c>
      <c r="AT609" s="4"/>
      <c r="AU609" s="4"/>
      <c r="AV609" s="4" t="s">
        <v>1280</v>
      </c>
      <c r="AW609" s="4" t="s">
        <v>1280</v>
      </c>
      <c r="AX609" s="4" t="s">
        <v>1280</v>
      </c>
      <c r="AY609" s="4" t="s">
        <v>1280</v>
      </c>
      <c r="AZ609" s="4" t="str">
        <f t="shared" si="213"/>
        <v>-</v>
      </c>
      <c r="BA609" s="19">
        <v>4</v>
      </c>
      <c r="BB609" s="19">
        <v>8</v>
      </c>
      <c r="BC609" s="16">
        <v>19</v>
      </c>
      <c r="BD609" t="s">
        <v>1280</v>
      </c>
      <c r="BE609" t="s">
        <v>1280</v>
      </c>
      <c r="BF609" t="s">
        <v>1280</v>
      </c>
      <c r="BG609" t="str">
        <f t="shared" si="218"/>
        <v>-</v>
      </c>
      <c r="BH609">
        <v>4491</v>
      </c>
      <c r="BI609">
        <v>4491</v>
      </c>
      <c r="BJ609">
        <v>4491</v>
      </c>
      <c r="BK609">
        <f t="shared" si="219"/>
        <v>4937.2211538461543</v>
      </c>
      <c r="BL609" t="s">
        <v>1280</v>
      </c>
      <c r="BM609">
        <v>812</v>
      </c>
    </row>
    <row r="610" spans="1:65" x14ac:dyDescent="0.4">
      <c r="A610" s="3">
        <v>315</v>
      </c>
      <c r="B610" s="3">
        <v>315</v>
      </c>
      <c r="C610" s="4" t="s">
        <v>304</v>
      </c>
      <c r="D610" s="4" t="str">
        <f t="shared" si="198"/>
        <v>J3961N</v>
      </c>
      <c r="E610" s="4" t="s">
        <v>304</v>
      </c>
      <c r="F610" s="4" t="str">
        <f t="shared" si="214"/>
        <v>J3961N5</v>
      </c>
      <c r="G610" s="4" t="s">
        <v>950</v>
      </c>
      <c r="H610" s="5">
        <v>4529671083694</v>
      </c>
      <c r="I610" s="5">
        <v>5</v>
      </c>
      <c r="J610" s="5"/>
      <c r="K610" s="5">
        <v>1</v>
      </c>
      <c r="L610" s="5">
        <v>1</v>
      </c>
      <c r="M610" s="4">
        <v>0</v>
      </c>
      <c r="N610" s="4">
        <v>5495</v>
      </c>
      <c r="O610" s="4">
        <v>3744</v>
      </c>
      <c r="P610" s="6">
        <f t="shared" si="199"/>
        <v>0.31865332120109191</v>
      </c>
      <c r="Q610" s="4" t="s">
        <v>1280</v>
      </c>
      <c r="R610" s="4" t="s">
        <v>1280</v>
      </c>
      <c r="S610" s="4" t="s">
        <v>1280</v>
      </c>
      <c r="T610" s="4">
        <v>0</v>
      </c>
      <c r="U610" s="4">
        <f t="shared" si="200"/>
        <v>0</v>
      </c>
      <c r="V610" s="4">
        <v>4116</v>
      </c>
      <c r="W610" s="4">
        <f t="shared" si="201"/>
        <v>4116</v>
      </c>
      <c r="X610" s="4"/>
      <c r="Y610" s="21">
        <f t="shared" si="202"/>
        <v>6041</v>
      </c>
      <c r="Z610" s="6">
        <f t="shared" si="203"/>
        <v>0.3186558516801854</v>
      </c>
      <c r="AA610" s="4">
        <v>0</v>
      </c>
      <c r="AB610" s="4" t="str">
        <f t="shared" si="204"/>
        <v>-</v>
      </c>
      <c r="AC610" s="4" t="str">
        <f t="shared" si="215"/>
        <v>-</v>
      </c>
      <c r="AD610" s="6" t="str">
        <f t="shared" si="216"/>
        <v>-</v>
      </c>
      <c r="AE610" s="4">
        <f t="shared" si="217"/>
        <v>0</v>
      </c>
      <c r="AF610" s="7">
        <v>6300</v>
      </c>
      <c r="AG610" s="6">
        <f t="shared" si="205"/>
        <v>0.34666666666666668</v>
      </c>
      <c r="AH610" s="4">
        <f t="shared" si="206"/>
        <v>2184</v>
      </c>
      <c r="AI610" s="28"/>
      <c r="AJ610" s="6"/>
      <c r="AK610" s="6"/>
      <c r="AL610" s="6" t="e">
        <f t="shared" si="207"/>
        <v>#DIV/0!</v>
      </c>
      <c r="AM610" s="6">
        <f t="shared" si="208"/>
        <v>1.1464968152866242</v>
      </c>
      <c r="AN610" s="6">
        <f t="shared" si="209"/>
        <v>1.0993589743589745</v>
      </c>
      <c r="AO610" s="4" t="str">
        <f t="shared" si="210"/>
        <v>-</v>
      </c>
      <c r="AP610" s="4" t="str">
        <f t="shared" si="211"/>
        <v>-</v>
      </c>
      <c r="AQ610" s="4" t="str">
        <f t="shared" si="212"/>
        <v>-</v>
      </c>
      <c r="AR610" s="4">
        <v>0</v>
      </c>
      <c r="AS610" s="4" t="s">
        <v>1280</v>
      </c>
      <c r="AT610" s="4"/>
      <c r="AU610" s="4"/>
      <c r="AV610" s="4" t="s">
        <v>1280</v>
      </c>
      <c r="AW610" s="4" t="s">
        <v>1280</v>
      </c>
      <c r="AX610" s="4" t="s">
        <v>1280</v>
      </c>
      <c r="AY610" s="4" t="s">
        <v>1280</v>
      </c>
      <c r="AZ610" s="4" t="str">
        <f t="shared" si="213"/>
        <v>-</v>
      </c>
      <c r="BA610" s="19">
        <v>4</v>
      </c>
      <c r="BB610" s="19">
        <v>8</v>
      </c>
      <c r="BC610" s="16">
        <v>19</v>
      </c>
      <c r="BD610" t="s">
        <v>1280</v>
      </c>
      <c r="BE610" t="s">
        <v>1280</v>
      </c>
      <c r="BF610" t="s">
        <v>1280</v>
      </c>
      <c r="BG610" t="str">
        <f t="shared" si="218"/>
        <v>-</v>
      </c>
      <c r="BH610">
        <v>4491</v>
      </c>
      <c r="BI610">
        <v>4491</v>
      </c>
      <c r="BJ610">
        <v>4491</v>
      </c>
      <c r="BK610">
        <f t="shared" si="219"/>
        <v>4937.2211538461543</v>
      </c>
      <c r="BL610" t="s">
        <v>1280</v>
      </c>
      <c r="BM610">
        <v>812</v>
      </c>
    </row>
    <row r="611" spans="1:65" x14ac:dyDescent="0.4">
      <c r="A611" s="3">
        <v>316</v>
      </c>
      <c r="B611" s="3">
        <v>316</v>
      </c>
      <c r="C611" s="4" t="s">
        <v>305</v>
      </c>
      <c r="D611" s="4" t="str">
        <f t="shared" si="198"/>
        <v>J3962N</v>
      </c>
      <c r="E611" s="4" t="s">
        <v>305</v>
      </c>
      <c r="F611" s="4" t="str">
        <f t="shared" si="214"/>
        <v>J3962N5</v>
      </c>
      <c r="G611" s="4" t="s">
        <v>951</v>
      </c>
      <c r="H611" s="5">
        <v>4529671083700</v>
      </c>
      <c r="I611" s="5">
        <v>5</v>
      </c>
      <c r="J611" s="5"/>
      <c r="K611" s="5">
        <v>1</v>
      </c>
      <c r="L611" s="5">
        <v>1</v>
      </c>
      <c r="M611" s="4">
        <v>0</v>
      </c>
      <c r="N611" s="4">
        <v>5495</v>
      </c>
      <c r="O611" s="4">
        <v>3744</v>
      </c>
      <c r="P611" s="6">
        <f t="shared" si="199"/>
        <v>0.31865332120109191</v>
      </c>
      <c r="Q611" s="4" t="s">
        <v>1280</v>
      </c>
      <c r="R611" s="4" t="s">
        <v>1280</v>
      </c>
      <c r="S611" s="4" t="s">
        <v>1280</v>
      </c>
      <c r="T611" s="4">
        <v>0</v>
      </c>
      <c r="U611" s="4">
        <f t="shared" si="200"/>
        <v>0</v>
      </c>
      <c r="V611" s="4">
        <v>4116</v>
      </c>
      <c r="W611" s="4">
        <f t="shared" si="201"/>
        <v>4116</v>
      </c>
      <c r="X611" s="4"/>
      <c r="Y611" s="21">
        <f t="shared" si="202"/>
        <v>6041</v>
      </c>
      <c r="Z611" s="6">
        <f t="shared" si="203"/>
        <v>0.3186558516801854</v>
      </c>
      <c r="AA611" s="4">
        <v>0</v>
      </c>
      <c r="AB611" s="4" t="str">
        <f t="shared" si="204"/>
        <v>-</v>
      </c>
      <c r="AC611" s="4" t="str">
        <f t="shared" si="215"/>
        <v>-</v>
      </c>
      <c r="AD611" s="6" t="str">
        <f t="shared" si="216"/>
        <v>-</v>
      </c>
      <c r="AE611" s="4">
        <f t="shared" si="217"/>
        <v>0</v>
      </c>
      <c r="AF611" s="7">
        <v>6300</v>
      </c>
      <c r="AG611" s="6">
        <f t="shared" si="205"/>
        <v>0.34666666666666668</v>
      </c>
      <c r="AH611" s="4">
        <f t="shared" si="206"/>
        <v>2184</v>
      </c>
      <c r="AI611" s="28"/>
      <c r="AJ611" s="6"/>
      <c r="AK611" s="6"/>
      <c r="AL611" s="6" t="e">
        <f t="shared" si="207"/>
        <v>#DIV/0!</v>
      </c>
      <c r="AM611" s="6">
        <f t="shared" si="208"/>
        <v>1.1464968152866242</v>
      </c>
      <c r="AN611" s="6">
        <f t="shared" si="209"/>
        <v>1.0993589743589745</v>
      </c>
      <c r="AO611" s="4" t="str">
        <f t="shared" si="210"/>
        <v>-</v>
      </c>
      <c r="AP611" s="4" t="str">
        <f t="shared" si="211"/>
        <v>-</v>
      </c>
      <c r="AQ611" s="4" t="str">
        <f t="shared" si="212"/>
        <v>-</v>
      </c>
      <c r="AR611" s="4">
        <v>0</v>
      </c>
      <c r="AS611" s="4" t="s">
        <v>1280</v>
      </c>
      <c r="AT611" s="4"/>
      <c r="AU611" s="4"/>
      <c r="AV611" s="4" t="s">
        <v>1280</v>
      </c>
      <c r="AW611" s="4" t="s">
        <v>1280</v>
      </c>
      <c r="AX611" s="4" t="s">
        <v>1280</v>
      </c>
      <c r="AY611" s="4" t="s">
        <v>1280</v>
      </c>
      <c r="AZ611" s="4" t="str">
        <f t="shared" si="213"/>
        <v>-</v>
      </c>
      <c r="BA611" s="19">
        <v>4</v>
      </c>
      <c r="BB611" s="19">
        <v>8</v>
      </c>
      <c r="BC611" s="16">
        <v>19</v>
      </c>
      <c r="BD611" t="s">
        <v>1280</v>
      </c>
      <c r="BE611" t="s">
        <v>1280</v>
      </c>
      <c r="BF611" t="s">
        <v>1280</v>
      </c>
      <c r="BG611" t="str">
        <f t="shared" si="218"/>
        <v>-</v>
      </c>
      <c r="BH611">
        <v>4491</v>
      </c>
      <c r="BI611">
        <v>4491</v>
      </c>
      <c r="BJ611">
        <v>4491</v>
      </c>
      <c r="BK611">
        <f t="shared" si="219"/>
        <v>4937.2211538461543</v>
      </c>
      <c r="BL611" t="s">
        <v>1280</v>
      </c>
      <c r="BM611">
        <v>812</v>
      </c>
    </row>
    <row r="612" spans="1:65" x14ac:dyDescent="0.4">
      <c r="A612" s="3">
        <v>317</v>
      </c>
      <c r="B612" s="3">
        <v>317</v>
      </c>
      <c r="C612" s="4" t="s">
        <v>306</v>
      </c>
      <c r="D612" s="4" t="str">
        <f t="shared" si="198"/>
        <v>J3963N</v>
      </c>
      <c r="E612" s="4" t="s">
        <v>306</v>
      </c>
      <c r="F612" s="4" t="str">
        <f t="shared" si="214"/>
        <v>J3963N5</v>
      </c>
      <c r="G612" s="4" t="s">
        <v>952</v>
      </c>
      <c r="H612" s="5">
        <v>4529671083793</v>
      </c>
      <c r="I612" s="5">
        <v>5</v>
      </c>
      <c r="J612" s="5"/>
      <c r="K612" s="5">
        <v>1</v>
      </c>
      <c r="L612" s="5">
        <v>1</v>
      </c>
      <c r="M612" s="4">
        <v>0</v>
      </c>
      <c r="N612" s="4">
        <v>5495</v>
      </c>
      <c r="O612" s="4">
        <v>3744</v>
      </c>
      <c r="P612" s="6">
        <f t="shared" si="199"/>
        <v>0.31865332120109191</v>
      </c>
      <c r="Q612" s="4" t="s">
        <v>1280</v>
      </c>
      <c r="R612" s="4" t="s">
        <v>1280</v>
      </c>
      <c r="S612" s="4" t="s">
        <v>1280</v>
      </c>
      <c r="T612" s="4">
        <v>0</v>
      </c>
      <c r="U612" s="4">
        <f t="shared" si="200"/>
        <v>0</v>
      </c>
      <c r="V612" s="4">
        <v>4116</v>
      </c>
      <c r="W612" s="4">
        <f t="shared" si="201"/>
        <v>4116</v>
      </c>
      <c r="X612" s="4"/>
      <c r="Y612" s="21">
        <f t="shared" si="202"/>
        <v>6041</v>
      </c>
      <c r="Z612" s="6">
        <f t="shared" si="203"/>
        <v>0.3186558516801854</v>
      </c>
      <c r="AA612" s="4">
        <v>0</v>
      </c>
      <c r="AB612" s="4" t="str">
        <f t="shared" si="204"/>
        <v>-</v>
      </c>
      <c r="AC612" s="4" t="str">
        <f t="shared" si="215"/>
        <v>-</v>
      </c>
      <c r="AD612" s="6" t="str">
        <f t="shared" si="216"/>
        <v>-</v>
      </c>
      <c r="AE612" s="4">
        <f t="shared" si="217"/>
        <v>0</v>
      </c>
      <c r="AF612" s="7">
        <v>6300</v>
      </c>
      <c r="AG612" s="6">
        <f t="shared" si="205"/>
        <v>0.34666666666666668</v>
      </c>
      <c r="AH612" s="4">
        <f t="shared" si="206"/>
        <v>2184</v>
      </c>
      <c r="AI612" s="28"/>
      <c r="AJ612" s="6"/>
      <c r="AK612" s="6"/>
      <c r="AL612" s="6" t="e">
        <f t="shared" si="207"/>
        <v>#DIV/0!</v>
      </c>
      <c r="AM612" s="6">
        <f t="shared" si="208"/>
        <v>1.1464968152866242</v>
      </c>
      <c r="AN612" s="6">
        <f t="shared" si="209"/>
        <v>1.0993589743589745</v>
      </c>
      <c r="AO612" s="4" t="str">
        <f t="shared" si="210"/>
        <v>-</v>
      </c>
      <c r="AP612" s="4" t="str">
        <f t="shared" si="211"/>
        <v>-</v>
      </c>
      <c r="AQ612" s="4" t="str">
        <f t="shared" si="212"/>
        <v>-</v>
      </c>
      <c r="AR612" s="4">
        <v>0</v>
      </c>
      <c r="AS612" s="4" t="s">
        <v>1280</v>
      </c>
      <c r="AT612" s="4"/>
      <c r="AU612" s="4"/>
      <c r="AV612" s="4" t="s">
        <v>1280</v>
      </c>
      <c r="AW612" s="4" t="s">
        <v>1280</v>
      </c>
      <c r="AX612" s="4" t="s">
        <v>1280</v>
      </c>
      <c r="AY612" s="4" t="s">
        <v>1280</v>
      </c>
      <c r="AZ612" s="4" t="str">
        <f t="shared" si="213"/>
        <v>-</v>
      </c>
      <c r="BA612" s="19">
        <v>4</v>
      </c>
      <c r="BB612" s="19">
        <v>8</v>
      </c>
      <c r="BC612" s="16">
        <v>19</v>
      </c>
      <c r="BD612" t="s">
        <v>1280</v>
      </c>
      <c r="BE612" t="s">
        <v>1280</v>
      </c>
      <c r="BF612" t="s">
        <v>1280</v>
      </c>
      <c r="BG612" t="str">
        <f t="shared" si="218"/>
        <v>-</v>
      </c>
      <c r="BH612">
        <v>4491</v>
      </c>
      <c r="BI612">
        <v>4491</v>
      </c>
      <c r="BJ612">
        <v>4491</v>
      </c>
      <c r="BK612">
        <f t="shared" si="219"/>
        <v>4937.2211538461543</v>
      </c>
      <c r="BL612" t="s">
        <v>1280</v>
      </c>
      <c r="BM612">
        <v>812</v>
      </c>
    </row>
    <row r="613" spans="1:65" x14ac:dyDescent="0.4">
      <c r="A613" s="3">
        <v>318</v>
      </c>
      <c r="B613" s="3">
        <v>318</v>
      </c>
      <c r="C613" s="4" t="s">
        <v>307</v>
      </c>
      <c r="D613" s="4" t="str">
        <f t="shared" si="198"/>
        <v>J3966N</v>
      </c>
      <c r="E613" s="4" t="s">
        <v>307</v>
      </c>
      <c r="F613" s="4" t="str">
        <f t="shared" si="214"/>
        <v>J3966N5</v>
      </c>
      <c r="G613" s="4" t="s">
        <v>953</v>
      </c>
      <c r="H613" s="5">
        <v>4529671084325</v>
      </c>
      <c r="I613" s="5">
        <v>5</v>
      </c>
      <c r="J613" s="5"/>
      <c r="K613" s="5">
        <v>1</v>
      </c>
      <c r="L613" s="5">
        <v>1</v>
      </c>
      <c r="M613" s="4">
        <v>0</v>
      </c>
      <c r="N613" s="4">
        <v>5495</v>
      </c>
      <c r="O613" s="4">
        <v>3744</v>
      </c>
      <c r="P613" s="6">
        <f t="shared" si="199"/>
        <v>0.31865332120109191</v>
      </c>
      <c r="Q613" s="4" t="s">
        <v>1280</v>
      </c>
      <c r="R613" s="4" t="s">
        <v>1280</v>
      </c>
      <c r="S613" s="4" t="s">
        <v>1280</v>
      </c>
      <c r="T613" s="4">
        <v>0</v>
      </c>
      <c r="U613" s="4">
        <f t="shared" si="200"/>
        <v>0</v>
      </c>
      <c r="V613" s="4">
        <v>4116</v>
      </c>
      <c r="W613" s="4">
        <f t="shared" si="201"/>
        <v>4116</v>
      </c>
      <c r="X613" s="4"/>
      <c r="Y613" s="21">
        <f t="shared" si="202"/>
        <v>6041</v>
      </c>
      <c r="Z613" s="6">
        <f t="shared" si="203"/>
        <v>0.3186558516801854</v>
      </c>
      <c r="AA613" s="4">
        <v>0</v>
      </c>
      <c r="AB613" s="4" t="str">
        <f t="shared" si="204"/>
        <v>-</v>
      </c>
      <c r="AC613" s="4" t="str">
        <f t="shared" si="215"/>
        <v>-</v>
      </c>
      <c r="AD613" s="6" t="str">
        <f t="shared" si="216"/>
        <v>-</v>
      </c>
      <c r="AE613" s="4">
        <f t="shared" si="217"/>
        <v>0</v>
      </c>
      <c r="AF613" s="7">
        <v>6300</v>
      </c>
      <c r="AG613" s="6">
        <f t="shared" si="205"/>
        <v>0.34666666666666668</v>
      </c>
      <c r="AH613" s="4">
        <f t="shared" si="206"/>
        <v>2184</v>
      </c>
      <c r="AI613" s="28"/>
      <c r="AJ613" s="6"/>
      <c r="AK613" s="6"/>
      <c r="AL613" s="6" t="e">
        <f t="shared" si="207"/>
        <v>#DIV/0!</v>
      </c>
      <c r="AM613" s="6">
        <f t="shared" si="208"/>
        <v>1.1464968152866242</v>
      </c>
      <c r="AN613" s="6">
        <f t="shared" si="209"/>
        <v>1.0993589743589745</v>
      </c>
      <c r="AO613" s="4" t="str">
        <f t="shared" si="210"/>
        <v>-</v>
      </c>
      <c r="AP613" s="4" t="str">
        <f t="shared" si="211"/>
        <v>-</v>
      </c>
      <c r="AQ613" s="4" t="str">
        <f t="shared" si="212"/>
        <v>-</v>
      </c>
      <c r="AR613" s="4">
        <v>0</v>
      </c>
      <c r="AS613" s="4" t="s">
        <v>1280</v>
      </c>
      <c r="AT613" s="4"/>
      <c r="AU613" s="4"/>
      <c r="AV613" s="4" t="s">
        <v>1280</v>
      </c>
      <c r="AW613" s="4" t="s">
        <v>1280</v>
      </c>
      <c r="AX613" s="4" t="s">
        <v>1280</v>
      </c>
      <c r="AY613" s="4" t="s">
        <v>1280</v>
      </c>
      <c r="AZ613" s="4" t="str">
        <f t="shared" si="213"/>
        <v>-</v>
      </c>
      <c r="BA613" s="19">
        <v>4</v>
      </c>
      <c r="BB613" s="19">
        <v>8</v>
      </c>
      <c r="BC613" s="16">
        <v>19</v>
      </c>
      <c r="BD613" t="s">
        <v>1280</v>
      </c>
      <c r="BE613" t="s">
        <v>1280</v>
      </c>
      <c r="BF613" t="s">
        <v>1280</v>
      </c>
      <c r="BG613" t="str">
        <f t="shared" si="218"/>
        <v>-</v>
      </c>
      <c r="BH613">
        <v>4491</v>
      </c>
      <c r="BI613">
        <v>4491</v>
      </c>
      <c r="BJ613">
        <v>4491</v>
      </c>
      <c r="BK613">
        <f t="shared" si="219"/>
        <v>4937.2211538461543</v>
      </c>
      <c r="BL613" t="s">
        <v>1280</v>
      </c>
      <c r="BM613">
        <v>812</v>
      </c>
    </row>
    <row r="614" spans="1:65" x14ac:dyDescent="0.4">
      <c r="A614" s="3">
        <v>319</v>
      </c>
      <c r="B614" s="3">
        <v>319</v>
      </c>
      <c r="C614" s="4" t="s">
        <v>308</v>
      </c>
      <c r="D614" s="4" t="str">
        <f t="shared" si="198"/>
        <v>J3967N</v>
      </c>
      <c r="E614" s="4" t="s">
        <v>308</v>
      </c>
      <c r="F614" s="4" t="str">
        <f t="shared" si="214"/>
        <v>J3967N5</v>
      </c>
      <c r="G614" s="4" t="s">
        <v>954</v>
      </c>
      <c r="H614" s="5">
        <v>4529671084332</v>
      </c>
      <c r="I614" s="5">
        <v>5</v>
      </c>
      <c r="J614" s="5"/>
      <c r="K614" s="5">
        <v>1</v>
      </c>
      <c r="L614" s="5">
        <v>1</v>
      </c>
      <c r="M614" s="4">
        <v>0</v>
      </c>
      <c r="N614" s="4">
        <v>5495</v>
      </c>
      <c r="O614" s="4">
        <v>3744</v>
      </c>
      <c r="P614" s="6">
        <f t="shared" si="199"/>
        <v>0.31865332120109191</v>
      </c>
      <c r="Q614" s="4" t="s">
        <v>1280</v>
      </c>
      <c r="R614" s="4" t="s">
        <v>1280</v>
      </c>
      <c r="S614" s="4" t="s">
        <v>1280</v>
      </c>
      <c r="T614" s="4">
        <v>0</v>
      </c>
      <c r="U614" s="4">
        <f t="shared" si="200"/>
        <v>0</v>
      </c>
      <c r="V614" s="4">
        <v>4116</v>
      </c>
      <c r="W614" s="4">
        <f t="shared" si="201"/>
        <v>4116</v>
      </c>
      <c r="X614" s="4"/>
      <c r="Y614" s="21">
        <f t="shared" si="202"/>
        <v>6041</v>
      </c>
      <c r="Z614" s="6">
        <f t="shared" si="203"/>
        <v>0.3186558516801854</v>
      </c>
      <c r="AA614" s="4">
        <v>0</v>
      </c>
      <c r="AB614" s="4" t="str">
        <f t="shared" si="204"/>
        <v>-</v>
      </c>
      <c r="AC614" s="4" t="str">
        <f t="shared" si="215"/>
        <v>-</v>
      </c>
      <c r="AD614" s="6" t="str">
        <f t="shared" si="216"/>
        <v>-</v>
      </c>
      <c r="AE614" s="4">
        <f t="shared" si="217"/>
        <v>0</v>
      </c>
      <c r="AF614" s="7">
        <v>6300</v>
      </c>
      <c r="AG614" s="6">
        <f t="shared" si="205"/>
        <v>0.34666666666666668</v>
      </c>
      <c r="AH614" s="4">
        <f t="shared" si="206"/>
        <v>2184</v>
      </c>
      <c r="AI614" s="28"/>
      <c r="AJ614" s="6"/>
      <c r="AK614" s="6"/>
      <c r="AL614" s="6" t="e">
        <f t="shared" si="207"/>
        <v>#DIV/0!</v>
      </c>
      <c r="AM614" s="6">
        <f t="shared" si="208"/>
        <v>1.1464968152866242</v>
      </c>
      <c r="AN614" s="6">
        <f t="shared" si="209"/>
        <v>1.0993589743589745</v>
      </c>
      <c r="AO614" s="4" t="str">
        <f t="shared" si="210"/>
        <v>-</v>
      </c>
      <c r="AP614" s="4" t="str">
        <f t="shared" si="211"/>
        <v>-</v>
      </c>
      <c r="AQ614" s="4" t="str">
        <f t="shared" si="212"/>
        <v>-</v>
      </c>
      <c r="AR614" s="4">
        <v>0</v>
      </c>
      <c r="AS614" s="4" t="s">
        <v>1280</v>
      </c>
      <c r="AT614" s="4"/>
      <c r="AU614" s="4"/>
      <c r="AV614" s="4" t="s">
        <v>1280</v>
      </c>
      <c r="AW614" s="4" t="s">
        <v>1280</v>
      </c>
      <c r="AX614" s="4" t="s">
        <v>1280</v>
      </c>
      <c r="AY614" s="4" t="s">
        <v>1280</v>
      </c>
      <c r="AZ614" s="4" t="str">
        <f t="shared" si="213"/>
        <v>-</v>
      </c>
      <c r="BA614" s="19">
        <v>4</v>
      </c>
      <c r="BB614" s="19">
        <v>8</v>
      </c>
      <c r="BC614" s="16">
        <v>19</v>
      </c>
      <c r="BD614" t="s">
        <v>1280</v>
      </c>
      <c r="BE614" t="s">
        <v>1280</v>
      </c>
      <c r="BF614" t="s">
        <v>1280</v>
      </c>
      <c r="BG614" t="str">
        <f t="shared" si="218"/>
        <v>-</v>
      </c>
      <c r="BH614">
        <v>4491</v>
      </c>
      <c r="BI614">
        <v>4491</v>
      </c>
      <c r="BJ614">
        <v>4491</v>
      </c>
      <c r="BK614">
        <f t="shared" si="219"/>
        <v>4937.2211538461543</v>
      </c>
      <c r="BL614" t="s">
        <v>1280</v>
      </c>
      <c r="BM614">
        <v>812</v>
      </c>
    </row>
    <row r="615" spans="1:65" x14ac:dyDescent="0.4">
      <c r="A615" s="3">
        <v>320</v>
      </c>
      <c r="B615" s="3">
        <v>320</v>
      </c>
      <c r="C615" s="4" t="s">
        <v>309</v>
      </c>
      <c r="D615" s="4" t="str">
        <f t="shared" si="198"/>
        <v>J3968N</v>
      </c>
      <c r="E615" s="4" t="s">
        <v>309</v>
      </c>
      <c r="F615" s="4" t="str">
        <f t="shared" si="214"/>
        <v>J3968N5</v>
      </c>
      <c r="G615" s="4" t="s">
        <v>955</v>
      </c>
      <c r="H615" s="5">
        <v>4529671084349</v>
      </c>
      <c r="I615" s="5">
        <v>5</v>
      </c>
      <c r="J615" s="5"/>
      <c r="K615" s="5">
        <v>1</v>
      </c>
      <c r="L615" s="5">
        <v>1</v>
      </c>
      <c r="M615" s="4">
        <v>0</v>
      </c>
      <c r="N615" s="4">
        <v>5495</v>
      </c>
      <c r="O615" s="4">
        <v>3744</v>
      </c>
      <c r="P615" s="6">
        <f t="shared" si="199"/>
        <v>0.31865332120109191</v>
      </c>
      <c r="Q615" s="4" t="s">
        <v>1280</v>
      </c>
      <c r="R615" s="4" t="s">
        <v>1280</v>
      </c>
      <c r="S615" s="4" t="s">
        <v>1280</v>
      </c>
      <c r="T615" s="4">
        <v>0</v>
      </c>
      <c r="U615" s="4">
        <f t="shared" si="200"/>
        <v>0</v>
      </c>
      <c r="V615" s="4">
        <v>4116</v>
      </c>
      <c r="W615" s="4">
        <f t="shared" si="201"/>
        <v>4116</v>
      </c>
      <c r="X615" s="4"/>
      <c r="Y615" s="21">
        <f t="shared" si="202"/>
        <v>6041</v>
      </c>
      <c r="Z615" s="6">
        <f t="shared" si="203"/>
        <v>0.3186558516801854</v>
      </c>
      <c r="AA615" s="4">
        <v>0</v>
      </c>
      <c r="AB615" s="4" t="str">
        <f t="shared" si="204"/>
        <v>-</v>
      </c>
      <c r="AC615" s="4" t="str">
        <f t="shared" si="215"/>
        <v>-</v>
      </c>
      <c r="AD615" s="6" t="str">
        <f t="shared" si="216"/>
        <v>-</v>
      </c>
      <c r="AE615" s="4">
        <f t="shared" si="217"/>
        <v>0</v>
      </c>
      <c r="AF615" s="7">
        <v>6300</v>
      </c>
      <c r="AG615" s="6">
        <f t="shared" si="205"/>
        <v>0.34666666666666668</v>
      </c>
      <c r="AH615" s="4">
        <f t="shared" si="206"/>
        <v>2184</v>
      </c>
      <c r="AI615" s="28"/>
      <c r="AJ615" s="6"/>
      <c r="AK615" s="6"/>
      <c r="AL615" s="6" t="e">
        <f t="shared" si="207"/>
        <v>#DIV/0!</v>
      </c>
      <c r="AM615" s="6">
        <f t="shared" si="208"/>
        <v>1.1464968152866242</v>
      </c>
      <c r="AN615" s="6">
        <f t="shared" si="209"/>
        <v>1.0993589743589745</v>
      </c>
      <c r="AO615" s="4" t="str">
        <f t="shared" si="210"/>
        <v>-</v>
      </c>
      <c r="AP615" s="4" t="str">
        <f t="shared" si="211"/>
        <v>-</v>
      </c>
      <c r="AQ615" s="4" t="str">
        <f t="shared" si="212"/>
        <v>-</v>
      </c>
      <c r="AR615" s="4">
        <v>0</v>
      </c>
      <c r="AS615" s="4" t="s">
        <v>1280</v>
      </c>
      <c r="AT615" s="4"/>
      <c r="AU615" s="4"/>
      <c r="AV615" s="4" t="s">
        <v>1280</v>
      </c>
      <c r="AW615" s="4" t="s">
        <v>1280</v>
      </c>
      <c r="AX615" s="4" t="s">
        <v>1280</v>
      </c>
      <c r="AY615" s="4" t="s">
        <v>1280</v>
      </c>
      <c r="AZ615" s="4" t="str">
        <f t="shared" si="213"/>
        <v>-</v>
      </c>
      <c r="BA615" s="19">
        <v>4</v>
      </c>
      <c r="BB615" s="19">
        <v>8</v>
      </c>
      <c r="BC615" s="16">
        <v>19</v>
      </c>
      <c r="BD615" t="s">
        <v>1280</v>
      </c>
      <c r="BE615" t="s">
        <v>1280</v>
      </c>
      <c r="BF615" t="s">
        <v>1280</v>
      </c>
      <c r="BG615" t="str">
        <f t="shared" si="218"/>
        <v>-</v>
      </c>
      <c r="BH615">
        <v>4491</v>
      </c>
      <c r="BI615">
        <v>4491</v>
      </c>
      <c r="BJ615">
        <v>4491</v>
      </c>
      <c r="BK615">
        <f t="shared" si="219"/>
        <v>4937.2211538461543</v>
      </c>
      <c r="BL615" t="s">
        <v>1280</v>
      </c>
      <c r="BM615">
        <v>812</v>
      </c>
    </row>
    <row r="616" spans="1:65" x14ac:dyDescent="0.4">
      <c r="A616" s="3">
        <v>321</v>
      </c>
      <c r="B616" s="3">
        <v>321</v>
      </c>
      <c r="C616" s="4" t="s">
        <v>310</v>
      </c>
      <c r="D616" s="4" t="str">
        <f t="shared" si="198"/>
        <v>J3969N</v>
      </c>
      <c r="E616" s="4" t="s">
        <v>310</v>
      </c>
      <c r="F616" s="4" t="str">
        <f t="shared" si="214"/>
        <v>J3969N5</v>
      </c>
      <c r="G616" s="4" t="s">
        <v>956</v>
      </c>
      <c r="H616" s="5">
        <v>4529671085339</v>
      </c>
      <c r="I616" s="5">
        <v>5</v>
      </c>
      <c r="J616" s="5"/>
      <c r="K616" s="5">
        <v>1</v>
      </c>
      <c r="L616" s="5">
        <v>1</v>
      </c>
      <c r="M616" s="4">
        <v>0</v>
      </c>
      <c r="N616" s="4">
        <v>5495</v>
      </c>
      <c r="O616" s="4">
        <v>3744</v>
      </c>
      <c r="P616" s="6">
        <f t="shared" si="199"/>
        <v>0.31865332120109191</v>
      </c>
      <c r="Q616" s="4" t="s">
        <v>1280</v>
      </c>
      <c r="R616" s="4" t="s">
        <v>1280</v>
      </c>
      <c r="S616" s="4" t="s">
        <v>1280</v>
      </c>
      <c r="T616" s="4">
        <v>0</v>
      </c>
      <c r="U616" s="4">
        <f t="shared" si="200"/>
        <v>0</v>
      </c>
      <c r="V616" s="4">
        <v>4116</v>
      </c>
      <c r="W616" s="4">
        <f t="shared" si="201"/>
        <v>4116</v>
      </c>
      <c r="X616" s="4"/>
      <c r="Y616" s="21">
        <f t="shared" si="202"/>
        <v>6041</v>
      </c>
      <c r="Z616" s="6">
        <f t="shared" si="203"/>
        <v>0.3186558516801854</v>
      </c>
      <c r="AA616" s="4">
        <v>0</v>
      </c>
      <c r="AB616" s="4" t="str">
        <f t="shared" si="204"/>
        <v>-</v>
      </c>
      <c r="AC616" s="4" t="str">
        <f t="shared" si="215"/>
        <v>-</v>
      </c>
      <c r="AD616" s="6" t="str">
        <f t="shared" si="216"/>
        <v>-</v>
      </c>
      <c r="AE616" s="4">
        <f t="shared" si="217"/>
        <v>0</v>
      </c>
      <c r="AF616" s="7">
        <v>6300</v>
      </c>
      <c r="AG616" s="6">
        <f t="shared" si="205"/>
        <v>0.34666666666666668</v>
      </c>
      <c r="AH616" s="4">
        <f t="shared" si="206"/>
        <v>2184</v>
      </c>
      <c r="AI616" s="28"/>
      <c r="AJ616" s="6"/>
      <c r="AK616" s="6"/>
      <c r="AL616" s="6" t="e">
        <f t="shared" si="207"/>
        <v>#DIV/0!</v>
      </c>
      <c r="AM616" s="6">
        <f t="shared" si="208"/>
        <v>1.1464968152866242</v>
      </c>
      <c r="AN616" s="6">
        <f t="shared" si="209"/>
        <v>1.0993589743589745</v>
      </c>
      <c r="AO616" s="4" t="str">
        <f t="shared" si="210"/>
        <v>-</v>
      </c>
      <c r="AP616" s="4" t="str">
        <f t="shared" si="211"/>
        <v>-</v>
      </c>
      <c r="AQ616" s="4" t="str">
        <f t="shared" si="212"/>
        <v>-</v>
      </c>
      <c r="AR616" s="4">
        <v>0</v>
      </c>
      <c r="AS616" s="4" t="s">
        <v>1280</v>
      </c>
      <c r="AT616" s="4"/>
      <c r="AU616" s="4"/>
      <c r="AV616" s="4" t="s">
        <v>1280</v>
      </c>
      <c r="AW616" s="4" t="s">
        <v>1280</v>
      </c>
      <c r="AX616" s="4" t="s">
        <v>1280</v>
      </c>
      <c r="AY616" s="4" t="s">
        <v>1280</v>
      </c>
      <c r="AZ616" s="4" t="str">
        <f t="shared" si="213"/>
        <v>-</v>
      </c>
      <c r="BA616" s="19">
        <v>4</v>
      </c>
      <c r="BB616" s="19">
        <v>8</v>
      </c>
      <c r="BC616" s="16">
        <v>19</v>
      </c>
      <c r="BD616" t="s">
        <v>1280</v>
      </c>
      <c r="BE616" t="s">
        <v>1280</v>
      </c>
      <c r="BF616" t="s">
        <v>1280</v>
      </c>
      <c r="BG616" t="str">
        <f t="shared" si="218"/>
        <v>-</v>
      </c>
      <c r="BH616">
        <v>4491</v>
      </c>
      <c r="BI616">
        <v>4491</v>
      </c>
      <c r="BJ616">
        <v>4491</v>
      </c>
      <c r="BK616">
        <f t="shared" si="219"/>
        <v>4937.2211538461543</v>
      </c>
      <c r="BL616" t="s">
        <v>1280</v>
      </c>
      <c r="BM616">
        <v>812</v>
      </c>
    </row>
    <row r="617" spans="1:65" x14ac:dyDescent="0.4">
      <c r="A617" s="3">
        <v>327</v>
      </c>
      <c r="B617" s="3">
        <v>327</v>
      </c>
      <c r="C617" s="4" t="s">
        <v>316</v>
      </c>
      <c r="D617" s="4" t="str">
        <f t="shared" si="198"/>
        <v>J3970N</v>
      </c>
      <c r="E617" s="4" t="s">
        <v>316</v>
      </c>
      <c r="F617" s="4" t="str">
        <f t="shared" si="214"/>
        <v>J3970N5</v>
      </c>
      <c r="G617" s="4" t="s">
        <v>962</v>
      </c>
      <c r="H617" s="5">
        <v>4529671085346</v>
      </c>
      <c r="I617" s="5">
        <v>5</v>
      </c>
      <c r="J617" s="5"/>
      <c r="K617" s="5">
        <v>1</v>
      </c>
      <c r="L617" s="5">
        <v>1</v>
      </c>
      <c r="M617" s="4">
        <v>0</v>
      </c>
      <c r="N617" s="4">
        <v>5495</v>
      </c>
      <c r="O617" s="4">
        <v>3744</v>
      </c>
      <c r="P617" s="6">
        <f t="shared" si="199"/>
        <v>0.31865332120109191</v>
      </c>
      <c r="Q617" s="4" t="s">
        <v>1280</v>
      </c>
      <c r="R617" s="4" t="s">
        <v>1280</v>
      </c>
      <c r="S617" s="4" t="s">
        <v>1280</v>
      </c>
      <c r="T617" s="4">
        <v>0</v>
      </c>
      <c r="U617" s="4">
        <f t="shared" si="200"/>
        <v>0</v>
      </c>
      <c r="V617" s="4">
        <v>4116</v>
      </c>
      <c r="W617" s="4">
        <f t="shared" si="201"/>
        <v>4116</v>
      </c>
      <c r="X617" s="4"/>
      <c r="Y617" s="21">
        <f t="shared" si="202"/>
        <v>6041</v>
      </c>
      <c r="Z617" s="6">
        <f t="shared" si="203"/>
        <v>0.3186558516801854</v>
      </c>
      <c r="AA617" s="4">
        <v>0</v>
      </c>
      <c r="AB617" s="4" t="str">
        <f t="shared" si="204"/>
        <v>-</v>
      </c>
      <c r="AC617" s="4" t="str">
        <f t="shared" si="215"/>
        <v>-</v>
      </c>
      <c r="AD617" s="6" t="str">
        <f t="shared" si="216"/>
        <v>-</v>
      </c>
      <c r="AE617" s="4">
        <f t="shared" si="217"/>
        <v>0</v>
      </c>
      <c r="AF617" s="7">
        <v>6300</v>
      </c>
      <c r="AG617" s="6">
        <f t="shared" si="205"/>
        <v>0.34666666666666668</v>
      </c>
      <c r="AH617" s="4">
        <f t="shared" si="206"/>
        <v>2184</v>
      </c>
      <c r="AI617" s="28"/>
      <c r="AJ617" s="6"/>
      <c r="AK617" s="6"/>
      <c r="AL617" s="6" t="e">
        <f t="shared" si="207"/>
        <v>#DIV/0!</v>
      </c>
      <c r="AM617" s="6">
        <f t="shared" si="208"/>
        <v>1.1464968152866242</v>
      </c>
      <c r="AN617" s="6">
        <f t="shared" si="209"/>
        <v>1.0993589743589745</v>
      </c>
      <c r="AO617" s="4" t="str">
        <f t="shared" si="210"/>
        <v>-</v>
      </c>
      <c r="AP617" s="4" t="str">
        <f t="shared" si="211"/>
        <v>-</v>
      </c>
      <c r="AQ617" s="4" t="str">
        <f t="shared" si="212"/>
        <v>-</v>
      </c>
      <c r="AR617" s="4">
        <v>0</v>
      </c>
      <c r="AS617" s="4" t="s">
        <v>1280</v>
      </c>
      <c r="AT617" s="4"/>
      <c r="AU617" s="4"/>
      <c r="AV617" s="4" t="s">
        <v>1280</v>
      </c>
      <c r="AW617" s="4" t="s">
        <v>1280</v>
      </c>
      <c r="AX617" s="4" t="s">
        <v>1280</v>
      </c>
      <c r="AY617" s="4" t="s">
        <v>1280</v>
      </c>
      <c r="AZ617" s="4" t="str">
        <f t="shared" si="213"/>
        <v>-</v>
      </c>
      <c r="BA617" s="19">
        <v>4</v>
      </c>
      <c r="BB617" s="19">
        <v>8</v>
      </c>
      <c r="BC617" s="16">
        <v>19</v>
      </c>
      <c r="BD617" t="s">
        <v>1280</v>
      </c>
      <c r="BE617" t="s">
        <v>1280</v>
      </c>
      <c r="BF617" t="s">
        <v>1280</v>
      </c>
      <c r="BG617" t="str">
        <f t="shared" si="218"/>
        <v>-</v>
      </c>
      <c r="BH617">
        <v>4491</v>
      </c>
      <c r="BI617">
        <v>4491</v>
      </c>
      <c r="BJ617">
        <v>4491</v>
      </c>
      <c r="BK617">
        <f t="shared" si="219"/>
        <v>4937.2211538461543</v>
      </c>
      <c r="BL617" t="s">
        <v>1280</v>
      </c>
      <c r="BM617">
        <v>812</v>
      </c>
    </row>
    <row r="618" spans="1:65" x14ac:dyDescent="0.4">
      <c r="A618" s="3">
        <v>330</v>
      </c>
      <c r="B618" s="3">
        <v>330</v>
      </c>
      <c r="C618" s="4" t="s">
        <v>319</v>
      </c>
      <c r="D618" s="4" t="str">
        <f t="shared" si="198"/>
        <v>J3971N</v>
      </c>
      <c r="E618" s="4" t="s">
        <v>319</v>
      </c>
      <c r="F618" s="4" t="str">
        <f t="shared" si="214"/>
        <v>J3971N5</v>
      </c>
      <c r="G618" s="4" t="s">
        <v>965</v>
      </c>
      <c r="H618" s="5">
        <v>4529671085353</v>
      </c>
      <c r="I618" s="5">
        <v>5</v>
      </c>
      <c r="J618" s="5"/>
      <c r="K618" s="5">
        <v>1</v>
      </c>
      <c r="L618" s="5">
        <v>1</v>
      </c>
      <c r="M618" s="4">
        <v>0</v>
      </c>
      <c r="N618" s="4">
        <v>5495</v>
      </c>
      <c r="O618" s="4">
        <v>3744</v>
      </c>
      <c r="P618" s="6">
        <f t="shared" si="199"/>
        <v>0.31865332120109191</v>
      </c>
      <c r="Q618" s="4" t="s">
        <v>1280</v>
      </c>
      <c r="R618" s="4" t="s">
        <v>1280</v>
      </c>
      <c r="S618" s="4" t="s">
        <v>1280</v>
      </c>
      <c r="T618" s="4">
        <v>0</v>
      </c>
      <c r="U618" s="4">
        <f t="shared" si="200"/>
        <v>0</v>
      </c>
      <c r="V618" s="4">
        <v>4116</v>
      </c>
      <c r="W618" s="4">
        <f t="shared" si="201"/>
        <v>4116</v>
      </c>
      <c r="X618" s="4"/>
      <c r="Y618" s="21">
        <f t="shared" si="202"/>
        <v>6041</v>
      </c>
      <c r="Z618" s="6">
        <f t="shared" si="203"/>
        <v>0.3186558516801854</v>
      </c>
      <c r="AA618" s="4">
        <v>0</v>
      </c>
      <c r="AB618" s="4" t="str">
        <f t="shared" si="204"/>
        <v>-</v>
      </c>
      <c r="AC618" s="4" t="str">
        <f t="shared" si="215"/>
        <v>-</v>
      </c>
      <c r="AD618" s="6" t="str">
        <f t="shared" si="216"/>
        <v>-</v>
      </c>
      <c r="AE618" s="4">
        <f t="shared" si="217"/>
        <v>0</v>
      </c>
      <c r="AF618" s="7">
        <v>6300</v>
      </c>
      <c r="AG618" s="6">
        <f t="shared" si="205"/>
        <v>0.34666666666666668</v>
      </c>
      <c r="AH618" s="4">
        <f t="shared" si="206"/>
        <v>2184</v>
      </c>
      <c r="AI618" s="28"/>
      <c r="AJ618" s="6"/>
      <c r="AK618" s="6"/>
      <c r="AL618" s="6" t="e">
        <f t="shared" si="207"/>
        <v>#DIV/0!</v>
      </c>
      <c r="AM618" s="6">
        <f t="shared" si="208"/>
        <v>1.1464968152866242</v>
      </c>
      <c r="AN618" s="6">
        <f t="shared" si="209"/>
        <v>1.0993589743589745</v>
      </c>
      <c r="AO618" s="4" t="str">
        <f t="shared" si="210"/>
        <v>-</v>
      </c>
      <c r="AP618" s="4" t="str">
        <f t="shared" si="211"/>
        <v>-</v>
      </c>
      <c r="AQ618" s="4" t="str">
        <f t="shared" si="212"/>
        <v>-</v>
      </c>
      <c r="AR618" s="4">
        <v>0</v>
      </c>
      <c r="AS618" s="4" t="s">
        <v>1280</v>
      </c>
      <c r="AT618" s="4"/>
      <c r="AU618" s="4"/>
      <c r="AV618" s="4" t="s">
        <v>1280</v>
      </c>
      <c r="AW618" s="4" t="s">
        <v>1280</v>
      </c>
      <c r="AX618" s="4" t="s">
        <v>1280</v>
      </c>
      <c r="AY618" s="4" t="s">
        <v>1280</v>
      </c>
      <c r="AZ618" s="4" t="str">
        <f t="shared" si="213"/>
        <v>-</v>
      </c>
      <c r="BA618" s="19">
        <v>4</v>
      </c>
      <c r="BB618" s="19">
        <v>8</v>
      </c>
      <c r="BC618" s="16">
        <v>19</v>
      </c>
      <c r="BD618" t="s">
        <v>1280</v>
      </c>
      <c r="BE618" t="s">
        <v>1280</v>
      </c>
      <c r="BF618" t="s">
        <v>1280</v>
      </c>
      <c r="BG618" t="str">
        <f t="shared" si="218"/>
        <v>-</v>
      </c>
      <c r="BH618">
        <v>4491</v>
      </c>
      <c r="BI618">
        <v>4491</v>
      </c>
      <c r="BJ618">
        <v>4491</v>
      </c>
      <c r="BK618">
        <f t="shared" si="219"/>
        <v>4937.2211538461543</v>
      </c>
      <c r="BL618" t="s">
        <v>1280</v>
      </c>
      <c r="BM618">
        <v>812</v>
      </c>
    </row>
    <row r="619" spans="1:65" x14ac:dyDescent="0.4">
      <c r="A619" s="3">
        <v>331</v>
      </c>
      <c r="B619" s="3">
        <v>331</v>
      </c>
      <c r="C619" s="4" t="s">
        <v>320</v>
      </c>
      <c r="D619" s="4" t="str">
        <f t="shared" si="198"/>
        <v>J3972N</v>
      </c>
      <c r="E619" s="4" t="s">
        <v>320</v>
      </c>
      <c r="F619" s="4" t="str">
        <f t="shared" si="214"/>
        <v>J3972N5</v>
      </c>
      <c r="G619" s="4" t="s">
        <v>966</v>
      </c>
      <c r="H619" s="5">
        <v>4529671085360</v>
      </c>
      <c r="I619" s="5">
        <v>5</v>
      </c>
      <c r="J619" s="5"/>
      <c r="K619" s="5">
        <v>1</v>
      </c>
      <c r="L619" s="5">
        <v>1</v>
      </c>
      <c r="M619" s="4">
        <v>0</v>
      </c>
      <c r="N619" s="4">
        <v>5495</v>
      </c>
      <c r="O619" s="4">
        <v>3744</v>
      </c>
      <c r="P619" s="6">
        <f t="shared" si="199"/>
        <v>0.31865332120109191</v>
      </c>
      <c r="Q619" s="4" t="s">
        <v>1280</v>
      </c>
      <c r="R619" s="4" t="s">
        <v>1280</v>
      </c>
      <c r="S619" s="4" t="s">
        <v>1280</v>
      </c>
      <c r="T619" s="4">
        <v>0</v>
      </c>
      <c r="U619" s="4">
        <f t="shared" si="200"/>
        <v>0</v>
      </c>
      <c r="V619" s="4">
        <v>4116</v>
      </c>
      <c r="W619" s="4">
        <f t="shared" si="201"/>
        <v>4116</v>
      </c>
      <c r="X619" s="4"/>
      <c r="Y619" s="21">
        <f t="shared" si="202"/>
        <v>6041</v>
      </c>
      <c r="Z619" s="6">
        <f t="shared" si="203"/>
        <v>0.3186558516801854</v>
      </c>
      <c r="AA619" s="4">
        <v>0</v>
      </c>
      <c r="AB619" s="4" t="str">
        <f t="shared" si="204"/>
        <v>-</v>
      </c>
      <c r="AC619" s="4" t="str">
        <f t="shared" si="215"/>
        <v>-</v>
      </c>
      <c r="AD619" s="6" t="str">
        <f t="shared" si="216"/>
        <v>-</v>
      </c>
      <c r="AE619" s="4">
        <f t="shared" si="217"/>
        <v>0</v>
      </c>
      <c r="AF619" s="7">
        <v>6300</v>
      </c>
      <c r="AG619" s="6">
        <f t="shared" si="205"/>
        <v>0.34666666666666668</v>
      </c>
      <c r="AH619" s="4">
        <f t="shared" si="206"/>
        <v>2184</v>
      </c>
      <c r="AI619" s="28"/>
      <c r="AJ619" s="6"/>
      <c r="AK619" s="6"/>
      <c r="AL619" s="6" t="e">
        <f t="shared" si="207"/>
        <v>#DIV/0!</v>
      </c>
      <c r="AM619" s="6">
        <f t="shared" si="208"/>
        <v>1.1464968152866242</v>
      </c>
      <c r="AN619" s="6">
        <f t="shared" si="209"/>
        <v>1.0993589743589745</v>
      </c>
      <c r="AO619" s="4" t="str">
        <f t="shared" si="210"/>
        <v>-</v>
      </c>
      <c r="AP619" s="4" t="str">
        <f t="shared" si="211"/>
        <v>-</v>
      </c>
      <c r="AQ619" s="4" t="str">
        <f t="shared" si="212"/>
        <v>-</v>
      </c>
      <c r="AR619" s="4">
        <v>0</v>
      </c>
      <c r="AS619" s="4" t="s">
        <v>1280</v>
      </c>
      <c r="AT619" s="4"/>
      <c r="AU619" s="4"/>
      <c r="AV619" s="4" t="s">
        <v>1280</v>
      </c>
      <c r="AW619" s="4" t="s">
        <v>1280</v>
      </c>
      <c r="AX619" s="4" t="s">
        <v>1280</v>
      </c>
      <c r="AY619" s="4" t="s">
        <v>1280</v>
      </c>
      <c r="AZ619" s="4" t="str">
        <f t="shared" si="213"/>
        <v>-</v>
      </c>
      <c r="BA619" s="19">
        <v>4</v>
      </c>
      <c r="BB619" s="19">
        <v>8</v>
      </c>
      <c r="BC619" s="16">
        <v>19</v>
      </c>
      <c r="BD619" t="s">
        <v>1280</v>
      </c>
      <c r="BE619" t="s">
        <v>1280</v>
      </c>
      <c r="BF619" t="s">
        <v>1280</v>
      </c>
      <c r="BG619" t="str">
        <f t="shared" si="218"/>
        <v>-</v>
      </c>
      <c r="BH619">
        <v>4491</v>
      </c>
      <c r="BI619">
        <v>4491</v>
      </c>
      <c r="BJ619">
        <v>4491</v>
      </c>
      <c r="BK619">
        <f t="shared" si="219"/>
        <v>4937.2211538461543</v>
      </c>
      <c r="BL619" t="s">
        <v>1280</v>
      </c>
      <c r="BM619">
        <v>812</v>
      </c>
    </row>
    <row r="620" spans="1:65" x14ac:dyDescent="0.4">
      <c r="A620" s="3">
        <v>334</v>
      </c>
      <c r="B620" s="3">
        <v>334</v>
      </c>
      <c r="C620" s="4" t="s">
        <v>323</v>
      </c>
      <c r="D620" s="4" t="str">
        <f t="shared" si="198"/>
        <v>J3973N</v>
      </c>
      <c r="E620" s="4" t="s">
        <v>323</v>
      </c>
      <c r="F620" s="4" t="str">
        <f t="shared" si="214"/>
        <v>J3973N5</v>
      </c>
      <c r="G620" s="4" t="s">
        <v>969</v>
      </c>
      <c r="H620" s="5">
        <v>4529671094805</v>
      </c>
      <c r="I620" s="5">
        <v>5</v>
      </c>
      <c r="J620" s="5"/>
      <c r="K620" s="5">
        <v>1</v>
      </c>
      <c r="L620" s="5">
        <v>1</v>
      </c>
      <c r="M620" s="4">
        <v>0</v>
      </c>
      <c r="N620" s="4">
        <v>5495</v>
      </c>
      <c r="O620" s="4">
        <v>3744</v>
      </c>
      <c r="P620" s="6">
        <f t="shared" si="199"/>
        <v>0.31865332120109191</v>
      </c>
      <c r="Q620" s="4" t="s">
        <v>1280</v>
      </c>
      <c r="R620" s="4" t="s">
        <v>1280</v>
      </c>
      <c r="S620" s="4" t="s">
        <v>1280</v>
      </c>
      <c r="T620" s="4">
        <v>0</v>
      </c>
      <c r="U620" s="4">
        <f t="shared" si="200"/>
        <v>0</v>
      </c>
      <c r="V620" s="4">
        <v>4116</v>
      </c>
      <c r="W620" s="4">
        <f t="shared" si="201"/>
        <v>4116</v>
      </c>
      <c r="X620" s="4"/>
      <c r="Y620" s="21">
        <f t="shared" si="202"/>
        <v>6041</v>
      </c>
      <c r="Z620" s="6">
        <f t="shared" si="203"/>
        <v>0.3186558516801854</v>
      </c>
      <c r="AA620" s="4">
        <v>0</v>
      </c>
      <c r="AB620" s="4" t="str">
        <f t="shared" si="204"/>
        <v>-</v>
      </c>
      <c r="AC620" s="4" t="str">
        <f t="shared" si="215"/>
        <v>-</v>
      </c>
      <c r="AD620" s="6" t="str">
        <f t="shared" si="216"/>
        <v>-</v>
      </c>
      <c r="AE620" s="4">
        <f t="shared" si="217"/>
        <v>0</v>
      </c>
      <c r="AF620" s="7">
        <v>6300</v>
      </c>
      <c r="AG620" s="6">
        <f t="shared" si="205"/>
        <v>0.34666666666666668</v>
      </c>
      <c r="AH620" s="4">
        <f t="shared" si="206"/>
        <v>2184</v>
      </c>
      <c r="AI620" s="28"/>
      <c r="AJ620" s="6"/>
      <c r="AK620" s="6"/>
      <c r="AL620" s="6" t="e">
        <f t="shared" si="207"/>
        <v>#DIV/0!</v>
      </c>
      <c r="AM620" s="6">
        <f t="shared" si="208"/>
        <v>1.1464968152866242</v>
      </c>
      <c r="AN620" s="6">
        <f t="shared" si="209"/>
        <v>1.0993589743589745</v>
      </c>
      <c r="AO620" s="4" t="str">
        <f t="shared" si="210"/>
        <v>-</v>
      </c>
      <c r="AP620" s="4" t="str">
        <f t="shared" si="211"/>
        <v>-</v>
      </c>
      <c r="AQ620" s="4" t="str">
        <f t="shared" si="212"/>
        <v>-</v>
      </c>
      <c r="AR620" s="4">
        <v>0</v>
      </c>
      <c r="AS620" s="4" t="s">
        <v>1280</v>
      </c>
      <c r="AT620" s="4"/>
      <c r="AU620" s="4"/>
      <c r="AV620" s="4" t="s">
        <v>1280</v>
      </c>
      <c r="AW620" s="4" t="s">
        <v>1280</v>
      </c>
      <c r="AX620" s="4" t="s">
        <v>1280</v>
      </c>
      <c r="AY620" s="4" t="s">
        <v>1280</v>
      </c>
      <c r="AZ620" s="4" t="str">
        <f t="shared" si="213"/>
        <v>-</v>
      </c>
      <c r="BA620" s="19">
        <v>4</v>
      </c>
      <c r="BB620" s="19">
        <v>8</v>
      </c>
      <c r="BC620" s="16">
        <v>19</v>
      </c>
      <c r="BD620" t="s">
        <v>1280</v>
      </c>
      <c r="BE620" t="s">
        <v>1280</v>
      </c>
      <c r="BF620" t="s">
        <v>1280</v>
      </c>
      <c r="BG620" t="str">
        <f t="shared" si="218"/>
        <v>-</v>
      </c>
      <c r="BH620">
        <v>4491</v>
      </c>
      <c r="BI620">
        <v>4491</v>
      </c>
      <c r="BJ620">
        <v>4491</v>
      </c>
      <c r="BK620">
        <f t="shared" si="219"/>
        <v>4937.2211538461543</v>
      </c>
      <c r="BL620" t="s">
        <v>1280</v>
      </c>
      <c r="BM620">
        <v>812</v>
      </c>
    </row>
    <row r="621" spans="1:65" x14ac:dyDescent="0.4">
      <c r="A621" s="32">
        <v>434</v>
      </c>
      <c r="B621" s="3">
        <v>434</v>
      </c>
      <c r="C621" s="4" t="s">
        <v>423</v>
      </c>
      <c r="D621" s="4" t="str">
        <f t="shared" si="198"/>
        <v>J54498</v>
      </c>
      <c r="E621" s="4" t="s">
        <v>423</v>
      </c>
      <c r="F621" s="4" t="str">
        <f t="shared" si="214"/>
        <v>J544985</v>
      </c>
      <c r="G621" s="4" t="s">
        <v>1067</v>
      </c>
      <c r="H621" s="5">
        <v>4974268832214</v>
      </c>
      <c r="I621" s="5">
        <v>5</v>
      </c>
      <c r="J621" s="5"/>
      <c r="K621" s="5">
        <v>1</v>
      </c>
      <c r="L621" s="5">
        <v>1</v>
      </c>
      <c r="M621" s="4">
        <v>6800</v>
      </c>
      <c r="N621" s="4">
        <v>6062</v>
      </c>
      <c r="O621" s="4">
        <v>4080</v>
      </c>
      <c r="P621" s="6">
        <f t="shared" si="199"/>
        <v>0.32695480039590896</v>
      </c>
      <c r="Q621" s="4" t="s">
        <v>1280</v>
      </c>
      <c r="R621" s="4" t="s">
        <v>1280</v>
      </c>
      <c r="S621" s="4" t="s">
        <v>1280</v>
      </c>
      <c r="T621" s="4">
        <v>7600</v>
      </c>
      <c r="U621" s="4">
        <f t="shared" si="200"/>
        <v>7600</v>
      </c>
      <c r="V621" s="4">
        <v>4560</v>
      </c>
      <c r="W621" s="4">
        <f t="shared" si="201"/>
        <v>4560</v>
      </c>
      <c r="X621" s="4"/>
      <c r="Y621" s="21">
        <f t="shared" si="202"/>
        <v>6775</v>
      </c>
      <c r="Z621" s="6">
        <f t="shared" si="203"/>
        <v>0.32693726937269374</v>
      </c>
      <c r="AA621" s="4">
        <v>0</v>
      </c>
      <c r="AB621" s="4">
        <f t="shared" si="204"/>
        <v>5322</v>
      </c>
      <c r="AC621" s="4">
        <f t="shared" si="215"/>
        <v>5948.1176470588234</v>
      </c>
      <c r="AD621" s="6">
        <f t="shared" si="216"/>
        <v>0.23337091319052983</v>
      </c>
      <c r="AE621" s="4">
        <f t="shared" si="217"/>
        <v>7220</v>
      </c>
      <c r="AF621" s="7">
        <v>5948</v>
      </c>
      <c r="AG621" s="6">
        <f t="shared" si="205"/>
        <v>0.23335574983187624</v>
      </c>
      <c r="AH621" s="4">
        <f t="shared" si="206"/>
        <v>1388</v>
      </c>
      <c r="AI621" s="28"/>
      <c r="AJ621" s="6"/>
      <c r="AK621" s="6"/>
      <c r="AL621" s="6">
        <f t="shared" si="207"/>
        <v>1.1176470588235294</v>
      </c>
      <c r="AM621" s="6">
        <f t="shared" si="208"/>
        <v>0.9811943253051798</v>
      </c>
      <c r="AN621" s="6">
        <f t="shared" si="209"/>
        <v>1.1176470588235294</v>
      </c>
      <c r="AO621" s="4" t="str">
        <f t="shared" si="210"/>
        <v>-</v>
      </c>
      <c r="AP621" s="4" t="str">
        <f t="shared" si="211"/>
        <v>-</v>
      </c>
      <c r="AQ621" s="4" t="str">
        <f t="shared" si="212"/>
        <v>-</v>
      </c>
      <c r="AR621" s="4">
        <v>0</v>
      </c>
      <c r="AS621" s="4" t="s">
        <v>1993</v>
      </c>
      <c r="AT621" s="4"/>
      <c r="AU621" s="4"/>
      <c r="AV621" s="4" t="s">
        <v>1697</v>
      </c>
      <c r="AW621" s="4">
        <v>5322</v>
      </c>
      <c r="AX621" s="4">
        <v>5322</v>
      </c>
      <c r="AY621" s="4">
        <v>5322</v>
      </c>
      <c r="AZ621" s="4">
        <f t="shared" si="213"/>
        <v>5322</v>
      </c>
      <c r="BA621" s="19">
        <v>2</v>
      </c>
      <c r="BB621" s="19">
        <v>8</v>
      </c>
      <c r="BC621" s="16">
        <v>18</v>
      </c>
      <c r="BD621" t="s">
        <v>1280</v>
      </c>
      <c r="BE621" t="s">
        <v>1280</v>
      </c>
      <c r="BF621" t="s">
        <v>1280</v>
      </c>
      <c r="BG621" t="str">
        <f t="shared" si="218"/>
        <v>-</v>
      </c>
      <c r="BH621">
        <v>6562</v>
      </c>
      <c r="BI621">
        <v>6562</v>
      </c>
      <c r="BJ621">
        <v>6562</v>
      </c>
      <c r="BK621">
        <f t="shared" si="219"/>
        <v>7334</v>
      </c>
      <c r="BL621" t="s">
        <v>1514</v>
      </c>
      <c r="BM621">
        <v>812</v>
      </c>
    </row>
    <row r="622" spans="1:65" x14ac:dyDescent="0.4">
      <c r="A622" s="3">
        <v>309</v>
      </c>
      <c r="B622" s="3">
        <v>309</v>
      </c>
      <c r="C622" s="4" t="s">
        <v>298</v>
      </c>
      <c r="D622" s="4" t="str">
        <f t="shared" si="198"/>
        <v>J39061</v>
      </c>
      <c r="E622" s="4" t="s">
        <v>298</v>
      </c>
      <c r="F622" s="4" t="str">
        <f t="shared" si="214"/>
        <v>J390615</v>
      </c>
      <c r="G622" s="4" t="s">
        <v>944</v>
      </c>
      <c r="H622" s="5">
        <v>4974268561237</v>
      </c>
      <c r="I622" s="5">
        <v>5</v>
      </c>
      <c r="J622" s="5"/>
      <c r="K622" s="5">
        <v>1</v>
      </c>
      <c r="L622" s="5">
        <v>1</v>
      </c>
      <c r="M622" s="4">
        <v>7250</v>
      </c>
      <c r="N622" s="4">
        <v>5770</v>
      </c>
      <c r="O622" s="4">
        <v>4350</v>
      </c>
      <c r="P622" s="6">
        <f t="shared" si="199"/>
        <v>0.24610051993067594</v>
      </c>
      <c r="Q622" s="4" t="s">
        <v>1280</v>
      </c>
      <c r="R622" s="4" t="s">
        <v>1280</v>
      </c>
      <c r="S622" s="4" t="s">
        <v>1280</v>
      </c>
      <c r="T622" s="4">
        <v>8000</v>
      </c>
      <c r="U622" s="4">
        <f t="shared" si="200"/>
        <v>8000</v>
      </c>
      <c r="V622" s="4">
        <v>4800</v>
      </c>
      <c r="W622" s="4">
        <f t="shared" si="201"/>
        <v>4800</v>
      </c>
      <c r="X622" s="4"/>
      <c r="Y622" s="21">
        <f t="shared" si="202"/>
        <v>6367</v>
      </c>
      <c r="Z622" s="6">
        <f t="shared" si="203"/>
        <v>0.24611276896497569</v>
      </c>
      <c r="AA622" s="4">
        <v>0</v>
      </c>
      <c r="AB622" s="4" t="str">
        <f t="shared" si="204"/>
        <v>-</v>
      </c>
      <c r="AC622" s="4" t="str">
        <f t="shared" si="215"/>
        <v>-</v>
      </c>
      <c r="AD622" s="6" t="str">
        <f t="shared" si="216"/>
        <v>-</v>
      </c>
      <c r="AE622" s="4">
        <f t="shared" si="217"/>
        <v>7600</v>
      </c>
      <c r="AF622" s="7">
        <v>7500</v>
      </c>
      <c r="AG622" s="6">
        <f t="shared" si="205"/>
        <v>0.36</v>
      </c>
      <c r="AH622" s="4">
        <f t="shared" si="206"/>
        <v>2700</v>
      </c>
      <c r="AI622" s="28"/>
      <c r="AJ622" s="6"/>
      <c r="AK622" s="6"/>
      <c r="AL622" s="6">
        <f t="shared" si="207"/>
        <v>1.103448275862069</v>
      </c>
      <c r="AM622" s="6">
        <f t="shared" si="208"/>
        <v>1.2998266897746966</v>
      </c>
      <c r="AN622" s="6">
        <f t="shared" si="209"/>
        <v>1.103448275862069</v>
      </c>
      <c r="AO622" s="4" t="str">
        <f t="shared" si="210"/>
        <v>-</v>
      </c>
      <c r="AP622" s="4" t="str">
        <f t="shared" si="211"/>
        <v>-</v>
      </c>
      <c r="AQ622" s="4" t="str">
        <f t="shared" si="212"/>
        <v>-</v>
      </c>
      <c r="AR622" s="4">
        <v>0</v>
      </c>
      <c r="AS622" s="4" t="s">
        <v>1280</v>
      </c>
      <c r="AT622" s="4"/>
      <c r="AU622" s="4"/>
      <c r="AV622" s="4" t="s">
        <v>1280</v>
      </c>
      <c r="AW622" s="4" t="s">
        <v>1280</v>
      </c>
      <c r="AX622" s="4" t="s">
        <v>1280</v>
      </c>
      <c r="AY622" s="4" t="s">
        <v>1280</v>
      </c>
      <c r="AZ622" s="4" t="str">
        <f t="shared" si="213"/>
        <v>-</v>
      </c>
      <c r="BA622" s="19">
        <v>4</v>
      </c>
      <c r="BB622" s="19">
        <v>8</v>
      </c>
      <c r="BC622" s="16">
        <v>18</v>
      </c>
      <c r="BD622">
        <v>7250</v>
      </c>
      <c r="BE622">
        <v>7250</v>
      </c>
      <c r="BF622" t="s">
        <v>1280</v>
      </c>
      <c r="BG622" t="str">
        <f t="shared" si="218"/>
        <v>-</v>
      </c>
      <c r="BH622">
        <v>7250</v>
      </c>
      <c r="BI622">
        <v>7250</v>
      </c>
      <c r="BJ622">
        <v>7250</v>
      </c>
      <c r="BK622">
        <f t="shared" si="219"/>
        <v>8000</v>
      </c>
      <c r="BL622" t="s">
        <v>1280</v>
      </c>
      <c r="BM622">
        <v>812</v>
      </c>
    </row>
    <row r="623" spans="1:65" x14ac:dyDescent="0.4">
      <c r="A623" s="3">
        <v>313</v>
      </c>
      <c r="B623" s="3">
        <v>313</v>
      </c>
      <c r="C623" s="4" t="s">
        <v>302</v>
      </c>
      <c r="D623" s="4" t="str">
        <f t="shared" si="198"/>
        <v>J39065</v>
      </c>
      <c r="E623" s="4" t="s">
        <v>302</v>
      </c>
      <c r="F623" s="4" t="str">
        <f t="shared" si="214"/>
        <v>J390655</v>
      </c>
      <c r="G623" s="4" t="s">
        <v>948</v>
      </c>
      <c r="H623" s="5">
        <v>4974268561244</v>
      </c>
      <c r="I623" s="5">
        <v>5</v>
      </c>
      <c r="J623" s="5"/>
      <c r="K623" s="5">
        <v>1</v>
      </c>
      <c r="L623" s="5">
        <v>1</v>
      </c>
      <c r="M623" s="4">
        <v>7250</v>
      </c>
      <c r="N623" s="4">
        <v>5850</v>
      </c>
      <c r="O623" s="4">
        <v>4350</v>
      </c>
      <c r="P623" s="6">
        <f t="shared" si="199"/>
        <v>0.25641025641025639</v>
      </c>
      <c r="Q623" s="4" t="s">
        <v>1280</v>
      </c>
      <c r="R623" s="4" t="s">
        <v>1280</v>
      </c>
      <c r="S623" s="4" t="s">
        <v>1280</v>
      </c>
      <c r="T623" s="4">
        <v>8000</v>
      </c>
      <c r="U623" s="4">
        <f t="shared" si="200"/>
        <v>8000</v>
      </c>
      <c r="V623" s="4">
        <v>4800</v>
      </c>
      <c r="W623" s="4">
        <f t="shared" si="201"/>
        <v>4800</v>
      </c>
      <c r="X623" s="4"/>
      <c r="Y623" s="21">
        <f t="shared" si="202"/>
        <v>6455</v>
      </c>
      <c r="Z623" s="6">
        <f t="shared" si="203"/>
        <v>0.25639039504260264</v>
      </c>
      <c r="AA623" s="4">
        <v>0</v>
      </c>
      <c r="AB623" s="4" t="str">
        <f t="shared" si="204"/>
        <v>-</v>
      </c>
      <c r="AC623" s="4" t="str">
        <f t="shared" si="215"/>
        <v>-</v>
      </c>
      <c r="AD623" s="6" t="str">
        <f t="shared" si="216"/>
        <v>-</v>
      </c>
      <c r="AE623" s="4">
        <f t="shared" si="217"/>
        <v>7600</v>
      </c>
      <c r="AF623" s="7">
        <v>7500</v>
      </c>
      <c r="AG623" s="6">
        <f t="shared" si="205"/>
        <v>0.36</v>
      </c>
      <c r="AH623" s="4">
        <f t="shared" si="206"/>
        <v>2700</v>
      </c>
      <c r="AI623" s="28"/>
      <c r="AJ623" s="6"/>
      <c r="AK623" s="6"/>
      <c r="AL623" s="6">
        <f t="shared" si="207"/>
        <v>1.103448275862069</v>
      </c>
      <c r="AM623" s="6">
        <f t="shared" si="208"/>
        <v>1.2820512820512822</v>
      </c>
      <c r="AN623" s="6">
        <f t="shared" si="209"/>
        <v>1.103448275862069</v>
      </c>
      <c r="AO623" s="4" t="str">
        <f t="shared" si="210"/>
        <v>-</v>
      </c>
      <c r="AP623" s="4" t="str">
        <f t="shared" si="211"/>
        <v>-</v>
      </c>
      <c r="AQ623" s="4" t="str">
        <f t="shared" si="212"/>
        <v>-</v>
      </c>
      <c r="AR623" s="4">
        <v>0</v>
      </c>
      <c r="AS623" s="4" t="s">
        <v>1280</v>
      </c>
      <c r="AT623" s="4"/>
      <c r="AU623" s="4"/>
      <c r="AV623" s="4" t="s">
        <v>1280</v>
      </c>
      <c r="AW623" s="4" t="s">
        <v>1280</v>
      </c>
      <c r="AX623" s="4" t="s">
        <v>1280</v>
      </c>
      <c r="AY623" s="4" t="s">
        <v>1280</v>
      </c>
      <c r="AZ623" s="4" t="str">
        <f t="shared" si="213"/>
        <v>-</v>
      </c>
      <c r="BA623" s="19">
        <v>4</v>
      </c>
      <c r="BB623" s="19">
        <v>8</v>
      </c>
      <c r="BC623" s="16">
        <v>18</v>
      </c>
      <c r="BD623" t="s">
        <v>1280</v>
      </c>
      <c r="BE623" t="s">
        <v>1280</v>
      </c>
      <c r="BF623">
        <v>7250</v>
      </c>
      <c r="BG623">
        <f t="shared" si="218"/>
        <v>8000</v>
      </c>
      <c r="BH623">
        <v>7250</v>
      </c>
      <c r="BI623">
        <v>7250</v>
      </c>
      <c r="BJ623">
        <v>7250</v>
      </c>
      <c r="BK623">
        <f t="shared" si="219"/>
        <v>8000</v>
      </c>
      <c r="BL623" t="s">
        <v>1280</v>
      </c>
      <c r="BM623">
        <v>812</v>
      </c>
    </row>
    <row r="624" spans="1:65" x14ac:dyDescent="0.4">
      <c r="A624" s="3">
        <v>456</v>
      </c>
      <c r="B624" s="3">
        <v>456</v>
      </c>
      <c r="C624" s="4" t="s">
        <v>445</v>
      </c>
      <c r="D624" s="4" t="str">
        <f t="shared" si="198"/>
        <v>J54533</v>
      </c>
      <c r="E624" s="4" t="s">
        <v>445</v>
      </c>
      <c r="F624" s="4" t="str">
        <f t="shared" si="214"/>
        <v>J545335</v>
      </c>
      <c r="G624" s="4" t="s">
        <v>1089</v>
      </c>
      <c r="H624" s="5">
        <v>4974268561251</v>
      </c>
      <c r="I624" s="5">
        <v>5</v>
      </c>
      <c r="J624" s="5"/>
      <c r="K624" s="5">
        <v>1</v>
      </c>
      <c r="L624" s="5">
        <v>1</v>
      </c>
      <c r="M624" s="4">
        <v>7250</v>
      </c>
      <c r="N624" s="4">
        <v>5713</v>
      </c>
      <c r="O624" s="4">
        <v>4350</v>
      </c>
      <c r="P624" s="6">
        <f t="shared" si="199"/>
        <v>0.23857868020304573</v>
      </c>
      <c r="Q624" s="4" t="s">
        <v>1280</v>
      </c>
      <c r="R624" s="4" t="s">
        <v>1280</v>
      </c>
      <c r="S624" s="4" t="s">
        <v>1280</v>
      </c>
      <c r="T624" s="4">
        <v>8000</v>
      </c>
      <c r="U624" s="4">
        <f t="shared" si="200"/>
        <v>8000</v>
      </c>
      <c r="V624" s="4">
        <v>4800</v>
      </c>
      <c r="W624" s="4">
        <f t="shared" si="201"/>
        <v>4800</v>
      </c>
      <c r="X624" s="4"/>
      <c r="Y624" s="21">
        <f t="shared" si="202"/>
        <v>6304</v>
      </c>
      <c r="Z624" s="6">
        <f t="shared" si="203"/>
        <v>0.23857868020304573</v>
      </c>
      <c r="AA624" s="4">
        <v>0</v>
      </c>
      <c r="AB624" s="4" t="str">
        <f t="shared" si="204"/>
        <v>-</v>
      </c>
      <c r="AC624" s="4" t="str">
        <f t="shared" si="215"/>
        <v>-</v>
      </c>
      <c r="AD624" s="6" t="str">
        <f t="shared" si="216"/>
        <v>-</v>
      </c>
      <c r="AE624" s="4">
        <f t="shared" si="217"/>
        <v>7600</v>
      </c>
      <c r="AF624" s="7">
        <v>7500</v>
      </c>
      <c r="AG624" s="6">
        <f t="shared" si="205"/>
        <v>0.36</v>
      </c>
      <c r="AH624" s="4">
        <f t="shared" si="206"/>
        <v>2700</v>
      </c>
      <c r="AI624" s="28"/>
      <c r="AJ624" s="6"/>
      <c r="AK624" s="6"/>
      <c r="AL624" s="6">
        <f t="shared" si="207"/>
        <v>1.103448275862069</v>
      </c>
      <c r="AM624" s="6">
        <f t="shared" si="208"/>
        <v>1.312795378960266</v>
      </c>
      <c r="AN624" s="6">
        <f t="shared" si="209"/>
        <v>1.103448275862069</v>
      </c>
      <c r="AO624" s="4" t="str">
        <f t="shared" si="210"/>
        <v>-</v>
      </c>
      <c r="AP624" s="4" t="str">
        <f t="shared" si="211"/>
        <v>-</v>
      </c>
      <c r="AQ624" s="4" t="str">
        <f t="shared" si="212"/>
        <v>-</v>
      </c>
      <c r="AR624" s="4">
        <v>0</v>
      </c>
      <c r="AS624" s="4" t="s">
        <v>1280</v>
      </c>
      <c r="AT624" s="4"/>
      <c r="AU624" s="4"/>
      <c r="AV624" s="4" t="s">
        <v>1280</v>
      </c>
      <c r="AW624" s="4" t="s">
        <v>1280</v>
      </c>
      <c r="AX624" s="4" t="s">
        <v>1280</v>
      </c>
      <c r="AY624" s="4" t="s">
        <v>1280</v>
      </c>
      <c r="AZ624" s="4" t="str">
        <f t="shared" si="213"/>
        <v>-</v>
      </c>
      <c r="BA624" s="19">
        <v>4</v>
      </c>
      <c r="BB624" s="19">
        <v>8</v>
      </c>
      <c r="BC624" s="16">
        <v>18</v>
      </c>
      <c r="BD624">
        <v>7250</v>
      </c>
      <c r="BE624">
        <v>7250</v>
      </c>
      <c r="BF624">
        <v>7250</v>
      </c>
      <c r="BG624">
        <f t="shared" si="218"/>
        <v>8000</v>
      </c>
      <c r="BH624">
        <v>7250</v>
      </c>
      <c r="BI624">
        <v>7250</v>
      </c>
      <c r="BJ624">
        <v>7250</v>
      </c>
      <c r="BK624">
        <f t="shared" si="219"/>
        <v>8000</v>
      </c>
      <c r="BL624" t="s">
        <v>1280</v>
      </c>
      <c r="BM624">
        <v>812</v>
      </c>
    </row>
    <row r="625" spans="1:65" x14ac:dyDescent="0.4">
      <c r="A625" s="3">
        <v>463</v>
      </c>
      <c r="B625" s="3">
        <v>463</v>
      </c>
      <c r="C625" s="4" t="s">
        <v>452</v>
      </c>
      <c r="D625" s="4" t="str">
        <f t="shared" si="198"/>
        <v>J54539</v>
      </c>
      <c r="E625" s="4" t="s">
        <v>452</v>
      </c>
      <c r="F625" s="4" t="str">
        <f t="shared" si="214"/>
        <v>J545395</v>
      </c>
      <c r="G625" s="4" t="s">
        <v>1096</v>
      </c>
      <c r="H625" s="5">
        <v>4974268562081</v>
      </c>
      <c r="I625" s="5">
        <v>5</v>
      </c>
      <c r="J625" s="5"/>
      <c r="K625" s="5">
        <v>1</v>
      </c>
      <c r="L625" s="5">
        <v>1</v>
      </c>
      <c r="M625" s="4">
        <v>7200</v>
      </c>
      <c r="N625" s="4">
        <v>6414</v>
      </c>
      <c r="O625" s="4">
        <v>4320</v>
      </c>
      <c r="P625" s="6">
        <f t="shared" si="199"/>
        <v>0.32647333956969127</v>
      </c>
      <c r="Q625" s="4" t="s">
        <v>1280</v>
      </c>
      <c r="R625" s="4" t="s">
        <v>1280</v>
      </c>
      <c r="S625" s="4" t="s">
        <v>1280</v>
      </c>
      <c r="T625" s="4">
        <v>8000</v>
      </c>
      <c r="U625" s="4">
        <f t="shared" si="200"/>
        <v>8000</v>
      </c>
      <c r="V625" s="4">
        <v>4800</v>
      </c>
      <c r="W625" s="4">
        <f t="shared" si="201"/>
        <v>4800</v>
      </c>
      <c r="X625" s="4"/>
      <c r="Y625" s="21">
        <f t="shared" si="202"/>
        <v>7127</v>
      </c>
      <c r="Z625" s="6">
        <f t="shared" si="203"/>
        <v>0.32650484074645714</v>
      </c>
      <c r="AA625" s="4">
        <v>0</v>
      </c>
      <c r="AB625" s="4">
        <f t="shared" si="204"/>
        <v>6599</v>
      </c>
      <c r="AC625" s="4">
        <f t="shared" si="215"/>
        <v>7332.2222222222226</v>
      </c>
      <c r="AD625" s="6">
        <f t="shared" si="216"/>
        <v>0.34535535687225338</v>
      </c>
      <c r="AE625" s="4">
        <f t="shared" si="217"/>
        <v>7600</v>
      </c>
      <c r="AF625" s="7">
        <v>7332</v>
      </c>
      <c r="AG625" s="6">
        <f t="shared" si="205"/>
        <v>0.34533551554828146</v>
      </c>
      <c r="AH625" s="4">
        <f t="shared" si="206"/>
        <v>2532</v>
      </c>
      <c r="AI625" s="28"/>
      <c r="AJ625" s="6"/>
      <c r="AK625" s="6"/>
      <c r="AL625" s="6">
        <f t="shared" si="207"/>
        <v>1.1111111111111112</v>
      </c>
      <c r="AM625" s="6">
        <f t="shared" si="208"/>
        <v>1.1431244153414406</v>
      </c>
      <c r="AN625" s="6">
        <f t="shared" si="209"/>
        <v>1.1111111111111112</v>
      </c>
      <c r="AO625" s="4" t="str">
        <f t="shared" si="210"/>
        <v>-</v>
      </c>
      <c r="AP625" s="4" t="str">
        <f t="shared" si="211"/>
        <v>-</v>
      </c>
      <c r="AQ625" s="4" t="str">
        <f t="shared" si="212"/>
        <v>-</v>
      </c>
      <c r="AR625" s="4">
        <v>0</v>
      </c>
      <c r="AS625" s="4" t="s">
        <v>2022</v>
      </c>
      <c r="AT625" s="4"/>
      <c r="AU625" s="4"/>
      <c r="AV625" s="4" t="s">
        <v>1697</v>
      </c>
      <c r="AW625" s="4">
        <v>6599</v>
      </c>
      <c r="AX625" s="4">
        <v>6599</v>
      </c>
      <c r="AY625" s="4">
        <v>6599</v>
      </c>
      <c r="AZ625" s="4">
        <f t="shared" si="213"/>
        <v>6599</v>
      </c>
      <c r="BA625" s="19">
        <v>4</v>
      </c>
      <c r="BB625" s="19">
        <v>8</v>
      </c>
      <c r="BC625" s="16">
        <v>18</v>
      </c>
      <c r="BD625">
        <v>7200</v>
      </c>
      <c r="BE625">
        <v>7200</v>
      </c>
      <c r="BF625">
        <v>7200</v>
      </c>
      <c r="BG625">
        <f t="shared" si="218"/>
        <v>8000</v>
      </c>
      <c r="BH625" t="s">
        <v>1280</v>
      </c>
      <c r="BI625">
        <v>9595</v>
      </c>
      <c r="BJ625">
        <v>9595</v>
      </c>
      <c r="BK625">
        <f t="shared" si="219"/>
        <v>10661.111111111111</v>
      </c>
      <c r="BL625" t="s">
        <v>1537</v>
      </c>
      <c r="BM625">
        <v>812</v>
      </c>
    </row>
    <row r="626" spans="1:65" x14ac:dyDescent="0.4">
      <c r="A626" s="3">
        <v>567</v>
      </c>
      <c r="B626" s="3">
        <v>567</v>
      </c>
      <c r="C626" s="4" t="s">
        <v>556</v>
      </c>
      <c r="D626" s="4" t="str">
        <f t="shared" si="198"/>
        <v>J928WN</v>
      </c>
      <c r="E626" s="4" t="s">
        <v>556</v>
      </c>
      <c r="F626" s="4" t="str">
        <f t="shared" si="214"/>
        <v>J928WN5</v>
      </c>
      <c r="G626" s="4" t="s">
        <v>1200</v>
      </c>
      <c r="H626" s="5">
        <v>4974268697981</v>
      </c>
      <c r="I626" s="5">
        <v>5</v>
      </c>
      <c r="J626" s="5"/>
      <c r="K626" s="5">
        <v>1</v>
      </c>
      <c r="L626" s="5">
        <v>1</v>
      </c>
      <c r="M626" s="4">
        <v>5600</v>
      </c>
      <c r="N626" s="4">
        <v>5600</v>
      </c>
      <c r="O626" s="4">
        <v>4480</v>
      </c>
      <c r="P626" s="6">
        <f t="shared" si="199"/>
        <v>0.19999999999999996</v>
      </c>
      <c r="Q626" s="4" t="s">
        <v>1280</v>
      </c>
      <c r="R626" s="4" t="s">
        <v>1280</v>
      </c>
      <c r="S626" s="4" t="s">
        <v>1280</v>
      </c>
      <c r="T626" s="4">
        <v>6100</v>
      </c>
      <c r="U626" s="4">
        <f t="shared" si="200"/>
        <v>6100</v>
      </c>
      <c r="V626" s="4">
        <v>4880</v>
      </c>
      <c r="W626" s="4">
        <f t="shared" si="201"/>
        <v>4880</v>
      </c>
      <c r="X626" s="4"/>
      <c r="Y626" s="21">
        <f t="shared" si="202"/>
        <v>6100</v>
      </c>
      <c r="Z626" s="6">
        <f t="shared" si="203"/>
        <v>0.19999999999999996</v>
      </c>
      <c r="AA626" s="4">
        <v>0</v>
      </c>
      <c r="AB626" s="4">
        <f t="shared" si="204"/>
        <v>5600</v>
      </c>
      <c r="AC626" s="4">
        <f t="shared" si="215"/>
        <v>6099.9999999999991</v>
      </c>
      <c r="AD626" s="6">
        <f t="shared" si="216"/>
        <v>0.19999999999999984</v>
      </c>
      <c r="AE626" s="4">
        <f t="shared" si="217"/>
        <v>5795</v>
      </c>
      <c r="AF626" s="7">
        <v>6100</v>
      </c>
      <c r="AG626" s="6">
        <f t="shared" si="205"/>
        <v>0.19999999999999996</v>
      </c>
      <c r="AH626" s="4">
        <f t="shared" si="206"/>
        <v>1220</v>
      </c>
      <c r="AI626" s="28"/>
      <c r="AJ626" s="6"/>
      <c r="AK626" s="6"/>
      <c r="AL626" s="6">
        <f t="shared" si="207"/>
        <v>1.0892857142857142</v>
      </c>
      <c r="AM626" s="6">
        <f t="shared" si="208"/>
        <v>1.0892857142857142</v>
      </c>
      <c r="AN626" s="6">
        <f t="shared" si="209"/>
        <v>1.0892857142857142</v>
      </c>
      <c r="AO626" s="4" t="str">
        <f t="shared" si="210"/>
        <v>-</v>
      </c>
      <c r="AP626" s="4" t="str">
        <f t="shared" si="211"/>
        <v>-</v>
      </c>
      <c r="AQ626" s="4" t="str">
        <f t="shared" si="212"/>
        <v>-</v>
      </c>
      <c r="AR626" s="4">
        <v>0</v>
      </c>
      <c r="AS626" s="4" t="s">
        <v>2127</v>
      </c>
      <c r="AT626" s="4"/>
      <c r="AU626" s="4"/>
      <c r="AV626" s="4" t="s">
        <v>2046</v>
      </c>
      <c r="AW626" s="4">
        <v>5599</v>
      </c>
      <c r="AX626" s="4">
        <v>5600</v>
      </c>
      <c r="AY626" s="4">
        <v>5600</v>
      </c>
      <c r="AZ626" s="4">
        <f t="shared" si="213"/>
        <v>5600</v>
      </c>
      <c r="BA626" s="19">
        <v>4</v>
      </c>
      <c r="BB626" s="19">
        <v>8</v>
      </c>
      <c r="BC626" s="16">
        <v>6</v>
      </c>
      <c r="BD626" t="s">
        <v>1280</v>
      </c>
      <c r="BE626" t="s">
        <v>1280</v>
      </c>
      <c r="BF626" t="s">
        <v>1280</v>
      </c>
      <c r="BG626" t="str">
        <f t="shared" si="218"/>
        <v>-</v>
      </c>
      <c r="BH626">
        <v>6400</v>
      </c>
      <c r="BI626">
        <v>6400</v>
      </c>
      <c r="BJ626">
        <v>6400</v>
      </c>
      <c r="BK626">
        <f t="shared" si="219"/>
        <v>6971.4285714285706</v>
      </c>
      <c r="BL626" t="s">
        <v>1618</v>
      </c>
      <c r="BM626">
        <v>812</v>
      </c>
    </row>
    <row r="627" spans="1:65" x14ac:dyDescent="0.4">
      <c r="A627" s="3">
        <v>568</v>
      </c>
      <c r="B627" s="3">
        <v>568</v>
      </c>
      <c r="C627" s="4" t="s">
        <v>557</v>
      </c>
      <c r="D627" s="4" t="str">
        <f t="shared" si="198"/>
        <v>J929WN</v>
      </c>
      <c r="E627" s="4" t="s">
        <v>557</v>
      </c>
      <c r="F627" s="4" t="str">
        <f t="shared" si="214"/>
        <v>J929WN5</v>
      </c>
      <c r="G627" s="4" t="s">
        <v>1201</v>
      </c>
      <c r="H627" s="5">
        <v>4974268698001</v>
      </c>
      <c r="I627" s="5">
        <v>5</v>
      </c>
      <c r="J627" s="5"/>
      <c r="K627" s="5">
        <v>1</v>
      </c>
      <c r="L627" s="5">
        <v>1</v>
      </c>
      <c r="M627" s="4">
        <v>5600</v>
      </c>
      <c r="N627" s="4">
        <v>5600</v>
      </c>
      <c r="O627" s="4">
        <v>4480</v>
      </c>
      <c r="P627" s="6">
        <f t="shared" si="199"/>
        <v>0.19999999999999996</v>
      </c>
      <c r="Q627" s="4" t="s">
        <v>1280</v>
      </c>
      <c r="R627" s="4" t="s">
        <v>1280</v>
      </c>
      <c r="S627" s="4" t="s">
        <v>1280</v>
      </c>
      <c r="T627" s="4">
        <v>6100</v>
      </c>
      <c r="U627" s="4">
        <f t="shared" si="200"/>
        <v>6100</v>
      </c>
      <c r="V627" s="4">
        <v>4880</v>
      </c>
      <c r="W627" s="4">
        <f t="shared" si="201"/>
        <v>4880</v>
      </c>
      <c r="X627" s="4"/>
      <c r="Y627" s="21">
        <f t="shared" si="202"/>
        <v>6100</v>
      </c>
      <c r="Z627" s="6">
        <f t="shared" si="203"/>
        <v>0.19999999999999996</v>
      </c>
      <c r="AA627" s="4">
        <v>0</v>
      </c>
      <c r="AB627" s="4">
        <f t="shared" si="204"/>
        <v>5600</v>
      </c>
      <c r="AC627" s="4">
        <f t="shared" si="215"/>
        <v>6099.9999999999991</v>
      </c>
      <c r="AD627" s="6">
        <f t="shared" si="216"/>
        <v>0.19999999999999984</v>
      </c>
      <c r="AE627" s="4">
        <f t="shared" si="217"/>
        <v>5795</v>
      </c>
      <c r="AF627" s="7">
        <v>6100</v>
      </c>
      <c r="AG627" s="6">
        <f t="shared" si="205"/>
        <v>0.19999999999999996</v>
      </c>
      <c r="AH627" s="4">
        <f t="shared" si="206"/>
        <v>1220</v>
      </c>
      <c r="AI627" s="28"/>
      <c r="AJ627" s="6"/>
      <c r="AK627" s="6"/>
      <c r="AL627" s="6">
        <f t="shared" si="207"/>
        <v>1.0892857142857142</v>
      </c>
      <c r="AM627" s="6">
        <f t="shared" si="208"/>
        <v>1.0892857142857142</v>
      </c>
      <c r="AN627" s="6">
        <f t="shared" si="209"/>
        <v>1.0892857142857142</v>
      </c>
      <c r="AO627" s="4" t="str">
        <f t="shared" si="210"/>
        <v>-</v>
      </c>
      <c r="AP627" s="4" t="str">
        <f t="shared" si="211"/>
        <v>-</v>
      </c>
      <c r="AQ627" s="4" t="str">
        <f t="shared" si="212"/>
        <v>-</v>
      </c>
      <c r="AR627" s="4">
        <v>0</v>
      </c>
      <c r="AS627" s="4" t="s">
        <v>2128</v>
      </c>
      <c r="AT627" s="4"/>
      <c r="AU627" s="4"/>
      <c r="AV627" s="4" t="s">
        <v>2046</v>
      </c>
      <c r="AW627" s="4">
        <v>5599</v>
      </c>
      <c r="AX627" s="4">
        <v>5600</v>
      </c>
      <c r="AY627" s="4">
        <v>5600</v>
      </c>
      <c r="AZ627" s="4">
        <f t="shared" si="213"/>
        <v>5600</v>
      </c>
      <c r="BA627" s="19">
        <v>4</v>
      </c>
      <c r="BB627" s="19">
        <v>8</v>
      </c>
      <c r="BC627" s="16">
        <v>6</v>
      </c>
      <c r="BD627" t="s">
        <v>1280</v>
      </c>
      <c r="BE627" t="s">
        <v>1280</v>
      </c>
      <c r="BF627" t="s">
        <v>1280</v>
      </c>
      <c r="BG627" t="str">
        <f t="shared" si="218"/>
        <v>-</v>
      </c>
      <c r="BH627">
        <v>6400</v>
      </c>
      <c r="BI627">
        <v>6400</v>
      </c>
      <c r="BJ627">
        <v>6400</v>
      </c>
      <c r="BK627">
        <f t="shared" si="219"/>
        <v>6971.4285714285706</v>
      </c>
      <c r="BL627" t="s">
        <v>1619</v>
      </c>
      <c r="BM627">
        <v>812</v>
      </c>
    </row>
    <row r="628" spans="1:65" x14ac:dyDescent="0.4">
      <c r="A628" s="3">
        <v>569</v>
      </c>
      <c r="B628" s="3">
        <v>569</v>
      </c>
      <c r="C628" s="4" t="s">
        <v>558</v>
      </c>
      <c r="D628" s="4" t="str">
        <f t="shared" si="198"/>
        <v>J931WN</v>
      </c>
      <c r="E628" s="4" t="s">
        <v>558</v>
      </c>
      <c r="F628" s="4" t="str">
        <f t="shared" si="214"/>
        <v>J931WN5</v>
      </c>
      <c r="G628" s="4" t="s">
        <v>1202</v>
      </c>
      <c r="H628" s="5">
        <v>4974268698025</v>
      </c>
      <c r="I628" s="5">
        <v>5</v>
      </c>
      <c r="J628" s="5"/>
      <c r="K628" s="5">
        <v>1</v>
      </c>
      <c r="L628" s="5">
        <v>1</v>
      </c>
      <c r="M628" s="4">
        <v>5600</v>
      </c>
      <c r="N628" s="4">
        <v>5600</v>
      </c>
      <c r="O628" s="4">
        <v>4480</v>
      </c>
      <c r="P628" s="6">
        <f t="shared" si="199"/>
        <v>0.19999999999999996</v>
      </c>
      <c r="Q628" s="4" t="s">
        <v>1280</v>
      </c>
      <c r="R628" s="4" t="s">
        <v>1280</v>
      </c>
      <c r="S628" s="4" t="s">
        <v>1280</v>
      </c>
      <c r="T628" s="4">
        <v>6100</v>
      </c>
      <c r="U628" s="4">
        <f t="shared" si="200"/>
        <v>6100</v>
      </c>
      <c r="V628" s="4">
        <v>4880</v>
      </c>
      <c r="W628" s="4">
        <f t="shared" si="201"/>
        <v>4880</v>
      </c>
      <c r="X628" s="4"/>
      <c r="Y628" s="21">
        <f t="shared" si="202"/>
        <v>6100</v>
      </c>
      <c r="Z628" s="6">
        <f t="shared" si="203"/>
        <v>0.19999999999999996</v>
      </c>
      <c r="AA628" s="4">
        <v>0</v>
      </c>
      <c r="AB628" s="4">
        <f t="shared" si="204"/>
        <v>5600</v>
      </c>
      <c r="AC628" s="4">
        <f t="shared" si="215"/>
        <v>6099.9999999999991</v>
      </c>
      <c r="AD628" s="6">
        <f t="shared" si="216"/>
        <v>0.19999999999999984</v>
      </c>
      <c r="AE628" s="4">
        <f t="shared" si="217"/>
        <v>5795</v>
      </c>
      <c r="AF628" s="7">
        <v>6100</v>
      </c>
      <c r="AG628" s="6">
        <f t="shared" si="205"/>
        <v>0.19999999999999996</v>
      </c>
      <c r="AH628" s="4">
        <f t="shared" si="206"/>
        <v>1220</v>
      </c>
      <c r="AI628" s="28"/>
      <c r="AJ628" s="6"/>
      <c r="AK628" s="6"/>
      <c r="AL628" s="6">
        <f t="shared" si="207"/>
        <v>1.0892857142857142</v>
      </c>
      <c r="AM628" s="6">
        <f t="shared" si="208"/>
        <v>1.0892857142857142</v>
      </c>
      <c r="AN628" s="6">
        <f t="shared" si="209"/>
        <v>1.0892857142857142</v>
      </c>
      <c r="AO628" s="4" t="str">
        <f t="shared" si="210"/>
        <v>-</v>
      </c>
      <c r="AP628" s="4" t="str">
        <f t="shared" si="211"/>
        <v>-</v>
      </c>
      <c r="AQ628" s="4" t="str">
        <f t="shared" si="212"/>
        <v>-</v>
      </c>
      <c r="AR628" s="4">
        <v>0</v>
      </c>
      <c r="AS628" s="4" t="s">
        <v>2129</v>
      </c>
      <c r="AT628" s="4"/>
      <c r="AU628" s="4"/>
      <c r="AV628" s="4" t="s">
        <v>2046</v>
      </c>
      <c r="AW628" s="4">
        <v>5599</v>
      </c>
      <c r="AX628" s="4">
        <v>5600</v>
      </c>
      <c r="AY628" s="4">
        <v>5600</v>
      </c>
      <c r="AZ628" s="4">
        <f t="shared" si="213"/>
        <v>5600</v>
      </c>
      <c r="BA628" s="19">
        <v>4</v>
      </c>
      <c r="BB628" s="19">
        <v>8</v>
      </c>
      <c r="BC628" s="16">
        <v>6</v>
      </c>
      <c r="BD628" t="s">
        <v>1280</v>
      </c>
      <c r="BE628" t="s">
        <v>1280</v>
      </c>
      <c r="BF628" t="s">
        <v>1280</v>
      </c>
      <c r="BG628" t="str">
        <f t="shared" si="218"/>
        <v>-</v>
      </c>
      <c r="BH628">
        <v>6400</v>
      </c>
      <c r="BI628">
        <v>6400</v>
      </c>
      <c r="BJ628">
        <v>6400</v>
      </c>
      <c r="BK628">
        <f t="shared" si="219"/>
        <v>6971.4285714285706</v>
      </c>
      <c r="BL628" t="s">
        <v>1620</v>
      </c>
      <c r="BM628">
        <v>812</v>
      </c>
    </row>
    <row r="629" spans="1:65" x14ac:dyDescent="0.4">
      <c r="A629" s="3">
        <v>570</v>
      </c>
      <c r="B629" s="3">
        <v>570</v>
      </c>
      <c r="C629" s="4" t="s">
        <v>559</v>
      </c>
      <c r="D629" s="4" t="str">
        <f t="shared" si="198"/>
        <v>J930WN</v>
      </c>
      <c r="E629" s="4" t="s">
        <v>559</v>
      </c>
      <c r="F629" s="4" t="str">
        <f t="shared" si="214"/>
        <v>J930WN5</v>
      </c>
      <c r="G629" s="4" t="s">
        <v>1203</v>
      </c>
      <c r="H629" s="5">
        <v>4974268698018</v>
      </c>
      <c r="I629" s="5">
        <v>5</v>
      </c>
      <c r="J629" s="5"/>
      <c r="K629" s="5">
        <v>1</v>
      </c>
      <c r="L629" s="5">
        <v>1</v>
      </c>
      <c r="M629" s="4">
        <v>5600</v>
      </c>
      <c r="N629" s="4">
        <v>5600</v>
      </c>
      <c r="O629" s="4">
        <v>4480</v>
      </c>
      <c r="P629" s="6">
        <f t="shared" si="199"/>
        <v>0.19999999999999996</v>
      </c>
      <c r="Q629" s="4" t="s">
        <v>1280</v>
      </c>
      <c r="R629" s="4" t="s">
        <v>1280</v>
      </c>
      <c r="S629" s="4" t="s">
        <v>1280</v>
      </c>
      <c r="T629" s="4">
        <v>6100</v>
      </c>
      <c r="U629" s="4">
        <f t="shared" si="200"/>
        <v>6100</v>
      </c>
      <c r="V629" s="4">
        <v>4880</v>
      </c>
      <c r="W629" s="4">
        <f t="shared" si="201"/>
        <v>4880</v>
      </c>
      <c r="X629" s="4"/>
      <c r="Y629" s="21">
        <f t="shared" si="202"/>
        <v>6100</v>
      </c>
      <c r="Z629" s="6">
        <f t="shared" si="203"/>
        <v>0.19999999999999996</v>
      </c>
      <c r="AA629" s="4">
        <v>0</v>
      </c>
      <c r="AB629" s="4">
        <f t="shared" si="204"/>
        <v>5600</v>
      </c>
      <c r="AC629" s="4">
        <f t="shared" si="215"/>
        <v>6099.9999999999991</v>
      </c>
      <c r="AD629" s="6">
        <f t="shared" si="216"/>
        <v>0.19999999999999984</v>
      </c>
      <c r="AE629" s="4">
        <f t="shared" si="217"/>
        <v>5795</v>
      </c>
      <c r="AF629" s="7">
        <v>6100</v>
      </c>
      <c r="AG629" s="6">
        <f t="shared" si="205"/>
        <v>0.19999999999999996</v>
      </c>
      <c r="AH629" s="4">
        <f t="shared" si="206"/>
        <v>1220</v>
      </c>
      <c r="AI629" s="28"/>
      <c r="AJ629" s="6"/>
      <c r="AK629" s="6"/>
      <c r="AL629" s="6">
        <f t="shared" si="207"/>
        <v>1.0892857142857142</v>
      </c>
      <c r="AM629" s="6">
        <f t="shared" si="208"/>
        <v>1.0892857142857142</v>
      </c>
      <c r="AN629" s="6">
        <f t="shared" si="209"/>
        <v>1.0892857142857142</v>
      </c>
      <c r="AO629" s="4" t="str">
        <f t="shared" si="210"/>
        <v>-</v>
      </c>
      <c r="AP629" s="4" t="str">
        <f t="shared" si="211"/>
        <v>-</v>
      </c>
      <c r="AQ629" s="4" t="str">
        <f t="shared" si="212"/>
        <v>-</v>
      </c>
      <c r="AR629" s="4">
        <v>0</v>
      </c>
      <c r="AS629" s="4" t="s">
        <v>2130</v>
      </c>
      <c r="AT629" s="4"/>
      <c r="AU629" s="4"/>
      <c r="AV629" s="4" t="s">
        <v>2046</v>
      </c>
      <c r="AW629" s="4">
        <v>5599</v>
      </c>
      <c r="AX629" s="4">
        <v>5600</v>
      </c>
      <c r="AY629" s="4">
        <v>5600</v>
      </c>
      <c r="AZ629" s="4">
        <f t="shared" si="213"/>
        <v>5600</v>
      </c>
      <c r="BA629" s="19">
        <v>4</v>
      </c>
      <c r="BB629" s="19">
        <v>8</v>
      </c>
      <c r="BC629" s="16">
        <v>6</v>
      </c>
      <c r="BD629" t="s">
        <v>1280</v>
      </c>
      <c r="BE629" t="s">
        <v>1280</v>
      </c>
      <c r="BF629" t="s">
        <v>1280</v>
      </c>
      <c r="BG629" t="str">
        <f t="shared" si="218"/>
        <v>-</v>
      </c>
      <c r="BH629">
        <v>6400</v>
      </c>
      <c r="BI629">
        <v>6400</v>
      </c>
      <c r="BJ629">
        <v>6400</v>
      </c>
      <c r="BK629">
        <f t="shared" si="219"/>
        <v>6971.4285714285706</v>
      </c>
      <c r="BL629" t="s">
        <v>1621</v>
      </c>
      <c r="BM629">
        <v>812</v>
      </c>
    </row>
    <row r="630" spans="1:65" x14ac:dyDescent="0.4">
      <c r="A630" s="32">
        <v>269</v>
      </c>
      <c r="B630" s="3">
        <v>269</v>
      </c>
      <c r="C630" s="4" t="s">
        <v>258</v>
      </c>
      <c r="D630" s="4" t="str">
        <f t="shared" si="198"/>
        <v>J38921</v>
      </c>
      <c r="E630" s="4" t="s">
        <v>258</v>
      </c>
      <c r="F630" s="4" t="str">
        <f t="shared" si="214"/>
        <v>J389215</v>
      </c>
      <c r="G630" s="4" t="s">
        <v>904</v>
      </c>
      <c r="H630" s="5">
        <v>4974268832337</v>
      </c>
      <c r="I630" s="5">
        <v>5</v>
      </c>
      <c r="J630" s="5"/>
      <c r="K630" s="5">
        <v>1</v>
      </c>
      <c r="L630" s="5">
        <v>1</v>
      </c>
      <c r="M630" s="4">
        <v>7300</v>
      </c>
      <c r="N630" s="4">
        <v>5805</v>
      </c>
      <c r="O630" s="4">
        <v>4380</v>
      </c>
      <c r="P630" s="6">
        <f t="shared" si="199"/>
        <v>0.24547803617571062</v>
      </c>
      <c r="Q630" s="4" t="s">
        <v>1280</v>
      </c>
      <c r="R630" s="4" t="s">
        <v>1280</v>
      </c>
      <c r="S630" s="4" t="s">
        <v>1280</v>
      </c>
      <c r="T630" s="4">
        <v>8200</v>
      </c>
      <c r="U630" s="4">
        <f t="shared" si="200"/>
        <v>8200</v>
      </c>
      <c r="V630" s="4">
        <v>4920</v>
      </c>
      <c r="W630" s="4">
        <f t="shared" si="201"/>
        <v>4920</v>
      </c>
      <c r="X630" s="4"/>
      <c r="Y630" s="21">
        <f t="shared" si="202"/>
        <v>6521</v>
      </c>
      <c r="Z630" s="6">
        <f t="shared" si="203"/>
        <v>0.24551449164238615</v>
      </c>
      <c r="AA630" s="4">
        <v>0</v>
      </c>
      <c r="AB630" s="4" t="str">
        <f t="shared" si="204"/>
        <v>-</v>
      </c>
      <c r="AC630" s="4" t="str">
        <f t="shared" si="215"/>
        <v>-</v>
      </c>
      <c r="AD630" s="6" t="str">
        <f t="shared" si="216"/>
        <v>-</v>
      </c>
      <c r="AE630" s="4">
        <f t="shared" si="217"/>
        <v>7790</v>
      </c>
      <c r="AF630" s="7">
        <v>6314</v>
      </c>
      <c r="AG630" s="6">
        <f t="shared" si="205"/>
        <v>0.22077922077922074</v>
      </c>
      <c r="AH630" s="4">
        <f t="shared" si="206"/>
        <v>1394</v>
      </c>
      <c r="AI630" s="28"/>
      <c r="AJ630" s="6"/>
      <c r="AK630" s="6"/>
      <c r="AL630" s="6">
        <f t="shared" si="207"/>
        <v>1.1232876712328768</v>
      </c>
      <c r="AM630" s="6">
        <f t="shared" si="208"/>
        <v>1.0876830318690784</v>
      </c>
      <c r="AN630" s="6">
        <f t="shared" si="209"/>
        <v>1.1232876712328768</v>
      </c>
      <c r="AO630" s="4" t="str">
        <f t="shared" si="210"/>
        <v>-</v>
      </c>
      <c r="AP630" s="4" t="str">
        <f t="shared" si="211"/>
        <v>-</v>
      </c>
      <c r="AQ630" s="4" t="str">
        <f t="shared" si="212"/>
        <v>-</v>
      </c>
      <c r="AR630" s="4">
        <v>0</v>
      </c>
      <c r="AS630" s="4" t="s">
        <v>1280</v>
      </c>
      <c r="AT630" s="4"/>
      <c r="AU630" s="4"/>
      <c r="AV630" s="4" t="s">
        <v>1280</v>
      </c>
      <c r="AW630" s="4" t="s">
        <v>1280</v>
      </c>
      <c r="AX630" s="4" t="s">
        <v>1280</v>
      </c>
      <c r="AY630" s="4" t="s">
        <v>1280</v>
      </c>
      <c r="AZ630" s="4" t="str">
        <f t="shared" si="213"/>
        <v>-</v>
      </c>
      <c r="BA630" s="19">
        <v>2</v>
      </c>
      <c r="BB630" s="19">
        <v>8</v>
      </c>
      <c r="BC630" s="16">
        <v>18</v>
      </c>
      <c r="BD630" t="s">
        <v>1280</v>
      </c>
      <c r="BE630" t="s">
        <v>1280</v>
      </c>
      <c r="BF630" t="s">
        <v>1280</v>
      </c>
      <c r="BG630" t="str">
        <f t="shared" si="218"/>
        <v>-</v>
      </c>
      <c r="BH630">
        <v>5621</v>
      </c>
      <c r="BI630">
        <v>5621</v>
      </c>
      <c r="BJ630">
        <v>5621</v>
      </c>
      <c r="BK630">
        <f t="shared" si="219"/>
        <v>6314</v>
      </c>
      <c r="BL630" t="s">
        <v>1280</v>
      </c>
      <c r="BM630">
        <v>812</v>
      </c>
    </row>
    <row r="631" spans="1:65" x14ac:dyDescent="0.4">
      <c r="A631" s="32">
        <v>272</v>
      </c>
      <c r="B631" s="3">
        <v>272</v>
      </c>
      <c r="C631" s="4" t="s">
        <v>261</v>
      </c>
      <c r="D631" s="4" t="str">
        <f t="shared" si="198"/>
        <v>J38923</v>
      </c>
      <c r="E631" s="4" t="s">
        <v>261</v>
      </c>
      <c r="F631" s="4" t="str">
        <f t="shared" si="214"/>
        <v>J389235</v>
      </c>
      <c r="G631" s="4" t="s">
        <v>907</v>
      </c>
      <c r="H631" s="5">
        <v>4974268832344</v>
      </c>
      <c r="I631" s="5">
        <v>5</v>
      </c>
      <c r="J631" s="5"/>
      <c r="K631" s="5">
        <v>1</v>
      </c>
      <c r="L631" s="5">
        <v>1</v>
      </c>
      <c r="M631" s="4">
        <v>7300</v>
      </c>
      <c r="N631" s="4">
        <v>5805</v>
      </c>
      <c r="O631" s="4">
        <v>4380</v>
      </c>
      <c r="P631" s="6">
        <f t="shared" si="199"/>
        <v>0.24547803617571062</v>
      </c>
      <c r="Q631" s="4" t="s">
        <v>1280</v>
      </c>
      <c r="R631" s="4" t="s">
        <v>1280</v>
      </c>
      <c r="S631" s="4" t="s">
        <v>1280</v>
      </c>
      <c r="T631" s="4">
        <v>8200</v>
      </c>
      <c r="U631" s="4">
        <f t="shared" si="200"/>
        <v>8200</v>
      </c>
      <c r="V631" s="4">
        <v>4920</v>
      </c>
      <c r="W631" s="4">
        <f t="shared" si="201"/>
        <v>4920</v>
      </c>
      <c r="X631" s="4"/>
      <c r="Y631" s="21">
        <f t="shared" si="202"/>
        <v>6521</v>
      </c>
      <c r="Z631" s="6">
        <f t="shared" si="203"/>
        <v>0.24551449164238615</v>
      </c>
      <c r="AA631" s="4">
        <v>0</v>
      </c>
      <c r="AB631" s="4" t="str">
        <f t="shared" si="204"/>
        <v>-</v>
      </c>
      <c r="AC631" s="4" t="str">
        <f t="shared" si="215"/>
        <v>-</v>
      </c>
      <c r="AD631" s="6" t="str">
        <f t="shared" si="216"/>
        <v>-</v>
      </c>
      <c r="AE631" s="4">
        <f t="shared" si="217"/>
        <v>7790</v>
      </c>
      <c r="AF631" s="7">
        <v>6314</v>
      </c>
      <c r="AG631" s="6">
        <f t="shared" si="205"/>
        <v>0.22077922077922074</v>
      </c>
      <c r="AH631" s="4">
        <f t="shared" si="206"/>
        <v>1394</v>
      </c>
      <c r="AI631" s="28"/>
      <c r="AJ631" s="6"/>
      <c r="AK631" s="6"/>
      <c r="AL631" s="6">
        <f t="shared" si="207"/>
        <v>1.1232876712328768</v>
      </c>
      <c r="AM631" s="6">
        <f t="shared" si="208"/>
        <v>1.0876830318690784</v>
      </c>
      <c r="AN631" s="6">
        <f t="shared" si="209"/>
        <v>1.1232876712328768</v>
      </c>
      <c r="AO631" s="4" t="str">
        <f t="shared" si="210"/>
        <v>-</v>
      </c>
      <c r="AP631" s="4" t="str">
        <f t="shared" si="211"/>
        <v>-</v>
      </c>
      <c r="AQ631" s="4" t="str">
        <f t="shared" si="212"/>
        <v>-</v>
      </c>
      <c r="AR631" s="4">
        <v>0</v>
      </c>
      <c r="AS631" s="4" t="s">
        <v>1280</v>
      </c>
      <c r="AT631" s="4"/>
      <c r="AU631" s="4"/>
      <c r="AV631" s="4" t="s">
        <v>1280</v>
      </c>
      <c r="AW631" s="4" t="s">
        <v>1280</v>
      </c>
      <c r="AX631" s="4" t="s">
        <v>1280</v>
      </c>
      <c r="AY631" s="4" t="s">
        <v>1280</v>
      </c>
      <c r="AZ631" s="4" t="str">
        <f t="shared" si="213"/>
        <v>-</v>
      </c>
      <c r="BA631" s="19">
        <v>2</v>
      </c>
      <c r="BB631" s="19">
        <v>8</v>
      </c>
      <c r="BC631" s="16">
        <v>18</v>
      </c>
      <c r="BD631" t="s">
        <v>1280</v>
      </c>
      <c r="BE631" t="s">
        <v>1280</v>
      </c>
      <c r="BF631" t="s">
        <v>1280</v>
      </c>
      <c r="BG631" t="str">
        <f t="shared" si="218"/>
        <v>-</v>
      </c>
      <c r="BH631">
        <v>5621</v>
      </c>
      <c r="BI631">
        <v>5621</v>
      </c>
      <c r="BJ631">
        <v>5621</v>
      </c>
      <c r="BK631">
        <f t="shared" si="219"/>
        <v>6314</v>
      </c>
      <c r="BL631" t="s">
        <v>1280</v>
      </c>
      <c r="BM631">
        <v>812</v>
      </c>
    </row>
    <row r="632" spans="1:65" x14ac:dyDescent="0.4">
      <c r="A632" s="3">
        <v>423</v>
      </c>
      <c r="B632" s="3">
        <v>423</v>
      </c>
      <c r="C632" s="4" t="s">
        <v>412</v>
      </c>
      <c r="D632" s="4" t="str">
        <f t="shared" si="198"/>
        <v>J54448</v>
      </c>
      <c r="E632" s="4" t="s">
        <v>412</v>
      </c>
      <c r="F632" s="4" t="str">
        <f t="shared" si="214"/>
        <v>J544485</v>
      </c>
      <c r="G632" s="4" t="s">
        <v>1056</v>
      </c>
      <c r="H632" s="5">
        <v>4974268651075</v>
      </c>
      <c r="I632" s="5">
        <v>5</v>
      </c>
      <c r="J632" s="5"/>
      <c r="K632" s="5">
        <v>1</v>
      </c>
      <c r="L632" s="5">
        <v>1</v>
      </c>
      <c r="M632" s="4">
        <v>7500</v>
      </c>
      <c r="N632" s="4">
        <v>6812</v>
      </c>
      <c r="O632" s="4">
        <v>4500</v>
      </c>
      <c r="P632" s="6">
        <f t="shared" si="199"/>
        <v>0.33940105695830891</v>
      </c>
      <c r="Q632" s="4" t="s">
        <v>1280</v>
      </c>
      <c r="R632" s="4" t="s">
        <v>1280</v>
      </c>
      <c r="S632" s="4" t="s">
        <v>1280</v>
      </c>
      <c r="T632" s="4">
        <v>8300</v>
      </c>
      <c r="U632" s="4">
        <f t="shared" si="200"/>
        <v>8300</v>
      </c>
      <c r="V632" s="4">
        <v>4980</v>
      </c>
      <c r="W632" s="4">
        <f t="shared" si="201"/>
        <v>4980</v>
      </c>
      <c r="X632" s="4"/>
      <c r="Y632" s="21">
        <f t="shared" si="202"/>
        <v>7539</v>
      </c>
      <c r="Z632" s="6">
        <f t="shared" si="203"/>
        <v>0.33943493832073224</v>
      </c>
      <c r="AA632" s="4">
        <v>1.25</v>
      </c>
      <c r="AB632" s="4">
        <f t="shared" si="204"/>
        <v>7233</v>
      </c>
      <c r="AC632" s="4">
        <f t="shared" si="215"/>
        <v>8004.52</v>
      </c>
      <c r="AD632" s="6">
        <f t="shared" si="216"/>
        <v>0.37785151389464955</v>
      </c>
      <c r="AE632" s="4">
        <f t="shared" si="217"/>
        <v>7885</v>
      </c>
      <c r="AF632" s="7">
        <v>7566</v>
      </c>
      <c r="AG632" s="6">
        <f t="shared" si="205"/>
        <v>0.34179222839016654</v>
      </c>
      <c r="AH632" s="4">
        <f t="shared" si="206"/>
        <v>2586</v>
      </c>
      <c r="AI632" s="28"/>
      <c r="AJ632" s="6"/>
      <c r="AK632" s="6"/>
      <c r="AL632" s="6">
        <f t="shared" si="207"/>
        <v>1.1066666666666667</v>
      </c>
      <c r="AM632" s="6">
        <f t="shared" si="208"/>
        <v>1.1106870229007633</v>
      </c>
      <c r="AN632" s="6">
        <f t="shared" si="209"/>
        <v>1.1066666666666667</v>
      </c>
      <c r="AO632" s="4" t="str">
        <f t="shared" si="210"/>
        <v>-</v>
      </c>
      <c r="AP632" s="4" t="str">
        <f t="shared" si="211"/>
        <v>-</v>
      </c>
      <c r="AQ632" s="4" t="str">
        <f t="shared" si="212"/>
        <v>-</v>
      </c>
      <c r="AR632" s="4">
        <v>0</v>
      </c>
      <c r="AS632" s="4" t="s">
        <v>1985</v>
      </c>
      <c r="AT632" s="4"/>
      <c r="AU632" s="4"/>
      <c r="AV632" s="4" t="s">
        <v>1691</v>
      </c>
      <c r="AW632" s="4">
        <v>7233</v>
      </c>
      <c r="AX632" s="4">
        <v>7233</v>
      </c>
      <c r="AY632" s="4">
        <v>7233</v>
      </c>
      <c r="AZ632" s="4">
        <f t="shared" si="213"/>
        <v>7233</v>
      </c>
      <c r="BA632" s="19">
        <v>4</v>
      </c>
      <c r="BB632" s="19">
        <v>8</v>
      </c>
      <c r="BC632" s="16">
        <v>18</v>
      </c>
      <c r="BD632">
        <v>7500</v>
      </c>
      <c r="BE632">
        <v>7500</v>
      </c>
      <c r="BF632">
        <v>7500</v>
      </c>
      <c r="BG632">
        <f t="shared" si="218"/>
        <v>8300</v>
      </c>
      <c r="BH632">
        <v>6837</v>
      </c>
      <c r="BI632">
        <v>6837</v>
      </c>
      <c r="BJ632">
        <v>6837</v>
      </c>
      <c r="BK632">
        <f t="shared" si="219"/>
        <v>7566.28</v>
      </c>
      <c r="BL632" t="s">
        <v>1506</v>
      </c>
      <c r="BM632">
        <v>812</v>
      </c>
    </row>
    <row r="633" spans="1:65" x14ac:dyDescent="0.4">
      <c r="A633" s="32">
        <v>573</v>
      </c>
      <c r="B633" s="3">
        <v>573</v>
      </c>
      <c r="C633" s="4" t="s">
        <v>562</v>
      </c>
      <c r="D633" s="4" t="str">
        <f t="shared" si="198"/>
        <v>J938SA</v>
      </c>
      <c r="E633" s="4" t="s">
        <v>562</v>
      </c>
      <c r="F633" s="4" t="str">
        <f t="shared" si="214"/>
        <v>J938SA5</v>
      </c>
      <c r="G633" s="4" t="s">
        <v>1206</v>
      </c>
      <c r="H633" s="5">
        <v>4974268832634</v>
      </c>
      <c r="I633" s="5">
        <v>5</v>
      </c>
      <c r="J633" s="5"/>
      <c r="K633" s="5">
        <v>1</v>
      </c>
      <c r="L633" s="5">
        <v>1</v>
      </c>
      <c r="M633" s="4">
        <v>7600</v>
      </c>
      <c r="N633" s="4">
        <v>6005</v>
      </c>
      <c r="O633" s="4">
        <v>4560</v>
      </c>
      <c r="P633" s="6">
        <f t="shared" si="199"/>
        <v>0.24063280599500414</v>
      </c>
      <c r="Q633" s="4" t="s">
        <v>1280</v>
      </c>
      <c r="R633" s="4" t="s">
        <v>1280</v>
      </c>
      <c r="S633" s="4" t="s">
        <v>1280</v>
      </c>
      <c r="T633" s="4">
        <v>8400</v>
      </c>
      <c r="U633" s="4">
        <f t="shared" si="200"/>
        <v>8400</v>
      </c>
      <c r="V633" s="4">
        <v>5040</v>
      </c>
      <c r="W633" s="4">
        <f t="shared" si="201"/>
        <v>5040</v>
      </c>
      <c r="X633" s="4"/>
      <c r="Y633" s="21">
        <f t="shared" si="202"/>
        <v>6637</v>
      </c>
      <c r="Z633" s="6">
        <f t="shared" si="203"/>
        <v>0.24062076239264729</v>
      </c>
      <c r="AA633" s="4">
        <v>0</v>
      </c>
      <c r="AB633" s="4">
        <f t="shared" si="204"/>
        <v>5893</v>
      </c>
      <c r="AC633" s="4">
        <f t="shared" si="215"/>
        <v>6513.3157894736851</v>
      </c>
      <c r="AD633" s="6">
        <f t="shared" si="216"/>
        <v>0.22620057695571028</v>
      </c>
      <c r="AE633" s="4">
        <f t="shared" si="217"/>
        <v>7980</v>
      </c>
      <c r="AF633" s="7">
        <v>7636</v>
      </c>
      <c r="AG633" s="6">
        <f t="shared" si="205"/>
        <v>0.3399685699319015</v>
      </c>
      <c r="AH633" s="4">
        <f t="shared" si="206"/>
        <v>2596</v>
      </c>
      <c r="AI633" s="28"/>
      <c r="AJ633" s="6"/>
      <c r="AK633" s="6"/>
      <c r="AL633" s="6">
        <f t="shared" si="207"/>
        <v>1.1052631578947369</v>
      </c>
      <c r="AM633" s="6">
        <f t="shared" si="208"/>
        <v>1.2716069941715238</v>
      </c>
      <c r="AN633" s="6">
        <f t="shared" si="209"/>
        <v>1.1052631578947369</v>
      </c>
      <c r="AO633" s="4" t="str">
        <f t="shared" si="210"/>
        <v>-</v>
      </c>
      <c r="AP633" s="4" t="str">
        <f t="shared" si="211"/>
        <v>-</v>
      </c>
      <c r="AQ633" s="4" t="str">
        <f t="shared" si="212"/>
        <v>-</v>
      </c>
      <c r="AR633" s="4">
        <v>0</v>
      </c>
      <c r="AS633" s="4" t="s">
        <v>2133</v>
      </c>
      <c r="AT633" s="4"/>
      <c r="AU633" s="4"/>
      <c r="AV633" s="4" t="s">
        <v>1697</v>
      </c>
      <c r="AW633" s="4">
        <v>5893</v>
      </c>
      <c r="AX633" s="4">
        <v>5893</v>
      </c>
      <c r="AY633" s="4">
        <v>5893</v>
      </c>
      <c r="AZ633" s="4">
        <f t="shared" si="213"/>
        <v>5893</v>
      </c>
      <c r="BA633" s="19">
        <v>2</v>
      </c>
      <c r="BB633" s="19">
        <v>8</v>
      </c>
      <c r="BC633" s="16">
        <v>18</v>
      </c>
      <c r="BD633">
        <v>6909</v>
      </c>
      <c r="BE633">
        <v>6909</v>
      </c>
      <c r="BF633">
        <v>6909</v>
      </c>
      <c r="BG633">
        <f t="shared" si="218"/>
        <v>7636.2631578947376</v>
      </c>
      <c r="BH633">
        <v>7249</v>
      </c>
      <c r="BI633">
        <v>7249</v>
      </c>
      <c r="BJ633">
        <v>7249</v>
      </c>
      <c r="BK633">
        <f t="shared" si="219"/>
        <v>8012.0526315789484</v>
      </c>
      <c r="BL633" t="s">
        <v>1623</v>
      </c>
      <c r="BM633">
        <v>812</v>
      </c>
    </row>
    <row r="634" spans="1:65" x14ac:dyDescent="0.4">
      <c r="A634" s="32">
        <v>81</v>
      </c>
      <c r="B634" s="3">
        <v>81</v>
      </c>
      <c r="C634" s="4" t="s">
        <v>70</v>
      </c>
      <c r="D634" s="4" t="str">
        <f t="shared" si="198"/>
        <v>J040WG</v>
      </c>
      <c r="E634" s="4" t="s">
        <v>70</v>
      </c>
      <c r="F634" s="4" t="str">
        <f t="shared" si="214"/>
        <v>J040WG5</v>
      </c>
      <c r="G634" s="4" t="s">
        <v>716</v>
      </c>
      <c r="H634" s="5">
        <v>4974268836212</v>
      </c>
      <c r="I634" s="5">
        <v>5</v>
      </c>
      <c r="J634" s="5"/>
      <c r="K634" s="5">
        <v>1</v>
      </c>
      <c r="L634" s="5">
        <v>1</v>
      </c>
      <c r="M634" s="4">
        <v>7700</v>
      </c>
      <c r="N634" s="4">
        <v>7108</v>
      </c>
      <c r="O634" s="4">
        <v>4620</v>
      </c>
      <c r="P634" s="6">
        <f t="shared" si="199"/>
        <v>0.35002813731007321</v>
      </c>
      <c r="Q634" s="4" t="s">
        <v>1280</v>
      </c>
      <c r="R634" s="4" t="s">
        <v>1280</v>
      </c>
      <c r="S634" s="4" t="s">
        <v>1280</v>
      </c>
      <c r="T634" s="4">
        <v>8500</v>
      </c>
      <c r="U634" s="4">
        <f t="shared" si="200"/>
        <v>8500</v>
      </c>
      <c r="V634" s="4">
        <v>5100</v>
      </c>
      <c r="W634" s="4">
        <f t="shared" si="201"/>
        <v>5100</v>
      </c>
      <c r="X634" s="4"/>
      <c r="Y634" s="21">
        <f t="shared" si="202"/>
        <v>7846</v>
      </c>
      <c r="Z634" s="6">
        <f t="shared" si="203"/>
        <v>0.34998725465205205</v>
      </c>
      <c r="AA634" s="4">
        <v>0</v>
      </c>
      <c r="AB634" s="4" t="str">
        <f t="shared" si="204"/>
        <v>-</v>
      </c>
      <c r="AC634" s="4" t="str">
        <f t="shared" si="215"/>
        <v>-</v>
      </c>
      <c r="AD634" s="6" t="str">
        <f t="shared" si="216"/>
        <v>-</v>
      </c>
      <c r="AE634" s="4">
        <f t="shared" si="217"/>
        <v>8075</v>
      </c>
      <c r="AF634" s="7">
        <v>7850</v>
      </c>
      <c r="AG634" s="6">
        <f t="shared" si="205"/>
        <v>0.35031847133757965</v>
      </c>
      <c r="AH634" s="4">
        <f t="shared" si="206"/>
        <v>2750</v>
      </c>
      <c r="AI634" s="28"/>
      <c r="AJ634" s="6"/>
      <c r="AK634" s="6"/>
      <c r="AL634" s="6">
        <f t="shared" si="207"/>
        <v>1.1038961038961039</v>
      </c>
      <c r="AM634" s="6">
        <f t="shared" si="208"/>
        <v>1.1043894203714124</v>
      </c>
      <c r="AN634" s="6">
        <f t="shared" si="209"/>
        <v>1.1038961038961039</v>
      </c>
      <c r="AO634" s="4" t="str">
        <f t="shared" si="210"/>
        <v>-</v>
      </c>
      <c r="AP634" s="4" t="str">
        <f t="shared" si="211"/>
        <v>-</v>
      </c>
      <c r="AQ634" s="4" t="str">
        <f t="shared" si="212"/>
        <v>-</v>
      </c>
      <c r="AR634" s="4">
        <v>0</v>
      </c>
      <c r="AS634" s="4" t="s">
        <v>1280</v>
      </c>
      <c r="AT634" s="4"/>
      <c r="AU634" s="4"/>
      <c r="AV634" s="4" t="s">
        <v>1280</v>
      </c>
      <c r="AW634" s="4" t="s">
        <v>1280</v>
      </c>
      <c r="AX634" s="4" t="s">
        <v>1280</v>
      </c>
      <c r="AY634" s="4" t="s">
        <v>1280</v>
      </c>
      <c r="AZ634" s="4" t="str">
        <f t="shared" si="213"/>
        <v>-</v>
      </c>
      <c r="BA634" s="19">
        <v>2</v>
      </c>
      <c r="BB634" s="19">
        <v>8</v>
      </c>
      <c r="BC634" s="16">
        <v>18</v>
      </c>
      <c r="BD634" t="s">
        <v>1280</v>
      </c>
      <c r="BE634" t="s">
        <v>1280</v>
      </c>
      <c r="BF634" t="s">
        <v>1280</v>
      </c>
      <c r="BG634" t="str">
        <f t="shared" si="218"/>
        <v>-</v>
      </c>
      <c r="BH634" t="s">
        <v>1280</v>
      </c>
      <c r="BI634">
        <v>7228</v>
      </c>
      <c r="BJ634">
        <v>7228</v>
      </c>
      <c r="BK634">
        <f t="shared" si="219"/>
        <v>7978.9610389610389</v>
      </c>
      <c r="BL634" t="s">
        <v>1280</v>
      </c>
      <c r="BM634">
        <v>812</v>
      </c>
    </row>
    <row r="635" spans="1:65" x14ac:dyDescent="0.4">
      <c r="A635" s="32">
        <v>637</v>
      </c>
      <c r="B635" s="3">
        <v>637</v>
      </c>
      <c r="C635" s="4" t="s">
        <v>626</v>
      </c>
      <c r="D635" s="4" t="str">
        <f t="shared" si="198"/>
        <v>J979SA</v>
      </c>
      <c r="E635" s="4" t="s">
        <v>626</v>
      </c>
      <c r="F635" s="4" t="str">
        <f t="shared" si="214"/>
        <v>J979SA5</v>
      </c>
      <c r="G635" s="4" t="s">
        <v>1270</v>
      </c>
      <c r="H635" s="5">
        <v>4974268836236</v>
      </c>
      <c r="I635" s="5">
        <v>5</v>
      </c>
      <c r="J635" s="5"/>
      <c r="K635" s="5">
        <v>1</v>
      </c>
      <c r="L635" s="5">
        <v>1</v>
      </c>
      <c r="M635" s="4">
        <v>7700</v>
      </c>
      <c r="N635" s="4">
        <v>7315</v>
      </c>
      <c r="O635" s="4">
        <v>4620</v>
      </c>
      <c r="P635" s="6">
        <f t="shared" si="199"/>
        <v>0.36842105263157898</v>
      </c>
      <c r="Q635" s="4" t="s">
        <v>1280</v>
      </c>
      <c r="R635" s="4" t="s">
        <v>1280</v>
      </c>
      <c r="S635" s="4" t="s">
        <v>1280</v>
      </c>
      <c r="T635" s="4">
        <v>8500</v>
      </c>
      <c r="U635" s="4">
        <f t="shared" si="200"/>
        <v>8500</v>
      </c>
      <c r="V635" s="4">
        <v>5100</v>
      </c>
      <c r="W635" s="4">
        <f t="shared" si="201"/>
        <v>5100</v>
      </c>
      <c r="X635" s="4"/>
      <c r="Y635" s="21">
        <f t="shared" si="202"/>
        <v>8075</v>
      </c>
      <c r="Z635" s="6">
        <f t="shared" si="203"/>
        <v>0.36842105263157898</v>
      </c>
      <c r="AA635" s="4">
        <v>0</v>
      </c>
      <c r="AB635" s="4" t="str">
        <f t="shared" si="204"/>
        <v>-</v>
      </c>
      <c r="AC635" s="4" t="str">
        <f t="shared" si="215"/>
        <v>-</v>
      </c>
      <c r="AD635" s="6" t="str">
        <f t="shared" si="216"/>
        <v>-</v>
      </c>
      <c r="AE635" s="4">
        <f t="shared" si="217"/>
        <v>8075</v>
      </c>
      <c r="AF635" s="7">
        <v>7850</v>
      </c>
      <c r="AG635" s="6">
        <f t="shared" si="205"/>
        <v>0.35031847133757965</v>
      </c>
      <c r="AH635" s="4">
        <f t="shared" si="206"/>
        <v>2750</v>
      </c>
      <c r="AI635" s="28"/>
      <c r="AJ635" s="6"/>
      <c r="AK635" s="6"/>
      <c r="AL635" s="6">
        <f t="shared" si="207"/>
        <v>1.1038961038961039</v>
      </c>
      <c r="AM635" s="6">
        <f t="shared" si="208"/>
        <v>1.0731373889268625</v>
      </c>
      <c r="AN635" s="6">
        <f t="shared" si="209"/>
        <v>1.1038961038961039</v>
      </c>
      <c r="AO635" s="4" t="str">
        <f t="shared" si="210"/>
        <v>-</v>
      </c>
      <c r="AP635" s="4" t="str">
        <f t="shared" si="211"/>
        <v>-</v>
      </c>
      <c r="AQ635" s="4" t="str">
        <f t="shared" si="212"/>
        <v>-</v>
      </c>
      <c r="AR635" s="4">
        <v>0</v>
      </c>
      <c r="AS635" s="4" t="s">
        <v>1280</v>
      </c>
      <c r="AT635" s="4"/>
      <c r="AU635" s="4"/>
      <c r="AV635" s="4" t="s">
        <v>1280</v>
      </c>
      <c r="AW635" s="4" t="s">
        <v>1280</v>
      </c>
      <c r="AX635" s="4" t="s">
        <v>1280</v>
      </c>
      <c r="AY635" s="4" t="s">
        <v>1280</v>
      </c>
      <c r="AZ635" s="4" t="str">
        <f t="shared" si="213"/>
        <v>-</v>
      </c>
      <c r="BA635" s="19">
        <v>2</v>
      </c>
      <c r="BB635" s="19">
        <v>8</v>
      </c>
      <c r="BC635" s="16">
        <v>18</v>
      </c>
      <c r="BD635" t="s">
        <v>1280</v>
      </c>
      <c r="BE635" t="s">
        <v>1280</v>
      </c>
      <c r="BF635" t="s">
        <v>1280</v>
      </c>
      <c r="BG635" t="str">
        <f t="shared" si="218"/>
        <v>-</v>
      </c>
      <c r="BH635" t="s">
        <v>1280</v>
      </c>
      <c r="BI635">
        <v>7228</v>
      </c>
      <c r="BJ635">
        <v>7228</v>
      </c>
      <c r="BK635">
        <f t="shared" si="219"/>
        <v>7978.9610389610389</v>
      </c>
      <c r="BL635" t="s">
        <v>1280</v>
      </c>
      <c r="BM635">
        <v>812</v>
      </c>
    </row>
    <row r="636" spans="1:65" x14ac:dyDescent="0.4">
      <c r="A636" s="3">
        <v>499</v>
      </c>
      <c r="B636" s="3">
        <v>499</v>
      </c>
      <c r="C636" s="4" t="s">
        <v>488</v>
      </c>
      <c r="D636" s="4" t="str">
        <f t="shared" si="198"/>
        <v>J755RZ</v>
      </c>
      <c r="E636" s="4" t="s">
        <v>488</v>
      </c>
      <c r="F636" s="4" t="str">
        <f t="shared" si="214"/>
        <v>J755RZ5</v>
      </c>
      <c r="G636" s="4" t="s">
        <v>1132</v>
      </c>
      <c r="H636" s="5">
        <v>4974268697684</v>
      </c>
      <c r="I636" s="5">
        <v>5</v>
      </c>
      <c r="J636" s="5"/>
      <c r="K636" s="5">
        <v>1</v>
      </c>
      <c r="L636" s="5">
        <v>1</v>
      </c>
      <c r="M636" s="4">
        <v>5800</v>
      </c>
      <c r="N636" s="4">
        <v>5916</v>
      </c>
      <c r="O636" s="4">
        <v>4640</v>
      </c>
      <c r="P636" s="6">
        <f t="shared" si="199"/>
        <v>0.21568627450980393</v>
      </c>
      <c r="Q636" s="4" t="s">
        <v>1280</v>
      </c>
      <c r="R636" s="4" t="s">
        <v>1280</v>
      </c>
      <c r="S636" s="4" t="s">
        <v>1280</v>
      </c>
      <c r="T636" s="4">
        <v>6400</v>
      </c>
      <c r="U636" s="4">
        <f t="shared" si="200"/>
        <v>6400</v>
      </c>
      <c r="V636" s="4">
        <v>5120</v>
      </c>
      <c r="W636" s="4">
        <f t="shared" si="201"/>
        <v>5120</v>
      </c>
      <c r="X636" s="4"/>
      <c r="Y636" s="21">
        <f t="shared" si="202"/>
        <v>6528</v>
      </c>
      <c r="Z636" s="6">
        <f t="shared" si="203"/>
        <v>0.21568627450980393</v>
      </c>
      <c r="AA636" s="4">
        <v>0.75</v>
      </c>
      <c r="AB636" s="4">
        <f t="shared" si="204"/>
        <v>6000</v>
      </c>
      <c r="AC636" s="4">
        <f t="shared" si="215"/>
        <v>6620.6896551724139</v>
      </c>
      <c r="AD636" s="6">
        <f t="shared" si="216"/>
        <v>0.22666666666666668</v>
      </c>
      <c r="AE636" s="4">
        <f t="shared" si="217"/>
        <v>6080</v>
      </c>
      <c r="AF636" s="7">
        <v>6400</v>
      </c>
      <c r="AG636" s="6">
        <f t="shared" si="205"/>
        <v>0.19999999999999996</v>
      </c>
      <c r="AH636" s="4">
        <f t="shared" si="206"/>
        <v>1280</v>
      </c>
      <c r="AI636" s="28"/>
      <c r="AJ636" s="6"/>
      <c r="AK636" s="6"/>
      <c r="AL636" s="6">
        <f t="shared" si="207"/>
        <v>1.103448275862069</v>
      </c>
      <c r="AM636" s="6">
        <f t="shared" si="208"/>
        <v>1.0818120351588911</v>
      </c>
      <c r="AN636" s="6">
        <f t="shared" si="209"/>
        <v>1.103448275862069</v>
      </c>
      <c r="AO636" s="4" t="str">
        <f t="shared" si="210"/>
        <v>-</v>
      </c>
      <c r="AP636" s="4" t="str">
        <f t="shared" si="211"/>
        <v>-</v>
      </c>
      <c r="AQ636" s="4" t="str">
        <f t="shared" si="212"/>
        <v>-</v>
      </c>
      <c r="AR636" s="4">
        <v>0</v>
      </c>
      <c r="AS636" s="4" t="s">
        <v>2059</v>
      </c>
      <c r="AT636" s="4"/>
      <c r="AU636" s="4"/>
      <c r="AV636" s="4" t="s">
        <v>1713</v>
      </c>
      <c r="AW636" s="4">
        <v>6000</v>
      </c>
      <c r="AX636" s="4">
        <v>6000</v>
      </c>
      <c r="AY636" s="4">
        <v>6000</v>
      </c>
      <c r="AZ636" s="4">
        <f t="shared" si="213"/>
        <v>6000</v>
      </c>
      <c r="BA636" s="19">
        <v>4</v>
      </c>
      <c r="BB636" s="19">
        <v>8</v>
      </c>
      <c r="BC636" s="16">
        <v>19</v>
      </c>
      <c r="BD636" t="s">
        <v>1280</v>
      </c>
      <c r="BE636" t="s">
        <v>1280</v>
      </c>
      <c r="BF636" t="s">
        <v>1280</v>
      </c>
      <c r="BG636" t="str">
        <f t="shared" si="218"/>
        <v>-</v>
      </c>
      <c r="BH636" t="s">
        <v>1280</v>
      </c>
      <c r="BI636" t="s">
        <v>1280</v>
      </c>
      <c r="BJ636" t="s">
        <v>1280</v>
      </c>
      <c r="BK636" t="str">
        <f t="shared" si="219"/>
        <v>-</v>
      </c>
      <c r="BL636" t="s">
        <v>1565</v>
      </c>
      <c r="BM636">
        <v>812</v>
      </c>
    </row>
    <row r="637" spans="1:65" x14ac:dyDescent="0.4">
      <c r="A637" s="32">
        <v>437</v>
      </c>
      <c r="B637" s="3">
        <v>437</v>
      </c>
      <c r="C637" s="4" t="s">
        <v>426</v>
      </c>
      <c r="D637" s="4" t="str">
        <f t="shared" si="198"/>
        <v>J54502</v>
      </c>
      <c r="E637" s="4" t="s">
        <v>426</v>
      </c>
      <c r="F637" s="4" t="str">
        <f t="shared" si="214"/>
        <v>J545025</v>
      </c>
      <c r="G637" s="4" t="s">
        <v>1070</v>
      </c>
      <c r="H637" s="5">
        <v>4974268832559</v>
      </c>
      <c r="I637" s="5">
        <v>5</v>
      </c>
      <c r="J637" s="5"/>
      <c r="K637" s="5">
        <v>1</v>
      </c>
      <c r="L637" s="5">
        <v>1</v>
      </c>
      <c r="M637" s="4">
        <v>7800</v>
      </c>
      <c r="N637" s="4">
        <v>6736</v>
      </c>
      <c r="O637" s="4">
        <v>4680</v>
      </c>
      <c r="P637" s="6">
        <f t="shared" si="199"/>
        <v>0.30522565320665085</v>
      </c>
      <c r="Q637" s="4" t="s">
        <v>1280</v>
      </c>
      <c r="R637" s="4" t="s">
        <v>1280</v>
      </c>
      <c r="S637" s="4" t="s">
        <v>1280</v>
      </c>
      <c r="T637" s="4">
        <v>8600</v>
      </c>
      <c r="U637" s="4">
        <f t="shared" si="200"/>
        <v>8600</v>
      </c>
      <c r="V637" s="4">
        <v>5160</v>
      </c>
      <c r="W637" s="4">
        <f t="shared" si="201"/>
        <v>5160</v>
      </c>
      <c r="X637" s="4"/>
      <c r="Y637" s="21">
        <f t="shared" si="202"/>
        <v>7427</v>
      </c>
      <c r="Z637" s="6">
        <f t="shared" si="203"/>
        <v>0.30523764642520534</v>
      </c>
      <c r="AA637" s="4">
        <v>0</v>
      </c>
      <c r="AB637" s="4">
        <f t="shared" si="204"/>
        <v>6937</v>
      </c>
      <c r="AC637" s="4">
        <f t="shared" si="215"/>
        <v>7648.4871794871797</v>
      </c>
      <c r="AD637" s="6">
        <f t="shared" si="216"/>
        <v>0.32535678247080868</v>
      </c>
      <c r="AE637" s="4">
        <f t="shared" si="217"/>
        <v>8170</v>
      </c>
      <c r="AF637" s="7">
        <v>7648</v>
      </c>
      <c r="AG637" s="6">
        <f t="shared" si="205"/>
        <v>0.32531380753138073</v>
      </c>
      <c r="AH637" s="4">
        <f t="shared" si="206"/>
        <v>2488</v>
      </c>
      <c r="AI637" s="28"/>
      <c r="AJ637" s="6"/>
      <c r="AK637" s="6"/>
      <c r="AL637" s="6">
        <f t="shared" si="207"/>
        <v>1.1025641025641026</v>
      </c>
      <c r="AM637" s="6">
        <f t="shared" si="208"/>
        <v>1.1353919239904988</v>
      </c>
      <c r="AN637" s="6">
        <f t="shared" si="209"/>
        <v>1.1025641025641026</v>
      </c>
      <c r="AO637" s="4" t="str">
        <f t="shared" si="210"/>
        <v>-</v>
      </c>
      <c r="AP637" s="4" t="str">
        <f t="shared" si="211"/>
        <v>-</v>
      </c>
      <c r="AQ637" s="4" t="str">
        <f t="shared" si="212"/>
        <v>-</v>
      </c>
      <c r="AR637" s="4">
        <v>0</v>
      </c>
      <c r="AS637" s="4" t="s">
        <v>1996</v>
      </c>
      <c r="AT637" s="4"/>
      <c r="AU637" s="4"/>
      <c r="AV637" s="4" t="s">
        <v>1697</v>
      </c>
      <c r="AW637" s="4">
        <v>6937</v>
      </c>
      <c r="AX637" s="4">
        <v>6937</v>
      </c>
      <c r="AY637" s="4">
        <v>6937</v>
      </c>
      <c r="AZ637" s="4">
        <f t="shared" si="213"/>
        <v>6937</v>
      </c>
      <c r="BA637" s="19">
        <v>2</v>
      </c>
      <c r="BB637" s="19">
        <v>8</v>
      </c>
      <c r="BC637" s="16">
        <v>18</v>
      </c>
      <c r="BD637" t="s">
        <v>1280</v>
      </c>
      <c r="BE637" t="s">
        <v>1280</v>
      </c>
      <c r="BF637" t="s">
        <v>1280</v>
      </c>
      <c r="BG637" t="str">
        <f t="shared" si="218"/>
        <v>-</v>
      </c>
      <c r="BH637">
        <v>7522</v>
      </c>
      <c r="BI637">
        <v>7522</v>
      </c>
      <c r="BJ637">
        <v>7522</v>
      </c>
      <c r="BK637">
        <f t="shared" si="219"/>
        <v>8293.4871794871797</v>
      </c>
      <c r="BL637" t="s">
        <v>1517</v>
      </c>
      <c r="BM637">
        <v>812</v>
      </c>
    </row>
    <row r="638" spans="1:65" x14ac:dyDescent="0.4">
      <c r="A638" s="3">
        <v>515</v>
      </c>
      <c r="B638" s="3">
        <v>515</v>
      </c>
      <c r="C638" s="4" t="s">
        <v>504</v>
      </c>
      <c r="D638" s="4" t="str">
        <f t="shared" si="198"/>
        <v>J779RZ</v>
      </c>
      <c r="E638" s="4" t="s">
        <v>504</v>
      </c>
      <c r="F638" s="4" t="str">
        <f t="shared" si="214"/>
        <v>J779RZ5</v>
      </c>
      <c r="G638" s="4" t="s">
        <v>1148</v>
      </c>
      <c r="H638" s="5">
        <v>4974268697103</v>
      </c>
      <c r="I638" s="5">
        <v>5</v>
      </c>
      <c r="J638" s="5"/>
      <c r="K638" s="5">
        <v>1</v>
      </c>
      <c r="L638" s="5">
        <v>1</v>
      </c>
      <c r="M638" s="4">
        <v>7900</v>
      </c>
      <c r="N638" s="4">
        <v>7308</v>
      </c>
      <c r="O638" s="4">
        <v>4740</v>
      </c>
      <c r="P638" s="6">
        <f t="shared" si="199"/>
        <v>0.35139573070607555</v>
      </c>
      <c r="Q638" s="4" t="s">
        <v>1280</v>
      </c>
      <c r="R638" s="4" t="s">
        <v>1280</v>
      </c>
      <c r="S638" s="4" t="s">
        <v>1280</v>
      </c>
      <c r="T638" s="4">
        <v>8700</v>
      </c>
      <c r="U638" s="4">
        <f t="shared" si="200"/>
        <v>8700</v>
      </c>
      <c r="V638" s="4">
        <v>5220</v>
      </c>
      <c r="W638" s="4">
        <f t="shared" si="201"/>
        <v>5220</v>
      </c>
      <c r="X638" s="4"/>
      <c r="Y638" s="21">
        <f t="shared" si="202"/>
        <v>8048</v>
      </c>
      <c r="Z638" s="6">
        <f t="shared" si="203"/>
        <v>0.35139165009940354</v>
      </c>
      <c r="AA638" s="4">
        <v>0</v>
      </c>
      <c r="AB638" s="4" t="str">
        <f t="shared" si="204"/>
        <v>-</v>
      </c>
      <c r="AC638" s="4" t="str">
        <f t="shared" si="215"/>
        <v>-</v>
      </c>
      <c r="AD638" s="6" t="str">
        <f t="shared" si="216"/>
        <v>-</v>
      </c>
      <c r="AE638" s="4">
        <f t="shared" si="217"/>
        <v>8265</v>
      </c>
      <c r="AF638" s="7">
        <v>8050</v>
      </c>
      <c r="AG638" s="6">
        <f t="shared" si="205"/>
        <v>0.35155279503105585</v>
      </c>
      <c r="AH638" s="4">
        <f t="shared" si="206"/>
        <v>2830</v>
      </c>
      <c r="AI638" s="28"/>
      <c r="AJ638" s="6"/>
      <c r="AK638" s="6"/>
      <c r="AL638" s="6">
        <f t="shared" si="207"/>
        <v>1.1012658227848102</v>
      </c>
      <c r="AM638" s="6">
        <f t="shared" si="208"/>
        <v>1.1015325670498084</v>
      </c>
      <c r="AN638" s="6">
        <f t="shared" si="209"/>
        <v>1.1012658227848102</v>
      </c>
      <c r="AO638" s="4" t="str">
        <f t="shared" si="210"/>
        <v>-</v>
      </c>
      <c r="AP638" s="4" t="str">
        <f t="shared" si="211"/>
        <v>-</v>
      </c>
      <c r="AQ638" s="4" t="str">
        <f t="shared" si="212"/>
        <v>-</v>
      </c>
      <c r="AR638" s="4">
        <v>0</v>
      </c>
      <c r="AS638" s="4" t="s">
        <v>1280</v>
      </c>
      <c r="AT638" s="4"/>
      <c r="AU638" s="4"/>
      <c r="AV638" s="4" t="s">
        <v>1280</v>
      </c>
      <c r="AW638" s="4" t="s">
        <v>1280</v>
      </c>
      <c r="AX638" s="4" t="s">
        <v>1280</v>
      </c>
      <c r="AY638" s="4" t="s">
        <v>1280</v>
      </c>
      <c r="AZ638" s="4" t="str">
        <f t="shared" si="213"/>
        <v>-</v>
      </c>
      <c r="BA638" s="19">
        <v>4</v>
      </c>
      <c r="BB638" s="19">
        <v>8</v>
      </c>
      <c r="BC638" s="16">
        <v>19</v>
      </c>
      <c r="BD638">
        <v>7900</v>
      </c>
      <c r="BE638" t="s">
        <v>1280</v>
      </c>
      <c r="BF638">
        <v>7900</v>
      </c>
      <c r="BG638">
        <f t="shared" si="218"/>
        <v>8700</v>
      </c>
      <c r="BH638" t="s">
        <v>1280</v>
      </c>
      <c r="BI638">
        <v>7900</v>
      </c>
      <c r="BJ638">
        <v>7900</v>
      </c>
      <c r="BK638">
        <f t="shared" si="219"/>
        <v>8700</v>
      </c>
      <c r="BL638" t="s">
        <v>1280</v>
      </c>
      <c r="BM638">
        <v>812</v>
      </c>
    </row>
    <row r="639" spans="1:65" x14ac:dyDescent="0.4">
      <c r="A639" s="32">
        <v>274</v>
      </c>
      <c r="B639" s="3">
        <v>274</v>
      </c>
      <c r="C639" s="4" t="s">
        <v>263</v>
      </c>
      <c r="D639" s="4" t="str">
        <f t="shared" si="198"/>
        <v>J38927</v>
      </c>
      <c r="E639" s="4" t="s">
        <v>263</v>
      </c>
      <c r="F639" s="4" t="str">
        <f t="shared" si="214"/>
        <v>J389275</v>
      </c>
      <c r="G639" s="4" t="s">
        <v>909</v>
      </c>
      <c r="H639" s="5">
        <v>4974268832405</v>
      </c>
      <c r="I639" s="5">
        <v>5</v>
      </c>
      <c r="J639" s="5"/>
      <c r="K639" s="5">
        <v>1</v>
      </c>
      <c r="L639" s="5">
        <v>1</v>
      </c>
      <c r="M639" s="4">
        <v>8200</v>
      </c>
      <c r="N639" s="4">
        <v>7093</v>
      </c>
      <c r="O639" s="4">
        <v>4920</v>
      </c>
      <c r="P639" s="6">
        <f t="shared" si="199"/>
        <v>0.30635838150289019</v>
      </c>
      <c r="Q639" s="4" t="s">
        <v>1280</v>
      </c>
      <c r="R639" s="4" t="s">
        <v>1280</v>
      </c>
      <c r="S639" s="4" t="s">
        <v>1280</v>
      </c>
      <c r="T639" s="4">
        <v>9200</v>
      </c>
      <c r="U639" s="4">
        <f t="shared" si="200"/>
        <v>9200</v>
      </c>
      <c r="V639" s="4">
        <v>5520</v>
      </c>
      <c r="W639" s="4">
        <f t="shared" si="201"/>
        <v>5520</v>
      </c>
      <c r="X639" s="4"/>
      <c r="Y639" s="21">
        <f t="shared" si="202"/>
        <v>7958</v>
      </c>
      <c r="Z639" s="6">
        <f t="shared" si="203"/>
        <v>0.30635838150289019</v>
      </c>
      <c r="AA639" s="4">
        <v>0.25</v>
      </c>
      <c r="AB639" s="4">
        <f t="shared" si="204"/>
        <v>5745</v>
      </c>
      <c r="AC639" s="4">
        <f t="shared" si="215"/>
        <v>6445.6097560975613</v>
      </c>
      <c r="AD639" s="6">
        <f t="shared" si="216"/>
        <v>0.14360313315926898</v>
      </c>
      <c r="AE639" s="4">
        <f t="shared" si="217"/>
        <v>8740</v>
      </c>
      <c r="AF639" s="7">
        <v>8364</v>
      </c>
      <c r="AG639" s="6">
        <f t="shared" si="205"/>
        <v>0.34002869440459116</v>
      </c>
      <c r="AH639" s="4">
        <f t="shared" si="206"/>
        <v>2844</v>
      </c>
      <c r="AI639" s="28"/>
      <c r="AJ639" s="6"/>
      <c r="AK639" s="6"/>
      <c r="AL639" s="6">
        <f t="shared" si="207"/>
        <v>1.1219512195121952</v>
      </c>
      <c r="AM639" s="6">
        <f t="shared" si="208"/>
        <v>1.1791907514450868</v>
      </c>
      <c r="AN639" s="6">
        <f t="shared" si="209"/>
        <v>1.1219512195121952</v>
      </c>
      <c r="AO639" s="4" t="str">
        <f t="shared" si="210"/>
        <v>-</v>
      </c>
      <c r="AP639" s="4" t="str">
        <f t="shared" si="211"/>
        <v>-</v>
      </c>
      <c r="AQ639" s="4" t="str">
        <f t="shared" si="212"/>
        <v>-</v>
      </c>
      <c r="AR639" s="4">
        <v>0</v>
      </c>
      <c r="AS639" s="4" t="s">
        <v>1902</v>
      </c>
      <c r="AT639" s="4"/>
      <c r="AU639" s="4"/>
      <c r="AV639" s="4" t="s">
        <v>1697</v>
      </c>
      <c r="AW639" s="4">
        <v>5745</v>
      </c>
      <c r="AX639" s="4">
        <v>5745</v>
      </c>
      <c r="AY639" s="4">
        <v>5745</v>
      </c>
      <c r="AZ639" s="4">
        <f t="shared" si="213"/>
        <v>5745</v>
      </c>
      <c r="BA639" s="19">
        <v>2</v>
      </c>
      <c r="BB639" s="19">
        <v>8</v>
      </c>
      <c r="BC639" s="16">
        <v>18</v>
      </c>
      <c r="BD639">
        <v>7455</v>
      </c>
      <c r="BE639">
        <v>7455</v>
      </c>
      <c r="BF639">
        <v>7455</v>
      </c>
      <c r="BG639">
        <f t="shared" si="218"/>
        <v>8364.1463414634163</v>
      </c>
      <c r="BH639">
        <v>7908</v>
      </c>
      <c r="BI639">
        <v>7908</v>
      </c>
      <c r="BJ639">
        <v>7908</v>
      </c>
      <c r="BK639">
        <f t="shared" si="219"/>
        <v>8872.3902439024405</v>
      </c>
      <c r="BL639" t="s">
        <v>1445</v>
      </c>
      <c r="BM639">
        <v>812</v>
      </c>
    </row>
    <row r="640" spans="1:65" x14ac:dyDescent="0.4">
      <c r="A640" s="3">
        <v>502</v>
      </c>
      <c r="B640" s="3">
        <v>502</v>
      </c>
      <c r="C640" s="4" t="s">
        <v>491</v>
      </c>
      <c r="D640" s="4" t="str">
        <f t="shared" si="198"/>
        <v>J756RZ</v>
      </c>
      <c r="E640" s="4" t="s">
        <v>491</v>
      </c>
      <c r="F640" s="4" t="str">
        <f t="shared" si="214"/>
        <v>J756RZ5</v>
      </c>
      <c r="G640" s="4" t="s">
        <v>1135</v>
      </c>
      <c r="H640" s="5">
        <v>4974268697691</v>
      </c>
      <c r="I640" s="5">
        <v>5</v>
      </c>
      <c r="J640" s="5"/>
      <c r="K640" s="5">
        <v>1</v>
      </c>
      <c r="L640" s="5">
        <v>1</v>
      </c>
      <c r="M640" s="4">
        <v>6700</v>
      </c>
      <c r="N640" s="4">
        <v>6902</v>
      </c>
      <c r="O640" s="4">
        <v>5360</v>
      </c>
      <c r="P640" s="6">
        <f t="shared" si="199"/>
        <v>0.22341350333236742</v>
      </c>
      <c r="Q640" s="4" t="s">
        <v>1280</v>
      </c>
      <c r="R640" s="4" t="s">
        <v>1280</v>
      </c>
      <c r="S640" s="4" t="s">
        <v>1280</v>
      </c>
      <c r="T640" s="4">
        <v>7000</v>
      </c>
      <c r="U640" s="4">
        <f t="shared" si="200"/>
        <v>7000</v>
      </c>
      <c r="V640" s="4">
        <v>5600</v>
      </c>
      <c r="W640" s="4">
        <f t="shared" si="201"/>
        <v>5600</v>
      </c>
      <c r="X640" s="4"/>
      <c r="Y640" s="21">
        <f t="shared" si="202"/>
        <v>7211</v>
      </c>
      <c r="Z640" s="6">
        <f t="shared" si="203"/>
        <v>0.22340868118152823</v>
      </c>
      <c r="AA640" s="4">
        <v>0</v>
      </c>
      <c r="AB640" s="4">
        <f t="shared" si="204"/>
        <v>7273</v>
      </c>
      <c r="AC640" s="4">
        <f t="shared" si="215"/>
        <v>7598.6567164179096</v>
      </c>
      <c r="AD640" s="6">
        <f t="shared" si="216"/>
        <v>0.26302763646363259</v>
      </c>
      <c r="AE640" s="4">
        <f t="shared" si="217"/>
        <v>6650</v>
      </c>
      <c r="AF640" s="7">
        <v>7000</v>
      </c>
      <c r="AG640" s="6">
        <f t="shared" si="205"/>
        <v>0.19999999999999996</v>
      </c>
      <c r="AH640" s="4">
        <f t="shared" si="206"/>
        <v>1400</v>
      </c>
      <c r="AI640" s="28"/>
      <c r="AJ640" s="6"/>
      <c r="AK640" s="6"/>
      <c r="AL640" s="6">
        <f t="shared" si="207"/>
        <v>1.044776119402985</v>
      </c>
      <c r="AM640" s="6">
        <f t="shared" si="208"/>
        <v>1.0141987829614605</v>
      </c>
      <c r="AN640" s="6">
        <f t="shared" si="209"/>
        <v>1.044776119402985</v>
      </c>
      <c r="AO640" s="4" t="str">
        <f t="shared" si="210"/>
        <v>-</v>
      </c>
      <c r="AP640" s="4" t="str">
        <f t="shared" si="211"/>
        <v>-</v>
      </c>
      <c r="AQ640" s="4" t="str">
        <f t="shared" si="212"/>
        <v>-</v>
      </c>
      <c r="AR640" s="4">
        <v>0</v>
      </c>
      <c r="AS640" s="4" t="s">
        <v>2062</v>
      </c>
      <c r="AT640" s="4"/>
      <c r="AU640" s="4"/>
      <c r="AV640" s="4" t="s">
        <v>1713</v>
      </c>
      <c r="AW640" s="4">
        <v>7273</v>
      </c>
      <c r="AX640" s="4">
        <v>7273</v>
      </c>
      <c r="AY640" s="4">
        <v>7273</v>
      </c>
      <c r="AZ640" s="4">
        <f t="shared" si="213"/>
        <v>7273</v>
      </c>
      <c r="BA640" s="19">
        <v>4</v>
      </c>
      <c r="BB640" s="19">
        <v>8</v>
      </c>
      <c r="BC640" s="16">
        <v>19</v>
      </c>
      <c r="BD640" t="s">
        <v>1280</v>
      </c>
      <c r="BE640" t="s">
        <v>1280</v>
      </c>
      <c r="BF640" t="s">
        <v>1280</v>
      </c>
      <c r="BG640" t="str">
        <f t="shared" si="218"/>
        <v>-</v>
      </c>
      <c r="BH640">
        <v>6700</v>
      </c>
      <c r="BI640">
        <v>6700</v>
      </c>
      <c r="BJ640">
        <v>6700</v>
      </c>
      <c r="BK640">
        <f t="shared" si="219"/>
        <v>6999.9999999999991</v>
      </c>
      <c r="BL640" t="s">
        <v>1567</v>
      </c>
      <c r="BM640">
        <v>812</v>
      </c>
    </row>
    <row r="641" spans="1:65" x14ac:dyDescent="0.4">
      <c r="A641" s="3">
        <v>85</v>
      </c>
      <c r="B641" s="3">
        <v>85</v>
      </c>
      <c r="C641" s="4" t="s">
        <v>74</v>
      </c>
      <c r="D641" s="4" t="str">
        <f t="shared" si="198"/>
        <v>J0813T</v>
      </c>
      <c r="E641" s="4" t="s">
        <v>74</v>
      </c>
      <c r="F641" s="4" t="str">
        <f t="shared" si="214"/>
        <v>J0813T5</v>
      </c>
      <c r="G641" s="4" t="s">
        <v>720</v>
      </c>
      <c r="H641" s="5">
        <v>4974268031310</v>
      </c>
      <c r="I641" s="5">
        <v>5</v>
      </c>
      <c r="J641" s="5"/>
      <c r="K641" s="5">
        <v>1</v>
      </c>
      <c r="L641" s="5">
        <v>1</v>
      </c>
      <c r="M641" s="4">
        <v>9100</v>
      </c>
      <c r="N641" s="4">
        <v>7686</v>
      </c>
      <c r="O641" s="4">
        <v>5460</v>
      </c>
      <c r="P641" s="6">
        <f t="shared" si="199"/>
        <v>0.2896174863387978</v>
      </c>
      <c r="Q641" s="4" t="s">
        <v>1280</v>
      </c>
      <c r="R641" s="4" t="s">
        <v>1280</v>
      </c>
      <c r="S641" s="4" t="s">
        <v>1280</v>
      </c>
      <c r="T641" s="4">
        <v>9400</v>
      </c>
      <c r="U641" s="4">
        <f t="shared" si="200"/>
        <v>9400</v>
      </c>
      <c r="V641" s="4">
        <v>5640</v>
      </c>
      <c r="W641" s="4">
        <f t="shared" si="201"/>
        <v>5640</v>
      </c>
      <c r="X641" s="4"/>
      <c r="Y641" s="21">
        <f t="shared" si="202"/>
        <v>7939</v>
      </c>
      <c r="Z641" s="6">
        <f t="shared" si="203"/>
        <v>0.28958307091573243</v>
      </c>
      <c r="AA641" s="4">
        <v>0.25</v>
      </c>
      <c r="AB641" s="4">
        <f t="shared" si="204"/>
        <v>8091</v>
      </c>
      <c r="AC641" s="4">
        <f t="shared" si="215"/>
        <v>8357.7362637362639</v>
      </c>
      <c r="AD641" s="6">
        <f t="shared" si="216"/>
        <v>0.32517612161661102</v>
      </c>
      <c r="AE641" s="4">
        <f t="shared" si="217"/>
        <v>8930</v>
      </c>
      <c r="AF641" s="7">
        <v>8357</v>
      </c>
      <c r="AG641" s="6">
        <f t="shared" si="205"/>
        <v>0.32511666866100275</v>
      </c>
      <c r="AH641" s="4">
        <f t="shared" si="206"/>
        <v>2717</v>
      </c>
      <c r="AI641" s="28"/>
      <c r="AJ641" s="6"/>
      <c r="AK641" s="6"/>
      <c r="AL641" s="6">
        <f t="shared" si="207"/>
        <v>1.0329670329670331</v>
      </c>
      <c r="AM641" s="6">
        <f t="shared" si="208"/>
        <v>1.0873015873015872</v>
      </c>
      <c r="AN641" s="6">
        <f t="shared" si="209"/>
        <v>1.0329670329670331</v>
      </c>
      <c r="AO641" s="4" t="str">
        <f t="shared" si="210"/>
        <v>-</v>
      </c>
      <c r="AP641" s="4" t="str">
        <f t="shared" si="211"/>
        <v>-</v>
      </c>
      <c r="AQ641" s="4" t="str">
        <f t="shared" si="212"/>
        <v>-</v>
      </c>
      <c r="AR641" s="4">
        <v>0</v>
      </c>
      <c r="AS641" s="4" t="s">
        <v>1768</v>
      </c>
      <c r="AT641" s="4"/>
      <c r="AU641" s="4"/>
      <c r="AV641" s="4" t="s">
        <v>1769</v>
      </c>
      <c r="AW641" s="4">
        <v>8091</v>
      </c>
      <c r="AX641" s="4">
        <v>8091</v>
      </c>
      <c r="AY641" s="4">
        <v>8091</v>
      </c>
      <c r="AZ641" s="4">
        <f t="shared" si="213"/>
        <v>8091</v>
      </c>
      <c r="BA641" s="19">
        <v>4</v>
      </c>
      <c r="BB641" s="19">
        <v>8</v>
      </c>
      <c r="BC641" s="16">
        <v>19</v>
      </c>
      <c r="BD641" t="s">
        <v>1280</v>
      </c>
      <c r="BE641" t="s">
        <v>1280</v>
      </c>
      <c r="BF641" t="s">
        <v>1280</v>
      </c>
      <c r="BG641" t="str">
        <f t="shared" si="218"/>
        <v>-</v>
      </c>
      <c r="BH641" t="s">
        <v>1280</v>
      </c>
      <c r="BI641">
        <v>9100</v>
      </c>
      <c r="BJ641">
        <v>9100</v>
      </c>
      <c r="BK641">
        <f t="shared" si="219"/>
        <v>9400.0000000000018</v>
      </c>
      <c r="BL641" t="s">
        <v>1346</v>
      </c>
      <c r="BM641">
        <v>812</v>
      </c>
    </row>
    <row r="642" spans="1:65" x14ac:dyDescent="0.4">
      <c r="A642" s="3">
        <v>635</v>
      </c>
      <c r="B642" s="3">
        <v>635</v>
      </c>
      <c r="C642" s="4" t="s">
        <v>624</v>
      </c>
      <c r="D642" s="4" t="str">
        <f t="shared" si="198"/>
        <v>J976WN</v>
      </c>
      <c r="E642" s="4" t="s">
        <v>624</v>
      </c>
      <c r="F642" s="4" t="str">
        <f t="shared" si="214"/>
        <v>J976WN5</v>
      </c>
      <c r="G642" s="4" t="s">
        <v>1268</v>
      </c>
      <c r="H642" s="5">
        <v>4974268572363</v>
      </c>
      <c r="I642" s="5">
        <v>5</v>
      </c>
      <c r="J642" s="5"/>
      <c r="K642" s="5">
        <v>1</v>
      </c>
      <c r="L642" s="5">
        <v>1</v>
      </c>
      <c r="M642" s="4">
        <v>9300</v>
      </c>
      <c r="N642" s="4">
        <v>7970</v>
      </c>
      <c r="O642" s="4">
        <v>5580</v>
      </c>
      <c r="P642" s="6">
        <f t="shared" si="199"/>
        <v>0.29987452948557092</v>
      </c>
      <c r="Q642" s="4" t="s">
        <v>1280</v>
      </c>
      <c r="R642" s="4" t="s">
        <v>1280</v>
      </c>
      <c r="S642" s="4" t="s">
        <v>1280</v>
      </c>
      <c r="T642" s="4">
        <v>10200</v>
      </c>
      <c r="U642" s="4">
        <f t="shared" si="200"/>
        <v>10200</v>
      </c>
      <c r="V642" s="4">
        <v>6120</v>
      </c>
      <c r="W642" s="4">
        <f t="shared" si="201"/>
        <v>6120</v>
      </c>
      <c r="X642" s="4"/>
      <c r="Y642" s="21">
        <f t="shared" si="202"/>
        <v>8741</v>
      </c>
      <c r="Z642" s="6">
        <f t="shared" si="203"/>
        <v>0.2998512755977577</v>
      </c>
      <c r="AA642" s="4">
        <v>0</v>
      </c>
      <c r="AB642" s="4" t="str">
        <f t="shared" si="204"/>
        <v>-</v>
      </c>
      <c r="AC642" s="4" t="str">
        <f t="shared" si="215"/>
        <v>-</v>
      </c>
      <c r="AD642" s="6" t="str">
        <f t="shared" si="216"/>
        <v>-</v>
      </c>
      <c r="AE642" s="4">
        <f t="shared" si="217"/>
        <v>9690</v>
      </c>
      <c r="AF642" s="7">
        <v>9272</v>
      </c>
      <c r="AG642" s="6">
        <f t="shared" si="205"/>
        <v>0.33994823123382223</v>
      </c>
      <c r="AH642" s="4">
        <f t="shared" si="206"/>
        <v>3152</v>
      </c>
      <c r="AI642" s="28"/>
      <c r="AJ642" s="6"/>
      <c r="AK642" s="6"/>
      <c r="AL642" s="6">
        <f t="shared" si="207"/>
        <v>1.096774193548387</v>
      </c>
      <c r="AM642" s="6">
        <f t="shared" si="208"/>
        <v>1.1633626097867</v>
      </c>
      <c r="AN642" s="6">
        <f t="shared" si="209"/>
        <v>1.096774193548387</v>
      </c>
      <c r="AO642" s="4" t="str">
        <f t="shared" si="210"/>
        <v>-</v>
      </c>
      <c r="AP642" s="4" t="str">
        <f t="shared" si="211"/>
        <v>-</v>
      </c>
      <c r="AQ642" s="4" t="str">
        <f t="shared" si="212"/>
        <v>-</v>
      </c>
      <c r="AR642" s="4">
        <v>0</v>
      </c>
      <c r="AS642" s="4" t="s">
        <v>1280</v>
      </c>
      <c r="AT642" s="4"/>
      <c r="AU642" s="4"/>
      <c r="AV642" s="4" t="s">
        <v>1280</v>
      </c>
      <c r="AW642" s="4" t="s">
        <v>1280</v>
      </c>
      <c r="AX642" s="4" t="s">
        <v>1280</v>
      </c>
      <c r="AY642" s="4" t="s">
        <v>1280</v>
      </c>
      <c r="AZ642" s="4" t="str">
        <f t="shared" si="213"/>
        <v>-</v>
      </c>
      <c r="BA642" s="19">
        <v>4</v>
      </c>
      <c r="BB642" s="19">
        <v>8</v>
      </c>
      <c r="BC642" s="16">
        <v>18</v>
      </c>
      <c r="BD642" t="s">
        <v>1280</v>
      </c>
      <c r="BE642" t="s">
        <v>1280</v>
      </c>
      <c r="BF642" t="s">
        <v>1280</v>
      </c>
      <c r="BG642" t="str">
        <f t="shared" si="218"/>
        <v>-</v>
      </c>
      <c r="BH642">
        <v>8454</v>
      </c>
      <c r="BI642">
        <v>8454</v>
      </c>
      <c r="BJ642">
        <v>8454</v>
      </c>
      <c r="BK642">
        <f t="shared" si="219"/>
        <v>9272.1290322580644</v>
      </c>
      <c r="BL642" t="s">
        <v>1280</v>
      </c>
      <c r="BM642">
        <v>812</v>
      </c>
    </row>
    <row r="643" spans="1:65" x14ac:dyDescent="0.4">
      <c r="A643" s="32">
        <v>465</v>
      </c>
      <c r="B643" s="3">
        <v>465</v>
      </c>
      <c r="C643" s="4" t="s">
        <v>454</v>
      </c>
      <c r="D643" s="4" t="str">
        <f t="shared" si="198"/>
        <v>J54543</v>
      </c>
      <c r="E643" s="4" t="s">
        <v>454</v>
      </c>
      <c r="F643" s="4" t="str">
        <f t="shared" si="214"/>
        <v>J545435</v>
      </c>
      <c r="G643" s="4" t="s">
        <v>1098</v>
      </c>
      <c r="H643" s="5">
        <v>4974268562586</v>
      </c>
      <c r="I643" s="5">
        <v>5</v>
      </c>
      <c r="J643" s="5"/>
      <c r="K643" s="5">
        <v>1</v>
      </c>
      <c r="L643" s="5">
        <v>1</v>
      </c>
      <c r="M643" s="4">
        <v>9400</v>
      </c>
      <c r="N643" s="4">
        <v>7509</v>
      </c>
      <c r="O643" s="4">
        <v>5640</v>
      </c>
      <c r="P643" s="6">
        <f t="shared" si="199"/>
        <v>0.24890131841789853</v>
      </c>
      <c r="Q643" s="4" t="s">
        <v>1280</v>
      </c>
      <c r="R643" s="4" t="s">
        <v>1280</v>
      </c>
      <c r="S643" s="4" t="s">
        <v>1280</v>
      </c>
      <c r="T643" s="4">
        <v>10300</v>
      </c>
      <c r="U643" s="4">
        <f t="shared" si="200"/>
        <v>10300</v>
      </c>
      <c r="V643" s="4">
        <v>6180</v>
      </c>
      <c r="W643" s="4">
        <f t="shared" si="201"/>
        <v>6180</v>
      </c>
      <c r="X643" s="4"/>
      <c r="Y643" s="21">
        <f t="shared" si="202"/>
        <v>8228</v>
      </c>
      <c r="Z643" s="6">
        <f t="shared" si="203"/>
        <v>0.24890617403986393</v>
      </c>
      <c r="AA643" s="4">
        <v>0.25</v>
      </c>
      <c r="AB643" s="4">
        <f t="shared" si="204"/>
        <v>8999</v>
      </c>
      <c r="AC643" s="4">
        <f t="shared" si="215"/>
        <v>9860.6063829787236</v>
      </c>
      <c r="AD643" s="6">
        <f t="shared" si="216"/>
        <v>0.37326369596621845</v>
      </c>
      <c r="AE643" s="4">
        <f t="shared" si="217"/>
        <v>9785</v>
      </c>
      <c r="AF643" s="7">
        <v>9500</v>
      </c>
      <c r="AG643" s="6">
        <f t="shared" si="205"/>
        <v>0.34947368421052627</v>
      </c>
      <c r="AH643" s="4">
        <f t="shared" si="206"/>
        <v>3320</v>
      </c>
      <c r="AI643" s="28"/>
      <c r="AJ643" s="6"/>
      <c r="AK643" s="6"/>
      <c r="AL643" s="6">
        <f t="shared" si="207"/>
        <v>1.0957446808510638</v>
      </c>
      <c r="AM643" s="6">
        <f t="shared" si="208"/>
        <v>1.26514848848049</v>
      </c>
      <c r="AN643" s="6">
        <f t="shared" si="209"/>
        <v>1.0957446808510638</v>
      </c>
      <c r="AO643" s="4" t="str">
        <f t="shared" si="210"/>
        <v>-</v>
      </c>
      <c r="AP643" s="4" t="str">
        <f t="shared" si="211"/>
        <v>-</v>
      </c>
      <c r="AQ643" s="4" t="str">
        <f t="shared" si="212"/>
        <v>-</v>
      </c>
      <c r="AR643" s="4">
        <v>0</v>
      </c>
      <c r="AS643" s="4" t="s">
        <v>2024</v>
      </c>
      <c r="AT643" s="4"/>
      <c r="AU643" s="4"/>
      <c r="AV643" s="4" t="s">
        <v>1697</v>
      </c>
      <c r="AW643" s="4">
        <v>8999</v>
      </c>
      <c r="AX643" s="4">
        <v>8999</v>
      </c>
      <c r="AY643" s="4">
        <v>8999</v>
      </c>
      <c r="AZ643" s="4">
        <f t="shared" si="213"/>
        <v>8999</v>
      </c>
      <c r="BA643" s="19">
        <v>2</v>
      </c>
      <c r="BB643" s="19">
        <v>8</v>
      </c>
      <c r="BC643" s="16">
        <v>18</v>
      </c>
      <c r="BD643">
        <v>9400</v>
      </c>
      <c r="BE643">
        <v>9400</v>
      </c>
      <c r="BF643">
        <v>9400</v>
      </c>
      <c r="BG643">
        <f t="shared" si="218"/>
        <v>10300</v>
      </c>
      <c r="BH643" t="s">
        <v>1280</v>
      </c>
      <c r="BI643">
        <v>8525</v>
      </c>
      <c r="BJ643">
        <v>8525</v>
      </c>
      <c r="BK643">
        <f t="shared" si="219"/>
        <v>9341.2234042553191</v>
      </c>
      <c r="BL643" t="s">
        <v>1539</v>
      </c>
      <c r="BM643">
        <v>812</v>
      </c>
    </row>
    <row r="644" spans="1:65" x14ac:dyDescent="0.4">
      <c r="A644" s="32">
        <v>431</v>
      </c>
      <c r="B644" s="3">
        <v>431</v>
      </c>
      <c r="C644" s="4" t="s">
        <v>420</v>
      </c>
      <c r="D644" s="4" t="str">
        <f t="shared" ref="D644:D649" si="220">TEXT(C644,"000000")</f>
        <v>J54497</v>
      </c>
      <c r="E644" s="4" t="s">
        <v>420</v>
      </c>
      <c r="F644" s="4" t="str">
        <f t="shared" si="214"/>
        <v>J544975</v>
      </c>
      <c r="G644" s="4" t="s">
        <v>1064</v>
      </c>
      <c r="H644" s="5">
        <v>4974268832184</v>
      </c>
      <c r="I644" s="5">
        <v>5</v>
      </c>
      <c r="J644" s="5"/>
      <c r="K644" s="5">
        <v>1</v>
      </c>
      <c r="L644" s="5">
        <v>1</v>
      </c>
      <c r="M644" s="4">
        <v>9500</v>
      </c>
      <c r="N644" s="4">
        <v>8010</v>
      </c>
      <c r="O644" s="4">
        <v>5700</v>
      </c>
      <c r="P644" s="6">
        <f t="shared" ref="P644:P649" si="221">1-O644/N644</f>
        <v>0.28838951310861427</v>
      </c>
      <c r="Q644" s="4" t="s">
        <v>1280</v>
      </c>
      <c r="R644" s="4" t="s">
        <v>1280</v>
      </c>
      <c r="S644" s="4" t="s">
        <v>1280</v>
      </c>
      <c r="T644" s="4">
        <v>10600</v>
      </c>
      <c r="U644" s="4">
        <f t="shared" ref="U644:U649" si="222">IF(X644="",T644,T644*X644)</f>
        <v>10600</v>
      </c>
      <c r="V644" s="4">
        <v>6360</v>
      </c>
      <c r="W644" s="4">
        <f t="shared" ref="W644:W649" si="223">IF(X644="",V644,V644*X644)</f>
        <v>6360</v>
      </c>
      <c r="X644" s="4"/>
      <c r="Y644" s="21">
        <f t="shared" ref="Y644:Y649" si="224">ROUND(N644*AN644,0)</f>
        <v>8937</v>
      </c>
      <c r="Z644" s="6">
        <f t="shared" ref="Z644:Z649" si="225">1-W644/Y644</f>
        <v>0.28835179590466598</v>
      </c>
      <c r="AA644" s="4">
        <v>0.5</v>
      </c>
      <c r="AB644" s="4">
        <f t="shared" ref="AB644:AB649" si="226">AZ644</f>
        <v>7499</v>
      </c>
      <c r="AC644" s="4">
        <f t="shared" si="215"/>
        <v>8367.3052631578939</v>
      </c>
      <c r="AD644" s="6">
        <f t="shared" si="216"/>
        <v>0.2398986531537538</v>
      </c>
      <c r="AE644" s="4">
        <f t="shared" si="217"/>
        <v>10070</v>
      </c>
      <c r="AF644" s="7">
        <v>8367</v>
      </c>
      <c r="AG644" s="6">
        <f t="shared" ref="AG644:AG649" si="227">1-W644/AF644</f>
        <v>0.23987092147723199</v>
      </c>
      <c r="AH644" s="4">
        <f t="shared" ref="AH644:AH649" si="228">AF644-W644</f>
        <v>2007</v>
      </c>
      <c r="AI644" s="28"/>
      <c r="AJ644" s="6"/>
      <c r="AK644" s="6"/>
      <c r="AL644" s="6">
        <f t="shared" ref="AL644:AL649" si="229">U644/M644</f>
        <v>1.1157894736842104</v>
      </c>
      <c r="AM644" s="6">
        <f t="shared" ref="AM644:AM649" si="230">AF644/N644</f>
        <v>1.044569288389513</v>
      </c>
      <c r="AN644" s="6">
        <f t="shared" ref="AN644:AN649" si="231">W644/O644</f>
        <v>1.1157894736842104</v>
      </c>
      <c r="AO644" s="4" t="str">
        <f t="shared" ref="AO644:AO649" si="232">IFERROR(ROUND($AF644*Q644/$N644,0),"-")</f>
        <v>-</v>
      </c>
      <c r="AP644" s="4" t="str">
        <f t="shared" ref="AP644:AP649" si="233">IF(R644="","-",R644)</f>
        <v>-</v>
      </c>
      <c r="AQ644" s="4" t="str">
        <f t="shared" ref="AQ644:AQ649" si="234">IF(S644="","-",S644)</f>
        <v>-</v>
      </c>
      <c r="AR644" s="4">
        <v>0</v>
      </c>
      <c r="AS644" s="4" t="s">
        <v>1990</v>
      </c>
      <c r="AT644" s="4"/>
      <c r="AU644" s="4"/>
      <c r="AV644" s="4" t="s">
        <v>1697</v>
      </c>
      <c r="AW644" s="4">
        <v>7499</v>
      </c>
      <c r="AX644" s="4">
        <v>7499</v>
      </c>
      <c r="AY644" s="4">
        <v>7499</v>
      </c>
      <c r="AZ644" s="4">
        <f t="shared" ref="AZ644:AZ649" si="235">IF(AT644="",AY644,AT644/AU644*AY644)</f>
        <v>7499</v>
      </c>
      <c r="BA644" s="19">
        <v>2</v>
      </c>
      <c r="BB644" s="19">
        <v>8</v>
      </c>
      <c r="BC644" s="16">
        <v>18</v>
      </c>
      <c r="BD644" t="s">
        <v>1280</v>
      </c>
      <c r="BE644" t="s">
        <v>1280</v>
      </c>
      <c r="BF644" t="s">
        <v>1280</v>
      </c>
      <c r="BG644" t="str">
        <f t="shared" si="218"/>
        <v>-</v>
      </c>
      <c r="BH644">
        <v>9161</v>
      </c>
      <c r="BI644">
        <v>9161</v>
      </c>
      <c r="BJ644">
        <v>9161</v>
      </c>
      <c r="BK644">
        <f t="shared" si="219"/>
        <v>10221.747368421053</v>
      </c>
      <c r="BL644" t="s">
        <v>1511</v>
      </c>
      <c r="BM644">
        <v>812</v>
      </c>
    </row>
    <row r="645" spans="1:65" x14ac:dyDescent="0.4">
      <c r="A645" s="32">
        <v>310</v>
      </c>
      <c r="B645" s="3">
        <v>310</v>
      </c>
      <c r="C645" s="4" t="s">
        <v>299</v>
      </c>
      <c r="D645" s="4" t="str">
        <f t="shared" si="220"/>
        <v>J39062</v>
      </c>
      <c r="E645" s="4" t="s">
        <v>299</v>
      </c>
      <c r="F645" s="4" t="str">
        <f t="shared" ref="F645:F649" si="236">D645&amp;I645</f>
        <v>J390625</v>
      </c>
      <c r="G645" s="4" t="s">
        <v>945</v>
      </c>
      <c r="H645" s="5">
        <v>4974268561350</v>
      </c>
      <c r="I645" s="5">
        <v>5</v>
      </c>
      <c r="J645" s="5"/>
      <c r="K645" s="5">
        <v>1</v>
      </c>
      <c r="L645" s="5">
        <v>1</v>
      </c>
      <c r="M645" s="4">
        <v>10400</v>
      </c>
      <c r="N645" s="4">
        <v>10608</v>
      </c>
      <c r="O645" s="4">
        <v>6240</v>
      </c>
      <c r="P645" s="6">
        <f t="shared" si="221"/>
        <v>0.41176470588235292</v>
      </c>
      <c r="Q645" s="4" t="s">
        <v>1280</v>
      </c>
      <c r="R645" s="4" t="s">
        <v>1280</v>
      </c>
      <c r="S645" s="4" t="s">
        <v>1280</v>
      </c>
      <c r="T645" s="4">
        <v>11400</v>
      </c>
      <c r="U645" s="4">
        <f t="shared" si="222"/>
        <v>11400</v>
      </c>
      <c r="V645" s="4">
        <v>6840</v>
      </c>
      <c r="W645" s="4">
        <f t="shared" si="223"/>
        <v>6840</v>
      </c>
      <c r="X645" s="4"/>
      <c r="Y645" s="21">
        <f t="shared" si="224"/>
        <v>11628</v>
      </c>
      <c r="Z645" s="6">
        <f t="shared" si="225"/>
        <v>0.41176470588235292</v>
      </c>
      <c r="AA645" s="4">
        <v>0.25</v>
      </c>
      <c r="AB645" s="4" t="str">
        <f t="shared" si="226"/>
        <v>-</v>
      </c>
      <c r="AC645" s="4" t="str">
        <f t="shared" ref="AC645:AC649" si="237">IFERROR(AB645*AN645,"-")</f>
        <v>-</v>
      </c>
      <c r="AD645" s="6" t="str">
        <f t="shared" ref="AD645:AD649" si="238">IFERROR(1-W645/AC645,"-")</f>
        <v>-</v>
      </c>
      <c r="AE645" s="4">
        <f t="shared" ref="AE645:AE649" si="239">U645*0.95</f>
        <v>10830</v>
      </c>
      <c r="AF645" s="7">
        <v>10680</v>
      </c>
      <c r="AG645" s="6">
        <f t="shared" si="227"/>
        <v>0.3595505617977528</v>
      </c>
      <c r="AH645" s="4">
        <f t="shared" si="228"/>
        <v>3840</v>
      </c>
      <c r="AI645" s="28"/>
      <c r="AJ645" s="6"/>
      <c r="AK645" s="6"/>
      <c r="AL645" s="6">
        <f t="shared" si="229"/>
        <v>1.0961538461538463</v>
      </c>
      <c r="AM645" s="6">
        <f t="shared" si="230"/>
        <v>1.0067873303167421</v>
      </c>
      <c r="AN645" s="6">
        <f t="shared" si="231"/>
        <v>1.0961538461538463</v>
      </c>
      <c r="AO645" s="4" t="str">
        <f t="shared" si="232"/>
        <v>-</v>
      </c>
      <c r="AP645" s="4" t="str">
        <f t="shared" si="233"/>
        <v>-</v>
      </c>
      <c r="AQ645" s="4" t="str">
        <f t="shared" si="234"/>
        <v>-</v>
      </c>
      <c r="AR645" s="4">
        <v>0</v>
      </c>
      <c r="AS645" s="4" t="s">
        <v>1280</v>
      </c>
      <c r="AT645" s="4"/>
      <c r="AU645" s="4"/>
      <c r="AV645" s="4" t="s">
        <v>1280</v>
      </c>
      <c r="AW645" s="4" t="s">
        <v>1280</v>
      </c>
      <c r="AX645" s="4" t="s">
        <v>1280</v>
      </c>
      <c r="AY645" s="4" t="s">
        <v>1280</v>
      </c>
      <c r="AZ645" s="4" t="str">
        <f t="shared" si="235"/>
        <v>-</v>
      </c>
      <c r="BA645" s="19">
        <v>2</v>
      </c>
      <c r="BB645" s="19">
        <v>8</v>
      </c>
      <c r="BC645" s="16">
        <v>18</v>
      </c>
      <c r="BD645">
        <v>10400</v>
      </c>
      <c r="BE645">
        <v>10400</v>
      </c>
      <c r="BF645">
        <v>10400</v>
      </c>
      <c r="BG645">
        <f t="shared" ref="BG645:BG649" si="240">IFERROR(BF645*AN645,"-")</f>
        <v>11400.000000000002</v>
      </c>
      <c r="BH645">
        <v>10400</v>
      </c>
      <c r="BI645">
        <v>10400</v>
      </c>
      <c r="BJ645">
        <v>10400</v>
      </c>
      <c r="BK645">
        <f t="shared" ref="BK645:BK649" si="241">IFERROR(BJ645*AN645,"-")</f>
        <v>11400.000000000002</v>
      </c>
      <c r="BL645" t="s">
        <v>1280</v>
      </c>
      <c r="BM645">
        <v>812</v>
      </c>
    </row>
    <row r="646" spans="1:65" x14ac:dyDescent="0.4">
      <c r="A646" s="32">
        <v>326</v>
      </c>
      <c r="B646" s="3">
        <v>326</v>
      </c>
      <c r="C646" s="4" t="s">
        <v>315</v>
      </c>
      <c r="D646" s="4" t="str">
        <f t="shared" si="220"/>
        <v>J39066</v>
      </c>
      <c r="E646" s="4" t="s">
        <v>315</v>
      </c>
      <c r="F646" s="4" t="str">
        <f t="shared" si="236"/>
        <v>J390665</v>
      </c>
      <c r="G646" s="4" t="s">
        <v>961</v>
      </c>
      <c r="H646" s="5">
        <v>4974268561367</v>
      </c>
      <c r="I646" s="5">
        <v>5</v>
      </c>
      <c r="J646" s="5"/>
      <c r="K646" s="5">
        <v>1</v>
      </c>
      <c r="L646" s="5">
        <v>1</v>
      </c>
      <c r="M646" s="4">
        <v>10400</v>
      </c>
      <c r="N646" s="4">
        <v>8274</v>
      </c>
      <c r="O646" s="4">
        <v>6240</v>
      </c>
      <c r="P646" s="6">
        <f t="shared" si="221"/>
        <v>0.24583031182015957</v>
      </c>
      <c r="Q646" s="4" t="s">
        <v>1280</v>
      </c>
      <c r="R646" s="4" t="s">
        <v>1280</v>
      </c>
      <c r="S646" s="4" t="s">
        <v>1280</v>
      </c>
      <c r="T646" s="4">
        <v>11400</v>
      </c>
      <c r="U646" s="4">
        <f t="shared" si="222"/>
        <v>11400</v>
      </c>
      <c r="V646" s="4">
        <v>6840</v>
      </c>
      <c r="W646" s="4">
        <f t="shared" si="223"/>
        <v>6840</v>
      </c>
      <c r="X646" s="4"/>
      <c r="Y646" s="21">
        <f t="shared" si="224"/>
        <v>9070</v>
      </c>
      <c r="Z646" s="6">
        <f t="shared" si="225"/>
        <v>0.24586549062844543</v>
      </c>
      <c r="AA646" s="4">
        <v>0</v>
      </c>
      <c r="AB646" s="4" t="str">
        <f t="shared" si="226"/>
        <v>-</v>
      </c>
      <c r="AC646" s="4" t="str">
        <f t="shared" si="237"/>
        <v>-</v>
      </c>
      <c r="AD646" s="6" t="str">
        <f t="shared" si="238"/>
        <v>-</v>
      </c>
      <c r="AE646" s="4">
        <f t="shared" si="239"/>
        <v>10830</v>
      </c>
      <c r="AF646" s="7">
        <v>10680</v>
      </c>
      <c r="AG646" s="6">
        <f t="shared" si="227"/>
        <v>0.3595505617977528</v>
      </c>
      <c r="AH646" s="4">
        <f t="shared" si="228"/>
        <v>3840</v>
      </c>
      <c r="AI646" s="28"/>
      <c r="AJ646" s="6"/>
      <c r="AK646" s="6"/>
      <c r="AL646" s="6">
        <f t="shared" si="229"/>
        <v>1.0961538461538463</v>
      </c>
      <c r="AM646" s="6">
        <f t="shared" si="230"/>
        <v>1.2907904278462654</v>
      </c>
      <c r="AN646" s="6">
        <f t="shared" si="231"/>
        <v>1.0961538461538463</v>
      </c>
      <c r="AO646" s="4" t="str">
        <f t="shared" si="232"/>
        <v>-</v>
      </c>
      <c r="AP646" s="4" t="str">
        <f t="shared" si="233"/>
        <v>-</v>
      </c>
      <c r="AQ646" s="4" t="str">
        <f t="shared" si="234"/>
        <v>-</v>
      </c>
      <c r="AR646" s="4">
        <v>0</v>
      </c>
      <c r="AS646" s="4" t="s">
        <v>1280</v>
      </c>
      <c r="AT646" s="4"/>
      <c r="AU646" s="4"/>
      <c r="AV646" s="4" t="s">
        <v>1280</v>
      </c>
      <c r="AW646" s="4" t="s">
        <v>1280</v>
      </c>
      <c r="AX646" s="4" t="s">
        <v>1280</v>
      </c>
      <c r="AY646" s="4" t="s">
        <v>1280</v>
      </c>
      <c r="AZ646" s="4" t="str">
        <f t="shared" si="235"/>
        <v>-</v>
      </c>
      <c r="BA646" s="19">
        <v>2</v>
      </c>
      <c r="BB646" s="19">
        <v>8</v>
      </c>
      <c r="BC646" s="16">
        <v>18</v>
      </c>
      <c r="BD646">
        <v>10400</v>
      </c>
      <c r="BE646">
        <v>10400</v>
      </c>
      <c r="BF646">
        <v>10400</v>
      </c>
      <c r="BG646">
        <f t="shared" si="240"/>
        <v>11400.000000000002</v>
      </c>
      <c r="BH646">
        <v>10400</v>
      </c>
      <c r="BI646">
        <v>10400</v>
      </c>
      <c r="BJ646">
        <v>10400</v>
      </c>
      <c r="BK646">
        <f t="shared" si="241"/>
        <v>11400.000000000002</v>
      </c>
      <c r="BL646" t="s">
        <v>1280</v>
      </c>
      <c r="BM646">
        <v>812</v>
      </c>
    </row>
    <row r="647" spans="1:65" x14ac:dyDescent="0.4">
      <c r="A647" s="32">
        <v>466</v>
      </c>
      <c r="B647" s="3">
        <v>466</v>
      </c>
      <c r="C647" s="4" t="s">
        <v>455</v>
      </c>
      <c r="D647" s="4" t="str">
        <f t="shared" si="220"/>
        <v>J54544</v>
      </c>
      <c r="E647" s="4" t="s">
        <v>455</v>
      </c>
      <c r="F647" s="4" t="str">
        <f t="shared" si="236"/>
        <v>J545445</v>
      </c>
      <c r="G647" s="4" t="s">
        <v>1099</v>
      </c>
      <c r="H647" s="5">
        <v>4974268562685</v>
      </c>
      <c r="I647" s="5">
        <v>5</v>
      </c>
      <c r="J647" s="5"/>
      <c r="K647" s="5">
        <v>1</v>
      </c>
      <c r="L647" s="5">
        <v>1</v>
      </c>
      <c r="M647" s="4">
        <v>11000</v>
      </c>
      <c r="N647" s="4">
        <v>8695</v>
      </c>
      <c r="O647" s="4">
        <v>6600</v>
      </c>
      <c r="P647" s="6">
        <f t="shared" si="221"/>
        <v>0.24094307073030474</v>
      </c>
      <c r="Q647" s="4" t="s">
        <v>1280</v>
      </c>
      <c r="R647" s="4" t="s">
        <v>1280</v>
      </c>
      <c r="S647" s="4" t="s">
        <v>1280</v>
      </c>
      <c r="T647" s="4">
        <v>12200</v>
      </c>
      <c r="U647" s="4">
        <f t="shared" si="222"/>
        <v>12200</v>
      </c>
      <c r="V647" s="4">
        <v>7320</v>
      </c>
      <c r="W647" s="4">
        <f t="shared" si="223"/>
        <v>7320</v>
      </c>
      <c r="X647" s="4"/>
      <c r="Y647" s="21">
        <f t="shared" si="224"/>
        <v>9644</v>
      </c>
      <c r="Z647" s="6">
        <f t="shared" si="225"/>
        <v>0.24097884695147243</v>
      </c>
      <c r="AA647" s="4">
        <v>0</v>
      </c>
      <c r="AB647" s="4">
        <f t="shared" si="226"/>
        <v>9899</v>
      </c>
      <c r="AC647" s="4">
        <f t="shared" si="237"/>
        <v>10978.890909090909</v>
      </c>
      <c r="AD647" s="6">
        <f t="shared" si="238"/>
        <v>0.3332659864632791</v>
      </c>
      <c r="AE647" s="4">
        <f t="shared" si="239"/>
        <v>11590</v>
      </c>
      <c r="AF647" s="7">
        <v>10978</v>
      </c>
      <c r="AG647" s="6">
        <f t="shared" si="227"/>
        <v>0.33321187830205867</v>
      </c>
      <c r="AH647" s="4">
        <f t="shared" si="228"/>
        <v>3658</v>
      </c>
      <c r="AI647" s="28"/>
      <c r="AJ647" s="6"/>
      <c r="AK647" s="6"/>
      <c r="AL647" s="6">
        <f t="shared" si="229"/>
        <v>1.1090909090909091</v>
      </c>
      <c r="AM647" s="6">
        <f t="shared" si="230"/>
        <v>1.2625646923519265</v>
      </c>
      <c r="AN647" s="6">
        <f t="shared" si="231"/>
        <v>1.1090909090909091</v>
      </c>
      <c r="AO647" s="4" t="str">
        <f t="shared" si="232"/>
        <v>-</v>
      </c>
      <c r="AP647" s="4" t="str">
        <f t="shared" si="233"/>
        <v>-</v>
      </c>
      <c r="AQ647" s="4" t="str">
        <f t="shared" si="234"/>
        <v>-</v>
      </c>
      <c r="AR647" s="4">
        <v>0</v>
      </c>
      <c r="AS647" s="4" t="s">
        <v>2025</v>
      </c>
      <c r="AT647" s="4"/>
      <c r="AU647" s="4"/>
      <c r="AV647" s="4" t="s">
        <v>1697</v>
      </c>
      <c r="AW647" s="4">
        <v>9899</v>
      </c>
      <c r="AX647" s="4">
        <v>9899</v>
      </c>
      <c r="AY647" s="4">
        <v>9899</v>
      </c>
      <c r="AZ647" s="4">
        <f t="shared" si="235"/>
        <v>9899</v>
      </c>
      <c r="BA647" s="19">
        <v>2</v>
      </c>
      <c r="BB647" s="19">
        <v>8</v>
      </c>
      <c r="BC647" s="16">
        <v>18</v>
      </c>
      <c r="BD647">
        <v>11000</v>
      </c>
      <c r="BE647">
        <v>11000</v>
      </c>
      <c r="BF647">
        <v>11000</v>
      </c>
      <c r="BG647">
        <f t="shared" si="240"/>
        <v>12200</v>
      </c>
      <c r="BH647" t="s">
        <v>1280</v>
      </c>
      <c r="BI647">
        <v>9975</v>
      </c>
      <c r="BJ647">
        <v>9975</v>
      </c>
      <c r="BK647">
        <f t="shared" si="241"/>
        <v>11063.181818181818</v>
      </c>
      <c r="BL647" t="s">
        <v>1540</v>
      </c>
      <c r="BM647">
        <v>812</v>
      </c>
    </row>
    <row r="648" spans="1:65" x14ac:dyDescent="0.4">
      <c r="A648" s="3">
        <v>504</v>
      </c>
      <c r="B648" s="3">
        <v>504</v>
      </c>
      <c r="C648" s="4" t="s">
        <v>493</v>
      </c>
      <c r="D648" s="4" t="str">
        <f t="shared" si="220"/>
        <v>J758RZ</v>
      </c>
      <c r="E648" s="4" t="s">
        <v>493</v>
      </c>
      <c r="F648" s="4" t="str">
        <f t="shared" si="236"/>
        <v>J758RZ5</v>
      </c>
      <c r="G648" s="4" t="s">
        <v>1137</v>
      </c>
      <c r="H648" s="5">
        <v>4974268697721</v>
      </c>
      <c r="I648" s="5">
        <v>5</v>
      </c>
      <c r="J648" s="5"/>
      <c r="K648" s="5">
        <v>1</v>
      </c>
      <c r="L648" s="5">
        <v>1</v>
      </c>
      <c r="M648" s="4">
        <v>13000</v>
      </c>
      <c r="N648" s="4">
        <v>12654</v>
      </c>
      <c r="O648" s="4">
        <v>10400</v>
      </c>
      <c r="P648" s="6">
        <f t="shared" si="221"/>
        <v>0.17812549391496757</v>
      </c>
      <c r="Q648" s="4" t="s">
        <v>1280</v>
      </c>
      <c r="R648" s="4" t="s">
        <v>1280</v>
      </c>
      <c r="S648" s="4" t="s">
        <v>1280</v>
      </c>
      <c r="T648" s="4">
        <v>13400</v>
      </c>
      <c r="U648" s="4">
        <f t="shared" si="222"/>
        <v>13400</v>
      </c>
      <c r="V648" s="4">
        <v>10720</v>
      </c>
      <c r="W648" s="4">
        <f t="shared" si="223"/>
        <v>10720</v>
      </c>
      <c r="X648" s="4"/>
      <c r="Y648" s="21">
        <f t="shared" si="224"/>
        <v>13043</v>
      </c>
      <c r="Z648" s="6">
        <f t="shared" si="225"/>
        <v>0.17810319711722766</v>
      </c>
      <c r="AA648" s="4">
        <v>0</v>
      </c>
      <c r="AB648" s="4" t="str">
        <f t="shared" si="226"/>
        <v>-</v>
      </c>
      <c r="AC648" s="4" t="str">
        <f t="shared" si="237"/>
        <v>-</v>
      </c>
      <c r="AD648" s="6" t="str">
        <f t="shared" si="238"/>
        <v>-</v>
      </c>
      <c r="AE648" s="4">
        <f t="shared" si="239"/>
        <v>12730</v>
      </c>
      <c r="AF648" s="7">
        <v>13400</v>
      </c>
      <c r="AG648" s="6">
        <f t="shared" si="227"/>
        <v>0.19999999999999996</v>
      </c>
      <c r="AH648" s="4">
        <f t="shared" si="228"/>
        <v>2680</v>
      </c>
      <c r="AI648" s="28"/>
      <c r="AJ648" s="6"/>
      <c r="AK648" s="6"/>
      <c r="AL648" s="6">
        <f t="shared" si="229"/>
        <v>1.0307692307692307</v>
      </c>
      <c r="AM648" s="6">
        <f t="shared" si="230"/>
        <v>1.058953690532638</v>
      </c>
      <c r="AN648" s="6">
        <f t="shared" si="231"/>
        <v>1.0307692307692307</v>
      </c>
      <c r="AO648" s="4" t="str">
        <f t="shared" si="232"/>
        <v>-</v>
      </c>
      <c r="AP648" s="4" t="str">
        <f t="shared" si="233"/>
        <v>-</v>
      </c>
      <c r="AQ648" s="4" t="str">
        <f t="shared" si="234"/>
        <v>-</v>
      </c>
      <c r="AR648" s="4">
        <v>0</v>
      </c>
      <c r="AS648" s="4" t="s">
        <v>1280</v>
      </c>
      <c r="AT648" s="4"/>
      <c r="AU648" s="4"/>
      <c r="AV648" s="4" t="s">
        <v>1280</v>
      </c>
      <c r="AW648" s="4" t="s">
        <v>1280</v>
      </c>
      <c r="AX648" s="4" t="s">
        <v>1280</v>
      </c>
      <c r="AY648" s="4" t="s">
        <v>1280</v>
      </c>
      <c r="AZ648" s="4" t="str">
        <f t="shared" si="235"/>
        <v>-</v>
      </c>
      <c r="BA648" s="19">
        <v>4</v>
      </c>
      <c r="BB648" s="19">
        <v>8</v>
      </c>
      <c r="BC648" s="16">
        <v>19</v>
      </c>
      <c r="BD648" t="s">
        <v>1280</v>
      </c>
      <c r="BE648" t="s">
        <v>1280</v>
      </c>
      <c r="BF648" t="s">
        <v>1280</v>
      </c>
      <c r="BG648" t="str">
        <f t="shared" si="240"/>
        <v>-</v>
      </c>
      <c r="BH648">
        <v>11500</v>
      </c>
      <c r="BI648">
        <v>11500</v>
      </c>
      <c r="BJ648">
        <v>11500</v>
      </c>
      <c r="BK648">
        <f t="shared" si="241"/>
        <v>11853.846153846152</v>
      </c>
      <c r="BL648" t="s">
        <v>1280</v>
      </c>
      <c r="BM648">
        <v>812</v>
      </c>
    </row>
    <row r="649" spans="1:65" x14ac:dyDescent="0.4">
      <c r="A649" s="32">
        <v>467</v>
      </c>
      <c r="B649" s="3">
        <v>467</v>
      </c>
      <c r="C649" s="4" t="s">
        <v>456</v>
      </c>
      <c r="D649" s="4" t="str">
        <f t="shared" si="220"/>
        <v>J54547</v>
      </c>
      <c r="E649" s="4" t="s">
        <v>456</v>
      </c>
      <c r="F649" s="4" t="str">
        <f t="shared" si="236"/>
        <v>J545475</v>
      </c>
      <c r="G649" s="4" t="s">
        <v>1100</v>
      </c>
      <c r="H649" s="5">
        <v>4974268562753</v>
      </c>
      <c r="I649" s="5">
        <v>5</v>
      </c>
      <c r="J649" s="5"/>
      <c r="K649" s="5">
        <v>1</v>
      </c>
      <c r="L649" s="5">
        <v>1</v>
      </c>
      <c r="M649" s="4">
        <v>19500</v>
      </c>
      <c r="N649" s="4">
        <v>13560</v>
      </c>
      <c r="O649" s="4">
        <v>11700</v>
      </c>
      <c r="P649" s="6">
        <f t="shared" si="221"/>
        <v>0.13716814159292035</v>
      </c>
      <c r="Q649" s="4" t="s">
        <v>1280</v>
      </c>
      <c r="R649" s="4" t="s">
        <v>1280</v>
      </c>
      <c r="S649" s="4" t="s">
        <v>1280</v>
      </c>
      <c r="T649" s="4">
        <v>21500</v>
      </c>
      <c r="U649" s="4">
        <f t="shared" si="222"/>
        <v>21500</v>
      </c>
      <c r="V649" s="4">
        <v>12900</v>
      </c>
      <c r="W649" s="4">
        <f t="shared" si="223"/>
        <v>12900</v>
      </c>
      <c r="X649" s="4"/>
      <c r="Y649" s="21">
        <f t="shared" si="224"/>
        <v>14951</v>
      </c>
      <c r="Z649" s="6">
        <f t="shared" si="225"/>
        <v>0.13718145943415161</v>
      </c>
      <c r="AA649" s="4">
        <v>0</v>
      </c>
      <c r="AB649" s="4" t="str">
        <f t="shared" si="226"/>
        <v>-</v>
      </c>
      <c r="AC649" s="4" t="str">
        <f t="shared" si="237"/>
        <v>-</v>
      </c>
      <c r="AD649" s="6" t="str">
        <f t="shared" si="238"/>
        <v>-</v>
      </c>
      <c r="AE649" s="4">
        <f t="shared" si="239"/>
        <v>20425</v>
      </c>
      <c r="AF649" s="7">
        <v>19000</v>
      </c>
      <c r="AG649" s="6">
        <f t="shared" si="227"/>
        <v>0.32105263157894737</v>
      </c>
      <c r="AH649" s="4">
        <f t="shared" si="228"/>
        <v>6100</v>
      </c>
      <c r="AI649" s="28"/>
      <c r="AJ649" s="6"/>
      <c r="AK649" s="6"/>
      <c r="AL649" s="6">
        <f t="shared" si="229"/>
        <v>1.1025641025641026</v>
      </c>
      <c r="AM649" s="6">
        <f t="shared" si="230"/>
        <v>1.40117994100295</v>
      </c>
      <c r="AN649" s="6">
        <f t="shared" si="231"/>
        <v>1.1025641025641026</v>
      </c>
      <c r="AO649" s="4" t="str">
        <f t="shared" si="232"/>
        <v>-</v>
      </c>
      <c r="AP649" s="4" t="str">
        <f t="shared" si="233"/>
        <v>-</v>
      </c>
      <c r="AQ649" s="4" t="str">
        <f t="shared" si="234"/>
        <v>-</v>
      </c>
      <c r="AR649" s="4">
        <v>0</v>
      </c>
      <c r="AS649" s="4" t="s">
        <v>1280</v>
      </c>
      <c r="AT649" s="4"/>
      <c r="AU649" s="4"/>
      <c r="AV649" s="4" t="s">
        <v>1280</v>
      </c>
      <c r="AW649" s="4" t="s">
        <v>1280</v>
      </c>
      <c r="AX649" s="4" t="s">
        <v>1280</v>
      </c>
      <c r="AY649" s="4" t="s">
        <v>1280</v>
      </c>
      <c r="AZ649" s="4" t="str">
        <f t="shared" si="235"/>
        <v>-</v>
      </c>
      <c r="BA649" s="19">
        <v>2</v>
      </c>
      <c r="BB649" s="19">
        <v>8</v>
      </c>
      <c r="BC649" s="16">
        <v>18</v>
      </c>
      <c r="BD649">
        <v>19500</v>
      </c>
      <c r="BE649">
        <v>19500</v>
      </c>
      <c r="BF649">
        <v>19500</v>
      </c>
      <c r="BG649">
        <f t="shared" si="240"/>
        <v>21500</v>
      </c>
      <c r="BH649" t="s">
        <v>1280</v>
      </c>
      <c r="BI649">
        <v>25935</v>
      </c>
      <c r="BJ649">
        <v>25935</v>
      </c>
      <c r="BK649">
        <f t="shared" si="241"/>
        <v>28595.000000000004</v>
      </c>
      <c r="BL649" t="s">
        <v>1280</v>
      </c>
      <c r="BM649">
        <v>812</v>
      </c>
    </row>
  </sheetData>
  <autoFilter ref="A3:BM649" xr:uid="{7A1660CF-9003-4B2D-B659-7F339ED5B476}"/>
  <mergeCells count="3">
    <mergeCell ref="M2:P2"/>
    <mergeCell ref="K2:L2"/>
    <mergeCell ref="T1:W1"/>
  </mergeCells>
  <phoneticPr fontId="2"/>
  <conditionalFormatting sqref="AC4:AC649">
    <cfRule type="cellIs" dxfId="5" priority="8" operator="lessThan">
      <formula>$AF4</formula>
    </cfRule>
  </conditionalFormatting>
  <conditionalFormatting sqref="AF4:AF649">
    <cfRule type="cellIs" dxfId="4" priority="10" operator="greaterThan">
      <formula>$U4</formula>
    </cfRule>
  </conditionalFormatting>
  <conditionalFormatting sqref="AG4:AG649">
    <cfRule type="cellIs" dxfId="3" priority="7" operator="lessThan">
      <formula>0.2</formula>
    </cfRule>
  </conditionalFormatting>
  <conditionalFormatting sqref="AX4:AY649">
    <cfRule type="cellIs" dxfId="2" priority="3" operator="notEqual">
      <formula>$AW4</formula>
    </cfRule>
  </conditionalFormatting>
  <conditionalFormatting sqref="BE4:BF649">
    <cfRule type="cellIs" dxfId="1" priority="2" operator="notEqual">
      <formula>$BD4</formula>
    </cfRule>
  </conditionalFormatting>
  <conditionalFormatting sqref="BI4:BJ649">
    <cfRule type="cellIs" dxfId="0" priority="1" operator="notEqual">
      <formula>$BH4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2026-07-15T08:50:15Z</dcterms:modified>
</cp:coreProperties>
</file>