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8月1日改定\"/>
    </mc:Choice>
  </mc:AlternateContent>
  <xr:revisionPtr revIDLastSave="0" documentId="13_ncr:1_{DE4D47B3-BF7F-4FB7-91C9-73B4C3D37CB1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Sheet1!$A$3:$BQ$51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4" i="1"/>
  <c r="BP12" i="1"/>
  <c r="BP27" i="1"/>
  <c r="BN27" i="1"/>
  <c r="BN49" i="1"/>
  <c r="BN5" i="1"/>
  <c r="BP7" i="1"/>
  <c r="BP21" i="1"/>
  <c r="BN46" i="1"/>
  <c r="BP46" i="1"/>
  <c r="BN48" i="1"/>
  <c r="BI45" i="1"/>
  <c r="AH45" i="1" s="1"/>
  <c r="BI51" i="1"/>
  <c r="AH51" i="1" s="1"/>
  <c r="BI4" i="1"/>
  <c r="AH4" i="1" s="1"/>
  <c r="AR6" i="1"/>
  <c r="AA6" i="1"/>
  <c r="P10" i="1"/>
  <c r="AR11" i="1"/>
  <c r="P48" i="1"/>
  <c r="P51" i="1"/>
  <c r="P50" i="1"/>
  <c r="AT33" i="1"/>
  <c r="BI6" i="1"/>
  <c r="AH6" i="1" s="1"/>
  <c r="AC6" i="1"/>
  <c r="D6" i="1"/>
  <c r="BI50" i="1"/>
  <c r="AH50" i="1" s="1"/>
  <c r="AR50" i="1"/>
  <c r="AC50" i="1"/>
  <c r="AL50" i="1" s="1"/>
  <c r="AA50" i="1"/>
  <c r="D50" i="1"/>
  <c r="BI47" i="1"/>
  <c r="AH47" i="1" s="1"/>
  <c r="AR47" i="1"/>
  <c r="AC47" i="1"/>
  <c r="AL47" i="1" s="1"/>
  <c r="AA47" i="1"/>
  <c r="AQ47" i="1" s="1"/>
  <c r="P47" i="1"/>
  <c r="D47" i="1"/>
  <c r="AR51" i="1"/>
  <c r="AL51" i="1"/>
  <c r="AC51" i="1"/>
  <c r="AS51" i="1" s="1"/>
  <c r="AE51" i="1" s="1"/>
  <c r="AA51" i="1"/>
  <c r="D51" i="1"/>
  <c r="BI48" i="1"/>
  <c r="AH48" i="1" s="1"/>
  <c r="AC48" i="1"/>
  <c r="AS48" i="1" s="1"/>
  <c r="BP48" i="1" s="1"/>
  <c r="AA48" i="1"/>
  <c r="AQ48" i="1" s="1"/>
  <c r="D48" i="1"/>
  <c r="BI49" i="1"/>
  <c r="AH49" i="1" s="1"/>
  <c r="AR49" i="1"/>
  <c r="AC49" i="1"/>
  <c r="AS49" i="1" s="1"/>
  <c r="AE49" i="1" s="1"/>
  <c r="AA49" i="1"/>
  <c r="AQ49" i="1" s="1"/>
  <c r="P49" i="1"/>
  <c r="D49" i="1"/>
  <c r="BI11" i="1"/>
  <c r="AH11" i="1" s="1"/>
  <c r="AC11" i="1"/>
  <c r="AL11" i="1" s="1"/>
  <c r="AA11" i="1"/>
  <c r="P11" i="1"/>
  <c r="D11" i="1"/>
  <c r="BI10" i="1"/>
  <c r="AH10" i="1" s="1"/>
  <c r="AR10" i="1"/>
  <c r="AC10" i="1"/>
  <c r="AL10" i="1" s="1"/>
  <c r="AA10" i="1"/>
  <c r="D10" i="1"/>
  <c r="BI39" i="1"/>
  <c r="AH39" i="1" s="1"/>
  <c r="AR39" i="1"/>
  <c r="AC39" i="1"/>
  <c r="AS39" i="1" s="1"/>
  <c r="AE39" i="1" s="1"/>
  <c r="AA39" i="1"/>
  <c r="AQ39" i="1" s="1"/>
  <c r="P39" i="1"/>
  <c r="D39" i="1"/>
  <c r="BI28" i="1"/>
  <c r="AH28" i="1" s="1"/>
  <c r="AR28" i="1"/>
  <c r="AC28" i="1"/>
  <c r="AS28" i="1" s="1"/>
  <c r="AE28" i="1" s="1"/>
  <c r="AA28" i="1"/>
  <c r="AQ28" i="1" s="1"/>
  <c r="P28" i="1"/>
  <c r="D28" i="1"/>
  <c r="BI9" i="1"/>
  <c r="AH9" i="1" s="1"/>
  <c r="AR9" i="1"/>
  <c r="AC9" i="1"/>
  <c r="AS9" i="1" s="1"/>
  <c r="AE9" i="1" s="1"/>
  <c r="AA9" i="1"/>
  <c r="AQ9" i="1" s="1"/>
  <c r="P9" i="1"/>
  <c r="D9" i="1"/>
  <c r="BI27" i="1"/>
  <c r="AH27" i="1" s="1"/>
  <c r="AR27" i="1"/>
  <c r="AC27" i="1"/>
  <c r="AS27" i="1" s="1"/>
  <c r="AE27" i="1" s="1"/>
  <c r="AA27" i="1"/>
  <c r="AQ27" i="1" s="1"/>
  <c r="P27" i="1"/>
  <c r="D27" i="1"/>
  <c r="BI35" i="1"/>
  <c r="AH35" i="1" s="1"/>
  <c r="AR35" i="1"/>
  <c r="AC35" i="1"/>
  <c r="AS35" i="1" s="1"/>
  <c r="AE35" i="1" s="1"/>
  <c r="AA35" i="1"/>
  <c r="AQ35" i="1" s="1"/>
  <c r="P35" i="1"/>
  <c r="D35" i="1"/>
  <c r="BI44" i="1"/>
  <c r="AH44" i="1" s="1"/>
  <c r="AR44" i="1"/>
  <c r="AC44" i="1"/>
  <c r="AS44" i="1" s="1"/>
  <c r="AE44" i="1" s="1"/>
  <c r="AA44" i="1"/>
  <c r="AQ44" i="1" s="1"/>
  <c r="P44" i="1"/>
  <c r="D44" i="1"/>
  <c r="BI38" i="1"/>
  <c r="AH38" i="1" s="1"/>
  <c r="AR38" i="1"/>
  <c r="AC38" i="1"/>
  <c r="AS38" i="1" s="1"/>
  <c r="AE38" i="1" s="1"/>
  <c r="AA38" i="1"/>
  <c r="AQ38" i="1" s="1"/>
  <c r="P38" i="1"/>
  <c r="D38" i="1"/>
  <c r="BI46" i="1"/>
  <c r="AH46" i="1" s="1"/>
  <c r="AR46" i="1"/>
  <c r="AC46" i="1"/>
  <c r="AS46" i="1" s="1"/>
  <c r="AE46" i="1" s="1"/>
  <c r="AA46" i="1"/>
  <c r="AQ46" i="1" s="1"/>
  <c r="P46" i="1"/>
  <c r="D46" i="1"/>
  <c r="BI8" i="1"/>
  <c r="AH8" i="1" s="1"/>
  <c r="AR8" i="1"/>
  <c r="AC8" i="1"/>
  <c r="AS8" i="1" s="1"/>
  <c r="AE8" i="1" s="1"/>
  <c r="AA8" i="1"/>
  <c r="AQ8" i="1" s="1"/>
  <c r="P8" i="1"/>
  <c r="D8" i="1"/>
  <c r="BI43" i="1"/>
  <c r="AH43" i="1" s="1"/>
  <c r="AR43" i="1"/>
  <c r="AC43" i="1"/>
  <c r="AS43" i="1" s="1"/>
  <c r="AE43" i="1" s="1"/>
  <c r="AA43" i="1"/>
  <c r="AQ43" i="1" s="1"/>
  <c r="P43" i="1"/>
  <c r="D43" i="1"/>
  <c r="BI12" i="1"/>
  <c r="AH12" i="1" s="1"/>
  <c r="AR12" i="1"/>
  <c r="AC12" i="1"/>
  <c r="AS12" i="1" s="1"/>
  <c r="AE12" i="1" s="1"/>
  <c r="AA12" i="1"/>
  <c r="AQ12" i="1" s="1"/>
  <c r="P12" i="1"/>
  <c r="D12" i="1"/>
  <c r="BI5" i="1"/>
  <c r="AH5" i="1" s="1"/>
  <c r="AR5" i="1"/>
  <c r="AC5" i="1"/>
  <c r="AS5" i="1" s="1"/>
  <c r="AE5" i="1" s="1"/>
  <c r="AA5" i="1"/>
  <c r="AQ5" i="1" s="1"/>
  <c r="P5" i="1"/>
  <c r="D5" i="1"/>
  <c r="BI42" i="1"/>
  <c r="AH42" i="1" s="1"/>
  <c r="AR42" i="1"/>
  <c r="AC42" i="1"/>
  <c r="AS42" i="1" s="1"/>
  <c r="AE42" i="1" s="1"/>
  <c r="AA42" i="1"/>
  <c r="AQ42" i="1" s="1"/>
  <c r="P42" i="1"/>
  <c r="D42" i="1"/>
  <c r="AR4" i="1"/>
  <c r="AC4" i="1"/>
  <c r="AS4" i="1" s="1"/>
  <c r="AE4" i="1" s="1"/>
  <c r="AA4" i="1"/>
  <c r="AQ4" i="1" s="1"/>
  <c r="P4" i="1"/>
  <c r="D4" i="1"/>
  <c r="BI41" i="1"/>
  <c r="AH41" i="1" s="1"/>
  <c r="AR41" i="1"/>
  <c r="AC41" i="1"/>
  <c r="AS41" i="1" s="1"/>
  <c r="AE41" i="1" s="1"/>
  <c r="AA41" i="1"/>
  <c r="AQ41" i="1" s="1"/>
  <c r="P41" i="1"/>
  <c r="D41" i="1"/>
  <c r="AR45" i="1"/>
  <c r="AC45" i="1"/>
  <c r="AS45" i="1" s="1"/>
  <c r="AE45" i="1" s="1"/>
  <c r="AA45" i="1"/>
  <c r="AQ45" i="1" s="1"/>
  <c r="P45" i="1"/>
  <c r="D45" i="1"/>
  <c r="BI26" i="1"/>
  <c r="AH26" i="1" s="1"/>
  <c r="AR26" i="1"/>
  <c r="AC26" i="1"/>
  <c r="AS26" i="1" s="1"/>
  <c r="AE26" i="1" s="1"/>
  <c r="AA26" i="1"/>
  <c r="AQ26" i="1" s="1"/>
  <c r="P26" i="1"/>
  <c r="D26" i="1"/>
  <c r="BI7" i="1"/>
  <c r="AH7" i="1" s="1"/>
  <c r="AR7" i="1"/>
  <c r="AC7" i="1"/>
  <c r="AS7" i="1" s="1"/>
  <c r="AE7" i="1" s="1"/>
  <c r="AA7" i="1"/>
  <c r="AQ7" i="1" s="1"/>
  <c r="P7" i="1"/>
  <c r="D7" i="1"/>
  <c r="BI21" i="1"/>
  <c r="AH21" i="1" s="1"/>
  <c r="AR21" i="1"/>
  <c r="AC21" i="1"/>
  <c r="AS21" i="1" s="1"/>
  <c r="AE21" i="1" s="1"/>
  <c r="AA21" i="1"/>
  <c r="AQ21" i="1" s="1"/>
  <c r="P21" i="1"/>
  <c r="D21" i="1"/>
  <c r="BI20" i="1"/>
  <c r="AH20" i="1" s="1"/>
  <c r="AR20" i="1"/>
  <c r="AC20" i="1"/>
  <c r="AS20" i="1" s="1"/>
  <c r="AE20" i="1" s="1"/>
  <c r="AA20" i="1"/>
  <c r="AQ20" i="1" s="1"/>
  <c r="P20" i="1"/>
  <c r="D20" i="1"/>
  <c r="BI25" i="1"/>
  <c r="AH25" i="1" s="1"/>
  <c r="AR25" i="1"/>
  <c r="AC25" i="1"/>
  <c r="AS25" i="1" s="1"/>
  <c r="AE25" i="1" s="1"/>
  <c r="AA25" i="1"/>
  <c r="AQ25" i="1" s="1"/>
  <c r="P25" i="1"/>
  <c r="D25" i="1"/>
  <c r="P34" i="1"/>
  <c r="P36" i="1"/>
  <c r="P40" i="1"/>
  <c r="P15" i="1"/>
  <c r="P37" i="1"/>
  <c r="P14" i="1"/>
  <c r="P29" i="1"/>
  <c r="P30" i="1"/>
  <c r="P22" i="1"/>
  <c r="P23" i="1"/>
  <c r="P17" i="1"/>
  <c r="P18" i="1"/>
  <c r="P19" i="1"/>
  <c r="P16" i="1"/>
  <c r="P13" i="1"/>
  <c r="P31" i="1"/>
  <c r="P32" i="1"/>
  <c r="P24" i="1"/>
  <c r="AR34" i="1"/>
  <c r="AR36" i="1"/>
  <c r="AR40" i="1"/>
  <c r="AR15" i="1"/>
  <c r="AR37" i="1"/>
  <c r="AR14" i="1"/>
  <c r="AR29" i="1"/>
  <c r="AR30" i="1"/>
  <c r="AR22" i="1"/>
  <c r="AR23" i="1"/>
  <c r="AR17" i="1"/>
  <c r="AR18" i="1"/>
  <c r="AR19" i="1"/>
  <c r="AR16" i="1"/>
  <c r="AR13" i="1"/>
  <c r="AR31" i="1"/>
  <c r="AR32" i="1"/>
  <c r="AR24" i="1"/>
  <c r="BI24" i="1"/>
  <c r="AH24" i="1" s="1"/>
  <c r="AC24" i="1"/>
  <c r="AA24" i="1"/>
  <c r="AQ24" i="1" s="1"/>
  <c r="D24" i="1"/>
  <c r="BI32" i="1"/>
  <c r="AH32" i="1" s="1"/>
  <c r="AC32" i="1"/>
  <c r="AM32" i="1" s="1"/>
  <c r="AA32" i="1"/>
  <c r="AQ32" i="1" s="1"/>
  <c r="D32" i="1"/>
  <c r="BI31" i="1"/>
  <c r="AH31" i="1" s="1"/>
  <c r="AC31" i="1"/>
  <c r="AS31" i="1" s="1"/>
  <c r="BN31" i="1" s="1"/>
  <c r="AA31" i="1"/>
  <c r="AQ31" i="1" s="1"/>
  <c r="D31" i="1"/>
  <c r="BI13" i="1"/>
  <c r="AH13" i="1" s="1"/>
  <c r="AC13" i="1"/>
  <c r="AM13" i="1" s="1"/>
  <c r="AA13" i="1"/>
  <c r="AQ13" i="1" s="1"/>
  <c r="D13" i="1"/>
  <c r="BI16" i="1"/>
  <c r="AH16" i="1" s="1"/>
  <c r="AC16" i="1"/>
  <c r="AL16" i="1" s="1"/>
  <c r="AA16" i="1"/>
  <c r="AQ16" i="1" s="1"/>
  <c r="D16" i="1"/>
  <c r="BI19" i="1"/>
  <c r="AH19" i="1" s="1"/>
  <c r="AC19" i="1"/>
  <c r="AL19" i="1" s="1"/>
  <c r="AA19" i="1"/>
  <c r="AQ19" i="1" s="1"/>
  <c r="D19" i="1"/>
  <c r="BI18" i="1"/>
  <c r="AH18" i="1" s="1"/>
  <c r="AC18" i="1"/>
  <c r="AM18" i="1" s="1"/>
  <c r="AA18" i="1"/>
  <c r="AQ18" i="1" s="1"/>
  <c r="D18" i="1"/>
  <c r="BI17" i="1"/>
  <c r="AH17" i="1" s="1"/>
  <c r="AC17" i="1"/>
  <c r="AM17" i="1" s="1"/>
  <c r="AA17" i="1"/>
  <c r="AQ17" i="1" s="1"/>
  <c r="D17" i="1"/>
  <c r="BI23" i="1"/>
  <c r="AH23" i="1" s="1"/>
  <c r="AC23" i="1"/>
  <c r="AA23" i="1"/>
  <c r="AQ23" i="1" s="1"/>
  <c r="D23" i="1"/>
  <c r="AV33" i="1"/>
  <c r="AU33" i="1"/>
  <c r="BN42" i="1" l="1"/>
  <c r="BN39" i="1"/>
  <c r="BN12" i="1"/>
  <c r="BN35" i="1"/>
  <c r="BP4" i="1"/>
  <c r="BP51" i="1"/>
  <c r="BP45" i="1"/>
  <c r="BP38" i="1"/>
  <c r="BP28" i="1"/>
  <c r="BP5" i="1"/>
  <c r="BP25" i="1"/>
  <c r="BN45" i="1"/>
  <c r="BN38" i="1"/>
  <c r="BN28" i="1"/>
  <c r="BP44" i="1"/>
  <c r="BP49" i="1"/>
  <c r="BN44" i="1"/>
  <c r="BP31" i="1"/>
  <c r="BP26" i="1"/>
  <c r="BN21" i="1"/>
  <c r="BP8" i="1"/>
  <c r="BN4" i="1"/>
  <c r="BN25" i="1"/>
  <c r="BP43" i="1"/>
  <c r="BP20" i="1"/>
  <c r="BP42" i="1"/>
  <c r="BN26" i="1"/>
  <c r="BN20" i="1"/>
  <c r="BN8" i="1"/>
  <c r="BN51" i="1"/>
  <c r="BP41" i="1"/>
  <c r="BN7" i="1"/>
  <c r="BN43" i="1"/>
  <c r="BP39" i="1"/>
  <c r="BN41" i="1"/>
  <c r="BN9" i="1"/>
  <c r="BP35" i="1"/>
  <c r="BP9" i="1"/>
  <c r="AL38" i="1"/>
  <c r="AS13" i="1"/>
  <c r="AI13" i="1" s="1"/>
  <c r="AJ13" i="1" s="1"/>
  <c r="AL7" i="1"/>
  <c r="AL42" i="1"/>
  <c r="AL48" i="1"/>
  <c r="AL41" i="1"/>
  <c r="AL28" i="1"/>
  <c r="P6" i="1"/>
  <c r="AS6" i="1"/>
  <c r="AQ6" i="1"/>
  <c r="AL25" i="1"/>
  <c r="AL6" i="1"/>
  <c r="AL43" i="1"/>
  <c r="AL35" i="1"/>
  <c r="AI31" i="1"/>
  <c r="AJ31" i="1" s="1"/>
  <c r="AL4" i="1"/>
  <c r="AL44" i="1"/>
  <c r="AS19" i="1"/>
  <c r="AL45" i="1"/>
  <c r="AL46" i="1"/>
  <c r="AL26" i="1"/>
  <c r="AL8" i="1"/>
  <c r="AL39" i="1"/>
  <c r="AL21" i="1"/>
  <c r="AL12" i="1"/>
  <c r="AL9" i="1"/>
  <c r="AL20" i="1"/>
  <c r="AL5" i="1"/>
  <c r="AL27" i="1"/>
  <c r="AL49" i="1"/>
  <c r="AE48" i="1"/>
  <c r="AF48" i="1" s="1"/>
  <c r="AQ11" i="1"/>
  <c r="AQ10" i="1"/>
  <c r="AS11" i="1"/>
  <c r="AR48" i="1"/>
  <c r="AI51" i="1"/>
  <c r="AJ51" i="1" s="1"/>
  <c r="AS10" i="1"/>
  <c r="AQ50" i="1"/>
  <c r="AS50" i="1"/>
  <c r="AQ51" i="1"/>
  <c r="AS47" i="1"/>
  <c r="P33" i="1"/>
  <c r="AR33" i="1"/>
  <c r="AI48" i="1"/>
  <c r="AJ48" i="1" s="1"/>
  <c r="AI49" i="1"/>
  <c r="AJ49" i="1" s="1"/>
  <c r="AI25" i="1"/>
  <c r="AJ25" i="1" s="1"/>
  <c r="AI20" i="1"/>
  <c r="AJ20" i="1" s="1"/>
  <c r="AI21" i="1"/>
  <c r="AJ21" i="1" s="1"/>
  <c r="AI7" i="1"/>
  <c r="AJ7" i="1" s="1"/>
  <c r="AI26" i="1"/>
  <c r="AJ26" i="1" s="1"/>
  <c r="AI45" i="1"/>
  <c r="AJ45" i="1" s="1"/>
  <c r="AI41" i="1"/>
  <c r="AJ41" i="1" s="1"/>
  <c r="AI4" i="1"/>
  <c r="AJ4" i="1" s="1"/>
  <c r="AI42" i="1"/>
  <c r="AJ42" i="1" s="1"/>
  <c r="AI5" i="1"/>
  <c r="AJ5" i="1" s="1"/>
  <c r="AI12" i="1"/>
  <c r="AJ12" i="1" s="1"/>
  <c r="AI43" i="1"/>
  <c r="AJ43" i="1" s="1"/>
  <c r="AI8" i="1"/>
  <c r="AJ8" i="1" s="1"/>
  <c r="AI46" i="1"/>
  <c r="AJ46" i="1" s="1"/>
  <c r="AI38" i="1"/>
  <c r="AJ38" i="1" s="1"/>
  <c r="AI44" i="1"/>
  <c r="AJ44" i="1" s="1"/>
  <c r="AI35" i="1"/>
  <c r="AJ35" i="1" s="1"/>
  <c r="AI27" i="1"/>
  <c r="AJ27" i="1" s="1"/>
  <c r="AI9" i="1"/>
  <c r="AJ9" i="1" s="1"/>
  <c r="AI28" i="1"/>
  <c r="AJ28" i="1" s="1"/>
  <c r="AI39" i="1"/>
  <c r="AJ39" i="1" s="1"/>
  <c r="AS24" i="1"/>
  <c r="AS23" i="1"/>
  <c r="AM25" i="1"/>
  <c r="AM20" i="1"/>
  <c r="AM21" i="1"/>
  <c r="AM7" i="1"/>
  <c r="AM26" i="1"/>
  <c r="AM45" i="1"/>
  <c r="AM41" i="1"/>
  <c r="AM4" i="1"/>
  <c r="AM42" i="1"/>
  <c r="AM5" i="1"/>
  <c r="AM12" i="1"/>
  <c r="AM43" i="1"/>
  <c r="AM8" i="1"/>
  <c r="AM46" i="1"/>
  <c r="AM38" i="1"/>
  <c r="AM44" i="1"/>
  <c r="AM35" i="1"/>
  <c r="AM27" i="1"/>
  <c r="AM9" i="1"/>
  <c r="AM28" i="1"/>
  <c r="AM39" i="1"/>
  <c r="AM10" i="1"/>
  <c r="AM11" i="1"/>
  <c r="AM49" i="1"/>
  <c r="AM48" i="1"/>
  <c r="AM51" i="1"/>
  <c r="AM47" i="1"/>
  <c r="AM50" i="1"/>
  <c r="AM6" i="1"/>
  <c r="AS18" i="1"/>
  <c r="AS32" i="1"/>
  <c r="AF25" i="1"/>
  <c r="AF20" i="1"/>
  <c r="AF21" i="1"/>
  <c r="AF7" i="1"/>
  <c r="AF26" i="1"/>
  <c r="AF45" i="1"/>
  <c r="AF41" i="1"/>
  <c r="AF4" i="1"/>
  <c r="AF42" i="1"/>
  <c r="AF5" i="1"/>
  <c r="AF12" i="1"/>
  <c r="AF43" i="1"/>
  <c r="AF8" i="1"/>
  <c r="AF46" i="1"/>
  <c r="AF38" i="1"/>
  <c r="AF44" i="1"/>
  <c r="AF35" i="1"/>
  <c r="AF27" i="1"/>
  <c r="AF9" i="1"/>
  <c r="AF28" i="1"/>
  <c r="AF39" i="1"/>
  <c r="AF49" i="1"/>
  <c r="AF51" i="1"/>
  <c r="AS16" i="1"/>
  <c r="AS17" i="1"/>
  <c r="AL32" i="1"/>
  <c r="AL23" i="1"/>
  <c r="AL17" i="1"/>
  <c r="AM23" i="1"/>
  <c r="AL24" i="1"/>
  <c r="AM24" i="1"/>
  <c r="AM16" i="1"/>
  <c r="AL18" i="1"/>
  <c r="AM19" i="1"/>
  <c r="AE31" i="1"/>
  <c r="AF31" i="1" s="1"/>
  <c r="AL31" i="1"/>
  <c r="AL13" i="1"/>
  <c r="AM31" i="1"/>
  <c r="AE6" i="1" l="1"/>
  <c r="AF6" i="1" s="1"/>
  <c r="BP6" i="1"/>
  <c r="BN6" i="1"/>
  <c r="AE50" i="1"/>
  <c r="AF50" i="1" s="1"/>
  <c r="BN50" i="1"/>
  <c r="BP50" i="1"/>
  <c r="AE47" i="1"/>
  <c r="AF47" i="1" s="1"/>
  <c r="BN47" i="1"/>
  <c r="BP47" i="1"/>
  <c r="AE10" i="1"/>
  <c r="AF10" i="1" s="1"/>
  <c r="BN10" i="1"/>
  <c r="BP10" i="1"/>
  <c r="AI17" i="1"/>
  <c r="AJ17" i="1" s="1"/>
  <c r="BP17" i="1"/>
  <c r="BN17" i="1"/>
  <c r="AI23" i="1"/>
  <c r="AJ23" i="1" s="1"/>
  <c r="BN23" i="1"/>
  <c r="BP23" i="1"/>
  <c r="AI16" i="1"/>
  <c r="AJ16" i="1" s="1"/>
  <c r="BP16" i="1"/>
  <c r="BN16" i="1"/>
  <c r="AE19" i="1"/>
  <c r="AF19" i="1" s="1"/>
  <c r="BN19" i="1"/>
  <c r="BP19" i="1"/>
  <c r="BN13" i="1"/>
  <c r="BP13" i="1"/>
  <c r="AE13" i="1"/>
  <c r="AF13" i="1" s="1"/>
  <c r="AI32" i="1"/>
  <c r="AJ32" i="1" s="1"/>
  <c r="BN32" i="1"/>
  <c r="BP32" i="1"/>
  <c r="AI24" i="1"/>
  <c r="AJ24" i="1" s="1"/>
  <c r="BP24" i="1"/>
  <c r="BN24" i="1"/>
  <c r="AI18" i="1"/>
  <c r="AJ18" i="1" s="1"/>
  <c r="BN18" i="1"/>
  <c r="BP18" i="1"/>
  <c r="AE11" i="1"/>
  <c r="AF11" i="1" s="1"/>
  <c r="BP11" i="1"/>
  <c r="BN11" i="1"/>
  <c r="AI11" i="1"/>
  <c r="AJ11" i="1" s="1"/>
  <c r="AE17" i="1"/>
  <c r="AF17" i="1" s="1"/>
  <c r="AI6" i="1"/>
  <c r="AJ6" i="1" s="1"/>
  <c r="AI19" i="1"/>
  <c r="AJ19" i="1" s="1"/>
  <c r="AE24" i="1"/>
  <c r="AF24" i="1" s="1"/>
  <c r="AE23" i="1"/>
  <c r="AF23" i="1" s="1"/>
  <c r="AI47" i="1"/>
  <c r="AJ47" i="1" s="1"/>
  <c r="AE18" i="1"/>
  <c r="AF18" i="1" s="1"/>
  <c r="AI10" i="1"/>
  <c r="AJ10" i="1" s="1"/>
  <c r="AI50" i="1"/>
  <c r="AJ50" i="1" s="1"/>
  <c r="AE16" i="1"/>
  <c r="AF16" i="1" s="1"/>
  <c r="AE32" i="1"/>
  <c r="AF32" i="1" s="1"/>
  <c r="BI34" i="1"/>
  <c r="AH34" i="1" s="1"/>
  <c r="BI36" i="1"/>
  <c r="AH36" i="1" s="1"/>
  <c r="BI40" i="1"/>
  <c r="AH40" i="1" s="1"/>
  <c r="BI15" i="1"/>
  <c r="AH15" i="1" s="1"/>
  <c r="BI37" i="1"/>
  <c r="AH37" i="1" s="1"/>
  <c r="BI14" i="1"/>
  <c r="AH14" i="1" s="1"/>
  <c r="BI29" i="1"/>
  <c r="AH29" i="1" s="1"/>
  <c r="BI30" i="1"/>
  <c r="AH30" i="1" s="1"/>
  <c r="BI22" i="1"/>
  <c r="AH22" i="1" s="1"/>
  <c r="BI33" i="1"/>
  <c r="AH33" i="1" s="1"/>
  <c r="AC34" i="1"/>
  <c r="AC36" i="1"/>
  <c r="AC40" i="1"/>
  <c r="AC15" i="1"/>
  <c r="AC37" i="1"/>
  <c r="AC14" i="1"/>
  <c r="AC29" i="1"/>
  <c r="AC30" i="1"/>
  <c r="AC22" i="1"/>
  <c r="AA34" i="1"/>
  <c r="AQ34" i="1" s="1"/>
  <c r="AA36" i="1"/>
  <c r="AQ36" i="1" s="1"/>
  <c r="AA40" i="1"/>
  <c r="AQ40" i="1" s="1"/>
  <c r="AA15" i="1"/>
  <c r="AQ15" i="1" s="1"/>
  <c r="AA37" i="1"/>
  <c r="AQ37" i="1" s="1"/>
  <c r="AA14" i="1"/>
  <c r="AQ14" i="1" s="1"/>
  <c r="AA29" i="1"/>
  <c r="AQ29" i="1" s="1"/>
  <c r="AA30" i="1"/>
  <c r="AQ30" i="1" s="1"/>
  <c r="AA22" i="1"/>
  <c r="AQ22" i="1" s="1"/>
  <c r="D34" i="1"/>
  <c r="D36" i="1"/>
  <c r="D40" i="1"/>
  <c r="D15" i="1"/>
  <c r="D37" i="1"/>
  <c r="D14" i="1"/>
  <c r="D29" i="1"/>
  <c r="D30" i="1"/>
  <c r="D22" i="1"/>
  <c r="D33" i="1"/>
  <c r="AC33" i="1"/>
  <c r="AA33" i="1"/>
  <c r="AQ33" i="1" s="1"/>
  <c r="AS36" i="1" l="1"/>
  <c r="AS22" i="1"/>
  <c r="AS34" i="1"/>
  <c r="AS15" i="1"/>
  <c r="AS30" i="1"/>
  <c r="AS40" i="1"/>
  <c r="AS29" i="1"/>
  <c r="AS14" i="1"/>
  <c r="AS33" i="1"/>
  <c r="AS37" i="1"/>
  <c r="AL22" i="1"/>
  <c r="AL34" i="1"/>
  <c r="AL30" i="1"/>
  <c r="AM14" i="1"/>
  <c r="AL33" i="1"/>
  <c r="AL37" i="1"/>
  <c r="AM15" i="1"/>
  <c r="AM29" i="1"/>
  <c r="AM40" i="1"/>
  <c r="AM36" i="1"/>
  <c r="AL29" i="1"/>
  <c r="AL14" i="1"/>
  <c r="AL15" i="1"/>
  <c r="AM37" i="1"/>
  <c r="AL40" i="1"/>
  <c r="AM22" i="1"/>
  <c r="AM34" i="1"/>
  <c r="AL36" i="1"/>
  <c r="AM30" i="1"/>
  <c r="AO33" i="1"/>
  <c r="AP33" i="1"/>
  <c r="AM33" i="1"/>
  <c r="AE14" i="1" l="1"/>
  <c r="AF14" i="1" s="1"/>
  <c r="BP14" i="1"/>
  <c r="BN14" i="1"/>
  <c r="AE29" i="1"/>
  <c r="AF29" i="1" s="1"/>
  <c r="BP29" i="1"/>
  <c r="BN29" i="1"/>
  <c r="AE40" i="1"/>
  <c r="AF40" i="1" s="1"/>
  <c r="BN40" i="1"/>
  <c r="BP40" i="1"/>
  <c r="AI22" i="1"/>
  <c r="AJ22" i="1" s="1"/>
  <c r="BN22" i="1"/>
  <c r="BP22" i="1"/>
  <c r="AI30" i="1"/>
  <c r="AJ30" i="1" s="1"/>
  <c r="BN30" i="1"/>
  <c r="BP30" i="1"/>
  <c r="AE15" i="1"/>
  <c r="AF15" i="1" s="1"/>
  <c r="BN15" i="1"/>
  <c r="BP15" i="1"/>
  <c r="BN34" i="1"/>
  <c r="BP34" i="1"/>
  <c r="AI37" i="1"/>
  <c r="AJ37" i="1" s="1"/>
  <c r="BN37" i="1"/>
  <c r="BP37" i="1"/>
  <c r="BN33" i="1"/>
  <c r="BP33" i="1"/>
  <c r="AI36" i="1"/>
  <c r="AJ36" i="1" s="1"/>
  <c r="BP36" i="1"/>
  <c r="BN36" i="1"/>
  <c r="AI14" i="1"/>
  <c r="AJ14" i="1" s="1"/>
  <c r="AE36" i="1"/>
  <c r="AF36" i="1" s="1"/>
  <c r="AI29" i="1"/>
  <c r="AJ29" i="1" s="1"/>
  <c r="AE22" i="1"/>
  <c r="AF22" i="1" s="1"/>
  <c r="AI15" i="1"/>
  <c r="AJ15" i="1" s="1"/>
  <c r="AI34" i="1"/>
  <c r="AJ34" i="1" s="1"/>
  <c r="AE34" i="1"/>
  <c r="AF34" i="1" s="1"/>
  <c r="AE37" i="1"/>
  <c r="AF37" i="1" s="1"/>
  <c r="AI33" i="1"/>
  <c r="AJ33" i="1" s="1"/>
  <c r="AI40" i="1"/>
  <c r="AJ40" i="1" s="1"/>
  <c r="AE33" i="1"/>
  <c r="AF33" i="1" s="1"/>
  <c r="AE30" i="1"/>
  <c r="AF30" i="1" s="1"/>
</calcChain>
</file>

<file path=xl/sharedStrings.xml><?xml version="1.0" encoding="utf-8"?>
<sst xmlns="http://schemas.openxmlformats.org/spreadsheetml/2006/main" count="484" uniqueCount="190">
  <si>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</si>
  <si>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</si>
  <si>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</si>
  <si>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</si>
  <si>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</si>
  <si>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</si>
  <si>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</si>
  <si>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</si>
  <si>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</si>
  <si>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</si>
  <si>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</si>
  <si>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</si>
  <si>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</si>
  <si>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</si>
  <si>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</si>
  <si>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</si>
  <si>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</si>
  <si>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</si>
  <si>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</si>
  <si>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</si>
  <si>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</si>
  <si>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</si>
  <si>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</si>
  <si>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</si>
  <si>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</si>
  <si>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</si>
  <si>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</si>
  <si>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</si>
  <si>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</si>
  <si>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</si>
  <si>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</si>
  <si>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</si>
  <si>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</si>
  <si>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</si>
  <si>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</si>
  <si>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</si>
  <si>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</si>
  <si>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</si>
  <si>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</si>
  <si>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</si>
  <si>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</si>
  <si>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</si>
  <si>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</si>
  <si>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</si>
  <si>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</si>
  <si>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</si>
  <si>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</si>
  <si>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</si>
  <si>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</si>
  <si>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</si>
  <si>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</si>
  <si>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</si>
  <si>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</si>
  <si>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</si>
  <si>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</si>
  <si>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</si>
  <si>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</si>
  <si>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</si>
  <si>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</si>
  <si>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</si>
  <si>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</si>
  <si>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</si>
  <si>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</si>
  <si>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</si>
  <si>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</si>
  <si>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</si>
  <si>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J3786N</t>
  </si>
  <si>
    <t>J8288X</t>
  </si>
  <si>
    <t>J8289X</t>
  </si>
  <si>
    <t>J523SM</t>
  </si>
  <si>
    <t>J524SM</t>
  </si>
  <si>
    <t>J0500T</t>
  </si>
  <si>
    <t>J0499T</t>
  </si>
  <si>
    <t>J321TC</t>
  </si>
  <si>
    <t>34/313</t>
  </si>
  <si>
    <t>24/535</t>
  </si>
  <si>
    <t>31/315</t>
  </si>
  <si>
    <t>34/314</t>
  </si>
  <si>
    <t>31/316</t>
  </si>
  <si>
    <t>今村紙工/にっぽん小紋つつみ 青海波/JP-02B</t>
  </si>
  <si>
    <t>今村紙工/にっぽん小紋つつみ 麻の葉/JP-04G</t>
  </si>
  <si>
    <t>今村紙工/創遊 袴 金封 あい/SO-HA005</t>
  </si>
  <si>
    <t>今村紙工/祝儀袋 祝紅白7本 短冊3枚付 5枚入/E-651</t>
  </si>
  <si>
    <t>縦折金封 金銀10本寿 短冊3枚･中袋付/E-150</t>
  </si>
  <si>
    <t>ﾒﾝｽﾞ金封 中袋付/364</t>
  </si>
  <si>
    <t>縦折金封 耳金 短冊3枚･中袋付/E-581</t>
  </si>
  <si>
    <t>縦折金封 御祝 中袋付 5枚入/658-5</t>
  </si>
  <si>
    <t>縦折金封 赤白 中袋付 5枚入/651-5</t>
  </si>
  <si>
    <t>斜折金封 御祝 中袋なし 5枚入/110-85</t>
  </si>
  <si>
    <t>斜折金封 赤白 中袋なし 5枚入/110-5</t>
  </si>
  <si>
    <t>印刷多当 御祝 中袋付 10枚入/102-10</t>
  </si>
  <si>
    <t>印刷多当 祝 中袋付 10枚入/101-10</t>
  </si>
  <si>
    <t>印刷多当 御見舞い 中袋付 10枚入/103-10</t>
  </si>
  <si>
    <t>縦折金封 双銀10本御霊前 短冊3枚･中袋付/E-160</t>
  </si>
  <si>
    <t>縦折金封 黒白 短冊3枚･中袋付/E-661</t>
  </si>
  <si>
    <t>縦折金封 御霊前 中袋付 5枚入/664-5</t>
  </si>
  <si>
    <t>縦折金封 黒白 中袋付 5枚入/661-5</t>
  </si>
  <si>
    <t>斜折金封 御香奠 中袋なし 5枚入/111-75</t>
  </si>
  <si>
    <t>斜折金封 黒白 中袋なし 5枚入/111-5</t>
  </si>
  <si>
    <t>印刷多当 御霊前 中袋付 10枚入/106-10</t>
  </si>
  <si>
    <t>印刷多当 仏 中袋付 10枚入/104-10</t>
  </si>
  <si>
    <t>万型封筒 御布施 中袋なし 糊付 10枚/TY-209</t>
  </si>
  <si>
    <t>斜折金封 黄白 中袋なし 5枚入/112-5</t>
  </si>
  <si>
    <t>今村紙工/金封 紅白5本花結び 5枚入(中袋付)/65-11</t>
  </si>
  <si>
    <t>今村紙工/金封 双銀10本結型入御霊前 5枚(中袋付)/160</t>
  </si>
  <si>
    <t>今村紙工/五円型封筒 祝字なし 10P/TY-501</t>
  </si>
  <si>
    <t>今村紙工/金封大阪折赤白7本短冊付 5枚(中袋付)/110-1</t>
  </si>
  <si>
    <t>今村紙工/万円型封筒 祝字中袋ﾅｼ 10枚/TY-101</t>
  </si>
  <si>
    <t>今村紙工/五円型封筒 大入 10P/TN-063</t>
  </si>
  <si>
    <t>今村紙工/ﾂﾘｰﾌﾘｰ金封 耳銀7本短冊付5枚(中袋付)/E-591</t>
  </si>
  <si>
    <t>今村紙工/万円型封筒 御香奠 10P/TY-203</t>
  </si>
  <si>
    <t>今村紙工/高級和紙 金封金銀10本短冊付 5枚/2150-5</t>
  </si>
  <si>
    <t>今村紙工/ﾌｧﾝｼｰ優美金封 ﾋﾟﾝｸ/380-1</t>
  </si>
  <si>
    <t>今村紙工/高級和紙金封赤白7本花結び短冊付3枚/2653-3</t>
  </si>
  <si>
    <t>今村紙工/ﾌｧﾝｼｰ優美金封 鶴ｸﾞﾘｰﾝ/300-4</t>
  </si>
  <si>
    <t>今村紙工/本折多当折 御霊前5本 中袋付 5枚/TT-106-5</t>
  </si>
  <si>
    <t>今村紙工/万円袋 白無地 10枚/TN-210</t>
  </si>
  <si>
    <t>今村紙工/本折多当折 御佛前5本 中袋付 5枚/TT-105-5</t>
  </si>
  <si>
    <t>G)今村紙工/赤白7本御見舞 短冊2枚付 5枚入/139691</t>
  </si>
  <si>
    <t>今村紙工/万円型封筒 仏字なし 10枚/TN-201</t>
  </si>
  <si>
    <t>今村紙工/万円型封筒 御霊前 10枚/TN-205</t>
  </si>
  <si>
    <t>今村紙工/透明ﾗｯﾋﾟﾝｸﾞｼｰﾙ 正円 25×25mm 500枚/RS-C35</t>
  </si>
  <si>
    <t>今村紙工/透明ﾗｯﾋﾟﾝｸﾞｼｰﾙ 楕円 18×35mm 500枚/RS-C38</t>
  </si>
  <si>
    <t>ｶｸｹｲ/OPP袋 ﾃｰﾌﾟ付き 0.06mm厚 A4 100枚/OPP60-225</t>
  </si>
  <si>
    <t>ｶｸｹｲ/OPP袋 ﾃｰﾌﾟ付き 0.06mm厚 長3 100枚/OPP60-120</t>
  </si>
  <si>
    <t>ｶｸｹｲ/CPPｱｰﾑﾊﾞｯｸﾞ 透明 A4 50枚入/CPP-A4</t>
  </si>
  <si>
    <t>今村紙工/万円型封筒 祝字中袋ﾅｼ 10枚×10ﾊﾟｯｸ/TY-101</t>
  </si>
  <si>
    <t>-</t>
  </si>
  <si>
    <t>-</t>
    <phoneticPr fontId="2"/>
  </si>
  <si>
    <t>6月
たの</t>
    <rPh sb="1" eb="2">
      <t>ガツ</t>
    </rPh>
    <phoneticPr fontId="2"/>
  </si>
  <si>
    <t>6月
カウ</t>
    <rPh sb="1" eb="2">
      <t>ガツ</t>
    </rPh>
    <phoneticPr fontId="2"/>
  </si>
  <si>
    <t>今村紙工　のし袋　封筒型五円袋　1袋（10枚入）</t>
  </si>
  <si>
    <t>キングコーポレーション 印刷封筒 ワンタッチ万型  祝 TY-101　10枚入×20パック M70041（直送品）</t>
  </si>
  <si>
    <t>キングコーポレーション 印刷封筒 ワンタッチ万型　白 御布施 TY-209　10枚入×20パック M70057（直送品）</t>
  </si>
  <si>
    <t>キングコーポレーション 印刷封筒 ワンタッチ万型　御香典 TY-203　10枚入×20パック M70060（直送品）</t>
  </si>
  <si>
    <t>今村紙工 万円袋 白無地 10枚 TN-210　1パック（直送品）</t>
  </si>
  <si>
    <t>キングコーポレーション 五型 大入　TN-063　10枚入×50パック M70247（直送品）</t>
  </si>
  <si>
    <t>キングコーポレーション ツリーフリー金封 耳金赤白7本 短冊付 E581 1枚入×25パック M70091（直送品）</t>
  </si>
  <si>
    <t>キングコーポレーション ツリーフリー金封 金銀10本 短冊付 E150 1枚入×25パック M70096（直送品）</t>
  </si>
  <si>
    <t>キングコーポレーション ツリーフリー金封 双銀10本 短冊付 E160 1枚入×25パック M70095（直送品）</t>
  </si>
  <si>
    <t>キングコーポレーション TF印刷多当折 1P 御霊前 TT-106 1枚入×50パック M70302（直送品）</t>
  </si>
  <si>
    <t>キングコーポレーション TF印刷多当折 1P 御佛前 TT-105 1枚入×50パック M70301（直送品）</t>
  </si>
  <si>
    <t>キングコーポレーション 飾り金封 優美 ピンク 1枚入×10パック IS872902（直送品）</t>
  </si>
  <si>
    <t>今村紙工　赤白7本御見舞　短冊2枚付　E5-652　1パック（5枚入）</t>
  </si>
  <si>
    <t>今村紙工　御祝紅白7本　短冊3枚付　E-651　1パック（5枚入）</t>
  </si>
  <si>
    <t>キングコーポレーション 金封 耳銀7本 短冊付 E-591 1枚入×25パック M70090（直送品）</t>
  </si>
  <si>
    <t>キングコーポレーション 高級和紙金封 赤白7本 花結び 1枚入×25パック IS826530（直送品）</t>
  </si>
  <si>
    <t>キングコーポレーション 赤白5本花結び 65-11 1枚入×30パック M70347（直送品）</t>
  </si>
  <si>
    <t>キングコーポレーション 高級和紙 金銀10本 2150　1枚入×25パック M70221（直送品）</t>
  </si>
  <si>
    <t>カクケイ 厚口OPP袋 0.06mm厚 テープ付き 長形3号封筒サイズ 透明封筒 1袋（100枚入）</t>
  </si>
  <si>
    <t>今村紙工　透明PETシール　透明　楕円　大　1巻（500枚入）</t>
  </si>
  <si>
    <t>今村紙工　透明PETシール　透明　正円　25×25mm　1巻（500枚入）</t>
  </si>
  <si>
    <t>CPPアームバッグA4　透明　A4　1袋（50枚入）　カクケイ</t>
  </si>
  <si>
    <t>カクケイ 厚口OPP袋 0.06mm厚 テープ付き A4 透明封筒 1袋（100枚入）</t>
  </si>
  <si>
    <t>454228</t>
  </si>
  <si>
    <t>1パック（10枚入）</t>
  </si>
  <si>
    <t>E602520</t>
  </si>
  <si>
    <t>1セット（200枚</t>
  </si>
  <si>
    <t>E602144</t>
  </si>
  <si>
    <t>E602156</t>
  </si>
  <si>
    <t>U431535</t>
  </si>
  <si>
    <t>E602162</t>
  </si>
  <si>
    <t>1セット（500枚</t>
  </si>
  <si>
    <t>E602160</t>
  </si>
  <si>
    <t>1セット（25枚</t>
  </si>
  <si>
    <t>E602168</t>
  </si>
  <si>
    <t>E602166</t>
  </si>
  <si>
    <t>E602533</t>
  </si>
  <si>
    <t>1セット（50枚</t>
  </si>
  <si>
    <t>E602531</t>
  </si>
  <si>
    <t>E602439</t>
  </si>
  <si>
    <t>1セット（10枚</t>
  </si>
  <si>
    <t>139691</t>
  </si>
  <si>
    <t>1パック（5枚入）</t>
  </si>
  <si>
    <t>454200</t>
  </si>
  <si>
    <t>E602154</t>
  </si>
  <si>
    <t>E602430</t>
  </si>
  <si>
    <t>E602553</t>
  </si>
  <si>
    <t>1セット（30枚</t>
  </si>
  <si>
    <t>E602151</t>
  </si>
  <si>
    <t>2717159</t>
  </si>
  <si>
    <t>1袋（100枚入）</t>
  </si>
  <si>
    <t>J375669</t>
  </si>
  <si>
    <t>1巻（500枚入）</t>
  </si>
  <si>
    <t>J375670</t>
  </si>
  <si>
    <t>551366</t>
  </si>
  <si>
    <t>1袋（50枚入）</t>
  </si>
  <si>
    <t>2717168</t>
  </si>
  <si>
    <t>品目+
FW荷姿</t>
    <rPh sb="0" eb="2">
      <t>ヒンモク</t>
    </rPh>
    <rPh sb="6" eb="8">
      <t>ニスガタ</t>
    </rPh>
    <phoneticPr fontId="2"/>
  </si>
  <si>
    <t>VDなし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</si>
</sst>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4" xfId="0" applyFill="1" applyBorder="1">
      <alignment vertical="center"/>
    </xf>
    <xf numFmtId="0" fontId="0" fillId="3" borderId="10" xfId="0" applyFill="1" applyBorder="1">
      <alignment vertical="center"/>
    </xf>
    <xf numFmtId="0" fontId="0" fillId="6" borderId="2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Q51"/>
  <sheetViews>
    <sheetView tabSelected="1" zoomScale="90" zoomScaleNormal="90" workbookViewId="0">
      <pane xSplit="8" ySplit="5" topLeftCell="P22" activePane="bottomRight" state="frozen"/>
      <selection pane="topRight" activeCell="G1" sqref="G1"/>
      <selection pane="bottomLeft" activeCell="A5" sqref="A5"/>
      <selection pane="bottomRight" activeCell="AG9" sqref="AG9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5" customWidth="1" collapsed="1"/>
    <col min="27" max="29" width="7.625" customWidth="1"/>
    <col min="30" max="30" width="4.375" customWidth="1" collapsed="1"/>
    <col min="31" max="32" width="7.625" customWidth="1"/>
    <col min="33" max="33" width="6.125" customWidth="1"/>
    <col min="34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58" width="7.625" customWidth="1"/>
    <col min="59" max="59" width="9" customWidth="1"/>
    <col min="60" max="68" width="7.625" customWidth="1"/>
  </cols>
  <sheetData>
    <row r="1" spans="1:69" x14ac:dyDescent="0.4">
      <c r="C1" s="29" t="s">
        <v>43</v>
      </c>
      <c r="Z1" s="40" t="s">
        <v>40</v>
      </c>
      <c r="AA1" s="41"/>
      <c r="AB1" s="41"/>
      <c r="AC1" s="42"/>
      <c r="AS1" t="s">
        <v>189</v>
      </c>
    </row>
    <row r="2" spans="1:69" x14ac:dyDescent="0.4">
      <c r="C2" s="8" t="s">
        <v>28</v>
      </c>
      <c r="D2" s="9" t="s">
        <v>29</v>
      </c>
      <c r="E2" s="9" t="s">
        <v>30</v>
      </c>
      <c r="F2" s="9"/>
      <c r="G2" s="10"/>
      <c r="H2" s="10"/>
      <c r="I2" s="31"/>
      <c r="J2" s="31"/>
      <c r="K2" s="37" t="s">
        <v>31</v>
      </c>
      <c r="L2" s="39"/>
      <c r="M2" s="37" t="s">
        <v>1</v>
      </c>
      <c r="N2" s="38"/>
      <c r="O2" s="38"/>
      <c r="P2" s="39"/>
      <c r="Q2" s="11"/>
      <c r="R2" s="30"/>
      <c r="S2" s="30"/>
      <c r="T2" s="30"/>
      <c r="U2" s="30"/>
      <c r="V2" s="30"/>
      <c r="W2" s="30"/>
      <c r="X2" s="30"/>
      <c r="Y2" s="30"/>
      <c r="Z2" s="23"/>
      <c r="AA2" s="24" t="s">
        <v>34</v>
      </c>
      <c r="AB2" s="24"/>
      <c r="AC2" s="25" t="s">
        <v>34</v>
      </c>
      <c r="AD2" s="10"/>
      <c r="AE2" s="9" t="s">
        <v>39</v>
      </c>
      <c r="AF2" s="11"/>
      <c r="AG2" s="11"/>
      <c r="AH2" s="11"/>
      <c r="AI2" s="11"/>
      <c r="AJ2" s="11"/>
      <c r="AK2" s="22" t="s">
        <v>41</v>
      </c>
      <c r="AL2" s="11"/>
      <c r="AM2" s="11"/>
      <c r="AN2" s="27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J2">
        <v>14</v>
      </c>
      <c r="BK2">
        <v>28</v>
      </c>
    </row>
    <row r="3" spans="1:69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36" t="s">
        <v>188</v>
      </c>
      <c r="G3" s="2" t="s">
        <v>0</v>
      </c>
      <c r="H3" s="12" t="s">
        <v>4</v>
      </c>
      <c r="I3" s="12" t="s">
        <v>53</v>
      </c>
      <c r="J3" s="12" t="s">
        <v>54</v>
      </c>
      <c r="K3" s="12" t="s">
        <v>25</v>
      </c>
      <c r="L3" s="12" t="s">
        <v>26</v>
      </c>
      <c r="M3" s="12" t="s">
        <v>64</v>
      </c>
      <c r="N3" s="2" t="s">
        <v>5</v>
      </c>
      <c r="O3" s="2" t="s">
        <v>62</v>
      </c>
      <c r="P3" s="2" t="s">
        <v>13</v>
      </c>
      <c r="Q3" s="12" t="s">
        <v>47</v>
      </c>
      <c r="R3" s="12" t="s">
        <v>17</v>
      </c>
      <c r="S3" s="12" t="s">
        <v>18</v>
      </c>
      <c r="T3" s="12" t="s">
        <v>48</v>
      </c>
      <c r="U3" s="12" t="s">
        <v>20</v>
      </c>
      <c r="V3" s="12" t="s">
        <v>21</v>
      </c>
      <c r="W3" s="12" t="s">
        <v>49</v>
      </c>
      <c r="X3" s="12" t="s">
        <v>23</v>
      </c>
      <c r="Y3" s="12" t="s">
        <v>24</v>
      </c>
      <c r="Z3" s="12" t="s">
        <v>60</v>
      </c>
      <c r="AA3" s="12" t="s">
        <v>61</v>
      </c>
      <c r="AB3" s="2" t="s">
        <v>62</v>
      </c>
      <c r="AC3" s="12" t="s">
        <v>63</v>
      </c>
      <c r="AD3" s="14" t="s">
        <v>3</v>
      </c>
      <c r="AE3" s="20" t="s">
        <v>14</v>
      </c>
      <c r="AF3" s="2" t="s">
        <v>13</v>
      </c>
      <c r="AG3" s="2" t="s">
        <v>44</v>
      </c>
      <c r="AH3" s="12" t="s">
        <v>65</v>
      </c>
      <c r="AI3" s="12" t="s">
        <v>55</v>
      </c>
      <c r="AJ3" s="2" t="s">
        <v>13</v>
      </c>
      <c r="AK3" s="13" t="s">
        <v>32</v>
      </c>
      <c r="AL3" s="2" t="s">
        <v>13</v>
      </c>
      <c r="AM3" s="2" t="s">
        <v>33</v>
      </c>
      <c r="AN3" s="26" t="s">
        <v>35</v>
      </c>
      <c r="AO3" s="12" t="s">
        <v>36</v>
      </c>
      <c r="AP3" s="12" t="s">
        <v>37</v>
      </c>
      <c r="AQ3" s="12" t="s">
        <v>27</v>
      </c>
      <c r="AR3" s="12" t="s">
        <v>38</v>
      </c>
      <c r="AS3" s="12" t="s">
        <v>15</v>
      </c>
      <c r="AT3" s="12" t="s">
        <v>16</v>
      </c>
      <c r="AU3" s="12" t="s">
        <v>17</v>
      </c>
      <c r="AV3" s="12" t="s">
        <v>18</v>
      </c>
      <c r="AW3" s="12" t="s">
        <v>19</v>
      </c>
      <c r="AX3" s="12" t="s">
        <v>20</v>
      </c>
      <c r="AY3" s="12" t="s">
        <v>21</v>
      </c>
      <c r="AZ3" s="12" t="s">
        <v>22</v>
      </c>
      <c r="BA3" s="12" t="s">
        <v>23</v>
      </c>
      <c r="BB3" s="12" t="s">
        <v>24</v>
      </c>
      <c r="BC3" s="2" t="s">
        <v>8</v>
      </c>
      <c r="BD3" s="2" t="s">
        <v>9</v>
      </c>
      <c r="BE3" s="2" t="s">
        <v>10</v>
      </c>
      <c r="BF3" s="2" t="s">
        <v>11</v>
      </c>
      <c r="BG3" s="12" t="s">
        <v>42</v>
      </c>
      <c r="BH3" s="2" t="s">
        <v>57</v>
      </c>
      <c r="BI3" s="2" t="s">
        <v>12</v>
      </c>
      <c r="BJ3" s="18" t="s">
        <v>45</v>
      </c>
      <c r="BK3" s="18" t="s">
        <v>46</v>
      </c>
      <c r="BL3" s="15" t="s">
        <v>52</v>
      </c>
      <c r="BM3" s="32" t="s">
        <v>129</v>
      </c>
      <c r="BN3" s="33" t="s">
        <v>58</v>
      </c>
      <c r="BO3" s="33" t="s">
        <v>130</v>
      </c>
      <c r="BP3" s="33" t="s">
        <v>59</v>
      </c>
      <c r="BQ3" t="s">
        <v>50</v>
      </c>
    </row>
    <row r="4" spans="1:69" x14ac:dyDescent="0.4">
      <c r="A4" s="3">
        <v>27</v>
      </c>
      <c r="B4" s="3">
        <v>27</v>
      </c>
      <c r="C4" s="4">
        <v>600860</v>
      </c>
      <c r="D4" s="4" t="str">
        <f t="shared" ref="D4:D51" si="0">TEXT(C4,"000000")</f>
        <v>600860</v>
      </c>
      <c r="E4" s="4">
        <v>600860</v>
      </c>
      <c r="F4" s="4" t="str">
        <f>D4&amp;I4</f>
        <v>6008605</v>
      </c>
      <c r="G4" s="4" t="s">
        <v>105</v>
      </c>
      <c r="H4" s="5">
        <v>4957470851037</v>
      </c>
      <c r="I4" s="5">
        <v>5</v>
      </c>
      <c r="J4" s="5"/>
      <c r="K4" s="5">
        <v>1</v>
      </c>
      <c r="L4" s="5">
        <v>1</v>
      </c>
      <c r="M4" s="4">
        <v>0</v>
      </c>
      <c r="N4" s="4">
        <v>62</v>
      </c>
      <c r="O4" s="4">
        <v>40.5</v>
      </c>
      <c r="P4" s="6">
        <f t="shared" ref="P4:P51" si="1">IFERROR(1-O4/N4,"-")</f>
        <v>0.34677419354838712</v>
      </c>
      <c r="Q4" s="4" t="s">
        <v>128</v>
      </c>
      <c r="R4" s="4"/>
      <c r="S4" s="4"/>
      <c r="T4" s="4"/>
      <c r="U4" s="4"/>
      <c r="V4" s="4"/>
      <c r="W4" s="4"/>
      <c r="X4" s="4"/>
      <c r="Y4" s="4"/>
      <c r="Z4" s="4">
        <v>0</v>
      </c>
      <c r="AA4" s="4">
        <f t="shared" ref="AA4:AA51" si="2">IF(AD4="",Z4,Z4*AD4)</f>
        <v>0</v>
      </c>
      <c r="AB4" s="4">
        <v>46.6</v>
      </c>
      <c r="AC4" s="4">
        <f t="shared" ref="AC4:AC51" si="3">IF(AD4="",AB4,AB4*AD4)</f>
        <v>46.6</v>
      </c>
      <c r="AD4" s="4"/>
      <c r="AE4" s="21">
        <f t="shared" ref="AE4:AE51" si="4">ROUND(N4*AS4,0)</f>
        <v>71</v>
      </c>
      <c r="AF4" s="6">
        <f t="shared" ref="AF4:AF51" si="5">IFERROR(1-AC4/AE4,"-")</f>
        <v>0.3436619718309859</v>
      </c>
      <c r="AG4" s="4">
        <v>24</v>
      </c>
      <c r="AH4" s="4">
        <f t="shared" ref="AH4:AH51" si="6">BI4</f>
        <v>74</v>
      </c>
      <c r="AI4" s="4">
        <f t="shared" ref="AI4:AI51" si="7">IFERROR(AH4*AS4,"-")</f>
        <v>85.145679012345681</v>
      </c>
      <c r="AJ4" s="6">
        <f t="shared" ref="AJ4:AJ51" si="8">IFERROR(1-AC4/AI4,"-")</f>
        <v>0.45270270270270274</v>
      </c>
      <c r="AK4" s="7">
        <v>78</v>
      </c>
      <c r="AL4" s="6">
        <f t="shared" ref="AL4:AL51" si="9">1-AC4/AK4</f>
        <v>0.40256410256410258</v>
      </c>
      <c r="AM4" s="4">
        <f t="shared" ref="AM4:AM51" si="10">AK4-AC4</f>
        <v>31.4</v>
      </c>
      <c r="AN4" s="28"/>
      <c r="AO4" s="6"/>
      <c r="AP4" s="6"/>
      <c r="AQ4" s="6" t="str">
        <f t="shared" ref="AQ4:AQ51" si="11">IFERROR(AA4/M4,"-")</f>
        <v>-</v>
      </c>
      <c r="AR4" s="6">
        <f t="shared" ref="AR4:AR51" si="12">IFERROR(AK4/N4,"-")</f>
        <v>1.2580645161290323</v>
      </c>
      <c r="AS4" s="6">
        <f t="shared" ref="AS4:AS51" si="13">IFERROR(AC4/O4,"-")</f>
        <v>1.1506172839506172</v>
      </c>
      <c r="AT4" s="4"/>
      <c r="AU4" s="4"/>
      <c r="AV4" s="4"/>
      <c r="AW4" s="4"/>
      <c r="AX4" s="4"/>
      <c r="AY4" s="4"/>
      <c r="AZ4" s="4"/>
      <c r="BA4" s="4"/>
      <c r="BB4" s="4"/>
      <c r="BC4" s="4" t="s">
        <v>74</v>
      </c>
      <c r="BD4" s="4" t="s">
        <v>154</v>
      </c>
      <c r="BE4" s="4"/>
      <c r="BF4" s="4"/>
      <c r="BG4" s="4" t="s">
        <v>155</v>
      </c>
      <c r="BH4" s="4">
        <v>74</v>
      </c>
      <c r="BI4" s="4">
        <f t="shared" ref="BI4:BI51" si="14">IF(BE4="",BH4,BE4/BF4*BH4)</f>
        <v>74</v>
      </c>
      <c r="BJ4" s="19">
        <v>4</v>
      </c>
      <c r="BK4" s="19">
        <v>1</v>
      </c>
      <c r="BL4" s="16">
        <v>6</v>
      </c>
      <c r="BM4" t="s">
        <v>127</v>
      </c>
      <c r="BN4" t="str">
        <f>IFERROR(BM4*AS4,"-")</f>
        <v>-</v>
      </c>
      <c r="BO4">
        <v>105</v>
      </c>
      <c r="BP4">
        <f>IFERROR(BO4*AS4,"-")</f>
        <v>120.81481481481481</v>
      </c>
      <c r="BQ4" t="s">
        <v>131</v>
      </c>
    </row>
    <row r="5" spans="1:69" x14ac:dyDescent="0.4">
      <c r="A5" s="3">
        <v>29</v>
      </c>
      <c r="B5" s="3">
        <v>29</v>
      </c>
      <c r="C5" s="34">
        <v>600862</v>
      </c>
      <c r="D5" s="4" t="str">
        <f t="shared" si="0"/>
        <v>600862</v>
      </c>
      <c r="E5" s="4">
        <v>600862</v>
      </c>
      <c r="F5" s="4" t="str">
        <f t="shared" ref="F5:F51" si="15">D5&amp;I5</f>
        <v>6008625</v>
      </c>
      <c r="G5" s="4" t="s">
        <v>107</v>
      </c>
      <c r="H5" s="5">
        <v>4935183211010</v>
      </c>
      <c r="I5" s="5">
        <v>5</v>
      </c>
      <c r="J5" s="5"/>
      <c r="K5" s="5">
        <v>2</v>
      </c>
      <c r="L5" s="5">
        <v>2</v>
      </c>
      <c r="M5" s="4">
        <v>170</v>
      </c>
      <c r="N5" s="4">
        <v>83</v>
      </c>
      <c r="O5" s="4">
        <v>45</v>
      </c>
      <c r="P5" s="6">
        <f t="shared" si="1"/>
        <v>0.45783132530120485</v>
      </c>
      <c r="Q5" s="4" t="s">
        <v>128</v>
      </c>
      <c r="R5" s="4"/>
      <c r="S5" s="4"/>
      <c r="T5" s="4"/>
      <c r="U5" s="4"/>
      <c r="V5" s="4"/>
      <c r="W5" s="4"/>
      <c r="X5" s="4"/>
      <c r="Y5" s="4"/>
      <c r="Z5" s="4">
        <v>0</v>
      </c>
      <c r="AA5" s="4">
        <f t="shared" si="2"/>
        <v>0</v>
      </c>
      <c r="AB5" s="4">
        <v>52.6</v>
      </c>
      <c r="AC5" s="4">
        <f t="shared" si="3"/>
        <v>52.6</v>
      </c>
      <c r="AD5" s="4"/>
      <c r="AE5" s="21">
        <f t="shared" si="4"/>
        <v>97</v>
      </c>
      <c r="AF5" s="6">
        <f t="shared" si="5"/>
        <v>0.45773195876288664</v>
      </c>
      <c r="AG5" s="4">
        <v>514.75</v>
      </c>
      <c r="AH5" s="4">
        <f t="shared" si="6"/>
        <v>162.15</v>
      </c>
      <c r="AI5" s="4">
        <f t="shared" si="7"/>
        <v>189.53533333333334</v>
      </c>
      <c r="AJ5" s="6">
        <f t="shared" si="8"/>
        <v>0.72247918593894545</v>
      </c>
      <c r="AK5" s="7">
        <v>98</v>
      </c>
      <c r="AL5" s="6">
        <f t="shared" si="9"/>
        <v>0.46326530612244898</v>
      </c>
      <c r="AM5" s="4">
        <f t="shared" si="10"/>
        <v>45.4</v>
      </c>
      <c r="AN5" s="28"/>
      <c r="AO5" s="6"/>
      <c r="AP5" s="6"/>
      <c r="AQ5" s="6">
        <f t="shared" si="11"/>
        <v>0</v>
      </c>
      <c r="AR5" s="6">
        <f t="shared" si="12"/>
        <v>1.1807228915662651</v>
      </c>
      <c r="AS5" s="6">
        <f t="shared" si="13"/>
        <v>1.1688888888888889</v>
      </c>
      <c r="AT5" s="4"/>
      <c r="AU5" s="4"/>
      <c r="AV5" s="4"/>
      <c r="AW5" s="4"/>
      <c r="AX5" s="4"/>
      <c r="AY5" s="4"/>
      <c r="AZ5" s="4"/>
      <c r="BA5" s="4"/>
      <c r="BB5" s="4"/>
      <c r="BC5" s="4" t="s">
        <v>74</v>
      </c>
      <c r="BD5" s="4" t="s">
        <v>156</v>
      </c>
      <c r="BE5" s="4">
        <v>1</v>
      </c>
      <c r="BF5" s="4">
        <v>20</v>
      </c>
      <c r="BG5" s="4" t="s">
        <v>157</v>
      </c>
      <c r="BH5" s="4">
        <v>3243</v>
      </c>
      <c r="BI5" s="4">
        <f t="shared" si="14"/>
        <v>162.15</v>
      </c>
      <c r="BJ5" s="19">
        <v>4</v>
      </c>
      <c r="BK5" s="19">
        <v>1</v>
      </c>
      <c r="BL5" s="16">
        <v>6</v>
      </c>
      <c r="BM5" t="s">
        <v>127</v>
      </c>
      <c r="BN5" t="str">
        <f t="shared" ref="BN5:BN51" si="16">IFERROR(BM5*AS5,"-")</f>
        <v>-</v>
      </c>
      <c r="BO5" t="s">
        <v>127</v>
      </c>
      <c r="BP5" t="str">
        <f t="shared" ref="BP5:BP51" si="17">IFERROR(BO5*AS5,"-")</f>
        <v>-</v>
      </c>
      <c r="BQ5" t="s">
        <v>132</v>
      </c>
    </row>
    <row r="6" spans="1:69" x14ac:dyDescent="0.4">
      <c r="A6" s="3">
        <v>48</v>
      </c>
      <c r="B6" s="3">
        <v>29</v>
      </c>
      <c r="C6" s="35">
        <v>600862</v>
      </c>
      <c r="D6" s="4" t="str">
        <f t="shared" si="0"/>
        <v>600862</v>
      </c>
      <c r="E6" s="4">
        <v>629965</v>
      </c>
      <c r="F6" s="4" t="str">
        <f t="shared" si="15"/>
        <v>6008628</v>
      </c>
      <c r="G6" s="4" t="s">
        <v>126</v>
      </c>
      <c r="H6" s="5">
        <v>4935183211010</v>
      </c>
      <c r="I6" s="5">
        <v>8</v>
      </c>
      <c r="J6" s="5"/>
      <c r="K6" s="5"/>
      <c r="L6" s="5"/>
      <c r="M6" s="4">
        <v>1700</v>
      </c>
      <c r="N6" s="4">
        <v>819</v>
      </c>
      <c r="O6" s="4">
        <v>450</v>
      </c>
      <c r="P6" s="6">
        <f t="shared" si="1"/>
        <v>0.4505494505494505</v>
      </c>
      <c r="Q6" s="4" t="s">
        <v>128</v>
      </c>
      <c r="R6" s="4"/>
      <c r="S6" s="4"/>
      <c r="T6" s="4"/>
      <c r="U6" s="4"/>
      <c r="V6" s="4"/>
      <c r="W6" s="4"/>
      <c r="X6" s="4"/>
      <c r="Y6" s="4"/>
      <c r="Z6" s="4">
        <v>0</v>
      </c>
      <c r="AA6" s="4">
        <f t="shared" si="2"/>
        <v>0</v>
      </c>
      <c r="AB6" s="4">
        <v>52.6</v>
      </c>
      <c r="AC6" s="4">
        <f t="shared" si="3"/>
        <v>526</v>
      </c>
      <c r="AD6" s="4">
        <v>10</v>
      </c>
      <c r="AE6" s="21">
        <f t="shared" si="4"/>
        <v>957</v>
      </c>
      <c r="AF6" s="6">
        <f t="shared" si="5"/>
        <v>0.45036572622779514</v>
      </c>
      <c r="AG6" s="4">
        <v>514.75</v>
      </c>
      <c r="AH6" s="4">
        <f t="shared" si="6"/>
        <v>1621.5</v>
      </c>
      <c r="AI6" s="4">
        <f t="shared" si="7"/>
        <v>1895.3533333333332</v>
      </c>
      <c r="AJ6" s="6">
        <f t="shared" si="8"/>
        <v>0.72247918593894545</v>
      </c>
      <c r="AK6" s="7">
        <v>928</v>
      </c>
      <c r="AL6" s="6">
        <f t="shared" si="9"/>
        <v>0.43318965517241381</v>
      </c>
      <c r="AM6" s="4">
        <f t="shared" si="10"/>
        <v>402</v>
      </c>
      <c r="AN6" s="28"/>
      <c r="AO6" s="6"/>
      <c r="AP6" s="6"/>
      <c r="AQ6" s="6">
        <f t="shared" si="11"/>
        <v>0</v>
      </c>
      <c r="AR6" s="6">
        <f t="shared" si="12"/>
        <v>1.1330891330891331</v>
      </c>
      <c r="AS6" s="6">
        <f t="shared" si="13"/>
        <v>1.1688888888888889</v>
      </c>
      <c r="AT6" s="4"/>
      <c r="AU6" s="4"/>
      <c r="AV6" s="4"/>
      <c r="AW6" s="4"/>
      <c r="AX6" s="4"/>
      <c r="AY6" s="4"/>
      <c r="AZ6" s="4"/>
      <c r="BA6" s="4"/>
      <c r="BB6" s="4"/>
      <c r="BC6" s="4" t="s">
        <v>74</v>
      </c>
      <c r="BD6" s="4" t="s">
        <v>156</v>
      </c>
      <c r="BE6" s="4">
        <v>10</v>
      </c>
      <c r="BF6" s="4">
        <v>20</v>
      </c>
      <c r="BG6" s="4" t="s">
        <v>157</v>
      </c>
      <c r="BH6" s="4">
        <v>3243</v>
      </c>
      <c r="BI6" s="4">
        <f t="shared" si="14"/>
        <v>1621.5</v>
      </c>
      <c r="BJ6" s="19">
        <v>4</v>
      </c>
      <c r="BK6" s="19">
        <v>1</v>
      </c>
      <c r="BL6" s="16">
        <v>6</v>
      </c>
      <c r="BM6" t="s">
        <v>127</v>
      </c>
      <c r="BN6" t="str">
        <f t="shared" si="16"/>
        <v>-</v>
      </c>
      <c r="BO6" t="s">
        <v>127</v>
      </c>
      <c r="BP6" t="str">
        <f t="shared" si="17"/>
        <v>-</v>
      </c>
      <c r="BQ6" t="s">
        <v>132</v>
      </c>
    </row>
    <row r="7" spans="1:69" x14ac:dyDescent="0.4">
      <c r="A7" s="3">
        <v>23</v>
      </c>
      <c r="B7" s="3">
        <v>23</v>
      </c>
      <c r="C7" s="17">
        <v>560808</v>
      </c>
      <c r="D7" s="4" t="str">
        <f t="shared" si="0"/>
        <v>560808</v>
      </c>
      <c r="E7" s="4">
        <v>560808</v>
      </c>
      <c r="F7" s="4" t="str">
        <f t="shared" si="15"/>
        <v>5608085</v>
      </c>
      <c r="G7" s="4" t="s">
        <v>101</v>
      </c>
      <c r="H7" s="5">
        <v>4935183212093</v>
      </c>
      <c r="I7" s="5">
        <v>5</v>
      </c>
      <c r="J7" s="5"/>
      <c r="K7" s="5">
        <v>1</v>
      </c>
      <c r="L7" s="5">
        <v>1</v>
      </c>
      <c r="M7" s="4">
        <v>0</v>
      </c>
      <c r="N7" s="4">
        <v>121</v>
      </c>
      <c r="O7" s="4">
        <v>50</v>
      </c>
      <c r="P7" s="6">
        <f t="shared" si="1"/>
        <v>0.58677685950413228</v>
      </c>
      <c r="Q7" s="4" t="s">
        <v>128</v>
      </c>
      <c r="R7" s="4"/>
      <c r="S7" s="4"/>
      <c r="T7" s="4"/>
      <c r="U7" s="4"/>
      <c r="V7" s="4"/>
      <c r="W7" s="4"/>
      <c r="X7" s="4"/>
      <c r="Y7" s="4"/>
      <c r="Z7" s="4">
        <v>0</v>
      </c>
      <c r="AA7" s="4">
        <f t="shared" si="2"/>
        <v>0</v>
      </c>
      <c r="AB7" s="4">
        <v>59.5</v>
      </c>
      <c r="AC7" s="4">
        <f t="shared" si="3"/>
        <v>59.5</v>
      </c>
      <c r="AD7" s="4"/>
      <c r="AE7" s="21">
        <f t="shared" si="4"/>
        <v>144</v>
      </c>
      <c r="AF7" s="6">
        <f t="shared" si="5"/>
        <v>0.58680555555555558</v>
      </c>
      <c r="AG7" s="4">
        <v>58.5</v>
      </c>
      <c r="AH7" s="4">
        <f t="shared" si="6"/>
        <v>162.15</v>
      </c>
      <c r="AI7" s="4">
        <f t="shared" si="7"/>
        <v>192.95849999999999</v>
      </c>
      <c r="AJ7" s="6">
        <f t="shared" si="8"/>
        <v>0.69164353993216154</v>
      </c>
      <c r="AK7" s="7">
        <v>160</v>
      </c>
      <c r="AL7" s="6">
        <f t="shared" si="9"/>
        <v>0.62812500000000004</v>
      </c>
      <c r="AM7" s="4">
        <f t="shared" si="10"/>
        <v>100.5</v>
      </c>
      <c r="AN7" s="28"/>
      <c r="AO7" s="6"/>
      <c r="AP7" s="6"/>
      <c r="AQ7" s="6" t="str">
        <f t="shared" si="11"/>
        <v>-</v>
      </c>
      <c r="AR7" s="6">
        <f t="shared" si="12"/>
        <v>1.3223140495867769</v>
      </c>
      <c r="AS7" s="6">
        <f t="shared" si="13"/>
        <v>1.19</v>
      </c>
      <c r="AT7" s="4"/>
      <c r="AU7" s="4"/>
      <c r="AV7" s="4"/>
      <c r="AW7" s="4"/>
      <c r="AX7" s="4"/>
      <c r="AY7" s="4"/>
      <c r="AZ7" s="4"/>
      <c r="BA7" s="4"/>
      <c r="BB7" s="4"/>
      <c r="BC7" s="4" t="s">
        <v>77</v>
      </c>
      <c r="BD7" s="4" t="s">
        <v>158</v>
      </c>
      <c r="BE7" s="4">
        <v>1</v>
      </c>
      <c r="BF7" s="4">
        <v>20</v>
      </c>
      <c r="BG7" s="4" t="s">
        <v>157</v>
      </c>
      <c r="BH7" s="4">
        <v>3243</v>
      </c>
      <c r="BI7" s="4">
        <f t="shared" si="14"/>
        <v>162.15</v>
      </c>
      <c r="BJ7" s="19">
        <v>4</v>
      </c>
      <c r="BK7" s="19">
        <v>1</v>
      </c>
      <c r="BL7" s="16">
        <v>6</v>
      </c>
      <c r="BM7" t="s">
        <v>127</v>
      </c>
      <c r="BN7" t="str">
        <f t="shared" si="16"/>
        <v>-</v>
      </c>
      <c r="BO7" t="s">
        <v>127</v>
      </c>
      <c r="BP7" t="str">
        <f t="shared" si="17"/>
        <v>-</v>
      </c>
      <c r="BQ7" t="s">
        <v>133</v>
      </c>
    </row>
    <row r="8" spans="1:69" x14ac:dyDescent="0.4">
      <c r="A8" s="3">
        <v>32</v>
      </c>
      <c r="B8" s="3">
        <v>32</v>
      </c>
      <c r="C8" s="17">
        <v>600900</v>
      </c>
      <c r="D8" s="4" t="str">
        <f t="shared" si="0"/>
        <v>600900</v>
      </c>
      <c r="E8" s="4">
        <v>600900</v>
      </c>
      <c r="F8" s="4" t="str">
        <f t="shared" si="15"/>
        <v>6009005</v>
      </c>
      <c r="G8" s="4" t="s">
        <v>110</v>
      </c>
      <c r="H8" s="5">
        <v>4935183212031</v>
      </c>
      <c r="I8" s="5">
        <v>5</v>
      </c>
      <c r="J8" s="5"/>
      <c r="K8" s="5">
        <v>1</v>
      </c>
      <c r="L8" s="5">
        <v>1</v>
      </c>
      <c r="M8" s="4">
        <v>0</v>
      </c>
      <c r="N8" s="4">
        <v>113</v>
      </c>
      <c r="O8" s="4">
        <v>50</v>
      </c>
      <c r="P8" s="6">
        <f t="shared" si="1"/>
        <v>0.55752212389380529</v>
      </c>
      <c r="Q8" s="4" t="s">
        <v>128</v>
      </c>
      <c r="R8" s="4"/>
      <c r="S8" s="4"/>
      <c r="T8" s="4"/>
      <c r="U8" s="4"/>
      <c r="V8" s="4"/>
      <c r="W8" s="4"/>
      <c r="X8" s="4"/>
      <c r="Y8" s="4"/>
      <c r="Z8" s="4">
        <v>0</v>
      </c>
      <c r="AA8" s="4">
        <f t="shared" si="2"/>
        <v>0</v>
      </c>
      <c r="AB8" s="4">
        <v>59.5</v>
      </c>
      <c r="AC8" s="4">
        <f t="shared" si="3"/>
        <v>59.5</v>
      </c>
      <c r="AD8" s="4"/>
      <c r="AE8" s="21">
        <f t="shared" si="4"/>
        <v>134</v>
      </c>
      <c r="AF8" s="6">
        <f t="shared" si="5"/>
        <v>0.55597014925373134</v>
      </c>
      <c r="AG8" s="4">
        <v>30.5</v>
      </c>
      <c r="AH8" s="4">
        <f t="shared" si="6"/>
        <v>162.15</v>
      </c>
      <c r="AI8" s="4">
        <f t="shared" si="7"/>
        <v>192.95849999999999</v>
      </c>
      <c r="AJ8" s="6">
        <f t="shared" si="8"/>
        <v>0.69164353993216154</v>
      </c>
      <c r="AK8" s="7">
        <v>160</v>
      </c>
      <c r="AL8" s="6">
        <f t="shared" si="9"/>
        <v>0.62812500000000004</v>
      </c>
      <c r="AM8" s="4">
        <f t="shared" si="10"/>
        <v>100.5</v>
      </c>
      <c r="AN8" s="28"/>
      <c r="AO8" s="6"/>
      <c r="AP8" s="6"/>
      <c r="AQ8" s="6" t="str">
        <f t="shared" si="11"/>
        <v>-</v>
      </c>
      <c r="AR8" s="6">
        <f t="shared" si="12"/>
        <v>1.415929203539823</v>
      </c>
      <c r="AS8" s="6">
        <f t="shared" si="13"/>
        <v>1.19</v>
      </c>
      <c r="AT8" s="4"/>
      <c r="AU8" s="4"/>
      <c r="AV8" s="4"/>
      <c r="AW8" s="4"/>
      <c r="AX8" s="4"/>
      <c r="AY8" s="4"/>
      <c r="AZ8" s="4"/>
      <c r="BA8" s="4"/>
      <c r="BB8" s="4"/>
      <c r="BC8" s="4" t="s">
        <v>77</v>
      </c>
      <c r="BD8" s="4" t="s">
        <v>159</v>
      </c>
      <c r="BE8" s="4">
        <v>1</v>
      </c>
      <c r="BF8" s="4">
        <v>20</v>
      </c>
      <c r="BG8" s="4" t="s">
        <v>157</v>
      </c>
      <c r="BH8" s="4">
        <v>3243</v>
      </c>
      <c r="BI8" s="4">
        <f t="shared" si="14"/>
        <v>162.15</v>
      </c>
      <c r="BJ8" s="19">
        <v>4</v>
      </c>
      <c r="BK8" s="19">
        <v>1</v>
      </c>
      <c r="BL8" s="16">
        <v>6</v>
      </c>
      <c r="BM8" t="s">
        <v>127</v>
      </c>
      <c r="BN8" t="str">
        <f t="shared" si="16"/>
        <v>-</v>
      </c>
      <c r="BO8" t="s">
        <v>127</v>
      </c>
      <c r="BP8" t="str">
        <f t="shared" si="17"/>
        <v>-</v>
      </c>
      <c r="BQ8" t="s">
        <v>134</v>
      </c>
    </row>
    <row r="9" spans="1:69" x14ac:dyDescent="0.4">
      <c r="A9" s="3">
        <v>38</v>
      </c>
      <c r="B9" s="3">
        <v>38</v>
      </c>
      <c r="C9" s="17">
        <v>602469</v>
      </c>
      <c r="D9" s="4" t="str">
        <f t="shared" si="0"/>
        <v>602469</v>
      </c>
      <c r="E9" s="4">
        <v>602469</v>
      </c>
      <c r="F9" s="4" t="str">
        <f t="shared" si="15"/>
        <v>6024695</v>
      </c>
      <c r="G9" s="4" t="s">
        <v>116</v>
      </c>
      <c r="H9" s="5">
        <v>4957470852102</v>
      </c>
      <c r="I9" s="5">
        <v>5</v>
      </c>
      <c r="J9" s="5"/>
      <c r="K9" s="5">
        <v>1</v>
      </c>
      <c r="L9" s="5">
        <v>1</v>
      </c>
      <c r="M9" s="4">
        <v>220</v>
      </c>
      <c r="N9" s="4">
        <v>143</v>
      </c>
      <c r="O9" s="4">
        <v>50</v>
      </c>
      <c r="P9" s="6">
        <f t="shared" si="1"/>
        <v>0.65034965034965042</v>
      </c>
      <c r="Q9" s="4" t="s">
        <v>128</v>
      </c>
      <c r="R9" s="4"/>
      <c r="S9" s="4"/>
      <c r="T9" s="4"/>
      <c r="U9" s="4"/>
      <c r="V9" s="4"/>
      <c r="W9" s="4"/>
      <c r="X9" s="4"/>
      <c r="Y9" s="4"/>
      <c r="Z9" s="4">
        <v>0</v>
      </c>
      <c r="AA9" s="4">
        <f t="shared" si="2"/>
        <v>0</v>
      </c>
      <c r="AB9" s="4">
        <v>59.5</v>
      </c>
      <c r="AC9" s="4">
        <f t="shared" si="3"/>
        <v>59.5</v>
      </c>
      <c r="AD9" s="4"/>
      <c r="AE9" s="21">
        <f t="shared" si="4"/>
        <v>170</v>
      </c>
      <c r="AF9" s="6">
        <f t="shared" si="5"/>
        <v>0.65</v>
      </c>
      <c r="AG9" s="4">
        <v>109.5</v>
      </c>
      <c r="AH9" s="4">
        <f t="shared" si="6"/>
        <v>250</v>
      </c>
      <c r="AI9" s="4">
        <f t="shared" si="7"/>
        <v>297.5</v>
      </c>
      <c r="AJ9" s="6">
        <f t="shared" si="8"/>
        <v>0.8</v>
      </c>
      <c r="AK9" s="7">
        <v>160</v>
      </c>
      <c r="AL9" s="6">
        <f t="shared" si="9"/>
        <v>0.62812500000000004</v>
      </c>
      <c r="AM9" s="4">
        <f t="shared" si="10"/>
        <v>100.5</v>
      </c>
      <c r="AN9" s="28"/>
      <c r="AO9" s="6"/>
      <c r="AP9" s="6"/>
      <c r="AQ9" s="6">
        <f t="shared" si="11"/>
        <v>0</v>
      </c>
      <c r="AR9" s="6">
        <f t="shared" si="12"/>
        <v>1.118881118881119</v>
      </c>
      <c r="AS9" s="6">
        <f t="shared" si="13"/>
        <v>1.19</v>
      </c>
      <c r="AT9" s="4"/>
      <c r="AU9" s="4"/>
      <c r="AV9" s="4"/>
      <c r="AW9" s="4"/>
      <c r="AX9" s="4"/>
      <c r="AY9" s="4"/>
      <c r="AZ9" s="4"/>
      <c r="BA9" s="4"/>
      <c r="BB9" s="4"/>
      <c r="BC9" s="4">
        <v>0</v>
      </c>
      <c r="BD9" s="4" t="s">
        <v>160</v>
      </c>
      <c r="BE9" s="4"/>
      <c r="BF9" s="4"/>
      <c r="BG9" s="4" t="s">
        <v>155</v>
      </c>
      <c r="BH9" s="4">
        <v>250</v>
      </c>
      <c r="BI9" s="4">
        <f t="shared" si="14"/>
        <v>250</v>
      </c>
      <c r="BJ9" s="19">
        <v>4</v>
      </c>
      <c r="BK9" s="19">
        <v>1</v>
      </c>
      <c r="BL9" s="16">
        <v>6</v>
      </c>
      <c r="BM9" t="s">
        <v>127</v>
      </c>
      <c r="BN9" t="str">
        <f t="shared" si="16"/>
        <v>-</v>
      </c>
      <c r="BO9">
        <v>209</v>
      </c>
      <c r="BP9">
        <f t="shared" si="17"/>
        <v>248.70999999999998</v>
      </c>
      <c r="BQ9" t="s">
        <v>135</v>
      </c>
    </row>
    <row r="10" spans="1:69" x14ac:dyDescent="0.4">
      <c r="A10" s="3">
        <v>41</v>
      </c>
      <c r="B10" s="3">
        <v>41</v>
      </c>
      <c r="C10" s="4" t="s">
        <v>67</v>
      </c>
      <c r="D10" s="4" t="str">
        <f t="shared" si="0"/>
        <v>J8288X</v>
      </c>
      <c r="E10" s="4" t="s">
        <v>67</v>
      </c>
      <c r="F10" s="4" t="str">
        <f t="shared" si="15"/>
        <v>J8288X5</v>
      </c>
      <c r="G10" s="4" t="s">
        <v>119</v>
      </c>
      <c r="H10" s="5">
        <v>4957470802015</v>
      </c>
      <c r="I10" s="5">
        <v>5</v>
      </c>
      <c r="J10" s="5"/>
      <c r="K10" s="5">
        <v>1</v>
      </c>
      <c r="L10" s="5">
        <v>1</v>
      </c>
      <c r="M10" s="4">
        <v>220</v>
      </c>
      <c r="N10" s="4">
        <v>119</v>
      </c>
      <c r="O10" s="4">
        <v>50</v>
      </c>
      <c r="P10" s="6">
        <f t="shared" si="1"/>
        <v>0.57983193277310918</v>
      </c>
      <c r="Q10" s="4" t="s">
        <v>128</v>
      </c>
      <c r="R10" s="4"/>
      <c r="S10" s="4"/>
      <c r="T10" s="4"/>
      <c r="U10" s="4"/>
      <c r="V10" s="4"/>
      <c r="W10" s="4"/>
      <c r="X10" s="4"/>
      <c r="Y10" s="4"/>
      <c r="Z10" s="4">
        <v>0</v>
      </c>
      <c r="AA10" s="4">
        <f t="shared" si="2"/>
        <v>0</v>
      </c>
      <c r="AB10" s="4">
        <v>59.5</v>
      </c>
      <c r="AC10" s="4">
        <f t="shared" si="3"/>
        <v>59.5</v>
      </c>
      <c r="AD10" s="4"/>
      <c r="AE10" s="21">
        <f t="shared" si="4"/>
        <v>142</v>
      </c>
      <c r="AF10" s="6">
        <f t="shared" si="5"/>
        <v>0.58098591549295775</v>
      </c>
      <c r="AG10" s="4">
        <v>12</v>
      </c>
      <c r="AH10" s="4" t="str">
        <f t="shared" si="6"/>
        <v>-</v>
      </c>
      <c r="AI10" s="4" t="str">
        <f t="shared" si="7"/>
        <v>-</v>
      </c>
      <c r="AJ10" s="6" t="str">
        <f t="shared" si="8"/>
        <v>-</v>
      </c>
      <c r="AK10" s="7">
        <v>160</v>
      </c>
      <c r="AL10" s="6">
        <f t="shared" si="9"/>
        <v>0.62812500000000004</v>
      </c>
      <c r="AM10" s="4">
        <f t="shared" si="10"/>
        <v>100.5</v>
      </c>
      <c r="AN10" s="28"/>
      <c r="AO10" s="6"/>
      <c r="AP10" s="6"/>
      <c r="AQ10" s="6">
        <f t="shared" si="11"/>
        <v>0</v>
      </c>
      <c r="AR10" s="6">
        <f t="shared" si="12"/>
        <v>1.3445378151260505</v>
      </c>
      <c r="AS10" s="6">
        <f t="shared" si="13"/>
        <v>1.19</v>
      </c>
      <c r="AT10" s="4"/>
      <c r="AU10" s="4"/>
      <c r="AV10" s="4"/>
      <c r="AW10" s="4"/>
      <c r="AX10" s="4"/>
      <c r="AY10" s="4"/>
      <c r="AZ10" s="4"/>
      <c r="BA10" s="4"/>
      <c r="BB10" s="4"/>
      <c r="BC10" s="4">
        <v>0</v>
      </c>
      <c r="BD10" s="4" t="s">
        <v>127</v>
      </c>
      <c r="BE10" s="4"/>
      <c r="BF10" s="4"/>
      <c r="BG10" s="4" t="s">
        <v>127</v>
      </c>
      <c r="BH10" s="4" t="s">
        <v>127</v>
      </c>
      <c r="BI10" s="4" t="str">
        <f t="shared" si="14"/>
        <v>-</v>
      </c>
      <c r="BJ10" s="19">
        <v>4</v>
      </c>
      <c r="BK10" s="19">
        <v>1</v>
      </c>
      <c r="BL10" s="16">
        <v>6</v>
      </c>
      <c r="BM10" t="s">
        <v>127</v>
      </c>
      <c r="BN10" t="str">
        <f t="shared" si="16"/>
        <v>-</v>
      </c>
      <c r="BO10" t="s">
        <v>127</v>
      </c>
      <c r="BP10" t="str">
        <f t="shared" si="17"/>
        <v>-</v>
      </c>
      <c r="BQ10" t="s">
        <v>127</v>
      </c>
    </row>
    <row r="11" spans="1:69" x14ac:dyDescent="0.4">
      <c r="A11" s="3">
        <v>42</v>
      </c>
      <c r="B11" s="3">
        <v>42</v>
      </c>
      <c r="C11" s="4" t="s">
        <v>68</v>
      </c>
      <c r="D11" s="4" t="str">
        <f t="shared" si="0"/>
        <v>J8289X</v>
      </c>
      <c r="E11" s="4" t="s">
        <v>68</v>
      </c>
      <c r="F11" s="4" t="str">
        <f t="shared" si="15"/>
        <v>J8289X5</v>
      </c>
      <c r="G11" s="4" t="s">
        <v>120</v>
      </c>
      <c r="H11" s="5">
        <v>4957470852058</v>
      </c>
      <c r="I11" s="5">
        <v>5</v>
      </c>
      <c r="J11" s="5"/>
      <c r="K11" s="5">
        <v>1</v>
      </c>
      <c r="L11" s="5">
        <v>1</v>
      </c>
      <c r="M11" s="4">
        <v>220</v>
      </c>
      <c r="N11" s="4">
        <v>119</v>
      </c>
      <c r="O11" s="4">
        <v>50</v>
      </c>
      <c r="P11" s="6">
        <f t="shared" si="1"/>
        <v>0.57983193277310918</v>
      </c>
      <c r="Q11" s="4" t="s">
        <v>128</v>
      </c>
      <c r="R11" s="4"/>
      <c r="S11" s="4"/>
      <c r="T11" s="4"/>
      <c r="U11" s="4"/>
      <c r="V11" s="4"/>
      <c r="W11" s="4"/>
      <c r="X11" s="4"/>
      <c r="Y11" s="4"/>
      <c r="Z11" s="4">
        <v>0</v>
      </c>
      <c r="AA11" s="4">
        <f t="shared" si="2"/>
        <v>0</v>
      </c>
      <c r="AB11" s="4">
        <v>59.5</v>
      </c>
      <c r="AC11" s="4">
        <f t="shared" si="3"/>
        <v>59.5</v>
      </c>
      <c r="AD11" s="4"/>
      <c r="AE11" s="21">
        <f t="shared" si="4"/>
        <v>142</v>
      </c>
      <c r="AF11" s="6">
        <f t="shared" si="5"/>
        <v>0.58098591549295775</v>
      </c>
      <c r="AG11" s="4">
        <v>4.75</v>
      </c>
      <c r="AH11" s="4" t="str">
        <f t="shared" si="6"/>
        <v>-</v>
      </c>
      <c r="AI11" s="4" t="str">
        <f t="shared" si="7"/>
        <v>-</v>
      </c>
      <c r="AJ11" s="6" t="str">
        <f t="shared" si="8"/>
        <v>-</v>
      </c>
      <c r="AK11" s="7">
        <v>160</v>
      </c>
      <c r="AL11" s="6">
        <f t="shared" si="9"/>
        <v>0.62812500000000004</v>
      </c>
      <c r="AM11" s="4">
        <f t="shared" si="10"/>
        <v>100.5</v>
      </c>
      <c r="AN11" s="28"/>
      <c r="AO11" s="6"/>
      <c r="AP11" s="6"/>
      <c r="AQ11" s="6">
        <f t="shared" si="11"/>
        <v>0</v>
      </c>
      <c r="AR11" s="6">
        <f t="shared" si="12"/>
        <v>1.3445378151260505</v>
      </c>
      <c r="AS11" s="6">
        <f t="shared" si="13"/>
        <v>1.19</v>
      </c>
      <c r="AT11" s="4"/>
      <c r="AU11" s="4"/>
      <c r="AV11" s="4"/>
      <c r="AW11" s="4"/>
      <c r="AX11" s="4"/>
      <c r="AY11" s="4"/>
      <c r="AZ11" s="4"/>
      <c r="BA11" s="4"/>
      <c r="BB11" s="4"/>
      <c r="BC11" s="4">
        <v>0</v>
      </c>
      <c r="BD11" s="4" t="s">
        <v>127</v>
      </c>
      <c r="BE11" s="4"/>
      <c r="BF11" s="4"/>
      <c r="BG11" s="4" t="s">
        <v>127</v>
      </c>
      <c r="BH11" s="4" t="s">
        <v>127</v>
      </c>
      <c r="BI11" s="4" t="str">
        <f t="shared" si="14"/>
        <v>-</v>
      </c>
      <c r="BJ11" s="19">
        <v>4</v>
      </c>
      <c r="BK11" s="19">
        <v>1</v>
      </c>
      <c r="BL11" s="16">
        <v>6</v>
      </c>
      <c r="BM11" t="s">
        <v>127</v>
      </c>
      <c r="BN11" t="str">
        <f t="shared" si="16"/>
        <v>-</v>
      </c>
      <c r="BO11" t="s">
        <v>127</v>
      </c>
      <c r="BP11" t="str">
        <f t="shared" si="17"/>
        <v>-</v>
      </c>
      <c r="BQ11" t="s">
        <v>127</v>
      </c>
    </row>
    <row r="12" spans="1:69" x14ac:dyDescent="0.4">
      <c r="A12" s="3">
        <v>30</v>
      </c>
      <c r="B12" s="3">
        <v>30</v>
      </c>
      <c r="C12" s="4">
        <v>600863</v>
      </c>
      <c r="D12" s="4" t="str">
        <f t="shared" si="0"/>
        <v>600863</v>
      </c>
      <c r="E12" s="4">
        <v>600863</v>
      </c>
      <c r="F12" s="4" t="str">
        <f t="shared" si="15"/>
        <v>6008635</v>
      </c>
      <c r="G12" s="4" t="s">
        <v>108</v>
      </c>
      <c r="H12" s="5">
        <v>4957470890630</v>
      </c>
      <c r="I12" s="5">
        <v>5</v>
      </c>
      <c r="J12" s="5"/>
      <c r="K12" s="5">
        <v>1</v>
      </c>
      <c r="L12" s="5">
        <v>1</v>
      </c>
      <c r="M12" s="4">
        <v>0</v>
      </c>
      <c r="N12" s="4">
        <v>86</v>
      </c>
      <c r="O12" s="4">
        <v>52.5</v>
      </c>
      <c r="P12" s="6">
        <f t="shared" si="1"/>
        <v>0.38953488372093026</v>
      </c>
      <c r="Q12" s="4" t="s">
        <v>128</v>
      </c>
      <c r="R12" s="4"/>
      <c r="S12" s="4"/>
      <c r="T12" s="4"/>
      <c r="U12" s="4"/>
      <c r="V12" s="4"/>
      <c r="W12" s="4"/>
      <c r="X12" s="4"/>
      <c r="Y12" s="4"/>
      <c r="Z12" s="4">
        <v>0</v>
      </c>
      <c r="AA12" s="4">
        <f t="shared" si="2"/>
        <v>0</v>
      </c>
      <c r="AB12" s="4">
        <v>60.4</v>
      </c>
      <c r="AC12" s="4">
        <f t="shared" si="3"/>
        <v>60.4</v>
      </c>
      <c r="AD12" s="4"/>
      <c r="AE12" s="21">
        <f t="shared" si="4"/>
        <v>99</v>
      </c>
      <c r="AF12" s="6">
        <f t="shared" si="5"/>
        <v>0.38989898989898997</v>
      </c>
      <c r="AG12" s="4">
        <v>28.249999999999996</v>
      </c>
      <c r="AH12" s="4">
        <f t="shared" si="6"/>
        <v>109.8</v>
      </c>
      <c r="AI12" s="4">
        <f t="shared" si="7"/>
        <v>126.32228571428571</v>
      </c>
      <c r="AJ12" s="6">
        <f t="shared" si="8"/>
        <v>0.52185792349726778</v>
      </c>
      <c r="AK12" s="7">
        <v>100</v>
      </c>
      <c r="AL12" s="6">
        <f t="shared" si="9"/>
        <v>0.39600000000000002</v>
      </c>
      <c r="AM12" s="4">
        <f t="shared" si="10"/>
        <v>39.6</v>
      </c>
      <c r="AN12" s="28"/>
      <c r="AO12" s="6"/>
      <c r="AP12" s="6"/>
      <c r="AQ12" s="6" t="str">
        <f t="shared" si="11"/>
        <v>-</v>
      </c>
      <c r="AR12" s="6">
        <f t="shared" si="12"/>
        <v>1.1627906976744187</v>
      </c>
      <c r="AS12" s="6">
        <f t="shared" si="13"/>
        <v>1.1504761904761904</v>
      </c>
      <c r="AT12" s="4"/>
      <c r="AU12" s="4"/>
      <c r="AV12" s="4"/>
      <c r="AW12" s="4"/>
      <c r="AX12" s="4"/>
      <c r="AY12" s="4"/>
      <c r="AZ12" s="4"/>
      <c r="BA12" s="4"/>
      <c r="BB12" s="4"/>
      <c r="BC12" s="4" t="s">
        <v>74</v>
      </c>
      <c r="BD12" s="4" t="s">
        <v>161</v>
      </c>
      <c r="BE12" s="4">
        <v>1</v>
      </c>
      <c r="BF12" s="4">
        <v>50</v>
      </c>
      <c r="BG12" s="4" t="s">
        <v>162</v>
      </c>
      <c r="BH12" s="4">
        <v>5490</v>
      </c>
      <c r="BI12" s="4">
        <f t="shared" si="14"/>
        <v>109.8</v>
      </c>
      <c r="BJ12" s="19">
        <v>4</v>
      </c>
      <c r="BK12" s="19">
        <v>1</v>
      </c>
      <c r="BL12" s="16">
        <v>6</v>
      </c>
      <c r="BM12" t="s">
        <v>127</v>
      </c>
      <c r="BN12" t="str">
        <f t="shared" si="16"/>
        <v>-</v>
      </c>
      <c r="BO12" t="s">
        <v>127</v>
      </c>
      <c r="BP12" t="str">
        <f t="shared" si="17"/>
        <v>-</v>
      </c>
      <c r="BQ12" t="s">
        <v>136</v>
      </c>
    </row>
    <row r="13" spans="1:69" x14ac:dyDescent="0.4">
      <c r="A13" s="3">
        <v>16</v>
      </c>
      <c r="B13" s="3">
        <v>16</v>
      </c>
      <c r="C13" s="4">
        <v>560736</v>
      </c>
      <c r="D13" s="4" t="str">
        <f t="shared" si="0"/>
        <v>560736</v>
      </c>
      <c r="E13" s="4">
        <v>560736</v>
      </c>
      <c r="F13" s="4" t="str">
        <f t="shared" si="15"/>
        <v>5607365</v>
      </c>
      <c r="G13" s="4" t="s">
        <v>94</v>
      </c>
      <c r="H13" s="5">
        <v>4957470806617</v>
      </c>
      <c r="I13" s="5">
        <v>5</v>
      </c>
      <c r="J13" s="5"/>
      <c r="K13" s="5">
        <v>1</v>
      </c>
      <c r="L13" s="5">
        <v>1</v>
      </c>
      <c r="M13" s="4">
        <v>0</v>
      </c>
      <c r="N13" s="4">
        <v>89</v>
      </c>
      <c r="O13" s="4">
        <v>57</v>
      </c>
      <c r="P13" s="6">
        <f t="shared" si="1"/>
        <v>0.3595505617977528</v>
      </c>
      <c r="Q13" s="4" t="s">
        <v>128</v>
      </c>
      <c r="R13" s="4"/>
      <c r="S13" s="4"/>
      <c r="T13" s="4"/>
      <c r="U13" s="4"/>
      <c r="V13" s="4"/>
      <c r="W13" s="4"/>
      <c r="X13" s="4"/>
      <c r="Y13" s="4"/>
      <c r="Z13" s="4">
        <v>0</v>
      </c>
      <c r="AA13" s="4">
        <f t="shared" si="2"/>
        <v>0</v>
      </c>
      <c r="AB13" s="4">
        <v>67</v>
      </c>
      <c r="AC13" s="4">
        <f t="shared" si="3"/>
        <v>67</v>
      </c>
      <c r="AD13" s="4"/>
      <c r="AE13" s="21">
        <f t="shared" si="4"/>
        <v>105</v>
      </c>
      <c r="AF13" s="6">
        <f t="shared" si="5"/>
        <v>0.36190476190476195</v>
      </c>
      <c r="AG13" s="4">
        <v>80.25</v>
      </c>
      <c r="AH13" s="4" t="str">
        <f t="shared" si="6"/>
        <v>-</v>
      </c>
      <c r="AI13" s="4" t="str">
        <f t="shared" si="7"/>
        <v>-</v>
      </c>
      <c r="AJ13" s="6" t="str">
        <f t="shared" si="8"/>
        <v>-</v>
      </c>
      <c r="AK13" s="7">
        <v>110</v>
      </c>
      <c r="AL13" s="6">
        <f t="shared" si="9"/>
        <v>0.39090909090909087</v>
      </c>
      <c r="AM13" s="4">
        <f t="shared" si="10"/>
        <v>43</v>
      </c>
      <c r="AN13" s="28"/>
      <c r="AO13" s="6"/>
      <c r="AP13" s="6"/>
      <c r="AQ13" s="6" t="str">
        <f t="shared" si="11"/>
        <v>-</v>
      </c>
      <c r="AR13" s="6">
        <f t="shared" si="12"/>
        <v>1.2359550561797752</v>
      </c>
      <c r="AS13" s="6">
        <f t="shared" si="13"/>
        <v>1.1754385964912282</v>
      </c>
      <c r="AT13" s="4"/>
      <c r="AU13" s="4"/>
      <c r="AV13" s="4"/>
      <c r="AW13" s="4"/>
      <c r="AX13" s="4"/>
      <c r="AY13" s="4"/>
      <c r="AZ13" s="4"/>
      <c r="BA13" s="4"/>
      <c r="BB13" s="4"/>
      <c r="BC13" s="4" t="s">
        <v>77</v>
      </c>
      <c r="BD13" s="4" t="s">
        <v>127</v>
      </c>
      <c r="BE13" s="4"/>
      <c r="BF13" s="4"/>
      <c r="BG13" s="4" t="s">
        <v>127</v>
      </c>
      <c r="BH13" s="4" t="s">
        <v>127</v>
      </c>
      <c r="BI13" s="4" t="str">
        <f t="shared" si="14"/>
        <v>-</v>
      </c>
      <c r="BJ13" s="19">
        <v>4</v>
      </c>
      <c r="BK13" s="19">
        <v>1</v>
      </c>
      <c r="BL13" s="16">
        <v>6</v>
      </c>
      <c r="BM13" t="s">
        <v>127</v>
      </c>
      <c r="BN13" t="str">
        <f t="shared" si="16"/>
        <v>-</v>
      </c>
      <c r="BO13">
        <v>469</v>
      </c>
      <c r="BP13">
        <f t="shared" si="17"/>
        <v>551.28070175438597</v>
      </c>
      <c r="BQ13" t="s">
        <v>127</v>
      </c>
    </row>
    <row r="14" spans="1:69" x14ac:dyDescent="0.4">
      <c r="A14" s="3">
        <v>7</v>
      </c>
      <c r="B14" s="3">
        <v>7</v>
      </c>
      <c r="C14" s="4">
        <v>560646</v>
      </c>
      <c r="D14" s="4" t="str">
        <f t="shared" si="0"/>
        <v>560646</v>
      </c>
      <c r="E14" s="4">
        <v>560646</v>
      </c>
      <c r="F14" s="4" t="str">
        <f t="shared" si="15"/>
        <v>5606465</v>
      </c>
      <c r="G14" s="4" t="s">
        <v>85</v>
      </c>
      <c r="H14" s="5">
        <v>4957470805818</v>
      </c>
      <c r="I14" s="5">
        <v>5</v>
      </c>
      <c r="J14" s="5"/>
      <c r="K14" s="5">
        <v>1</v>
      </c>
      <c r="L14" s="5">
        <v>1</v>
      </c>
      <c r="M14" s="4">
        <v>0</v>
      </c>
      <c r="N14" s="4">
        <v>128</v>
      </c>
      <c r="O14" s="4">
        <v>60.5</v>
      </c>
      <c r="P14" s="6">
        <f t="shared" si="1"/>
        <v>0.52734375</v>
      </c>
      <c r="Q14" s="4" t="s">
        <v>128</v>
      </c>
      <c r="R14" s="4"/>
      <c r="S14" s="4"/>
      <c r="T14" s="4"/>
      <c r="U14" s="4"/>
      <c r="V14" s="4"/>
      <c r="W14" s="4"/>
      <c r="X14" s="4"/>
      <c r="Y14" s="4"/>
      <c r="Z14" s="4">
        <v>0</v>
      </c>
      <c r="AA14" s="4">
        <f t="shared" si="2"/>
        <v>0</v>
      </c>
      <c r="AB14" s="4">
        <v>71</v>
      </c>
      <c r="AC14" s="4">
        <f t="shared" si="3"/>
        <v>71</v>
      </c>
      <c r="AD14" s="4"/>
      <c r="AE14" s="21">
        <f t="shared" si="4"/>
        <v>150</v>
      </c>
      <c r="AF14" s="6">
        <f t="shared" si="5"/>
        <v>0.52666666666666662</v>
      </c>
      <c r="AG14" s="4">
        <v>32.25</v>
      </c>
      <c r="AH14" s="4">
        <f t="shared" si="6"/>
        <v>144.88</v>
      </c>
      <c r="AI14" s="4">
        <f t="shared" si="7"/>
        <v>170.02446280991737</v>
      </c>
      <c r="AJ14" s="6">
        <f t="shared" si="8"/>
        <v>0.58241303147432366</v>
      </c>
      <c r="AK14" s="7">
        <v>140</v>
      </c>
      <c r="AL14" s="6">
        <f t="shared" si="9"/>
        <v>0.49285714285714288</v>
      </c>
      <c r="AM14" s="4">
        <f t="shared" si="10"/>
        <v>69</v>
      </c>
      <c r="AN14" s="28"/>
      <c r="AO14" s="6"/>
      <c r="AP14" s="6"/>
      <c r="AQ14" s="6" t="str">
        <f t="shared" si="11"/>
        <v>-</v>
      </c>
      <c r="AR14" s="6">
        <f t="shared" si="12"/>
        <v>1.09375</v>
      </c>
      <c r="AS14" s="6">
        <f t="shared" si="13"/>
        <v>1.1735537190082646</v>
      </c>
      <c r="AT14" s="4"/>
      <c r="AU14" s="4"/>
      <c r="AV14" s="4"/>
      <c r="AW14" s="4"/>
      <c r="AX14" s="4"/>
      <c r="AY14" s="4"/>
      <c r="AZ14" s="4"/>
      <c r="BA14" s="4"/>
      <c r="BB14" s="4"/>
      <c r="BC14" s="4" t="s">
        <v>74</v>
      </c>
      <c r="BD14" s="4" t="s">
        <v>163</v>
      </c>
      <c r="BE14" s="4">
        <v>1</v>
      </c>
      <c r="BF14" s="4">
        <v>25</v>
      </c>
      <c r="BG14" s="4" t="s">
        <v>164</v>
      </c>
      <c r="BH14" s="4">
        <v>3622</v>
      </c>
      <c r="BI14" s="4">
        <f t="shared" si="14"/>
        <v>144.88</v>
      </c>
      <c r="BJ14" s="19">
        <v>4</v>
      </c>
      <c r="BK14" s="19">
        <v>1</v>
      </c>
      <c r="BL14" s="16">
        <v>6</v>
      </c>
      <c r="BM14" t="s">
        <v>127</v>
      </c>
      <c r="BN14" t="str">
        <f t="shared" si="16"/>
        <v>-</v>
      </c>
      <c r="BO14" t="s">
        <v>127</v>
      </c>
      <c r="BP14" t="str">
        <f t="shared" si="17"/>
        <v>-</v>
      </c>
      <c r="BQ14" t="s">
        <v>137</v>
      </c>
    </row>
    <row r="15" spans="1:69" x14ac:dyDescent="0.4">
      <c r="A15" s="3">
        <v>5</v>
      </c>
      <c r="B15" s="3">
        <v>5</v>
      </c>
      <c r="C15" s="4">
        <v>560592</v>
      </c>
      <c r="D15" s="4" t="str">
        <f t="shared" si="0"/>
        <v>560592</v>
      </c>
      <c r="E15" s="4">
        <v>560592</v>
      </c>
      <c r="F15" s="4" t="str">
        <f t="shared" si="15"/>
        <v>5605925</v>
      </c>
      <c r="G15" s="4" t="s">
        <v>83</v>
      </c>
      <c r="H15" s="5">
        <v>4957470801506</v>
      </c>
      <c r="I15" s="5">
        <v>5</v>
      </c>
      <c r="J15" s="5"/>
      <c r="K15" s="5">
        <v>1</v>
      </c>
      <c r="L15" s="5">
        <v>1</v>
      </c>
      <c r="M15" s="4">
        <v>0</v>
      </c>
      <c r="N15" s="4">
        <v>222</v>
      </c>
      <c r="O15" s="4">
        <v>62</v>
      </c>
      <c r="P15" s="6">
        <f t="shared" si="1"/>
        <v>0.72072072072072069</v>
      </c>
      <c r="Q15" s="4" t="s">
        <v>128</v>
      </c>
      <c r="R15" s="4"/>
      <c r="S15" s="4"/>
      <c r="T15" s="4"/>
      <c r="U15" s="4"/>
      <c r="V15" s="4"/>
      <c r="W15" s="4"/>
      <c r="X15" s="4"/>
      <c r="Y15" s="4"/>
      <c r="Z15" s="4">
        <v>0</v>
      </c>
      <c r="AA15" s="4">
        <f t="shared" si="2"/>
        <v>0</v>
      </c>
      <c r="AB15" s="4">
        <v>73</v>
      </c>
      <c r="AC15" s="4">
        <f t="shared" si="3"/>
        <v>73</v>
      </c>
      <c r="AD15" s="4"/>
      <c r="AE15" s="21">
        <f t="shared" si="4"/>
        <v>261</v>
      </c>
      <c r="AF15" s="6">
        <f t="shared" si="5"/>
        <v>0.72030651340996177</v>
      </c>
      <c r="AG15" s="4">
        <v>13.25</v>
      </c>
      <c r="AH15" s="4">
        <f t="shared" si="6"/>
        <v>198.04</v>
      </c>
      <c r="AI15" s="4">
        <f t="shared" si="7"/>
        <v>233.17612903225807</v>
      </c>
      <c r="AJ15" s="6">
        <f t="shared" si="8"/>
        <v>0.68693193294283983</v>
      </c>
      <c r="AK15" s="7">
        <v>200</v>
      </c>
      <c r="AL15" s="6">
        <f t="shared" si="9"/>
        <v>0.63500000000000001</v>
      </c>
      <c r="AM15" s="4">
        <f t="shared" si="10"/>
        <v>127</v>
      </c>
      <c r="AN15" s="28"/>
      <c r="AO15" s="6"/>
      <c r="AP15" s="6"/>
      <c r="AQ15" s="6" t="str">
        <f t="shared" si="11"/>
        <v>-</v>
      </c>
      <c r="AR15" s="6">
        <f t="shared" si="12"/>
        <v>0.90090090090090091</v>
      </c>
      <c r="AS15" s="6">
        <f t="shared" si="13"/>
        <v>1.1774193548387097</v>
      </c>
      <c r="AT15" s="4"/>
      <c r="AU15" s="4"/>
      <c r="AV15" s="4"/>
      <c r="AW15" s="4"/>
      <c r="AX15" s="4"/>
      <c r="AY15" s="4"/>
      <c r="AZ15" s="4"/>
      <c r="BA15" s="4"/>
      <c r="BB15" s="4"/>
      <c r="BC15" s="4" t="s">
        <v>74</v>
      </c>
      <c r="BD15" s="4" t="s">
        <v>165</v>
      </c>
      <c r="BE15" s="4">
        <v>1</v>
      </c>
      <c r="BF15" s="4">
        <v>25</v>
      </c>
      <c r="BG15" s="4" t="s">
        <v>164</v>
      </c>
      <c r="BH15" s="4">
        <v>4951</v>
      </c>
      <c r="BI15" s="4">
        <f t="shared" si="14"/>
        <v>198.04</v>
      </c>
      <c r="BJ15" s="19">
        <v>4</v>
      </c>
      <c r="BK15" s="19">
        <v>1</v>
      </c>
      <c r="BL15" s="16">
        <v>6</v>
      </c>
      <c r="BM15" t="s">
        <v>127</v>
      </c>
      <c r="BN15" t="str">
        <f t="shared" si="16"/>
        <v>-</v>
      </c>
      <c r="BO15" t="s">
        <v>127</v>
      </c>
      <c r="BP15" t="str">
        <f t="shared" si="17"/>
        <v>-</v>
      </c>
      <c r="BQ15" t="s">
        <v>138</v>
      </c>
    </row>
    <row r="16" spans="1:69" x14ac:dyDescent="0.4">
      <c r="A16" s="3">
        <v>15</v>
      </c>
      <c r="B16" s="3">
        <v>15</v>
      </c>
      <c r="C16" s="4">
        <v>560727</v>
      </c>
      <c r="D16" s="4" t="str">
        <f t="shared" si="0"/>
        <v>560727</v>
      </c>
      <c r="E16" s="4">
        <v>560727</v>
      </c>
      <c r="F16" s="4" t="str">
        <f t="shared" si="15"/>
        <v>5607275</v>
      </c>
      <c r="G16" s="4" t="s">
        <v>93</v>
      </c>
      <c r="H16" s="5">
        <v>4957470801605</v>
      </c>
      <c r="I16" s="5">
        <v>5</v>
      </c>
      <c r="J16" s="5"/>
      <c r="K16" s="5">
        <v>1</v>
      </c>
      <c r="L16" s="5">
        <v>1</v>
      </c>
      <c r="M16" s="4">
        <v>0</v>
      </c>
      <c r="N16" s="4">
        <v>146</v>
      </c>
      <c r="O16" s="4">
        <v>62</v>
      </c>
      <c r="P16" s="6">
        <f t="shared" si="1"/>
        <v>0.57534246575342474</v>
      </c>
      <c r="Q16" s="4" t="s">
        <v>128</v>
      </c>
      <c r="R16" s="4"/>
      <c r="S16" s="4"/>
      <c r="T16" s="4"/>
      <c r="U16" s="4"/>
      <c r="V16" s="4"/>
      <c r="W16" s="4"/>
      <c r="X16" s="4"/>
      <c r="Y16" s="4"/>
      <c r="Z16" s="4">
        <v>0</v>
      </c>
      <c r="AA16" s="4">
        <f t="shared" si="2"/>
        <v>0</v>
      </c>
      <c r="AB16" s="4">
        <v>73</v>
      </c>
      <c r="AC16" s="4">
        <f t="shared" si="3"/>
        <v>73</v>
      </c>
      <c r="AD16" s="4"/>
      <c r="AE16" s="21">
        <f t="shared" si="4"/>
        <v>172</v>
      </c>
      <c r="AF16" s="6">
        <f t="shared" si="5"/>
        <v>0.57558139534883723</v>
      </c>
      <c r="AG16" s="4">
        <v>52.75</v>
      </c>
      <c r="AH16" s="4">
        <f t="shared" si="6"/>
        <v>198.04</v>
      </c>
      <c r="AI16" s="4">
        <f t="shared" si="7"/>
        <v>233.17612903225807</v>
      </c>
      <c r="AJ16" s="6">
        <f t="shared" si="8"/>
        <v>0.68693193294283983</v>
      </c>
      <c r="AK16" s="7">
        <v>170</v>
      </c>
      <c r="AL16" s="6">
        <f t="shared" si="9"/>
        <v>0.57058823529411762</v>
      </c>
      <c r="AM16" s="4">
        <f t="shared" si="10"/>
        <v>97</v>
      </c>
      <c r="AN16" s="28"/>
      <c r="AO16" s="6"/>
      <c r="AP16" s="6"/>
      <c r="AQ16" s="6" t="str">
        <f t="shared" si="11"/>
        <v>-</v>
      </c>
      <c r="AR16" s="6">
        <f t="shared" si="12"/>
        <v>1.1643835616438356</v>
      </c>
      <c r="AS16" s="6">
        <f t="shared" si="13"/>
        <v>1.1774193548387097</v>
      </c>
      <c r="AT16" s="4"/>
      <c r="AU16" s="4"/>
      <c r="AV16" s="4"/>
      <c r="AW16" s="4"/>
      <c r="AX16" s="4"/>
      <c r="AY16" s="4"/>
      <c r="AZ16" s="4"/>
      <c r="BA16" s="4"/>
      <c r="BB16" s="4"/>
      <c r="BC16" s="4" t="s">
        <v>77</v>
      </c>
      <c r="BD16" s="4" t="s">
        <v>166</v>
      </c>
      <c r="BE16" s="4">
        <v>1</v>
      </c>
      <c r="BF16" s="4">
        <v>25</v>
      </c>
      <c r="BG16" s="4" t="s">
        <v>164</v>
      </c>
      <c r="BH16" s="4">
        <v>4951</v>
      </c>
      <c r="BI16" s="4">
        <f t="shared" si="14"/>
        <v>198.04</v>
      </c>
      <c r="BJ16" s="19">
        <v>4</v>
      </c>
      <c r="BK16" s="19">
        <v>1</v>
      </c>
      <c r="BL16" s="16">
        <v>6</v>
      </c>
      <c r="BM16" t="s">
        <v>127</v>
      </c>
      <c r="BN16" t="str">
        <f t="shared" si="16"/>
        <v>-</v>
      </c>
      <c r="BO16" t="s">
        <v>127</v>
      </c>
      <c r="BP16" t="str">
        <f t="shared" si="17"/>
        <v>-</v>
      </c>
      <c r="BQ16" t="s">
        <v>139</v>
      </c>
    </row>
    <row r="17" spans="1:69" x14ac:dyDescent="0.4">
      <c r="A17" s="3">
        <v>12</v>
      </c>
      <c r="B17" s="3">
        <v>12</v>
      </c>
      <c r="C17" s="4">
        <v>560691</v>
      </c>
      <c r="D17" s="4" t="str">
        <f t="shared" si="0"/>
        <v>560691</v>
      </c>
      <c r="E17" s="4">
        <v>560691</v>
      </c>
      <c r="F17" s="4" t="str">
        <f t="shared" si="15"/>
        <v>5606915</v>
      </c>
      <c r="G17" s="4" t="s">
        <v>90</v>
      </c>
      <c r="H17" s="5">
        <v>4957470810201</v>
      </c>
      <c r="I17" s="5">
        <v>5</v>
      </c>
      <c r="J17" s="5"/>
      <c r="K17" s="5">
        <v>1</v>
      </c>
      <c r="L17" s="5">
        <v>1</v>
      </c>
      <c r="M17" s="4">
        <v>0</v>
      </c>
      <c r="N17" s="4">
        <v>185</v>
      </c>
      <c r="O17" s="4">
        <v>69</v>
      </c>
      <c r="P17" s="6">
        <f t="shared" si="1"/>
        <v>0.62702702702702706</v>
      </c>
      <c r="Q17" s="4" t="s">
        <v>128</v>
      </c>
      <c r="R17" s="4"/>
      <c r="S17" s="4"/>
      <c r="T17" s="4"/>
      <c r="U17" s="4"/>
      <c r="V17" s="4"/>
      <c r="W17" s="4"/>
      <c r="X17" s="4"/>
      <c r="Y17" s="4"/>
      <c r="Z17" s="4">
        <v>0</v>
      </c>
      <c r="AA17" s="4">
        <f t="shared" si="2"/>
        <v>0</v>
      </c>
      <c r="AB17" s="4">
        <v>79</v>
      </c>
      <c r="AC17" s="4">
        <f t="shared" si="3"/>
        <v>79</v>
      </c>
      <c r="AD17" s="4"/>
      <c r="AE17" s="21">
        <f t="shared" si="4"/>
        <v>212</v>
      </c>
      <c r="AF17" s="6">
        <f t="shared" si="5"/>
        <v>0.62735849056603776</v>
      </c>
      <c r="AG17" s="4">
        <v>37.5</v>
      </c>
      <c r="AH17" s="4" t="str">
        <f t="shared" si="6"/>
        <v>-</v>
      </c>
      <c r="AI17" s="4" t="str">
        <f t="shared" si="7"/>
        <v>-</v>
      </c>
      <c r="AJ17" s="6" t="str">
        <f t="shared" si="8"/>
        <v>-</v>
      </c>
      <c r="AK17" s="7">
        <v>190</v>
      </c>
      <c r="AL17" s="6">
        <f t="shared" si="9"/>
        <v>0.58421052631578951</v>
      </c>
      <c r="AM17" s="4">
        <f t="shared" si="10"/>
        <v>111</v>
      </c>
      <c r="AN17" s="28"/>
      <c r="AO17" s="6"/>
      <c r="AP17" s="6"/>
      <c r="AQ17" s="6" t="str">
        <f t="shared" si="11"/>
        <v>-</v>
      </c>
      <c r="AR17" s="6">
        <f t="shared" si="12"/>
        <v>1.027027027027027</v>
      </c>
      <c r="AS17" s="6">
        <f t="shared" si="13"/>
        <v>1.144927536231884</v>
      </c>
      <c r="AT17" s="4"/>
      <c r="AU17" s="4"/>
      <c r="AV17" s="4"/>
      <c r="AW17" s="4"/>
      <c r="AX17" s="4"/>
      <c r="AY17" s="4"/>
      <c r="AZ17" s="4"/>
      <c r="BA17" s="4"/>
      <c r="BB17" s="4"/>
      <c r="BC17" s="4" t="s">
        <v>74</v>
      </c>
      <c r="BD17" s="4" t="s">
        <v>127</v>
      </c>
      <c r="BE17" s="4"/>
      <c r="BF17" s="4"/>
      <c r="BG17" s="4" t="s">
        <v>127</v>
      </c>
      <c r="BH17" s="4" t="s">
        <v>127</v>
      </c>
      <c r="BI17" s="4" t="str">
        <f t="shared" si="14"/>
        <v>-</v>
      </c>
      <c r="BJ17" s="19">
        <v>4</v>
      </c>
      <c r="BK17" s="19">
        <v>1</v>
      </c>
      <c r="BL17" s="16">
        <v>6</v>
      </c>
      <c r="BM17" t="s">
        <v>127</v>
      </c>
      <c r="BN17" t="str">
        <f t="shared" si="16"/>
        <v>-</v>
      </c>
      <c r="BO17" t="s">
        <v>127</v>
      </c>
      <c r="BP17" t="str">
        <f t="shared" si="17"/>
        <v>-</v>
      </c>
      <c r="BQ17" t="s">
        <v>127</v>
      </c>
    </row>
    <row r="18" spans="1:69" x14ac:dyDescent="0.4">
      <c r="A18" s="3">
        <v>13</v>
      </c>
      <c r="B18" s="3">
        <v>13</v>
      </c>
      <c r="C18" s="4">
        <v>560709</v>
      </c>
      <c r="D18" s="4" t="str">
        <f t="shared" si="0"/>
        <v>560709</v>
      </c>
      <c r="E18" s="4">
        <v>560709</v>
      </c>
      <c r="F18" s="4" t="str">
        <f t="shared" si="15"/>
        <v>5607095</v>
      </c>
      <c r="G18" s="4" t="s">
        <v>91</v>
      </c>
      <c r="H18" s="5">
        <v>4957470810102</v>
      </c>
      <c r="I18" s="5">
        <v>5</v>
      </c>
      <c r="J18" s="5"/>
      <c r="K18" s="5">
        <v>1</v>
      </c>
      <c r="L18" s="5">
        <v>1</v>
      </c>
      <c r="M18" s="4">
        <v>0</v>
      </c>
      <c r="N18" s="4">
        <v>125</v>
      </c>
      <c r="O18" s="4">
        <v>69</v>
      </c>
      <c r="P18" s="6">
        <f t="shared" si="1"/>
        <v>0.44799999999999995</v>
      </c>
      <c r="Q18" s="4" t="s">
        <v>128</v>
      </c>
      <c r="R18" s="4"/>
      <c r="S18" s="4"/>
      <c r="T18" s="4"/>
      <c r="U18" s="4"/>
      <c r="V18" s="4"/>
      <c r="W18" s="4"/>
      <c r="X18" s="4"/>
      <c r="Y18" s="4"/>
      <c r="Z18" s="4">
        <v>0</v>
      </c>
      <c r="AA18" s="4">
        <f t="shared" si="2"/>
        <v>0</v>
      </c>
      <c r="AB18" s="4">
        <v>79</v>
      </c>
      <c r="AC18" s="4">
        <f t="shared" si="3"/>
        <v>79</v>
      </c>
      <c r="AD18" s="4"/>
      <c r="AE18" s="21">
        <f t="shared" si="4"/>
        <v>143</v>
      </c>
      <c r="AF18" s="6">
        <f t="shared" si="5"/>
        <v>0.44755244755244761</v>
      </c>
      <c r="AG18" s="4">
        <v>160</v>
      </c>
      <c r="AH18" s="4" t="str">
        <f t="shared" si="6"/>
        <v>-</v>
      </c>
      <c r="AI18" s="4" t="str">
        <f t="shared" si="7"/>
        <v>-</v>
      </c>
      <c r="AJ18" s="6" t="str">
        <f t="shared" si="8"/>
        <v>-</v>
      </c>
      <c r="AK18" s="7">
        <v>190</v>
      </c>
      <c r="AL18" s="6">
        <f t="shared" si="9"/>
        <v>0.58421052631578951</v>
      </c>
      <c r="AM18" s="4">
        <f t="shared" si="10"/>
        <v>111</v>
      </c>
      <c r="AN18" s="28"/>
      <c r="AO18" s="6"/>
      <c r="AP18" s="6"/>
      <c r="AQ18" s="6" t="str">
        <f t="shared" si="11"/>
        <v>-</v>
      </c>
      <c r="AR18" s="6">
        <f t="shared" si="12"/>
        <v>1.52</v>
      </c>
      <c r="AS18" s="6">
        <f t="shared" si="13"/>
        <v>1.144927536231884</v>
      </c>
      <c r="AT18" s="4"/>
      <c r="AU18" s="4"/>
      <c r="AV18" s="4"/>
      <c r="AW18" s="4"/>
      <c r="AX18" s="4"/>
      <c r="AY18" s="4"/>
      <c r="AZ18" s="4"/>
      <c r="BA18" s="4"/>
      <c r="BB18" s="4"/>
      <c r="BC18" s="4" t="s">
        <v>74</v>
      </c>
      <c r="BD18" s="4" t="s">
        <v>127</v>
      </c>
      <c r="BE18" s="4"/>
      <c r="BF18" s="4"/>
      <c r="BG18" s="4" t="s">
        <v>127</v>
      </c>
      <c r="BH18" s="4" t="s">
        <v>127</v>
      </c>
      <c r="BI18" s="4" t="str">
        <f t="shared" si="14"/>
        <v>-</v>
      </c>
      <c r="BJ18" s="19">
        <v>4</v>
      </c>
      <c r="BK18" s="19">
        <v>1</v>
      </c>
      <c r="BL18" s="16">
        <v>6</v>
      </c>
      <c r="BM18" t="s">
        <v>127</v>
      </c>
      <c r="BN18" t="str">
        <f t="shared" si="16"/>
        <v>-</v>
      </c>
      <c r="BO18" t="s">
        <v>127</v>
      </c>
      <c r="BP18" t="str">
        <f t="shared" si="17"/>
        <v>-</v>
      </c>
      <c r="BQ18" t="s">
        <v>127</v>
      </c>
    </row>
    <row r="19" spans="1:69" x14ac:dyDescent="0.4">
      <c r="A19" s="3">
        <v>14</v>
      </c>
      <c r="B19" s="3">
        <v>14</v>
      </c>
      <c r="C19" s="4">
        <v>560718</v>
      </c>
      <c r="D19" s="4" t="str">
        <f t="shared" si="0"/>
        <v>560718</v>
      </c>
      <c r="E19" s="4">
        <v>560718</v>
      </c>
      <c r="F19" s="4" t="str">
        <f t="shared" si="15"/>
        <v>5607185</v>
      </c>
      <c r="G19" s="4" t="s">
        <v>92</v>
      </c>
      <c r="H19" s="5">
        <v>4957470810300</v>
      </c>
      <c r="I19" s="5">
        <v>5</v>
      </c>
      <c r="J19" s="5"/>
      <c r="K19" s="5">
        <v>1</v>
      </c>
      <c r="L19" s="5">
        <v>1</v>
      </c>
      <c r="M19" s="4">
        <v>0</v>
      </c>
      <c r="N19" s="4">
        <v>185</v>
      </c>
      <c r="O19" s="4">
        <v>69</v>
      </c>
      <c r="P19" s="6">
        <f t="shared" si="1"/>
        <v>0.62702702702702706</v>
      </c>
      <c r="Q19" s="4" t="s">
        <v>128</v>
      </c>
      <c r="R19" s="4"/>
      <c r="S19" s="4"/>
      <c r="T19" s="4"/>
      <c r="U19" s="4"/>
      <c r="V19" s="4"/>
      <c r="W19" s="4"/>
      <c r="X19" s="4"/>
      <c r="Y19" s="4"/>
      <c r="Z19" s="4">
        <v>0</v>
      </c>
      <c r="AA19" s="4">
        <f t="shared" si="2"/>
        <v>0</v>
      </c>
      <c r="AB19" s="4">
        <v>79</v>
      </c>
      <c r="AC19" s="4">
        <f t="shared" si="3"/>
        <v>79</v>
      </c>
      <c r="AD19" s="4"/>
      <c r="AE19" s="21">
        <f t="shared" si="4"/>
        <v>212</v>
      </c>
      <c r="AF19" s="6">
        <f t="shared" si="5"/>
        <v>0.62735849056603776</v>
      </c>
      <c r="AG19" s="4">
        <v>33.75</v>
      </c>
      <c r="AH19" s="4" t="str">
        <f t="shared" si="6"/>
        <v>-</v>
      </c>
      <c r="AI19" s="4" t="str">
        <f t="shared" si="7"/>
        <v>-</v>
      </c>
      <c r="AJ19" s="6" t="str">
        <f t="shared" si="8"/>
        <v>-</v>
      </c>
      <c r="AK19" s="7">
        <v>190</v>
      </c>
      <c r="AL19" s="6">
        <f t="shared" si="9"/>
        <v>0.58421052631578951</v>
      </c>
      <c r="AM19" s="4">
        <f t="shared" si="10"/>
        <v>111</v>
      </c>
      <c r="AN19" s="28"/>
      <c r="AO19" s="6"/>
      <c r="AP19" s="6"/>
      <c r="AQ19" s="6" t="str">
        <f t="shared" si="11"/>
        <v>-</v>
      </c>
      <c r="AR19" s="6">
        <f t="shared" si="12"/>
        <v>1.027027027027027</v>
      </c>
      <c r="AS19" s="6">
        <f t="shared" si="13"/>
        <v>1.144927536231884</v>
      </c>
      <c r="AT19" s="4"/>
      <c r="AU19" s="4"/>
      <c r="AV19" s="4"/>
      <c r="AW19" s="4"/>
      <c r="AX19" s="4"/>
      <c r="AY19" s="4"/>
      <c r="AZ19" s="4"/>
      <c r="BA19" s="4"/>
      <c r="BB19" s="4"/>
      <c r="BC19" s="4" t="s">
        <v>74</v>
      </c>
      <c r="BD19" s="4" t="s">
        <v>127</v>
      </c>
      <c r="BE19" s="4"/>
      <c r="BF19" s="4"/>
      <c r="BG19" s="4" t="s">
        <v>127</v>
      </c>
      <c r="BH19" s="4" t="s">
        <v>127</v>
      </c>
      <c r="BI19" s="4" t="str">
        <f t="shared" si="14"/>
        <v>-</v>
      </c>
      <c r="BJ19" s="19">
        <v>4</v>
      </c>
      <c r="BK19" s="19">
        <v>1</v>
      </c>
      <c r="BL19" s="16">
        <v>6</v>
      </c>
      <c r="BM19" t="s">
        <v>127</v>
      </c>
      <c r="BN19" t="str">
        <f t="shared" si="16"/>
        <v>-</v>
      </c>
      <c r="BO19" t="s">
        <v>127</v>
      </c>
      <c r="BP19" t="str">
        <f t="shared" si="17"/>
        <v>-</v>
      </c>
      <c r="BQ19" t="s">
        <v>127</v>
      </c>
    </row>
    <row r="20" spans="1:69" x14ac:dyDescent="0.4">
      <c r="A20" s="3">
        <v>21</v>
      </c>
      <c r="B20" s="3">
        <v>21</v>
      </c>
      <c r="C20" s="4">
        <v>560781</v>
      </c>
      <c r="D20" s="4" t="str">
        <f t="shared" si="0"/>
        <v>560781</v>
      </c>
      <c r="E20" s="4">
        <v>560781</v>
      </c>
      <c r="F20" s="4" t="str">
        <f t="shared" si="15"/>
        <v>5607815</v>
      </c>
      <c r="G20" s="4" t="s">
        <v>99</v>
      </c>
      <c r="H20" s="5">
        <v>4957470810607</v>
      </c>
      <c r="I20" s="5">
        <v>5</v>
      </c>
      <c r="J20" s="5"/>
      <c r="K20" s="5">
        <v>1</v>
      </c>
      <c r="L20" s="5">
        <v>1</v>
      </c>
      <c r="M20" s="4">
        <v>0</v>
      </c>
      <c r="N20" s="4">
        <v>132</v>
      </c>
      <c r="O20" s="4">
        <v>69</v>
      </c>
      <c r="P20" s="6">
        <f t="shared" si="1"/>
        <v>0.47727272727272729</v>
      </c>
      <c r="Q20" s="4" t="s">
        <v>128</v>
      </c>
      <c r="R20" s="4"/>
      <c r="S20" s="4"/>
      <c r="T20" s="4"/>
      <c r="U20" s="4"/>
      <c r="V20" s="4"/>
      <c r="W20" s="4"/>
      <c r="X20" s="4"/>
      <c r="Y20" s="4"/>
      <c r="Z20" s="4">
        <v>0</v>
      </c>
      <c r="AA20" s="4">
        <f t="shared" si="2"/>
        <v>0</v>
      </c>
      <c r="AB20" s="4">
        <v>79</v>
      </c>
      <c r="AC20" s="4">
        <f t="shared" si="3"/>
        <v>79</v>
      </c>
      <c r="AD20" s="4"/>
      <c r="AE20" s="21">
        <f t="shared" si="4"/>
        <v>151</v>
      </c>
      <c r="AF20" s="6">
        <f t="shared" si="5"/>
        <v>0.47682119205298013</v>
      </c>
      <c r="AG20" s="4">
        <v>128.5</v>
      </c>
      <c r="AH20" s="4" t="str">
        <f t="shared" si="6"/>
        <v>-</v>
      </c>
      <c r="AI20" s="4" t="str">
        <f t="shared" si="7"/>
        <v>-</v>
      </c>
      <c r="AJ20" s="6" t="str">
        <f t="shared" si="8"/>
        <v>-</v>
      </c>
      <c r="AK20" s="7">
        <v>190</v>
      </c>
      <c r="AL20" s="6">
        <f t="shared" si="9"/>
        <v>0.58421052631578951</v>
      </c>
      <c r="AM20" s="4">
        <f t="shared" si="10"/>
        <v>111</v>
      </c>
      <c r="AN20" s="28"/>
      <c r="AO20" s="6"/>
      <c r="AP20" s="6"/>
      <c r="AQ20" s="6" t="str">
        <f t="shared" si="11"/>
        <v>-</v>
      </c>
      <c r="AR20" s="6">
        <f t="shared" si="12"/>
        <v>1.4393939393939394</v>
      </c>
      <c r="AS20" s="6">
        <f t="shared" si="13"/>
        <v>1.144927536231884</v>
      </c>
      <c r="AT20" s="4"/>
      <c r="AU20" s="4"/>
      <c r="AV20" s="4"/>
      <c r="AW20" s="4"/>
      <c r="AX20" s="4"/>
      <c r="AY20" s="4"/>
      <c r="AZ20" s="4"/>
      <c r="BA20" s="4"/>
      <c r="BB20" s="4"/>
      <c r="BC20" s="4" t="s">
        <v>77</v>
      </c>
      <c r="BD20" s="4" t="s">
        <v>127</v>
      </c>
      <c r="BE20" s="4"/>
      <c r="BF20" s="4"/>
      <c r="BG20" s="4" t="s">
        <v>127</v>
      </c>
      <c r="BH20" s="4" t="s">
        <v>127</v>
      </c>
      <c r="BI20" s="4" t="str">
        <f t="shared" si="14"/>
        <v>-</v>
      </c>
      <c r="BJ20" s="19">
        <v>4</v>
      </c>
      <c r="BK20" s="19">
        <v>1</v>
      </c>
      <c r="BL20" s="16">
        <v>6</v>
      </c>
      <c r="BM20" t="s">
        <v>127</v>
      </c>
      <c r="BN20" t="str">
        <f t="shared" si="16"/>
        <v>-</v>
      </c>
      <c r="BO20" t="s">
        <v>127</v>
      </c>
      <c r="BP20" t="str">
        <f t="shared" si="17"/>
        <v>-</v>
      </c>
      <c r="BQ20" t="s">
        <v>127</v>
      </c>
    </row>
    <row r="21" spans="1:69" x14ac:dyDescent="0.4">
      <c r="A21" s="3">
        <v>22</v>
      </c>
      <c r="B21" s="3">
        <v>22</v>
      </c>
      <c r="C21" s="4">
        <v>560799</v>
      </c>
      <c r="D21" s="4" t="str">
        <f t="shared" si="0"/>
        <v>560799</v>
      </c>
      <c r="E21" s="4">
        <v>560799</v>
      </c>
      <c r="F21" s="4" t="str">
        <f t="shared" si="15"/>
        <v>5607995</v>
      </c>
      <c r="G21" s="4" t="s">
        <v>100</v>
      </c>
      <c r="H21" s="5">
        <v>4957470810409</v>
      </c>
      <c r="I21" s="5">
        <v>5</v>
      </c>
      <c r="J21" s="5"/>
      <c r="K21" s="5">
        <v>1</v>
      </c>
      <c r="L21" s="5">
        <v>1</v>
      </c>
      <c r="M21" s="4">
        <v>0</v>
      </c>
      <c r="N21" s="4">
        <v>185</v>
      </c>
      <c r="O21" s="4">
        <v>69</v>
      </c>
      <c r="P21" s="6">
        <f t="shared" si="1"/>
        <v>0.62702702702702706</v>
      </c>
      <c r="Q21" s="4" t="s">
        <v>128</v>
      </c>
      <c r="R21" s="4"/>
      <c r="S21" s="4"/>
      <c r="T21" s="4"/>
      <c r="U21" s="4"/>
      <c r="V21" s="4"/>
      <c r="W21" s="4"/>
      <c r="X21" s="4"/>
      <c r="Y21" s="4"/>
      <c r="Z21" s="4">
        <v>0</v>
      </c>
      <c r="AA21" s="4">
        <f t="shared" si="2"/>
        <v>0</v>
      </c>
      <c r="AB21" s="4">
        <v>79</v>
      </c>
      <c r="AC21" s="4">
        <f t="shared" si="3"/>
        <v>79</v>
      </c>
      <c r="AD21" s="4"/>
      <c r="AE21" s="21">
        <f t="shared" si="4"/>
        <v>212</v>
      </c>
      <c r="AF21" s="6">
        <f t="shared" si="5"/>
        <v>0.62735849056603776</v>
      </c>
      <c r="AG21" s="4">
        <v>18.5</v>
      </c>
      <c r="AH21" s="4" t="str">
        <f t="shared" si="6"/>
        <v>-</v>
      </c>
      <c r="AI21" s="4" t="str">
        <f t="shared" si="7"/>
        <v>-</v>
      </c>
      <c r="AJ21" s="6" t="str">
        <f t="shared" si="8"/>
        <v>-</v>
      </c>
      <c r="AK21" s="7">
        <v>190</v>
      </c>
      <c r="AL21" s="6">
        <f t="shared" si="9"/>
        <v>0.58421052631578951</v>
      </c>
      <c r="AM21" s="4">
        <f t="shared" si="10"/>
        <v>111</v>
      </c>
      <c r="AN21" s="28"/>
      <c r="AO21" s="6"/>
      <c r="AP21" s="6"/>
      <c r="AQ21" s="6" t="str">
        <f t="shared" si="11"/>
        <v>-</v>
      </c>
      <c r="AR21" s="6">
        <f t="shared" si="12"/>
        <v>1.027027027027027</v>
      </c>
      <c r="AS21" s="6">
        <f t="shared" si="13"/>
        <v>1.144927536231884</v>
      </c>
      <c r="AT21" s="4"/>
      <c r="AU21" s="4"/>
      <c r="AV21" s="4"/>
      <c r="AW21" s="4"/>
      <c r="AX21" s="4"/>
      <c r="AY21" s="4"/>
      <c r="AZ21" s="4"/>
      <c r="BA21" s="4"/>
      <c r="BB21" s="4"/>
      <c r="BC21" s="4" t="s">
        <v>77</v>
      </c>
      <c r="BD21" s="4" t="s">
        <v>127</v>
      </c>
      <c r="BE21" s="4"/>
      <c r="BF21" s="4"/>
      <c r="BG21" s="4" t="s">
        <v>127</v>
      </c>
      <c r="BH21" s="4" t="s">
        <v>127</v>
      </c>
      <c r="BI21" s="4" t="str">
        <f t="shared" si="14"/>
        <v>-</v>
      </c>
      <c r="BJ21" s="19">
        <v>4</v>
      </c>
      <c r="BK21" s="19">
        <v>1</v>
      </c>
      <c r="BL21" s="16">
        <v>6</v>
      </c>
      <c r="BM21" t="s">
        <v>127</v>
      </c>
      <c r="BN21" t="str">
        <f t="shared" si="16"/>
        <v>-</v>
      </c>
      <c r="BO21" t="s">
        <v>127</v>
      </c>
      <c r="BP21" t="str">
        <f t="shared" si="17"/>
        <v>-</v>
      </c>
      <c r="BQ21" t="s">
        <v>127</v>
      </c>
    </row>
    <row r="22" spans="1:69" x14ac:dyDescent="0.4">
      <c r="A22" s="3">
        <v>10</v>
      </c>
      <c r="B22" s="3">
        <v>10</v>
      </c>
      <c r="C22" s="4">
        <v>560673</v>
      </c>
      <c r="D22" s="4" t="str">
        <f t="shared" si="0"/>
        <v>560673</v>
      </c>
      <c r="E22" s="4">
        <v>560673</v>
      </c>
      <c r="F22" s="4" t="str">
        <f t="shared" si="15"/>
        <v>5606735</v>
      </c>
      <c r="G22" s="4" t="s">
        <v>88</v>
      </c>
      <c r="H22" s="5">
        <v>4957470110851</v>
      </c>
      <c r="I22" s="5">
        <v>5</v>
      </c>
      <c r="J22" s="5"/>
      <c r="K22" s="5">
        <v>1</v>
      </c>
      <c r="L22" s="5">
        <v>1</v>
      </c>
      <c r="M22" s="4">
        <v>0</v>
      </c>
      <c r="N22" s="4">
        <v>268</v>
      </c>
      <c r="O22" s="4">
        <v>108.5</v>
      </c>
      <c r="P22" s="6">
        <f t="shared" si="1"/>
        <v>0.59514925373134331</v>
      </c>
      <c r="Q22" s="4" t="s">
        <v>128</v>
      </c>
      <c r="R22" s="4"/>
      <c r="S22" s="4"/>
      <c r="T22" s="4"/>
      <c r="U22" s="4"/>
      <c r="V22" s="4"/>
      <c r="W22" s="4"/>
      <c r="X22" s="4"/>
      <c r="Y22" s="4"/>
      <c r="Z22" s="4">
        <v>0</v>
      </c>
      <c r="AA22" s="4">
        <f t="shared" si="2"/>
        <v>0</v>
      </c>
      <c r="AB22" s="4">
        <v>127</v>
      </c>
      <c r="AC22" s="4">
        <f t="shared" si="3"/>
        <v>127</v>
      </c>
      <c r="AD22" s="4"/>
      <c r="AE22" s="21">
        <f t="shared" si="4"/>
        <v>314</v>
      </c>
      <c r="AF22" s="6">
        <f t="shared" si="5"/>
        <v>0.59554140127388533</v>
      </c>
      <c r="AG22" s="4">
        <v>2</v>
      </c>
      <c r="AH22" s="4" t="str">
        <f t="shared" si="6"/>
        <v>-</v>
      </c>
      <c r="AI22" s="4" t="str">
        <f t="shared" si="7"/>
        <v>-</v>
      </c>
      <c r="AJ22" s="6" t="str">
        <f t="shared" si="8"/>
        <v>-</v>
      </c>
      <c r="AK22" s="7">
        <v>290</v>
      </c>
      <c r="AL22" s="6">
        <f t="shared" si="9"/>
        <v>0.56206896551724139</v>
      </c>
      <c r="AM22" s="4">
        <f t="shared" si="10"/>
        <v>163</v>
      </c>
      <c r="AN22" s="28"/>
      <c r="AO22" s="6"/>
      <c r="AP22" s="6"/>
      <c r="AQ22" s="6" t="str">
        <f t="shared" si="11"/>
        <v>-</v>
      </c>
      <c r="AR22" s="6">
        <f t="shared" si="12"/>
        <v>1.0820895522388059</v>
      </c>
      <c r="AS22" s="6">
        <f t="shared" si="13"/>
        <v>1.1705069124423964</v>
      </c>
      <c r="AT22" s="4"/>
      <c r="AU22" s="4"/>
      <c r="AV22" s="4"/>
      <c r="AW22" s="4"/>
      <c r="AX22" s="4"/>
      <c r="AY22" s="4"/>
      <c r="AZ22" s="4"/>
      <c r="BA22" s="4"/>
      <c r="BB22" s="4"/>
      <c r="BC22" s="4" t="s">
        <v>76</v>
      </c>
      <c r="BD22" s="4" t="s">
        <v>127</v>
      </c>
      <c r="BE22" s="4"/>
      <c r="BF22" s="4"/>
      <c r="BG22" s="4" t="s">
        <v>127</v>
      </c>
      <c r="BH22" s="4" t="s">
        <v>127</v>
      </c>
      <c r="BI22" s="4" t="str">
        <f t="shared" si="14"/>
        <v>-</v>
      </c>
      <c r="BJ22" s="19">
        <v>4</v>
      </c>
      <c r="BK22" s="19">
        <v>1</v>
      </c>
      <c r="BL22" s="16">
        <v>6</v>
      </c>
      <c r="BM22" t="s">
        <v>127</v>
      </c>
      <c r="BN22" t="str">
        <f t="shared" si="16"/>
        <v>-</v>
      </c>
      <c r="BO22" t="s">
        <v>127</v>
      </c>
      <c r="BP22" t="str">
        <f t="shared" si="17"/>
        <v>-</v>
      </c>
      <c r="BQ22" t="s">
        <v>127</v>
      </c>
    </row>
    <row r="23" spans="1:69" x14ac:dyDescent="0.4">
      <c r="A23" s="3">
        <v>11</v>
      </c>
      <c r="B23" s="3">
        <v>11</v>
      </c>
      <c r="C23" s="4">
        <v>560682</v>
      </c>
      <c r="D23" s="4" t="str">
        <f t="shared" si="0"/>
        <v>560682</v>
      </c>
      <c r="E23" s="4">
        <v>560682</v>
      </c>
      <c r="F23" s="4" t="str">
        <f t="shared" si="15"/>
        <v>5606825</v>
      </c>
      <c r="G23" s="4" t="s">
        <v>89</v>
      </c>
      <c r="H23" s="5">
        <v>4957470891101</v>
      </c>
      <c r="I23" s="5">
        <v>5</v>
      </c>
      <c r="J23" s="5"/>
      <c r="K23" s="5">
        <v>1</v>
      </c>
      <c r="L23" s="5">
        <v>1</v>
      </c>
      <c r="M23" s="4">
        <v>0</v>
      </c>
      <c r="N23" s="4">
        <v>246</v>
      </c>
      <c r="O23" s="4">
        <v>108.5</v>
      </c>
      <c r="P23" s="6">
        <f t="shared" si="1"/>
        <v>0.55894308943089432</v>
      </c>
      <c r="Q23" s="4" t="s">
        <v>128</v>
      </c>
      <c r="R23" s="4"/>
      <c r="S23" s="4"/>
      <c r="T23" s="4"/>
      <c r="U23" s="4"/>
      <c r="V23" s="4"/>
      <c r="W23" s="4"/>
      <c r="X23" s="4"/>
      <c r="Y23" s="4"/>
      <c r="Z23" s="4">
        <v>0</v>
      </c>
      <c r="AA23" s="4">
        <f t="shared" si="2"/>
        <v>0</v>
      </c>
      <c r="AB23" s="4">
        <v>127</v>
      </c>
      <c r="AC23" s="4">
        <f t="shared" si="3"/>
        <v>127</v>
      </c>
      <c r="AD23" s="4"/>
      <c r="AE23" s="21">
        <f t="shared" si="4"/>
        <v>288</v>
      </c>
      <c r="AF23" s="6">
        <f t="shared" si="5"/>
        <v>0.55902777777777779</v>
      </c>
      <c r="AG23" s="4">
        <v>46.5</v>
      </c>
      <c r="AH23" s="4" t="str">
        <f t="shared" si="6"/>
        <v>-</v>
      </c>
      <c r="AI23" s="4" t="str">
        <f t="shared" si="7"/>
        <v>-</v>
      </c>
      <c r="AJ23" s="6" t="str">
        <f t="shared" si="8"/>
        <v>-</v>
      </c>
      <c r="AK23" s="7">
        <v>290</v>
      </c>
      <c r="AL23" s="6">
        <f t="shared" si="9"/>
        <v>0.56206896551724139</v>
      </c>
      <c r="AM23" s="4">
        <f t="shared" si="10"/>
        <v>163</v>
      </c>
      <c r="AN23" s="28"/>
      <c r="AO23" s="6"/>
      <c r="AP23" s="6"/>
      <c r="AQ23" s="6" t="str">
        <f t="shared" si="11"/>
        <v>-</v>
      </c>
      <c r="AR23" s="6">
        <f t="shared" si="12"/>
        <v>1.1788617886178863</v>
      </c>
      <c r="AS23" s="6">
        <f t="shared" si="13"/>
        <v>1.1705069124423964</v>
      </c>
      <c r="AT23" s="4"/>
      <c r="AU23" s="4"/>
      <c r="AV23" s="4"/>
      <c r="AW23" s="4"/>
      <c r="AX23" s="4"/>
      <c r="AY23" s="4"/>
      <c r="AZ23" s="4"/>
      <c r="BA23" s="4"/>
      <c r="BB23" s="4"/>
      <c r="BC23" s="4" t="s">
        <v>74</v>
      </c>
      <c r="BD23" s="4" t="s">
        <v>127</v>
      </c>
      <c r="BE23" s="4"/>
      <c r="BF23" s="4"/>
      <c r="BG23" s="4" t="s">
        <v>127</v>
      </c>
      <c r="BH23" s="4" t="s">
        <v>127</v>
      </c>
      <c r="BI23" s="4" t="str">
        <f t="shared" si="14"/>
        <v>-</v>
      </c>
      <c r="BJ23" s="19">
        <v>4</v>
      </c>
      <c r="BK23" s="19">
        <v>1</v>
      </c>
      <c r="BL23" s="16">
        <v>6</v>
      </c>
      <c r="BM23" t="s">
        <v>127</v>
      </c>
      <c r="BN23" t="str">
        <f t="shared" si="16"/>
        <v>-</v>
      </c>
      <c r="BO23">
        <v>241</v>
      </c>
      <c r="BP23">
        <f t="shared" si="17"/>
        <v>282.09216589861751</v>
      </c>
      <c r="BQ23" t="s">
        <v>127</v>
      </c>
    </row>
    <row r="24" spans="1:69" x14ac:dyDescent="0.4">
      <c r="A24" s="3">
        <v>19</v>
      </c>
      <c r="B24" s="3">
        <v>19</v>
      </c>
      <c r="C24" s="4">
        <v>560763</v>
      </c>
      <c r="D24" s="4" t="str">
        <f t="shared" si="0"/>
        <v>560763</v>
      </c>
      <c r="E24" s="4">
        <v>560763</v>
      </c>
      <c r="F24" s="4" t="str">
        <f t="shared" si="15"/>
        <v>5607635</v>
      </c>
      <c r="G24" s="4" t="s">
        <v>97</v>
      </c>
      <c r="H24" s="5">
        <v>4957470111759</v>
      </c>
      <c r="I24" s="5">
        <v>5</v>
      </c>
      <c r="J24" s="5"/>
      <c r="K24" s="5">
        <v>1</v>
      </c>
      <c r="L24" s="5">
        <v>1</v>
      </c>
      <c r="M24" s="4">
        <v>0</v>
      </c>
      <c r="N24" s="4">
        <v>268</v>
      </c>
      <c r="O24" s="4">
        <v>108.5</v>
      </c>
      <c r="P24" s="6">
        <f t="shared" si="1"/>
        <v>0.59514925373134331</v>
      </c>
      <c r="Q24" s="4" t="s">
        <v>128</v>
      </c>
      <c r="R24" s="4"/>
      <c r="S24" s="4"/>
      <c r="T24" s="4"/>
      <c r="U24" s="4"/>
      <c r="V24" s="4"/>
      <c r="W24" s="4"/>
      <c r="X24" s="4"/>
      <c r="Y24" s="4"/>
      <c r="Z24" s="4">
        <v>0</v>
      </c>
      <c r="AA24" s="4">
        <f t="shared" si="2"/>
        <v>0</v>
      </c>
      <c r="AB24" s="4">
        <v>127</v>
      </c>
      <c r="AC24" s="4">
        <f t="shared" si="3"/>
        <v>127</v>
      </c>
      <c r="AD24" s="4"/>
      <c r="AE24" s="21">
        <f t="shared" si="4"/>
        <v>314</v>
      </c>
      <c r="AF24" s="6">
        <f t="shared" si="5"/>
        <v>0.59554140127388533</v>
      </c>
      <c r="AG24" s="4">
        <v>8.75</v>
      </c>
      <c r="AH24" s="4" t="str">
        <f t="shared" si="6"/>
        <v>-</v>
      </c>
      <c r="AI24" s="4" t="str">
        <f t="shared" si="7"/>
        <v>-</v>
      </c>
      <c r="AJ24" s="6" t="str">
        <f t="shared" si="8"/>
        <v>-</v>
      </c>
      <c r="AK24" s="7">
        <v>290</v>
      </c>
      <c r="AL24" s="6">
        <f t="shared" si="9"/>
        <v>0.56206896551724139</v>
      </c>
      <c r="AM24" s="4">
        <f t="shared" si="10"/>
        <v>163</v>
      </c>
      <c r="AN24" s="28"/>
      <c r="AO24" s="6"/>
      <c r="AP24" s="6"/>
      <c r="AQ24" s="6" t="str">
        <f t="shared" si="11"/>
        <v>-</v>
      </c>
      <c r="AR24" s="6">
        <f t="shared" si="12"/>
        <v>1.0820895522388059</v>
      </c>
      <c r="AS24" s="6">
        <f t="shared" si="13"/>
        <v>1.1705069124423964</v>
      </c>
      <c r="AT24" s="4"/>
      <c r="AU24" s="4"/>
      <c r="AV24" s="4"/>
      <c r="AW24" s="4"/>
      <c r="AX24" s="4"/>
      <c r="AY24" s="4"/>
      <c r="AZ24" s="4"/>
      <c r="BA24" s="4"/>
      <c r="BB24" s="4"/>
      <c r="BC24" s="4" t="s">
        <v>77</v>
      </c>
      <c r="BD24" s="4" t="s">
        <v>127</v>
      </c>
      <c r="BE24" s="4"/>
      <c r="BF24" s="4"/>
      <c r="BG24" s="4" t="s">
        <v>127</v>
      </c>
      <c r="BH24" s="4" t="s">
        <v>127</v>
      </c>
      <c r="BI24" s="4" t="str">
        <f t="shared" si="14"/>
        <v>-</v>
      </c>
      <c r="BJ24" s="19">
        <v>4</v>
      </c>
      <c r="BK24" s="19">
        <v>1</v>
      </c>
      <c r="BL24" s="16">
        <v>6</v>
      </c>
      <c r="BM24" t="s">
        <v>127</v>
      </c>
      <c r="BN24" t="str">
        <f t="shared" si="16"/>
        <v>-</v>
      </c>
      <c r="BO24" t="s">
        <v>127</v>
      </c>
      <c r="BP24" t="str">
        <f t="shared" si="17"/>
        <v>-</v>
      </c>
      <c r="BQ24" t="s">
        <v>127</v>
      </c>
    </row>
    <row r="25" spans="1:69" x14ac:dyDescent="0.4">
      <c r="A25" s="3">
        <v>20</v>
      </c>
      <c r="B25" s="3">
        <v>20</v>
      </c>
      <c r="C25" s="4">
        <v>560772</v>
      </c>
      <c r="D25" s="4" t="str">
        <f t="shared" si="0"/>
        <v>560772</v>
      </c>
      <c r="E25" s="4">
        <v>560772</v>
      </c>
      <c r="F25" s="4" t="str">
        <f t="shared" si="15"/>
        <v>5607725</v>
      </c>
      <c r="G25" s="4" t="s">
        <v>98</v>
      </c>
      <c r="H25" s="5">
        <v>4957470891118</v>
      </c>
      <c r="I25" s="5">
        <v>5</v>
      </c>
      <c r="J25" s="5"/>
      <c r="K25" s="5">
        <v>1</v>
      </c>
      <c r="L25" s="5">
        <v>1</v>
      </c>
      <c r="M25" s="4">
        <v>0</v>
      </c>
      <c r="N25" s="4">
        <v>246</v>
      </c>
      <c r="O25" s="4">
        <v>108.5</v>
      </c>
      <c r="P25" s="6">
        <f t="shared" si="1"/>
        <v>0.55894308943089432</v>
      </c>
      <c r="Q25" s="4" t="s">
        <v>128</v>
      </c>
      <c r="R25" s="4"/>
      <c r="S25" s="4"/>
      <c r="T25" s="4"/>
      <c r="U25" s="4"/>
      <c r="V25" s="4"/>
      <c r="W25" s="4"/>
      <c r="X25" s="4"/>
      <c r="Y25" s="4"/>
      <c r="Z25" s="4">
        <v>0</v>
      </c>
      <c r="AA25" s="4">
        <f t="shared" si="2"/>
        <v>0</v>
      </c>
      <c r="AB25" s="4">
        <v>127</v>
      </c>
      <c r="AC25" s="4">
        <f t="shared" si="3"/>
        <v>127</v>
      </c>
      <c r="AD25" s="4"/>
      <c r="AE25" s="21">
        <f t="shared" si="4"/>
        <v>288</v>
      </c>
      <c r="AF25" s="6">
        <f t="shared" si="5"/>
        <v>0.55902777777777779</v>
      </c>
      <c r="AG25" s="4">
        <v>39.25</v>
      </c>
      <c r="AH25" s="4" t="str">
        <f t="shared" si="6"/>
        <v>-</v>
      </c>
      <c r="AI25" s="4" t="str">
        <f t="shared" si="7"/>
        <v>-</v>
      </c>
      <c r="AJ25" s="6" t="str">
        <f t="shared" si="8"/>
        <v>-</v>
      </c>
      <c r="AK25" s="7">
        <v>290</v>
      </c>
      <c r="AL25" s="6">
        <f t="shared" si="9"/>
        <v>0.56206896551724139</v>
      </c>
      <c r="AM25" s="4">
        <f t="shared" si="10"/>
        <v>163</v>
      </c>
      <c r="AN25" s="28"/>
      <c r="AO25" s="6"/>
      <c r="AP25" s="6"/>
      <c r="AQ25" s="6" t="str">
        <f t="shared" si="11"/>
        <v>-</v>
      </c>
      <c r="AR25" s="6">
        <f t="shared" si="12"/>
        <v>1.1788617886178863</v>
      </c>
      <c r="AS25" s="6">
        <f t="shared" si="13"/>
        <v>1.1705069124423964</v>
      </c>
      <c r="AT25" s="4"/>
      <c r="AU25" s="4"/>
      <c r="AV25" s="4"/>
      <c r="AW25" s="4"/>
      <c r="AX25" s="4"/>
      <c r="AY25" s="4"/>
      <c r="AZ25" s="4"/>
      <c r="BA25" s="4"/>
      <c r="BB25" s="4"/>
      <c r="BC25" s="4" t="s">
        <v>78</v>
      </c>
      <c r="BD25" s="4" t="s">
        <v>127</v>
      </c>
      <c r="BE25" s="4"/>
      <c r="BF25" s="4"/>
      <c r="BG25" s="4" t="s">
        <v>127</v>
      </c>
      <c r="BH25" s="4" t="s">
        <v>127</v>
      </c>
      <c r="BI25" s="4" t="str">
        <f t="shared" si="14"/>
        <v>-</v>
      </c>
      <c r="BJ25" s="19">
        <v>4</v>
      </c>
      <c r="BK25" s="19">
        <v>1</v>
      </c>
      <c r="BL25" s="16">
        <v>6</v>
      </c>
      <c r="BM25" t="s">
        <v>127</v>
      </c>
      <c r="BN25" t="str">
        <f t="shared" si="16"/>
        <v>-</v>
      </c>
      <c r="BO25">
        <v>241</v>
      </c>
      <c r="BP25">
        <f t="shared" si="17"/>
        <v>282.09216589861751</v>
      </c>
      <c r="BQ25" t="s">
        <v>127</v>
      </c>
    </row>
    <row r="26" spans="1:69" x14ac:dyDescent="0.4">
      <c r="A26" s="3">
        <v>24</v>
      </c>
      <c r="B26" s="3">
        <v>24</v>
      </c>
      <c r="C26" s="4">
        <v>560817</v>
      </c>
      <c r="D26" s="4" t="str">
        <f t="shared" si="0"/>
        <v>560817</v>
      </c>
      <c r="E26" s="4">
        <v>560817</v>
      </c>
      <c r="F26" s="4" t="str">
        <f t="shared" si="15"/>
        <v>5608175</v>
      </c>
      <c r="G26" s="4" t="s">
        <v>102</v>
      </c>
      <c r="H26" s="5">
        <v>4957470811253</v>
      </c>
      <c r="I26" s="5">
        <v>5</v>
      </c>
      <c r="J26" s="5"/>
      <c r="K26" s="5">
        <v>1</v>
      </c>
      <c r="L26" s="5">
        <v>1</v>
      </c>
      <c r="M26" s="4">
        <v>0</v>
      </c>
      <c r="N26" s="4">
        <v>259</v>
      </c>
      <c r="O26" s="4">
        <v>108.5</v>
      </c>
      <c r="P26" s="6">
        <f t="shared" si="1"/>
        <v>0.58108108108108114</v>
      </c>
      <c r="Q26" s="4" t="s">
        <v>128</v>
      </c>
      <c r="R26" s="4"/>
      <c r="S26" s="4"/>
      <c r="T26" s="4"/>
      <c r="U26" s="4"/>
      <c r="V26" s="4"/>
      <c r="W26" s="4"/>
      <c r="X26" s="4"/>
      <c r="Y26" s="4"/>
      <c r="Z26" s="4">
        <v>0</v>
      </c>
      <c r="AA26" s="4">
        <f t="shared" si="2"/>
        <v>0</v>
      </c>
      <c r="AB26" s="4">
        <v>127</v>
      </c>
      <c r="AC26" s="4">
        <f t="shared" si="3"/>
        <v>127</v>
      </c>
      <c r="AD26" s="4"/>
      <c r="AE26" s="21">
        <f t="shared" si="4"/>
        <v>303</v>
      </c>
      <c r="AF26" s="6">
        <f t="shared" si="5"/>
        <v>0.58085808580858078</v>
      </c>
      <c r="AG26" s="4">
        <v>50.749999999999993</v>
      </c>
      <c r="AH26" s="4" t="str">
        <f t="shared" si="6"/>
        <v>-</v>
      </c>
      <c r="AI26" s="4" t="str">
        <f t="shared" si="7"/>
        <v>-</v>
      </c>
      <c r="AJ26" s="6" t="str">
        <f t="shared" si="8"/>
        <v>-</v>
      </c>
      <c r="AK26" s="7">
        <v>290</v>
      </c>
      <c r="AL26" s="6">
        <f t="shared" si="9"/>
        <v>0.56206896551724139</v>
      </c>
      <c r="AM26" s="4">
        <f t="shared" si="10"/>
        <v>163</v>
      </c>
      <c r="AN26" s="28"/>
      <c r="AO26" s="6"/>
      <c r="AP26" s="6"/>
      <c r="AQ26" s="6" t="str">
        <f t="shared" si="11"/>
        <v>-</v>
      </c>
      <c r="AR26" s="6">
        <f t="shared" si="12"/>
        <v>1.1196911196911197</v>
      </c>
      <c r="AS26" s="6">
        <f t="shared" si="13"/>
        <v>1.1705069124423964</v>
      </c>
      <c r="AT26" s="4"/>
      <c r="AU26" s="4"/>
      <c r="AV26" s="4"/>
      <c r="AW26" s="4"/>
      <c r="AX26" s="4"/>
      <c r="AY26" s="4"/>
      <c r="AZ26" s="4"/>
      <c r="BA26" s="4"/>
      <c r="BB26" s="4"/>
      <c r="BC26" s="4" t="s">
        <v>77</v>
      </c>
      <c r="BD26" s="4" t="s">
        <v>127</v>
      </c>
      <c r="BE26" s="4"/>
      <c r="BF26" s="4"/>
      <c r="BG26" s="4" t="s">
        <v>127</v>
      </c>
      <c r="BH26" s="4" t="s">
        <v>127</v>
      </c>
      <c r="BI26" s="4" t="str">
        <f t="shared" si="14"/>
        <v>-</v>
      </c>
      <c r="BJ26" s="19">
        <v>4</v>
      </c>
      <c r="BK26" s="19">
        <v>1</v>
      </c>
      <c r="BL26" s="16">
        <v>6</v>
      </c>
      <c r="BM26" t="s">
        <v>127</v>
      </c>
      <c r="BN26" t="str">
        <f t="shared" si="16"/>
        <v>-</v>
      </c>
      <c r="BO26" t="s">
        <v>127</v>
      </c>
      <c r="BP26" t="str">
        <f t="shared" si="17"/>
        <v>-</v>
      </c>
      <c r="BQ26" t="s">
        <v>127</v>
      </c>
    </row>
    <row r="27" spans="1:69" x14ac:dyDescent="0.4">
      <c r="A27" s="3">
        <v>37</v>
      </c>
      <c r="B27" s="3">
        <v>37</v>
      </c>
      <c r="C27" s="4">
        <v>600907</v>
      </c>
      <c r="D27" s="4" t="str">
        <f t="shared" si="0"/>
        <v>600907</v>
      </c>
      <c r="E27" s="4">
        <v>600907</v>
      </c>
      <c r="F27" s="4" t="str">
        <f t="shared" si="15"/>
        <v>6009075</v>
      </c>
      <c r="G27" s="4" t="s">
        <v>115</v>
      </c>
      <c r="H27" s="5">
        <v>4957470801063</v>
      </c>
      <c r="I27" s="5">
        <v>5</v>
      </c>
      <c r="J27" s="5"/>
      <c r="K27" s="5">
        <v>1</v>
      </c>
      <c r="L27" s="5">
        <v>1</v>
      </c>
      <c r="M27" s="4">
        <v>0</v>
      </c>
      <c r="N27" s="4">
        <v>300</v>
      </c>
      <c r="O27" s="4">
        <v>109</v>
      </c>
      <c r="P27" s="6">
        <f t="shared" si="1"/>
        <v>0.63666666666666671</v>
      </c>
      <c r="Q27" s="4" t="s">
        <v>128</v>
      </c>
      <c r="R27" s="4"/>
      <c r="S27" s="4"/>
      <c r="T27" s="4"/>
      <c r="U27" s="4"/>
      <c r="V27" s="4"/>
      <c r="W27" s="4"/>
      <c r="X27" s="4"/>
      <c r="Y27" s="4"/>
      <c r="Z27" s="4">
        <v>0</v>
      </c>
      <c r="AA27" s="4">
        <f t="shared" si="2"/>
        <v>0</v>
      </c>
      <c r="AB27" s="4">
        <v>129</v>
      </c>
      <c r="AC27" s="4">
        <f t="shared" si="3"/>
        <v>129</v>
      </c>
      <c r="AD27" s="4"/>
      <c r="AE27" s="21">
        <f t="shared" si="4"/>
        <v>355</v>
      </c>
      <c r="AF27" s="6">
        <f t="shared" si="5"/>
        <v>0.63661971830985919</v>
      </c>
      <c r="AG27" s="4">
        <v>38.25</v>
      </c>
      <c r="AH27" s="4">
        <f t="shared" si="6"/>
        <v>335.40000000000003</v>
      </c>
      <c r="AI27" s="4">
        <f t="shared" si="7"/>
        <v>396.94128440366978</v>
      </c>
      <c r="AJ27" s="6">
        <f t="shared" si="8"/>
        <v>0.67501490757304716</v>
      </c>
      <c r="AK27" s="7">
        <v>334</v>
      </c>
      <c r="AL27" s="6">
        <f t="shared" si="9"/>
        <v>0.61377245508982037</v>
      </c>
      <c r="AM27" s="4">
        <f t="shared" si="10"/>
        <v>205</v>
      </c>
      <c r="AN27" s="28"/>
      <c r="AO27" s="6"/>
      <c r="AP27" s="6"/>
      <c r="AQ27" s="6" t="str">
        <f t="shared" si="11"/>
        <v>-</v>
      </c>
      <c r="AR27" s="6">
        <f t="shared" si="12"/>
        <v>1.1133333333333333</v>
      </c>
      <c r="AS27" s="6">
        <f t="shared" si="13"/>
        <v>1.1834862385321101</v>
      </c>
      <c r="AT27" s="4"/>
      <c r="AU27" s="4"/>
      <c r="AV27" s="4"/>
      <c r="AW27" s="4"/>
      <c r="AX27" s="4"/>
      <c r="AY27" s="4"/>
      <c r="AZ27" s="4"/>
      <c r="BA27" s="4"/>
      <c r="BB27" s="4"/>
      <c r="BC27" s="4" t="s">
        <v>77</v>
      </c>
      <c r="BD27" s="4" t="s">
        <v>167</v>
      </c>
      <c r="BE27" s="4">
        <v>1</v>
      </c>
      <c r="BF27" s="4">
        <v>10</v>
      </c>
      <c r="BG27" s="4" t="s">
        <v>168</v>
      </c>
      <c r="BH27" s="4">
        <v>3354</v>
      </c>
      <c r="BI27" s="4">
        <f t="shared" si="14"/>
        <v>335.40000000000003</v>
      </c>
      <c r="BJ27" s="19">
        <v>4</v>
      </c>
      <c r="BK27" s="19">
        <v>1</v>
      </c>
      <c r="BL27" s="16">
        <v>6</v>
      </c>
      <c r="BM27" t="s">
        <v>127</v>
      </c>
      <c r="BN27" t="str">
        <f t="shared" si="16"/>
        <v>-</v>
      </c>
      <c r="BO27">
        <v>52</v>
      </c>
      <c r="BP27">
        <f t="shared" si="17"/>
        <v>61.541284403669728</v>
      </c>
      <c r="BQ27" t="s">
        <v>140</v>
      </c>
    </row>
    <row r="28" spans="1:69" x14ac:dyDescent="0.4">
      <c r="A28" s="3">
        <v>39</v>
      </c>
      <c r="B28" s="3">
        <v>39</v>
      </c>
      <c r="C28" s="4">
        <v>600908</v>
      </c>
      <c r="D28" s="4" t="str">
        <f t="shared" si="0"/>
        <v>600908</v>
      </c>
      <c r="E28" s="4">
        <v>600908</v>
      </c>
      <c r="F28" s="4" t="str">
        <f t="shared" si="15"/>
        <v>6009085</v>
      </c>
      <c r="G28" s="4" t="s">
        <v>117</v>
      </c>
      <c r="H28" s="5">
        <v>4957470801056</v>
      </c>
      <c r="I28" s="5">
        <v>5</v>
      </c>
      <c r="J28" s="5"/>
      <c r="K28" s="5">
        <v>1</v>
      </c>
      <c r="L28" s="5">
        <v>1</v>
      </c>
      <c r="M28" s="4">
        <v>0</v>
      </c>
      <c r="N28" s="4">
        <v>284</v>
      </c>
      <c r="O28" s="4">
        <v>109</v>
      </c>
      <c r="P28" s="6">
        <f t="shared" si="1"/>
        <v>0.61619718309859151</v>
      </c>
      <c r="Q28" s="4" t="s">
        <v>128</v>
      </c>
      <c r="R28" s="4"/>
      <c r="S28" s="4"/>
      <c r="T28" s="4"/>
      <c r="U28" s="4"/>
      <c r="V28" s="4"/>
      <c r="W28" s="4"/>
      <c r="X28" s="4"/>
      <c r="Y28" s="4"/>
      <c r="Z28" s="4">
        <v>0</v>
      </c>
      <c r="AA28" s="4">
        <f t="shared" si="2"/>
        <v>0</v>
      </c>
      <c r="AB28" s="4">
        <v>129</v>
      </c>
      <c r="AC28" s="4">
        <f t="shared" si="3"/>
        <v>129</v>
      </c>
      <c r="AD28" s="4"/>
      <c r="AE28" s="21">
        <f t="shared" si="4"/>
        <v>336</v>
      </c>
      <c r="AF28" s="6">
        <f t="shared" si="5"/>
        <v>0.6160714285714286</v>
      </c>
      <c r="AG28" s="4">
        <v>15</v>
      </c>
      <c r="AH28" s="4">
        <f t="shared" si="6"/>
        <v>335.40000000000003</v>
      </c>
      <c r="AI28" s="4">
        <f t="shared" si="7"/>
        <v>396.94128440366978</v>
      </c>
      <c r="AJ28" s="6">
        <f t="shared" si="8"/>
        <v>0.67501490757304716</v>
      </c>
      <c r="AK28" s="7">
        <v>334</v>
      </c>
      <c r="AL28" s="6">
        <f t="shared" si="9"/>
        <v>0.61377245508982037</v>
      </c>
      <c r="AM28" s="4">
        <f t="shared" si="10"/>
        <v>205</v>
      </c>
      <c r="AN28" s="28"/>
      <c r="AO28" s="6"/>
      <c r="AP28" s="6"/>
      <c r="AQ28" s="6" t="str">
        <f t="shared" si="11"/>
        <v>-</v>
      </c>
      <c r="AR28" s="6">
        <f t="shared" si="12"/>
        <v>1.176056338028169</v>
      </c>
      <c r="AS28" s="6">
        <f t="shared" si="13"/>
        <v>1.1834862385321101</v>
      </c>
      <c r="AT28" s="4"/>
      <c r="AU28" s="4"/>
      <c r="AV28" s="4"/>
      <c r="AW28" s="4"/>
      <c r="AX28" s="4"/>
      <c r="AY28" s="4"/>
      <c r="AZ28" s="4"/>
      <c r="BA28" s="4"/>
      <c r="BB28" s="4"/>
      <c r="BC28" s="4" t="s">
        <v>77</v>
      </c>
      <c r="BD28" s="4" t="s">
        <v>169</v>
      </c>
      <c r="BE28" s="4">
        <v>1</v>
      </c>
      <c r="BF28" s="4">
        <v>10</v>
      </c>
      <c r="BG28" s="4" t="s">
        <v>168</v>
      </c>
      <c r="BH28" s="4">
        <v>3354</v>
      </c>
      <c r="BI28" s="4">
        <f t="shared" si="14"/>
        <v>335.40000000000003</v>
      </c>
      <c r="BJ28" s="19">
        <v>4</v>
      </c>
      <c r="BK28" s="19">
        <v>1</v>
      </c>
      <c r="BL28" s="16">
        <v>6</v>
      </c>
      <c r="BM28" t="s">
        <v>127</v>
      </c>
      <c r="BN28" t="str">
        <f t="shared" si="16"/>
        <v>-</v>
      </c>
      <c r="BO28" t="s">
        <v>127</v>
      </c>
      <c r="BP28" t="str">
        <f t="shared" si="17"/>
        <v>-</v>
      </c>
      <c r="BQ28" t="s">
        <v>141</v>
      </c>
    </row>
    <row r="29" spans="1:69" x14ac:dyDescent="0.4">
      <c r="A29" s="3">
        <v>8</v>
      </c>
      <c r="B29" s="3">
        <v>8</v>
      </c>
      <c r="C29" s="4">
        <v>560655</v>
      </c>
      <c r="D29" s="4" t="str">
        <f t="shared" si="0"/>
        <v>560655</v>
      </c>
      <c r="E29" s="4">
        <v>560655</v>
      </c>
      <c r="F29" s="4" t="str">
        <f t="shared" si="15"/>
        <v>5606555</v>
      </c>
      <c r="G29" s="4" t="s">
        <v>86</v>
      </c>
      <c r="H29" s="5">
        <v>4957470865850</v>
      </c>
      <c r="I29" s="5">
        <v>5</v>
      </c>
      <c r="J29" s="5"/>
      <c r="K29" s="5">
        <v>1</v>
      </c>
      <c r="L29" s="5">
        <v>1</v>
      </c>
      <c r="M29" s="4">
        <v>0</v>
      </c>
      <c r="N29" s="4">
        <v>330</v>
      </c>
      <c r="O29" s="4">
        <v>115</v>
      </c>
      <c r="P29" s="6">
        <f t="shared" si="1"/>
        <v>0.65151515151515149</v>
      </c>
      <c r="Q29" s="4" t="s">
        <v>128</v>
      </c>
      <c r="R29" s="4"/>
      <c r="S29" s="4"/>
      <c r="T29" s="4"/>
      <c r="U29" s="4"/>
      <c r="V29" s="4"/>
      <c r="W29" s="4"/>
      <c r="X29" s="4"/>
      <c r="Y29" s="4"/>
      <c r="Z29" s="4">
        <v>0</v>
      </c>
      <c r="AA29" s="4">
        <f t="shared" si="2"/>
        <v>0</v>
      </c>
      <c r="AB29" s="4">
        <v>135</v>
      </c>
      <c r="AC29" s="4">
        <f t="shared" si="3"/>
        <v>135</v>
      </c>
      <c r="AD29" s="4"/>
      <c r="AE29" s="21">
        <f t="shared" si="4"/>
        <v>387</v>
      </c>
      <c r="AF29" s="6">
        <f t="shared" si="5"/>
        <v>0.65116279069767447</v>
      </c>
      <c r="AG29" s="4">
        <v>15.5</v>
      </c>
      <c r="AH29" s="4" t="str">
        <f t="shared" si="6"/>
        <v>-</v>
      </c>
      <c r="AI29" s="4" t="str">
        <f t="shared" si="7"/>
        <v>-</v>
      </c>
      <c r="AJ29" s="6" t="str">
        <f t="shared" si="8"/>
        <v>-</v>
      </c>
      <c r="AK29" s="7">
        <v>380</v>
      </c>
      <c r="AL29" s="6">
        <f t="shared" si="9"/>
        <v>0.64473684210526316</v>
      </c>
      <c r="AM29" s="4">
        <f t="shared" si="10"/>
        <v>245</v>
      </c>
      <c r="AN29" s="28"/>
      <c r="AO29" s="6"/>
      <c r="AP29" s="6"/>
      <c r="AQ29" s="6" t="str">
        <f t="shared" si="11"/>
        <v>-</v>
      </c>
      <c r="AR29" s="6">
        <f t="shared" si="12"/>
        <v>1.1515151515151516</v>
      </c>
      <c r="AS29" s="6">
        <f t="shared" si="13"/>
        <v>1.173913043478261</v>
      </c>
      <c r="AT29" s="4"/>
      <c r="AU29" s="4"/>
      <c r="AV29" s="4"/>
      <c r="AW29" s="4"/>
      <c r="AX29" s="4"/>
      <c r="AY29" s="4"/>
      <c r="AZ29" s="4"/>
      <c r="BA29" s="4"/>
      <c r="BB29" s="4"/>
      <c r="BC29" s="4" t="s">
        <v>74</v>
      </c>
      <c r="BD29" s="4" t="s">
        <v>127</v>
      </c>
      <c r="BE29" s="4"/>
      <c r="BF29" s="4"/>
      <c r="BG29" s="4" t="s">
        <v>127</v>
      </c>
      <c r="BH29" s="4" t="s">
        <v>127</v>
      </c>
      <c r="BI29" s="4" t="str">
        <f t="shared" si="14"/>
        <v>-</v>
      </c>
      <c r="BJ29" s="19">
        <v>4</v>
      </c>
      <c r="BK29" s="19">
        <v>1</v>
      </c>
      <c r="BL29" s="16">
        <v>6</v>
      </c>
      <c r="BM29" t="s">
        <v>127</v>
      </c>
      <c r="BN29" t="str">
        <f t="shared" si="16"/>
        <v>-</v>
      </c>
      <c r="BO29" t="s">
        <v>127</v>
      </c>
      <c r="BP29" t="str">
        <f t="shared" si="17"/>
        <v>-</v>
      </c>
      <c r="BQ29" t="s">
        <v>127</v>
      </c>
    </row>
    <row r="30" spans="1:69" x14ac:dyDescent="0.4">
      <c r="A30" s="3">
        <v>9</v>
      </c>
      <c r="B30" s="3">
        <v>9</v>
      </c>
      <c r="C30" s="4">
        <v>560664</v>
      </c>
      <c r="D30" s="4" t="str">
        <f t="shared" si="0"/>
        <v>560664</v>
      </c>
      <c r="E30" s="4">
        <v>560664</v>
      </c>
      <c r="F30" s="4" t="str">
        <f t="shared" si="15"/>
        <v>5606645</v>
      </c>
      <c r="G30" s="4" t="s">
        <v>87</v>
      </c>
      <c r="H30" s="5">
        <v>4957470865157</v>
      </c>
      <c r="I30" s="5">
        <v>5</v>
      </c>
      <c r="J30" s="5"/>
      <c r="K30" s="5">
        <v>1</v>
      </c>
      <c r="L30" s="5">
        <v>1</v>
      </c>
      <c r="M30" s="4">
        <v>0</v>
      </c>
      <c r="N30" s="4">
        <v>330</v>
      </c>
      <c r="O30" s="4">
        <v>115</v>
      </c>
      <c r="P30" s="6">
        <f t="shared" si="1"/>
        <v>0.65151515151515149</v>
      </c>
      <c r="Q30" s="4" t="s">
        <v>128</v>
      </c>
      <c r="R30" s="4"/>
      <c r="S30" s="4"/>
      <c r="T30" s="4"/>
      <c r="U30" s="4"/>
      <c r="V30" s="4"/>
      <c r="W30" s="4"/>
      <c r="X30" s="4"/>
      <c r="Y30" s="4"/>
      <c r="Z30" s="4">
        <v>0</v>
      </c>
      <c r="AA30" s="4">
        <f t="shared" si="2"/>
        <v>0</v>
      </c>
      <c r="AB30" s="4">
        <v>135</v>
      </c>
      <c r="AC30" s="4">
        <f t="shared" si="3"/>
        <v>135</v>
      </c>
      <c r="AD30" s="4"/>
      <c r="AE30" s="21">
        <f t="shared" si="4"/>
        <v>387</v>
      </c>
      <c r="AF30" s="6">
        <f t="shared" si="5"/>
        <v>0.65116279069767447</v>
      </c>
      <c r="AG30" s="4">
        <v>40.5</v>
      </c>
      <c r="AH30" s="4" t="str">
        <f t="shared" si="6"/>
        <v>-</v>
      </c>
      <c r="AI30" s="4" t="str">
        <f t="shared" si="7"/>
        <v>-</v>
      </c>
      <c r="AJ30" s="6" t="str">
        <f t="shared" si="8"/>
        <v>-</v>
      </c>
      <c r="AK30" s="7">
        <v>380</v>
      </c>
      <c r="AL30" s="6">
        <f t="shared" si="9"/>
        <v>0.64473684210526316</v>
      </c>
      <c r="AM30" s="4">
        <f t="shared" si="10"/>
        <v>245</v>
      </c>
      <c r="AN30" s="28"/>
      <c r="AO30" s="6"/>
      <c r="AP30" s="6"/>
      <c r="AQ30" s="6" t="str">
        <f t="shared" si="11"/>
        <v>-</v>
      </c>
      <c r="AR30" s="6">
        <f t="shared" si="12"/>
        <v>1.1515151515151516</v>
      </c>
      <c r="AS30" s="6">
        <f t="shared" si="13"/>
        <v>1.173913043478261</v>
      </c>
      <c r="AT30" s="4"/>
      <c r="AU30" s="4"/>
      <c r="AV30" s="4"/>
      <c r="AW30" s="4"/>
      <c r="AX30" s="4"/>
      <c r="AY30" s="4"/>
      <c r="AZ30" s="4"/>
      <c r="BA30" s="4"/>
      <c r="BB30" s="4"/>
      <c r="BC30" s="4" t="s">
        <v>74</v>
      </c>
      <c r="BD30" s="4" t="s">
        <v>127</v>
      </c>
      <c r="BE30" s="4"/>
      <c r="BF30" s="4"/>
      <c r="BG30" s="4" t="s">
        <v>127</v>
      </c>
      <c r="BH30" s="4" t="s">
        <v>127</v>
      </c>
      <c r="BI30" s="4" t="str">
        <f t="shared" si="14"/>
        <v>-</v>
      </c>
      <c r="BJ30" s="19">
        <v>4</v>
      </c>
      <c r="BK30" s="19">
        <v>1</v>
      </c>
      <c r="BL30" s="16">
        <v>6</v>
      </c>
      <c r="BM30" t="s">
        <v>127</v>
      </c>
      <c r="BN30" t="str">
        <f t="shared" si="16"/>
        <v>-</v>
      </c>
      <c r="BO30" t="s">
        <v>127</v>
      </c>
      <c r="BP30" t="str">
        <f t="shared" si="17"/>
        <v>-</v>
      </c>
      <c r="BQ30" t="s">
        <v>127</v>
      </c>
    </row>
    <row r="31" spans="1:69" x14ac:dyDescent="0.4">
      <c r="A31" s="3">
        <v>17</v>
      </c>
      <c r="B31" s="3">
        <v>17</v>
      </c>
      <c r="C31" s="4">
        <v>560745</v>
      </c>
      <c r="D31" s="4" t="str">
        <f t="shared" si="0"/>
        <v>560745</v>
      </c>
      <c r="E31" s="4">
        <v>560745</v>
      </c>
      <c r="F31" s="4" t="str">
        <f t="shared" si="15"/>
        <v>5607455</v>
      </c>
      <c r="G31" s="4" t="s">
        <v>95</v>
      </c>
      <c r="H31" s="5">
        <v>4957470866451</v>
      </c>
      <c r="I31" s="5">
        <v>5</v>
      </c>
      <c r="J31" s="5"/>
      <c r="K31" s="5">
        <v>1</v>
      </c>
      <c r="L31" s="5">
        <v>1</v>
      </c>
      <c r="M31" s="4">
        <v>0</v>
      </c>
      <c r="N31" s="4">
        <v>330</v>
      </c>
      <c r="O31" s="4">
        <v>115</v>
      </c>
      <c r="P31" s="6">
        <f t="shared" si="1"/>
        <v>0.65151515151515149</v>
      </c>
      <c r="Q31" s="4" t="s">
        <v>128</v>
      </c>
      <c r="R31" s="4"/>
      <c r="S31" s="4"/>
      <c r="T31" s="4"/>
      <c r="U31" s="4"/>
      <c r="V31" s="4"/>
      <c r="W31" s="4"/>
      <c r="X31" s="4"/>
      <c r="Y31" s="4"/>
      <c r="Z31" s="4">
        <v>0</v>
      </c>
      <c r="AA31" s="4">
        <f t="shared" si="2"/>
        <v>0</v>
      </c>
      <c r="AB31" s="4">
        <v>135</v>
      </c>
      <c r="AC31" s="4">
        <f t="shared" si="3"/>
        <v>135</v>
      </c>
      <c r="AD31" s="4"/>
      <c r="AE31" s="21">
        <f t="shared" si="4"/>
        <v>387</v>
      </c>
      <c r="AF31" s="6">
        <f t="shared" si="5"/>
        <v>0.65116279069767447</v>
      </c>
      <c r="AG31" s="4">
        <v>32.75</v>
      </c>
      <c r="AH31" s="4" t="str">
        <f t="shared" si="6"/>
        <v>-</v>
      </c>
      <c r="AI31" s="4" t="str">
        <f t="shared" si="7"/>
        <v>-</v>
      </c>
      <c r="AJ31" s="6" t="str">
        <f t="shared" si="8"/>
        <v>-</v>
      </c>
      <c r="AK31" s="7">
        <v>380</v>
      </c>
      <c r="AL31" s="6">
        <f t="shared" si="9"/>
        <v>0.64473684210526316</v>
      </c>
      <c r="AM31" s="4">
        <f t="shared" si="10"/>
        <v>245</v>
      </c>
      <c r="AN31" s="28"/>
      <c r="AO31" s="6"/>
      <c r="AP31" s="6"/>
      <c r="AQ31" s="6" t="str">
        <f t="shared" si="11"/>
        <v>-</v>
      </c>
      <c r="AR31" s="6">
        <f t="shared" si="12"/>
        <v>1.1515151515151516</v>
      </c>
      <c r="AS31" s="6">
        <f t="shared" si="13"/>
        <v>1.173913043478261</v>
      </c>
      <c r="AT31" s="4"/>
      <c r="AU31" s="4"/>
      <c r="AV31" s="4"/>
      <c r="AW31" s="4"/>
      <c r="AX31" s="4"/>
      <c r="AY31" s="4"/>
      <c r="AZ31" s="4"/>
      <c r="BA31" s="4"/>
      <c r="BB31" s="4"/>
      <c r="BC31" s="4" t="s">
        <v>77</v>
      </c>
      <c r="BD31" s="4" t="s">
        <v>127</v>
      </c>
      <c r="BE31" s="4"/>
      <c r="BF31" s="4"/>
      <c r="BG31" s="4" t="s">
        <v>127</v>
      </c>
      <c r="BH31" s="4" t="s">
        <v>127</v>
      </c>
      <c r="BI31" s="4" t="str">
        <f t="shared" si="14"/>
        <v>-</v>
      </c>
      <c r="BJ31" s="19">
        <v>4</v>
      </c>
      <c r="BK31" s="19">
        <v>1</v>
      </c>
      <c r="BL31" s="16">
        <v>6</v>
      </c>
      <c r="BM31" t="s">
        <v>127</v>
      </c>
      <c r="BN31" t="str">
        <f t="shared" si="16"/>
        <v>-</v>
      </c>
      <c r="BO31" t="s">
        <v>127</v>
      </c>
      <c r="BP31" t="str">
        <f t="shared" si="17"/>
        <v>-</v>
      </c>
      <c r="BQ31" t="s">
        <v>127</v>
      </c>
    </row>
    <row r="32" spans="1:69" x14ac:dyDescent="0.4">
      <c r="A32" s="3">
        <v>18</v>
      </c>
      <c r="B32" s="3">
        <v>18</v>
      </c>
      <c r="C32" s="4">
        <v>560754</v>
      </c>
      <c r="D32" s="4" t="str">
        <f t="shared" si="0"/>
        <v>560754</v>
      </c>
      <c r="E32" s="4">
        <v>560754</v>
      </c>
      <c r="F32" s="4" t="str">
        <f t="shared" si="15"/>
        <v>5607545</v>
      </c>
      <c r="G32" s="4" t="s">
        <v>96</v>
      </c>
      <c r="H32" s="5">
        <v>4957470866154</v>
      </c>
      <c r="I32" s="5">
        <v>5</v>
      </c>
      <c r="J32" s="5"/>
      <c r="K32" s="5">
        <v>1</v>
      </c>
      <c r="L32" s="5">
        <v>1</v>
      </c>
      <c r="M32" s="4">
        <v>0</v>
      </c>
      <c r="N32" s="4">
        <v>330</v>
      </c>
      <c r="O32" s="4">
        <v>115</v>
      </c>
      <c r="P32" s="6">
        <f t="shared" si="1"/>
        <v>0.65151515151515149</v>
      </c>
      <c r="Q32" s="4" t="s">
        <v>128</v>
      </c>
      <c r="R32" s="4"/>
      <c r="S32" s="4"/>
      <c r="T32" s="4"/>
      <c r="U32" s="4"/>
      <c r="V32" s="4"/>
      <c r="W32" s="4"/>
      <c r="X32" s="4"/>
      <c r="Y32" s="4"/>
      <c r="Z32" s="4">
        <v>0</v>
      </c>
      <c r="AA32" s="4">
        <f t="shared" si="2"/>
        <v>0</v>
      </c>
      <c r="AB32" s="4">
        <v>135</v>
      </c>
      <c r="AC32" s="4">
        <f t="shared" si="3"/>
        <v>135</v>
      </c>
      <c r="AD32" s="4"/>
      <c r="AE32" s="21">
        <f t="shared" si="4"/>
        <v>387</v>
      </c>
      <c r="AF32" s="6">
        <f t="shared" si="5"/>
        <v>0.65116279069767447</v>
      </c>
      <c r="AG32" s="4">
        <v>44.5</v>
      </c>
      <c r="AH32" s="4" t="str">
        <f t="shared" si="6"/>
        <v>-</v>
      </c>
      <c r="AI32" s="4" t="str">
        <f t="shared" si="7"/>
        <v>-</v>
      </c>
      <c r="AJ32" s="6" t="str">
        <f t="shared" si="8"/>
        <v>-</v>
      </c>
      <c r="AK32" s="7">
        <v>380</v>
      </c>
      <c r="AL32" s="6">
        <f t="shared" si="9"/>
        <v>0.64473684210526316</v>
      </c>
      <c r="AM32" s="4">
        <f t="shared" si="10"/>
        <v>245</v>
      </c>
      <c r="AN32" s="28"/>
      <c r="AO32" s="6"/>
      <c r="AP32" s="6"/>
      <c r="AQ32" s="6" t="str">
        <f t="shared" si="11"/>
        <v>-</v>
      </c>
      <c r="AR32" s="6">
        <f t="shared" si="12"/>
        <v>1.1515151515151516</v>
      </c>
      <c r="AS32" s="6">
        <f t="shared" si="13"/>
        <v>1.173913043478261</v>
      </c>
      <c r="AT32" s="4"/>
      <c r="AU32" s="4"/>
      <c r="AV32" s="4"/>
      <c r="AW32" s="4"/>
      <c r="AX32" s="4"/>
      <c r="AY32" s="4"/>
      <c r="AZ32" s="4"/>
      <c r="BA32" s="4"/>
      <c r="BB32" s="4"/>
      <c r="BC32" s="4" t="s">
        <v>77</v>
      </c>
      <c r="BD32" s="4" t="s">
        <v>127</v>
      </c>
      <c r="BE32" s="4"/>
      <c r="BF32" s="4"/>
      <c r="BG32" s="4" t="s">
        <v>127</v>
      </c>
      <c r="BH32" s="4" t="s">
        <v>127</v>
      </c>
      <c r="BI32" s="4" t="str">
        <f t="shared" si="14"/>
        <v>-</v>
      </c>
      <c r="BJ32" s="19">
        <v>4</v>
      </c>
      <c r="BK32" s="19">
        <v>1</v>
      </c>
      <c r="BL32" s="16">
        <v>6</v>
      </c>
      <c r="BM32" t="s">
        <v>127</v>
      </c>
      <c r="BN32" t="str">
        <f t="shared" si="16"/>
        <v>-</v>
      </c>
      <c r="BO32" t="s">
        <v>127</v>
      </c>
      <c r="BP32" t="str">
        <f t="shared" si="17"/>
        <v>-</v>
      </c>
      <c r="BQ32" t="s">
        <v>127</v>
      </c>
    </row>
    <row r="33" spans="1:69" x14ac:dyDescent="0.4">
      <c r="A33" s="3">
        <v>1</v>
      </c>
      <c r="B33" s="3">
        <v>1</v>
      </c>
      <c r="C33" s="4">
        <v>104873</v>
      </c>
      <c r="D33" s="4" t="str">
        <f t="shared" si="0"/>
        <v>104873</v>
      </c>
      <c r="E33" s="4">
        <v>104873</v>
      </c>
      <c r="F33" s="4" t="str">
        <f t="shared" si="15"/>
        <v>1048735</v>
      </c>
      <c r="G33" s="4" t="s">
        <v>79</v>
      </c>
      <c r="H33" s="5">
        <v>4957470070537</v>
      </c>
      <c r="I33" s="5">
        <v>5</v>
      </c>
      <c r="J33" s="5"/>
      <c r="K33" s="5">
        <v>1</v>
      </c>
      <c r="L33" s="5">
        <v>1</v>
      </c>
      <c r="M33" s="4">
        <v>410</v>
      </c>
      <c r="N33" s="4">
        <v>203</v>
      </c>
      <c r="O33" s="4">
        <v>151.5</v>
      </c>
      <c r="P33" s="6">
        <f t="shared" si="1"/>
        <v>0.25369458128078815</v>
      </c>
      <c r="Q33" s="4" t="s">
        <v>128</v>
      </c>
      <c r="R33" s="4"/>
      <c r="S33" s="4"/>
      <c r="T33" s="4"/>
      <c r="U33" s="4"/>
      <c r="V33" s="4"/>
      <c r="W33" s="4"/>
      <c r="X33" s="4"/>
      <c r="Y33" s="4"/>
      <c r="Z33" s="4">
        <v>0</v>
      </c>
      <c r="AA33" s="4">
        <f t="shared" si="2"/>
        <v>0</v>
      </c>
      <c r="AB33" s="4">
        <v>179</v>
      </c>
      <c r="AC33" s="4">
        <f t="shared" si="3"/>
        <v>179</v>
      </c>
      <c r="AD33" s="4"/>
      <c r="AE33" s="21">
        <f t="shared" si="4"/>
        <v>240</v>
      </c>
      <c r="AF33" s="6">
        <f t="shared" si="5"/>
        <v>0.25416666666666665</v>
      </c>
      <c r="AG33" s="4">
        <v>0.5</v>
      </c>
      <c r="AH33" s="4" t="str">
        <f t="shared" si="6"/>
        <v>-</v>
      </c>
      <c r="AI33" s="4" t="str">
        <f t="shared" si="7"/>
        <v>-</v>
      </c>
      <c r="AJ33" s="6" t="str">
        <f t="shared" si="8"/>
        <v>-</v>
      </c>
      <c r="AK33" s="7">
        <v>370</v>
      </c>
      <c r="AL33" s="6">
        <f t="shared" si="9"/>
        <v>0.51621621621621627</v>
      </c>
      <c r="AM33" s="4">
        <f t="shared" si="10"/>
        <v>191</v>
      </c>
      <c r="AN33" s="28"/>
      <c r="AO33" s="6" t="e">
        <f>1-AC33/AN33</f>
        <v>#DIV/0!</v>
      </c>
      <c r="AP33" s="4">
        <f>AN33-AC33</f>
        <v>-179</v>
      </c>
      <c r="AQ33" s="6">
        <f t="shared" si="11"/>
        <v>0</v>
      </c>
      <c r="AR33" s="6">
        <f t="shared" si="12"/>
        <v>1.8226600985221675</v>
      </c>
      <c r="AS33" s="6">
        <f t="shared" si="13"/>
        <v>1.1815181518151816</v>
      </c>
      <c r="AT33" s="4" t="str">
        <f>IFERROR(ROUND($AK33*Q33/$N33,0),"-")</f>
        <v>-</v>
      </c>
      <c r="AU33" s="4" t="str">
        <f>IF(R33="","-",R33)</f>
        <v>-</v>
      </c>
      <c r="AV33" s="4" t="str">
        <f>IF(S33="","-",S33)</f>
        <v>-</v>
      </c>
      <c r="AW33" s="4"/>
      <c r="AX33" s="4"/>
      <c r="AY33" s="4"/>
      <c r="AZ33" s="4"/>
      <c r="BA33" s="4"/>
      <c r="BB33" s="4"/>
      <c r="BC33" s="4">
        <v>0</v>
      </c>
      <c r="BD33" s="4" t="s">
        <v>127</v>
      </c>
      <c r="BE33" s="4"/>
      <c r="BF33" s="4"/>
      <c r="BG33" s="4" t="s">
        <v>127</v>
      </c>
      <c r="BH33" s="4" t="s">
        <v>127</v>
      </c>
      <c r="BI33" s="4" t="str">
        <f t="shared" si="14"/>
        <v>-</v>
      </c>
      <c r="BJ33" s="19">
        <v>4</v>
      </c>
      <c r="BK33" s="19">
        <v>1</v>
      </c>
      <c r="BL33" s="16">
        <v>6</v>
      </c>
      <c r="BM33" t="s">
        <v>127</v>
      </c>
      <c r="BN33" t="str">
        <f t="shared" si="16"/>
        <v>-</v>
      </c>
      <c r="BO33" t="s">
        <v>127</v>
      </c>
      <c r="BP33" t="str">
        <f t="shared" si="17"/>
        <v>-</v>
      </c>
      <c r="BQ33" t="s">
        <v>127</v>
      </c>
    </row>
    <row r="34" spans="1:69" x14ac:dyDescent="0.4">
      <c r="A34" s="3">
        <v>2</v>
      </c>
      <c r="B34" s="3">
        <v>2</v>
      </c>
      <c r="C34" s="4">
        <v>104877</v>
      </c>
      <c r="D34" s="4" t="str">
        <f t="shared" si="0"/>
        <v>104877</v>
      </c>
      <c r="E34" s="4">
        <v>104877</v>
      </c>
      <c r="F34" s="4" t="str">
        <f t="shared" si="15"/>
        <v>1048775</v>
      </c>
      <c r="G34" s="4" t="s">
        <v>80</v>
      </c>
      <c r="H34" s="5">
        <v>4957470070551</v>
      </c>
      <c r="I34" s="5">
        <v>5</v>
      </c>
      <c r="J34" s="5"/>
      <c r="K34" s="5">
        <v>1</v>
      </c>
      <c r="L34" s="5">
        <v>1</v>
      </c>
      <c r="M34" s="4">
        <v>410</v>
      </c>
      <c r="N34" s="4">
        <v>316</v>
      </c>
      <c r="O34" s="4">
        <v>151.5</v>
      </c>
      <c r="P34" s="6">
        <f t="shared" si="1"/>
        <v>0.52056962025316456</v>
      </c>
      <c r="Q34" s="4" t="s">
        <v>128</v>
      </c>
      <c r="R34" s="4"/>
      <c r="S34" s="4"/>
      <c r="T34" s="4"/>
      <c r="U34" s="4"/>
      <c r="V34" s="4"/>
      <c r="W34" s="4"/>
      <c r="X34" s="4"/>
      <c r="Y34" s="4"/>
      <c r="Z34" s="4">
        <v>0</v>
      </c>
      <c r="AA34" s="4">
        <f t="shared" si="2"/>
        <v>0</v>
      </c>
      <c r="AB34" s="4">
        <v>179</v>
      </c>
      <c r="AC34" s="4">
        <f t="shared" si="3"/>
        <v>179</v>
      </c>
      <c r="AD34" s="4"/>
      <c r="AE34" s="21">
        <f t="shared" si="4"/>
        <v>373</v>
      </c>
      <c r="AF34" s="6">
        <f t="shared" si="5"/>
        <v>0.52010723860589814</v>
      </c>
      <c r="AG34" s="4">
        <v>0.25</v>
      </c>
      <c r="AH34" s="4" t="str">
        <f t="shared" si="6"/>
        <v>-</v>
      </c>
      <c r="AI34" s="4" t="str">
        <f t="shared" si="7"/>
        <v>-</v>
      </c>
      <c r="AJ34" s="6" t="str">
        <f t="shared" si="8"/>
        <v>-</v>
      </c>
      <c r="AK34" s="7">
        <v>370</v>
      </c>
      <c r="AL34" s="6">
        <f t="shared" si="9"/>
        <v>0.51621621621621627</v>
      </c>
      <c r="AM34" s="4">
        <f t="shared" si="10"/>
        <v>191</v>
      </c>
      <c r="AN34" s="28"/>
      <c r="AO34" s="6"/>
      <c r="AP34" s="6"/>
      <c r="AQ34" s="6">
        <f t="shared" si="11"/>
        <v>0</v>
      </c>
      <c r="AR34" s="6">
        <f t="shared" si="12"/>
        <v>1.1708860759493671</v>
      </c>
      <c r="AS34" s="6">
        <f t="shared" si="13"/>
        <v>1.1815181518151816</v>
      </c>
      <c r="AT34" s="4"/>
      <c r="AU34" s="4"/>
      <c r="AV34" s="4"/>
      <c r="AW34" s="4"/>
      <c r="AX34" s="4"/>
      <c r="AY34" s="4"/>
      <c r="AZ34" s="4"/>
      <c r="BA34" s="4"/>
      <c r="BB34" s="4"/>
      <c r="BC34" s="4">
        <v>0</v>
      </c>
      <c r="BD34" s="4" t="s">
        <v>127</v>
      </c>
      <c r="BE34" s="4"/>
      <c r="BF34" s="4"/>
      <c r="BG34" s="4" t="s">
        <v>127</v>
      </c>
      <c r="BH34" s="4" t="s">
        <v>127</v>
      </c>
      <c r="BI34" s="4" t="str">
        <f t="shared" si="14"/>
        <v>-</v>
      </c>
      <c r="BJ34" s="19">
        <v>4</v>
      </c>
      <c r="BK34" s="19">
        <v>1</v>
      </c>
      <c r="BL34" s="16">
        <v>6</v>
      </c>
      <c r="BM34" t="s">
        <v>127</v>
      </c>
      <c r="BN34" t="str">
        <f t="shared" si="16"/>
        <v>-</v>
      </c>
      <c r="BO34" t="s">
        <v>127</v>
      </c>
      <c r="BP34" t="str">
        <f t="shared" si="17"/>
        <v>-</v>
      </c>
      <c r="BQ34" t="s">
        <v>127</v>
      </c>
    </row>
    <row r="35" spans="1:69" x14ac:dyDescent="0.4">
      <c r="A35" s="3">
        <v>36</v>
      </c>
      <c r="B35" s="3">
        <v>36</v>
      </c>
      <c r="C35" s="4">
        <v>600906</v>
      </c>
      <c r="D35" s="4" t="str">
        <f t="shared" si="0"/>
        <v>600906</v>
      </c>
      <c r="E35" s="4">
        <v>600906</v>
      </c>
      <c r="F35" s="4" t="str">
        <f t="shared" si="15"/>
        <v>6009065</v>
      </c>
      <c r="G35" s="4" t="s">
        <v>114</v>
      </c>
      <c r="H35" s="5">
        <v>4957470872209</v>
      </c>
      <c r="I35" s="5">
        <v>5</v>
      </c>
      <c r="J35" s="5"/>
      <c r="K35" s="5">
        <v>1</v>
      </c>
      <c r="L35" s="5">
        <v>1</v>
      </c>
      <c r="M35" s="4">
        <v>0</v>
      </c>
      <c r="N35" s="4">
        <v>249</v>
      </c>
      <c r="O35" s="4">
        <v>157</v>
      </c>
      <c r="P35" s="6">
        <f t="shared" si="1"/>
        <v>0.36947791164658639</v>
      </c>
      <c r="Q35" s="4" t="s">
        <v>128</v>
      </c>
      <c r="R35" s="4"/>
      <c r="S35" s="4"/>
      <c r="T35" s="4"/>
      <c r="U35" s="4"/>
      <c r="V35" s="4"/>
      <c r="W35" s="4"/>
      <c r="X35" s="4"/>
      <c r="Y35" s="4"/>
      <c r="Z35" s="4">
        <v>0</v>
      </c>
      <c r="AA35" s="4">
        <f t="shared" si="2"/>
        <v>0</v>
      </c>
      <c r="AB35" s="4">
        <v>185</v>
      </c>
      <c r="AC35" s="4">
        <f t="shared" si="3"/>
        <v>185</v>
      </c>
      <c r="AD35" s="4"/>
      <c r="AE35" s="21">
        <f t="shared" si="4"/>
        <v>293</v>
      </c>
      <c r="AF35" s="6">
        <f t="shared" si="5"/>
        <v>0.3686006825938567</v>
      </c>
      <c r="AG35" s="4">
        <v>21.25</v>
      </c>
      <c r="AH35" s="4" t="str">
        <f t="shared" si="6"/>
        <v>-</v>
      </c>
      <c r="AI35" s="4" t="str">
        <f t="shared" si="7"/>
        <v>-</v>
      </c>
      <c r="AJ35" s="6" t="str">
        <f t="shared" si="8"/>
        <v>-</v>
      </c>
      <c r="AK35" s="7">
        <v>310</v>
      </c>
      <c r="AL35" s="6">
        <f t="shared" si="9"/>
        <v>0.40322580645161288</v>
      </c>
      <c r="AM35" s="4">
        <f t="shared" si="10"/>
        <v>125</v>
      </c>
      <c r="AN35" s="28"/>
      <c r="AO35" s="6"/>
      <c r="AP35" s="6"/>
      <c r="AQ35" s="6" t="str">
        <f t="shared" si="11"/>
        <v>-</v>
      </c>
      <c r="AR35" s="6">
        <f t="shared" si="12"/>
        <v>1.2449799196787148</v>
      </c>
      <c r="AS35" s="6">
        <f t="shared" si="13"/>
        <v>1.1783439490445859</v>
      </c>
      <c r="AT35" s="4"/>
      <c r="AU35" s="4"/>
      <c r="AV35" s="4"/>
      <c r="AW35" s="4"/>
      <c r="AX35" s="4"/>
      <c r="AY35" s="4"/>
      <c r="AZ35" s="4"/>
      <c r="BA35" s="4"/>
      <c r="BB35" s="4"/>
      <c r="BC35" s="4" t="s">
        <v>74</v>
      </c>
      <c r="BD35" s="4" t="s">
        <v>127</v>
      </c>
      <c r="BE35" s="4"/>
      <c r="BF35" s="4"/>
      <c r="BG35" s="4" t="s">
        <v>127</v>
      </c>
      <c r="BH35" s="4" t="s">
        <v>127</v>
      </c>
      <c r="BI35" s="4" t="str">
        <f t="shared" si="14"/>
        <v>-</v>
      </c>
      <c r="BJ35" s="19">
        <v>4</v>
      </c>
      <c r="BK35" s="19">
        <v>1</v>
      </c>
      <c r="BL35" s="16">
        <v>6</v>
      </c>
      <c r="BM35" t="s">
        <v>127</v>
      </c>
      <c r="BN35" t="str">
        <f t="shared" si="16"/>
        <v>-</v>
      </c>
      <c r="BO35" t="s">
        <v>127</v>
      </c>
      <c r="BP35" t="str">
        <f t="shared" si="17"/>
        <v>-</v>
      </c>
      <c r="BQ35" t="s">
        <v>127</v>
      </c>
    </row>
    <row r="36" spans="1:69" x14ac:dyDescent="0.4">
      <c r="A36" s="3">
        <v>3</v>
      </c>
      <c r="B36" s="3">
        <v>3</v>
      </c>
      <c r="C36" s="4">
        <v>173104</v>
      </c>
      <c r="D36" s="4" t="str">
        <f t="shared" si="0"/>
        <v>173104</v>
      </c>
      <c r="E36" s="4">
        <v>173104</v>
      </c>
      <c r="F36" s="4" t="str">
        <f t="shared" si="15"/>
        <v>1731045</v>
      </c>
      <c r="G36" s="4" t="s">
        <v>81</v>
      </c>
      <c r="H36" s="5">
        <v>4957470884943</v>
      </c>
      <c r="I36" s="5">
        <v>5</v>
      </c>
      <c r="J36" s="5"/>
      <c r="K36" s="5">
        <v>1</v>
      </c>
      <c r="L36" s="5">
        <v>1</v>
      </c>
      <c r="M36" s="4">
        <v>0</v>
      </c>
      <c r="N36" s="4">
        <v>433</v>
      </c>
      <c r="O36" s="4">
        <v>192.5</v>
      </c>
      <c r="P36" s="6">
        <f t="shared" si="1"/>
        <v>0.55542725173210161</v>
      </c>
      <c r="Q36" s="4" t="s">
        <v>128</v>
      </c>
      <c r="R36" s="4"/>
      <c r="S36" s="4"/>
      <c r="T36" s="4"/>
      <c r="U36" s="4"/>
      <c r="V36" s="4"/>
      <c r="W36" s="4"/>
      <c r="X36" s="4"/>
      <c r="Y36" s="4"/>
      <c r="Z36" s="4">
        <v>0</v>
      </c>
      <c r="AA36" s="4">
        <f t="shared" si="2"/>
        <v>0</v>
      </c>
      <c r="AB36" s="4">
        <v>227</v>
      </c>
      <c r="AC36" s="4">
        <f t="shared" si="3"/>
        <v>227</v>
      </c>
      <c r="AD36" s="4"/>
      <c r="AE36" s="21">
        <f t="shared" si="4"/>
        <v>511</v>
      </c>
      <c r="AF36" s="6">
        <f t="shared" si="5"/>
        <v>0.55577299412915848</v>
      </c>
      <c r="AG36" s="4">
        <v>1.25</v>
      </c>
      <c r="AH36" s="4" t="str">
        <f t="shared" si="6"/>
        <v>-</v>
      </c>
      <c r="AI36" s="4" t="str">
        <f t="shared" si="7"/>
        <v>-</v>
      </c>
      <c r="AJ36" s="6" t="str">
        <f t="shared" si="8"/>
        <v>-</v>
      </c>
      <c r="AK36" s="7">
        <v>500</v>
      </c>
      <c r="AL36" s="6">
        <f t="shared" si="9"/>
        <v>0.54600000000000004</v>
      </c>
      <c r="AM36" s="4">
        <f t="shared" si="10"/>
        <v>273</v>
      </c>
      <c r="AN36" s="28"/>
      <c r="AO36" s="6"/>
      <c r="AP36" s="6"/>
      <c r="AQ36" s="6" t="str">
        <f t="shared" si="11"/>
        <v>-</v>
      </c>
      <c r="AR36" s="6">
        <f t="shared" si="12"/>
        <v>1.1547344110854503</v>
      </c>
      <c r="AS36" s="6">
        <f t="shared" si="13"/>
        <v>1.1792207792207792</v>
      </c>
      <c r="AT36" s="4"/>
      <c r="AU36" s="4"/>
      <c r="AV36" s="4"/>
      <c r="AW36" s="4"/>
      <c r="AX36" s="4"/>
      <c r="AY36" s="4"/>
      <c r="AZ36" s="4"/>
      <c r="BA36" s="4"/>
      <c r="BB36" s="4"/>
      <c r="BC36" s="4" t="s">
        <v>74</v>
      </c>
      <c r="BD36" s="4" t="s">
        <v>127</v>
      </c>
      <c r="BE36" s="4"/>
      <c r="BF36" s="4"/>
      <c r="BG36" s="4" t="s">
        <v>127</v>
      </c>
      <c r="BH36" s="4" t="s">
        <v>127</v>
      </c>
      <c r="BI36" s="4" t="str">
        <f t="shared" si="14"/>
        <v>-</v>
      </c>
      <c r="BJ36" s="19">
        <v>4</v>
      </c>
      <c r="BK36" s="19">
        <v>1</v>
      </c>
      <c r="BL36" s="16">
        <v>6</v>
      </c>
      <c r="BM36" t="s">
        <v>127</v>
      </c>
      <c r="BN36" t="str">
        <f t="shared" si="16"/>
        <v>-</v>
      </c>
      <c r="BO36" t="s">
        <v>127</v>
      </c>
      <c r="BP36" t="str">
        <f t="shared" si="17"/>
        <v>-</v>
      </c>
      <c r="BQ36" t="s">
        <v>127</v>
      </c>
    </row>
    <row r="37" spans="1:69" x14ac:dyDescent="0.4">
      <c r="A37" s="3">
        <v>6</v>
      </c>
      <c r="B37" s="3">
        <v>6</v>
      </c>
      <c r="C37" s="4">
        <v>560628</v>
      </c>
      <c r="D37" s="4" t="str">
        <f t="shared" si="0"/>
        <v>560628</v>
      </c>
      <c r="E37" s="4">
        <v>560628</v>
      </c>
      <c r="F37" s="4" t="str">
        <f t="shared" si="15"/>
        <v>5606285</v>
      </c>
      <c r="G37" s="4" t="s">
        <v>84</v>
      </c>
      <c r="H37" s="5">
        <v>4957470803647</v>
      </c>
      <c r="I37" s="5">
        <v>5</v>
      </c>
      <c r="J37" s="5"/>
      <c r="K37" s="5">
        <v>1</v>
      </c>
      <c r="L37" s="5">
        <v>1</v>
      </c>
      <c r="M37" s="4">
        <v>490</v>
      </c>
      <c r="N37" s="4">
        <v>335</v>
      </c>
      <c r="O37" s="4">
        <v>196</v>
      </c>
      <c r="P37" s="6">
        <f t="shared" si="1"/>
        <v>0.41492537313432831</v>
      </c>
      <c r="Q37" s="4" t="s">
        <v>128</v>
      </c>
      <c r="R37" s="4"/>
      <c r="S37" s="4"/>
      <c r="T37" s="4"/>
      <c r="U37" s="4"/>
      <c r="V37" s="4"/>
      <c r="W37" s="4"/>
      <c r="X37" s="4"/>
      <c r="Y37" s="4"/>
      <c r="Z37" s="4">
        <v>0</v>
      </c>
      <c r="AA37" s="4">
        <f t="shared" si="2"/>
        <v>0</v>
      </c>
      <c r="AB37" s="4">
        <v>231</v>
      </c>
      <c r="AC37" s="4">
        <f t="shared" si="3"/>
        <v>231</v>
      </c>
      <c r="AD37" s="4"/>
      <c r="AE37" s="21">
        <f t="shared" si="4"/>
        <v>395</v>
      </c>
      <c r="AF37" s="6">
        <f t="shared" si="5"/>
        <v>0.41518987341772151</v>
      </c>
      <c r="AG37" s="4">
        <v>1.5</v>
      </c>
      <c r="AH37" s="4" t="str">
        <f t="shared" si="6"/>
        <v>-</v>
      </c>
      <c r="AI37" s="4" t="str">
        <f t="shared" si="7"/>
        <v>-</v>
      </c>
      <c r="AJ37" s="6" t="str">
        <f t="shared" si="8"/>
        <v>-</v>
      </c>
      <c r="AK37" s="7">
        <v>420</v>
      </c>
      <c r="AL37" s="6">
        <f t="shared" si="9"/>
        <v>0.44999999999999996</v>
      </c>
      <c r="AM37" s="4">
        <f t="shared" si="10"/>
        <v>189</v>
      </c>
      <c r="AN37" s="28"/>
      <c r="AO37" s="6"/>
      <c r="AP37" s="6"/>
      <c r="AQ37" s="6">
        <f t="shared" si="11"/>
        <v>0</v>
      </c>
      <c r="AR37" s="6">
        <f t="shared" si="12"/>
        <v>1.2537313432835822</v>
      </c>
      <c r="AS37" s="6">
        <f t="shared" si="13"/>
        <v>1.1785714285714286</v>
      </c>
      <c r="AT37" s="4"/>
      <c r="AU37" s="4"/>
      <c r="AV37" s="4"/>
      <c r="AW37" s="4"/>
      <c r="AX37" s="4"/>
      <c r="AY37" s="4"/>
      <c r="AZ37" s="4"/>
      <c r="BA37" s="4"/>
      <c r="BB37" s="4"/>
      <c r="BC37" s="4" t="s">
        <v>75</v>
      </c>
      <c r="BD37" s="4" t="s">
        <v>127</v>
      </c>
      <c r="BE37" s="4"/>
      <c r="BF37" s="4"/>
      <c r="BG37" s="4" t="s">
        <v>127</v>
      </c>
      <c r="BH37" s="4" t="s">
        <v>127</v>
      </c>
      <c r="BI37" s="4" t="str">
        <f t="shared" si="14"/>
        <v>-</v>
      </c>
      <c r="BJ37" s="19">
        <v>4</v>
      </c>
      <c r="BK37" s="19">
        <v>1</v>
      </c>
      <c r="BL37" s="16">
        <v>6</v>
      </c>
      <c r="BM37" t="s">
        <v>127</v>
      </c>
      <c r="BN37" t="str">
        <f t="shared" si="16"/>
        <v>-</v>
      </c>
      <c r="BO37" t="s">
        <v>127</v>
      </c>
      <c r="BP37" t="str">
        <f t="shared" si="17"/>
        <v>-</v>
      </c>
      <c r="BQ37" t="s">
        <v>127</v>
      </c>
    </row>
    <row r="38" spans="1:69" x14ac:dyDescent="0.4">
      <c r="A38" s="3">
        <v>34</v>
      </c>
      <c r="B38" s="3">
        <v>34</v>
      </c>
      <c r="C38" s="4">
        <v>600902</v>
      </c>
      <c r="D38" s="4" t="str">
        <f t="shared" si="0"/>
        <v>600902</v>
      </c>
      <c r="E38" s="4">
        <v>600902</v>
      </c>
      <c r="F38" s="4" t="str">
        <f t="shared" si="15"/>
        <v>6009025</v>
      </c>
      <c r="G38" s="4" t="s">
        <v>112</v>
      </c>
      <c r="H38" s="5">
        <v>4957470872902</v>
      </c>
      <c r="I38" s="5">
        <v>5</v>
      </c>
      <c r="J38" s="5"/>
      <c r="K38" s="5">
        <v>1</v>
      </c>
      <c r="L38" s="5">
        <v>1</v>
      </c>
      <c r="M38" s="4">
        <v>0</v>
      </c>
      <c r="N38" s="4">
        <v>354</v>
      </c>
      <c r="O38" s="4">
        <v>199</v>
      </c>
      <c r="P38" s="6">
        <f t="shared" si="1"/>
        <v>0.43785310734463279</v>
      </c>
      <c r="Q38" s="4" t="s">
        <v>128</v>
      </c>
      <c r="R38" s="4"/>
      <c r="S38" s="4"/>
      <c r="T38" s="4"/>
      <c r="U38" s="4"/>
      <c r="V38" s="4"/>
      <c r="W38" s="4"/>
      <c r="X38" s="4"/>
      <c r="Y38" s="4"/>
      <c r="Z38" s="4">
        <v>0</v>
      </c>
      <c r="AA38" s="4">
        <f t="shared" si="2"/>
        <v>0</v>
      </c>
      <c r="AB38" s="4">
        <v>235</v>
      </c>
      <c r="AC38" s="4">
        <f t="shared" si="3"/>
        <v>235</v>
      </c>
      <c r="AD38" s="4"/>
      <c r="AE38" s="21">
        <f t="shared" si="4"/>
        <v>418</v>
      </c>
      <c r="AF38" s="6">
        <f t="shared" si="5"/>
        <v>0.43779904306220097</v>
      </c>
      <c r="AG38" s="4">
        <v>5.25</v>
      </c>
      <c r="AH38" s="4">
        <f t="shared" si="6"/>
        <v>409.8</v>
      </c>
      <c r="AI38" s="4">
        <f t="shared" si="7"/>
        <v>483.93467336683415</v>
      </c>
      <c r="AJ38" s="6">
        <f t="shared" si="8"/>
        <v>0.51439726695949239</v>
      </c>
      <c r="AK38" s="7">
        <v>430</v>
      </c>
      <c r="AL38" s="6">
        <f t="shared" si="9"/>
        <v>0.45348837209302328</v>
      </c>
      <c r="AM38" s="4">
        <f t="shared" si="10"/>
        <v>195</v>
      </c>
      <c r="AN38" s="28"/>
      <c r="AO38" s="6"/>
      <c r="AP38" s="6"/>
      <c r="AQ38" s="6" t="str">
        <f t="shared" si="11"/>
        <v>-</v>
      </c>
      <c r="AR38" s="6">
        <f t="shared" si="12"/>
        <v>1.2146892655367232</v>
      </c>
      <c r="AS38" s="6">
        <f t="shared" si="13"/>
        <v>1.1809045226130652</v>
      </c>
      <c r="AT38" s="4"/>
      <c r="AU38" s="4"/>
      <c r="AV38" s="4"/>
      <c r="AW38" s="4"/>
      <c r="AX38" s="4"/>
      <c r="AY38" s="4"/>
      <c r="AZ38" s="4"/>
      <c r="BA38" s="4"/>
      <c r="BB38" s="4"/>
      <c r="BC38" s="4" t="s">
        <v>74</v>
      </c>
      <c r="BD38" s="4" t="s">
        <v>170</v>
      </c>
      <c r="BE38" s="4">
        <v>1</v>
      </c>
      <c r="BF38" s="4">
        <v>10</v>
      </c>
      <c r="BG38" s="4" t="s">
        <v>171</v>
      </c>
      <c r="BH38" s="4">
        <v>4098</v>
      </c>
      <c r="BI38" s="4">
        <f t="shared" si="14"/>
        <v>409.8</v>
      </c>
      <c r="BJ38" s="19">
        <v>4</v>
      </c>
      <c r="BK38" s="19">
        <v>1</v>
      </c>
      <c r="BL38" s="16">
        <v>6</v>
      </c>
      <c r="BM38" t="s">
        <v>127</v>
      </c>
      <c r="BN38" t="str">
        <f t="shared" si="16"/>
        <v>-</v>
      </c>
      <c r="BO38" t="s">
        <v>127</v>
      </c>
      <c r="BP38" t="str">
        <f t="shared" si="17"/>
        <v>-</v>
      </c>
      <c r="BQ38" t="s">
        <v>142</v>
      </c>
    </row>
    <row r="39" spans="1:69" x14ac:dyDescent="0.4">
      <c r="A39" s="3">
        <v>40</v>
      </c>
      <c r="B39" s="3">
        <v>40</v>
      </c>
      <c r="C39" s="4" t="s">
        <v>66</v>
      </c>
      <c r="D39" s="4" t="str">
        <f t="shared" si="0"/>
        <v>J3786N</v>
      </c>
      <c r="E39" s="4" t="s">
        <v>66</v>
      </c>
      <c r="F39" s="4" t="str">
        <f t="shared" si="15"/>
        <v>J3786N5</v>
      </c>
      <c r="G39" s="4" t="s">
        <v>118</v>
      </c>
      <c r="H39" s="5">
        <v>4957470791388</v>
      </c>
      <c r="I39" s="5">
        <v>5</v>
      </c>
      <c r="J39" s="5"/>
      <c r="K39" s="5">
        <v>1</v>
      </c>
      <c r="L39" s="5">
        <v>1</v>
      </c>
      <c r="M39" s="4">
        <v>0</v>
      </c>
      <c r="N39" s="4">
        <v>361</v>
      </c>
      <c r="O39" s="4">
        <v>233</v>
      </c>
      <c r="P39" s="6">
        <f t="shared" si="1"/>
        <v>0.35457063711911352</v>
      </c>
      <c r="Q39" s="4" t="s">
        <v>128</v>
      </c>
      <c r="R39" s="4"/>
      <c r="S39" s="4"/>
      <c r="T39" s="4"/>
      <c r="U39" s="4"/>
      <c r="V39" s="4"/>
      <c r="W39" s="4"/>
      <c r="X39" s="4"/>
      <c r="Y39" s="4"/>
      <c r="Z39" s="4">
        <v>0</v>
      </c>
      <c r="AA39" s="4">
        <f t="shared" si="2"/>
        <v>0</v>
      </c>
      <c r="AB39" s="4">
        <v>273</v>
      </c>
      <c r="AC39" s="4">
        <f t="shared" si="3"/>
        <v>273</v>
      </c>
      <c r="AD39" s="4"/>
      <c r="AE39" s="21">
        <f t="shared" si="4"/>
        <v>423</v>
      </c>
      <c r="AF39" s="6">
        <f t="shared" si="5"/>
        <v>0.35460992907801414</v>
      </c>
      <c r="AG39" s="4">
        <v>5.75</v>
      </c>
      <c r="AH39" s="4">
        <f t="shared" si="6"/>
        <v>399</v>
      </c>
      <c r="AI39" s="4">
        <f t="shared" si="7"/>
        <v>467.49785407725318</v>
      </c>
      <c r="AJ39" s="6">
        <f t="shared" si="8"/>
        <v>0.41604010025062654</v>
      </c>
      <c r="AK39" s="7">
        <v>460</v>
      </c>
      <c r="AL39" s="6">
        <f t="shared" si="9"/>
        <v>0.40652173913043477</v>
      </c>
      <c r="AM39" s="4">
        <f t="shared" si="10"/>
        <v>187</v>
      </c>
      <c r="AN39" s="28"/>
      <c r="AO39" s="6"/>
      <c r="AP39" s="6"/>
      <c r="AQ39" s="6" t="str">
        <f t="shared" si="11"/>
        <v>-</v>
      </c>
      <c r="AR39" s="6">
        <f t="shared" si="12"/>
        <v>1.2742382271468145</v>
      </c>
      <c r="AS39" s="6">
        <f t="shared" si="13"/>
        <v>1.1716738197424892</v>
      </c>
      <c r="AT39" s="4"/>
      <c r="AU39" s="4"/>
      <c r="AV39" s="4"/>
      <c r="AW39" s="4"/>
      <c r="AX39" s="4"/>
      <c r="AY39" s="4"/>
      <c r="AZ39" s="4"/>
      <c r="BA39" s="4"/>
      <c r="BB39" s="4"/>
      <c r="BC39" s="4">
        <v>0</v>
      </c>
      <c r="BD39" s="4" t="s">
        <v>172</v>
      </c>
      <c r="BE39" s="4"/>
      <c r="BF39" s="4"/>
      <c r="BG39" s="4" t="s">
        <v>173</v>
      </c>
      <c r="BH39" s="4">
        <v>399</v>
      </c>
      <c r="BI39" s="4">
        <f t="shared" si="14"/>
        <v>399</v>
      </c>
      <c r="BJ39" s="19">
        <v>4</v>
      </c>
      <c r="BK39" s="19">
        <v>1</v>
      </c>
      <c r="BL39" s="16">
        <v>6</v>
      </c>
      <c r="BM39" t="s">
        <v>127</v>
      </c>
      <c r="BN39" t="str">
        <f t="shared" si="16"/>
        <v>-</v>
      </c>
      <c r="BO39" t="s">
        <v>127</v>
      </c>
      <c r="BP39" t="str">
        <f t="shared" si="17"/>
        <v>-</v>
      </c>
      <c r="BQ39" t="s">
        <v>143</v>
      </c>
    </row>
    <row r="40" spans="1:69" x14ac:dyDescent="0.4">
      <c r="A40" s="3">
        <v>4</v>
      </c>
      <c r="B40" s="3">
        <v>4</v>
      </c>
      <c r="C40" s="4">
        <v>191991</v>
      </c>
      <c r="D40" s="4" t="str">
        <f t="shared" si="0"/>
        <v>191991</v>
      </c>
      <c r="E40" s="4">
        <v>191991</v>
      </c>
      <c r="F40" s="4" t="str">
        <f t="shared" si="15"/>
        <v>1919915</v>
      </c>
      <c r="G40" s="4" t="s">
        <v>82</v>
      </c>
      <c r="H40" s="5">
        <v>4957470806518</v>
      </c>
      <c r="I40" s="5">
        <v>5</v>
      </c>
      <c r="J40" s="5"/>
      <c r="K40" s="5">
        <v>1</v>
      </c>
      <c r="L40" s="5">
        <v>1</v>
      </c>
      <c r="M40" s="4">
        <v>0</v>
      </c>
      <c r="N40" s="4">
        <v>420</v>
      </c>
      <c r="O40" s="4">
        <v>270</v>
      </c>
      <c r="P40" s="6">
        <f t="shared" si="1"/>
        <v>0.3571428571428571</v>
      </c>
      <c r="Q40" s="4" t="s">
        <v>128</v>
      </c>
      <c r="R40" s="4"/>
      <c r="S40" s="4"/>
      <c r="T40" s="4"/>
      <c r="U40" s="4"/>
      <c r="V40" s="4"/>
      <c r="W40" s="4"/>
      <c r="X40" s="4"/>
      <c r="Y40" s="4"/>
      <c r="Z40" s="4">
        <v>0</v>
      </c>
      <c r="AA40" s="4">
        <f t="shared" si="2"/>
        <v>0</v>
      </c>
      <c r="AB40" s="4">
        <v>316</v>
      </c>
      <c r="AC40" s="4">
        <f t="shared" si="3"/>
        <v>316</v>
      </c>
      <c r="AD40" s="4"/>
      <c r="AE40" s="21">
        <f t="shared" si="4"/>
        <v>492</v>
      </c>
      <c r="AF40" s="6">
        <f t="shared" si="5"/>
        <v>0.35772357723577231</v>
      </c>
      <c r="AG40" s="4">
        <v>43.25</v>
      </c>
      <c r="AH40" s="4">
        <f t="shared" si="6"/>
        <v>442</v>
      </c>
      <c r="AI40" s="4">
        <f t="shared" si="7"/>
        <v>517.30370370370372</v>
      </c>
      <c r="AJ40" s="6">
        <f t="shared" si="8"/>
        <v>0.38914027149321273</v>
      </c>
      <c r="AK40" s="7">
        <v>510</v>
      </c>
      <c r="AL40" s="6">
        <f t="shared" si="9"/>
        <v>0.38039215686274508</v>
      </c>
      <c r="AM40" s="4">
        <f t="shared" si="10"/>
        <v>194</v>
      </c>
      <c r="AN40" s="28"/>
      <c r="AO40" s="6"/>
      <c r="AP40" s="6"/>
      <c r="AQ40" s="6" t="str">
        <f t="shared" si="11"/>
        <v>-</v>
      </c>
      <c r="AR40" s="6">
        <f t="shared" si="12"/>
        <v>1.2142857142857142</v>
      </c>
      <c r="AS40" s="6">
        <f t="shared" si="13"/>
        <v>1.1703703703703703</v>
      </c>
      <c r="AT40" s="4"/>
      <c r="AU40" s="4"/>
      <c r="AV40" s="4"/>
      <c r="AW40" s="4"/>
      <c r="AX40" s="4"/>
      <c r="AY40" s="4"/>
      <c r="AZ40" s="4"/>
      <c r="BA40" s="4"/>
      <c r="BB40" s="4"/>
      <c r="BC40" s="4">
        <v>0</v>
      </c>
      <c r="BD40" s="4" t="s">
        <v>174</v>
      </c>
      <c r="BE40" s="4"/>
      <c r="BF40" s="4"/>
      <c r="BG40" s="4" t="s">
        <v>173</v>
      </c>
      <c r="BH40" s="4">
        <v>442</v>
      </c>
      <c r="BI40" s="4">
        <f t="shared" si="14"/>
        <v>442</v>
      </c>
      <c r="BJ40" s="19">
        <v>4</v>
      </c>
      <c r="BK40" s="19">
        <v>1</v>
      </c>
      <c r="BL40" s="16">
        <v>6</v>
      </c>
      <c r="BM40" t="s">
        <v>127</v>
      </c>
      <c r="BN40" t="str">
        <f t="shared" si="16"/>
        <v>-</v>
      </c>
      <c r="BO40">
        <v>446</v>
      </c>
      <c r="BP40">
        <f t="shared" si="17"/>
        <v>521.98518518518517</v>
      </c>
      <c r="BQ40" t="s">
        <v>144</v>
      </c>
    </row>
    <row r="41" spans="1:69" x14ac:dyDescent="0.4">
      <c r="A41" s="3">
        <v>26</v>
      </c>
      <c r="B41" s="3">
        <v>26</v>
      </c>
      <c r="C41" s="4">
        <v>600855</v>
      </c>
      <c r="D41" s="4" t="str">
        <f t="shared" si="0"/>
        <v>600855</v>
      </c>
      <c r="E41" s="4">
        <v>600855</v>
      </c>
      <c r="F41" s="4" t="str">
        <f t="shared" si="15"/>
        <v>6008555</v>
      </c>
      <c r="G41" s="4" t="s">
        <v>104</v>
      </c>
      <c r="H41" s="5">
        <v>4957470891606</v>
      </c>
      <c r="I41" s="5">
        <v>5</v>
      </c>
      <c r="J41" s="5"/>
      <c r="K41" s="5">
        <v>1</v>
      </c>
      <c r="L41" s="5">
        <v>1</v>
      </c>
      <c r="M41" s="4">
        <v>0</v>
      </c>
      <c r="N41" s="4">
        <v>605</v>
      </c>
      <c r="O41" s="4">
        <v>277</v>
      </c>
      <c r="P41" s="6">
        <f t="shared" si="1"/>
        <v>0.54214876033057857</v>
      </c>
      <c r="Q41" s="4" t="s">
        <v>128</v>
      </c>
      <c r="R41" s="4"/>
      <c r="S41" s="4"/>
      <c r="T41" s="4"/>
      <c r="U41" s="4"/>
      <c r="V41" s="4"/>
      <c r="W41" s="4"/>
      <c r="X41" s="4"/>
      <c r="Y41" s="4"/>
      <c r="Z41" s="4">
        <v>0</v>
      </c>
      <c r="AA41" s="4">
        <f t="shared" si="2"/>
        <v>0</v>
      </c>
      <c r="AB41" s="4">
        <v>324</v>
      </c>
      <c r="AC41" s="4">
        <f t="shared" si="3"/>
        <v>324</v>
      </c>
      <c r="AD41" s="4"/>
      <c r="AE41" s="21">
        <f t="shared" si="4"/>
        <v>708</v>
      </c>
      <c r="AF41" s="6">
        <f t="shared" si="5"/>
        <v>0.5423728813559322</v>
      </c>
      <c r="AG41" s="4">
        <v>27.500000000000004</v>
      </c>
      <c r="AH41" s="4" t="str">
        <f t="shared" si="6"/>
        <v>-</v>
      </c>
      <c r="AI41" s="4" t="str">
        <f t="shared" si="7"/>
        <v>-</v>
      </c>
      <c r="AJ41" s="6" t="str">
        <f t="shared" si="8"/>
        <v>-</v>
      </c>
      <c r="AK41" s="7">
        <v>550</v>
      </c>
      <c r="AL41" s="6">
        <f t="shared" si="9"/>
        <v>0.41090909090909089</v>
      </c>
      <c r="AM41" s="4">
        <f t="shared" si="10"/>
        <v>226</v>
      </c>
      <c r="AN41" s="28"/>
      <c r="AO41" s="6"/>
      <c r="AP41" s="6"/>
      <c r="AQ41" s="6" t="str">
        <f t="shared" si="11"/>
        <v>-</v>
      </c>
      <c r="AR41" s="6">
        <f t="shared" si="12"/>
        <v>0.90909090909090906</v>
      </c>
      <c r="AS41" s="6">
        <f t="shared" si="13"/>
        <v>1.1696750902527075</v>
      </c>
      <c r="AT41" s="4"/>
      <c r="AU41" s="4"/>
      <c r="AV41" s="4"/>
      <c r="AW41" s="4"/>
      <c r="AX41" s="4"/>
      <c r="AY41" s="4"/>
      <c r="AZ41" s="4"/>
      <c r="BA41" s="4"/>
      <c r="BB41" s="4"/>
      <c r="BC41" s="4" t="s">
        <v>77</v>
      </c>
      <c r="BD41" s="4" t="s">
        <v>127</v>
      </c>
      <c r="BE41" s="4"/>
      <c r="BF41" s="4"/>
      <c r="BG41" s="4" t="s">
        <v>127</v>
      </c>
      <c r="BH41" s="4" t="s">
        <v>127</v>
      </c>
      <c r="BI41" s="4" t="str">
        <f t="shared" si="14"/>
        <v>-</v>
      </c>
      <c r="BJ41" s="19">
        <v>4</v>
      </c>
      <c r="BK41" s="19">
        <v>1</v>
      </c>
      <c r="BL41" s="16">
        <v>6</v>
      </c>
      <c r="BM41">
        <v>153</v>
      </c>
      <c r="BN41">
        <f t="shared" si="16"/>
        <v>178.96028880866425</v>
      </c>
      <c r="BO41" t="s">
        <v>127</v>
      </c>
      <c r="BP41" t="str">
        <f t="shared" si="17"/>
        <v>-</v>
      </c>
      <c r="BQ41" t="s">
        <v>127</v>
      </c>
    </row>
    <row r="42" spans="1:69" x14ac:dyDescent="0.4">
      <c r="A42" s="3">
        <v>28</v>
      </c>
      <c r="B42" s="3">
        <v>28</v>
      </c>
      <c r="C42" s="4">
        <v>600861</v>
      </c>
      <c r="D42" s="4" t="str">
        <f t="shared" si="0"/>
        <v>600861</v>
      </c>
      <c r="E42" s="4">
        <v>600861</v>
      </c>
      <c r="F42" s="4" t="str">
        <f t="shared" si="15"/>
        <v>6008615</v>
      </c>
      <c r="G42" s="4" t="s">
        <v>106</v>
      </c>
      <c r="H42" s="5">
        <v>4957470911014</v>
      </c>
      <c r="I42" s="5">
        <v>5</v>
      </c>
      <c r="J42" s="5"/>
      <c r="K42" s="5">
        <v>1</v>
      </c>
      <c r="L42" s="5">
        <v>1</v>
      </c>
      <c r="M42" s="4">
        <v>0</v>
      </c>
      <c r="N42" s="4">
        <v>422</v>
      </c>
      <c r="O42" s="4">
        <v>284</v>
      </c>
      <c r="P42" s="6">
        <f t="shared" si="1"/>
        <v>0.32701421800947872</v>
      </c>
      <c r="Q42" s="4" t="s">
        <v>128</v>
      </c>
      <c r="R42" s="4"/>
      <c r="S42" s="4"/>
      <c r="T42" s="4"/>
      <c r="U42" s="4"/>
      <c r="V42" s="4"/>
      <c r="W42" s="4"/>
      <c r="X42" s="4"/>
      <c r="Y42" s="4"/>
      <c r="Z42" s="4">
        <v>0</v>
      </c>
      <c r="AA42" s="4">
        <f t="shared" si="2"/>
        <v>0</v>
      </c>
      <c r="AB42" s="4">
        <v>332</v>
      </c>
      <c r="AC42" s="4">
        <f t="shared" si="3"/>
        <v>332</v>
      </c>
      <c r="AD42" s="4"/>
      <c r="AE42" s="21">
        <f t="shared" si="4"/>
        <v>493</v>
      </c>
      <c r="AF42" s="6">
        <f t="shared" si="5"/>
        <v>0.32657200811359022</v>
      </c>
      <c r="AG42" s="4">
        <v>4.25</v>
      </c>
      <c r="AH42" s="4" t="str">
        <f t="shared" si="6"/>
        <v>-</v>
      </c>
      <c r="AI42" s="4" t="str">
        <f t="shared" si="7"/>
        <v>-</v>
      </c>
      <c r="AJ42" s="6" t="str">
        <f t="shared" si="8"/>
        <v>-</v>
      </c>
      <c r="AK42" s="7">
        <v>550</v>
      </c>
      <c r="AL42" s="6">
        <f t="shared" si="9"/>
        <v>0.39636363636363636</v>
      </c>
      <c r="AM42" s="4">
        <f t="shared" si="10"/>
        <v>218</v>
      </c>
      <c r="AN42" s="28"/>
      <c r="AO42" s="6"/>
      <c r="AP42" s="6"/>
      <c r="AQ42" s="6" t="str">
        <f t="shared" si="11"/>
        <v>-</v>
      </c>
      <c r="AR42" s="6">
        <f t="shared" si="12"/>
        <v>1.3033175355450237</v>
      </c>
      <c r="AS42" s="6">
        <f t="shared" si="13"/>
        <v>1.1690140845070423</v>
      </c>
      <c r="AT42" s="4"/>
      <c r="AU42" s="4"/>
      <c r="AV42" s="4"/>
      <c r="AW42" s="4"/>
      <c r="AX42" s="4"/>
      <c r="AY42" s="4"/>
      <c r="AZ42" s="4"/>
      <c r="BA42" s="4"/>
      <c r="BB42" s="4"/>
      <c r="BC42" s="4" t="s">
        <v>74</v>
      </c>
      <c r="BD42" s="4" t="s">
        <v>127</v>
      </c>
      <c r="BE42" s="4"/>
      <c r="BF42" s="4"/>
      <c r="BG42" s="4" t="s">
        <v>127</v>
      </c>
      <c r="BH42" s="4" t="s">
        <v>127</v>
      </c>
      <c r="BI42" s="4" t="str">
        <f t="shared" si="14"/>
        <v>-</v>
      </c>
      <c r="BJ42" s="19">
        <v>4</v>
      </c>
      <c r="BK42" s="19">
        <v>1</v>
      </c>
      <c r="BL42" s="16">
        <v>6</v>
      </c>
      <c r="BM42" t="s">
        <v>127</v>
      </c>
      <c r="BN42" t="str">
        <f t="shared" si="16"/>
        <v>-</v>
      </c>
      <c r="BO42" t="s">
        <v>127</v>
      </c>
      <c r="BP42" t="str">
        <f t="shared" si="17"/>
        <v>-</v>
      </c>
      <c r="BQ42" t="s">
        <v>127</v>
      </c>
    </row>
    <row r="43" spans="1:69" x14ac:dyDescent="0.4">
      <c r="A43" s="3">
        <v>31</v>
      </c>
      <c r="B43" s="3">
        <v>31</v>
      </c>
      <c r="C43" s="4">
        <v>600895</v>
      </c>
      <c r="D43" s="4" t="str">
        <f t="shared" si="0"/>
        <v>600895</v>
      </c>
      <c r="E43" s="4">
        <v>600895</v>
      </c>
      <c r="F43" s="4" t="str">
        <f t="shared" si="15"/>
        <v>6008955</v>
      </c>
      <c r="G43" s="4" t="s">
        <v>109</v>
      </c>
      <c r="H43" s="5">
        <v>4957470805917</v>
      </c>
      <c r="I43" s="5">
        <v>5</v>
      </c>
      <c r="J43" s="5"/>
      <c r="K43" s="5">
        <v>1</v>
      </c>
      <c r="L43" s="5">
        <v>1</v>
      </c>
      <c r="M43" s="4">
        <v>0</v>
      </c>
      <c r="N43" s="4">
        <v>535</v>
      </c>
      <c r="O43" s="4">
        <v>305</v>
      </c>
      <c r="P43" s="6">
        <f t="shared" si="1"/>
        <v>0.42990654205607481</v>
      </c>
      <c r="Q43" s="4" t="s">
        <v>128</v>
      </c>
      <c r="R43" s="4"/>
      <c r="S43" s="4"/>
      <c r="T43" s="4"/>
      <c r="U43" s="4"/>
      <c r="V43" s="4"/>
      <c r="W43" s="4"/>
      <c r="X43" s="4"/>
      <c r="Y43" s="4"/>
      <c r="Z43" s="4">
        <v>0</v>
      </c>
      <c r="AA43" s="4">
        <f t="shared" si="2"/>
        <v>0</v>
      </c>
      <c r="AB43" s="4">
        <v>357</v>
      </c>
      <c r="AC43" s="4">
        <f t="shared" si="3"/>
        <v>357</v>
      </c>
      <c r="AD43" s="4"/>
      <c r="AE43" s="21">
        <f t="shared" si="4"/>
        <v>626</v>
      </c>
      <c r="AF43" s="6">
        <f t="shared" si="5"/>
        <v>0.42971246006389774</v>
      </c>
      <c r="AG43" s="4">
        <v>105</v>
      </c>
      <c r="AH43" s="4">
        <f t="shared" si="6"/>
        <v>724.40000000000009</v>
      </c>
      <c r="AI43" s="4">
        <f t="shared" si="7"/>
        <v>847.90426229508216</v>
      </c>
      <c r="AJ43" s="6">
        <f t="shared" si="8"/>
        <v>0.57896189950303711</v>
      </c>
      <c r="AK43" s="7">
        <v>620</v>
      </c>
      <c r="AL43" s="6">
        <f t="shared" si="9"/>
        <v>0.42419354838709677</v>
      </c>
      <c r="AM43" s="4">
        <f t="shared" si="10"/>
        <v>263</v>
      </c>
      <c r="AN43" s="28"/>
      <c r="AO43" s="6"/>
      <c r="AP43" s="6"/>
      <c r="AQ43" s="6" t="str">
        <f t="shared" si="11"/>
        <v>-</v>
      </c>
      <c r="AR43" s="6">
        <f t="shared" si="12"/>
        <v>1.1588785046728971</v>
      </c>
      <c r="AS43" s="6">
        <f t="shared" si="13"/>
        <v>1.1704918032786886</v>
      </c>
      <c r="AT43" s="4"/>
      <c r="AU43" s="4"/>
      <c r="AV43" s="4"/>
      <c r="AW43" s="4"/>
      <c r="AX43" s="4"/>
      <c r="AY43" s="4"/>
      <c r="AZ43" s="4"/>
      <c r="BA43" s="4"/>
      <c r="BB43" s="4"/>
      <c r="BC43" s="4" t="s">
        <v>77</v>
      </c>
      <c r="BD43" s="4" t="s">
        <v>175</v>
      </c>
      <c r="BE43" s="4">
        <v>5</v>
      </c>
      <c r="BF43" s="4">
        <v>25</v>
      </c>
      <c r="BG43" s="4" t="s">
        <v>164</v>
      </c>
      <c r="BH43" s="4">
        <v>3622</v>
      </c>
      <c r="BI43" s="4">
        <f t="shared" si="14"/>
        <v>724.40000000000009</v>
      </c>
      <c r="BJ43" s="19">
        <v>4</v>
      </c>
      <c r="BK43" s="19">
        <v>1</v>
      </c>
      <c r="BL43" s="16">
        <v>6</v>
      </c>
      <c r="BM43" t="s">
        <v>127</v>
      </c>
      <c r="BN43" t="str">
        <f t="shared" si="16"/>
        <v>-</v>
      </c>
      <c r="BO43" t="s">
        <v>127</v>
      </c>
      <c r="BP43" t="str">
        <f t="shared" si="17"/>
        <v>-</v>
      </c>
      <c r="BQ43" t="s">
        <v>145</v>
      </c>
    </row>
    <row r="44" spans="1:69" x14ac:dyDescent="0.4">
      <c r="A44" s="3">
        <v>35</v>
      </c>
      <c r="B44" s="3">
        <v>35</v>
      </c>
      <c r="C44" s="4">
        <v>600904</v>
      </c>
      <c r="D44" s="4" t="str">
        <f t="shared" si="0"/>
        <v>600904</v>
      </c>
      <c r="E44" s="4">
        <v>600904</v>
      </c>
      <c r="F44" s="4" t="str">
        <f t="shared" si="15"/>
        <v>6009045</v>
      </c>
      <c r="G44" s="4" t="s">
        <v>113</v>
      </c>
      <c r="H44" s="5">
        <v>4957470826530</v>
      </c>
      <c r="I44" s="5">
        <v>5</v>
      </c>
      <c r="J44" s="5"/>
      <c r="K44" s="5">
        <v>1</v>
      </c>
      <c r="L44" s="5">
        <v>1</v>
      </c>
      <c r="M44" s="4">
        <v>0</v>
      </c>
      <c r="N44" s="4">
        <v>503</v>
      </c>
      <c r="O44" s="4">
        <v>314</v>
      </c>
      <c r="P44" s="6">
        <f t="shared" si="1"/>
        <v>0.37574552683896623</v>
      </c>
      <c r="Q44" s="4" t="s">
        <v>128</v>
      </c>
      <c r="R44" s="4"/>
      <c r="S44" s="4"/>
      <c r="T44" s="4"/>
      <c r="U44" s="4"/>
      <c r="V44" s="4"/>
      <c r="W44" s="4"/>
      <c r="X44" s="4"/>
      <c r="Y44" s="4"/>
      <c r="Z44" s="4">
        <v>0</v>
      </c>
      <c r="AA44" s="4">
        <f t="shared" si="2"/>
        <v>0</v>
      </c>
      <c r="AB44" s="4">
        <v>367</v>
      </c>
      <c r="AC44" s="4">
        <f t="shared" si="3"/>
        <v>367</v>
      </c>
      <c r="AD44" s="4"/>
      <c r="AE44" s="21">
        <f t="shared" si="4"/>
        <v>588</v>
      </c>
      <c r="AF44" s="6">
        <f t="shared" si="5"/>
        <v>0.37585034013605445</v>
      </c>
      <c r="AG44" s="4">
        <v>45</v>
      </c>
      <c r="AH44" s="4">
        <f t="shared" si="6"/>
        <v>658.8</v>
      </c>
      <c r="AI44" s="4">
        <f t="shared" si="7"/>
        <v>769.99872611464968</v>
      </c>
      <c r="AJ44" s="6">
        <f t="shared" si="8"/>
        <v>0.52337583485124473</v>
      </c>
      <c r="AK44" s="7">
        <v>620</v>
      </c>
      <c r="AL44" s="6">
        <f t="shared" si="9"/>
        <v>0.40806451612903227</v>
      </c>
      <c r="AM44" s="4">
        <f t="shared" si="10"/>
        <v>253</v>
      </c>
      <c r="AN44" s="28"/>
      <c r="AO44" s="6"/>
      <c r="AP44" s="6"/>
      <c r="AQ44" s="6" t="str">
        <f t="shared" si="11"/>
        <v>-</v>
      </c>
      <c r="AR44" s="6">
        <f t="shared" si="12"/>
        <v>1.2326043737574552</v>
      </c>
      <c r="AS44" s="6">
        <f t="shared" si="13"/>
        <v>1.1687898089171975</v>
      </c>
      <c r="AT44" s="4"/>
      <c r="AU44" s="4"/>
      <c r="AV44" s="4"/>
      <c r="AW44" s="4"/>
      <c r="AX44" s="4"/>
      <c r="AY44" s="4"/>
      <c r="AZ44" s="4"/>
      <c r="BA44" s="4"/>
      <c r="BB44" s="4"/>
      <c r="BC44" s="4" t="s">
        <v>74</v>
      </c>
      <c r="BD44" s="4" t="s">
        <v>176</v>
      </c>
      <c r="BE44" s="4">
        <v>3</v>
      </c>
      <c r="BF44" s="4">
        <v>25</v>
      </c>
      <c r="BG44" s="4" t="s">
        <v>164</v>
      </c>
      <c r="BH44" s="4">
        <v>5490</v>
      </c>
      <c r="BI44" s="4">
        <f t="shared" si="14"/>
        <v>658.8</v>
      </c>
      <c r="BJ44" s="19">
        <v>4</v>
      </c>
      <c r="BK44" s="19">
        <v>1</v>
      </c>
      <c r="BL44" s="16">
        <v>6</v>
      </c>
      <c r="BM44" t="s">
        <v>127</v>
      </c>
      <c r="BN44" t="str">
        <f t="shared" si="16"/>
        <v>-</v>
      </c>
      <c r="BO44" t="s">
        <v>127</v>
      </c>
      <c r="BP44" t="str">
        <f t="shared" si="17"/>
        <v>-</v>
      </c>
      <c r="BQ44" t="s">
        <v>146</v>
      </c>
    </row>
    <row r="45" spans="1:69" x14ac:dyDescent="0.4">
      <c r="A45" s="3">
        <v>25</v>
      </c>
      <c r="B45" s="3">
        <v>25</v>
      </c>
      <c r="C45" s="4">
        <v>600854</v>
      </c>
      <c r="D45" s="4" t="str">
        <f t="shared" si="0"/>
        <v>600854</v>
      </c>
      <c r="E45" s="4">
        <v>600854</v>
      </c>
      <c r="F45" s="4" t="str">
        <f t="shared" si="15"/>
        <v>6008545</v>
      </c>
      <c r="G45" s="4" t="s">
        <v>103</v>
      </c>
      <c r="H45" s="5">
        <v>4957470865119</v>
      </c>
      <c r="I45" s="5">
        <v>5</v>
      </c>
      <c r="J45" s="5"/>
      <c r="K45" s="5">
        <v>1</v>
      </c>
      <c r="L45" s="5">
        <v>1</v>
      </c>
      <c r="M45" s="4">
        <v>0</v>
      </c>
      <c r="N45" s="4">
        <v>478</v>
      </c>
      <c r="O45" s="4">
        <v>324</v>
      </c>
      <c r="P45" s="6">
        <f t="shared" si="1"/>
        <v>0.32217573221757323</v>
      </c>
      <c r="Q45" s="4" t="s">
        <v>128</v>
      </c>
      <c r="R45" s="4"/>
      <c r="S45" s="4"/>
      <c r="T45" s="4"/>
      <c r="U45" s="4"/>
      <c r="V45" s="4"/>
      <c r="W45" s="4"/>
      <c r="X45" s="4"/>
      <c r="Y45" s="4"/>
      <c r="Z45" s="4">
        <v>0</v>
      </c>
      <c r="AA45" s="4">
        <f t="shared" si="2"/>
        <v>0</v>
      </c>
      <c r="AB45" s="4">
        <v>379</v>
      </c>
      <c r="AC45" s="4">
        <f t="shared" si="3"/>
        <v>379</v>
      </c>
      <c r="AD45" s="4"/>
      <c r="AE45" s="21">
        <f t="shared" si="4"/>
        <v>559</v>
      </c>
      <c r="AF45" s="6">
        <f t="shared" si="5"/>
        <v>0.32200357781753131</v>
      </c>
      <c r="AG45" s="4">
        <v>34.25</v>
      </c>
      <c r="AH45" s="4">
        <f t="shared" si="6"/>
        <v>843.83333333333326</v>
      </c>
      <c r="AI45" s="4">
        <f t="shared" si="7"/>
        <v>987.07664609053495</v>
      </c>
      <c r="AJ45" s="6">
        <f t="shared" si="8"/>
        <v>0.61603792218052544</v>
      </c>
      <c r="AK45" s="7">
        <v>630</v>
      </c>
      <c r="AL45" s="6">
        <f t="shared" si="9"/>
        <v>0.39841269841269844</v>
      </c>
      <c r="AM45" s="4">
        <f t="shared" si="10"/>
        <v>251</v>
      </c>
      <c r="AN45" s="28"/>
      <c r="AO45" s="6"/>
      <c r="AP45" s="6"/>
      <c r="AQ45" s="6" t="str">
        <f t="shared" si="11"/>
        <v>-</v>
      </c>
      <c r="AR45" s="6">
        <f t="shared" si="12"/>
        <v>1.3179916317991631</v>
      </c>
      <c r="AS45" s="6">
        <f t="shared" si="13"/>
        <v>1.1697530864197532</v>
      </c>
      <c r="AT45" s="4"/>
      <c r="AU45" s="4"/>
      <c r="AV45" s="4"/>
      <c r="AW45" s="4"/>
      <c r="AX45" s="4"/>
      <c r="AY45" s="4"/>
      <c r="AZ45" s="4"/>
      <c r="BA45" s="4"/>
      <c r="BB45" s="4"/>
      <c r="BC45" s="4" t="s">
        <v>74</v>
      </c>
      <c r="BD45" s="4" t="s">
        <v>177</v>
      </c>
      <c r="BE45" s="4">
        <v>5</v>
      </c>
      <c r="BF45" s="4">
        <v>30</v>
      </c>
      <c r="BG45" s="4" t="s">
        <v>178</v>
      </c>
      <c r="BH45" s="4">
        <v>5063</v>
      </c>
      <c r="BI45" s="4">
        <f t="shared" si="14"/>
        <v>843.83333333333326</v>
      </c>
      <c r="BJ45" s="19">
        <v>4</v>
      </c>
      <c r="BK45" s="19">
        <v>1</v>
      </c>
      <c r="BL45" s="16">
        <v>6</v>
      </c>
      <c r="BM45" t="s">
        <v>127</v>
      </c>
      <c r="BN45" t="str">
        <f t="shared" si="16"/>
        <v>-</v>
      </c>
      <c r="BO45" t="s">
        <v>127</v>
      </c>
      <c r="BP45" t="str">
        <f t="shared" si="17"/>
        <v>-</v>
      </c>
      <c r="BQ45" t="s">
        <v>147</v>
      </c>
    </row>
    <row r="46" spans="1:69" x14ac:dyDescent="0.4">
      <c r="A46" s="3">
        <v>33</v>
      </c>
      <c r="B46" s="3">
        <v>33</v>
      </c>
      <c r="C46" s="4">
        <v>600901</v>
      </c>
      <c r="D46" s="4" t="str">
        <f t="shared" si="0"/>
        <v>600901</v>
      </c>
      <c r="E46" s="4">
        <v>600901</v>
      </c>
      <c r="F46" s="4" t="str">
        <f t="shared" si="15"/>
        <v>6009015</v>
      </c>
      <c r="G46" s="4" t="s">
        <v>111</v>
      </c>
      <c r="H46" s="5">
        <v>4957470821504</v>
      </c>
      <c r="I46" s="5">
        <v>5</v>
      </c>
      <c r="J46" s="5"/>
      <c r="K46" s="5">
        <v>1</v>
      </c>
      <c r="L46" s="5">
        <v>1</v>
      </c>
      <c r="M46" s="4">
        <v>0</v>
      </c>
      <c r="N46" s="4">
        <v>690</v>
      </c>
      <c r="O46" s="4">
        <v>496</v>
      </c>
      <c r="P46" s="6">
        <f t="shared" si="1"/>
        <v>0.28115942028985508</v>
      </c>
      <c r="Q46" s="4" t="s">
        <v>128</v>
      </c>
      <c r="R46" s="4"/>
      <c r="S46" s="4"/>
      <c r="T46" s="4"/>
      <c r="U46" s="4"/>
      <c r="V46" s="4"/>
      <c r="W46" s="4"/>
      <c r="X46" s="4"/>
      <c r="Y46" s="4"/>
      <c r="Z46" s="4">
        <v>0</v>
      </c>
      <c r="AA46" s="4">
        <f t="shared" si="2"/>
        <v>0</v>
      </c>
      <c r="AB46" s="4">
        <v>580</v>
      </c>
      <c r="AC46" s="4">
        <f t="shared" si="3"/>
        <v>580</v>
      </c>
      <c r="AD46" s="4"/>
      <c r="AE46" s="21">
        <f t="shared" si="4"/>
        <v>807</v>
      </c>
      <c r="AF46" s="6">
        <f t="shared" si="5"/>
        <v>0.2812887236679058</v>
      </c>
      <c r="AG46" s="4">
        <v>11.25</v>
      </c>
      <c r="AH46" s="4">
        <f t="shared" si="6"/>
        <v>1098</v>
      </c>
      <c r="AI46" s="4">
        <f t="shared" si="7"/>
        <v>1283.9516129032259</v>
      </c>
      <c r="AJ46" s="6">
        <f t="shared" si="8"/>
        <v>0.54826958105646639</v>
      </c>
      <c r="AK46" s="7">
        <v>950</v>
      </c>
      <c r="AL46" s="6">
        <f t="shared" si="9"/>
        <v>0.38947368421052631</v>
      </c>
      <c r="AM46" s="4">
        <f t="shared" si="10"/>
        <v>370</v>
      </c>
      <c r="AN46" s="28"/>
      <c r="AO46" s="6"/>
      <c r="AP46" s="6"/>
      <c r="AQ46" s="6" t="str">
        <f t="shared" si="11"/>
        <v>-</v>
      </c>
      <c r="AR46" s="6">
        <f t="shared" si="12"/>
        <v>1.3768115942028984</v>
      </c>
      <c r="AS46" s="6">
        <f t="shared" si="13"/>
        <v>1.1693548387096775</v>
      </c>
      <c r="AT46" s="4"/>
      <c r="AU46" s="4"/>
      <c r="AV46" s="4"/>
      <c r="AW46" s="4"/>
      <c r="AX46" s="4"/>
      <c r="AY46" s="4"/>
      <c r="AZ46" s="4"/>
      <c r="BA46" s="4"/>
      <c r="BB46" s="4"/>
      <c r="BC46" s="4" t="s">
        <v>74</v>
      </c>
      <c r="BD46" s="4" t="s">
        <v>179</v>
      </c>
      <c r="BE46" s="4">
        <v>5</v>
      </c>
      <c r="BF46" s="4">
        <v>25</v>
      </c>
      <c r="BG46" s="4" t="s">
        <v>164</v>
      </c>
      <c r="BH46" s="4">
        <v>5490</v>
      </c>
      <c r="BI46" s="4">
        <f t="shared" si="14"/>
        <v>1098</v>
      </c>
      <c r="BJ46" s="19">
        <v>4</v>
      </c>
      <c r="BK46" s="19">
        <v>1</v>
      </c>
      <c r="BL46" s="16">
        <v>6</v>
      </c>
      <c r="BM46" t="s">
        <v>127</v>
      </c>
      <c r="BN46" t="str">
        <f t="shared" si="16"/>
        <v>-</v>
      </c>
      <c r="BO46" t="s">
        <v>127</v>
      </c>
      <c r="BP46" t="str">
        <f t="shared" si="17"/>
        <v>-</v>
      </c>
      <c r="BQ46" t="s">
        <v>148</v>
      </c>
    </row>
    <row r="47" spans="1:69" x14ac:dyDescent="0.4">
      <c r="A47" s="3">
        <v>46</v>
      </c>
      <c r="B47" s="3">
        <v>46</v>
      </c>
      <c r="C47" s="4" t="s">
        <v>72</v>
      </c>
      <c r="D47" s="4" t="str">
        <f t="shared" si="0"/>
        <v>J0499T</v>
      </c>
      <c r="E47" s="4" t="s">
        <v>72</v>
      </c>
      <c r="F47" s="4" t="str">
        <f t="shared" si="15"/>
        <v>J0499T5</v>
      </c>
      <c r="G47" s="4" t="s">
        <v>124</v>
      </c>
      <c r="H47" s="5">
        <v>4957470104775</v>
      </c>
      <c r="I47" s="5">
        <v>5</v>
      </c>
      <c r="J47" s="5"/>
      <c r="K47" s="5">
        <v>1</v>
      </c>
      <c r="L47" s="5">
        <v>1</v>
      </c>
      <c r="M47" s="4">
        <v>0</v>
      </c>
      <c r="N47" s="4">
        <v>525</v>
      </c>
      <c r="O47" s="4">
        <v>275</v>
      </c>
      <c r="P47" s="6">
        <f t="shared" si="1"/>
        <v>0.47619047619047616</v>
      </c>
      <c r="Q47" s="4" t="s">
        <v>128</v>
      </c>
      <c r="R47" s="4"/>
      <c r="S47" s="4"/>
      <c r="T47" s="4"/>
      <c r="U47" s="4"/>
      <c r="V47" s="4"/>
      <c r="W47" s="4"/>
      <c r="X47" s="4"/>
      <c r="Y47" s="4"/>
      <c r="Z47" s="4">
        <v>0</v>
      </c>
      <c r="AA47" s="4">
        <f t="shared" si="2"/>
        <v>0</v>
      </c>
      <c r="AB47" s="4">
        <v>371</v>
      </c>
      <c r="AC47" s="4">
        <f t="shared" si="3"/>
        <v>371</v>
      </c>
      <c r="AD47" s="4"/>
      <c r="AE47" s="21">
        <f t="shared" si="4"/>
        <v>708</v>
      </c>
      <c r="AF47" s="6">
        <f t="shared" si="5"/>
        <v>0.47598870056497178</v>
      </c>
      <c r="AG47" s="4">
        <v>3</v>
      </c>
      <c r="AH47" s="4">
        <f t="shared" si="6"/>
        <v>604</v>
      </c>
      <c r="AI47" s="4">
        <f t="shared" si="7"/>
        <v>814.85090909090911</v>
      </c>
      <c r="AJ47" s="6">
        <f t="shared" si="8"/>
        <v>0.54470198675496695</v>
      </c>
      <c r="AK47" s="7">
        <v>680</v>
      </c>
      <c r="AL47" s="6">
        <f t="shared" si="9"/>
        <v>0.4544117647058824</v>
      </c>
      <c r="AM47" s="4">
        <f t="shared" si="10"/>
        <v>309</v>
      </c>
      <c r="AN47" s="28"/>
      <c r="AO47" s="6"/>
      <c r="AP47" s="6"/>
      <c r="AQ47" s="6" t="str">
        <f t="shared" si="11"/>
        <v>-</v>
      </c>
      <c r="AR47" s="6">
        <f t="shared" si="12"/>
        <v>1.2952380952380953</v>
      </c>
      <c r="AS47" s="6">
        <f t="shared" si="13"/>
        <v>1.3490909090909091</v>
      </c>
      <c r="AT47" s="4"/>
      <c r="AU47" s="4"/>
      <c r="AV47" s="4"/>
      <c r="AW47" s="4"/>
      <c r="AX47" s="4"/>
      <c r="AY47" s="4"/>
      <c r="AZ47" s="4"/>
      <c r="BA47" s="4"/>
      <c r="BB47" s="4"/>
      <c r="BC47" s="4">
        <v>0</v>
      </c>
      <c r="BD47" s="4" t="s">
        <v>180</v>
      </c>
      <c r="BE47" s="4"/>
      <c r="BF47" s="4"/>
      <c r="BG47" s="4" t="s">
        <v>181</v>
      </c>
      <c r="BH47" s="4">
        <v>604</v>
      </c>
      <c r="BI47" s="4">
        <f t="shared" si="14"/>
        <v>604</v>
      </c>
      <c r="BJ47" s="19">
        <v>4</v>
      </c>
      <c r="BK47" s="19">
        <v>1</v>
      </c>
      <c r="BL47" s="16">
        <v>18</v>
      </c>
      <c r="BM47" t="s">
        <v>127</v>
      </c>
      <c r="BN47" t="str">
        <f t="shared" si="16"/>
        <v>-</v>
      </c>
      <c r="BO47" t="s">
        <v>127</v>
      </c>
      <c r="BP47" t="str">
        <f t="shared" si="17"/>
        <v>-</v>
      </c>
      <c r="BQ47" t="s">
        <v>149</v>
      </c>
    </row>
    <row r="48" spans="1:69" x14ac:dyDescent="0.4">
      <c r="A48" s="3">
        <v>44</v>
      </c>
      <c r="B48" s="3">
        <v>44</v>
      </c>
      <c r="C48" s="4" t="s">
        <v>70</v>
      </c>
      <c r="D48" s="4" t="str">
        <f t="shared" si="0"/>
        <v>J524SM</v>
      </c>
      <c r="E48" s="4" t="s">
        <v>70</v>
      </c>
      <c r="F48" s="4" t="str">
        <f t="shared" si="15"/>
        <v>J524SM5</v>
      </c>
      <c r="G48" s="4" t="s">
        <v>122</v>
      </c>
      <c r="H48" s="5">
        <v>4957470034188</v>
      </c>
      <c r="I48" s="5">
        <v>5</v>
      </c>
      <c r="J48" s="5"/>
      <c r="K48" s="5">
        <v>1</v>
      </c>
      <c r="L48" s="5">
        <v>1</v>
      </c>
      <c r="M48" s="4">
        <v>0</v>
      </c>
      <c r="N48" s="4">
        <v>507</v>
      </c>
      <c r="O48" s="4">
        <v>336</v>
      </c>
      <c r="P48" s="6">
        <f t="shared" si="1"/>
        <v>0.33727810650887569</v>
      </c>
      <c r="Q48" s="4" t="s">
        <v>128</v>
      </c>
      <c r="R48" s="4"/>
      <c r="S48" s="4"/>
      <c r="T48" s="4"/>
      <c r="U48" s="4"/>
      <c r="V48" s="4"/>
      <c r="W48" s="4"/>
      <c r="X48" s="4"/>
      <c r="Y48" s="4"/>
      <c r="Z48" s="4">
        <v>0</v>
      </c>
      <c r="AA48" s="4">
        <f t="shared" si="2"/>
        <v>0</v>
      </c>
      <c r="AB48" s="4">
        <v>385</v>
      </c>
      <c r="AC48" s="4">
        <f t="shared" si="3"/>
        <v>385</v>
      </c>
      <c r="AD48" s="4"/>
      <c r="AE48" s="21">
        <f t="shared" si="4"/>
        <v>581</v>
      </c>
      <c r="AF48" s="6">
        <f t="shared" si="5"/>
        <v>0.33734939759036142</v>
      </c>
      <c r="AG48" s="4">
        <v>171.5</v>
      </c>
      <c r="AH48" s="4">
        <f t="shared" si="6"/>
        <v>791</v>
      </c>
      <c r="AI48" s="4">
        <f t="shared" si="7"/>
        <v>906.35416666666663</v>
      </c>
      <c r="AJ48" s="6">
        <f t="shared" si="8"/>
        <v>0.5752212389380531</v>
      </c>
      <c r="AK48" s="7">
        <v>630</v>
      </c>
      <c r="AL48" s="6">
        <f t="shared" si="9"/>
        <v>0.38888888888888884</v>
      </c>
      <c r="AM48" s="4">
        <f t="shared" si="10"/>
        <v>245</v>
      </c>
      <c r="AN48" s="28"/>
      <c r="AO48" s="6"/>
      <c r="AP48" s="6"/>
      <c r="AQ48" s="6" t="str">
        <f t="shared" si="11"/>
        <v>-</v>
      </c>
      <c r="AR48" s="6">
        <f t="shared" si="12"/>
        <v>1.2426035502958579</v>
      </c>
      <c r="AS48" s="6">
        <f t="shared" si="13"/>
        <v>1.1458333333333333</v>
      </c>
      <c r="AT48" s="4"/>
      <c r="AU48" s="4"/>
      <c r="AV48" s="4"/>
      <c r="AW48" s="4"/>
      <c r="AX48" s="4"/>
      <c r="AY48" s="4"/>
      <c r="AZ48" s="4"/>
      <c r="BA48" s="4"/>
      <c r="BB48" s="4"/>
      <c r="BC48" s="4">
        <v>0</v>
      </c>
      <c r="BD48" s="4" t="s">
        <v>182</v>
      </c>
      <c r="BE48" s="4"/>
      <c r="BF48" s="4"/>
      <c r="BG48" s="4" t="s">
        <v>183</v>
      </c>
      <c r="BH48" s="4">
        <v>791</v>
      </c>
      <c r="BI48" s="4">
        <f t="shared" si="14"/>
        <v>791</v>
      </c>
      <c r="BJ48" s="19">
        <v>4</v>
      </c>
      <c r="BK48" s="19">
        <v>1</v>
      </c>
      <c r="BL48" s="16">
        <v>18</v>
      </c>
      <c r="BM48" t="s">
        <v>127</v>
      </c>
      <c r="BN48" t="str">
        <f t="shared" si="16"/>
        <v>-</v>
      </c>
      <c r="BO48" t="s">
        <v>127</v>
      </c>
      <c r="BP48" t="str">
        <f t="shared" si="17"/>
        <v>-</v>
      </c>
      <c r="BQ48" t="s">
        <v>150</v>
      </c>
    </row>
    <row r="49" spans="1:69" x14ac:dyDescent="0.4">
      <c r="A49" s="3">
        <v>43</v>
      </c>
      <c r="B49" s="3">
        <v>43</v>
      </c>
      <c r="C49" s="4" t="s">
        <v>69</v>
      </c>
      <c r="D49" s="4" t="str">
        <f t="shared" si="0"/>
        <v>J523SM</v>
      </c>
      <c r="E49" s="4" t="s">
        <v>69</v>
      </c>
      <c r="F49" s="4" t="str">
        <f t="shared" si="15"/>
        <v>J523SM5</v>
      </c>
      <c r="G49" s="4" t="s">
        <v>121</v>
      </c>
      <c r="H49" s="5">
        <v>4957470034195</v>
      </c>
      <c r="I49" s="5">
        <v>5</v>
      </c>
      <c r="J49" s="5"/>
      <c r="K49" s="5">
        <v>1</v>
      </c>
      <c r="L49" s="5">
        <v>1</v>
      </c>
      <c r="M49" s="4">
        <v>0</v>
      </c>
      <c r="N49" s="4">
        <v>538</v>
      </c>
      <c r="O49" s="4">
        <v>356</v>
      </c>
      <c r="P49" s="6">
        <f t="shared" si="1"/>
        <v>0.33828996282527879</v>
      </c>
      <c r="Q49" s="4" t="s">
        <v>128</v>
      </c>
      <c r="R49" s="4"/>
      <c r="S49" s="4"/>
      <c r="T49" s="4"/>
      <c r="U49" s="4"/>
      <c r="V49" s="4"/>
      <c r="W49" s="4"/>
      <c r="X49" s="4"/>
      <c r="Y49" s="4"/>
      <c r="Z49" s="4">
        <v>0</v>
      </c>
      <c r="AA49" s="4">
        <f t="shared" si="2"/>
        <v>0</v>
      </c>
      <c r="AB49" s="4">
        <v>408</v>
      </c>
      <c r="AC49" s="4">
        <f t="shared" si="3"/>
        <v>408</v>
      </c>
      <c r="AD49" s="4"/>
      <c r="AE49" s="21">
        <f t="shared" si="4"/>
        <v>617</v>
      </c>
      <c r="AF49" s="6">
        <f t="shared" si="5"/>
        <v>0.33873581847649914</v>
      </c>
      <c r="AG49" s="4">
        <v>33.25</v>
      </c>
      <c r="AH49" s="4">
        <f t="shared" si="6"/>
        <v>910</v>
      </c>
      <c r="AI49" s="4">
        <f t="shared" si="7"/>
        <v>1042.9213483146066</v>
      </c>
      <c r="AJ49" s="6">
        <f t="shared" si="8"/>
        <v>0.60879120879120874</v>
      </c>
      <c r="AK49" s="7">
        <v>660</v>
      </c>
      <c r="AL49" s="6">
        <f t="shared" si="9"/>
        <v>0.38181818181818183</v>
      </c>
      <c r="AM49" s="4">
        <f t="shared" si="10"/>
        <v>252</v>
      </c>
      <c r="AN49" s="28"/>
      <c r="AO49" s="6"/>
      <c r="AP49" s="6"/>
      <c r="AQ49" s="6" t="str">
        <f t="shared" si="11"/>
        <v>-</v>
      </c>
      <c r="AR49" s="6">
        <f t="shared" si="12"/>
        <v>1.2267657992565055</v>
      </c>
      <c r="AS49" s="6">
        <f t="shared" si="13"/>
        <v>1.146067415730337</v>
      </c>
      <c r="AT49" s="4"/>
      <c r="AU49" s="4"/>
      <c r="AV49" s="4"/>
      <c r="AW49" s="4"/>
      <c r="AX49" s="4"/>
      <c r="AY49" s="4"/>
      <c r="AZ49" s="4"/>
      <c r="BA49" s="4"/>
      <c r="BB49" s="4"/>
      <c r="BC49" s="4">
        <v>0</v>
      </c>
      <c r="BD49" s="4" t="s">
        <v>184</v>
      </c>
      <c r="BE49" s="4"/>
      <c r="BF49" s="4"/>
      <c r="BG49" s="4" t="s">
        <v>183</v>
      </c>
      <c r="BH49" s="4">
        <v>910</v>
      </c>
      <c r="BI49" s="4">
        <f t="shared" si="14"/>
        <v>910</v>
      </c>
      <c r="BJ49" s="19">
        <v>4</v>
      </c>
      <c r="BK49" s="19">
        <v>1</v>
      </c>
      <c r="BL49" s="16">
        <v>18</v>
      </c>
      <c r="BM49" t="s">
        <v>127</v>
      </c>
      <c r="BN49" t="str">
        <f t="shared" si="16"/>
        <v>-</v>
      </c>
      <c r="BO49" t="s">
        <v>127</v>
      </c>
      <c r="BP49" t="str">
        <f t="shared" si="17"/>
        <v>-</v>
      </c>
      <c r="BQ49" t="s">
        <v>151</v>
      </c>
    </row>
    <row r="50" spans="1:69" x14ac:dyDescent="0.4">
      <c r="A50" s="3">
        <v>47</v>
      </c>
      <c r="B50" s="3">
        <v>47</v>
      </c>
      <c r="C50" s="4" t="s">
        <v>73</v>
      </c>
      <c r="D50" s="4" t="str">
        <f t="shared" si="0"/>
        <v>J321TC</v>
      </c>
      <c r="E50" s="4" t="s">
        <v>73</v>
      </c>
      <c r="F50" s="4" t="str">
        <f t="shared" si="15"/>
        <v>J321TC5</v>
      </c>
      <c r="G50" s="4" t="s">
        <v>125</v>
      </c>
      <c r="H50" s="5">
        <v>4957470104430</v>
      </c>
      <c r="I50" s="5">
        <v>5</v>
      </c>
      <c r="J50" s="5"/>
      <c r="K50" s="5">
        <v>1</v>
      </c>
      <c r="L50" s="5">
        <v>1</v>
      </c>
      <c r="M50" s="4">
        <v>0</v>
      </c>
      <c r="N50" s="4">
        <v>618</v>
      </c>
      <c r="O50" s="4">
        <v>425</v>
      </c>
      <c r="P50" s="6">
        <f t="shared" si="1"/>
        <v>0.31229773462783172</v>
      </c>
      <c r="Q50" s="4" t="s">
        <v>128</v>
      </c>
      <c r="R50" s="4"/>
      <c r="S50" s="4"/>
      <c r="T50" s="4"/>
      <c r="U50" s="4"/>
      <c r="V50" s="4"/>
      <c r="W50" s="4"/>
      <c r="X50" s="4"/>
      <c r="Y50" s="4"/>
      <c r="Z50" s="4">
        <v>0</v>
      </c>
      <c r="AA50" s="4">
        <f t="shared" si="2"/>
        <v>0</v>
      </c>
      <c r="AB50" s="4">
        <v>481</v>
      </c>
      <c r="AC50" s="4">
        <f t="shared" si="3"/>
        <v>481</v>
      </c>
      <c r="AD50" s="4"/>
      <c r="AE50" s="21">
        <f t="shared" si="4"/>
        <v>699</v>
      </c>
      <c r="AF50" s="6">
        <f t="shared" si="5"/>
        <v>0.31187410586552222</v>
      </c>
      <c r="AG50" s="4">
        <v>15.5</v>
      </c>
      <c r="AH50" s="4">
        <f t="shared" si="6"/>
        <v>600</v>
      </c>
      <c r="AI50" s="4">
        <f t="shared" si="7"/>
        <v>679.05882352941182</v>
      </c>
      <c r="AJ50" s="6">
        <f t="shared" si="8"/>
        <v>0.29166666666666674</v>
      </c>
      <c r="AK50" s="7">
        <v>679</v>
      </c>
      <c r="AL50" s="6">
        <f t="shared" si="9"/>
        <v>0.29160530191458023</v>
      </c>
      <c r="AM50" s="4">
        <f t="shared" si="10"/>
        <v>198</v>
      </c>
      <c r="AN50" s="28"/>
      <c r="AO50" s="6"/>
      <c r="AP50" s="6"/>
      <c r="AQ50" s="6" t="str">
        <f t="shared" si="11"/>
        <v>-</v>
      </c>
      <c r="AR50" s="6">
        <f t="shared" si="12"/>
        <v>1.0987055016181231</v>
      </c>
      <c r="AS50" s="6">
        <f t="shared" si="13"/>
        <v>1.131764705882353</v>
      </c>
      <c r="AT50" s="4"/>
      <c r="AU50" s="4"/>
      <c r="AV50" s="4"/>
      <c r="AW50" s="4"/>
      <c r="AX50" s="4"/>
      <c r="AY50" s="4"/>
      <c r="AZ50" s="4"/>
      <c r="BA50" s="4"/>
      <c r="BB50" s="4"/>
      <c r="BC50" s="4">
        <v>0</v>
      </c>
      <c r="BD50" s="4" t="s">
        <v>185</v>
      </c>
      <c r="BE50" s="4"/>
      <c r="BF50" s="4"/>
      <c r="BG50" s="4" t="s">
        <v>186</v>
      </c>
      <c r="BH50" s="4">
        <v>600</v>
      </c>
      <c r="BI50" s="4">
        <f t="shared" si="14"/>
        <v>600</v>
      </c>
      <c r="BJ50" s="19">
        <v>4</v>
      </c>
      <c r="BK50" s="19">
        <v>1</v>
      </c>
      <c r="BL50" s="16">
        <v>18</v>
      </c>
      <c r="BM50" t="s">
        <v>127</v>
      </c>
      <c r="BN50" t="str">
        <f t="shared" si="16"/>
        <v>-</v>
      </c>
      <c r="BO50">
        <v>855</v>
      </c>
      <c r="BP50">
        <f t="shared" si="17"/>
        <v>967.65882352941185</v>
      </c>
      <c r="BQ50" t="s">
        <v>152</v>
      </c>
    </row>
    <row r="51" spans="1:69" x14ac:dyDescent="0.4">
      <c r="A51" s="3">
        <v>45</v>
      </c>
      <c r="B51" s="3">
        <v>45</v>
      </c>
      <c r="C51" s="4" t="s">
        <v>71</v>
      </c>
      <c r="D51" s="4" t="str">
        <f t="shared" si="0"/>
        <v>J0500T</v>
      </c>
      <c r="E51" s="4" t="s">
        <v>71</v>
      </c>
      <c r="F51" s="4" t="str">
        <f t="shared" si="15"/>
        <v>J0500T5</v>
      </c>
      <c r="G51" s="4" t="s">
        <v>123</v>
      </c>
      <c r="H51" s="5">
        <v>4957470104782</v>
      </c>
      <c r="I51" s="5">
        <v>5</v>
      </c>
      <c r="J51" s="5"/>
      <c r="K51" s="5">
        <v>1</v>
      </c>
      <c r="L51" s="5">
        <v>1</v>
      </c>
      <c r="M51" s="4">
        <v>0</v>
      </c>
      <c r="N51" s="4">
        <v>955</v>
      </c>
      <c r="O51" s="4">
        <v>584</v>
      </c>
      <c r="P51" s="6">
        <f t="shared" si="1"/>
        <v>0.3884816753926702</v>
      </c>
      <c r="Q51" s="4" t="s">
        <v>128</v>
      </c>
      <c r="R51" s="4"/>
      <c r="S51" s="4"/>
      <c r="T51" s="4"/>
      <c r="U51" s="4"/>
      <c r="V51" s="4"/>
      <c r="W51" s="4"/>
      <c r="X51" s="4"/>
      <c r="Y51" s="4"/>
      <c r="Z51" s="4">
        <v>0</v>
      </c>
      <c r="AA51" s="4">
        <f t="shared" si="2"/>
        <v>0</v>
      </c>
      <c r="AB51" s="4">
        <v>788</v>
      </c>
      <c r="AC51" s="4">
        <f t="shared" si="3"/>
        <v>788</v>
      </c>
      <c r="AD51" s="4"/>
      <c r="AE51" s="21">
        <f t="shared" si="4"/>
        <v>1289</v>
      </c>
      <c r="AF51" s="6">
        <f t="shared" si="5"/>
        <v>0.3886733902249806</v>
      </c>
      <c r="AG51" s="4">
        <v>19.5</v>
      </c>
      <c r="AH51" s="4">
        <f t="shared" si="6"/>
        <v>1105</v>
      </c>
      <c r="AI51" s="4">
        <f t="shared" si="7"/>
        <v>1490.9931506849316</v>
      </c>
      <c r="AJ51" s="6">
        <f t="shared" si="8"/>
        <v>0.47149321266968325</v>
      </c>
      <c r="AK51" s="7">
        <v>1300</v>
      </c>
      <c r="AL51" s="6">
        <f t="shared" si="9"/>
        <v>0.39384615384615385</v>
      </c>
      <c r="AM51" s="4">
        <f t="shared" si="10"/>
        <v>512</v>
      </c>
      <c r="AN51" s="28"/>
      <c r="AO51" s="6"/>
      <c r="AP51" s="6"/>
      <c r="AQ51" s="6" t="str">
        <f t="shared" si="11"/>
        <v>-</v>
      </c>
      <c r="AR51" s="6">
        <f t="shared" si="12"/>
        <v>1.3612565445026179</v>
      </c>
      <c r="AS51" s="6">
        <f t="shared" si="13"/>
        <v>1.3493150684931507</v>
      </c>
      <c r="AT51" s="4"/>
      <c r="AU51" s="4"/>
      <c r="AV51" s="4"/>
      <c r="AW51" s="4"/>
      <c r="AX51" s="4"/>
      <c r="AY51" s="4"/>
      <c r="AZ51" s="4"/>
      <c r="BA51" s="4"/>
      <c r="BB51" s="4"/>
      <c r="BC51" s="4">
        <v>0</v>
      </c>
      <c r="BD51" s="4" t="s">
        <v>187</v>
      </c>
      <c r="BE51" s="4"/>
      <c r="BF51" s="4"/>
      <c r="BG51" s="4" t="s">
        <v>181</v>
      </c>
      <c r="BH51" s="4">
        <v>1105</v>
      </c>
      <c r="BI51" s="4">
        <f t="shared" si="14"/>
        <v>1105</v>
      </c>
      <c r="BJ51" s="4">
        <v>4</v>
      </c>
      <c r="BK51" s="4">
        <v>1</v>
      </c>
      <c r="BL51" s="4">
        <v>18</v>
      </c>
      <c r="BM51" t="s">
        <v>127</v>
      </c>
      <c r="BN51" t="str">
        <f t="shared" si="16"/>
        <v>-</v>
      </c>
      <c r="BO51" t="s">
        <v>127</v>
      </c>
      <c r="BP51" t="str">
        <f t="shared" si="17"/>
        <v>-</v>
      </c>
      <c r="BQ51" t="s">
        <v>153</v>
      </c>
    </row>
  </sheetData>
  <mergeCells count="3">
    <mergeCell ref="M2:P2"/>
    <mergeCell ref="K2:L2"/>
    <mergeCell ref="Z1:AC1"/>
  </mergeCells>
  <phoneticPr fontId="2"/>
  <conditionalFormatting sqref="AI4:AI51">
    <cfRule type="cellIs" dxfId="2" priority="2" operator="lessThan">
      <formula>$AK4</formula>
    </cfRule>
  </conditionalFormatting>
  <conditionalFormatting sqref="AK4:AK51">
    <cfRule type="cellIs" dxfId="0" priority="4" operator="greaterThan">
      <formula>$AA4</formula>
    </cfRule>
  </conditionalFormatting>
  <conditionalFormatting sqref="AL4:AL51">
    <cfRule type="cellIs" dxfId="1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2026-07-15T07:48:20Z</dcterms:modified>
</cp:coreProperties>
</file>