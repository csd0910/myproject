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8月1日改定\"/>
    </mc:Choice>
  </mc:AlternateContent>
  <xr:revisionPtr revIDLastSave="0" documentId="13_ncr:1_{440A888A-E29B-4659-9797-58E62D148E9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Sheet1!$A$3:$BW$24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L9" i="1" l="1"/>
  <c r="AH9" i="1" s="1"/>
  <c r="BL12" i="1"/>
  <c r="AH12" i="1" s="1"/>
  <c r="BL15" i="1"/>
  <c r="AH15" i="1" s="1"/>
  <c r="BL16" i="1"/>
  <c r="AH16" i="1" s="1"/>
  <c r="BL17" i="1"/>
  <c r="AH17" i="1" s="1"/>
  <c r="BL19" i="1"/>
  <c r="AH19" i="1" s="1"/>
  <c r="BL20" i="1"/>
  <c r="AH20" i="1" s="1"/>
  <c r="BL23" i="1"/>
  <c r="AH23" i="1" s="1"/>
  <c r="BL24" i="1"/>
  <c r="AH24" i="1" s="1"/>
  <c r="BL4" i="1"/>
  <c r="AH4" i="1" s="1"/>
  <c r="AS17" i="1"/>
  <c r="P18" i="1"/>
  <c r="P13" i="1"/>
  <c r="P14" i="1"/>
  <c r="P4" i="1"/>
  <c r="P5" i="1"/>
  <c r="AS15" i="1"/>
  <c r="P15" i="1"/>
  <c r="AC17" i="1"/>
  <c r="AA17" i="1"/>
  <c r="D17" i="1"/>
  <c r="F17" i="1" s="1"/>
  <c r="AC15" i="1"/>
  <c r="AA15" i="1"/>
  <c r="AR15" i="1" s="1"/>
  <c r="D15" i="1"/>
  <c r="F15" i="1" s="1"/>
  <c r="AS12" i="1"/>
  <c r="AC12" i="1"/>
  <c r="AA12" i="1"/>
  <c r="AR12" i="1" s="1"/>
  <c r="P12" i="1"/>
  <c r="D12" i="1"/>
  <c r="F12" i="1" s="1"/>
  <c r="BL5" i="1"/>
  <c r="AH5" i="1" s="1"/>
  <c r="AC5" i="1"/>
  <c r="AA5" i="1"/>
  <c r="AR5" i="1" s="1"/>
  <c r="D5" i="1"/>
  <c r="F5" i="1" s="1"/>
  <c r="AC4" i="1"/>
  <c r="AA4" i="1"/>
  <c r="AR4" i="1" s="1"/>
  <c r="D4" i="1"/>
  <c r="F4" i="1" s="1"/>
  <c r="BL6" i="1"/>
  <c r="AH6" i="1" s="1"/>
  <c r="AS6" i="1"/>
  <c r="AC6" i="1"/>
  <c r="AA6" i="1"/>
  <c r="AR6" i="1" s="1"/>
  <c r="P6" i="1"/>
  <c r="D6" i="1"/>
  <c r="F6" i="1" s="1"/>
  <c r="AS9" i="1"/>
  <c r="AC9" i="1"/>
  <c r="AA9" i="1"/>
  <c r="AR9" i="1" s="1"/>
  <c r="P9" i="1"/>
  <c r="D9" i="1"/>
  <c r="F9" i="1" s="1"/>
  <c r="BL14" i="1"/>
  <c r="AH14" i="1" s="1"/>
  <c r="AS14" i="1"/>
  <c r="AC14" i="1"/>
  <c r="AA14" i="1"/>
  <c r="AR14" i="1" s="1"/>
  <c r="D14" i="1"/>
  <c r="F14" i="1" s="1"/>
  <c r="BL13" i="1"/>
  <c r="AH13" i="1" s="1"/>
  <c r="AS13" i="1"/>
  <c r="AC13" i="1"/>
  <c r="AA13" i="1"/>
  <c r="AR13" i="1" s="1"/>
  <c r="D13" i="1"/>
  <c r="F13" i="1" s="1"/>
  <c r="BL18" i="1"/>
  <c r="AH18" i="1" s="1"/>
  <c r="AS18" i="1"/>
  <c r="AC18" i="1"/>
  <c r="AA18" i="1"/>
  <c r="AR18" i="1" s="1"/>
  <c r="D18" i="1"/>
  <c r="F18" i="1" s="1"/>
  <c r="AS23" i="1"/>
  <c r="AC23" i="1"/>
  <c r="AA23" i="1"/>
  <c r="AR23" i="1" s="1"/>
  <c r="P23" i="1"/>
  <c r="D23" i="1"/>
  <c r="F23" i="1" s="1"/>
  <c r="BL21" i="1"/>
  <c r="AH21" i="1" s="1"/>
  <c r="AS21" i="1"/>
  <c r="AC21" i="1"/>
  <c r="AA21" i="1"/>
  <c r="AR21" i="1" s="1"/>
  <c r="P21" i="1"/>
  <c r="D21" i="1"/>
  <c r="F21" i="1" s="1"/>
  <c r="BL22" i="1"/>
  <c r="AH22" i="1" s="1"/>
  <c r="AS22" i="1"/>
  <c r="AC22" i="1"/>
  <c r="AA22" i="1"/>
  <c r="AR22" i="1" s="1"/>
  <c r="P22" i="1"/>
  <c r="D22" i="1"/>
  <c r="F22" i="1" s="1"/>
  <c r="AS20" i="1"/>
  <c r="AC20" i="1"/>
  <c r="AA20" i="1"/>
  <c r="AR20" i="1" s="1"/>
  <c r="P20" i="1"/>
  <c r="D20" i="1"/>
  <c r="F20" i="1" s="1"/>
  <c r="AS19" i="1"/>
  <c r="AC19" i="1"/>
  <c r="AA19" i="1"/>
  <c r="AR19" i="1" s="1"/>
  <c r="P19" i="1"/>
  <c r="D19" i="1"/>
  <c r="F19" i="1" s="1"/>
  <c r="AS16" i="1"/>
  <c r="AC16" i="1"/>
  <c r="AA16" i="1"/>
  <c r="AR16" i="1" s="1"/>
  <c r="P16" i="1"/>
  <c r="D16" i="1"/>
  <c r="F16" i="1" s="1"/>
  <c r="BL8" i="1"/>
  <c r="AH8" i="1" s="1"/>
  <c r="AS8" i="1"/>
  <c r="AC8" i="1"/>
  <c r="AA8" i="1"/>
  <c r="AR8" i="1" s="1"/>
  <c r="P8" i="1"/>
  <c r="D8" i="1"/>
  <c r="F8" i="1" s="1"/>
  <c r="BL7" i="1"/>
  <c r="AH7" i="1" s="1"/>
  <c r="AS7" i="1"/>
  <c r="AC7" i="1"/>
  <c r="AA7" i="1"/>
  <c r="AR7" i="1" s="1"/>
  <c r="P7" i="1"/>
  <c r="D7" i="1"/>
  <c r="F7" i="1" s="1"/>
  <c r="AS24" i="1"/>
  <c r="AC24" i="1"/>
  <c r="AA24" i="1"/>
  <c r="AR24" i="1" s="1"/>
  <c r="P24" i="1"/>
  <c r="D24" i="1"/>
  <c r="F24" i="1" s="1"/>
  <c r="BL11" i="1"/>
  <c r="AH11" i="1" s="1"/>
  <c r="AS11" i="1"/>
  <c r="AC11" i="1"/>
  <c r="AA11" i="1"/>
  <c r="AR11" i="1" s="1"/>
  <c r="P11" i="1"/>
  <c r="D11" i="1"/>
  <c r="F11" i="1" s="1"/>
  <c r="AK17" i="1" l="1"/>
  <c r="AK14" i="1"/>
  <c r="AK4" i="1"/>
  <c r="AK20" i="1"/>
  <c r="AK13" i="1"/>
  <c r="AK19" i="1"/>
  <c r="AK21" i="1"/>
  <c r="AK24" i="1"/>
  <c r="AK16" i="1"/>
  <c r="AK11" i="1"/>
  <c r="AK12" i="1"/>
  <c r="AK8" i="1"/>
  <c r="AK23" i="1"/>
  <c r="AK6" i="1"/>
  <c r="AK5" i="1"/>
  <c r="AK15" i="1"/>
  <c r="AK7" i="1"/>
  <c r="AK22" i="1"/>
  <c r="AK18" i="1"/>
  <c r="AK9" i="1"/>
  <c r="AN9" i="1"/>
  <c r="AN22" i="1"/>
  <c r="AN15" i="1"/>
  <c r="AN18" i="1"/>
  <c r="AN14" i="1"/>
  <c r="AN7" i="1"/>
  <c r="AN12" i="1"/>
  <c r="AN20" i="1"/>
  <c r="AN4" i="1"/>
  <c r="AM24" i="1"/>
  <c r="AT19" i="1"/>
  <c r="BV19" i="1" s="1"/>
  <c r="AN23" i="1"/>
  <c r="AN13" i="1"/>
  <c r="AN17" i="1"/>
  <c r="AN6" i="1"/>
  <c r="AM11" i="1"/>
  <c r="AN16" i="1"/>
  <c r="AN21" i="1"/>
  <c r="AN5" i="1"/>
  <c r="P17" i="1"/>
  <c r="AR17" i="1"/>
  <c r="AT13" i="1"/>
  <c r="BV13" i="1" s="1"/>
  <c r="AT12" i="1"/>
  <c r="AI12" i="1" s="1"/>
  <c r="AJ12" i="1" s="1"/>
  <c r="AT14" i="1"/>
  <c r="BV14" i="1" s="1"/>
  <c r="AT5" i="1"/>
  <c r="BV5" i="1" s="1"/>
  <c r="AT9" i="1"/>
  <c r="BV9" i="1" s="1"/>
  <c r="AT20" i="1"/>
  <c r="BV20" i="1" s="1"/>
  <c r="AT23" i="1"/>
  <c r="BV23" i="1" s="1"/>
  <c r="AT7" i="1"/>
  <c r="BV7" i="1" s="1"/>
  <c r="AT22" i="1"/>
  <c r="BV22" i="1" s="1"/>
  <c r="AT21" i="1"/>
  <c r="BV21" i="1" s="1"/>
  <c r="AT16" i="1"/>
  <c r="BV16" i="1" s="1"/>
  <c r="AT4" i="1"/>
  <c r="BV4" i="1" s="1"/>
  <c r="AT17" i="1"/>
  <c r="BV17" i="1" s="1"/>
  <c r="AT6" i="1"/>
  <c r="BV6" i="1" s="1"/>
  <c r="AS5" i="1"/>
  <c r="AT18" i="1"/>
  <c r="BV18" i="1" s="1"/>
  <c r="AT15" i="1"/>
  <c r="BV15" i="1" s="1"/>
  <c r="AS4" i="1"/>
  <c r="AM20" i="1"/>
  <c r="AM22" i="1"/>
  <c r="AM21" i="1"/>
  <c r="AM23" i="1"/>
  <c r="AM18" i="1"/>
  <c r="AM13" i="1"/>
  <c r="AM14" i="1"/>
  <c r="AM9" i="1"/>
  <c r="AM6" i="1"/>
  <c r="AM4" i="1"/>
  <c r="AM5" i="1"/>
  <c r="AM12" i="1"/>
  <c r="AM15" i="1"/>
  <c r="AM17" i="1"/>
  <c r="AM16" i="1"/>
  <c r="AM19" i="1"/>
  <c r="AN19" i="1"/>
  <c r="AN24" i="1"/>
  <c r="AN11" i="1"/>
  <c r="AT8" i="1"/>
  <c r="BV8" i="1" s="1"/>
  <c r="AT24" i="1"/>
  <c r="BV24" i="1" s="1"/>
  <c r="AM8" i="1"/>
  <c r="AT11" i="1"/>
  <c r="BV11" i="1" s="1"/>
  <c r="AM7" i="1"/>
  <c r="AN8" i="1"/>
  <c r="AI11" i="1" l="1"/>
  <c r="AJ11" i="1" s="1"/>
  <c r="AI13" i="1"/>
  <c r="AJ13" i="1" s="1"/>
  <c r="AI6" i="1"/>
  <c r="AJ6" i="1" s="1"/>
  <c r="AI21" i="1"/>
  <c r="AJ21" i="1" s="1"/>
  <c r="AI22" i="1"/>
  <c r="AJ22" i="1" s="1"/>
  <c r="AI7" i="1"/>
  <c r="AJ7" i="1" s="1"/>
  <c r="AI8" i="1"/>
  <c r="AJ8" i="1" s="1"/>
  <c r="AI9" i="1"/>
  <c r="AJ9" i="1" s="1"/>
  <c r="AI18" i="1"/>
  <c r="AJ18" i="1" s="1"/>
  <c r="AI5" i="1"/>
  <c r="AJ5" i="1" s="1"/>
  <c r="AI15" i="1"/>
  <c r="AJ15" i="1" s="1"/>
  <c r="AI19" i="1"/>
  <c r="AJ19" i="1" s="1"/>
  <c r="AI23" i="1"/>
  <c r="AJ23" i="1" s="1"/>
  <c r="AI24" i="1"/>
  <c r="AJ24" i="1" s="1"/>
  <c r="AI16" i="1"/>
  <c r="AJ16" i="1" s="1"/>
  <c r="AI14" i="1"/>
  <c r="AJ14" i="1" s="1"/>
  <c r="AI17" i="1"/>
  <c r="AJ17" i="1" s="1"/>
  <c r="AI20" i="1"/>
  <c r="AJ20" i="1" s="1"/>
  <c r="AI4" i="1"/>
  <c r="AJ4" i="1" s="1"/>
  <c r="BV12" i="1"/>
  <c r="AE7" i="1"/>
  <c r="AF7" i="1" s="1"/>
  <c r="AE13" i="1"/>
  <c r="AF13" i="1" s="1"/>
  <c r="AE11" i="1"/>
  <c r="AF11" i="1" s="1"/>
  <c r="AE6" i="1"/>
  <c r="AF6" i="1" s="1"/>
  <c r="AE17" i="1"/>
  <c r="AF17" i="1" s="1"/>
  <c r="AE4" i="1"/>
  <c r="AF4" i="1" s="1"/>
  <c r="AE9" i="1"/>
  <c r="AF9" i="1" s="1"/>
  <c r="AE15" i="1"/>
  <c r="AF15" i="1" s="1"/>
  <c r="AE5" i="1"/>
  <c r="AF5" i="1" s="1"/>
  <c r="AE23" i="1"/>
  <c r="AF23" i="1" s="1"/>
  <c r="AE20" i="1"/>
  <c r="AF20" i="1" s="1"/>
  <c r="AE24" i="1"/>
  <c r="AF24" i="1" s="1"/>
  <c r="AE18" i="1"/>
  <c r="AF18" i="1" s="1"/>
  <c r="AE16" i="1"/>
  <c r="AF16" i="1" s="1"/>
  <c r="AE14" i="1"/>
  <c r="AF14" i="1" s="1"/>
  <c r="AE21" i="1"/>
  <c r="AF21" i="1" s="1"/>
  <c r="AE22" i="1"/>
  <c r="AF22" i="1" s="1"/>
  <c r="AE12" i="1"/>
  <c r="AF12" i="1" s="1"/>
  <c r="AE19" i="1"/>
  <c r="AF19" i="1" s="1"/>
  <c r="AE8" i="1"/>
  <c r="AF8" i="1" s="1"/>
  <c r="BL10" i="1"/>
  <c r="AH10" i="1" s="1"/>
  <c r="AC10" i="1"/>
  <c r="AA10" i="1"/>
  <c r="AR10" i="1" s="1"/>
  <c r="D10" i="1"/>
  <c r="F10" i="1" s="1"/>
  <c r="AS10" i="1"/>
  <c r="P10" i="1"/>
  <c r="AK10" i="1" l="1"/>
  <c r="AM10" i="1"/>
  <c r="AT10" i="1"/>
  <c r="BV10" i="1" s="1"/>
  <c r="AN10" i="1"/>
  <c r="AI10" i="1" l="1"/>
  <c r="AJ10" i="1" s="1"/>
  <c r="AE10" i="1"/>
  <c r="AF10" i="1" s="1"/>
</calcChain>
</file>

<file path=xl/sharedStrings.xml><?xml version="1.0" encoding="utf-8"?>
<sst xmlns="http://schemas.openxmlformats.org/spreadsheetml/2006/main" count="272" uniqueCount="139">
  <si>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</si>
  <si>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</si>
  <si>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</si>
  <si>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</si>
  <si>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</si>
  <si>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</si>
  <si>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</si>
  <si>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</si>
  <si>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</si>
  <si>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</si>
  <si>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</si>
  <si>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</si>
  <si>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</si>
  <si>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</si>
  <si>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</si>
  <si>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</si>
  <si>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</si>
  <si>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</si>
  <si>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</si>
  <si>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</si>
  <si>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</si>
  <si>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</si>
  <si>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</si>
  <si>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</si>
  <si>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</si>
  <si>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</si>
  <si>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</si>
  <si>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</si>
  <si>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</si>
  <si>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</si>
  <si>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</si>
  <si>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</si>
  <si>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</si>
  <si>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</si>
  <si>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</si>
  <si>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</si>
  <si>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</si>
  <si>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</si>
  <si>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</si>
  <si>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</si>
  <si>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</si>
  <si>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</si>
  <si>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</si>
  <si>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</si>
  <si>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</si>
  <si>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</si>
  <si>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</si>
  <si>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</si>
  <si>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</si>
  <si>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</si>
  <si>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</si>
  <si>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</si>
  <si>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</si>
  <si>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</si>
  <si>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</si>
  <si>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</si>
  <si>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</si>
  <si>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</si>
  <si>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</si>
  <si>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</si>
  <si>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</si>
  <si>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</si>
  <si>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J578PZ</t>
  </si>
  <si>
    <t>●ﾅｶﾊﾞﾔｼ/ｱ-A4PR-5-KR[5枚]替台紙ﾋﾞｽ式2穴ﾌﾟﾗｺｰﾄ(ｸﾗﾌﾄ</t>
  </si>
  <si>
    <t>ﾅｶﾊﾞﾔｼ/ﾌﾘｰ替台紙 ﾌﾞﾗｯｸ/ｱH-A4FR-5D</t>
  </si>
  <si>
    <t>G)ﾅｶﾊﾞﾔｼ/ﾌｴﾙｱﾙﾊﾞﾑL 25枚 ﾌﾘｰ台紙白 時空間/25L-17</t>
  </si>
  <si>
    <t>ﾅｶﾊﾞﾔｼ/ﾃﾗｺｯﾀ ﾎﾟｹｯﾄｱﾙﾊﾞﾑ2L判1段ﾖｺ 40枚 ﾌﾞﾙｰ</t>
  </si>
  <si>
    <t>ﾅｶﾊﾞﾔｼ/ﾃﾗｺｯﾀ ﾎﾟｹｯﾄｱﾙﾊﾞﾑ2L判1段ﾖｺ 40枚 ｲｴﾛｰ</t>
  </si>
  <si>
    <t>G)ﾅｶﾊﾞﾔｼ/替台紙 2穴 L ﾌﾘｰ台紙(白）10枚/ｱﾌ-LFR-10</t>
  </si>
  <si>
    <t>G)ﾅｶﾊﾞﾔｼ/ﾌｴﾙｱﾙﾊﾞﾑLｱｰﾄﾌﾙ台紙(柄入り)ｱﾝﾊﾟﾝﾏﾝおえかき</t>
  </si>
  <si>
    <t>G)ﾅｶﾊﾞﾔｼ/ﾌｴﾙｱﾙﾊﾞﾑ L ｱｰﾄﾌﾙ台紙(柄入り) ｱﾝﾊﾟﾝﾏﾝ ﾏｰﾁ</t>
  </si>
  <si>
    <t>ﾅｶﾊﾞﾔｼ/ﾄﾞｩ ﾌｧﾋﾞﾈ ﾌﾞｯｸ式ﾌﾘｰｱﾙﾊﾞﾑ B5 100年台紙 ﾌﾞﾗｯｸ</t>
  </si>
  <si>
    <t>G)ﾅｶﾊﾞﾔｼ/ﾌｴﾙｱﾙﾊﾞﾑ L ｱｰﾄﾌﾙ台紙(柄入り) ｱﾝﾊﾟﾝﾏﾝ ﾀﾞﾝｽ</t>
  </si>
  <si>
    <t>ﾅｶﾊﾞﾔｼ/ﾃﾞｼﾞﾀﾙﾌﾘｰｱﾙﾊﾞﾑ A4 ﾌﾞﾗｯｸ/ｱH-A4F-142-D</t>
  </si>
  <si>
    <t>G)ﾅｶﾊﾞﾔｼ/ﾌｴﾙｱﾙﾊﾞﾑ S ｺﾞｰﾙﾄﾞﾗｲﾝ台紙 ﾐｯﾌｨｰ ｺﾝ</t>
  </si>
  <si>
    <t>ﾅｶﾊﾞﾔｼ/ﾄﾞｩ ﾌｧﾋﾞﾈ ﾌﾞｯｸ式ﾌﾘｰｱﾙﾊﾞﾑ ﾐﾆ 100年台紙 ﾋﾟﾝｸ</t>
  </si>
  <si>
    <t>ﾅｶﾊﾞﾔｼ/ﾄﾞｩ ﾌｧﾋﾞﾈ ﾌﾞｯｸ式ﾌﾘｰｱﾙﾊﾞﾑ ﾐﾆ 100年台紙 ﾌﾞﾙｰ</t>
  </si>
  <si>
    <t>G)ﾅｶﾊﾞﾔｼ/替台紙 2穴 L ﾌﾟﾗｺｰﾄ台紙(ﾎﾜｲﾄ) 5枚</t>
  </si>
  <si>
    <t>G)ﾅｶﾊﾞﾔｼ/替台紙 2穴 S ｺﾞｰﾙﾄﾞﾗｲﾝ 5枚/ｱ-SR-5A</t>
  </si>
  <si>
    <t>G)ﾅｶﾊﾞﾔｼ/替台紙 2穴 A4 ﾌﾘｰ替台紙（白） 5枚/ｱ-A4R-5</t>
  </si>
  <si>
    <t>G)ﾅｶﾊﾞﾔｼ/替台紙 2穴 A4 ﾌﾘｰ替台紙（黒）5枚/ｱ-A4DR-5</t>
  </si>
  <si>
    <t>G)ﾅｶﾊﾞﾔｼ/替台紙 2穴 S ﾌﾘｰ台紙(白） 10枚/ｱﾌ-SFR-10</t>
  </si>
  <si>
    <t>ﾅｶﾊﾞﾔｼ/ﾄﾞｩﾌｧﾋﾞﾈ ﾌﾞｯｸ式ｱﾙﾊﾞﾑ ﾐﾆ 100年台紙 ﾌﾞﾗｯｸ</t>
  </si>
  <si>
    <t>G)ﾅｶﾊﾞﾔｼ/替台紙2穴Lﾌﾘｰ台紙(白）10枚*10冊/ｱﾌ-LFR-10</t>
  </si>
  <si>
    <t>-</t>
    <phoneticPr fontId="2"/>
  </si>
  <si>
    <t>新No.</t>
    <rPh sb="0" eb="1">
      <t>シン</t>
    </rPh>
    <phoneticPr fontId="2"/>
  </si>
  <si>
    <t>5月売価</t>
    <rPh sb="1" eb="2">
      <t>ガツ</t>
    </rPh>
    <rPh sb="2" eb="4">
      <t>バイカ</t>
    </rPh>
    <phoneticPr fontId="2"/>
  </si>
  <si>
    <t>ナカバヤシ プラコート台紙フリー替台紙 ビス式用 A4サイズ 5枚 クラフト ア-A4PR-5-KR 1組</t>
  </si>
  <si>
    <t>ナカバヤシ フリー替台紙 A4サイズ ブラック アH-A4FR-5D 1冊</t>
  </si>
  <si>
    <t>ナカバヤシ アルバム Lサイズ 白 フリー台紙25枚付 時空間 25L-17 1冊（直送品）</t>
  </si>
  <si>
    <t>ナカバヤシ テラコッタ ポケットアルバム L2段 ブルー TER-2LP-85-B 1セット(2冊)（直送品）</t>
  </si>
  <si>
    <t>ナカバヤシ テラコッタ ポケットアルバム L2段 イエロー TER-2LP-85-Y 1セット(2冊)（直送品）</t>
  </si>
  <si>
    <t>ナカバヤシ フエルアルバム L アートフル台紙 アンパンマン おえかき アA-LP-102-1 1冊（直送品）</t>
  </si>
  <si>
    <t>ナカバヤシ フエルアルバム L アートフル台紙 アンパンマン マーチ アA-LP-102-2 1冊（直送品）</t>
  </si>
  <si>
    <t>ナカバヤシ ドゥファビネ 100年アルバムブック式 B5 ブラック アH-B5B-141-D 1冊（直送品）</t>
  </si>
  <si>
    <t>ナカバヤシ フエルアルバム L アートフル台紙 アンパンマン ダンス アA-LP-102-3 1冊（直送品）</t>
  </si>
  <si>
    <t>ナカバヤシ デジタルフリーアルバム A4 ブラック アH-A4F-142-D 1冊</t>
  </si>
  <si>
    <t>ナカバヤシ フエルアルバム 子供用 ゴールドライン台紙 ミッフィー S コン ア-SA-121-2 1冊（直送品）</t>
  </si>
  <si>
    <t>ナカバヤシ ドゥファビネ 100年アルバムブック式 ミニ ピンク アH-MB-91-P 1冊（直送品）</t>
  </si>
  <si>
    <t>ナカバヤシ ドゥファビネ 100年アルバムブック式 ミニ ブルー アH-MB-91-B 1冊</t>
  </si>
  <si>
    <t>ナカバヤシ ゴールドライン替台紙 ビス式用 Sサイズ 5枚 ア-SR-5A 1セット(2組)（直送品）</t>
  </si>
  <si>
    <t>ナカバヤシ フリー替台紙 ビス式用 白 A4サイズ 5枚 ア-A4R-5 1組</t>
  </si>
  <si>
    <t>ナカバヤシ フリー替台紙 ビス式用 ブラック A4サイズ 5枚 ア-A4DR-5 1セット(2組)（直送品）</t>
  </si>
  <si>
    <t>ナカバヤシ フリー替台紙 ビス式用 白 Sサイズ 10枚 アフ-SFR-10 1セット(2組)（直送品）</t>
  </si>
  <si>
    <t>【アウトレット】ナカバヤシ ドゥファビネ 100年アルバムブック式 ミニ ブラック アH-MB-91-D 1冊</t>
  </si>
  <si>
    <t>1組</t>
  </si>
  <si>
    <t>1冊</t>
  </si>
  <si>
    <t>EJ35912</t>
  </si>
  <si>
    <t>H220637</t>
  </si>
  <si>
    <t>JE02623</t>
  </si>
  <si>
    <t>WJ66431</t>
  </si>
  <si>
    <t>1セット(2冊)</t>
  </si>
  <si>
    <t>WJ66434</t>
  </si>
  <si>
    <t>KW16712</t>
  </si>
  <si>
    <t>KW16713</t>
  </si>
  <si>
    <t>H220639</t>
  </si>
  <si>
    <t>KW16714</t>
  </si>
  <si>
    <t>H220632</t>
  </si>
  <si>
    <t>KW16821</t>
  </si>
  <si>
    <t>H220652</t>
  </si>
  <si>
    <t>H220649</t>
  </si>
  <si>
    <t>KW16844</t>
  </si>
  <si>
    <t>1セット(2組)</t>
  </si>
  <si>
    <t>HX37203</t>
  </si>
  <si>
    <t>KW16700</t>
  </si>
  <si>
    <t>KW16923</t>
  </si>
  <si>
    <t>H220650</t>
  </si>
  <si>
    <t>-</t>
  </si>
  <si>
    <t>6月売価</t>
    <rPh sb="1" eb="2">
      <t>ガツ</t>
    </rPh>
    <rPh sb="2" eb="4">
      <t>バイカ</t>
    </rPh>
    <phoneticPr fontId="2"/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</si>
  <si>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</si>
  <si>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</si>
  <si>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</si>
  <si>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
カウ</t>
    <rPh sb="1" eb="2">
      <t>ガツ</t>
    </rPh>
    <phoneticPr fontId="2"/>
  </si>
  <si>
    <t>7月売価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</si>
  <si>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</si>
  <si>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7月
カウ</t>
    <rPh sb="1" eb="2">
      <t>ガツ</t>
    </rPh>
    <phoneticPr fontId="2"/>
  </si>
  <si>
    <t>品目+
FW荷姿</t>
    <rPh sb="0" eb="2">
      <t>ヒンモク</t>
    </rPh>
    <rPh sb="6" eb="8">
      <t>ニスガタ</t>
    </rPh>
    <phoneticPr fontId="2"/>
  </si>
  <si>
    <t>7月
たの</t>
    <rPh sb="1" eb="2">
      <t>ガツ</t>
    </rPh>
    <phoneticPr fontId="2"/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</si>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</sst>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0" xfId="0" applyNumberFormat="1" applyBorder="1">
      <alignment vertical="center"/>
    </xf>
    <xf numFmtId="0" fontId="0" fillId="3" borderId="4" xfId="0" applyNumberFormat="1" applyFill="1" applyBorder="1">
      <alignment vertical="center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W24"/>
  <sheetViews>
    <sheetView tabSelected="1" zoomScale="90" zoomScaleNormal="90" workbookViewId="0">
      <pane xSplit="8" ySplit="5" topLeftCell="M6" activePane="bottomRight" state="frozen"/>
      <selection pane="topRight" activeCell="G1" sqref="G1"/>
      <selection pane="bottomLeft" activeCell="A5" sqref="A5"/>
      <selection pane="bottomRight" activeCell="Q4" sqref="Q4:Q24"/>
    </sheetView>
  </sheetViews>
  <sheetFormatPr defaultRowHeight="18.75" outlineLevelCol="1" x14ac:dyDescent="0.4"/>
  <cols>
    <col min="1" max="2" width="4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625" customWidth="1" collapsed="1"/>
    <col min="27" max="29" width="7.625" customWidth="1"/>
    <col min="30" max="30" width="4.375" customWidth="1" collapsed="1"/>
    <col min="31" max="32" width="7.625" customWidth="1"/>
    <col min="33" max="33" width="7.625" style="29" customWidth="1"/>
    <col min="34" max="34" width="7.625" customWidth="1"/>
    <col min="35" max="35" width="7.625" style="29" customWidth="1"/>
    <col min="36" max="36" width="7.625" customWidth="1"/>
    <col min="37" max="37" width="6.125" style="29" customWidth="1"/>
    <col min="38" max="40" width="7.625" customWidth="1"/>
    <col min="41" max="43" width="7.625" hidden="1" customWidth="1" outlineLevel="1"/>
    <col min="44" max="44" width="7.625" customWidth="1" collapsed="1"/>
    <col min="45" max="46" width="7.625" customWidth="1"/>
    <col min="47" max="55" width="7.625" hidden="1" customWidth="1" outlineLevel="1"/>
    <col min="56" max="56" width="7.625" customWidth="1" collapsed="1"/>
    <col min="57" max="60" width="7.625" customWidth="1"/>
    <col min="61" max="62" width="7.625" hidden="1" customWidth="1" outlineLevel="1"/>
    <col min="63" max="63" width="7.625" customWidth="1" collapsed="1"/>
    <col min="64" max="67" width="7.625" customWidth="1"/>
    <col min="68" max="69" width="7.625" hidden="1" customWidth="1" outlineLevel="1"/>
    <col min="70" max="70" width="6.375" customWidth="1" collapsed="1"/>
    <col min="71" max="72" width="7.625" hidden="1" customWidth="1" outlineLevel="1"/>
    <col min="73" max="73" width="7.625" customWidth="1" collapsed="1"/>
    <col min="74" max="74" width="7.625" customWidth="1"/>
  </cols>
  <sheetData>
    <row r="1" spans="1:75" x14ac:dyDescent="0.4">
      <c r="C1" s="28" t="s">
        <v>49</v>
      </c>
      <c r="Z1" s="45" t="s">
        <v>46</v>
      </c>
      <c r="AA1" s="46"/>
      <c r="AB1" s="46"/>
      <c r="AC1" s="47"/>
      <c r="AT1" t="s">
        <v>138</v>
      </c>
    </row>
    <row r="2" spans="1:75" x14ac:dyDescent="0.4">
      <c r="C2" s="8" t="s">
        <v>33</v>
      </c>
      <c r="D2" s="9" t="s">
        <v>34</v>
      </c>
      <c r="E2" s="9" t="s">
        <v>35</v>
      </c>
      <c r="F2" s="9"/>
      <c r="G2" s="10"/>
      <c r="H2" s="10"/>
      <c r="I2" s="35"/>
      <c r="J2" s="35"/>
      <c r="K2" s="42" t="s">
        <v>36</v>
      </c>
      <c r="L2" s="44"/>
      <c r="M2" s="42" t="s">
        <v>2</v>
      </c>
      <c r="N2" s="43"/>
      <c r="O2" s="43"/>
      <c r="P2" s="44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39</v>
      </c>
      <c r="AB2" s="23"/>
      <c r="AC2" s="24" t="s">
        <v>39</v>
      </c>
      <c r="AD2" s="10"/>
      <c r="AE2" s="9" t="s">
        <v>44</v>
      </c>
      <c r="AF2" s="11"/>
      <c r="AG2" s="30"/>
      <c r="AH2" s="11"/>
      <c r="AI2" s="30"/>
      <c r="AJ2" s="11"/>
      <c r="AK2" s="30"/>
      <c r="AL2" s="21" t="s">
        <v>47</v>
      </c>
      <c r="AM2" s="11"/>
      <c r="AN2" s="11"/>
      <c r="AO2" s="26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>
        <v>51</v>
      </c>
      <c r="BM2">
        <v>14</v>
      </c>
      <c r="BN2">
        <v>28</v>
      </c>
    </row>
    <row r="3" spans="1:75" ht="75" x14ac:dyDescent="0.4">
      <c r="A3" s="1" t="s">
        <v>57</v>
      </c>
      <c r="B3" s="1" t="s">
        <v>85</v>
      </c>
      <c r="C3" s="2" t="s">
        <v>4</v>
      </c>
      <c r="D3" s="2" t="s">
        <v>9</v>
      </c>
      <c r="E3" s="2" t="s">
        <v>10</v>
      </c>
      <c r="F3" s="41" t="s">
        <v>136</v>
      </c>
      <c r="G3" s="2" t="s">
        <v>0</v>
      </c>
      <c r="H3" s="12" t="s">
        <v>7</v>
      </c>
      <c r="I3" s="12" t="s">
        <v>59</v>
      </c>
      <c r="J3" s="12" t="s">
        <v>60</v>
      </c>
      <c r="K3" s="12" t="s">
        <v>30</v>
      </c>
      <c r="L3" s="12" t="s">
        <v>31</v>
      </c>
      <c r="M3" s="12" t="s">
        <v>1</v>
      </c>
      <c r="N3" s="2" t="s">
        <v>8</v>
      </c>
      <c r="O3" s="2" t="s">
        <v>5</v>
      </c>
      <c r="P3" s="2" t="s">
        <v>16</v>
      </c>
      <c r="Q3" s="12" t="s">
        <v>53</v>
      </c>
      <c r="R3" s="12" t="s">
        <v>20</v>
      </c>
      <c r="S3" s="12" t="s">
        <v>21</v>
      </c>
      <c r="T3" s="12" t="s">
        <v>54</v>
      </c>
      <c r="U3" s="12" t="s">
        <v>23</v>
      </c>
      <c r="V3" s="12" t="s">
        <v>24</v>
      </c>
      <c r="W3" s="12" t="s">
        <v>55</v>
      </c>
      <c r="X3" s="12" t="s">
        <v>26</v>
      </c>
      <c r="Y3" s="12" t="s">
        <v>27</v>
      </c>
      <c r="Z3" s="12" t="s">
        <v>3</v>
      </c>
      <c r="AA3" s="12" t="s">
        <v>28</v>
      </c>
      <c r="AB3" s="2" t="s">
        <v>5</v>
      </c>
      <c r="AC3" s="12" t="s">
        <v>29</v>
      </c>
      <c r="AD3" s="14" t="s">
        <v>6</v>
      </c>
      <c r="AE3" s="19" t="s">
        <v>17</v>
      </c>
      <c r="AF3" s="2" t="s">
        <v>16</v>
      </c>
      <c r="AG3" s="31" t="s">
        <v>50</v>
      </c>
      <c r="AH3" s="12" t="s">
        <v>45</v>
      </c>
      <c r="AI3" s="36" t="s">
        <v>61</v>
      </c>
      <c r="AJ3" s="2" t="s">
        <v>16</v>
      </c>
      <c r="AK3" s="31"/>
      <c r="AL3" s="13" t="s">
        <v>37</v>
      </c>
      <c r="AM3" s="2" t="s">
        <v>16</v>
      </c>
      <c r="AN3" s="2" t="s">
        <v>38</v>
      </c>
      <c r="AO3" s="25" t="s">
        <v>40</v>
      </c>
      <c r="AP3" s="12" t="s">
        <v>41</v>
      </c>
      <c r="AQ3" s="12" t="s">
        <v>42</v>
      </c>
      <c r="AR3" s="12" t="s">
        <v>32</v>
      </c>
      <c r="AS3" s="12" t="s">
        <v>43</v>
      </c>
      <c r="AT3" s="12" t="s">
        <v>18</v>
      </c>
      <c r="AU3" s="12" t="s">
        <v>19</v>
      </c>
      <c r="AV3" s="12" t="s">
        <v>20</v>
      </c>
      <c r="AW3" s="12" t="s">
        <v>21</v>
      </c>
      <c r="AX3" s="12" t="s">
        <v>22</v>
      </c>
      <c r="AY3" s="12" t="s">
        <v>23</v>
      </c>
      <c r="AZ3" s="12" t="s">
        <v>24</v>
      </c>
      <c r="BA3" s="12" t="s">
        <v>25</v>
      </c>
      <c r="BB3" s="12" t="s">
        <v>26</v>
      </c>
      <c r="BC3" s="12" t="s">
        <v>27</v>
      </c>
      <c r="BD3" s="2" t="s">
        <v>11</v>
      </c>
      <c r="BE3" s="2" t="s">
        <v>12</v>
      </c>
      <c r="BF3" s="2" t="s">
        <v>13</v>
      </c>
      <c r="BG3" s="2" t="s">
        <v>14</v>
      </c>
      <c r="BH3" s="12" t="s">
        <v>48</v>
      </c>
      <c r="BI3" s="12" t="s">
        <v>86</v>
      </c>
      <c r="BJ3" s="12" t="s">
        <v>128</v>
      </c>
      <c r="BK3" s="2" t="s">
        <v>133</v>
      </c>
      <c r="BL3" s="2" t="s">
        <v>15</v>
      </c>
      <c r="BM3" s="17" t="s">
        <v>51</v>
      </c>
      <c r="BN3" s="17" t="s">
        <v>52</v>
      </c>
      <c r="BO3" s="15" t="s">
        <v>58</v>
      </c>
      <c r="BP3" s="39" t="s">
        <v>129</v>
      </c>
      <c r="BQ3" s="39" t="s">
        <v>134</v>
      </c>
      <c r="BR3" s="39" t="s">
        <v>137</v>
      </c>
      <c r="BS3" s="40" t="s">
        <v>130</v>
      </c>
      <c r="BT3" s="40" t="s">
        <v>132</v>
      </c>
      <c r="BU3" s="40" t="s">
        <v>135</v>
      </c>
      <c r="BV3" s="40" t="s">
        <v>131</v>
      </c>
      <c r="BW3" s="33" t="s">
        <v>56</v>
      </c>
    </row>
    <row r="4" spans="1:75" x14ac:dyDescent="0.4">
      <c r="A4" s="3">
        <v>34</v>
      </c>
      <c r="B4" s="3">
        <v>34</v>
      </c>
      <c r="C4" s="32">
        <v>671394</v>
      </c>
      <c r="D4" s="4" t="str">
        <f t="shared" ref="D4:D24" si="0">TEXT(C4,"000000")</f>
        <v>671394</v>
      </c>
      <c r="E4" s="4">
        <v>671394</v>
      </c>
      <c r="F4" s="4" t="str">
        <f>D4&amp;I4</f>
        <v>6713945</v>
      </c>
      <c r="G4" s="4" t="s">
        <v>79</v>
      </c>
      <c r="H4" s="5">
        <v>4902205308058</v>
      </c>
      <c r="I4" s="5">
        <v>5</v>
      </c>
      <c r="J4" s="5"/>
      <c r="K4" s="5">
        <v>1</v>
      </c>
      <c r="L4" s="5">
        <v>1</v>
      </c>
      <c r="M4" s="4">
        <v>720</v>
      </c>
      <c r="N4" s="4">
        <v>453</v>
      </c>
      <c r="O4" s="4">
        <v>357</v>
      </c>
      <c r="P4" s="6">
        <f t="shared" ref="P4:P24" si="1">1-O4/N4</f>
        <v>0.21192052980132448</v>
      </c>
      <c r="Q4" s="4" t="s">
        <v>84</v>
      </c>
      <c r="R4" s="4"/>
      <c r="S4" s="4"/>
      <c r="T4" s="4"/>
      <c r="U4" s="4"/>
      <c r="V4" s="4"/>
      <c r="W4" s="4"/>
      <c r="X4" s="4"/>
      <c r="Y4" s="4"/>
      <c r="Z4" s="4">
        <v>800</v>
      </c>
      <c r="AA4" s="4">
        <f t="shared" ref="AA4:AA24" si="2">IF(AD4="",Z4,Z4*AD4)</f>
        <v>800</v>
      </c>
      <c r="AB4" s="4">
        <v>397</v>
      </c>
      <c r="AC4" s="4">
        <f t="shared" ref="AC4:AC24" si="3">IF(AD4="",AB4,AB4*AD4)</f>
        <v>397</v>
      </c>
      <c r="AD4" s="4"/>
      <c r="AE4" s="20">
        <f t="shared" ref="AE4:AE24" si="4">ROUND(N4*AT4,0)</f>
        <v>504</v>
      </c>
      <c r="AF4" s="6">
        <f t="shared" ref="AF4:AF24" si="5">1-AC4/AE4</f>
        <v>0.21230158730158732</v>
      </c>
      <c r="AG4" s="32">
        <v>1</v>
      </c>
      <c r="AH4" s="4">
        <f t="shared" ref="AH4:AH24" si="6">BL4</f>
        <v>720</v>
      </c>
      <c r="AI4" s="32">
        <f>IFERROR(AH4*AT4,"-")</f>
        <v>800.67226890756308</v>
      </c>
      <c r="AJ4" s="6">
        <f>IFERROR(1-AC4/AI4,"-")</f>
        <v>0.50416666666666665</v>
      </c>
      <c r="AK4" s="32">
        <f>ROUND(AC4/0.6,0)</f>
        <v>662</v>
      </c>
      <c r="AL4" s="7">
        <v>620</v>
      </c>
      <c r="AM4" s="6">
        <f t="shared" ref="AM4:AM24" si="7">1-AC4/AL4</f>
        <v>0.35967741935483866</v>
      </c>
      <c r="AN4" s="4">
        <f t="shared" ref="AN4:AN24" si="8">AL4-AC4</f>
        <v>223</v>
      </c>
      <c r="AO4" s="27"/>
      <c r="AP4" s="6"/>
      <c r="AQ4" s="6"/>
      <c r="AR4" s="6">
        <f t="shared" ref="AR4:AR24" si="9">AA4/M4</f>
        <v>1.1111111111111112</v>
      </c>
      <c r="AS4" s="6">
        <f t="shared" ref="AS4:AS24" si="10">AL4/N4</f>
        <v>1.3686534216335542</v>
      </c>
      <c r="AT4" s="6">
        <f t="shared" ref="AT4:AT24" si="11">AC4/O4</f>
        <v>1.1120448179271709</v>
      </c>
      <c r="AU4" s="4"/>
      <c r="AV4" s="4"/>
      <c r="AW4" s="4"/>
      <c r="AX4" s="4"/>
      <c r="AY4" s="4"/>
      <c r="AZ4" s="4"/>
      <c r="BA4" s="4"/>
      <c r="BB4" s="4"/>
      <c r="BC4" s="4"/>
      <c r="BD4" s="4">
        <v>0</v>
      </c>
      <c r="BE4" s="4" t="s">
        <v>123</v>
      </c>
      <c r="BF4" s="4"/>
      <c r="BG4" s="4"/>
      <c r="BH4" s="4" t="s">
        <v>105</v>
      </c>
      <c r="BI4" s="4">
        <v>720</v>
      </c>
      <c r="BJ4" s="4">
        <v>720</v>
      </c>
      <c r="BK4" s="4">
        <v>720</v>
      </c>
      <c r="BL4" s="4">
        <f t="shared" ref="BL4:BL24" si="12">IF(BF4="",BK4,BF4/BG4*BK4)</f>
        <v>720</v>
      </c>
      <c r="BM4" s="18">
        <v>4</v>
      </c>
      <c r="BN4" s="18">
        <v>1</v>
      </c>
      <c r="BO4" s="16">
        <v>3</v>
      </c>
      <c r="BP4" t="s">
        <v>84</v>
      </c>
      <c r="BQ4" t="s">
        <v>127</v>
      </c>
      <c r="BR4" t="s">
        <v>127</v>
      </c>
      <c r="BS4">
        <v>559</v>
      </c>
      <c r="BT4">
        <v>559</v>
      </c>
      <c r="BU4">
        <v>699</v>
      </c>
      <c r="BV4">
        <f t="shared" ref="BV4:BV24" si="13">IFERROR(BU4*AT4,"-")</f>
        <v>777.31932773109247</v>
      </c>
      <c r="BW4" t="s">
        <v>101</v>
      </c>
    </row>
    <row r="5" spans="1:75" x14ac:dyDescent="0.4">
      <c r="A5" s="3">
        <v>35</v>
      </c>
      <c r="B5" s="3">
        <v>35</v>
      </c>
      <c r="C5" s="32">
        <v>671395</v>
      </c>
      <c r="D5" s="4" t="str">
        <f t="shared" si="0"/>
        <v>671395</v>
      </c>
      <c r="E5" s="4">
        <v>671395</v>
      </c>
      <c r="F5" s="4" t="str">
        <f t="shared" ref="F5:F24" si="14">D5&amp;I5</f>
        <v>6713955</v>
      </c>
      <c r="G5" s="4" t="s">
        <v>80</v>
      </c>
      <c r="H5" s="5">
        <v>4902205369103</v>
      </c>
      <c r="I5" s="5">
        <v>5</v>
      </c>
      <c r="J5" s="5"/>
      <c r="K5" s="5">
        <v>1</v>
      </c>
      <c r="L5" s="5">
        <v>1</v>
      </c>
      <c r="M5" s="4">
        <v>720</v>
      </c>
      <c r="N5" s="4">
        <v>407</v>
      </c>
      <c r="O5" s="4">
        <v>357</v>
      </c>
      <c r="P5" s="6">
        <f t="shared" si="1"/>
        <v>0.12285012285012287</v>
      </c>
      <c r="Q5" s="4" t="s">
        <v>84</v>
      </c>
      <c r="R5" s="4"/>
      <c r="S5" s="4"/>
      <c r="T5" s="4"/>
      <c r="U5" s="4"/>
      <c r="V5" s="4"/>
      <c r="W5" s="4"/>
      <c r="X5" s="4"/>
      <c r="Y5" s="4"/>
      <c r="Z5" s="4">
        <v>800</v>
      </c>
      <c r="AA5" s="4">
        <f t="shared" si="2"/>
        <v>800</v>
      </c>
      <c r="AB5" s="4">
        <v>397</v>
      </c>
      <c r="AC5" s="4">
        <f t="shared" si="3"/>
        <v>397</v>
      </c>
      <c r="AD5" s="4"/>
      <c r="AE5" s="20">
        <f t="shared" si="4"/>
        <v>453</v>
      </c>
      <c r="AF5" s="6">
        <f t="shared" si="5"/>
        <v>0.12362030905077259</v>
      </c>
      <c r="AG5" s="32">
        <v>0.5</v>
      </c>
      <c r="AH5" s="4">
        <f t="shared" si="6"/>
        <v>772</v>
      </c>
      <c r="AI5" s="32">
        <f t="shared" ref="AI5:AI24" si="15">IFERROR(AH5*AT5,"-")</f>
        <v>858.49859943977594</v>
      </c>
      <c r="AJ5" s="6">
        <f t="shared" ref="AJ5:AJ24" si="16">IFERROR(1-AC5/AI5,"-")</f>
        <v>0.53756476683937826</v>
      </c>
      <c r="AK5" s="32">
        <f t="shared" ref="AK5:AK24" si="17">ROUND(AC5/0.6,0)</f>
        <v>662</v>
      </c>
      <c r="AL5" s="7">
        <v>620</v>
      </c>
      <c r="AM5" s="6">
        <f t="shared" si="7"/>
        <v>0.35967741935483866</v>
      </c>
      <c r="AN5" s="4">
        <f t="shared" si="8"/>
        <v>223</v>
      </c>
      <c r="AO5" s="27"/>
      <c r="AP5" s="6"/>
      <c r="AQ5" s="6"/>
      <c r="AR5" s="6">
        <f t="shared" si="9"/>
        <v>1.1111111111111112</v>
      </c>
      <c r="AS5" s="6">
        <f t="shared" si="10"/>
        <v>1.5233415233415233</v>
      </c>
      <c r="AT5" s="6">
        <f t="shared" si="11"/>
        <v>1.1120448179271709</v>
      </c>
      <c r="AU5" s="4"/>
      <c r="AV5" s="4"/>
      <c r="AW5" s="4"/>
      <c r="AX5" s="4"/>
      <c r="AY5" s="4"/>
      <c r="AZ5" s="4"/>
      <c r="BA5" s="4"/>
      <c r="BB5" s="4"/>
      <c r="BC5" s="4"/>
      <c r="BD5" s="4">
        <v>0</v>
      </c>
      <c r="BE5" s="4" t="s">
        <v>124</v>
      </c>
      <c r="BF5" s="4">
        <v>1</v>
      </c>
      <c r="BG5" s="4">
        <v>2</v>
      </c>
      <c r="BH5" s="4" t="s">
        <v>122</v>
      </c>
      <c r="BI5" s="4">
        <v>1310</v>
      </c>
      <c r="BJ5" s="4">
        <v>1310</v>
      </c>
      <c r="BK5" s="4">
        <v>1544</v>
      </c>
      <c r="BL5" s="4">
        <f t="shared" si="12"/>
        <v>772</v>
      </c>
      <c r="BM5" s="18">
        <v>4</v>
      </c>
      <c r="BN5" s="18">
        <v>1</v>
      </c>
      <c r="BO5" s="16">
        <v>3</v>
      </c>
      <c r="BP5" t="s">
        <v>84</v>
      </c>
      <c r="BQ5" t="s">
        <v>127</v>
      </c>
      <c r="BR5" t="s">
        <v>127</v>
      </c>
      <c r="BS5">
        <v>559</v>
      </c>
      <c r="BT5">
        <v>559</v>
      </c>
      <c r="BU5">
        <v>699</v>
      </c>
      <c r="BV5">
        <f t="shared" si="13"/>
        <v>777.31932773109247</v>
      </c>
      <c r="BW5" t="s">
        <v>102</v>
      </c>
    </row>
    <row r="6" spans="1:75" x14ac:dyDescent="0.4">
      <c r="A6" s="3">
        <v>33</v>
      </c>
      <c r="B6" s="3">
        <v>33</v>
      </c>
      <c r="C6" s="37">
        <v>671393</v>
      </c>
      <c r="D6" s="4" t="str">
        <f t="shared" si="0"/>
        <v>671393</v>
      </c>
      <c r="E6" s="4">
        <v>671393</v>
      </c>
      <c r="F6" s="4" t="str">
        <f t="shared" si="14"/>
        <v>6713935</v>
      </c>
      <c r="G6" s="4" t="s">
        <v>78</v>
      </c>
      <c r="H6" s="5">
        <v>4902205376163</v>
      </c>
      <c r="I6" s="5">
        <v>5</v>
      </c>
      <c r="J6" s="5"/>
      <c r="K6" s="5">
        <v>1</v>
      </c>
      <c r="L6" s="5">
        <v>1</v>
      </c>
      <c r="M6" s="4">
        <v>720</v>
      </c>
      <c r="N6" s="4">
        <v>520</v>
      </c>
      <c r="O6" s="4">
        <v>379</v>
      </c>
      <c r="P6" s="6">
        <f t="shared" si="1"/>
        <v>0.27115384615384619</v>
      </c>
      <c r="Q6" s="4" t="s">
        <v>84</v>
      </c>
      <c r="R6" s="4"/>
      <c r="S6" s="4"/>
      <c r="T6" s="4"/>
      <c r="U6" s="4"/>
      <c r="V6" s="4"/>
      <c r="W6" s="4"/>
      <c r="X6" s="4"/>
      <c r="Y6" s="4"/>
      <c r="Z6" s="4">
        <v>800</v>
      </c>
      <c r="AA6" s="4">
        <f t="shared" si="2"/>
        <v>800</v>
      </c>
      <c r="AB6" s="4">
        <v>422</v>
      </c>
      <c r="AC6" s="4">
        <f t="shared" si="3"/>
        <v>422</v>
      </c>
      <c r="AD6" s="4"/>
      <c r="AE6" s="20">
        <f t="shared" si="4"/>
        <v>579</v>
      </c>
      <c r="AF6" s="6">
        <f t="shared" si="5"/>
        <v>0.27115716753022456</v>
      </c>
      <c r="AG6" s="32">
        <v>5.5</v>
      </c>
      <c r="AH6" s="4">
        <f t="shared" si="6"/>
        <v>727</v>
      </c>
      <c r="AI6" s="32">
        <f t="shared" si="15"/>
        <v>809.48284960422154</v>
      </c>
      <c r="AJ6" s="6">
        <f t="shared" si="16"/>
        <v>0.47867950481430532</v>
      </c>
      <c r="AK6" s="32">
        <f t="shared" si="17"/>
        <v>703</v>
      </c>
      <c r="AL6" s="7">
        <v>680</v>
      </c>
      <c r="AM6" s="6">
        <f t="shared" si="7"/>
        <v>0.37941176470588234</v>
      </c>
      <c r="AN6" s="4">
        <f t="shared" si="8"/>
        <v>258</v>
      </c>
      <c r="AO6" s="27"/>
      <c r="AP6" s="6"/>
      <c r="AQ6" s="6"/>
      <c r="AR6" s="6">
        <f t="shared" si="9"/>
        <v>1.1111111111111112</v>
      </c>
      <c r="AS6" s="6">
        <f t="shared" si="10"/>
        <v>1.3076923076923077</v>
      </c>
      <c r="AT6" s="6">
        <f t="shared" si="11"/>
        <v>1.1134564643799472</v>
      </c>
      <c r="AU6" s="4"/>
      <c r="AV6" s="4"/>
      <c r="AW6" s="4"/>
      <c r="AX6" s="4"/>
      <c r="AY6" s="4"/>
      <c r="AZ6" s="4"/>
      <c r="BA6" s="4"/>
      <c r="BB6" s="4"/>
      <c r="BC6" s="4"/>
      <c r="BD6" s="4">
        <v>0</v>
      </c>
      <c r="BE6" s="4" t="s">
        <v>121</v>
      </c>
      <c r="BF6" s="4">
        <v>1</v>
      </c>
      <c r="BG6" s="4">
        <v>2</v>
      </c>
      <c r="BH6" s="4" t="s">
        <v>122</v>
      </c>
      <c r="BI6" s="4">
        <v>1310</v>
      </c>
      <c r="BJ6" s="4">
        <v>1310</v>
      </c>
      <c r="BK6" s="4">
        <v>1454</v>
      </c>
      <c r="BL6" s="4">
        <f t="shared" si="12"/>
        <v>727</v>
      </c>
      <c r="BM6" s="18">
        <v>4</v>
      </c>
      <c r="BN6" s="18">
        <v>1</v>
      </c>
      <c r="BO6" s="16">
        <v>3</v>
      </c>
      <c r="BP6" t="s">
        <v>84</v>
      </c>
      <c r="BQ6" t="s">
        <v>127</v>
      </c>
      <c r="BR6" t="s">
        <v>127</v>
      </c>
      <c r="BS6">
        <v>630</v>
      </c>
      <c r="BT6">
        <v>630</v>
      </c>
      <c r="BU6">
        <v>700</v>
      </c>
      <c r="BV6">
        <f t="shared" si="13"/>
        <v>779.41952506596306</v>
      </c>
      <c r="BW6" t="s">
        <v>100</v>
      </c>
    </row>
    <row r="7" spans="1:75" x14ac:dyDescent="0.4">
      <c r="A7" s="3">
        <v>16</v>
      </c>
      <c r="B7" s="3">
        <v>16</v>
      </c>
      <c r="C7" s="37">
        <v>160294</v>
      </c>
      <c r="D7" s="4" t="str">
        <f t="shared" si="0"/>
        <v>160294</v>
      </c>
      <c r="E7" s="4">
        <v>160294</v>
      </c>
      <c r="F7" s="4" t="str">
        <f t="shared" si="14"/>
        <v>1602945</v>
      </c>
      <c r="G7" s="4" t="s">
        <v>66</v>
      </c>
      <c r="H7" s="5">
        <v>4902205378402</v>
      </c>
      <c r="I7" s="5">
        <v>5</v>
      </c>
      <c r="J7" s="5"/>
      <c r="K7" s="5">
        <v>1</v>
      </c>
      <c r="L7" s="5">
        <v>1</v>
      </c>
      <c r="M7" s="4">
        <v>900</v>
      </c>
      <c r="N7" s="4">
        <v>734</v>
      </c>
      <c r="O7" s="4">
        <v>485</v>
      </c>
      <c r="P7" s="6">
        <f t="shared" si="1"/>
        <v>0.3392370572207084</v>
      </c>
      <c r="Q7" s="4" t="s">
        <v>84</v>
      </c>
      <c r="R7" s="4"/>
      <c r="S7" s="4"/>
      <c r="T7" s="4"/>
      <c r="U7" s="4"/>
      <c r="V7" s="4"/>
      <c r="W7" s="4"/>
      <c r="X7" s="4"/>
      <c r="Y7" s="4"/>
      <c r="Z7" s="4">
        <v>1000</v>
      </c>
      <c r="AA7" s="4">
        <f t="shared" si="2"/>
        <v>1000</v>
      </c>
      <c r="AB7" s="4">
        <v>540</v>
      </c>
      <c r="AC7" s="4">
        <f t="shared" si="3"/>
        <v>540</v>
      </c>
      <c r="AD7" s="4"/>
      <c r="AE7" s="20">
        <f t="shared" si="4"/>
        <v>817</v>
      </c>
      <c r="AF7" s="6">
        <f t="shared" si="5"/>
        <v>0.33904528763769892</v>
      </c>
      <c r="AG7" s="32">
        <v>0.75</v>
      </c>
      <c r="AH7" s="4">
        <f t="shared" si="6"/>
        <v>999</v>
      </c>
      <c r="AI7" s="32">
        <f t="shared" si="15"/>
        <v>1112.2886597938145</v>
      </c>
      <c r="AJ7" s="6">
        <f t="shared" si="16"/>
        <v>0.51451451451451458</v>
      </c>
      <c r="AK7" s="32">
        <f t="shared" si="17"/>
        <v>900</v>
      </c>
      <c r="AL7" s="7">
        <v>850</v>
      </c>
      <c r="AM7" s="6">
        <f t="shared" si="7"/>
        <v>0.36470588235294121</v>
      </c>
      <c r="AN7" s="4">
        <f t="shared" si="8"/>
        <v>310</v>
      </c>
      <c r="AO7" s="27"/>
      <c r="AP7" s="6"/>
      <c r="AQ7" s="6"/>
      <c r="AR7" s="6">
        <f t="shared" si="9"/>
        <v>1.1111111111111112</v>
      </c>
      <c r="AS7" s="6">
        <f t="shared" si="10"/>
        <v>1.1580381471389645</v>
      </c>
      <c r="AT7" s="6">
        <f t="shared" si="11"/>
        <v>1.1134020618556701</v>
      </c>
      <c r="AU7" s="4"/>
      <c r="AV7" s="4"/>
      <c r="AW7" s="4"/>
      <c r="AX7" s="4"/>
      <c r="AY7" s="4"/>
      <c r="AZ7" s="4"/>
      <c r="BA7" s="4"/>
      <c r="BB7" s="4"/>
      <c r="BC7" s="4"/>
      <c r="BD7" s="4">
        <v>0</v>
      </c>
      <c r="BE7" s="4" t="s">
        <v>110</v>
      </c>
      <c r="BF7" s="4">
        <v>1</v>
      </c>
      <c r="BG7" s="4">
        <v>2</v>
      </c>
      <c r="BH7" s="4" t="s">
        <v>111</v>
      </c>
      <c r="BI7" s="4">
        <v>1800</v>
      </c>
      <c r="BJ7" s="4">
        <v>1800</v>
      </c>
      <c r="BK7" s="4">
        <v>1998</v>
      </c>
      <c r="BL7" s="4">
        <f t="shared" si="12"/>
        <v>999</v>
      </c>
      <c r="BM7" s="18">
        <v>4</v>
      </c>
      <c r="BN7" s="18">
        <v>1</v>
      </c>
      <c r="BO7" s="16">
        <v>3</v>
      </c>
      <c r="BP7" t="s">
        <v>84</v>
      </c>
      <c r="BQ7" t="s">
        <v>127</v>
      </c>
      <c r="BR7" t="s">
        <v>127</v>
      </c>
      <c r="BS7">
        <v>900</v>
      </c>
      <c r="BT7">
        <v>900</v>
      </c>
      <c r="BU7">
        <v>1000</v>
      </c>
      <c r="BV7">
        <f t="shared" si="13"/>
        <v>1113.4020618556701</v>
      </c>
      <c r="BW7" t="s">
        <v>90</v>
      </c>
    </row>
    <row r="8" spans="1:75" x14ac:dyDescent="0.4">
      <c r="A8" s="3">
        <v>17</v>
      </c>
      <c r="B8" s="3">
        <v>17</v>
      </c>
      <c r="C8" s="37">
        <v>160296</v>
      </c>
      <c r="D8" s="4" t="str">
        <f t="shared" si="0"/>
        <v>160296</v>
      </c>
      <c r="E8" s="4">
        <v>160296</v>
      </c>
      <c r="F8" s="4" t="str">
        <f t="shared" si="14"/>
        <v>1602965</v>
      </c>
      <c r="G8" s="4" t="s">
        <v>67</v>
      </c>
      <c r="H8" s="5">
        <v>4902205378419</v>
      </c>
      <c r="I8" s="5">
        <v>5</v>
      </c>
      <c r="J8" s="5"/>
      <c r="K8" s="5">
        <v>1</v>
      </c>
      <c r="L8" s="5">
        <v>1</v>
      </c>
      <c r="M8" s="4">
        <v>900</v>
      </c>
      <c r="N8" s="4">
        <v>588</v>
      </c>
      <c r="O8" s="4">
        <v>485</v>
      </c>
      <c r="P8" s="6">
        <f t="shared" si="1"/>
        <v>0.17517006802721091</v>
      </c>
      <c r="Q8" s="4" t="s">
        <v>84</v>
      </c>
      <c r="R8" s="4"/>
      <c r="S8" s="4"/>
      <c r="T8" s="4"/>
      <c r="U8" s="4"/>
      <c r="V8" s="4"/>
      <c r="W8" s="4"/>
      <c r="X8" s="4"/>
      <c r="Y8" s="4"/>
      <c r="Z8" s="4">
        <v>1000</v>
      </c>
      <c r="AA8" s="4">
        <f t="shared" si="2"/>
        <v>1000</v>
      </c>
      <c r="AB8" s="4">
        <v>540</v>
      </c>
      <c r="AC8" s="4">
        <f t="shared" si="3"/>
        <v>540</v>
      </c>
      <c r="AD8" s="4"/>
      <c r="AE8" s="20">
        <f t="shared" si="4"/>
        <v>655</v>
      </c>
      <c r="AF8" s="6">
        <f t="shared" si="5"/>
        <v>0.17557251908396942</v>
      </c>
      <c r="AG8" s="32">
        <v>0.5</v>
      </c>
      <c r="AH8" s="4">
        <f t="shared" si="6"/>
        <v>999</v>
      </c>
      <c r="AI8" s="32">
        <f t="shared" si="15"/>
        <v>1112.2886597938145</v>
      </c>
      <c r="AJ8" s="6">
        <f t="shared" si="16"/>
        <v>0.51451451451451458</v>
      </c>
      <c r="AK8" s="32">
        <f t="shared" si="17"/>
        <v>900</v>
      </c>
      <c r="AL8" s="7">
        <v>850</v>
      </c>
      <c r="AM8" s="6">
        <f t="shared" si="7"/>
        <v>0.36470588235294121</v>
      </c>
      <c r="AN8" s="4">
        <f t="shared" si="8"/>
        <v>310</v>
      </c>
      <c r="AO8" s="27"/>
      <c r="AP8" s="6"/>
      <c r="AQ8" s="6"/>
      <c r="AR8" s="6">
        <f t="shared" si="9"/>
        <v>1.1111111111111112</v>
      </c>
      <c r="AS8" s="6">
        <f t="shared" si="10"/>
        <v>1.4455782312925169</v>
      </c>
      <c r="AT8" s="6">
        <f t="shared" si="11"/>
        <v>1.1134020618556701</v>
      </c>
      <c r="AU8" s="4"/>
      <c r="AV8" s="4"/>
      <c r="AW8" s="4"/>
      <c r="AX8" s="4"/>
      <c r="AY8" s="4"/>
      <c r="AZ8" s="4"/>
      <c r="BA8" s="4"/>
      <c r="BB8" s="4"/>
      <c r="BC8" s="4"/>
      <c r="BD8" s="4">
        <v>0</v>
      </c>
      <c r="BE8" s="4" t="s">
        <v>112</v>
      </c>
      <c r="BF8" s="4">
        <v>1</v>
      </c>
      <c r="BG8" s="4">
        <v>2</v>
      </c>
      <c r="BH8" s="4" t="s">
        <v>111</v>
      </c>
      <c r="BI8" s="4">
        <v>1800</v>
      </c>
      <c r="BJ8" s="4">
        <v>1800</v>
      </c>
      <c r="BK8" s="4">
        <v>1998</v>
      </c>
      <c r="BL8" s="4">
        <f t="shared" si="12"/>
        <v>999</v>
      </c>
      <c r="BM8" s="18">
        <v>4</v>
      </c>
      <c r="BN8" s="18">
        <v>1</v>
      </c>
      <c r="BO8" s="16">
        <v>3</v>
      </c>
      <c r="BP8">
        <v>810</v>
      </c>
      <c r="BQ8">
        <v>810</v>
      </c>
      <c r="BR8">
        <v>810</v>
      </c>
      <c r="BS8">
        <v>900</v>
      </c>
      <c r="BT8">
        <v>900</v>
      </c>
      <c r="BU8">
        <v>1000</v>
      </c>
      <c r="BV8">
        <f t="shared" si="13"/>
        <v>1113.4020618556701</v>
      </c>
      <c r="BW8" t="s">
        <v>91</v>
      </c>
    </row>
    <row r="9" spans="1:75" x14ac:dyDescent="0.4">
      <c r="A9" s="3">
        <v>32</v>
      </c>
      <c r="B9" s="3">
        <v>32</v>
      </c>
      <c r="C9" s="37">
        <v>671392</v>
      </c>
      <c r="D9" s="4" t="str">
        <f t="shared" si="0"/>
        <v>671392</v>
      </c>
      <c r="E9" s="4">
        <v>671392</v>
      </c>
      <c r="F9" s="4" t="str">
        <f t="shared" si="14"/>
        <v>6713925</v>
      </c>
      <c r="G9" s="4" t="s">
        <v>77</v>
      </c>
      <c r="H9" s="5">
        <v>4902205326502</v>
      </c>
      <c r="I9" s="5">
        <v>5</v>
      </c>
      <c r="J9" s="5"/>
      <c r="K9" s="5">
        <v>1</v>
      </c>
      <c r="L9" s="5">
        <v>1</v>
      </c>
      <c r="M9" s="4">
        <v>1000</v>
      </c>
      <c r="N9" s="4">
        <v>606</v>
      </c>
      <c r="O9" s="4">
        <v>525</v>
      </c>
      <c r="P9" s="6">
        <f t="shared" si="1"/>
        <v>0.13366336633663367</v>
      </c>
      <c r="Q9" s="4" t="s">
        <v>84</v>
      </c>
      <c r="R9" s="4"/>
      <c r="S9" s="4"/>
      <c r="T9" s="4"/>
      <c r="U9" s="4"/>
      <c r="V9" s="4"/>
      <c r="W9" s="4"/>
      <c r="X9" s="4"/>
      <c r="Y9" s="4"/>
      <c r="Z9" s="4">
        <v>1100</v>
      </c>
      <c r="AA9" s="4">
        <f t="shared" si="2"/>
        <v>1100</v>
      </c>
      <c r="AB9" s="4">
        <v>579</v>
      </c>
      <c r="AC9" s="4">
        <f t="shared" si="3"/>
        <v>579</v>
      </c>
      <c r="AD9" s="4"/>
      <c r="AE9" s="20">
        <f t="shared" si="4"/>
        <v>668</v>
      </c>
      <c r="AF9" s="6">
        <f t="shared" si="5"/>
        <v>0.13323353293413176</v>
      </c>
      <c r="AG9" s="32">
        <v>2.25</v>
      </c>
      <c r="AH9" s="4" t="str">
        <f t="shared" si="6"/>
        <v>-</v>
      </c>
      <c r="AI9" s="32" t="str">
        <f t="shared" si="15"/>
        <v>-</v>
      </c>
      <c r="AJ9" s="6" t="str">
        <f t="shared" si="16"/>
        <v>-</v>
      </c>
      <c r="AK9" s="32">
        <f t="shared" si="17"/>
        <v>965</v>
      </c>
      <c r="AL9" s="7">
        <v>900</v>
      </c>
      <c r="AM9" s="6">
        <f t="shared" si="7"/>
        <v>0.35666666666666669</v>
      </c>
      <c r="AN9" s="4">
        <f t="shared" si="8"/>
        <v>321</v>
      </c>
      <c r="AO9" s="27"/>
      <c r="AP9" s="6"/>
      <c r="AQ9" s="6"/>
      <c r="AR9" s="6">
        <f t="shared" si="9"/>
        <v>1.1000000000000001</v>
      </c>
      <c r="AS9" s="6">
        <f t="shared" si="10"/>
        <v>1.4851485148514851</v>
      </c>
      <c r="AT9" s="6">
        <f t="shared" si="11"/>
        <v>1.1028571428571428</v>
      </c>
      <c r="AU9" s="4"/>
      <c r="AV9" s="4"/>
      <c r="AW9" s="4"/>
      <c r="AX9" s="4"/>
      <c r="AY9" s="4"/>
      <c r="AZ9" s="4"/>
      <c r="BA9" s="4"/>
      <c r="BB9" s="4"/>
      <c r="BC9" s="4"/>
      <c r="BD9" s="4">
        <v>0</v>
      </c>
      <c r="BE9" s="4" t="s">
        <v>127</v>
      </c>
      <c r="BF9" s="4"/>
      <c r="BG9" s="4"/>
      <c r="BH9" s="4" t="s">
        <v>127</v>
      </c>
      <c r="BI9" s="4" t="s">
        <v>127</v>
      </c>
      <c r="BJ9" s="4" t="s">
        <v>127</v>
      </c>
      <c r="BK9" s="4" t="s">
        <v>127</v>
      </c>
      <c r="BL9" s="4" t="str">
        <f t="shared" si="12"/>
        <v>-</v>
      </c>
      <c r="BM9" s="18">
        <v>4</v>
      </c>
      <c r="BN9" s="18">
        <v>1</v>
      </c>
      <c r="BO9" s="16">
        <v>3</v>
      </c>
      <c r="BP9" t="s">
        <v>84</v>
      </c>
      <c r="BQ9" t="s">
        <v>127</v>
      </c>
      <c r="BR9" t="s">
        <v>127</v>
      </c>
      <c r="BS9">
        <v>17500</v>
      </c>
      <c r="BT9">
        <v>17500</v>
      </c>
      <c r="BU9">
        <v>17500</v>
      </c>
      <c r="BV9">
        <f t="shared" si="13"/>
        <v>19300</v>
      </c>
      <c r="BW9" t="s">
        <v>127</v>
      </c>
    </row>
    <row r="10" spans="1:75" x14ac:dyDescent="0.4">
      <c r="A10" s="3">
        <v>10</v>
      </c>
      <c r="B10" s="3">
        <v>10</v>
      </c>
      <c r="C10" s="32">
        <v>55131</v>
      </c>
      <c r="D10" s="4" t="str">
        <f t="shared" si="0"/>
        <v>055131</v>
      </c>
      <c r="E10" s="4">
        <v>55131</v>
      </c>
      <c r="F10" s="4" t="str">
        <f t="shared" si="14"/>
        <v>0551315</v>
      </c>
      <c r="G10" s="4" t="s">
        <v>63</v>
      </c>
      <c r="H10" s="5">
        <v>4902205354383</v>
      </c>
      <c r="I10" s="5">
        <v>5</v>
      </c>
      <c r="J10" s="5"/>
      <c r="K10" s="5">
        <v>1</v>
      </c>
      <c r="L10" s="5">
        <v>1</v>
      </c>
      <c r="M10" s="4">
        <v>1010</v>
      </c>
      <c r="N10" s="4">
        <v>810</v>
      </c>
      <c r="O10" s="4">
        <v>520</v>
      </c>
      <c r="P10" s="6">
        <f t="shared" si="1"/>
        <v>0.35802469135802473</v>
      </c>
      <c r="Q10" s="4" t="s">
        <v>84</v>
      </c>
      <c r="R10" s="4"/>
      <c r="S10" s="4"/>
      <c r="T10" s="4"/>
      <c r="U10" s="4"/>
      <c r="V10" s="4"/>
      <c r="W10" s="4"/>
      <c r="X10" s="4"/>
      <c r="Y10" s="4"/>
      <c r="Z10" s="4">
        <v>1150</v>
      </c>
      <c r="AA10" s="4">
        <f t="shared" si="2"/>
        <v>1150</v>
      </c>
      <c r="AB10" s="4">
        <v>594</v>
      </c>
      <c r="AC10" s="4">
        <f t="shared" si="3"/>
        <v>594</v>
      </c>
      <c r="AD10" s="4"/>
      <c r="AE10" s="20">
        <f t="shared" si="4"/>
        <v>925</v>
      </c>
      <c r="AF10" s="6">
        <f t="shared" si="5"/>
        <v>0.35783783783783785</v>
      </c>
      <c r="AG10" s="32">
        <v>0</v>
      </c>
      <c r="AH10" s="4">
        <f t="shared" si="6"/>
        <v>1010</v>
      </c>
      <c r="AI10" s="32">
        <f t="shared" si="15"/>
        <v>1153.7307692307691</v>
      </c>
      <c r="AJ10" s="6">
        <f t="shared" si="16"/>
        <v>0.48514851485148502</v>
      </c>
      <c r="AK10" s="32">
        <f t="shared" si="17"/>
        <v>990</v>
      </c>
      <c r="AL10" s="7">
        <v>950</v>
      </c>
      <c r="AM10" s="6">
        <f t="shared" si="7"/>
        <v>0.37473684210526315</v>
      </c>
      <c r="AN10" s="4">
        <f t="shared" si="8"/>
        <v>356</v>
      </c>
      <c r="AO10" s="27"/>
      <c r="AP10" s="6"/>
      <c r="AQ10" s="6"/>
      <c r="AR10" s="6">
        <f t="shared" si="9"/>
        <v>1.1386138613861385</v>
      </c>
      <c r="AS10" s="6">
        <f t="shared" si="10"/>
        <v>1.1728395061728396</v>
      </c>
      <c r="AT10" s="6">
        <f t="shared" si="11"/>
        <v>1.1423076923076922</v>
      </c>
      <c r="AU10" s="4"/>
      <c r="AV10" s="4"/>
      <c r="AW10" s="4"/>
      <c r="AX10" s="4"/>
      <c r="AY10" s="4"/>
      <c r="AZ10" s="4"/>
      <c r="BA10" s="4"/>
      <c r="BB10" s="4"/>
      <c r="BC10" s="4"/>
      <c r="BD10" s="4">
        <v>0</v>
      </c>
      <c r="BE10" s="4" t="s">
        <v>107</v>
      </c>
      <c r="BF10" s="4"/>
      <c r="BG10" s="4"/>
      <c r="BH10" s="4" t="s">
        <v>105</v>
      </c>
      <c r="BI10" s="4">
        <v>1010</v>
      </c>
      <c r="BJ10" s="4">
        <v>1010</v>
      </c>
      <c r="BK10" s="4">
        <v>1010</v>
      </c>
      <c r="BL10" s="4">
        <f t="shared" si="12"/>
        <v>1010</v>
      </c>
      <c r="BM10" s="18">
        <v>4</v>
      </c>
      <c r="BN10" s="18">
        <v>8</v>
      </c>
      <c r="BO10" s="16">
        <v>3</v>
      </c>
      <c r="BP10" t="s">
        <v>84</v>
      </c>
      <c r="BQ10" t="s">
        <v>127</v>
      </c>
      <c r="BR10" t="s">
        <v>127</v>
      </c>
      <c r="BS10">
        <v>788</v>
      </c>
      <c r="BT10">
        <v>788</v>
      </c>
      <c r="BU10">
        <v>1010</v>
      </c>
      <c r="BV10">
        <f t="shared" si="13"/>
        <v>1153.7307692307691</v>
      </c>
      <c r="BW10" t="s">
        <v>87</v>
      </c>
    </row>
    <row r="11" spans="1:75" x14ac:dyDescent="0.4">
      <c r="A11" s="3">
        <v>14</v>
      </c>
      <c r="B11" s="3">
        <v>14</v>
      </c>
      <c r="C11" s="32">
        <v>103467</v>
      </c>
      <c r="D11" s="4" t="str">
        <f t="shared" si="0"/>
        <v>103467</v>
      </c>
      <c r="E11" s="4">
        <v>103467</v>
      </c>
      <c r="F11" s="4" t="str">
        <f t="shared" si="14"/>
        <v>1034675</v>
      </c>
      <c r="G11" s="4" t="s">
        <v>64</v>
      </c>
      <c r="H11" s="5">
        <v>4902205338673</v>
      </c>
      <c r="I11" s="5">
        <v>5</v>
      </c>
      <c r="J11" s="5"/>
      <c r="K11" s="5">
        <v>1</v>
      </c>
      <c r="L11" s="5">
        <v>1</v>
      </c>
      <c r="M11" s="4">
        <v>1230</v>
      </c>
      <c r="N11" s="4">
        <v>810</v>
      </c>
      <c r="O11" s="4">
        <v>635</v>
      </c>
      <c r="P11" s="6">
        <f t="shared" si="1"/>
        <v>0.21604938271604934</v>
      </c>
      <c r="Q11" s="4" t="s">
        <v>84</v>
      </c>
      <c r="R11" s="4"/>
      <c r="S11" s="4"/>
      <c r="T11" s="4"/>
      <c r="U11" s="4"/>
      <c r="V11" s="4"/>
      <c r="W11" s="4"/>
      <c r="X11" s="4"/>
      <c r="Y11" s="4"/>
      <c r="Z11" s="4">
        <v>1400</v>
      </c>
      <c r="AA11" s="4">
        <f t="shared" si="2"/>
        <v>1400</v>
      </c>
      <c r="AB11" s="4">
        <v>723</v>
      </c>
      <c r="AC11" s="4">
        <f t="shared" si="3"/>
        <v>723</v>
      </c>
      <c r="AD11" s="4"/>
      <c r="AE11" s="20">
        <f t="shared" si="4"/>
        <v>922</v>
      </c>
      <c r="AF11" s="6">
        <f t="shared" si="5"/>
        <v>0.21583514099783085</v>
      </c>
      <c r="AG11" s="32">
        <v>2.5</v>
      </c>
      <c r="AH11" s="4">
        <f t="shared" si="6"/>
        <v>1522</v>
      </c>
      <c r="AI11" s="32">
        <f t="shared" si="15"/>
        <v>1732.9228346456694</v>
      </c>
      <c r="AJ11" s="6">
        <f t="shared" si="16"/>
        <v>0.58278580814717484</v>
      </c>
      <c r="AK11" s="32">
        <f t="shared" si="17"/>
        <v>1205</v>
      </c>
      <c r="AL11" s="7">
        <v>1100</v>
      </c>
      <c r="AM11" s="6">
        <f t="shared" si="7"/>
        <v>0.34272727272727277</v>
      </c>
      <c r="AN11" s="4">
        <f t="shared" si="8"/>
        <v>377</v>
      </c>
      <c r="AO11" s="27"/>
      <c r="AP11" s="6"/>
      <c r="AQ11" s="6"/>
      <c r="AR11" s="6">
        <f t="shared" si="9"/>
        <v>1.1382113821138211</v>
      </c>
      <c r="AS11" s="6">
        <f t="shared" si="10"/>
        <v>1.3580246913580247</v>
      </c>
      <c r="AT11" s="6">
        <f t="shared" si="11"/>
        <v>1.1385826771653544</v>
      </c>
      <c r="AU11" s="4"/>
      <c r="AV11" s="4"/>
      <c r="AW11" s="4"/>
      <c r="AX11" s="4"/>
      <c r="AY11" s="4"/>
      <c r="AZ11" s="4"/>
      <c r="BA11" s="4"/>
      <c r="BB11" s="4"/>
      <c r="BC11" s="4"/>
      <c r="BD11" s="4">
        <v>0</v>
      </c>
      <c r="BE11" s="4" t="s">
        <v>108</v>
      </c>
      <c r="BF11" s="4"/>
      <c r="BG11" s="4"/>
      <c r="BH11" s="4" t="s">
        <v>106</v>
      </c>
      <c r="BI11" s="4">
        <v>1522</v>
      </c>
      <c r="BJ11" s="4">
        <v>1522</v>
      </c>
      <c r="BK11" s="4">
        <v>1522</v>
      </c>
      <c r="BL11" s="4">
        <f t="shared" si="12"/>
        <v>1522</v>
      </c>
      <c r="BM11" s="18">
        <v>4</v>
      </c>
      <c r="BN11" s="18">
        <v>8</v>
      </c>
      <c r="BO11" s="16">
        <v>3</v>
      </c>
      <c r="BP11" t="s">
        <v>84</v>
      </c>
      <c r="BQ11" t="s">
        <v>127</v>
      </c>
      <c r="BR11" t="s">
        <v>127</v>
      </c>
      <c r="BS11">
        <v>6150</v>
      </c>
      <c r="BT11">
        <v>6150</v>
      </c>
      <c r="BU11">
        <v>6150</v>
      </c>
      <c r="BV11">
        <f t="shared" si="13"/>
        <v>7002.28346456693</v>
      </c>
      <c r="BW11" t="s">
        <v>88</v>
      </c>
    </row>
    <row r="12" spans="1:75" x14ac:dyDescent="0.4">
      <c r="A12" s="3">
        <v>36</v>
      </c>
      <c r="B12" s="3">
        <v>36</v>
      </c>
      <c r="C12" s="32">
        <v>688457</v>
      </c>
      <c r="D12" s="4" t="str">
        <f t="shared" si="0"/>
        <v>688457</v>
      </c>
      <c r="E12" s="4">
        <v>688457</v>
      </c>
      <c r="F12" s="4" t="str">
        <f t="shared" si="14"/>
        <v>6884575</v>
      </c>
      <c r="G12" s="4" t="s">
        <v>81</v>
      </c>
      <c r="H12" s="5">
        <v>4902205374787</v>
      </c>
      <c r="I12" s="5">
        <v>5</v>
      </c>
      <c r="J12" s="5"/>
      <c r="K12" s="5">
        <v>1</v>
      </c>
      <c r="L12" s="5">
        <v>1</v>
      </c>
      <c r="M12" s="4">
        <v>1290</v>
      </c>
      <c r="N12" s="4">
        <v>766</v>
      </c>
      <c r="O12" s="4">
        <v>675</v>
      </c>
      <c r="P12" s="6">
        <f t="shared" si="1"/>
        <v>0.11879895561357701</v>
      </c>
      <c r="Q12" s="4" t="s">
        <v>84</v>
      </c>
      <c r="R12" s="4"/>
      <c r="S12" s="4"/>
      <c r="T12" s="4"/>
      <c r="U12" s="4"/>
      <c r="V12" s="4"/>
      <c r="W12" s="4"/>
      <c r="X12" s="4"/>
      <c r="Y12" s="4"/>
      <c r="Z12" s="4">
        <v>1400</v>
      </c>
      <c r="AA12" s="4">
        <f t="shared" si="2"/>
        <v>1400</v>
      </c>
      <c r="AB12" s="4">
        <v>734</v>
      </c>
      <c r="AC12" s="4">
        <f t="shared" si="3"/>
        <v>734</v>
      </c>
      <c r="AD12" s="4"/>
      <c r="AE12" s="20">
        <f t="shared" si="4"/>
        <v>833</v>
      </c>
      <c r="AF12" s="6">
        <f t="shared" si="5"/>
        <v>0.1188475390156063</v>
      </c>
      <c r="AG12" s="32">
        <v>0.75</v>
      </c>
      <c r="AH12" s="4">
        <f t="shared" si="6"/>
        <v>1272</v>
      </c>
      <c r="AI12" s="32">
        <f t="shared" si="15"/>
        <v>1383.1822222222222</v>
      </c>
      <c r="AJ12" s="6">
        <f t="shared" si="16"/>
        <v>0.46933962264150941</v>
      </c>
      <c r="AK12" s="32">
        <f t="shared" si="17"/>
        <v>1223</v>
      </c>
      <c r="AL12" s="7">
        <v>1150</v>
      </c>
      <c r="AM12" s="6">
        <f t="shared" si="7"/>
        <v>0.36173913043478256</v>
      </c>
      <c r="AN12" s="4">
        <f t="shared" si="8"/>
        <v>416</v>
      </c>
      <c r="AO12" s="27"/>
      <c r="AP12" s="6"/>
      <c r="AQ12" s="6"/>
      <c r="AR12" s="6">
        <f t="shared" si="9"/>
        <v>1.0852713178294573</v>
      </c>
      <c r="AS12" s="6">
        <f t="shared" si="10"/>
        <v>1.5013054830287207</v>
      </c>
      <c r="AT12" s="6">
        <f t="shared" si="11"/>
        <v>1.0874074074074074</v>
      </c>
      <c r="AU12" s="4"/>
      <c r="AV12" s="4"/>
      <c r="AW12" s="4"/>
      <c r="AX12" s="4"/>
      <c r="AY12" s="4"/>
      <c r="AZ12" s="4"/>
      <c r="BA12" s="4"/>
      <c r="BB12" s="4"/>
      <c r="BC12" s="4"/>
      <c r="BD12" s="4">
        <v>0</v>
      </c>
      <c r="BE12" s="4" t="s">
        <v>125</v>
      </c>
      <c r="BF12" s="4">
        <v>1</v>
      </c>
      <c r="BG12" s="4">
        <v>2</v>
      </c>
      <c r="BH12" s="4" t="s">
        <v>122</v>
      </c>
      <c r="BI12" s="4">
        <v>2346</v>
      </c>
      <c r="BJ12" s="4">
        <v>2346</v>
      </c>
      <c r="BK12" s="4">
        <v>2544</v>
      </c>
      <c r="BL12" s="4">
        <f t="shared" si="12"/>
        <v>1272</v>
      </c>
      <c r="BM12" s="18">
        <v>4</v>
      </c>
      <c r="BN12" s="18">
        <v>1</v>
      </c>
      <c r="BO12" s="16">
        <v>3</v>
      </c>
      <c r="BP12" t="s">
        <v>84</v>
      </c>
      <c r="BQ12" t="s">
        <v>127</v>
      </c>
      <c r="BR12" t="s">
        <v>127</v>
      </c>
      <c r="BS12">
        <v>1128</v>
      </c>
      <c r="BT12">
        <v>1128</v>
      </c>
      <c r="BU12">
        <v>1224</v>
      </c>
      <c r="BV12">
        <f t="shared" si="13"/>
        <v>1330.9866666666667</v>
      </c>
      <c r="BW12" t="s">
        <v>103</v>
      </c>
    </row>
    <row r="13" spans="1:75" x14ac:dyDescent="0.4">
      <c r="A13" s="3">
        <v>30</v>
      </c>
      <c r="B13" s="3">
        <v>30</v>
      </c>
      <c r="C13" s="32">
        <v>671386</v>
      </c>
      <c r="D13" s="4" t="str">
        <f t="shared" si="0"/>
        <v>671386</v>
      </c>
      <c r="E13" s="4">
        <v>671386</v>
      </c>
      <c r="F13" s="4" t="str">
        <f t="shared" si="14"/>
        <v>6713865</v>
      </c>
      <c r="G13" s="4" t="s">
        <v>75</v>
      </c>
      <c r="H13" s="5">
        <v>4902205347941</v>
      </c>
      <c r="I13" s="5">
        <v>5</v>
      </c>
      <c r="J13" s="5"/>
      <c r="K13" s="5">
        <v>1</v>
      </c>
      <c r="L13" s="5">
        <v>1</v>
      </c>
      <c r="M13" s="4">
        <v>1390</v>
      </c>
      <c r="N13" s="4">
        <v>850</v>
      </c>
      <c r="O13" s="4">
        <v>689</v>
      </c>
      <c r="P13" s="6">
        <f t="shared" si="1"/>
        <v>0.18941176470588239</v>
      </c>
      <c r="Q13" s="4" t="s">
        <v>84</v>
      </c>
      <c r="R13" s="4"/>
      <c r="S13" s="4"/>
      <c r="T13" s="4"/>
      <c r="U13" s="4"/>
      <c r="V13" s="4"/>
      <c r="W13" s="4"/>
      <c r="X13" s="4"/>
      <c r="Y13" s="4"/>
      <c r="Z13" s="4">
        <v>1600</v>
      </c>
      <c r="AA13" s="4">
        <f t="shared" si="2"/>
        <v>1600</v>
      </c>
      <c r="AB13" s="4">
        <v>794</v>
      </c>
      <c r="AC13" s="4">
        <f t="shared" si="3"/>
        <v>794</v>
      </c>
      <c r="AD13" s="4"/>
      <c r="AE13" s="20">
        <f t="shared" si="4"/>
        <v>980</v>
      </c>
      <c r="AF13" s="6">
        <f t="shared" si="5"/>
        <v>0.18979591836734699</v>
      </c>
      <c r="AG13" s="32">
        <v>0.25</v>
      </c>
      <c r="AH13" s="4">
        <f t="shared" si="6"/>
        <v>1390</v>
      </c>
      <c r="AI13" s="32">
        <f t="shared" si="15"/>
        <v>1601.8287373004353</v>
      </c>
      <c r="AJ13" s="6">
        <f t="shared" si="16"/>
        <v>0.50431654676258986</v>
      </c>
      <c r="AK13" s="32">
        <f t="shared" si="17"/>
        <v>1323</v>
      </c>
      <c r="AL13" s="7">
        <v>1250</v>
      </c>
      <c r="AM13" s="6">
        <f t="shared" si="7"/>
        <v>0.36480000000000001</v>
      </c>
      <c r="AN13" s="4">
        <f t="shared" si="8"/>
        <v>456</v>
      </c>
      <c r="AO13" s="27"/>
      <c r="AP13" s="6"/>
      <c r="AQ13" s="6"/>
      <c r="AR13" s="6">
        <f t="shared" si="9"/>
        <v>1.1510791366906474</v>
      </c>
      <c r="AS13" s="6">
        <f t="shared" si="10"/>
        <v>1.4705882352941178</v>
      </c>
      <c r="AT13" s="6">
        <f t="shared" si="11"/>
        <v>1.1523947750362844</v>
      </c>
      <c r="AU13" s="4"/>
      <c r="AV13" s="4"/>
      <c r="AW13" s="4"/>
      <c r="AX13" s="4"/>
      <c r="AY13" s="4"/>
      <c r="AZ13" s="4"/>
      <c r="BA13" s="4"/>
      <c r="BB13" s="4"/>
      <c r="BC13" s="4"/>
      <c r="BD13" s="4">
        <v>0</v>
      </c>
      <c r="BE13" s="4" t="s">
        <v>119</v>
      </c>
      <c r="BF13" s="4"/>
      <c r="BG13" s="4"/>
      <c r="BH13" s="4" t="s">
        <v>106</v>
      </c>
      <c r="BI13" s="4">
        <v>1390</v>
      </c>
      <c r="BJ13" s="4">
        <v>1390</v>
      </c>
      <c r="BK13" s="4">
        <v>1390</v>
      </c>
      <c r="BL13" s="4">
        <f t="shared" si="12"/>
        <v>1390</v>
      </c>
      <c r="BM13" s="18">
        <v>4</v>
      </c>
      <c r="BN13" s="18">
        <v>1</v>
      </c>
      <c r="BO13" s="16">
        <v>3</v>
      </c>
      <c r="BP13" t="s">
        <v>84</v>
      </c>
      <c r="BQ13" t="s">
        <v>127</v>
      </c>
      <c r="BR13" t="s">
        <v>127</v>
      </c>
      <c r="BS13">
        <v>3000</v>
      </c>
      <c r="BT13">
        <v>3000</v>
      </c>
      <c r="BU13">
        <v>3000</v>
      </c>
      <c r="BV13">
        <f t="shared" si="13"/>
        <v>3457.184325108853</v>
      </c>
      <c r="BW13" t="s">
        <v>98</v>
      </c>
    </row>
    <row r="14" spans="1:75" x14ac:dyDescent="0.4">
      <c r="A14" s="3">
        <v>31</v>
      </c>
      <c r="B14" s="3">
        <v>31</v>
      </c>
      <c r="C14" s="32">
        <v>671387</v>
      </c>
      <c r="D14" s="4" t="str">
        <f t="shared" si="0"/>
        <v>671387</v>
      </c>
      <c r="E14" s="4">
        <v>671387</v>
      </c>
      <c r="F14" s="4" t="str">
        <f t="shared" si="14"/>
        <v>6713875</v>
      </c>
      <c r="G14" s="4" t="s">
        <v>76</v>
      </c>
      <c r="H14" s="5">
        <v>4902205347958</v>
      </c>
      <c r="I14" s="5">
        <v>5</v>
      </c>
      <c r="J14" s="5"/>
      <c r="K14" s="5">
        <v>1</v>
      </c>
      <c r="L14" s="5">
        <v>1</v>
      </c>
      <c r="M14" s="4">
        <v>1390</v>
      </c>
      <c r="N14" s="4">
        <v>1049</v>
      </c>
      <c r="O14" s="4">
        <v>689</v>
      </c>
      <c r="P14" s="6">
        <f t="shared" si="1"/>
        <v>0.34318398474737843</v>
      </c>
      <c r="Q14" s="4" t="s">
        <v>84</v>
      </c>
      <c r="R14" s="4"/>
      <c r="S14" s="4"/>
      <c r="T14" s="4"/>
      <c r="U14" s="4"/>
      <c r="V14" s="4"/>
      <c r="W14" s="4"/>
      <c r="X14" s="4"/>
      <c r="Y14" s="4"/>
      <c r="Z14" s="4">
        <v>1600</v>
      </c>
      <c r="AA14" s="4">
        <f t="shared" si="2"/>
        <v>1600</v>
      </c>
      <c r="AB14" s="4">
        <v>794</v>
      </c>
      <c r="AC14" s="4">
        <f t="shared" si="3"/>
        <v>794</v>
      </c>
      <c r="AD14" s="4"/>
      <c r="AE14" s="20">
        <f t="shared" si="4"/>
        <v>1209</v>
      </c>
      <c r="AF14" s="6">
        <f t="shared" si="5"/>
        <v>0.34325889164598844</v>
      </c>
      <c r="AG14" s="32">
        <v>0.5</v>
      </c>
      <c r="AH14" s="4">
        <f t="shared" si="6"/>
        <v>1265</v>
      </c>
      <c r="AI14" s="32">
        <f t="shared" si="15"/>
        <v>1457.7793904208997</v>
      </c>
      <c r="AJ14" s="6">
        <f t="shared" si="16"/>
        <v>0.45533596837944657</v>
      </c>
      <c r="AK14" s="32">
        <f t="shared" si="17"/>
        <v>1323</v>
      </c>
      <c r="AL14" s="7">
        <v>1250</v>
      </c>
      <c r="AM14" s="6">
        <f t="shared" si="7"/>
        <v>0.36480000000000001</v>
      </c>
      <c r="AN14" s="4">
        <f t="shared" si="8"/>
        <v>456</v>
      </c>
      <c r="AO14" s="27"/>
      <c r="AP14" s="6"/>
      <c r="AQ14" s="6"/>
      <c r="AR14" s="6">
        <f t="shared" si="9"/>
        <v>1.1510791366906474</v>
      </c>
      <c r="AS14" s="6">
        <f t="shared" si="10"/>
        <v>1.1916110581506196</v>
      </c>
      <c r="AT14" s="6">
        <f t="shared" si="11"/>
        <v>1.1523947750362844</v>
      </c>
      <c r="AU14" s="4"/>
      <c r="AV14" s="4"/>
      <c r="AW14" s="4"/>
      <c r="AX14" s="4"/>
      <c r="AY14" s="4"/>
      <c r="AZ14" s="4"/>
      <c r="BA14" s="4"/>
      <c r="BB14" s="4"/>
      <c r="BC14" s="4"/>
      <c r="BD14" s="4">
        <v>0</v>
      </c>
      <c r="BE14" s="4" t="s">
        <v>120</v>
      </c>
      <c r="BF14" s="4"/>
      <c r="BG14" s="4"/>
      <c r="BH14" s="4" t="s">
        <v>106</v>
      </c>
      <c r="BI14" s="4">
        <v>1265</v>
      </c>
      <c r="BJ14" s="4">
        <v>1265</v>
      </c>
      <c r="BK14" s="4">
        <v>1265</v>
      </c>
      <c r="BL14" s="4">
        <f t="shared" si="12"/>
        <v>1265</v>
      </c>
      <c r="BM14" s="18">
        <v>4</v>
      </c>
      <c r="BN14" s="18">
        <v>1</v>
      </c>
      <c r="BO14" s="16">
        <v>3</v>
      </c>
      <c r="BP14" t="s">
        <v>84</v>
      </c>
      <c r="BQ14" t="s">
        <v>127</v>
      </c>
      <c r="BR14" t="s">
        <v>127</v>
      </c>
      <c r="BS14">
        <v>3000</v>
      </c>
      <c r="BT14">
        <v>3000</v>
      </c>
      <c r="BU14">
        <v>3000</v>
      </c>
      <c r="BV14">
        <f t="shared" si="13"/>
        <v>3457.184325108853</v>
      </c>
      <c r="BW14" t="s">
        <v>99</v>
      </c>
    </row>
    <row r="15" spans="1:75" x14ac:dyDescent="0.4">
      <c r="A15" s="3">
        <v>37</v>
      </c>
      <c r="B15" s="3">
        <v>37</v>
      </c>
      <c r="C15" s="4" t="s">
        <v>62</v>
      </c>
      <c r="D15" s="4" t="str">
        <f t="shared" si="0"/>
        <v>J578PZ</v>
      </c>
      <c r="E15" s="4" t="s">
        <v>62</v>
      </c>
      <c r="F15" s="4" t="str">
        <f t="shared" si="14"/>
        <v>J578PZ5</v>
      </c>
      <c r="G15" s="4" t="s">
        <v>82</v>
      </c>
      <c r="H15" s="5">
        <v>4902205307754</v>
      </c>
      <c r="I15" s="5">
        <v>5</v>
      </c>
      <c r="J15" s="5"/>
      <c r="K15" s="5">
        <v>1</v>
      </c>
      <c r="L15" s="5">
        <v>1</v>
      </c>
      <c r="M15" s="4">
        <v>1390</v>
      </c>
      <c r="N15" s="4">
        <v>1060</v>
      </c>
      <c r="O15" s="4">
        <v>689</v>
      </c>
      <c r="P15" s="6">
        <f t="shared" si="1"/>
        <v>0.35</v>
      </c>
      <c r="Q15" s="4" t="s">
        <v>84</v>
      </c>
      <c r="R15" s="4"/>
      <c r="S15" s="4"/>
      <c r="T15" s="4"/>
      <c r="U15" s="4"/>
      <c r="V15" s="4"/>
      <c r="W15" s="4"/>
      <c r="X15" s="4"/>
      <c r="Y15" s="4"/>
      <c r="Z15" s="4">
        <v>1600</v>
      </c>
      <c r="AA15" s="4">
        <f t="shared" si="2"/>
        <v>1600</v>
      </c>
      <c r="AB15" s="4">
        <v>794</v>
      </c>
      <c r="AC15" s="4">
        <f t="shared" si="3"/>
        <v>794</v>
      </c>
      <c r="AD15" s="4"/>
      <c r="AE15" s="20">
        <f t="shared" si="4"/>
        <v>1222</v>
      </c>
      <c r="AF15" s="6">
        <f t="shared" si="5"/>
        <v>0.35024549918166936</v>
      </c>
      <c r="AG15" s="32">
        <v>0</v>
      </c>
      <c r="AH15" s="4">
        <f t="shared" si="6"/>
        <v>699</v>
      </c>
      <c r="AI15" s="32">
        <f t="shared" si="15"/>
        <v>805.52394775036282</v>
      </c>
      <c r="AJ15" s="6">
        <f t="shared" si="16"/>
        <v>1.4306151645207432E-2</v>
      </c>
      <c r="AK15" s="32">
        <f t="shared" si="17"/>
        <v>1323</v>
      </c>
      <c r="AL15" s="7">
        <v>1250</v>
      </c>
      <c r="AM15" s="6">
        <f t="shared" si="7"/>
        <v>0.36480000000000001</v>
      </c>
      <c r="AN15" s="4">
        <f t="shared" si="8"/>
        <v>456</v>
      </c>
      <c r="AO15" s="27"/>
      <c r="AP15" s="6"/>
      <c r="AQ15" s="6"/>
      <c r="AR15" s="6">
        <f t="shared" si="9"/>
        <v>1.1510791366906474</v>
      </c>
      <c r="AS15" s="6">
        <f t="shared" si="10"/>
        <v>1.179245283018868</v>
      </c>
      <c r="AT15" s="6">
        <f t="shared" si="11"/>
        <v>1.1523947750362844</v>
      </c>
      <c r="AU15" s="4"/>
      <c r="AV15" s="4"/>
      <c r="AW15" s="4"/>
      <c r="AX15" s="4"/>
      <c r="AY15" s="4"/>
      <c r="AZ15" s="4"/>
      <c r="BA15" s="4"/>
      <c r="BB15" s="4"/>
      <c r="BC15" s="4"/>
      <c r="BD15" s="4">
        <v>0</v>
      </c>
      <c r="BE15" s="4" t="s">
        <v>126</v>
      </c>
      <c r="BF15" s="4"/>
      <c r="BG15" s="4"/>
      <c r="BH15" s="4" t="s">
        <v>106</v>
      </c>
      <c r="BI15" s="4">
        <v>699</v>
      </c>
      <c r="BJ15" s="4">
        <v>699</v>
      </c>
      <c r="BK15" s="4">
        <v>699</v>
      </c>
      <c r="BL15" s="4">
        <f t="shared" si="12"/>
        <v>699</v>
      </c>
      <c r="BM15" s="18">
        <v>4</v>
      </c>
      <c r="BN15" s="18">
        <v>8</v>
      </c>
      <c r="BO15" s="16">
        <v>3</v>
      </c>
      <c r="BP15" t="s">
        <v>84</v>
      </c>
      <c r="BQ15" t="s">
        <v>127</v>
      </c>
      <c r="BR15" t="s">
        <v>127</v>
      </c>
      <c r="BS15">
        <v>3000</v>
      </c>
      <c r="BT15">
        <v>3000</v>
      </c>
      <c r="BU15">
        <v>3000</v>
      </c>
      <c r="BV15">
        <f t="shared" si="13"/>
        <v>3457.184325108853</v>
      </c>
      <c r="BW15" t="s">
        <v>104</v>
      </c>
    </row>
    <row r="16" spans="1:75" x14ac:dyDescent="0.4">
      <c r="A16" s="3">
        <v>18</v>
      </c>
      <c r="B16" s="3">
        <v>18</v>
      </c>
      <c r="C16" s="38">
        <v>184167</v>
      </c>
      <c r="D16" s="4" t="str">
        <f t="shared" si="0"/>
        <v>184167</v>
      </c>
      <c r="E16" s="4">
        <v>184167</v>
      </c>
      <c r="F16" s="4" t="str">
        <f t="shared" si="14"/>
        <v>1841675</v>
      </c>
      <c r="G16" s="4" t="s">
        <v>68</v>
      </c>
      <c r="H16" s="5">
        <v>4902205374770</v>
      </c>
      <c r="I16" s="5">
        <v>5</v>
      </c>
      <c r="J16" s="5"/>
      <c r="K16" s="5">
        <v>2</v>
      </c>
      <c r="L16" s="5">
        <v>2</v>
      </c>
      <c r="M16" s="4">
        <v>1770</v>
      </c>
      <c r="N16" s="4">
        <v>1210</v>
      </c>
      <c r="O16" s="4">
        <v>878</v>
      </c>
      <c r="P16" s="6">
        <f t="shared" si="1"/>
        <v>0.27438016528925624</v>
      </c>
      <c r="Q16" s="4" t="s">
        <v>84</v>
      </c>
      <c r="R16" s="4"/>
      <c r="S16" s="4"/>
      <c r="T16" s="4"/>
      <c r="U16" s="4"/>
      <c r="V16" s="4"/>
      <c r="W16" s="4"/>
      <c r="X16" s="4"/>
      <c r="Y16" s="4"/>
      <c r="Z16" s="4">
        <v>2000</v>
      </c>
      <c r="AA16" s="4">
        <f t="shared" si="2"/>
        <v>2000</v>
      </c>
      <c r="AB16" s="4">
        <v>993</v>
      </c>
      <c r="AC16" s="4">
        <f t="shared" si="3"/>
        <v>993</v>
      </c>
      <c r="AD16" s="4"/>
      <c r="AE16" s="20">
        <f t="shared" si="4"/>
        <v>1368</v>
      </c>
      <c r="AF16" s="6">
        <f t="shared" si="5"/>
        <v>0.27412280701754388</v>
      </c>
      <c r="AG16" s="32">
        <v>12.5</v>
      </c>
      <c r="AH16" s="4" t="str">
        <f t="shared" si="6"/>
        <v>-</v>
      </c>
      <c r="AI16" s="32" t="str">
        <f t="shared" si="15"/>
        <v>-</v>
      </c>
      <c r="AJ16" s="6" t="str">
        <f t="shared" si="16"/>
        <v>-</v>
      </c>
      <c r="AK16" s="32">
        <f t="shared" si="17"/>
        <v>1655</v>
      </c>
      <c r="AL16" s="7">
        <v>1500</v>
      </c>
      <c r="AM16" s="6">
        <f t="shared" si="7"/>
        <v>0.33799999999999997</v>
      </c>
      <c r="AN16" s="4">
        <f t="shared" si="8"/>
        <v>507</v>
      </c>
      <c r="AO16" s="27"/>
      <c r="AP16" s="6"/>
      <c r="AQ16" s="6"/>
      <c r="AR16" s="6">
        <f t="shared" si="9"/>
        <v>1.1299435028248588</v>
      </c>
      <c r="AS16" s="6">
        <f t="shared" si="10"/>
        <v>1.2396694214876034</v>
      </c>
      <c r="AT16" s="6">
        <f t="shared" si="11"/>
        <v>1.1309794988610478</v>
      </c>
      <c r="AU16" s="4"/>
      <c r="AV16" s="4"/>
      <c r="AW16" s="4"/>
      <c r="AX16" s="4"/>
      <c r="AY16" s="4"/>
      <c r="AZ16" s="4"/>
      <c r="BA16" s="4"/>
      <c r="BB16" s="4"/>
      <c r="BC16" s="4"/>
      <c r="BD16" s="4">
        <v>0</v>
      </c>
      <c r="BE16" s="4" t="s">
        <v>127</v>
      </c>
      <c r="BF16" s="4"/>
      <c r="BG16" s="4"/>
      <c r="BH16" s="4" t="s">
        <v>127</v>
      </c>
      <c r="BI16" s="4" t="s">
        <v>127</v>
      </c>
      <c r="BJ16" s="4" t="s">
        <v>127</v>
      </c>
      <c r="BK16" s="4" t="s">
        <v>127</v>
      </c>
      <c r="BL16" s="4" t="str">
        <f t="shared" si="12"/>
        <v>-</v>
      </c>
      <c r="BM16" s="18">
        <v>4</v>
      </c>
      <c r="BN16" s="18">
        <v>1</v>
      </c>
      <c r="BO16" s="16">
        <v>3</v>
      </c>
      <c r="BP16" t="s">
        <v>84</v>
      </c>
      <c r="BQ16" t="s">
        <v>127</v>
      </c>
      <c r="BR16" t="s">
        <v>127</v>
      </c>
      <c r="BS16">
        <v>3540</v>
      </c>
      <c r="BT16">
        <v>3540</v>
      </c>
      <c r="BU16">
        <v>3540</v>
      </c>
      <c r="BV16">
        <f t="shared" si="13"/>
        <v>4003.667425968109</v>
      </c>
      <c r="BW16" t="s">
        <v>127</v>
      </c>
    </row>
    <row r="17" spans="1:75" x14ac:dyDescent="0.4">
      <c r="A17" s="3">
        <v>38</v>
      </c>
      <c r="B17" s="3">
        <v>18</v>
      </c>
      <c r="C17" s="38">
        <v>184167</v>
      </c>
      <c r="D17" s="4" t="str">
        <f t="shared" si="0"/>
        <v>184167</v>
      </c>
      <c r="E17" s="4">
        <v>184195</v>
      </c>
      <c r="F17" s="4" t="str">
        <f t="shared" si="14"/>
        <v>1841678</v>
      </c>
      <c r="G17" s="4" t="s">
        <v>83</v>
      </c>
      <c r="H17" s="5">
        <v>4902205374770</v>
      </c>
      <c r="I17" s="5">
        <v>8</v>
      </c>
      <c r="J17" s="5"/>
      <c r="K17" s="5"/>
      <c r="L17" s="5"/>
      <c r="M17" s="4">
        <v>17700</v>
      </c>
      <c r="N17" s="4">
        <v>11400</v>
      </c>
      <c r="O17" s="4">
        <v>8780</v>
      </c>
      <c r="P17" s="6">
        <f t="shared" si="1"/>
        <v>0.22982456140350882</v>
      </c>
      <c r="Q17" s="4" t="s">
        <v>84</v>
      </c>
      <c r="R17" s="4"/>
      <c r="S17" s="4"/>
      <c r="T17" s="4"/>
      <c r="U17" s="4"/>
      <c r="V17" s="4"/>
      <c r="W17" s="4"/>
      <c r="X17" s="4"/>
      <c r="Y17" s="4"/>
      <c r="Z17" s="4">
        <v>2000</v>
      </c>
      <c r="AA17" s="4">
        <f t="shared" si="2"/>
        <v>20000</v>
      </c>
      <c r="AB17" s="4">
        <v>993</v>
      </c>
      <c r="AC17" s="4">
        <f t="shared" si="3"/>
        <v>9930</v>
      </c>
      <c r="AD17" s="4">
        <v>10</v>
      </c>
      <c r="AE17" s="20">
        <f t="shared" si="4"/>
        <v>12893</v>
      </c>
      <c r="AF17" s="6">
        <f t="shared" si="5"/>
        <v>0.22981462809276354</v>
      </c>
      <c r="AG17" s="32">
        <v>12.5</v>
      </c>
      <c r="AH17" s="4" t="str">
        <f t="shared" si="6"/>
        <v>-</v>
      </c>
      <c r="AI17" s="32" t="str">
        <f t="shared" si="15"/>
        <v>-</v>
      </c>
      <c r="AJ17" s="6" t="str">
        <f t="shared" si="16"/>
        <v>-</v>
      </c>
      <c r="AK17" s="32">
        <f t="shared" si="17"/>
        <v>16550</v>
      </c>
      <c r="AL17" s="7">
        <v>14200</v>
      </c>
      <c r="AM17" s="6">
        <f t="shared" si="7"/>
        <v>0.30070422535211272</v>
      </c>
      <c r="AN17" s="4">
        <f t="shared" si="8"/>
        <v>4270</v>
      </c>
      <c r="AO17" s="27"/>
      <c r="AP17" s="6"/>
      <c r="AQ17" s="6"/>
      <c r="AR17" s="6">
        <f t="shared" si="9"/>
        <v>1.1299435028248588</v>
      </c>
      <c r="AS17" s="6">
        <f t="shared" si="10"/>
        <v>1.2456140350877194</v>
      </c>
      <c r="AT17" s="6">
        <f t="shared" si="11"/>
        <v>1.1309794988610478</v>
      </c>
      <c r="AU17" s="4"/>
      <c r="AV17" s="4"/>
      <c r="AW17" s="4"/>
      <c r="AX17" s="4"/>
      <c r="AY17" s="4"/>
      <c r="AZ17" s="4"/>
      <c r="BA17" s="4"/>
      <c r="BB17" s="4"/>
      <c r="BC17" s="4"/>
      <c r="BD17" s="4">
        <v>0</v>
      </c>
      <c r="BE17" s="4" t="s">
        <v>127</v>
      </c>
      <c r="BF17" s="4"/>
      <c r="BG17" s="4"/>
      <c r="BH17" s="4" t="s">
        <v>127</v>
      </c>
      <c r="BI17" s="4" t="s">
        <v>127</v>
      </c>
      <c r="BJ17" s="4" t="s">
        <v>127</v>
      </c>
      <c r="BK17" s="4" t="s">
        <v>127</v>
      </c>
      <c r="BL17" s="4" t="str">
        <f t="shared" si="12"/>
        <v>-</v>
      </c>
      <c r="BM17" s="18">
        <v>4</v>
      </c>
      <c r="BN17" s="18">
        <v>1</v>
      </c>
      <c r="BO17" s="16">
        <v>3</v>
      </c>
      <c r="BP17" t="s">
        <v>84</v>
      </c>
      <c r="BQ17" t="s">
        <v>127</v>
      </c>
      <c r="BR17" t="s">
        <v>127</v>
      </c>
      <c r="BS17">
        <v>3540</v>
      </c>
      <c r="BT17">
        <v>3540</v>
      </c>
      <c r="BU17">
        <v>3540</v>
      </c>
      <c r="BV17">
        <f t="shared" si="13"/>
        <v>4003.667425968109</v>
      </c>
      <c r="BW17" t="s">
        <v>127</v>
      </c>
    </row>
    <row r="18" spans="1:75" x14ac:dyDescent="0.4">
      <c r="A18" s="3">
        <v>29</v>
      </c>
      <c r="B18" s="3">
        <v>29</v>
      </c>
      <c r="C18" s="32">
        <v>671383</v>
      </c>
      <c r="D18" s="4" t="str">
        <f t="shared" si="0"/>
        <v>671383</v>
      </c>
      <c r="E18" s="4">
        <v>671383</v>
      </c>
      <c r="F18" s="4" t="str">
        <f t="shared" si="14"/>
        <v>6713835</v>
      </c>
      <c r="G18" s="4" t="s">
        <v>74</v>
      </c>
      <c r="H18" s="5">
        <v>4902205313557</v>
      </c>
      <c r="I18" s="5">
        <v>5</v>
      </c>
      <c r="J18" s="5"/>
      <c r="K18" s="5">
        <v>1</v>
      </c>
      <c r="L18" s="5">
        <v>1</v>
      </c>
      <c r="M18" s="4">
        <v>1750</v>
      </c>
      <c r="N18" s="4">
        <v>1192</v>
      </c>
      <c r="O18" s="4">
        <v>925</v>
      </c>
      <c r="P18" s="6">
        <f t="shared" si="1"/>
        <v>0.22399328859060408</v>
      </c>
      <c r="Q18" s="4" t="s">
        <v>84</v>
      </c>
      <c r="R18" s="4"/>
      <c r="S18" s="4"/>
      <c r="T18" s="4"/>
      <c r="U18" s="4"/>
      <c r="V18" s="4"/>
      <c r="W18" s="4"/>
      <c r="X18" s="4"/>
      <c r="Y18" s="4"/>
      <c r="Z18" s="4">
        <v>2000</v>
      </c>
      <c r="AA18" s="4">
        <f t="shared" si="2"/>
        <v>2000</v>
      </c>
      <c r="AB18" s="4">
        <v>1054</v>
      </c>
      <c r="AC18" s="4">
        <f t="shared" si="3"/>
        <v>1054</v>
      </c>
      <c r="AD18" s="4"/>
      <c r="AE18" s="20">
        <f t="shared" si="4"/>
        <v>1358</v>
      </c>
      <c r="AF18" s="6">
        <f t="shared" si="5"/>
        <v>0.22385861561119291</v>
      </c>
      <c r="AG18" s="32">
        <v>0</v>
      </c>
      <c r="AH18" s="4">
        <f t="shared" si="6"/>
        <v>2001</v>
      </c>
      <c r="AI18" s="32">
        <f t="shared" si="15"/>
        <v>2280.0583783783782</v>
      </c>
      <c r="AJ18" s="6">
        <f t="shared" si="16"/>
        <v>0.53773113443278353</v>
      </c>
      <c r="AK18" s="32">
        <f t="shared" si="17"/>
        <v>1757</v>
      </c>
      <c r="AL18" s="7">
        <v>1420</v>
      </c>
      <c r="AM18" s="6">
        <f t="shared" si="7"/>
        <v>0.25774647887323943</v>
      </c>
      <c r="AN18" s="4">
        <f t="shared" si="8"/>
        <v>366</v>
      </c>
      <c r="AO18" s="27"/>
      <c r="AP18" s="6"/>
      <c r="AQ18" s="6"/>
      <c r="AR18" s="6">
        <f t="shared" si="9"/>
        <v>1.1428571428571428</v>
      </c>
      <c r="AS18" s="6">
        <f t="shared" si="10"/>
        <v>1.1912751677852349</v>
      </c>
      <c r="AT18" s="6">
        <f t="shared" si="11"/>
        <v>1.1394594594594594</v>
      </c>
      <c r="AU18" s="4"/>
      <c r="AV18" s="4"/>
      <c r="AW18" s="4"/>
      <c r="AX18" s="4"/>
      <c r="AY18" s="4"/>
      <c r="AZ18" s="4"/>
      <c r="BA18" s="4"/>
      <c r="BB18" s="4"/>
      <c r="BC18" s="4"/>
      <c r="BD18" s="4">
        <v>0</v>
      </c>
      <c r="BE18" s="4" t="s">
        <v>118</v>
      </c>
      <c r="BF18" s="4"/>
      <c r="BG18" s="4"/>
      <c r="BH18" s="4" t="s">
        <v>106</v>
      </c>
      <c r="BI18" s="4">
        <v>1750</v>
      </c>
      <c r="BJ18" s="4">
        <v>1750</v>
      </c>
      <c r="BK18" s="4">
        <v>2001</v>
      </c>
      <c r="BL18" s="4">
        <f t="shared" si="12"/>
        <v>2001</v>
      </c>
      <c r="BM18" s="18">
        <v>4</v>
      </c>
      <c r="BN18" s="18">
        <v>8</v>
      </c>
      <c r="BO18" s="16">
        <v>3</v>
      </c>
      <c r="BP18" t="s">
        <v>84</v>
      </c>
      <c r="BQ18" t="s">
        <v>127</v>
      </c>
      <c r="BR18" t="s">
        <v>127</v>
      </c>
      <c r="BS18" t="s">
        <v>127</v>
      </c>
      <c r="BT18" t="s">
        <v>127</v>
      </c>
      <c r="BU18">
        <v>1420</v>
      </c>
      <c r="BV18">
        <f t="shared" si="13"/>
        <v>1618.0324324324324</v>
      </c>
      <c r="BW18" t="s">
        <v>97</v>
      </c>
    </row>
    <row r="19" spans="1:75" x14ac:dyDescent="0.4">
      <c r="A19" s="3">
        <v>19</v>
      </c>
      <c r="B19" s="3">
        <v>19</v>
      </c>
      <c r="C19" s="32">
        <v>197085</v>
      </c>
      <c r="D19" s="4" t="str">
        <f t="shared" si="0"/>
        <v>197085</v>
      </c>
      <c r="E19" s="4">
        <v>197085</v>
      </c>
      <c r="F19" s="4" t="str">
        <f t="shared" si="14"/>
        <v>1970855</v>
      </c>
      <c r="G19" s="4" t="s">
        <v>69</v>
      </c>
      <c r="H19" s="5">
        <v>4902205237112</v>
      </c>
      <c r="I19" s="5">
        <v>5</v>
      </c>
      <c r="J19" s="5"/>
      <c r="K19" s="5">
        <v>1</v>
      </c>
      <c r="L19" s="5">
        <v>1</v>
      </c>
      <c r="M19" s="4">
        <v>0</v>
      </c>
      <c r="N19" s="4">
        <v>1490</v>
      </c>
      <c r="O19" s="4">
        <v>1133</v>
      </c>
      <c r="P19" s="6">
        <f t="shared" si="1"/>
        <v>0.23959731543624163</v>
      </c>
      <c r="Q19" s="4" t="s">
        <v>84</v>
      </c>
      <c r="R19" s="4"/>
      <c r="S19" s="4"/>
      <c r="T19" s="4"/>
      <c r="U19" s="4"/>
      <c r="V19" s="4"/>
      <c r="W19" s="4"/>
      <c r="X19" s="4"/>
      <c r="Y19" s="4"/>
      <c r="Z19" s="4">
        <v>0</v>
      </c>
      <c r="AA19" s="4">
        <f t="shared" si="2"/>
        <v>0</v>
      </c>
      <c r="AB19" s="4">
        <v>1258</v>
      </c>
      <c r="AC19" s="4">
        <f t="shared" si="3"/>
        <v>1258</v>
      </c>
      <c r="AD19" s="4"/>
      <c r="AE19" s="20">
        <f t="shared" si="4"/>
        <v>1654</v>
      </c>
      <c r="AF19" s="6">
        <f t="shared" si="5"/>
        <v>0.23941958887545345</v>
      </c>
      <c r="AG19" s="32">
        <v>0</v>
      </c>
      <c r="AH19" s="4">
        <f t="shared" si="6"/>
        <v>2415</v>
      </c>
      <c r="AI19" s="32">
        <f t="shared" si="15"/>
        <v>2681.4386584289496</v>
      </c>
      <c r="AJ19" s="6">
        <f t="shared" si="16"/>
        <v>0.53084886128364395</v>
      </c>
      <c r="AK19" s="32">
        <f t="shared" si="17"/>
        <v>2097</v>
      </c>
      <c r="AL19" s="7">
        <v>1700</v>
      </c>
      <c r="AM19" s="6">
        <f t="shared" si="7"/>
        <v>0.26</v>
      </c>
      <c r="AN19" s="4">
        <f t="shared" si="8"/>
        <v>442</v>
      </c>
      <c r="AO19" s="27"/>
      <c r="AP19" s="6"/>
      <c r="AQ19" s="6"/>
      <c r="AR19" s="6" t="e">
        <f t="shared" si="9"/>
        <v>#DIV/0!</v>
      </c>
      <c r="AS19" s="6">
        <f t="shared" si="10"/>
        <v>1.1409395973154361</v>
      </c>
      <c r="AT19" s="6">
        <f t="shared" si="11"/>
        <v>1.1103265666372462</v>
      </c>
      <c r="AU19" s="4"/>
      <c r="AV19" s="4"/>
      <c r="AW19" s="4"/>
      <c r="AX19" s="4"/>
      <c r="AY19" s="4"/>
      <c r="AZ19" s="4"/>
      <c r="BA19" s="4"/>
      <c r="BB19" s="4"/>
      <c r="BC19" s="4"/>
      <c r="BD19" s="4">
        <v>0</v>
      </c>
      <c r="BE19" s="4" t="s">
        <v>113</v>
      </c>
      <c r="BF19" s="4"/>
      <c r="BG19" s="4"/>
      <c r="BH19" s="4" t="s">
        <v>106</v>
      </c>
      <c r="BI19" s="4">
        <v>2150</v>
      </c>
      <c r="BJ19" s="4">
        <v>2150</v>
      </c>
      <c r="BK19" s="4">
        <v>2415</v>
      </c>
      <c r="BL19" s="4">
        <f t="shared" si="12"/>
        <v>2415</v>
      </c>
      <c r="BM19" s="18">
        <v>4</v>
      </c>
      <c r="BN19" s="18">
        <v>8</v>
      </c>
      <c r="BO19" s="16">
        <v>3</v>
      </c>
      <c r="BP19" t="s">
        <v>84</v>
      </c>
      <c r="BQ19" t="s">
        <v>127</v>
      </c>
      <c r="BR19" t="s">
        <v>127</v>
      </c>
      <c r="BS19" t="s">
        <v>127</v>
      </c>
      <c r="BT19" t="s">
        <v>127</v>
      </c>
      <c r="BU19">
        <v>1700</v>
      </c>
      <c r="BV19">
        <f t="shared" si="13"/>
        <v>1887.5551632833185</v>
      </c>
      <c r="BW19" t="s">
        <v>92</v>
      </c>
    </row>
    <row r="20" spans="1:75" x14ac:dyDescent="0.4">
      <c r="A20" s="3">
        <v>20</v>
      </c>
      <c r="B20" s="3">
        <v>20</v>
      </c>
      <c r="C20" s="32">
        <v>197086</v>
      </c>
      <c r="D20" s="4" t="str">
        <f t="shared" si="0"/>
        <v>197086</v>
      </c>
      <c r="E20" s="4">
        <v>197086</v>
      </c>
      <c r="F20" s="4" t="str">
        <f t="shared" si="14"/>
        <v>1970865</v>
      </c>
      <c r="G20" s="4" t="s">
        <v>70</v>
      </c>
      <c r="H20" s="5">
        <v>4902205237129</v>
      </c>
      <c r="I20" s="5">
        <v>5</v>
      </c>
      <c r="J20" s="5"/>
      <c r="K20" s="5">
        <v>1</v>
      </c>
      <c r="L20" s="5">
        <v>1</v>
      </c>
      <c r="M20" s="4">
        <v>0</v>
      </c>
      <c r="N20" s="4">
        <v>1490</v>
      </c>
      <c r="O20" s="4">
        <v>1133</v>
      </c>
      <c r="P20" s="6">
        <f t="shared" si="1"/>
        <v>0.23959731543624163</v>
      </c>
      <c r="Q20" s="4" t="s">
        <v>84</v>
      </c>
      <c r="R20" s="4"/>
      <c r="S20" s="4"/>
      <c r="T20" s="4"/>
      <c r="U20" s="4"/>
      <c r="V20" s="4"/>
      <c r="W20" s="4"/>
      <c r="X20" s="4"/>
      <c r="Y20" s="4"/>
      <c r="Z20" s="4">
        <v>0</v>
      </c>
      <c r="AA20" s="4">
        <f t="shared" si="2"/>
        <v>0</v>
      </c>
      <c r="AB20" s="4">
        <v>1258</v>
      </c>
      <c r="AC20" s="4">
        <f t="shared" si="3"/>
        <v>1258</v>
      </c>
      <c r="AD20" s="4"/>
      <c r="AE20" s="20">
        <f t="shared" si="4"/>
        <v>1654</v>
      </c>
      <c r="AF20" s="6">
        <f t="shared" si="5"/>
        <v>0.23941958887545345</v>
      </c>
      <c r="AG20" s="32">
        <v>4</v>
      </c>
      <c r="AH20" s="4">
        <f t="shared" si="6"/>
        <v>2415</v>
      </c>
      <c r="AI20" s="32">
        <f t="shared" si="15"/>
        <v>2681.4386584289496</v>
      </c>
      <c r="AJ20" s="6">
        <f t="shared" si="16"/>
        <v>0.53084886128364395</v>
      </c>
      <c r="AK20" s="32">
        <f t="shared" si="17"/>
        <v>2097</v>
      </c>
      <c r="AL20" s="7">
        <v>1700</v>
      </c>
      <c r="AM20" s="6">
        <f t="shared" si="7"/>
        <v>0.26</v>
      </c>
      <c r="AN20" s="4">
        <f t="shared" si="8"/>
        <v>442</v>
      </c>
      <c r="AO20" s="27"/>
      <c r="AP20" s="6"/>
      <c r="AQ20" s="6"/>
      <c r="AR20" s="6" t="e">
        <f t="shared" si="9"/>
        <v>#DIV/0!</v>
      </c>
      <c r="AS20" s="6">
        <f t="shared" si="10"/>
        <v>1.1409395973154361</v>
      </c>
      <c r="AT20" s="6">
        <f t="shared" si="11"/>
        <v>1.1103265666372462</v>
      </c>
      <c r="AU20" s="4"/>
      <c r="AV20" s="4"/>
      <c r="AW20" s="4"/>
      <c r="AX20" s="4"/>
      <c r="AY20" s="4"/>
      <c r="AZ20" s="4"/>
      <c r="BA20" s="4"/>
      <c r="BB20" s="4"/>
      <c r="BC20" s="4"/>
      <c r="BD20" s="4">
        <v>0</v>
      </c>
      <c r="BE20" s="4" t="s">
        <v>114</v>
      </c>
      <c r="BF20" s="4"/>
      <c r="BG20" s="4"/>
      <c r="BH20" s="4" t="s">
        <v>106</v>
      </c>
      <c r="BI20" s="4">
        <v>2150</v>
      </c>
      <c r="BJ20" s="4">
        <v>2150</v>
      </c>
      <c r="BK20" s="4">
        <v>2415</v>
      </c>
      <c r="BL20" s="4">
        <f t="shared" si="12"/>
        <v>2415</v>
      </c>
      <c r="BM20" s="18">
        <v>4</v>
      </c>
      <c r="BN20" s="18">
        <v>8</v>
      </c>
      <c r="BO20" s="16">
        <v>3</v>
      </c>
      <c r="BP20" t="s">
        <v>84</v>
      </c>
      <c r="BQ20" t="s">
        <v>127</v>
      </c>
      <c r="BR20" t="s">
        <v>127</v>
      </c>
      <c r="BS20" t="s">
        <v>127</v>
      </c>
      <c r="BT20" t="s">
        <v>127</v>
      </c>
      <c r="BU20">
        <v>1640</v>
      </c>
      <c r="BV20">
        <f t="shared" si="13"/>
        <v>1820.9355692850836</v>
      </c>
      <c r="BW20" t="s">
        <v>93</v>
      </c>
    </row>
    <row r="21" spans="1:75" x14ac:dyDescent="0.4">
      <c r="A21" s="3">
        <v>22</v>
      </c>
      <c r="B21" s="3">
        <v>22</v>
      </c>
      <c r="C21" s="32">
        <v>197087</v>
      </c>
      <c r="D21" s="4" t="str">
        <f t="shared" si="0"/>
        <v>197087</v>
      </c>
      <c r="E21" s="4">
        <v>197087</v>
      </c>
      <c r="F21" s="4" t="str">
        <f t="shared" si="14"/>
        <v>1970875</v>
      </c>
      <c r="G21" s="4" t="s">
        <v>72</v>
      </c>
      <c r="H21" s="5">
        <v>4902205237136</v>
      </c>
      <c r="I21" s="5">
        <v>5</v>
      </c>
      <c r="J21" s="5"/>
      <c r="K21" s="5">
        <v>1</v>
      </c>
      <c r="L21" s="5">
        <v>1</v>
      </c>
      <c r="M21" s="4">
        <v>0</v>
      </c>
      <c r="N21" s="4">
        <v>1452</v>
      </c>
      <c r="O21" s="4">
        <v>1133</v>
      </c>
      <c r="P21" s="6">
        <f t="shared" si="1"/>
        <v>0.21969696969696972</v>
      </c>
      <c r="Q21" s="4" t="s">
        <v>84</v>
      </c>
      <c r="R21" s="4"/>
      <c r="S21" s="4"/>
      <c r="T21" s="4"/>
      <c r="U21" s="4"/>
      <c r="V21" s="4"/>
      <c r="W21" s="4"/>
      <c r="X21" s="4"/>
      <c r="Y21" s="4"/>
      <c r="Z21" s="4">
        <v>0</v>
      </c>
      <c r="AA21" s="4">
        <f t="shared" si="2"/>
        <v>0</v>
      </c>
      <c r="AB21" s="4">
        <v>1258</v>
      </c>
      <c r="AC21" s="4">
        <f t="shared" si="3"/>
        <v>1258</v>
      </c>
      <c r="AD21" s="4"/>
      <c r="AE21" s="20">
        <f t="shared" si="4"/>
        <v>1612</v>
      </c>
      <c r="AF21" s="6">
        <f t="shared" si="5"/>
        <v>0.21960297766749381</v>
      </c>
      <c r="AG21" s="32">
        <v>0</v>
      </c>
      <c r="AH21" s="4">
        <f t="shared" si="6"/>
        <v>2415</v>
      </c>
      <c r="AI21" s="32">
        <f t="shared" si="15"/>
        <v>2681.4386584289496</v>
      </c>
      <c r="AJ21" s="6">
        <f t="shared" si="16"/>
        <v>0.53084886128364395</v>
      </c>
      <c r="AK21" s="32">
        <f t="shared" si="17"/>
        <v>2097</v>
      </c>
      <c r="AL21" s="7">
        <v>1700</v>
      </c>
      <c r="AM21" s="6">
        <f t="shared" si="7"/>
        <v>0.26</v>
      </c>
      <c r="AN21" s="4">
        <f t="shared" si="8"/>
        <v>442</v>
      </c>
      <c r="AO21" s="27"/>
      <c r="AP21" s="6"/>
      <c r="AQ21" s="6"/>
      <c r="AR21" s="6" t="e">
        <f t="shared" si="9"/>
        <v>#DIV/0!</v>
      </c>
      <c r="AS21" s="6">
        <f t="shared" si="10"/>
        <v>1.1707988980716253</v>
      </c>
      <c r="AT21" s="6">
        <f t="shared" si="11"/>
        <v>1.1103265666372462</v>
      </c>
      <c r="AU21" s="4"/>
      <c r="AV21" s="4"/>
      <c r="AW21" s="4"/>
      <c r="AX21" s="4"/>
      <c r="AY21" s="4"/>
      <c r="AZ21" s="4"/>
      <c r="BA21" s="4"/>
      <c r="BB21" s="4"/>
      <c r="BC21" s="4"/>
      <c r="BD21" s="4">
        <v>0</v>
      </c>
      <c r="BE21" s="4" t="s">
        <v>116</v>
      </c>
      <c r="BF21" s="4"/>
      <c r="BG21" s="4"/>
      <c r="BH21" s="4" t="s">
        <v>106</v>
      </c>
      <c r="BI21" s="4">
        <v>2150</v>
      </c>
      <c r="BJ21" s="4">
        <v>2150</v>
      </c>
      <c r="BK21" s="4">
        <v>2415</v>
      </c>
      <c r="BL21" s="4">
        <f t="shared" si="12"/>
        <v>2415</v>
      </c>
      <c r="BM21" s="18">
        <v>4</v>
      </c>
      <c r="BN21" s="18">
        <v>8</v>
      </c>
      <c r="BO21" s="16">
        <v>3</v>
      </c>
      <c r="BP21" t="s">
        <v>84</v>
      </c>
      <c r="BQ21" t="s">
        <v>127</v>
      </c>
      <c r="BR21" t="s">
        <v>127</v>
      </c>
      <c r="BS21" t="s">
        <v>127</v>
      </c>
      <c r="BT21" t="s">
        <v>127</v>
      </c>
      <c r="BU21">
        <v>1940</v>
      </c>
      <c r="BV21">
        <f t="shared" si="13"/>
        <v>2154.0335392762577</v>
      </c>
      <c r="BW21" t="s">
        <v>95</v>
      </c>
    </row>
    <row r="22" spans="1:75" x14ac:dyDescent="0.4">
      <c r="A22" s="3">
        <v>21</v>
      </c>
      <c r="B22" s="3">
        <v>21</v>
      </c>
      <c r="C22" s="32">
        <v>198083</v>
      </c>
      <c r="D22" s="4" t="str">
        <f t="shared" si="0"/>
        <v>198083</v>
      </c>
      <c r="E22" s="4">
        <v>198083</v>
      </c>
      <c r="F22" s="4" t="str">
        <f t="shared" si="14"/>
        <v>1980835</v>
      </c>
      <c r="G22" s="4" t="s">
        <v>71</v>
      </c>
      <c r="H22" s="5">
        <v>4902205307747</v>
      </c>
      <c r="I22" s="5">
        <v>5</v>
      </c>
      <c r="J22" s="5"/>
      <c r="K22" s="5">
        <v>1</v>
      </c>
      <c r="L22" s="5">
        <v>1</v>
      </c>
      <c r="M22" s="4">
        <v>2210</v>
      </c>
      <c r="N22" s="4">
        <v>1680</v>
      </c>
      <c r="O22" s="4">
        <v>1249</v>
      </c>
      <c r="P22" s="6">
        <f t="shared" si="1"/>
        <v>0.25654761904761902</v>
      </c>
      <c r="Q22" s="4" t="s">
        <v>84</v>
      </c>
      <c r="R22" s="4"/>
      <c r="S22" s="4"/>
      <c r="T22" s="4"/>
      <c r="U22" s="4"/>
      <c r="V22" s="4"/>
      <c r="W22" s="4"/>
      <c r="X22" s="4"/>
      <c r="Y22" s="4"/>
      <c r="Z22" s="4">
        <v>2500</v>
      </c>
      <c r="AA22" s="4">
        <f t="shared" si="2"/>
        <v>2500</v>
      </c>
      <c r="AB22" s="4">
        <v>1346</v>
      </c>
      <c r="AC22" s="4">
        <f t="shared" si="3"/>
        <v>1346</v>
      </c>
      <c r="AD22" s="4"/>
      <c r="AE22" s="20">
        <f t="shared" si="4"/>
        <v>1810</v>
      </c>
      <c r="AF22" s="6">
        <f t="shared" si="5"/>
        <v>0.25635359116022094</v>
      </c>
      <c r="AG22" s="32">
        <v>0.75</v>
      </c>
      <c r="AH22" s="4">
        <f t="shared" si="6"/>
        <v>2210</v>
      </c>
      <c r="AI22" s="32">
        <f t="shared" si="15"/>
        <v>2381.6333066453162</v>
      </c>
      <c r="AJ22" s="6">
        <f t="shared" si="16"/>
        <v>0.43484162895927603</v>
      </c>
      <c r="AK22" s="32">
        <f t="shared" si="17"/>
        <v>2243</v>
      </c>
      <c r="AL22" s="7">
        <v>2100</v>
      </c>
      <c r="AM22" s="6">
        <f t="shared" si="7"/>
        <v>0.35904761904761906</v>
      </c>
      <c r="AN22" s="4">
        <f t="shared" si="8"/>
        <v>754</v>
      </c>
      <c r="AO22" s="27"/>
      <c r="AP22" s="6"/>
      <c r="AQ22" s="6"/>
      <c r="AR22" s="6">
        <f t="shared" si="9"/>
        <v>1.1312217194570136</v>
      </c>
      <c r="AS22" s="6">
        <f t="shared" si="10"/>
        <v>1.25</v>
      </c>
      <c r="AT22" s="6">
        <f t="shared" si="11"/>
        <v>1.077662129703763</v>
      </c>
      <c r="AU22" s="4"/>
      <c r="AV22" s="4"/>
      <c r="AW22" s="4"/>
      <c r="AX22" s="4"/>
      <c r="AY22" s="4"/>
      <c r="AZ22" s="4"/>
      <c r="BA22" s="4"/>
      <c r="BB22" s="4"/>
      <c r="BC22" s="4"/>
      <c r="BD22" s="4">
        <v>0</v>
      </c>
      <c r="BE22" s="4" t="s">
        <v>115</v>
      </c>
      <c r="BF22" s="4"/>
      <c r="BG22" s="4"/>
      <c r="BH22" s="4" t="s">
        <v>106</v>
      </c>
      <c r="BI22" s="4">
        <v>2210</v>
      </c>
      <c r="BJ22" s="4">
        <v>2210</v>
      </c>
      <c r="BK22" s="4">
        <v>2210</v>
      </c>
      <c r="BL22" s="4">
        <f t="shared" si="12"/>
        <v>2210</v>
      </c>
      <c r="BM22" s="18">
        <v>4</v>
      </c>
      <c r="BN22" s="18">
        <v>1</v>
      </c>
      <c r="BO22" s="16">
        <v>3</v>
      </c>
      <c r="BP22" t="s">
        <v>84</v>
      </c>
      <c r="BQ22" t="s">
        <v>127</v>
      </c>
      <c r="BR22" t="s">
        <v>127</v>
      </c>
      <c r="BS22">
        <v>3940</v>
      </c>
      <c r="BT22">
        <v>3940</v>
      </c>
      <c r="BU22">
        <v>3940</v>
      </c>
      <c r="BV22">
        <f t="shared" si="13"/>
        <v>4245.9887910328262</v>
      </c>
      <c r="BW22" t="s">
        <v>94</v>
      </c>
    </row>
    <row r="23" spans="1:75" x14ac:dyDescent="0.4">
      <c r="A23" s="3">
        <v>23</v>
      </c>
      <c r="B23" s="3">
        <v>23</v>
      </c>
      <c r="C23" s="32">
        <v>388980</v>
      </c>
      <c r="D23" s="4" t="str">
        <f t="shared" si="0"/>
        <v>388980</v>
      </c>
      <c r="E23" s="4">
        <v>388980</v>
      </c>
      <c r="F23" s="4" t="str">
        <f t="shared" si="14"/>
        <v>3889805</v>
      </c>
      <c r="G23" s="4" t="s">
        <v>73</v>
      </c>
      <c r="H23" s="5">
        <v>4902205339175</v>
      </c>
      <c r="I23" s="5">
        <v>5</v>
      </c>
      <c r="J23" s="5"/>
      <c r="K23" s="5">
        <v>1</v>
      </c>
      <c r="L23" s="5">
        <v>1</v>
      </c>
      <c r="M23" s="4">
        <v>2210</v>
      </c>
      <c r="N23" s="4">
        <v>1790</v>
      </c>
      <c r="O23" s="4">
        <v>1189</v>
      </c>
      <c r="P23" s="6">
        <f t="shared" si="1"/>
        <v>0.33575418994413408</v>
      </c>
      <c r="Q23" s="4" t="s">
        <v>84</v>
      </c>
      <c r="R23" s="4"/>
      <c r="S23" s="4"/>
      <c r="T23" s="4"/>
      <c r="U23" s="4"/>
      <c r="V23" s="4"/>
      <c r="W23" s="4"/>
      <c r="X23" s="4"/>
      <c r="Y23" s="4"/>
      <c r="Z23" s="4">
        <v>2500</v>
      </c>
      <c r="AA23" s="4">
        <f t="shared" si="2"/>
        <v>2500</v>
      </c>
      <c r="AB23" s="4">
        <v>1346</v>
      </c>
      <c r="AC23" s="4">
        <f t="shared" si="3"/>
        <v>1346</v>
      </c>
      <c r="AD23" s="4"/>
      <c r="AE23" s="20">
        <f t="shared" si="4"/>
        <v>2026</v>
      </c>
      <c r="AF23" s="6">
        <f t="shared" si="5"/>
        <v>0.33563672260612043</v>
      </c>
      <c r="AG23" s="32">
        <v>0.5</v>
      </c>
      <c r="AH23" s="4">
        <f t="shared" si="6"/>
        <v>2633</v>
      </c>
      <c r="AI23" s="32">
        <f t="shared" si="15"/>
        <v>2980.6711522287633</v>
      </c>
      <c r="AJ23" s="6">
        <f t="shared" si="16"/>
        <v>0.54842385112039493</v>
      </c>
      <c r="AK23" s="32">
        <f t="shared" si="17"/>
        <v>2243</v>
      </c>
      <c r="AL23" s="7">
        <v>2100</v>
      </c>
      <c r="AM23" s="6">
        <f t="shared" si="7"/>
        <v>0.35904761904761906</v>
      </c>
      <c r="AN23" s="4">
        <f t="shared" si="8"/>
        <v>754</v>
      </c>
      <c r="AO23" s="27"/>
      <c r="AP23" s="6"/>
      <c r="AQ23" s="6"/>
      <c r="AR23" s="6">
        <f t="shared" si="9"/>
        <v>1.1312217194570136</v>
      </c>
      <c r="AS23" s="6">
        <f t="shared" si="10"/>
        <v>1.1731843575418994</v>
      </c>
      <c r="AT23" s="6">
        <f t="shared" si="11"/>
        <v>1.1320437342304457</v>
      </c>
      <c r="AU23" s="4"/>
      <c r="AV23" s="4"/>
      <c r="AW23" s="4"/>
      <c r="AX23" s="4"/>
      <c r="AY23" s="4"/>
      <c r="AZ23" s="4"/>
      <c r="BA23" s="4"/>
      <c r="BB23" s="4"/>
      <c r="BC23" s="4"/>
      <c r="BD23" s="4">
        <v>0</v>
      </c>
      <c r="BE23" s="4" t="s">
        <v>117</v>
      </c>
      <c r="BF23" s="4"/>
      <c r="BG23" s="4"/>
      <c r="BH23" s="4" t="s">
        <v>106</v>
      </c>
      <c r="BI23" s="4">
        <v>2633</v>
      </c>
      <c r="BJ23" s="4">
        <v>2633</v>
      </c>
      <c r="BK23" s="4">
        <v>2633</v>
      </c>
      <c r="BL23" s="4">
        <f t="shared" si="12"/>
        <v>2633</v>
      </c>
      <c r="BM23" s="18">
        <v>4</v>
      </c>
      <c r="BN23" s="18">
        <v>8</v>
      </c>
      <c r="BO23" s="16">
        <v>3</v>
      </c>
      <c r="BP23" t="s">
        <v>84</v>
      </c>
      <c r="BQ23" t="s">
        <v>127</v>
      </c>
      <c r="BR23" t="s">
        <v>127</v>
      </c>
      <c r="BS23">
        <v>4420</v>
      </c>
      <c r="BT23">
        <v>4420</v>
      </c>
      <c r="BU23">
        <v>4420</v>
      </c>
      <c r="BV23">
        <f t="shared" si="13"/>
        <v>5003.6333052985701</v>
      </c>
      <c r="BW23" t="s">
        <v>96</v>
      </c>
    </row>
    <row r="24" spans="1:75" x14ac:dyDescent="0.4">
      <c r="A24" s="3">
        <v>15</v>
      </c>
      <c r="B24" s="3">
        <v>15</v>
      </c>
      <c r="C24" s="32">
        <v>147128</v>
      </c>
      <c r="D24" s="4" t="str">
        <f t="shared" si="0"/>
        <v>147128</v>
      </c>
      <c r="E24" s="4">
        <v>147128</v>
      </c>
      <c r="F24" s="4" t="str">
        <f t="shared" si="14"/>
        <v>1471285</v>
      </c>
      <c r="G24" s="4" t="s">
        <v>65</v>
      </c>
      <c r="H24" s="5">
        <v>4902205236139</v>
      </c>
      <c r="I24" s="5">
        <v>5</v>
      </c>
      <c r="J24" s="5"/>
      <c r="K24" s="5">
        <v>1</v>
      </c>
      <c r="L24" s="5">
        <v>1</v>
      </c>
      <c r="M24" s="4">
        <v>2590</v>
      </c>
      <c r="N24" s="4">
        <v>1780</v>
      </c>
      <c r="O24" s="4">
        <v>1331</v>
      </c>
      <c r="P24" s="6">
        <f t="shared" si="1"/>
        <v>0.25224719101123594</v>
      </c>
      <c r="Q24" s="4" t="s">
        <v>84</v>
      </c>
      <c r="R24" s="4"/>
      <c r="S24" s="4"/>
      <c r="T24" s="4"/>
      <c r="U24" s="4"/>
      <c r="V24" s="4"/>
      <c r="W24" s="4"/>
      <c r="X24" s="4"/>
      <c r="Y24" s="4"/>
      <c r="Z24" s="4">
        <v>2900</v>
      </c>
      <c r="AA24" s="4">
        <f t="shared" si="2"/>
        <v>2900</v>
      </c>
      <c r="AB24" s="4">
        <v>1491</v>
      </c>
      <c r="AC24" s="4">
        <f t="shared" si="3"/>
        <v>1491</v>
      </c>
      <c r="AD24" s="4"/>
      <c r="AE24" s="20">
        <f t="shared" si="4"/>
        <v>1994</v>
      </c>
      <c r="AF24" s="6">
        <f t="shared" si="5"/>
        <v>0.25225677031093274</v>
      </c>
      <c r="AG24" s="32">
        <v>0.5</v>
      </c>
      <c r="AH24" s="4">
        <f t="shared" si="6"/>
        <v>2694</v>
      </c>
      <c r="AI24" s="32">
        <f t="shared" si="15"/>
        <v>3017.8467317806158</v>
      </c>
      <c r="AJ24" s="6">
        <f t="shared" si="16"/>
        <v>0.50593912397921303</v>
      </c>
      <c r="AK24" s="32">
        <f t="shared" si="17"/>
        <v>2485</v>
      </c>
      <c r="AL24" s="7">
        <v>2300</v>
      </c>
      <c r="AM24" s="6">
        <f t="shared" si="7"/>
        <v>0.35173913043478255</v>
      </c>
      <c r="AN24" s="4">
        <f t="shared" si="8"/>
        <v>809</v>
      </c>
      <c r="AO24" s="27"/>
      <c r="AP24" s="6"/>
      <c r="AQ24" s="6"/>
      <c r="AR24" s="6">
        <f t="shared" si="9"/>
        <v>1.1196911196911197</v>
      </c>
      <c r="AS24" s="6">
        <f t="shared" si="10"/>
        <v>1.2921348314606742</v>
      </c>
      <c r="AT24" s="6">
        <f t="shared" si="11"/>
        <v>1.1202103681442523</v>
      </c>
      <c r="AU24" s="4"/>
      <c r="AV24" s="4"/>
      <c r="AW24" s="4"/>
      <c r="AX24" s="4"/>
      <c r="AY24" s="4"/>
      <c r="AZ24" s="4"/>
      <c r="BA24" s="4"/>
      <c r="BB24" s="4"/>
      <c r="BC24" s="4"/>
      <c r="BD24" s="4">
        <v>0</v>
      </c>
      <c r="BE24" s="4" t="s">
        <v>109</v>
      </c>
      <c r="BF24" s="4"/>
      <c r="BG24" s="4"/>
      <c r="BH24" s="4" t="s">
        <v>106</v>
      </c>
      <c r="BI24" s="4">
        <v>2355</v>
      </c>
      <c r="BJ24" s="4">
        <v>2355</v>
      </c>
      <c r="BK24" s="4">
        <v>2694</v>
      </c>
      <c r="BL24" s="4">
        <f t="shared" si="12"/>
        <v>2694</v>
      </c>
      <c r="BM24" s="18">
        <v>4</v>
      </c>
      <c r="BN24" s="18">
        <v>8</v>
      </c>
      <c r="BO24" s="16">
        <v>3</v>
      </c>
      <c r="BP24" t="s">
        <v>84</v>
      </c>
      <c r="BQ24" t="s">
        <v>127</v>
      </c>
      <c r="BR24" t="s">
        <v>127</v>
      </c>
      <c r="BS24" t="s">
        <v>127</v>
      </c>
      <c r="BT24" t="s">
        <v>127</v>
      </c>
      <c r="BU24">
        <v>3300</v>
      </c>
      <c r="BV24">
        <f t="shared" si="13"/>
        <v>3696.6942148760327</v>
      </c>
      <c r="BW24" t="s">
        <v>89</v>
      </c>
    </row>
  </sheetData>
  <autoFilter ref="A3:BW24" xr:uid="{7A1660CF-9003-4B2D-B659-7F339ED5B476}">
    <sortState xmlns:xlrd2="http://schemas.microsoft.com/office/spreadsheetml/2017/richdata2" ref="A4:BW24">
      <sortCondition ref="AB4:AB24"/>
    </sortState>
  </autoFilter>
  <mergeCells count="3">
    <mergeCell ref="M2:P2"/>
    <mergeCell ref="K2:L2"/>
    <mergeCell ref="Z1:AC1"/>
  </mergeCells>
  <phoneticPr fontId="2"/>
  <conditionalFormatting sqref="AL4:AL24">
    <cfRule type="cellIs" dxfId="3" priority="4" operator="greaterThan">
      <formula>$AA4</formula>
    </cfRule>
  </conditionalFormatting>
  <conditionalFormatting sqref="AI4:AI24">
    <cfRule type="cellIs" dxfId="2" priority="3" operator="lessThan">
      <formula>$AL4</formula>
    </cfRule>
  </conditionalFormatting>
  <conditionalFormatting sqref="BK4:BK24">
    <cfRule type="cellIs" dxfId="1" priority="2" operator="notEqual">
      <formula>$BI4</formula>
    </cfRule>
  </conditionalFormatting>
  <conditionalFormatting sqref="BU4:BU24">
    <cfRule type="cellIs" dxfId="0" priority="1" operator="notEqual">
      <formula>$BS4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2026-07-02T07:15:22Z</dcterms:modified>
</cp:coreProperties>
</file>