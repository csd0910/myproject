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ｻ_サンワサプライ_068\価格改定\20260612_7月末\"/>
    </mc:Choice>
  </mc:AlternateContent>
  <xr:revisionPtr revIDLastSave="0" documentId="13_ncr:1_{7FECF6D0-2E1C-45AB-8DB0-3F08EAECC5BC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Sheet1!$A$3:$BZ$10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5" i="1" l="1"/>
  <c r="P5" i="1"/>
  <c r="BF7" i="1"/>
  <c r="AZ8" i="1"/>
  <c r="AZ10" i="1"/>
  <c r="BC10" i="1"/>
  <c r="P10" i="1"/>
  <c r="AX5" i="1"/>
  <c r="AY5" i="1"/>
  <c r="BA5" i="1"/>
  <c r="BB5" i="1"/>
  <c r="BD5" i="1"/>
  <c r="BE5" i="1"/>
  <c r="BG5" i="1"/>
  <c r="BH5" i="1"/>
  <c r="AX6" i="1"/>
  <c r="AY6" i="1"/>
  <c r="AZ6" i="1"/>
  <c r="BA6" i="1"/>
  <c r="BB6" i="1"/>
  <c r="BC6" i="1"/>
  <c r="BD6" i="1"/>
  <c r="BE6" i="1"/>
  <c r="BF6" i="1"/>
  <c r="BG6" i="1"/>
  <c r="BH6" i="1"/>
  <c r="AX7" i="1"/>
  <c r="AY7" i="1"/>
  <c r="BA7" i="1"/>
  <c r="BB7" i="1"/>
  <c r="BC7" i="1"/>
  <c r="BD7" i="1"/>
  <c r="BE7" i="1"/>
  <c r="BG7" i="1"/>
  <c r="BH7" i="1"/>
  <c r="AX8" i="1"/>
  <c r="AY8" i="1"/>
  <c r="BA8" i="1"/>
  <c r="BB8" i="1"/>
  <c r="BD8" i="1"/>
  <c r="BE8" i="1"/>
  <c r="BG8" i="1"/>
  <c r="BH8" i="1"/>
  <c r="AW9" i="1"/>
  <c r="AX9" i="1"/>
  <c r="AY9" i="1"/>
  <c r="AZ9" i="1"/>
  <c r="BA9" i="1"/>
  <c r="BB9" i="1"/>
  <c r="BC9" i="1"/>
  <c r="BD9" i="1"/>
  <c r="BE9" i="1"/>
  <c r="BF9" i="1"/>
  <c r="BG9" i="1"/>
  <c r="BH9" i="1"/>
  <c r="AX10" i="1"/>
  <c r="AY10" i="1"/>
  <c r="BA10" i="1"/>
  <c r="BB10" i="1"/>
  <c r="BD10" i="1"/>
  <c r="BE10" i="1"/>
  <c r="BF10" i="1"/>
  <c r="BG10" i="1"/>
  <c r="BH10" i="1"/>
  <c r="BE4" i="1"/>
  <c r="BD4" i="1"/>
  <c r="BH4" i="1"/>
  <c r="BG4" i="1"/>
  <c r="BB4" i="1"/>
  <c r="BA4" i="1"/>
  <c r="AY4" i="1"/>
  <c r="AX4" i="1"/>
  <c r="AU6" i="1"/>
  <c r="AU9" i="1"/>
  <c r="P9" i="1"/>
  <c r="P6" i="1"/>
  <c r="AU7" i="1"/>
  <c r="AW10" i="1" l="1"/>
  <c r="AZ7" i="1"/>
  <c r="BF5" i="1"/>
  <c r="BF8" i="1"/>
  <c r="AU8" i="1"/>
  <c r="BC8" i="1"/>
  <c r="AU5" i="1"/>
  <c r="AW5" i="1"/>
  <c r="BC5" i="1"/>
  <c r="P8" i="1"/>
  <c r="P7" i="1"/>
  <c r="AU10" i="1"/>
  <c r="P4" i="1"/>
  <c r="AU4" i="1"/>
  <c r="BP5" i="1" l="1"/>
  <c r="AK5" i="1" s="1"/>
  <c r="BP6" i="1"/>
  <c r="AK6" i="1" s="1"/>
  <c r="BP7" i="1"/>
  <c r="AK7" i="1" s="1"/>
  <c r="BP8" i="1"/>
  <c r="AK8" i="1" s="1"/>
  <c r="BP9" i="1"/>
  <c r="AK9" i="1" s="1"/>
  <c r="BP10" i="1"/>
  <c r="AK10" i="1" s="1"/>
  <c r="BP4" i="1"/>
  <c r="AK4" i="1" s="1"/>
  <c r="AF5" i="1"/>
  <c r="AF6" i="1"/>
  <c r="AF7" i="1"/>
  <c r="AF8" i="1"/>
  <c r="AF9" i="1"/>
  <c r="AF10" i="1"/>
  <c r="AD5" i="1"/>
  <c r="AT5" i="1" s="1"/>
  <c r="AD6" i="1"/>
  <c r="AT6" i="1" s="1"/>
  <c r="AD7" i="1"/>
  <c r="AT7" i="1" s="1"/>
  <c r="AD8" i="1"/>
  <c r="AT8" i="1" s="1"/>
  <c r="AD9" i="1"/>
  <c r="AT9" i="1" s="1"/>
  <c r="AD10" i="1"/>
  <c r="AT10" i="1" s="1"/>
  <c r="D5" i="1"/>
  <c r="F5" i="1" s="1"/>
  <c r="D6" i="1"/>
  <c r="F6" i="1" s="1"/>
  <c r="D7" i="1"/>
  <c r="F7" i="1" s="1"/>
  <c r="D8" i="1"/>
  <c r="F8" i="1" s="1"/>
  <c r="D9" i="1"/>
  <c r="F9" i="1" s="1"/>
  <c r="D10" i="1"/>
  <c r="F10" i="1" s="1"/>
  <c r="D4" i="1"/>
  <c r="F4" i="1" s="1"/>
  <c r="AF4" i="1"/>
  <c r="AD4" i="1"/>
  <c r="AT4" i="1" s="1"/>
  <c r="AV5" i="1" l="1"/>
  <c r="BY5" i="1" s="1"/>
  <c r="AV10" i="1"/>
  <c r="BY10" i="1" s="1"/>
  <c r="AV9" i="1"/>
  <c r="AH9" i="1" s="1"/>
  <c r="AI9" i="1" s="1"/>
  <c r="AV4" i="1"/>
  <c r="BV4" i="1" s="1"/>
  <c r="AV8" i="1"/>
  <c r="BV8" i="1" s="1"/>
  <c r="AV7" i="1"/>
  <c r="AL7" i="1" s="1"/>
  <c r="AM7" i="1" s="1"/>
  <c r="AV6" i="1"/>
  <c r="BV6" i="1" s="1"/>
  <c r="BY9" i="1"/>
  <c r="BV10" i="1"/>
  <c r="AL10" i="1"/>
  <c r="AM10" i="1" s="1"/>
  <c r="AO5" i="1"/>
  <c r="AP10" i="1"/>
  <c r="AO4" i="1"/>
  <c r="AO9" i="1"/>
  <c r="AP8" i="1"/>
  <c r="AP7" i="1"/>
  <c r="AH10" i="1"/>
  <c r="AI10" i="1" s="1"/>
  <c r="AP6" i="1"/>
  <c r="AO10" i="1"/>
  <c r="AO8" i="1"/>
  <c r="AP9" i="1"/>
  <c r="AO7" i="1"/>
  <c r="AP5" i="1"/>
  <c r="AH7" i="1"/>
  <c r="AI7" i="1" s="1"/>
  <c r="AO6" i="1"/>
  <c r="AR4" i="1"/>
  <c r="AS4" i="1"/>
  <c r="AP4" i="1"/>
  <c r="BY7" i="1" l="1"/>
  <c r="BV9" i="1"/>
  <c r="AL6" i="1"/>
  <c r="AM6" i="1" s="1"/>
  <c r="BY6" i="1"/>
  <c r="BV7" i="1"/>
  <c r="BV5" i="1"/>
  <c r="AH8" i="1"/>
  <c r="AI8" i="1" s="1"/>
  <c r="AL8" i="1"/>
  <c r="AM8" i="1" s="1"/>
  <c r="AH5" i="1"/>
  <c r="AI5" i="1" s="1"/>
  <c r="AH6" i="1"/>
  <c r="AI6" i="1" s="1"/>
  <c r="AL9" i="1"/>
  <c r="AM9" i="1" s="1"/>
  <c r="AL5" i="1"/>
  <c r="AM5" i="1" s="1"/>
  <c r="BY8" i="1"/>
  <c r="AH4" i="1"/>
  <c r="AI4" i="1" s="1"/>
  <c r="BY4" i="1"/>
  <c r="AL4" i="1"/>
  <c r="AM4" i="1" s="1"/>
</calcChain>
</file>

<file path=xl/sharedStrings.xml><?xml version="1.0" encoding="utf-8"?>
<sst xmlns="http://schemas.openxmlformats.org/spreadsheetml/2006/main" count="206" uniqueCount="101">
  <si>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</si>
  <si>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</si>
  <si>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</si>
  <si>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</si>
  <si>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</si>
  <si>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</si>
  <si>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</si>
  <si>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</si>
  <si>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</si>
  <si>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</si>
  <si>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</si>
  <si>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</si>
  <si>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</si>
  <si>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</si>
  <si>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</si>
  <si>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</si>
  <si>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</si>
  <si>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</si>
  <si>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</si>
  <si>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</si>
  <si>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</si>
  <si>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</si>
  <si>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</si>
  <si>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</si>
  <si>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</si>
  <si>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</si>
  <si>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</si>
  <si>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</si>
  <si>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</si>
  <si>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</si>
  <si>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</si>
  <si>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</si>
  <si>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</si>
  <si>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</si>
  <si>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</si>
  <si>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</si>
  <si>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</si>
  <si>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</si>
  <si>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</si>
  <si>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</si>
  <si>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</si>
  <si>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</si>
  <si>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</si>
  <si>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</si>
  <si>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</si>
  <si>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</si>
  <si>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</si>
  <si>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</si>
  <si>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</si>
  <si>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</si>
  <si>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</si>
  <si>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</si>
  <si>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</si>
  <si>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</si>
  <si>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</si>
  <si>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</si>
  <si>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</si>
  <si>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6月売価</t>
    <rPh sb="1" eb="2">
      <t>ガツ</t>
    </rPh>
    <rPh sb="2" eb="4">
      <t>バイカ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</si>
  <si>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</si>
  <si>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</si>
  <si>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</si>
  <si>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</si>
  <si>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</si>
  <si>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</si>
  <si>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</si>
  <si>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</si>
  <si>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J95751</t>
  </si>
  <si>
    <t>J5077N</t>
  </si>
  <si>
    <t>J451LX</t>
  </si>
  <si>
    <t>J9891N</t>
  </si>
  <si>
    <t>34/335</t>
  </si>
  <si>
    <t>ｻﾝﾜｻﾌﾟﾗｲ/ﾘｰﾙ付ｽﾄﾗｯﾌﾟ/DG-STR3</t>
  </si>
  <si>
    <t>ｻﾝﾜｻﾌﾟﾗｲ/ｸﾘｯﾌﾟ付き電子ﾒﾓﾊﾟｯﾄﾞ　ﾌﾞﾗｯｸ/DH-320BK</t>
  </si>
  <si>
    <t>ｻﾝﾜｻﾌﾟﾗｲ/ﾍﾟｰﾊﾟｰ&amp;CDｼｭﾚｯﾀﾞｰ ﾏｲｸﾛｶｯﾄ/PSD-AA6212</t>
  </si>
  <si>
    <t>ｻﾝﾜｻﾌﾟﾗｲ/ﾍﾟｰﾊﾟｰ&amp;CDｼｭﾚｯﾀﾞｰ/PSD-C6018</t>
  </si>
  <si>
    <t>ｻﾝﾜｻﾌﾟﾗｲ/ｵｰﾄﾌｨｰﾄﾞｼｭﾚｯﾀﾞｰ 200枚 ﾏｲｸﾛｶｯﾄ/PSD-M200AT</t>
  </si>
  <si>
    <t>ｻﾝﾜｻﾌﾟﾗｲ/ﾍﾟｰﾊﾟｰ&amp;CDｼｭﾚｯﾀﾞｰ ﾏｲｸﾛｶｯﾄ/PSD-M4010</t>
  </si>
  <si>
    <t>ｻﾝﾜｻﾌﾟﾗｲ/ﾍﾟｰﾊﾟｰ&amp;CDｼｭﾚｯﾀﾞｰ ﾏｲｸﾛｶｯﾄ/PSD-M4016</t>
  </si>
  <si>
    <t>VD5</t>
    <phoneticPr fontId="2"/>
  </si>
  <si>
    <t>VD5始</t>
    <rPh sb="3" eb="4">
      <t>ハジ</t>
    </rPh>
    <phoneticPr fontId="2"/>
  </si>
  <si>
    <t>VD5終</t>
    <rPh sb="3" eb="4">
      <t>オワリ</t>
    </rPh>
    <phoneticPr fontId="2"/>
  </si>
  <si>
    <t>-</t>
  </si>
  <si>
    <t>6月
たの</t>
    <rPh sb="1" eb="2">
      <t>ガツ</t>
    </rPh>
    <phoneticPr fontId="2"/>
  </si>
  <si>
    <t>6月
カウ</t>
    <rPh sb="1" eb="2">
      <t>ガツ</t>
    </rPh>
    <phoneticPr fontId="2"/>
  </si>
  <si>
    <t>A683340</t>
  </si>
  <si>
    <t>サンワサプライ リール付ストラップ DG-STR3 1個</t>
  </si>
  <si>
    <t>1個</t>
  </si>
  <si>
    <t>-</t>
    <phoneticPr fontId="2"/>
  </si>
  <si>
    <t>EH24950</t>
  </si>
  <si>
    <t>電子メモパッド 13インチ クリップ スタンド付き ブラック DH-320BK 1個 サンワサプライ</t>
  </si>
  <si>
    <t>WX73682</t>
  </si>
  <si>
    <t>サンワサプライ ペーパー＆CDシュレッダー PSD-C6018 1個（直送品）</t>
  </si>
  <si>
    <t>P672361</t>
  </si>
  <si>
    <t>サンワサプライ ペーパー&amp;CDシュレッダー(40分連続・マイクロカット・10枚) PSD-M4010 1個</t>
  </si>
  <si>
    <t>P672362</t>
  </si>
  <si>
    <t>サンワサプライ ペーパー&amp;CDシュレッダー(40分連続・マイクロカット・16枚) PSD-M4016 1個</t>
  </si>
  <si>
    <t>品目+
FW荷姿</t>
    <rPh sb="0" eb="2">
      <t>ヒンモク</t>
    </rPh>
    <rPh sb="6" eb="8">
      <t>ニスガタ</t>
    </rPh>
    <phoneticPr fontId="2"/>
  </si>
  <si>
    <t>7月売価</t>
    <rPh sb="1" eb="2">
      <t>ガツ</t>
    </rPh>
    <rPh sb="2" eb="4">
      <t>バイカ</t>
    </rPh>
    <phoneticPr fontId="2"/>
  </si>
  <si>
    <t>VDあり</t>
    <phoneticPr fontId="2"/>
  </si>
  <si>
    <t>7月
たの</t>
    <rPh sb="1" eb="2">
      <t>ガツ</t>
    </rPh>
    <phoneticPr fontId="2"/>
  </si>
  <si>
    <t>7月
カウ</t>
    <rPh sb="1" eb="2">
      <t>ガツ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</si>
</sst>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4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9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6" borderId="3" xfId="0" applyFill="1" applyBorder="1">
      <alignment vertical="center"/>
    </xf>
    <xf numFmtId="0" fontId="0" fillId="6" borderId="4" xfId="0" applyFill="1" applyBorder="1">
      <alignment vertical="center"/>
    </xf>
    <xf numFmtId="0" fontId="0" fillId="7" borderId="3" xfId="0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7" borderId="2" xfId="0" applyFill="1" applyBorder="1" applyAlignment="1">
      <alignment vertical="center" wrapText="1"/>
    </xf>
    <xf numFmtId="0" fontId="3" fillId="0" borderId="0" xfId="0" applyFont="1">
      <alignment vertical="center"/>
    </xf>
    <xf numFmtId="177" fontId="0" fillId="7" borderId="4" xfId="0" applyNumberFormat="1" applyFill="1" applyBorder="1">
      <alignment vertical="center"/>
    </xf>
    <xf numFmtId="0" fontId="0" fillId="0" borderId="19" xfId="0" applyBorder="1">
      <alignment vertical="center"/>
    </xf>
    <xf numFmtId="0" fontId="0" fillId="0" borderId="0" xfId="0" applyBorder="1">
      <alignment vertical="center"/>
    </xf>
    <xf numFmtId="0" fontId="0" fillId="0" borderId="19" xfId="0" applyBorder="1" applyAlignment="1">
      <alignment vertical="center" wrapText="1"/>
    </xf>
  </cellXfs>
  <cellStyles count="1">
    <cellStyle name="標準" xfId="0" builtinId="0"/>
  </cellStyles>
  <dxfs count="4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CCFFCC"/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Z10"/>
  <sheetViews>
    <sheetView tabSelected="1" zoomScale="90" zoomScaleNormal="90" workbookViewId="0">
      <pane xSplit="8" ySplit="5" topLeftCell="M6" activePane="bottomRight" state="frozen"/>
      <selection pane="topRight" activeCell="G1" sqref="G1"/>
      <selection pane="bottomLeft" activeCell="A5" sqref="A5"/>
      <selection pane="bottomRight" activeCell="G1" sqref="G1"/>
    </sheetView>
  </sheetViews>
  <sheetFormatPr defaultRowHeight="18.75" outlineLevelCol="1" x14ac:dyDescent="0.4"/>
  <cols>
    <col min="1" max="1" width="4.625" customWidth="1"/>
    <col min="2" max="2" width="5.75" customWidth="1"/>
    <col min="7" max="7" width="48.375" customWidth="1"/>
    <col min="8" max="8" width="15.5" bestFit="1" customWidth="1"/>
    <col min="9" max="12" width="7.5" hidden="1" customWidth="1" outlineLevel="1"/>
    <col min="13" max="13" width="7.625" customWidth="1" collapsed="1"/>
    <col min="14" max="17" width="7.625" customWidth="1"/>
    <col min="18" max="28" width="7.625" hidden="1" customWidth="1" outlineLevel="1"/>
    <col min="29" max="29" width="7.5" customWidth="1" collapsed="1"/>
    <col min="30" max="32" width="7.625" customWidth="1"/>
    <col min="33" max="33" width="4.375" customWidth="1" collapsed="1"/>
    <col min="34" max="35" width="7.625" customWidth="1"/>
    <col min="36" max="36" width="6.125" style="30" customWidth="1"/>
    <col min="37" max="37" width="7.625" customWidth="1"/>
    <col min="38" max="38" width="7.625" style="30" customWidth="1"/>
    <col min="39" max="42" width="7.625" customWidth="1"/>
    <col min="43" max="45" width="7.625" hidden="1" customWidth="1" outlineLevel="1"/>
    <col min="46" max="46" width="7.625" customWidth="1" collapsed="1"/>
    <col min="47" max="48" width="7.625" customWidth="1"/>
    <col min="49" max="60" width="7.625" customWidth="1" outlineLevel="1"/>
    <col min="61" max="71" width="7.625" customWidth="1"/>
    <col min="72" max="72" width="7.625" hidden="1" customWidth="1" outlineLevel="1"/>
    <col min="73" max="73" width="7.625" customWidth="1" collapsed="1"/>
    <col min="74" max="74" width="7.625" customWidth="1"/>
    <col min="75" max="75" width="7.625" hidden="1" customWidth="1" outlineLevel="1"/>
    <col min="76" max="76" width="7.625" customWidth="1" collapsed="1"/>
    <col min="77" max="77" width="7.625" customWidth="1"/>
  </cols>
  <sheetData>
    <row r="1" spans="1:78" x14ac:dyDescent="0.4">
      <c r="C1" s="29" t="s">
        <v>43</v>
      </c>
      <c r="AC1" s="47" t="s">
        <v>40</v>
      </c>
      <c r="AD1" s="48"/>
      <c r="AE1" s="48"/>
      <c r="AF1" s="49"/>
      <c r="AV1" s="51" t="s">
        <v>98</v>
      </c>
    </row>
    <row r="2" spans="1:78" x14ac:dyDescent="0.4">
      <c r="C2" s="8" t="s">
        <v>28</v>
      </c>
      <c r="D2" s="9" t="s">
        <v>29</v>
      </c>
      <c r="E2" s="9" t="s">
        <v>30</v>
      </c>
      <c r="F2" s="9"/>
      <c r="G2" s="10"/>
      <c r="H2" s="10"/>
      <c r="I2" s="36"/>
      <c r="J2" s="36"/>
      <c r="K2" s="44" t="s">
        <v>31</v>
      </c>
      <c r="L2" s="46"/>
      <c r="M2" s="44" t="s">
        <v>1</v>
      </c>
      <c r="N2" s="45"/>
      <c r="O2" s="45"/>
      <c r="P2" s="46"/>
      <c r="Q2" s="11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23"/>
      <c r="AD2" s="24" t="s">
        <v>34</v>
      </c>
      <c r="AE2" s="24"/>
      <c r="AF2" s="25" t="s">
        <v>34</v>
      </c>
      <c r="AG2" s="10"/>
      <c r="AH2" s="9" t="s">
        <v>39</v>
      </c>
      <c r="AI2" s="11"/>
      <c r="AJ2" s="31"/>
      <c r="AK2" s="11"/>
      <c r="AL2" s="31"/>
      <c r="AM2" s="11"/>
      <c r="AN2" s="22" t="s">
        <v>41</v>
      </c>
      <c r="AO2" s="11"/>
      <c r="AP2" s="11"/>
      <c r="AQ2" s="27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40"/>
      <c r="BG2" s="40"/>
      <c r="BH2" s="40"/>
      <c r="BI2">
        <v>51</v>
      </c>
      <c r="BQ2">
        <v>14</v>
      </c>
      <c r="BR2">
        <v>28</v>
      </c>
    </row>
    <row r="3" spans="1:78" ht="75" x14ac:dyDescent="0.4">
      <c r="A3" s="1" t="s">
        <v>51</v>
      </c>
      <c r="B3" s="1" t="s">
        <v>56</v>
      </c>
      <c r="C3" s="2" t="s">
        <v>2</v>
      </c>
      <c r="D3" s="2" t="s">
        <v>6</v>
      </c>
      <c r="E3" s="2" t="s">
        <v>7</v>
      </c>
      <c r="F3" s="50" t="s">
        <v>96</v>
      </c>
      <c r="G3" s="2" t="s">
        <v>0</v>
      </c>
      <c r="H3" s="12" t="s">
        <v>4</v>
      </c>
      <c r="I3" s="12" t="s">
        <v>53</v>
      </c>
      <c r="J3" s="12" t="s">
        <v>54</v>
      </c>
      <c r="K3" s="12" t="s">
        <v>25</v>
      </c>
      <c r="L3" s="12" t="s">
        <v>26</v>
      </c>
      <c r="M3" s="12" t="s">
        <v>64</v>
      </c>
      <c r="N3" s="2" t="s">
        <v>5</v>
      </c>
      <c r="O3" s="2" t="s">
        <v>62</v>
      </c>
      <c r="P3" s="2" t="s">
        <v>13</v>
      </c>
      <c r="Q3" s="12" t="s">
        <v>47</v>
      </c>
      <c r="R3" s="12" t="s">
        <v>17</v>
      </c>
      <c r="S3" s="12" t="s">
        <v>18</v>
      </c>
      <c r="T3" s="12" t="s">
        <v>48</v>
      </c>
      <c r="U3" s="12" t="s">
        <v>20</v>
      </c>
      <c r="V3" s="12" t="s">
        <v>21</v>
      </c>
      <c r="W3" s="12" t="s">
        <v>49</v>
      </c>
      <c r="X3" s="12" t="s">
        <v>23</v>
      </c>
      <c r="Y3" s="12" t="s">
        <v>24</v>
      </c>
      <c r="Z3" s="12" t="s">
        <v>78</v>
      </c>
      <c r="AA3" s="12" t="s">
        <v>79</v>
      </c>
      <c r="AB3" s="12" t="s">
        <v>80</v>
      </c>
      <c r="AC3" s="12" t="s">
        <v>60</v>
      </c>
      <c r="AD3" s="12" t="s">
        <v>61</v>
      </c>
      <c r="AE3" s="2" t="s">
        <v>62</v>
      </c>
      <c r="AF3" s="12" t="s">
        <v>63</v>
      </c>
      <c r="AG3" s="14" t="s">
        <v>3</v>
      </c>
      <c r="AH3" s="20" t="s">
        <v>14</v>
      </c>
      <c r="AI3" s="2" t="s">
        <v>13</v>
      </c>
      <c r="AJ3" s="32" t="s">
        <v>44</v>
      </c>
      <c r="AK3" s="12" t="s">
        <v>65</v>
      </c>
      <c r="AL3" s="37" t="s">
        <v>55</v>
      </c>
      <c r="AM3" s="2" t="s">
        <v>13</v>
      </c>
      <c r="AN3" s="13" t="s">
        <v>32</v>
      </c>
      <c r="AO3" s="2" t="s">
        <v>13</v>
      </c>
      <c r="AP3" s="2" t="s">
        <v>33</v>
      </c>
      <c r="AQ3" s="26" t="s">
        <v>35</v>
      </c>
      <c r="AR3" s="12" t="s">
        <v>36</v>
      </c>
      <c r="AS3" s="12" t="s">
        <v>37</v>
      </c>
      <c r="AT3" s="12" t="s">
        <v>27</v>
      </c>
      <c r="AU3" s="12" t="s">
        <v>38</v>
      </c>
      <c r="AV3" s="12" t="s">
        <v>15</v>
      </c>
      <c r="AW3" s="12" t="s">
        <v>16</v>
      </c>
      <c r="AX3" s="12" t="s">
        <v>17</v>
      </c>
      <c r="AY3" s="12" t="s">
        <v>18</v>
      </c>
      <c r="AZ3" s="12" t="s">
        <v>19</v>
      </c>
      <c r="BA3" s="12" t="s">
        <v>20</v>
      </c>
      <c r="BB3" s="12" t="s">
        <v>21</v>
      </c>
      <c r="BC3" s="12" t="s">
        <v>22</v>
      </c>
      <c r="BD3" s="12" t="s">
        <v>23</v>
      </c>
      <c r="BE3" s="12" t="s">
        <v>24</v>
      </c>
      <c r="BF3" s="12" t="s">
        <v>78</v>
      </c>
      <c r="BG3" s="12" t="s">
        <v>79</v>
      </c>
      <c r="BH3" s="12" t="s">
        <v>80</v>
      </c>
      <c r="BI3" s="2" t="s">
        <v>8</v>
      </c>
      <c r="BJ3" s="2" t="s">
        <v>9</v>
      </c>
      <c r="BK3" s="2" t="s">
        <v>10</v>
      </c>
      <c r="BL3" s="2" t="s">
        <v>11</v>
      </c>
      <c r="BM3" s="12" t="s">
        <v>42</v>
      </c>
      <c r="BN3" s="12" t="s">
        <v>57</v>
      </c>
      <c r="BO3" s="2" t="s">
        <v>97</v>
      </c>
      <c r="BP3" s="2" t="s">
        <v>12</v>
      </c>
      <c r="BQ3" s="18" t="s">
        <v>45</v>
      </c>
      <c r="BR3" s="18" t="s">
        <v>46</v>
      </c>
      <c r="BS3" s="15" t="s">
        <v>52</v>
      </c>
      <c r="BT3" s="55" t="s">
        <v>82</v>
      </c>
      <c r="BU3" s="38" t="s">
        <v>99</v>
      </c>
      <c r="BV3" s="39" t="s">
        <v>58</v>
      </c>
      <c r="BW3" s="39" t="s">
        <v>83</v>
      </c>
      <c r="BX3" s="39" t="s">
        <v>100</v>
      </c>
      <c r="BY3" s="39" t="s">
        <v>59</v>
      </c>
      <c r="BZ3" s="34" t="s">
        <v>50</v>
      </c>
    </row>
    <row r="4" spans="1:78" x14ac:dyDescent="0.4">
      <c r="A4" s="3">
        <v>1</v>
      </c>
      <c r="B4" s="3">
        <v>1</v>
      </c>
      <c r="C4" s="4" t="s">
        <v>66</v>
      </c>
      <c r="D4" s="4" t="str">
        <f>TEXT(C4,"000000")</f>
        <v>J95751</v>
      </c>
      <c r="E4" s="4" t="s">
        <v>66</v>
      </c>
      <c r="F4" s="4" t="str">
        <f>D4&amp;I4</f>
        <v>J957515</v>
      </c>
      <c r="G4" s="4" t="s">
        <v>71</v>
      </c>
      <c r="H4" s="5">
        <v>4969887351383</v>
      </c>
      <c r="I4" s="5">
        <v>5</v>
      </c>
      <c r="J4" s="5"/>
      <c r="K4" s="5">
        <v>1</v>
      </c>
      <c r="L4" s="5">
        <v>1</v>
      </c>
      <c r="M4" s="4">
        <v>1250</v>
      </c>
      <c r="N4" s="4">
        <v>868</v>
      </c>
      <c r="O4" s="4">
        <v>606</v>
      </c>
      <c r="P4" s="6">
        <f>IFERROR(1-O4/N4,"-")</f>
        <v>0.3018433179723502</v>
      </c>
      <c r="Q4" s="4">
        <v>748</v>
      </c>
      <c r="R4" s="4">
        <v>2</v>
      </c>
      <c r="S4" s="4">
        <v>9</v>
      </c>
      <c r="T4" s="4">
        <v>738</v>
      </c>
      <c r="U4" s="4">
        <v>10</v>
      </c>
      <c r="V4" s="4">
        <v>29</v>
      </c>
      <c r="W4" s="4">
        <v>728</v>
      </c>
      <c r="X4" s="4">
        <v>30</v>
      </c>
      <c r="Y4" s="4">
        <v>99</v>
      </c>
      <c r="Z4" s="4">
        <v>698</v>
      </c>
      <c r="AA4" s="4">
        <v>100</v>
      </c>
      <c r="AB4" s="4">
        <v>99999</v>
      </c>
      <c r="AC4" s="4">
        <v>1300</v>
      </c>
      <c r="AD4" s="4">
        <f>IF(AG4="",AC4,AC4*AG4)</f>
        <v>1300</v>
      </c>
      <c r="AE4" s="4">
        <v>650</v>
      </c>
      <c r="AF4" s="4">
        <f>IF(AG4="",AE4,AE4*AG4)</f>
        <v>650</v>
      </c>
      <c r="AG4" s="4"/>
      <c r="AH4" s="21">
        <f t="shared" ref="AH4:AH10" si="0">ROUND(N4*AV4,0)</f>
        <v>931</v>
      </c>
      <c r="AI4" s="6">
        <f>IFERROR(1-AF4/AH4,"-")</f>
        <v>0.30182599355531692</v>
      </c>
      <c r="AJ4" s="33">
        <v>0.75</v>
      </c>
      <c r="AK4" s="4">
        <f t="shared" ref="AK4:AK10" si="1">BP4</f>
        <v>761</v>
      </c>
      <c r="AL4" s="33">
        <f>IFERROR(AK4*AV4,"-")</f>
        <v>816.25412541254127</v>
      </c>
      <c r="AM4" s="6">
        <f>IFERROR(1-AF4/AL4,"-")</f>
        <v>0.20367936925098551</v>
      </c>
      <c r="AN4" s="7">
        <v>950</v>
      </c>
      <c r="AO4" s="6">
        <f t="shared" ref="AO4:AO10" si="2">1-AF4/AN4</f>
        <v>0.31578947368421051</v>
      </c>
      <c r="AP4" s="4">
        <f t="shared" ref="AP4:AP10" si="3">AN4-AF4</f>
        <v>300</v>
      </c>
      <c r="AQ4" s="28"/>
      <c r="AR4" s="6" t="e">
        <f>1-AF4/AQ4</f>
        <v>#DIV/0!</v>
      </c>
      <c r="AS4" s="4">
        <f>AQ4-AF4</f>
        <v>-650</v>
      </c>
      <c r="AT4" s="6">
        <f t="shared" ref="AT4:AT10" si="4">IFERROR(AD4/M4,"-")</f>
        <v>1.04</v>
      </c>
      <c r="AU4" s="6">
        <f t="shared" ref="AU4:AU10" si="5">IFERROR(AN4/N4,"-")</f>
        <v>1.0944700460829493</v>
      </c>
      <c r="AV4" s="6">
        <f t="shared" ref="AV4:AV10" si="6">IFERROR(AF4/O4,"-")</f>
        <v>1.0726072607260726</v>
      </c>
      <c r="AW4" s="4">
        <v>880</v>
      </c>
      <c r="AX4" s="4">
        <f>IF(R4="","-",R4)</f>
        <v>2</v>
      </c>
      <c r="AY4" s="4">
        <f>IF(S4="","-",S4)</f>
        <v>9</v>
      </c>
      <c r="AZ4" s="4">
        <v>850</v>
      </c>
      <c r="BA4" s="4">
        <f>IF(U4="","-",U4)</f>
        <v>10</v>
      </c>
      <c r="BB4" s="4">
        <f>IF(V4="","-",V4)</f>
        <v>29</v>
      </c>
      <c r="BC4" s="4">
        <v>820</v>
      </c>
      <c r="BD4" s="4">
        <f>IF(X4="","-",X4)</f>
        <v>30</v>
      </c>
      <c r="BE4" s="4">
        <f>IF(Y4="","-",Y4)</f>
        <v>99</v>
      </c>
      <c r="BF4" s="4">
        <v>780</v>
      </c>
      <c r="BG4" s="4">
        <f>IF(AA4="","-",AA4)</f>
        <v>100</v>
      </c>
      <c r="BH4" s="4">
        <f>IF(AB4="","-",AB4)</f>
        <v>99999</v>
      </c>
      <c r="BI4" s="4">
        <v>0</v>
      </c>
      <c r="BJ4" s="4" t="s">
        <v>84</v>
      </c>
      <c r="BK4" s="4"/>
      <c r="BL4" s="4"/>
      <c r="BM4" s="4" t="s">
        <v>86</v>
      </c>
      <c r="BN4" s="4">
        <v>761</v>
      </c>
      <c r="BO4" s="4">
        <v>761</v>
      </c>
      <c r="BP4" s="4">
        <f>IF(BK4="",BO4,BK4/BL4*BO4)</f>
        <v>761</v>
      </c>
      <c r="BQ4" s="19">
        <v>4</v>
      </c>
      <c r="BR4" s="19">
        <v>8</v>
      </c>
      <c r="BS4" s="16">
        <v>6</v>
      </c>
      <c r="BT4" s="54" t="s">
        <v>81</v>
      </c>
      <c r="BU4" t="s">
        <v>81</v>
      </c>
      <c r="BV4" t="str">
        <f>IFERROR(BU4*AV4,"-")</f>
        <v>-</v>
      </c>
      <c r="BW4">
        <v>1188</v>
      </c>
      <c r="BX4">
        <v>1250</v>
      </c>
      <c r="BY4">
        <f>IFERROR(BX4*AV4,"-")</f>
        <v>1340.7590759075908</v>
      </c>
      <c r="BZ4" t="s">
        <v>85</v>
      </c>
    </row>
    <row r="5" spans="1:78" x14ac:dyDescent="0.4">
      <c r="A5" s="3">
        <v>2</v>
      </c>
      <c r="B5" s="3">
        <v>2</v>
      </c>
      <c r="C5" s="4" t="s">
        <v>67</v>
      </c>
      <c r="D5" s="4" t="str">
        <f t="shared" ref="D5:D10" si="7">TEXT(C5,"000000")</f>
        <v>J5077N</v>
      </c>
      <c r="E5" s="4" t="s">
        <v>67</v>
      </c>
      <c r="F5" s="4" t="str">
        <f t="shared" ref="F5:F10" si="8">D5&amp;I5</f>
        <v>J5077N5</v>
      </c>
      <c r="G5" s="4" t="s">
        <v>72</v>
      </c>
      <c r="H5" s="5">
        <v>4969887215005</v>
      </c>
      <c r="I5" s="5">
        <v>5</v>
      </c>
      <c r="J5" s="5"/>
      <c r="K5" s="5">
        <v>1</v>
      </c>
      <c r="L5" s="5">
        <v>1</v>
      </c>
      <c r="M5" s="4">
        <v>5700</v>
      </c>
      <c r="N5" s="4">
        <v>4351</v>
      </c>
      <c r="O5" s="4">
        <v>2977</v>
      </c>
      <c r="P5" s="6">
        <f t="shared" ref="P5:P10" si="9">IFERROR(1-O5/N5,"-")</f>
        <v>0.31578947368421051</v>
      </c>
      <c r="Q5" s="4" t="s">
        <v>81</v>
      </c>
      <c r="R5" s="4" t="s">
        <v>81</v>
      </c>
      <c r="S5" s="4" t="s">
        <v>81</v>
      </c>
      <c r="T5" s="4" t="s">
        <v>81</v>
      </c>
      <c r="U5" s="4" t="s">
        <v>81</v>
      </c>
      <c r="V5" s="4" t="s">
        <v>81</v>
      </c>
      <c r="W5" s="4" t="s">
        <v>81</v>
      </c>
      <c r="X5" s="4" t="s">
        <v>81</v>
      </c>
      <c r="Y5" s="4" t="s">
        <v>81</v>
      </c>
      <c r="Z5" s="4" t="s">
        <v>81</v>
      </c>
      <c r="AA5" s="4" t="s">
        <v>81</v>
      </c>
      <c r="AB5" s="4" t="s">
        <v>81</v>
      </c>
      <c r="AC5" s="4">
        <v>6200</v>
      </c>
      <c r="AD5" s="4">
        <f t="shared" ref="AD5:AD10" si="10">IF(AG5="",AC5,AC5*AG5)</f>
        <v>6200</v>
      </c>
      <c r="AE5" s="4">
        <v>3250</v>
      </c>
      <c r="AF5" s="4">
        <f t="shared" ref="AF5:AF10" si="11">IF(AG5="",AE5,AE5*AG5)</f>
        <v>3250</v>
      </c>
      <c r="AG5" s="4"/>
      <c r="AH5" s="21">
        <f t="shared" si="0"/>
        <v>4750</v>
      </c>
      <c r="AI5" s="6">
        <f t="shared" ref="AI5:AI10" si="12">IFERROR(1-AF5/AH5,"-")</f>
        <v>0.31578947368421051</v>
      </c>
      <c r="AJ5" s="33">
        <v>0.25</v>
      </c>
      <c r="AK5" s="4">
        <f t="shared" si="1"/>
        <v>5437</v>
      </c>
      <c r="AL5" s="33">
        <f t="shared" ref="AL5:AL10" si="13">IFERROR(AK5*AV5,"-")</f>
        <v>5935.5895196506553</v>
      </c>
      <c r="AM5" s="6">
        <f t="shared" ref="AM5:AM10" si="14">IFERROR(1-AF5/AL5,"-")</f>
        <v>0.45245539819753544</v>
      </c>
      <c r="AN5" s="7">
        <v>5000</v>
      </c>
      <c r="AO5" s="6">
        <f t="shared" si="2"/>
        <v>0.35</v>
      </c>
      <c r="AP5" s="4">
        <f t="shared" si="3"/>
        <v>1750</v>
      </c>
      <c r="AQ5" s="28"/>
      <c r="AR5" s="6"/>
      <c r="AS5" s="6"/>
      <c r="AT5" s="6">
        <f t="shared" si="4"/>
        <v>1.0877192982456141</v>
      </c>
      <c r="AU5" s="6">
        <f t="shared" si="5"/>
        <v>1.1491611123879568</v>
      </c>
      <c r="AV5" s="6">
        <f t="shared" si="6"/>
        <v>1.0917030567685591</v>
      </c>
      <c r="AW5" s="4" t="str">
        <f t="shared" ref="AW5:AW10" si="15">IFERROR(ROUND($AN5*Q5/$N5,0),"-")</f>
        <v>-</v>
      </c>
      <c r="AX5" s="4" t="str">
        <f>IF(R5="","-",R5)</f>
        <v>-</v>
      </c>
      <c r="AY5" s="4" t="str">
        <f>IF(S5="","-",S5)</f>
        <v>-</v>
      </c>
      <c r="AZ5" s="4" t="str">
        <f>IFERROR(ROUND($AN5*T5/$N5,0),"-")</f>
        <v>-</v>
      </c>
      <c r="BA5" s="4" t="str">
        <f>IF(U5="","-",U5)</f>
        <v>-</v>
      </c>
      <c r="BB5" s="4" t="str">
        <f>IF(V5="","-",V5)</f>
        <v>-</v>
      </c>
      <c r="BC5" s="4" t="str">
        <f>IFERROR(ROUND($AN5*W5/$N5,0),"-")</f>
        <v>-</v>
      </c>
      <c r="BD5" s="4" t="str">
        <f>IF(X5="","-",X5)</f>
        <v>-</v>
      </c>
      <c r="BE5" s="4" t="str">
        <f>IF(Y5="","-",Y5)</f>
        <v>-</v>
      </c>
      <c r="BF5" s="4" t="str">
        <f>IFERROR(ROUND($AN5*Z5/$N5,0),"-")</f>
        <v>-</v>
      </c>
      <c r="BG5" s="4" t="str">
        <f>IF(AA5="","-",AA5)</f>
        <v>-</v>
      </c>
      <c r="BH5" s="4" t="str">
        <f>IF(AB5="","-",AB5)</f>
        <v>-</v>
      </c>
      <c r="BI5" s="4">
        <v>0</v>
      </c>
      <c r="BJ5" s="4" t="s">
        <v>88</v>
      </c>
      <c r="BK5" s="4"/>
      <c r="BL5" s="4"/>
      <c r="BM5" s="4" t="s">
        <v>86</v>
      </c>
      <c r="BN5" s="4">
        <v>5437</v>
      </c>
      <c r="BO5" s="4">
        <v>5437</v>
      </c>
      <c r="BP5" s="4">
        <f>IF(BK5="",BO5,BK5/BL5*BO5)</f>
        <v>5437</v>
      </c>
      <c r="BQ5" s="19">
        <v>4</v>
      </c>
      <c r="BR5" s="19">
        <v>8</v>
      </c>
      <c r="BS5" s="16">
        <v>6</v>
      </c>
      <c r="BT5" s="54" t="s">
        <v>81</v>
      </c>
      <c r="BU5" t="s">
        <v>81</v>
      </c>
      <c r="BV5" t="str">
        <f>IFERROR(BU5*AV5,"-")</f>
        <v>-</v>
      </c>
      <c r="BW5" t="s">
        <v>87</v>
      </c>
      <c r="BX5" t="s">
        <v>81</v>
      </c>
      <c r="BY5" t="str">
        <f>IFERROR(BX5*AV5,"-")</f>
        <v>-</v>
      </c>
      <c r="BZ5" t="s">
        <v>89</v>
      </c>
    </row>
    <row r="6" spans="1:78" x14ac:dyDescent="0.4">
      <c r="A6" s="43">
        <v>3</v>
      </c>
      <c r="B6" s="3">
        <v>3</v>
      </c>
      <c r="C6" s="17">
        <v>328945</v>
      </c>
      <c r="D6" s="4" t="str">
        <f t="shared" si="7"/>
        <v>328945</v>
      </c>
      <c r="E6" s="4">
        <v>328945</v>
      </c>
      <c r="F6" s="4" t="str">
        <f t="shared" si="8"/>
        <v>3289455</v>
      </c>
      <c r="G6" s="4" t="s">
        <v>73</v>
      </c>
      <c r="H6" s="5">
        <v>4969887892817</v>
      </c>
      <c r="I6" s="5">
        <v>5</v>
      </c>
      <c r="J6" s="5"/>
      <c r="K6" s="5">
        <v>1</v>
      </c>
      <c r="L6" s="5">
        <v>1</v>
      </c>
      <c r="M6" s="4">
        <v>0</v>
      </c>
      <c r="N6" s="4">
        <v>25500</v>
      </c>
      <c r="O6" s="4">
        <v>16250</v>
      </c>
      <c r="P6" s="6">
        <f t="shared" si="9"/>
        <v>0.36274509803921573</v>
      </c>
      <c r="Q6" s="4">
        <v>23800</v>
      </c>
      <c r="R6" s="4">
        <v>4</v>
      </c>
      <c r="S6" s="4">
        <v>99999</v>
      </c>
      <c r="T6" s="4" t="s">
        <v>81</v>
      </c>
      <c r="U6" s="4" t="s">
        <v>81</v>
      </c>
      <c r="V6" s="4" t="s">
        <v>81</v>
      </c>
      <c r="W6" s="4" t="s">
        <v>81</v>
      </c>
      <c r="X6" s="4" t="s">
        <v>81</v>
      </c>
      <c r="Y6" s="4" t="s">
        <v>81</v>
      </c>
      <c r="Z6" s="4" t="s">
        <v>81</v>
      </c>
      <c r="AA6" s="4" t="s">
        <v>81</v>
      </c>
      <c r="AB6" s="4" t="s">
        <v>81</v>
      </c>
      <c r="AC6" s="4">
        <v>0</v>
      </c>
      <c r="AD6" s="4">
        <f t="shared" si="10"/>
        <v>0</v>
      </c>
      <c r="AE6" s="4">
        <v>16486</v>
      </c>
      <c r="AF6" s="4">
        <f t="shared" si="11"/>
        <v>16486</v>
      </c>
      <c r="AG6" s="4"/>
      <c r="AH6" s="21">
        <f t="shared" si="0"/>
        <v>25870</v>
      </c>
      <c r="AI6" s="6">
        <f t="shared" si="12"/>
        <v>0.36273676072671046</v>
      </c>
      <c r="AJ6" s="33">
        <v>0</v>
      </c>
      <c r="AK6" s="4" t="str">
        <f t="shared" si="1"/>
        <v>-</v>
      </c>
      <c r="AL6" s="33" t="str">
        <f t="shared" si="13"/>
        <v>-</v>
      </c>
      <c r="AM6" s="6" t="str">
        <f t="shared" si="14"/>
        <v>-</v>
      </c>
      <c r="AN6" s="7">
        <v>26000</v>
      </c>
      <c r="AO6" s="52">
        <f t="shared" si="2"/>
        <v>0.36592307692307691</v>
      </c>
      <c r="AP6" s="4">
        <f t="shared" si="3"/>
        <v>9514</v>
      </c>
      <c r="AQ6" s="28"/>
      <c r="AR6" s="6"/>
      <c r="AS6" s="6"/>
      <c r="AT6" s="6" t="str">
        <f t="shared" si="4"/>
        <v>-</v>
      </c>
      <c r="AU6" s="6">
        <f t="shared" si="5"/>
        <v>1.0196078431372548</v>
      </c>
      <c r="AV6" s="6">
        <f t="shared" si="6"/>
        <v>1.0145230769230769</v>
      </c>
      <c r="AW6" s="4">
        <v>24700</v>
      </c>
      <c r="AX6" s="4">
        <f>IF(R6="","-",R6)</f>
        <v>4</v>
      </c>
      <c r="AY6" s="4">
        <f>IF(S6="","-",S6)</f>
        <v>99999</v>
      </c>
      <c r="AZ6" s="4" t="str">
        <f>IFERROR(ROUND($AN6*T6/$N6,0),"-")</f>
        <v>-</v>
      </c>
      <c r="BA6" s="4" t="str">
        <f>IF(U6="","-",U6)</f>
        <v>-</v>
      </c>
      <c r="BB6" s="4" t="str">
        <f>IF(V6="","-",V6)</f>
        <v>-</v>
      </c>
      <c r="BC6" s="4" t="str">
        <f>IFERROR(ROUND($AN6*W6/$N6,0),"-")</f>
        <v>-</v>
      </c>
      <c r="BD6" s="4" t="str">
        <f>IF(X6="","-",X6)</f>
        <v>-</v>
      </c>
      <c r="BE6" s="4" t="str">
        <f>IF(Y6="","-",Y6)</f>
        <v>-</v>
      </c>
      <c r="BF6" s="4" t="str">
        <f>IFERROR(ROUND($AN6*Z6/$N6,0),"-")</f>
        <v>-</v>
      </c>
      <c r="BG6" s="4" t="str">
        <f>IF(AA6="","-",AA6)</f>
        <v>-</v>
      </c>
      <c r="BH6" s="4" t="str">
        <f>IF(AB6="","-",AB6)</f>
        <v>-</v>
      </c>
      <c r="BI6" s="4">
        <v>0</v>
      </c>
      <c r="BJ6" s="4" t="s">
        <v>87</v>
      </c>
      <c r="BK6" s="4"/>
      <c r="BL6" s="4"/>
      <c r="BM6" s="4" t="s">
        <v>87</v>
      </c>
      <c r="BN6" s="4" t="s">
        <v>81</v>
      </c>
      <c r="BO6" s="4" t="s">
        <v>81</v>
      </c>
      <c r="BP6" s="4" t="str">
        <f>IF(BK6="",BO6,BK6/BL6*BO6)</f>
        <v>-</v>
      </c>
      <c r="BQ6" s="19">
        <v>4</v>
      </c>
      <c r="BR6" s="19">
        <v>9</v>
      </c>
      <c r="BS6" s="16">
        <v>11</v>
      </c>
      <c r="BT6" s="54" t="s">
        <v>81</v>
      </c>
      <c r="BU6" t="s">
        <v>81</v>
      </c>
      <c r="BV6" t="str">
        <f>IFERROR(BU6*AV6,"-")</f>
        <v>-</v>
      </c>
      <c r="BW6">
        <v>28500</v>
      </c>
      <c r="BX6">
        <v>30000</v>
      </c>
      <c r="BY6">
        <f>IFERROR(BX6*AV6,"-")</f>
        <v>30435.692307692305</v>
      </c>
      <c r="BZ6" t="s">
        <v>87</v>
      </c>
    </row>
    <row r="7" spans="1:78" x14ac:dyDescent="0.4">
      <c r="A7" s="43">
        <v>4</v>
      </c>
      <c r="B7" s="3">
        <v>4</v>
      </c>
      <c r="C7" s="17" t="s">
        <v>68</v>
      </c>
      <c r="D7" s="4" t="str">
        <f t="shared" si="7"/>
        <v>J451LX</v>
      </c>
      <c r="E7" s="4" t="s">
        <v>68</v>
      </c>
      <c r="F7" s="4" t="str">
        <f t="shared" si="8"/>
        <v>J451LX5</v>
      </c>
      <c r="G7" s="4" t="s">
        <v>74</v>
      </c>
      <c r="H7" s="5">
        <v>4969887451397</v>
      </c>
      <c r="I7" s="5">
        <v>5</v>
      </c>
      <c r="J7" s="5"/>
      <c r="K7" s="5">
        <v>1</v>
      </c>
      <c r="L7" s="5">
        <v>1</v>
      </c>
      <c r="M7" s="4">
        <v>64500</v>
      </c>
      <c r="N7" s="4">
        <v>60792</v>
      </c>
      <c r="O7" s="4">
        <v>38700</v>
      </c>
      <c r="P7" s="6">
        <f t="shared" si="9"/>
        <v>0.36340307935254634</v>
      </c>
      <c r="Q7" s="4">
        <v>56600</v>
      </c>
      <c r="R7" s="4">
        <v>4</v>
      </c>
      <c r="S7" s="4">
        <v>99999</v>
      </c>
      <c r="T7" s="4" t="s">
        <v>81</v>
      </c>
      <c r="U7" s="4" t="s">
        <v>81</v>
      </c>
      <c r="V7" s="4" t="s">
        <v>81</v>
      </c>
      <c r="W7" s="4" t="s">
        <v>81</v>
      </c>
      <c r="X7" s="4" t="s">
        <v>81</v>
      </c>
      <c r="Y7" s="4" t="s">
        <v>81</v>
      </c>
      <c r="Z7" s="4" t="s">
        <v>81</v>
      </c>
      <c r="AA7" s="4" t="s">
        <v>81</v>
      </c>
      <c r="AB7" s="4" t="s">
        <v>81</v>
      </c>
      <c r="AC7" s="4">
        <v>72000</v>
      </c>
      <c r="AD7" s="4">
        <f t="shared" si="10"/>
        <v>72000</v>
      </c>
      <c r="AE7" s="4">
        <v>43200</v>
      </c>
      <c r="AF7" s="4">
        <f t="shared" si="11"/>
        <v>43200</v>
      </c>
      <c r="AG7" s="4"/>
      <c r="AH7" s="21">
        <f t="shared" si="0"/>
        <v>67861</v>
      </c>
      <c r="AI7" s="6">
        <f t="shared" si="12"/>
        <v>0.36340460647500039</v>
      </c>
      <c r="AJ7" s="33">
        <v>0</v>
      </c>
      <c r="AK7" s="4">
        <f t="shared" si="1"/>
        <v>52019</v>
      </c>
      <c r="AL7" s="33">
        <f t="shared" si="13"/>
        <v>58067.720930232557</v>
      </c>
      <c r="AM7" s="6">
        <f t="shared" si="14"/>
        <v>0.25604106191968323</v>
      </c>
      <c r="AN7" s="7">
        <v>58000</v>
      </c>
      <c r="AO7" s="52">
        <f t="shared" si="2"/>
        <v>0.2551724137931034</v>
      </c>
      <c r="AP7" s="4">
        <f t="shared" si="3"/>
        <v>14800</v>
      </c>
      <c r="AQ7" s="28"/>
      <c r="AR7" s="6"/>
      <c r="AS7" s="6"/>
      <c r="AT7" s="6">
        <f t="shared" si="4"/>
        <v>1.1162790697674418</v>
      </c>
      <c r="AU7" s="6">
        <f t="shared" si="5"/>
        <v>0.95407290432951708</v>
      </c>
      <c r="AV7" s="6">
        <f t="shared" si="6"/>
        <v>1.1162790697674418</v>
      </c>
      <c r="AW7" s="4">
        <v>54000</v>
      </c>
      <c r="AX7" s="4">
        <f>IF(R7="","-",R7)</f>
        <v>4</v>
      </c>
      <c r="AY7" s="4">
        <f>IF(S7="","-",S7)</f>
        <v>99999</v>
      </c>
      <c r="AZ7" s="4" t="str">
        <f>IFERROR(ROUND($AN7*T7/$N7,0),"-")</f>
        <v>-</v>
      </c>
      <c r="BA7" s="4" t="str">
        <f>IF(U7="","-",U7)</f>
        <v>-</v>
      </c>
      <c r="BB7" s="4" t="str">
        <f>IF(V7="","-",V7)</f>
        <v>-</v>
      </c>
      <c r="BC7" s="4" t="str">
        <f>IFERROR(ROUND($AN7*W7/$N7,0),"-")</f>
        <v>-</v>
      </c>
      <c r="BD7" s="4" t="str">
        <f>IF(X7="","-",X7)</f>
        <v>-</v>
      </c>
      <c r="BE7" s="4" t="str">
        <f>IF(Y7="","-",Y7)</f>
        <v>-</v>
      </c>
      <c r="BF7" s="4" t="str">
        <f>IFERROR(ROUND($AN7*Z7/$N7,0),"-")</f>
        <v>-</v>
      </c>
      <c r="BG7" s="4" t="str">
        <f>IF(AA7="","-",AA7)</f>
        <v>-</v>
      </c>
      <c r="BH7" s="4" t="str">
        <f>IF(AB7="","-",AB7)</f>
        <v>-</v>
      </c>
      <c r="BI7" s="4">
        <v>0</v>
      </c>
      <c r="BJ7" s="4" t="s">
        <v>90</v>
      </c>
      <c r="BK7" s="4"/>
      <c r="BL7" s="4"/>
      <c r="BM7" s="4" t="s">
        <v>86</v>
      </c>
      <c r="BN7" s="4">
        <v>52019</v>
      </c>
      <c r="BO7" s="4">
        <v>52019</v>
      </c>
      <c r="BP7" s="4">
        <f>IF(BK7="",BO7,BK7/BL7*BO7)</f>
        <v>52019</v>
      </c>
      <c r="BQ7" s="19">
        <v>4</v>
      </c>
      <c r="BR7" s="19">
        <v>9</v>
      </c>
      <c r="BS7" s="16">
        <v>11</v>
      </c>
      <c r="BT7" s="54" t="s">
        <v>81</v>
      </c>
      <c r="BU7" t="s">
        <v>81</v>
      </c>
      <c r="BV7" t="str">
        <f>IFERROR(BU7*AV7,"-")</f>
        <v>-</v>
      </c>
      <c r="BW7">
        <v>59000</v>
      </c>
      <c r="BX7">
        <v>59000</v>
      </c>
      <c r="BY7">
        <f>IFERROR(BX7*AV7,"-")</f>
        <v>65860.465116279069</v>
      </c>
      <c r="BZ7" t="s">
        <v>91</v>
      </c>
    </row>
    <row r="8" spans="1:78" x14ac:dyDescent="0.4">
      <c r="A8" s="41">
        <v>5</v>
      </c>
      <c r="B8" s="3">
        <v>5</v>
      </c>
      <c r="C8" s="17" t="s">
        <v>69</v>
      </c>
      <c r="D8" s="4" t="str">
        <f t="shared" si="7"/>
        <v>J9891N</v>
      </c>
      <c r="E8" s="4" t="s">
        <v>69</v>
      </c>
      <c r="F8" s="4" t="str">
        <f t="shared" si="8"/>
        <v>J9891N5</v>
      </c>
      <c r="G8" s="4" t="s">
        <v>75</v>
      </c>
      <c r="H8" s="5">
        <v>4969887452899</v>
      </c>
      <c r="I8" s="5">
        <v>5</v>
      </c>
      <c r="J8" s="5"/>
      <c r="K8" s="5">
        <v>1</v>
      </c>
      <c r="L8" s="5">
        <v>1</v>
      </c>
      <c r="M8" s="4">
        <v>65000</v>
      </c>
      <c r="N8" s="4">
        <v>61812</v>
      </c>
      <c r="O8" s="4">
        <v>39000</v>
      </c>
      <c r="P8" s="6">
        <f t="shared" si="9"/>
        <v>0.36905455251407493</v>
      </c>
      <c r="Q8" s="4">
        <v>57600</v>
      </c>
      <c r="R8" s="4">
        <v>4</v>
      </c>
      <c r="S8" s="4">
        <v>99999</v>
      </c>
      <c r="T8" s="4" t="s">
        <v>81</v>
      </c>
      <c r="U8" s="4" t="s">
        <v>81</v>
      </c>
      <c r="V8" s="4" t="s">
        <v>81</v>
      </c>
      <c r="W8" s="4" t="s">
        <v>81</v>
      </c>
      <c r="X8" s="4" t="s">
        <v>81</v>
      </c>
      <c r="Y8" s="4" t="s">
        <v>81</v>
      </c>
      <c r="Z8" s="4" t="s">
        <v>81</v>
      </c>
      <c r="AA8" s="4" t="s">
        <v>81</v>
      </c>
      <c r="AB8" s="4" t="s">
        <v>81</v>
      </c>
      <c r="AC8" s="4">
        <v>69000</v>
      </c>
      <c r="AD8" s="4">
        <f t="shared" si="10"/>
        <v>69000</v>
      </c>
      <c r="AE8" s="4">
        <v>41400</v>
      </c>
      <c r="AF8" s="4">
        <f t="shared" si="11"/>
        <v>41400</v>
      </c>
      <c r="AG8" s="4"/>
      <c r="AH8" s="21">
        <f t="shared" si="0"/>
        <v>65616</v>
      </c>
      <c r="AI8" s="6">
        <f t="shared" si="12"/>
        <v>0.36905632772494512</v>
      </c>
      <c r="AJ8" s="33">
        <v>0</v>
      </c>
      <c r="AK8" s="4" t="str">
        <f t="shared" si="1"/>
        <v>-</v>
      </c>
      <c r="AL8" s="33" t="str">
        <f t="shared" si="13"/>
        <v>-</v>
      </c>
      <c r="AM8" s="6" t="str">
        <f t="shared" si="14"/>
        <v>-</v>
      </c>
      <c r="AN8" s="7">
        <v>63500</v>
      </c>
      <c r="AO8" s="6">
        <f t="shared" si="2"/>
        <v>0.34803149606299211</v>
      </c>
      <c r="AP8" s="42">
        <f t="shared" si="3"/>
        <v>22100</v>
      </c>
      <c r="AQ8" s="28"/>
      <c r="AR8" s="6"/>
      <c r="AS8" s="6"/>
      <c r="AT8" s="6">
        <f t="shared" si="4"/>
        <v>1.0615384615384615</v>
      </c>
      <c r="AU8" s="6">
        <f t="shared" si="5"/>
        <v>1.0273086132142626</v>
      </c>
      <c r="AV8" s="6">
        <f t="shared" si="6"/>
        <v>1.0615384615384615</v>
      </c>
      <c r="AW8" s="4">
        <v>60000</v>
      </c>
      <c r="AX8" s="4">
        <f>IF(R8="","-",R8)</f>
        <v>4</v>
      </c>
      <c r="AY8" s="4">
        <f>IF(S8="","-",S8)</f>
        <v>99999</v>
      </c>
      <c r="AZ8" s="4" t="str">
        <f>IFERROR(ROUND($AN8*T8/$N8,0),"-")</f>
        <v>-</v>
      </c>
      <c r="BA8" s="4" t="str">
        <f>IF(U8="","-",U8)</f>
        <v>-</v>
      </c>
      <c r="BB8" s="4" t="str">
        <f>IF(V8="","-",V8)</f>
        <v>-</v>
      </c>
      <c r="BC8" s="4" t="str">
        <f>IFERROR(ROUND($AN8*W8/$N8,0),"-")</f>
        <v>-</v>
      </c>
      <c r="BD8" s="4" t="str">
        <f>IF(X8="","-",X8)</f>
        <v>-</v>
      </c>
      <c r="BE8" s="4" t="str">
        <f>IF(Y8="","-",Y8)</f>
        <v>-</v>
      </c>
      <c r="BF8" s="4" t="str">
        <f>IFERROR(ROUND($AN8*Z8/$N8,0),"-")</f>
        <v>-</v>
      </c>
      <c r="BG8" s="4" t="str">
        <f>IF(AA8="","-",AA8)</f>
        <v>-</v>
      </c>
      <c r="BH8" s="4" t="str">
        <f>IF(AB8="","-",AB8)</f>
        <v>-</v>
      </c>
      <c r="BI8" s="4">
        <v>0</v>
      </c>
      <c r="BJ8" s="4" t="s">
        <v>87</v>
      </c>
      <c r="BK8" s="4"/>
      <c r="BL8" s="4"/>
      <c r="BM8" s="4" t="s">
        <v>87</v>
      </c>
      <c r="BN8" s="4" t="s">
        <v>81</v>
      </c>
      <c r="BO8" s="4" t="s">
        <v>81</v>
      </c>
      <c r="BP8" s="4" t="str">
        <f>IF(BK8="",BO8,BK8/BL8*BO8)</f>
        <v>-</v>
      </c>
      <c r="BQ8" s="19">
        <v>2</v>
      </c>
      <c r="BR8" s="19">
        <v>8</v>
      </c>
      <c r="BS8" s="16">
        <v>11</v>
      </c>
      <c r="BT8" s="53">
        <v>60000</v>
      </c>
      <c r="BU8">
        <v>60000</v>
      </c>
      <c r="BV8">
        <f>IFERROR(BU8*AV8,"-")</f>
        <v>63692.307692307695</v>
      </c>
      <c r="BW8">
        <v>60000</v>
      </c>
      <c r="BX8">
        <v>60000</v>
      </c>
      <c r="BY8">
        <f>IFERROR(BX8*AV8,"-")</f>
        <v>63692.307692307695</v>
      </c>
      <c r="BZ8" t="s">
        <v>87</v>
      </c>
    </row>
    <row r="9" spans="1:78" x14ac:dyDescent="0.4">
      <c r="A9" s="43">
        <v>6</v>
      </c>
      <c r="B9" s="3">
        <v>6</v>
      </c>
      <c r="C9" s="17">
        <v>328942</v>
      </c>
      <c r="D9" s="4" t="str">
        <f t="shared" si="7"/>
        <v>328942</v>
      </c>
      <c r="E9" s="4">
        <v>328942</v>
      </c>
      <c r="F9" s="4" t="str">
        <f t="shared" si="8"/>
        <v>3289425</v>
      </c>
      <c r="G9" s="4" t="s">
        <v>76</v>
      </c>
      <c r="H9" s="5">
        <v>4969887898536</v>
      </c>
      <c r="I9" s="5">
        <v>5</v>
      </c>
      <c r="J9" s="5"/>
      <c r="K9" s="5">
        <v>1</v>
      </c>
      <c r="L9" s="5">
        <v>1</v>
      </c>
      <c r="M9" s="4">
        <v>48400</v>
      </c>
      <c r="N9" s="4">
        <v>35580</v>
      </c>
      <c r="O9" s="4">
        <v>24200</v>
      </c>
      <c r="P9" s="6">
        <f t="shared" si="9"/>
        <v>0.31984260820685784</v>
      </c>
      <c r="Q9" s="4" t="s">
        <v>81</v>
      </c>
      <c r="R9" s="4" t="s">
        <v>81</v>
      </c>
      <c r="S9" s="4" t="s">
        <v>81</v>
      </c>
      <c r="T9" s="4" t="s">
        <v>81</v>
      </c>
      <c r="U9" s="4" t="s">
        <v>81</v>
      </c>
      <c r="V9" s="4" t="s">
        <v>81</v>
      </c>
      <c r="W9" s="4" t="s">
        <v>81</v>
      </c>
      <c r="X9" s="4" t="s">
        <v>81</v>
      </c>
      <c r="Y9" s="4" t="s">
        <v>81</v>
      </c>
      <c r="Z9" s="4" t="s">
        <v>81</v>
      </c>
      <c r="AA9" s="4" t="s">
        <v>81</v>
      </c>
      <c r="AB9" s="4" t="s">
        <v>81</v>
      </c>
      <c r="AC9" s="4">
        <v>55000</v>
      </c>
      <c r="AD9" s="4">
        <f t="shared" si="10"/>
        <v>55000</v>
      </c>
      <c r="AE9" s="4">
        <v>27500</v>
      </c>
      <c r="AF9" s="4">
        <f t="shared" si="11"/>
        <v>27500</v>
      </c>
      <c r="AG9" s="4"/>
      <c r="AH9" s="21">
        <f t="shared" si="0"/>
        <v>40432</v>
      </c>
      <c r="AI9" s="6">
        <f t="shared" si="12"/>
        <v>0.3198456667985754</v>
      </c>
      <c r="AJ9" s="33">
        <v>0</v>
      </c>
      <c r="AK9" s="4">
        <f t="shared" si="1"/>
        <v>35591</v>
      </c>
      <c r="AL9" s="33">
        <f t="shared" si="13"/>
        <v>40444.318181818184</v>
      </c>
      <c r="AM9" s="6">
        <f t="shared" si="14"/>
        <v>0.32005282234272714</v>
      </c>
      <c r="AN9" s="7">
        <v>40400</v>
      </c>
      <c r="AO9" s="52">
        <f t="shared" si="2"/>
        <v>0.31930693069306926</v>
      </c>
      <c r="AP9" s="4">
        <f t="shared" si="3"/>
        <v>12900</v>
      </c>
      <c r="AQ9" s="28"/>
      <c r="AR9" s="6"/>
      <c r="AS9" s="6"/>
      <c r="AT9" s="6">
        <f t="shared" si="4"/>
        <v>1.1363636363636365</v>
      </c>
      <c r="AU9" s="6">
        <f t="shared" si="5"/>
        <v>1.135469364811692</v>
      </c>
      <c r="AV9" s="6">
        <f t="shared" si="6"/>
        <v>1.1363636363636365</v>
      </c>
      <c r="AW9" s="4" t="str">
        <f t="shared" si="15"/>
        <v>-</v>
      </c>
      <c r="AX9" s="4" t="str">
        <f>IF(R9="","-",R9)</f>
        <v>-</v>
      </c>
      <c r="AY9" s="4" t="str">
        <f>IF(S9="","-",S9)</f>
        <v>-</v>
      </c>
      <c r="AZ9" s="4" t="str">
        <f>IFERROR(ROUND($AN9*T9/$N9,0),"-")</f>
        <v>-</v>
      </c>
      <c r="BA9" s="4" t="str">
        <f>IF(U9="","-",U9)</f>
        <v>-</v>
      </c>
      <c r="BB9" s="4" t="str">
        <f>IF(V9="","-",V9)</f>
        <v>-</v>
      </c>
      <c r="BC9" s="4" t="str">
        <f>IFERROR(ROUND($AN9*W9/$N9,0),"-")</f>
        <v>-</v>
      </c>
      <c r="BD9" s="4" t="str">
        <f>IF(X9="","-",X9)</f>
        <v>-</v>
      </c>
      <c r="BE9" s="4" t="str">
        <f>IF(Y9="","-",Y9)</f>
        <v>-</v>
      </c>
      <c r="BF9" s="4" t="str">
        <f>IFERROR(ROUND($AN9*Z9/$N9,0),"-")</f>
        <v>-</v>
      </c>
      <c r="BG9" s="4" t="str">
        <f>IF(AA9="","-",AA9)</f>
        <v>-</v>
      </c>
      <c r="BH9" s="4" t="str">
        <f>IF(AB9="","-",AB9)</f>
        <v>-</v>
      </c>
      <c r="BI9" s="4" t="s">
        <v>70</v>
      </c>
      <c r="BJ9" s="4" t="s">
        <v>92</v>
      </c>
      <c r="BK9" s="4"/>
      <c r="BL9" s="4"/>
      <c r="BM9" s="4" t="s">
        <v>86</v>
      </c>
      <c r="BN9" s="4">
        <v>35591</v>
      </c>
      <c r="BO9" s="4">
        <v>35591</v>
      </c>
      <c r="BP9" s="4">
        <f>IF(BK9="",BO9,BK9/BL9*BO9)</f>
        <v>35591</v>
      </c>
      <c r="BQ9" s="19">
        <v>4</v>
      </c>
      <c r="BR9" s="19">
        <v>9</v>
      </c>
      <c r="BS9" s="16">
        <v>11</v>
      </c>
      <c r="BT9" s="53">
        <v>38000</v>
      </c>
      <c r="BU9">
        <v>38000</v>
      </c>
      <c r="BV9">
        <f>IFERROR(BU9*AV9,"-")</f>
        <v>43181.818181818184</v>
      </c>
      <c r="BW9">
        <v>48400</v>
      </c>
      <c r="BX9">
        <v>48400</v>
      </c>
      <c r="BY9">
        <f>IFERROR(BX9*AV9,"-")</f>
        <v>55000.000000000007</v>
      </c>
      <c r="BZ9" t="s">
        <v>93</v>
      </c>
    </row>
    <row r="10" spans="1:78" x14ac:dyDescent="0.4">
      <c r="A10" s="43">
        <v>7</v>
      </c>
      <c r="B10" s="3">
        <v>7</v>
      </c>
      <c r="C10" s="4">
        <v>328943</v>
      </c>
      <c r="D10" s="4" t="str">
        <f t="shared" si="7"/>
        <v>328943</v>
      </c>
      <c r="E10" s="4">
        <v>328943</v>
      </c>
      <c r="F10" s="4" t="str">
        <f t="shared" si="8"/>
        <v>3289435</v>
      </c>
      <c r="G10" s="4" t="s">
        <v>77</v>
      </c>
      <c r="H10" s="5">
        <v>4969887898543</v>
      </c>
      <c r="I10" s="5">
        <v>5</v>
      </c>
      <c r="J10" s="5"/>
      <c r="K10" s="5">
        <v>1</v>
      </c>
      <c r="L10" s="5">
        <v>1</v>
      </c>
      <c r="M10" s="4">
        <v>73000</v>
      </c>
      <c r="N10" s="4">
        <v>61127</v>
      </c>
      <c r="O10" s="4">
        <v>38954</v>
      </c>
      <c r="P10" s="6">
        <f t="shared" si="9"/>
        <v>0.36273659757553944</v>
      </c>
      <c r="Q10" s="4" t="s">
        <v>81</v>
      </c>
      <c r="R10" s="4" t="s">
        <v>81</v>
      </c>
      <c r="S10" s="4" t="s">
        <v>81</v>
      </c>
      <c r="T10" s="4" t="s">
        <v>81</v>
      </c>
      <c r="U10" s="4" t="s">
        <v>81</v>
      </c>
      <c r="V10" s="4" t="s">
        <v>81</v>
      </c>
      <c r="W10" s="4" t="s">
        <v>81</v>
      </c>
      <c r="X10" s="4" t="s">
        <v>81</v>
      </c>
      <c r="Y10" s="4" t="s">
        <v>81</v>
      </c>
      <c r="Z10" s="4" t="s">
        <v>81</v>
      </c>
      <c r="AA10" s="4" t="s">
        <v>81</v>
      </c>
      <c r="AB10" s="4" t="s">
        <v>81</v>
      </c>
      <c r="AC10" s="4">
        <v>77000</v>
      </c>
      <c r="AD10" s="4">
        <f t="shared" si="10"/>
        <v>77000</v>
      </c>
      <c r="AE10" s="4">
        <v>41245</v>
      </c>
      <c r="AF10" s="4">
        <f t="shared" si="11"/>
        <v>41245</v>
      </c>
      <c r="AG10" s="4"/>
      <c r="AH10" s="21">
        <f t="shared" si="0"/>
        <v>64722</v>
      </c>
      <c r="AI10" s="6">
        <f t="shared" si="12"/>
        <v>0.36273600939402362</v>
      </c>
      <c r="AJ10" s="33">
        <v>0</v>
      </c>
      <c r="AK10" s="4">
        <f t="shared" si="1"/>
        <v>55828</v>
      </c>
      <c r="AL10" s="33">
        <f t="shared" si="13"/>
        <v>59111.409868049494</v>
      </c>
      <c r="AM10" s="6">
        <f t="shared" si="14"/>
        <v>0.30224976714193597</v>
      </c>
      <c r="AN10" s="7">
        <v>59000</v>
      </c>
      <c r="AO10" s="52">
        <f t="shared" si="2"/>
        <v>0.30093220338983051</v>
      </c>
      <c r="AP10" s="4">
        <f t="shared" si="3"/>
        <v>17755</v>
      </c>
      <c r="AQ10" s="28"/>
      <c r="AR10" s="6"/>
      <c r="AS10" s="6"/>
      <c r="AT10" s="6">
        <f t="shared" si="4"/>
        <v>1.0547945205479452</v>
      </c>
      <c r="AU10" s="6">
        <f t="shared" si="5"/>
        <v>0.96520359252049015</v>
      </c>
      <c r="AV10" s="6">
        <f t="shared" si="6"/>
        <v>1.0588129588745701</v>
      </c>
      <c r="AW10" s="4" t="str">
        <f t="shared" si="15"/>
        <v>-</v>
      </c>
      <c r="AX10" s="4" t="str">
        <f>IF(R10="","-",R10)</f>
        <v>-</v>
      </c>
      <c r="AY10" s="4" t="str">
        <f>IF(S10="","-",S10)</f>
        <v>-</v>
      </c>
      <c r="AZ10" s="4" t="str">
        <f>IFERROR(ROUND($AN10*T10/$N10,0),"-")</f>
        <v>-</v>
      </c>
      <c r="BA10" s="4" t="str">
        <f>IF(U10="","-",U10)</f>
        <v>-</v>
      </c>
      <c r="BB10" s="4" t="str">
        <f>IF(V10="","-",V10)</f>
        <v>-</v>
      </c>
      <c r="BC10" s="4" t="str">
        <f>IFERROR(ROUND($AN10*W10/$N10,0),"-")</f>
        <v>-</v>
      </c>
      <c r="BD10" s="4" t="str">
        <f>IF(X10="","-",X10)</f>
        <v>-</v>
      </c>
      <c r="BE10" s="4" t="str">
        <f>IF(Y10="","-",Y10)</f>
        <v>-</v>
      </c>
      <c r="BF10" s="4" t="str">
        <f>IFERROR(ROUND($AN10*Z10/$N10,0),"-")</f>
        <v>-</v>
      </c>
      <c r="BG10" s="4" t="str">
        <f>IF(AA10="","-",AA10)</f>
        <v>-</v>
      </c>
      <c r="BH10" s="4" t="str">
        <f>IF(AB10="","-",AB10)</f>
        <v>-</v>
      </c>
      <c r="BI10" s="4">
        <v>0</v>
      </c>
      <c r="BJ10" s="4" t="s">
        <v>94</v>
      </c>
      <c r="BK10" s="4"/>
      <c r="BL10" s="4"/>
      <c r="BM10" s="4" t="s">
        <v>86</v>
      </c>
      <c r="BN10" s="4">
        <v>55828</v>
      </c>
      <c r="BO10" s="4">
        <v>55828</v>
      </c>
      <c r="BP10" s="4">
        <f>IF(BK10="",BO10,BK10/BL10*BO10)</f>
        <v>55828</v>
      </c>
      <c r="BQ10" s="19">
        <v>4</v>
      </c>
      <c r="BR10" s="19">
        <v>9</v>
      </c>
      <c r="BS10" s="16">
        <v>11</v>
      </c>
      <c r="BT10" s="53" t="s">
        <v>81</v>
      </c>
      <c r="BU10" t="s">
        <v>81</v>
      </c>
      <c r="BV10" t="str">
        <f>IFERROR(BU10*AV10,"-")</f>
        <v>-</v>
      </c>
      <c r="BW10">
        <v>68005</v>
      </c>
      <c r="BX10">
        <v>68005</v>
      </c>
      <c r="BY10">
        <f>IFERROR(BX10*AV10,"-")</f>
        <v>72004.575268265136</v>
      </c>
      <c r="BZ10" t="s">
        <v>95</v>
      </c>
    </row>
  </sheetData>
  <autoFilter ref="A3:BZ10" xr:uid="{7A1660CF-9003-4B2D-B659-7F339ED5B476}"/>
  <mergeCells count="3">
    <mergeCell ref="M2:P2"/>
    <mergeCell ref="K2:L2"/>
    <mergeCell ref="AC1:AF1"/>
  </mergeCells>
  <phoneticPr fontId="2"/>
  <conditionalFormatting sqref="AN4:AN10">
    <cfRule type="cellIs" dxfId="3" priority="5" operator="greaterThan">
      <formula>$AD4</formula>
    </cfRule>
  </conditionalFormatting>
  <conditionalFormatting sqref="AL4:AL10">
    <cfRule type="cellIs" dxfId="2" priority="3" operator="lessThan">
      <formula>$AN4</formula>
    </cfRule>
  </conditionalFormatting>
  <conditionalFormatting sqref="AO4:AO10">
    <cfRule type="cellIs" dxfId="1" priority="2" operator="lessThan">
      <formula>0.2</formula>
    </cfRule>
  </conditionalFormatting>
  <conditionalFormatting sqref="BX4:BX10">
    <cfRule type="cellIs" dxfId="0" priority="1" operator="notEqual">
      <formula>$BW4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2026-07-02T08:00:32Z</dcterms:modified>
</cp:coreProperties>
</file>