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ﾃ_寺西化学工業_774\価格改定\20260602_7月末\"/>
    </mc:Choice>
  </mc:AlternateContent>
  <xr:revisionPtr revIDLastSave="0" documentId="13_ncr:1_{9567D1D8-0268-4C25-B634-D343E79AA68F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1" l="1"/>
  <c r="AR8" i="1"/>
  <c r="P8" i="1"/>
  <c r="BJ7" i="1"/>
  <c r="AH7" i="1" s="1"/>
  <c r="P7" i="1"/>
  <c r="BJ8" i="1"/>
  <c r="AH8" i="1" s="1"/>
  <c r="AC8" i="1"/>
  <c r="AM8" i="1" s="1"/>
  <c r="AA8" i="1"/>
  <c r="D8" i="1"/>
  <c r="F8" i="1" s="1"/>
  <c r="AR7" i="1"/>
  <c r="AC7" i="1"/>
  <c r="AM7" i="1" s="1"/>
  <c r="AA7" i="1"/>
  <c r="D7" i="1"/>
  <c r="F7" i="1" s="1"/>
  <c r="BJ4" i="1"/>
  <c r="AH4" i="1" s="1"/>
  <c r="AC4" i="1"/>
  <c r="AA4" i="1"/>
  <c r="D4" i="1"/>
  <c r="F4" i="1" s="1"/>
  <c r="AR4" i="1" l="1"/>
  <c r="AQ7" i="1"/>
  <c r="AS4" i="1"/>
  <c r="AQ8" i="1"/>
  <c r="AQ4" i="1"/>
  <c r="AL4" i="1"/>
  <c r="AL7" i="1"/>
  <c r="AM4" i="1"/>
  <c r="AL8" i="1"/>
  <c r="AS8" i="1"/>
  <c r="AS7" i="1"/>
  <c r="AE7" i="1" l="1"/>
  <c r="AF7" i="1" s="1"/>
  <c r="BS7" i="1"/>
  <c r="BP7" i="1"/>
  <c r="AE8" i="1"/>
  <c r="AF8" i="1" s="1"/>
  <c r="BP8" i="1"/>
  <c r="BS8" i="1"/>
  <c r="AE4" i="1"/>
  <c r="AF4" i="1" s="1"/>
  <c r="BP4" i="1"/>
  <c r="BS4" i="1"/>
  <c r="AI4" i="1"/>
  <c r="AJ4" i="1" s="1"/>
  <c r="AI7" i="1"/>
  <c r="AJ7" i="1" s="1"/>
  <c r="AI8" i="1"/>
  <c r="AJ8" i="1" s="1"/>
  <c r="BJ5" i="1"/>
  <c r="AH5" i="1" s="1"/>
  <c r="BJ6" i="1"/>
  <c r="AH6" i="1" s="1"/>
  <c r="AC5" i="1"/>
  <c r="AC6" i="1"/>
  <c r="AA5" i="1"/>
  <c r="AQ5" i="1" s="1"/>
  <c r="AA6" i="1"/>
  <c r="AQ6" i="1" s="1"/>
  <c r="D5" i="1"/>
  <c r="F5" i="1" s="1"/>
  <c r="D6" i="1"/>
  <c r="F6" i="1" s="1"/>
  <c r="AR6" i="1"/>
  <c r="P6" i="1"/>
  <c r="AR5" i="1"/>
  <c r="P5" i="1"/>
  <c r="AL6" i="1" l="1"/>
  <c r="AL5" i="1"/>
  <c r="AS5" i="1"/>
  <c r="AS6" i="1"/>
  <c r="AM6" i="1"/>
  <c r="AM5" i="1"/>
  <c r="AE5" i="1" l="1"/>
  <c r="AF5" i="1" s="1"/>
  <c r="BS5" i="1"/>
  <c r="BP5" i="1"/>
  <c r="AE6" i="1"/>
  <c r="AF6" i="1" s="1"/>
  <c r="BS6" i="1"/>
  <c r="BP6" i="1"/>
  <c r="AI5" i="1"/>
  <c r="AJ5" i="1" s="1"/>
  <c r="AI6" i="1"/>
  <c r="AJ6" i="1" s="1"/>
</calcChain>
</file>

<file path=xl/sharedStrings.xml><?xml version="1.0" encoding="utf-8"?>
<sst xmlns="http://schemas.openxmlformats.org/spreadsheetml/2006/main" count="121" uniqueCount="98">
  <si>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</si>
  <si>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</si>
  <si>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</si>
  <si>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</si>
  <si>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</si>
  <si>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</si>
  <si>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</si>
  <si>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</si>
  <si>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</si>
  <si>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</si>
  <si>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</si>
  <si>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</si>
  <si>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</si>
  <si>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</si>
  <si>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</si>
  <si>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</si>
  <si>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</si>
  <si>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</si>
  <si>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</si>
  <si>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</si>
  <si>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</si>
  <si>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</si>
  <si>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</si>
  <si>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</si>
  <si>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</si>
  <si>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</si>
  <si>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</si>
  <si>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</si>
  <si>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</si>
  <si>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</si>
  <si>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</si>
  <si>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</si>
  <si>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</si>
  <si>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</si>
  <si>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</si>
  <si>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</si>
  <si>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</si>
  <si>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</si>
  <si>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</si>
  <si>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</si>
  <si>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</si>
  <si>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</si>
  <si>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</si>
  <si>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</si>
  <si>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</si>
  <si>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</si>
  <si>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</si>
  <si>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</si>
  <si>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</si>
  <si>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</si>
  <si>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</si>
  <si>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</si>
  <si>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</si>
  <si>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</si>
  <si>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</si>
  <si>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</si>
  <si>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</si>
  <si>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</si>
  <si>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</si>
  <si>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</si>
  <si>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</si>
  <si>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</si>
  <si>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</si>
  <si>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</si>
  <si>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J376WK</t>
  </si>
  <si>
    <t>J377WK</t>
  </si>
  <si>
    <t>J374WK</t>
  </si>
  <si>
    <t>J375WK</t>
  </si>
  <si>
    <t>寺西化学工業/便利ﾏｰｷﾝｸﾞﾁｮｰｸ ﾎﾙﾀﾞｰ付 黒/VCMKH-C-T1</t>
  </si>
  <si>
    <t>寺西化学工業/便利ﾏｰｷﾝｸﾞﾁｮｰｸ ﾎﾙﾀﾞｰ付 白/VCMKH-C-T30</t>
  </si>
  <si>
    <t>寺西化学工業/便利ﾎﾙﾀﾞｰ/VCMKH-CN</t>
  </si>
  <si>
    <t>寺西化学工業/便利ﾏｰｷﾝｸﾞﾁｮｰｸ 10本入 油性</t>
  </si>
  <si>
    <t>寺西化学工業/便利ﾏｰｷﾝｸﾞﾁｮｰｸ 白 10本入</t>
  </si>
  <si>
    <t>-</t>
  </si>
  <si>
    <t>-</t>
    <phoneticPr fontId="2"/>
  </si>
  <si>
    <t>寺西化学工業 ギター 便利ホルダー VCMKH-CN 1本</t>
  </si>
  <si>
    <t>【アウトレット】寺西化学工業 ギター 便利マーキングチョーク ホルダー付き(黒) VCMKH-C-T1 1個</t>
  </si>
  <si>
    <t>寺西化学工業 ギター 便利マーキングチョーク ホルダー付き(白) VCMKH-C-T30 1本</t>
  </si>
  <si>
    <t>寺西化学工業 ギター 便利マーキングチョーク 黒 VCMKN-T1-10P 1箱</t>
  </si>
  <si>
    <t>寺西化学工業 ギター 便利マーキングチョーク 白 VCMKN-T30-10P 1箱</t>
  </si>
  <si>
    <t>1本</t>
  </si>
  <si>
    <t>HX37073</t>
  </si>
  <si>
    <t>UK26790</t>
  </si>
  <si>
    <t>1個</t>
  </si>
  <si>
    <t>RE34071</t>
  </si>
  <si>
    <t>HU93543</t>
  </si>
  <si>
    <t>1箱</t>
  </si>
  <si>
    <t>HX37074</t>
  </si>
  <si>
    <t>6月
たの</t>
    <rPh sb="1" eb="2">
      <t>ガツ</t>
    </rPh>
    <phoneticPr fontId="2"/>
  </si>
  <si>
    <t>6月
カウ</t>
    <rPh sb="1" eb="2">
      <t>ガツ</t>
    </rPh>
    <phoneticPr fontId="2"/>
  </si>
  <si>
    <t>カウ
ｽﾗｲﾄﾞ</t>
    <phoneticPr fontId="2"/>
  </si>
  <si>
    <t>たの
ｽﾗｲﾄﾞ</t>
    <phoneticPr fontId="2"/>
  </si>
  <si>
    <t>品目+
FW荷姿</t>
    <rPh sb="0" eb="2">
      <t>ヒンモク</t>
    </rPh>
    <rPh sb="6" eb="8">
      <t>ニスガタ</t>
    </rPh>
    <phoneticPr fontId="2"/>
  </si>
  <si>
    <t>-</t>
    <phoneticPr fontId="2"/>
  </si>
  <si>
    <t>VDなし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</si>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</sst>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8" xfId="0" applyBorder="1" applyAlignment="1">
      <alignment vertical="center" wrapText="1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8"/>
  <sheetViews>
    <sheetView tabSelected="1" zoomScale="90" zoomScaleNormal="90" workbookViewId="0">
      <pane xSplit="8" ySplit="3" topLeftCell="M4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625" customWidth="1" collapsed="1"/>
    <col min="27" max="29" width="7.625" customWidth="1"/>
    <col min="30" max="30" width="4.375" customWidth="1" collapsed="1"/>
    <col min="31" max="32" width="7.625" customWidth="1"/>
    <col min="33" max="33" width="7.6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5" width="7.625" customWidth="1"/>
    <col min="66" max="66" width="7.625" hidden="1" customWidth="1" outlineLevel="1"/>
    <col min="67" max="67" width="7.625" customWidth="1" collapsed="1"/>
    <col min="68" max="68" width="7.625" customWidth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8" t="s">
        <v>49</v>
      </c>
      <c r="Z1" s="42" t="s">
        <v>46</v>
      </c>
      <c r="AA1" s="43"/>
      <c r="AB1" s="43"/>
      <c r="AC1" s="44"/>
      <c r="AS1" t="s">
        <v>94</v>
      </c>
    </row>
    <row r="2" spans="1:72" x14ac:dyDescent="0.4">
      <c r="C2" s="8" t="s">
        <v>33</v>
      </c>
      <c r="D2" s="9" t="s">
        <v>34</v>
      </c>
      <c r="E2" s="9" t="s">
        <v>35</v>
      </c>
      <c r="F2" s="9"/>
      <c r="G2" s="10"/>
      <c r="H2" s="10"/>
      <c r="I2" s="35"/>
      <c r="J2" s="35"/>
      <c r="K2" s="39" t="s">
        <v>36</v>
      </c>
      <c r="L2" s="41"/>
      <c r="M2" s="39" t="s">
        <v>2</v>
      </c>
      <c r="N2" s="40"/>
      <c r="O2" s="40"/>
      <c r="P2" s="41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39</v>
      </c>
      <c r="AB2" s="23"/>
      <c r="AC2" s="24" t="s">
        <v>39</v>
      </c>
      <c r="AD2" s="10"/>
      <c r="AE2" s="9" t="s">
        <v>44</v>
      </c>
      <c r="AF2" s="11"/>
      <c r="AG2" s="30"/>
      <c r="AH2" s="11"/>
      <c r="AI2" s="30"/>
      <c r="AJ2" s="11"/>
      <c r="AK2" s="21" t="s">
        <v>47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57</v>
      </c>
      <c r="B3" s="1" t="s">
        <v>62</v>
      </c>
      <c r="C3" s="2" t="s">
        <v>4</v>
      </c>
      <c r="D3" s="2" t="s">
        <v>9</v>
      </c>
      <c r="E3" s="2" t="s">
        <v>10</v>
      </c>
      <c r="F3" s="45" t="s">
        <v>92</v>
      </c>
      <c r="G3" s="2" t="s">
        <v>0</v>
      </c>
      <c r="H3" s="12" t="s">
        <v>7</v>
      </c>
      <c r="I3" s="12" t="s">
        <v>59</v>
      </c>
      <c r="J3" s="12" t="s">
        <v>60</v>
      </c>
      <c r="K3" s="12" t="s">
        <v>30</v>
      </c>
      <c r="L3" s="12" t="s">
        <v>31</v>
      </c>
      <c r="M3" s="12" t="s">
        <v>1</v>
      </c>
      <c r="N3" s="2" t="s">
        <v>8</v>
      </c>
      <c r="O3" s="2" t="s">
        <v>5</v>
      </c>
      <c r="P3" s="2" t="s">
        <v>16</v>
      </c>
      <c r="Q3" s="12" t="s">
        <v>53</v>
      </c>
      <c r="R3" s="12" t="s">
        <v>20</v>
      </c>
      <c r="S3" s="12" t="s">
        <v>21</v>
      </c>
      <c r="T3" s="12" t="s">
        <v>54</v>
      </c>
      <c r="U3" s="12" t="s">
        <v>23</v>
      </c>
      <c r="V3" s="12" t="s">
        <v>24</v>
      </c>
      <c r="W3" s="12" t="s">
        <v>55</v>
      </c>
      <c r="X3" s="12" t="s">
        <v>26</v>
      </c>
      <c r="Y3" s="12" t="s">
        <v>27</v>
      </c>
      <c r="Z3" s="12" t="s">
        <v>3</v>
      </c>
      <c r="AA3" s="12" t="s">
        <v>28</v>
      </c>
      <c r="AB3" s="2" t="s">
        <v>5</v>
      </c>
      <c r="AC3" s="12" t="s">
        <v>29</v>
      </c>
      <c r="AD3" s="14" t="s">
        <v>6</v>
      </c>
      <c r="AE3" s="19" t="s">
        <v>17</v>
      </c>
      <c r="AF3" s="2" t="s">
        <v>16</v>
      </c>
      <c r="AG3" s="31" t="s">
        <v>50</v>
      </c>
      <c r="AH3" s="12" t="s">
        <v>45</v>
      </c>
      <c r="AI3" s="36" t="s">
        <v>61</v>
      </c>
      <c r="AJ3" s="2" t="s">
        <v>16</v>
      </c>
      <c r="AK3" s="13" t="s">
        <v>37</v>
      </c>
      <c r="AL3" s="2" t="s">
        <v>16</v>
      </c>
      <c r="AM3" s="2" t="s">
        <v>38</v>
      </c>
      <c r="AN3" s="25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12" t="s">
        <v>63</v>
      </c>
      <c r="BI3" s="2" t="s">
        <v>95</v>
      </c>
      <c r="BJ3" s="2" t="s">
        <v>15</v>
      </c>
      <c r="BK3" s="17" t="s">
        <v>51</v>
      </c>
      <c r="BL3" s="17" t="s">
        <v>52</v>
      </c>
      <c r="BM3" s="15" t="s">
        <v>58</v>
      </c>
      <c r="BN3" s="47" t="s">
        <v>88</v>
      </c>
      <c r="BO3" s="37" t="s">
        <v>96</v>
      </c>
      <c r="BP3" s="38" t="s">
        <v>91</v>
      </c>
      <c r="BQ3" s="38" t="s">
        <v>89</v>
      </c>
      <c r="BR3" s="38" t="s">
        <v>97</v>
      </c>
      <c r="BS3" s="38" t="s">
        <v>90</v>
      </c>
      <c r="BT3" s="33" t="s">
        <v>56</v>
      </c>
    </row>
    <row r="4" spans="1:72" x14ac:dyDescent="0.4">
      <c r="A4" s="3">
        <v>11</v>
      </c>
      <c r="B4" s="3">
        <v>11</v>
      </c>
      <c r="C4" s="4" t="s">
        <v>66</v>
      </c>
      <c r="D4" s="4" t="str">
        <f t="shared" ref="D4:D8" si="0">TEXT(C4,"000000")</f>
        <v>J374WK</v>
      </c>
      <c r="E4" s="4" t="s">
        <v>66</v>
      </c>
      <c r="F4" s="4" t="str">
        <f t="shared" ref="F4:F8" si="1">D4&amp;I4</f>
        <v>J374WK5</v>
      </c>
      <c r="G4" s="4" t="s">
        <v>70</v>
      </c>
      <c r="H4" s="5">
        <v>4902071230651</v>
      </c>
      <c r="I4" s="5">
        <v>5</v>
      </c>
      <c r="J4" s="5"/>
      <c r="K4" s="5">
        <v>1</v>
      </c>
      <c r="L4" s="5">
        <v>1</v>
      </c>
      <c r="M4" s="4">
        <v>400</v>
      </c>
      <c r="N4" s="4">
        <v>320</v>
      </c>
      <c r="O4" s="4">
        <v>192</v>
      </c>
      <c r="P4" s="6">
        <f t="shared" ref="P4:P8" si="2">1-O4/N4</f>
        <v>0.4</v>
      </c>
      <c r="Q4" s="4" t="s">
        <v>93</v>
      </c>
      <c r="R4" s="4"/>
      <c r="S4" s="4"/>
      <c r="T4" s="4"/>
      <c r="U4" s="4"/>
      <c r="V4" s="4"/>
      <c r="W4" s="4"/>
      <c r="X4" s="4"/>
      <c r="Y4" s="4"/>
      <c r="Z4" s="4">
        <v>450</v>
      </c>
      <c r="AA4" s="4">
        <f t="shared" ref="AA4:AA8" si="3">IF(AD4="",Z4,Z4*AD4)</f>
        <v>450</v>
      </c>
      <c r="AB4" s="4">
        <v>216</v>
      </c>
      <c r="AC4" s="4">
        <f t="shared" ref="AC4:AC8" si="4">IF(AD4="",AB4,AB4*AD4)</f>
        <v>216</v>
      </c>
      <c r="AD4" s="4"/>
      <c r="AE4" s="20">
        <f t="shared" ref="AE4:AE8" si="5">ROUND(N4*AS4,0)</f>
        <v>360</v>
      </c>
      <c r="AF4" s="6">
        <f t="shared" ref="AF4:AF8" si="6">1-AC4/AE4</f>
        <v>0.4</v>
      </c>
      <c r="AG4" s="32">
        <v>0</v>
      </c>
      <c r="AH4" s="4">
        <f t="shared" ref="AH4:AH8" si="7">BJ4</f>
        <v>420</v>
      </c>
      <c r="AI4" s="32">
        <f t="shared" ref="AI4:AI8" si="8">AH4*AS4</f>
        <v>472.5</v>
      </c>
      <c r="AJ4" s="6">
        <f t="shared" ref="AJ4:AJ8" si="9">1-AC4/AI4</f>
        <v>0.54285714285714293</v>
      </c>
      <c r="AK4" s="7">
        <v>360</v>
      </c>
      <c r="AL4" s="6">
        <f t="shared" ref="AL4:AL8" si="10">1-AC4/AK4</f>
        <v>0.4</v>
      </c>
      <c r="AM4" s="4">
        <f t="shared" ref="AM4:AM8" si="11">AK4-AC4</f>
        <v>144</v>
      </c>
      <c r="AN4" s="27"/>
      <c r="AO4" s="6"/>
      <c r="AP4" s="6"/>
      <c r="AQ4" s="6">
        <f t="shared" ref="AQ4:AQ8" si="12">AA4/M4</f>
        <v>1.125</v>
      </c>
      <c r="AR4" s="6">
        <f t="shared" ref="AR4:AR8" si="13">AK4/N4</f>
        <v>1.125</v>
      </c>
      <c r="AS4" s="6">
        <f t="shared" ref="AS4:AS8" si="14">AC4/O4</f>
        <v>1.125</v>
      </c>
      <c r="AT4" s="4"/>
      <c r="AU4" s="4"/>
      <c r="AV4" s="4"/>
      <c r="AW4" s="4"/>
      <c r="AX4" s="4"/>
      <c r="AY4" s="4"/>
      <c r="AZ4" s="4"/>
      <c r="BA4" s="4"/>
      <c r="BB4" s="4"/>
      <c r="BC4" s="4">
        <v>0</v>
      </c>
      <c r="BD4" s="4" t="s">
        <v>81</v>
      </c>
      <c r="BE4" s="4"/>
      <c r="BF4" s="4"/>
      <c r="BG4" s="4" t="s">
        <v>80</v>
      </c>
      <c r="BH4" s="4">
        <v>420</v>
      </c>
      <c r="BI4" s="4">
        <v>420</v>
      </c>
      <c r="BJ4" s="4">
        <f t="shared" ref="BJ4:BJ8" si="15">IF(BE4="",BI4,BE4/BF4*BI4)</f>
        <v>420</v>
      </c>
      <c r="BK4" s="18">
        <v>4</v>
      </c>
      <c r="BL4" s="18">
        <v>8</v>
      </c>
      <c r="BM4" s="16">
        <v>17</v>
      </c>
      <c r="BN4" s="46">
        <v>320</v>
      </c>
      <c r="BO4">
        <v>320</v>
      </c>
      <c r="BP4">
        <f t="shared" ref="BP4:BP8" si="16">IFERROR(BO4*AS4,"-")</f>
        <v>360</v>
      </c>
      <c r="BQ4">
        <v>375</v>
      </c>
      <c r="BR4">
        <v>375</v>
      </c>
      <c r="BS4">
        <f t="shared" ref="BS4:BS8" si="17">IFERROR(BR4*AS4,"-")</f>
        <v>421.875</v>
      </c>
      <c r="BT4" t="s">
        <v>75</v>
      </c>
    </row>
    <row r="5" spans="1:72" x14ac:dyDescent="0.4">
      <c r="A5" s="3">
        <v>9</v>
      </c>
      <c r="B5" s="3">
        <v>9</v>
      </c>
      <c r="C5" s="4" t="s">
        <v>64</v>
      </c>
      <c r="D5" s="4" t="str">
        <f t="shared" si="0"/>
        <v>J376WK</v>
      </c>
      <c r="E5" s="4" t="s">
        <v>64</v>
      </c>
      <c r="F5" s="4" t="str">
        <f t="shared" si="1"/>
        <v>J376WK5</v>
      </c>
      <c r="G5" s="4" t="s">
        <v>68</v>
      </c>
      <c r="H5" s="5">
        <v>4902071230590</v>
      </c>
      <c r="I5" s="5">
        <v>5</v>
      </c>
      <c r="J5" s="5"/>
      <c r="K5" s="5">
        <v>1</v>
      </c>
      <c r="L5" s="5">
        <v>1</v>
      </c>
      <c r="M5" s="4">
        <v>450</v>
      </c>
      <c r="N5" s="4">
        <v>360</v>
      </c>
      <c r="O5" s="4">
        <v>216</v>
      </c>
      <c r="P5" s="6">
        <f t="shared" si="2"/>
        <v>0.4</v>
      </c>
      <c r="Q5" s="4" t="s">
        <v>93</v>
      </c>
      <c r="R5" s="4"/>
      <c r="S5" s="4"/>
      <c r="T5" s="4"/>
      <c r="U5" s="4"/>
      <c r="V5" s="4"/>
      <c r="W5" s="4"/>
      <c r="X5" s="4"/>
      <c r="Y5" s="4"/>
      <c r="Z5" s="4">
        <v>500</v>
      </c>
      <c r="AA5" s="4">
        <f t="shared" si="3"/>
        <v>500</v>
      </c>
      <c r="AB5" s="4">
        <v>240</v>
      </c>
      <c r="AC5" s="4">
        <f t="shared" si="4"/>
        <v>240</v>
      </c>
      <c r="AD5" s="4"/>
      <c r="AE5" s="20">
        <f t="shared" si="5"/>
        <v>400</v>
      </c>
      <c r="AF5" s="6">
        <f t="shared" si="6"/>
        <v>0.4</v>
      </c>
      <c r="AG5" s="32">
        <v>0</v>
      </c>
      <c r="AH5" s="4">
        <f t="shared" si="7"/>
        <v>235</v>
      </c>
      <c r="AI5" s="32">
        <f t="shared" si="8"/>
        <v>261.11111111111114</v>
      </c>
      <c r="AJ5" s="6">
        <f t="shared" si="9"/>
        <v>8.0851063829787351E-2</v>
      </c>
      <c r="AK5" s="7">
        <v>400</v>
      </c>
      <c r="AL5" s="6">
        <f t="shared" si="10"/>
        <v>0.4</v>
      </c>
      <c r="AM5" s="4">
        <f t="shared" si="11"/>
        <v>160</v>
      </c>
      <c r="AN5" s="27"/>
      <c r="AO5" s="6"/>
      <c r="AP5" s="6"/>
      <c r="AQ5" s="6">
        <f t="shared" si="12"/>
        <v>1.1111111111111112</v>
      </c>
      <c r="AR5" s="6">
        <f t="shared" si="13"/>
        <v>1.1111111111111112</v>
      </c>
      <c r="AS5" s="6">
        <f t="shared" si="14"/>
        <v>1.1111111111111112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82</v>
      </c>
      <c r="BE5" s="4"/>
      <c r="BF5" s="4"/>
      <c r="BG5" s="4" t="s">
        <v>83</v>
      </c>
      <c r="BH5" s="4">
        <v>235</v>
      </c>
      <c r="BI5" s="4">
        <v>235</v>
      </c>
      <c r="BJ5" s="4">
        <f t="shared" si="15"/>
        <v>235</v>
      </c>
      <c r="BK5" s="18">
        <v>4</v>
      </c>
      <c r="BL5" s="18">
        <v>8</v>
      </c>
      <c r="BM5" s="16">
        <v>17</v>
      </c>
      <c r="BN5" s="46">
        <v>360</v>
      </c>
      <c r="BO5">
        <v>360</v>
      </c>
      <c r="BP5">
        <f t="shared" si="16"/>
        <v>400</v>
      </c>
      <c r="BQ5">
        <v>423</v>
      </c>
      <c r="BR5">
        <v>423</v>
      </c>
      <c r="BS5">
        <f t="shared" si="17"/>
        <v>470</v>
      </c>
      <c r="BT5" t="s">
        <v>76</v>
      </c>
    </row>
    <row r="6" spans="1:72" x14ac:dyDescent="0.4">
      <c r="A6" s="3">
        <v>10</v>
      </c>
      <c r="B6" s="3">
        <v>10</v>
      </c>
      <c r="C6" s="4" t="s">
        <v>65</v>
      </c>
      <c r="D6" s="4" t="str">
        <f t="shared" si="0"/>
        <v>J377WK</v>
      </c>
      <c r="E6" s="4" t="s">
        <v>65</v>
      </c>
      <c r="F6" s="4" t="str">
        <f t="shared" si="1"/>
        <v>J377WK5</v>
      </c>
      <c r="G6" s="4" t="s">
        <v>69</v>
      </c>
      <c r="H6" s="5">
        <v>4902071230606</v>
      </c>
      <c r="I6" s="5">
        <v>5</v>
      </c>
      <c r="J6" s="5"/>
      <c r="K6" s="5">
        <v>1</v>
      </c>
      <c r="L6" s="5">
        <v>1</v>
      </c>
      <c r="M6" s="4">
        <v>450</v>
      </c>
      <c r="N6" s="4">
        <v>360</v>
      </c>
      <c r="O6" s="4">
        <v>216</v>
      </c>
      <c r="P6" s="6">
        <f t="shared" si="2"/>
        <v>0.4</v>
      </c>
      <c r="Q6" s="4" t="s">
        <v>93</v>
      </c>
      <c r="R6" s="4"/>
      <c r="S6" s="4"/>
      <c r="T6" s="4"/>
      <c r="U6" s="4"/>
      <c r="V6" s="4"/>
      <c r="W6" s="4"/>
      <c r="X6" s="4"/>
      <c r="Y6" s="4"/>
      <c r="Z6" s="4">
        <v>500</v>
      </c>
      <c r="AA6" s="4">
        <f t="shared" si="3"/>
        <v>500</v>
      </c>
      <c r="AB6" s="4">
        <v>240</v>
      </c>
      <c r="AC6" s="4">
        <f t="shared" si="4"/>
        <v>240</v>
      </c>
      <c r="AD6" s="4"/>
      <c r="AE6" s="20">
        <f t="shared" si="5"/>
        <v>400</v>
      </c>
      <c r="AF6" s="6">
        <f t="shared" si="6"/>
        <v>0.4</v>
      </c>
      <c r="AG6" s="32">
        <v>1.5</v>
      </c>
      <c r="AH6" s="4">
        <f t="shared" si="7"/>
        <v>470</v>
      </c>
      <c r="AI6" s="32">
        <f t="shared" si="8"/>
        <v>522.22222222222229</v>
      </c>
      <c r="AJ6" s="6">
        <f t="shared" si="9"/>
        <v>0.54042553191489362</v>
      </c>
      <c r="AK6" s="7">
        <v>400</v>
      </c>
      <c r="AL6" s="6">
        <f t="shared" si="10"/>
        <v>0.4</v>
      </c>
      <c r="AM6" s="4">
        <f t="shared" si="11"/>
        <v>160</v>
      </c>
      <c r="AN6" s="27"/>
      <c r="AO6" s="6"/>
      <c r="AP6" s="6"/>
      <c r="AQ6" s="6">
        <f t="shared" si="12"/>
        <v>1.1111111111111112</v>
      </c>
      <c r="AR6" s="6">
        <f t="shared" si="13"/>
        <v>1.1111111111111112</v>
      </c>
      <c r="AS6" s="6">
        <f t="shared" si="14"/>
        <v>1.1111111111111112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84</v>
      </c>
      <c r="BE6" s="4"/>
      <c r="BF6" s="4"/>
      <c r="BG6" s="4" t="s">
        <v>80</v>
      </c>
      <c r="BH6" s="4">
        <v>470</v>
      </c>
      <c r="BI6" s="4">
        <v>470</v>
      </c>
      <c r="BJ6" s="4">
        <f t="shared" si="15"/>
        <v>470</v>
      </c>
      <c r="BK6" s="18">
        <v>4</v>
      </c>
      <c r="BL6" s="18">
        <v>8</v>
      </c>
      <c r="BM6" s="16">
        <v>17</v>
      </c>
      <c r="BN6" s="46">
        <v>360</v>
      </c>
      <c r="BO6" t="s">
        <v>73</v>
      </c>
      <c r="BP6" t="str">
        <f t="shared" si="16"/>
        <v>-</v>
      </c>
      <c r="BQ6">
        <v>423</v>
      </c>
      <c r="BR6">
        <v>423</v>
      </c>
      <c r="BS6">
        <f t="shared" si="17"/>
        <v>470</v>
      </c>
      <c r="BT6" t="s">
        <v>77</v>
      </c>
    </row>
    <row r="7" spans="1:72" x14ac:dyDescent="0.4">
      <c r="A7" s="3">
        <v>12</v>
      </c>
      <c r="B7" s="3">
        <v>12</v>
      </c>
      <c r="C7" s="32">
        <v>152372</v>
      </c>
      <c r="D7" s="4" t="str">
        <f t="shared" si="0"/>
        <v>152372</v>
      </c>
      <c r="E7" s="4">
        <v>152372</v>
      </c>
      <c r="F7" s="4" t="str">
        <f t="shared" si="1"/>
        <v>1523725</v>
      </c>
      <c r="G7" s="4" t="s">
        <v>71</v>
      </c>
      <c r="H7" s="5">
        <v>4902071230743</v>
      </c>
      <c r="I7" s="5">
        <v>5</v>
      </c>
      <c r="J7" s="5"/>
      <c r="K7" s="5">
        <v>1</v>
      </c>
      <c r="L7" s="5">
        <v>1</v>
      </c>
      <c r="M7" s="4">
        <v>800</v>
      </c>
      <c r="N7" s="4">
        <v>554</v>
      </c>
      <c r="O7" s="4">
        <v>384</v>
      </c>
      <c r="P7" s="6">
        <f t="shared" si="2"/>
        <v>0.30685920577617332</v>
      </c>
      <c r="Q7" s="4" t="s">
        <v>93</v>
      </c>
      <c r="R7" s="4"/>
      <c r="S7" s="4"/>
      <c r="T7" s="4"/>
      <c r="U7" s="4"/>
      <c r="V7" s="4"/>
      <c r="W7" s="4"/>
      <c r="X7" s="4"/>
      <c r="Y7" s="4"/>
      <c r="Z7" s="4">
        <v>1000</v>
      </c>
      <c r="AA7" s="4">
        <f t="shared" si="3"/>
        <v>1000</v>
      </c>
      <c r="AB7" s="4">
        <v>480</v>
      </c>
      <c r="AC7" s="4">
        <f t="shared" si="4"/>
        <v>480</v>
      </c>
      <c r="AD7" s="4"/>
      <c r="AE7" s="20">
        <f t="shared" si="5"/>
        <v>693</v>
      </c>
      <c r="AF7" s="6">
        <f t="shared" si="6"/>
        <v>0.30735930735930739</v>
      </c>
      <c r="AG7" s="32">
        <v>0.25</v>
      </c>
      <c r="AH7" s="4">
        <f t="shared" si="7"/>
        <v>800</v>
      </c>
      <c r="AI7" s="32">
        <f t="shared" si="8"/>
        <v>1000</v>
      </c>
      <c r="AJ7" s="6">
        <f t="shared" si="9"/>
        <v>0.52</v>
      </c>
      <c r="AK7" s="7">
        <v>800</v>
      </c>
      <c r="AL7" s="6">
        <f t="shared" si="10"/>
        <v>0.4</v>
      </c>
      <c r="AM7" s="4">
        <f t="shared" si="11"/>
        <v>320</v>
      </c>
      <c r="AN7" s="27"/>
      <c r="AO7" s="6"/>
      <c r="AP7" s="6"/>
      <c r="AQ7" s="6">
        <f t="shared" si="12"/>
        <v>1.25</v>
      </c>
      <c r="AR7" s="6">
        <f t="shared" si="13"/>
        <v>1.4440433212996391</v>
      </c>
      <c r="AS7" s="6">
        <f t="shared" si="14"/>
        <v>1.25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85</v>
      </c>
      <c r="BE7" s="4"/>
      <c r="BF7" s="4"/>
      <c r="BG7" s="4" t="s">
        <v>86</v>
      </c>
      <c r="BH7" s="4">
        <v>800</v>
      </c>
      <c r="BI7" s="4">
        <v>800</v>
      </c>
      <c r="BJ7" s="4">
        <f t="shared" si="15"/>
        <v>800</v>
      </c>
      <c r="BK7" s="18">
        <v>4</v>
      </c>
      <c r="BL7" s="18">
        <v>8</v>
      </c>
      <c r="BM7" s="16">
        <v>17</v>
      </c>
      <c r="BN7" s="46">
        <v>640</v>
      </c>
      <c r="BO7" t="s">
        <v>73</v>
      </c>
      <c r="BP7" t="str">
        <f t="shared" si="16"/>
        <v>-</v>
      </c>
      <c r="BQ7" t="s">
        <v>74</v>
      </c>
      <c r="BR7" t="s">
        <v>73</v>
      </c>
      <c r="BS7" t="str">
        <f t="shared" si="17"/>
        <v>-</v>
      </c>
      <c r="BT7" t="s">
        <v>78</v>
      </c>
    </row>
    <row r="8" spans="1:72" x14ac:dyDescent="0.4">
      <c r="A8" s="3">
        <v>13</v>
      </c>
      <c r="B8" s="3">
        <v>13</v>
      </c>
      <c r="C8" s="4" t="s">
        <v>67</v>
      </c>
      <c r="D8" s="4" t="str">
        <f t="shared" si="0"/>
        <v>J375WK</v>
      </c>
      <c r="E8" s="4" t="s">
        <v>67</v>
      </c>
      <c r="F8" s="4" t="str">
        <f t="shared" si="1"/>
        <v>J375WK5</v>
      </c>
      <c r="G8" s="4" t="s">
        <v>72</v>
      </c>
      <c r="H8" s="5">
        <v>4902071230750</v>
      </c>
      <c r="I8" s="5">
        <v>5</v>
      </c>
      <c r="J8" s="5"/>
      <c r="K8" s="5">
        <v>1</v>
      </c>
      <c r="L8" s="5">
        <v>1</v>
      </c>
      <c r="M8" s="4">
        <v>800</v>
      </c>
      <c r="N8" s="4">
        <v>640</v>
      </c>
      <c r="O8" s="4">
        <v>384</v>
      </c>
      <c r="P8" s="6">
        <f t="shared" si="2"/>
        <v>0.4</v>
      </c>
      <c r="Q8" s="4" t="s">
        <v>93</v>
      </c>
      <c r="R8" s="4"/>
      <c r="S8" s="4"/>
      <c r="T8" s="4"/>
      <c r="U8" s="4"/>
      <c r="V8" s="4"/>
      <c r="W8" s="4"/>
      <c r="X8" s="4"/>
      <c r="Y8" s="4"/>
      <c r="Z8" s="4">
        <v>1000</v>
      </c>
      <c r="AA8" s="4">
        <f t="shared" si="3"/>
        <v>1000</v>
      </c>
      <c r="AB8" s="4">
        <v>480</v>
      </c>
      <c r="AC8" s="4">
        <f t="shared" si="4"/>
        <v>480</v>
      </c>
      <c r="AD8" s="4"/>
      <c r="AE8" s="20">
        <f t="shared" si="5"/>
        <v>800</v>
      </c>
      <c r="AF8" s="6">
        <f t="shared" si="6"/>
        <v>0.4</v>
      </c>
      <c r="AG8" s="32">
        <v>0.5</v>
      </c>
      <c r="AH8" s="4">
        <f t="shared" si="7"/>
        <v>800</v>
      </c>
      <c r="AI8" s="32">
        <f t="shared" si="8"/>
        <v>1000</v>
      </c>
      <c r="AJ8" s="6">
        <f t="shared" si="9"/>
        <v>0.52</v>
      </c>
      <c r="AK8" s="7">
        <v>800</v>
      </c>
      <c r="AL8" s="6">
        <f t="shared" si="10"/>
        <v>0.4</v>
      </c>
      <c r="AM8" s="4">
        <f t="shared" si="11"/>
        <v>320</v>
      </c>
      <c r="AN8" s="27"/>
      <c r="AO8" s="6"/>
      <c r="AP8" s="6"/>
      <c r="AQ8" s="6">
        <f t="shared" si="12"/>
        <v>1.25</v>
      </c>
      <c r="AR8" s="6">
        <f t="shared" si="13"/>
        <v>1.25</v>
      </c>
      <c r="AS8" s="6">
        <f t="shared" si="14"/>
        <v>1.25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87</v>
      </c>
      <c r="BE8" s="4"/>
      <c r="BF8" s="4"/>
      <c r="BG8" s="4" t="s">
        <v>86</v>
      </c>
      <c r="BH8" s="4">
        <v>800</v>
      </c>
      <c r="BI8" s="4">
        <v>800</v>
      </c>
      <c r="BJ8" s="4">
        <f t="shared" si="15"/>
        <v>800</v>
      </c>
      <c r="BK8" s="18">
        <v>4</v>
      </c>
      <c r="BL8" s="18">
        <v>8</v>
      </c>
      <c r="BM8" s="16">
        <v>17</v>
      </c>
      <c r="BN8" s="46">
        <v>640</v>
      </c>
      <c r="BO8">
        <v>640</v>
      </c>
      <c r="BP8">
        <f t="shared" si="16"/>
        <v>800</v>
      </c>
      <c r="BQ8">
        <v>750</v>
      </c>
      <c r="BR8">
        <v>750</v>
      </c>
      <c r="BS8">
        <f t="shared" si="17"/>
        <v>937.5</v>
      </c>
      <c r="BT8" t="s">
        <v>79</v>
      </c>
    </row>
  </sheetData>
  <autoFilter ref="A3:BT3" xr:uid="{7A1660CF-9003-4B2D-B659-7F339ED5B476}"/>
  <sortState xmlns:xlrd2="http://schemas.microsoft.com/office/spreadsheetml/2017/richdata2" ref="A4:BT8">
    <sortCondition ref="AB4:AB8"/>
  </sortState>
  <mergeCells count="3">
    <mergeCell ref="M2:P2"/>
    <mergeCell ref="K2:L2"/>
    <mergeCell ref="Z1:AC1"/>
  </mergeCells>
  <phoneticPr fontId="2"/>
  <conditionalFormatting sqref="AK4:AK8">
    <cfRule type="cellIs" dxfId="3" priority="5" operator="greaterThan">
      <formula>$AA4</formula>
    </cfRule>
  </conditionalFormatting>
  <conditionalFormatting sqref="AI4:AI8">
    <cfRule type="cellIs" dxfId="2" priority="3" operator="lessThan">
      <formula>$AK4</formula>
    </cfRule>
  </conditionalFormatting>
  <conditionalFormatting sqref="AL4:AL8">
    <cfRule type="cellIs" dxfId="1" priority="2" operator="lessThan">
      <formula>0.2</formula>
    </cfRule>
  </conditionalFormatting>
  <conditionalFormatting sqref="BI4:BI8">
    <cfRule type="cellIs" dxfId="0" priority="1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2026-07-02T07:34:06Z</dcterms:modified>
</cp:coreProperties>
</file>