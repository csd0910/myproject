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FF335AB4-8BE1-4106-9BF3-1F1227D69BA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4" i="1" l="1"/>
  <c r="AH4" i="1" s="1"/>
  <c r="BJ10" i="1"/>
  <c r="AH10" i="1" s="1"/>
  <c r="BJ11" i="1"/>
  <c r="AH11" i="1" s="1"/>
  <c r="BJ13" i="1"/>
  <c r="AH13" i="1" s="1"/>
  <c r="BJ14" i="1"/>
  <c r="AH14" i="1" s="1"/>
  <c r="BJ8" i="1"/>
  <c r="AH8" i="1" s="1"/>
  <c r="P13" i="1"/>
  <c r="P14" i="1"/>
  <c r="P5" i="1"/>
  <c r="AR6" i="1"/>
  <c r="P6" i="1"/>
  <c r="AR9" i="1"/>
  <c r="P9" i="1"/>
  <c r="BJ9" i="1"/>
  <c r="AH9" i="1" s="1"/>
  <c r="AC9" i="1"/>
  <c r="AL9" i="1" s="1"/>
  <c r="AA9" i="1"/>
  <c r="D9" i="1"/>
  <c r="F9" i="1" s="1"/>
  <c r="AR8" i="1"/>
  <c r="AC8" i="1"/>
  <c r="AL8" i="1" s="1"/>
  <c r="AA8" i="1"/>
  <c r="P8" i="1"/>
  <c r="D8" i="1"/>
  <c r="F8" i="1" s="1"/>
  <c r="BJ6" i="1"/>
  <c r="AH6" i="1" s="1"/>
  <c r="AC6" i="1"/>
  <c r="AM6" i="1" s="1"/>
  <c r="AA6" i="1"/>
  <c r="D6" i="1"/>
  <c r="F6" i="1" s="1"/>
  <c r="BJ5" i="1"/>
  <c r="AH5" i="1" s="1"/>
  <c r="AR5" i="1"/>
  <c r="AC5" i="1"/>
  <c r="AM5" i="1" s="1"/>
  <c r="AA5" i="1"/>
  <c r="AQ5" i="1" s="1"/>
  <c r="D5" i="1"/>
  <c r="F5" i="1" s="1"/>
  <c r="AR14" i="1"/>
  <c r="AC14" i="1"/>
  <c r="AM14" i="1" s="1"/>
  <c r="AA14" i="1"/>
  <c r="D14" i="1"/>
  <c r="F14" i="1" s="1"/>
  <c r="AR13" i="1"/>
  <c r="AC13" i="1"/>
  <c r="AM13" i="1" s="1"/>
  <c r="AA13" i="1"/>
  <c r="AQ13" i="1" s="1"/>
  <c r="D13" i="1"/>
  <c r="F13" i="1" s="1"/>
  <c r="AR11" i="1"/>
  <c r="AC11" i="1"/>
  <c r="AM11" i="1" s="1"/>
  <c r="AA11" i="1"/>
  <c r="AQ11" i="1" s="1"/>
  <c r="P11" i="1"/>
  <c r="D11" i="1"/>
  <c r="F11" i="1" s="1"/>
  <c r="AR10" i="1"/>
  <c r="AC10" i="1"/>
  <c r="AM10" i="1" s="1"/>
  <c r="AA10" i="1"/>
  <c r="AQ10" i="1" s="1"/>
  <c r="P10" i="1"/>
  <c r="D10" i="1"/>
  <c r="F10" i="1" s="1"/>
  <c r="BJ7" i="1"/>
  <c r="AH7" i="1" s="1"/>
  <c r="AR7" i="1"/>
  <c r="AC7" i="1"/>
  <c r="AL7" i="1" s="1"/>
  <c r="AA7" i="1"/>
  <c r="AQ7" i="1" s="1"/>
  <c r="P7" i="1"/>
  <c r="D7" i="1"/>
  <c r="F7" i="1" s="1"/>
  <c r="AR4" i="1"/>
  <c r="AC4" i="1"/>
  <c r="AA4" i="1"/>
  <c r="AQ4" i="1" s="1"/>
  <c r="P4" i="1"/>
  <c r="D4" i="1"/>
  <c r="F4" i="1" s="1"/>
  <c r="BJ16" i="1"/>
  <c r="AH16" i="1" s="1"/>
  <c r="AR16" i="1"/>
  <c r="AC16" i="1"/>
  <c r="AS16" i="1" s="1"/>
  <c r="AA16" i="1"/>
  <c r="AQ16" i="1" s="1"/>
  <c r="P16" i="1"/>
  <c r="D16" i="1"/>
  <c r="F16" i="1" s="1"/>
  <c r="BJ12" i="1"/>
  <c r="AH12" i="1" s="1"/>
  <c r="AR12" i="1"/>
  <c r="AC12" i="1"/>
  <c r="AM12" i="1" s="1"/>
  <c r="AA12" i="1"/>
  <c r="AQ12" i="1" s="1"/>
  <c r="P12" i="1"/>
  <c r="D12" i="1"/>
  <c r="F12" i="1" s="1"/>
  <c r="BJ15" i="1"/>
  <c r="AH15" i="1" s="1"/>
  <c r="AV15" i="1"/>
  <c r="AU15" i="1"/>
  <c r="AT15" i="1"/>
  <c r="AR15" i="1"/>
  <c r="AC15" i="1"/>
  <c r="AS15" i="1" s="1"/>
  <c r="AA15" i="1"/>
  <c r="AQ15" i="1" s="1"/>
  <c r="P15" i="1"/>
  <c r="D15" i="1"/>
  <c r="F15" i="1" s="1"/>
  <c r="AS11" i="1" l="1"/>
  <c r="AE11" i="1" s="1"/>
  <c r="AF11" i="1" s="1"/>
  <c r="AS12" i="1"/>
  <c r="BS12" i="1" s="1"/>
  <c r="AS7" i="1"/>
  <c r="BS7" i="1" s="1"/>
  <c r="AS5" i="1"/>
  <c r="BS5" i="1" s="1"/>
  <c r="AS10" i="1"/>
  <c r="AE10" i="1" s="1"/>
  <c r="AF10" i="1" s="1"/>
  <c r="AM9" i="1"/>
  <c r="AL16" i="1"/>
  <c r="AM7" i="1"/>
  <c r="AL10" i="1"/>
  <c r="AM16" i="1"/>
  <c r="AQ6" i="1"/>
  <c r="AQ8" i="1"/>
  <c r="AQ14" i="1"/>
  <c r="AQ9" i="1"/>
  <c r="BP10" i="1"/>
  <c r="AL12" i="1"/>
  <c r="AS13" i="1"/>
  <c r="BS11" i="1"/>
  <c r="AL6" i="1"/>
  <c r="AI15" i="1"/>
  <c r="AJ15" i="1" s="1"/>
  <c r="AI11" i="1"/>
  <c r="AJ11" i="1" s="1"/>
  <c r="AS9" i="1"/>
  <c r="BS9" i="1" s="1"/>
  <c r="AI16" i="1"/>
  <c r="AJ16" i="1" s="1"/>
  <c r="BS16" i="1"/>
  <c r="BP16" i="1"/>
  <c r="AE16" i="1"/>
  <c r="AF16" i="1" s="1"/>
  <c r="BS15" i="1"/>
  <c r="BP15" i="1"/>
  <c r="AE15" i="1"/>
  <c r="AF15" i="1" s="1"/>
  <c r="AL15" i="1"/>
  <c r="AL4" i="1"/>
  <c r="AM15" i="1"/>
  <c r="AM4" i="1"/>
  <c r="BP11" i="1"/>
  <c r="AS14" i="1"/>
  <c r="AI14" i="1" s="1"/>
  <c r="AJ14" i="1" s="1"/>
  <c r="AM8" i="1"/>
  <c r="AP15" i="1"/>
  <c r="AL11" i="1"/>
  <c r="AS6" i="1"/>
  <c r="BP12" i="1"/>
  <c r="AS4" i="1"/>
  <c r="AL13" i="1"/>
  <c r="BP5" i="1"/>
  <c r="AS8" i="1"/>
  <c r="AI8" i="1" s="1"/>
  <c r="AJ8" i="1" s="1"/>
  <c r="AL14" i="1"/>
  <c r="AO15" i="1"/>
  <c r="AL5" i="1"/>
  <c r="AI12" i="1" l="1"/>
  <c r="AJ12" i="1" s="1"/>
  <c r="AE12" i="1"/>
  <c r="AF12" i="1" s="1"/>
  <c r="BS10" i="1"/>
  <c r="AI5" i="1"/>
  <c r="AJ5" i="1" s="1"/>
  <c r="AE5" i="1"/>
  <c r="AF5" i="1" s="1"/>
  <c r="AE7" i="1"/>
  <c r="AF7" i="1" s="1"/>
  <c r="BP7" i="1"/>
  <c r="AI10" i="1"/>
  <c r="AJ10" i="1" s="1"/>
  <c r="AI7" i="1"/>
  <c r="AJ7" i="1" s="1"/>
  <c r="AE9" i="1"/>
  <c r="AF9" i="1" s="1"/>
  <c r="BP9" i="1"/>
  <c r="AI9" i="1"/>
  <c r="AJ9" i="1" s="1"/>
  <c r="AE13" i="1"/>
  <c r="AF13" i="1" s="1"/>
  <c r="BP13" i="1"/>
  <c r="AI13" i="1"/>
  <c r="AJ13" i="1" s="1"/>
  <c r="BS13" i="1"/>
  <c r="BS6" i="1"/>
  <c r="BP6" i="1"/>
  <c r="AI6" i="1"/>
  <c r="AJ6" i="1" s="1"/>
  <c r="AE6" i="1"/>
  <c r="AF6" i="1" s="1"/>
  <c r="AE14" i="1"/>
  <c r="AF14" i="1" s="1"/>
  <c r="BS14" i="1"/>
  <c r="BP14" i="1"/>
  <c r="BS4" i="1"/>
  <c r="BP4" i="1"/>
  <c r="AE4" i="1"/>
  <c r="AF4" i="1" s="1"/>
  <c r="AI4" i="1"/>
  <c r="AJ4" i="1" s="1"/>
  <c r="BS8" i="1"/>
  <c r="BP8" i="1"/>
  <c r="AE8" i="1"/>
  <c r="AF8" i="1" s="1"/>
  <c r="AT17" i="1" l="1"/>
  <c r="AR18" i="1"/>
  <c r="P18" i="1"/>
  <c r="AV17" i="1"/>
  <c r="AU17" i="1"/>
  <c r="P17" i="1" l="1"/>
  <c r="AR17" i="1"/>
  <c r="BJ18" i="1" l="1"/>
  <c r="AH18" i="1" s="1"/>
  <c r="BJ17" i="1"/>
  <c r="AH17" i="1" s="1"/>
  <c r="AC18" i="1"/>
  <c r="AS18" i="1" s="1"/>
  <c r="AA18" i="1"/>
  <c r="AQ18" i="1" s="1"/>
  <c r="D18" i="1"/>
  <c r="F18" i="1" s="1"/>
  <c r="D17" i="1"/>
  <c r="F17" i="1" s="1"/>
  <c r="AC17" i="1"/>
  <c r="AS17" i="1" s="1"/>
  <c r="BS17" i="1" s="1"/>
  <c r="AA17" i="1"/>
  <c r="AQ17" i="1" s="1"/>
  <c r="BS18" i="1" l="1"/>
  <c r="BP18" i="1"/>
  <c r="AI18" i="1"/>
  <c r="AJ18" i="1" s="1"/>
  <c r="AE18" i="1"/>
  <c r="AF18" i="1" s="1"/>
  <c r="AI17" i="1"/>
  <c r="AJ17" i="1" s="1"/>
  <c r="BP17" i="1"/>
  <c r="AL18" i="1"/>
  <c r="AL17" i="1"/>
  <c r="AM18" i="1"/>
  <c r="AO17" i="1"/>
  <c r="AP17" i="1"/>
  <c r="AM17" i="1"/>
  <c r="AE17" i="1"/>
  <c r="AF17" i="1" s="1"/>
</calcChain>
</file>

<file path=xl/sharedStrings.xml><?xml version="1.0" encoding="utf-8"?>
<sst xmlns="http://schemas.openxmlformats.org/spreadsheetml/2006/main" count="218" uniqueCount="139">
  <si>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</si>
  <si>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</si>
  <si>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</si>
  <si>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</si>
  <si>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</si>
  <si>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</si>
  <si>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</si>
  <si>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</si>
  <si>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</si>
  <si>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</si>
  <si>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</si>
  <si>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</si>
  <si>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</si>
  <si>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</si>
  <si>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</si>
  <si>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</si>
  <si>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</si>
  <si>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</si>
  <si>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</si>
  <si>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</si>
  <si>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</si>
  <si>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</si>
  <si>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</si>
  <si>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</si>
  <si>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</si>
  <si>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</si>
  <si>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</si>
  <si>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</si>
  <si>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</si>
  <si>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</si>
  <si>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</si>
  <si>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</si>
  <si>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</si>
  <si>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</si>
  <si>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</si>
  <si>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</si>
  <si>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</si>
  <si>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</si>
  <si>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</si>
  <si>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</si>
  <si>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</si>
  <si>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</si>
  <si>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</si>
  <si>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</si>
  <si>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</si>
  <si>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</si>
  <si>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</si>
  <si>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</si>
  <si>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</si>
  <si>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</si>
  <si>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</si>
  <si>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</si>
  <si>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</si>
  <si>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</si>
  <si>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</si>
  <si>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</si>
  <si>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</si>
  <si>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</si>
  <si>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</si>
  <si>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</si>
  <si>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</si>
  <si>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</si>
  <si>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</si>
  <si>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</si>
  <si>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</si>
  <si>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</si>
  <si>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JB9441</t>
  </si>
  <si>
    <t>JB9443</t>
  </si>
  <si>
    <t>ﾐﾂｷﾞﾛﾝ/ｶﾗｽ博士のｺﾞﾐﾈｯﾄ 約100×110cm/EG-40</t>
  </si>
  <si>
    <t>ﾐﾂｷﾞﾛﾝ/BOX型ｶﾗｽよけﾈｯﾄ 約150×60×高さ80cm/EG-78</t>
  </si>
  <si>
    <t>-</t>
    <phoneticPr fontId="2"/>
  </si>
  <si>
    <t>J368817</t>
  </si>
  <si>
    <t>ミツギロン カラス博士のゴミネット EG-40 KGM1501 1個</t>
  </si>
  <si>
    <t>1個</t>
  </si>
  <si>
    <t>6月
たの</t>
    <rPh sb="1" eb="2">
      <t>ガツ</t>
    </rPh>
    <phoneticPr fontId="2"/>
  </si>
  <si>
    <t>P329345</t>
  </si>
  <si>
    <t>ミツギロン BOX型カラスよけネット EGー78 1個 114-1388（直送品）</t>
  </si>
  <si>
    <t>6月
カウ</t>
    <rPh sb="1" eb="2">
      <t>ガツ</t>
    </rPh>
    <phoneticPr fontId="2"/>
  </si>
  <si>
    <t>J4386W</t>
  </si>
  <si>
    <t>ﾗｲｸｲｯﾄ/A4ﾌｧｲﾙﾕﾆｯﾄ 2段 ﾎﾜｲﾄ</t>
  </si>
  <si>
    <t>5362601</t>
  </si>
  <si>
    <t>Like-it（ライクイット） A4ファイルユニット2段 ホワイト MX-52W ライフモジュール 吉川国工業所</t>
  </si>
  <si>
    <t>J4387W</t>
  </si>
  <si>
    <t>ﾗｲｸｲｯﾄ/A4ﾌｧｲﾙﾕﾆｯﾄR ﾎﾜｲﾄ</t>
  </si>
  <si>
    <t>WW46766</t>
  </si>
  <si>
    <t>Like-it（ライクイット） ライフモデュール A4 ファイルユニット 横 ホワイト（直送品）</t>
  </si>
  <si>
    <t>J4390W</t>
  </si>
  <si>
    <t>ﾗｲｸｲｯﾄ/A4ﾌｧｲﾙﾕﾆｯﾄR 2段 ﾎﾜｲﾄ</t>
  </si>
  <si>
    <t>WW83857</t>
  </si>
  <si>
    <t>Like-it（ライクイット） ライフモデュール A4 ファイルユニット 2段 横 ホワイト（取寄品）（直送品）</t>
  </si>
  <si>
    <t>J4398W</t>
  </si>
  <si>
    <t>ﾗｲｸｲｯﾄ/A4ﾌｧｲﾙﾎﾞｯｸｽ 2個組 ﾎﾜｲﾄ</t>
  </si>
  <si>
    <t>P206900</t>
  </si>
  <si>
    <t>1組（2個入）</t>
  </si>
  <si>
    <t>-</t>
  </si>
  <si>
    <t>Like-it（ライクイット） A4ファイルボックス クリアホワイト MX-19 W 1組（2個入）吉川国工業所</t>
  </si>
  <si>
    <t>J4401W</t>
  </si>
  <si>
    <t>ﾗｲｸｲｯﾄ/ﾌｧｲﾙﾎﾞｯｸｽｽｸｴｱ ﾜｲﾄﾞ ﾎﾜｲﾄ</t>
  </si>
  <si>
    <t>WW46813</t>
  </si>
  <si>
    <t>吉川国工業所 ファイルボックススクエア ワイド ホワイト MX-28_W 1個</t>
  </si>
  <si>
    <t>J4384W</t>
  </si>
  <si>
    <t>ﾗｲｸｲｯﾄ/A4ﾌｧｲﾙﾕﾆｯﾄ ｵｰﾙﾎﾜｲﾄ</t>
  </si>
  <si>
    <t>WW46827</t>
  </si>
  <si>
    <t>Like-it（ライクイット） ライフモデュール A4 ファイルボックス  縦 オールホワイト（取寄品）（直送品）</t>
  </si>
  <si>
    <t>J4385W</t>
  </si>
  <si>
    <t>ﾗｲｸｲｯﾄ/A4ﾌｧｲﾙﾕﾆｯﾄ ｵｰﾙｸﾞﾚｰ</t>
  </si>
  <si>
    <t>WW46828</t>
  </si>
  <si>
    <t>Like-it（ライクイット） ライフモデュール A4 ファイルボックス  縦 オールグレー（取寄品）（直送品）</t>
  </si>
  <si>
    <t>J4388W</t>
  </si>
  <si>
    <t>ﾗｲｸｲｯﾄ/A4ﾌｧｲﾙﾕﾆｯﾄR ｵｰﾙﾎﾜｲﾄ</t>
  </si>
  <si>
    <t>HN86423</t>
  </si>
  <si>
    <t>Like-it（ライクイット） ライフモデュール ファイルケース A4 横 モノトーン オールホワイト 284633 1個 吉川国工業所（取寄品）（直送品）</t>
  </si>
  <si>
    <t>J4389W</t>
  </si>
  <si>
    <t>ﾗｲｸｲｯﾄ/A4ﾌｧｲﾙﾕﾆｯﾄR ｵｰﾙｸﾞﾚｰ</t>
  </si>
  <si>
    <t>HN86424</t>
  </si>
  <si>
    <t>吉川国工業所 ライフモデュール ファイルケース A4 横 モノトーン オールグレー 284634 1個</t>
  </si>
  <si>
    <t>J4399W</t>
  </si>
  <si>
    <t>ﾗｲｸｲｯﾄ/A4ﾌｧｲﾙﾎﾞｯｸｽ 2個組 ｵｰﾙﾎﾜｲﾄ</t>
  </si>
  <si>
    <t>U371285</t>
  </si>
  <si>
    <t>Like-it（ライクイット） A4ファイルボックス MX-19 ホワイト 1組（2個入）吉川国工業所MX-19 AW</t>
  </si>
  <si>
    <t>J4400W</t>
  </si>
  <si>
    <t>ﾗｲｸｲｯﾄ/A4ﾌｧｲﾙﾎﾞｯｸｽ 2個組 ｵｰﾙｸﾞﾚｰ</t>
  </si>
  <si>
    <t>AK04910</t>
  </si>
  <si>
    <t>1セット（2個組）</t>
  </si>
  <si>
    <t>Like-it（ライクイット） A4ファイルボックス オールグレー MX-19 1セット（2個組）</t>
  </si>
  <si>
    <t>J4402W</t>
  </si>
  <si>
    <t>ﾗｲｸｲｯﾄ/ﾌｧｲﾙﾎﾞｯｸｽｽｸｴｱ ﾜｲﾄﾞ ｵｰﾙﾎﾜｲﾄ</t>
  </si>
  <si>
    <t>HN88109</t>
  </si>
  <si>
    <t>吉川国工業所 ファイルケース A4 ライフモデュール スクエア ワイド 横型 ボックス型 オールホワイト 363319 1個</t>
  </si>
  <si>
    <t>J4403W</t>
  </si>
  <si>
    <t>ﾗｲｸｲｯﾄ/ﾌｧｲﾙﾎﾞｯｸｽｽｸｴｱ ﾜｲﾄﾞ ｵｰﾙｸﾞﾚｰ</t>
  </si>
  <si>
    <t>HN88111</t>
  </si>
  <si>
    <t>吉川国工業所 ファイルケース A4 ライフモデュール スクエア ワイド 横型 ボックス型 オールグレー 363320 1個</t>
  </si>
  <si>
    <t>品目+
FW荷姿</t>
    <rPh sb="0" eb="2">
      <t>ヒンモク</t>
    </rPh>
    <rPh sb="6" eb="8">
      <t>ニスガタ</t>
    </rPh>
    <phoneticPr fontId="2"/>
  </si>
  <si>
    <t>箱バラなし</t>
    <rPh sb="0" eb="1">
      <t>ハコ</t>
    </rPh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</si>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</sst>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18"/>
  <sheetViews>
    <sheetView tabSelected="1" zoomScale="90" zoomScaleNormal="90" workbookViewId="0">
      <pane xSplit="8" ySplit="5" topLeftCell="Q6" activePane="bottomRight" state="frozen"/>
      <selection pane="topRight" activeCell="G1" sqref="G1"/>
      <selection pane="bottomLeft" activeCell="A5" sqref="A5"/>
      <selection pane="bottomRight" activeCell="AK18" sqref="AK18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customWidth="1"/>
    <col min="34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5" width="7.625" customWidth="1"/>
    <col min="66" max="66" width="7.625" hidden="1" customWidth="1" outlineLevel="1"/>
    <col min="67" max="67" width="7.625" customWidth="1" collapsed="1"/>
    <col min="68" max="68" width="7.625" customWidth="1"/>
    <col min="69" max="69" width="7.625" hidden="1" customWidth="1" outlineLevel="1"/>
    <col min="70" max="70" width="7.625" customWidth="1" collapsed="1"/>
    <col min="71" max="71" width="7.625" customWidth="1"/>
  </cols>
  <sheetData>
    <row r="1" spans="1:72" x14ac:dyDescent="0.4">
      <c r="C1" s="28" t="s">
        <v>43</v>
      </c>
      <c r="F1" t="s">
        <v>134</v>
      </c>
      <c r="Z1" s="39" t="s">
        <v>40</v>
      </c>
      <c r="AA1" s="40"/>
      <c r="AB1" s="40"/>
      <c r="AC1" s="41"/>
      <c r="AS1" t="s">
        <v>138</v>
      </c>
    </row>
    <row r="2" spans="1:72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0"/>
      <c r="J2" s="30"/>
      <c r="K2" s="36" t="s">
        <v>31</v>
      </c>
      <c r="L2" s="38"/>
      <c r="M2" s="36" t="s">
        <v>1</v>
      </c>
      <c r="N2" s="37"/>
      <c r="O2" s="37"/>
      <c r="P2" s="38"/>
      <c r="Q2" s="11"/>
      <c r="R2" s="29"/>
      <c r="S2" s="29"/>
      <c r="T2" s="29"/>
      <c r="U2" s="29"/>
      <c r="V2" s="29"/>
      <c r="W2" s="29"/>
      <c r="X2" s="29"/>
      <c r="Y2" s="29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11"/>
      <c r="AH2" s="11"/>
      <c r="AI2" s="11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5" t="s">
        <v>133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60</v>
      </c>
      <c r="AA3" s="12" t="s">
        <v>61</v>
      </c>
      <c r="AB3" s="2" t="s">
        <v>62</v>
      </c>
      <c r="AC3" s="12" t="s">
        <v>63</v>
      </c>
      <c r="AD3" s="14" t="s">
        <v>3</v>
      </c>
      <c r="AE3" s="19" t="s">
        <v>14</v>
      </c>
      <c r="AF3" s="2" t="s">
        <v>13</v>
      </c>
      <c r="AG3" s="2" t="s">
        <v>44</v>
      </c>
      <c r="AH3" s="12" t="s">
        <v>65</v>
      </c>
      <c r="AI3" s="12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12" t="s">
        <v>57</v>
      </c>
      <c r="BI3" s="2" t="s">
        <v>135</v>
      </c>
      <c r="BJ3" s="2" t="s">
        <v>12</v>
      </c>
      <c r="BK3" s="17" t="s">
        <v>45</v>
      </c>
      <c r="BL3" s="17" t="s">
        <v>46</v>
      </c>
      <c r="BM3" s="15" t="s">
        <v>52</v>
      </c>
      <c r="BN3" s="31" t="s">
        <v>74</v>
      </c>
      <c r="BO3" s="31" t="s">
        <v>136</v>
      </c>
      <c r="BP3" s="32" t="s">
        <v>58</v>
      </c>
      <c r="BQ3" s="32" t="s">
        <v>77</v>
      </c>
      <c r="BR3" s="32" t="s">
        <v>137</v>
      </c>
      <c r="BS3" s="32" t="s">
        <v>59</v>
      </c>
      <c r="BT3" t="s">
        <v>50</v>
      </c>
    </row>
    <row r="4" spans="1:72" x14ac:dyDescent="0.4">
      <c r="A4" s="3">
        <v>4</v>
      </c>
      <c r="B4" s="3">
        <v>4</v>
      </c>
      <c r="C4" s="4" t="s">
        <v>90</v>
      </c>
      <c r="D4" s="4" t="str">
        <f t="shared" ref="D4:D18" si="0">TEXT(C4,"000000")</f>
        <v>J4398W</v>
      </c>
      <c r="E4" s="4" t="s">
        <v>90</v>
      </c>
      <c r="F4" s="4" t="str">
        <f t="shared" ref="F4:F18" si="1">D4&amp;I4</f>
        <v>J4398W5</v>
      </c>
      <c r="G4" s="4" t="s">
        <v>91</v>
      </c>
      <c r="H4" s="5">
        <v>4979625193175</v>
      </c>
      <c r="I4" s="5">
        <v>5</v>
      </c>
      <c r="J4" s="5"/>
      <c r="K4" s="5">
        <v>1</v>
      </c>
      <c r="L4" s="5">
        <v>1</v>
      </c>
      <c r="M4" s="4">
        <v>1200</v>
      </c>
      <c r="N4" s="4">
        <v>1040</v>
      </c>
      <c r="O4" s="4">
        <v>660</v>
      </c>
      <c r="P4" s="6">
        <f t="shared" ref="P4:P18" si="2">IFERROR(1-O4/N4,"-")</f>
        <v>0.36538461538461542</v>
      </c>
      <c r="Q4" s="4" t="s">
        <v>70</v>
      </c>
      <c r="R4" s="4"/>
      <c r="S4" s="4"/>
      <c r="T4" s="4"/>
      <c r="U4" s="4"/>
      <c r="V4" s="4"/>
      <c r="W4" s="4"/>
      <c r="X4" s="4"/>
      <c r="Y4" s="4"/>
      <c r="Z4" s="4">
        <v>1300</v>
      </c>
      <c r="AA4" s="4">
        <f t="shared" ref="AA4:AA18" si="3">IF(AD4="",Z4,Z4*AD4)</f>
        <v>1300</v>
      </c>
      <c r="AB4" s="4">
        <v>715</v>
      </c>
      <c r="AC4" s="4">
        <f t="shared" ref="AC4:AC18" si="4">IF(AD4="",AB4,AB4*AD4)</f>
        <v>715</v>
      </c>
      <c r="AD4" s="4"/>
      <c r="AE4" s="20">
        <f t="shared" ref="AE4:AE18" si="5">ROUND(N4*AS4,0)</f>
        <v>1127</v>
      </c>
      <c r="AF4" s="6">
        <f t="shared" ref="AF4:AF18" si="6">IFERROR(1-AC4/AE4,"-")</f>
        <v>0.36557231588287487</v>
      </c>
      <c r="AG4" s="4">
        <v>2.5</v>
      </c>
      <c r="AH4" s="4">
        <f t="shared" ref="AH4:AH18" si="7">BJ4</f>
        <v>1110</v>
      </c>
      <c r="AI4" s="4">
        <f t="shared" ref="AI4:AI18" si="8">IFERROR(AH4*AS4,"-")</f>
        <v>1202.5</v>
      </c>
      <c r="AJ4" s="6">
        <f t="shared" ref="AJ4:AJ18" si="9">IFERROR(1-AC4/AI4,"-")</f>
        <v>0.40540540540540537</v>
      </c>
      <c r="AK4" s="7">
        <v>1100</v>
      </c>
      <c r="AL4" s="6">
        <f t="shared" ref="AL4:AL18" si="10">1-AC4/AK4</f>
        <v>0.35</v>
      </c>
      <c r="AM4" s="4">
        <f t="shared" ref="AM4:AM18" si="11">AK4-AC4</f>
        <v>385</v>
      </c>
      <c r="AN4" s="27"/>
      <c r="AO4" s="6"/>
      <c r="AP4" s="6"/>
      <c r="AQ4" s="6">
        <f t="shared" ref="AQ4:AQ18" si="12">IFERROR(AA4/M4,"-")</f>
        <v>1.0833333333333333</v>
      </c>
      <c r="AR4" s="6">
        <f t="shared" ref="AR4:AR18" si="13">IFERROR(AK4/N4,"-")</f>
        <v>1.0576923076923077</v>
      </c>
      <c r="AS4" s="6">
        <f t="shared" ref="AS4:AS18" si="14">IFERROR(AC4/O4,"-")</f>
        <v>1.0833333333333333</v>
      </c>
      <c r="AT4" s="4"/>
      <c r="AU4" s="4"/>
      <c r="AV4" s="4"/>
      <c r="AW4" s="4"/>
      <c r="AX4" s="4"/>
      <c r="AY4" s="4"/>
      <c r="AZ4" s="4"/>
      <c r="BA4" s="4"/>
      <c r="BB4" s="4"/>
      <c r="BC4" s="4">
        <v>0</v>
      </c>
      <c r="BD4" s="4" t="s">
        <v>92</v>
      </c>
      <c r="BE4" s="4"/>
      <c r="BF4" s="4"/>
      <c r="BG4" s="4" t="s">
        <v>93</v>
      </c>
      <c r="BH4" s="4">
        <v>840</v>
      </c>
      <c r="BI4" s="4">
        <v>1110</v>
      </c>
      <c r="BJ4" s="4">
        <f t="shared" ref="BJ4:BJ18" si="15">IF(BE4="",BI4,BE4/BF4*BI4)</f>
        <v>1110</v>
      </c>
      <c r="BK4" s="18">
        <v>4</v>
      </c>
      <c r="BL4" s="18">
        <v>1</v>
      </c>
      <c r="BM4" s="16">
        <v>3</v>
      </c>
      <c r="BN4" s="33" t="s">
        <v>94</v>
      </c>
      <c r="BO4" s="33" t="s">
        <v>94</v>
      </c>
      <c r="BP4" t="str">
        <f t="shared" ref="BP4:BP18" si="16">IFERROR(BO4*AS4,"-")</f>
        <v>-</v>
      </c>
      <c r="BQ4" t="s">
        <v>94</v>
      </c>
      <c r="BR4" t="s">
        <v>94</v>
      </c>
      <c r="BS4" t="str">
        <f t="shared" ref="BS4:BS18" si="17">IFERROR(BR4*AS4,"-")</f>
        <v>-</v>
      </c>
      <c r="BT4" t="s">
        <v>95</v>
      </c>
    </row>
    <row r="5" spans="1:72" x14ac:dyDescent="0.4">
      <c r="A5" s="3">
        <v>10</v>
      </c>
      <c r="B5" s="3">
        <v>10</v>
      </c>
      <c r="C5" s="4" t="s">
        <v>116</v>
      </c>
      <c r="D5" s="4" t="str">
        <f t="shared" si="0"/>
        <v>J4399W</v>
      </c>
      <c r="E5" s="4" t="s">
        <v>116</v>
      </c>
      <c r="F5" s="4" t="str">
        <f t="shared" si="1"/>
        <v>J4399W5</v>
      </c>
      <c r="G5" s="4" t="s">
        <v>117</v>
      </c>
      <c r="H5" s="5">
        <v>4979625226910</v>
      </c>
      <c r="I5" s="5">
        <v>5</v>
      </c>
      <c r="J5" s="5"/>
      <c r="K5" s="5">
        <v>1</v>
      </c>
      <c r="L5" s="5">
        <v>1</v>
      </c>
      <c r="M5" s="4">
        <v>1200</v>
      </c>
      <c r="N5" s="4">
        <v>1040</v>
      </c>
      <c r="O5" s="4">
        <v>660</v>
      </c>
      <c r="P5" s="6">
        <f t="shared" si="2"/>
        <v>0.36538461538461542</v>
      </c>
      <c r="Q5" s="4" t="s">
        <v>70</v>
      </c>
      <c r="R5" s="4"/>
      <c r="S5" s="4"/>
      <c r="T5" s="4"/>
      <c r="U5" s="4"/>
      <c r="V5" s="4"/>
      <c r="W5" s="4"/>
      <c r="X5" s="4"/>
      <c r="Y5" s="4"/>
      <c r="Z5" s="4">
        <v>1300</v>
      </c>
      <c r="AA5" s="4">
        <f t="shared" si="3"/>
        <v>1300</v>
      </c>
      <c r="AB5" s="4">
        <v>715</v>
      </c>
      <c r="AC5" s="4">
        <f t="shared" si="4"/>
        <v>715</v>
      </c>
      <c r="AD5" s="4"/>
      <c r="AE5" s="20">
        <f t="shared" si="5"/>
        <v>1127</v>
      </c>
      <c r="AF5" s="6">
        <f t="shared" si="6"/>
        <v>0.36557231588287487</v>
      </c>
      <c r="AG5" s="4">
        <v>1.7500000000000002</v>
      </c>
      <c r="AH5" s="4">
        <f t="shared" si="7"/>
        <v>1110</v>
      </c>
      <c r="AI5" s="4">
        <f t="shared" si="8"/>
        <v>1202.5</v>
      </c>
      <c r="AJ5" s="6">
        <f t="shared" si="9"/>
        <v>0.40540540540540537</v>
      </c>
      <c r="AK5" s="7">
        <v>1100</v>
      </c>
      <c r="AL5" s="6">
        <f t="shared" si="10"/>
        <v>0.35</v>
      </c>
      <c r="AM5" s="4">
        <f t="shared" si="11"/>
        <v>385</v>
      </c>
      <c r="AN5" s="27"/>
      <c r="AO5" s="6"/>
      <c r="AP5" s="6"/>
      <c r="AQ5" s="6">
        <f t="shared" si="12"/>
        <v>1.0833333333333333</v>
      </c>
      <c r="AR5" s="6">
        <f t="shared" si="13"/>
        <v>1.0576923076923077</v>
      </c>
      <c r="AS5" s="6">
        <f t="shared" si="14"/>
        <v>1.0833333333333333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118</v>
      </c>
      <c r="BE5" s="4"/>
      <c r="BF5" s="4"/>
      <c r="BG5" s="4" t="s">
        <v>93</v>
      </c>
      <c r="BH5" s="4">
        <v>840</v>
      </c>
      <c r="BI5" s="4">
        <v>1110</v>
      </c>
      <c r="BJ5" s="4">
        <f t="shared" si="15"/>
        <v>1110</v>
      </c>
      <c r="BK5" s="18">
        <v>4</v>
      </c>
      <c r="BL5" s="18">
        <v>8</v>
      </c>
      <c r="BM5" s="16">
        <v>3</v>
      </c>
      <c r="BN5" s="33" t="s">
        <v>94</v>
      </c>
      <c r="BO5" s="33" t="s">
        <v>94</v>
      </c>
      <c r="BP5" t="str">
        <f t="shared" si="16"/>
        <v>-</v>
      </c>
      <c r="BQ5">
        <v>925</v>
      </c>
      <c r="BR5">
        <v>925</v>
      </c>
      <c r="BS5">
        <f t="shared" si="17"/>
        <v>1002.0833333333333</v>
      </c>
      <c r="BT5" t="s">
        <v>119</v>
      </c>
    </row>
    <row r="6" spans="1:72" x14ac:dyDescent="0.4">
      <c r="A6" s="3">
        <v>11</v>
      </c>
      <c r="B6" s="3">
        <v>11</v>
      </c>
      <c r="C6" s="4" t="s">
        <v>120</v>
      </c>
      <c r="D6" s="4" t="str">
        <f t="shared" si="0"/>
        <v>J4400W</v>
      </c>
      <c r="E6" s="4" t="s">
        <v>120</v>
      </c>
      <c r="F6" s="4" t="str">
        <f t="shared" si="1"/>
        <v>J4400W5</v>
      </c>
      <c r="G6" s="4" t="s">
        <v>121</v>
      </c>
      <c r="H6" s="5">
        <v>4979625226927</v>
      </c>
      <c r="I6" s="5">
        <v>5</v>
      </c>
      <c r="J6" s="5"/>
      <c r="K6" s="5">
        <v>1</v>
      </c>
      <c r="L6" s="5">
        <v>1</v>
      </c>
      <c r="M6" s="4">
        <v>1200</v>
      </c>
      <c r="N6" s="4">
        <v>1040</v>
      </c>
      <c r="O6" s="4">
        <v>660</v>
      </c>
      <c r="P6" s="6">
        <f t="shared" si="2"/>
        <v>0.36538461538461542</v>
      </c>
      <c r="Q6" s="4" t="s">
        <v>70</v>
      </c>
      <c r="R6" s="4"/>
      <c r="S6" s="4"/>
      <c r="T6" s="4"/>
      <c r="U6" s="4"/>
      <c r="V6" s="4"/>
      <c r="W6" s="4"/>
      <c r="X6" s="4"/>
      <c r="Y6" s="4"/>
      <c r="Z6" s="4">
        <v>1300</v>
      </c>
      <c r="AA6" s="4">
        <f t="shared" si="3"/>
        <v>1300</v>
      </c>
      <c r="AB6" s="4">
        <v>715</v>
      </c>
      <c r="AC6" s="4">
        <f t="shared" si="4"/>
        <v>715</v>
      </c>
      <c r="AD6" s="4"/>
      <c r="AE6" s="20">
        <f t="shared" si="5"/>
        <v>1127</v>
      </c>
      <c r="AF6" s="6">
        <f t="shared" si="6"/>
        <v>0.36557231588287487</v>
      </c>
      <c r="AG6" s="4">
        <v>0.5</v>
      </c>
      <c r="AH6" s="4">
        <f t="shared" si="7"/>
        <v>973</v>
      </c>
      <c r="AI6" s="4">
        <f t="shared" si="8"/>
        <v>1054.0833333333333</v>
      </c>
      <c r="AJ6" s="6">
        <f t="shared" si="9"/>
        <v>0.32168550873586843</v>
      </c>
      <c r="AK6" s="7">
        <v>1100</v>
      </c>
      <c r="AL6" s="6">
        <f t="shared" si="10"/>
        <v>0.35</v>
      </c>
      <c r="AM6" s="4">
        <f t="shared" si="11"/>
        <v>385</v>
      </c>
      <c r="AN6" s="27"/>
      <c r="AO6" s="6"/>
      <c r="AP6" s="6"/>
      <c r="AQ6" s="6">
        <f t="shared" si="12"/>
        <v>1.0833333333333333</v>
      </c>
      <c r="AR6" s="6">
        <f t="shared" si="13"/>
        <v>1.0576923076923077</v>
      </c>
      <c r="AS6" s="6">
        <f t="shared" si="14"/>
        <v>1.0833333333333333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122</v>
      </c>
      <c r="BE6" s="4"/>
      <c r="BF6" s="4"/>
      <c r="BG6" s="4" t="s">
        <v>123</v>
      </c>
      <c r="BH6" s="4">
        <v>746</v>
      </c>
      <c r="BI6" s="4">
        <v>973</v>
      </c>
      <c r="BJ6" s="4">
        <f t="shared" si="15"/>
        <v>973</v>
      </c>
      <c r="BK6" s="18">
        <v>4</v>
      </c>
      <c r="BL6" s="18">
        <v>8</v>
      </c>
      <c r="BM6" s="16">
        <v>3</v>
      </c>
      <c r="BN6" t="s">
        <v>94</v>
      </c>
      <c r="BO6" s="33" t="s">
        <v>94</v>
      </c>
      <c r="BP6" t="str">
        <f t="shared" si="16"/>
        <v>-</v>
      </c>
      <c r="BQ6">
        <v>925</v>
      </c>
      <c r="BR6">
        <v>925</v>
      </c>
      <c r="BS6">
        <f t="shared" si="17"/>
        <v>1002.0833333333333</v>
      </c>
      <c r="BT6" t="s">
        <v>124</v>
      </c>
    </row>
    <row r="7" spans="1:72" x14ac:dyDescent="0.4">
      <c r="A7" s="3">
        <v>5</v>
      </c>
      <c r="B7" s="3">
        <v>5</v>
      </c>
      <c r="C7" s="4" t="s">
        <v>96</v>
      </c>
      <c r="D7" s="4" t="str">
        <f t="shared" si="0"/>
        <v>J4401W</v>
      </c>
      <c r="E7" s="4" t="s">
        <v>96</v>
      </c>
      <c r="F7" s="4" t="str">
        <f t="shared" si="1"/>
        <v>J4401W5</v>
      </c>
      <c r="G7" s="4" t="s">
        <v>97</v>
      </c>
      <c r="H7" s="5">
        <v>4979625221298</v>
      </c>
      <c r="I7" s="5">
        <v>5</v>
      </c>
      <c r="J7" s="5"/>
      <c r="K7" s="5">
        <v>1</v>
      </c>
      <c r="L7" s="5">
        <v>1</v>
      </c>
      <c r="M7" s="4">
        <v>1500</v>
      </c>
      <c r="N7" s="4">
        <v>1320</v>
      </c>
      <c r="O7" s="4">
        <v>825</v>
      </c>
      <c r="P7" s="6">
        <f t="shared" si="2"/>
        <v>0.375</v>
      </c>
      <c r="Q7" s="4" t="s">
        <v>70</v>
      </c>
      <c r="R7" s="4"/>
      <c r="S7" s="4"/>
      <c r="T7" s="4"/>
      <c r="U7" s="4"/>
      <c r="V7" s="4"/>
      <c r="W7" s="4"/>
      <c r="X7" s="4"/>
      <c r="Y7" s="4"/>
      <c r="Z7" s="4">
        <v>1600</v>
      </c>
      <c r="AA7" s="4">
        <f t="shared" si="3"/>
        <v>1600</v>
      </c>
      <c r="AB7" s="4">
        <v>880</v>
      </c>
      <c r="AC7" s="4">
        <f t="shared" si="4"/>
        <v>880</v>
      </c>
      <c r="AD7" s="4"/>
      <c r="AE7" s="20">
        <f t="shared" si="5"/>
        <v>1408</v>
      </c>
      <c r="AF7" s="6">
        <f t="shared" si="6"/>
        <v>0.375</v>
      </c>
      <c r="AG7" s="4">
        <v>1.5</v>
      </c>
      <c r="AH7" s="4">
        <f t="shared" si="7"/>
        <v>1444</v>
      </c>
      <c r="AI7" s="4">
        <f t="shared" si="8"/>
        <v>1540.2666666666667</v>
      </c>
      <c r="AJ7" s="6">
        <f t="shared" si="9"/>
        <v>0.42867036011080328</v>
      </c>
      <c r="AK7" s="7">
        <v>1400</v>
      </c>
      <c r="AL7" s="6">
        <f t="shared" si="10"/>
        <v>0.37142857142857144</v>
      </c>
      <c r="AM7" s="4">
        <f t="shared" si="11"/>
        <v>520</v>
      </c>
      <c r="AN7" s="27"/>
      <c r="AO7" s="6"/>
      <c r="AP7" s="6"/>
      <c r="AQ7" s="6">
        <f t="shared" si="12"/>
        <v>1.0666666666666667</v>
      </c>
      <c r="AR7" s="6">
        <f t="shared" si="13"/>
        <v>1.0606060606060606</v>
      </c>
      <c r="AS7" s="6">
        <f t="shared" si="14"/>
        <v>1.0666666666666667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98</v>
      </c>
      <c r="BE7" s="4"/>
      <c r="BF7" s="4"/>
      <c r="BG7" s="4" t="s">
        <v>73</v>
      </c>
      <c r="BH7" s="4">
        <v>1260</v>
      </c>
      <c r="BI7" s="4">
        <v>1444</v>
      </c>
      <c r="BJ7" s="4">
        <f t="shared" si="15"/>
        <v>1444</v>
      </c>
      <c r="BK7" s="18">
        <v>4</v>
      </c>
      <c r="BL7" s="18">
        <v>8</v>
      </c>
      <c r="BM7" s="16">
        <v>3</v>
      </c>
      <c r="BN7" t="s">
        <v>94</v>
      </c>
      <c r="BO7" s="33" t="s">
        <v>94</v>
      </c>
      <c r="BP7" t="str">
        <f t="shared" si="16"/>
        <v>-</v>
      </c>
      <c r="BQ7">
        <v>1265</v>
      </c>
      <c r="BR7">
        <v>1446</v>
      </c>
      <c r="BS7">
        <f t="shared" si="17"/>
        <v>1542.4</v>
      </c>
      <c r="BT7" t="s">
        <v>99</v>
      </c>
    </row>
    <row r="8" spans="1:72" x14ac:dyDescent="0.4">
      <c r="A8" s="3">
        <v>12</v>
      </c>
      <c r="B8" s="3">
        <v>12</v>
      </c>
      <c r="C8" s="34" t="s">
        <v>125</v>
      </c>
      <c r="D8" s="4" t="str">
        <f t="shared" si="0"/>
        <v>J4402W</v>
      </c>
      <c r="E8" s="4" t="s">
        <v>125</v>
      </c>
      <c r="F8" s="4" t="str">
        <f t="shared" si="1"/>
        <v>J4402W5</v>
      </c>
      <c r="G8" s="4" t="s">
        <v>126</v>
      </c>
      <c r="H8" s="5">
        <v>4979625226941</v>
      </c>
      <c r="I8" s="5">
        <v>5</v>
      </c>
      <c r="J8" s="5"/>
      <c r="K8" s="5">
        <v>1</v>
      </c>
      <c r="L8" s="5">
        <v>1</v>
      </c>
      <c r="M8" s="4">
        <v>1500</v>
      </c>
      <c r="N8" s="4">
        <v>1320</v>
      </c>
      <c r="O8" s="4">
        <v>825</v>
      </c>
      <c r="P8" s="6">
        <f t="shared" si="2"/>
        <v>0.375</v>
      </c>
      <c r="Q8" s="4" t="s">
        <v>70</v>
      </c>
      <c r="R8" s="4"/>
      <c r="S8" s="4"/>
      <c r="T8" s="4"/>
      <c r="U8" s="4"/>
      <c r="V8" s="4"/>
      <c r="W8" s="4"/>
      <c r="X8" s="4"/>
      <c r="Y8" s="4"/>
      <c r="Z8" s="4">
        <v>1600</v>
      </c>
      <c r="AA8" s="4">
        <f t="shared" si="3"/>
        <v>1600</v>
      </c>
      <c r="AB8" s="4">
        <v>880</v>
      </c>
      <c r="AC8" s="4">
        <f t="shared" si="4"/>
        <v>880</v>
      </c>
      <c r="AD8" s="4"/>
      <c r="AE8" s="20">
        <f t="shared" si="5"/>
        <v>1408</v>
      </c>
      <c r="AF8" s="6">
        <f t="shared" si="6"/>
        <v>0.375</v>
      </c>
      <c r="AG8" s="4">
        <v>1</v>
      </c>
      <c r="AH8" s="4">
        <f t="shared" si="7"/>
        <v>1428</v>
      </c>
      <c r="AI8" s="4">
        <f t="shared" si="8"/>
        <v>1523.2</v>
      </c>
      <c r="AJ8" s="6">
        <f t="shared" si="9"/>
        <v>0.42226890756302526</v>
      </c>
      <c r="AK8" s="7">
        <v>1400</v>
      </c>
      <c r="AL8" s="6">
        <f t="shared" si="10"/>
        <v>0.37142857142857144</v>
      </c>
      <c r="AM8" s="4">
        <f t="shared" si="11"/>
        <v>520</v>
      </c>
      <c r="AN8" s="27"/>
      <c r="AO8" s="6"/>
      <c r="AP8" s="6"/>
      <c r="AQ8" s="6">
        <f t="shared" si="12"/>
        <v>1.0666666666666667</v>
      </c>
      <c r="AR8" s="6">
        <f t="shared" si="13"/>
        <v>1.0606060606060606</v>
      </c>
      <c r="AS8" s="6">
        <f t="shared" si="14"/>
        <v>1.0666666666666667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127</v>
      </c>
      <c r="BE8" s="4"/>
      <c r="BF8" s="4"/>
      <c r="BG8" s="4" t="s">
        <v>73</v>
      </c>
      <c r="BH8" s="4">
        <v>1428</v>
      </c>
      <c r="BI8" s="4">
        <v>1428</v>
      </c>
      <c r="BJ8" s="4">
        <f t="shared" si="15"/>
        <v>1428</v>
      </c>
      <c r="BK8" s="18">
        <v>4</v>
      </c>
      <c r="BL8" s="18">
        <v>8</v>
      </c>
      <c r="BM8" s="16">
        <v>3</v>
      </c>
      <c r="BN8" t="s">
        <v>94</v>
      </c>
      <c r="BO8" s="33" t="s">
        <v>94</v>
      </c>
      <c r="BP8" t="str">
        <f t="shared" si="16"/>
        <v>-</v>
      </c>
      <c r="BQ8">
        <v>1313</v>
      </c>
      <c r="BR8">
        <v>1313</v>
      </c>
      <c r="BS8">
        <f t="shared" si="17"/>
        <v>1400.5333333333333</v>
      </c>
      <c r="BT8" t="s">
        <v>128</v>
      </c>
    </row>
    <row r="9" spans="1:72" x14ac:dyDescent="0.4">
      <c r="A9" s="3">
        <v>13</v>
      </c>
      <c r="B9" s="3">
        <v>13</v>
      </c>
      <c r="C9" s="34" t="s">
        <v>129</v>
      </c>
      <c r="D9" s="4" t="str">
        <f t="shared" si="0"/>
        <v>J4403W</v>
      </c>
      <c r="E9" s="4" t="s">
        <v>129</v>
      </c>
      <c r="F9" s="4" t="str">
        <f t="shared" si="1"/>
        <v>J4403W5</v>
      </c>
      <c r="G9" s="4" t="s">
        <v>130</v>
      </c>
      <c r="H9" s="5">
        <v>4979625226958</v>
      </c>
      <c r="I9" s="5">
        <v>5</v>
      </c>
      <c r="J9" s="5"/>
      <c r="K9" s="5">
        <v>1</v>
      </c>
      <c r="L9" s="5">
        <v>1</v>
      </c>
      <c r="M9" s="4">
        <v>1500</v>
      </c>
      <c r="N9" s="4">
        <v>1320</v>
      </c>
      <c r="O9" s="4">
        <v>825</v>
      </c>
      <c r="P9" s="6">
        <f t="shared" si="2"/>
        <v>0.375</v>
      </c>
      <c r="Q9" s="4" t="s">
        <v>70</v>
      </c>
      <c r="R9" s="4"/>
      <c r="S9" s="4"/>
      <c r="T9" s="4"/>
      <c r="U9" s="4"/>
      <c r="V9" s="4"/>
      <c r="W9" s="4"/>
      <c r="X9" s="4"/>
      <c r="Y9" s="4"/>
      <c r="Z9" s="4">
        <v>1600</v>
      </c>
      <c r="AA9" s="4">
        <f t="shared" si="3"/>
        <v>1600</v>
      </c>
      <c r="AB9" s="4">
        <v>880</v>
      </c>
      <c r="AC9" s="4">
        <f t="shared" si="4"/>
        <v>880</v>
      </c>
      <c r="AD9" s="4"/>
      <c r="AE9" s="20">
        <f t="shared" si="5"/>
        <v>1408</v>
      </c>
      <c r="AF9" s="6">
        <f t="shared" si="6"/>
        <v>0.375</v>
      </c>
      <c r="AG9" s="4">
        <v>0.25</v>
      </c>
      <c r="AH9" s="4">
        <f t="shared" si="7"/>
        <v>1410</v>
      </c>
      <c r="AI9" s="4">
        <f t="shared" si="8"/>
        <v>1504</v>
      </c>
      <c r="AJ9" s="6">
        <f t="shared" si="9"/>
        <v>0.41489361702127658</v>
      </c>
      <c r="AK9" s="7">
        <v>1400</v>
      </c>
      <c r="AL9" s="6">
        <f t="shared" si="10"/>
        <v>0.37142857142857144</v>
      </c>
      <c r="AM9" s="4">
        <f t="shared" si="11"/>
        <v>520</v>
      </c>
      <c r="AN9" s="27"/>
      <c r="AO9" s="6"/>
      <c r="AP9" s="6"/>
      <c r="AQ9" s="6">
        <f t="shared" si="12"/>
        <v>1.0666666666666667</v>
      </c>
      <c r="AR9" s="6">
        <f t="shared" si="13"/>
        <v>1.0606060606060606</v>
      </c>
      <c r="AS9" s="6">
        <f t="shared" si="14"/>
        <v>1.0666666666666667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131</v>
      </c>
      <c r="BE9" s="4"/>
      <c r="BF9" s="4"/>
      <c r="BG9" s="4" t="s">
        <v>73</v>
      </c>
      <c r="BH9" s="4">
        <v>1410</v>
      </c>
      <c r="BI9" s="4">
        <v>1410</v>
      </c>
      <c r="BJ9" s="4">
        <f t="shared" si="15"/>
        <v>1410</v>
      </c>
      <c r="BK9" s="18">
        <v>4</v>
      </c>
      <c r="BL9" s="18">
        <v>8</v>
      </c>
      <c r="BM9" s="16">
        <v>3</v>
      </c>
      <c r="BN9" t="s">
        <v>94</v>
      </c>
      <c r="BO9" s="33" t="s">
        <v>94</v>
      </c>
      <c r="BP9" t="str">
        <f t="shared" si="16"/>
        <v>-</v>
      </c>
      <c r="BQ9">
        <v>1313</v>
      </c>
      <c r="BR9">
        <v>1313</v>
      </c>
      <c r="BS9">
        <f t="shared" si="17"/>
        <v>1400.5333333333333</v>
      </c>
      <c r="BT9" t="s">
        <v>132</v>
      </c>
    </row>
    <row r="10" spans="1:72" x14ac:dyDescent="0.4">
      <c r="A10" s="3">
        <v>6</v>
      </c>
      <c r="B10" s="3">
        <v>6</v>
      </c>
      <c r="C10" s="34" t="s">
        <v>100</v>
      </c>
      <c r="D10" s="4" t="str">
        <f t="shared" si="0"/>
        <v>J4384W</v>
      </c>
      <c r="E10" s="4" t="s">
        <v>100</v>
      </c>
      <c r="F10" s="4" t="str">
        <f t="shared" si="1"/>
        <v>J4384W5</v>
      </c>
      <c r="G10" s="4" t="s">
        <v>101</v>
      </c>
      <c r="H10" s="5">
        <v>4979625223346</v>
      </c>
      <c r="I10" s="5">
        <v>5</v>
      </c>
      <c r="J10" s="5"/>
      <c r="K10" s="5">
        <v>1</v>
      </c>
      <c r="L10" s="5">
        <v>1</v>
      </c>
      <c r="M10" s="4">
        <v>1900</v>
      </c>
      <c r="N10" s="4">
        <v>1660</v>
      </c>
      <c r="O10" s="4">
        <v>1045</v>
      </c>
      <c r="P10" s="6">
        <f t="shared" si="2"/>
        <v>0.37048192771084343</v>
      </c>
      <c r="Q10" s="4" t="s">
        <v>70</v>
      </c>
      <c r="R10" s="4"/>
      <c r="S10" s="4"/>
      <c r="T10" s="4"/>
      <c r="U10" s="4"/>
      <c r="V10" s="4"/>
      <c r="W10" s="4"/>
      <c r="X10" s="4"/>
      <c r="Y10" s="4"/>
      <c r="Z10" s="4">
        <v>2000</v>
      </c>
      <c r="AA10" s="4">
        <f t="shared" si="3"/>
        <v>2000</v>
      </c>
      <c r="AB10" s="4">
        <v>1100</v>
      </c>
      <c r="AC10" s="4">
        <f t="shared" si="4"/>
        <v>1100</v>
      </c>
      <c r="AD10" s="4"/>
      <c r="AE10" s="20">
        <f t="shared" si="5"/>
        <v>1747</v>
      </c>
      <c r="AF10" s="6">
        <f t="shared" si="6"/>
        <v>0.37034917000572409</v>
      </c>
      <c r="AG10" s="4">
        <v>0.25</v>
      </c>
      <c r="AH10" s="4">
        <f t="shared" si="7"/>
        <v>1808</v>
      </c>
      <c r="AI10" s="4">
        <f t="shared" si="8"/>
        <v>1903.1578947368421</v>
      </c>
      <c r="AJ10" s="6">
        <f t="shared" si="9"/>
        <v>0.42201327433628322</v>
      </c>
      <c r="AK10" s="7">
        <v>1750</v>
      </c>
      <c r="AL10" s="6">
        <f t="shared" si="10"/>
        <v>0.37142857142857144</v>
      </c>
      <c r="AM10" s="4">
        <f t="shared" si="11"/>
        <v>650</v>
      </c>
      <c r="AN10" s="27"/>
      <c r="AO10" s="6"/>
      <c r="AP10" s="6"/>
      <c r="AQ10" s="6">
        <f t="shared" si="12"/>
        <v>1.0526315789473684</v>
      </c>
      <c r="AR10" s="6">
        <f t="shared" si="13"/>
        <v>1.0542168674698795</v>
      </c>
      <c r="AS10" s="6">
        <f t="shared" si="14"/>
        <v>1.0526315789473684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102</v>
      </c>
      <c r="BE10" s="4"/>
      <c r="BF10" s="4"/>
      <c r="BG10" s="4" t="s">
        <v>73</v>
      </c>
      <c r="BH10" s="4">
        <v>1808</v>
      </c>
      <c r="BI10" s="4">
        <v>1808</v>
      </c>
      <c r="BJ10" s="4">
        <f t="shared" si="15"/>
        <v>1808</v>
      </c>
      <c r="BK10" s="18">
        <v>4</v>
      </c>
      <c r="BL10" s="18">
        <v>8</v>
      </c>
      <c r="BM10" s="16">
        <v>6</v>
      </c>
      <c r="BN10" t="s">
        <v>94</v>
      </c>
      <c r="BO10" s="33" t="s">
        <v>94</v>
      </c>
      <c r="BP10" t="str">
        <f t="shared" si="16"/>
        <v>-</v>
      </c>
      <c r="BQ10">
        <v>1575</v>
      </c>
      <c r="BR10">
        <v>2000</v>
      </c>
      <c r="BS10">
        <f t="shared" si="17"/>
        <v>2105.2631578947367</v>
      </c>
      <c r="BT10" t="s">
        <v>103</v>
      </c>
    </row>
    <row r="11" spans="1:72" x14ac:dyDescent="0.4">
      <c r="A11" s="3">
        <v>7</v>
      </c>
      <c r="B11" s="3">
        <v>7</v>
      </c>
      <c r="C11" s="34" t="s">
        <v>104</v>
      </c>
      <c r="D11" s="4" t="str">
        <f t="shared" si="0"/>
        <v>J4385W</v>
      </c>
      <c r="E11" s="4" t="s">
        <v>104</v>
      </c>
      <c r="F11" s="4" t="str">
        <f t="shared" si="1"/>
        <v>J4385W5</v>
      </c>
      <c r="G11" s="4" t="s">
        <v>105</v>
      </c>
      <c r="H11" s="5">
        <v>4979625223353</v>
      </c>
      <c r="I11" s="5">
        <v>5</v>
      </c>
      <c r="J11" s="5"/>
      <c r="K11" s="5">
        <v>1</v>
      </c>
      <c r="L11" s="5">
        <v>1</v>
      </c>
      <c r="M11" s="4">
        <v>1900</v>
      </c>
      <c r="N11" s="4">
        <v>1660</v>
      </c>
      <c r="O11" s="4">
        <v>1045</v>
      </c>
      <c r="P11" s="6">
        <f t="shared" si="2"/>
        <v>0.37048192771084343</v>
      </c>
      <c r="Q11" s="4" t="s">
        <v>70</v>
      </c>
      <c r="R11" s="4"/>
      <c r="S11" s="4"/>
      <c r="T11" s="4"/>
      <c r="U11" s="4"/>
      <c r="V11" s="4"/>
      <c r="W11" s="4"/>
      <c r="X11" s="4"/>
      <c r="Y11" s="4"/>
      <c r="Z11" s="4">
        <v>2000</v>
      </c>
      <c r="AA11" s="4">
        <f t="shared" si="3"/>
        <v>2000</v>
      </c>
      <c r="AB11" s="4">
        <v>1100</v>
      </c>
      <c r="AC11" s="4">
        <f t="shared" si="4"/>
        <v>1100</v>
      </c>
      <c r="AD11" s="4"/>
      <c r="AE11" s="20">
        <f t="shared" si="5"/>
        <v>1747</v>
      </c>
      <c r="AF11" s="6">
        <f t="shared" si="6"/>
        <v>0.37034917000572409</v>
      </c>
      <c r="AG11" s="4">
        <v>0.25</v>
      </c>
      <c r="AH11" s="4">
        <f t="shared" si="7"/>
        <v>1808</v>
      </c>
      <c r="AI11" s="4">
        <f t="shared" si="8"/>
        <v>1903.1578947368421</v>
      </c>
      <c r="AJ11" s="6">
        <f t="shared" si="9"/>
        <v>0.42201327433628322</v>
      </c>
      <c r="AK11" s="7">
        <v>1750</v>
      </c>
      <c r="AL11" s="6">
        <f t="shared" si="10"/>
        <v>0.37142857142857144</v>
      </c>
      <c r="AM11" s="4">
        <f t="shared" si="11"/>
        <v>650</v>
      </c>
      <c r="AN11" s="27"/>
      <c r="AO11" s="6"/>
      <c r="AP11" s="6"/>
      <c r="AQ11" s="6">
        <f t="shared" si="12"/>
        <v>1.0526315789473684</v>
      </c>
      <c r="AR11" s="6">
        <f t="shared" si="13"/>
        <v>1.0542168674698795</v>
      </c>
      <c r="AS11" s="6">
        <f t="shared" si="14"/>
        <v>1.0526315789473684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106</v>
      </c>
      <c r="BE11" s="4"/>
      <c r="BF11" s="4"/>
      <c r="BG11" s="4" t="s">
        <v>73</v>
      </c>
      <c r="BH11" s="4">
        <v>1808</v>
      </c>
      <c r="BI11" s="4">
        <v>1808</v>
      </c>
      <c r="BJ11" s="4">
        <f t="shared" si="15"/>
        <v>1808</v>
      </c>
      <c r="BK11" s="18">
        <v>4</v>
      </c>
      <c r="BL11" s="18">
        <v>8</v>
      </c>
      <c r="BM11" s="16">
        <v>6</v>
      </c>
      <c r="BN11" t="s">
        <v>94</v>
      </c>
      <c r="BO11" s="33" t="s">
        <v>94</v>
      </c>
      <c r="BP11" t="str">
        <f t="shared" si="16"/>
        <v>-</v>
      </c>
      <c r="BQ11">
        <v>1581</v>
      </c>
      <c r="BR11">
        <v>1810</v>
      </c>
      <c r="BS11">
        <f t="shared" si="17"/>
        <v>1905.2631578947367</v>
      </c>
      <c r="BT11" t="s">
        <v>107</v>
      </c>
    </row>
    <row r="12" spans="1:72" x14ac:dyDescent="0.4">
      <c r="A12" s="3">
        <v>2</v>
      </c>
      <c r="B12" s="3">
        <v>2</v>
      </c>
      <c r="C12" s="4" t="s">
        <v>82</v>
      </c>
      <c r="D12" s="4" t="str">
        <f t="shared" si="0"/>
        <v>J4387W</v>
      </c>
      <c r="E12" s="4" t="s">
        <v>82</v>
      </c>
      <c r="F12" s="4" t="str">
        <f t="shared" si="1"/>
        <v>J4387W5</v>
      </c>
      <c r="G12" s="4" t="s">
        <v>83</v>
      </c>
      <c r="H12" s="5">
        <v>4979625193144</v>
      </c>
      <c r="I12" s="5">
        <v>5</v>
      </c>
      <c r="J12" s="5"/>
      <c r="K12" s="5">
        <v>1</v>
      </c>
      <c r="L12" s="5">
        <v>1</v>
      </c>
      <c r="M12" s="4">
        <v>2000</v>
      </c>
      <c r="N12" s="4">
        <v>1780</v>
      </c>
      <c r="O12" s="4">
        <v>1100</v>
      </c>
      <c r="P12" s="6">
        <f t="shared" si="2"/>
        <v>0.3820224719101124</v>
      </c>
      <c r="Q12" s="4" t="s">
        <v>70</v>
      </c>
      <c r="R12" s="4"/>
      <c r="S12" s="4"/>
      <c r="T12" s="4"/>
      <c r="U12" s="4"/>
      <c r="V12" s="4"/>
      <c r="W12" s="4"/>
      <c r="X12" s="4"/>
      <c r="Y12" s="4"/>
      <c r="Z12" s="4">
        <v>2200</v>
      </c>
      <c r="AA12" s="4">
        <f t="shared" si="3"/>
        <v>2200</v>
      </c>
      <c r="AB12" s="4">
        <v>1210</v>
      </c>
      <c r="AC12" s="4">
        <f t="shared" si="4"/>
        <v>1210</v>
      </c>
      <c r="AD12" s="4"/>
      <c r="AE12" s="20">
        <f t="shared" si="5"/>
        <v>1958</v>
      </c>
      <c r="AF12" s="6">
        <f t="shared" si="6"/>
        <v>0.3820224719101124</v>
      </c>
      <c r="AG12" s="4">
        <v>0.5</v>
      </c>
      <c r="AH12" s="4">
        <f t="shared" si="7"/>
        <v>1989</v>
      </c>
      <c r="AI12" s="4">
        <f t="shared" si="8"/>
        <v>2187.9</v>
      </c>
      <c r="AJ12" s="6">
        <f t="shared" si="9"/>
        <v>0.44695827048768233</v>
      </c>
      <c r="AK12" s="7">
        <v>1950</v>
      </c>
      <c r="AL12" s="6">
        <f t="shared" si="10"/>
        <v>0.37948717948717947</v>
      </c>
      <c r="AM12" s="4">
        <f t="shared" si="11"/>
        <v>740</v>
      </c>
      <c r="AN12" s="27"/>
      <c r="AO12" s="6"/>
      <c r="AP12" s="6"/>
      <c r="AQ12" s="6">
        <f t="shared" si="12"/>
        <v>1.1000000000000001</v>
      </c>
      <c r="AR12" s="6">
        <f t="shared" si="13"/>
        <v>1.095505617977528</v>
      </c>
      <c r="AS12" s="6">
        <f t="shared" si="14"/>
        <v>1.1000000000000001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84</v>
      </c>
      <c r="BE12" s="4"/>
      <c r="BF12" s="4"/>
      <c r="BG12" s="4" t="s">
        <v>73</v>
      </c>
      <c r="BH12" s="4">
        <v>1989</v>
      </c>
      <c r="BI12" s="4">
        <v>1989</v>
      </c>
      <c r="BJ12" s="4">
        <f t="shared" si="15"/>
        <v>1989</v>
      </c>
      <c r="BK12" s="18">
        <v>4</v>
      </c>
      <c r="BL12" s="18">
        <v>8</v>
      </c>
      <c r="BM12" s="16">
        <v>6</v>
      </c>
      <c r="BN12" t="s">
        <v>94</v>
      </c>
      <c r="BO12" s="33" t="s">
        <v>94</v>
      </c>
      <c r="BP12" t="str">
        <f t="shared" si="16"/>
        <v>-</v>
      </c>
      <c r="BQ12">
        <v>1688</v>
      </c>
      <c r="BR12">
        <v>1688</v>
      </c>
      <c r="BS12">
        <f t="shared" si="17"/>
        <v>1856.8000000000002</v>
      </c>
      <c r="BT12" t="s">
        <v>85</v>
      </c>
    </row>
    <row r="13" spans="1:72" x14ac:dyDescent="0.4">
      <c r="A13" s="3">
        <v>8</v>
      </c>
      <c r="B13" s="3">
        <v>8</v>
      </c>
      <c r="C13" s="4" t="s">
        <v>108</v>
      </c>
      <c r="D13" s="4" t="str">
        <f t="shared" si="0"/>
        <v>J4388W</v>
      </c>
      <c r="E13" s="4" t="s">
        <v>108</v>
      </c>
      <c r="F13" s="4" t="str">
        <f t="shared" si="1"/>
        <v>J4388W5</v>
      </c>
      <c r="G13" s="4" t="s">
        <v>109</v>
      </c>
      <c r="H13" s="5">
        <v>4979625223360</v>
      </c>
      <c r="I13" s="5">
        <v>5</v>
      </c>
      <c r="J13" s="5"/>
      <c r="K13" s="5">
        <v>1</v>
      </c>
      <c r="L13" s="5">
        <v>1</v>
      </c>
      <c r="M13" s="4">
        <v>2000</v>
      </c>
      <c r="N13" s="4">
        <v>1780</v>
      </c>
      <c r="O13" s="4">
        <v>1100</v>
      </c>
      <c r="P13" s="6">
        <f t="shared" si="2"/>
        <v>0.3820224719101124</v>
      </c>
      <c r="Q13" s="4" t="s">
        <v>70</v>
      </c>
      <c r="R13" s="4"/>
      <c r="S13" s="4"/>
      <c r="T13" s="4"/>
      <c r="U13" s="4"/>
      <c r="V13" s="4"/>
      <c r="W13" s="4"/>
      <c r="X13" s="4"/>
      <c r="Y13" s="4"/>
      <c r="Z13" s="4">
        <v>2200</v>
      </c>
      <c r="AA13" s="4">
        <f t="shared" si="3"/>
        <v>2200</v>
      </c>
      <c r="AB13" s="4">
        <v>1210</v>
      </c>
      <c r="AC13" s="4">
        <f t="shared" si="4"/>
        <v>1210</v>
      </c>
      <c r="AD13" s="4"/>
      <c r="AE13" s="20">
        <f t="shared" si="5"/>
        <v>1958</v>
      </c>
      <c r="AF13" s="6">
        <f t="shared" si="6"/>
        <v>0.3820224719101124</v>
      </c>
      <c r="AG13" s="4">
        <v>0.25</v>
      </c>
      <c r="AH13" s="4">
        <f t="shared" si="7"/>
        <v>1989</v>
      </c>
      <c r="AI13" s="4">
        <f t="shared" si="8"/>
        <v>2187.9</v>
      </c>
      <c r="AJ13" s="6">
        <f t="shared" si="9"/>
        <v>0.44695827048768233</v>
      </c>
      <c r="AK13" s="7">
        <v>1950</v>
      </c>
      <c r="AL13" s="6">
        <f t="shared" si="10"/>
        <v>0.37948717948717947</v>
      </c>
      <c r="AM13" s="4">
        <f t="shared" si="11"/>
        <v>740</v>
      </c>
      <c r="AN13" s="27"/>
      <c r="AO13" s="6"/>
      <c r="AP13" s="6"/>
      <c r="AQ13" s="6">
        <f t="shared" si="12"/>
        <v>1.1000000000000001</v>
      </c>
      <c r="AR13" s="6">
        <f t="shared" si="13"/>
        <v>1.095505617977528</v>
      </c>
      <c r="AS13" s="6">
        <f t="shared" si="14"/>
        <v>1.1000000000000001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110</v>
      </c>
      <c r="BE13" s="4"/>
      <c r="BF13" s="4"/>
      <c r="BG13" s="4" t="s">
        <v>73</v>
      </c>
      <c r="BH13" s="4">
        <v>1989</v>
      </c>
      <c r="BI13" s="4">
        <v>1989</v>
      </c>
      <c r="BJ13" s="4">
        <f t="shared" si="15"/>
        <v>1989</v>
      </c>
      <c r="BK13" s="18">
        <v>4</v>
      </c>
      <c r="BL13" s="18">
        <v>8</v>
      </c>
      <c r="BM13" s="16">
        <v>6</v>
      </c>
      <c r="BN13" t="s">
        <v>94</v>
      </c>
      <c r="BO13" s="33" t="s">
        <v>94</v>
      </c>
      <c r="BP13" t="str">
        <f t="shared" si="16"/>
        <v>-</v>
      </c>
      <c r="BQ13" t="s">
        <v>94</v>
      </c>
      <c r="BR13" t="s">
        <v>94</v>
      </c>
      <c r="BS13" t="str">
        <f t="shared" si="17"/>
        <v>-</v>
      </c>
      <c r="BT13" t="s">
        <v>111</v>
      </c>
    </row>
    <row r="14" spans="1:72" x14ac:dyDescent="0.4">
      <c r="A14" s="3">
        <v>9</v>
      </c>
      <c r="B14" s="3">
        <v>9</v>
      </c>
      <c r="C14" s="4" t="s">
        <v>112</v>
      </c>
      <c r="D14" s="4" t="str">
        <f t="shared" si="0"/>
        <v>J4389W</v>
      </c>
      <c r="E14" s="4" t="s">
        <v>112</v>
      </c>
      <c r="F14" s="4" t="str">
        <f t="shared" si="1"/>
        <v>J4389W5</v>
      </c>
      <c r="G14" s="4" t="s">
        <v>113</v>
      </c>
      <c r="H14" s="5">
        <v>4979625223377</v>
      </c>
      <c r="I14" s="5">
        <v>5</v>
      </c>
      <c r="J14" s="5"/>
      <c r="K14" s="5">
        <v>1</v>
      </c>
      <c r="L14" s="5">
        <v>1</v>
      </c>
      <c r="M14" s="4">
        <v>2000</v>
      </c>
      <c r="N14" s="4">
        <v>1780</v>
      </c>
      <c r="O14" s="4">
        <v>1100</v>
      </c>
      <c r="P14" s="6">
        <f t="shared" si="2"/>
        <v>0.3820224719101124</v>
      </c>
      <c r="Q14" s="4" t="s">
        <v>70</v>
      </c>
      <c r="R14" s="4"/>
      <c r="S14" s="4"/>
      <c r="T14" s="4"/>
      <c r="U14" s="4"/>
      <c r="V14" s="4"/>
      <c r="W14" s="4"/>
      <c r="X14" s="4"/>
      <c r="Y14" s="4"/>
      <c r="Z14" s="4">
        <v>2200</v>
      </c>
      <c r="AA14" s="4">
        <f t="shared" si="3"/>
        <v>2200</v>
      </c>
      <c r="AB14" s="4">
        <v>1210</v>
      </c>
      <c r="AC14" s="4">
        <f t="shared" si="4"/>
        <v>1210</v>
      </c>
      <c r="AD14" s="4"/>
      <c r="AE14" s="20">
        <f t="shared" si="5"/>
        <v>1958</v>
      </c>
      <c r="AF14" s="6">
        <f t="shared" si="6"/>
        <v>0.3820224719101124</v>
      </c>
      <c r="AG14" s="4">
        <v>0.5</v>
      </c>
      <c r="AH14" s="4">
        <f t="shared" si="7"/>
        <v>1919</v>
      </c>
      <c r="AI14" s="4">
        <f t="shared" si="8"/>
        <v>2110.9</v>
      </c>
      <c r="AJ14" s="6">
        <f t="shared" si="9"/>
        <v>0.42678478374153206</v>
      </c>
      <c r="AK14" s="7">
        <v>1950</v>
      </c>
      <c r="AL14" s="6">
        <f t="shared" si="10"/>
        <v>0.37948717948717947</v>
      </c>
      <c r="AM14" s="4">
        <f t="shared" si="11"/>
        <v>740</v>
      </c>
      <c r="AN14" s="27"/>
      <c r="AO14" s="6"/>
      <c r="AP14" s="6"/>
      <c r="AQ14" s="6">
        <f t="shared" si="12"/>
        <v>1.1000000000000001</v>
      </c>
      <c r="AR14" s="6">
        <f t="shared" si="13"/>
        <v>1.095505617977528</v>
      </c>
      <c r="AS14" s="6">
        <f t="shared" si="14"/>
        <v>1.1000000000000001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114</v>
      </c>
      <c r="BE14" s="4"/>
      <c r="BF14" s="4"/>
      <c r="BG14" s="4" t="s">
        <v>73</v>
      </c>
      <c r="BH14" s="4">
        <v>1919</v>
      </c>
      <c r="BI14" s="4">
        <v>1919</v>
      </c>
      <c r="BJ14" s="4">
        <f t="shared" si="15"/>
        <v>1919</v>
      </c>
      <c r="BK14" s="18">
        <v>4</v>
      </c>
      <c r="BL14" s="18">
        <v>8</v>
      </c>
      <c r="BM14" s="16">
        <v>6</v>
      </c>
      <c r="BN14" t="s">
        <v>94</v>
      </c>
      <c r="BO14" s="33" t="s">
        <v>94</v>
      </c>
      <c r="BP14" t="str">
        <f t="shared" si="16"/>
        <v>-</v>
      </c>
      <c r="BQ14">
        <v>1626</v>
      </c>
      <c r="BR14">
        <v>1991</v>
      </c>
      <c r="BS14">
        <f t="shared" si="17"/>
        <v>2190.1000000000004</v>
      </c>
      <c r="BT14" t="s">
        <v>115</v>
      </c>
    </row>
    <row r="15" spans="1:72" x14ac:dyDescent="0.4">
      <c r="A15" s="3">
        <v>1</v>
      </c>
      <c r="B15" s="3">
        <v>1</v>
      </c>
      <c r="C15" s="4" t="s">
        <v>78</v>
      </c>
      <c r="D15" s="4" t="str">
        <f t="shared" si="0"/>
        <v>J4386W</v>
      </c>
      <c r="E15" s="4" t="s">
        <v>78</v>
      </c>
      <c r="F15" s="4" t="str">
        <f t="shared" si="1"/>
        <v>J4386W5</v>
      </c>
      <c r="G15" s="4" t="s">
        <v>79</v>
      </c>
      <c r="H15" s="5">
        <v>4979625193137</v>
      </c>
      <c r="I15" s="5">
        <v>5</v>
      </c>
      <c r="J15" s="5"/>
      <c r="K15" s="5">
        <v>1</v>
      </c>
      <c r="L15" s="5">
        <v>1</v>
      </c>
      <c r="M15" s="4">
        <v>3100</v>
      </c>
      <c r="N15" s="4">
        <v>2670</v>
      </c>
      <c r="O15" s="4">
        <v>1705</v>
      </c>
      <c r="P15" s="6">
        <f t="shared" si="2"/>
        <v>0.36142322097378277</v>
      </c>
      <c r="Q15" s="4" t="s">
        <v>70</v>
      </c>
      <c r="R15" s="4"/>
      <c r="S15" s="4"/>
      <c r="T15" s="4"/>
      <c r="U15" s="4"/>
      <c r="V15" s="4"/>
      <c r="W15" s="4"/>
      <c r="X15" s="4"/>
      <c r="Y15" s="4"/>
      <c r="Z15" s="4">
        <v>3300</v>
      </c>
      <c r="AA15" s="4">
        <f t="shared" si="3"/>
        <v>3300</v>
      </c>
      <c r="AB15" s="4">
        <v>1815</v>
      </c>
      <c r="AC15" s="4">
        <f t="shared" si="4"/>
        <v>1815</v>
      </c>
      <c r="AD15" s="4"/>
      <c r="AE15" s="20">
        <f t="shared" si="5"/>
        <v>2842</v>
      </c>
      <c r="AF15" s="6">
        <f t="shared" si="6"/>
        <v>0.36136523574947221</v>
      </c>
      <c r="AG15" s="4">
        <v>1</v>
      </c>
      <c r="AH15" s="4">
        <f t="shared" si="7"/>
        <v>2637</v>
      </c>
      <c r="AI15" s="4">
        <f t="shared" si="8"/>
        <v>2807.1290322580644</v>
      </c>
      <c r="AJ15" s="6">
        <f t="shared" si="9"/>
        <v>0.35343193022373909</v>
      </c>
      <c r="AK15" s="7">
        <v>2637</v>
      </c>
      <c r="AL15" s="6">
        <f t="shared" si="10"/>
        <v>0.31171786120591582</v>
      </c>
      <c r="AM15" s="4">
        <f t="shared" si="11"/>
        <v>822</v>
      </c>
      <c r="AN15" s="27"/>
      <c r="AO15" s="6" t="e">
        <f>1-AC15/AN15</f>
        <v>#DIV/0!</v>
      </c>
      <c r="AP15" s="4">
        <f>AN15-AC15</f>
        <v>-1815</v>
      </c>
      <c r="AQ15" s="6">
        <f t="shared" si="12"/>
        <v>1.064516129032258</v>
      </c>
      <c r="AR15" s="6">
        <f t="shared" si="13"/>
        <v>0.98764044943820228</v>
      </c>
      <c r="AS15" s="6">
        <f t="shared" si="14"/>
        <v>1.064516129032258</v>
      </c>
      <c r="AT15" s="4" t="str">
        <f>IFERROR(ROUND($AK15*Q15/$N15,0),"-")</f>
        <v>-</v>
      </c>
      <c r="AU15" s="4" t="str">
        <f>IF(R15="","-",R15)</f>
        <v>-</v>
      </c>
      <c r="AV15" s="4" t="str">
        <f>IF(S15="","-",S15)</f>
        <v>-</v>
      </c>
      <c r="AW15" s="4"/>
      <c r="AX15" s="4"/>
      <c r="AY15" s="4"/>
      <c r="AZ15" s="4"/>
      <c r="BA15" s="4"/>
      <c r="BB15" s="4"/>
      <c r="BC15" s="4">
        <v>0</v>
      </c>
      <c r="BD15" s="4" t="s">
        <v>80</v>
      </c>
      <c r="BE15" s="4"/>
      <c r="BF15" s="4"/>
      <c r="BG15" s="4" t="s">
        <v>73</v>
      </c>
      <c r="BH15" s="4">
        <v>2106</v>
      </c>
      <c r="BI15" s="4">
        <v>2637</v>
      </c>
      <c r="BJ15" s="4">
        <f t="shared" si="15"/>
        <v>2637</v>
      </c>
      <c r="BK15" s="18">
        <v>4</v>
      </c>
      <c r="BL15" s="18">
        <v>1</v>
      </c>
      <c r="BM15" s="16">
        <v>6</v>
      </c>
      <c r="BN15">
        <v>2171</v>
      </c>
      <c r="BO15" s="33">
        <v>2171</v>
      </c>
      <c r="BP15">
        <f t="shared" si="16"/>
        <v>2311.0645161290322</v>
      </c>
      <c r="BQ15">
        <v>2813</v>
      </c>
      <c r="BR15">
        <v>3292</v>
      </c>
      <c r="BS15">
        <f t="shared" si="17"/>
        <v>3504.3870967741932</v>
      </c>
      <c r="BT15" t="s">
        <v>81</v>
      </c>
    </row>
    <row r="16" spans="1:72" x14ac:dyDescent="0.4">
      <c r="A16" s="3">
        <v>3</v>
      </c>
      <c r="B16" s="3">
        <v>3</v>
      </c>
      <c r="C16" s="4" t="s">
        <v>86</v>
      </c>
      <c r="D16" s="4" t="str">
        <f t="shared" si="0"/>
        <v>J4390W</v>
      </c>
      <c r="E16" s="4" t="s">
        <v>86</v>
      </c>
      <c r="F16" s="4" t="str">
        <f t="shared" si="1"/>
        <v>J4390W5</v>
      </c>
      <c r="G16" s="4" t="s">
        <v>87</v>
      </c>
      <c r="H16" s="5">
        <v>4979625193151</v>
      </c>
      <c r="I16" s="5">
        <v>5</v>
      </c>
      <c r="J16" s="5"/>
      <c r="K16" s="5">
        <v>1</v>
      </c>
      <c r="L16" s="5">
        <v>1</v>
      </c>
      <c r="M16" s="4">
        <v>3300</v>
      </c>
      <c r="N16" s="4">
        <v>2990</v>
      </c>
      <c r="O16" s="4">
        <v>1815</v>
      </c>
      <c r="P16" s="6">
        <f t="shared" si="2"/>
        <v>0.3929765886287625</v>
      </c>
      <c r="Q16" s="4" t="s">
        <v>70</v>
      </c>
      <c r="R16" s="4"/>
      <c r="S16" s="4"/>
      <c r="T16" s="4"/>
      <c r="U16" s="4"/>
      <c r="V16" s="4"/>
      <c r="W16" s="4"/>
      <c r="X16" s="4"/>
      <c r="Y16" s="4"/>
      <c r="Z16" s="4">
        <v>3500</v>
      </c>
      <c r="AA16" s="4">
        <f t="shared" si="3"/>
        <v>3500</v>
      </c>
      <c r="AB16" s="4">
        <v>1925</v>
      </c>
      <c r="AC16" s="4">
        <f t="shared" si="4"/>
        <v>1925</v>
      </c>
      <c r="AD16" s="4"/>
      <c r="AE16" s="20">
        <f t="shared" si="5"/>
        <v>3171</v>
      </c>
      <c r="AF16" s="6">
        <f t="shared" si="6"/>
        <v>0.39293598233995586</v>
      </c>
      <c r="AG16" s="4">
        <v>1</v>
      </c>
      <c r="AH16" s="4">
        <f t="shared" si="7"/>
        <v>3163</v>
      </c>
      <c r="AI16" s="4">
        <f t="shared" si="8"/>
        <v>3354.6969696969695</v>
      </c>
      <c r="AJ16" s="6">
        <f t="shared" si="9"/>
        <v>0.42617767941827378</v>
      </c>
      <c r="AK16" s="7">
        <v>3150</v>
      </c>
      <c r="AL16" s="6">
        <f t="shared" si="10"/>
        <v>0.38888888888888884</v>
      </c>
      <c r="AM16" s="4">
        <f t="shared" si="11"/>
        <v>1225</v>
      </c>
      <c r="AN16" s="27"/>
      <c r="AO16" s="6"/>
      <c r="AP16" s="6"/>
      <c r="AQ16" s="6">
        <f t="shared" si="12"/>
        <v>1.0606060606060606</v>
      </c>
      <c r="AR16" s="6">
        <f t="shared" si="13"/>
        <v>1.0535117056856187</v>
      </c>
      <c r="AS16" s="6">
        <f t="shared" si="14"/>
        <v>1.0606060606060606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88</v>
      </c>
      <c r="BE16" s="4"/>
      <c r="BF16" s="4"/>
      <c r="BG16" s="4" t="s">
        <v>73</v>
      </c>
      <c r="BH16" s="4">
        <v>3163</v>
      </c>
      <c r="BI16" s="4">
        <v>3163</v>
      </c>
      <c r="BJ16" s="4">
        <f t="shared" si="15"/>
        <v>3163</v>
      </c>
      <c r="BK16" s="18">
        <v>4</v>
      </c>
      <c r="BL16" s="18">
        <v>8</v>
      </c>
      <c r="BM16" s="16">
        <v>6</v>
      </c>
      <c r="BN16" t="s">
        <v>94</v>
      </c>
      <c r="BO16" s="33" t="s">
        <v>94</v>
      </c>
      <c r="BP16" t="str">
        <f t="shared" si="16"/>
        <v>-</v>
      </c>
      <c r="BQ16">
        <v>2940</v>
      </c>
      <c r="BR16">
        <v>3421</v>
      </c>
      <c r="BS16">
        <f t="shared" si="17"/>
        <v>3628.333333333333</v>
      </c>
      <c r="BT16" t="s">
        <v>89</v>
      </c>
    </row>
    <row r="17" spans="1:72" x14ac:dyDescent="0.4">
      <c r="A17" s="3">
        <v>1</v>
      </c>
      <c r="B17" s="3">
        <v>1</v>
      </c>
      <c r="C17" s="4" t="s">
        <v>66</v>
      </c>
      <c r="D17" s="4" t="str">
        <f t="shared" si="0"/>
        <v>JB9441</v>
      </c>
      <c r="E17" s="4" t="s">
        <v>66</v>
      </c>
      <c r="F17" s="4" t="str">
        <f t="shared" si="1"/>
        <v>JB94415</v>
      </c>
      <c r="G17" s="4" t="s">
        <v>68</v>
      </c>
      <c r="H17" s="5">
        <v>4978684305567</v>
      </c>
      <c r="I17" s="5">
        <v>5</v>
      </c>
      <c r="J17" s="5"/>
      <c r="K17" s="5">
        <v>1</v>
      </c>
      <c r="L17" s="5">
        <v>1</v>
      </c>
      <c r="M17" s="4">
        <v>0</v>
      </c>
      <c r="N17" s="4">
        <v>2418</v>
      </c>
      <c r="O17" s="4">
        <v>1660</v>
      </c>
      <c r="P17" s="6">
        <f t="shared" si="2"/>
        <v>0.31348221670802312</v>
      </c>
      <c r="Q17" s="4" t="s">
        <v>70</v>
      </c>
      <c r="R17" s="4"/>
      <c r="S17" s="4"/>
      <c r="T17" s="4"/>
      <c r="U17" s="4"/>
      <c r="V17" s="4"/>
      <c r="W17" s="4"/>
      <c r="X17" s="4"/>
      <c r="Y17" s="4"/>
      <c r="Z17" s="4">
        <v>5400</v>
      </c>
      <c r="AA17" s="4">
        <f t="shared" si="3"/>
        <v>5400</v>
      </c>
      <c r="AB17" s="4">
        <v>2180</v>
      </c>
      <c r="AC17" s="4">
        <f t="shared" si="4"/>
        <v>2180</v>
      </c>
      <c r="AD17" s="4"/>
      <c r="AE17" s="20">
        <f t="shared" si="5"/>
        <v>3175</v>
      </c>
      <c r="AF17" s="6">
        <f t="shared" si="6"/>
        <v>0.3133858267716535</v>
      </c>
      <c r="AG17" s="4">
        <v>0.5</v>
      </c>
      <c r="AH17" s="4">
        <f t="shared" si="7"/>
        <v>3756</v>
      </c>
      <c r="AI17" s="4">
        <f t="shared" si="8"/>
        <v>4932.5783132530114</v>
      </c>
      <c r="AJ17" s="6">
        <f t="shared" si="9"/>
        <v>0.55804046858359957</v>
      </c>
      <c r="AK17" s="7">
        <v>3400</v>
      </c>
      <c r="AL17" s="6">
        <f t="shared" si="10"/>
        <v>0.35882352941176465</v>
      </c>
      <c r="AM17" s="4">
        <f t="shared" si="11"/>
        <v>1220</v>
      </c>
      <c r="AN17" s="27"/>
      <c r="AO17" s="6" t="e">
        <f>1-AC17/AN17</f>
        <v>#DIV/0!</v>
      </c>
      <c r="AP17" s="4">
        <f>AN17-AC17</f>
        <v>-2180</v>
      </c>
      <c r="AQ17" s="6" t="str">
        <f t="shared" si="12"/>
        <v>-</v>
      </c>
      <c r="AR17" s="6">
        <f t="shared" si="13"/>
        <v>1.4061207609594706</v>
      </c>
      <c r="AS17" s="6">
        <f t="shared" si="14"/>
        <v>1.3132530120481927</v>
      </c>
      <c r="AT17" s="4" t="str">
        <f>IFERROR(ROUND($AK17*Q17/$N17,0),"-")</f>
        <v>-</v>
      </c>
      <c r="AU17" s="4" t="str">
        <f>IF(R17="","-",R17)</f>
        <v>-</v>
      </c>
      <c r="AV17" s="4" t="str">
        <f>IF(S17="","-",S17)</f>
        <v>-</v>
      </c>
      <c r="AW17" s="4"/>
      <c r="AX17" s="4"/>
      <c r="AY17" s="4"/>
      <c r="AZ17" s="4"/>
      <c r="BA17" s="4"/>
      <c r="BB17" s="4"/>
      <c r="BC17" s="4">
        <v>0</v>
      </c>
      <c r="BD17" s="4" t="s">
        <v>71</v>
      </c>
      <c r="BE17" s="4"/>
      <c r="BF17" s="4"/>
      <c r="BG17" s="4" t="s">
        <v>73</v>
      </c>
      <c r="BH17" s="4">
        <v>3756</v>
      </c>
      <c r="BI17" s="4">
        <v>3756</v>
      </c>
      <c r="BJ17" s="4">
        <f t="shared" si="15"/>
        <v>3756</v>
      </c>
      <c r="BK17" s="18">
        <v>4</v>
      </c>
      <c r="BL17" s="18">
        <v>8</v>
      </c>
      <c r="BM17" s="16">
        <v>19</v>
      </c>
      <c r="BN17">
        <v>2929</v>
      </c>
      <c r="BO17" s="33">
        <v>2929</v>
      </c>
      <c r="BP17">
        <f t="shared" si="16"/>
        <v>3846.5180722891564</v>
      </c>
      <c r="BQ17">
        <v>2695</v>
      </c>
      <c r="BR17">
        <v>2695</v>
      </c>
      <c r="BS17">
        <f t="shared" si="17"/>
        <v>3539.2168674698792</v>
      </c>
      <c r="BT17" t="s">
        <v>72</v>
      </c>
    </row>
    <row r="18" spans="1:72" x14ac:dyDescent="0.4">
      <c r="A18" s="3">
        <v>2</v>
      </c>
      <c r="B18" s="3">
        <v>2</v>
      </c>
      <c r="C18" s="4" t="s">
        <v>67</v>
      </c>
      <c r="D18" s="4" t="str">
        <f t="shared" si="0"/>
        <v>JB9443</v>
      </c>
      <c r="E18" s="4" t="s">
        <v>67</v>
      </c>
      <c r="F18" s="4" t="str">
        <f t="shared" si="1"/>
        <v>JB94435</v>
      </c>
      <c r="G18" s="4" t="s">
        <v>69</v>
      </c>
      <c r="H18" s="5">
        <v>4978684305802</v>
      </c>
      <c r="I18" s="5">
        <v>5</v>
      </c>
      <c r="J18" s="5"/>
      <c r="K18" s="5">
        <v>1</v>
      </c>
      <c r="L18" s="5">
        <v>1</v>
      </c>
      <c r="M18" s="4">
        <v>0</v>
      </c>
      <c r="N18" s="4">
        <v>4665</v>
      </c>
      <c r="O18" s="4">
        <v>3170</v>
      </c>
      <c r="P18" s="6">
        <f t="shared" si="2"/>
        <v>0.32047159699892824</v>
      </c>
      <c r="Q18" s="4" t="s">
        <v>70</v>
      </c>
      <c r="R18" s="4"/>
      <c r="S18" s="4"/>
      <c r="T18" s="4"/>
      <c r="U18" s="4"/>
      <c r="V18" s="4"/>
      <c r="W18" s="4"/>
      <c r="X18" s="4"/>
      <c r="Y18" s="4"/>
      <c r="Z18" s="4">
        <v>10000</v>
      </c>
      <c r="AA18" s="4">
        <f t="shared" si="3"/>
        <v>10000</v>
      </c>
      <c r="AB18" s="4">
        <v>3850</v>
      </c>
      <c r="AC18" s="4">
        <f t="shared" si="4"/>
        <v>3850</v>
      </c>
      <c r="AD18" s="4"/>
      <c r="AE18" s="20">
        <f t="shared" si="5"/>
        <v>5666</v>
      </c>
      <c r="AF18" s="6">
        <f t="shared" si="6"/>
        <v>0.3205082950935404</v>
      </c>
      <c r="AG18" s="4">
        <v>0.5</v>
      </c>
      <c r="AH18" s="4">
        <f t="shared" si="7"/>
        <v>5066</v>
      </c>
      <c r="AI18" s="4">
        <f t="shared" si="8"/>
        <v>6152.7129337539436</v>
      </c>
      <c r="AJ18" s="6">
        <f t="shared" si="9"/>
        <v>0.37425977102250296</v>
      </c>
      <c r="AK18" s="7">
        <v>6100</v>
      </c>
      <c r="AL18" s="6">
        <f t="shared" si="10"/>
        <v>0.36885245901639341</v>
      </c>
      <c r="AM18" s="4">
        <f t="shared" si="11"/>
        <v>2250</v>
      </c>
      <c r="AN18" s="27"/>
      <c r="AO18" s="6"/>
      <c r="AP18" s="6"/>
      <c r="AQ18" s="6" t="str">
        <f t="shared" si="12"/>
        <v>-</v>
      </c>
      <c r="AR18" s="6">
        <f t="shared" si="13"/>
        <v>1.307609860664523</v>
      </c>
      <c r="AS18" s="6">
        <f t="shared" si="14"/>
        <v>1.2145110410094637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75</v>
      </c>
      <c r="BE18" s="4"/>
      <c r="BF18" s="4"/>
      <c r="BG18" s="4" t="s">
        <v>73</v>
      </c>
      <c r="BH18" s="4">
        <v>5066</v>
      </c>
      <c r="BI18" s="4">
        <v>5066</v>
      </c>
      <c r="BJ18" s="4">
        <f t="shared" si="15"/>
        <v>5066</v>
      </c>
      <c r="BK18" s="18">
        <v>4</v>
      </c>
      <c r="BL18" s="18">
        <v>1</v>
      </c>
      <c r="BM18" s="16">
        <v>19</v>
      </c>
      <c r="BN18">
        <v>5506</v>
      </c>
      <c r="BO18" s="33">
        <v>5506</v>
      </c>
      <c r="BP18">
        <f t="shared" si="16"/>
        <v>6687.0977917981072</v>
      </c>
      <c r="BQ18">
        <v>5115</v>
      </c>
      <c r="BR18">
        <v>5115</v>
      </c>
      <c r="BS18">
        <f t="shared" si="17"/>
        <v>6212.2239747634067</v>
      </c>
      <c r="BT18" t="s">
        <v>76</v>
      </c>
    </row>
  </sheetData>
  <autoFilter ref="A3:BT3" xr:uid="{7A1660CF-9003-4B2D-B659-7F339ED5B476}"/>
  <sortState xmlns:xlrd2="http://schemas.microsoft.com/office/spreadsheetml/2017/richdata2" ref="A4:BT18">
    <sortCondition ref="AB4:AB18"/>
  </sortState>
  <mergeCells count="3">
    <mergeCell ref="M2:P2"/>
    <mergeCell ref="K2:L2"/>
    <mergeCell ref="Z1:AC1"/>
  </mergeCells>
  <phoneticPr fontId="2"/>
  <conditionalFormatting sqref="AI4:AI18">
    <cfRule type="cellIs" dxfId="5" priority="5" operator="lessThan">
      <formula>$AK4</formula>
    </cfRule>
  </conditionalFormatting>
  <conditionalFormatting sqref="AK4:AK18">
    <cfRule type="cellIs" dxfId="4" priority="6" operator="greaterThan">
      <formula>$AA4</formula>
    </cfRule>
  </conditionalFormatting>
  <conditionalFormatting sqref="AL4:AL18">
    <cfRule type="cellIs" dxfId="3" priority="4" operator="lessThan">
      <formula>0.2</formula>
    </cfRule>
  </conditionalFormatting>
  <conditionalFormatting sqref="BI4:BI18">
    <cfRule type="cellIs" dxfId="2" priority="3" operator="notEqual">
      <formula>$BH4</formula>
    </cfRule>
  </conditionalFormatting>
  <conditionalFormatting sqref="BO4:BO18">
    <cfRule type="cellIs" dxfId="1" priority="1" operator="notEqual">
      <formula>$BN4</formula>
    </cfRule>
  </conditionalFormatting>
  <conditionalFormatting sqref="BR4:BR18">
    <cfRule type="cellIs" dxfId="0" priority="2" operator="notEqual">
      <formula>$BQ4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2026-07-15T07:51:42Z</dcterms:modified>
</cp:coreProperties>
</file>