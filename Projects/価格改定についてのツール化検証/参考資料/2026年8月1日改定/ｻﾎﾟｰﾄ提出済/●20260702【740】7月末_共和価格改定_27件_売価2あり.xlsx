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8月1日改定\"/>
    </mc:Choice>
  </mc:AlternateContent>
  <xr:revisionPtr revIDLastSave="0" documentId="13_ncr:1_{37030367-5A47-4D13-956A-38494D52B8BE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6" i="1" l="1"/>
  <c r="AO5" i="1"/>
  <c r="AP5" i="1"/>
  <c r="AQ5" i="1"/>
  <c r="AO6" i="1"/>
  <c r="AP6" i="1"/>
  <c r="AQ6" i="1"/>
  <c r="AO7" i="1"/>
  <c r="AP7" i="1"/>
  <c r="AQ7" i="1"/>
  <c r="AO8" i="1"/>
  <c r="AP8" i="1"/>
  <c r="AQ8" i="1"/>
  <c r="AO9" i="1"/>
  <c r="AP9" i="1"/>
  <c r="AQ9" i="1"/>
  <c r="AO10" i="1"/>
  <c r="AP10" i="1"/>
  <c r="AQ10" i="1"/>
  <c r="AP11" i="1"/>
  <c r="AQ11" i="1"/>
  <c r="AO12" i="1"/>
  <c r="AP12" i="1"/>
  <c r="AQ12" i="1"/>
  <c r="AO13" i="1"/>
  <c r="AP13" i="1"/>
  <c r="AQ13" i="1"/>
  <c r="AP14" i="1"/>
  <c r="AQ14" i="1"/>
  <c r="AO15" i="1"/>
  <c r="AP15" i="1"/>
  <c r="AQ15" i="1"/>
  <c r="AP16" i="1"/>
  <c r="AQ16" i="1"/>
  <c r="AO17" i="1"/>
  <c r="AP17" i="1"/>
  <c r="AQ17" i="1"/>
  <c r="AO18" i="1"/>
  <c r="AP18" i="1"/>
  <c r="AQ18" i="1"/>
  <c r="AO19" i="1"/>
  <c r="AP19" i="1"/>
  <c r="AQ19" i="1"/>
  <c r="AO20" i="1"/>
  <c r="AP20" i="1"/>
  <c r="AQ20" i="1"/>
  <c r="AO21" i="1"/>
  <c r="AP21" i="1"/>
  <c r="AQ21" i="1"/>
  <c r="AO22" i="1"/>
  <c r="AP22" i="1"/>
  <c r="AQ22" i="1"/>
  <c r="AO23" i="1"/>
  <c r="AP23" i="1"/>
  <c r="AQ23" i="1"/>
  <c r="AO24" i="1"/>
  <c r="AP24" i="1"/>
  <c r="AQ24" i="1"/>
  <c r="AO25" i="1"/>
  <c r="AP25" i="1"/>
  <c r="AQ25" i="1"/>
  <c r="AO26" i="1"/>
  <c r="AP26" i="1"/>
  <c r="AQ26" i="1"/>
  <c r="AO27" i="1"/>
  <c r="AP27" i="1"/>
  <c r="AQ27" i="1"/>
  <c r="AO28" i="1"/>
  <c r="AP28" i="1"/>
  <c r="AQ28" i="1"/>
  <c r="AO29" i="1"/>
  <c r="AP29" i="1"/>
  <c r="AQ29" i="1"/>
  <c r="AO30" i="1"/>
  <c r="AP30" i="1"/>
  <c r="AQ30" i="1"/>
  <c r="J24" i="1" l="1"/>
  <c r="J26" i="1"/>
  <c r="J28" i="1"/>
  <c r="J30" i="1"/>
  <c r="AM10" i="1"/>
  <c r="AL16" i="1"/>
  <c r="AM19" i="1"/>
  <c r="AM21" i="1"/>
  <c r="AM25" i="1"/>
  <c r="AL26" i="1"/>
  <c r="AM27" i="1"/>
  <c r="AM28" i="1"/>
  <c r="AM29" i="1"/>
  <c r="AM30" i="1"/>
  <c r="AM22" i="1"/>
  <c r="AL28" i="1"/>
  <c r="AL30" i="1"/>
  <c r="AM4" i="1"/>
  <c r="AY18" i="1"/>
  <c r="AB18" i="1" s="1"/>
  <c r="AY25" i="1"/>
  <c r="AB25" i="1" s="1"/>
  <c r="AY26" i="1"/>
  <c r="AB26" i="1" s="1"/>
  <c r="AY30" i="1"/>
  <c r="AB30" i="1" s="1"/>
  <c r="AM26" i="1"/>
  <c r="AY9" i="1"/>
  <c r="AB9" i="1" s="1"/>
  <c r="AM9" i="1"/>
  <c r="W9" i="1"/>
  <c r="U9" i="1"/>
  <c r="D9" i="1"/>
  <c r="F9" i="1" s="1"/>
  <c r="AM8" i="1"/>
  <c r="AY8" i="1"/>
  <c r="AB8" i="1" s="1"/>
  <c r="W8" i="1"/>
  <c r="U8" i="1"/>
  <c r="D8" i="1"/>
  <c r="F8" i="1" s="1"/>
  <c r="AY5" i="1"/>
  <c r="AB5" i="1" s="1"/>
  <c r="W5" i="1"/>
  <c r="U5" i="1"/>
  <c r="D5" i="1"/>
  <c r="F5" i="1" s="1"/>
  <c r="AM6" i="1"/>
  <c r="J11" i="1"/>
  <c r="U12" i="1"/>
  <c r="U11" i="1"/>
  <c r="J16" i="1"/>
  <c r="J18" i="1"/>
  <c r="J14" i="1"/>
  <c r="U6" i="1"/>
  <c r="AL6" i="1" s="1"/>
  <c r="W30" i="1"/>
  <c r="D30" i="1"/>
  <c r="F30" i="1" s="1"/>
  <c r="AY28" i="1"/>
  <c r="AB28" i="1" s="1"/>
  <c r="W28" i="1"/>
  <c r="D28" i="1"/>
  <c r="F28" i="1" s="1"/>
  <c r="W26" i="1"/>
  <c r="D26" i="1"/>
  <c r="F26" i="1" s="1"/>
  <c r="AY24" i="1"/>
  <c r="AB24" i="1" s="1"/>
  <c r="AM24" i="1"/>
  <c r="W24" i="1"/>
  <c r="AL24" i="1"/>
  <c r="D24" i="1"/>
  <c r="F24" i="1" s="1"/>
  <c r="AM18" i="1"/>
  <c r="W18" i="1"/>
  <c r="AL18" i="1"/>
  <c r="D18" i="1"/>
  <c r="F18" i="1" s="1"/>
  <c r="AM7" i="1"/>
  <c r="AM13" i="1"/>
  <c r="AM15" i="1"/>
  <c r="AM17" i="1"/>
  <c r="AM20" i="1"/>
  <c r="AM23" i="1"/>
  <c r="AM11" i="1"/>
  <c r="AM12" i="1"/>
  <c r="AM14" i="1"/>
  <c r="AM16" i="1"/>
  <c r="AY16" i="1"/>
  <c r="AB16" i="1" s="1"/>
  <c r="W16" i="1"/>
  <c r="D16" i="1"/>
  <c r="F16" i="1" s="1"/>
  <c r="AY14" i="1"/>
  <c r="AB14" i="1" s="1"/>
  <c r="W14" i="1"/>
  <c r="AL14" i="1"/>
  <c r="D14" i="1"/>
  <c r="F14" i="1" s="1"/>
  <c r="AY12" i="1"/>
  <c r="AB12" i="1" s="1"/>
  <c r="W12" i="1"/>
  <c r="D12" i="1"/>
  <c r="F12" i="1" s="1"/>
  <c r="AY11" i="1"/>
  <c r="AB11" i="1" s="1"/>
  <c r="W11" i="1"/>
  <c r="D11" i="1"/>
  <c r="F11" i="1" s="1"/>
  <c r="AY6" i="1"/>
  <c r="AB6" i="1" s="1"/>
  <c r="W6" i="1"/>
  <c r="D6" i="1"/>
  <c r="F6" i="1" s="1"/>
  <c r="AY29" i="1"/>
  <c r="AB29" i="1" s="1"/>
  <c r="W29" i="1"/>
  <c r="U29" i="1"/>
  <c r="D29" i="1"/>
  <c r="F29" i="1" s="1"/>
  <c r="AY27" i="1"/>
  <c r="AB27" i="1" s="1"/>
  <c r="W27" i="1"/>
  <c r="U27" i="1"/>
  <c r="D27" i="1"/>
  <c r="F27" i="1" s="1"/>
  <c r="W25" i="1"/>
  <c r="U25" i="1"/>
  <c r="D25" i="1"/>
  <c r="F25" i="1" s="1"/>
  <c r="AY23" i="1"/>
  <c r="AB23" i="1" s="1"/>
  <c r="W23" i="1"/>
  <c r="U23" i="1"/>
  <c r="D23" i="1"/>
  <c r="F23" i="1" s="1"/>
  <c r="AQ4" i="1"/>
  <c r="AP4" i="1"/>
  <c r="AL12" i="1" l="1"/>
  <c r="AL9" i="1"/>
  <c r="AL23" i="1"/>
  <c r="AL25" i="1"/>
  <c r="AL11" i="1"/>
  <c r="AG6" i="1"/>
  <c r="AJ6" i="1"/>
  <c r="AH27" i="1"/>
  <c r="AJ27" i="1"/>
  <c r="AK27" i="1"/>
  <c r="AG30" i="1"/>
  <c r="AJ30" i="1"/>
  <c r="AK30" i="1"/>
  <c r="AJ5" i="1"/>
  <c r="AK5" i="1"/>
  <c r="AJ23" i="1"/>
  <c r="AK23" i="1"/>
  <c r="AH14" i="1"/>
  <c r="AJ14" i="1"/>
  <c r="AK14" i="1"/>
  <c r="AN18" i="1"/>
  <c r="Y18" i="1" s="1"/>
  <c r="Z18" i="1" s="1"/>
  <c r="AJ18" i="1"/>
  <c r="AK18" i="1"/>
  <c r="AH11" i="1"/>
  <c r="AJ11" i="1"/>
  <c r="AK11" i="1"/>
  <c r="AJ26" i="1"/>
  <c r="AK26" i="1"/>
  <c r="AG29" i="1"/>
  <c r="AK29" i="1"/>
  <c r="AJ29" i="1"/>
  <c r="AN16" i="1"/>
  <c r="BJ16" i="1" s="1"/>
  <c r="AJ16" i="1"/>
  <c r="AK16" i="1"/>
  <c r="AH25" i="1"/>
  <c r="AJ25" i="1"/>
  <c r="AK25" i="1"/>
  <c r="AN12" i="1"/>
  <c r="BJ12" i="1" s="1"/>
  <c r="AJ12" i="1"/>
  <c r="AK12" i="1"/>
  <c r="AN24" i="1"/>
  <c r="Y24" i="1" s="1"/>
  <c r="Z24" i="1" s="1"/>
  <c r="AJ24" i="1"/>
  <c r="AK24" i="1"/>
  <c r="AH28" i="1"/>
  <c r="AJ28" i="1"/>
  <c r="AK28" i="1"/>
  <c r="AJ8" i="1"/>
  <c r="AK8" i="1"/>
  <c r="AN9" i="1"/>
  <c r="Y9" i="1" s="1"/>
  <c r="Z9" i="1" s="1"/>
  <c r="AK9" i="1"/>
  <c r="AJ9" i="1"/>
  <c r="AL29" i="1"/>
  <c r="AL27" i="1"/>
  <c r="AG9" i="1"/>
  <c r="AH9" i="1"/>
  <c r="AL8" i="1"/>
  <c r="AN8" i="1"/>
  <c r="AM5" i="1"/>
  <c r="AL5" i="1"/>
  <c r="AG8" i="1"/>
  <c r="AH8" i="1"/>
  <c r="AN5" i="1"/>
  <c r="AG5" i="1"/>
  <c r="AH5" i="1"/>
  <c r="AG28" i="1"/>
  <c r="AN28" i="1"/>
  <c r="AN30" i="1"/>
  <c r="AN26" i="1"/>
  <c r="AH24" i="1"/>
  <c r="AH26" i="1"/>
  <c r="AG24" i="1"/>
  <c r="AG26" i="1"/>
  <c r="AH30" i="1"/>
  <c r="AG18" i="1"/>
  <c r="AH18" i="1"/>
  <c r="AN11" i="1"/>
  <c r="AN14" i="1"/>
  <c r="AN6" i="1"/>
  <c r="AN25" i="1"/>
  <c r="AN23" i="1"/>
  <c r="AN27" i="1"/>
  <c r="AN29" i="1"/>
  <c r="AO4" i="1"/>
  <c r="AG14" i="1"/>
  <c r="AG23" i="1"/>
  <c r="AG25" i="1"/>
  <c r="AH23" i="1"/>
  <c r="AG16" i="1"/>
  <c r="AH16" i="1"/>
  <c r="AH6" i="1"/>
  <c r="AG27" i="1"/>
  <c r="AH29" i="1"/>
  <c r="AG12" i="1"/>
  <c r="AG11" i="1"/>
  <c r="AH12" i="1"/>
  <c r="Y16" i="1" l="1"/>
  <c r="Z16" i="1" s="1"/>
  <c r="AC16" i="1"/>
  <c r="AD16" i="1" s="1"/>
  <c r="BF16" i="1"/>
  <c r="AC18" i="1"/>
  <c r="AD18" i="1" s="1"/>
  <c r="AC24" i="1"/>
  <c r="AD24" i="1" s="1"/>
  <c r="BF18" i="1"/>
  <c r="BJ18" i="1"/>
  <c r="Y12" i="1"/>
  <c r="Z12" i="1" s="1"/>
  <c r="AC12" i="1"/>
  <c r="AD12" i="1" s="1"/>
  <c r="BF12" i="1"/>
  <c r="BJ24" i="1"/>
  <c r="BF24" i="1"/>
  <c r="AC9" i="1"/>
  <c r="AD9" i="1" s="1"/>
  <c r="BJ9" i="1"/>
  <c r="BF9" i="1"/>
  <c r="Y8" i="1"/>
  <c r="Z8" i="1" s="1"/>
  <c r="BF8" i="1"/>
  <c r="BJ8" i="1"/>
  <c r="AC25" i="1"/>
  <c r="AD25" i="1" s="1"/>
  <c r="BJ25" i="1"/>
  <c r="BF25" i="1"/>
  <c r="AC6" i="1"/>
  <c r="AD6" i="1" s="1"/>
  <c r="BF6" i="1"/>
  <c r="BJ6" i="1"/>
  <c r="Y26" i="1"/>
  <c r="Z26" i="1" s="1"/>
  <c r="BJ26" i="1"/>
  <c r="BF26" i="1"/>
  <c r="BF5" i="1"/>
  <c r="BJ5" i="1"/>
  <c r="Y30" i="1"/>
  <c r="Z30" i="1" s="1"/>
  <c r="BJ30" i="1"/>
  <c r="BF30" i="1"/>
  <c r="AC29" i="1"/>
  <c r="AD29" i="1" s="1"/>
  <c r="BJ29" i="1"/>
  <c r="BF29" i="1"/>
  <c r="AC14" i="1"/>
  <c r="AD14" i="1" s="1"/>
  <c r="BJ14" i="1"/>
  <c r="BF14" i="1"/>
  <c r="Y28" i="1"/>
  <c r="Z28" i="1" s="1"/>
  <c r="BF28" i="1"/>
  <c r="BJ28" i="1"/>
  <c r="AC27" i="1"/>
  <c r="AD27" i="1" s="1"/>
  <c r="BF27" i="1"/>
  <c r="BJ27" i="1"/>
  <c r="AC11" i="1"/>
  <c r="AD11" i="1" s="1"/>
  <c r="BJ11" i="1"/>
  <c r="BF11" i="1"/>
  <c r="AC23" i="1"/>
  <c r="AD23" i="1" s="1"/>
  <c r="BJ23" i="1"/>
  <c r="BF23" i="1"/>
  <c r="AC8" i="1"/>
  <c r="AD8" i="1" s="1"/>
  <c r="Y5" i="1"/>
  <c r="Z5" i="1" s="1"/>
  <c r="AC5" i="1"/>
  <c r="AD5" i="1" s="1"/>
  <c r="AC28" i="1"/>
  <c r="AD28" i="1" s="1"/>
  <c r="AC30" i="1"/>
  <c r="AD30" i="1" s="1"/>
  <c r="AC26" i="1"/>
  <c r="AD26" i="1" s="1"/>
  <c r="Y11" i="1"/>
  <c r="Z11" i="1" s="1"/>
  <c r="Y6" i="1"/>
  <c r="Z6" i="1" s="1"/>
  <c r="Y25" i="1"/>
  <c r="Z25" i="1" s="1"/>
  <c r="Y14" i="1"/>
  <c r="Z14" i="1" s="1"/>
  <c r="Y23" i="1"/>
  <c r="Z23" i="1" s="1"/>
  <c r="Y29" i="1"/>
  <c r="Z29" i="1" s="1"/>
  <c r="Y27" i="1"/>
  <c r="Z27" i="1" s="1"/>
  <c r="AY7" i="1"/>
  <c r="AB7" i="1" s="1"/>
  <c r="AY10" i="1"/>
  <c r="AB10" i="1" s="1"/>
  <c r="AY13" i="1"/>
  <c r="AB13" i="1" s="1"/>
  <c r="AY15" i="1"/>
  <c r="AB15" i="1" s="1"/>
  <c r="AY17" i="1"/>
  <c r="AB17" i="1" s="1"/>
  <c r="AY19" i="1"/>
  <c r="AB19" i="1" s="1"/>
  <c r="AY20" i="1"/>
  <c r="AB20" i="1" s="1"/>
  <c r="AY21" i="1"/>
  <c r="AB21" i="1" s="1"/>
  <c r="AY22" i="1"/>
  <c r="AB22" i="1" s="1"/>
  <c r="AY4" i="1"/>
  <c r="AB4" i="1" s="1"/>
  <c r="W7" i="1"/>
  <c r="W10" i="1"/>
  <c r="W13" i="1"/>
  <c r="W15" i="1"/>
  <c r="W17" i="1"/>
  <c r="W19" i="1"/>
  <c r="W20" i="1"/>
  <c r="W21" i="1"/>
  <c r="W22" i="1"/>
  <c r="U7" i="1"/>
  <c r="AL7" i="1" s="1"/>
  <c r="U10" i="1"/>
  <c r="AL10" i="1" s="1"/>
  <c r="U13" i="1"/>
  <c r="AL13" i="1" s="1"/>
  <c r="U15" i="1"/>
  <c r="AL15" i="1" s="1"/>
  <c r="U17" i="1"/>
  <c r="AL17" i="1" s="1"/>
  <c r="U19" i="1"/>
  <c r="AL19" i="1" s="1"/>
  <c r="U20" i="1"/>
  <c r="AL20" i="1" s="1"/>
  <c r="U21" i="1"/>
  <c r="AL21" i="1" s="1"/>
  <c r="U22" i="1"/>
  <c r="AL22" i="1" s="1"/>
  <c r="D7" i="1"/>
  <c r="F7" i="1" s="1"/>
  <c r="D10" i="1"/>
  <c r="F10" i="1" s="1"/>
  <c r="D13" i="1"/>
  <c r="F13" i="1" s="1"/>
  <c r="D15" i="1"/>
  <c r="F15" i="1" s="1"/>
  <c r="D17" i="1"/>
  <c r="F17" i="1" s="1"/>
  <c r="D19" i="1"/>
  <c r="F19" i="1" s="1"/>
  <c r="D20" i="1"/>
  <c r="F20" i="1" s="1"/>
  <c r="D21" i="1"/>
  <c r="F21" i="1" s="1"/>
  <c r="D22" i="1"/>
  <c r="F22" i="1" s="1"/>
  <c r="D4" i="1"/>
  <c r="F4" i="1" s="1"/>
  <c r="W4" i="1"/>
  <c r="AN4" i="1" s="1"/>
  <c r="U4" i="1"/>
  <c r="AL4" i="1" s="1"/>
  <c r="AN21" i="1" l="1"/>
  <c r="BF21" i="1" s="1"/>
  <c r="AK21" i="1"/>
  <c r="AJ21" i="1"/>
  <c r="AN7" i="1"/>
  <c r="BF7" i="1" s="1"/>
  <c r="AJ7" i="1"/>
  <c r="AK7" i="1"/>
  <c r="AN20" i="1"/>
  <c r="BF20" i="1" s="1"/>
  <c r="AJ20" i="1"/>
  <c r="AK20" i="1"/>
  <c r="AN19" i="1"/>
  <c r="BF19" i="1" s="1"/>
  <c r="AJ19" i="1"/>
  <c r="AK19" i="1"/>
  <c r="AN10" i="1"/>
  <c r="BJ10" i="1" s="1"/>
  <c r="AJ10" i="1"/>
  <c r="AK10" i="1"/>
  <c r="AN22" i="1"/>
  <c r="BF22" i="1" s="1"/>
  <c r="AJ22" i="1"/>
  <c r="AK22" i="1"/>
  <c r="AN17" i="1"/>
  <c r="AC17" i="1" s="1"/>
  <c r="AD17" i="1" s="1"/>
  <c r="AJ17" i="1"/>
  <c r="AK17" i="1"/>
  <c r="AN15" i="1"/>
  <c r="BJ15" i="1" s="1"/>
  <c r="AJ15" i="1"/>
  <c r="AK15" i="1"/>
  <c r="AN13" i="1"/>
  <c r="BF13" i="1" s="1"/>
  <c r="AK13" i="1"/>
  <c r="AJ13" i="1"/>
  <c r="AC7" i="1"/>
  <c r="AD7" i="1" s="1"/>
  <c r="Y7" i="1"/>
  <c r="Z7" i="1" s="1"/>
  <c r="AC4" i="1"/>
  <c r="AD4" i="1" s="1"/>
  <c r="BJ4" i="1"/>
  <c r="BF4" i="1"/>
  <c r="AG22" i="1"/>
  <c r="AG7" i="1"/>
  <c r="AG21" i="1"/>
  <c r="AH19" i="1"/>
  <c r="AG4" i="1"/>
  <c r="AG17" i="1"/>
  <c r="AH15" i="1"/>
  <c r="AH20" i="1"/>
  <c r="AH13" i="1"/>
  <c r="Y19" i="1"/>
  <c r="Z19" i="1" s="1"/>
  <c r="AH10" i="1"/>
  <c r="AG20" i="1"/>
  <c r="AG19" i="1"/>
  <c r="AG15" i="1"/>
  <c r="AH17" i="1"/>
  <c r="AG13" i="1"/>
  <c r="AH22" i="1"/>
  <c r="AH7" i="1"/>
  <c r="AG10" i="1"/>
  <c r="AH21" i="1"/>
  <c r="AJ4" i="1"/>
  <c r="AK4" i="1"/>
  <c r="AH4" i="1"/>
  <c r="Y4" i="1"/>
  <c r="Z4" i="1" s="1"/>
  <c r="AC10" i="1" l="1"/>
  <c r="AD10" i="1" s="1"/>
  <c r="Y15" i="1"/>
  <c r="Z15" i="1" s="1"/>
  <c r="Y10" i="1"/>
  <c r="Z10" i="1" s="1"/>
  <c r="AC21" i="1"/>
  <c r="AD21" i="1" s="1"/>
  <c r="BJ20" i="1"/>
  <c r="BF17" i="1"/>
  <c r="BJ17" i="1"/>
  <c r="Y17" i="1"/>
  <c r="Z17" i="1" s="1"/>
  <c r="BJ19" i="1"/>
  <c r="AC19" i="1"/>
  <c r="AD19" i="1" s="1"/>
  <c r="BJ7" i="1"/>
  <c r="BF10" i="1"/>
  <c r="BJ13" i="1"/>
  <c r="BJ21" i="1"/>
  <c r="Y21" i="1"/>
  <c r="Z21" i="1" s="1"/>
  <c r="Y13" i="1"/>
  <c r="Z13" i="1" s="1"/>
  <c r="AC13" i="1"/>
  <c r="AD13" i="1" s="1"/>
  <c r="AC22" i="1"/>
  <c r="AD22" i="1" s="1"/>
  <c r="AC20" i="1"/>
  <c r="AD20" i="1" s="1"/>
  <c r="BJ22" i="1"/>
  <c r="Y20" i="1"/>
  <c r="Z20" i="1" s="1"/>
  <c r="BF15" i="1"/>
  <c r="AC15" i="1"/>
  <c r="AD15" i="1" s="1"/>
  <c r="Y22" i="1"/>
  <c r="Z22" i="1" s="1"/>
</calcChain>
</file>

<file path=xl/sharedStrings.xml><?xml version="1.0" encoding="utf-8"?>
<sst xmlns="http://schemas.openxmlformats.org/spreadsheetml/2006/main" count="412" uniqueCount="134">
  <si>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</si>
  <si>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</si>
  <si>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</si>
  <si>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</si>
  <si>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</si>
  <si>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</si>
  <si>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</si>
  <si>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</si>
  <si>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</si>
  <si>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</si>
  <si>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</si>
  <si>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</si>
  <si>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</si>
  <si>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</si>
  <si>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</si>
  <si>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</si>
  <si>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</si>
  <si>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</si>
  <si>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</si>
  <si>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</si>
  <si>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</si>
  <si>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</si>
  <si>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</si>
  <si>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</si>
  <si>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</si>
  <si>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</si>
  <si>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</si>
  <si>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</si>
  <si>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</si>
  <si>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</si>
  <si>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</si>
  <si>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</si>
  <si>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</si>
  <si>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</si>
  <si>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</si>
  <si>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</si>
  <si>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</si>
  <si>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</si>
  <si>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</si>
  <si>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</si>
  <si>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</si>
  <si>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</si>
  <si>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</si>
  <si>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</si>
  <si>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</si>
  <si>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</si>
  <si>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</si>
  <si>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</si>
  <si>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</si>
  <si>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</si>
  <si>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</si>
  <si>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</si>
  <si>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</si>
  <si>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</si>
  <si>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</si>
  <si>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</si>
  <si>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</si>
  <si>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7438AY</t>
  </si>
  <si>
    <t>7439AY</t>
  </si>
  <si>
    <t>7440AY</t>
  </si>
  <si>
    <t>7441AY</t>
  </si>
  <si>
    <t>7442AY</t>
  </si>
  <si>
    <t>7443AY</t>
  </si>
  <si>
    <t>7444AY</t>
  </si>
  <si>
    <t>7445AY</t>
  </si>
  <si>
    <t>Goono/ｾﾛﾊﾝﾃｰﾌﾟ 15mm×35m 200巻</t>
  </si>
  <si>
    <t>Goono/ｾﾛﾊﾝﾃｰﾌﾟ 18mm×35m 200巻</t>
  </si>
  <si>
    <t>共和/ｾﾛﾊﾝﾃｰﾌﾟ 12mm×35m/HC-080</t>
  </si>
  <si>
    <t>共和/ｾﾛﾊﾝﾃｰﾌﾟ 15mm×35m/HC-100</t>
  </si>
  <si>
    <t>共和/ｾﾛﾊﾝﾃｰﾌﾟ 18mm×35m/HC-120</t>
  </si>
  <si>
    <t>共和/ｾﾛﾊﾝﾃｰﾌﾟ 24mm×35m/HC-170</t>
  </si>
  <si>
    <t>共和/ｾﾛﾊﾝﾃｰﾌﾟ 12mm×35m 10巻ｼｭﾘﾝｸ品/HC-080-A</t>
  </si>
  <si>
    <t>共和/ｾﾛﾊﾝﾃｰﾌﾟ 15mm×35m 10巻ｼｭﾘﾝｸ品/HC-100-A</t>
  </si>
  <si>
    <t>共和/ｾﾛﾊﾝﾃｰﾌﾟ 18mm×35m 10巻ｼｭﾘﾝｸ品/HC-120-A</t>
  </si>
  <si>
    <t>共和/ｾﾛﾊﾝﾃｰﾌﾟ 24mm×35m 5巻ｼｭﾘﾝｸ品/HC-170-A</t>
  </si>
  <si>
    <t>共和/ｾﾛﾊﾝﾃｰﾌﾟ 12mm×70m 1巻ﾋﾟﾛ包装品 ﾊﾞﾗ1巻/HC-280</t>
  </si>
  <si>
    <t>共和/ｾﾛﾊﾝﾃｰﾌﾟ 15mm×70m 1巻ﾋﾟﾛ包装品 ﾊﾞﾗ1巻/HC-320</t>
  </si>
  <si>
    <t>共和/ｾﾛﾊﾝﾃｰﾌﾟ 18mm×70m 1巻ﾋﾟﾛ包装品 ﾊﾞﾗ1巻/HC-350</t>
  </si>
  <si>
    <t>共和/ｾﾛﾊﾝﾃｰﾌﾟ 24mm×70m 1巻ﾋﾟﾛ包装品 ﾊﾞﾗ1巻/HC-360</t>
  </si>
  <si>
    <t>0424AK</t>
  </si>
  <si>
    <t>3664AR</t>
  </si>
  <si>
    <t>7446AY</t>
  </si>
  <si>
    <t>7447AY</t>
  </si>
  <si>
    <t>7448AY</t>
  </si>
  <si>
    <t>7449AY</t>
  </si>
  <si>
    <t>共和/ｾﾛﾊﾝﾃｰﾌﾟ 12mm×35m 10巻/HC-080</t>
  </si>
  <si>
    <t>共和/ｾﾛﾊﾝﾃｰﾌﾟ 15mm×35m 10巻/HC-100</t>
  </si>
  <si>
    <t>共和/ｾﾛﾊﾝﾃｰﾌﾟ 18mm×35m 10巻/HC-120</t>
  </si>
  <si>
    <t>共和/ｾﾛﾊﾝﾃｰﾌﾟ 24mm×35m 5巻/HC-170</t>
  </si>
  <si>
    <t>共和/ｾﾛﾊﾝﾃｰﾌﾟ 12mm×70m 1巻ﾋﾟﾛ包装品 1箱10巻入り/H</t>
  </si>
  <si>
    <t>共和/ｾﾛﾊﾝﾃｰﾌﾟ 15mm×70m 1巻ﾋﾟﾛ包装品 1箱10巻入り/H</t>
  </si>
  <si>
    <t>共和/ｾﾛﾊﾝﾃｰﾌﾟ 18mm×70m 1巻ﾋﾟﾛ包装品 1箱10巻入り/H</t>
  </si>
  <si>
    <t>共和/ｾﾛﾊﾝﾃｰﾌﾟ 24mm×70m 1巻ﾋﾟﾛ包装品 1箱5巻入り/HC</t>
  </si>
  <si>
    <t>34/155</t>
  </si>
  <si>
    <t>-</t>
  </si>
  <si>
    <t>-</t>
    <phoneticPr fontId="2"/>
  </si>
  <si>
    <t>Goono/ｾﾛﾊﾝﾃｰﾌﾟ 15mm×35m 10巻</t>
  </si>
  <si>
    <t>Goono/ｾﾛﾊﾝﾃｰﾌﾟ 18mm×35m 10巻</t>
  </si>
  <si>
    <t>5855AM</t>
  </si>
  <si>
    <t>アスクル セロハンテープ 幅15mm×35m 1箱（200巻：10巻入×20） オリジナル</t>
  </si>
  <si>
    <t>1箱（200巻：10巻入×20パック）</t>
  </si>
  <si>
    <t>アスクル セロハンテープ 幅15mm×35m 1パック（10巻入） オリジナル</t>
  </si>
  <si>
    <t>1パック（10巻入）</t>
  </si>
  <si>
    <t>アスクル セロハンテープ 幅18mm×35m 1箱（200巻：10巻入×20） オリジナル</t>
  </si>
  <si>
    <t>アスクル セロハンテープ 幅18mm×35m 1パック（10巻入） オリジナル</t>
  </si>
  <si>
    <t>共和 セロハン粘着テープ 15mm×35m 透明 1巻 HC-100 109-7385（直送品）</t>
  </si>
  <si>
    <t>共和 セロハンテープ 1巻ピロ 幅15mm 長さ70m HC-320 1巻</t>
  </si>
  <si>
    <t>共和 セロハンテープ 1巻ピロ 幅18mm 長さ70m HC-350 1巻</t>
  </si>
  <si>
    <t>RX19528</t>
  </si>
  <si>
    <t>1巻</t>
  </si>
  <si>
    <t>EK42220</t>
  </si>
  <si>
    <t>EK42221</t>
  </si>
  <si>
    <t>6月
たの</t>
    <rPh sb="1" eb="2">
      <t>ガツ</t>
    </rPh>
    <phoneticPr fontId="2"/>
  </si>
  <si>
    <t>6月
カウ</t>
    <rPh sb="1" eb="2">
      <t>ガツ</t>
    </rPh>
    <phoneticPr fontId="2"/>
  </si>
  <si>
    <t>216-0535</t>
  </si>
  <si>
    <t>918-9188</t>
  </si>
  <si>
    <t>918-9195</t>
  </si>
  <si>
    <t>216-0542</t>
  </si>
  <si>
    <t>たの注番</t>
    <rPh sb="2" eb="4">
      <t>チュウバン</t>
    </rPh>
    <phoneticPr fontId="2"/>
  </si>
  <si>
    <t>カウ注番</t>
    <rPh sb="2" eb="4">
      <t>チュウバン</t>
    </rPh>
    <phoneticPr fontId="2"/>
  </si>
  <si>
    <t>5208-5857</t>
  </si>
  <si>
    <t>5021-9070</t>
  </si>
  <si>
    <t>4148-6054</t>
  </si>
  <si>
    <t>5208-5864</t>
  </si>
  <si>
    <t>7月確認</t>
    <rPh sb="1" eb="2">
      <t>ガツ</t>
    </rPh>
    <rPh sb="2" eb="4">
      <t>カクニン</t>
    </rPh>
    <phoneticPr fontId="2"/>
  </si>
  <si>
    <t>品目+
FW荷姿</t>
    <rPh sb="0" eb="2">
      <t>ヒンモク</t>
    </rPh>
    <rPh sb="6" eb="8">
      <t>ニスガタ</t>
    </rPh>
    <phoneticPr fontId="2"/>
  </si>
  <si>
    <t>VDあり</t>
    <phoneticPr fontId="2"/>
  </si>
  <si>
    <t>7月売価</t>
    <rPh sb="1" eb="2">
      <t>ガツ</t>
    </rPh>
    <rPh sb="2" eb="4">
      <t>バイカ</t>
    </rPh>
    <phoneticPr fontId="2"/>
  </si>
  <si>
    <t>7月
カウ</t>
    <rPh sb="1" eb="2">
      <t>ガツ</t>
    </rPh>
    <phoneticPr fontId="2"/>
  </si>
  <si>
    <t>7月
たの</t>
    <rPh sb="1" eb="2">
      <t>ガツ</t>
    </rPh>
    <phoneticPr fontId="2"/>
  </si>
  <si>
    <t>FWのみ</t>
    <phoneticPr fontId="2"/>
  </si>
  <si>
    <t>FW以外</t>
    <rPh sb="2" eb="4">
      <t>イガイ</t>
    </rPh>
    <phoneticPr fontId="2"/>
  </si>
  <si>
    <t>買い物コネクト除く</t>
    <rPh sb="0" eb="1">
      <t>カ</t>
    </rPh>
    <rPh sb="2" eb="3">
      <t>モノ</t>
    </rPh>
    <rPh sb="7" eb="8">
      <t>ノゾ</t>
    </rPh>
    <phoneticPr fontId="2"/>
  </si>
  <si>
    <t>売価2あり</t>
    <rPh sb="0" eb="2">
      <t>バイカ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</si>
</sst>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4" xfId="0" applyFill="1" applyBorder="1">
      <alignment vertical="center"/>
    </xf>
    <xf numFmtId="0" fontId="0" fillId="3" borderId="10" xfId="0" applyFill="1" applyBorder="1">
      <alignment vertical="center"/>
    </xf>
    <xf numFmtId="0" fontId="0" fillId="6" borderId="3" xfId="0" applyFill="1" applyBorder="1">
      <alignment vertical="center"/>
    </xf>
    <xf numFmtId="0" fontId="0" fillId="6" borderId="4" xfId="0" applyFill="1" applyBorder="1">
      <alignment vertical="center"/>
    </xf>
    <xf numFmtId="0" fontId="0" fillId="0" borderId="19" xfId="0" applyBorder="1">
      <alignment vertical="center"/>
    </xf>
    <xf numFmtId="0" fontId="0" fillId="7" borderId="0" xfId="0" applyFill="1">
      <alignment vertical="center"/>
    </xf>
    <xf numFmtId="0" fontId="3" fillId="5" borderId="4" xfId="0" applyFont="1" applyFill="1" applyBorder="1">
      <alignment vertical="center"/>
    </xf>
    <xf numFmtId="0" fontId="0" fillId="8" borderId="2" xfId="0" applyFill="1" applyBorder="1" applyAlignment="1">
      <alignment vertical="center" wrapText="1"/>
    </xf>
    <xf numFmtId="0" fontId="3" fillId="0" borderId="0" xfId="0" applyFont="1">
      <alignment vertical="center"/>
    </xf>
    <xf numFmtId="0" fontId="0" fillId="9" borderId="0" xfId="0" applyFill="1">
      <alignment vertical="center"/>
    </xf>
    <xf numFmtId="0" fontId="0" fillId="9" borderId="4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K30"/>
  <sheetViews>
    <sheetView tabSelected="1" zoomScale="90" zoomScaleNormal="90" workbookViewId="0">
      <pane xSplit="8" ySplit="6" topLeftCell="AC7" activePane="bottomRight" state="frozen"/>
      <selection pane="topRight" activeCell="G1" sqref="G1"/>
      <selection pane="bottomLeft" activeCell="A5" sqref="A5"/>
      <selection pane="bottomRight" activeCell="AO16" sqref="AO16"/>
    </sheetView>
  </sheetViews>
  <sheetFormatPr defaultRowHeight="18.75" outlineLevelCol="2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19" width="7.625" hidden="1" customWidth="1" outlineLevel="1"/>
    <col min="20" max="20" width="7.5" customWidth="1" collapsed="1"/>
    <col min="21" max="23" width="7.625" customWidth="1"/>
    <col min="24" max="24" width="4.375" customWidth="1" collapsed="1"/>
    <col min="25" max="26" width="7.625" customWidth="1"/>
    <col min="27" max="27" width="6.125" customWidth="1"/>
    <col min="28" max="34" width="7.625" customWidth="1"/>
    <col min="35" max="37" width="7.625" customWidth="1" outlineLevel="1"/>
    <col min="38" max="40" width="7.625" customWidth="1"/>
    <col min="41" max="43" width="7.625" customWidth="1" outlineLevel="1"/>
    <col min="44" max="48" width="7.625" customWidth="1"/>
    <col min="49" max="49" width="7.625" customWidth="1" outlineLevel="1"/>
    <col min="50" max="54" width="7.625" customWidth="1"/>
    <col min="55" max="55" width="7.625" hidden="1" customWidth="1" outlineLevel="1"/>
    <col min="56" max="56" width="7.625" hidden="1" customWidth="1" outlineLevel="2"/>
    <col min="57" max="57" width="7.625" customWidth="1" collapsed="1"/>
    <col min="58" max="58" width="7.625" customWidth="1"/>
    <col min="59" max="59" width="7.625" hidden="1" customWidth="1" outlineLevel="1"/>
    <col min="60" max="60" width="7.625" hidden="1" customWidth="1" outlineLevel="2"/>
    <col min="61" max="61" width="7.625" customWidth="1" collapsed="1"/>
    <col min="62" max="62" width="7.625" customWidth="1"/>
  </cols>
  <sheetData>
    <row r="1" spans="1:63" x14ac:dyDescent="0.4">
      <c r="C1" s="29" t="s">
        <v>36</v>
      </c>
      <c r="N1" s="39" t="s">
        <v>124</v>
      </c>
      <c r="O1" s="39"/>
      <c r="T1" s="48" t="s">
        <v>34</v>
      </c>
      <c r="U1" s="49"/>
      <c r="V1" s="49"/>
      <c r="W1" s="50"/>
      <c r="AH1" s="42" t="s">
        <v>133</v>
      </c>
      <c r="AI1" t="s">
        <v>132</v>
      </c>
      <c r="AN1" s="42" t="s">
        <v>126</v>
      </c>
    </row>
    <row r="2" spans="1:63" x14ac:dyDescent="0.4">
      <c r="C2" s="8" t="s">
        <v>22</v>
      </c>
      <c r="D2" s="9" t="s">
        <v>23</v>
      </c>
      <c r="E2" s="9" t="s">
        <v>24</v>
      </c>
      <c r="F2" s="9"/>
      <c r="G2" s="10"/>
      <c r="H2" s="10"/>
      <c r="I2" s="31"/>
      <c r="J2" s="31"/>
      <c r="K2" s="45" t="s">
        <v>25</v>
      </c>
      <c r="L2" s="47"/>
      <c r="M2" s="45" t="s">
        <v>1</v>
      </c>
      <c r="N2" s="46"/>
      <c r="O2" s="46"/>
      <c r="P2" s="47"/>
      <c r="Q2" s="11"/>
      <c r="R2" s="30"/>
      <c r="S2" s="30"/>
      <c r="T2" s="23"/>
      <c r="U2" s="24" t="s">
        <v>28</v>
      </c>
      <c r="V2" s="24"/>
      <c r="W2" s="25" t="s">
        <v>28</v>
      </c>
      <c r="X2" s="10"/>
      <c r="Y2" s="9" t="s">
        <v>33</v>
      </c>
      <c r="Z2" s="11"/>
      <c r="AA2" s="11"/>
      <c r="AB2" s="11"/>
      <c r="AC2" s="11"/>
      <c r="AD2" s="11"/>
      <c r="AE2" s="11"/>
      <c r="AF2" s="22" t="s">
        <v>130</v>
      </c>
      <c r="AG2" s="11"/>
      <c r="AH2" s="11"/>
      <c r="AI2" s="27" t="s">
        <v>131</v>
      </c>
      <c r="AJ2" s="11"/>
      <c r="AK2" s="11"/>
      <c r="AL2" s="11"/>
      <c r="AM2" s="11"/>
      <c r="AN2" s="11"/>
      <c r="AO2" s="11"/>
      <c r="AP2" s="11"/>
      <c r="AQ2" s="11"/>
      <c r="AR2">
        <v>51</v>
      </c>
      <c r="AZ2">
        <v>14</v>
      </c>
      <c r="BA2">
        <v>28</v>
      </c>
    </row>
    <row r="3" spans="1:63" ht="75" x14ac:dyDescent="0.4">
      <c r="A3" s="1" t="s">
        <v>42</v>
      </c>
      <c r="B3" s="1" t="s">
        <v>47</v>
      </c>
      <c r="C3" s="2" t="s">
        <v>2</v>
      </c>
      <c r="D3" s="2" t="s">
        <v>6</v>
      </c>
      <c r="E3" s="2" t="s">
        <v>7</v>
      </c>
      <c r="F3" s="41" t="s">
        <v>125</v>
      </c>
      <c r="G3" s="2" t="s">
        <v>0</v>
      </c>
      <c r="H3" s="12" t="s">
        <v>4</v>
      </c>
      <c r="I3" s="12" t="s">
        <v>44</v>
      </c>
      <c r="J3" s="12" t="s">
        <v>45</v>
      </c>
      <c r="K3" s="12" t="s">
        <v>19</v>
      </c>
      <c r="L3" s="12" t="s">
        <v>20</v>
      </c>
      <c r="M3" s="12" t="s">
        <v>55</v>
      </c>
      <c r="N3" s="2" t="s">
        <v>5</v>
      </c>
      <c r="O3" s="2" t="s">
        <v>53</v>
      </c>
      <c r="P3" s="2" t="s">
        <v>13</v>
      </c>
      <c r="Q3" s="12" t="s">
        <v>40</v>
      </c>
      <c r="R3" s="12" t="s">
        <v>17</v>
      </c>
      <c r="S3" s="12" t="s">
        <v>18</v>
      </c>
      <c r="T3" s="12" t="s">
        <v>51</v>
      </c>
      <c r="U3" s="12" t="s">
        <v>52</v>
      </c>
      <c r="V3" s="2" t="s">
        <v>53</v>
      </c>
      <c r="W3" s="12" t="s">
        <v>54</v>
      </c>
      <c r="X3" s="14" t="s">
        <v>3</v>
      </c>
      <c r="Y3" s="20" t="s">
        <v>14</v>
      </c>
      <c r="Z3" s="2" t="s">
        <v>13</v>
      </c>
      <c r="AA3" s="2" t="s">
        <v>37</v>
      </c>
      <c r="AB3" s="12" t="s">
        <v>56</v>
      </c>
      <c r="AC3" s="12" t="s">
        <v>46</v>
      </c>
      <c r="AD3" s="2" t="s">
        <v>13</v>
      </c>
      <c r="AE3" s="2"/>
      <c r="AF3" s="13" t="s">
        <v>26</v>
      </c>
      <c r="AG3" s="2" t="s">
        <v>13</v>
      </c>
      <c r="AH3" s="2" t="s">
        <v>27</v>
      </c>
      <c r="AI3" s="26" t="s">
        <v>29</v>
      </c>
      <c r="AJ3" s="12" t="s">
        <v>30</v>
      </c>
      <c r="AK3" s="12" t="s">
        <v>31</v>
      </c>
      <c r="AL3" s="12" t="s">
        <v>21</v>
      </c>
      <c r="AM3" s="12" t="s">
        <v>32</v>
      </c>
      <c r="AN3" s="12" t="s">
        <v>15</v>
      </c>
      <c r="AO3" s="12" t="s">
        <v>16</v>
      </c>
      <c r="AP3" s="12" t="s">
        <v>17</v>
      </c>
      <c r="AQ3" s="12" t="s">
        <v>18</v>
      </c>
      <c r="AR3" s="2" t="s">
        <v>8</v>
      </c>
      <c r="AS3" s="2" t="s">
        <v>9</v>
      </c>
      <c r="AT3" s="2" t="s">
        <v>10</v>
      </c>
      <c r="AU3" s="2" t="s">
        <v>11</v>
      </c>
      <c r="AV3" s="12" t="s">
        <v>35</v>
      </c>
      <c r="AW3" s="12" t="s">
        <v>48</v>
      </c>
      <c r="AX3" s="2" t="s">
        <v>127</v>
      </c>
      <c r="AY3" s="2" t="s">
        <v>12</v>
      </c>
      <c r="AZ3" s="18" t="s">
        <v>38</v>
      </c>
      <c r="BA3" s="18" t="s">
        <v>39</v>
      </c>
      <c r="BB3" s="15" t="s">
        <v>43</v>
      </c>
      <c r="BC3" s="38" t="s">
        <v>118</v>
      </c>
      <c r="BD3" s="32" t="s">
        <v>112</v>
      </c>
      <c r="BE3" s="32" t="s">
        <v>129</v>
      </c>
      <c r="BF3" s="33" t="s">
        <v>49</v>
      </c>
      <c r="BG3" s="33" t="s">
        <v>119</v>
      </c>
      <c r="BH3" s="33" t="s">
        <v>113</v>
      </c>
      <c r="BI3" s="33" t="s">
        <v>128</v>
      </c>
      <c r="BJ3" s="33" t="s">
        <v>50</v>
      </c>
      <c r="BK3" t="s">
        <v>41</v>
      </c>
    </row>
    <row r="4" spans="1:63" x14ac:dyDescent="0.4">
      <c r="A4" s="36">
        <v>1</v>
      </c>
      <c r="B4" s="3">
        <v>1</v>
      </c>
      <c r="C4" s="34">
        <v>657872</v>
      </c>
      <c r="D4" s="4" t="str">
        <f t="shared" ref="D4:D30" si="0">TEXT(C4,"000000")</f>
        <v>657872</v>
      </c>
      <c r="E4" s="4">
        <v>657872</v>
      </c>
      <c r="F4" s="4" t="str">
        <f>D4&amp;I4</f>
        <v>6578725</v>
      </c>
      <c r="G4" s="4" t="s">
        <v>65</v>
      </c>
      <c r="H4" s="5">
        <v>4560250305554</v>
      </c>
      <c r="I4" s="5">
        <v>5</v>
      </c>
      <c r="J4" s="5"/>
      <c r="K4" s="5">
        <v>3</v>
      </c>
      <c r="L4" s="5">
        <v>2</v>
      </c>
      <c r="M4" s="4">
        <v>0</v>
      </c>
      <c r="N4" s="4">
        <v>15800</v>
      </c>
      <c r="O4" s="4">
        <v>13240</v>
      </c>
      <c r="P4" s="6">
        <v>0.16202531645569618</v>
      </c>
      <c r="Q4" s="4" t="s">
        <v>94</v>
      </c>
      <c r="R4" s="4" t="s">
        <v>94</v>
      </c>
      <c r="S4" s="4" t="s">
        <v>94</v>
      </c>
      <c r="T4" s="4">
        <v>0</v>
      </c>
      <c r="U4" s="4">
        <f t="shared" ref="U4:U13" si="1">IF(X4="",T4,T4*X4)</f>
        <v>0</v>
      </c>
      <c r="V4" s="4">
        <v>16000</v>
      </c>
      <c r="W4" s="4">
        <f t="shared" ref="W4:W30" si="2">IF(X4="",V4,V4*X4)</f>
        <v>16000</v>
      </c>
      <c r="X4" s="4"/>
      <c r="Y4" s="21">
        <f t="shared" ref="Y4:Y30" si="3">ROUND(N4*AN4,0)</f>
        <v>19094</v>
      </c>
      <c r="Z4" s="6">
        <f t="shared" ref="Z4:Z30" si="4">IFERROR(1-W4/Y4,"-")</f>
        <v>0.1620404315491778</v>
      </c>
      <c r="AA4" s="4">
        <v>85.75</v>
      </c>
      <c r="AB4" s="4">
        <f t="shared" ref="AB4:AB30" si="5">AY4</f>
        <v>16922</v>
      </c>
      <c r="AC4" s="44">
        <f t="shared" ref="AC4:AC30" si="6">IFERROR(AB4*AN4,"-")</f>
        <v>20449.546827794562</v>
      </c>
      <c r="AD4" s="6">
        <f t="shared" ref="AD4:AD30" si="7">IFERROR(1-W4/AC4,"-")</f>
        <v>0.21758657369105305</v>
      </c>
      <c r="AE4" s="4">
        <v>16080.905660377357</v>
      </c>
      <c r="AF4" s="7">
        <v>19400</v>
      </c>
      <c r="AG4" s="6">
        <f t="shared" ref="AG4:AG30" si="8">1-W4/AF4</f>
        <v>0.17525773195876293</v>
      </c>
      <c r="AH4" s="37">
        <f t="shared" ref="AH4:AH30" si="9">AF4-W4</f>
        <v>3400</v>
      </c>
      <c r="AI4" s="40">
        <v>22000</v>
      </c>
      <c r="AJ4" s="6">
        <f>1-W4/AI4</f>
        <v>0.27272727272727271</v>
      </c>
      <c r="AK4" s="4">
        <f>AI4-W4</f>
        <v>6000</v>
      </c>
      <c r="AL4" s="6" t="str">
        <f t="shared" ref="AL4:AL30" si="10">IFERROR(U4/M4,"-")</f>
        <v>-</v>
      </c>
      <c r="AM4" s="6">
        <f t="shared" ref="AM4:AM30" si="11">IFERROR(AF4/N4,"-")</f>
        <v>1.2278481012658229</v>
      </c>
      <c r="AN4" s="6">
        <f t="shared" ref="AN4:AN30" si="12">IFERROR(W4/O4,"-")</f>
        <v>1.2084592145015105</v>
      </c>
      <c r="AO4" s="4" t="str">
        <f>IFERROR(ROUND($AF4*Q4/$N4,0),"-")</f>
        <v>-</v>
      </c>
      <c r="AP4" s="4" t="str">
        <f>IF(R4="","-",R4)</f>
        <v>-</v>
      </c>
      <c r="AQ4" s="4" t="str">
        <f>IF(S4="","-",S4)</f>
        <v>-</v>
      </c>
      <c r="AR4" s="4" t="s">
        <v>93</v>
      </c>
      <c r="AS4" s="4">
        <v>696819</v>
      </c>
      <c r="AT4" s="4"/>
      <c r="AU4" s="4"/>
      <c r="AV4" s="4" t="s">
        <v>100</v>
      </c>
      <c r="AW4" s="4">
        <v>13317</v>
      </c>
      <c r="AX4" s="4">
        <v>16922</v>
      </c>
      <c r="AY4" s="4">
        <f t="shared" ref="AY4:AY30" si="13">IF(AT4="",AX4,AT4/AU4*AX4)</f>
        <v>16922</v>
      </c>
      <c r="AZ4" s="19">
        <v>2</v>
      </c>
      <c r="BA4" s="19">
        <v>1</v>
      </c>
      <c r="BB4" s="16">
        <v>6</v>
      </c>
      <c r="BC4" t="s">
        <v>115</v>
      </c>
      <c r="BD4">
        <v>12800</v>
      </c>
      <c r="BE4">
        <v>12800</v>
      </c>
      <c r="BF4">
        <f t="shared" ref="BF4:BF30" si="14">IFERROR(BE4*AN4,"-")</f>
        <v>15468.277945619335</v>
      </c>
      <c r="BG4" t="s">
        <v>121</v>
      </c>
      <c r="BH4">
        <v>13317</v>
      </c>
      <c r="BI4">
        <v>17583</v>
      </c>
      <c r="BJ4" s="43">
        <f t="shared" ref="BJ4:BJ30" si="15">IFERROR(BI4*AN4,"-")</f>
        <v>21248.338368580058</v>
      </c>
      <c r="BK4" t="s">
        <v>99</v>
      </c>
    </row>
    <row r="5" spans="1:63" x14ac:dyDescent="0.4">
      <c r="A5" s="3">
        <v>1</v>
      </c>
      <c r="B5" s="3">
        <v>1</v>
      </c>
      <c r="C5" s="34">
        <v>657851</v>
      </c>
      <c r="D5" s="4" t="str">
        <f t="shared" si="0"/>
        <v>657851</v>
      </c>
      <c r="E5" s="4">
        <v>657851</v>
      </c>
      <c r="F5" s="4" t="str">
        <f t="shared" ref="F5:F30" si="16">D5&amp;I5</f>
        <v>6578515</v>
      </c>
      <c r="G5" s="4" t="s">
        <v>96</v>
      </c>
      <c r="H5" s="5">
        <v>4560250305516</v>
      </c>
      <c r="I5" s="5">
        <v>5</v>
      </c>
      <c r="J5" s="5"/>
      <c r="K5" s="5">
        <v>1</v>
      </c>
      <c r="L5" s="5">
        <v>1</v>
      </c>
      <c r="M5" s="4">
        <v>0</v>
      </c>
      <c r="N5" s="4">
        <v>840</v>
      </c>
      <c r="O5" s="4">
        <v>662</v>
      </c>
      <c r="P5" s="6">
        <v>0.21190476190476193</v>
      </c>
      <c r="Q5" s="4" t="s">
        <v>94</v>
      </c>
      <c r="R5" s="4" t="s">
        <v>94</v>
      </c>
      <c r="S5" s="4" t="s">
        <v>94</v>
      </c>
      <c r="T5" s="4">
        <v>0</v>
      </c>
      <c r="U5" s="4">
        <f t="shared" si="1"/>
        <v>0</v>
      </c>
      <c r="V5" s="4">
        <v>16000</v>
      </c>
      <c r="W5" s="4">
        <f t="shared" si="2"/>
        <v>800</v>
      </c>
      <c r="X5" s="4">
        <v>0.05</v>
      </c>
      <c r="Y5" s="21">
        <f t="shared" si="3"/>
        <v>1015</v>
      </c>
      <c r="Z5" s="6">
        <f t="shared" si="4"/>
        <v>0.21182266009852213</v>
      </c>
      <c r="AA5" s="4">
        <v>1422</v>
      </c>
      <c r="AB5" s="4">
        <f t="shared" si="5"/>
        <v>947</v>
      </c>
      <c r="AC5" s="44">
        <f t="shared" si="6"/>
        <v>1144.4108761329305</v>
      </c>
      <c r="AD5" s="6">
        <f t="shared" si="7"/>
        <v>0.30095036958817323</v>
      </c>
      <c r="AE5" s="4" t="e">
        <v>#N/A</v>
      </c>
      <c r="AF5" s="7">
        <v>1100</v>
      </c>
      <c r="AG5" s="6">
        <f t="shared" si="8"/>
        <v>0.27272727272727271</v>
      </c>
      <c r="AH5" s="4">
        <f t="shared" si="9"/>
        <v>300</v>
      </c>
      <c r="AI5" s="40">
        <v>1200</v>
      </c>
      <c r="AJ5" s="6">
        <f t="shared" ref="AJ5:AJ30" si="17">1-W5/AI5</f>
        <v>0.33333333333333337</v>
      </c>
      <c r="AK5" s="4">
        <f t="shared" ref="AK5:AK30" si="18">AI5-W5</f>
        <v>400</v>
      </c>
      <c r="AL5" s="6" t="str">
        <f t="shared" si="10"/>
        <v>-</v>
      </c>
      <c r="AM5" s="6">
        <f t="shared" si="11"/>
        <v>1.3095238095238095</v>
      </c>
      <c r="AN5" s="6">
        <f t="shared" si="12"/>
        <v>1.2084592145015105</v>
      </c>
      <c r="AO5" s="4" t="str">
        <f t="shared" ref="AO5:AO30" si="19">IFERROR(ROUND($AF5*Q5/$N5,0),"-")</f>
        <v>-</v>
      </c>
      <c r="AP5" s="4" t="str">
        <f t="shared" ref="AP5:AP30" si="20">IF(R5="","-",R5)</f>
        <v>-</v>
      </c>
      <c r="AQ5" s="4" t="str">
        <f t="shared" ref="AQ5:AQ30" si="21">IF(S5="","-",S5)</f>
        <v>-</v>
      </c>
      <c r="AR5" s="4" t="s">
        <v>93</v>
      </c>
      <c r="AS5" s="4">
        <v>596911</v>
      </c>
      <c r="AT5" s="4"/>
      <c r="AU5" s="4"/>
      <c r="AV5" s="4" t="s">
        <v>102</v>
      </c>
      <c r="AW5" s="4">
        <v>718</v>
      </c>
      <c r="AX5" s="4">
        <v>947</v>
      </c>
      <c r="AY5" s="4">
        <f t="shared" si="13"/>
        <v>947</v>
      </c>
      <c r="AZ5" s="19">
        <v>4</v>
      </c>
      <c r="BA5" s="19">
        <v>1</v>
      </c>
      <c r="BB5" s="16">
        <v>6</v>
      </c>
      <c r="BC5" t="s">
        <v>114</v>
      </c>
      <c r="BD5">
        <v>716</v>
      </c>
      <c r="BE5">
        <v>716</v>
      </c>
      <c r="BF5">
        <f t="shared" si="14"/>
        <v>865.25679758308149</v>
      </c>
      <c r="BG5" t="s">
        <v>120</v>
      </c>
      <c r="BH5">
        <v>718</v>
      </c>
      <c r="BI5">
        <v>948</v>
      </c>
      <c r="BJ5" s="43">
        <f t="shared" si="15"/>
        <v>1145.6193353474321</v>
      </c>
      <c r="BK5" t="s">
        <v>101</v>
      </c>
    </row>
    <row r="6" spans="1:63" x14ac:dyDescent="0.4">
      <c r="A6" s="36">
        <v>15</v>
      </c>
      <c r="B6" s="3">
        <v>1</v>
      </c>
      <c r="C6" s="34">
        <v>657872</v>
      </c>
      <c r="D6" s="4" t="str">
        <f t="shared" si="0"/>
        <v>657872</v>
      </c>
      <c r="E6" s="4" t="s">
        <v>79</v>
      </c>
      <c r="F6" s="4" t="str">
        <f t="shared" si="16"/>
        <v>6578726</v>
      </c>
      <c r="G6" s="4" t="s">
        <v>65</v>
      </c>
      <c r="H6" s="5">
        <v>4560250305554</v>
      </c>
      <c r="I6" s="5">
        <v>6</v>
      </c>
      <c r="J6" s="5"/>
      <c r="K6" s="5"/>
      <c r="L6" s="5"/>
      <c r="M6" s="4">
        <v>0</v>
      </c>
      <c r="N6" s="4">
        <v>12800</v>
      </c>
      <c r="O6" s="4">
        <v>13240</v>
      </c>
      <c r="P6" s="6">
        <v>-3.4375000000000044E-2</v>
      </c>
      <c r="Q6" s="4" t="s">
        <v>94</v>
      </c>
      <c r="R6" s="4" t="s">
        <v>94</v>
      </c>
      <c r="S6" s="4" t="s">
        <v>94</v>
      </c>
      <c r="T6" s="4">
        <v>0</v>
      </c>
      <c r="U6" s="4">
        <f t="shared" si="1"/>
        <v>0</v>
      </c>
      <c r="V6" s="4">
        <v>16000</v>
      </c>
      <c r="W6" s="4">
        <f t="shared" si="2"/>
        <v>16000</v>
      </c>
      <c r="X6" s="4"/>
      <c r="Y6" s="21">
        <f t="shared" si="3"/>
        <v>15468</v>
      </c>
      <c r="Z6" s="6">
        <f t="shared" si="4"/>
        <v>-3.4393586759762007E-2</v>
      </c>
      <c r="AA6" s="4">
        <v>85.75</v>
      </c>
      <c r="AB6" s="4">
        <f t="shared" si="5"/>
        <v>16922</v>
      </c>
      <c r="AC6" s="44">
        <f t="shared" si="6"/>
        <v>20449.546827794562</v>
      </c>
      <c r="AD6" s="6">
        <f t="shared" si="7"/>
        <v>0.21758657369105305</v>
      </c>
      <c r="AE6" s="4" t="e">
        <v>#N/A</v>
      </c>
      <c r="AF6" s="7">
        <v>19400</v>
      </c>
      <c r="AG6" s="6">
        <f t="shared" si="8"/>
        <v>0.17525773195876293</v>
      </c>
      <c r="AH6" s="37">
        <f t="shared" si="9"/>
        <v>3400</v>
      </c>
      <c r="AI6" s="40"/>
      <c r="AJ6" s="6" t="e">
        <f t="shared" si="17"/>
        <v>#DIV/0!</v>
      </c>
      <c r="AK6" s="4">
        <f t="shared" si="18"/>
        <v>-16000</v>
      </c>
      <c r="AL6" s="6" t="str">
        <f t="shared" si="10"/>
        <v>-</v>
      </c>
      <c r="AM6" s="6">
        <f t="shared" si="11"/>
        <v>1.515625</v>
      </c>
      <c r="AN6" s="6">
        <f t="shared" si="12"/>
        <v>1.2084592145015105</v>
      </c>
      <c r="AO6" s="4" t="str">
        <f t="shared" si="19"/>
        <v>-</v>
      </c>
      <c r="AP6" s="4" t="str">
        <f t="shared" si="20"/>
        <v>-</v>
      </c>
      <c r="AQ6" s="4" t="str">
        <f t="shared" si="21"/>
        <v>-</v>
      </c>
      <c r="AR6" s="4">
        <v>0</v>
      </c>
      <c r="AS6" s="4">
        <v>696819</v>
      </c>
      <c r="AT6" s="4"/>
      <c r="AU6" s="4"/>
      <c r="AV6" s="4" t="s">
        <v>100</v>
      </c>
      <c r="AW6" s="4">
        <v>13317</v>
      </c>
      <c r="AX6" s="4">
        <v>16922</v>
      </c>
      <c r="AY6" s="4">
        <f t="shared" si="13"/>
        <v>16922</v>
      </c>
      <c r="AZ6" s="19">
        <v>2</v>
      </c>
      <c r="BA6" s="19">
        <v>1</v>
      </c>
      <c r="BB6" s="16">
        <v>6</v>
      </c>
      <c r="BC6" t="s">
        <v>115</v>
      </c>
      <c r="BD6">
        <v>12800</v>
      </c>
      <c r="BE6">
        <v>12800</v>
      </c>
      <c r="BF6">
        <f t="shared" si="14"/>
        <v>15468.277945619335</v>
      </c>
      <c r="BG6" t="s">
        <v>121</v>
      </c>
      <c r="BH6">
        <v>13317</v>
      </c>
      <c r="BI6">
        <v>17583</v>
      </c>
      <c r="BJ6" s="43">
        <f t="shared" si="15"/>
        <v>21248.338368580058</v>
      </c>
      <c r="BK6" t="s">
        <v>99</v>
      </c>
    </row>
    <row r="7" spans="1:63" x14ac:dyDescent="0.4">
      <c r="A7" s="36">
        <v>2</v>
      </c>
      <c r="B7" s="3">
        <v>2</v>
      </c>
      <c r="C7" s="35">
        <v>657874</v>
      </c>
      <c r="D7" s="4" t="str">
        <f t="shared" si="0"/>
        <v>657874</v>
      </c>
      <c r="E7" s="4">
        <v>657874</v>
      </c>
      <c r="F7" s="4" t="str">
        <f t="shared" si="16"/>
        <v>6578745</v>
      </c>
      <c r="G7" s="4" t="s">
        <v>66</v>
      </c>
      <c r="H7" s="5">
        <v>4560250305561</v>
      </c>
      <c r="I7" s="5">
        <v>5</v>
      </c>
      <c r="J7" s="5"/>
      <c r="K7" s="5">
        <v>1</v>
      </c>
      <c r="L7" s="5">
        <v>1</v>
      </c>
      <c r="M7" s="4">
        <v>0</v>
      </c>
      <c r="N7" s="4">
        <v>19000</v>
      </c>
      <c r="O7" s="4">
        <v>15900</v>
      </c>
      <c r="P7" s="6">
        <v>0.16315789473684206</v>
      </c>
      <c r="Q7" s="4" t="s">
        <v>94</v>
      </c>
      <c r="R7" s="4" t="s">
        <v>94</v>
      </c>
      <c r="S7" s="4" t="s">
        <v>94</v>
      </c>
      <c r="T7" s="4">
        <v>0</v>
      </c>
      <c r="U7" s="4">
        <f t="shared" si="1"/>
        <v>0</v>
      </c>
      <c r="V7" s="4">
        <v>19200</v>
      </c>
      <c r="W7" s="4">
        <f t="shared" si="2"/>
        <v>19200</v>
      </c>
      <c r="X7" s="4"/>
      <c r="Y7" s="21">
        <f t="shared" si="3"/>
        <v>22943</v>
      </c>
      <c r="Z7" s="6">
        <f t="shared" si="4"/>
        <v>0.16314344244431855</v>
      </c>
      <c r="AA7" s="4">
        <v>23.25</v>
      </c>
      <c r="AB7" s="4">
        <f t="shared" si="5"/>
        <v>20816</v>
      </c>
      <c r="AC7" s="44">
        <f t="shared" si="6"/>
        <v>25136.301886792451</v>
      </c>
      <c r="AD7" s="6">
        <f t="shared" si="7"/>
        <v>0.23616448885472707</v>
      </c>
      <c r="AE7" s="4">
        <v>19164.981132075471</v>
      </c>
      <c r="AF7" s="7">
        <v>22940</v>
      </c>
      <c r="AG7" s="6">
        <f t="shared" si="8"/>
        <v>0.16303400174367921</v>
      </c>
      <c r="AH7" s="37">
        <f t="shared" si="9"/>
        <v>3740</v>
      </c>
      <c r="AI7" s="40">
        <v>27000</v>
      </c>
      <c r="AJ7" s="6">
        <f t="shared" si="17"/>
        <v>0.28888888888888886</v>
      </c>
      <c r="AK7" s="4">
        <f t="shared" si="18"/>
        <v>7800</v>
      </c>
      <c r="AL7" s="6" t="str">
        <f t="shared" si="10"/>
        <v>-</v>
      </c>
      <c r="AM7" s="6">
        <f t="shared" si="11"/>
        <v>1.2073684210526316</v>
      </c>
      <c r="AN7" s="6">
        <f t="shared" si="12"/>
        <v>1.2075471698113207</v>
      </c>
      <c r="AO7" s="4" t="str">
        <f t="shared" si="19"/>
        <v>-</v>
      </c>
      <c r="AP7" s="4" t="str">
        <f t="shared" si="20"/>
        <v>-</v>
      </c>
      <c r="AQ7" s="4" t="str">
        <f t="shared" si="21"/>
        <v>-</v>
      </c>
      <c r="AR7" s="4" t="s">
        <v>93</v>
      </c>
      <c r="AS7" s="4">
        <v>697084</v>
      </c>
      <c r="AT7" s="4"/>
      <c r="AU7" s="4"/>
      <c r="AV7" s="4" t="s">
        <v>100</v>
      </c>
      <c r="AW7" s="4">
        <v>15760</v>
      </c>
      <c r="AX7" s="4">
        <v>20816</v>
      </c>
      <c r="AY7" s="4">
        <f t="shared" si="13"/>
        <v>20816</v>
      </c>
      <c r="AZ7" s="19">
        <v>2</v>
      </c>
      <c r="BA7" s="19">
        <v>1</v>
      </c>
      <c r="BB7" s="16">
        <v>6</v>
      </c>
      <c r="BC7" t="s">
        <v>116</v>
      </c>
      <c r="BD7">
        <v>15760</v>
      </c>
      <c r="BE7">
        <v>15760</v>
      </c>
      <c r="BF7">
        <f t="shared" si="14"/>
        <v>19030.943396226416</v>
      </c>
      <c r="BG7" t="s">
        <v>122</v>
      </c>
      <c r="BH7">
        <v>15871</v>
      </c>
      <c r="BI7">
        <v>20964</v>
      </c>
      <c r="BJ7" s="43">
        <f t="shared" si="15"/>
        <v>25315.018867924526</v>
      </c>
      <c r="BK7" t="s">
        <v>103</v>
      </c>
    </row>
    <row r="8" spans="1:63" x14ac:dyDescent="0.4">
      <c r="A8" s="3">
        <v>2</v>
      </c>
      <c r="B8" s="3">
        <v>2</v>
      </c>
      <c r="C8" s="35">
        <v>657852</v>
      </c>
      <c r="D8" s="4" t="str">
        <f t="shared" si="0"/>
        <v>657852</v>
      </c>
      <c r="E8" s="4">
        <v>657852</v>
      </c>
      <c r="F8" s="4" t="str">
        <f t="shared" si="16"/>
        <v>6578525</v>
      </c>
      <c r="G8" s="4" t="s">
        <v>97</v>
      </c>
      <c r="H8" s="5">
        <v>4560250305523</v>
      </c>
      <c r="I8" s="5">
        <v>5</v>
      </c>
      <c r="J8" s="5"/>
      <c r="K8" s="5">
        <v>2</v>
      </c>
      <c r="L8" s="5">
        <v>1</v>
      </c>
      <c r="M8" s="4">
        <v>0</v>
      </c>
      <c r="N8" s="4">
        <v>1045</v>
      </c>
      <c r="O8" s="4">
        <v>795</v>
      </c>
      <c r="P8" s="6">
        <v>0.23923444976076558</v>
      </c>
      <c r="Q8" s="4" t="s">
        <v>94</v>
      </c>
      <c r="R8" s="4" t="s">
        <v>94</v>
      </c>
      <c r="S8" s="4" t="s">
        <v>94</v>
      </c>
      <c r="T8" s="4">
        <v>0</v>
      </c>
      <c r="U8" s="4">
        <f t="shared" si="1"/>
        <v>0</v>
      </c>
      <c r="V8" s="4">
        <v>19200</v>
      </c>
      <c r="W8" s="4">
        <f t="shared" si="2"/>
        <v>960</v>
      </c>
      <c r="X8" s="4">
        <v>0.05</v>
      </c>
      <c r="Y8" s="21">
        <f t="shared" si="3"/>
        <v>1262</v>
      </c>
      <c r="Z8" s="6">
        <f t="shared" si="4"/>
        <v>0.23930269413629157</v>
      </c>
      <c r="AA8" s="4">
        <v>338.25</v>
      </c>
      <c r="AB8" s="4">
        <f t="shared" si="5"/>
        <v>1208</v>
      </c>
      <c r="AC8" s="44">
        <f t="shared" si="6"/>
        <v>1458.7169811320755</v>
      </c>
      <c r="AD8" s="6">
        <f t="shared" si="7"/>
        <v>0.3418874172185431</v>
      </c>
      <c r="AE8" s="4" t="e">
        <v>#N/A</v>
      </c>
      <c r="AF8" s="7">
        <v>1208</v>
      </c>
      <c r="AG8" s="6">
        <f t="shared" si="8"/>
        <v>0.20529801324503316</v>
      </c>
      <c r="AH8" s="4">
        <f t="shared" si="9"/>
        <v>248</v>
      </c>
      <c r="AI8" s="40">
        <v>1450</v>
      </c>
      <c r="AJ8" s="6">
        <f t="shared" si="17"/>
        <v>0.33793103448275863</v>
      </c>
      <c r="AK8" s="4">
        <f t="shared" si="18"/>
        <v>490</v>
      </c>
      <c r="AL8" s="6" t="str">
        <f t="shared" si="10"/>
        <v>-</v>
      </c>
      <c r="AM8" s="6">
        <f t="shared" si="11"/>
        <v>1.1559808612440192</v>
      </c>
      <c r="AN8" s="6">
        <f t="shared" si="12"/>
        <v>1.2075471698113207</v>
      </c>
      <c r="AO8" s="4" t="str">
        <f t="shared" si="19"/>
        <v>-</v>
      </c>
      <c r="AP8" s="4" t="str">
        <f t="shared" si="20"/>
        <v>-</v>
      </c>
      <c r="AQ8" s="4" t="str">
        <f t="shared" si="21"/>
        <v>-</v>
      </c>
      <c r="AR8" s="4" t="s">
        <v>93</v>
      </c>
      <c r="AS8" s="4">
        <v>596921</v>
      </c>
      <c r="AT8" s="4"/>
      <c r="AU8" s="4"/>
      <c r="AV8" s="4" t="s">
        <v>102</v>
      </c>
      <c r="AW8" s="4">
        <v>914</v>
      </c>
      <c r="AX8" s="4">
        <v>1208</v>
      </c>
      <c r="AY8" s="4">
        <f t="shared" si="13"/>
        <v>1208</v>
      </c>
      <c r="AZ8" s="19">
        <v>4</v>
      </c>
      <c r="BA8" s="19">
        <v>1</v>
      </c>
      <c r="BB8" s="16">
        <v>6</v>
      </c>
      <c r="BC8" t="s">
        <v>117</v>
      </c>
      <c r="BD8">
        <v>868</v>
      </c>
      <c r="BE8">
        <v>868</v>
      </c>
      <c r="BF8">
        <f t="shared" si="14"/>
        <v>1048.1509433962265</v>
      </c>
      <c r="BG8" t="s">
        <v>123</v>
      </c>
      <c r="BH8">
        <v>914</v>
      </c>
      <c r="BI8">
        <v>1208</v>
      </c>
      <c r="BJ8" s="43">
        <f t="shared" si="15"/>
        <v>1458.7169811320755</v>
      </c>
      <c r="BK8" t="s">
        <v>104</v>
      </c>
    </row>
    <row r="9" spans="1:63" x14ac:dyDescent="0.4">
      <c r="A9" s="3">
        <v>2</v>
      </c>
      <c r="B9" s="3">
        <v>2</v>
      </c>
      <c r="C9" s="35" t="s">
        <v>98</v>
      </c>
      <c r="D9" s="4" t="str">
        <f t="shared" si="0"/>
        <v>5855AM</v>
      </c>
      <c r="E9" s="4" t="s">
        <v>98</v>
      </c>
      <c r="F9" s="4" t="str">
        <f t="shared" si="16"/>
        <v>5855AM6</v>
      </c>
      <c r="G9" s="4" t="s">
        <v>97</v>
      </c>
      <c r="H9" s="5">
        <v>4560250305523</v>
      </c>
      <c r="I9" s="5">
        <v>6</v>
      </c>
      <c r="J9" s="5"/>
      <c r="K9" s="5">
        <v>2</v>
      </c>
      <c r="L9" s="5">
        <v>1</v>
      </c>
      <c r="M9" s="4">
        <v>0</v>
      </c>
      <c r="N9" s="4">
        <v>798</v>
      </c>
      <c r="O9" s="4">
        <v>795</v>
      </c>
      <c r="P9" s="6">
        <v>3.7593984962406291E-3</v>
      </c>
      <c r="Q9" s="4" t="s">
        <v>94</v>
      </c>
      <c r="R9" s="4" t="s">
        <v>94</v>
      </c>
      <c r="S9" s="4" t="s">
        <v>94</v>
      </c>
      <c r="T9" s="4">
        <v>0</v>
      </c>
      <c r="U9" s="4">
        <f t="shared" si="1"/>
        <v>0</v>
      </c>
      <c r="V9" s="4">
        <v>19200</v>
      </c>
      <c r="W9" s="4">
        <f t="shared" si="2"/>
        <v>960</v>
      </c>
      <c r="X9" s="4">
        <v>0.05</v>
      </c>
      <c r="Y9" s="21">
        <f t="shared" si="3"/>
        <v>964</v>
      </c>
      <c r="Z9" s="6">
        <f t="shared" si="4"/>
        <v>4.1493775933609811E-3</v>
      </c>
      <c r="AA9" s="4">
        <v>338.25</v>
      </c>
      <c r="AB9" s="4">
        <f t="shared" si="5"/>
        <v>1208</v>
      </c>
      <c r="AC9" s="44">
        <f t="shared" si="6"/>
        <v>1458.7169811320755</v>
      </c>
      <c r="AD9" s="6">
        <f t="shared" si="7"/>
        <v>0.3418874172185431</v>
      </c>
      <c r="AE9" s="4" t="e">
        <v>#N/A</v>
      </c>
      <c r="AF9" s="7">
        <v>1208</v>
      </c>
      <c r="AG9" s="6">
        <f t="shared" si="8"/>
        <v>0.20529801324503316</v>
      </c>
      <c r="AH9" s="4">
        <f t="shared" si="9"/>
        <v>248</v>
      </c>
      <c r="AI9" s="40"/>
      <c r="AJ9" s="6" t="e">
        <f t="shared" si="17"/>
        <v>#DIV/0!</v>
      </c>
      <c r="AK9" s="4">
        <f t="shared" si="18"/>
        <v>-960</v>
      </c>
      <c r="AL9" s="6" t="str">
        <f t="shared" si="10"/>
        <v>-</v>
      </c>
      <c r="AM9" s="6">
        <f t="shared" si="11"/>
        <v>1.5137844611528821</v>
      </c>
      <c r="AN9" s="6">
        <f t="shared" si="12"/>
        <v>1.2075471698113207</v>
      </c>
      <c r="AO9" s="4" t="str">
        <f t="shared" si="19"/>
        <v>-</v>
      </c>
      <c r="AP9" s="4" t="str">
        <f t="shared" si="20"/>
        <v>-</v>
      </c>
      <c r="AQ9" s="4" t="str">
        <f t="shared" si="21"/>
        <v>-</v>
      </c>
      <c r="AR9" s="4">
        <v>0</v>
      </c>
      <c r="AS9" s="4">
        <v>596921</v>
      </c>
      <c r="AT9" s="4"/>
      <c r="AU9" s="4"/>
      <c r="AV9" s="4" t="s">
        <v>102</v>
      </c>
      <c r="AW9" s="4">
        <v>914</v>
      </c>
      <c r="AX9" s="4">
        <v>1208</v>
      </c>
      <c r="AY9" s="4">
        <f t="shared" si="13"/>
        <v>1208</v>
      </c>
      <c r="AZ9" s="19">
        <v>4</v>
      </c>
      <c r="BA9" s="19">
        <v>1</v>
      </c>
      <c r="BB9" s="16">
        <v>6</v>
      </c>
      <c r="BC9" t="s">
        <v>117</v>
      </c>
      <c r="BD9">
        <v>868</v>
      </c>
      <c r="BE9">
        <v>868</v>
      </c>
      <c r="BF9">
        <f t="shared" si="14"/>
        <v>1048.1509433962265</v>
      </c>
      <c r="BG9" t="s">
        <v>123</v>
      </c>
      <c r="BH9">
        <v>914</v>
      </c>
      <c r="BI9">
        <v>1208</v>
      </c>
      <c r="BJ9" s="43">
        <f t="shared" si="15"/>
        <v>1458.7169811320755</v>
      </c>
      <c r="BK9" t="s">
        <v>104</v>
      </c>
    </row>
    <row r="10" spans="1:63" x14ac:dyDescent="0.4">
      <c r="A10" s="3">
        <v>3</v>
      </c>
      <c r="B10" s="3">
        <v>3</v>
      </c>
      <c r="C10" s="35">
        <v>10741</v>
      </c>
      <c r="D10" s="4" t="str">
        <f t="shared" si="0"/>
        <v>010741</v>
      </c>
      <c r="E10" s="4">
        <v>517275</v>
      </c>
      <c r="F10" s="4" t="str">
        <f t="shared" si="16"/>
        <v>0107415</v>
      </c>
      <c r="G10" s="4" t="s">
        <v>67</v>
      </c>
      <c r="H10" s="5">
        <v>4971620375129</v>
      </c>
      <c r="I10" s="5">
        <v>5</v>
      </c>
      <c r="J10" s="5"/>
      <c r="K10" s="5">
        <v>3</v>
      </c>
      <c r="L10" s="5">
        <v>3</v>
      </c>
      <c r="M10" s="4">
        <v>0</v>
      </c>
      <c r="N10" s="4">
        <v>78</v>
      </c>
      <c r="O10" s="4">
        <v>50</v>
      </c>
      <c r="P10" s="6">
        <v>0.35897435897435892</v>
      </c>
      <c r="Q10" s="4" t="s">
        <v>94</v>
      </c>
      <c r="R10" s="4" t="s">
        <v>94</v>
      </c>
      <c r="S10" s="4" t="s">
        <v>94</v>
      </c>
      <c r="T10" s="4">
        <v>0</v>
      </c>
      <c r="U10" s="4">
        <f t="shared" si="1"/>
        <v>0</v>
      </c>
      <c r="V10" s="4">
        <v>58</v>
      </c>
      <c r="W10" s="4">
        <f t="shared" si="2"/>
        <v>58</v>
      </c>
      <c r="X10" s="4"/>
      <c r="Y10" s="21">
        <f t="shared" si="3"/>
        <v>90</v>
      </c>
      <c r="Z10" s="6">
        <f t="shared" si="4"/>
        <v>0.35555555555555551</v>
      </c>
      <c r="AA10" s="4">
        <v>892</v>
      </c>
      <c r="AB10" s="4" t="str">
        <f t="shared" si="5"/>
        <v>-</v>
      </c>
      <c r="AC10" s="4" t="str">
        <f t="shared" si="6"/>
        <v>-</v>
      </c>
      <c r="AD10" s="6" t="str">
        <f t="shared" si="7"/>
        <v>-</v>
      </c>
      <c r="AE10" s="4">
        <v>90.47999999999999</v>
      </c>
      <c r="AF10" s="7">
        <v>98</v>
      </c>
      <c r="AG10" s="6">
        <f t="shared" si="8"/>
        <v>0.40816326530612246</v>
      </c>
      <c r="AH10" s="4">
        <f t="shared" si="9"/>
        <v>40</v>
      </c>
      <c r="AI10" s="28">
        <v>98</v>
      </c>
      <c r="AJ10" s="6">
        <f t="shared" si="17"/>
        <v>0.40816326530612246</v>
      </c>
      <c r="AK10" s="4">
        <f t="shared" si="18"/>
        <v>40</v>
      </c>
      <c r="AL10" s="6" t="str">
        <f t="shared" si="10"/>
        <v>-</v>
      </c>
      <c r="AM10" s="6">
        <f t="shared" si="11"/>
        <v>1.2564102564102564</v>
      </c>
      <c r="AN10" s="6">
        <f t="shared" si="12"/>
        <v>1.1599999999999999</v>
      </c>
      <c r="AO10" s="4" t="str">
        <f t="shared" si="19"/>
        <v>-</v>
      </c>
      <c r="AP10" s="4" t="str">
        <f t="shared" si="20"/>
        <v>-</v>
      </c>
      <c r="AQ10" s="4" t="str">
        <f t="shared" si="21"/>
        <v>-</v>
      </c>
      <c r="AR10" s="4" t="s">
        <v>93</v>
      </c>
      <c r="AS10" s="4" t="s">
        <v>94</v>
      </c>
      <c r="AT10" s="4"/>
      <c r="AU10" s="4"/>
      <c r="AV10" s="4" t="s">
        <v>94</v>
      </c>
      <c r="AW10" s="4" t="s">
        <v>94</v>
      </c>
      <c r="AX10" s="4" t="s">
        <v>94</v>
      </c>
      <c r="AY10" s="4" t="str">
        <f t="shared" si="13"/>
        <v>-</v>
      </c>
      <c r="AZ10" s="19">
        <v>4</v>
      </c>
      <c r="BA10" s="19">
        <v>1</v>
      </c>
      <c r="BB10" s="16">
        <v>6</v>
      </c>
      <c r="BD10" t="s">
        <v>95</v>
      </c>
      <c r="BE10" t="s">
        <v>94</v>
      </c>
      <c r="BF10" t="str">
        <f t="shared" si="14"/>
        <v>-</v>
      </c>
      <c r="BH10" t="s">
        <v>94</v>
      </c>
      <c r="BI10" t="s">
        <v>94</v>
      </c>
      <c r="BJ10" t="str">
        <f t="shared" si="15"/>
        <v>-</v>
      </c>
      <c r="BK10" t="s">
        <v>94</v>
      </c>
    </row>
    <row r="11" spans="1:63" x14ac:dyDescent="0.4">
      <c r="A11" s="3">
        <v>16</v>
      </c>
      <c r="B11" s="3">
        <v>3</v>
      </c>
      <c r="C11" s="35">
        <v>10741</v>
      </c>
      <c r="D11" s="4" t="str">
        <f t="shared" si="0"/>
        <v>010741</v>
      </c>
      <c r="E11" s="4">
        <v>644328</v>
      </c>
      <c r="F11" s="4" t="str">
        <f t="shared" si="16"/>
        <v>0107418</v>
      </c>
      <c r="G11" s="4" t="s">
        <v>85</v>
      </c>
      <c r="H11" s="5">
        <v>4971620375129</v>
      </c>
      <c r="I11" s="5">
        <v>8</v>
      </c>
      <c r="J11" s="5" t="str">
        <f>C11&amp;I11</f>
        <v>107418</v>
      </c>
      <c r="K11" s="5"/>
      <c r="L11" s="5"/>
      <c r="M11" s="4">
        <v>0</v>
      </c>
      <c r="N11" s="4">
        <v>722</v>
      </c>
      <c r="O11" s="4">
        <v>500</v>
      </c>
      <c r="P11" s="6">
        <v>0.30747922437673125</v>
      </c>
      <c r="Q11" s="4">
        <v>680</v>
      </c>
      <c r="R11" s="4">
        <v>5</v>
      </c>
      <c r="S11" s="4">
        <v>99999</v>
      </c>
      <c r="T11" s="4">
        <v>0</v>
      </c>
      <c r="U11" s="4">
        <f t="shared" si="1"/>
        <v>0</v>
      </c>
      <c r="V11" s="4">
        <v>58</v>
      </c>
      <c r="W11" s="4">
        <f t="shared" si="2"/>
        <v>580</v>
      </c>
      <c r="X11" s="4">
        <v>10</v>
      </c>
      <c r="Y11" s="21">
        <f t="shared" si="3"/>
        <v>838</v>
      </c>
      <c r="Z11" s="6">
        <f t="shared" si="4"/>
        <v>0.30787589498806678</v>
      </c>
      <c r="AA11" s="4">
        <v>892</v>
      </c>
      <c r="AB11" s="4" t="str">
        <f t="shared" si="5"/>
        <v>-</v>
      </c>
      <c r="AC11" s="4" t="str">
        <f t="shared" si="6"/>
        <v>-</v>
      </c>
      <c r="AD11" s="6" t="str">
        <f t="shared" si="7"/>
        <v>-</v>
      </c>
      <c r="AE11" s="4" t="e">
        <v>#N/A</v>
      </c>
      <c r="AF11" s="7">
        <v>900</v>
      </c>
      <c r="AG11" s="6">
        <f t="shared" si="8"/>
        <v>0.35555555555555551</v>
      </c>
      <c r="AH11" s="4">
        <f t="shared" si="9"/>
        <v>320</v>
      </c>
      <c r="AI11" s="28">
        <v>900</v>
      </c>
      <c r="AJ11" s="6">
        <f t="shared" si="17"/>
        <v>0.35555555555555551</v>
      </c>
      <c r="AK11" s="4">
        <f t="shared" si="18"/>
        <v>320</v>
      </c>
      <c r="AL11" s="6" t="str">
        <f t="shared" si="10"/>
        <v>-</v>
      </c>
      <c r="AM11" s="6">
        <f t="shared" si="11"/>
        <v>1.2465373961218837</v>
      </c>
      <c r="AN11" s="6">
        <f t="shared" si="12"/>
        <v>1.1599999999999999</v>
      </c>
      <c r="AO11" s="4">
        <v>855</v>
      </c>
      <c r="AP11" s="4">
        <f t="shared" si="20"/>
        <v>5</v>
      </c>
      <c r="AQ11" s="4">
        <f t="shared" si="21"/>
        <v>99999</v>
      </c>
      <c r="AR11" s="4" t="s">
        <v>93</v>
      </c>
      <c r="AS11" s="4" t="s">
        <v>94</v>
      </c>
      <c r="AT11" s="4"/>
      <c r="AU11" s="4"/>
      <c r="AV11" s="4" t="s">
        <v>94</v>
      </c>
      <c r="AW11" s="4" t="s">
        <v>94</v>
      </c>
      <c r="AX11" s="4" t="s">
        <v>94</v>
      </c>
      <c r="AY11" s="4" t="str">
        <f t="shared" si="13"/>
        <v>-</v>
      </c>
      <c r="AZ11" s="19">
        <v>4</v>
      </c>
      <c r="BA11" s="19">
        <v>1</v>
      </c>
      <c r="BB11" s="16">
        <v>6</v>
      </c>
      <c r="BD11" t="s">
        <v>95</v>
      </c>
      <c r="BE11" t="s">
        <v>94</v>
      </c>
      <c r="BF11" t="str">
        <f t="shared" si="14"/>
        <v>-</v>
      </c>
      <c r="BH11" t="s">
        <v>94</v>
      </c>
      <c r="BI11" t="s">
        <v>94</v>
      </c>
      <c r="BJ11" t="str">
        <f t="shared" si="15"/>
        <v>-</v>
      </c>
      <c r="BK11" t="s">
        <v>94</v>
      </c>
    </row>
    <row r="12" spans="1:63" x14ac:dyDescent="0.4">
      <c r="A12" s="3">
        <v>17</v>
      </c>
      <c r="B12" s="3">
        <v>3</v>
      </c>
      <c r="C12" s="35">
        <v>10741</v>
      </c>
      <c r="D12" s="4" t="str">
        <f t="shared" si="0"/>
        <v>010741</v>
      </c>
      <c r="E12" s="4" t="s">
        <v>80</v>
      </c>
      <c r="F12" s="4" t="str">
        <f t="shared" si="16"/>
        <v>01074198</v>
      </c>
      <c r="G12" s="4" t="s">
        <v>85</v>
      </c>
      <c r="H12" s="5">
        <v>4971620375129</v>
      </c>
      <c r="I12" s="5">
        <v>98</v>
      </c>
      <c r="J12" s="5"/>
      <c r="K12" s="5"/>
      <c r="L12" s="5"/>
      <c r="M12" s="4">
        <v>0</v>
      </c>
      <c r="N12" s="4">
        <v>598</v>
      </c>
      <c r="O12" s="4">
        <v>500</v>
      </c>
      <c r="P12" s="6">
        <v>0.16387959866220736</v>
      </c>
      <c r="Q12" s="4" t="s">
        <v>94</v>
      </c>
      <c r="R12" s="4" t="s">
        <v>94</v>
      </c>
      <c r="S12" s="4" t="s">
        <v>94</v>
      </c>
      <c r="T12" s="4">
        <v>0</v>
      </c>
      <c r="U12" s="4">
        <f t="shared" si="1"/>
        <v>0</v>
      </c>
      <c r="V12" s="4">
        <v>58</v>
      </c>
      <c r="W12" s="4">
        <f t="shared" si="2"/>
        <v>580</v>
      </c>
      <c r="X12" s="4">
        <v>10</v>
      </c>
      <c r="Y12" s="21">
        <f t="shared" si="3"/>
        <v>694</v>
      </c>
      <c r="Z12" s="6">
        <f t="shared" si="4"/>
        <v>0.16426512968299711</v>
      </c>
      <c r="AA12" s="4">
        <v>892</v>
      </c>
      <c r="AB12" s="4" t="str">
        <f t="shared" si="5"/>
        <v>-</v>
      </c>
      <c r="AC12" s="4" t="str">
        <f t="shared" si="6"/>
        <v>-</v>
      </c>
      <c r="AD12" s="6" t="str">
        <f t="shared" si="7"/>
        <v>-</v>
      </c>
      <c r="AE12" s="4" t="e">
        <v>#N/A</v>
      </c>
      <c r="AF12" s="7">
        <v>900</v>
      </c>
      <c r="AG12" s="6">
        <f t="shared" si="8"/>
        <v>0.35555555555555551</v>
      </c>
      <c r="AH12" s="4">
        <f t="shared" si="9"/>
        <v>320</v>
      </c>
      <c r="AI12" s="28">
        <v>900</v>
      </c>
      <c r="AJ12" s="6">
        <f t="shared" si="17"/>
        <v>0.35555555555555551</v>
      </c>
      <c r="AK12" s="4">
        <f t="shared" si="18"/>
        <v>320</v>
      </c>
      <c r="AL12" s="6" t="str">
        <f t="shared" si="10"/>
        <v>-</v>
      </c>
      <c r="AM12" s="6">
        <f t="shared" si="11"/>
        <v>1.5050167224080269</v>
      </c>
      <c r="AN12" s="6">
        <f t="shared" si="12"/>
        <v>1.1599999999999999</v>
      </c>
      <c r="AO12" s="4" t="str">
        <f t="shared" si="19"/>
        <v>-</v>
      </c>
      <c r="AP12" s="4" t="str">
        <f t="shared" si="20"/>
        <v>-</v>
      </c>
      <c r="AQ12" s="4" t="str">
        <f t="shared" si="21"/>
        <v>-</v>
      </c>
      <c r="AR12" s="4">
        <v>0</v>
      </c>
      <c r="AS12" s="4" t="s">
        <v>94</v>
      </c>
      <c r="AT12" s="4"/>
      <c r="AU12" s="4"/>
      <c r="AV12" s="4" t="s">
        <v>94</v>
      </c>
      <c r="AW12" s="4" t="s">
        <v>94</v>
      </c>
      <c r="AX12" s="4" t="s">
        <v>94</v>
      </c>
      <c r="AY12" s="4" t="str">
        <f t="shared" si="13"/>
        <v>-</v>
      </c>
      <c r="AZ12" s="19">
        <v>4</v>
      </c>
      <c r="BA12" s="19">
        <v>1</v>
      </c>
      <c r="BB12" s="16">
        <v>6</v>
      </c>
      <c r="BD12" t="s">
        <v>95</v>
      </c>
      <c r="BE12" t="s">
        <v>94</v>
      </c>
      <c r="BF12" t="str">
        <f t="shared" si="14"/>
        <v>-</v>
      </c>
      <c r="BH12" t="s">
        <v>94</v>
      </c>
      <c r="BI12" t="s">
        <v>94</v>
      </c>
      <c r="BJ12" t="str">
        <f t="shared" si="15"/>
        <v>-</v>
      </c>
      <c r="BK12" t="s">
        <v>94</v>
      </c>
    </row>
    <row r="13" spans="1:63" x14ac:dyDescent="0.4">
      <c r="A13" s="3">
        <v>4</v>
      </c>
      <c r="B13" s="3">
        <v>4</v>
      </c>
      <c r="C13" s="34">
        <v>10742</v>
      </c>
      <c r="D13" s="4" t="str">
        <f t="shared" si="0"/>
        <v>010742</v>
      </c>
      <c r="E13" s="4">
        <v>517284</v>
      </c>
      <c r="F13" s="4" t="str">
        <f t="shared" si="16"/>
        <v>0107425</v>
      </c>
      <c r="G13" s="4" t="s">
        <v>68</v>
      </c>
      <c r="H13" s="5">
        <v>4971620373309</v>
      </c>
      <c r="I13" s="5">
        <v>5</v>
      </c>
      <c r="J13" s="5"/>
      <c r="K13" s="5">
        <v>2</v>
      </c>
      <c r="L13" s="5">
        <v>2</v>
      </c>
      <c r="M13" s="4">
        <v>0</v>
      </c>
      <c r="N13" s="4">
        <v>110</v>
      </c>
      <c r="O13" s="4">
        <v>62</v>
      </c>
      <c r="P13" s="6">
        <v>0.4363636363636364</v>
      </c>
      <c r="Q13" s="4" t="s">
        <v>94</v>
      </c>
      <c r="R13" s="4" t="s">
        <v>94</v>
      </c>
      <c r="S13" s="4" t="s">
        <v>94</v>
      </c>
      <c r="T13" s="4">
        <v>0</v>
      </c>
      <c r="U13" s="4">
        <f t="shared" si="1"/>
        <v>0</v>
      </c>
      <c r="V13" s="4">
        <v>72.5</v>
      </c>
      <c r="W13" s="4">
        <f t="shared" si="2"/>
        <v>72.5</v>
      </c>
      <c r="X13" s="4"/>
      <c r="Y13" s="21">
        <f t="shared" si="3"/>
        <v>129</v>
      </c>
      <c r="Z13" s="6">
        <f t="shared" si="4"/>
        <v>0.43798449612403101</v>
      </c>
      <c r="AA13" s="4">
        <v>1868.25</v>
      </c>
      <c r="AB13" s="4" t="str">
        <f t="shared" si="5"/>
        <v>-</v>
      </c>
      <c r="AC13" s="4" t="str">
        <f t="shared" si="6"/>
        <v>-</v>
      </c>
      <c r="AD13" s="6" t="str">
        <f t="shared" si="7"/>
        <v>-</v>
      </c>
      <c r="AE13" s="4">
        <v>128.62903225806451</v>
      </c>
      <c r="AF13" s="7">
        <v>128</v>
      </c>
      <c r="AG13" s="6">
        <f t="shared" si="8"/>
        <v>0.43359375</v>
      </c>
      <c r="AH13" s="4">
        <f t="shared" si="9"/>
        <v>55.5</v>
      </c>
      <c r="AI13" s="28">
        <v>128</v>
      </c>
      <c r="AJ13" s="6">
        <f t="shared" si="17"/>
        <v>0.43359375</v>
      </c>
      <c r="AK13" s="4">
        <f t="shared" si="18"/>
        <v>55.5</v>
      </c>
      <c r="AL13" s="6" t="str">
        <f t="shared" si="10"/>
        <v>-</v>
      </c>
      <c r="AM13" s="6">
        <f t="shared" si="11"/>
        <v>1.1636363636363636</v>
      </c>
      <c r="AN13" s="6">
        <f t="shared" si="12"/>
        <v>1.1693548387096775</v>
      </c>
      <c r="AO13" s="4" t="str">
        <f t="shared" si="19"/>
        <v>-</v>
      </c>
      <c r="AP13" s="4" t="str">
        <f t="shared" si="20"/>
        <v>-</v>
      </c>
      <c r="AQ13" s="4" t="str">
        <f t="shared" si="21"/>
        <v>-</v>
      </c>
      <c r="AR13" s="4" t="s">
        <v>93</v>
      </c>
      <c r="AS13" s="4" t="s">
        <v>108</v>
      </c>
      <c r="AT13" s="4"/>
      <c r="AU13" s="4"/>
      <c r="AV13" s="4" t="s">
        <v>109</v>
      </c>
      <c r="AW13" s="4">
        <v>165</v>
      </c>
      <c r="AX13" s="4" t="s">
        <v>94</v>
      </c>
      <c r="AY13" s="4" t="str">
        <f t="shared" si="13"/>
        <v>-</v>
      </c>
      <c r="AZ13" s="19">
        <v>4</v>
      </c>
      <c r="BA13" s="19">
        <v>1</v>
      </c>
      <c r="BB13" s="16">
        <v>6</v>
      </c>
      <c r="BD13" t="s">
        <v>95</v>
      </c>
      <c r="BE13" t="s">
        <v>94</v>
      </c>
      <c r="BF13" t="str">
        <f t="shared" si="14"/>
        <v>-</v>
      </c>
      <c r="BH13">
        <v>179</v>
      </c>
      <c r="BI13">
        <v>165</v>
      </c>
      <c r="BJ13" s="43">
        <f t="shared" si="15"/>
        <v>192.9435483870968</v>
      </c>
      <c r="BK13" t="s">
        <v>105</v>
      </c>
    </row>
    <row r="14" spans="1:63" x14ac:dyDescent="0.4">
      <c r="A14" s="3">
        <v>18</v>
      </c>
      <c r="B14" s="3">
        <v>4</v>
      </c>
      <c r="C14" s="34">
        <v>10742</v>
      </c>
      <c r="D14" s="4" t="str">
        <f t="shared" si="0"/>
        <v>010742</v>
      </c>
      <c r="E14" s="4">
        <v>644337</v>
      </c>
      <c r="F14" s="4" t="str">
        <f t="shared" si="16"/>
        <v>0107428</v>
      </c>
      <c r="G14" s="4" t="s">
        <v>86</v>
      </c>
      <c r="H14" s="5">
        <v>4971620373309</v>
      </c>
      <c r="I14" s="5">
        <v>8</v>
      </c>
      <c r="J14" s="5" t="str">
        <f>C14&amp;I14</f>
        <v>107428</v>
      </c>
      <c r="K14" s="5"/>
      <c r="L14" s="5"/>
      <c r="M14" s="4">
        <v>0</v>
      </c>
      <c r="N14" s="4">
        <v>909</v>
      </c>
      <c r="O14" s="4">
        <v>620</v>
      </c>
      <c r="P14" s="6">
        <v>0.31793179317931797</v>
      </c>
      <c r="Q14" s="4">
        <v>839</v>
      </c>
      <c r="R14" s="4">
        <v>5</v>
      </c>
      <c r="S14" s="4">
        <v>99999</v>
      </c>
      <c r="T14" s="4">
        <v>0</v>
      </c>
      <c r="U14" s="4">
        <v>0</v>
      </c>
      <c r="V14" s="4">
        <v>72.5</v>
      </c>
      <c r="W14" s="4">
        <f t="shared" si="2"/>
        <v>725</v>
      </c>
      <c r="X14" s="4">
        <v>10</v>
      </c>
      <c r="Y14" s="21">
        <f t="shared" si="3"/>
        <v>1063</v>
      </c>
      <c r="Z14" s="6">
        <f t="shared" si="4"/>
        <v>0.31796801505174033</v>
      </c>
      <c r="AA14" s="4">
        <v>1868.25</v>
      </c>
      <c r="AB14" s="4" t="e">
        <f t="shared" si="5"/>
        <v>#VALUE!</v>
      </c>
      <c r="AC14" s="4" t="str">
        <f t="shared" si="6"/>
        <v>-</v>
      </c>
      <c r="AD14" s="6" t="str">
        <f t="shared" si="7"/>
        <v>-</v>
      </c>
      <c r="AE14" s="4" t="e">
        <v>#N/A</v>
      </c>
      <c r="AF14" s="7">
        <v>1150</v>
      </c>
      <c r="AG14" s="6">
        <f t="shared" si="8"/>
        <v>0.36956521739130432</v>
      </c>
      <c r="AH14" s="4">
        <f t="shared" si="9"/>
        <v>425</v>
      </c>
      <c r="AI14" s="28">
        <v>1150</v>
      </c>
      <c r="AJ14" s="6">
        <f t="shared" si="17"/>
        <v>0.36956521739130432</v>
      </c>
      <c r="AK14" s="4">
        <f t="shared" si="18"/>
        <v>425</v>
      </c>
      <c r="AL14" s="6" t="str">
        <f t="shared" si="10"/>
        <v>-</v>
      </c>
      <c r="AM14" s="6">
        <f t="shared" si="11"/>
        <v>1.2651265126512652</v>
      </c>
      <c r="AN14" s="6">
        <f t="shared" si="12"/>
        <v>1.1693548387096775</v>
      </c>
      <c r="AO14" s="4">
        <v>1090</v>
      </c>
      <c r="AP14" s="4">
        <f t="shared" si="20"/>
        <v>5</v>
      </c>
      <c r="AQ14" s="4">
        <f t="shared" si="21"/>
        <v>99999</v>
      </c>
      <c r="AR14" s="4" t="s">
        <v>93</v>
      </c>
      <c r="AS14" s="4" t="s">
        <v>108</v>
      </c>
      <c r="AT14" s="4">
        <v>10</v>
      </c>
      <c r="AU14" s="4">
        <v>1</v>
      </c>
      <c r="AV14" s="4" t="s">
        <v>109</v>
      </c>
      <c r="AW14" s="4">
        <v>165</v>
      </c>
      <c r="AX14" s="4" t="s">
        <v>94</v>
      </c>
      <c r="AY14" s="4" t="e">
        <f t="shared" si="13"/>
        <v>#VALUE!</v>
      </c>
      <c r="AZ14" s="19">
        <v>4</v>
      </c>
      <c r="BA14" s="19">
        <v>1</v>
      </c>
      <c r="BB14" s="16">
        <v>6</v>
      </c>
      <c r="BD14" t="s">
        <v>95</v>
      </c>
      <c r="BE14" t="s">
        <v>94</v>
      </c>
      <c r="BF14" t="str">
        <f t="shared" si="14"/>
        <v>-</v>
      </c>
      <c r="BH14">
        <v>179</v>
      </c>
      <c r="BI14">
        <v>165</v>
      </c>
      <c r="BJ14" s="43">
        <f t="shared" si="15"/>
        <v>192.9435483870968</v>
      </c>
      <c r="BK14" t="s">
        <v>105</v>
      </c>
    </row>
    <row r="15" spans="1:63" x14ac:dyDescent="0.4">
      <c r="A15" s="3">
        <v>5</v>
      </c>
      <c r="B15" s="3">
        <v>5</v>
      </c>
      <c r="C15" s="34">
        <v>10743</v>
      </c>
      <c r="D15" s="4" t="str">
        <f t="shared" si="0"/>
        <v>010743</v>
      </c>
      <c r="E15" s="4">
        <v>517293</v>
      </c>
      <c r="F15" s="4" t="str">
        <f t="shared" si="16"/>
        <v>0107435</v>
      </c>
      <c r="G15" s="4" t="s">
        <v>69</v>
      </c>
      <c r="H15" s="5">
        <v>4971620373408</v>
      </c>
      <c r="I15" s="5">
        <v>5</v>
      </c>
      <c r="J15" s="5"/>
      <c r="K15" s="5">
        <v>2</v>
      </c>
      <c r="L15" s="5">
        <v>2</v>
      </c>
      <c r="M15" s="4">
        <v>0</v>
      </c>
      <c r="N15" s="4">
        <v>127</v>
      </c>
      <c r="O15" s="4">
        <v>76</v>
      </c>
      <c r="P15" s="6">
        <v>0.40157480314960625</v>
      </c>
      <c r="Q15" s="4" t="s">
        <v>94</v>
      </c>
      <c r="R15" s="4" t="s">
        <v>94</v>
      </c>
      <c r="S15" s="4" t="s">
        <v>94</v>
      </c>
      <c r="T15" s="4">
        <v>0</v>
      </c>
      <c r="U15" s="4">
        <f>IF(X15="",T15,T15*X15)</f>
        <v>0</v>
      </c>
      <c r="V15" s="4">
        <v>87</v>
      </c>
      <c r="W15" s="4">
        <f t="shared" si="2"/>
        <v>87</v>
      </c>
      <c r="X15" s="4"/>
      <c r="Y15" s="21">
        <f t="shared" si="3"/>
        <v>145</v>
      </c>
      <c r="Z15" s="6">
        <f t="shared" si="4"/>
        <v>0.4</v>
      </c>
      <c r="AA15" s="4">
        <v>1255.5</v>
      </c>
      <c r="AB15" s="4" t="str">
        <f t="shared" si="5"/>
        <v>-</v>
      </c>
      <c r="AC15" s="4" t="str">
        <f t="shared" si="6"/>
        <v>-</v>
      </c>
      <c r="AD15" s="6" t="str">
        <f t="shared" si="7"/>
        <v>-</v>
      </c>
      <c r="AE15" s="4">
        <v>145.38157894736841</v>
      </c>
      <c r="AF15" s="7">
        <v>148</v>
      </c>
      <c r="AG15" s="6">
        <f t="shared" si="8"/>
        <v>0.41216216216216217</v>
      </c>
      <c r="AH15" s="4">
        <f t="shared" si="9"/>
        <v>61</v>
      </c>
      <c r="AI15" s="28">
        <v>148</v>
      </c>
      <c r="AJ15" s="6">
        <f t="shared" si="17"/>
        <v>0.41216216216216217</v>
      </c>
      <c r="AK15" s="4">
        <f t="shared" si="18"/>
        <v>61</v>
      </c>
      <c r="AL15" s="6" t="str">
        <f t="shared" si="10"/>
        <v>-</v>
      </c>
      <c r="AM15" s="6">
        <f t="shared" si="11"/>
        <v>1.1653543307086613</v>
      </c>
      <c r="AN15" s="6">
        <f t="shared" si="12"/>
        <v>1.1447368421052631</v>
      </c>
      <c r="AO15" s="4" t="str">
        <f t="shared" si="19"/>
        <v>-</v>
      </c>
      <c r="AP15" s="4" t="str">
        <f t="shared" si="20"/>
        <v>-</v>
      </c>
      <c r="AQ15" s="4" t="str">
        <f t="shared" si="21"/>
        <v>-</v>
      </c>
      <c r="AR15" s="4" t="s">
        <v>93</v>
      </c>
      <c r="AS15" s="4" t="s">
        <v>94</v>
      </c>
      <c r="AT15" s="4"/>
      <c r="AU15" s="4"/>
      <c r="AV15" s="4" t="s">
        <v>94</v>
      </c>
      <c r="AW15" s="4" t="s">
        <v>94</v>
      </c>
      <c r="AX15" s="4" t="s">
        <v>94</v>
      </c>
      <c r="AY15" s="4" t="str">
        <f t="shared" si="13"/>
        <v>-</v>
      </c>
      <c r="AZ15" s="19">
        <v>4</v>
      </c>
      <c r="BA15" s="19">
        <v>1</v>
      </c>
      <c r="BB15" s="16">
        <v>6</v>
      </c>
      <c r="BD15" t="s">
        <v>95</v>
      </c>
      <c r="BE15" t="s">
        <v>94</v>
      </c>
      <c r="BF15" t="str">
        <f t="shared" si="14"/>
        <v>-</v>
      </c>
      <c r="BH15">
        <v>1805</v>
      </c>
      <c r="BI15">
        <v>1805</v>
      </c>
      <c r="BJ15">
        <f t="shared" si="15"/>
        <v>2066.25</v>
      </c>
      <c r="BK15" t="s">
        <v>94</v>
      </c>
    </row>
    <row r="16" spans="1:63" x14ac:dyDescent="0.4">
      <c r="A16" s="3">
        <v>19</v>
      </c>
      <c r="B16" s="3">
        <v>5</v>
      </c>
      <c r="C16" s="34">
        <v>10743</v>
      </c>
      <c r="D16" s="4" t="str">
        <f t="shared" si="0"/>
        <v>010743</v>
      </c>
      <c r="E16" s="4">
        <v>644346</v>
      </c>
      <c r="F16" s="4" t="str">
        <f t="shared" si="16"/>
        <v>0107438</v>
      </c>
      <c r="G16" s="4" t="s">
        <v>87</v>
      </c>
      <c r="H16" s="5">
        <v>4971620373408</v>
      </c>
      <c r="I16" s="5">
        <v>8</v>
      </c>
      <c r="J16" s="5" t="str">
        <f>C16&amp;I16</f>
        <v>107438</v>
      </c>
      <c r="K16" s="5"/>
      <c r="L16" s="5"/>
      <c r="M16" s="4">
        <v>0</v>
      </c>
      <c r="N16" s="4">
        <v>1209</v>
      </c>
      <c r="O16" s="4">
        <v>760</v>
      </c>
      <c r="P16" s="6">
        <v>0.37138130686517778</v>
      </c>
      <c r="Q16" s="4">
        <v>1134</v>
      </c>
      <c r="R16" s="4">
        <v>5</v>
      </c>
      <c r="S16" s="4">
        <v>99999</v>
      </c>
      <c r="T16" s="4">
        <v>0</v>
      </c>
      <c r="U16" s="4">
        <v>0</v>
      </c>
      <c r="V16" s="4">
        <v>87</v>
      </c>
      <c r="W16" s="4">
        <f t="shared" si="2"/>
        <v>870</v>
      </c>
      <c r="X16" s="4">
        <v>10</v>
      </c>
      <c r="Y16" s="21">
        <f t="shared" si="3"/>
        <v>1384</v>
      </c>
      <c r="Z16" s="6">
        <f t="shared" si="4"/>
        <v>0.37138728323699421</v>
      </c>
      <c r="AA16" s="4">
        <v>1255.5</v>
      </c>
      <c r="AB16" s="4" t="str">
        <f t="shared" si="5"/>
        <v>-</v>
      </c>
      <c r="AC16" s="4" t="str">
        <f t="shared" si="6"/>
        <v>-</v>
      </c>
      <c r="AD16" s="6" t="str">
        <f t="shared" si="7"/>
        <v>-</v>
      </c>
      <c r="AE16" s="4" t="e">
        <v>#N/A</v>
      </c>
      <c r="AF16" s="7">
        <v>1380</v>
      </c>
      <c r="AG16" s="6">
        <f t="shared" si="8"/>
        <v>0.36956521739130432</v>
      </c>
      <c r="AH16" s="4">
        <f t="shared" si="9"/>
        <v>510</v>
      </c>
      <c r="AI16" s="28">
        <v>1380</v>
      </c>
      <c r="AJ16" s="6">
        <f t="shared" si="17"/>
        <v>0.36956521739130432</v>
      </c>
      <c r="AK16" s="4">
        <f t="shared" si="18"/>
        <v>510</v>
      </c>
      <c r="AL16" s="6" t="str">
        <f t="shared" si="10"/>
        <v>-</v>
      </c>
      <c r="AM16" s="6">
        <f t="shared" si="11"/>
        <v>1.1414392059553349</v>
      </c>
      <c r="AN16" s="6">
        <f t="shared" si="12"/>
        <v>1.1447368421052631</v>
      </c>
      <c r="AO16" s="4">
        <v>1300</v>
      </c>
      <c r="AP16" s="4">
        <f t="shared" si="20"/>
        <v>5</v>
      </c>
      <c r="AQ16" s="4">
        <f t="shared" si="21"/>
        <v>99999</v>
      </c>
      <c r="AR16" s="4" t="s">
        <v>93</v>
      </c>
      <c r="AS16" s="4" t="s">
        <v>94</v>
      </c>
      <c r="AT16" s="4"/>
      <c r="AU16" s="4"/>
      <c r="AV16" s="4" t="s">
        <v>94</v>
      </c>
      <c r="AW16" s="4" t="s">
        <v>94</v>
      </c>
      <c r="AX16" s="4" t="s">
        <v>94</v>
      </c>
      <c r="AY16" s="4" t="str">
        <f t="shared" si="13"/>
        <v>-</v>
      </c>
      <c r="AZ16" s="19">
        <v>4</v>
      </c>
      <c r="BA16" s="19">
        <v>1</v>
      </c>
      <c r="BB16" s="16">
        <v>6</v>
      </c>
      <c r="BD16" t="s">
        <v>95</v>
      </c>
      <c r="BE16" t="s">
        <v>94</v>
      </c>
      <c r="BF16" t="str">
        <f t="shared" si="14"/>
        <v>-</v>
      </c>
      <c r="BH16">
        <v>1805</v>
      </c>
      <c r="BI16">
        <v>1805</v>
      </c>
      <c r="BJ16">
        <f t="shared" si="15"/>
        <v>2066.25</v>
      </c>
      <c r="BK16" t="s">
        <v>94</v>
      </c>
    </row>
    <row r="17" spans="1:63" x14ac:dyDescent="0.4">
      <c r="A17" s="3">
        <v>6</v>
      </c>
      <c r="B17" s="3">
        <v>6</v>
      </c>
      <c r="C17" s="34">
        <v>10744</v>
      </c>
      <c r="D17" s="4" t="str">
        <f t="shared" si="0"/>
        <v>010744</v>
      </c>
      <c r="E17" s="4">
        <v>517302</v>
      </c>
      <c r="F17" s="4" t="str">
        <f t="shared" si="16"/>
        <v>0107445</v>
      </c>
      <c r="G17" s="4" t="s">
        <v>70</v>
      </c>
      <c r="H17" s="5">
        <v>4971620373606</v>
      </c>
      <c r="I17" s="5">
        <v>5</v>
      </c>
      <c r="J17" s="5"/>
      <c r="K17" s="5">
        <v>2</v>
      </c>
      <c r="L17" s="5">
        <v>2</v>
      </c>
      <c r="M17" s="4">
        <v>0</v>
      </c>
      <c r="N17" s="4">
        <v>141</v>
      </c>
      <c r="O17" s="4">
        <v>99</v>
      </c>
      <c r="P17" s="6">
        <v>0.2978723404255319</v>
      </c>
      <c r="Q17" s="4" t="s">
        <v>94</v>
      </c>
      <c r="R17" s="4" t="s">
        <v>94</v>
      </c>
      <c r="S17" s="4" t="s">
        <v>94</v>
      </c>
      <c r="T17" s="4">
        <v>0</v>
      </c>
      <c r="U17" s="4">
        <f>IF(X17="",T17,T17*X17)</f>
        <v>0</v>
      </c>
      <c r="V17" s="4">
        <v>116</v>
      </c>
      <c r="W17" s="4">
        <f t="shared" si="2"/>
        <v>116</v>
      </c>
      <c r="X17" s="4"/>
      <c r="Y17" s="21">
        <f t="shared" si="3"/>
        <v>165</v>
      </c>
      <c r="Z17" s="6">
        <f t="shared" si="4"/>
        <v>0.29696969696969699</v>
      </c>
      <c r="AA17" s="4">
        <v>635.25</v>
      </c>
      <c r="AB17" s="4" t="str">
        <f t="shared" si="5"/>
        <v>-</v>
      </c>
      <c r="AC17" s="4" t="str">
        <f t="shared" si="6"/>
        <v>-</v>
      </c>
      <c r="AD17" s="6" t="str">
        <f t="shared" si="7"/>
        <v>-</v>
      </c>
      <c r="AE17" s="4">
        <v>165.21212121212122</v>
      </c>
      <c r="AF17" s="7">
        <v>180</v>
      </c>
      <c r="AG17" s="6">
        <f t="shared" si="8"/>
        <v>0.35555555555555551</v>
      </c>
      <c r="AH17" s="4">
        <f t="shared" si="9"/>
        <v>64</v>
      </c>
      <c r="AI17" s="28">
        <v>180</v>
      </c>
      <c r="AJ17" s="6">
        <f t="shared" si="17"/>
        <v>0.35555555555555551</v>
      </c>
      <c r="AK17" s="4">
        <f t="shared" si="18"/>
        <v>64</v>
      </c>
      <c r="AL17" s="6" t="str">
        <f t="shared" si="10"/>
        <v>-</v>
      </c>
      <c r="AM17" s="6">
        <f t="shared" si="11"/>
        <v>1.2765957446808511</v>
      </c>
      <c r="AN17" s="6">
        <f t="shared" si="12"/>
        <v>1.1717171717171717</v>
      </c>
      <c r="AO17" s="4" t="str">
        <f t="shared" si="19"/>
        <v>-</v>
      </c>
      <c r="AP17" s="4" t="str">
        <f t="shared" si="20"/>
        <v>-</v>
      </c>
      <c r="AQ17" s="4" t="str">
        <f t="shared" si="21"/>
        <v>-</v>
      </c>
      <c r="AR17" s="4" t="s">
        <v>93</v>
      </c>
      <c r="AS17" s="4" t="s">
        <v>94</v>
      </c>
      <c r="AT17" s="4"/>
      <c r="AU17" s="4"/>
      <c r="AV17" s="4" t="s">
        <v>94</v>
      </c>
      <c r="AW17" s="4" t="s">
        <v>94</v>
      </c>
      <c r="AX17" s="4" t="s">
        <v>94</v>
      </c>
      <c r="AY17" s="4" t="str">
        <f t="shared" si="13"/>
        <v>-</v>
      </c>
      <c r="AZ17" s="19">
        <v>4</v>
      </c>
      <c r="BA17" s="19">
        <v>1</v>
      </c>
      <c r="BB17" s="16">
        <v>6</v>
      </c>
      <c r="BD17" t="s">
        <v>95</v>
      </c>
      <c r="BE17" t="s">
        <v>94</v>
      </c>
      <c r="BF17" t="str">
        <f t="shared" si="14"/>
        <v>-</v>
      </c>
      <c r="BH17" t="s">
        <v>94</v>
      </c>
      <c r="BI17" t="s">
        <v>94</v>
      </c>
      <c r="BJ17" t="str">
        <f t="shared" si="15"/>
        <v>-</v>
      </c>
      <c r="BK17" t="s">
        <v>94</v>
      </c>
    </row>
    <row r="18" spans="1:63" x14ac:dyDescent="0.4">
      <c r="A18" s="3">
        <v>20</v>
      </c>
      <c r="B18" s="3">
        <v>6</v>
      </c>
      <c r="C18" s="34">
        <v>10744</v>
      </c>
      <c r="D18" s="4" t="str">
        <f t="shared" si="0"/>
        <v>010744</v>
      </c>
      <c r="E18" s="4">
        <v>644355</v>
      </c>
      <c r="F18" s="4" t="str">
        <f t="shared" si="16"/>
        <v>0107448</v>
      </c>
      <c r="G18" s="4" t="s">
        <v>88</v>
      </c>
      <c r="H18" s="5">
        <v>4971620373606</v>
      </c>
      <c r="I18" s="5">
        <v>8</v>
      </c>
      <c r="J18" s="5" t="str">
        <f>C18&amp;I18</f>
        <v>107448</v>
      </c>
      <c r="K18" s="5"/>
      <c r="L18" s="5"/>
      <c r="M18" s="4">
        <v>0</v>
      </c>
      <c r="N18" s="4">
        <v>636</v>
      </c>
      <c r="O18" s="4">
        <v>495</v>
      </c>
      <c r="P18" s="6">
        <v>0.22169811320754718</v>
      </c>
      <c r="Q18" s="4" t="s">
        <v>94</v>
      </c>
      <c r="R18" s="4" t="s">
        <v>94</v>
      </c>
      <c r="S18" s="4" t="s">
        <v>94</v>
      </c>
      <c r="T18" s="4">
        <v>0</v>
      </c>
      <c r="U18" s="4">
        <v>0</v>
      </c>
      <c r="V18" s="4">
        <v>116</v>
      </c>
      <c r="W18" s="4">
        <f t="shared" si="2"/>
        <v>580</v>
      </c>
      <c r="X18" s="4">
        <v>5</v>
      </c>
      <c r="Y18" s="21">
        <f t="shared" si="3"/>
        <v>745</v>
      </c>
      <c r="Z18" s="6">
        <f t="shared" si="4"/>
        <v>0.22147651006711411</v>
      </c>
      <c r="AA18" s="4">
        <v>635.25</v>
      </c>
      <c r="AB18" s="4" t="str">
        <f t="shared" si="5"/>
        <v>-</v>
      </c>
      <c r="AC18" s="4" t="str">
        <f t="shared" si="6"/>
        <v>-</v>
      </c>
      <c r="AD18" s="6" t="str">
        <f t="shared" si="7"/>
        <v>-</v>
      </c>
      <c r="AE18" s="4" t="e">
        <v>#N/A</v>
      </c>
      <c r="AF18" s="7">
        <v>850</v>
      </c>
      <c r="AG18" s="6">
        <f t="shared" si="8"/>
        <v>0.31764705882352939</v>
      </c>
      <c r="AH18" s="4">
        <f t="shared" si="9"/>
        <v>270</v>
      </c>
      <c r="AI18" s="28">
        <v>850</v>
      </c>
      <c r="AJ18" s="6">
        <f t="shared" si="17"/>
        <v>0.31764705882352939</v>
      </c>
      <c r="AK18" s="4">
        <f t="shared" si="18"/>
        <v>270</v>
      </c>
      <c r="AL18" s="6" t="str">
        <f t="shared" si="10"/>
        <v>-</v>
      </c>
      <c r="AM18" s="6">
        <f t="shared" si="11"/>
        <v>1.3364779874213837</v>
      </c>
      <c r="AN18" s="6">
        <f t="shared" si="12"/>
        <v>1.1717171717171717</v>
      </c>
      <c r="AO18" s="4" t="str">
        <f t="shared" si="19"/>
        <v>-</v>
      </c>
      <c r="AP18" s="4" t="str">
        <f t="shared" si="20"/>
        <v>-</v>
      </c>
      <c r="AQ18" s="4" t="str">
        <f t="shared" si="21"/>
        <v>-</v>
      </c>
      <c r="AR18" s="4" t="s">
        <v>93</v>
      </c>
      <c r="AS18" s="4" t="s">
        <v>94</v>
      </c>
      <c r="AT18" s="4"/>
      <c r="AU18" s="4"/>
      <c r="AV18" s="4" t="s">
        <v>94</v>
      </c>
      <c r="AW18" s="4" t="s">
        <v>94</v>
      </c>
      <c r="AX18" s="4" t="s">
        <v>94</v>
      </c>
      <c r="AY18" s="4" t="str">
        <f t="shared" si="13"/>
        <v>-</v>
      </c>
      <c r="AZ18" s="19">
        <v>4</v>
      </c>
      <c r="BA18" s="19">
        <v>1</v>
      </c>
      <c r="BB18" s="16">
        <v>6</v>
      </c>
      <c r="BD18" t="s">
        <v>95</v>
      </c>
      <c r="BE18" t="s">
        <v>94</v>
      </c>
      <c r="BF18" t="str">
        <f t="shared" si="14"/>
        <v>-</v>
      </c>
      <c r="BH18" t="s">
        <v>94</v>
      </c>
      <c r="BI18" t="s">
        <v>94</v>
      </c>
      <c r="BJ18" t="str">
        <f t="shared" si="15"/>
        <v>-</v>
      </c>
      <c r="BK18" t="s">
        <v>94</v>
      </c>
    </row>
    <row r="19" spans="1:63" x14ac:dyDescent="0.4">
      <c r="A19" s="3">
        <v>7</v>
      </c>
      <c r="B19" s="3">
        <v>7</v>
      </c>
      <c r="C19" s="4" t="s">
        <v>57</v>
      </c>
      <c r="D19" s="4" t="str">
        <f t="shared" si="0"/>
        <v>7438AY</v>
      </c>
      <c r="E19" s="4" t="s">
        <v>57</v>
      </c>
      <c r="F19" s="4" t="str">
        <f t="shared" si="16"/>
        <v>7438AY5</v>
      </c>
      <c r="G19" s="4" t="s">
        <v>71</v>
      </c>
      <c r="H19" s="5">
        <v>4971620984239</v>
      </c>
      <c r="I19" s="5">
        <v>5</v>
      </c>
      <c r="J19" s="5"/>
      <c r="K19" s="5">
        <v>1</v>
      </c>
      <c r="L19" s="5">
        <v>1</v>
      </c>
      <c r="M19" s="4">
        <v>0</v>
      </c>
      <c r="N19" s="4">
        <v>850</v>
      </c>
      <c r="O19" s="4">
        <v>580</v>
      </c>
      <c r="P19" s="6">
        <v>0.31764705882352939</v>
      </c>
      <c r="Q19" s="4" t="s">
        <v>94</v>
      </c>
      <c r="R19" s="4" t="s">
        <v>94</v>
      </c>
      <c r="S19" s="4" t="s">
        <v>94</v>
      </c>
      <c r="T19" s="4">
        <v>0</v>
      </c>
      <c r="U19" s="4">
        <f>IF(X19="",T19,T19*X19)</f>
        <v>0</v>
      </c>
      <c r="V19" s="4">
        <v>70</v>
      </c>
      <c r="W19" s="4">
        <f t="shared" si="2"/>
        <v>700</v>
      </c>
      <c r="X19" s="4">
        <v>10</v>
      </c>
      <c r="Y19" s="21">
        <f t="shared" si="3"/>
        <v>1026</v>
      </c>
      <c r="Z19" s="6">
        <f t="shared" si="4"/>
        <v>0.31773879142300199</v>
      </c>
      <c r="AA19" s="4">
        <v>1000</v>
      </c>
      <c r="AB19" s="4" t="str">
        <f t="shared" si="5"/>
        <v>-</v>
      </c>
      <c r="AC19" s="4" t="str">
        <f t="shared" si="6"/>
        <v>-</v>
      </c>
      <c r="AD19" s="6" t="str">
        <f t="shared" si="7"/>
        <v>-</v>
      </c>
      <c r="AE19" s="4">
        <v>1025.8620689655172</v>
      </c>
      <c r="AF19" s="7">
        <v>1100</v>
      </c>
      <c r="AG19" s="6">
        <f t="shared" si="8"/>
        <v>0.36363636363636365</v>
      </c>
      <c r="AH19" s="4">
        <f t="shared" si="9"/>
        <v>400</v>
      </c>
      <c r="AI19" s="28">
        <v>1100</v>
      </c>
      <c r="AJ19" s="6">
        <f t="shared" si="17"/>
        <v>0.36363636363636365</v>
      </c>
      <c r="AK19" s="4">
        <f t="shared" si="18"/>
        <v>400</v>
      </c>
      <c r="AL19" s="6" t="str">
        <f t="shared" si="10"/>
        <v>-</v>
      </c>
      <c r="AM19" s="6">
        <f t="shared" si="11"/>
        <v>1.2941176470588236</v>
      </c>
      <c r="AN19" s="6">
        <f t="shared" si="12"/>
        <v>1.2068965517241379</v>
      </c>
      <c r="AO19" s="4" t="str">
        <f t="shared" si="19"/>
        <v>-</v>
      </c>
      <c r="AP19" s="4" t="str">
        <f t="shared" si="20"/>
        <v>-</v>
      </c>
      <c r="AQ19" s="4" t="str">
        <f t="shared" si="21"/>
        <v>-</v>
      </c>
      <c r="AR19" s="4">
        <v>0</v>
      </c>
      <c r="AS19" s="4" t="s">
        <v>94</v>
      </c>
      <c r="AT19" s="4"/>
      <c r="AU19" s="4"/>
      <c r="AV19" s="4" t="s">
        <v>94</v>
      </c>
      <c r="AW19" s="4" t="s">
        <v>94</v>
      </c>
      <c r="AX19" s="4" t="s">
        <v>94</v>
      </c>
      <c r="AY19" s="4" t="str">
        <f t="shared" si="13"/>
        <v>-</v>
      </c>
      <c r="AZ19" s="19">
        <v>4</v>
      </c>
      <c r="BA19" s="19">
        <v>1</v>
      </c>
      <c r="BB19" s="16">
        <v>6</v>
      </c>
      <c r="BD19" t="s">
        <v>95</v>
      </c>
      <c r="BE19" t="s">
        <v>94</v>
      </c>
      <c r="BF19" t="str">
        <f t="shared" si="14"/>
        <v>-</v>
      </c>
      <c r="BH19" t="s">
        <v>94</v>
      </c>
      <c r="BI19" t="s">
        <v>94</v>
      </c>
      <c r="BJ19" t="str">
        <f t="shared" si="15"/>
        <v>-</v>
      </c>
      <c r="BK19" t="s">
        <v>94</v>
      </c>
    </row>
    <row r="20" spans="1:63" x14ac:dyDescent="0.4">
      <c r="A20" s="3">
        <v>8</v>
      </c>
      <c r="B20" s="3">
        <v>8</v>
      </c>
      <c r="C20" s="4" t="s">
        <v>58</v>
      </c>
      <c r="D20" s="4" t="str">
        <f t="shared" si="0"/>
        <v>7439AY</v>
      </c>
      <c r="E20" s="4" t="s">
        <v>58</v>
      </c>
      <c r="F20" s="4" t="str">
        <f t="shared" si="16"/>
        <v>7439AY5</v>
      </c>
      <c r="G20" s="4" t="s">
        <v>72</v>
      </c>
      <c r="H20" s="5">
        <v>4971620984253</v>
      </c>
      <c r="I20" s="5">
        <v>5</v>
      </c>
      <c r="J20" s="5"/>
      <c r="K20" s="5">
        <v>1</v>
      </c>
      <c r="L20" s="5">
        <v>1</v>
      </c>
      <c r="M20" s="4">
        <v>0</v>
      </c>
      <c r="N20" s="4">
        <v>1100</v>
      </c>
      <c r="O20" s="4">
        <v>725</v>
      </c>
      <c r="P20" s="6">
        <v>0.34090909090909094</v>
      </c>
      <c r="Q20" s="4" t="s">
        <v>94</v>
      </c>
      <c r="R20" s="4" t="s">
        <v>94</v>
      </c>
      <c r="S20" s="4" t="s">
        <v>94</v>
      </c>
      <c r="T20" s="4">
        <v>0</v>
      </c>
      <c r="U20" s="4">
        <f>IF(X20="",T20,T20*X20)</f>
        <v>0</v>
      </c>
      <c r="V20" s="4">
        <v>87.5</v>
      </c>
      <c r="W20" s="4">
        <f t="shared" si="2"/>
        <v>875</v>
      </c>
      <c r="X20" s="4">
        <v>10</v>
      </c>
      <c r="Y20" s="21">
        <f t="shared" si="3"/>
        <v>1328</v>
      </c>
      <c r="Z20" s="6">
        <f t="shared" si="4"/>
        <v>0.34111445783132532</v>
      </c>
      <c r="AA20" s="4">
        <v>666</v>
      </c>
      <c r="AB20" s="4" t="str">
        <f t="shared" si="5"/>
        <v>-</v>
      </c>
      <c r="AC20" s="4" t="str">
        <f t="shared" si="6"/>
        <v>-</v>
      </c>
      <c r="AD20" s="6" t="str">
        <f t="shared" si="7"/>
        <v>-</v>
      </c>
      <c r="AE20" s="4">
        <v>1327.5862068965516</v>
      </c>
      <c r="AF20" s="7">
        <v>1350</v>
      </c>
      <c r="AG20" s="6">
        <f t="shared" si="8"/>
        <v>0.35185185185185186</v>
      </c>
      <c r="AH20" s="4">
        <f t="shared" si="9"/>
        <v>475</v>
      </c>
      <c r="AI20" s="28">
        <v>1350</v>
      </c>
      <c r="AJ20" s="6">
        <f t="shared" si="17"/>
        <v>0.35185185185185186</v>
      </c>
      <c r="AK20" s="4">
        <f t="shared" si="18"/>
        <v>475</v>
      </c>
      <c r="AL20" s="6" t="str">
        <f t="shared" si="10"/>
        <v>-</v>
      </c>
      <c r="AM20" s="6">
        <f t="shared" si="11"/>
        <v>1.2272727272727273</v>
      </c>
      <c r="AN20" s="6">
        <f t="shared" si="12"/>
        <v>1.2068965517241379</v>
      </c>
      <c r="AO20" s="4" t="str">
        <f t="shared" si="19"/>
        <v>-</v>
      </c>
      <c r="AP20" s="4" t="str">
        <f t="shared" si="20"/>
        <v>-</v>
      </c>
      <c r="AQ20" s="4" t="str">
        <f t="shared" si="21"/>
        <v>-</v>
      </c>
      <c r="AR20" s="4">
        <v>0</v>
      </c>
      <c r="AS20" s="4" t="s">
        <v>94</v>
      </c>
      <c r="AT20" s="4"/>
      <c r="AU20" s="4"/>
      <c r="AV20" s="4" t="s">
        <v>94</v>
      </c>
      <c r="AW20" s="4" t="s">
        <v>94</v>
      </c>
      <c r="AX20" s="4" t="s">
        <v>94</v>
      </c>
      <c r="AY20" s="4" t="str">
        <f t="shared" si="13"/>
        <v>-</v>
      </c>
      <c r="AZ20" s="19">
        <v>4</v>
      </c>
      <c r="BA20" s="19">
        <v>1</v>
      </c>
      <c r="BB20" s="16">
        <v>6</v>
      </c>
      <c r="BD20" t="s">
        <v>95</v>
      </c>
      <c r="BE20" t="s">
        <v>94</v>
      </c>
      <c r="BF20" t="str">
        <f t="shared" si="14"/>
        <v>-</v>
      </c>
      <c r="BH20" t="s">
        <v>94</v>
      </c>
      <c r="BI20" t="s">
        <v>94</v>
      </c>
      <c r="BJ20" t="str">
        <f t="shared" si="15"/>
        <v>-</v>
      </c>
      <c r="BK20" t="s">
        <v>94</v>
      </c>
    </row>
    <row r="21" spans="1:63" x14ac:dyDescent="0.4">
      <c r="A21" s="3">
        <v>9</v>
      </c>
      <c r="B21" s="3">
        <v>9</v>
      </c>
      <c r="C21" s="4" t="s">
        <v>59</v>
      </c>
      <c r="D21" s="4" t="str">
        <f t="shared" si="0"/>
        <v>7440AY</v>
      </c>
      <c r="E21" s="4" t="s">
        <v>59</v>
      </c>
      <c r="F21" s="4" t="str">
        <f t="shared" si="16"/>
        <v>7440AY5</v>
      </c>
      <c r="G21" s="4" t="s">
        <v>73</v>
      </c>
      <c r="H21" s="5">
        <v>4971620984277</v>
      </c>
      <c r="I21" s="5">
        <v>5</v>
      </c>
      <c r="J21" s="5"/>
      <c r="K21" s="5">
        <v>1</v>
      </c>
      <c r="L21" s="5">
        <v>1</v>
      </c>
      <c r="M21" s="4">
        <v>0</v>
      </c>
      <c r="N21" s="4">
        <v>1340</v>
      </c>
      <c r="O21" s="4">
        <v>870</v>
      </c>
      <c r="P21" s="6">
        <v>0.35074626865671643</v>
      </c>
      <c r="Q21" s="4" t="s">
        <v>94</v>
      </c>
      <c r="R21" s="4" t="s">
        <v>94</v>
      </c>
      <c r="S21" s="4" t="s">
        <v>94</v>
      </c>
      <c r="T21" s="4">
        <v>0</v>
      </c>
      <c r="U21" s="4">
        <f>IF(X21="",T21,T21*X21)</f>
        <v>0</v>
      </c>
      <c r="V21" s="4">
        <v>105</v>
      </c>
      <c r="W21" s="4">
        <f t="shared" si="2"/>
        <v>1050</v>
      </c>
      <c r="X21" s="4">
        <v>10</v>
      </c>
      <c r="Y21" s="21">
        <f t="shared" si="3"/>
        <v>1617</v>
      </c>
      <c r="Z21" s="6">
        <f t="shared" si="4"/>
        <v>0.35064935064935066</v>
      </c>
      <c r="AA21" s="4">
        <v>666</v>
      </c>
      <c r="AB21" s="4" t="str">
        <f t="shared" si="5"/>
        <v>-</v>
      </c>
      <c r="AC21" s="4" t="str">
        <f t="shared" si="6"/>
        <v>-</v>
      </c>
      <c r="AD21" s="6" t="str">
        <f t="shared" si="7"/>
        <v>-</v>
      </c>
      <c r="AE21" s="4">
        <v>1617.2413793103449</v>
      </c>
      <c r="AF21" s="7">
        <v>1650</v>
      </c>
      <c r="AG21" s="6">
        <f t="shared" si="8"/>
        <v>0.36363636363636365</v>
      </c>
      <c r="AH21" s="4">
        <f t="shared" si="9"/>
        <v>600</v>
      </c>
      <c r="AI21" s="28">
        <v>1650</v>
      </c>
      <c r="AJ21" s="6">
        <f t="shared" si="17"/>
        <v>0.36363636363636365</v>
      </c>
      <c r="AK21" s="4">
        <f t="shared" si="18"/>
        <v>600</v>
      </c>
      <c r="AL21" s="6" t="str">
        <f t="shared" si="10"/>
        <v>-</v>
      </c>
      <c r="AM21" s="6">
        <f t="shared" si="11"/>
        <v>1.2313432835820894</v>
      </c>
      <c r="AN21" s="6">
        <f t="shared" si="12"/>
        <v>1.2068965517241379</v>
      </c>
      <c r="AO21" s="4" t="str">
        <f t="shared" si="19"/>
        <v>-</v>
      </c>
      <c r="AP21" s="4" t="str">
        <f t="shared" si="20"/>
        <v>-</v>
      </c>
      <c r="AQ21" s="4" t="str">
        <f t="shared" si="21"/>
        <v>-</v>
      </c>
      <c r="AR21" s="4">
        <v>0</v>
      </c>
      <c r="AS21" s="4" t="s">
        <v>94</v>
      </c>
      <c r="AT21" s="4"/>
      <c r="AU21" s="4"/>
      <c r="AV21" s="4" t="s">
        <v>94</v>
      </c>
      <c r="AW21" s="4" t="s">
        <v>94</v>
      </c>
      <c r="AX21" s="4" t="s">
        <v>94</v>
      </c>
      <c r="AY21" s="4" t="str">
        <f t="shared" si="13"/>
        <v>-</v>
      </c>
      <c r="AZ21" s="19">
        <v>4</v>
      </c>
      <c r="BA21" s="19">
        <v>1</v>
      </c>
      <c r="BB21" s="16">
        <v>6</v>
      </c>
      <c r="BD21" t="s">
        <v>95</v>
      </c>
      <c r="BE21" t="s">
        <v>94</v>
      </c>
      <c r="BF21" t="str">
        <f t="shared" si="14"/>
        <v>-</v>
      </c>
      <c r="BH21" t="s">
        <v>94</v>
      </c>
      <c r="BI21" t="s">
        <v>94</v>
      </c>
      <c r="BJ21" t="str">
        <f t="shared" si="15"/>
        <v>-</v>
      </c>
      <c r="BK21" t="s">
        <v>94</v>
      </c>
    </row>
    <row r="22" spans="1:63" x14ac:dyDescent="0.4">
      <c r="A22" s="3">
        <v>10</v>
      </c>
      <c r="B22" s="3">
        <v>10</v>
      </c>
      <c r="C22" s="17" t="s">
        <v>60</v>
      </c>
      <c r="D22" s="4" t="str">
        <f t="shared" si="0"/>
        <v>7441AY</v>
      </c>
      <c r="E22" s="4" t="s">
        <v>60</v>
      </c>
      <c r="F22" s="4" t="str">
        <f t="shared" si="16"/>
        <v>7441AY5</v>
      </c>
      <c r="G22" s="4" t="s">
        <v>74</v>
      </c>
      <c r="H22" s="5">
        <v>4971620984307</v>
      </c>
      <c r="I22" s="5">
        <v>5</v>
      </c>
      <c r="J22" s="5"/>
      <c r="K22" s="5">
        <v>1</v>
      </c>
      <c r="L22" s="5">
        <v>1</v>
      </c>
      <c r="M22" s="4">
        <v>0</v>
      </c>
      <c r="N22" s="4">
        <v>840</v>
      </c>
      <c r="O22" s="4">
        <v>580</v>
      </c>
      <c r="P22" s="6">
        <v>0.30952380952380953</v>
      </c>
      <c r="Q22" s="4" t="s">
        <v>94</v>
      </c>
      <c r="R22" s="4" t="s">
        <v>94</v>
      </c>
      <c r="S22" s="4" t="s">
        <v>94</v>
      </c>
      <c r="T22" s="4">
        <v>0</v>
      </c>
      <c r="U22" s="4">
        <f>IF(X22="",T22,T22*X22)</f>
        <v>0</v>
      </c>
      <c r="V22" s="4">
        <v>140</v>
      </c>
      <c r="W22" s="4">
        <f t="shared" si="2"/>
        <v>700</v>
      </c>
      <c r="X22" s="4">
        <v>5</v>
      </c>
      <c r="Y22" s="21">
        <f t="shared" si="3"/>
        <v>1014</v>
      </c>
      <c r="Z22" s="6">
        <f t="shared" si="4"/>
        <v>0.30966469428007892</v>
      </c>
      <c r="AA22" s="4">
        <v>500</v>
      </c>
      <c r="AB22" s="4" t="str">
        <f t="shared" si="5"/>
        <v>-</v>
      </c>
      <c r="AC22" s="4" t="str">
        <f t="shared" si="6"/>
        <v>-</v>
      </c>
      <c r="AD22" s="6" t="str">
        <f t="shared" si="7"/>
        <v>-</v>
      </c>
      <c r="AE22" s="4">
        <v>1013.7931034482758</v>
      </c>
      <c r="AF22" s="7">
        <v>1100</v>
      </c>
      <c r="AG22" s="6">
        <f t="shared" si="8"/>
        <v>0.36363636363636365</v>
      </c>
      <c r="AH22" s="4">
        <f t="shared" si="9"/>
        <v>400</v>
      </c>
      <c r="AI22" s="28">
        <v>1100</v>
      </c>
      <c r="AJ22" s="6">
        <f t="shared" si="17"/>
        <v>0.36363636363636365</v>
      </c>
      <c r="AK22" s="4">
        <f t="shared" si="18"/>
        <v>400</v>
      </c>
      <c r="AL22" s="6" t="str">
        <f t="shared" si="10"/>
        <v>-</v>
      </c>
      <c r="AM22" s="6">
        <f t="shared" si="11"/>
        <v>1.3095238095238095</v>
      </c>
      <c r="AN22" s="6">
        <f t="shared" si="12"/>
        <v>1.2068965517241379</v>
      </c>
      <c r="AO22" s="4" t="str">
        <f t="shared" si="19"/>
        <v>-</v>
      </c>
      <c r="AP22" s="4" t="str">
        <f t="shared" si="20"/>
        <v>-</v>
      </c>
      <c r="AQ22" s="4" t="str">
        <f t="shared" si="21"/>
        <v>-</v>
      </c>
      <c r="AR22" s="4">
        <v>0</v>
      </c>
      <c r="AS22" s="4" t="s">
        <v>94</v>
      </c>
      <c r="AT22" s="4"/>
      <c r="AU22" s="4"/>
      <c r="AV22" s="4" t="s">
        <v>94</v>
      </c>
      <c r="AW22" s="4" t="s">
        <v>94</v>
      </c>
      <c r="AX22" s="4" t="s">
        <v>94</v>
      </c>
      <c r="AY22" s="4" t="str">
        <f t="shared" si="13"/>
        <v>-</v>
      </c>
      <c r="AZ22" s="19">
        <v>4</v>
      </c>
      <c r="BA22" s="19">
        <v>1</v>
      </c>
      <c r="BB22" s="16">
        <v>6</v>
      </c>
      <c r="BD22" t="s">
        <v>95</v>
      </c>
      <c r="BE22" t="s">
        <v>94</v>
      </c>
      <c r="BF22" t="str">
        <f t="shared" si="14"/>
        <v>-</v>
      </c>
      <c r="BH22" t="s">
        <v>94</v>
      </c>
      <c r="BI22" t="s">
        <v>94</v>
      </c>
      <c r="BJ22" t="str">
        <f t="shared" si="15"/>
        <v>-</v>
      </c>
      <c r="BK22" t="s">
        <v>94</v>
      </c>
    </row>
    <row r="23" spans="1:63" x14ac:dyDescent="0.4">
      <c r="A23" s="3">
        <v>11</v>
      </c>
      <c r="B23" s="3">
        <v>11</v>
      </c>
      <c r="C23" s="35" t="s">
        <v>61</v>
      </c>
      <c r="D23" s="4" t="str">
        <f t="shared" si="0"/>
        <v>7442AY</v>
      </c>
      <c r="E23" s="4" t="s">
        <v>61</v>
      </c>
      <c r="F23" s="4" t="str">
        <f t="shared" si="16"/>
        <v>7442AY5</v>
      </c>
      <c r="G23" s="4" t="s">
        <v>75</v>
      </c>
      <c r="H23" s="5">
        <v>4971620376201</v>
      </c>
      <c r="I23" s="5">
        <v>5</v>
      </c>
      <c r="J23" s="5"/>
      <c r="K23" s="5">
        <v>2</v>
      </c>
      <c r="L23" s="5">
        <v>2</v>
      </c>
      <c r="M23" s="4">
        <v>0</v>
      </c>
      <c r="N23" s="4">
        <v>180</v>
      </c>
      <c r="O23" s="4">
        <v>120</v>
      </c>
      <c r="P23" s="6">
        <v>0.33333333333333337</v>
      </c>
      <c r="Q23" s="4" t="s">
        <v>94</v>
      </c>
      <c r="R23" s="4" t="s">
        <v>94</v>
      </c>
      <c r="S23" s="4" t="s">
        <v>94</v>
      </c>
      <c r="T23" s="4">
        <v>0</v>
      </c>
      <c r="U23" s="4">
        <f>IF(X23="",T23,T23*X23)</f>
        <v>0</v>
      </c>
      <c r="V23" s="4">
        <v>146</v>
      </c>
      <c r="W23" s="4">
        <f t="shared" si="2"/>
        <v>146</v>
      </c>
      <c r="X23" s="4"/>
      <c r="Y23" s="21">
        <f t="shared" si="3"/>
        <v>219</v>
      </c>
      <c r="Z23" s="6">
        <f t="shared" si="4"/>
        <v>0.33333333333333337</v>
      </c>
      <c r="AA23" s="4">
        <v>666</v>
      </c>
      <c r="AB23" s="4" t="str">
        <f t="shared" si="5"/>
        <v>-</v>
      </c>
      <c r="AC23" s="4" t="str">
        <f t="shared" si="6"/>
        <v>-</v>
      </c>
      <c r="AD23" s="6" t="str">
        <f t="shared" si="7"/>
        <v>-</v>
      </c>
      <c r="AE23" s="4">
        <v>218.99999999999997</v>
      </c>
      <c r="AF23" s="7">
        <v>225</v>
      </c>
      <c r="AG23" s="6">
        <f t="shared" si="8"/>
        <v>0.35111111111111115</v>
      </c>
      <c r="AH23" s="4">
        <f t="shared" si="9"/>
        <v>79</v>
      </c>
      <c r="AI23" s="28">
        <v>225</v>
      </c>
      <c r="AJ23" s="6">
        <f t="shared" si="17"/>
        <v>0.35111111111111115</v>
      </c>
      <c r="AK23" s="4">
        <f t="shared" si="18"/>
        <v>79</v>
      </c>
      <c r="AL23" s="6" t="str">
        <f t="shared" si="10"/>
        <v>-</v>
      </c>
      <c r="AM23" s="6">
        <f t="shared" si="11"/>
        <v>1.25</v>
      </c>
      <c r="AN23" s="6">
        <f t="shared" si="12"/>
        <v>1.2166666666666666</v>
      </c>
      <c r="AO23" s="4" t="str">
        <f t="shared" si="19"/>
        <v>-</v>
      </c>
      <c r="AP23" s="4" t="str">
        <f t="shared" si="20"/>
        <v>-</v>
      </c>
      <c r="AQ23" s="4" t="str">
        <f t="shared" si="21"/>
        <v>-</v>
      </c>
      <c r="AR23" s="4">
        <v>0</v>
      </c>
      <c r="AS23" s="4" t="s">
        <v>94</v>
      </c>
      <c r="AT23" s="4"/>
      <c r="AU23" s="4"/>
      <c r="AV23" s="4" t="s">
        <v>94</v>
      </c>
      <c r="AW23" s="4" t="s">
        <v>94</v>
      </c>
      <c r="AX23" s="4" t="s">
        <v>94</v>
      </c>
      <c r="AY23" s="4" t="str">
        <f t="shared" si="13"/>
        <v>-</v>
      </c>
      <c r="AZ23" s="19">
        <v>4</v>
      </c>
      <c r="BA23" s="19">
        <v>1</v>
      </c>
      <c r="BB23" s="16">
        <v>6</v>
      </c>
      <c r="BD23" t="s">
        <v>95</v>
      </c>
      <c r="BE23" t="s">
        <v>94</v>
      </c>
      <c r="BF23" t="str">
        <f t="shared" si="14"/>
        <v>-</v>
      </c>
      <c r="BH23" t="s">
        <v>94</v>
      </c>
      <c r="BI23" t="s">
        <v>94</v>
      </c>
      <c r="BJ23" t="str">
        <f t="shared" si="15"/>
        <v>-</v>
      </c>
      <c r="BK23" t="s">
        <v>94</v>
      </c>
    </row>
    <row r="24" spans="1:63" x14ac:dyDescent="0.4">
      <c r="A24" s="3">
        <v>21</v>
      </c>
      <c r="B24" s="3">
        <v>11</v>
      </c>
      <c r="C24" s="35" t="s">
        <v>61</v>
      </c>
      <c r="D24" s="4" t="str">
        <f t="shared" si="0"/>
        <v>7442AY</v>
      </c>
      <c r="E24" s="4" t="s">
        <v>81</v>
      </c>
      <c r="F24" s="4" t="str">
        <f t="shared" si="16"/>
        <v>7442AY8</v>
      </c>
      <c r="G24" s="4" t="s">
        <v>89</v>
      </c>
      <c r="H24" s="5">
        <v>4971620376201</v>
      </c>
      <c r="I24" s="5">
        <v>8</v>
      </c>
      <c r="J24" s="5" t="str">
        <f>C24&amp;I24</f>
        <v>7442AY8</v>
      </c>
      <c r="K24" s="5"/>
      <c r="L24" s="5"/>
      <c r="M24" s="4">
        <v>0</v>
      </c>
      <c r="N24" s="4">
        <v>1700</v>
      </c>
      <c r="O24" s="4">
        <v>1200</v>
      </c>
      <c r="P24" s="6">
        <v>0.29411764705882348</v>
      </c>
      <c r="Q24" s="4" t="s">
        <v>94</v>
      </c>
      <c r="R24" s="4" t="s">
        <v>94</v>
      </c>
      <c r="S24" s="4" t="s">
        <v>94</v>
      </c>
      <c r="T24" s="4">
        <v>0</v>
      </c>
      <c r="U24" s="4">
        <v>0</v>
      </c>
      <c r="V24" s="4">
        <v>146</v>
      </c>
      <c r="W24" s="4">
        <f t="shared" si="2"/>
        <v>1460</v>
      </c>
      <c r="X24" s="4">
        <v>10</v>
      </c>
      <c r="Y24" s="21">
        <f t="shared" si="3"/>
        <v>2068</v>
      </c>
      <c r="Z24" s="6">
        <f t="shared" si="4"/>
        <v>0.29400386847195359</v>
      </c>
      <c r="AA24" s="4">
        <v>666</v>
      </c>
      <c r="AB24" s="4" t="str">
        <f t="shared" si="5"/>
        <v>-</v>
      </c>
      <c r="AC24" s="4" t="str">
        <f t="shared" si="6"/>
        <v>-</v>
      </c>
      <c r="AD24" s="6" t="str">
        <f t="shared" si="7"/>
        <v>-</v>
      </c>
      <c r="AE24" s="4" t="e">
        <v>#N/A</v>
      </c>
      <c r="AF24" s="7">
        <v>2100</v>
      </c>
      <c r="AG24" s="6">
        <f t="shared" si="8"/>
        <v>0.30476190476190479</v>
      </c>
      <c r="AH24" s="4">
        <f t="shared" si="9"/>
        <v>640</v>
      </c>
      <c r="AI24" s="28">
        <v>2100</v>
      </c>
      <c r="AJ24" s="6">
        <f t="shared" si="17"/>
        <v>0.30476190476190479</v>
      </c>
      <c r="AK24" s="4">
        <f t="shared" si="18"/>
        <v>640</v>
      </c>
      <c r="AL24" s="6" t="str">
        <f t="shared" si="10"/>
        <v>-</v>
      </c>
      <c r="AM24" s="6">
        <f t="shared" si="11"/>
        <v>1.2352941176470589</v>
      </c>
      <c r="AN24" s="6">
        <f t="shared" si="12"/>
        <v>1.2166666666666666</v>
      </c>
      <c r="AO24" s="4" t="str">
        <f t="shared" si="19"/>
        <v>-</v>
      </c>
      <c r="AP24" s="4" t="str">
        <f t="shared" si="20"/>
        <v>-</v>
      </c>
      <c r="AQ24" s="4" t="str">
        <f t="shared" si="21"/>
        <v>-</v>
      </c>
      <c r="AR24" s="4">
        <v>0</v>
      </c>
      <c r="AS24" s="4" t="s">
        <v>94</v>
      </c>
      <c r="AT24" s="4"/>
      <c r="AU24" s="4"/>
      <c r="AV24" s="4" t="s">
        <v>94</v>
      </c>
      <c r="AW24" s="4" t="s">
        <v>94</v>
      </c>
      <c r="AX24" s="4" t="s">
        <v>94</v>
      </c>
      <c r="AY24" s="4" t="str">
        <f t="shared" si="13"/>
        <v>-</v>
      </c>
      <c r="AZ24" s="19">
        <v>4</v>
      </c>
      <c r="BA24" s="19">
        <v>1</v>
      </c>
      <c r="BB24" s="16">
        <v>6</v>
      </c>
      <c r="BD24" t="s">
        <v>95</v>
      </c>
      <c r="BE24" t="s">
        <v>94</v>
      </c>
      <c r="BF24" t="str">
        <f t="shared" si="14"/>
        <v>-</v>
      </c>
      <c r="BH24" t="s">
        <v>94</v>
      </c>
      <c r="BI24" t="s">
        <v>94</v>
      </c>
      <c r="BJ24" t="str">
        <f t="shared" si="15"/>
        <v>-</v>
      </c>
      <c r="BK24" t="s">
        <v>94</v>
      </c>
    </row>
    <row r="25" spans="1:63" x14ac:dyDescent="0.4">
      <c r="A25" s="3">
        <v>12</v>
      </c>
      <c r="B25" s="3">
        <v>12</v>
      </c>
      <c r="C25" s="35" t="s">
        <v>62</v>
      </c>
      <c r="D25" s="4" t="str">
        <f t="shared" si="0"/>
        <v>7443AY</v>
      </c>
      <c r="E25" s="4" t="s">
        <v>62</v>
      </c>
      <c r="F25" s="4" t="str">
        <f t="shared" si="16"/>
        <v>7443AY5</v>
      </c>
      <c r="G25" s="4" t="s">
        <v>76</v>
      </c>
      <c r="H25" s="5">
        <v>4971620376300</v>
      </c>
      <c r="I25" s="5">
        <v>5</v>
      </c>
      <c r="J25" s="5"/>
      <c r="K25" s="5">
        <v>2</v>
      </c>
      <c r="L25" s="5">
        <v>2</v>
      </c>
      <c r="M25" s="4">
        <v>0</v>
      </c>
      <c r="N25" s="4">
        <v>230</v>
      </c>
      <c r="O25" s="4">
        <v>150</v>
      </c>
      <c r="P25" s="6">
        <v>0.34782608695652173</v>
      </c>
      <c r="Q25" s="4" t="s">
        <v>94</v>
      </c>
      <c r="R25" s="4" t="s">
        <v>94</v>
      </c>
      <c r="S25" s="4" t="s">
        <v>94</v>
      </c>
      <c r="T25" s="4">
        <v>0</v>
      </c>
      <c r="U25" s="4">
        <f>IF(X25="",T25,T25*X25)</f>
        <v>0</v>
      </c>
      <c r="V25" s="4">
        <v>182.5</v>
      </c>
      <c r="W25" s="4">
        <f t="shared" si="2"/>
        <v>182.5</v>
      </c>
      <c r="X25" s="4"/>
      <c r="Y25" s="21">
        <f t="shared" si="3"/>
        <v>280</v>
      </c>
      <c r="Z25" s="6">
        <f t="shared" si="4"/>
        <v>0.3482142857142857</v>
      </c>
      <c r="AA25" s="4">
        <v>666</v>
      </c>
      <c r="AB25" s="4">
        <f t="shared" si="5"/>
        <v>212</v>
      </c>
      <c r="AC25" s="4">
        <f t="shared" si="6"/>
        <v>257.93333333333334</v>
      </c>
      <c r="AD25" s="6">
        <f t="shared" si="7"/>
        <v>0.29245283018867929</v>
      </c>
      <c r="AE25" s="4">
        <v>279.83333333333331</v>
      </c>
      <c r="AF25" s="7">
        <v>280</v>
      </c>
      <c r="AG25" s="6">
        <f t="shared" si="8"/>
        <v>0.3482142857142857</v>
      </c>
      <c r="AH25" s="4">
        <f t="shared" si="9"/>
        <v>97.5</v>
      </c>
      <c r="AI25" s="28">
        <v>280</v>
      </c>
      <c r="AJ25" s="6">
        <f t="shared" si="17"/>
        <v>0.3482142857142857</v>
      </c>
      <c r="AK25" s="4">
        <f t="shared" si="18"/>
        <v>97.5</v>
      </c>
      <c r="AL25" s="6" t="str">
        <f t="shared" si="10"/>
        <v>-</v>
      </c>
      <c r="AM25" s="6">
        <f t="shared" si="11"/>
        <v>1.2173913043478262</v>
      </c>
      <c r="AN25" s="6">
        <f t="shared" si="12"/>
        <v>1.2166666666666666</v>
      </c>
      <c r="AO25" s="4" t="str">
        <f t="shared" si="19"/>
        <v>-</v>
      </c>
      <c r="AP25" s="4" t="str">
        <f t="shared" si="20"/>
        <v>-</v>
      </c>
      <c r="AQ25" s="4" t="str">
        <f t="shared" si="21"/>
        <v>-</v>
      </c>
      <c r="AR25" s="4">
        <v>0</v>
      </c>
      <c r="AS25" s="4" t="s">
        <v>110</v>
      </c>
      <c r="AT25" s="4"/>
      <c r="AU25" s="4"/>
      <c r="AV25" s="4" t="s">
        <v>109</v>
      </c>
      <c r="AW25" s="4">
        <v>212</v>
      </c>
      <c r="AX25" s="4">
        <v>212</v>
      </c>
      <c r="AY25" s="4">
        <f t="shared" si="13"/>
        <v>212</v>
      </c>
      <c r="AZ25" s="19">
        <v>4</v>
      </c>
      <c r="BA25" s="19">
        <v>1</v>
      </c>
      <c r="BB25" s="16">
        <v>6</v>
      </c>
      <c r="BD25" t="s">
        <v>95</v>
      </c>
      <c r="BE25" t="s">
        <v>94</v>
      </c>
      <c r="BF25" t="str">
        <f t="shared" si="14"/>
        <v>-</v>
      </c>
      <c r="BH25" t="s">
        <v>94</v>
      </c>
      <c r="BI25" t="s">
        <v>94</v>
      </c>
      <c r="BJ25" t="str">
        <f t="shared" si="15"/>
        <v>-</v>
      </c>
      <c r="BK25" t="s">
        <v>106</v>
      </c>
    </row>
    <row r="26" spans="1:63" x14ac:dyDescent="0.4">
      <c r="A26" s="3">
        <v>22</v>
      </c>
      <c r="B26" s="3">
        <v>12</v>
      </c>
      <c r="C26" s="35" t="s">
        <v>62</v>
      </c>
      <c r="D26" s="4" t="str">
        <f t="shared" si="0"/>
        <v>7443AY</v>
      </c>
      <c r="E26" s="4" t="s">
        <v>82</v>
      </c>
      <c r="F26" s="4" t="str">
        <f t="shared" si="16"/>
        <v>7443AY8</v>
      </c>
      <c r="G26" s="4" t="s">
        <v>90</v>
      </c>
      <c r="H26" s="5">
        <v>4971620376300</v>
      </c>
      <c r="I26" s="5">
        <v>8</v>
      </c>
      <c r="J26" s="5" t="str">
        <f>C26&amp;I26</f>
        <v>7443AY8</v>
      </c>
      <c r="K26" s="5"/>
      <c r="L26" s="5"/>
      <c r="M26" s="4">
        <v>0</v>
      </c>
      <c r="N26" s="4">
        <v>2180</v>
      </c>
      <c r="O26" s="4">
        <v>1500</v>
      </c>
      <c r="P26" s="6">
        <v>0.31192660550458717</v>
      </c>
      <c r="Q26" s="4" t="s">
        <v>94</v>
      </c>
      <c r="R26" s="4" t="s">
        <v>94</v>
      </c>
      <c r="S26" s="4" t="s">
        <v>94</v>
      </c>
      <c r="T26" s="4">
        <v>0</v>
      </c>
      <c r="U26" s="4">
        <v>0</v>
      </c>
      <c r="V26" s="4">
        <v>182.5</v>
      </c>
      <c r="W26" s="4">
        <f t="shared" si="2"/>
        <v>1825</v>
      </c>
      <c r="X26" s="4">
        <v>10</v>
      </c>
      <c r="Y26" s="21">
        <f t="shared" si="3"/>
        <v>2652</v>
      </c>
      <c r="Z26" s="6">
        <f t="shared" si="4"/>
        <v>0.31184012066365008</v>
      </c>
      <c r="AA26" s="4">
        <v>666</v>
      </c>
      <c r="AB26" s="4">
        <f t="shared" si="5"/>
        <v>2120</v>
      </c>
      <c r="AC26" s="4">
        <f t="shared" si="6"/>
        <v>2579.333333333333</v>
      </c>
      <c r="AD26" s="6">
        <f t="shared" si="7"/>
        <v>0.29245283018867918</v>
      </c>
      <c r="AE26" s="4" t="e">
        <v>#N/A</v>
      </c>
      <c r="AF26" s="7">
        <v>2578</v>
      </c>
      <c r="AG26" s="6">
        <f t="shared" si="8"/>
        <v>0.29208688906128777</v>
      </c>
      <c r="AH26" s="4">
        <f t="shared" si="9"/>
        <v>753</v>
      </c>
      <c r="AI26" s="28">
        <v>2578</v>
      </c>
      <c r="AJ26" s="6">
        <f t="shared" si="17"/>
        <v>0.29208688906128777</v>
      </c>
      <c r="AK26" s="4">
        <f t="shared" si="18"/>
        <v>753</v>
      </c>
      <c r="AL26" s="6" t="str">
        <f t="shared" si="10"/>
        <v>-</v>
      </c>
      <c r="AM26" s="6">
        <f t="shared" si="11"/>
        <v>1.1825688073394496</v>
      </c>
      <c r="AN26" s="6">
        <f t="shared" si="12"/>
        <v>1.2166666666666666</v>
      </c>
      <c r="AO26" s="4" t="str">
        <f t="shared" si="19"/>
        <v>-</v>
      </c>
      <c r="AP26" s="4" t="str">
        <f t="shared" si="20"/>
        <v>-</v>
      </c>
      <c r="AQ26" s="4" t="str">
        <f t="shared" si="21"/>
        <v>-</v>
      </c>
      <c r="AR26" s="4">
        <v>0</v>
      </c>
      <c r="AS26" s="4" t="s">
        <v>110</v>
      </c>
      <c r="AT26" s="4">
        <v>10</v>
      </c>
      <c r="AU26" s="4">
        <v>1</v>
      </c>
      <c r="AV26" s="4" t="s">
        <v>109</v>
      </c>
      <c r="AW26" s="4">
        <v>212</v>
      </c>
      <c r="AX26" s="4">
        <v>212</v>
      </c>
      <c r="AY26" s="4">
        <f t="shared" si="13"/>
        <v>2120</v>
      </c>
      <c r="AZ26" s="19">
        <v>4</v>
      </c>
      <c r="BA26" s="19">
        <v>1</v>
      </c>
      <c r="BB26" s="16">
        <v>6</v>
      </c>
      <c r="BD26" t="s">
        <v>95</v>
      </c>
      <c r="BE26" t="s">
        <v>94</v>
      </c>
      <c r="BF26" t="str">
        <f t="shared" si="14"/>
        <v>-</v>
      </c>
      <c r="BH26" t="s">
        <v>94</v>
      </c>
      <c r="BI26" t="s">
        <v>94</v>
      </c>
      <c r="BJ26" t="str">
        <f t="shared" si="15"/>
        <v>-</v>
      </c>
      <c r="BK26" t="s">
        <v>106</v>
      </c>
    </row>
    <row r="27" spans="1:63" x14ac:dyDescent="0.4">
      <c r="A27" s="3">
        <v>13</v>
      </c>
      <c r="B27" s="3">
        <v>13</v>
      </c>
      <c r="C27" s="34" t="s">
        <v>63</v>
      </c>
      <c r="D27" s="4" t="str">
        <f t="shared" si="0"/>
        <v>7444AY</v>
      </c>
      <c r="E27" s="4" t="s">
        <v>63</v>
      </c>
      <c r="F27" s="4" t="str">
        <f t="shared" si="16"/>
        <v>7444AY5</v>
      </c>
      <c r="G27" s="4" t="s">
        <v>77</v>
      </c>
      <c r="H27" s="5">
        <v>4971620376409</v>
      </c>
      <c r="I27" s="5">
        <v>5</v>
      </c>
      <c r="J27" s="5"/>
      <c r="K27" s="5">
        <v>2</v>
      </c>
      <c r="L27" s="5">
        <v>2</v>
      </c>
      <c r="M27" s="4">
        <v>0</v>
      </c>
      <c r="N27" s="4">
        <v>280</v>
      </c>
      <c r="O27" s="4">
        <v>180</v>
      </c>
      <c r="P27" s="6">
        <v>0.3571428571428571</v>
      </c>
      <c r="Q27" s="4" t="s">
        <v>94</v>
      </c>
      <c r="R27" s="4" t="s">
        <v>94</v>
      </c>
      <c r="S27" s="4" t="s">
        <v>94</v>
      </c>
      <c r="T27" s="4">
        <v>0</v>
      </c>
      <c r="U27" s="4">
        <f>IF(X27="",T27,T27*X27)</f>
        <v>0</v>
      </c>
      <c r="V27" s="4">
        <v>219</v>
      </c>
      <c r="W27" s="4">
        <f t="shared" si="2"/>
        <v>219</v>
      </c>
      <c r="X27" s="4"/>
      <c r="Y27" s="21">
        <f t="shared" si="3"/>
        <v>341</v>
      </c>
      <c r="Z27" s="6">
        <f t="shared" si="4"/>
        <v>0.35777126099706746</v>
      </c>
      <c r="AA27" s="4">
        <v>666</v>
      </c>
      <c r="AB27" s="4">
        <f t="shared" si="5"/>
        <v>249</v>
      </c>
      <c r="AC27" s="4">
        <f t="shared" si="6"/>
        <v>302.95</v>
      </c>
      <c r="AD27" s="6">
        <f t="shared" si="7"/>
        <v>0.27710843373493976</v>
      </c>
      <c r="AE27" s="4">
        <v>340.66666666666663</v>
      </c>
      <c r="AF27" s="7">
        <v>340</v>
      </c>
      <c r="AG27" s="6">
        <f t="shared" si="8"/>
        <v>0.35588235294117643</v>
      </c>
      <c r="AH27" s="4">
        <f t="shared" si="9"/>
        <v>121</v>
      </c>
      <c r="AI27" s="28">
        <v>340</v>
      </c>
      <c r="AJ27" s="6">
        <f t="shared" si="17"/>
        <v>0.35588235294117643</v>
      </c>
      <c r="AK27" s="4">
        <f t="shared" si="18"/>
        <v>121</v>
      </c>
      <c r="AL27" s="6" t="str">
        <f t="shared" si="10"/>
        <v>-</v>
      </c>
      <c r="AM27" s="6">
        <f t="shared" si="11"/>
        <v>1.2142857142857142</v>
      </c>
      <c r="AN27" s="6">
        <f t="shared" si="12"/>
        <v>1.2166666666666666</v>
      </c>
      <c r="AO27" s="4" t="str">
        <f t="shared" si="19"/>
        <v>-</v>
      </c>
      <c r="AP27" s="4" t="str">
        <f t="shared" si="20"/>
        <v>-</v>
      </c>
      <c r="AQ27" s="4" t="str">
        <f t="shared" si="21"/>
        <v>-</v>
      </c>
      <c r="AR27" s="4">
        <v>0</v>
      </c>
      <c r="AS27" s="4" t="s">
        <v>111</v>
      </c>
      <c r="AT27" s="4"/>
      <c r="AU27" s="4"/>
      <c r="AV27" s="4" t="s">
        <v>109</v>
      </c>
      <c r="AW27" s="4">
        <v>249</v>
      </c>
      <c r="AX27" s="4">
        <v>249</v>
      </c>
      <c r="AY27" s="4">
        <f t="shared" si="13"/>
        <v>249</v>
      </c>
      <c r="AZ27" s="19">
        <v>4</v>
      </c>
      <c r="BA27" s="19">
        <v>1</v>
      </c>
      <c r="BB27" s="16">
        <v>6</v>
      </c>
      <c r="BD27" t="s">
        <v>95</v>
      </c>
      <c r="BE27" t="s">
        <v>94</v>
      </c>
      <c r="BF27" t="str">
        <f t="shared" si="14"/>
        <v>-</v>
      </c>
      <c r="BH27" t="s">
        <v>94</v>
      </c>
      <c r="BI27" t="s">
        <v>94</v>
      </c>
      <c r="BJ27" t="str">
        <f t="shared" si="15"/>
        <v>-</v>
      </c>
      <c r="BK27" t="s">
        <v>107</v>
      </c>
    </row>
    <row r="28" spans="1:63" x14ac:dyDescent="0.4">
      <c r="A28" s="3">
        <v>23</v>
      </c>
      <c r="B28" s="3">
        <v>13</v>
      </c>
      <c r="C28" s="34" t="s">
        <v>63</v>
      </c>
      <c r="D28" s="4" t="str">
        <f t="shared" si="0"/>
        <v>7444AY</v>
      </c>
      <c r="E28" s="4" t="s">
        <v>83</v>
      </c>
      <c r="F28" s="4" t="str">
        <f t="shared" si="16"/>
        <v>7444AY8</v>
      </c>
      <c r="G28" s="4" t="s">
        <v>91</v>
      </c>
      <c r="H28" s="5">
        <v>4971620376409</v>
      </c>
      <c r="I28" s="5">
        <v>8</v>
      </c>
      <c r="J28" s="5" t="str">
        <f>C28&amp;I28</f>
        <v>7444AY8</v>
      </c>
      <c r="K28" s="5"/>
      <c r="L28" s="5"/>
      <c r="M28" s="4">
        <v>0</v>
      </c>
      <c r="N28" s="4">
        <v>2680</v>
      </c>
      <c r="O28" s="4">
        <v>1800</v>
      </c>
      <c r="P28" s="6">
        <v>0.32835820895522383</v>
      </c>
      <c r="Q28" s="4" t="s">
        <v>94</v>
      </c>
      <c r="R28" s="4" t="s">
        <v>94</v>
      </c>
      <c r="S28" s="4" t="s">
        <v>94</v>
      </c>
      <c r="T28" s="4">
        <v>0</v>
      </c>
      <c r="U28" s="4">
        <v>0</v>
      </c>
      <c r="V28" s="4">
        <v>219</v>
      </c>
      <c r="W28" s="4">
        <f t="shared" si="2"/>
        <v>2190</v>
      </c>
      <c r="X28" s="4">
        <v>10</v>
      </c>
      <c r="Y28" s="21">
        <f t="shared" si="3"/>
        <v>3261</v>
      </c>
      <c r="Z28" s="6">
        <f t="shared" si="4"/>
        <v>0.32842686292548295</v>
      </c>
      <c r="AA28" s="4">
        <v>666</v>
      </c>
      <c r="AB28" s="4">
        <f t="shared" si="5"/>
        <v>2490</v>
      </c>
      <c r="AC28" s="4">
        <f t="shared" si="6"/>
        <v>3029.4999999999995</v>
      </c>
      <c r="AD28" s="6">
        <f t="shared" si="7"/>
        <v>0.27710843373493965</v>
      </c>
      <c r="AE28" s="4" t="e">
        <v>#N/A</v>
      </c>
      <c r="AF28" s="7">
        <v>3020</v>
      </c>
      <c r="AG28" s="6">
        <f t="shared" si="8"/>
        <v>0.27483443708609268</v>
      </c>
      <c r="AH28" s="4">
        <f t="shared" si="9"/>
        <v>830</v>
      </c>
      <c r="AI28" s="28">
        <v>3020</v>
      </c>
      <c r="AJ28" s="6">
        <f t="shared" si="17"/>
        <v>0.27483443708609268</v>
      </c>
      <c r="AK28" s="4">
        <f t="shared" si="18"/>
        <v>830</v>
      </c>
      <c r="AL28" s="6" t="str">
        <f t="shared" si="10"/>
        <v>-</v>
      </c>
      <c r="AM28" s="6">
        <f t="shared" si="11"/>
        <v>1.1268656716417911</v>
      </c>
      <c r="AN28" s="6">
        <f t="shared" si="12"/>
        <v>1.2166666666666666</v>
      </c>
      <c r="AO28" s="4" t="str">
        <f t="shared" si="19"/>
        <v>-</v>
      </c>
      <c r="AP28" s="4" t="str">
        <f t="shared" si="20"/>
        <v>-</v>
      </c>
      <c r="AQ28" s="4" t="str">
        <f t="shared" si="21"/>
        <v>-</v>
      </c>
      <c r="AR28" s="4">
        <v>0</v>
      </c>
      <c r="AS28" s="4" t="s">
        <v>111</v>
      </c>
      <c r="AT28" s="4">
        <v>10</v>
      </c>
      <c r="AU28" s="4">
        <v>1</v>
      </c>
      <c r="AV28" s="4" t="s">
        <v>109</v>
      </c>
      <c r="AW28" s="4">
        <v>249</v>
      </c>
      <c r="AX28" s="4">
        <v>249</v>
      </c>
      <c r="AY28" s="4">
        <f t="shared" si="13"/>
        <v>2490</v>
      </c>
      <c r="AZ28" s="19">
        <v>4</v>
      </c>
      <c r="BA28" s="19">
        <v>1</v>
      </c>
      <c r="BB28" s="16">
        <v>6</v>
      </c>
      <c r="BD28" t="s">
        <v>95</v>
      </c>
      <c r="BE28" t="s">
        <v>94</v>
      </c>
      <c r="BF28" t="str">
        <f t="shared" si="14"/>
        <v>-</v>
      </c>
      <c r="BH28" t="s">
        <v>94</v>
      </c>
      <c r="BI28" t="s">
        <v>94</v>
      </c>
      <c r="BJ28" t="str">
        <f t="shared" si="15"/>
        <v>-</v>
      </c>
      <c r="BK28" t="s">
        <v>107</v>
      </c>
    </row>
    <row r="29" spans="1:63" x14ac:dyDescent="0.4">
      <c r="A29" s="3">
        <v>14</v>
      </c>
      <c r="B29" s="3">
        <v>14</v>
      </c>
      <c r="C29" s="34" t="s">
        <v>64</v>
      </c>
      <c r="D29" s="4" t="str">
        <f t="shared" si="0"/>
        <v>7445AY</v>
      </c>
      <c r="E29" s="4" t="s">
        <v>64</v>
      </c>
      <c r="F29" s="4" t="str">
        <f t="shared" si="16"/>
        <v>7445AY5</v>
      </c>
      <c r="G29" s="4" t="s">
        <v>78</v>
      </c>
      <c r="H29" s="5">
        <v>4971620376607</v>
      </c>
      <c r="I29" s="5">
        <v>5</v>
      </c>
      <c r="J29" s="5"/>
      <c r="K29" s="5">
        <v>2</v>
      </c>
      <c r="L29" s="5">
        <v>2</v>
      </c>
      <c r="M29" s="4">
        <v>0</v>
      </c>
      <c r="N29" s="4">
        <v>370</v>
      </c>
      <c r="O29" s="4">
        <v>240</v>
      </c>
      <c r="P29" s="6">
        <v>0.35135135135135132</v>
      </c>
      <c r="Q29" s="4" t="s">
        <v>94</v>
      </c>
      <c r="R29" s="4" t="s">
        <v>94</v>
      </c>
      <c r="S29" s="4" t="s">
        <v>94</v>
      </c>
      <c r="T29" s="4">
        <v>0</v>
      </c>
      <c r="U29" s="4">
        <f>IF(X29="",T29,T29*X29)</f>
        <v>0</v>
      </c>
      <c r="V29" s="4">
        <v>292</v>
      </c>
      <c r="W29" s="4">
        <f t="shared" si="2"/>
        <v>292</v>
      </c>
      <c r="X29" s="4"/>
      <c r="Y29" s="21">
        <f t="shared" si="3"/>
        <v>450</v>
      </c>
      <c r="Z29" s="6">
        <f t="shared" si="4"/>
        <v>0.35111111111111115</v>
      </c>
      <c r="AA29" s="4">
        <v>333</v>
      </c>
      <c r="AB29" s="4" t="str">
        <f t="shared" si="5"/>
        <v>-</v>
      </c>
      <c r="AC29" s="4" t="str">
        <f t="shared" si="6"/>
        <v>-</v>
      </c>
      <c r="AD29" s="6" t="str">
        <f t="shared" si="7"/>
        <v>-</v>
      </c>
      <c r="AE29" s="4">
        <v>450.16666666666663</v>
      </c>
      <c r="AF29" s="7">
        <v>460</v>
      </c>
      <c r="AG29" s="6">
        <f t="shared" si="8"/>
        <v>0.36521739130434783</v>
      </c>
      <c r="AH29" s="4">
        <f t="shared" si="9"/>
        <v>168</v>
      </c>
      <c r="AI29" s="28">
        <v>460</v>
      </c>
      <c r="AJ29" s="6">
        <f t="shared" si="17"/>
        <v>0.36521739130434783</v>
      </c>
      <c r="AK29" s="4">
        <f t="shared" si="18"/>
        <v>168</v>
      </c>
      <c r="AL29" s="6" t="str">
        <f t="shared" si="10"/>
        <v>-</v>
      </c>
      <c r="AM29" s="6">
        <f t="shared" si="11"/>
        <v>1.2432432432432432</v>
      </c>
      <c r="AN29" s="6">
        <f t="shared" si="12"/>
        <v>1.2166666666666666</v>
      </c>
      <c r="AO29" s="4" t="str">
        <f t="shared" si="19"/>
        <v>-</v>
      </c>
      <c r="AP29" s="4" t="str">
        <f t="shared" si="20"/>
        <v>-</v>
      </c>
      <c r="AQ29" s="4" t="str">
        <f t="shared" si="21"/>
        <v>-</v>
      </c>
      <c r="AR29" s="4">
        <v>0</v>
      </c>
      <c r="AS29" s="4" t="s">
        <v>94</v>
      </c>
      <c r="AT29" s="4"/>
      <c r="AU29" s="4"/>
      <c r="AV29" s="4" t="s">
        <v>94</v>
      </c>
      <c r="AW29" s="4" t="s">
        <v>94</v>
      </c>
      <c r="AX29" s="4" t="s">
        <v>94</v>
      </c>
      <c r="AY29" s="4" t="str">
        <f t="shared" si="13"/>
        <v>-</v>
      </c>
      <c r="AZ29" s="19">
        <v>4</v>
      </c>
      <c r="BA29" s="19">
        <v>1</v>
      </c>
      <c r="BB29" s="16">
        <v>6</v>
      </c>
      <c r="BD29" t="s">
        <v>95</v>
      </c>
      <c r="BE29" t="s">
        <v>94</v>
      </c>
      <c r="BF29" t="str">
        <f t="shared" si="14"/>
        <v>-</v>
      </c>
      <c r="BH29" t="s">
        <v>94</v>
      </c>
      <c r="BI29" t="s">
        <v>94</v>
      </c>
      <c r="BJ29" t="str">
        <f t="shared" si="15"/>
        <v>-</v>
      </c>
      <c r="BK29" t="s">
        <v>94</v>
      </c>
    </row>
    <row r="30" spans="1:63" x14ac:dyDescent="0.4">
      <c r="A30" s="3">
        <v>24</v>
      </c>
      <c r="B30" s="3">
        <v>14</v>
      </c>
      <c r="C30" s="34" t="s">
        <v>64</v>
      </c>
      <c r="D30" s="4" t="str">
        <f t="shared" si="0"/>
        <v>7445AY</v>
      </c>
      <c r="E30" s="4" t="s">
        <v>84</v>
      </c>
      <c r="F30" s="4" t="str">
        <f t="shared" si="16"/>
        <v>7445AY8</v>
      </c>
      <c r="G30" s="4" t="s">
        <v>92</v>
      </c>
      <c r="H30" s="5">
        <v>4971620376607</v>
      </c>
      <c r="I30" s="5">
        <v>8</v>
      </c>
      <c r="J30" s="5" t="str">
        <f>C30&amp;I30</f>
        <v>7445AY8</v>
      </c>
      <c r="K30" s="5"/>
      <c r="L30" s="5"/>
      <c r="M30" s="4">
        <v>0</v>
      </c>
      <c r="N30" s="4">
        <v>1780</v>
      </c>
      <c r="O30" s="4">
        <v>1200</v>
      </c>
      <c r="P30" s="6">
        <v>0.3258426966292135</v>
      </c>
      <c r="Q30" s="4" t="s">
        <v>94</v>
      </c>
      <c r="R30" s="4" t="s">
        <v>94</v>
      </c>
      <c r="S30" s="4" t="s">
        <v>94</v>
      </c>
      <c r="T30" s="4">
        <v>0</v>
      </c>
      <c r="U30" s="4">
        <v>0</v>
      </c>
      <c r="V30" s="4">
        <v>292</v>
      </c>
      <c r="W30" s="4">
        <f t="shared" si="2"/>
        <v>1460</v>
      </c>
      <c r="X30" s="4">
        <v>5</v>
      </c>
      <c r="Y30" s="21">
        <f t="shared" si="3"/>
        <v>2166</v>
      </c>
      <c r="Z30" s="6">
        <f t="shared" si="4"/>
        <v>0.32594644506001846</v>
      </c>
      <c r="AA30" s="4">
        <v>333</v>
      </c>
      <c r="AB30" s="4" t="str">
        <f t="shared" si="5"/>
        <v>-</v>
      </c>
      <c r="AC30" s="4" t="str">
        <f t="shared" si="6"/>
        <v>-</v>
      </c>
      <c r="AD30" s="6" t="str">
        <f t="shared" si="7"/>
        <v>-</v>
      </c>
      <c r="AE30" s="4" t="e">
        <v>#N/A</v>
      </c>
      <c r="AF30" s="7">
        <v>2150</v>
      </c>
      <c r="AG30" s="6">
        <f t="shared" si="8"/>
        <v>0.32093023255813957</v>
      </c>
      <c r="AH30" s="4">
        <f t="shared" si="9"/>
        <v>690</v>
      </c>
      <c r="AI30" s="28">
        <v>2150</v>
      </c>
      <c r="AJ30" s="6">
        <f t="shared" si="17"/>
        <v>0.32093023255813957</v>
      </c>
      <c r="AK30" s="4">
        <f t="shared" si="18"/>
        <v>690</v>
      </c>
      <c r="AL30" s="6" t="str">
        <f t="shared" si="10"/>
        <v>-</v>
      </c>
      <c r="AM30" s="6">
        <f t="shared" si="11"/>
        <v>1.2078651685393258</v>
      </c>
      <c r="AN30" s="6">
        <f t="shared" si="12"/>
        <v>1.2166666666666666</v>
      </c>
      <c r="AO30" s="4" t="str">
        <f t="shared" si="19"/>
        <v>-</v>
      </c>
      <c r="AP30" s="4" t="str">
        <f t="shared" si="20"/>
        <v>-</v>
      </c>
      <c r="AQ30" s="4" t="str">
        <f t="shared" si="21"/>
        <v>-</v>
      </c>
      <c r="AR30" s="4">
        <v>0</v>
      </c>
      <c r="AS30" s="4" t="s">
        <v>94</v>
      </c>
      <c r="AT30" s="4"/>
      <c r="AU30" s="4"/>
      <c r="AV30" s="4" t="s">
        <v>94</v>
      </c>
      <c r="AW30" s="4" t="s">
        <v>94</v>
      </c>
      <c r="AX30" s="4" t="s">
        <v>94</v>
      </c>
      <c r="AY30" s="4" t="str">
        <f t="shared" si="13"/>
        <v>-</v>
      </c>
      <c r="AZ30" s="19">
        <v>4</v>
      </c>
      <c r="BA30" s="19">
        <v>1</v>
      </c>
      <c r="BB30" s="16">
        <v>6</v>
      </c>
      <c r="BD30" t="s">
        <v>95</v>
      </c>
      <c r="BE30" t="s">
        <v>94</v>
      </c>
      <c r="BF30" t="str">
        <f t="shared" si="14"/>
        <v>-</v>
      </c>
      <c r="BH30" t="s">
        <v>94</v>
      </c>
      <c r="BI30" t="s">
        <v>94</v>
      </c>
      <c r="BJ30" t="str">
        <f t="shared" si="15"/>
        <v>-</v>
      </c>
      <c r="BK30" t="s">
        <v>94</v>
      </c>
    </row>
  </sheetData>
  <autoFilter ref="A3:BK30" xr:uid="{7A1660CF-9003-4B2D-B659-7F339ED5B476}">
    <sortState xmlns:xlrd2="http://schemas.microsoft.com/office/spreadsheetml/2017/richdata2" ref="A4:BK30">
      <sortCondition ref="B4:B30"/>
    </sortState>
  </autoFilter>
  <mergeCells count="3">
    <mergeCell ref="M2:P2"/>
    <mergeCell ref="K2:L2"/>
    <mergeCell ref="T1:W1"/>
  </mergeCells>
  <phoneticPr fontId="2"/>
  <conditionalFormatting sqref="AC4:AC30">
    <cfRule type="cellIs" dxfId="5" priority="5" operator="lessThan">
      <formula>$AF4</formula>
    </cfRule>
  </conditionalFormatting>
  <conditionalFormatting sqref="AF4:AF30">
    <cfRule type="cellIs" dxfId="4" priority="7" operator="greaterThan">
      <formula>$U4</formula>
    </cfRule>
  </conditionalFormatting>
  <conditionalFormatting sqref="AG4:AG30">
    <cfRule type="cellIs" dxfId="3" priority="4" operator="lessThan">
      <formula>0.2</formula>
    </cfRule>
  </conditionalFormatting>
  <conditionalFormatting sqref="AX4:AX30">
    <cfRule type="cellIs" dxfId="2" priority="3" operator="notEqual">
      <formula>$AW4</formula>
    </cfRule>
  </conditionalFormatting>
  <conditionalFormatting sqref="BE4:BE5 BD6:BE6 BE7:BE30">
    <cfRule type="cellIs" dxfId="1" priority="1" operator="notEqual">
      <formula>$BD4</formula>
    </cfRule>
  </conditionalFormatting>
  <conditionalFormatting sqref="BI4:BI30">
    <cfRule type="cellIs" dxfId="0" priority="2" operator="notEqual">
      <formula>$BH4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2026-07-15T10:16:16Z</dcterms:modified>
</cp:coreProperties>
</file>