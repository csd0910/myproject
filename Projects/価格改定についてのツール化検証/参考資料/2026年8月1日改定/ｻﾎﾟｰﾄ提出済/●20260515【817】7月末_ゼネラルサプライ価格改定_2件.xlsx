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13_ncr:1_{3E345489-64E2-415F-A06B-D9E3BABCCA2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4" i="1"/>
  <c r="BJ4" i="1" l="1"/>
  <c r="AH4" i="1" s="1"/>
  <c r="BJ5" i="1"/>
  <c r="AH5" i="1" s="1"/>
  <c r="AC4" i="1"/>
  <c r="AS4" i="1" s="1"/>
  <c r="BQ4" i="1" s="1"/>
  <c r="AC5" i="1"/>
  <c r="AA4" i="1"/>
  <c r="AQ4" i="1" s="1"/>
  <c r="AA5" i="1"/>
  <c r="AQ5" i="1" s="1"/>
  <c r="D4" i="1"/>
  <c r="D5" i="1"/>
  <c r="AR5" i="1"/>
  <c r="P5" i="1"/>
  <c r="AR4" i="1"/>
  <c r="P4" i="1"/>
  <c r="AE4" i="1" l="1"/>
  <c r="AF4" i="1" s="1"/>
  <c r="BU4" i="1"/>
  <c r="AL4" i="1"/>
  <c r="AS5" i="1"/>
  <c r="BQ5" i="1" s="1"/>
  <c r="AI4" i="1"/>
  <c r="AJ4" i="1" s="1"/>
  <c r="AM5" i="1"/>
  <c r="AM4" i="1"/>
  <c r="AL5" i="1"/>
  <c r="AE5" i="1" l="1"/>
  <c r="AF5" i="1" s="1"/>
  <c r="BU5" i="1"/>
  <c r="AI5" i="1"/>
  <c r="AJ5" i="1" s="1"/>
</calcChain>
</file>

<file path=xl/sharedStrings.xml><?xml version="1.0" encoding="utf-8"?>
<sst xmlns="http://schemas.openxmlformats.org/spreadsheetml/2006/main" count="94" uniqueCount="82">
  <si>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</si>
  <si>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</si>
  <si>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</si>
  <si>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</si>
  <si>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</si>
  <si>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</si>
  <si>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</si>
  <si>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</si>
  <si>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</si>
  <si>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</si>
  <si>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</si>
  <si>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</si>
  <si>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</si>
  <si>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</si>
  <si>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</si>
  <si>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</si>
  <si>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</si>
  <si>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</si>
  <si>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</si>
  <si>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</si>
  <si>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</si>
  <si>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</si>
  <si>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</si>
  <si>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</si>
  <si>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</si>
  <si>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</si>
  <si>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</si>
  <si>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</si>
  <si>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</si>
  <si>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</si>
  <si>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</si>
  <si>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</si>
  <si>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</si>
  <si>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</si>
  <si>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</si>
  <si>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</si>
  <si>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</si>
  <si>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</si>
  <si>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</si>
  <si>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</si>
  <si>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</si>
  <si>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</si>
  <si>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</si>
  <si>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</si>
  <si>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</si>
  <si>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</si>
  <si>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</si>
  <si>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</si>
  <si>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</si>
  <si>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</si>
  <si>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</si>
  <si>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</si>
  <si>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</si>
  <si>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</si>
  <si>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</si>
  <si>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</si>
  <si>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</si>
  <si>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</si>
  <si>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</si>
  <si>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</si>
  <si>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</si>
  <si>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</si>
  <si>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</si>
  <si>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34/318</t>
  </si>
  <si>
    <t>G)ｾﾞﾈﾗﾙ/ｲｰｼﾞｰｷｬﾋﾞﾈｯﾄ ｴｺ普及型 A4用/EC-001</t>
  </si>
  <si>
    <t>G)ｾﾞﾈﾗﾙ/ｲｰｼﾞｰｷｬﾋﾞﾈｯﾄ 強化型 A4用/ECK001</t>
  </si>
  <si>
    <t>-</t>
    <phoneticPr fontId="2"/>
  </si>
  <si>
    <t>ゼネラル　文書保存箱　イージーキャビネット　エコ普及型　引き出しタイプ　A4用　EC-001</t>
  </si>
  <si>
    <t>WW48905</t>
  </si>
  <si>
    <t>ゼネラル イージーキャビネット ECK-001 1枚（直送品）</t>
  </si>
  <si>
    <t>6月売価</t>
    <rPh sb="1" eb="2">
      <t>ガツ</t>
    </rPh>
    <rPh sb="2" eb="4">
      <t>バイカ</t>
    </rPh>
    <phoneticPr fontId="2"/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</si>
  <si>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</si>
  <si>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</si>
  <si>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</si>
  <si>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カウ
ｽﾗｲﾄﾞ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</si>
  <si>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</si>
  <si>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</si>
  <si>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品目+
FW荷姿</t>
    <rPh sb="0" eb="2">
      <t>ヒンモク</t>
    </rPh>
    <rPh sb="6" eb="8">
      <t>ニスガタ</t>
    </rPh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</si>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</sst>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6" borderId="3" xfId="0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V5"/>
  <sheetViews>
    <sheetView tabSelected="1" zoomScale="90" zoomScaleNormal="90" workbookViewId="0">
      <pane xSplit="8" ySplit="4" topLeftCell="AG5" activePane="bottomRight" state="frozen"/>
      <selection pane="topRight" activeCell="G1" sqref="G1"/>
      <selection pane="bottomLeft" activeCell="A5" sqref="A5"/>
      <selection pane="bottomRight" activeCell="AS2" sqref="AS2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625" customWidth="1" collapsed="1"/>
    <col min="27" max="29" width="7.625" customWidth="1"/>
    <col min="30" max="30" width="4.375" customWidth="1" collapsed="1"/>
    <col min="31" max="32" width="7.625" customWidth="1"/>
    <col min="33" max="33" width="7.6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60" width="7.625" customWidth="1" outlineLevel="1"/>
    <col min="61" max="65" width="7.625" customWidth="1"/>
    <col min="66" max="67" width="7.625" hidden="1" customWidth="1" outlineLevel="1"/>
    <col min="68" max="68" width="7.625" customWidth="1" collapsed="1"/>
    <col min="69" max="69" width="7.625" customWidth="1"/>
    <col min="70" max="71" width="7.625" hidden="1" customWidth="1" outlineLevel="1"/>
    <col min="72" max="72" width="7.625" customWidth="1" collapsed="1"/>
    <col min="73" max="73" width="7.625" customWidth="1"/>
  </cols>
  <sheetData>
    <row r="1" spans="1:74" x14ac:dyDescent="0.4">
      <c r="C1" s="29" t="s">
        <v>48</v>
      </c>
      <c r="Z1" s="48" t="s">
        <v>46</v>
      </c>
      <c r="AA1" s="49"/>
      <c r="AB1" s="49"/>
      <c r="AC1" s="50"/>
      <c r="AS1" t="s">
        <v>81</v>
      </c>
    </row>
    <row r="2" spans="1:74" x14ac:dyDescent="0.4">
      <c r="C2" s="8" t="s">
        <v>33</v>
      </c>
      <c r="D2" s="9" t="s">
        <v>34</v>
      </c>
      <c r="E2" s="9" t="s">
        <v>35</v>
      </c>
      <c r="F2" s="9"/>
      <c r="G2" s="10"/>
      <c r="H2" s="10"/>
      <c r="I2" s="37"/>
      <c r="J2" s="37"/>
      <c r="K2" s="45" t="s">
        <v>36</v>
      </c>
      <c r="L2" s="47"/>
      <c r="M2" s="45" t="s">
        <v>2</v>
      </c>
      <c r="N2" s="46"/>
      <c r="O2" s="46"/>
      <c r="P2" s="47"/>
      <c r="Q2" s="11"/>
      <c r="R2" s="36"/>
      <c r="S2" s="36"/>
      <c r="T2" s="36"/>
      <c r="U2" s="36"/>
      <c r="V2" s="36"/>
      <c r="W2" s="36"/>
      <c r="X2" s="36"/>
      <c r="Y2" s="36"/>
      <c r="Z2" s="23"/>
      <c r="AA2" s="24" t="s">
        <v>39</v>
      </c>
      <c r="AB2" s="24"/>
      <c r="AC2" s="25" t="s">
        <v>39</v>
      </c>
      <c r="AD2" s="10"/>
      <c r="AE2" s="9" t="s">
        <v>44</v>
      </c>
      <c r="AF2" s="11"/>
      <c r="AG2" s="31"/>
      <c r="AH2" s="11"/>
      <c r="AI2" s="31"/>
      <c r="AJ2" s="1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4" ht="75" x14ac:dyDescent="0.4">
      <c r="A3" s="1" t="s">
        <v>56</v>
      </c>
      <c r="B3" s="1" t="s">
        <v>62</v>
      </c>
      <c r="C3" s="2" t="s">
        <v>4</v>
      </c>
      <c r="D3" s="2" t="s">
        <v>9</v>
      </c>
      <c r="E3" s="2" t="s">
        <v>10</v>
      </c>
      <c r="F3" s="44" t="s">
        <v>77</v>
      </c>
      <c r="G3" s="2" t="s">
        <v>0</v>
      </c>
      <c r="H3" s="12" t="s">
        <v>7</v>
      </c>
      <c r="I3" s="12" t="s">
        <v>58</v>
      </c>
      <c r="J3" s="12" t="s">
        <v>59</v>
      </c>
      <c r="K3" s="12" t="s">
        <v>30</v>
      </c>
      <c r="L3" s="12" t="s">
        <v>31</v>
      </c>
      <c r="M3" s="12" t="s">
        <v>1</v>
      </c>
      <c r="N3" s="2" t="s">
        <v>8</v>
      </c>
      <c r="O3" s="2" t="s">
        <v>5</v>
      </c>
      <c r="P3" s="2" t="s">
        <v>16</v>
      </c>
      <c r="Q3" s="12" t="s">
        <v>52</v>
      </c>
      <c r="R3" s="12" t="s">
        <v>20</v>
      </c>
      <c r="S3" s="12" t="s">
        <v>21</v>
      </c>
      <c r="T3" s="12" t="s">
        <v>53</v>
      </c>
      <c r="U3" s="12" t="s">
        <v>23</v>
      </c>
      <c r="V3" s="12" t="s">
        <v>24</v>
      </c>
      <c r="W3" s="12" t="s">
        <v>54</v>
      </c>
      <c r="X3" s="12" t="s">
        <v>26</v>
      </c>
      <c r="Y3" s="12" t="s">
        <v>27</v>
      </c>
      <c r="Z3" s="12" t="s">
        <v>3</v>
      </c>
      <c r="AA3" s="12" t="s">
        <v>28</v>
      </c>
      <c r="AB3" s="2" t="s">
        <v>5</v>
      </c>
      <c r="AC3" s="12" t="s">
        <v>29</v>
      </c>
      <c r="AD3" s="14" t="s">
        <v>6</v>
      </c>
      <c r="AE3" s="20" t="s">
        <v>17</v>
      </c>
      <c r="AF3" s="2" t="s">
        <v>16</v>
      </c>
      <c r="AG3" s="32" t="s">
        <v>49</v>
      </c>
      <c r="AH3" s="12" t="s">
        <v>45</v>
      </c>
      <c r="AI3" s="38" t="s">
        <v>60</v>
      </c>
      <c r="AJ3" s="2" t="s">
        <v>16</v>
      </c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61</v>
      </c>
      <c r="BH3" s="12" t="s">
        <v>70</v>
      </c>
      <c r="BI3" s="2" t="s">
        <v>78</v>
      </c>
      <c r="BJ3" s="2" t="s">
        <v>15</v>
      </c>
      <c r="BK3" s="18" t="s">
        <v>50</v>
      </c>
      <c r="BL3" s="18" t="s">
        <v>51</v>
      </c>
      <c r="BM3" s="15" t="s">
        <v>57</v>
      </c>
      <c r="BN3" s="43" t="s">
        <v>71</v>
      </c>
      <c r="BO3" s="43" t="s">
        <v>75</v>
      </c>
      <c r="BP3" s="40" t="s">
        <v>79</v>
      </c>
      <c r="BQ3" s="41" t="s">
        <v>72</v>
      </c>
      <c r="BR3" s="41" t="s">
        <v>73</v>
      </c>
      <c r="BS3" s="41" t="s">
        <v>76</v>
      </c>
      <c r="BT3" s="41" t="s">
        <v>80</v>
      </c>
      <c r="BU3" s="41" t="s">
        <v>74</v>
      </c>
      <c r="BV3" s="35" t="s">
        <v>55</v>
      </c>
    </row>
    <row r="4" spans="1:74" x14ac:dyDescent="0.4">
      <c r="A4" s="39">
        <v>2</v>
      </c>
      <c r="B4" s="3">
        <v>2</v>
      </c>
      <c r="C4" s="4">
        <v>198380</v>
      </c>
      <c r="D4" s="4" t="str">
        <f t="shared" ref="D4:D5" si="0">TEXT(C4,"000000")</f>
        <v>198380</v>
      </c>
      <c r="E4" s="4">
        <v>198380</v>
      </c>
      <c r="F4" s="4" t="str">
        <f>C4&amp;I4</f>
        <v>1983805</v>
      </c>
      <c r="G4" s="4" t="s">
        <v>64</v>
      </c>
      <c r="H4" s="5">
        <v>4973772710100</v>
      </c>
      <c r="I4" s="5">
        <v>5</v>
      </c>
      <c r="J4" s="5"/>
      <c r="K4" s="5">
        <v>1</v>
      </c>
      <c r="L4" s="5">
        <v>1</v>
      </c>
      <c r="M4" s="4">
        <v>4500</v>
      </c>
      <c r="N4" s="4">
        <v>3295</v>
      </c>
      <c r="O4" s="4">
        <v>2250</v>
      </c>
      <c r="P4" s="6">
        <f t="shared" ref="P4:P5" si="1">1-O4/N4</f>
        <v>0.3171471927162367</v>
      </c>
      <c r="Q4" s="4" t="s">
        <v>66</v>
      </c>
      <c r="R4" s="4"/>
      <c r="S4" s="4"/>
      <c r="T4" s="4"/>
      <c r="U4" s="4"/>
      <c r="V4" s="4"/>
      <c r="W4" s="4"/>
      <c r="X4" s="4"/>
      <c r="Y4" s="4"/>
      <c r="Z4" s="4">
        <v>4900</v>
      </c>
      <c r="AA4" s="4">
        <f t="shared" ref="AA4:AA5" si="2">IF(AD4="",Z4,Z4*AD4)</f>
        <v>4900</v>
      </c>
      <c r="AB4" s="4">
        <v>2450</v>
      </c>
      <c r="AC4" s="4">
        <f t="shared" ref="AC4:AC5" si="3">IF(AD4="",AB4,AB4*AD4)</f>
        <v>2450</v>
      </c>
      <c r="AD4" s="4"/>
      <c r="AE4" s="21">
        <f t="shared" ref="AE4:AE5" si="4">ROUND(N4*AS4,0)</f>
        <v>3588</v>
      </c>
      <c r="AF4" s="6">
        <f t="shared" ref="AF4" si="5">1-AC4/AE4</f>
        <v>0.31716833890746932</v>
      </c>
      <c r="AG4" s="33">
        <v>14.75</v>
      </c>
      <c r="AH4" s="4">
        <f t="shared" ref="AH4:AH5" si="6">BJ4</f>
        <v>3281</v>
      </c>
      <c r="AI4" s="33">
        <f t="shared" ref="AI4:AI5" si="7">AH4*AS4</f>
        <v>3572.6444444444442</v>
      </c>
      <c r="AJ4" s="6">
        <f t="shared" ref="AJ4:AJ5" si="8">1-AC4/AI4</f>
        <v>0.31423346540688812</v>
      </c>
      <c r="AK4" s="7">
        <v>3572</v>
      </c>
      <c r="AL4" s="6">
        <f t="shared" ref="AL4:AL5" si="9">1-AC4/AK4</f>
        <v>0.31410974244120937</v>
      </c>
      <c r="AM4" s="4">
        <f t="shared" ref="AM4:AM5" si="10">AK4-AC4</f>
        <v>1122</v>
      </c>
      <c r="AN4" s="28"/>
      <c r="AO4" s="6"/>
      <c r="AP4" s="6"/>
      <c r="AQ4" s="6">
        <f t="shared" ref="AQ4:AQ5" si="11">AA4/M4</f>
        <v>1.0888888888888888</v>
      </c>
      <c r="AR4" s="6">
        <f t="shared" ref="AR4:AR5" si="12">AK4/N4</f>
        <v>1.0840667678300455</v>
      </c>
      <c r="AS4" s="6">
        <f t="shared" ref="AS4:AS5" si="13">AC4/O4</f>
        <v>1.0888888888888888</v>
      </c>
      <c r="AT4" s="4"/>
      <c r="AU4" s="4"/>
      <c r="AV4" s="4"/>
      <c r="AW4" s="4"/>
      <c r="AX4" s="4"/>
      <c r="AY4" s="4"/>
      <c r="AZ4" s="4"/>
      <c r="BA4" s="4"/>
      <c r="BB4" s="4"/>
      <c r="BC4" s="4">
        <v>0</v>
      </c>
      <c r="BD4" s="4">
        <v>348109</v>
      </c>
      <c r="BE4" s="4"/>
      <c r="BF4" s="4"/>
      <c r="BG4" s="4">
        <v>3281</v>
      </c>
      <c r="BH4" s="4">
        <v>3281</v>
      </c>
      <c r="BI4" s="4">
        <v>3281</v>
      </c>
      <c r="BJ4" s="4">
        <f>IF(BE4="",BI4,BE4/BF4*BI4)</f>
        <v>3281</v>
      </c>
      <c r="BK4" s="19">
        <v>2</v>
      </c>
      <c r="BL4" s="19">
        <v>1</v>
      </c>
      <c r="BM4" s="16">
        <v>3</v>
      </c>
      <c r="BN4" s="42">
        <v>3281</v>
      </c>
      <c r="BO4" s="42">
        <v>3281</v>
      </c>
      <c r="BP4" s="34">
        <v>3281</v>
      </c>
      <c r="BQ4" s="35">
        <f t="shared" ref="BQ4:BQ5" si="14">BP4*AS4</f>
        <v>3572.6444444444442</v>
      </c>
      <c r="BR4" s="35">
        <v>3938</v>
      </c>
      <c r="BS4" s="35">
        <v>3938</v>
      </c>
      <c r="BT4" s="35">
        <v>3938</v>
      </c>
      <c r="BU4" s="35">
        <f t="shared" ref="BU4:BU5" si="15">BT4*AS4</f>
        <v>4288.0444444444438</v>
      </c>
      <c r="BV4" t="s">
        <v>67</v>
      </c>
    </row>
    <row r="5" spans="1:74" x14ac:dyDescent="0.4">
      <c r="A5" s="39">
        <v>3</v>
      </c>
      <c r="B5" s="3">
        <v>3</v>
      </c>
      <c r="C5" s="17">
        <v>685420</v>
      </c>
      <c r="D5" s="4" t="str">
        <f t="shared" si="0"/>
        <v>685420</v>
      </c>
      <c r="E5" s="4">
        <v>685420</v>
      </c>
      <c r="F5" s="4" t="str">
        <f>C5&amp;I5</f>
        <v>6854205</v>
      </c>
      <c r="G5" s="4" t="s">
        <v>65</v>
      </c>
      <c r="H5" s="5">
        <v>4973772008375</v>
      </c>
      <c r="I5" s="5">
        <v>5</v>
      </c>
      <c r="J5" s="5"/>
      <c r="K5" s="5">
        <v>1</v>
      </c>
      <c r="L5" s="5">
        <v>1</v>
      </c>
      <c r="M5" s="4">
        <v>5100</v>
      </c>
      <c r="N5" s="4">
        <v>3910</v>
      </c>
      <c r="O5" s="4">
        <v>2550</v>
      </c>
      <c r="P5" s="6">
        <f t="shared" si="1"/>
        <v>0.34782608695652173</v>
      </c>
      <c r="Q5" s="4" t="s">
        <v>66</v>
      </c>
      <c r="R5" s="4"/>
      <c r="S5" s="4"/>
      <c r="T5" s="4"/>
      <c r="U5" s="4"/>
      <c r="V5" s="4"/>
      <c r="W5" s="4"/>
      <c r="X5" s="4"/>
      <c r="Y5" s="4"/>
      <c r="Z5" s="4">
        <v>5500</v>
      </c>
      <c r="AA5" s="4">
        <f t="shared" si="2"/>
        <v>5500</v>
      </c>
      <c r="AB5" s="4">
        <v>2750</v>
      </c>
      <c r="AC5" s="4">
        <f t="shared" si="3"/>
        <v>2750</v>
      </c>
      <c r="AD5" s="4"/>
      <c r="AE5" s="21">
        <f t="shared" si="4"/>
        <v>4217</v>
      </c>
      <c r="AF5" s="6">
        <f t="shared" ref="AF5" si="16">1-AC5/AE5</f>
        <v>0.34787763813137307</v>
      </c>
      <c r="AG5" s="33">
        <v>9</v>
      </c>
      <c r="AH5" s="4">
        <f t="shared" si="6"/>
        <v>4800</v>
      </c>
      <c r="AI5" s="33">
        <f t="shared" si="7"/>
        <v>5176.4705882352937</v>
      </c>
      <c r="AJ5" s="6">
        <f t="shared" si="8"/>
        <v>0.46875</v>
      </c>
      <c r="AK5" s="7">
        <v>4350</v>
      </c>
      <c r="AL5" s="6">
        <f t="shared" si="9"/>
        <v>0.36781609195402298</v>
      </c>
      <c r="AM5" s="4">
        <f t="shared" si="10"/>
        <v>1600</v>
      </c>
      <c r="AN5" s="28"/>
      <c r="AO5" s="6"/>
      <c r="AP5" s="6"/>
      <c r="AQ5" s="6">
        <f t="shared" si="11"/>
        <v>1.0784313725490196</v>
      </c>
      <c r="AR5" s="6">
        <f t="shared" si="12"/>
        <v>1.1125319693094629</v>
      </c>
      <c r="AS5" s="6">
        <f t="shared" si="13"/>
        <v>1.0784313725490196</v>
      </c>
      <c r="AT5" s="4"/>
      <c r="AU5" s="4"/>
      <c r="AV5" s="4"/>
      <c r="AW5" s="4"/>
      <c r="AX5" s="4"/>
      <c r="AY5" s="4"/>
      <c r="AZ5" s="4"/>
      <c r="BA5" s="4"/>
      <c r="BB5" s="4"/>
      <c r="BC5" s="4" t="s">
        <v>63</v>
      </c>
      <c r="BD5" s="4" t="s">
        <v>68</v>
      </c>
      <c r="BE5" s="4"/>
      <c r="BF5" s="4"/>
      <c r="BG5" s="4">
        <v>4800</v>
      </c>
      <c r="BH5" s="4">
        <v>4800</v>
      </c>
      <c r="BI5" s="4">
        <v>4800</v>
      </c>
      <c r="BJ5" s="4">
        <f t="shared" ref="BJ5" si="17">IF(BE5="",BI5,BE5/BF5*BI5)</f>
        <v>4800</v>
      </c>
      <c r="BK5" s="19">
        <v>2</v>
      </c>
      <c r="BL5" s="19">
        <v>1</v>
      </c>
      <c r="BM5" s="16">
        <v>3</v>
      </c>
      <c r="BN5" s="42">
        <v>4050</v>
      </c>
      <c r="BO5" s="42">
        <v>4050</v>
      </c>
      <c r="BP5" s="34">
        <v>4050</v>
      </c>
      <c r="BQ5" s="35">
        <f t="shared" si="14"/>
        <v>4367.6470588235288</v>
      </c>
      <c r="BR5" s="35">
        <v>4463</v>
      </c>
      <c r="BS5" s="35">
        <v>4463</v>
      </c>
      <c r="BT5" s="35">
        <v>4463</v>
      </c>
      <c r="BU5" s="35">
        <f t="shared" si="15"/>
        <v>4813.0392156862745</v>
      </c>
      <c r="BV5" t="s">
        <v>69</v>
      </c>
    </row>
  </sheetData>
  <autoFilter ref="A3:BV3" xr:uid="{7A1660CF-9003-4B2D-B659-7F339ED5B476}"/>
  <mergeCells count="3">
    <mergeCell ref="M2:P2"/>
    <mergeCell ref="K2:L2"/>
    <mergeCell ref="Z1:AC1"/>
  </mergeCells>
  <phoneticPr fontId="2"/>
  <conditionalFormatting sqref="AK4:AK5">
    <cfRule type="cellIs" dxfId="1" priority="3" operator="greaterThan">
      <formula>$AA4</formula>
    </cfRule>
  </conditionalFormatting>
  <conditionalFormatting sqref="AI4:AI5">
    <cfRule type="cellIs" dxfId="0" priority="1" operator="lessThan">
      <formula>$AK4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2026-07-02T07:11:11Z</dcterms:modified>
</cp:coreProperties>
</file>