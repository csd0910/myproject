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ｶ_カネゲン_472\価格改定\20260416_6月末と3月末パイロット\"/>
    </mc:Choice>
  </mc:AlternateContent>
  <xr:revisionPtr revIDLastSave="0" documentId="8_{86EA8B57-E4B8-4C7A-83EE-67368BEF56E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Sheet1!$A$3:$BV$72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31" i="1" l="1"/>
  <c r="Y31" i="1"/>
  <c r="N31" i="1"/>
  <c r="E31" i="1"/>
  <c r="AA29" i="1"/>
  <c r="Y29" i="1"/>
  <c r="N29" i="1"/>
  <c r="E29" i="1"/>
  <c r="AA27" i="1"/>
  <c r="Y27" i="1"/>
  <c r="N27" i="1"/>
  <c r="E27" i="1"/>
  <c r="AA25" i="1"/>
  <c r="Y25" i="1"/>
  <c r="N25" i="1"/>
  <c r="E25" i="1"/>
  <c r="AA64" i="1"/>
  <c r="Y64" i="1"/>
  <c r="N64" i="1"/>
  <c r="E64" i="1"/>
  <c r="AA62" i="1"/>
  <c r="Y62" i="1"/>
  <c r="N62" i="1"/>
  <c r="E62" i="1"/>
  <c r="AA60" i="1"/>
  <c r="Y60" i="1"/>
  <c r="N60" i="1"/>
  <c r="E60" i="1"/>
  <c r="AA18" i="1"/>
  <c r="Y18" i="1"/>
  <c r="N18" i="1"/>
  <c r="E18" i="1"/>
  <c r="AA16" i="1"/>
  <c r="Y16" i="1"/>
  <c r="N16" i="1"/>
  <c r="E16" i="1"/>
  <c r="AA56" i="1"/>
  <c r="Y56" i="1"/>
  <c r="N56" i="1"/>
  <c r="E56" i="1"/>
  <c r="AA14" i="1"/>
  <c r="Y14" i="1"/>
  <c r="N14" i="1"/>
  <c r="E14" i="1"/>
  <c r="AA12" i="1"/>
  <c r="Y12" i="1"/>
  <c r="N12" i="1"/>
  <c r="E12" i="1"/>
  <c r="AA23" i="1"/>
  <c r="Y23" i="1"/>
  <c r="N23" i="1"/>
  <c r="E23" i="1"/>
  <c r="AA10" i="1"/>
  <c r="Y10" i="1"/>
  <c r="N10" i="1"/>
  <c r="E10" i="1"/>
  <c r="AA21" i="1"/>
  <c r="Y21" i="1"/>
  <c r="N21" i="1"/>
  <c r="E21" i="1"/>
  <c r="AA19" i="1"/>
  <c r="Y19" i="1"/>
  <c r="N19" i="1"/>
  <c r="E19" i="1"/>
  <c r="AA30" i="1"/>
  <c r="Y30" i="1"/>
  <c r="N30" i="1"/>
  <c r="E30" i="1"/>
  <c r="AA28" i="1"/>
  <c r="Y28" i="1"/>
  <c r="N28" i="1"/>
  <c r="E28" i="1"/>
  <c r="AA26" i="1"/>
  <c r="Y26" i="1"/>
  <c r="N26" i="1"/>
  <c r="E26" i="1"/>
  <c r="AA24" i="1"/>
  <c r="Y24" i="1"/>
  <c r="N24" i="1"/>
  <c r="E24" i="1"/>
  <c r="AA68" i="1"/>
  <c r="Y68" i="1"/>
  <c r="N68" i="1"/>
  <c r="E68" i="1"/>
  <c r="AA67" i="1"/>
  <c r="Y67" i="1"/>
  <c r="N67" i="1"/>
  <c r="E67" i="1"/>
  <c r="AA66" i="1"/>
  <c r="Y66" i="1"/>
  <c r="N66" i="1"/>
  <c r="E66" i="1"/>
  <c r="AA65" i="1"/>
  <c r="Y65" i="1"/>
  <c r="N65" i="1"/>
  <c r="E65" i="1"/>
  <c r="AA36" i="1"/>
  <c r="Y36" i="1"/>
  <c r="N36" i="1"/>
  <c r="E36" i="1"/>
  <c r="AA35" i="1"/>
  <c r="Y35" i="1"/>
  <c r="N35" i="1"/>
  <c r="E35" i="1"/>
  <c r="AA34" i="1"/>
  <c r="Y34" i="1"/>
  <c r="N34" i="1"/>
  <c r="E34" i="1"/>
  <c r="AA33" i="1"/>
  <c r="Y33" i="1"/>
  <c r="N33" i="1"/>
  <c r="E33" i="1"/>
  <c r="AA63" i="1"/>
  <c r="Y63" i="1"/>
  <c r="N63" i="1"/>
  <c r="E63" i="1"/>
  <c r="AA61" i="1"/>
  <c r="Y61" i="1"/>
  <c r="N61" i="1"/>
  <c r="E61" i="1"/>
  <c r="AA59" i="1"/>
  <c r="Y59" i="1"/>
  <c r="N59" i="1"/>
  <c r="E59" i="1"/>
  <c r="AA32" i="1"/>
  <c r="Y32" i="1"/>
  <c r="N32" i="1"/>
  <c r="E32" i="1"/>
  <c r="AA17" i="1"/>
  <c r="Y17" i="1"/>
  <c r="N17" i="1"/>
  <c r="E17" i="1"/>
  <c r="AA15" i="1"/>
  <c r="Y15" i="1"/>
  <c r="N15" i="1"/>
  <c r="E15" i="1"/>
  <c r="AA58" i="1"/>
  <c r="Y58" i="1"/>
  <c r="N58" i="1"/>
  <c r="E58" i="1"/>
  <c r="AA57" i="1"/>
  <c r="Y57" i="1"/>
  <c r="N57" i="1"/>
  <c r="E57" i="1"/>
  <c r="AA55" i="1"/>
  <c r="Y55" i="1"/>
  <c r="N55" i="1"/>
  <c r="E55" i="1"/>
  <c r="AA13" i="1"/>
  <c r="Y13" i="1"/>
  <c r="N13" i="1"/>
  <c r="E13" i="1"/>
  <c r="AA7" i="1"/>
  <c r="Y7" i="1"/>
  <c r="N7" i="1"/>
  <c r="E7" i="1"/>
  <c r="AA54" i="1"/>
  <c r="Y54" i="1"/>
  <c r="N54" i="1"/>
  <c r="E54" i="1"/>
  <c r="AA53" i="1"/>
  <c r="Y53" i="1"/>
  <c r="N53" i="1"/>
  <c r="E53" i="1"/>
  <c r="AA52" i="1"/>
  <c r="Y52" i="1"/>
  <c r="N52" i="1"/>
  <c r="E52" i="1"/>
  <c r="AA6" i="1"/>
  <c r="Y6" i="1"/>
  <c r="N6" i="1"/>
  <c r="E6" i="1"/>
  <c r="AA5" i="1"/>
  <c r="Y5" i="1"/>
  <c r="N5" i="1"/>
  <c r="E5" i="1"/>
  <c r="AA4" i="1"/>
  <c r="Y4" i="1"/>
  <c r="N4" i="1"/>
  <c r="E4" i="1"/>
  <c r="AA11" i="1"/>
  <c r="Y11" i="1"/>
  <c r="N11" i="1"/>
  <c r="E11" i="1"/>
  <c r="AA22" i="1"/>
  <c r="Y22" i="1"/>
  <c r="N22" i="1"/>
  <c r="E22" i="1"/>
  <c r="AA9" i="1"/>
  <c r="Y9" i="1"/>
  <c r="N9" i="1"/>
  <c r="E9" i="1"/>
  <c r="AA71" i="1"/>
  <c r="Y71" i="1"/>
  <c r="N71" i="1"/>
  <c r="E71" i="1"/>
  <c r="AA72" i="1"/>
  <c r="Y72" i="1"/>
  <c r="N72" i="1"/>
  <c r="E72" i="1"/>
  <c r="AA70" i="1"/>
  <c r="Y70" i="1"/>
  <c r="N70" i="1"/>
  <c r="E70" i="1"/>
  <c r="AA69" i="1"/>
  <c r="Y69" i="1"/>
  <c r="N69" i="1"/>
  <c r="E69" i="1"/>
  <c r="AA51" i="1"/>
  <c r="Y51" i="1"/>
  <c r="N51" i="1"/>
  <c r="E51" i="1"/>
  <c r="AA50" i="1"/>
  <c r="Y50" i="1"/>
  <c r="N50" i="1"/>
  <c r="E50" i="1"/>
  <c r="AA49" i="1"/>
  <c r="Y49" i="1"/>
  <c r="N49" i="1"/>
  <c r="E49" i="1"/>
  <c r="AA8" i="1"/>
  <c r="Y8" i="1"/>
  <c r="N8" i="1"/>
  <c r="E8" i="1"/>
  <c r="AA20" i="1"/>
  <c r="Y20" i="1"/>
  <c r="N20" i="1"/>
  <c r="E20" i="1"/>
  <c r="AA48" i="1"/>
  <c r="Y48" i="1"/>
  <c r="N48" i="1"/>
  <c r="E48" i="1"/>
  <c r="AA47" i="1"/>
  <c r="Y47" i="1"/>
  <c r="N47" i="1"/>
  <c r="E47" i="1"/>
  <c r="AA46" i="1"/>
  <c r="Y46" i="1"/>
  <c r="N46" i="1"/>
  <c r="E46" i="1"/>
  <c r="AA45" i="1"/>
  <c r="Y45" i="1"/>
  <c r="N45" i="1"/>
  <c r="E45" i="1"/>
  <c r="AA44" i="1"/>
  <c r="Y44" i="1"/>
  <c r="N44" i="1"/>
  <c r="E44" i="1"/>
  <c r="AA43" i="1"/>
  <c r="Y43" i="1"/>
  <c r="N43" i="1"/>
  <c r="E43" i="1"/>
  <c r="AA42" i="1"/>
  <c r="Y42" i="1"/>
  <c r="N42" i="1"/>
  <c r="E42" i="1"/>
  <c r="AA41" i="1"/>
  <c r="Y41" i="1"/>
  <c r="N41" i="1"/>
  <c r="E41" i="1"/>
  <c r="AA40" i="1"/>
  <c r="Y40" i="1"/>
  <c r="N40" i="1"/>
  <c r="E40" i="1"/>
  <c r="AA39" i="1"/>
  <c r="Y39" i="1"/>
  <c r="N39" i="1"/>
  <c r="E39" i="1"/>
  <c r="AA38" i="1"/>
  <c r="Y38" i="1"/>
  <c r="N38" i="1"/>
  <c r="E38" i="1"/>
  <c r="AA37" i="1"/>
  <c r="Y37" i="1"/>
  <c r="N37" i="1"/>
  <c r="E37" i="1"/>
  <c r="BH19" i="1" l="1"/>
  <c r="AP19" i="1"/>
  <c r="AO19" i="1"/>
  <c r="BH31" i="1"/>
  <c r="AP31" i="1"/>
  <c r="AO31" i="1"/>
  <c r="BH30" i="1"/>
  <c r="AP30" i="1"/>
  <c r="AO30" i="1"/>
  <c r="BH29" i="1"/>
  <c r="AP29" i="1"/>
  <c r="AO29" i="1"/>
  <c r="BH28" i="1"/>
  <c r="AP28" i="1"/>
  <c r="AO28" i="1"/>
  <c r="BH27" i="1"/>
  <c r="AP27" i="1"/>
  <c r="BH26" i="1"/>
  <c r="AP26" i="1"/>
  <c r="BH25" i="1"/>
  <c r="AP25" i="1"/>
  <c r="BH24" i="1"/>
  <c r="AP24" i="1"/>
  <c r="BH68" i="1"/>
  <c r="AP68" i="1"/>
  <c r="BH67" i="1"/>
  <c r="AP67" i="1"/>
  <c r="BH66" i="1"/>
  <c r="AP66" i="1"/>
  <c r="BH65" i="1"/>
  <c r="AP65" i="1"/>
  <c r="BH36" i="1"/>
  <c r="AP36" i="1"/>
  <c r="BH35" i="1"/>
  <c r="AP35" i="1"/>
  <c r="BH34" i="1"/>
  <c r="AP34" i="1"/>
  <c r="BH33" i="1"/>
  <c r="AP33" i="1"/>
  <c r="BH64" i="1"/>
  <c r="AP64" i="1"/>
  <c r="BH63" i="1"/>
  <c r="AP63" i="1"/>
  <c r="BH62" i="1"/>
  <c r="AP62" i="1"/>
  <c r="BH61" i="1"/>
  <c r="AP61" i="1"/>
  <c r="BH60" i="1"/>
  <c r="AP60" i="1"/>
  <c r="BH59" i="1"/>
  <c r="AP59" i="1"/>
  <c r="BH32" i="1"/>
  <c r="AP32" i="1"/>
  <c r="BH18" i="1"/>
  <c r="AP18" i="1"/>
  <c r="BH17" i="1"/>
  <c r="AP17" i="1"/>
  <c r="BH16" i="1"/>
  <c r="AP16" i="1"/>
  <c r="BH15" i="1"/>
  <c r="AP15" i="1"/>
  <c r="BH58" i="1"/>
  <c r="AP58" i="1"/>
  <c r="BH57" i="1"/>
  <c r="AP57" i="1"/>
  <c r="BH56" i="1"/>
  <c r="AP56" i="1"/>
  <c r="BH55" i="1"/>
  <c r="AP55" i="1"/>
  <c r="BH14" i="1"/>
  <c r="AP14" i="1"/>
  <c r="BH13" i="1"/>
  <c r="AP13" i="1"/>
  <c r="BH7" i="1"/>
  <c r="AP7" i="1"/>
  <c r="BH54" i="1"/>
  <c r="AP54" i="1"/>
  <c r="BH53" i="1"/>
  <c r="AP53" i="1"/>
  <c r="BH52" i="1"/>
  <c r="AP52" i="1"/>
  <c r="BH6" i="1"/>
  <c r="AP6" i="1"/>
  <c r="AO6" i="1"/>
  <c r="BH5" i="1"/>
  <c r="AP5" i="1"/>
  <c r="BH4" i="1"/>
  <c r="AP4" i="1"/>
  <c r="AO4" i="1"/>
  <c r="BH12" i="1"/>
  <c r="AP12" i="1"/>
  <c r="AO12" i="1"/>
  <c r="BH11" i="1"/>
  <c r="AP11" i="1"/>
  <c r="BH23" i="1"/>
  <c r="AP23" i="1"/>
  <c r="BH22" i="1"/>
  <c r="AP22" i="1"/>
  <c r="BH10" i="1"/>
  <c r="AP10" i="1"/>
  <c r="AO10" i="1"/>
  <c r="BH9" i="1"/>
  <c r="AP9" i="1"/>
  <c r="BH71" i="1"/>
  <c r="AP71" i="1"/>
  <c r="BH72" i="1"/>
  <c r="AP72" i="1"/>
  <c r="BH70" i="1"/>
  <c r="AP70" i="1"/>
  <c r="AO70" i="1"/>
  <c r="BH69" i="1"/>
  <c r="AP69" i="1"/>
  <c r="BH51" i="1"/>
  <c r="AP51" i="1"/>
  <c r="AO51" i="1"/>
  <c r="BH50" i="1"/>
  <c r="AP50" i="1"/>
  <c r="BH49" i="1"/>
  <c r="AP49" i="1"/>
  <c r="BH8" i="1"/>
  <c r="AP8" i="1"/>
  <c r="BH21" i="1"/>
  <c r="AP21" i="1"/>
  <c r="AO21" i="1"/>
  <c r="BH20" i="1"/>
  <c r="AP20" i="1"/>
  <c r="BH48" i="1"/>
  <c r="AP48" i="1"/>
  <c r="AO48" i="1"/>
  <c r="BH47" i="1"/>
  <c r="AP47" i="1"/>
  <c r="AO47" i="1"/>
  <c r="BH46" i="1"/>
  <c r="AP46" i="1"/>
  <c r="BH45" i="1"/>
  <c r="AP45" i="1"/>
  <c r="AO45" i="1"/>
  <c r="BH44" i="1"/>
  <c r="AP44" i="1"/>
  <c r="AO44" i="1"/>
  <c r="BH43" i="1"/>
  <c r="AP43" i="1"/>
  <c r="BH42" i="1"/>
  <c r="AP42" i="1"/>
  <c r="AO42" i="1"/>
  <c r="BH41" i="1"/>
  <c r="AP41" i="1"/>
  <c r="AO41" i="1"/>
  <c r="BH40" i="1"/>
  <c r="AP40" i="1"/>
  <c r="BH39" i="1"/>
  <c r="AP39" i="1"/>
  <c r="AO39" i="1"/>
  <c r="BH38" i="1"/>
  <c r="AP38" i="1"/>
  <c r="AO38" i="1"/>
  <c r="BH37" i="1"/>
  <c r="AP37" i="1"/>
  <c r="AK4" i="1" l="1"/>
  <c r="AK39" i="1"/>
  <c r="AJ42" i="1"/>
  <c r="AJ45" i="1"/>
  <c r="AK48" i="1"/>
  <c r="AQ21" i="1"/>
  <c r="AK38" i="1"/>
  <c r="AQ41" i="1"/>
  <c r="AQ44" i="1"/>
  <c r="AQ47" i="1"/>
  <c r="AJ27" i="1"/>
  <c r="AK65" i="1"/>
  <c r="AJ67" i="1"/>
  <c r="AQ66" i="1"/>
  <c r="AF22" i="1"/>
  <c r="AF54" i="1"/>
  <c r="AF27" i="1"/>
  <c r="AF72" i="1"/>
  <c r="AF4" i="1"/>
  <c r="AF53" i="1"/>
  <c r="AF7" i="1"/>
  <c r="AF55" i="1"/>
  <c r="AF16" i="1"/>
  <c r="AF62" i="1"/>
  <c r="AF36" i="1"/>
  <c r="AF65" i="1"/>
  <c r="AF67" i="1"/>
  <c r="AF26" i="1"/>
  <c r="AF30" i="1"/>
  <c r="AF40" i="1"/>
  <c r="AF59" i="1"/>
  <c r="AF37" i="1"/>
  <c r="AF71" i="1"/>
  <c r="AF45" i="1"/>
  <c r="AF21" i="1"/>
  <c r="AF51" i="1"/>
  <c r="AF70" i="1"/>
  <c r="AF10" i="1"/>
  <c r="AF12" i="1"/>
  <c r="AF6" i="1"/>
  <c r="AF58" i="1"/>
  <c r="AF15" i="1"/>
  <c r="AF18" i="1"/>
  <c r="AF32" i="1"/>
  <c r="AF61" i="1"/>
  <c r="AF35" i="1"/>
  <c r="AF66" i="1"/>
  <c r="AF25" i="1"/>
  <c r="AF29" i="1"/>
  <c r="AF46" i="1"/>
  <c r="AF5" i="1"/>
  <c r="AF13" i="1"/>
  <c r="AF56" i="1"/>
  <c r="AF39" i="1"/>
  <c r="AF42" i="1"/>
  <c r="AF48" i="1"/>
  <c r="AF43" i="1"/>
  <c r="AF49" i="1"/>
  <c r="AF63" i="1"/>
  <c r="AF44" i="1"/>
  <c r="AF20" i="1"/>
  <c r="AF50" i="1"/>
  <c r="AF69" i="1"/>
  <c r="AF9" i="1"/>
  <c r="AF23" i="1"/>
  <c r="AF11" i="1"/>
  <c r="AF14" i="1"/>
  <c r="AF57" i="1"/>
  <c r="AF17" i="1"/>
  <c r="AF60" i="1"/>
  <c r="AF64" i="1"/>
  <c r="AF34" i="1"/>
  <c r="AF24" i="1"/>
  <c r="AF28" i="1"/>
  <c r="AF19" i="1"/>
  <c r="AF52" i="1"/>
  <c r="AF68" i="1"/>
  <c r="AF38" i="1"/>
  <c r="AF41" i="1"/>
  <c r="AF47" i="1"/>
  <c r="AF8" i="1"/>
  <c r="AF33" i="1"/>
  <c r="AF31" i="1"/>
  <c r="AO69" i="1"/>
  <c r="AO23" i="1"/>
  <c r="AO11" i="1"/>
  <c r="AO57" i="1"/>
  <c r="AO17" i="1"/>
  <c r="AO64" i="1"/>
  <c r="AO34" i="1"/>
  <c r="AO50" i="1"/>
  <c r="AO9" i="1"/>
  <c r="AO14" i="1"/>
  <c r="AO60" i="1"/>
  <c r="AQ20" i="1"/>
  <c r="AO37" i="1"/>
  <c r="AO40" i="1"/>
  <c r="AO8" i="1"/>
  <c r="AO71" i="1"/>
  <c r="AO22" i="1"/>
  <c r="AO5" i="1"/>
  <c r="AO54" i="1"/>
  <c r="AO63" i="1"/>
  <c r="AO33" i="1"/>
  <c r="AQ24" i="1"/>
  <c r="AO20" i="1"/>
  <c r="AO43" i="1"/>
  <c r="AO46" i="1"/>
  <c r="AO49" i="1"/>
  <c r="AO52" i="1"/>
  <c r="AO13" i="1"/>
  <c r="AO56" i="1"/>
  <c r="AO59" i="1"/>
  <c r="AQ37" i="1"/>
  <c r="AK40" i="1"/>
  <c r="AK43" i="1"/>
  <c r="AK46" i="1"/>
  <c r="AO72" i="1"/>
  <c r="AO7" i="1"/>
  <c r="AO16" i="1"/>
  <c r="AO62" i="1"/>
  <c r="AO36" i="1"/>
  <c r="AO53" i="1"/>
  <c r="AO55" i="1"/>
  <c r="AO58" i="1"/>
  <c r="AO15" i="1"/>
  <c r="AO18" i="1"/>
  <c r="AO32" i="1"/>
  <c r="AO61" i="1"/>
  <c r="AO35" i="1"/>
  <c r="AQ72" i="1"/>
  <c r="AK7" i="1"/>
  <c r="AK55" i="1"/>
  <c r="AK16" i="1"/>
  <c r="AO65" i="1"/>
  <c r="AO67" i="1"/>
  <c r="AO26" i="1"/>
  <c r="AQ51" i="1"/>
  <c r="AQ70" i="1"/>
  <c r="AQ10" i="1"/>
  <c r="AK15" i="1"/>
  <c r="AK18" i="1"/>
  <c r="AQ32" i="1"/>
  <c r="AQ61" i="1"/>
  <c r="AK35" i="1"/>
  <c r="AO66" i="1"/>
  <c r="AO25" i="1"/>
  <c r="AK50" i="1"/>
  <c r="AQ9" i="1"/>
  <c r="AQ23" i="1"/>
  <c r="AJ14" i="1"/>
  <c r="AK17" i="1"/>
  <c r="AK60" i="1"/>
  <c r="AO24" i="1"/>
  <c r="AQ29" i="1"/>
  <c r="AQ8" i="1"/>
  <c r="AQ5" i="1"/>
  <c r="AQ52" i="1"/>
  <c r="AJ54" i="1"/>
  <c r="AJ13" i="1"/>
  <c r="AQ56" i="1"/>
  <c r="AQ59" i="1"/>
  <c r="AK63" i="1"/>
  <c r="AO68" i="1"/>
  <c r="AO27" i="1"/>
  <c r="AK32" i="1"/>
  <c r="AJ29" i="1"/>
  <c r="AJ18" i="1"/>
  <c r="AJ10" i="1"/>
  <c r="AQ54" i="1"/>
  <c r="AJ63" i="1"/>
  <c r="AJ9" i="1"/>
  <c r="AJ61" i="1"/>
  <c r="AK29" i="1"/>
  <c r="AQ43" i="1"/>
  <c r="AJ50" i="1"/>
  <c r="AQ18" i="1"/>
  <c r="AQ48" i="1"/>
  <c r="AK23" i="1"/>
  <c r="AJ35" i="1"/>
  <c r="AQ40" i="1"/>
  <c r="AJ70" i="1"/>
  <c r="AQ25" i="1"/>
  <c r="AK25" i="1"/>
  <c r="AJ25" i="1"/>
  <c r="AQ6" i="1"/>
  <c r="AK6" i="1"/>
  <c r="AJ58" i="1"/>
  <c r="AQ58" i="1"/>
  <c r="AK58" i="1"/>
  <c r="AJ23" i="1"/>
  <c r="AQ13" i="1"/>
  <c r="AJ20" i="1"/>
  <c r="AQ50" i="1"/>
  <c r="AJ59" i="1"/>
  <c r="AQ63" i="1"/>
  <c r="AQ42" i="1"/>
  <c r="AK59" i="1"/>
  <c r="AJ62" i="1"/>
  <c r="AQ62" i="1"/>
  <c r="AK62" i="1"/>
  <c r="AQ36" i="1"/>
  <c r="AK36" i="1"/>
  <c r="AQ57" i="1"/>
  <c r="AK57" i="1"/>
  <c r="AQ15" i="1"/>
  <c r="AJ15" i="1"/>
  <c r="AQ12" i="1"/>
  <c r="AK12" i="1"/>
  <c r="AJ12" i="1"/>
  <c r="AQ69" i="1"/>
  <c r="AJ69" i="1"/>
  <c r="AJ37" i="1"/>
  <c r="AJ43" i="1"/>
  <c r="AJ48" i="1"/>
  <c r="AJ33" i="1"/>
  <c r="AK33" i="1"/>
  <c r="AJ30" i="1"/>
  <c r="AK30" i="1"/>
  <c r="AK37" i="1"/>
  <c r="AJ40" i="1"/>
  <c r="AQ33" i="1"/>
  <c r="AQ26" i="1"/>
  <c r="AK26" i="1"/>
  <c r="AJ6" i="1"/>
  <c r="AJ56" i="1"/>
  <c r="AJ32" i="1"/>
  <c r="AQ35" i="1"/>
  <c r="AK67" i="1"/>
  <c r="AQ67" i="1"/>
  <c r="AK70" i="1"/>
  <c r="AJ72" i="1"/>
  <c r="AK10" i="1"/>
  <c r="AK14" i="1"/>
  <c r="AJ65" i="1"/>
  <c r="AQ65" i="1"/>
  <c r="AK72" i="1"/>
  <c r="AJ52" i="1"/>
  <c r="AQ14" i="1"/>
  <c r="AJ68" i="1"/>
  <c r="AQ68" i="1"/>
  <c r="AK68" i="1"/>
  <c r="AQ38" i="1"/>
  <c r="AJ41" i="1"/>
  <c r="AK42" i="1"/>
  <c r="AJ44" i="1"/>
  <c r="AK45" i="1"/>
  <c r="AJ21" i="1"/>
  <c r="AK41" i="1"/>
  <c r="AK44" i="1"/>
  <c r="AQ46" i="1"/>
  <c r="AJ46" i="1"/>
  <c r="AJ47" i="1"/>
  <c r="AK21" i="1"/>
  <c r="AQ45" i="1"/>
  <c r="AK49" i="1"/>
  <c r="AJ49" i="1"/>
  <c r="AQ49" i="1"/>
  <c r="AJ39" i="1"/>
  <c r="AQ39" i="1"/>
  <c r="AJ38" i="1"/>
  <c r="AK47" i="1"/>
  <c r="AK71" i="1"/>
  <c r="AJ71" i="1"/>
  <c r="AQ71" i="1"/>
  <c r="AK22" i="1"/>
  <c r="AQ22" i="1"/>
  <c r="AJ22" i="1"/>
  <c r="AQ11" i="1"/>
  <c r="AK11" i="1"/>
  <c r="AJ11" i="1"/>
  <c r="AQ53" i="1"/>
  <c r="AJ53" i="1"/>
  <c r="AK53" i="1"/>
  <c r="AK20" i="1"/>
  <c r="AJ8" i="1"/>
  <c r="AK69" i="1"/>
  <c r="AK13" i="1"/>
  <c r="AK8" i="1"/>
  <c r="AQ4" i="1"/>
  <c r="AJ4" i="1"/>
  <c r="AJ5" i="1"/>
  <c r="AQ16" i="1"/>
  <c r="AJ16" i="1"/>
  <c r="AJ51" i="1"/>
  <c r="AK52" i="1"/>
  <c r="AK34" i="1"/>
  <c r="AJ34" i="1"/>
  <c r="AQ34" i="1"/>
  <c r="AK51" i="1"/>
  <c r="AQ55" i="1"/>
  <c r="AJ55" i="1"/>
  <c r="AK9" i="1"/>
  <c r="AK5" i="1"/>
  <c r="AJ7" i="1"/>
  <c r="AQ7" i="1"/>
  <c r="AJ57" i="1"/>
  <c r="AK54" i="1"/>
  <c r="AK56" i="1"/>
  <c r="AK61" i="1"/>
  <c r="AQ17" i="1"/>
  <c r="AJ17" i="1"/>
  <c r="AQ64" i="1"/>
  <c r="AK64" i="1"/>
  <c r="AJ64" i="1"/>
  <c r="AJ60" i="1"/>
  <c r="AQ60" i="1"/>
  <c r="AJ36" i="1"/>
  <c r="AK66" i="1"/>
  <c r="AJ66" i="1"/>
  <c r="AQ31" i="1"/>
  <c r="AK31" i="1"/>
  <c r="AJ31" i="1"/>
  <c r="AK24" i="1"/>
  <c r="AJ24" i="1"/>
  <c r="AK28" i="1"/>
  <c r="AQ28" i="1"/>
  <c r="AK19" i="1"/>
  <c r="AQ19" i="1"/>
  <c r="AJ28" i="1"/>
  <c r="AJ19" i="1"/>
  <c r="AJ26" i="1"/>
  <c r="AK27" i="1"/>
  <c r="AQ30" i="1"/>
  <c r="AQ27" i="1"/>
  <c r="BS53" i="1" l="1"/>
  <c r="BP53" i="1"/>
  <c r="BP12" i="1"/>
  <c r="BS12" i="1"/>
  <c r="BS42" i="1"/>
  <c r="BP42" i="1"/>
  <c r="BS54" i="1"/>
  <c r="BP54" i="1"/>
  <c r="BP8" i="1"/>
  <c r="BS8" i="1"/>
  <c r="BS10" i="1"/>
  <c r="BP10" i="1"/>
  <c r="BS24" i="1"/>
  <c r="BP24" i="1"/>
  <c r="BS20" i="1"/>
  <c r="BP20" i="1"/>
  <c r="BP21" i="1"/>
  <c r="BS21" i="1"/>
  <c r="BS16" i="1"/>
  <c r="BP16" i="1"/>
  <c r="BP50" i="1"/>
  <c r="BS50" i="1"/>
  <c r="BP25" i="1"/>
  <c r="BS25" i="1"/>
  <c r="BS19" i="1"/>
  <c r="BP19" i="1"/>
  <c r="BS31" i="1"/>
  <c r="BP31" i="1"/>
  <c r="BS55" i="1"/>
  <c r="BP55" i="1"/>
  <c r="BP46" i="1"/>
  <c r="BS46" i="1"/>
  <c r="BP65" i="1"/>
  <c r="BS65" i="1"/>
  <c r="BP40" i="1"/>
  <c r="BS40" i="1"/>
  <c r="BS52" i="1"/>
  <c r="BP52" i="1"/>
  <c r="BS6" i="1"/>
  <c r="BP6" i="1"/>
  <c r="BS18" i="1"/>
  <c r="BP18" i="1"/>
  <c r="BP59" i="1"/>
  <c r="BS59" i="1"/>
  <c r="BS30" i="1"/>
  <c r="BP30" i="1"/>
  <c r="BS11" i="1"/>
  <c r="BP11" i="1"/>
  <c r="BP69" i="1"/>
  <c r="BS69" i="1"/>
  <c r="BS62" i="1"/>
  <c r="BP62" i="1"/>
  <c r="BP48" i="1"/>
  <c r="BS48" i="1"/>
  <c r="BS27" i="1"/>
  <c r="BP27" i="1"/>
  <c r="BS7" i="1"/>
  <c r="BP7" i="1"/>
  <c r="BS49" i="1"/>
  <c r="BP49" i="1"/>
  <c r="BS14" i="1"/>
  <c r="BP14" i="1"/>
  <c r="BS26" i="1"/>
  <c r="BP26" i="1"/>
  <c r="BS36" i="1"/>
  <c r="BP36" i="1"/>
  <c r="BP13" i="1"/>
  <c r="BS13" i="1"/>
  <c r="BP23" i="1"/>
  <c r="BS23" i="1"/>
  <c r="BS61" i="1"/>
  <c r="BP61" i="1"/>
  <c r="BS47" i="1"/>
  <c r="BP47" i="1"/>
  <c r="BS44" i="1"/>
  <c r="BP44" i="1"/>
  <c r="BS34" i="1"/>
  <c r="BP34" i="1"/>
  <c r="BP22" i="1"/>
  <c r="BS22" i="1"/>
  <c r="BS35" i="1"/>
  <c r="BP35" i="1"/>
  <c r="BS15" i="1"/>
  <c r="BP15" i="1"/>
  <c r="BS63" i="1"/>
  <c r="BP63" i="1"/>
  <c r="BS5" i="1"/>
  <c r="BP5" i="1"/>
  <c r="BS9" i="1"/>
  <c r="BP9" i="1"/>
  <c r="BP28" i="1"/>
  <c r="BS28" i="1"/>
  <c r="BS64" i="1"/>
  <c r="BP64" i="1"/>
  <c r="BS17" i="1"/>
  <c r="BP17" i="1"/>
  <c r="BS39" i="1"/>
  <c r="BP39" i="1"/>
  <c r="BP68" i="1"/>
  <c r="BS68" i="1"/>
  <c r="BS33" i="1"/>
  <c r="BP33" i="1"/>
  <c r="BP43" i="1"/>
  <c r="BS43" i="1"/>
  <c r="BS56" i="1"/>
  <c r="BP56" i="1"/>
  <c r="BS29" i="1"/>
  <c r="BP29" i="1"/>
  <c r="BS70" i="1"/>
  <c r="BP70" i="1"/>
  <c r="BS72" i="1"/>
  <c r="BP72" i="1"/>
  <c r="BS37" i="1"/>
  <c r="BP37" i="1"/>
  <c r="BS66" i="1"/>
  <c r="BP66" i="1"/>
  <c r="BP41" i="1"/>
  <c r="BS41" i="1"/>
  <c r="BS38" i="1"/>
  <c r="BP38" i="1"/>
  <c r="BS58" i="1"/>
  <c r="BP58" i="1"/>
  <c r="BP60" i="1"/>
  <c r="BS60" i="1"/>
  <c r="BS4" i="1"/>
  <c r="BP4" i="1"/>
  <c r="BS71" i="1"/>
  <c r="BP71" i="1"/>
  <c r="BS45" i="1"/>
  <c r="BP45" i="1"/>
  <c r="BS67" i="1"/>
  <c r="BP67" i="1"/>
  <c r="BS57" i="1"/>
  <c r="BP57" i="1"/>
  <c r="BS32" i="1"/>
  <c r="BP32" i="1"/>
  <c r="BP51" i="1"/>
  <c r="BS51" i="1"/>
  <c r="AC65" i="1"/>
  <c r="AD65" i="1" s="1"/>
  <c r="AC55" i="1"/>
  <c r="AD55" i="1" s="1"/>
  <c r="AC36" i="1"/>
  <c r="AD36" i="1" s="1"/>
  <c r="AC62" i="1"/>
  <c r="AD62" i="1" s="1"/>
  <c r="AC14" i="1"/>
  <c r="AD14" i="1" s="1"/>
  <c r="AC5" i="1"/>
  <c r="AD5" i="1" s="1"/>
  <c r="AC34" i="1"/>
  <c r="AD34" i="1" s="1"/>
  <c r="AC28" i="1"/>
  <c r="AD28" i="1" s="1"/>
  <c r="AC64" i="1"/>
  <c r="AD64" i="1" s="1"/>
  <c r="AC17" i="1"/>
  <c r="AD17" i="1" s="1"/>
  <c r="AC29" i="1"/>
  <c r="AD29" i="1" s="1"/>
  <c r="AC70" i="1"/>
  <c r="AD70" i="1" s="1"/>
  <c r="AC72" i="1"/>
  <c r="AD72" i="1" s="1"/>
  <c r="AC47" i="1"/>
  <c r="AD47" i="1" s="1"/>
  <c r="AC7" i="1"/>
  <c r="AD7" i="1" s="1"/>
  <c r="AC35" i="1"/>
  <c r="AD35" i="1" s="1"/>
  <c r="AC63" i="1"/>
  <c r="AD63" i="1" s="1"/>
  <c r="AC57" i="1"/>
  <c r="AD57" i="1" s="1"/>
  <c r="AC51" i="1"/>
  <c r="AD51" i="1" s="1"/>
  <c r="AC21" i="1"/>
  <c r="AD21" i="1" s="1"/>
  <c r="AC53" i="1"/>
  <c r="AD53" i="1" s="1"/>
  <c r="AC12" i="1"/>
  <c r="AD12" i="1" s="1"/>
  <c r="AC58" i="1"/>
  <c r="AD58" i="1" s="1"/>
  <c r="AC18" i="1"/>
  <c r="AD18" i="1" s="1"/>
  <c r="AC25" i="1"/>
  <c r="AD25" i="1" s="1"/>
  <c r="AC54" i="1"/>
  <c r="AD54" i="1" s="1"/>
  <c r="AC8" i="1"/>
  <c r="AD8" i="1" s="1"/>
  <c r="AC24" i="1"/>
  <c r="AD24" i="1" s="1"/>
  <c r="AC20" i="1"/>
  <c r="AD20" i="1" s="1"/>
  <c r="AC66" i="1"/>
  <c r="AD66" i="1" s="1"/>
  <c r="AC41" i="1"/>
  <c r="AD41" i="1" s="1"/>
  <c r="AC44" i="1"/>
  <c r="AD44" i="1" s="1"/>
  <c r="AG28" i="1"/>
  <c r="AH28" i="1" s="1"/>
  <c r="AG49" i="1"/>
  <c r="AH49" i="1" s="1"/>
  <c r="AG56" i="1"/>
  <c r="AH56" i="1" s="1"/>
  <c r="AG12" i="1"/>
  <c r="AH12" i="1" s="1"/>
  <c r="AG70" i="1"/>
  <c r="AH70" i="1" s="1"/>
  <c r="AG40" i="1"/>
  <c r="AH40" i="1" s="1"/>
  <c r="AG26" i="1"/>
  <c r="AH26" i="1" s="1"/>
  <c r="AG7" i="1"/>
  <c r="AH7" i="1" s="1"/>
  <c r="AG8" i="1"/>
  <c r="AH8" i="1" s="1"/>
  <c r="AG41" i="1"/>
  <c r="AH41" i="1" s="1"/>
  <c r="AG57" i="1"/>
  <c r="AH57" i="1" s="1"/>
  <c r="AG9" i="1"/>
  <c r="AH9" i="1" s="1"/>
  <c r="AG48" i="1"/>
  <c r="AH48" i="1" s="1"/>
  <c r="AG35" i="1"/>
  <c r="AH35" i="1" s="1"/>
  <c r="AG15" i="1"/>
  <c r="AH15" i="1" s="1"/>
  <c r="AG71" i="1"/>
  <c r="AH71" i="1" s="1"/>
  <c r="AG62" i="1"/>
  <c r="AH62" i="1" s="1"/>
  <c r="AG24" i="1"/>
  <c r="AH24" i="1" s="1"/>
  <c r="AG20" i="1"/>
  <c r="AH20" i="1" s="1"/>
  <c r="AG43" i="1"/>
  <c r="AH43" i="1" s="1"/>
  <c r="AG13" i="1"/>
  <c r="AH13" i="1" s="1"/>
  <c r="AG10" i="1"/>
  <c r="AH10" i="1" s="1"/>
  <c r="AG51" i="1"/>
  <c r="AH51" i="1" s="1"/>
  <c r="AG67" i="1"/>
  <c r="AH67" i="1" s="1"/>
  <c r="AG53" i="1"/>
  <c r="AH53" i="1" s="1"/>
  <c r="AG27" i="1"/>
  <c r="AH27" i="1" s="1"/>
  <c r="AG38" i="1"/>
  <c r="AH38" i="1" s="1"/>
  <c r="AG64" i="1"/>
  <c r="AH64" i="1" s="1"/>
  <c r="AG14" i="1"/>
  <c r="AH14" i="1" s="1"/>
  <c r="AG29" i="1"/>
  <c r="AH29" i="1" s="1"/>
  <c r="AG61" i="1"/>
  <c r="AH61" i="1" s="1"/>
  <c r="AG58" i="1"/>
  <c r="AH58" i="1" s="1"/>
  <c r="AG37" i="1"/>
  <c r="AH37" i="1" s="1"/>
  <c r="AG42" i="1"/>
  <c r="AH42" i="1" s="1"/>
  <c r="AG5" i="1"/>
  <c r="AH5" i="1" s="1"/>
  <c r="AG65" i="1"/>
  <c r="AH65" i="1" s="1"/>
  <c r="AG16" i="1"/>
  <c r="AH16" i="1" s="1"/>
  <c r="AG4" i="1"/>
  <c r="AH4" i="1" s="1"/>
  <c r="AG54" i="1"/>
  <c r="AH54" i="1" s="1"/>
  <c r="AG31" i="1"/>
  <c r="AH31" i="1" s="1"/>
  <c r="AG68" i="1"/>
  <c r="AH68" i="1" s="1"/>
  <c r="AG60" i="1"/>
  <c r="AH60" i="1" s="1"/>
  <c r="AG11" i="1"/>
  <c r="AH11" i="1" s="1"/>
  <c r="AG69" i="1"/>
  <c r="AH69" i="1" s="1"/>
  <c r="AG44" i="1"/>
  <c r="AH44" i="1" s="1"/>
  <c r="AG25" i="1"/>
  <c r="AH25" i="1" s="1"/>
  <c r="AG32" i="1"/>
  <c r="AH32" i="1" s="1"/>
  <c r="AG21" i="1"/>
  <c r="AH21" i="1" s="1"/>
  <c r="AG19" i="1"/>
  <c r="AH19" i="1" s="1"/>
  <c r="AG63" i="1"/>
  <c r="AH63" i="1" s="1"/>
  <c r="AG39" i="1"/>
  <c r="AH39" i="1" s="1"/>
  <c r="AG46" i="1"/>
  <c r="AH46" i="1" s="1"/>
  <c r="AG6" i="1"/>
  <c r="AH6" i="1" s="1"/>
  <c r="AG59" i="1"/>
  <c r="AH59" i="1" s="1"/>
  <c r="AG30" i="1"/>
  <c r="AH30" i="1" s="1"/>
  <c r="AG36" i="1"/>
  <c r="AH36" i="1" s="1"/>
  <c r="AG55" i="1"/>
  <c r="AH55" i="1" s="1"/>
  <c r="AG72" i="1"/>
  <c r="AH72" i="1" s="1"/>
  <c r="AG22" i="1"/>
  <c r="AH22" i="1" s="1"/>
  <c r="AG33" i="1"/>
  <c r="AH33" i="1" s="1"/>
  <c r="AG47" i="1"/>
  <c r="AH47" i="1" s="1"/>
  <c r="AG52" i="1"/>
  <c r="AH52" i="1" s="1"/>
  <c r="AG34" i="1"/>
  <c r="AH34" i="1" s="1"/>
  <c r="AG17" i="1"/>
  <c r="AH17" i="1" s="1"/>
  <c r="AG23" i="1"/>
  <c r="AH23" i="1" s="1"/>
  <c r="AG50" i="1"/>
  <c r="AH50" i="1" s="1"/>
  <c r="AG66" i="1"/>
  <c r="AH66" i="1" s="1"/>
  <c r="AG18" i="1"/>
  <c r="AH18" i="1" s="1"/>
  <c r="AG45" i="1"/>
  <c r="AH45" i="1" s="1"/>
  <c r="AC56" i="1"/>
  <c r="AD56" i="1" s="1"/>
  <c r="AC32" i="1"/>
  <c r="AD32" i="1" s="1"/>
  <c r="AC10" i="1"/>
  <c r="AD10" i="1" s="1"/>
  <c r="AC27" i="1"/>
  <c r="AD27" i="1" s="1"/>
  <c r="AC45" i="1"/>
  <c r="AD45" i="1" s="1"/>
  <c r="AC15" i="1"/>
  <c r="AD15" i="1" s="1"/>
  <c r="AC50" i="1"/>
  <c r="AD50" i="1" s="1"/>
  <c r="AC48" i="1"/>
  <c r="AD48" i="1" s="1"/>
  <c r="AC31" i="1"/>
  <c r="AD31" i="1" s="1"/>
  <c r="AC6" i="1"/>
  <c r="AD6" i="1" s="1"/>
  <c r="AC30" i="1"/>
  <c r="AD30" i="1" s="1"/>
  <c r="AC38" i="1"/>
  <c r="AD38" i="1" s="1"/>
  <c r="AC52" i="1"/>
  <c r="AD52" i="1" s="1"/>
  <c r="AC59" i="1"/>
  <c r="AD59" i="1" s="1"/>
  <c r="AC60" i="1"/>
  <c r="AD60" i="1" s="1"/>
  <c r="AC11" i="1"/>
  <c r="AD11" i="1" s="1"/>
  <c r="AC49" i="1"/>
  <c r="AD49" i="1" s="1"/>
  <c r="AC68" i="1"/>
  <c r="AD68" i="1" s="1"/>
  <c r="AC67" i="1"/>
  <c r="AD67" i="1" s="1"/>
  <c r="AC33" i="1"/>
  <c r="AD33" i="1" s="1"/>
  <c r="AC46" i="1"/>
  <c r="AD46" i="1" s="1"/>
  <c r="AC37" i="1"/>
  <c r="AD37" i="1" s="1"/>
  <c r="AC69" i="1"/>
  <c r="AD69" i="1" s="1"/>
  <c r="AC40" i="1"/>
  <c r="AD40" i="1" s="1"/>
  <c r="AC43" i="1"/>
  <c r="AD43" i="1" s="1"/>
  <c r="AC23" i="1"/>
  <c r="AD23" i="1" s="1"/>
  <c r="AC61" i="1"/>
  <c r="AD61" i="1" s="1"/>
  <c r="AC4" i="1"/>
  <c r="AD4" i="1" s="1"/>
  <c r="AC22" i="1"/>
  <c r="AD22" i="1" s="1"/>
  <c r="AC9" i="1"/>
  <c r="AD9" i="1" s="1"/>
  <c r="AC39" i="1"/>
  <c r="AD39" i="1" s="1"/>
  <c r="AC71" i="1"/>
  <c r="AD71" i="1" s="1"/>
  <c r="AC19" i="1"/>
  <c r="AD19" i="1" s="1"/>
  <c r="AC16" i="1"/>
  <c r="AD16" i="1" s="1"/>
  <c r="AC26" i="1"/>
  <c r="AD26" i="1" s="1"/>
  <c r="AC13" i="1"/>
  <c r="AD13" i="1" s="1"/>
  <c r="AC42" i="1"/>
  <c r="AD42" i="1" s="1"/>
</calcChain>
</file>

<file path=xl/sharedStrings.xml><?xml version="1.0" encoding="utf-8"?>
<sst xmlns="http://schemas.openxmlformats.org/spreadsheetml/2006/main" count="583" uniqueCount="280">
  <si>
    <t>商品名</t>
    <rPh sb="0" eb="3">
      <t>ショウヒンメイ</t>
    </rPh>
    <phoneticPr fontId="1"/>
  </si>
  <si>
    <t>小売価格
(税抜）</t>
    <rPh sb="6" eb="8">
      <t>ゼイヌ</t>
    </rPh>
    <phoneticPr fontId="1"/>
  </si>
  <si>
    <t>現行</t>
    <rPh sb="0" eb="2">
      <t>ゲンコウ</t>
    </rPh>
    <phoneticPr fontId="2"/>
  </si>
  <si>
    <t>小売価格
(税抜)</t>
    <rPh sb="6" eb="8">
      <t>ゼイヌ</t>
    </rPh>
    <phoneticPr fontId="1"/>
  </si>
  <si>
    <t>品目CD</t>
    <rPh sb="0" eb="2">
      <t>ヒンモク</t>
    </rPh>
    <phoneticPr fontId="1"/>
  </si>
  <si>
    <t>仕切り</t>
    <rPh sb="0" eb="2">
      <t>シキ</t>
    </rPh>
    <phoneticPr fontId="2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</si>
  <si>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</si>
  <si>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</si>
  <si>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</si>
  <si>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</si>
  <si>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</si>
  <si>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</si>
  <si>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</si>
  <si>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</si>
  <si>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</si>
  <si>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</si>
  <si>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</si>
  <si>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</si>
  <si>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</si>
  <si>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</si>
  <si>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</si>
  <si>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</si>
  <si>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</si>
  <si>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</si>
  <si>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</si>
  <si>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</si>
  <si>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</si>
  <si>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</si>
  <si>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小売価格
(税抜)
換算</t>
    <rPh sb="6" eb="8">
      <t>ゼイヌ</t>
    </rPh>
    <rPh sb="10" eb="12">
      <t>カンザン</t>
    </rPh>
    <phoneticPr fontId="1"/>
  </si>
  <si>
    <t>仕切り
換算</t>
    <rPh sb="0" eb="2">
      <t>シキ</t>
    </rPh>
    <rPh sb="4" eb="6">
      <t>カンザン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</si>
  <si>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</si>
  <si>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</si>
  <si>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</si>
  <si>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</si>
  <si>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</si>
  <si>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</si>
  <si>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</si>
  <si>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</si>
  <si>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</si>
  <si>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</si>
  <si>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</si>
  <si>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</si>
  <si>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</si>
  <si>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</si>
  <si>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</si>
  <si>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アスクル
換算売価</t>
    <rPh sb="5" eb="7">
      <t>カンザン</t>
    </rPh>
    <rPh sb="7" eb="9">
      <t>バイカ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</si>
  <si>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</si>
  <si>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</si>
  <si>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</si>
  <si>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</si>
  <si>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</si>
  <si>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</si>
  <si>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</si>
  <si>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</si>
  <si>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</si>
  <si>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</si>
  <si>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</si>
  <si>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</si>
  <si>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</si>
  <si>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4月売価</t>
    <rPh sb="1" eb="2">
      <t>ガツ</t>
    </rPh>
    <rPh sb="2" eb="4">
      <t>バイカ</t>
    </rPh>
    <phoneticPr fontId="2"/>
  </si>
  <si>
    <t>新No.</t>
    <rPh sb="0" eb="1">
      <t>シン</t>
    </rPh>
    <phoneticPr fontId="2"/>
  </si>
  <si>
    <t>改定日</t>
    <rPh sb="0" eb="3">
      <t>カイテイビ</t>
    </rPh>
    <phoneticPr fontId="2"/>
  </si>
  <si>
    <t>-</t>
  </si>
  <si>
    <t>-</t>
    <phoneticPr fontId="2"/>
  </si>
  <si>
    <t>1本</t>
  </si>
  <si>
    <t>1パック（3本入）</t>
  </si>
  <si>
    <t>1個</t>
  </si>
  <si>
    <t>10本</t>
  </si>
  <si>
    <t>1セット（10本）</t>
  </si>
  <si>
    <t>1箱（10本入）</t>
  </si>
  <si>
    <t>条件変更</t>
    <rPh sb="0" eb="2">
      <t>ジョウケン</t>
    </rPh>
    <rPh sb="2" eb="4">
      <t>ヘンコウ</t>
    </rPh>
    <phoneticPr fontId="2"/>
  </si>
  <si>
    <t>ﾊﾟｲﾛｯﾄ/ﾌﾘｸｼｮﾝﾎﾞｰﾙ1.0mm替芯ﾌﾞﾗｯｸ3本ｾｯﾄ/LFBKRF30M-3B</t>
  </si>
  <si>
    <t>J476765</t>
  </si>
  <si>
    <t>フリクション替芯(単色用) 1.0mm ブラック 黒 3本 LFBKRF30M3B パイロット</t>
  </si>
  <si>
    <t>ﾊﾟｲﾛｯﾄ/ﾌﾘｸｼｮﾝﾎﾞｰﾙ1.0mm替芯ﾚｯﾄﾞ3本ｾｯﾄ/LFBKRF30M-3R</t>
  </si>
  <si>
    <t>J476766</t>
  </si>
  <si>
    <t>フリクション替芯(単色用) 1.0mm レッド 赤 3本 LFBKRF30M3R パイロット</t>
  </si>
  <si>
    <t>ﾊﾟｲﾛｯﾄ/ﾌﾘｸｼｮﾝﾎﾞｰﾙ1.0mm替芯ﾌﾞﾙｰ3本ｾｯﾄ/LFBKRF30M-3L</t>
  </si>
  <si>
    <t>J476767</t>
  </si>
  <si>
    <t>フリクション替芯(単色用) 1.0mm ブルー 青 3本 LFBKRF30M3L パイロット</t>
  </si>
  <si>
    <t>ﾊﾟｲﾛｯﾄ/ﾌﾘｸｼｮﾝｼﾅｼﾞｰ 替芯 0.3mm ﾌﾞﾗｯｸ 3本/LFRF-133-B</t>
  </si>
  <si>
    <t>XA36707</t>
  </si>
  <si>
    <t>1袋（3本入）</t>
  </si>
  <si>
    <t>パイロット フリクション シナジーノック 替芯 0.3mm ブラック LFRF-133-B 1袋（3本入）</t>
  </si>
  <si>
    <t>ﾊﾟｲﾛｯﾄ/ﾌﾘｸｼｮﾝｼﾅｼﾞｰ 替芯 0.3mm ﾚｯﾄﾞ 3本/LFRF-133-R</t>
  </si>
  <si>
    <t>XA36742</t>
  </si>
  <si>
    <t>パイロット フリクション シナジーノック 替芯 0.3mm レッド LFRF-133-R 1袋（3本入）</t>
  </si>
  <si>
    <t>ﾊﾟｲﾛｯﾄ/ﾌﾘｸｼｮﾝｼﾅｼﾞｰ 替芯 0.3mm ﾌﾞﾙｰ 3本/LFRF-133-L</t>
  </si>
  <si>
    <t>XA36739</t>
  </si>
  <si>
    <t>パイロット フリクション シナジーノック 替芯 0.3mm ブルー LFRF-133-L 1袋（3本入）</t>
  </si>
  <si>
    <t>ﾊﾟｲﾛｯﾄ/ﾌﾘｸｼｮﾝｼﾅｼﾞｰ 替芯 0.4mm ﾌﾞﾗｯｸ 3本/LFRF-143-B</t>
  </si>
  <si>
    <t>EK49221</t>
  </si>
  <si>
    <t>パイロット フリクション シナジーノック 替芯 0.4mm ブラック LFRF-143-B 1袋（3本入）</t>
  </si>
  <si>
    <t>ﾊﾟｲﾛｯﾄ/ﾌﾘｸｼｮﾝｼﾅｼﾞｰ 替芯 0.4mm ﾚｯﾄﾞ 3本/LFRF-143-R</t>
  </si>
  <si>
    <t>EK49224</t>
  </si>
  <si>
    <t>パイロット フリクション シナジーノック 替芯 0.4mm レッド LFRF-143-R 1袋（3本入）</t>
  </si>
  <si>
    <t>ﾊﾟｲﾛｯﾄ/ﾌﾘｸｼｮﾝｼﾅｼﾞｰ 替芯 0.4mm ﾌﾞﾙｰ 3本/LFRF-143-L</t>
  </si>
  <si>
    <t>EK49223</t>
  </si>
  <si>
    <t>パイロット フリクション シナジーノック 替芯 0.4mm ブルー LFRF-143-L 1袋（3本入）</t>
  </si>
  <si>
    <t>ﾊﾟｲﾛｯﾄ/ﾌﾘｸｼｮﾝｼﾅｼﾞｰ 替芯 0.5mm ﾌﾞﾗｯｸ 3本/LFRF-153-B</t>
  </si>
  <si>
    <t>EK49220</t>
  </si>
  <si>
    <t>パイロット フリクション シナジーノック 替芯 0.5mm ブラック LFRF-153-B 1袋（3本入）</t>
  </si>
  <si>
    <t>ﾊﾟｲﾛｯﾄ/ﾌﾘｸｼｮﾝｼﾅｼﾞｰ 替芯 0.5mm ﾚｯﾄﾞ 3本/LFRF-153-R</t>
  </si>
  <si>
    <t>EK49222</t>
  </si>
  <si>
    <t>パイロット フリクション シナジーノック 替芯 0.5mm レッド LFRF-153-R 1袋（3本入）</t>
  </si>
  <si>
    <t>ﾊﾟｲﾛｯﾄ/ﾌﾘｸｼｮﾝｼﾅｼﾞｰ 替芯 0.5mm ﾌﾞﾙｰ 3本/LFRF-153-L</t>
  </si>
  <si>
    <t>EK49225</t>
  </si>
  <si>
    <t>パイロット フリクション シナジーノック 替芯 0.5mm ブルー LFRF-153-L 1袋（3本入）</t>
  </si>
  <si>
    <t>ﾊﾟｲﾛｯﾄ/油性ﾎﾞｰﾙﾍﾟﾝ替芯 0.5mm 黒/BRFN-10EF-B</t>
  </si>
  <si>
    <t>X739633</t>
  </si>
  <si>
    <t>パイロット 油性ボールペン替芯 0.5mm 黒 BRFN-10EF-B 1本</t>
  </si>
  <si>
    <t>ﾊﾟｲﾛｯﾄ/ﾌﾘｸｼｮﾝﾎﾞｰﾙｽﾘﾑ･多色替芯0.38mm ｸﾞﾘｰﾝ</t>
  </si>
  <si>
    <t>2885922</t>
  </si>
  <si>
    <t>ﾊﾟｲﾛｯﾄ/ﾌﾘｸｼｮﾝﾎﾞｰﾙｽﾘﾑ･多色替芯0.38mm ﾌﾞﾗｯｸ 3本</t>
  </si>
  <si>
    <t>8402012</t>
  </si>
  <si>
    <t>ﾊﾟｲﾛｯﾄ/ﾌﾘｸｼｮﾝﾎﾞｰﾙｽﾘﾑ･多色替芯0.38mm ﾚｯﾄﾞ 3本</t>
  </si>
  <si>
    <t>8402021</t>
  </si>
  <si>
    <t>ﾊﾟｲﾛｯﾄ/ﾌﾘｸｼｮﾝﾎﾞｰﾙｽﾘﾑ･多色替芯0.38mm ﾌﾞﾙｰ 3本</t>
  </si>
  <si>
    <t>8402040</t>
  </si>
  <si>
    <t>ﾊﾟｲﾛｯﾄ/Dr.GRIP ｿﾌﾄｸﾞﾘｯﾌﾟ ﾌﾞﾗｯｸ/HDGS-60R-B5</t>
  </si>
  <si>
    <t>ﾊﾟｲﾛｯﾄ/Dr.GRIP ｿﾌﾄｸﾞﾘｯﾌﾟ ｿﾌﾄﾌﾞﾙｰ/HDGS-60R-SL5</t>
  </si>
  <si>
    <t>EA98658</t>
  </si>
  <si>
    <t>パイロット シャープペンシル ドクターグリップ Gスペック ソフトタイプ 0.5mm ソフトブルー HDGS-60R-SL5 1本</t>
  </si>
  <si>
    <t>ﾊﾟｲﾛｯﾄ/ﾃﾞｽｸｽﾀﾝﾄﾞ1本差し ﾌﾞﾗｯｸ/DS-130</t>
  </si>
  <si>
    <t>UW47874</t>
  </si>
  <si>
    <t>パイロット デスクボールペンスタンド 1本差し用 DS-130 1個</t>
  </si>
  <si>
    <t>ﾊﾟｲﾛｯﾄ/ﾃﾞｽｸﾎﾞｰﾙﾍﾟﾝ ﾌﾞﾗｯｸ/BDN-50-B</t>
  </si>
  <si>
    <t>ER17213</t>
  </si>
  <si>
    <t>パイロット 油性ボールペン デスクボールペン 0.7mm ブラック軸 黒インク BDN-50-B 1本</t>
  </si>
  <si>
    <t>ﾊﾟｲﾛｯﾄ/ﾌﾘｸｼｮﾝﾎﾞｰﾙｽﾘﾑ･多色替芯0.5mm ｸﾞﾘｰﾝ</t>
  </si>
  <si>
    <t>9655030</t>
  </si>
  <si>
    <t>ﾊﾟｲﾛｯﾄ/油性ﾎﾞｰﾙﾍﾟﾝ0.7mm替芯 黒/BRFN10FB</t>
  </si>
  <si>
    <t>1239913</t>
  </si>
  <si>
    <t>パイロット 油性ボールペン替芯 0.7mm 黒 BRFN-10F-B 1本</t>
  </si>
  <si>
    <t>ﾊﾟｲﾛｯﾄ/ﾌﾘｸｼｮﾝﾎﾞｰﾙ替芯0.7mm ﾌﾞﾙｰﾌﾞﾗｯｸ/LFBKRF12FBB</t>
  </si>
  <si>
    <t>9588948</t>
  </si>
  <si>
    <t>G)ﾊﾟｲﾛｯﾄ/ﾚｯｸｽｸﾞﾘｯﾌﾟ0.5mm 黒/BRG-10EF-BB</t>
  </si>
  <si>
    <t>EA34532</t>
  </si>
  <si>
    <t>パイロット 油性ボールペン レックスグリップ(極細) 0.5mm ブラック軸 黒インク BRG-10EF-BB 1本</t>
  </si>
  <si>
    <t>G)ﾊﾟｲﾛｯﾄ/ﾚｯｸｽｸﾞﾘｯﾌﾟ0.5mm 赤/BRG-10EF-RR</t>
  </si>
  <si>
    <t>EA34535</t>
  </si>
  <si>
    <t>パイロット 油性ボールペン レックスグリップ(極細) 0.5mm レッド軸 赤インク BRG-10EF-RR 1本</t>
  </si>
  <si>
    <t>G)ﾊﾟｲﾛｯﾄ/ﾚｯｸｽｸﾞﾘｯﾌﾟ0.7mm ﾉｯｸ式 赤/BRG-10F-RR</t>
  </si>
  <si>
    <t>661457</t>
  </si>
  <si>
    <t>パイロット 油性ボールペン レックスグリップ(細字) 0.7mm レッド軸 赤インク BRG-10F-RR 1本</t>
  </si>
  <si>
    <t>ﾊﾟｲﾛｯﾄ/ﾌﾘｸｼｮﾝﾎﾞｰﾙ替芯0.7mm ﾌﾞﾗｯｸ 3本/LFBKRF30F3B</t>
  </si>
  <si>
    <t>6215807</t>
  </si>
  <si>
    <t>ﾊﾟｲﾛｯﾄ/ﾌﾘｸｼｮﾝﾎﾞｰﾙ替芯0.7mm ﾚｯﾄﾞ 3本/LFBKRF30F3R</t>
  </si>
  <si>
    <t>6215816</t>
  </si>
  <si>
    <t>ﾊﾟｲﾛｯﾄ/ﾌﾘｸｼｮﾝﾎﾞｰﾙ替芯0.7mm ﾌﾞﾙｰ 3本/LFBKRF30F3L</t>
  </si>
  <si>
    <t>6215825</t>
  </si>
  <si>
    <t>G)ﾊﾟｲﾛｯﾄ/ﾚｯｸｽｸﾞﾘｯﾌﾟ0.7mm ﾉｯｸ式 黒/BRG-10F-BB</t>
  </si>
  <si>
    <t>661439</t>
  </si>
  <si>
    <t>パイロット 油性ボールペン レックスグリップ(細字) 0.7mm ブラック軸 黒インク BRG-10F-BB 1本</t>
  </si>
  <si>
    <t>ﾊﾟｲﾛｯﾄ/ﾌﾘｸｼｮﾝﾎﾞｰﾙ替芯0.5mm ｸﾞﾘｰﾝ/LFBKRF12EFG</t>
  </si>
  <si>
    <t>6215745</t>
  </si>
  <si>
    <t>ﾊﾟｲﾛｯﾄ/ﾌﾘｸｼｮﾝﾎﾞｰﾙ替芯0.5mm ﾌﾞﾗｯｸ 3本/LFBKRF30EF3B</t>
  </si>
  <si>
    <t>4689616</t>
  </si>
  <si>
    <t>ﾊﾟｲﾛｯﾄ/ﾌﾘｸｼｮﾝﾎﾞｰﾙ替芯0.5mm ﾚｯﾄﾞ 3本/LFBKRF30EF3R</t>
  </si>
  <si>
    <t>4689625</t>
  </si>
  <si>
    <t>ﾊﾟｲﾛｯﾄ/ﾌﾘｸｼｮﾝﾎﾞｰﾙ替芯0.5mm ﾌﾞﾙｰ 3本/LFBKRF30EF3L</t>
  </si>
  <si>
    <t>4689634</t>
  </si>
  <si>
    <t>ﾊﾟｲﾛｯﾄ/ﾌﾘｸｼｮﾝﾎﾞｰﾙ替芯0.5mm ﾌﾞﾙｰﾌﾞﾗｯｸ/LFBKRF12EFBB</t>
  </si>
  <si>
    <t>9540256</t>
  </si>
  <si>
    <t>ﾊﾟｲﾛｯﾄ/ﾌﾘｸｼｮﾝﾎﾞｰﾙ替芯0.7mm ｸﾞﾘｰﾝ/LFBKRF12FG</t>
  </si>
  <si>
    <t>9588957</t>
  </si>
  <si>
    <t>ﾊﾟｲﾛｯﾄ/ﾊｲﾃｯｸCｺﾚﾄ0.5mmｼｬｰﾌﾟﾕﾆｯﾄ/LHKRF18H5</t>
  </si>
  <si>
    <t>RE35327</t>
  </si>
  <si>
    <t>パイロット ハイテックCコレト レフィル シャープユニット LHKRF-18H5 1本</t>
  </si>
  <si>
    <t>ﾊﾟｲﾛｯﾄ/ﾌﾘｸｼｮﾝﾎﾞｰﾙｽﾘﾑ･多色替芯0.5mm ﾌﾞﾗｯｸ 3本</t>
  </si>
  <si>
    <t>8212706</t>
  </si>
  <si>
    <t>ﾊﾟｲﾛｯﾄ/ﾌﾘｸｼｮﾝﾎﾞｰﾙｽﾘﾑ･多色替芯0.5mm ﾚｯﾄﾞ 3本</t>
  </si>
  <si>
    <t>8212715</t>
  </si>
  <si>
    <t>ﾊﾟｲﾛｯﾄ/ﾌﾘｸｼｮﾝﾎﾞｰﾙｽﾘﾑ･多色替芯0.5mm ﾌﾞﾙｰ 3本</t>
  </si>
  <si>
    <t>8212724</t>
  </si>
  <si>
    <t>ﾊﾟｲﾛｯﾄ/ﾌﾘｸｼｮﾝﾎﾞｰﾙｽﾘﾑ038 ﾌﾞﾗｯｸ/LFBS-18UF-B</t>
  </si>
  <si>
    <t>8401946</t>
  </si>
  <si>
    <t>フリクションボールスリム　0.38mm　黒　消せるボールペン　LFBS-18UF-B　パイロット</t>
  </si>
  <si>
    <t>ﾊﾟｲﾛｯﾄ/ﾌﾘｸｼｮﾝﾎﾞｰﾙｽﾘﾑ038 ﾚｯﾄﾞ/LFBS-18UF-R</t>
  </si>
  <si>
    <t>8401955</t>
  </si>
  <si>
    <t>フリクションボールスリム　0.38mm　赤　消せるボールペン　LFBS-18UF-R　パイロット</t>
  </si>
  <si>
    <t>ﾊﾟｲﾛｯﾄ/ﾌﾘｸｼｮﾝﾎﾞｰﾙｽﾘﾑ038 ﾌﾞﾙｰ/LFBS-18UF-L</t>
  </si>
  <si>
    <t>8401964</t>
  </si>
  <si>
    <t>フリクションボールスリム　0.38mm　青　消せるボールペン　LFBS-18UF-L　パイロット</t>
  </si>
  <si>
    <t>ﾊﾟｲﾛｯﾄ/ﾌﾘｸｼｮﾝﾎﾞｰﾙｽﾘﾑ038 ｸﾞﾘｰﾝ/LFBS-18UF-G</t>
  </si>
  <si>
    <t>8401973</t>
  </si>
  <si>
    <t>フリクションボールスリム　0.38mm　グリーン　緑　消せるボールペン　LFBS-18UF-G　パイロット</t>
  </si>
  <si>
    <t>ﾊﾟｲﾛｯﾄ/万年筆ｶｰﾄﾘｯｼﾞｲﾝｷ 青 12本/IRF-12S-L</t>
  </si>
  <si>
    <t>ﾊﾟｲﾛｯﾄ/万年筆ｶｰﾄﾘｯｼﾞｲﾝｷ 黒 12本/IRF-12S-B</t>
  </si>
  <si>
    <t>ﾊﾟｲﾛｯﾄ/万年筆ｶｰﾄﾘｯｼﾞｲﾝｷ 赤 12本/IRF-12S-R</t>
  </si>
  <si>
    <t>ﾊﾟｲﾛｯﾄ/万年筆ｶｰﾄﾘｯｼﾞｲﾝｷ ﾌﾞﾙｰﾌﾞﾗｯｸ12本/IRF12SBB</t>
  </si>
  <si>
    <t>ﾊﾟｲﾛｯﾄ/油性ﾎﾞｰﾙﾍﾟﾝ0.7mm替芯 ﾌﾞﾗｯｸ/BRFS-10F-B</t>
  </si>
  <si>
    <t>A606328</t>
  </si>
  <si>
    <t>パイロット 油性BPレフィル BRFS 07 B BRFS-10F-B 1本</t>
  </si>
  <si>
    <t>ﾊﾟｲﾛｯﾄ/油性ﾎﾞｰﾙﾍﾟﾝ0.7mm替芯 ﾚｯﾄﾞ/BRFS-10F-R</t>
  </si>
  <si>
    <t>A606329</t>
  </si>
  <si>
    <t>パイロット 油性BPレフィル BRFS 07 R BRFS-10F-R 1本</t>
  </si>
  <si>
    <t>ﾊﾟｲﾛｯﾄ/油性ﾎﾞｰﾙﾍﾟﾝ0.7mm替芯 ﾌﾞﾙｰ/BRFS-10F-L</t>
  </si>
  <si>
    <t>ER17198</t>
  </si>
  <si>
    <t>パイロット 油性ボールペン替芯(アクロインク多色用) 0.7mm 青 BRFS-10F-L 1本</t>
  </si>
  <si>
    <t>ﾊﾟｲﾛｯﾄ/油性ﾎﾞｰﾙﾍﾟﾝ0.7mm替芯 ｸﾞﾘｰﾝ/BRFS-10F-G</t>
  </si>
  <si>
    <t>ﾊﾟｲﾛｯﾄ/ﾌﾘｸｼｮﾝﾎﾞｰﾙｽﾘﾑ･多色替芯0.38mm ﾌﾞﾙｰﾌﾞﾗｯｸ</t>
  </si>
  <si>
    <t>2885913</t>
  </si>
  <si>
    <t>フリクション替芯(多色・スリム038用)　0.38mm　ブルーブラック　紺　LFBTRF12UF-BB　パイロット</t>
  </si>
  <si>
    <t>ﾊﾟｲﾛｯﾄ/油性ﾎﾞｰﾙﾍﾟﾝ替芯 0.5mm 黒 10本/BRFN-10EF-B</t>
  </si>
  <si>
    <t>X739659</t>
  </si>
  <si>
    <t>パイロット 油性ボールペン替芯 0.5mm 黒 BRFN-10EF-B 10本</t>
  </si>
  <si>
    <t>ﾊﾟｲﾛｯﾄ/ﾌﾘｸｼｮﾝﾎﾞｰﾙｽﾘﾑ･多色替芯0.5mm ｸﾞﾘｰﾝ 10本</t>
  </si>
  <si>
    <t>1273942</t>
  </si>
  <si>
    <t>ﾊﾟｲﾛｯﾄ/油性ﾎﾞｰﾙﾍﾟﾝ0.7mm替芯 黒 10本/BRFN10FB</t>
  </si>
  <si>
    <t>669535</t>
  </si>
  <si>
    <t>パイロット 油性ボールペン替芯 0.7mm 黒 BRFN-10F-B 1箱(10本入)</t>
  </si>
  <si>
    <t>ﾊﾟｲﾛｯﾄ/ﾌﾘｸｼｮﾝﾎﾞｰﾙ替芯0.7mm ﾌﾞﾙｰﾌﾞﾗｯｸ 10本</t>
  </si>
  <si>
    <t>ﾊﾟｲﾛｯﾄ/ﾌﾘｸｼｮﾝﾎﾞｰﾙ替芯0.5mm ｸﾞﾘｰﾝ 10本/LFBKRF12EFG</t>
  </si>
  <si>
    <t>ﾊﾟｲﾛｯﾄ/ﾌﾘｸｼｮﾝﾎﾞｰﾙ替芯0.5mm ﾌﾞﾗｯｸ 3本×10ｾｯﾄ</t>
  </si>
  <si>
    <t>1213505</t>
  </si>
  <si>
    <t>1セット（30本：3本入×10パック）</t>
  </si>
  <si>
    <t>ﾊﾟｲﾛｯﾄ/ﾌﾘｸｼｮﾝﾎﾞｰﾙ替芯0.5mm ﾌﾞﾙｰﾌﾞﾗｯｸ 10本</t>
  </si>
  <si>
    <t>ﾊﾟｲﾛｯﾄ/ﾌﾘｸｼｮﾝﾎﾞｰﾙ替芯0.7mm ｸﾞﾘｰﾝ 10本/LFBKRF12FG</t>
  </si>
  <si>
    <t>ﾊﾟｲﾛｯﾄ/ﾌﾘｸｼｮﾝﾎﾞｰﾙｽﾘﾑ･多色替芯0.5mm ﾌﾞﾗｯｸ 3本×10P</t>
  </si>
  <si>
    <t>1961108</t>
  </si>
  <si>
    <t>ﾊﾟｲﾛｯﾄ/ﾌﾘｸｼｮﾝﾎﾞｰﾙｽﾘﾑ･多色替芯0.5mm ﾚｯﾄﾞ 3本×10P</t>
  </si>
  <si>
    <t>1961117</t>
  </si>
  <si>
    <t>ﾊﾟｲﾛｯﾄ/ﾌﾘｸｼｮﾝﾎﾞｰﾙｽﾘﾑ･多色替芯0.5mm ﾌﾞﾙｰ 3本×10P</t>
  </si>
  <si>
    <t>1961126</t>
  </si>
  <si>
    <t>ﾊﾟｲﾛｯﾄ/油性ﾎﾞｰﾙﾍﾟﾝ0.7mm替芯ﾌﾞﾗｯｸ10本/BRFS-10F-B</t>
  </si>
  <si>
    <t>X755116</t>
  </si>
  <si>
    <t>パイロット 油性ボールペン替芯(アクロインク多色用) 0.7mm 黒 BRFS-10F-B 10本</t>
  </si>
  <si>
    <t>ﾊﾟｲﾛｯﾄ/油性ﾎﾞｰﾙﾍﾟﾝ0.7mm替芯 ﾚｯﾄﾞ 10本/BRFS-10F-R</t>
  </si>
  <si>
    <t>X755117</t>
  </si>
  <si>
    <t>パイロット 油性ボールペン替芯(アクロインク多色用) 0.7mm 赤 BRFS-10F-R 10本</t>
  </si>
  <si>
    <t>ﾊﾟｲﾛｯﾄ/油性ﾎﾞｰﾙﾍﾟﾝ0.7mm替芯 ﾌﾞﾙｰ 10本/BRFS-10F-L</t>
  </si>
  <si>
    <t>ER17244</t>
  </si>
  <si>
    <t>パイロット 油性ボールペン替芯(アクロインク多色用) 0.7mm 青 BRFS-10F-L 1セット(10本)</t>
  </si>
  <si>
    <t>ﾊﾟｲﾛｯﾄ/油性ﾎﾞｰﾙﾍﾟﾝ0.7mm替芯ｸﾞﾘｰﾝ10本/BRFS-10F-G</t>
  </si>
  <si>
    <t>ｱｽｸﾙ
ｽﾗｲﾄﾞ</t>
    <phoneticPr fontId="2"/>
  </si>
  <si>
    <t>パイロット 万年筆カートリッジインキ ブルー IRF-12S-L 1箱（12本入）</t>
  </si>
  <si>
    <t>パイロット　万年筆カートリッジインキ　ブラック　12本入り　IRF-12S-B　1箱</t>
  </si>
  <si>
    <t>パイロット　万年筆カートリッジインキ　ブルーブラック　12本入り　IRF-12S-BB　1箱</t>
  </si>
  <si>
    <t>HK57034</t>
  </si>
  <si>
    <t>1箱（12本入）</t>
  </si>
  <si>
    <t>1386374</t>
  </si>
  <si>
    <t>1386383</t>
  </si>
  <si>
    <t>箱</t>
    <rPh sb="0" eb="1">
      <t>ハコ</t>
    </rPh>
    <phoneticPr fontId="2"/>
  </si>
  <si>
    <t>パイロット 万年筆カートリッジインク レッド IRF-12SR 1個</t>
  </si>
  <si>
    <t>RE35273</t>
  </si>
  <si>
    <t>オレンジはM価越え</t>
    <rPh sb="6" eb="7">
      <t>カ</t>
    </rPh>
    <rPh sb="7" eb="8">
      <t>ゴ</t>
    </rPh>
    <phoneticPr fontId="2"/>
  </si>
  <si>
    <t>6月売価</t>
    <rPh sb="1" eb="2">
      <t>ガツ</t>
    </rPh>
    <rPh sb="2" eb="4">
      <t>バイカ</t>
    </rPh>
    <phoneticPr fontId="2"/>
  </si>
  <si>
    <t>4月
たの</t>
    <rPh sb="1" eb="2">
      <t>ガツ</t>
    </rPh>
    <phoneticPr fontId="2"/>
  </si>
  <si>
    <t>カウ
ｽﾗｲﾄﾞ</t>
    <phoneticPr fontId="2"/>
  </si>
  <si>
    <t>たの
ｽﾗｲﾄﾞ</t>
    <phoneticPr fontId="2"/>
  </si>
  <si>
    <t>4月
カウ</t>
    <rPh sb="1" eb="2">
      <t>ガツ</t>
    </rPh>
    <phoneticPr fontId="2"/>
  </si>
  <si>
    <t>6月
たの</t>
    <rPh sb="1" eb="2">
      <t>ガツ</t>
    </rPh>
    <phoneticPr fontId="2"/>
  </si>
  <si>
    <t>フリクション替芯(多色・スリム038用)　0.38mm　緑　LFBTRF12UF-G　パイロット</t>
  </si>
  <si>
    <t>フリクション替芯(多色用)　0.5mm　緑　LFBTRF12EF-G　パイロット</t>
  </si>
  <si>
    <t>フリクション替芯(多色用)　0.5mm　緑　10本　LFBTRF12EF-G　パイロット</t>
  </si>
  <si>
    <t>フリクション替芯(単色用) 0.7mm ブルーブラック 紺 1本 LFBKRF-12F-BB パイロット</t>
  </si>
  <si>
    <t>フリクション替芯(単色用）0.5mm グリーン 緑 1本 LFBKRF-12EF-G パイロット</t>
  </si>
  <si>
    <t>フリクション替芯(単色用) 0.5mm ブルーブラック 紺 1本 LFBKRF12EF-BB パイロット</t>
  </si>
  <si>
    <t>フリクション替芯(単色用) 0.7mm グリーン 緑 1本 LFBKRF-12F-G パイロット</t>
  </si>
  <si>
    <t>フリクション替芯(多色・スリム用)　0.38mm　黒　3本　LFBTRF30UF-3B　パイロット</t>
  </si>
  <si>
    <t>フリクション替芯(多色・スリム用)　0.38mm　赤　3本　LFBTRF30UF-3R　パイロット</t>
  </si>
  <si>
    <t>フリクション替芯(多色・スリム用)　0.38mm　青　3本　LFBTRF30UF-3L　パイロット</t>
  </si>
  <si>
    <t>フリクション替芯(単色用) 0.7mm ブラック 黒 3本 LFBKRF30F3B パイロット</t>
  </si>
  <si>
    <t>フリクション替芯(単色用) 0.7mm レッド 赤 3本 LFBKRF30F3R パイロット</t>
  </si>
  <si>
    <t>フリクション替芯(単色用) 0.7mm ブルー 青 3本 LFBKRF30F3L パイロット</t>
  </si>
  <si>
    <t>フリクション替芯(単色用) 0.5mm ブラック 黒 LFBKRF30EF3B 3本入 パイロット</t>
  </si>
  <si>
    <t>フリクション替芯(単色用) 0.5mm ブラック 黒 LFBKRF30EF3B 30本入 パイロット</t>
  </si>
  <si>
    <t>フリクション替芯(単色用) 0.5mm レッド 赤 LFBKRF30EF3R 3本入 パイロット</t>
  </si>
  <si>
    <t>フリクション替芯(単色用) 0.5mm ブルー 青 LFBKRF30EF3L 3本入 パイロット</t>
  </si>
  <si>
    <t>フリクション替芯(多色用) 0.5mm　黒　LFBTRF30EF3B　3本入　パイロット</t>
  </si>
  <si>
    <t>フリクション替芯(多色用)　0.5mm　黒　30本　LFBTRF30EF3B　パイロット</t>
  </si>
  <si>
    <t>フリクション替芯(多色用) 0.5mm　赤　LFBTRF30EF3R　3本入　パイロット</t>
  </si>
  <si>
    <t>フリクション替芯(多色用)　0.5mm　赤　30本　LFBTRF30EF3R　パイロット</t>
  </si>
  <si>
    <t>フリクション替芯(多色用) 0.5mm　青　LFBTRF30EF3L　3本入　パイロット</t>
  </si>
  <si>
    <t>フリクション替芯(多色用)　0.5mm　青　30本　LFBTRF30EF3L　パイロット</t>
  </si>
  <si>
    <t>6月
カウ</t>
    <rPh sb="1" eb="2">
      <t>ガツ</t>
    </rPh>
    <phoneticPr fontId="2"/>
  </si>
  <si>
    <t>ﾁｪｯｸ●</t>
    <phoneticPr fontId="2"/>
  </si>
  <si>
    <t>●</t>
    <phoneticPr fontId="2"/>
  </si>
  <si>
    <t>7/1確認</t>
    <rPh sb="3" eb="5">
      <t>カクニン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</si>
</sst>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%"/>
    <numFmt numFmtId="178" formatCode="yyyy/m/d;@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19" xfId="0" applyBorder="1" applyAlignment="1">
      <alignment horizontal="center" vertical="center"/>
    </xf>
    <xf numFmtId="0" fontId="0" fillId="3" borderId="4" xfId="0" applyFill="1" applyBorder="1">
      <alignment vertical="center"/>
    </xf>
    <xf numFmtId="178" fontId="0" fillId="0" borderId="0" xfId="0" applyNumberFormat="1">
      <alignment vertical="center"/>
    </xf>
    <xf numFmtId="0" fontId="0" fillId="0" borderId="1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8" xfId="0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6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V72"/>
  <sheetViews>
    <sheetView tabSelected="1" zoomScale="90" zoomScaleNormal="90" workbookViewId="0">
      <pane xSplit="8" ySplit="3" topLeftCell="K4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3" width="4" customWidth="1"/>
    <col min="4" max="6" width="7" customWidth="1"/>
    <col min="7" max="7" width="53.75" customWidth="1"/>
    <col min="8" max="8" width="12.875" customWidth="1"/>
    <col min="9" max="10" width="7.5" hidden="1" customWidth="1" outlineLevel="1"/>
    <col min="11" max="11" width="7.625" customWidth="1" collapsed="1"/>
    <col min="12" max="14" width="7.625" customWidth="1"/>
    <col min="15" max="15" width="5.375" customWidth="1"/>
    <col min="16" max="23" width="7.625" hidden="1" customWidth="1" outlineLevel="1"/>
    <col min="24" max="24" width="6" customWidth="1" collapsed="1"/>
    <col min="25" max="25" width="6.625" customWidth="1"/>
    <col min="26" max="26" width="6" customWidth="1"/>
    <col min="27" max="27" width="5.375" customWidth="1"/>
    <col min="28" max="28" width="4.375" hidden="1" customWidth="1" collapsed="1"/>
    <col min="29" max="30" width="7.625" customWidth="1"/>
    <col min="31" max="31" width="6.75" customWidth="1"/>
    <col min="32" max="32" width="6.25" customWidth="1"/>
    <col min="33" max="36" width="7.625" customWidth="1"/>
    <col min="37" max="37" width="6.375" customWidth="1"/>
    <col min="38" max="40" width="7.625" hidden="1" customWidth="1" outlineLevel="1"/>
    <col min="41" max="41" width="7.625" customWidth="1" collapsed="1"/>
    <col min="42" max="43" width="7.625" customWidth="1"/>
    <col min="44" max="52" width="7.625" hidden="1" customWidth="1" outlineLevel="1"/>
    <col min="53" max="53" width="7.625" customWidth="1" collapsed="1"/>
    <col min="54" max="54" width="7.625" customWidth="1"/>
    <col min="55" max="55" width="4.75" customWidth="1"/>
    <col min="56" max="56" width="4.375" customWidth="1"/>
    <col min="57" max="63" width="6.375" customWidth="1"/>
    <col min="64" max="64" width="9.25" bestFit="1" customWidth="1"/>
    <col min="65" max="65" width="9.25" customWidth="1"/>
    <col min="66" max="70" width="6.375" customWidth="1"/>
    <col min="71" max="71" width="7.625" customWidth="1"/>
  </cols>
  <sheetData>
    <row r="1" spans="1:74" x14ac:dyDescent="0.4">
      <c r="D1" s="28" t="s">
        <v>49</v>
      </c>
      <c r="X1" s="38" t="s">
        <v>46</v>
      </c>
      <c r="Y1" s="39"/>
      <c r="Z1" s="39"/>
      <c r="AA1" s="40"/>
      <c r="AI1" t="s">
        <v>246</v>
      </c>
    </row>
    <row r="2" spans="1:74" x14ac:dyDescent="0.4">
      <c r="D2" s="8" t="s">
        <v>33</v>
      </c>
      <c r="E2" s="9" t="s">
        <v>34</v>
      </c>
      <c r="F2" s="9" t="s">
        <v>35</v>
      </c>
      <c r="G2" s="10"/>
      <c r="H2" s="10"/>
      <c r="I2" s="35" t="s">
        <v>36</v>
      </c>
      <c r="J2" s="37"/>
      <c r="K2" s="35" t="s">
        <v>2</v>
      </c>
      <c r="L2" s="36"/>
      <c r="M2" s="36"/>
      <c r="N2" s="37"/>
      <c r="O2" s="11"/>
      <c r="P2" s="29"/>
      <c r="Q2" s="29"/>
      <c r="R2" s="29"/>
      <c r="S2" s="29"/>
      <c r="T2" s="29"/>
      <c r="U2" s="29"/>
      <c r="V2" s="29"/>
      <c r="W2" s="29"/>
      <c r="X2" s="22"/>
      <c r="Y2" s="23" t="s">
        <v>39</v>
      </c>
      <c r="Z2" s="23"/>
      <c r="AA2" s="24" t="s">
        <v>39</v>
      </c>
      <c r="AB2" s="10"/>
      <c r="AC2" s="9" t="s">
        <v>44</v>
      </c>
      <c r="AD2" s="11"/>
      <c r="AE2" s="11"/>
      <c r="AF2" s="11"/>
      <c r="AG2" s="11"/>
      <c r="AH2" s="11"/>
      <c r="AI2" s="21" t="s">
        <v>47</v>
      </c>
      <c r="AJ2" s="11"/>
      <c r="AK2" s="11"/>
      <c r="AL2" s="26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>
        <v>51</v>
      </c>
      <c r="BI2">
        <v>14</v>
      </c>
      <c r="BJ2">
        <v>28</v>
      </c>
    </row>
    <row r="3" spans="1:74" ht="75" x14ac:dyDescent="0.4">
      <c r="A3" t="s">
        <v>70</v>
      </c>
      <c r="B3" s="1" t="s">
        <v>57</v>
      </c>
      <c r="C3" s="1" t="s">
        <v>60</v>
      </c>
      <c r="D3" s="2" t="s">
        <v>4</v>
      </c>
      <c r="E3" s="2" t="s">
        <v>9</v>
      </c>
      <c r="F3" s="2" t="s">
        <v>10</v>
      </c>
      <c r="G3" s="2" t="s">
        <v>0</v>
      </c>
      <c r="H3" s="12" t="s">
        <v>7</v>
      </c>
      <c r="I3" s="12" t="s">
        <v>30</v>
      </c>
      <c r="J3" s="12" t="s">
        <v>31</v>
      </c>
      <c r="K3" s="12" t="s">
        <v>1</v>
      </c>
      <c r="L3" s="2" t="s">
        <v>8</v>
      </c>
      <c r="M3" s="2" t="s">
        <v>5</v>
      </c>
      <c r="N3" s="2" t="s">
        <v>16</v>
      </c>
      <c r="O3" s="12" t="s">
        <v>53</v>
      </c>
      <c r="P3" s="12" t="s">
        <v>20</v>
      </c>
      <c r="Q3" s="12" t="s">
        <v>21</v>
      </c>
      <c r="R3" s="12" t="s">
        <v>54</v>
      </c>
      <c r="S3" s="12" t="s">
        <v>23</v>
      </c>
      <c r="T3" s="12" t="s">
        <v>24</v>
      </c>
      <c r="U3" s="12" t="s">
        <v>55</v>
      </c>
      <c r="V3" s="12" t="s">
        <v>26</v>
      </c>
      <c r="W3" s="12" t="s">
        <v>27</v>
      </c>
      <c r="X3" s="12" t="s">
        <v>3</v>
      </c>
      <c r="Y3" s="12" t="s">
        <v>28</v>
      </c>
      <c r="Z3" s="2" t="s">
        <v>5</v>
      </c>
      <c r="AA3" s="12" t="s">
        <v>29</v>
      </c>
      <c r="AB3" s="14" t="s">
        <v>6</v>
      </c>
      <c r="AC3" s="19" t="s">
        <v>17</v>
      </c>
      <c r="AD3" s="2" t="s">
        <v>16</v>
      </c>
      <c r="AE3" s="2" t="s">
        <v>50</v>
      </c>
      <c r="AF3" s="12" t="s">
        <v>45</v>
      </c>
      <c r="AG3" s="12" t="s">
        <v>235</v>
      </c>
      <c r="AH3" s="2" t="s">
        <v>16</v>
      </c>
      <c r="AI3" s="13" t="s">
        <v>37</v>
      </c>
      <c r="AJ3" s="2" t="s">
        <v>16</v>
      </c>
      <c r="AK3" s="2" t="s">
        <v>38</v>
      </c>
      <c r="AL3" s="25" t="s">
        <v>40</v>
      </c>
      <c r="AM3" s="12" t="s">
        <v>41</v>
      </c>
      <c r="AN3" s="12" t="s">
        <v>42</v>
      </c>
      <c r="AO3" s="12" t="s">
        <v>32</v>
      </c>
      <c r="AP3" s="12" t="s">
        <v>43</v>
      </c>
      <c r="AQ3" s="12" t="s">
        <v>18</v>
      </c>
      <c r="AR3" s="12" t="s">
        <v>19</v>
      </c>
      <c r="AS3" s="12" t="s">
        <v>20</v>
      </c>
      <c r="AT3" s="12" t="s">
        <v>21</v>
      </c>
      <c r="AU3" s="12" t="s">
        <v>22</v>
      </c>
      <c r="AV3" s="12" t="s">
        <v>23</v>
      </c>
      <c r="AW3" s="12" t="s">
        <v>24</v>
      </c>
      <c r="AX3" s="12" t="s">
        <v>25</v>
      </c>
      <c r="AY3" s="12" t="s">
        <v>26</v>
      </c>
      <c r="AZ3" s="12" t="s">
        <v>27</v>
      </c>
      <c r="BA3" s="2" t="s">
        <v>11</v>
      </c>
      <c r="BB3" s="2" t="s">
        <v>12</v>
      </c>
      <c r="BC3" s="2" t="s">
        <v>13</v>
      </c>
      <c r="BD3" s="2" t="s">
        <v>14</v>
      </c>
      <c r="BE3" s="12" t="s">
        <v>48</v>
      </c>
      <c r="BF3" s="12" t="s">
        <v>59</v>
      </c>
      <c r="BG3" s="2" t="s">
        <v>247</v>
      </c>
      <c r="BH3" s="2" t="s">
        <v>15</v>
      </c>
      <c r="BI3" s="17" t="s">
        <v>51</v>
      </c>
      <c r="BJ3" s="17" t="s">
        <v>52</v>
      </c>
      <c r="BK3" s="15" t="s">
        <v>58</v>
      </c>
      <c r="BL3" s="34" t="s">
        <v>61</v>
      </c>
      <c r="BM3" s="34" t="s">
        <v>279</v>
      </c>
      <c r="BN3" s="32" t="s">
        <v>248</v>
      </c>
      <c r="BO3" s="32" t="s">
        <v>252</v>
      </c>
      <c r="BP3" s="33" t="s">
        <v>250</v>
      </c>
      <c r="BQ3" s="33" t="s">
        <v>251</v>
      </c>
      <c r="BR3" s="33" t="s">
        <v>276</v>
      </c>
      <c r="BS3" s="33" t="s">
        <v>249</v>
      </c>
      <c r="BT3" t="s">
        <v>56</v>
      </c>
      <c r="BU3" t="s">
        <v>243</v>
      </c>
      <c r="BV3" s="33" t="s">
        <v>277</v>
      </c>
    </row>
    <row r="4" spans="1:74" x14ac:dyDescent="0.4">
      <c r="A4">
        <v>199</v>
      </c>
      <c r="B4" s="3">
        <v>25</v>
      </c>
      <c r="C4" s="3">
        <v>25</v>
      </c>
      <c r="D4" s="4">
        <v>670221</v>
      </c>
      <c r="E4" s="4" t="str">
        <f t="shared" ref="E4:E7" si="0">TEXT(D4,"000000")</f>
        <v>670221</v>
      </c>
      <c r="F4" s="4">
        <v>670221</v>
      </c>
      <c r="G4" s="4" t="s">
        <v>136</v>
      </c>
      <c r="H4" s="5">
        <v>4902505273360</v>
      </c>
      <c r="I4" s="5">
        <v>1</v>
      </c>
      <c r="J4" s="5">
        <v>1</v>
      </c>
      <c r="K4" s="4">
        <v>100</v>
      </c>
      <c r="L4" s="4">
        <v>89</v>
      </c>
      <c r="M4" s="4">
        <v>53</v>
      </c>
      <c r="N4" s="6">
        <f t="shared" ref="N4:N7" si="1">1-M4/L4</f>
        <v>0.4044943820224719</v>
      </c>
      <c r="O4" s="4" t="s">
        <v>63</v>
      </c>
      <c r="P4" s="4"/>
      <c r="Q4" s="4"/>
      <c r="R4" s="4"/>
      <c r="S4" s="4"/>
      <c r="T4" s="4"/>
      <c r="U4" s="4"/>
      <c r="V4" s="4"/>
      <c r="W4" s="4"/>
      <c r="X4" s="4">
        <v>120</v>
      </c>
      <c r="Y4" s="4">
        <f t="shared" ref="Y4:Y7" si="2">IF(AB4="",X4,X4*AB4)</f>
        <v>120</v>
      </c>
      <c r="Z4" s="4">
        <v>64</v>
      </c>
      <c r="AA4" s="4">
        <f t="shared" ref="AA4:AA7" si="3">IF(AB4="",Z4,Z4*AB4)</f>
        <v>64</v>
      </c>
      <c r="AB4" s="4"/>
      <c r="AC4" s="20">
        <f t="shared" ref="AC4:AC7" si="4">ROUND(L4*AQ4,0)</f>
        <v>107</v>
      </c>
      <c r="AD4" s="6">
        <f t="shared" ref="AD4:AD7" si="5">1-AA4/AC4</f>
        <v>0.40186915887850472</v>
      </c>
      <c r="AE4" s="4">
        <v>14.499999999999998</v>
      </c>
      <c r="AF4" s="4">
        <f t="shared" ref="AF4:AF7" si="6">BH4</f>
        <v>90</v>
      </c>
      <c r="AG4" s="4">
        <f t="shared" ref="AG4:AG7" si="7">AF4*AQ4</f>
        <v>108.67924528301886</v>
      </c>
      <c r="AH4" s="6">
        <f t="shared" ref="AH4:AH7" si="8">1-AA4/AG4</f>
        <v>0.41111111111111109</v>
      </c>
      <c r="AI4" s="7">
        <v>105</v>
      </c>
      <c r="AJ4" s="6">
        <f t="shared" ref="AJ4:AJ7" si="9">1-AA4/AI4</f>
        <v>0.39047619047619042</v>
      </c>
      <c r="AK4" s="4">
        <f t="shared" ref="AK4:AK7" si="10">AI4-AA4</f>
        <v>41</v>
      </c>
      <c r="AL4" s="27"/>
      <c r="AM4" s="6"/>
      <c r="AN4" s="6"/>
      <c r="AO4" s="6">
        <f t="shared" ref="AO4:AO7" si="11">Y4/K4</f>
        <v>1.2</v>
      </c>
      <c r="AP4" s="6">
        <f t="shared" ref="AP4:AP7" si="12">AI4/L4</f>
        <v>1.1797752808988764</v>
      </c>
      <c r="AQ4" s="6">
        <f t="shared" ref="AQ4:AQ7" si="13">AA4/M4</f>
        <v>1.2075471698113207</v>
      </c>
      <c r="AR4" s="4"/>
      <c r="AS4" s="4"/>
      <c r="AT4" s="4"/>
      <c r="AU4" s="4"/>
      <c r="AV4" s="4"/>
      <c r="AW4" s="4"/>
      <c r="AX4" s="4"/>
      <c r="AY4" s="4"/>
      <c r="AZ4" s="4"/>
      <c r="BA4" s="4">
        <v>0</v>
      </c>
      <c r="BB4" s="4" t="s">
        <v>137</v>
      </c>
      <c r="BC4" s="4"/>
      <c r="BD4" s="4"/>
      <c r="BE4" s="4" t="s">
        <v>64</v>
      </c>
      <c r="BF4" s="4">
        <v>90</v>
      </c>
      <c r="BG4" s="4">
        <v>90</v>
      </c>
      <c r="BH4" s="4">
        <f t="shared" ref="BH4:BH7" si="14">IF(BC4="",BG4,BC4/BD4*BG4)</f>
        <v>90</v>
      </c>
      <c r="BI4" s="18">
        <v>4</v>
      </c>
      <c r="BJ4" s="18">
        <v>1</v>
      </c>
      <c r="BK4" s="16">
        <v>5</v>
      </c>
      <c r="BL4" s="31">
        <v>46204</v>
      </c>
      <c r="BM4" s="31">
        <v>46478</v>
      </c>
      <c r="BN4" t="s">
        <v>62</v>
      </c>
      <c r="BO4" t="s">
        <v>62</v>
      </c>
      <c r="BP4" t="str">
        <f t="shared" ref="BP4:BP7" si="15">IFERROR(BO4*AQ4,"-")</f>
        <v>-</v>
      </c>
      <c r="BQ4">
        <v>90</v>
      </c>
      <c r="BR4">
        <v>90</v>
      </c>
      <c r="BS4">
        <f t="shared" ref="BS4:BS7" si="16">IFERROR(BR4*AQ4,"-")</f>
        <v>108.67924528301886</v>
      </c>
      <c r="BT4" s="4" t="s">
        <v>138</v>
      </c>
      <c r="BV4" t="s">
        <v>278</v>
      </c>
    </row>
    <row r="5" spans="1:74" x14ac:dyDescent="0.4">
      <c r="A5">
        <v>200</v>
      </c>
      <c r="B5" s="3">
        <v>26</v>
      </c>
      <c r="C5" s="3">
        <v>26</v>
      </c>
      <c r="D5" s="4">
        <v>670222</v>
      </c>
      <c r="E5" s="4" t="str">
        <f t="shared" si="0"/>
        <v>670222</v>
      </c>
      <c r="F5" s="4">
        <v>670222</v>
      </c>
      <c r="G5" s="4" t="s">
        <v>139</v>
      </c>
      <c r="H5" s="5">
        <v>4902505273377</v>
      </c>
      <c r="I5" s="5">
        <v>1</v>
      </c>
      <c r="J5" s="5">
        <v>1</v>
      </c>
      <c r="K5" s="4">
        <v>100</v>
      </c>
      <c r="L5" s="4">
        <v>89</v>
      </c>
      <c r="M5" s="4">
        <v>53</v>
      </c>
      <c r="N5" s="6">
        <f t="shared" si="1"/>
        <v>0.4044943820224719</v>
      </c>
      <c r="O5" s="4" t="s">
        <v>63</v>
      </c>
      <c r="P5" s="4"/>
      <c r="Q5" s="4"/>
      <c r="R5" s="4"/>
      <c r="S5" s="4"/>
      <c r="T5" s="4"/>
      <c r="U5" s="4"/>
      <c r="V5" s="4"/>
      <c r="W5" s="4"/>
      <c r="X5" s="4">
        <v>120</v>
      </c>
      <c r="Y5" s="4">
        <f t="shared" si="2"/>
        <v>120</v>
      </c>
      <c r="Z5" s="4">
        <v>64</v>
      </c>
      <c r="AA5" s="4">
        <f t="shared" si="3"/>
        <v>64</v>
      </c>
      <c r="AB5" s="4"/>
      <c r="AC5" s="20">
        <f t="shared" si="4"/>
        <v>107</v>
      </c>
      <c r="AD5" s="6">
        <f t="shared" si="5"/>
        <v>0.40186915887850472</v>
      </c>
      <c r="AE5" s="4">
        <v>7.0000000000000009</v>
      </c>
      <c r="AF5" s="4">
        <f t="shared" si="6"/>
        <v>90</v>
      </c>
      <c r="AG5" s="4">
        <f t="shared" si="7"/>
        <v>108.67924528301886</v>
      </c>
      <c r="AH5" s="6">
        <f t="shared" si="8"/>
        <v>0.41111111111111109</v>
      </c>
      <c r="AI5" s="7">
        <v>105</v>
      </c>
      <c r="AJ5" s="6">
        <f t="shared" si="9"/>
        <v>0.39047619047619042</v>
      </c>
      <c r="AK5" s="4">
        <f t="shared" si="10"/>
        <v>41</v>
      </c>
      <c r="AL5" s="27"/>
      <c r="AM5" s="6"/>
      <c r="AN5" s="6"/>
      <c r="AO5" s="6">
        <f t="shared" si="11"/>
        <v>1.2</v>
      </c>
      <c r="AP5" s="6">
        <f t="shared" si="12"/>
        <v>1.1797752808988764</v>
      </c>
      <c r="AQ5" s="6">
        <f t="shared" si="13"/>
        <v>1.2075471698113207</v>
      </c>
      <c r="AR5" s="4"/>
      <c r="AS5" s="4"/>
      <c r="AT5" s="4"/>
      <c r="AU5" s="4"/>
      <c r="AV5" s="4"/>
      <c r="AW5" s="4"/>
      <c r="AX5" s="4"/>
      <c r="AY5" s="4"/>
      <c r="AZ5" s="4"/>
      <c r="BA5" s="4">
        <v>0</v>
      </c>
      <c r="BB5" s="4" t="s">
        <v>140</v>
      </c>
      <c r="BC5" s="4"/>
      <c r="BD5" s="4"/>
      <c r="BE5" s="4" t="s">
        <v>64</v>
      </c>
      <c r="BF5" s="4">
        <v>90</v>
      </c>
      <c r="BG5" s="4">
        <v>90</v>
      </c>
      <c r="BH5" s="4">
        <f t="shared" si="14"/>
        <v>90</v>
      </c>
      <c r="BI5" s="18">
        <v>4</v>
      </c>
      <c r="BJ5" s="18">
        <v>1</v>
      </c>
      <c r="BK5" s="16">
        <v>5</v>
      </c>
      <c r="BL5" s="31">
        <v>46204</v>
      </c>
      <c r="BM5" s="31">
        <v>46478</v>
      </c>
      <c r="BN5" t="s">
        <v>62</v>
      </c>
      <c r="BO5" t="s">
        <v>62</v>
      </c>
      <c r="BP5" t="str">
        <f t="shared" si="15"/>
        <v>-</v>
      </c>
      <c r="BQ5">
        <v>90</v>
      </c>
      <c r="BR5">
        <v>90</v>
      </c>
      <c r="BS5">
        <f t="shared" si="16"/>
        <v>108.67924528301886</v>
      </c>
      <c r="BT5" s="4" t="s">
        <v>141</v>
      </c>
      <c r="BV5" t="s">
        <v>278</v>
      </c>
    </row>
    <row r="6" spans="1:74" x14ac:dyDescent="0.4">
      <c r="A6">
        <v>202</v>
      </c>
      <c r="B6" s="3">
        <v>27</v>
      </c>
      <c r="C6" s="3">
        <v>27</v>
      </c>
      <c r="D6" s="4">
        <v>670250</v>
      </c>
      <c r="E6" s="4" t="str">
        <f t="shared" si="0"/>
        <v>670250</v>
      </c>
      <c r="F6" s="4">
        <v>670250</v>
      </c>
      <c r="G6" s="4" t="s">
        <v>142</v>
      </c>
      <c r="H6" s="5">
        <v>4902505256424</v>
      </c>
      <c r="I6" s="5">
        <v>1</v>
      </c>
      <c r="J6" s="5">
        <v>1</v>
      </c>
      <c r="K6" s="4">
        <v>100</v>
      </c>
      <c r="L6" s="4">
        <v>89</v>
      </c>
      <c r="M6" s="4">
        <v>53</v>
      </c>
      <c r="N6" s="6">
        <f t="shared" si="1"/>
        <v>0.4044943820224719</v>
      </c>
      <c r="O6" s="4" t="s">
        <v>63</v>
      </c>
      <c r="P6" s="4"/>
      <c r="Q6" s="4"/>
      <c r="R6" s="4"/>
      <c r="S6" s="4"/>
      <c r="T6" s="4"/>
      <c r="U6" s="4"/>
      <c r="V6" s="4"/>
      <c r="W6" s="4"/>
      <c r="X6" s="4">
        <v>120</v>
      </c>
      <c r="Y6" s="4">
        <f t="shared" si="2"/>
        <v>120</v>
      </c>
      <c r="Z6" s="4">
        <v>64</v>
      </c>
      <c r="AA6" s="4">
        <f t="shared" si="3"/>
        <v>64</v>
      </c>
      <c r="AB6" s="4"/>
      <c r="AC6" s="20">
        <f t="shared" si="4"/>
        <v>107</v>
      </c>
      <c r="AD6" s="6">
        <f t="shared" si="5"/>
        <v>0.40186915887850472</v>
      </c>
      <c r="AE6" s="4">
        <v>9</v>
      </c>
      <c r="AF6" s="4">
        <f t="shared" si="6"/>
        <v>88</v>
      </c>
      <c r="AG6" s="4">
        <f t="shared" si="7"/>
        <v>106.26415094339622</v>
      </c>
      <c r="AH6" s="6">
        <f t="shared" si="8"/>
        <v>0.39772727272727271</v>
      </c>
      <c r="AI6" s="7">
        <v>105</v>
      </c>
      <c r="AJ6" s="6">
        <f t="shared" si="9"/>
        <v>0.39047619047619042</v>
      </c>
      <c r="AK6" s="4">
        <f t="shared" si="10"/>
        <v>41</v>
      </c>
      <c r="AL6" s="27"/>
      <c r="AM6" s="6"/>
      <c r="AN6" s="6"/>
      <c r="AO6" s="6">
        <f t="shared" si="11"/>
        <v>1.2</v>
      </c>
      <c r="AP6" s="6">
        <f t="shared" si="12"/>
        <v>1.1797752808988764</v>
      </c>
      <c r="AQ6" s="6">
        <f t="shared" si="13"/>
        <v>1.2075471698113207</v>
      </c>
      <c r="AR6" s="4"/>
      <c r="AS6" s="4"/>
      <c r="AT6" s="4"/>
      <c r="AU6" s="4"/>
      <c r="AV6" s="4"/>
      <c r="AW6" s="4"/>
      <c r="AX6" s="4"/>
      <c r="AY6" s="4"/>
      <c r="AZ6" s="4"/>
      <c r="BA6" s="4">
        <v>0</v>
      </c>
      <c r="BB6" s="4" t="s">
        <v>143</v>
      </c>
      <c r="BC6" s="4"/>
      <c r="BD6" s="4"/>
      <c r="BE6" s="4" t="s">
        <v>64</v>
      </c>
      <c r="BF6" s="4">
        <v>88</v>
      </c>
      <c r="BG6" s="4">
        <v>88</v>
      </c>
      <c r="BH6" s="4">
        <f t="shared" si="14"/>
        <v>88</v>
      </c>
      <c r="BI6" s="18">
        <v>4</v>
      </c>
      <c r="BJ6" s="18">
        <v>1</v>
      </c>
      <c r="BK6" s="16">
        <v>5</v>
      </c>
      <c r="BL6" s="31">
        <v>46204</v>
      </c>
      <c r="BM6" s="31">
        <v>46478</v>
      </c>
      <c r="BN6" t="s">
        <v>62</v>
      </c>
      <c r="BO6" t="s">
        <v>62</v>
      </c>
      <c r="BP6" t="str">
        <f t="shared" si="15"/>
        <v>-</v>
      </c>
      <c r="BQ6">
        <v>90</v>
      </c>
      <c r="BR6">
        <v>90</v>
      </c>
      <c r="BS6">
        <f t="shared" si="16"/>
        <v>108.67924528301886</v>
      </c>
      <c r="BT6" s="4" t="s">
        <v>144</v>
      </c>
      <c r="BV6" t="s">
        <v>278</v>
      </c>
    </row>
    <row r="7" spans="1:74" x14ac:dyDescent="0.4">
      <c r="A7">
        <v>218</v>
      </c>
      <c r="B7" s="3">
        <v>31</v>
      </c>
      <c r="C7" s="3">
        <v>31</v>
      </c>
      <c r="D7" s="4">
        <v>679070</v>
      </c>
      <c r="E7" s="4" t="str">
        <f t="shared" si="0"/>
        <v>679070</v>
      </c>
      <c r="F7" s="4">
        <v>679070</v>
      </c>
      <c r="G7" s="4" t="s">
        <v>151</v>
      </c>
      <c r="H7" s="5">
        <v>4902505256417</v>
      </c>
      <c r="I7" s="5">
        <v>1</v>
      </c>
      <c r="J7" s="5">
        <v>1</v>
      </c>
      <c r="K7" s="4">
        <v>100</v>
      </c>
      <c r="L7" s="4">
        <v>89</v>
      </c>
      <c r="M7" s="4">
        <v>53</v>
      </c>
      <c r="N7" s="6">
        <f t="shared" si="1"/>
        <v>0.4044943820224719</v>
      </c>
      <c r="O7" s="4" t="s">
        <v>63</v>
      </c>
      <c r="P7" s="4"/>
      <c r="Q7" s="4"/>
      <c r="R7" s="4"/>
      <c r="S7" s="4"/>
      <c r="T7" s="4"/>
      <c r="U7" s="4"/>
      <c r="V7" s="4"/>
      <c r="W7" s="4"/>
      <c r="X7" s="4">
        <v>120</v>
      </c>
      <c r="Y7" s="4">
        <f t="shared" si="2"/>
        <v>120</v>
      </c>
      <c r="Z7" s="4">
        <v>64</v>
      </c>
      <c r="AA7" s="4">
        <f t="shared" si="3"/>
        <v>64</v>
      </c>
      <c r="AB7" s="4"/>
      <c r="AC7" s="20">
        <f t="shared" si="4"/>
        <v>107</v>
      </c>
      <c r="AD7" s="6">
        <f t="shared" si="5"/>
        <v>0.40186915887850472</v>
      </c>
      <c r="AE7" s="4">
        <v>67.5</v>
      </c>
      <c r="AF7" s="4">
        <f t="shared" si="6"/>
        <v>91</v>
      </c>
      <c r="AG7" s="4">
        <f t="shared" si="7"/>
        <v>109.88679245283018</v>
      </c>
      <c r="AH7" s="6">
        <f t="shared" si="8"/>
        <v>0.41758241758241754</v>
      </c>
      <c r="AI7" s="7">
        <v>105</v>
      </c>
      <c r="AJ7" s="6">
        <f t="shared" si="9"/>
        <v>0.39047619047619042</v>
      </c>
      <c r="AK7" s="4">
        <f t="shared" si="10"/>
        <v>41</v>
      </c>
      <c r="AL7" s="27"/>
      <c r="AM7" s="6"/>
      <c r="AN7" s="6"/>
      <c r="AO7" s="6">
        <f t="shared" si="11"/>
        <v>1.2</v>
      </c>
      <c r="AP7" s="6">
        <f t="shared" si="12"/>
        <v>1.1797752808988764</v>
      </c>
      <c r="AQ7" s="6">
        <f t="shared" si="13"/>
        <v>1.2075471698113207</v>
      </c>
      <c r="AR7" s="4"/>
      <c r="AS7" s="4"/>
      <c r="AT7" s="4"/>
      <c r="AU7" s="4"/>
      <c r="AV7" s="4"/>
      <c r="AW7" s="4"/>
      <c r="AX7" s="4"/>
      <c r="AY7" s="4"/>
      <c r="AZ7" s="4"/>
      <c r="BA7" s="4">
        <v>0</v>
      </c>
      <c r="BB7" s="4" t="s">
        <v>152</v>
      </c>
      <c r="BC7" s="4"/>
      <c r="BD7" s="4"/>
      <c r="BE7" s="4" t="s">
        <v>64</v>
      </c>
      <c r="BF7" s="4">
        <v>91</v>
      </c>
      <c r="BG7" s="4">
        <v>91</v>
      </c>
      <c r="BH7" s="4">
        <f t="shared" si="14"/>
        <v>91</v>
      </c>
      <c r="BI7" s="18">
        <v>4</v>
      </c>
      <c r="BJ7" s="18">
        <v>1</v>
      </c>
      <c r="BK7" s="16">
        <v>5</v>
      </c>
      <c r="BL7" s="31">
        <v>46204</v>
      </c>
      <c r="BM7" s="31">
        <v>46478</v>
      </c>
      <c r="BN7" t="s">
        <v>62</v>
      </c>
      <c r="BO7" t="s">
        <v>62</v>
      </c>
      <c r="BP7" t="str">
        <f t="shared" si="15"/>
        <v>-</v>
      </c>
      <c r="BQ7">
        <v>90</v>
      </c>
      <c r="BR7">
        <v>90</v>
      </c>
      <c r="BS7">
        <f t="shared" si="16"/>
        <v>108.67924528301886</v>
      </c>
      <c r="BT7" s="4" t="s">
        <v>153</v>
      </c>
      <c r="BV7" t="s">
        <v>278</v>
      </c>
    </row>
    <row r="8" spans="1:74" x14ac:dyDescent="0.4">
      <c r="A8">
        <v>151</v>
      </c>
      <c r="B8" s="3">
        <v>14</v>
      </c>
      <c r="C8" s="3">
        <v>14</v>
      </c>
      <c r="D8" s="4">
        <v>594620</v>
      </c>
      <c r="E8" s="4" t="str">
        <f t="shared" ref="E8:E12" si="17">TEXT(D8,"000000")</f>
        <v>594620</v>
      </c>
      <c r="F8" s="4">
        <v>594620</v>
      </c>
      <c r="G8" s="4" t="s">
        <v>111</v>
      </c>
      <c r="H8" s="5">
        <v>4902505447884</v>
      </c>
      <c r="I8" s="5">
        <v>1</v>
      </c>
      <c r="J8" s="5">
        <v>1</v>
      </c>
      <c r="K8" s="4">
        <v>130</v>
      </c>
      <c r="L8" s="4">
        <v>125</v>
      </c>
      <c r="M8" s="4">
        <v>69</v>
      </c>
      <c r="N8" s="6">
        <f t="shared" ref="N8:N12" si="18">1-M8/L8</f>
        <v>0.44799999999999995</v>
      </c>
      <c r="O8" s="4" t="s">
        <v>63</v>
      </c>
      <c r="P8" s="4"/>
      <c r="Q8" s="4"/>
      <c r="R8" s="4"/>
      <c r="S8" s="4"/>
      <c r="T8" s="4"/>
      <c r="U8" s="4"/>
      <c r="V8" s="4"/>
      <c r="W8" s="4"/>
      <c r="X8" s="4">
        <v>140</v>
      </c>
      <c r="Y8" s="4">
        <f t="shared" ref="Y8:Y12" si="19">IF(AB8="",X8,X8*AB8)</f>
        <v>140</v>
      </c>
      <c r="Z8" s="4">
        <v>75</v>
      </c>
      <c r="AA8" s="4">
        <f t="shared" ref="AA8:AA12" si="20">IF(AB8="",Z8,Z8*AB8)</f>
        <v>75</v>
      </c>
      <c r="AB8" s="4"/>
      <c r="AC8" s="20">
        <f t="shared" ref="AC8:AC12" si="21">ROUND(L8*AQ8,0)</f>
        <v>136</v>
      </c>
      <c r="AD8" s="6">
        <f t="shared" ref="AD8:AD12" si="22">1-AA8/AC8</f>
        <v>0.44852941176470584</v>
      </c>
      <c r="AE8" s="4">
        <v>138</v>
      </c>
      <c r="AF8" s="4">
        <f t="shared" ref="AF8:AF12" si="23">BH8</f>
        <v>121</v>
      </c>
      <c r="AG8" s="4">
        <f t="shared" ref="AG8:AG12" si="24">AF8*AQ8</f>
        <v>131.52173913043478</v>
      </c>
      <c r="AH8" s="6">
        <f t="shared" ref="AH8:AH12" si="25">1-AA8/AG8</f>
        <v>0.42975206611570249</v>
      </c>
      <c r="AI8" s="7">
        <v>122</v>
      </c>
      <c r="AJ8" s="6">
        <f t="shared" ref="AJ8:AJ12" si="26">1-AA8/AI8</f>
        <v>0.38524590163934425</v>
      </c>
      <c r="AK8" s="4">
        <f t="shared" ref="AK8:AK12" si="27">AI8-AA8</f>
        <v>47</v>
      </c>
      <c r="AL8" s="27"/>
      <c r="AM8" s="6"/>
      <c r="AN8" s="6"/>
      <c r="AO8" s="6">
        <f t="shared" ref="AO8:AO12" si="28">Y8/K8</f>
        <v>1.0769230769230769</v>
      </c>
      <c r="AP8" s="6">
        <f t="shared" ref="AP8:AP12" si="29">AI8/L8</f>
        <v>0.97599999999999998</v>
      </c>
      <c r="AQ8" s="6">
        <f t="shared" ref="AQ8:AQ12" si="30">AA8/M8</f>
        <v>1.0869565217391304</v>
      </c>
      <c r="AR8" s="4"/>
      <c r="AS8" s="4"/>
      <c r="AT8" s="4"/>
      <c r="AU8" s="4"/>
      <c r="AV8" s="4"/>
      <c r="AW8" s="4"/>
      <c r="AX8" s="4"/>
      <c r="AY8" s="4"/>
      <c r="AZ8" s="4"/>
      <c r="BA8" s="4">
        <v>0</v>
      </c>
      <c r="BB8" s="4" t="s">
        <v>112</v>
      </c>
      <c r="BC8" s="4"/>
      <c r="BD8" s="4"/>
      <c r="BE8" s="4" t="s">
        <v>64</v>
      </c>
      <c r="BF8" s="4">
        <v>100</v>
      </c>
      <c r="BG8" s="4">
        <v>121</v>
      </c>
      <c r="BH8" s="4">
        <f t="shared" ref="BH8:BH12" si="31">IF(BC8="",BG8,BC8/BD8*BG8)</f>
        <v>121</v>
      </c>
      <c r="BI8" s="18">
        <v>4</v>
      </c>
      <c r="BJ8" s="18">
        <v>1</v>
      </c>
      <c r="BK8" s="16">
        <v>5</v>
      </c>
      <c r="BL8" s="31">
        <v>46204</v>
      </c>
      <c r="BM8" s="31">
        <v>46478</v>
      </c>
      <c r="BN8">
        <v>990</v>
      </c>
      <c r="BO8">
        <v>990</v>
      </c>
      <c r="BP8">
        <f t="shared" ref="BP8:BP12" si="32">IFERROR(BO8*AQ8,"-")</f>
        <v>1076.086956521739</v>
      </c>
      <c r="BQ8">
        <v>130</v>
      </c>
      <c r="BR8">
        <v>130</v>
      </c>
      <c r="BS8">
        <f t="shared" ref="BS8:BS12" si="33">IFERROR(BR8*AQ8,"-")</f>
        <v>141.30434782608694</v>
      </c>
      <c r="BT8" s="4" t="s">
        <v>253</v>
      </c>
      <c r="BV8" t="s">
        <v>278</v>
      </c>
    </row>
    <row r="9" spans="1:74" x14ac:dyDescent="0.4">
      <c r="A9">
        <v>193</v>
      </c>
      <c r="B9" s="3">
        <v>22</v>
      </c>
      <c r="C9" s="3">
        <v>22</v>
      </c>
      <c r="D9" s="30">
        <v>656808</v>
      </c>
      <c r="E9" s="4" t="str">
        <f t="shared" si="17"/>
        <v>656808</v>
      </c>
      <c r="F9" s="4">
        <v>656808</v>
      </c>
      <c r="G9" s="4" t="s">
        <v>129</v>
      </c>
      <c r="H9" s="5">
        <v>4902505472435</v>
      </c>
      <c r="I9" s="5">
        <v>2</v>
      </c>
      <c r="J9" s="5">
        <v>2</v>
      </c>
      <c r="K9" s="4">
        <v>130</v>
      </c>
      <c r="L9" s="4">
        <v>114</v>
      </c>
      <c r="M9" s="4">
        <v>69</v>
      </c>
      <c r="N9" s="6">
        <f t="shared" si="18"/>
        <v>0.39473684210526316</v>
      </c>
      <c r="O9" s="4" t="s">
        <v>63</v>
      </c>
      <c r="P9" s="4"/>
      <c r="Q9" s="4"/>
      <c r="R9" s="4"/>
      <c r="S9" s="4"/>
      <c r="T9" s="4"/>
      <c r="U9" s="4"/>
      <c r="V9" s="4"/>
      <c r="W9" s="4"/>
      <c r="X9" s="4">
        <v>140</v>
      </c>
      <c r="Y9" s="4">
        <f t="shared" si="19"/>
        <v>140</v>
      </c>
      <c r="Z9" s="4">
        <v>75</v>
      </c>
      <c r="AA9" s="4">
        <f t="shared" si="20"/>
        <v>75</v>
      </c>
      <c r="AB9" s="4"/>
      <c r="AC9" s="20">
        <f t="shared" si="21"/>
        <v>124</v>
      </c>
      <c r="AD9" s="6">
        <f t="shared" si="22"/>
        <v>0.39516129032258063</v>
      </c>
      <c r="AE9" s="4">
        <v>345</v>
      </c>
      <c r="AF9" s="4">
        <f t="shared" si="23"/>
        <v>101</v>
      </c>
      <c r="AG9" s="4">
        <f t="shared" si="24"/>
        <v>109.78260869565217</v>
      </c>
      <c r="AH9" s="6">
        <f t="shared" si="25"/>
        <v>0.31683168316831678</v>
      </c>
      <c r="AI9" s="7">
        <v>122</v>
      </c>
      <c r="AJ9" s="6">
        <f t="shared" si="26"/>
        <v>0.38524590163934425</v>
      </c>
      <c r="AK9" s="4">
        <f t="shared" si="27"/>
        <v>47</v>
      </c>
      <c r="AL9" s="27"/>
      <c r="AM9" s="6"/>
      <c r="AN9" s="6"/>
      <c r="AO9" s="6">
        <f t="shared" si="28"/>
        <v>1.0769230769230769</v>
      </c>
      <c r="AP9" s="6">
        <f t="shared" si="29"/>
        <v>1.0701754385964912</v>
      </c>
      <c r="AQ9" s="6">
        <f t="shared" si="30"/>
        <v>1.0869565217391304</v>
      </c>
      <c r="AR9" s="4"/>
      <c r="AS9" s="4"/>
      <c r="AT9" s="4"/>
      <c r="AU9" s="4"/>
      <c r="AV9" s="4"/>
      <c r="AW9" s="4"/>
      <c r="AX9" s="4"/>
      <c r="AY9" s="4"/>
      <c r="AZ9" s="4"/>
      <c r="BA9" s="4">
        <v>0</v>
      </c>
      <c r="BB9" s="4" t="s">
        <v>130</v>
      </c>
      <c r="BC9" s="4"/>
      <c r="BD9" s="4"/>
      <c r="BE9" s="4" t="s">
        <v>64</v>
      </c>
      <c r="BF9" s="4">
        <v>91</v>
      </c>
      <c r="BG9" s="4">
        <v>101</v>
      </c>
      <c r="BH9" s="4">
        <f t="shared" si="31"/>
        <v>101</v>
      </c>
      <c r="BI9" s="18">
        <v>4</v>
      </c>
      <c r="BJ9" s="18">
        <v>1</v>
      </c>
      <c r="BK9" s="16">
        <v>5</v>
      </c>
      <c r="BL9" s="31">
        <v>46204</v>
      </c>
      <c r="BM9" s="31">
        <v>46478</v>
      </c>
      <c r="BN9" t="s">
        <v>62</v>
      </c>
      <c r="BO9" t="s">
        <v>62</v>
      </c>
      <c r="BP9" t="str">
        <f t="shared" si="32"/>
        <v>-</v>
      </c>
      <c r="BQ9">
        <v>118</v>
      </c>
      <c r="BR9">
        <v>118</v>
      </c>
      <c r="BS9">
        <f t="shared" si="33"/>
        <v>128.26086956521738</v>
      </c>
      <c r="BT9" s="4" t="s">
        <v>254</v>
      </c>
      <c r="BV9" t="s">
        <v>278</v>
      </c>
    </row>
    <row r="10" spans="1:74" x14ac:dyDescent="0.4">
      <c r="A10">
        <v>193</v>
      </c>
      <c r="B10" s="3">
        <v>56</v>
      </c>
      <c r="C10" s="3">
        <v>22</v>
      </c>
      <c r="D10" s="30">
        <v>656808</v>
      </c>
      <c r="E10" s="4" t="str">
        <f t="shared" si="17"/>
        <v>656808</v>
      </c>
      <c r="F10" s="4">
        <v>203802</v>
      </c>
      <c r="G10" s="4" t="s">
        <v>207</v>
      </c>
      <c r="H10" s="5">
        <v>4902505472435</v>
      </c>
      <c r="I10" s="5"/>
      <c r="J10" s="5"/>
      <c r="K10" s="4">
        <v>1300</v>
      </c>
      <c r="L10" s="4">
        <v>1020</v>
      </c>
      <c r="M10" s="4">
        <v>690</v>
      </c>
      <c r="N10" s="6">
        <f t="shared" si="18"/>
        <v>0.32352941176470584</v>
      </c>
      <c r="O10" s="4"/>
      <c r="P10" s="4"/>
      <c r="Q10" s="4"/>
      <c r="R10" s="4"/>
      <c r="S10" s="4"/>
      <c r="T10" s="4"/>
      <c r="U10" s="4"/>
      <c r="V10" s="4"/>
      <c r="W10" s="4"/>
      <c r="X10" s="4">
        <v>140</v>
      </c>
      <c r="Y10" s="4">
        <f t="shared" si="19"/>
        <v>1400</v>
      </c>
      <c r="Z10" s="4">
        <v>75</v>
      </c>
      <c r="AA10" s="4">
        <f t="shared" si="20"/>
        <v>750</v>
      </c>
      <c r="AB10" s="4">
        <v>10</v>
      </c>
      <c r="AC10" s="20">
        <f t="shared" si="21"/>
        <v>1109</v>
      </c>
      <c r="AD10" s="6">
        <f t="shared" si="22"/>
        <v>0.32371505861136163</v>
      </c>
      <c r="AE10" s="4">
        <v>345</v>
      </c>
      <c r="AF10" s="4">
        <f t="shared" si="23"/>
        <v>961</v>
      </c>
      <c r="AG10" s="4">
        <f t="shared" si="24"/>
        <v>1044.5652173913043</v>
      </c>
      <c r="AH10" s="6">
        <f t="shared" si="25"/>
        <v>0.28199791883454728</v>
      </c>
      <c r="AI10" s="7">
        <v>1150</v>
      </c>
      <c r="AJ10" s="6">
        <f t="shared" si="26"/>
        <v>0.34782608695652173</v>
      </c>
      <c r="AK10" s="4">
        <f t="shared" si="27"/>
        <v>400</v>
      </c>
      <c r="AL10" s="27"/>
      <c r="AM10" s="6"/>
      <c r="AN10" s="6"/>
      <c r="AO10" s="6">
        <f t="shared" si="28"/>
        <v>1.0769230769230769</v>
      </c>
      <c r="AP10" s="6">
        <f t="shared" si="29"/>
        <v>1.1274509803921569</v>
      </c>
      <c r="AQ10" s="6">
        <f t="shared" si="30"/>
        <v>1.0869565217391304</v>
      </c>
      <c r="AR10" s="4"/>
      <c r="AS10" s="4"/>
      <c r="AT10" s="4"/>
      <c r="AU10" s="4"/>
      <c r="AV10" s="4"/>
      <c r="AW10" s="4"/>
      <c r="AX10" s="4"/>
      <c r="AY10" s="4"/>
      <c r="AZ10" s="4"/>
      <c r="BA10" s="4">
        <v>0</v>
      </c>
      <c r="BB10" s="4" t="s">
        <v>208</v>
      </c>
      <c r="BC10" s="4"/>
      <c r="BD10" s="4"/>
      <c r="BE10" s="4" t="s">
        <v>69</v>
      </c>
      <c r="BF10" s="4">
        <v>808</v>
      </c>
      <c r="BG10" s="4">
        <v>961</v>
      </c>
      <c r="BH10" s="4">
        <f t="shared" si="31"/>
        <v>961</v>
      </c>
      <c r="BI10" s="18">
        <v>4</v>
      </c>
      <c r="BJ10" s="18">
        <v>1</v>
      </c>
      <c r="BK10" s="16">
        <v>5</v>
      </c>
      <c r="BL10" s="31">
        <v>46204</v>
      </c>
      <c r="BM10" s="31">
        <v>46478</v>
      </c>
      <c r="BN10" t="s">
        <v>62</v>
      </c>
      <c r="BO10" t="s">
        <v>62</v>
      </c>
      <c r="BP10" t="str">
        <f t="shared" si="32"/>
        <v>-</v>
      </c>
      <c r="BQ10">
        <v>118</v>
      </c>
      <c r="BR10">
        <v>118</v>
      </c>
      <c r="BS10">
        <f t="shared" si="33"/>
        <v>128.26086956521738</v>
      </c>
      <c r="BT10" s="4" t="s">
        <v>255</v>
      </c>
      <c r="BU10">
        <v>2</v>
      </c>
      <c r="BV10" t="s">
        <v>278</v>
      </c>
    </row>
    <row r="11" spans="1:74" x14ac:dyDescent="0.4">
      <c r="A11">
        <v>198</v>
      </c>
      <c r="B11" s="3">
        <v>24</v>
      </c>
      <c r="C11" s="3">
        <v>24</v>
      </c>
      <c r="D11" s="30">
        <v>670361</v>
      </c>
      <c r="E11" s="4" t="str">
        <f t="shared" si="17"/>
        <v>670361</v>
      </c>
      <c r="F11" s="4">
        <v>670361</v>
      </c>
      <c r="G11" s="4" t="s">
        <v>134</v>
      </c>
      <c r="H11" s="5">
        <v>4902505418228</v>
      </c>
      <c r="I11" s="5">
        <v>2</v>
      </c>
      <c r="J11" s="5">
        <v>2</v>
      </c>
      <c r="K11" s="4">
        <v>130</v>
      </c>
      <c r="L11" s="4">
        <v>120</v>
      </c>
      <c r="M11" s="4">
        <v>69</v>
      </c>
      <c r="N11" s="6">
        <f t="shared" si="18"/>
        <v>0.42500000000000004</v>
      </c>
      <c r="O11" s="4" t="s">
        <v>63</v>
      </c>
      <c r="P11" s="4"/>
      <c r="Q11" s="4"/>
      <c r="R11" s="4"/>
      <c r="S11" s="4"/>
      <c r="T11" s="4"/>
      <c r="U11" s="4"/>
      <c r="V11" s="4"/>
      <c r="W11" s="4"/>
      <c r="X11" s="4">
        <v>140</v>
      </c>
      <c r="Y11" s="4">
        <f t="shared" si="19"/>
        <v>140</v>
      </c>
      <c r="Z11" s="4">
        <v>75</v>
      </c>
      <c r="AA11" s="4">
        <f t="shared" si="20"/>
        <v>75</v>
      </c>
      <c r="AB11" s="4"/>
      <c r="AC11" s="20">
        <f t="shared" si="21"/>
        <v>130</v>
      </c>
      <c r="AD11" s="6">
        <f t="shared" si="22"/>
        <v>0.42307692307692313</v>
      </c>
      <c r="AE11" s="4">
        <v>52.5</v>
      </c>
      <c r="AF11" s="4">
        <f t="shared" si="23"/>
        <v>114</v>
      </c>
      <c r="AG11" s="4">
        <f t="shared" si="24"/>
        <v>123.91304347826086</v>
      </c>
      <c r="AH11" s="6">
        <f t="shared" si="25"/>
        <v>0.39473684210526316</v>
      </c>
      <c r="AI11" s="7">
        <v>122</v>
      </c>
      <c r="AJ11" s="6">
        <f t="shared" si="26"/>
        <v>0.38524590163934425</v>
      </c>
      <c r="AK11" s="4">
        <f t="shared" si="27"/>
        <v>47</v>
      </c>
      <c r="AL11" s="27"/>
      <c r="AM11" s="6"/>
      <c r="AN11" s="6"/>
      <c r="AO11" s="6">
        <f t="shared" si="28"/>
        <v>1.0769230769230769</v>
      </c>
      <c r="AP11" s="6">
        <f t="shared" si="29"/>
        <v>1.0166666666666666</v>
      </c>
      <c r="AQ11" s="6">
        <f t="shared" si="30"/>
        <v>1.0869565217391304</v>
      </c>
      <c r="AR11" s="4"/>
      <c r="AS11" s="4"/>
      <c r="AT11" s="4"/>
      <c r="AU11" s="4"/>
      <c r="AV11" s="4"/>
      <c r="AW11" s="4"/>
      <c r="AX11" s="4"/>
      <c r="AY11" s="4"/>
      <c r="AZ11" s="4"/>
      <c r="BA11" s="4">
        <v>0</v>
      </c>
      <c r="BB11" s="4" t="s">
        <v>135</v>
      </c>
      <c r="BC11" s="4"/>
      <c r="BD11" s="4"/>
      <c r="BE11" s="4" t="s">
        <v>64</v>
      </c>
      <c r="BF11" s="4">
        <v>95</v>
      </c>
      <c r="BG11" s="4">
        <v>114</v>
      </c>
      <c r="BH11" s="4">
        <f t="shared" si="31"/>
        <v>114</v>
      </c>
      <c r="BI11" s="18">
        <v>4</v>
      </c>
      <c r="BJ11" s="18">
        <v>1</v>
      </c>
      <c r="BK11" s="16">
        <v>5</v>
      </c>
      <c r="BL11" s="31">
        <v>46204</v>
      </c>
      <c r="BM11" s="31">
        <v>46478</v>
      </c>
      <c r="BN11" t="s">
        <v>62</v>
      </c>
      <c r="BO11" t="s">
        <v>62</v>
      </c>
      <c r="BP11" t="str">
        <f t="shared" si="32"/>
        <v>-</v>
      </c>
      <c r="BQ11">
        <v>130</v>
      </c>
      <c r="BR11">
        <v>130</v>
      </c>
      <c r="BS11">
        <f t="shared" si="33"/>
        <v>141.30434782608694</v>
      </c>
      <c r="BT11" s="4" t="s">
        <v>256</v>
      </c>
      <c r="BV11" t="s">
        <v>278</v>
      </c>
    </row>
    <row r="12" spans="1:74" x14ac:dyDescent="0.4">
      <c r="A12">
        <v>198</v>
      </c>
      <c r="B12" s="3">
        <v>58</v>
      </c>
      <c r="C12" s="3">
        <v>24</v>
      </c>
      <c r="D12" s="30">
        <v>670361</v>
      </c>
      <c r="E12" s="4" t="str">
        <f t="shared" si="17"/>
        <v>670361</v>
      </c>
      <c r="F12" s="4">
        <v>670362</v>
      </c>
      <c r="G12" s="4" t="s">
        <v>212</v>
      </c>
      <c r="H12" s="5">
        <v>4902505418228</v>
      </c>
      <c r="I12" s="5"/>
      <c r="J12" s="5"/>
      <c r="K12" s="4">
        <v>1300</v>
      </c>
      <c r="L12" s="4">
        <v>1000</v>
      </c>
      <c r="M12" s="4">
        <v>690</v>
      </c>
      <c r="N12" s="6">
        <f t="shared" si="18"/>
        <v>0.31000000000000005</v>
      </c>
      <c r="O12" s="4"/>
      <c r="P12" s="4"/>
      <c r="Q12" s="4"/>
      <c r="R12" s="4"/>
      <c r="S12" s="4"/>
      <c r="T12" s="4"/>
      <c r="U12" s="4"/>
      <c r="V12" s="4"/>
      <c r="W12" s="4"/>
      <c r="X12" s="4">
        <v>140</v>
      </c>
      <c r="Y12" s="4">
        <f t="shared" si="19"/>
        <v>1400</v>
      </c>
      <c r="Z12" s="4">
        <v>75</v>
      </c>
      <c r="AA12" s="4">
        <f t="shared" si="20"/>
        <v>750</v>
      </c>
      <c r="AB12" s="4">
        <v>10</v>
      </c>
      <c r="AC12" s="20">
        <f t="shared" si="21"/>
        <v>1087</v>
      </c>
      <c r="AD12" s="6">
        <f t="shared" si="22"/>
        <v>0.31002759889604414</v>
      </c>
      <c r="AE12" s="4">
        <v>52.5</v>
      </c>
      <c r="AF12" s="4" t="str">
        <f t="shared" si="23"/>
        <v>-</v>
      </c>
      <c r="AG12" s="4" t="e">
        <f t="shared" si="24"/>
        <v>#VALUE!</v>
      </c>
      <c r="AH12" s="6" t="e">
        <f t="shared" si="25"/>
        <v>#VALUE!</v>
      </c>
      <c r="AI12" s="7">
        <v>1150</v>
      </c>
      <c r="AJ12" s="6">
        <f t="shared" si="26"/>
        <v>0.34782608695652173</v>
      </c>
      <c r="AK12" s="4">
        <f t="shared" si="27"/>
        <v>400</v>
      </c>
      <c r="AL12" s="27"/>
      <c r="AM12" s="6"/>
      <c r="AN12" s="6"/>
      <c r="AO12" s="6">
        <f t="shared" si="28"/>
        <v>1.0769230769230769</v>
      </c>
      <c r="AP12" s="6">
        <f t="shared" si="29"/>
        <v>1.1499999999999999</v>
      </c>
      <c r="AQ12" s="6">
        <f t="shared" si="30"/>
        <v>1.0869565217391304</v>
      </c>
      <c r="AR12" s="4"/>
      <c r="AS12" s="4"/>
      <c r="AT12" s="4"/>
      <c r="AU12" s="4"/>
      <c r="AV12" s="4"/>
      <c r="AW12" s="4"/>
      <c r="AX12" s="4"/>
      <c r="AY12" s="4"/>
      <c r="AZ12" s="4"/>
      <c r="BA12" s="4">
        <v>0</v>
      </c>
      <c r="BB12" s="4" t="s">
        <v>62</v>
      </c>
      <c r="BC12" s="4"/>
      <c r="BD12" s="4"/>
      <c r="BE12" s="4" t="s">
        <v>62</v>
      </c>
      <c r="BF12" s="4" t="s">
        <v>62</v>
      </c>
      <c r="BG12" s="4" t="s">
        <v>62</v>
      </c>
      <c r="BH12" s="4" t="str">
        <f t="shared" si="31"/>
        <v>-</v>
      </c>
      <c r="BI12" s="18">
        <v>4</v>
      </c>
      <c r="BJ12" s="18">
        <v>1</v>
      </c>
      <c r="BK12" s="16">
        <v>5</v>
      </c>
      <c r="BL12" s="31">
        <v>46204</v>
      </c>
      <c r="BM12" s="31">
        <v>46478</v>
      </c>
      <c r="BN12" t="s">
        <v>62</v>
      </c>
      <c r="BO12" t="s">
        <v>62</v>
      </c>
      <c r="BP12" t="str">
        <f t="shared" si="32"/>
        <v>-</v>
      </c>
      <c r="BQ12">
        <v>130</v>
      </c>
      <c r="BR12">
        <v>130</v>
      </c>
      <c r="BS12">
        <f t="shared" si="33"/>
        <v>141.30434782608694</v>
      </c>
      <c r="BT12" s="4" t="s">
        <v>62</v>
      </c>
      <c r="BU12">
        <v>2</v>
      </c>
      <c r="BV12" t="s">
        <v>278</v>
      </c>
    </row>
    <row r="13" spans="1:74" x14ac:dyDescent="0.4">
      <c r="A13">
        <v>219</v>
      </c>
      <c r="B13" s="3">
        <v>32</v>
      </c>
      <c r="C13" s="3">
        <v>32</v>
      </c>
      <c r="D13" s="30">
        <v>679074</v>
      </c>
      <c r="E13" s="4" t="str">
        <f t="shared" ref="E13:E19" si="34">TEXT(D13,"000000")</f>
        <v>679074</v>
      </c>
      <c r="F13" s="4">
        <v>679074</v>
      </c>
      <c r="G13" s="4" t="s">
        <v>154</v>
      </c>
      <c r="H13" s="5">
        <v>4902505356810</v>
      </c>
      <c r="I13" s="5">
        <v>2</v>
      </c>
      <c r="J13" s="5">
        <v>2</v>
      </c>
      <c r="K13" s="4">
        <v>130</v>
      </c>
      <c r="L13" s="4">
        <v>120</v>
      </c>
      <c r="M13" s="4">
        <v>69</v>
      </c>
      <c r="N13" s="6">
        <f t="shared" ref="N13:N19" si="35">1-M13/L13</f>
        <v>0.42500000000000004</v>
      </c>
      <c r="O13" s="4" t="s">
        <v>63</v>
      </c>
      <c r="P13" s="4"/>
      <c r="Q13" s="4"/>
      <c r="R13" s="4"/>
      <c r="S13" s="4"/>
      <c r="T13" s="4"/>
      <c r="U13" s="4"/>
      <c r="V13" s="4"/>
      <c r="W13" s="4"/>
      <c r="X13" s="4">
        <v>140</v>
      </c>
      <c r="Y13" s="4">
        <f t="shared" ref="Y13:Y19" si="36">IF(AB13="",X13,X13*AB13)</f>
        <v>140</v>
      </c>
      <c r="Z13" s="4">
        <v>75</v>
      </c>
      <c r="AA13" s="4">
        <f t="shared" ref="AA13:AA19" si="37">IF(AB13="",Z13,Z13*AB13)</f>
        <v>75</v>
      </c>
      <c r="AB13" s="4"/>
      <c r="AC13" s="20">
        <f t="shared" ref="AC13:AC19" si="38">ROUND(L13*AQ13,0)</f>
        <v>130</v>
      </c>
      <c r="AD13" s="6">
        <f t="shared" ref="AD13:AD19" si="39">1-AA13/AC13</f>
        <v>0.42307692307692313</v>
      </c>
      <c r="AE13" s="4">
        <v>47.25</v>
      </c>
      <c r="AF13" s="4">
        <f t="shared" ref="AF13:AF19" si="40">BH13</f>
        <v>114</v>
      </c>
      <c r="AG13" s="4">
        <f t="shared" ref="AG13:AG19" si="41">AF13*AQ13</f>
        <v>123.91304347826086</v>
      </c>
      <c r="AH13" s="6">
        <f t="shared" ref="AH13:AH19" si="42">1-AA13/AG13</f>
        <v>0.39473684210526316</v>
      </c>
      <c r="AI13" s="7">
        <v>122</v>
      </c>
      <c r="AJ13" s="6">
        <f t="shared" ref="AJ13:AJ19" si="43">1-AA13/AI13</f>
        <v>0.38524590163934425</v>
      </c>
      <c r="AK13" s="4">
        <f t="shared" ref="AK13:AK19" si="44">AI13-AA13</f>
        <v>47</v>
      </c>
      <c r="AL13" s="27"/>
      <c r="AM13" s="6"/>
      <c r="AN13" s="6"/>
      <c r="AO13" s="6">
        <f t="shared" ref="AO13:AO19" si="45">Y13/K13</f>
        <v>1.0769230769230769</v>
      </c>
      <c r="AP13" s="6">
        <f t="shared" ref="AP13:AP19" si="46">AI13/L13</f>
        <v>1.0166666666666666</v>
      </c>
      <c r="AQ13" s="6">
        <f t="shared" ref="AQ13:AQ19" si="47">AA13/M13</f>
        <v>1.0869565217391304</v>
      </c>
      <c r="AR13" s="4"/>
      <c r="AS13" s="4"/>
      <c r="AT13" s="4"/>
      <c r="AU13" s="4"/>
      <c r="AV13" s="4"/>
      <c r="AW13" s="4"/>
      <c r="AX13" s="4"/>
      <c r="AY13" s="4"/>
      <c r="AZ13" s="4"/>
      <c r="BA13" s="4">
        <v>0</v>
      </c>
      <c r="BB13" s="4" t="s">
        <v>155</v>
      </c>
      <c r="BC13" s="4"/>
      <c r="BD13" s="4"/>
      <c r="BE13" s="4" t="s">
        <v>64</v>
      </c>
      <c r="BF13" s="4">
        <v>100</v>
      </c>
      <c r="BG13" s="4">
        <v>114</v>
      </c>
      <c r="BH13" s="4">
        <f t="shared" ref="BH13:BH19" si="48">IF(BC13="",BG13,BC13/BD13*BG13)</f>
        <v>114</v>
      </c>
      <c r="BI13" s="18">
        <v>4</v>
      </c>
      <c r="BJ13" s="18">
        <v>1</v>
      </c>
      <c r="BK13" s="16">
        <v>5</v>
      </c>
      <c r="BL13" s="31">
        <v>46204</v>
      </c>
      <c r="BM13" s="31">
        <v>46478</v>
      </c>
      <c r="BN13" t="s">
        <v>62</v>
      </c>
      <c r="BO13" t="s">
        <v>62</v>
      </c>
      <c r="BP13" t="str">
        <f t="shared" ref="BP13:BP19" si="49">IFERROR(BO13*AQ13,"-")</f>
        <v>-</v>
      </c>
      <c r="BQ13">
        <v>130</v>
      </c>
      <c r="BR13">
        <v>130</v>
      </c>
      <c r="BS13">
        <f t="shared" ref="BS13:BS19" si="50">IFERROR(BR13*AQ13,"-")</f>
        <v>141.30434782608694</v>
      </c>
      <c r="BT13" s="4" t="s">
        <v>257</v>
      </c>
      <c r="BV13" t="s">
        <v>278</v>
      </c>
    </row>
    <row r="14" spans="1:74" x14ac:dyDescent="0.4">
      <c r="A14">
        <v>219</v>
      </c>
      <c r="B14" s="3">
        <v>59</v>
      </c>
      <c r="C14" s="3">
        <v>32</v>
      </c>
      <c r="D14" s="30">
        <v>679074</v>
      </c>
      <c r="E14" s="4" t="str">
        <f t="shared" si="34"/>
        <v>679074</v>
      </c>
      <c r="F14" s="4">
        <v>679075</v>
      </c>
      <c r="G14" s="4" t="s">
        <v>213</v>
      </c>
      <c r="H14" s="5">
        <v>4902505356810</v>
      </c>
      <c r="I14" s="5"/>
      <c r="J14" s="5"/>
      <c r="K14" s="4">
        <v>1300</v>
      </c>
      <c r="L14" s="4">
        <v>1000</v>
      </c>
      <c r="M14" s="4">
        <v>690</v>
      </c>
      <c r="N14" s="6">
        <f t="shared" si="35"/>
        <v>0.31000000000000005</v>
      </c>
      <c r="O14" s="4"/>
      <c r="P14" s="4"/>
      <c r="Q14" s="4"/>
      <c r="R14" s="4"/>
      <c r="S14" s="4"/>
      <c r="T14" s="4"/>
      <c r="U14" s="4"/>
      <c r="V14" s="4"/>
      <c r="W14" s="4"/>
      <c r="X14" s="4">
        <v>140</v>
      </c>
      <c r="Y14" s="4">
        <f t="shared" si="36"/>
        <v>1400</v>
      </c>
      <c r="Z14" s="4">
        <v>75</v>
      </c>
      <c r="AA14" s="4">
        <f t="shared" si="37"/>
        <v>750</v>
      </c>
      <c r="AB14" s="4">
        <v>10</v>
      </c>
      <c r="AC14" s="20">
        <f t="shared" si="38"/>
        <v>1087</v>
      </c>
      <c r="AD14" s="6">
        <f t="shared" si="39"/>
        <v>0.31002759889604414</v>
      </c>
      <c r="AE14" s="4">
        <v>47.25</v>
      </c>
      <c r="AF14" s="4" t="str">
        <f t="shared" si="40"/>
        <v>-</v>
      </c>
      <c r="AG14" s="4" t="e">
        <f t="shared" si="41"/>
        <v>#VALUE!</v>
      </c>
      <c r="AH14" s="6" t="e">
        <f t="shared" si="42"/>
        <v>#VALUE!</v>
      </c>
      <c r="AI14" s="7">
        <v>1150</v>
      </c>
      <c r="AJ14" s="6">
        <f t="shared" si="43"/>
        <v>0.34782608695652173</v>
      </c>
      <c r="AK14" s="4">
        <f t="shared" si="44"/>
        <v>400</v>
      </c>
      <c r="AL14" s="27"/>
      <c r="AM14" s="6"/>
      <c r="AN14" s="6"/>
      <c r="AO14" s="6">
        <f t="shared" si="45"/>
        <v>1.0769230769230769</v>
      </c>
      <c r="AP14" s="6">
        <f t="shared" si="46"/>
        <v>1.1499999999999999</v>
      </c>
      <c r="AQ14" s="6">
        <f t="shared" si="47"/>
        <v>1.0869565217391304</v>
      </c>
      <c r="AR14" s="4"/>
      <c r="AS14" s="4"/>
      <c r="AT14" s="4"/>
      <c r="AU14" s="4"/>
      <c r="AV14" s="4"/>
      <c r="AW14" s="4"/>
      <c r="AX14" s="4"/>
      <c r="AY14" s="4"/>
      <c r="AZ14" s="4"/>
      <c r="BA14" s="4">
        <v>0</v>
      </c>
      <c r="BB14" s="4" t="s">
        <v>62</v>
      </c>
      <c r="BC14" s="4"/>
      <c r="BD14" s="4"/>
      <c r="BE14" s="4" t="s">
        <v>62</v>
      </c>
      <c r="BF14" s="4" t="s">
        <v>62</v>
      </c>
      <c r="BG14" s="4" t="s">
        <v>62</v>
      </c>
      <c r="BH14" s="4" t="str">
        <f t="shared" si="48"/>
        <v>-</v>
      </c>
      <c r="BI14" s="18">
        <v>4</v>
      </c>
      <c r="BJ14" s="18">
        <v>1</v>
      </c>
      <c r="BK14" s="16">
        <v>5</v>
      </c>
      <c r="BL14" s="31">
        <v>46204</v>
      </c>
      <c r="BM14" s="31">
        <v>46478</v>
      </c>
      <c r="BN14" t="s">
        <v>62</v>
      </c>
      <c r="BO14" t="s">
        <v>62</v>
      </c>
      <c r="BP14" t="str">
        <f t="shared" si="49"/>
        <v>-</v>
      </c>
      <c r="BQ14">
        <v>130</v>
      </c>
      <c r="BR14">
        <v>130</v>
      </c>
      <c r="BS14">
        <f t="shared" si="50"/>
        <v>141.30434782608694</v>
      </c>
      <c r="BT14" s="4" t="s">
        <v>62</v>
      </c>
      <c r="BU14">
        <v>2</v>
      </c>
      <c r="BV14" t="s">
        <v>278</v>
      </c>
    </row>
    <row r="15" spans="1:74" x14ac:dyDescent="0.4">
      <c r="A15">
        <v>232</v>
      </c>
      <c r="B15" s="3">
        <v>36</v>
      </c>
      <c r="C15" s="3">
        <v>36</v>
      </c>
      <c r="D15" s="30">
        <v>683429</v>
      </c>
      <c r="E15" s="4" t="str">
        <f t="shared" si="34"/>
        <v>683429</v>
      </c>
      <c r="F15" s="4">
        <v>683429</v>
      </c>
      <c r="G15" s="4" t="s">
        <v>162</v>
      </c>
      <c r="H15" s="5">
        <v>4902505418204</v>
      </c>
      <c r="I15" s="5">
        <v>2</v>
      </c>
      <c r="J15" s="5">
        <v>2</v>
      </c>
      <c r="K15" s="4">
        <v>130</v>
      </c>
      <c r="L15" s="4">
        <v>120</v>
      </c>
      <c r="M15" s="4">
        <v>69</v>
      </c>
      <c r="N15" s="6">
        <f t="shared" si="35"/>
        <v>0.42500000000000004</v>
      </c>
      <c r="O15" s="4" t="s">
        <v>63</v>
      </c>
      <c r="P15" s="4"/>
      <c r="Q15" s="4"/>
      <c r="R15" s="4"/>
      <c r="S15" s="4"/>
      <c r="T15" s="4"/>
      <c r="U15" s="4"/>
      <c r="V15" s="4"/>
      <c r="W15" s="4"/>
      <c r="X15" s="4">
        <v>140</v>
      </c>
      <c r="Y15" s="4">
        <f t="shared" si="36"/>
        <v>140</v>
      </c>
      <c r="Z15" s="4">
        <v>75</v>
      </c>
      <c r="AA15" s="4">
        <f t="shared" si="37"/>
        <v>75</v>
      </c>
      <c r="AB15" s="4"/>
      <c r="AC15" s="20">
        <f t="shared" si="38"/>
        <v>130</v>
      </c>
      <c r="AD15" s="6">
        <f t="shared" si="39"/>
        <v>0.42307692307692313</v>
      </c>
      <c r="AE15" s="4">
        <v>50.5</v>
      </c>
      <c r="AF15" s="4">
        <f t="shared" si="40"/>
        <v>114</v>
      </c>
      <c r="AG15" s="4">
        <f t="shared" si="41"/>
        <v>123.91304347826086</v>
      </c>
      <c r="AH15" s="6">
        <f t="shared" si="42"/>
        <v>0.39473684210526316</v>
      </c>
      <c r="AI15" s="7">
        <v>122</v>
      </c>
      <c r="AJ15" s="6">
        <f t="shared" si="43"/>
        <v>0.38524590163934425</v>
      </c>
      <c r="AK15" s="4">
        <f t="shared" si="44"/>
        <v>47</v>
      </c>
      <c r="AL15" s="27"/>
      <c r="AM15" s="6"/>
      <c r="AN15" s="6"/>
      <c r="AO15" s="6">
        <f t="shared" si="45"/>
        <v>1.0769230769230769</v>
      </c>
      <c r="AP15" s="6">
        <f t="shared" si="46"/>
        <v>1.0166666666666666</v>
      </c>
      <c r="AQ15" s="6">
        <f t="shared" si="47"/>
        <v>1.0869565217391304</v>
      </c>
      <c r="AR15" s="4"/>
      <c r="AS15" s="4"/>
      <c r="AT15" s="4"/>
      <c r="AU15" s="4"/>
      <c r="AV15" s="4"/>
      <c r="AW15" s="4"/>
      <c r="AX15" s="4"/>
      <c r="AY15" s="4"/>
      <c r="AZ15" s="4"/>
      <c r="BA15" s="4">
        <v>0</v>
      </c>
      <c r="BB15" s="4" t="s">
        <v>163</v>
      </c>
      <c r="BC15" s="4"/>
      <c r="BD15" s="4"/>
      <c r="BE15" s="4" t="s">
        <v>64</v>
      </c>
      <c r="BF15" s="4">
        <v>100</v>
      </c>
      <c r="BG15" s="4">
        <v>114</v>
      </c>
      <c r="BH15" s="4">
        <f t="shared" si="48"/>
        <v>114</v>
      </c>
      <c r="BI15" s="18">
        <v>4</v>
      </c>
      <c r="BJ15" s="18">
        <v>1</v>
      </c>
      <c r="BK15" s="16">
        <v>5</v>
      </c>
      <c r="BL15" s="31">
        <v>46204</v>
      </c>
      <c r="BM15" s="31">
        <v>46478</v>
      </c>
      <c r="BN15" t="s">
        <v>62</v>
      </c>
      <c r="BO15" t="s">
        <v>62</v>
      </c>
      <c r="BP15" t="str">
        <f t="shared" si="49"/>
        <v>-</v>
      </c>
      <c r="BQ15">
        <v>130</v>
      </c>
      <c r="BR15">
        <v>130</v>
      </c>
      <c r="BS15">
        <f t="shared" si="50"/>
        <v>141.30434782608694</v>
      </c>
      <c r="BT15" s="4" t="s">
        <v>258</v>
      </c>
      <c r="BV15" t="s">
        <v>278</v>
      </c>
    </row>
    <row r="16" spans="1:74" x14ac:dyDescent="0.4">
      <c r="A16">
        <v>232</v>
      </c>
      <c r="B16" s="3">
        <v>61</v>
      </c>
      <c r="C16" s="3">
        <v>36</v>
      </c>
      <c r="D16" s="30">
        <v>683429</v>
      </c>
      <c r="E16" s="4" t="str">
        <f t="shared" si="34"/>
        <v>683429</v>
      </c>
      <c r="F16" s="4">
        <v>683430</v>
      </c>
      <c r="G16" s="4" t="s">
        <v>217</v>
      </c>
      <c r="H16" s="5">
        <v>4902505418204</v>
      </c>
      <c r="I16" s="5"/>
      <c r="J16" s="5"/>
      <c r="K16" s="4">
        <v>1300</v>
      </c>
      <c r="L16" s="4">
        <v>1000</v>
      </c>
      <c r="M16" s="4">
        <v>690</v>
      </c>
      <c r="N16" s="6">
        <f t="shared" si="35"/>
        <v>0.31000000000000005</v>
      </c>
      <c r="O16" s="4"/>
      <c r="P16" s="4"/>
      <c r="Q16" s="4"/>
      <c r="R16" s="4"/>
      <c r="S16" s="4"/>
      <c r="T16" s="4"/>
      <c r="U16" s="4"/>
      <c r="V16" s="4"/>
      <c r="W16" s="4"/>
      <c r="X16" s="4">
        <v>140</v>
      </c>
      <c r="Y16" s="4">
        <f t="shared" si="36"/>
        <v>1400</v>
      </c>
      <c r="Z16" s="4">
        <v>75</v>
      </c>
      <c r="AA16" s="4">
        <f t="shared" si="37"/>
        <v>750</v>
      </c>
      <c r="AB16" s="4">
        <v>10</v>
      </c>
      <c r="AC16" s="20">
        <f t="shared" si="38"/>
        <v>1087</v>
      </c>
      <c r="AD16" s="6">
        <f t="shared" si="39"/>
        <v>0.31002759889604414</v>
      </c>
      <c r="AE16" s="4">
        <v>50.5</v>
      </c>
      <c r="AF16" s="4" t="str">
        <f t="shared" si="40"/>
        <v>-</v>
      </c>
      <c r="AG16" s="4" t="e">
        <f t="shared" si="41"/>
        <v>#VALUE!</v>
      </c>
      <c r="AH16" s="6" t="e">
        <f t="shared" si="42"/>
        <v>#VALUE!</v>
      </c>
      <c r="AI16" s="7">
        <v>1150</v>
      </c>
      <c r="AJ16" s="6">
        <f t="shared" si="43"/>
        <v>0.34782608695652173</v>
      </c>
      <c r="AK16" s="4">
        <f t="shared" si="44"/>
        <v>400</v>
      </c>
      <c r="AL16" s="27"/>
      <c r="AM16" s="6"/>
      <c r="AN16" s="6"/>
      <c r="AO16" s="6">
        <f t="shared" si="45"/>
        <v>1.0769230769230769</v>
      </c>
      <c r="AP16" s="6">
        <f t="shared" si="46"/>
        <v>1.1499999999999999</v>
      </c>
      <c r="AQ16" s="6">
        <f t="shared" si="47"/>
        <v>1.0869565217391304</v>
      </c>
      <c r="AR16" s="4"/>
      <c r="AS16" s="4"/>
      <c r="AT16" s="4"/>
      <c r="AU16" s="4"/>
      <c r="AV16" s="4"/>
      <c r="AW16" s="4"/>
      <c r="AX16" s="4"/>
      <c r="AY16" s="4"/>
      <c r="AZ16" s="4"/>
      <c r="BA16" s="4">
        <v>0</v>
      </c>
      <c r="BB16" s="4" t="s">
        <v>62</v>
      </c>
      <c r="BC16" s="4"/>
      <c r="BD16" s="4"/>
      <c r="BE16" s="4" t="s">
        <v>62</v>
      </c>
      <c r="BF16" s="4" t="s">
        <v>62</v>
      </c>
      <c r="BG16" s="4" t="s">
        <v>62</v>
      </c>
      <c r="BH16" s="4" t="str">
        <f t="shared" si="48"/>
        <v>-</v>
      </c>
      <c r="BI16" s="18">
        <v>4</v>
      </c>
      <c r="BJ16" s="18">
        <v>1</v>
      </c>
      <c r="BK16" s="16">
        <v>5</v>
      </c>
      <c r="BL16" s="31">
        <v>46204</v>
      </c>
      <c r="BM16" s="31">
        <v>46478</v>
      </c>
      <c r="BN16" t="s">
        <v>62</v>
      </c>
      <c r="BO16" t="s">
        <v>62</v>
      </c>
      <c r="BP16" t="str">
        <f t="shared" si="49"/>
        <v>-</v>
      </c>
      <c r="BQ16">
        <v>130</v>
      </c>
      <c r="BR16">
        <v>130</v>
      </c>
      <c r="BS16">
        <f t="shared" si="50"/>
        <v>141.30434782608694</v>
      </c>
      <c r="BT16" s="4" t="s">
        <v>62</v>
      </c>
      <c r="BU16">
        <v>2</v>
      </c>
      <c r="BV16" t="s">
        <v>278</v>
      </c>
    </row>
    <row r="17" spans="1:74" x14ac:dyDescent="0.4">
      <c r="A17">
        <v>239</v>
      </c>
      <c r="B17" s="3">
        <v>37</v>
      </c>
      <c r="C17" s="3">
        <v>37</v>
      </c>
      <c r="D17" s="30">
        <v>684624</v>
      </c>
      <c r="E17" s="4" t="str">
        <f t="shared" si="34"/>
        <v>684624</v>
      </c>
      <c r="F17" s="4">
        <v>684624</v>
      </c>
      <c r="G17" s="4" t="s">
        <v>164</v>
      </c>
      <c r="H17" s="5">
        <v>4902505349898</v>
      </c>
      <c r="I17" s="5">
        <v>2</v>
      </c>
      <c r="J17" s="5">
        <v>2</v>
      </c>
      <c r="K17" s="4">
        <v>130</v>
      </c>
      <c r="L17" s="4">
        <v>120</v>
      </c>
      <c r="M17" s="4">
        <v>69</v>
      </c>
      <c r="N17" s="6">
        <f t="shared" si="35"/>
        <v>0.42500000000000004</v>
      </c>
      <c r="O17" s="4" t="s">
        <v>63</v>
      </c>
      <c r="P17" s="4"/>
      <c r="Q17" s="4"/>
      <c r="R17" s="4"/>
      <c r="S17" s="4"/>
      <c r="T17" s="4"/>
      <c r="U17" s="4"/>
      <c r="V17" s="4"/>
      <c r="W17" s="4"/>
      <c r="X17" s="4">
        <v>140</v>
      </c>
      <c r="Y17" s="4">
        <f t="shared" si="36"/>
        <v>140</v>
      </c>
      <c r="Z17" s="4">
        <v>75</v>
      </c>
      <c r="AA17" s="4">
        <f t="shared" si="37"/>
        <v>75</v>
      </c>
      <c r="AB17" s="4"/>
      <c r="AC17" s="20">
        <f t="shared" si="38"/>
        <v>130</v>
      </c>
      <c r="AD17" s="6">
        <f t="shared" si="39"/>
        <v>0.42307692307692313</v>
      </c>
      <c r="AE17" s="4">
        <v>28.749999999999996</v>
      </c>
      <c r="AF17" s="4">
        <f t="shared" si="40"/>
        <v>115</v>
      </c>
      <c r="AG17" s="4">
        <f t="shared" si="41"/>
        <v>125</v>
      </c>
      <c r="AH17" s="6">
        <f t="shared" si="42"/>
        <v>0.4</v>
      </c>
      <c r="AI17" s="7">
        <v>122</v>
      </c>
      <c r="AJ17" s="6">
        <f t="shared" si="43"/>
        <v>0.38524590163934425</v>
      </c>
      <c r="AK17" s="4">
        <f t="shared" si="44"/>
        <v>47</v>
      </c>
      <c r="AL17" s="27"/>
      <c r="AM17" s="6"/>
      <c r="AN17" s="6"/>
      <c r="AO17" s="6">
        <f t="shared" si="45"/>
        <v>1.0769230769230769</v>
      </c>
      <c r="AP17" s="6">
        <f t="shared" si="46"/>
        <v>1.0166666666666666</v>
      </c>
      <c r="AQ17" s="6">
        <f t="shared" si="47"/>
        <v>1.0869565217391304</v>
      </c>
      <c r="AR17" s="4"/>
      <c r="AS17" s="4"/>
      <c r="AT17" s="4"/>
      <c r="AU17" s="4"/>
      <c r="AV17" s="4"/>
      <c r="AW17" s="4"/>
      <c r="AX17" s="4"/>
      <c r="AY17" s="4"/>
      <c r="AZ17" s="4"/>
      <c r="BA17" s="4">
        <v>0</v>
      </c>
      <c r="BB17" s="4" t="s">
        <v>165</v>
      </c>
      <c r="BC17" s="4"/>
      <c r="BD17" s="4"/>
      <c r="BE17" s="4" t="s">
        <v>64</v>
      </c>
      <c r="BF17" s="4">
        <v>95</v>
      </c>
      <c r="BG17" s="4">
        <v>115</v>
      </c>
      <c r="BH17" s="4">
        <f t="shared" si="48"/>
        <v>115</v>
      </c>
      <c r="BI17" s="18">
        <v>4</v>
      </c>
      <c r="BJ17" s="18">
        <v>1</v>
      </c>
      <c r="BK17" s="16">
        <v>5</v>
      </c>
      <c r="BL17" s="31">
        <v>46204</v>
      </c>
      <c r="BM17" s="31">
        <v>46478</v>
      </c>
      <c r="BN17" t="s">
        <v>62</v>
      </c>
      <c r="BO17" t="s">
        <v>62</v>
      </c>
      <c r="BP17" t="str">
        <f t="shared" si="49"/>
        <v>-</v>
      </c>
      <c r="BQ17">
        <v>130</v>
      </c>
      <c r="BR17">
        <v>130</v>
      </c>
      <c r="BS17">
        <f t="shared" si="50"/>
        <v>141.30434782608694</v>
      </c>
      <c r="BT17" s="4" t="s">
        <v>259</v>
      </c>
      <c r="BV17" t="s">
        <v>278</v>
      </c>
    </row>
    <row r="18" spans="1:74" x14ac:dyDescent="0.4">
      <c r="A18">
        <v>239</v>
      </c>
      <c r="B18" s="3">
        <v>62</v>
      </c>
      <c r="C18" s="3">
        <v>37</v>
      </c>
      <c r="D18" s="30">
        <v>684624</v>
      </c>
      <c r="E18" s="4" t="str">
        <f t="shared" si="34"/>
        <v>684624</v>
      </c>
      <c r="F18" s="4">
        <v>667358</v>
      </c>
      <c r="G18" s="4" t="s">
        <v>218</v>
      </c>
      <c r="H18" s="5">
        <v>4902505349898</v>
      </c>
      <c r="I18" s="5"/>
      <c r="J18" s="5"/>
      <c r="K18" s="4">
        <v>1300</v>
      </c>
      <c r="L18" s="4">
        <v>1000</v>
      </c>
      <c r="M18" s="4">
        <v>690</v>
      </c>
      <c r="N18" s="6">
        <f t="shared" si="35"/>
        <v>0.31000000000000005</v>
      </c>
      <c r="O18" s="4"/>
      <c r="P18" s="4"/>
      <c r="Q18" s="4"/>
      <c r="R18" s="4"/>
      <c r="S18" s="4"/>
      <c r="T18" s="4"/>
      <c r="U18" s="4"/>
      <c r="V18" s="4"/>
      <c r="W18" s="4"/>
      <c r="X18" s="4">
        <v>140</v>
      </c>
      <c r="Y18" s="4">
        <f t="shared" si="36"/>
        <v>1400</v>
      </c>
      <c r="Z18" s="4">
        <v>75</v>
      </c>
      <c r="AA18" s="4">
        <f t="shared" si="37"/>
        <v>750</v>
      </c>
      <c r="AB18" s="4">
        <v>10</v>
      </c>
      <c r="AC18" s="20">
        <f t="shared" si="38"/>
        <v>1087</v>
      </c>
      <c r="AD18" s="6">
        <f t="shared" si="39"/>
        <v>0.31002759889604414</v>
      </c>
      <c r="AE18" s="4">
        <v>28.749999999999996</v>
      </c>
      <c r="AF18" s="4" t="str">
        <f t="shared" si="40"/>
        <v>-</v>
      </c>
      <c r="AG18" s="4" t="e">
        <f t="shared" si="41"/>
        <v>#VALUE!</v>
      </c>
      <c r="AH18" s="6" t="e">
        <f t="shared" si="42"/>
        <v>#VALUE!</v>
      </c>
      <c r="AI18" s="7">
        <v>1150</v>
      </c>
      <c r="AJ18" s="6">
        <f t="shared" si="43"/>
        <v>0.34782608695652173</v>
      </c>
      <c r="AK18" s="4">
        <f t="shared" si="44"/>
        <v>400</v>
      </c>
      <c r="AL18" s="27"/>
      <c r="AM18" s="6"/>
      <c r="AN18" s="6"/>
      <c r="AO18" s="6">
        <f t="shared" si="45"/>
        <v>1.0769230769230769</v>
      </c>
      <c r="AP18" s="6">
        <f t="shared" si="46"/>
        <v>1.1499999999999999</v>
      </c>
      <c r="AQ18" s="6">
        <f t="shared" si="47"/>
        <v>1.0869565217391304</v>
      </c>
      <c r="AR18" s="4"/>
      <c r="AS18" s="4"/>
      <c r="AT18" s="4"/>
      <c r="AU18" s="4"/>
      <c r="AV18" s="4"/>
      <c r="AW18" s="4"/>
      <c r="AX18" s="4"/>
      <c r="AY18" s="4"/>
      <c r="AZ18" s="4"/>
      <c r="BA18" s="4">
        <v>0</v>
      </c>
      <c r="BB18" s="4" t="s">
        <v>62</v>
      </c>
      <c r="BC18" s="4"/>
      <c r="BD18" s="4"/>
      <c r="BE18" s="4" t="s">
        <v>62</v>
      </c>
      <c r="BF18" s="4" t="s">
        <v>62</v>
      </c>
      <c r="BG18" s="4" t="s">
        <v>62</v>
      </c>
      <c r="BH18" s="4" t="str">
        <f t="shared" si="48"/>
        <v>-</v>
      </c>
      <c r="BI18" s="18">
        <v>4</v>
      </c>
      <c r="BJ18" s="18">
        <v>1</v>
      </c>
      <c r="BK18" s="16">
        <v>5</v>
      </c>
      <c r="BL18" s="31">
        <v>46204</v>
      </c>
      <c r="BM18" s="31">
        <v>46478</v>
      </c>
      <c r="BN18" t="s">
        <v>62</v>
      </c>
      <c r="BO18" t="s">
        <v>62</v>
      </c>
      <c r="BP18" t="str">
        <f t="shared" si="49"/>
        <v>-</v>
      </c>
      <c r="BQ18">
        <v>130</v>
      </c>
      <c r="BR18">
        <v>130</v>
      </c>
      <c r="BS18">
        <f t="shared" si="50"/>
        <v>141.30434782608694</v>
      </c>
      <c r="BT18" s="4" t="s">
        <v>62</v>
      </c>
      <c r="BU18">
        <v>2</v>
      </c>
      <c r="BV18" t="s">
        <v>278</v>
      </c>
    </row>
    <row r="19" spans="1:74" x14ac:dyDescent="0.4">
      <c r="A19">
        <v>362</v>
      </c>
      <c r="B19" s="3">
        <v>54</v>
      </c>
      <c r="C19" s="3">
        <v>54</v>
      </c>
      <c r="D19" s="4">
        <v>990088</v>
      </c>
      <c r="E19" s="4" t="str">
        <f t="shared" si="34"/>
        <v>990088</v>
      </c>
      <c r="F19" s="4">
        <v>990088</v>
      </c>
      <c r="G19" s="4" t="s">
        <v>201</v>
      </c>
      <c r="H19" s="5">
        <v>4902505491856</v>
      </c>
      <c r="I19" s="5">
        <v>1</v>
      </c>
      <c r="J19" s="5">
        <v>1</v>
      </c>
      <c r="K19" s="4">
        <v>130</v>
      </c>
      <c r="L19" s="4">
        <v>126</v>
      </c>
      <c r="M19" s="4">
        <v>69</v>
      </c>
      <c r="N19" s="6">
        <f t="shared" si="35"/>
        <v>0.45238095238095233</v>
      </c>
      <c r="O19" s="4" t="s">
        <v>63</v>
      </c>
      <c r="P19" s="4"/>
      <c r="Q19" s="4"/>
      <c r="R19" s="4"/>
      <c r="S19" s="4"/>
      <c r="T19" s="4"/>
      <c r="U19" s="4"/>
      <c r="V19" s="4"/>
      <c r="W19" s="4"/>
      <c r="X19" s="4">
        <v>140</v>
      </c>
      <c r="Y19" s="4">
        <f t="shared" si="36"/>
        <v>140</v>
      </c>
      <c r="Z19" s="4">
        <v>75</v>
      </c>
      <c r="AA19" s="4">
        <f t="shared" si="37"/>
        <v>75</v>
      </c>
      <c r="AB19" s="4"/>
      <c r="AC19" s="20">
        <f t="shared" si="38"/>
        <v>137</v>
      </c>
      <c r="AD19" s="6">
        <f t="shared" si="39"/>
        <v>0.45255474452554745</v>
      </c>
      <c r="AE19" s="4">
        <v>41.25</v>
      </c>
      <c r="AF19" s="4">
        <f t="shared" si="40"/>
        <v>126</v>
      </c>
      <c r="AG19" s="4">
        <f t="shared" si="41"/>
        <v>136.95652173913044</v>
      </c>
      <c r="AH19" s="6">
        <f t="shared" si="42"/>
        <v>0.45238095238095244</v>
      </c>
      <c r="AI19" s="7">
        <v>122</v>
      </c>
      <c r="AJ19" s="6">
        <f t="shared" si="43"/>
        <v>0.38524590163934425</v>
      </c>
      <c r="AK19" s="4">
        <f t="shared" si="44"/>
        <v>47</v>
      </c>
      <c r="AL19" s="27"/>
      <c r="AM19" s="6"/>
      <c r="AN19" s="6"/>
      <c r="AO19" s="6">
        <f t="shared" si="45"/>
        <v>1.0769230769230769</v>
      </c>
      <c r="AP19" s="6">
        <f t="shared" si="46"/>
        <v>0.96825396825396826</v>
      </c>
      <c r="AQ19" s="6">
        <f t="shared" si="47"/>
        <v>1.0869565217391304</v>
      </c>
      <c r="AR19" s="4"/>
      <c r="AS19" s="4"/>
      <c r="AT19" s="4"/>
      <c r="AU19" s="4"/>
      <c r="AV19" s="4"/>
      <c r="AW19" s="4"/>
      <c r="AX19" s="4"/>
      <c r="AY19" s="4"/>
      <c r="AZ19" s="4"/>
      <c r="BA19" s="4">
        <v>0</v>
      </c>
      <c r="BB19" s="4" t="s">
        <v>202</v>
      </c>
      <c r="BC19" s="4"/>
      <c r="BD19" s="4"/>
      <c r="BE19" s="4" t="s">
        <v>64</v>
      </c>
      <c r="BF19" s="4">
        <v>126</v>
      </c>
      <c r="BG19" s="4">
        <v>126</v>
      </c>
      <c r="BH19" s="4">
        <f t="shared" si="48"/>
        <v>126</v>
      </c>
      <c r="BI19" s="18">
        <v>4</v>
      </c>
      <c r="BJ19" s="18">
        <v>1</v>
      </c>
      <c r="BK19" s="16">
        <v>5</v>
      </c>
      <c r="BL19" s="31">
        <v>46204</v>
      </c>
      <c r="BM19" s="31">
        <v>46478</v>
      </c>
      <c r="BN19">
        <v>1120</v>
      </c>
      <c r="BO19">
        <v>1120</v>
      </c>
      <c r="BP19">
        <f t="shared" si="49"/>
        <v>1217.391304347826</v>
      </c>
      <c r="BQ19">
        <v>130</v>
      </c>
      <c r="BR19">
        <v>130</v>
      </c>
      <c r="BS19">
        <f t="shared" si="50"/>
        <v>141.30434782608694</v>
      </c>
      <c r="BT19" s="4" t="s">
        <v>203</v>
      </c>
      <c r="BV19" t="s">
        <v>278</v>
      </c>
    </row>
    <row r="20" spans="1:74" x14ac:dyDescent="0.4">
      <c r="A20">
        <v>113</v>
      </c>
      <c r="B20" s="3">
        <v>13</v>
      </c>
      <c r="C20" s="3">
        <v>13</v>
      </c>
      <c r="D20" s="30">
        <v>407957</v>
      </c>
      <c r="E20" s="4" t="str">
        <f t="shared" ref="E20:E36" si="51">TEXT(D20,"000000")</f>
        <v>407957</v>
      </c>
      <c r="F20" s="4">
        <v>407957</v>
      </c>
      <c r="G20" s="4" t="s">
        <v>108</v>
      </c>
      <c r="H20" s="5">
        <v>4902505526121</v>
      </c>
      <c r="I20" s="5">
        <v>2</v>
      </c>
      <c r="J20" s="5">
        <v>2</v>
      </c>
      <c r="K20" s="4">
        <v>100</v>
      </c>
      <c r="L20" s="4">
        <v>88</v>
      </c>
      <c r="M20" s="4">
        <v>53</v>
      </c>
      <c r="N20" s="6">
        <f t="shared" ref="N20:N36" si="52">1-M20/L20</f>
        <v>0.39772727272727271</v>
      </c>
      <c r="O20" s="4" t="s">
        <v>63</v>
      </c>
      <c r="P20" s="4"/>
      <c r="Q20" s="4"/>
      <c r="R20" s="4"/>
      <c r="S20" s="4"/>
      <c r="T20" s="4"/>
      <c r="U20" s="4"/>
      <c r="V20" s="4"/>
      <c r="W20" s="4"/>
      <c r="X20" s="4">
        <v>200</v>
      </c>
      <c r="Y20" s="4">
        <f t="shared" ref="Y20:Y36" si="53">IF(AB20="",X20,X20*AB20)</f>
        <v>200</v>
      </c>
      <c r="Z20" s="4">
        <v>107</v>
      </c>
      <c r="AA20" s="4">
        <f t="shared" ref="AA20:AA36" si="54">IF(AB20="",Z20,Z20*AB20)</f>
        <v>107</v>
      </c>
      <c r="AB20" s="4"/>
      <c r="AC20" s="20">
        <f t="shared" ref="AC20:AC36" si="55">ROUND(L20*AQ20,0)</f>
        <v>178</v>
      </c>
      <c r="AD20" s="6">
        <f t="shared" ref="AD20:AD36" si="56">1-AA20/AC20</f>
        <v>0.398876404494382</v>
      </c>
      <c r="AE20" s="4">
        <v>38</v>
      </c>
      <c r="AF20" s="4">
        <f t="shared" ref="AF20:AF36" si="57">BH20</f>
        <v>87</v>
      </c>
      <c r="AG20" s="4">
        <f t="shared" ref="AG20:AG36" si="58">AF20*AQ20</f>
        <v>175.64150943396228</v>
      </c>
      <c r="AH20" s="6">
        <f t="shared" ref="AH20:AH36" si="59">1-AA20/AG20</f>
        <v>0.3908045977011495</v>
      </c>
      <c r="AI20" s="7">
        <v>170</v>
      </c>
      <c r="AJ20" s="6">
        <f t="shared" ref="AJ20:AJ36" si="60">1-AA20/AI20</f>
        <v>0.37058823529411766</v>
      </c>
      <c r="AK20" s="4">
        <f t="shared" ref="AK20:AK36" si="61">AI20-AA20</f>
        <v>63</v>
      </c>
      <c r="AL20" s="27"/>
      <c r="AM20" s="6"/>
      <c r="AN20" s="6"/>
      <c r="AO20" s="6">
        <f t="shared" ref="AO20:AO36" si="62">Y20/K20</f>
        <v>2</v>
      </c>
      <c r="AP20" s="6">
        <f t="shared" ref="AP20:AP36" si="63">AI20/L20</f>
        <v>1.9318181818181819</v>
      </c>
      <c r="AQ20" s="6">
        <f t="shared" ref="AQ20:AQ36" si="64">AA20/M20</f>
        <v>2.0188679245283021</v>
      </c>
      <c r="AR20" s="4"/>
      <c r="AS20" s="4"/>
      <c r="AT20" s="4"/>
      <c r="AU20" s="4"/>
      <c r="AV20" s="4"/>
      <c r="AW20" s="4"/>
      <c r="AX20" s="4"/>
      <c r="AY20" s="4"/>
      <c r="AZ20" s="4"/>
      <c r="BA20" s="4">
        <v>0</v>
      </c>
      <c r="BB20" s="4" t="s">
        <v>109</v>
      </c>
      <c r="BC20" s="4"/>
      <c r="BD20" s="4"/>
      <c r="BE20" s="4" t="s">
        <v>64</v>
      </c>
      <c r="BF20" s="4">
        <v>87</v>
      </c>
      <c r="BG20" s="4">
        <v>87</v>
      </c>
      <c r="BH20" s="4">
        <f t="shared" ref="BH20:BH36" si="65">IF(BC20="",BG20,BC20/BD20*BG20)</f>
        <v>87</v>
      </c>
      <c r="BI20" s="18">
        <v>4</v>
      </c>
      <c r="BJ20" s="18">
        <v>1</v>
      </c>
      <c r="BK20" s="16">
        <v>5</v>
      </c>
      <c r="BL20" s="31">
        <v>46204</v>
      </c>
      <c r="BM20" s="31">
        <v>46478</v>
      </c>
      <c r="BN20">
        <v>850</v>
      </c>
      <c r="BO20">
        <v>850</v>
      </c>
      <c r="BP20">
        <f t="shared" ref="BP20:BP36" si="66">IFERROR(BO20*AQ20,"-")</f>
        <v>1716.0377358490568</v>
      </c>
      <c r="BQ20">
        <v>88</v>
      </c>
      <c r="BR20">
        <v>88</v>
      </c>
      <c r="BS20">
        <f t="shared" ref="BS20:BS36" si="67">IFERROR(BR20*AQ20,"-")</f>
        <v>177.66037735849059</v>
      </c>
      <c r="BT20" s="4" t="s">
        <v>110</v>
      </c>
      <c r="BV20" t="s">
        <v>278</v>
      </c>
    </row>
    <row r="21" spans="1:74" x14ac:dyDescent="0.4">
      <c r="A21">
        <v>113</v>
      </c>
      <c r="B21" s="3">
        <v>55</v>
      </c>
      <c r="C21" s="3">
        <v>13</v>
      </c>
      <c r="D21" s="30">
        <v>407957</v>
      </c>
      <c r="E21" s="4" t="str">
        <f t="shared" si="51"/>
        <v>407957</v>
      </c>
      <c r="F21" s="4">
        <v>407979</v>
      </c>
      <c r="G21" s="4" t="s">
        <v>204</v>
      </c>
      <c r="H21" s="5">
        <v>4902505526121</v>
      </c>
      <c r="I21" s="5"/>
      <c r="J21" s="5"/>
      <c r="K21" s="4">
        <v>1000</v>
      </c>
      <c r="L21" s="4">
        <v>824</v>
      </c>
      <c r="M21" s="4">
        <v>530</v>
      </c>
      <c r="N21" s="6">
        <f t="shared" si="52"/>
        <v>0.35679611650485432</v>
      </c>
      <c r="O21" s="4"/>
      <c r="P21" s="4"/>
      <c r="Q21" s="4"/>
      <c r="R21" s="4"/>
      <c r="S21" s="4"/>
      <c r="T21" s="4"/>
      <c r="U21" s="4"/>
      <c r="V21" s="4"/>
      <c r="W21" s="4"/>
      <c r="X21" s="4">
        <v>200</v>
      </c>
      <c r="Y21" s="4">
        <f t="shared" si="53"/>
        <v>2000</v>
      </c>
      <c r="Z21" s="4">
        <v>107</v>
      </c>
      <c r="AA21" s="4">
        <f t="shared" si="54"/>
        <v>1070</v>
      </c>
      <c r="AB21" s="4">
        <v>10</v>
      </c>
      <c r="AC21" s="20">
        <f t="shared" si="55"/>
        <v>1664</v>
      </c>
      <c r="AD21" s="6">
        <f t="shared" si="56"/>
        <v>0.35697115384615385</v>
      </c>
      <c r="AE21" s="4">
        <v>38</v>
      </c>
      <c r="AF21" s="4">
        <f t="shared" si="57"/>
        <v>773</v>
      </c>
      <c r="AG21" s="4">
        <f t="shared" si="58"/>
        <v>1560.5849056603774</v>
      </c>
      <c r="AH21" s="6">
        <f t="shared" si="59"/>
        <v>0.31435963777490306</v>
      </c>
      <c r="AI21" s="7">
        <v>1550</v>
      </c>
      <c r="AJ21" s="6">
        <f t="shared" si="60"/>
        <v>0.30967741935483872</v>
      </c>
      <c r="AK21" s="4">
        <f t="shared" si="61"/>
        <v>480</v>
      </c>
      <c r="AL21" s="27"/>
      <c r="AM21" s="6"/>
      <c r="AN21" s="6"/>
      <c r="AO21" s="6">
        <f t="shared" si="62"/>
        <v>2</v>
      </c>
      <c r="AP21" s="6">
        <f t="shared" si="63"/>
        <v>1.8810679611650485</v>
      </c>
      <c r="AQ21" s="6">
        <f t="shared" si="64"/>
        <v>2.0188679245283021</v>
      </c>
      <c r="AR21" s="4"/>
      <c r="AS21" s="4"/>
      <c r="AT21" s="4"/>
      <c r="AU21" s="4"/>
      <c r="AV21" s="4"/>
      <c r="AW21" s="4"/>
      <c r="AX21" s="4"/>
      <c r="AY21" s="4"/>
      <c r="AZ21" s="4"/>
      <c r="BA21" s="4">
        <v>0</v>
      </c>
      <c r="BB21" s="4" t="s">
        <v>205</v>
      </c>
      <c r="BC21" s="4"/>
      <c r="BD21" s="4"/>
      <c r="BE21" s="4" t="s">
        <v>67</v>
      </c>
      <c r="BF21" s="4">
        <v>773</v>
      </c>
      <c r="BG21" s="4">
        <v>773</v>
      </c>
      <c r="BH21" s="4">
        <f t="shared" si="65"/>
        <v>773</v>
      </c>
      <c r="BI21" s="18">
        <v>4</v>
      </c>
      <c r="BJ21" s="18">
        <v>1</v>
      </c>
      <c r="BK21" s="16">
        <v>5</v>
      </c>
      <c r="BL21" s="31">
        <v>46204</v>
      </c>
      <c r="BM21" s="31">
        <v>46478</v>
      </c>
      <c r="BN21">
        <v>850</v>
      </c>
      <c r="BO21">
        <v>850</v>
      </c>
      <c r="BP21">
        <f t="shared" si="66"/>
        <v>1716.0377358490568</v>
      </c>
      <c r="BQ21">
        <v>88</v>
      </c>
      <c r="BR21">
        <v>88</v>
      </c>
      <c r="BS21">
        <f t="shared" si="67"/>
        <v>177.66037735849059</v>
      </c>
      <c r="BT21" s="4" t="s">
        <v>206</v>
      </c>
      <c r="BU21">
        <v>2</v>
      </c>
      <c r="BV21" t="s">
        <v>278</v>
      </c>
    </row>
    <row r="22" spans="1:74" x14ac:dyDescent="0.4">
      <c r="A22">
        <v>195</v>
      </c>
      <c r="B22" s="3">
        <v>23</v>
      </c>
      <c r="C22" s="3">
        <v>23</v>
      </c>
      <c r="D22" s="30">
        <v>660480</v>
      </c>
      <c r="E22" s="4" t="str">
        <f t="shared" si="51"/>
        <v>660480</v>
      </c>
      <c r="F22" s="4">
        <v>660480</v>
      </c>
      <c r="G22" s="4" t="s">
        <v>131</v>
      </c>
      <c r="H22" s="5">
        <v>4902505286520</v>
      </c>
      <c r="I22" s="5">
        <v>2</v>
      </c>
      <c r="J22" s="5">
        <v>2</v>
      </c>
      <c r="K22" s="4">
        <v>100</v>
      </c>
      <c r="L22" s="4">
        <v>96</v>
      </c>
      <c r="M22" s="4">
        <v>53</v>
      </c>
      <c r="N22" s="6">
        <f t="shared" si="52"/>
        <v>0.44791666666666663</v>
      </c>
      <c r="O22" s="4" t="s">
        <v>63</v>
      </c>
      <c r="P22" s="4"/>
      <c r="Q22" s="4"/>
      <c r="R22" s="4"/>
      <c r="S22" s="4"/>
      <c r="T22" s="4"/>
      <c r="U22" s="4"/>
      <c r="V22" s="4"/>
      <c r="W22" s="4"/>
      <c r="X22" s="4">
        <v>200</v>
      </c>
      <c r="Y22" s="4">
        <f t="shared" si="53"/>
        <v>200</v>
      </c>
      <c r="Z22" s="4">
        <v>107</v>
      </c>
      <c r="AA22" s="4">
        <f t="shared" si="54"/>
        <v>107</v>
      </c>
      <c r="AB22" s="4"/>
      <c r="AC22" s="20">
        <f t="shared" si="55"/>
        <v>194</v>
      </c>
      <c r="AD22" s="6">
        <f t="shared" si="56"/>
        <v>0.44845360824742264</v>
      </c>
      <c r="AE22" s="4">
        <v>169.75</v>
      </c>
      <c r="AF22" s="4">
        <f t="shared" si="57"/>
        <v>95</v>
      </c>
      <c r="AG22" s="4">
        <f t="shared" si="58"/>
        <v>191.79245283018869</v>
      </c>
      <c r="AH22" s="6">
        <f t="shared" si="59"/>
        <v>0.44210526315789478</v>
      </c>
      <c r="AI22" s="7">
        <v>170</v>
      </c>
      <c r="AJ22" s="6">
        <f t="shared" si="60"/>
        <v>0.37058823529411766</v>
      </c>
      <c r="AK22" s="4">
        <f t="shared" si="61"/>
        <v>63</v>
      </c>
      <c r="AL22" s="27"/>
      <c r="AM22" s="6"/>
      <c r="AN22" s="6"/>
      <c r="AO22" s="6">
        <f t="shared" si="62"/>
        <v>2</v>
      </c>
      <c r="AP22" s="6">
        <f t="shared" si="63"/>
        <v>1.7708333333333333</v>
      </c>
      <c r="AQ22" s="6">
        <f t="shared" si="64"/>
        <v>2.0188679245283021</v>
      </c>
      <c r="AR22" s="4"/>
      <c r="AS22" s="4"/>
      <c r="AT22" s="4"/>
      <c r="AU22" s="4"/>
      <c r="AV22" s="4"/>
      <c r="AW22" s="4"/>
      <c r="AX22" s="4"/>
      <c r="AY22" s="4"/>
      <c r="AZ22" s="4"/>
      <c r="BA22" s="4">
        <v>0</v>
      </c>
      <c r="BB22" s="4" t="s">
        <v>132</v>
      </c>
      <c r="BC22" s="4"/>
      <c r="BD22" s="4"/>
      <c r="BE22" s="4" t="s">
        <v>64</v>
      </c>
      <c r="BF22" s="4">
        <v>95</v>
      </c>
      <c r="BG22" s="4">
        <v>95</v>
      </c>
      <c r="BH22" s="4">
        <f t="shared" si="65"/>
        <v>95</v>
      </c>
      <c r="BI22" s="18">
        <v>4</v>
      </c>
      <c r="BJ22" s="18">
        <v>1</v>
      </c>
      <c r="BK22" s="16">
        <v>5</v>
      </c>
      <c r="BL22" s="31">
        <v>46204</v>
      </c>
      <c r="BM22" s="31">
        <v>46478</v>
      </c>
      <c r="BN22">
        <v>850</v>
      </c>
      <c r="BO22">
        <v>850</v>
      </c>
      <c r="BP22">
        <f t="shared" si="66"/>
        <v>1716.0377358490568</v>
      </c>
      <c r="BQ22">
        <v>85</v>
      </c>
      <c r="BR22">
        <v>85</v>
      </c>
      <c r="BS22">
        <f t="shared" si="67"/>
        <v>171.60377358490567</v>
      </c>
      <c r="BT22" s="4" t="s">
        <v>133</v>
      </c>
      <c r="BV22" t="s">
        <v>278</v>
      </c>
    </row>
    <row r="23" spans="1:74" x14ac:dyDescent="0.4">
      <c r="A23">
        <v>195</v>
      </c>
      <c r="B23" s="3">
        <v>57</v>
      </c>
      <c r="C23" s="3">
        <v>23</v>
      </c>
      <c r="D23" s="30">
        <v>660480</v>
      </c>
      <c r="E23" s="4" t="str">
        <f t="shared" si="51"/>
        <v>660480</v>
      </c>
      <c r="F23" s="4">
        <v>660481</v>
      </c>
      <c r="G23" s="4" t="s">
        <v>209</v>
      </c>
      <c r="H23" s="5">
        <v>4902505286520</v>
      </c>
      <c r="I23" s="5"/>
      <c r="J23" s="5"/>
      <c r="K23" s="4">
        <v>1000</v>
      </c>
      <c r="L23" s="4">
        <v>860</v>
      </c>
      <c r="M23" s="4">
        <v>530</v>
      </c>
      <c r="N23" s="6">
        <f t="shared" si="52"/>
        <v>0.38372093023255816</v>
      </c>
      <c r="O23" s="4"/>
      <c r="P23" s="4"/>
      <c r="Q23" s="4"/>
      <c r="R23" s="4"/>
      <c r="S23" s="4"/>
      <c r="T23" s="4"/>
      <c r="U23" s="4"/>
      <c r="V23" s="4"/>
      <c r="W23" s="4"/>
      <c r="X23" s="4">
        <v>200</v>
      </c>
      <c r="Y23" s="4">
        <f t="shared" si="53"/>
        <v>2000</v>
      </c>
      <c r="Z23" s="4">
        <v>107</v>
      </c>
      <c r="AA23" s="4">
        <f t="shared" si="54"/>
        <v>1070</v>
      </c>
      <c r="AB23" s="4">
        <v>10</v>
      </c>
      <c r="AC23" s="20">
        <f t="shared" si="55"/>
        <v>1736</v>
      </c>
      <c r="AD23" s="6">
        <f t="shared" si="56"/>
        <v>0.38364055299539168</v>
      </c>
      <c r="AE23" s="4">
        <v>169.75</v>
      </c>
      <c r="AF23" s="4">
        <f t="shared" si="57"/>
        <v>837</v>
      </c>
      <c r="AG23" s="4">
        <f t="shared" si="58"/>
        <v>1689.7924528301889</v>
      </c>
      <c r="AH23" s="6">
        <f t="shared" si="59"/>
        <v>0.36678614097968942</v>
      </c>
      <c r="AI23" s="7">
        <v>1550</v>
      </c>
      <c r="AJ23" s="6">
        <f t="shared" si="60"/>
        <v>0.30967741935483872</v>
      </c>
      <c r="AK23" s="4">
        <f t="shared" si="61"/>
        <v>480</v>
      </c>
      <c r="AL23" s="27"/>
      <c r="AM23" s="6"/>
      <c r="AN23" s="6"/>
      <c r="AO23" s="6">
        <f t="shared" si="62"/>
        <v>2</v>
      </c>
      <c r="AP23" s="6">
        <f t="shared" si="63"/>
        <v>1.8023255813953489</v>
      </c>
      <c r="AQ23" s="6">
        <f t="shared" si="64"/>
        <v>2.0188679245283021</v>
      </c>
      <c r="AR23" s="4"/>
      <c r="AS23" s="4"/>
      <c r="AT23" s="4"/>
      <c r="AU23" s="4"/>
      <c r="AV23" s="4"/>
      <c r="AW23" s="4"/>
      <c r="AX23" s="4"/>
      <c r="AY23" s="4"/>
      <c r="AZ23" s="4"/>
      <c r="BA23" s="4">
        <v>0</v>
      </c>
      <c r="BB23" s="4" t="s">
        <v>210</v>
      </c>
      <c r="BC23" s="4"/>
      <c r="BD23" s="4"/>
      <c r="BE23" s="4" t="s">
        <v>69</v>
      </c>
      <c r="BF23" s="4">
        <v>837</v>
      </c>
      <c r="BG23" s="4">
        <v>837</v>
      </c>
      <c r="BH23" s="4">
        <f t="shared" si="65"/>
        <v>837</v>
      </c>
      <c r="BI23" s="18">
        <v>4</v>
      </c>
      <c r="BJ23" s="18">
        <v>1</v>
      </c>
      <c r="BK23" s="16">
        <v>5</v>
      </c>
      <c r="BL23" s="31">
        <v>46204</v>
      </c>
      <c r="BM23" s="31">
        <v>46478</v>
      </c>
      <c r="BN23">
        <v>850</v>
      </c>
      <c r="BO23">
        <v>850</v>
      </c>
      <c r="BP23">
        <f t="shared" si="66"/>
        <v>1716.0377358490568</v>
      </c>
      <c r="BQ23">
        <v>85</v>
      </c>
      <c r="BR23">
        <v>85</v>
      </c>
      <c r="BS23">
        <f t="shared" si="67"/>
        <v>171.60377358490567</v>
      </c>
      <c r="BT23" s="4" t="s">
        <v>211</v>
      </c>
      <c r="BU23">
        <v>2</v>
      </c>
      <c r="BV23" t="s">
        <v>278</v>
      </c>
    </row>
    <row r="24" spans="1:74" x14ac:dyDescent="0.4">
      <c r="A24">
        <v>346</v>
      </c>
      <c r="B24" s="3">
        <v>50</v>
      </c>
      <c r="C24" s="3">
        <v>50</v>
      </c>
      <c r="D24" s="30">
        <v>944306</v>
      </c>
      <c r="E24" s="4" t="str">
        <f t="shared" ref="E24:E31" si="68">TEXT(D24,"000000")</f>
        <v>944306</v>
      </c>
      <c r="F24" s="4">
        <v>944306</v>
      </c>
      <c r="G24" s="4" t="s">
        <v>191</v>
      </c>
      <c r="H24" s="5">
        <v>4902505495885</v>
      </c>
      <c r="I24" s="5">
        <v>2</v>
      </c>
      <c r="J24" s="5">
        <v>2</v>
      </c>
      <c r="K24" s="4">
        <v>100</v>
      </c>
      <c r="L24" s="4">
        <v>82</v>
      </c>
      <c r="M24" s="4">
        <v>53</v>
      </c>
      <c r="N24" s="6">
        <f t="shared" ref="N24:N31" si="69">1-M24/L24</f>
        <v>0.35365853658536583</v>
      </c>
      <c r="O24" s="4" t="s">
        <v>63</v>
      </c>
      <c r="P24" s="4"/>
      <c r="Q24" s="4"/>
      <c r="R24" s="4"/>
      <c r="S24" s="4"/>
      <c r="T24" s="4"/>
      <c r="U24" s="4"/>
      <c r="V24" s="4"/>
      <c r="W24" s="4"/>
      <c r="X24" s="4">
        <v>200</v>
      </c>
      <c r="Y24" s="4">
        <f t="shared" ref="Y24:Y31" si="70">IF(AB24="",X24,X24*AB24)</f>
        <v>200</v>
      </c>
      <c r="Z24" s="4">
        <v>107</v>
      </c>
      <c r="AA24" s="4">
        <f t="shared" ref="AA24:AA31" si="71">IF(AB24="",Z24,Z24*AB24)</f>
        <v>107</v>
      </c>
      <c r="AB24" s="4"/>
      <c r="AC24" s="20">
        <f t="shared" ref="AC24:AC31" si="72">ROUND(L24*AQ24,0)</f>
        <v>166</v>
      </c>
      <c r="AD24" s="6">
        <f t="shared" ref="AD24:AD31" si="73">1-AA24/AC24</f>
        <v>0.35542168674698793</v>
      </c>
      <c r="AE24" s="4">
        <v>646.5</v>
      </c>
      <c r="AF24" s="4">
        <f t="shared" ref="AF24:AF31" si="74">BH24</f>
        <v>84</v>
      </c>
      <c r="AG24" s="4">
        <f t="shared" ref="AG24:AG31" si="75">AF24*AQ24</f>
        <v>169.58490566037739</v>
      </c>
      <c r="AH24" s="6">
        <f t="shared" ref="AH24:AH31" si="76">1-AA24/AG24</f>
        <v>0.36904761904761918</v>
      </c>
      <c r="AI24" s="7">
        <v>170</v>
      </c>
      <c r="AJ24" s="6">
        <f t="shared" ref="AJ24:AJ31" si="77">1-AA24/AI24</f>
        <v>0.37058823529411766</v>
      </c>
      <c r="AK24" s="4">
        <f t="shared" ref="AK24:AK31" si="78">AI24-AA24</f>
        <v>63</v>
      </c>
      <c r="AL24" s="27"/>
      <c r="AM24" s="6"/>
      <c r="AN24" s="6"/>
      <c r="AO24" s="6">
        <f t="shared" ref="AO24:AO31" si="79">Y24/K24</f>
        <v>2</v>
      </c>
      <c r="AP24" s="6">
        <f t="shared" ref="AP24:AP31" si="80">AI24/L24</f>
        <v>2.0731707317073171</v>
      </c>
      <c r="AQ24" s="6">
        <f t="shared" ref="AQ24:AQ31" si="81">AA24/M24</f>
        <v>2.0188679245283021</v>
      </c>
      <c r="AR24" s="4"/>
      <c r="AS24" s="4"/>
      <c r="AT24" s="4"/>
      <c r="AU24" s="4"/>
      <c r="AV24" s="4"/>
      <c r="AW24" s="4"/>
      <c r="AX24" s="4"/>
      <c r="AY24" s="4"/>
      <c r="AZ24" s="4"/>
      <c r="BA24" s="4">
        <v>0</v>
      </c>
      <c r="BB24" s="4" t="s">
        <v>192</v>
      </c>
      <c r="BC24" s="4"/>
      <c r="BD24" s="4"/>
      <c r="BE24" s="4" t="s">
        <v>64</v>
      </c>
      <c r="BF24" s="4">
        <v>84</v>
      </c>
      <c r="BG24" s="4">
        <v>84</v>
      </c>
      <c r="BH24" s="4">
        <f t="shared" ref="BH24:BH31" si="82">IF(BC24="",BG24,BC24/BD24*BG24)</f>
        <v>84</v>
      </c>
      <c r="BI24" s="18">
        <v>4</v>
      </c>
      <c r="BJ24" s="18">
        <v>1</v>
      </c>
      <c r="BK24" s="16">
        <v>5</v>
      </c>
      <c r="BL24" s="31">
        <v>46204</v>
      </c>
      <c r="BM24" s="31">
        <v>46478</v>
      </c>
      <c r="BN24">
        <v>850</v>
      </c>
      <c r="BO24">
        <v>850</v>
      </c>
      <c r="BP24">
        <f t="shared" ref="BP24:BP31" si="83">IFERROR(BO24*AQ24,"-")</f>
        <v>1716.0377358490568</v>
      </c>
      <c r="BQ24">
        <v>98</v>
      </c>
      <c r="BR24">
        <v>98</v>
      </c>
      <c r="BS24">
        <f t="shared" ref="BS24:BS31" si="84">IFERROR(BR24*AQ24,"-")</f>
        <v>197.84905660377362</v>
      </c>
      <c r="BT24" s="4" t="s">
        <v>193</v>
      </c>
      <c r="BV24" t="s">
        <v>278</v>
      </c>
    </row>
    <row r="25" spans="1:74" x14ac:dyDescent="0.4">
      <c r="A25">
        <v>346</v>
      </c>
      <c r="B25" s="3">
        <v>66</v>
      </c>
      <c r="C25" s="3">
        <v>50</v>
      </c>
      <c r="D25" s="30">
        <v>944306</v>
      </c>
      <c r="E25" s="4" t="str">
        <f t="shared" si="68"/>
        <v>944306</v>
      </c>
      <c r="F25" s="4">
        <v>305309</v>
      </c>
      <c r="G25" s="4" t="s">
        <v>225</v>
      </c>
      <c r="H25" s="5">
        <v>4902505495885</v>
      </c>
      <c r="I25" s="5"/>
      <c r="J25" s="5"/>
      <c r="K25" s="4">
        <v>1000</v>
      </c>
      <c r="L25" s="4">
        <v>773</v>
      </c>
      <c r="M25" s="4">
        <v>530</v>
      </c>
      <c r="N25" s="6">
        <f t="shared" si="69"/>
        <v>0.31435963777490294</v>
      </c>
      <c r="O25" s="4"/>
      <c r="P25" s="4"/>
      <c r="Q25" s="4"/>
      <c r="R25" s="4"/>
      <c r="S25" s="4"/>
      <c r="T25" s="4"/>
      <c r="U25" s="4"/>
      <c r="V25" s="4"/>
      <c r="W25" s="4"/>
      <c r="X25" s="4">
        <v>200</v>
      </c>
      <c r="Y25" s="4">
        <f t="shared" si="70"/>
        <v>2000</v>
      </c>
      <c r="Z25" s="4">
        <v>107</v>
      </c>
      <c r="AA25" s="4">
        <f t="shared" si="71"/>
        <v>1070</v>
      </c>
      <c r="AB25" s="4">
        <v>10</v>
      </c>
      <c r="AC25" s="20">
        <f t="shared" si="72"/>
        <v>1561</v>
      </c>
      <c r="AD25" s="6">
        <f t="shared" si="73"/>
        <v>0.31454196028187065</v>
      </c>
      <c r="AE25" s="4">
        <v>646.5</v>
      </c>
      <c r="AF25" s="4">
        <f t="shared" si="74"/>
        <v>755</v>
      </c>
      <c r="AG25" s="4">
        <f t="shared" si="75"/>
        <v>1524.2452830188681</v>
      </c>
      <c r="AH25" s="6">
        <f t="shared" si="76"/>
        <v>0.29801324503311266</v>
      </c>
      <c r="AI25" s="7">
        <v>1550</v>
      </c>
      <c r="AJ25" s="6">
        <f t="shared" si="77"/>
        <v>0.30967741935483872</v>
      </c>
      <c r="AK25" s="4">
        <f t="shared" si="78"/>
        <v>480</v>
      </c>
      <c r="AL25" s="27"/>
      <c r="AM25" s="6"/>
      <c r="AN25" s="6"/>
      <c r="AO25" s="6">
        <f t="shared" si="79"/>
        <v>2</v>
      </c>
      <c r="AP25" s="6">
        <f t="shared" si="80"/>
        <v>2.0051746442432083</v>
      </c>
      <c r="AQ25" s="6">
        <f t="shared" si="81"/>
        <v>2.0188679245283021</v>
      </c>
      <c r="AR25" s="4"/>
      <c r="AS25" s="4"/>
      <c r="AT25" s="4"/>
      <c r="AU25" s="4"/>
      <c r="AV25" s="4"/>
      <c r="AW25" s="4"/>
      <c r="AX25" s="4"/>
      <c r="AY25" s="4"/>
      <c r="AZ25" s="4"/>
      <c r="BA25" s="4">
        <v>0</v>
      </c>
      <c r="BB25" s="4" t="s">
        <v>226</v>
      </c>
      <c r="BC25" s="4"/>
      <c r="BD25" s="4"/>
      <c r="BE25" s="4" t="s">
        <v>67</v>
      </c>
      <c r="BF25" s="4">
        <v>755</v>
      </c>
      <c r="BG25" s="4">
        <v>755</v>
      </c>
      <c r="BH25" s="4">
        <f t="shared" si="82"/>
        <v>755</v>
      </c>
      <c r="BI25" s="18">
        <v>4</v>
      </c>
      <c r="BJ25" s="18">
        <v>1</v>
      </c>
      <c r="BK25" s="16">
        <v>5</v>
      </c>
      <c r="BL25" s="31">
        <v>46204</v>
      </c>
      <c r="BM25" s="31">
        <v>46478</v>
      </c>
      <c r="BN25">
        <v>850</v>
      </c>
      <c r="BO25">
        <v>850</v>
      </c>
      <c r="BP25">
        <f t="shared" si="83"/>
        <v>1716.0377358490568</v>
      </c>
      <c r="BQ25">
        <v>98</v>
      </c>
      <c r="BR25">
        <v>98</v>
      </c>
      <c r="BS25">
        <f t="shared" si="84"/>
        <v>197.84905660377362</v>
      </c>
      <c r="BT25" s="4" t="s">
        <v>227</v>
      </c>
      <c r="BU25">
        <v>2</v>
      </c>
      <c r="BV25" t="s">
        <v>278</v>
      </c>
    </row>
    <row r="26" spans="1:74" x14ac:dyDescent="0.4">
      <c r="A26">
        <v>347</v>
      </c>
      <c r="B26" s="3">
        <v>51</v>
      </c>
      <c r="C26" s="3">
        <v>51</v>
      </c>
      <c r="D26" s="30">
        <v>944307</v>
      </c>
      <c r="E26" s="4" t="str">
        <f t="shared" si="68"/>
        <v>944307</v>
      </c>
      <c r="F26" s="4">
        <v>944307</v>
      </c>
      <c r="G26" s="4" t="s">
        <v>194</v>
      </c>
      <c r="H26" s="5">
        <v>4902505495892</v>
      </c>
      <c r="I26" s="5">
        <v>2</v>
      </c>
      <c r="J26" s="5">
        <v>2</v>
      </c>
      <c r="K26" s="4">
        <v>100</v>
      </c>
      <c r="L26" s="4">
        <v>82</v>
      </c>
      <c r="M26" s="4">
        <v>53</v>
      </c>
      <c r="N26" s="6">
        <f t="shared" si="69"/>
        <v>0.35365853658536583</v>
      </c>
      <c r="O26" s="4" t="s">
        <v>63</v>
      </c>
      <c r="P26" s="4"/>
      <c r="Q26" s="4"/>
      <c r="R26" s="4"/>
      <c r="S26" s="4"/>
      <c r="T26" s="4"/>
      <c r="U26" s="4"/>
      <c r="V26" s="4"/>
      <c r="W26" s="4"/>
      <c r="X26" s="4">
        <v>200</v>
      </c>
      <c r="Y26" s="4">
        <f t="shared" si="70"/>
        <v>200</v>
      </c>
      <c r="Z26" s="4">
        <v>107</v>
      </c>
      <c r="AA26" s="4">
        <f t="shared" si="71"/>
        <v>107</v>
      </c>
      <c r="AB26" s="4"/>
      <c r="AC26" s="20">
        <f t="shared" si="72"/>
        <v>166</v>
      </c>
      <c r="AD26" s="6">
        <f t="shared" si="73"/>
        <v>0.35542168674698793</v>
      </c>
      <c r="AE26" s="4">
        <v>430.5</v>
      </c>
      <c r="AF26" s="4">
        <f t="shared" si="74"/>
        <v>84</v>
      </c>
      <c r="AG26" s="4">
        <f t="shared" si="75"/>
        <v>169.58490566037739</v>
      </c>
      <c r="AH26" s="6">
        <f t="shared" si="76"/>
        <v>0.36904761904761918</v>
      </c>
      <c r="AI26" s="7">
        <v>170</v>
      </c>
      <c r="AJ26" s="6">
        <f t="shared" si="77"/>
        <v>0.37058823529411766</v>
      </c>
      <c r="AK26" s="4">
        <f t="shared" si="78"/>
        <v>63</v>
      </c>
      <c r="AL26" s="27"/>
      <c r="AM26" s="6"/>
      <c r="AN26" s="6"/>
      <c r="AO26" s="6">
        <f t="shared" si="79"/>
        <v>2</v>
      </c>
      <c r="AP26" s="6">
        <f t="shared" si="80"/>
        <v>2.0731707317073171</v>
      </c>
      <c r="AQ26" s="6">
        <f t="shared" si="81"/>
        <v>2.0188679245283021</v>
      </c>
      <c r="AR26" s="4"/>
      <c r="AS26" s="4"/>
      <c r="AT26" s="4"/>
      <c r="AU26" s="4"/>
      <c r="AV26" s="4"/>
      <c r="AW26" s="4"/>
      <c r="AX26" s="4"/>
      <c r="AY26" s="4"/>
      <c r="AZ26" s="4"/>
      <c r="BA26" s="4">
        <v>0</v>
      </c>
      <c r="BB26" s="4" t="s">
        <v>195</v>
      </c>
      <c r="BC26" s="4"/>
      <c r="BD26" s="4"/>
      <c r="BE26" s="4" t="s">
        <v>64</v>
      </c>
      <c r="BF26" s="4">
        <v>84</v>
      </c>
      <c r="BG26" s="4">
        <v>84</v>
      </c>
      <c r="BH26" s="4">
        <f t="shared" si="82"/>
        <v>84</v>
      </c>
      <c r="BI26" s="18">
        <v>4</v>
      </c>
      <c r="BJ26" s="18">
        <v>1</v>
      </c>
      <c r="BK26" s="16">
        <v>5</v>
      </c>
      <c r="BL26" s="31">
        <v>46204</v>
      </c>
      <c r="BM26" s="31">
        <v>46478</v>
      </c>
      <c r="BN26">
        <v>850</v>
      </c>
      <c r="BO26">
        <v>850</v>
      </c>
      <c r="BP26">
        <f t="shared" si="83"/>
        <v>1716.0377358490568</v>
      </c>
      <c r="BQ26">
        <v>98</v>
      </c>
      <c r="BR26">
        <v>98</v>
      </c>
      <c r="BS26">
        <f t="shared" si="84"/>
        <v>197.84905660377362</v>
      </c>
      <c r="BT26" s="4" t="s">
        <v>196</v>
      </c>
      <c r="BV26" t="s">
        <v>278</v>
      </c>
    </row>
    <row r="27" spans="1:74" x14ac:dyDescent="0.4">
      <c r="A27">
        <v>347</v>
      </c>
      <c r="B27" s="3">
        <v>67</v>
      </c>
      <c r="C27" s="3">
        <v>51</v>
      </c>
      <c r="D27" s="30">
        <v>944307</v>
      </c>
      <c r="E27" s="4" t="str">
        <f t="shared" si="68"/>
        <v>944307</v>
      </c>
      <c r="F27" s="4">
        <v>305310</v>
      </c>
      <c r="G27" s="4" t="s">
        <v>228</v>
      </c>
      <c r="H27" s="5">
        <v>4902505495892</v>
      </c>
      <c r="I27" s="5"/>
      <c r="J27" s="5"/>
      <c r="K27" s="4">
        <v>1000</v>
      </c>
      <c r="L27" s="4">
        <v>795</v>
      </c>
      <c r="M27" s="4">
        <v>530</v>
      </c>
      <c r="N27" s="6">
        <f t="shared" si="69"/>
        <v>0.33333333333333337</v>
      </c>
      <c r="O27" s="4"/>
      <c r="P27" s="4"/>
      <c r="Q27" s="4"/>
      <c r="R27" s="4"/>
      <c r="S27" s="4"/>
      <c r="T27" s="4"/>
      <c r="U27" s="4"/>
      <c r="V27" s="4"/>
      <c r="W27" s="4"/>
      <c r="X27" s="4">
        <v>200</v>
      </c>
      <c r="Y27" s="4">
        <f t="shared" si="70"/>
        <v>2000</v>
      </c>
      <c r="Z27" s="4">
        <v>107</v>
      </c>
      <c r="AA27" s="4">
        <f t="shared" si="71"/>
        <v>1070</v>
      </c>
      <c r="AB27" s="4">
        <v>10</v>
      </c>
      <c r="AC27" s="20">
        <f t="shared" si="72"/>
        <v>1605</v>
      </c>
      <c r="AD27" s="6">
        <f t="shared" si="73"/>
        <v>0.33333333333333337</v>
      </c>
      <c r="AE27" s="4">
        <v>430.5</v>
      </c>
      <c r="AF27" s="4">
        <f t="shared" si="74"/>
        <v>755</v>
      </c>
      <c r="AG27" s="4">
        <f t="shared" si="75"/>
        <v>1524.2452830188681</v>
      </c>
      <c r="AH27" s="6">
        <f t="shared" si="76"/>
        <v>0.29801324503311266</v>
      </c>
      <c r="AI27" s="7">
        <v>1550</v>
      </c>
      <c r="AJ27" s="6">
        <f t="shared" si="77"/>
        <v>0.30967741935483872</v>
      </c>
      <c r="AK27" s="4">
        <f t="shared" si="78"/>
        <v>480</v>
      </c>
      <c r="AL27" s="27"/>
      <c r="AM27" s="6"/>
      <c r="AN27" s="6"/>
      <c r="AO27" s="6">
        <f t="shared" si="79"/>
        <v>2</v>
      </c>
      <c r="AP27" s="6">
        <f t="shared" si="80"/>
        <v>1.949685534591195</v>
      </c>
      <c r="AQ27" s="6">
        <f t="shared" si="81"/>
        <v>2.0188679245283021</v>
      </c>
      <c r="AR27" s="4"/>
      <c r="AS27" s="4"/>
      <c r="AT27" s="4"/>
      <c r="AU27" s="4"/>
      <c r="AV27" s="4"/>
      <c r="AW27" s="4"/>
      <c r="AX27" s="4"/>
      <c r="AY27" s="4"/>
      <c r="AZ27" s="4"/>
      <c r="BA27" s="4">
        <v>0</v>
      </c>
      <c r="BB27" s="4" t="s">
        <v>229</v>
      </c>
      <c r="BC27" s="4"/>
      <c r="BD27" s="4"/>
      <c r="BE27" s="4" t="s">
        <v>67</v>
      </c>
      <c r="BF27" s="4">
        <v>755</v>
      </c>
      <c r="BG27" s="4">
        <v>755</v>
      </c>
      <c r="BH27" s="4">
        <f t="shared" si="82"/>
        <v>755</v>
      </c>
      <c r="BI27" s="18">
        <v>4</v>
      </c>
      <c r="BJ27" s="18">
        <v>1</v>
      </c>
      <c r="BK27" s="16">
        <v>5</v>
      </c>
      <c r="BL27" s="31">
        <v>46204</v>
      </c>
      <c r="BM27" s="31">
        <v>46478</v>
      </c>
      <c r="BN27">
        <v>850</v>
      </c>
      <c r="BO27">
        <v>850</v>
      </c>
      <c r="BP27">
        <f t="shared" si="83"/>
        <v>1716.0377358490568</v>
      </c>
      <c r="BQ27">
        <v>98</v>
      </c>
      <c r="BR27">
        <v>98</v>
      </c>
      <c r="BS27">
        <f t="shared" si="84"/>
        <v>197.84905660377362</v>
      </c>
      <c r="BT27" s="4" t="s">
        <v>230</v>
      </c>
      <c r="BU27">
        <v>2</v>
      </c>
      <c r="BV27" t="s">
        <v>278</v>
      </c>
    </row>
    <row r="28" spans="1:74" x14ac:dyDescent="0.4">
      <c r="A28">
        <v>348</v>
      </c>
      <c r="B28" s="3">
        <v>52</v>
      </c>
      <c r="C28" s="3">
        <v>52</v>
      </c>
      <c r="D28" s="30">
        <v>944308</v>
      </c>
      <c r="E28" s="4" t="str">
        <f t="shared" si="68"/>
        <v>944308</v>
      </c>
      <c r="F28" s="4">
        <v>944308</v>
      </c>
      <c r="G28" s="4" t="s">
        <v>197</v>
      </c>
      <c r="H28" s="5">
        <v>4902505495908</v>
      </c>
      <c r="I28" s="5">
        <v>2</v>
      </c>
      <c r="J28" s="5">
        <v>2</v>
      </c>
      <c r="K28" s="4">
        <v>100</v>
      </c>
      <c r="L28" s="4">
        <v>82</v>
      </c>
      <c r="M28" s="4">
        <v>53</v>
      </c>
      <c r="N28" s="6">
        <f t="shared" si="69"/>
        <v>0.35365853658536583</v>
      </c>
      <c r="O28" s="4" t="s">
        <v>63</v>
      </c>
      <c r="P28" s="4"/>
      <c r="Q28" s="4"/>
      <c r="R28" s="4"/>
      <c r="S28" s="4"/>
      <c r="T28" s="4"/>
      <c r="U28" s="4"/>
      <c r="V28" s="4"/>
      <c r="W28" s="4"/>
      <c r="X28" s="4">
        <v>200</v>
      </c>
      <c r="Y28" s="4">
        <f t="shared" si="70"/>
        <v>200</v>
      </c>
      <c r="Z28" s="4">
        <v>107</v>
      </c>
      <c r="AA28" s="4">
        <f t="shared" si="71"/>
        <v>107</v>
      </c>
      <c r="AB28" s="4"/>
      <c r="AC28" s="20">
        <f t="shared" si="72"/>
        <v>166</v>
      </c>
      <c r="AD28" s="6">
        <f t="shared" si="73"/>
        <v>0.35542168674698793</v>
      </c>
      <c r="AE28" s="4">
        <v>90.5</v>
      </c>
      <c r="AF28" s="4">
        <f t="shared" si="74"/>
        <v>90</v>
      </c>
      <c r="AG28" s="4">
        <f t="shared" si="75"/>
        <v>181.69811320754718</v>
      </c>
      <c r="AH28" s="6">
        <f t="shared" si="76"/>
        <v>0.41111111111111109</v>
      </c>
      <c r="AI28" s="7">
        <v>170</v>
      </c>
      <c r="AJ28" s="6">
        <f t="shared" si="77"/>
        <v>0.37058823529411766</v>
      </c>
      <c r="AK28" s="4">
        <f t="shared" si="78"/>
        <v>63</v>
      </c>
      <c r="AL28" s="27"/>
      <c r="AM28" s="6"/>
      <c r="AN28" s="6"/>
      <c r="AO28" s="6">
        <f t="shared" si="79"/>
        <v>2</v>
      </c>
      <c r="AP28" s="6">
        <f t="shared" si="80"/>
        <v>2.0731707317073171</v>
      </c>
      <c r="AQ28" s="6">
        <f t="shared" si="81"/>
        <v>2.0188679245283021</v>
      </c>
      <c r="AR28" s="4"/>
      <c r="AS28" s="4"/>
      <c r="AT28" s="4"/>
      <c r="AU28" s="4"/>
      <c r="AV28" s="4"/>
      <c r="AW28" s="4"/>
      <c r="AX28" s="4"/>
      <c r="AY28" s="4"/>
      <c r="AZ28" s="4"/>
      <c r="BA28" s="4">
        <v>0</v>
      </c>
      <c r="BB28" s="4" t="s">
        <v>198</v>
      </c>
      <c r="BC28" s="4"/>
      <c r="BD28" s="4"/>
      <c r="BE28" s="4" t="s">
        <v>64</v>
      </c>
      <c r="BF28" s="4">
        <v>90</v>
      </c>
      <c r="BG28" s="4">
        <v>90</v>
      </c>
      <c r="BH28" s="4">
        <f t="shared" si="82"/>
        <v>90</v>
      </c>
      <c r="BI28" s="18">
        <v>4</v>
      </c>
      <c r="BJ28" s="18">
        <v>1</v>
      </c>
      <c r="BK28" s="16">
        <v>5</v>
      </c>
      <c r="BL28" s="31">
        <v>46204</v>
      </c>
      <c r="BM28" s="31">
        <v>46478</v>
      </c>
      <c r="BN28" t="s">
        <v>62</v>
      </c>
      <c r="BO28" t="s">
        <v>62</v>
      </c>
      <c r="BP28" t="str">
        <f t="shared" si="83"/>
        <v>-</v>
      </c>
      <c r="BQ28">
        <v>98</v>
      </c>
      <c r="BR28">
        <v>98</v>
      </c>
      <c r="BS28">
        <f t="shared" si="84"/>
        <v>197.84905660377362</v>
      </c>
      <c r="BT28" s="4" t="s">
        <v>199</v>
      </c>
      <c r="BV28" t="s">
        <v>278</v>
      </c>
    </row>
    <row r="29" spans="1:74" x14ac:dyDescent="0.4">
      <c r="A29">
        <v>348</v>
      </c>
      <c r="B29" s="3">
        <v>68</v>
      </c>
      <c r="C29" s="3">
        <v>52</v>
      </c>
      <c r="D29" s="30">
        <v>944308</v>
      </c>
      <c r="E29" s="4" t="str">
        <f t="shared" si="68"/>
        <v>944308</v>
      </c>
      <c r="F29" s="4">
        <v>305311</v>
      </c>
      <c r="G29" s="4" t="s">
        <v>231</v>
      </c>
      <c r="H29" s="5">
        <v>4902505495908</v>
      </c>
      <c r="I29" s="5"/>
      <c r="J29" s="5"/>
      <c r="K29" s="4">
        <v>1000</v>
      </c>
      <c r="L29" s="4">
        <v>795</v>
      </c>
      <c r="M29" s="4">
        <v>530</v>
      </c>
      <c r="N29" s="6">
        <f t="shared" si="69"/>
        <v>0.33333333333333337</v>
      </c>
      <c r="O29" s="4"/>
      <c r="P29" s="4"/>
      <c r="Q29" s="4"/>
      <c r="R29" s="4"/>
      <c r="S29" s="4"/>
      <c r="T29" s="4"/>
      <c r="U29" s="4"/>
      <c r="V29" s="4"/>
      <c r="W29" s="4"/>
      <c r="X29" s="4">
        <v>200</v>
      </c>
      <c r="Y29" s="4">
        <f t="shared" si="70"/>
        <v>2000</v>
      </c>
      <c r="Z29" s="4">
        <v>107</v>
      </c>
      <c r="AA29" s="4">
        <f t="shared" si="71"/>
        <v>1070</v>
      </c>
      <c r="AB29" s="4">
        <v>10</v>
      </c>
      <c r="AC29" s="20">
        <f t="shared" si="72"/>
        <v>1605</v>
      </c>
      <c r="AD29" s="6">
        <f t="shared" si="73"/>
        <v>0.33333333333333337</v>
      </c>
      <c r="AE29" s="4">
        <v>90.5</v>
      </c>
      <c r="AF29" s="4">
        <f t="shared" si="74"/>
        <v>800</v>
      </c>
      <c r="AG29" s="4">
        <f t="shared" si="75"/>
        <v>1615.0943396226417</v>
      </c>
      <c r="AH29" s="6">
        <f t="shared" si="76"/>
        <v>0.33750000000000002</v>
      </c>
      <c r="AI29" s="7">
        <v>1550</v>
      </c>
      <c r="AJ29" s="6">
        <f t="shared" si="77"/>
        <v>0.30967741935483872</v>
      </c>
      <c r="AK29" s="4">
        <f t="shared" si="78"/>
        <v>480</v>
      </c>
      <c r="AL29" s="27"/>
      <c r="AM29" s="6"/>
      <c r="AN29" s="6"/>
      <c r="AO29" s="6">
        <f t="shared" si="79"/>
        <v>2</v>
      </c>
      <c r="AP29" s="6">
        <f t="shared" si="80"/>
        <v>1.949685534591195</v>
      </c>
      <c r="AQ29" s="6">
        <f t="shared" si="81"/>
        <v>2.0188679245283021</v>
      </c>
      <c r="AR29" s="4"/>
      <c r="AS29" s="4"/>
      <c r="AT29" s="4"/>
      <c r="AU29" s="4"/>
      <c r="AV29" s="4"/>
      <c r="AW29" s="4"/>
      <c r="AX29" s="4"/>
      <c r="AY29" s="4"/>
      <c r="AZ29" s="4"/>
      <c r="BA29" s="4">
        <v>0</v>
      </c>
      <c r="BB29" s="4" t="s">
        <v>232</v>
      </c>
      <c r="BC29" s="4"/>
      <c r="BD29" s="4"/>
      <c r="BE29" s="4" t="s">
        <v>68</v>
      </c>
      <c r="BF29" s="4">
        <v>800</v>
      </c>
      <c r="BG29" s="4">
        <v>800</v>
      </c>
      <c r="BH29" s="4">
        <f t="shared" si="82"/>
        <v>800</v>
      </c>
      <c r="BI29" s="18">
        <v>4</v>
      </c>
      <c r="BJ29" s="18">
        <v>1</v>
      </c>
      <c r="BK29" s="16">
        <v>5</v>
      </c>
      <c r="BL29" s="31">
        <v>46204</v>
      </c>
      <c r="BM29" s="31">
        <v>46478</v>
      </c>
      <c r="BN29" t="s">
        <v>62</v>
      </c>
      <c r="BO29" t="s">
        <v>62</v>
      </c>
      <c r="BP29" t="str">
        <f t="shared" si="83"/>
        <v>-</v>
      </c>
      <c r="BQ29">
        <v>98</v>
      </c>
      <c r="BR29">
        <v>98</v>
      </c>
      <c r="BS29">
        <f t="shared" si="84"/>
        <v>197.84905660377362</v>
      </c>
      <c r="BT29" s="4" t="s">
        <v>233</v>
      </c>
      <c r="BU29">
        <v>2</v>
      </c>
      <c r="BV29" t="s">
        <v>278</v>
      </c>
    </row>
    <row r="30" spans="1:74" x14ac:dyDescent="0.4">
      <c r="A30">
        <v>349</v>
      </c>
      <c r="B30" s="3">
        <v>53</v>
      </c>
      <c r="C30" s="3">
        <v>53</v>
      </c>
      <c r="D30" s="30">
        <v>944309</v>
      </c>
      <c r="E30" s="4" t="str">
        <f t="shared" si="68"/>
        <v>944309</v>
      </c>
      <c r="F30" s="4">
        <v>944309</v>
      </c>
      <c r="G30" s="4" t="s">
        <v>200</v>
      </c>
      <c r="H30" s="5">
        <v>4902505495915</v>
      </c>
      <c r="I30" s="5">
        <v>2</v>
      </c>
      <c r="J30" s="5">
        <v>2</v>
      </c>
      <c r="K30" s="4">
        <v>100</v>
      </c>
      <c r="L30" s="4">
        <v>82</v>
      </c>
      <c r="M30" s="4">
        <v>53</v>
      </c>
      <c r="N30" s="6">
        <f t="shared" si="69"/>
        <v>0.35365853658536583</v>
      </c>
      <c r="O30" s="4" t="s">
        <v>63</v>
      </c>
      <c r="P30" s="4"/>
      <c r="Q30" s="4"/>
      <c r="R30" s="4"/>
      <c r="S30" s="4"/>
      <c r="T30" s="4"/>
      <c r="U30" s="4"/>
      <c r="V30" s="4"/>
      <c r="W30" s="4"/>
      <c r="X30" s="4">
        <v>200</v>
      </c>
      <c r="Y30" s="4">
        <f t="shared" si="70"/>
        <v>200</v>
      </c>
      <c r="Z30" s="4">
        <v>107</v>
      </c>
      <c r="AA30" s="4">
        <f t="shared" si="71"/>
        <v>107</v>
      </c>
      <c r="AB30" s="4"/>
      <c r="AC30" s="20">
        <f t="shared" si="72"/>
        <v>166</v>
      </c>
      <c r="AD30" s="6">
        <f t="shared" si="73"/>
        <v>0.35542168674698793</v>
      </c>
      <c r="AE30" s="4">
        <v>13</v>
      </c>
      <c r="AF30" s="4" t="str">
        <f t="shared" si="74"/>
        <v>-</v>
      </c>
      <c r="AG30" s="4" t="e">
        <f t="shared" si="75"/>
        <v>#VALUE!</v>
      </c>
      <c r="AH30" s="6" t="e">
        <f t="shared" si="76"/>
        <v>#VALUE!</v>
      </c>
      <c r="AI30" s="7">
        <v>170</v>
      </c>
      <c r="AJ30" s="6">
        <f t="shared" si="77"/>
        <v>0.37058823529411766</v>
      </c>
      <c r="AK30" s="4">
        <f t="shared" si="78"/>
        <v>63</v>
      </c>
      <c r="AL30" s="27"/>
      <c r="AM30" s="6"/>
      <c r="AN30" s="6"/>
      <c r="AO30" s="6">
        <f t="shared" si="79"/>
        <v>2</v>
      </c>
      <c r="AP30" s="6">
        <f t="shared" si="80"/>
        <v>2.0731707317073171</v>
      </c>
      <c r="AQ30" s="6">
        <f t="shared" si="81"/>
        <v>2.0188679245283021</v>
      </c>
      <c r="AR30" s="4"/>
      <c r="AS30" s="4"/>
      <c r="AT30" s="4"/>
      <c r="AU30" s="4"/>
      <c r="AV30" s="4"/>
      <c r="AW30" s="4"/>
      <c r="AX30" s="4"/>
      <c r="AY30" s="4"/>
      <c r="AZ30" s="4"/>
      <c r="BA30" s="4">
        <v>0</v>
      </c>
      <c r="BB30" s="4" t="s">
        <v>62</v>
      </c>
      <c r="BC30" s="4"/>
      <c r="BD30" s="4"/>
      <c r="BE30" s="4" t="s">
        <v>62</v>
      </c>
      <c r="BF30" s="4" t="s">
        <v>62</v>
      </c>
      <c r="BG30" s="4" t="s">
        <v>62</v>
      </c>
      <c r="BH30" s="4" t="str">
        <f t="shared" si="82"/>
        <v>-</v>
      </c>
      <c r="BI30" s="18">
        <v>4</v>
      </c>
      <c r="BJ30" s="18">
        <v>1</v>
      </c>
      <c r="BK30" s="16">
        <v>5</v>
      </c>
      <c r="BL30" s="31">
        <v>46204</v>
      </c>
      <c r="BM30" s="31">
        <v>46478</v>
      </c>
      <c r="BN30" t="s">
        <v>62</v>
      </c>
      <c r="BO30" t="s">
        <v>62</v>
      </c>
      <c r="BP30" t="str">
        <f t="shared" si="83"/>
        <v>-</v>
      </c>
      <c r="BQ30">
        <v>98</v>
      </c>
      <c r="BR30">
        <v>98</v>
      </c>
      <c r="BS30">
        <f t="shared" si="84"/>
        <v>197.84905660377362</v>
      </c>
      <c r="BT30" s="4" t="s">
        <v>62</v>
      </c>
      <c r="BV30" t="s">
        <v>278</v>
      </c>
    </row>
    <row r="31" spans="1:74" x14ac:dyDescent="0.4">
      <c r="A31">
        <v>349</v>
      </c>
      <c r="B31" s="3">
        <v>69</v>
      </c>
      <c r="C31" s="3">
        <v>53</v>
      </c>
      <c r="D31" s="30">
        <v>944309</v>
      </c>
      <c r="E31" s="4" t="str">
        <f t="shared" si="68"/>
        <v>944309</v>
      </c>
      <c r="F31" s="4">
        <v>305312</v>
      </c>
      <c r="G31" s="4" t="s">
        <v>234</v>
      </c>
      <c r="H31" s="5">
        <v>4902505495915</v>
      </c>
      <c r="I31" s="5"/>
      <c r="J31" s="5"/>
      <c r="K31" s="4">
        <v>1000</v>
      </c>
      <c r="L31" s="4">
        <v>780</v>
      </c>
      <c r="M31" s="4">
        <v>530</v>
      </c>
      <c r="N31" s="6">
        <f t="shared" si="69"/>
        <v>0.32051282051282048</v>
      </c>
      <c r="O31" s="4"/>
      <c r="P31" s="4"/>
      <c r="Q31" s="4"/>
      <c r="R31" s="4"/>
      <c r="S31" s="4"/>
      <c r="T31" s="4"/>
      <c r="U31" s="4"/>
      <c r="V31" s="4"/>
      <c r="W31" s="4"/>
      <c r="X31" s="4">
        <v>200</v>
      </c>
      <c r="Y31" s="4">
        <f t="shared" si="70"/>
        <v>2000</v>
      </c>
      <c r="Z31" s="4">
        <v>107</v>
      </c>
      <c r="AA31" s="4">
        <f t="shared" si="71"/>
        <v>1070</v>
      </c>
      <c r="AB31" s="4">
        <v>10</v>
      </c>
      <c r="AC31" s="20">
        <f t="shared" si="72"/>
        <v>1575</v>
      </c>
      <c r="AD31" s="6">
        <f t="shared" si="73"/>
        <v>0.32063492063492061</v>
      </c>
      <c r="AE31" s="4">
        <v>13</v>
      </c>
      <c r="AF31" s="4" t="str">
        <f t="shared" si="74"/>
        <v>-</v>
      </c>
      <c r="AG31" s="4" t="e">
        <f t="shared" si="75"/>
        <v>#VALUE!</v>
      </c>
      <c r="AH31" s="6" t="e">
        <f t="shared" si="76"/>
        <v>#VALUE!</v>
      </c>
      <c r="AI31" s="7">
        <v>1550</v>
      </c>
      <c r="AJ31" s="6">
        <f t="shared" si="77"/>
        <v>0.30967741935483872</v>
      </c>
      <c r="AK31" s="4">
        <f t="shared" si="78"/>
        <v>480</v>
      </c>
      <c r="AL31" s="27"/>
      <c r="AM31" s="6"/>
      <c r="AN31" s="6"/>
      <c r="AO31" s="6">
        <f t="shared" si="79"/>
        <v>2</v>
      </c>
      <c r="AP31" s="6">
        <f t="shared" si="80"/>
        <v>1.9871794871794872</v>
      </c>
      <c r="AQ31" s="6">
        <f t="shared" si="81"/>
        <v>2.0188679245283021</v>
      </c>
      <c r="AR31" s="4"/>
      <c r="AS31" s="4"/>
      <c r="AT31" s="4"/>
      <c r="AU31" s="4"/>
      <c r="AV31" s="4"/>
      <c r="AW31" s="4"/>
      <c r="AX31" s="4"/>
      <c r="AY31" s="4"/>
      <c r="AZ31" s="4"/>
      <c r="BA31" s="4">
        <v>0</v>
      </c>
      <c r="BB31" s="4" t="s">
        <v>62</v>
      </c>
      <c r="BC31" s="4"/>
      <c r="BD31" s="4"/>
      <c r="BE31" s="4" t="s">
        <v>62</v>
      </c>
      <c r="BF31" s="4" t="s">
        <v>62</v>
      </c>
      <c r="BG31" s="4" t="s">
        <v>62</v>
      </c>
      <c r="BH31" s="4" t="str">
        <f t="shared" si="82"/>
        <v>-</v>
      </c>
      <c r="BI31" s="18">
        <v>4</v>
      </c>
      <c r="BJ31" s="18">
        <v>1</v>
      </c>
      <c r="BK31" s="16">
        <v>5</v>
      </c>
      <c r="BL31" s="31">
        <v>46204</v>
      </c>
      <c r="BM31" s="31">
        <v>46478</v>
      </c>
      <c r="BN31" t="s">
        <v>62</v>
      </c>
      <c r="BO31" t="s">
        <v>62</v>
      </c>
      <c r="BP31" t="str">
        <f t="shared" si="83"/>
        <v>-</v>
      </c>
      <c r="BQ31">
        <v>98</v>
      </c>
      <c r="BR31">
        <v>98</v>
      </c>
      <c r="BS31">
        <f t="shared" si="84"/>
        <v>197.84905660377362</v>
      </c>
      <c r="BT31" s="4" t="s">
        <v>62</v>
      </c>
      <c r="BU31">
        <v>2</v>
      </c>
      <c r="BV31" t="s">
        <v>278</v>
      </c>
    </row>
    <row r="32" spans="1:74" x14ac:dyDescent="0.4">
      <c r="A32">
        <v>244</v>
      </c>
      <c r="B32" s="3">
        <v>38</v>
      </c>
      <c r="C32" s="3">
        <v>38</v>
      </c>
      <c r="D32" s="4">
        <v>683803</v>
      </c>
      <c r="E32" s="4" t="str">
        <f t="shared" ref="E32" si="85">TEXT(D32,"000000")</f>
        <v>683803</v>
      </c>
      <c r="F32" s="4">
        <v>683803</v>
      </c>
      <c r="G32" s="4" t="s">
        <v>166</v>
      </c>
      <c r="H32" s="5">
        <v>4902505390067</v>
      </c>
      <c r="I32" s="5">
        <v>1</v>
      </c>
      <c r="J32" s="5">
        <v>1</v>
      </c>
      <c r="K32" s="4">
        <v>180</v>
      </c>
      <c r="L32" s="4">
        <v>173</v>
      </c>
      <c r="M32" s="4">
        <v>96</v>
      </c>
      <c r="N32" s="6">
        <f t="shared" ref="N32" si="86">1-M32/L32</f>
        <v>0.44508670520231219</v>
      </c>
      <c r="O32" s="4" t="s">
        <v>63</v>
      </c>
      <c r="P32" s="4"/>
      <c r="Q32" s="4"/>
      <c r="R32" s="4"/>
      <c r="S32" s="4"/>
      <c r="T32" s="4"/>
      <c r="U32" s="4"/>
      <c r="V32" s="4"/>
      <c r="W32" s="4"/>
      <c r="X32" s="4">
        <v>200</v>
      </c>
      <c r="Y32" s="4">
        <f t="shared" ref="Y32" si="87">IF(AB32="",X32,X32*AB32)</f>
        <v>200</v>
      </c>
      <c r="Z32" s="4">
        <v>107</v>
      </c>
      <c r="AA32" s="4">
        <f t="shared" ref="AA32" si="88">IF(AB32="",Z32,Z32*AB32)</f>
        <v>107</v>
      </c>
      <c r="AB32" s="4"/>
      <c r="AC32" s="20">
        <f t="shared" ref="AC32" si="89">ROUND(L32*AQ32,0)</f>
        <v>193</v>
      </c>
      <c r="AD32" s="6">
        <f t="shared" ref="AD32" si="90">1-AA32/AC32</f>
        <v>0.44559585492227982</v>
      </c>
      <c r="AE32" s="4">
        <v>18.75</v>
      </c>
      <c r="AF32" s="4">
        <f t="shared" ref="AF32" si="91">BH32</f>
        <v>180</v>
      </c>
      <c r="AG32" s="4">
        <f t="shared" ref="AG32" si="92">AF32*AQ32</f>
        <v>200.625</v>
      </c>
      <c r="AH32" s="6">
        <f t="shared" ref="AH32" si="93">1-AA32/AG32</f>
        <v>0.46666666666666667</v>
      </c>
      <c r="AI32" s="7">
        <v>190</v>
      </c>
      <c r="AJ32" s="6">
        <f t="shared" ref="AJ32" si="94">1-AA32/AI32</f>
        <v>0.43684210526315792</v>
      </c>
      <c r="AK32" s="4">
        <f t="shared" ref="AK32" si="95">AI32-AA32</f>
        <v>83</v>
      </c>
      <c r="AL32" s="27"/>
      <c r="AM32" s="6"/>
      <c r="AN32" s="6"/>
      <c r="AO32" s="6">
        <f t="shared" ref="AO32" si="96">Y32/K32</f>
        <v>1.1111111111111112</v>
      </c>
      <c r="AP32" s="6">
        <f t="shared" ref="AP32" si="97">AI32/L32</f>
        <v>1.0982658959537572</v>
      </c>
      <c r="AQ32" s="6">
        <f t="shared" ref="AQ32" si="98">AA32/M32</f>
        <v>1.1145833333333333</v>
      </c>
      <c r="AR32" s="4"/>
      <c r="AS32" s="4"/>
      <c r="AT32" s="4"/>
      <c r="AU32" s="4"/>
      <c r="AV32" s="4"/>
      <c r="AW32" s="4"/>
      <c r="AX32" s="4"/>
      <c r="AY32" s="4"/>
      <c r="AZ32" s="4"/>
      <c r="BA32" s="4">
        <v>0</v>
      </c>
      <c r="BB32" s="4" t="s">
        <v>167</v>
      </c>
      <c r="BC32" s="4"/>
      <c r="BD32" s="4"/>
      <c r="BE32" s="4" t="s">
        <v>64</v>
      </c>
      <c r="BF32" s="4">
        <v>180</v>
      </c>
      <c r="BG32" s="4">
        <v>180</v>
      </c>
      <c r="BH32" s="4">
        <f t="shared" ref="BH32" si="99">IF(BC32="",BG32,BC32/BD32*BG32)</f>
        <v>180</v>
      </c>
      <c r="BI32" s="18">
        <v>4</v>
      </c>
      <c r="BJ32" s="18">
        <v>1</v>
      </c>
      <c r="BK32" s="16">
        <v>5</v>
      </c>
      <c r="BL32" s="31">
        <v>46204</v>
      </c>
      <c r="BM32" s="31">
        <v>46478</v>
      </c>
      <c r="BN32" t="s">
        <v>62</v>
      </c>
      <c r="BO32" t="s">
        <v>62</v>
      </c>
      <c r="BP32" t="str">
        <f t="shared" ref="BP32" si="100">IFERROR(BO32*AQ32,"-")</f>
        <v>-</v>
      </c>
      <c r="BQ32">
        <v>178</v>
      </c>
      <c r="BR32">
        <v>178</v>
      </c>
      <c r="BS32">
        <f t="shared" ref="BS32" si="101">IFERROR(BR32*AQ32,"-")</f>
        <v>198.39583333333331</v>
      </c>
      <c r="BT32" s="4" t="s">
        <v>168</v>
      </c>
      <c r="BV32" t="s">
        <v>278</v>
      </c>
    </row>
    <row r="33" spans="1:74" x14ac:dyDescent="0.4">
      <c r="A33">
        <v>264</v>
      </c>
      <c r="B33" s="3">
        <v>42</v>
      </c>
      <c r="C33" s="3">
        <v>42</v>
      </c>
      <c r="D33" s="4">
        <v>698663</v>
      </c>
      <c r="E33" s="4" t="str">
        <f t="shared" si="51"/>
        <v>698663</v>
      </c>
      <c r="F33" s="4">
        <v>698663</v>
      </c>
      <c r="G33" s="4" t="s">
        <v>175</v>
      </c>
      <c r="H33" s="5">
        <v>4902505446887</v>
      </c>
      <c r="I33" s="5">
        <v>1</v>
      </c>
      <c r="J33" s="5">
        <v>1</v>
      </c>
      <c r="K33" s="4">
        <v>180</v>
      </c>
      <c r="L33" s="4">
        <v>180</v>
      </c>
      <c r="M33" s="4">
        <v>96</v>
      </c>
      <c r="N33" s="6">
        <f t="shared" si="52"/>
        <v>0.46666666666666667</v>
      </c>
      <c r="O33" s="4" t="s">
        <v>63</v>
      </c>
      <c r="P33" s="4"/>
      <c r="Q33" s="4"/>
      <c r="R33" s="4"/>
      <c r="S33" s="4"/>
      <c r="T33" s="4"/>
      <c r="U33" s="4"/>
      <c r="V33" s="4"/>
      <c r="W33" s="4"/>
      <c r="X33" s="4">
        <v>200</v>
      </c>
      <c r="Y33" s="4">
        <f t="shared" si="53"/>
        <v>200</v>
      </c>
      <c r="Z33" s="4">
        <v>107</v>
      </c>
      <c r="AA33" s="4">
        <f t="shared" si="54"/>
        <v>107</v>
      </c>
      <c r="AB33" s="4"/>
      <c r="AC33" s="20">
        <f t="shared" si="55"/>
        <v>201</v>
      </c>
      <c r="AD33" s="6">
        <f t="shared" si="56"/>
        <v>0.46766169154228854</v>
      </c>
      <c r="AE33" s="4">
        <v>16</v>
      </c>
      <c r="AF33" s="4">
        <f t="shared" si="57"/>
        <v>179</v>
      </c>
      <c r="AG33" s="4">
        <f t="shared" si="58"/>
        <v>199.51041666666666</v>
      </c>
      <c r="AH33" s="6">
        <f t="shared" si="59"/>
        <v>0.46368715083798884</v>
      </c>
      <c r="AI33" s="7">
        <v>170</v>
      </c>
      <c r="AJ33" s="6">
        <f t="shared" si="60"/>
        <v>0.37058823529411766</v>
      </c>
      <c r="AK33" s="4">
        <f t="shared" si="61"/>
        <v>63</v>
      </c>
      <c r="AL33" s="27"/>
      <c r="AM33" s="6"/>
      <c r="AN33" s="6"/>
      <c r="AO33" s="6">
        <f t="shared" si="62"/>
        <v>1.1111111111111112</v>
      </c>
      <c r="AP33" s="6">
        <f t="shared" si="63"/>
        <v>0.94444444444444442</v>
      </c>
      <c r="AQ33" s="6">
        <f t="shared" si="64"/>
        <v>1.1145833333333333</v>
      </c>
      <c r="AR33" s="4"/>
      <c r="AS33" s="4"/>
      <c r="AT33" s="4"/>
      <c r="AU33" s="4"/>
      <c r="AV33" s="4"/>
      <c r="AW33" s="4"/>
      <c r="AX33" s="4"/>
      <c r="AY33" s="4"/>
      <c r="AZ33" s="4"/>
      <c r="BA33" s="4">
        <v>0</v>
      </c>
      <c r="BB33" s="4" t="s">
        <v>176</v>
      </c>
      <c r="BC33" s="4"/>
      <c r="BD33" s="4"/>
      <c r="BE33" s="4" t="s">
        <v>64</v>
      </c>
      <c r="BF33" s="4">
        <v>179</v>
      </c>
      <c r="BG33" s="4">
        <v>179</v>
      </c>
      <c r="BH33" s="4">
        <f t="shared" si="65"/>
        <v>179</v>
      </c>
      <c r="BI33" s="18">
        <v>4</v>
      </c>
      <c r="BJ33" s="18">
        <v>1</v>
      </c>
      <c r="BK33" s="16">
        <v>5</v>
      </c>
      <c r="BL33" s="31">
        <v>46204</v>
      </c>
      <c r="BM33" s="31">
        <v>46478</v>
      </c>
      <c r="BN33">
        <v>170</v>
      </c>
      <c r="BO33">
        <v>170</v>
      </c>
      <c r="BP33">
        <f t="shared" si="66"/>
        <v>189.47916666666666</v>
      </c>
      <c r="BQ33">
        <v>171</v>
      </c>
      <c r="BR33">
        <v>171</v>
      </c>
      <c r="BS33">
        <f t="shared" si="67"/>
        <v>190.59375</v>
      </c>
      <c r="BT33" s="4" t="s">
        <v>177</v>
      </c>
      <c r="BV33" t="s">
        <v>278</v>
      </c>
    </row>
    <row r="34" spans="1:74" x14ac:dyDescent="0.4">
      <c r="A34">
        <v>265</v>
      </c>
      <c r="B34" s="3">
        <v>43</v>
      </c>
      <c r="C34" s="3">
        <v>43</v>
      </c>
      <c r="D34" s="4">
        <v>698664</v>
      </c>
      <c r="E34" s="4" t="str">
        <f t="shared" si="51"/>
        <v>698664</v>
      </c>
      <c r="F34" s="4">
        <v>698664</v>
      </c>
      <c r="G34" s="4" t="s">
        <v>178</v>
      </c>
      <c r="H34" s="5">
        <v>4902505446894</v>
      </c>
      <c r="I34" s="5">
        <v>1</v>
      </c>
      <c r="J34" s="5">
        <v>1</v>
      </c>
      <c r="K34" s="4">
        <v>180</v>
      </c>
      <c r="L34" s="4">
        <v>180</v>
      </c>
      <c r="M34" s="4">
        <v>96</v>
      </c>
      <c r="N34" s="6">
        <f t="shared" si="52"/>
        <v>0.46666666666666667</v>
      </c>
      <c r="O34" s="4" t="s">
        <v>63</v>
      </c>
      <c r="P34" s="4"/>
      <c r="Q34" s="4"/>
      <c r="R34" s="4"/>
      <c r="S34" s="4"/>
      <c r="T34" s="4"/>
      <c r="U34" s="4"/>
      <c r="V34" s="4"/>
      <c r="W34" s="4"/>
      <c r="X34" s="4">
        <v>200</v>
      </c>
      <c r="Y34" s="4">
        <f t="shared" si="53"/>
        <v>200</v>
      </c>
      <c r="Z34" s="4">
        <v>107</v>
      </c>
      <c r="AA34" s="4">
        <f t="shared" si="54"/>
        <v>107</v>
      </c>
      <c r="AB34" s="4"/>
      <c r="AC34" s="20">
        <f t="shared" si="55"/>
        <v>201</v>
      </c>
      <c r="AD34" s="6">
        <f t="shared" si="56"/>
        <v>0.46766169154228854</v>
      </c>
      <c r="AE34" s="4">
        <v>24.75</v>
      </c>
      <c r="AF34" s="4">
        <f t="shared" si="57"/>
        <v>179</v>
      </c>
      <c r="AG34" s="4">
        <f t="shared" si="58"/>
        <v>199.51041666666666</v>
      </c>
      <c r="AH34" s="6">
        <f t="shared" si="59"/>
        <v>0.46368715083798884</v>
      </c>
      <c r="AI34" s="7">
        <v>170</v>
      </c>
      <c r="AJ34" s="6">
        <f t="shared" si="60"/>
        <v>0.37058823529411766</v>
      </c>
      <c r="AK34" s="4">
        <f t="shared" si="61"/>
        <v>63</v>
      </c>
      <c r="AL34" s="27"/>
      <c r="AM34" s="6"/>
      <c r="AN34" s="6"/>
      <c r="AO34" s="6">
        <f t="shared" si="62"/>
        <v>1.1111111111111112</v>
      </c>
      <c r="AP34" s="6">
        <f t="shared" si="63"/>
        <v>0.94444444444444442</v>
      </c>
      <c r="AQ34" s="6">
        <f t="shared" si="64"/>
        <v>1.1145833333333333</v>
      </c>
      <c r="AR34" s="4"/>
      <c r="AS34" s="4"/>
      <c r="AT34" s="4"/>
      <c r="AU34" s="4"/>
      <c r="AV34" s="4"/>
      <c r="AW34" s="4"/>
      <c r="AX34" s="4"/>
      <c r="AY34" s="4"/>
      <c r="AZ34" s="4"/>
      <c r="BA34" s="4">
        <v>0</v>
      </c>
      <c r="BB34" s="4" t="s">
        <v>179</v>
      </c>
      <c r="BC34" s="4"/>
      <c r="BD34" s="4"/>
      <c r="BE34" s="4" t="s">
        <v>64</v>
      </c>
      <c r="BF34" s="4">
        <v>179</v>
      </c>
      <c r="BG34" s="4">
        <v>179</v>
      </c>
      <c r="BH34" s="4">
        <f t="shared" si="65"/>
        <v>179</v>
      </c>
      <c r="BI34" s="18">
        <v>4</v>
      </c>
      <c r="BJ34" s="18">
        <v>1</v>
      </c>
      <c r="BK34" s="16">
        <v>5</v>
      </c>
      <c r="BL34" s="31">
        <v>46204</v>
      </c>
      <c r="BM34" s="31">
        <v>46478</v>
      </c>
      <c r="BN34">
        <v>170</v>
      </c>
      <c r="BO34">
        <v>170</v>
      </c>
      <c r="BP34">
        <f t="shared" si="66"/>
        <v>189.47916666666666</v>
      </c>
      <c r="BQ34">
        <v>171</v>
      </c>
      <c r="BR34">
        <v>171</v>
      </c>
      <c r="BS34">
        <f t="shared" si="67"/>
        <v>190.59375</v>
      </c>
      <c r="BT34" s="4" t="s">
        <v>180</v>
      </c>
      <c r="BV34" t="s">
        <v>278</v>
      </c>
    </row>
    <row r="35" spans="1:74" x14ac:dyDescent="0.4">
      <c r="A35">
        <v>266</v>
      </c>
      <c r="B35" s="3">
        <v>44</v>
      </c>
      <c r="C35" s="3">
        <v>44</v>
      </c>
      <c r="D35" s="4">
        <v>698665</v>
      </c>
      <c r="E35" s="4" t="str">
        <f t="shared" si="51"/>
        <v>698665</v>
      </c>
      <c r="F35" s="4">
        <v>698665</v>
      </c>
      <c r="G35" s="4" t="s">
        <v>181</v>
      </c>
      <c r="H35" s="5">
        <v>4902505446900</v>
      </c>
      <c r="I35" s="5">
        <v>1</v>
      </c>
      <c r="J35" s="5">
        <v>1</v>
      </c>
      <c r="K35" s="4">
        <v>180</v>
      </c>
      <c r="L35" s="4">
        <v>180</v>
      </c>
      <c r="M35" s="4">
        <v>96</v>
      </c>
      <c r="N35" s="6">
        <f t="shared" si="52"/>
        <v>0.46666666666666667</v>
      </c>
      <c r="O35" s="4" t="s">
        <v>63</v>
      </c>
      <c r="P35" s="4"/>
      <c r="Q35" s="4"/>
      <c r="R35" s="4"/>
      <c r="S35" s="4"/>
      <c r="T35" s="4"/>
      <c r="U35" s="4"/>
      <c r="V35" s="4"/>
      <c r="W35" s="4"/>
      <c r="X35" s="4">
        <v>200</v>
      </c>
      <c r="Y35" s="4">
        <f t="shared" si="53"/>
        <v>200</v>
      </c>
      <c r="Z35" s="4">
        <v>107</v>
      </c>
      <c r="AA35" s="4">
        <f t="shared" si="54"/>
        <v>107</v>
      </c>
      <c r="AB35" s="4"/>
      <c r="AC35" s="20">
        <f t="shared" si="55"/>
        <v>201</v>
      </c>
      <c r="AD35" s="6">
        <f t="shared" si="56"/>
        <v>0.46766169154228854</v>
      </c>
      <c r="AE35" s="4">
        <v>23.75</v>
      </c>
      <c r="AF35" s="4">
        <f t="shared" si="57"/>
        <v>179</v>
      </c>
      <c r="AG35" s="4">
        <f t="shared" si="58"/>
        <v>199.51041666666666</v>
      </c>
      <c r="AH35" s="6">
        <f t="shared" si="59"/>
        <v>0.46368715083798884</v>
      </c>
      <c r="AI35" s="7">
        <v>170</v>
      </c>
      <c r="AJ35" s="6">
        <f t="shared" si="60"/>
        <v>0.37058823529411766</v>
      </c>
      <c r="AK35" s="4">
        <f t="shared" si="61"/>
        <v>63</v>
      </c>
      <c r="AL35" s="27"/>
      <c r="AM35" s="6"/>
      <c r="AN35" s="6"/>
      <c r="AO35" s="6">
        <f t="shared" si="62"/>
        <v>1.1111111111111112</v>
      </c>
      <c r="AP35" s="6">
        <f t="shared" si="63"/>
        <v>0.94444444444444442</v>
      </c>
      <c r="AQ35" s="6">
        <f t="shared" si="64"/>
        <v>1.1145833333333333</v>
      </c>
      <c r="AR35" s="4"/>
      <c r="AS35" s="4"/>
      <c r="AT35" s="4"/>
      <c r="AU35" s="4"/>
      <c r="AV35" s="4"/>
      <c r="AW35" s="4"/>
      <c r="AX35" s="4"/>
      <c r="AY35" s="4"/>
      <c r="AZ35" s="4"/>
      <c r="BA35" s="4">
        <v>0</v>
      </c>
      <c r="BB35" s="4" t="s">
        <v>182</v>
      </c>
      <c r="BC35" s="4"/>
      <c r="BD35" s="4"/>
      <c r="BE35" s="4" t="s">
        <v>64</v>
      </c>
      <c r="BF35" s="4">
        <v>179</v>
      </c>
      <c r="BG35" s="4">
        <v>179</v>
      </c>
      <c r="BH35" s="4">
        <f t="shared" si="65"/>
        <v>179</v>
      </c>
      <c r="BI35" s="18">
        <v>4</v>
      </c>
      <c r="BJ35" s="18">
        <v>1</v>
      </c>
      <c r="BK35" s="16">
        <v>5</v>
      </c>
      <c r="BL35" s="31">
        <v>46204</v>
      </c>
      <c r="BM35" s="31">
        <v>46478</v>
      </c>
      <c r="BN35">
        <v>170</v>
      </c>
      <c r="BO35" t="s">
        <v>62</v>
      </c>
      <c r="BP35" t="str">
        <f t="shared" si="66"/>
        <v>-</v>
      </c>
      <c r="BQ35">
        <v>171</v>
      </c>
      <c r="BR35">
        <v>171</v>
      </c>
      <c r="BS35">
        <f t="shared" si="67"/>
        <v>190.59375</v>
      </c>
      <c r="BT35" s="4" t="s">
        <v>183</v>
      </c>
      <c r="BV35" t="s">
        <v>278</v>
      </c>
    </row>
    <row r="36" spans="1:74" x14ac:dyDescent="0.4">
      <c r="A36">
        <v>267</v>
      </c>
      <c r="B36" s="3">
        <v>45</v>
      </c>
      <c r="C36" s="3">
        <v>45</v>
      </c>
      <c r="D36" s="4">
        <v>698666</v>
      </c>
      <c r="E36" s="4" t="str">
        <f t="shared" si="51"/>
        <v>698666</v>
      </c>
      <c r="F36" s="4">
        <v>698666</v>
      </c>
      <c r="G36" s="4" t="s">
        <v>184</v>
      </c>
      <c r="H36" s="5">
        <v>4902505446917</v>
      </c>
      <c r="I36" s="5">
        <v>1</v>
      </c>
      <c r="J36" s="5">
        <v>1</v>
      </c>
      <c r="K36" s="4">
        <v>180</v>
      </c>
      <c r="L36" s="4">
        <v>180</v>
      </c>
      <c r="M36" s="4">
        <v>96</v>
      </c>
      <c r="N36" s="6">
        <f t="shared" si="52"/>
        <v>0.46666666666666667</v>
      </c>
      <c r="O36" s="4" t="s">
        <v>63</v>
      </c>
      <c r="P36" s="4"/>
      <c r="Q36" s="4"/>
      <c r="R36" s="4"/>
      <c r="S36" s="4"/>
      <c r="T36" s="4"/>
      <c r="U36" s="4"/>
      <c r="V36" s="4"/>
      <c r="W36" s="4"/>
      <c r="X36" s="4">
        <v>200</v>
      </c>
      <c r="Y36" s="4">
        <f t="shared" si="53"/>
        <v>200</v>
      </c>
      <c r="Z36" s="4">
        <v>107</v>
      </c>
      <c r="AA36" s="4">
        <f t="shared" si="54"/>
        <v>107</v>
      </c>
      <c r="AB36" s="4"/>
      <c r="AC36" s="20">
        <f t="shared" si="55"/>
        <v>201</v>
      </c>
      <c r="AD36" s="6">
        <f t="shared" si="56"/>
        <v>0.46766169154228854</v>
      </c>
      <c r="AE36" s="4">
        <v>9.75</v>
      </c>
      <c r="AF36" s="4">
        <f t="shared" si="57"/>
        <v>170</v>
      </c>
      <c r="AG36" s="4">
        <f t="shared" si="58"/>
        <v>189.47916666666666</v>
      </c>
      <c r="AH36" s="6">
        <f t="shared" si="59"/>
        <v>0.43529411764705883</v>
      </c>
      <c r="AI36" s="7">
        <v>170</v>
      </c>
      <c r="AJ36" s="6">
        <f t="shared" si="60"/>
        <v>0.37058823529411766</v>
      </c>
      <c r="AK36" s="4">
        <f t="shared" si="61"/>
        <v>63</v>
      </c>
      <c r="AL36" s="27"/>
      <c r="AM36" s="6"/>
      <c r="AN36" s="6"/>
      <c r="AO36" s="6">
        <f t="shared" si="62"/>
        <v>1.1111111111111112</v>
      </c>
      <c r="AP36" s="6">
        <f t="shared" si="63"/>
        <v>0.94444444444444442</v>
      </c>
      <c r="AQ36" s="6">
        <f t="shared" si="64"/>
        <v>1.1145833333333333</v>
      </c>
      <c r="AR36" s="4"/>
      <c r="AS36" s="4"/>
      <c r="AT36" s="4"/>
      <c r="AU36" s="4"/>
      <c r="AV36" s="4"/>
      <c r="AW36" s="4"/>
      <c r="AX36" s="4"/>
      <c r="AY36" s="4"/>
      <c r="AZ36" s="4"/>
      <c r="BA36" s="4">
        <v>0</v>
      </c>
      <c r="BB36" s="4" t="s">
        <v>185</v>
      </c>
      <c r="BC36" s="4"/>
      <c r="BD36" s="4"/>
      <c r="BE36" s="4" t="s">
        <v>64</v>
      </c>
      <c r="BF36" s="4">
        <v>170</v>
      </c>
      <c r="BG36" s="4">
        <v>170</v>
      </c>
      <c r="BH36" s="4">
        <f t="shared" si="65"/>
        <v>170</v>
      </c>
      <c r="BI36" s="18">
        <v>4</v>
      </c>
      <c r="BJ36" s="18">
        <v>1</v>
      </c>
      <c r="BK36" s="16">
        <v>5</v>
      </c>
      <c r="BL36" s="31">
        <v>46204</v>
      </c>
      <c r="BM36" s="31">
        <v>46478</v>
      </c>
      <c r="BN36" t="s">
        <v>62</v>
      </c>
      <c r="BO36" t="s">
        <v>62</v>
      </c>
      <c r="BP36" t="str">
        <f t="shared" si="66"/>
        <v>-</v>
      </c>
      <c r="BQ36">
        <v>171</v>
      </c>
      <c r="BR36">
        <v>171</v>
      </c>
      <c r="BS36">
        <f t="shared" si="67"/>
        <v>190.59375</v>
      </c>
      <c r="BT36" s="4" t="s">
        <v>186</v>
      </c>
      <c r="BV36" t="s">
        <v>278</v>
      </c>
    </row>
    <row r="37" spans="1:74" x14ac:dyDescent="0.4">
      <c r="A37">
        <v>70</v>
      </c>
      <c r="B37" s="3">
        <v>1</v>
      </c>
      <c r="C37" s="3">
        <v>1</v>
      </c>
      <c r="D37" s="4">
        <v>198908</v>
      </c>
      <c r="E37" s="4" t="str">
        <f t="shared" ref="E37:E64" si="102">TEXT(D37,"000000")</f>
        <v>198908</v>
      </c>
      <c r="F37" s="4">
        <v>198908</v>
      </c>
      <c r="G37" s="4" t="s">
        <v>71</v>
      </c>
      <c r="H37" s="5">
        <v>4902505554681</v>
      </c>
      <c r="I37" s="5">
        <v>1</v>
      </c>
      <c r="J37" s="5">
        <v>1</v>
      </c>
      <c r="K37" s="4">
        <v>330</v>
      </c>
      <c r="L37" s="4">
        <v>298</v>
      </c>
      <c r="M37" s="4">
        <v>176</v>
      </c>
      <c r="N37" s="6">
        <f t="shared" ref="N37:N64" si="103">1-M37/L37</f>
        <v>0.40939597315436238</v>
      </c>
      <c r="O37" s="4" t="s">
        <v>63</v>
      </c>
      <c r="P37" s="4"/>
      <c r="Q37" s="4"/>
      <c r="R37" s="4"/>
      <c r="S37" s="4"/>
      <c r="T37" s="4"/>
      <c r="U37" s="4"/>
      <c r="V37" s="4"/>
      <c r="W37" s="4"/>
      <c r="X37" s="4">
        <v>360</v>
      </c>
      <c r="Y37" s="4">
        <f t="shared" ref="Y37:Y64" si="104">IF(AB37="",X37,X37*AB37)</f>
        <v>360</v>
      </c>
      <c r="Z37" s="4">
        <v>193</v>
      </c>
      <c r="AA37" s="4">
        <f t="shared" ref="AA37:AA64" si="105">IF(AB37="",Z37,Z37*AB37)</f>
        <v>193</v>
      </c>
      <c r="AB37" s="4"/>
      <c r="AC37" s="20">
        <f t="shared" ref="AC37:AC64" si="106">ROUND(L37*AQ37,0)</f>
        <v>327</v>
      </c>
      <c r="AD37" s="6">
        <f t="shared" ref="AD37:AD64" si="107">1-AA37/AC37</f>
        <v>0.40978593272171249</v>
      </c>
      <c r="AE37" s="4">
        <v>6.75</v>
      </c>
      <c r="AF37" s="4">
        <f t="shared" ref="AF37:AF64" si="108">BH37</f>
        <v>298</v>
      </c>
      <c r="AG37" s="4">
        <f t="shared" ref="AG37:AG64" si="109">AF37*AQ37</f>
        <v>326.78409090909093</v>
      </c>
      <c r="AH37" s="6">
        <f t="shared" ref="AH37:AH64" si="110">1-AA37/AG37</f>
        <v>0.40939597315436249</v>
      </c>
      <c r="AI37" s="7">
        <v>325</v>
      </c>
      <c r="AJ37" s="6">
        <f t="shared" ref="AJ37:AJ64" si="111">1-AA37/AI37</f>
        <v>0.4061538461538462</v>
      </c>
      <c r="AK37" s="4">
        <f t="shared" ref="AK37:AK64" si="112">AI37-AA37</f>
        <v>132</v>
      </c>
      <c r="AL37" s="27"/>
      <c r="AM37" s="6"/>
      <c r="AN37" s="6"/>
      <c r="AO37" s="6">
        <f t="shared" ref="AO37:AO64" si="113">Y37/K37</f>
        <v>1.0909090909090908</v>
      </c>
      <c r="AP37" s="6">
        <f t="shared" ref="AP37:AP64" si="114">AI37/L37</f>
        <v>1.0906040268456376</v>
      </c>
      <c r="AQ37" s="6">
        <f t="shared" ref="AQ37:AQ64" si="115">AA37/M37</f>
        <v>1.0965909090909092</v>
      </c>
      <c r="AR37" s="4"/>
      <c r="AS37" s="4"/>
      <c r="AT37" s="4"/>
      <c r="AU37" s="4"/>
      <c r="AV37" s="4"/>
      <c r="AW37" s="4"/>
      <c r="AX37" s="4"/>
      <c r="AY37" s="4"/>
      <c r="AZ37" s="4"/>
      <c r="BA37" s="4">
        <v>0</v>
      </c>
      <c r="BB37" s="4" t="s">
        <v>72</v>
      </c>
      <c r="BC37" s="4"/>
      <c r="BD37" s="4"/>
      <c r="BE37" s="4" t="s">
        <v>65</v>
      </c>
      <c r="BF37" s="4">
        <v>298</v>
      </c>
      <c r="BG37" s="4">
        <v>298</v>
      </c>
      <c r="BH37" s="4">
        <f t="shared" ref="BH37:BH64" si="116">IF(BC37="",BG37,BC37/BD37*BG37)</f>
        <v>298</v>
      </c>
      <c r="BI37" s="18">
        <v>4</v>
      </c>
      <c r="BJ37" s="18">
        <v>1</v>
      </c>
      <c r="BK37" s="16">
        <v>5</v>
      </c>
      <c r="BL37" s="31">
        <v>46204</v>
      </c>
      <c r="BM37" s="31">
        <v>46478</v>
      </c>
      <c r="BN37" t="s">
        <v>62</v>
      </c>
      <c r="BO37" t="s">
        <v>62</v>
      </c>
      <c r="BP37" t="str">
        <f t="shared" ref="BP37:BP64" si="117">IFERROR(BO37*AQ37,"-")</f>
        <v>-</v>
      </c>
      <c r="BQ37">
        <v>317</v>
      </c>
      <c r="BR37">
        <v>317</v>
      </c>
      <c r="BS37">
        <f t="shared" ref="BS37:BS64" si="118">IFERROR(BR37*AQ37,"-")</f>
        <v>347.61931818181819</v>
      </c>
      <c r="BT37" s="4" t="s">
        <v>73</v>
      </c>
      <c r="BV37" t="s">
        <v>278</v>
      </c>
    </row>
    <row r="38" spans="1:74" x14ac:dyDescent="0.4">
      <c r="A38">
        <v>71</v>
      </c>
      <c r="B38" s="3">
        <v>2</v>
      </c>
      <c r="C38" s="3">
        <v>2</v>
      </c>
      <c r="D38" s="4">
        <v>198909</v>
      </c>
      <c r="E38" s="4" t="str">
        <f t="shared" si="102"/>
        <v>198909</v>
      </c>
      <c r="F38" s="4">
        <v>198909</v>
      </c>
      <c r="G38" s="4" t="s">
        <v>74</v>
      </c>
      <c r="H38" s="5">
        <v>4902505554698</v>
      </c>
      <c r="I38" s="5">
        <v>1</v>
      </c>
      <c r="J38" s="5">
        <v>1</v>
      </c>
      <c r="K38" s="4">
        <v>330</v>
      </c>
      <c r="L38" s="4">
        <v>298</v>
      </c>
      <c r="M38" s="4">
        <v>176</v>
      </c>
      <c r="N38" s="6">
        <f t="shared" si="103"/>
        <v>0.40939597315436238</v>
      </c>
      <c r="O38" s="4" t="s">
        <v>63</v>
      </c>
      <c r="P38" s="4"/>
      <c r="Q38" s="4"/>
      <c r="R38" s="4"/>
      <c r="S38" s="4"/>
      <c r="T38" s="4"/>
      <c r="U38" s="4"/>
      <c r="V38" s="4"/>
      <c r="W38" s="4"/>
      <c r="X38" s="4">
        <v>360</v>
      </c>
      <c r="Y38" s="4">
        <f t="shared" si="104"/>
        <v>360</v>
      </c>
      <c r="Z38" s="4">
        <v>193</v>
      </c>
      <c r="AA38" s="4">
        <f t="shared" si="105"/>
        <v>193</v>
      </c>
      <c r="AB38" s="4"/>
      <c r="AC38" s="20">
        <f t="shared" si="106"/>
        <v>327</v>
      </c>
      <c r="AD38" s="6">
        <f t="shared" si="107"/>
        <v>0.40978593272171249</v>
      </c>
      <c r="AE38" s="4">
        <v>5.5</v>
      </c>
      <c r="AF38" s="4">
        <f t="shared" si="108"/>
        <v>298</v>
      </c>
      <c r="AG38" s="4">
        <f t="shared" si="109"/>
        <v>326.78409090909093</v>
      </c>
      <c r="AH38" s="6">
        <f t="shared" si="110"/>
        <v>0.40939597315436249</v>
      </c>
      <c r="AI38" s="7">
        <v>325</v>
      </c>
      <c r="AJ38" s="6">
        <f t="shared" si="111"/>
        <v>0.4061538461538462</v>
      </c>
      <c r="AK38" s="4">
        <f t="shared" si="112"/>
        <v>132</v>
      </c>
      <c r="AL38" s="27"/>
      <c r="AM38" s="6"/>
      <c r="AN38" s="6"/>
      <c r="AO38" s="6">
        <f t="shared" si="113"/>
        <v>1.0909090909090908</v>
      </c>
      <c r="AP38" s="6">
        <f t="shared" si="114"/>
        <v>1.0906040268456376</v>
      </c>
      <c r="AQ38" s="6">
        <f t="shared" si="115"/>
        <v>1.0965909090909092</v>
      </c>
      <c r="AR38" s="4"/>
      <c r="AS38" s="4"/>
      <c r="AT38" s="4"/>
      <c r="AU38" s="4"/>
      <c r="AV38" s="4"/>
      <c r="AW38" s="4"/>
      <c r="AX38" s="4"/>
      <c r="AY38" s="4"/>
      <c r="AZ38" s="4"/>
      <c r="BA38" s="4">
        <v>0</v>
      </c>
      <c r="BB38" s="4" t="s">
        <v>75</v>
      </c>
      <c r="BC38" s="4"/>
      <c r="BD38" s="4"/>
      <c r="BE38" s="4" t="s">
        <v>65</v>
      </c>
      <c r="BF38" s="4">
        <v>298</v>
      </c>
      <c r="BG38" s="4">
        <v>298</v>
      </c>
      <c r="BH38" s="4">
        <f t="shared" si="116"/>
        <v>298</v>
      </c>
      <c r="BI38" s="18">
        <v>4</v>
      </c>
      <c r="BJ38" s="18">
        <v>1</v>
      </c>
      <c r="BK38" s="16">
        <v>5</v>
      </c>
      <c r="BL38" s="31">
        <v>46204</v>
      </c>
      <c r="BM38" s="31">
        <v>46478</v>
      </c>
      <c r="BN38">
        <v>2980</v>
      </c>
      <c r="BO38">
        <v>2980</v>
      </c>
      <c r="BP38">
        <f t="shared" si="117"/>
        <v>3267.8409090909095</v>
      </c>
      <c r="BQ38">
        <v>317</v>
      </c>
      <c r="BR38">
        <v>317</v>
      </c>
      <c r="BS38">
        <f t="shared" si="118"/>
        <v>347.61931818181819</v>
      </c>
      <c r="BT38" s="4" t="s">
        <v>76</v>
      </c>
      <c r="BV38" t="s">
        <v>278</v>
      </c>
    </row>
    <row r="39" spans="1:74" x14ac:dyDescent="0.4">
      <c r="A39">
        <v>72</v>
      </c>
      <c r="B39" s="3">
        <v>3</v>
      </c>
      <c r="C39" s="3">
        <v>3</v>
      </c>
      <c r="D39" s="4">
        <v>198910</v>
      </c>
      <c r="E39" s="4" t="str">
        <f t="shared" si="102"/>
        <v>198910</v>
      </c>
      <c r="F39" s="4">
        <v>198910</v>
      </c>
      <c r="G39" s="4" t="s">
        <v>77</v>
      </c>
      <c r="H39" s="5">
        <v>4902505554704</v>
      </c>
      <c r="I39" s="5">
        <v>1</v>
      </c>
      <c r="J39" s="5">
        <v>1</v>
      </c>
      <c r="K39" s="4">
        <v>330</v>
      </c>
      <c r="L39" s="4">
        <v>298</v>
      </c>
      <c r="M39" s="4">
        <v>176</v>
      </c>
      <c r="N39" s="6">
        <f t="shared" si="103"/>
        <v>0.40939597315436238</v>
      </c>
      <c r="O39" s="4" t="s">
        <v>63</v>
      </c>
      <c r="P39" s="4"/>
      <c r="Q39" s="4"/>
      <c r="R39" s="4"/>
      <c r="S39" s="4"/>
      <c r="T39" s="4"/>
      <c r="U39" s="4"/>
      <c r="V39" s="4"/>
      <c r="W39" s="4"/>
      <c r="X39" s="4">
        <v>360</v>
      </c>
      <c r="Y39" s="4">
        <f t="shared" si="104"/>
        <v>360</v>
      </c>
      <c r="Z39" s="4">
        <v>193</v>
      </c>
      <c r="AA39" s="4">
        <f t="shared" si="105"/>
        <v>193</v>
      </c>
      <c r="AB39" s="4"/>
      <c r="AC39" s="20">
        <f t="shared" si="106"/>
        <v>327</v>
      </c>
      <c r="AD39" s="6">
        <f t="shared" si="107"/>
        <v>0.40978593272171249</v>
      </c>
      <c r="AE39" s="4">
        <v>3.75</v>
      </c>
      <c r="AF39" s="4">
        <f t="shared" si="108"/>
        <v>298</v>
      </c>
      <c r="AG39" s="4">
        <f t="shared" si="109"/>
        <v>326.78409090909093</v>
      </c>
      <c r="AH39" s="6">
        <f t="shared" si="110"/>
        <v>0.40939597315436249</v>
      </c>
      <c r="AI39" s="7">
        <v>325</v>
      </c>
      <c r="AJ39" s="6">
        <f t="shared" si="111"/>
        <v>0.4061538461538462</v>
      </c>
      <c r="AK39" s="4">
        <f t="shared" si="112"/>
        <v>132</v>
      </c>
      <c r="AL39" s="27"/>
      <c r="AM39" s="6"/>
      <c r="AN39" s="6"/>
      <c r="AO39" s="6">
        <f t="shared" si="113"/>
        <v>1.0909090909090908</v>
      </c>
      <c r="AP39" s="6">
        <f t="shared" si="114"/>
        <v>1.0906040268456376</v>
      </c>
      <c r="AQ39" s="6">
        <f t="shared" si="115"/>
        <v>1.0965909090909092</v>
      </c>
      <c r="AR39" s="4"/>
      <c r="AS39" s="4"/>
      <c r="AT39" s="4"/>
      <c r="AU39" s="4"/>
      <c r="AV39" s="4"/>
      <c r="AW39" s="4"/>
      <c r="AX39" s="4"/>
      <c r="AY39" s="4"/>
      <c r="AZ39" s="4"/>
      <c r="BA39" s="4">
        <v>0</v>
      </c>
      <c r="BB39" s="4" t="s">
        <v>78</v>
      </c>
      <c r="BC39" s="4"/>
      <c r="BD39" s="4"/>
      <c r="BE39" s="4" t="s">
        <v>65</v>
      </c>
      <c r="BF39" s="4">
        <v>298</v>
      </c>
      <c r="BG39" s="4">
        <v>298</v>
      </c>
      <c r="BH39" s="4">
        <f t="shared" si="116"/>
        <v>298</v>
      </c>
      <c r="BI39" s="18">
        <v>4</v>
      </c>
      <c r="BJ39" s="18">
        <v>1</v>
      </c>
      <c r="BK39" s="16">
        <v>5</v>
      </c>
      <c r="BL39" s="31">
        <v>46204</v>
      </c>
      <c r="BM39" s="31">
        <v>46478</v>
      </c>
      <c r="BN39" t="s">
        <v>62</v>
      </c>
      <c r="BO39" t="s">
        <v>62</v>
      </c>
      <c r="BP39" t="str">
        <f t="shared" si="117"/>
        <v>-</v>
      </c>
      <c r="BQ39">
        <v>317</v>
      </c>
      <c r="BR39">
        <v>317</v>
      </c>
      <c r="BS39">
        <f t="shared" si="118"/>
        <v>347.61931818181819</v>
      </c>
      <c r="BT39" s="4" t="s">
        <v>79</v>
      </c>
      <c r="BV39" t="s">
        <v>278</v>
      </c>
    </row>
    <row r="40" spans="1:74" x14ac:dyDescent="0.4">
      <c r="A40">
        <v>74</v>
      </c>
      <c r="B40" s="3">
        <v>4</v>
      </c>
      <c r="C40" s="3">
        <v>4</v>
      </c>
      <c r="D40" s="4">
        <v>204380</v>
      </c>
      <c r="E40" s="4" t="str">
        <f t="shared" si="102"/>
        <v>204380</v>
      </c>
      <c r="F40" s="4">
        <v>204380</v>
      </c>
      <c r="G40" s="4" t="s">
        <v>80</v>
      </c>
      <c r="H40" s="5">
        <v>4902505670206</v>
      </c>
      <c r="I40" s="5">
        <v>1</v>
      </c>
      <c r="J40" s="5">
        <v>1</v>
      </c>
      <c r="K40" s="4">
        <v>330</v>
      </c>
      <c r="L40" s="4">
        <v>298</v>
      </c>
      <c r="M40" s="4">
        <v>176</v>
      </c>
      <c r="N40" s="6">
        <f t="shared" si="103"/>
        <v>0.40939597315436238</v>
      </c>
      <c r="O40" s="4" t="s">
        <v>63</v>
      </c>
      <c r="P40" s="4"/>
      <c r="Q40" s="4"/>
      <c r="R40" s="4"/>
      <c r="S40" s="4"/>
      <c r="T40" s="4"/>
      <c r="U40" s="4"/>
      <c r="V40" s="4"/>
      <c r="W40" s="4"/>
      <c r="X40" s="4">
        <v>360</v>
      </c>
      <c r="Y40" s="4">
        <f t="shared" si="104"/>
        <v>360</v>
      </c>
      <c r="Z40" s="4">
        <v>193</v>
      </c>
      <c r="AA40" s="4">
        <f t="shared" si="105"/>
        <v>193</v>
      </c>
      <c r="AB40" s="4"/>
      <c r="AC40" s="20">
        <f t="shared" si="106"/>
        <v>327</v>
      </c>
      <c r="AD40" s="6">
        <f t="shared" si="107"/>
        <v>0.40978593272171249</v>
      </c>
      <c r="AE40" s="4">
        <v>5.5</v>
      </c>
      <c r="AF40" s="4">
        <f t="shared" si="108"/>
        <v>298</v>
      </c>
      <c r="AG40" s="4">
        <f t="shared" si="109"/>
        <v>326.78409090909093</v>
      </c>
      <c r="AH40" s="6">
        <f t="shared" si="110"/>
        <v>0.40939597315436249</v>
      </c>
      <c r="AI40" s="7">
        <v>325</v>
      </c>
      <c r="AJ40" s="6">
        <f t="shared" si="111"/>
        <v>0.4061538461538462</v>
      </c>
      <c r="AK40" s="4">
        <f t="shared" si="112"/>
        <v>132</v>
      </c>
      <c r="AL40" s="27"/>
      <c r="AM40" s="6"/>
      <c r="AN40" s="6"/>
      <c r="AO40" s="6">
        <f t="shared" si="113"/>
        <v>1.0909090909090908</v>
      </c>
      <c r="AP40" s="6">
        <f t="shared" si="114"/>
        <v>1.0906040268456376</v>
      </c>
      <c r="AQ40" s="6">
        <f t="shared" si="115"/>
        <v>1.0965909090909092</v>
      </c>
      <c r="AR40" s="4"/>
      <c r="AS40" s="4"/>
      <c r="AT40" s="4"/>
      <c r="AU40" s="4"/>
      <c r="AV40" s="4"/>
      <c r="AW40" s="4"/>
      <c r="AX40" s="4"/>
      <c r="AY40" s="4"/>
      <c r="AZ40" s="4"/>
      <c r="BA40" s="4">
        <v>0</v>
      </c>
      <c r="BB40" s="4" t="s">
        <v>81</v>
      </c>
      <c r="BC40" s="4"/>
      <c r="BD40" s="4"/>
      <c r="BE40" s="4" t="s">
        <v>82</v>
      </c>
      <c r="BF40" s="4">
        <v>298</v>
      </c>
      <c r="BG40" s="4">
        <v>298</v>
      </c>
      <c r="BH40" s="4">
        <f t="shared" si="116"/>
        <v>298</v>
      </c>
      <c r="BI40" s="18">
        <v>4</v>
      </c>
      <c r="BJ40" s="18">
        <v>1</v>
      </c>
      <c r="BK40" s="16">
        <v>5</v>
      </c>
      <c r="BL40" s="31">
        <v>46204</v>
      </c>
      <c r="BM40" s="31">
        <v>46478</v>
      </c>
      <c r="BN40">
        <v>298</v>
      </c>
      <c r="BO40">
        <v>298</v>
      </c>
      <c r="BP40">
        <f t="shared" si="117"/>
        <v>326.78409090909093</v>
      </c>
      <c r="BQ40">
        <v>299</v>
      </c>
      <c r="BR40">
        <v>299</v>
      </c>
      <c r="BS40">
        <f t="shared" si="118"/>
        <v>327.88068181818187</v>
      </c>
      <c r="BT40" s="4" t="s">
        <v>83</v>
      </c>
      <c r="BV40" t="s">
        <v>278</v>
      </c>
    </row>
    <row r="41" spans="1:74" x14ac:dyDescent="0.4">
      <c r="A41">
        <v>75</v>
      </c>
      <c r="B41" s="3">
        <v>5</v>
      </c>
      <c r="C41" s="3">
        <v>5</v>
      </c>
      <c r="D41" s="4">
        <v>204382</v>
      </c>
      <c r="E41" s="4" t="str">
        <f t="shared" si="102"/>
        <v>204382</v>
      </c>
      <c r="F41" s="4">
        <v>204382</v>
      </c>
      <c r="G41" s="4" t="s">
        <v>84</v>
      </c>
      <c r="H41" s="5">
        <v>4902505670213</v>
      </c>
      <c r="I41" s="5">
        <v>1</v>
      </c>
      <c r="J41" s="5">
        <v>1</v>
      </c>
      <c r="K41" s="4">
        <v>330</v>
      </c>
      <c r="L41" s="4">
        <v>298</v>
      </c>
      <c r="M41" s="4">
        <v>176</v>
      </c>
      <c r="N41" s="6">
        <f t="shared" si="103"/>
        <v>0.40939597315436238</v>
      </c>
      <c r="O41" s="4" t="s">
        <v>63</v>
      </c>
      <c r="P41" s="4"/>
      <c r="Q41" s="4"/>
      <c r="R41" s="4"/>
      <c r="S41" s="4"/>
      <c r="T41" s="4"/>
      <c r="U41" s="4"/>
      <c r="V41" s="4"/>
      <c r="W41" s="4"/>
      <c r="X41" s="4">
        <v>360</v>
      </c>
      <c r="Y41" s="4">
        <f t="shared" si="104"/>
        <v>360</v>
      </c>
      <c r="Z41" s="4">
        <v>193</v>
      </c>
      <c r="AA41" s="4">
        <f t="shared" si="105"/>
        <v>193</v>
      </c>
      <c r="AB41" s="4"/>
      <c r="AC41" s="20">
        <f t="shared" si="106"/>
        <v>327</v>
      </c>
      <c r="AD41" s="6">
        <f t="shared" si="107"/>
        <v>0.40978593272171249</v>
      </c>
      <c r="AE41" s="4">
        <v>3.25</v>
      </c>
      <c r="AF41" s="4">
        <f t="shared" si="108"/>
        <v>298</v>
      </c>
      <c r="AG41" s="4">
        <f t="shared" si="109"/>
        <v>326.78409090909093</v>
      </c>
      <c r="AH41" s="6">
        <f t="shared" si="110"/>
        <v>0.40939597315436249</v>
      </c>
      <c r="AI41" s="7">
        <v>325</v>
      </c>
      <c r="AJ41" s="6">
        <f t="shared" si="111"/>
        <v>0.4061538461538462</v>
      </c>
      <c r="AK41" s="4">
        <f t="shared" si="112"/>
        <v>132</v>
      </c>
      <c r="AL41" s="27"/>
      <c r="AM41" s="6"/>
      <c r="AN41" s="6"/>
      <c r="AO41" s="6">
        <f t="shared" si="113"/>
        <v>1.0909090909090908</v>
      </c>
      <c r="AP41" s="6">
        <f t="shared" si="114"/>
        <v>1.0906040268456376</v>
      </c>
      <c r="AQ41" s="6">
        <f t="shared" si="115"/>
        <v>1.0965909090909092</v>
      </c>
      <c r="AR41" s="4"/>
      <c r="AS41" s="4"/>
      <c r="AT41" s="4"/>
      <c r="AU41" s="4"/>
      <c r="AV41" s="4"/>
      <c r="AW41" s="4"/>
      <c r="AX41" s="4"/>
      <c r="AY41" s="4"/>
      <c r="AZ41" s="4"/>
      <c r="BA41" s="4">
        <v>0</v>
      </c>
      <c r="BB41" s="4" t="s">
        <v>85</v>
      </c>
      <c r="BC41" s="4"/>
      <c r="BD41" s="4"/>
      <c r="BE41" s="4" t="s">
        <v>82</v>
      </c>
      <c r="BF41" s="4">
        <v>298</v>
      </c>
      <c r="BG41" s="4">
        <v>298</v>
      </c>
      <c r="BH41" s="4">
        <f t="shared" si="116"/>
        <v>298</v>
      </c>
      <c r="BI41" s="18">
        <v>4</v>
      </c>
      <c r="BJ41" s="18">
        <v>1</v>
      </c>
      <c r="BK41" s="16">
        <v>5</v>
      </c>
      <c r="BL41" s="31">
        <v>46204</v>
      </c>
      <c r="BM41" s="31">
        <v>46478</v>
      </c>
      <c r="BN41">
        <v>298</v>
      </c>
      <c r="BO41">
        <v>298</v>
      </c>
      <c r="BP41">
        <f t="shared" si="117"/>
        <v>326.78409090909093</v>
      </c>
      <c r="BQ41">
        <v>299</v>
      </c>
      <c r="BR41">
        <v>299</v>
      </c>
      <c r="BS41">
        <f t="shared" si="118"/>
        <v>327.88068181818187</v>
      </c>
      <c r="BT41" s="4" t="s">
        <v>86</v>
      </c>
      <c r="BV41" t="s">
        <v>278</v>
      </c>
    </row>
    <row r="42" spans="1:74" x14ac:dyDescent="0.4">
      <c r="A42">
        <v>76</v>
      </c>
      <c r="B42" s="3">
        <v>6</v>
      </c>
      <c r="C42" s="3">
        <v>6</v>
      </c>
      <c r="D42" s="4">
        <v>204384</v>
      </c>
      <c r="E42" s="4" t="str">
        <f t="shared" si="102"/>
        <v>204384</v>
      </c>
      <c r="F42" s="4">
        <v>204384</v>
      </c>
      <c r="G42" s="4" t="s">
        <v>87</v>
      </c>
      <c r="H42" s="5">
        <v>4902505670220</v>
      </c>
      <c r="I42" s="5">
        <v>1</v>
      </c>
      <c r="J42" s="5">
        <v>1</v>
      </c>
      <c r="K42" s="4">
        <v>330</v>
      </c>
      <c r="L42" s="4">
        <v>298</v>
      </c>
      <c r="M42" s="4">
        <v>176</v>
      </c>
      <c r="N42" s="6">
        <f t="shared" si="103"/>
        <v>0.40939597315436238</v>
      </c>
      <c r="O42" s="4" t="s">
        <v>63</v>
      </c>
      <c r="P42" s="4"/>
      <c r="Q42" s="4"/>
      <c r="R42" s="4"/>
      <c r="S42" s="4"/>
      <c r="T42" s="4"/>
      <c r="U42" s="4"/>
      <c r="V42" s="4"/>
      <c r="W42" s="4"/>
      <c r="X42" s="4">
        <v>360</v>
      </c>
      <c r="Y42" s="4">
        <f t="shared" si="104"/>
        <v>360</v>
      </c>
      <c r="Z42" s="4">
        <v>193</v>
      </c>
      <c r="AA42" s="4">
        <f t="shared" si="105"/>
        <v>193</v>
      </c>
      <c r="AB42" s="4"/>
      <c r="AC42" s="20">
        <f t="shared" si="106"/>
        <v>327</v>
      </c>
      <c r="AD42" s="6">
        <f t="shared" si="107"/>
        <v>0.40978593272171249</v>
      </c>
      <c r="AE42" s="4">
        <v>2.5</v>
      </c>
      <c r="AF42" s="4">
        <f t="shared" si="108"/>
        <v>298</v>
      </c>
      <c r="AG42" s="4">
        <f t="shared" si="109"/>
        <v>326.78409090909093</v>
      </c>
      <c r="AH42" s="6">
        <f t="shared" si="110"/>
        <v>0.40939597315436249</v>
      </c>
      <c r="AI42" s="7">
        <v>325</v>
      </c>
      <c r="AJ42" s="6">
        <f t="shared" si="111"/>
        <v>0.4061538461538462</v>
      </c>
      <c r="AK42" s="4">
        <f t="shared" si="112"/>
        <v>132</v>
      </c>
      <c r="AL42" s="27"/>
      <c r="AM42" s="6"/>
      <c r="AN42" s="6"/>
      <c r="AO42" s="6">
        <f t="shared" si="113"/>
        <v>1.0909090909090908</v>
      </c>
      <c r="AP42" s="6">
        <f t="shared" si="114"/>
        <v>1.0906040268456376</v>
      </c>
      <c r="AQ42" s="6">
        <f t="shared" si="115"/>
        <v>1.0965909090909092</v>
      </c>
      <c r="AR42" s="4"/>
      <c r="AS42" s="4"/>
      <c r="AT42" s="4"/>
      <c r="AU42" s="4"/>
      <c r="AV42" s="4"/>
      <c r="AW42" s="4"/>
      <c r="AX42" s="4"/>
      <c r="AY42" s="4"/>
      <c r="AZ42" s="4"/>
      <c r="BA42" s="4">
        <v>0</v>
      </c>
      <c r="BB42" s="4" t="s">
        <v>88</v>
      </c>
      <c r="BC42" s="4"/>
      <c r="BD42" s="4"/>
      <c r="BE42" s="4" t="s">
        <v>82</v>
      </c>
      <c r="BF42" s="4">
        <v>298</v>
      </c>
      <c r="BG42" s="4">
        <v>298</v>
      </c>
      <c r="BH42" s="4">
        <f t="shared" si="116"/>
        <v>298</v>
      </c>
      <c r="BI42" s="18">
        <v>4</v>
      </c>
      <c r="BJ42" s="18">
        <v>1</v>
      </c>
      <c r="BK42" s="16">
        <v>5</v>
      </c>
      <c r="BL42" s="31">
        <v>46204</v>
      </c>
      <c r="BM42" s="31">
        <v>46478</v>
      </c>
      <c r="BN42">
        <v>298</v>
      </c>
      <c r="BO42">
        <v>298</v>
      </c>
      <c r="BP42">
        <f t="shared" si="117"/>
        <v>326.78409090909093</v>
      </c>
      <c r="BQ42">
        <v>299</v>
      </c>
      <c r="BR42">
        <v>299</v>
      </c>
      <c r="BS42">
        <f t="shared" si="118"/>
        <v>327.88068181818187</v>
      </c>
      <c r="BT42" s="4" t="s">
        <v>89</v>
      </c>
      <c r="BV42" t="s">
        <v>278</v>
      </c>
    </row>
    <row r="43" spans="1:74" x14ac:dyDescent="0.4">
      <c r="A43">
        <v>82</v>
      </c>
      <c r="B43" s="3">
        <v>7</v>
      </c>
      <c r="C43" s="3">
        <v>7</v>
      </c>
      <c r="D43" s="4">
        <v>204419</v>
      </c>
      <c r="E43" s="4" t="str">
        <f t="shared" si="102"/>
        <v>204419</v>
      </c>
      <c r="F43" s="4">
        <v>204419</v>
      </c>
      <c r="G43" s="4" t="s">
        <v>90</v>
      </c>
      <c r="H43" s="5">
        <v>4902505670282</v>
      </c>
      <c r="I43" s="5">
        <v>1</v>
      </c>
      <c r="J43" s="5">
        <v>1</v>
      </c>
      <c r="K43" s="4">
        <v>330</v>
      </c>
      <c r="L43" s="4">
        <v>298</v>
      </c>
      <c r="M43" s="4">
        <v>176</v>
      </c>
      <c r="N43" s="6">
        <f t="shared" si="103"/>
        <v>0.40939597315436238</v>
      </c>
      <c r="O43" s="4" t="s">
        <v>63</v>
      </c>
      <c r="P43" s="4"/>
      <c r="Q43" s="4"/>
      <c r="R43" s="4"/>
      <c r="S43" s="4"/>
      <c r="T43" s="4"/>
      <c r="U43" s="4"/>
      <c r="V43" s="4"/>
      <c r="W43" s="4"/>
      <c r="X43" s="4">
        <v>360</v>
      </c>
      <c r="Y43" s="4">
        <f t="shared" si="104"/>
        <v>360</v>
      </c>
      <c r="Z43" s="4">
        <v>193</v>
      </c>
      <c r="AA43" s="4">
        <f t="shared" si="105"/>
        <v>193</v>
      </c>
      <c r="AB43" s="4"/>
      <c r="AC43" s="20">
        <f t="shared" si="106"/>
        <v>327</v>
      </c>
      <c r="AD43" s="6">
        <f t="shared" si="107"/>
        <v>0.40978593272171249</v>
      </c>
      <c r="AE43" s="4">
        <v>150.75</v>
      </c>
      <c r="AF43" s="4">
        <f t="shared" si="108"/>
        <v>298</v>
      </c>
      <c r="AG43" s="4">
        <f t="shared" si="109"/>
        <v>326.78409090909093</v>
      </c>
      <c r="AH43" s="6">
        <f t="shared" si="110"/>
        <v>0.40939597315436249</v>
      </c>
      <c r="AI43" s="7">
        <v>325</v>
      </c>
      <c r="AJ43" s="6">
        <f t="shared" si="111"/>
        <v>0.4061538461538462</v>
      </c>
      <c r="AK43" s="4">
        <f t="shared" si="112"/>
        <v>132</v>
      </c>
      <c r="AL43" s="27"/>
      <c r="AM43" s="6"/>
      <c r="AN43" s="6"/>
      <c r="AO43" s="6">
        <f t="shared" si="113"/>
        <v>1.0909090909090908</v>
      </c>
      <c r="AP43" s="6">
        <f t="shared" si="114"/>
        <v>1.0906040268456376</v>
      </c>
      <c r="AQ43" s="6">
        <f t="shared" si="115"/>
        <v>1.0965909090909092</v>
      </c>
      <c r="AR43" s="4"/>
      <c r="AS43" s="4"/>
      <c r="AT43" s="4"/>
      <c r="AU43" s="4"/>
      <c r="AV43" s="4"/>
      <c r="AW43" s="4"/>
      <c r="AX43" s="4"/>
      <c r="AY43" s="4"/>
      <c r="AZ43" s="4"/>
      <c r="BA43" s="4">
        <v>0</v>
      </c>
      <c r="BB43" s="4" t="s">
        <v>91</v>
      </c>
      <c r="BC43" s="4"/>
      <c r="BD43" s="4"/>
      <c r="BE43" s="4" t="s">
        <v>82</v>
      </c>
      <c r="BF43" s="4">
        <v>298</v>
      </c>
      <c r="BG43" s="4">
        <v>298</v>
      </c>
      <c r="BH43" s="4">
        <f t="shared" si="116"/>
        <v>298</v>
      </c>
      <c r="BI43" s="18">
        <v>4</v>
      </c>
      <c r="BJ43" s="18">
        <v>1</v>
      </c>
      <c r="BK43" s="16">
        <v>5</v>
      </c>
      <c r="BL43" s="31">
        <v>46204</v>
      </c>
      <c r="BM43" s="31">
        <v>46478</v>
      </c>
      <c r="BN43">
        <v>298</v>
      </c>
      <c r="BO43">
        <v>298</v>
      </c>
      <c r="BP43">
        <f t="shared" si="117"/>
        <v>326.78409090909093</v>
      </c>
      <c r="BQ43">
        <v>299</v>
      </c>
      <c r="BR43">
        <v>299</v>
      </c>
      <c r="BS43">
        <f t="shared" si="118"/>
        <v>327.88068181818187</v>
      </c>
      <c r="BT43" s="4" t="s">
        <v>92</v>
      </c>
      <c r="BV43" t="s">
        <v>278</v>
      </c>
    </row>
    <row r="44" spans="1:74" x14ac:dyDescent="0.4">
      <c r="A44">
        <v>83</v>
      </c>
      <c r="B44" s="3">
        <v>8</v>
      </c>
      <c r="C44" s="3">
        <v>8</v>
      </c>
      <c r="D44" s="4">
        <v>204428</v>
      </c>
      <c r="E44" s="4" t="str">
        <f t="shared" si="102"/>
        <v>204428</v>
      </c>
      <c r="F44" s="4">
        <v>204428</v>
      </c>
      <c r="G44" s="4" t="s">
        <v>93</v>
      </c>
      <c r="H44" s="5">
        <v>4902505670299</v>
      </c>
      <c r="I44" s="5">
        <v>1</v>
      </c>
      <c r="J44" s="5">
        <v>1</v>
      </c>
      <c r="K44" s="4">
        <v>330</v>
      </c>
      <c r="L44" s="4">
        <v>298</v>
      </c>
      <c r="M44" s="4">
        <v>176</v>
      </c>
      <c r="N44" s="6">
        <f t="shared" si="103"/>
        <v>0.40939597315436238</v>
      </c>
      <c r="O44" s="4" t="s">
        <v>63</v>
      </c>
      <c r="P44" s="4"/>
      <c r="Q44" s="4"/>
      <c r="R44" s="4"/>
      <c r="S44" s="4"/>
      <c r="T44" s="4"/>
      <c r="U44" s="4"/>
      <c r="V44" s="4"/>
      <c r="W44" s="4"/>
      <c r="X44" s="4">
        <v>360</v>
      </c>
      <c r="Y44" s="4">
        <f t="shared" si="104"/>
        <v>360</v>
      </c>
      <c r="Z44" s="4">
        <v>193</v>
      </c>
      <c r="AA44" s="4">
        <f t="shared" si="105"/>
        <v>193</v>
      </c>
      <c r="AB44" s="4"/>
      <c r="AC44" s="20">
        <f t="shared" si="106"/>
        <v>327</v>
      </c>
      <c r="AD44" s="6">
        <f t="shared" si="107"/>
        <v>0.40978593272171249</v>
      </c>
      <c r="AE44" s="4">
        <v>89</v>
      </c>
      <c r="AF44" s="4">
        <f t="shared" si="108"/>
        <v>298</v>
      </c>
      <c r="AG44" s="4">
        <f t="shared" si="109"/>
        <v>326.78409090909093</v>
      </c>
      <c r="AH44" s="6">
        <f t="shared" si="110"/>
        <v>0.40939597315436249</v>
      </c>
      <c r="AI44" s="7">
        <v>325</v>
      </c>
      <c r="AJ44" s="6">
        <f t="shared" si="111"/>
        <v>0.4061538461538462</v>
      </c>
      <c r="AK44" s="4">
        <f t="shared" si="112"/>
        <v>132</v>
      </c>
      <c r="AL44" s="27"/>
      <c r="AM44" s="6"/>
      <c r="AN44" s="6"/>
      <c r="AO44" s="6">
        <f t="shared" si="113"/>
        <v>1.0909090909090908</v>
      </c>
      <c r="AP44" s="6">
        <f t="shared" si="114"/>
        <v>1.0906040268456376</v>
      </c>
      <c r="AQ44" s="6">
        <f t="shared" si="115"/>
        <v>1.0965909090909092</v>
      </c>
      <c r="AR44" s="4"/>
      <c r="AS44" s="4"/>
      <c r="AT44" s="4"/>
      <c r="AU44" s="4"/>
      <c r="AV44" s="4"/>
      <c r="AW44" s="4"/>
      <c r="AX44" s="4"/>
      <c r="AY44" s="4"/>
      <c r="AZ44" s="4"/>
      <c r="BA44" s="4">
        <v>0</v>
      </c>
      <c r="BB44" s="4" t="s">
        <v>94</v>
      </c>
      <c r="BC44" s="4"/>
      <c r="BD44" s="4"/>
      <c r="BE44" s="4" t="s">
        <v>82</v>
      </c>
      <c r="BF44" s="4">
        <v>298</v>
      </c>
      <c r="BG44" s="4">
        <v>298</v>
      </c>
      <c r="BH44" s="4">
        <f t="shared" si="116"/>
        <v>298</v>
      </c>
      <c r="BI44" s="18">
        <v>4</v>
      </c>
      <c r="BJ44" s="18">
        <v>1</v>
      </c>
      <c r="BK44" s="16">
        <v>5</v>
      </c>
      <c r="BL44" s="31">
        <v>46204</v>
      </c>
      <c r="BM44" s="31">
        <v>46478</v>
      </c>
      <c r="BN44">
        <v>298</v>
      </c>
      <c r="BO44">
        <v>298</v>
      </c>
      <c r="BP44">
        <f t="shared" si="117"/>
        <v>326.78409090909093</v>
      </c>
      <c r="BQ44">
        <v>299</v>
      </c>
      <c r="BR44">
        <v>299</v>
      </c>
      <c r="BS44">
        <f t="shared" si="118"/>
        <v>327.88068181818187</v>
      </c>
      <c r="BT44" s="4" t="s">
        <v>95</v>
      </c>
      <c r="BV44" t="s">
        <v>278</v>
      </c>
    </row>
    <row r="45" spans="1:74" x14ac:dyDescent="0.4">
      <c r="A45">
        <v>84</v>
      </c>
      <c r="B45" s="3">
        <v>9</v>
      </c>
      <c r="C45" s="3">
        <v>9</v>
      </c>
      <c r="D45" s="4">
        <v>204454</v>
      </c>
      <c r="E45" s="4" t="str">
        <f t="shared" si="102"/>
        <v>204454</v>
      </c>
      <c r="F45" s="4">
        <v>204454</v>
      </c>
      <c r="G45" s="4" t="s">
        <v>96</v>
      </c>
      <c r="H45" s="5">
        <v>4902505670305</v>
      </c>
      <c r="I45" s="5">
        <v>1</v>
      </c>
      <c r="J45" s="5">
        <v>1</v>
      </c>
      <c r="K45" s="4">
        <v>330</v>
      </c>
      <c r="L45" s="4">
        <v>298</v>
      </c>
      <c r="M45" s="4">
        <v>176</v>
      </c>
      <c r="N45" s="6">
        <f t="shared" si="103"/>
        <v>0.40939597315436238</v>
      </c>
      <c r="O45" s="4" t="s">
        <v>63</v>
      </c>
      <c r="P45" s="4"/>
      <c r="Q45" s="4"/>
      <c r="R45" s="4"/>
      <c r="S45" s="4"/>
      <c r="T45" s="4"/>
      <c r="U45" s="4"/>
      <c r="V45" s="4"/>
      <c r="W45" s="4"/>
      <c r="X45" s="4">
        <v>360</v>
      </c>
      <c r="Y45" s="4">
        <f t="shared" si="104"/>
        <v>360</v>
      </c>
      <c r="Z45" s="4">
        <v>193</v>
      </c>
      <c r="AA45" s="4">
        <f t="shared" si="105"/>
        <v>193</v>
      </c>
      <c r="AB45" s="4"/>
      <c r="AC45" s="20">
        <f t="shared" si="106"/>
        <v>327</v>
      </c>
      <c r="AD45" s="6">
        <f t="shared" si="107"/>
        <v>0.40978593272171249</v>
      </c>
      <c r="AE45" s="4">
        <v>65</v>
      </c>
      <c r="AF45" s="4">
        <f t="shared" si="108"/>
        <v>298</v>
      </c>
      <c r="AG45" s="4">
        <f t="shared" si="109"/>
        <v>326.78409090909093</v>
      </c>
      <c r="AH45" s="6">
        <f t="shared" si="110"/>
        <v>0.40939597315436249</v>
      </c>
      <c r="AI45" s="7">
        <v>325</v>
      </c>
      <c r="AJ45" s="6">
        <f t="shared" si="111"/>
        <v>0.4061538461538462</v>
      </c>
      <c r="AK45" s="4">
        <f t="shared" si="112"/>
        <v>132</v>
      </c>
      <c r="AL45" s="27"/>
      <c r="AM45" s="6"/>
      <c r="AN45" s="6"/>
      <c r="AO45" s="6">
        <f t="shared" si="113"/>
        <v>1.0909090909090908</v>
      </c>
      <c r="AP45" s="6">
        <f t="shared" si="114"/>
        <v>1.0906040268456376</v>
      </c>
      <c r="AQ45" s="6">
        <f t="shared" si="115"/>
        <v>1.0965909090909092</v>
      </c>
      <c r="AR45" s="4"/>
      <c r="AS45" s="4"/>
      <c r="AT45" s="4"/>
      <c r="AU45" s="4"/>
      <c r="AV45" s="4"/>
      <c r="AW45" s="4"/>
      <c r="AX45" s="4"/>
      <c r="AY45" s="4"/>
      <c r="AZ45" s="4"/>
      <c r="BA45" s="4">
        <v>0</v>
      </c>
      <c r="BB45" s="4" t="s">
        <v>97</v>
      </c>
      <c r="BC45" s="4"/>
      <c r="BD45" s="4"/>
      <c r="BE45" s="4" t="s">
        <v>82</v>
      </c>
      <c r="BF45" s="4">
        <v>298</v>
      </c>
      <c r="BG45" s="4">
        <v>298</v>
      </c>
      <c r="BH45" s="4">
        <f t="shared" si="116"/>
        <v>298</v>
      </c>
      <c r="BI45" s="18">
        <v>4</v>
      </c>
      <c r="BJ45" s="18">
        <v>1</v>
      </c>
      <c r="BK45" s="16">
        <v>5</v>
      </c>
      <c r="BL45" s="31">
        <v>46204</v>
      </c>
      <c r="BM45" s="31">
        <v>46478</v>
      </c>
      <c r="BN45">
        <v>298</v>
      </c>
      <c r="BO45" t="s">
        <v>62</v>
      </c>
      <c r="BP45" t="str">
        <f t="shared" si="117"/>
        <v>-</v>
      </c>
      <c r="BQ45">
        <v>299</v>
      </c>
      <c r="BR45">
        <v>299</v>
      </c>
      <c r="BS45">
        <f t="shared" si="118"/>
        <v>327.88068181818187</v>
      </c>
      <c r="BT45" s="4" t="s">
        <v>98</v>
      </c>
      <c r="BV45" t="s">
        <v>278</v>
      </c>
    </row>
    <row r="46" spans="1:74" x14ac:dyDescent="0.4">
      <c r="A46">
        <v>90</v>
      </c>
      <c r="B46" s="3">
        <v>10</v>
      </c>
      <c r="C46" s="3">
        <v>10</v>
      </c>
      <c r="D46" s="4">
        <v>204554</v>
      </c>
      <c r="E46" s="4" t="str">
        <f t="shared" si="102"/>
        <v>204554</v>
      </c>
      <c r="F46" s="4">
        <v>204554</v>
      </c>
      <c r="G46" s="4" t="s">
        <v>99</v>
      </c>
      <c r="H46" s="5">
        <v>4902505670367</v>
      </c>
      <c r="I46" s="5">
        <v>1</v>
      </c>
      <c r="J46" s="5">
        <v>1</v>
      </c>
      <c r="K46" s="4">
        <v>330</v>
      </c>
      <c r="L46" s="4">
        <v>298</v>
      </c>
      <c r="M46" s="4">
        <v>176</v>
      </c>
      <c r="N46" s="6">
        <f t="shared" si="103"/>
        <v>0.40939597315436238</v>
      </c>
      <c r="O46" s="4" t="s">
        <v>63</v>
      </c>
      <c r="P46" s="4"/>
      <c r="Q46" s="4"/>
      <c r="R46" s="4"/>
      <c r="S46" s="4"/>
      <c r="T46" s="4"/>
      <c r="U46" s="4"/>
      <c r="V46" s="4"/>
      <c r="W46" s="4"/>
      <c r="X46" s="4">
        <v>360</v>
      </c>
      <c r="Y46" s="4">
        <f t="shared" si="104"/>
        <v>360</v>
      </c>
      <c r="Z46" s="4">
        <v>193</v>
      </c>
      <c r="AA46" s="4">
        <f t="shared" si="105"/>
        <v>193</v>
      </c>
      <c r="AB46" s="4"/>
      <c r="AC46" s="20">
        <f t="shared" si="106"/>
        <v>327</v>
      </c>
      <c r="AD46" s="6">
        <f t="shared" si="107"/>
        <v>0.40978593272171249</v>
      </c>
      <c r="AE46" s="4">
        <v>4.5</v>
      </c>
      <c r="AF46" s="4">
        <f t="shared" si="108"/>
        <v>298</v>
      </c>
      <c r="AG46" s="4">
        <f t="shared" si="109"/>
        <v>326.78409090909093</v>
      </c>
      <c r="AH46" s="6">
        <f t="shared" si="110"/>
        <v>0.40939597315436249</v>
      </c>
      <c r="AI46" s="7">
        <v>325</v>
      </c>
      <c r="AJ46" s="6">
        <f t="shared" si="111"/>
        <v>0.4061538461538462</v>
      </c>
      <c r="AK46" s="4">
        <f t="shared" si="112"/>
        <v>132</v>
      </c>
      <c r="AL46" s="27"/>
      <c r="AM46" s="6"/>
      <c r="AN46" s="6"/>
      <c r="AO46" s="6">
        <f t="shared" si="113"/>
        <v>1.0909090909090908</v>
      </c>
      <c r="AP46" s="6">
        <f t="shared" si="114"/>
        <v>1.0906040268456376</v>
      </c>
      <c r="AQ46" s="6">
        <f t="shared" si="115"/>
        <v>1.0965909090909092</v>
      </c>
      <c r="AR46" s="4"/>
      <c r="AS46" s="4"/>
      <c r="AT46" s="4"/>
      <c r="AU46" s="4"/>
      <c r="AV46" s="4"/>
      <c r="AW46" s="4"/>
      <c r="AX46" s="4"/>
      <c r="AY46" s="4"/>
      <c r="AZ46" s="4"/>
      <c r="BA46" s="4">
        <v>0</v>
      </c>
      <c r="BB46" s="4" t="s">
        <v>100</v>
      </c>
      <c r="BC46" s="4"/>
      <c r="BD46" s="4"/>
      <c r="BE46" s="4" t="s">
        <v>82</v>
      </c>
      <c r="BF46" s="4">
        <v>298</v>
      </c>
      <c r="BG46" s="4">
        <v>298</v>
      </c>
      <c r="BH46" s="4">
        <f t="shared" si="116"/>
        <v>298</v>
      </c>
      <c r="BI46" s="18">
        <v>4</v>
      </c>
      <c r="BJ46" s="18">
        <v>1</v>
      </c>
      <c r="BK46" s="16">
        <v>5</v>
      </c>
      <c r="BL46" s="31">
        <v>46204</v>
      </c>
      <c r="BM46" s="31">
        <v>46478</v>
      </c>
      <c r="BN46">
        <v>298</v>
      </c>
      <c r="BO46" t="s">
        <v>62</v>
      </c>
      <c r="BP46" t="str">
        <f t="shared" si="117"/>
        <v>-</v>
      </c>
      <c r="BQ46">
        <v>299</v>
      </c>
      <c r="BR46">
        <v>299</v>
      </c>
      <c r="BS46">
        <f t="shared" si="118"/>
        <v>327.88068181818187</v>
      </c>
      <c r="BT46" s="4" t="s">
        <v>101</v>
      </c>
      <c r="BV46" t="s">
        <v>278</v>
      </c>
    </row>
    <row r="47" spans="1:74" x14ac:dyDescent="0.4">
      <c r="A47">
        <v>91</v>
      </c>
      <c r="B47" s="3">
        <v>11</v>
      </c>
      <c r="C47" s="3">
        <v>11</v>
      </c>
      <c r="D47" s="4">
        <v>204562</v>
      </c>
      <c r="E47" s="4" t="str">
        <f t="shared" si="102"/>
        <v>204562</v>
      </c>
      <c r="F47" s="4">
        <v>204562</v>
      </c>
      <c r="G47" s="4" t="s">
        <v>102</v>
      </c>
      <c r="H47" s="5">
        <v>4902505670374</v>
      </c>
      <c r="I47" s="5">
        <v>1</v>
      </c>
      <c r="J47" s="5">
        <v>1</v>
      </c>
      <c r="K47" s="4">
        <v>330</v>
      </c>
      <c r="L47" s="4">
        <v>298</v>
      </c>
      <c r="M47" s="4">
        <v>176</v>
      </c>
      <c r="N47" s="6">
        <f t="shared" si="103"/>
        <v>0.40939597315436238</v>
      </c>
      <c r="O47" s="4" t="s">
        <v>63</v>
      </c>
      <c r="P47" s="4"/>
      <c r="Q47" s="4"/>
      <c r="R47" s="4"/>
      <c r="S47" s="4"/>
      <c r="T47" s="4"/>
      <c r="U47" s="4"/>
      <c r="V47" s="4"/>
      <c r="W47" s="4"/>
      <c r="X47" s="4">
        <v>360</v>
      </c>
      <c r="Y47" s="4">
        <f t="shared" si="104"/>
        <v>360</v>
      </c>
      <c r="Z47" s="4">
        <v>193</v>
      </c>
      <c r="AA47" s="4">
        <f t="shared" si="105"/>
        <v>193</v>
      </c>
      <c r="AB47" s="4"/>
      <c r="AC47" s="20">
        <f t="shared" si="106"/>
        <v>327</v>
      </c>
      <c r="AD47" s="6">
        <f t="shared" si="107"/>
        <v>0.40978593272171249</v>
      </c>
      <c r="AE47" s="4">
        <v>3.25</v>
      </c>
      <c r="AF47" s="4">
        <f t="shared" si="108"/>
        <v>298</v>
      </c>
      <c r="AG47" s="4">
        <f t="shared" si="109"/>
        <v>326.78409090909093</v>
      </c>
      <c r="AH47" s="6">
        <f t="shared" si="110"/>
        <v>0.40939597315436249</v>
      </c>
      <c r="AI47" s="7">
        <v>325</v>
      </c>
      <c r="AJ47" s="6">
        <f t="shared" si="111"/>
        <v>0.4061538461538462</v>
      </c>
      <c r="AK47" s="4">
        <f t="shared" si="112"/>
        <v>132</v>
      </c>
      <c r="AL47" s="27"/>
      <c r="AM47" s="6"/>
      <c r="AN47" s="6"/>
      <c r="AO47" s="6">
        <f t="shared" si="113"/>
        <v>1.0909090909090908</v>
      </c>
      <c r="AP47" s="6">
        <f t="shared" si="114"/>
        <v>1.0906040268456376</v>
      </c>
      <c r="AQ47" s="6">
        <f t="shared" si="115"/>
        <v>1.0965909090909092</v>
      </c>
      <c r="AR47" s="4"/>
      <c r="AS47" s="4"/>
      <c r="AT47" s="4"/>
      <c r="AU47" s="4"/>
      <c r="AV47" s="4"/>
      <c r="AW47" s="4"/>
      <c r="AX47" s="4"/>
      <c r="AY47" s="4"/>
      <c r="AZ47" s="4"/>
      <c r="BA47" s="4">
        <v>0</v>
      </c>
      <c r="BB47" s="4" t="s">
        <v>103</v>
      </c>
      <c r="BC47" s="4"/>
      <c r="BD47" s="4"/>
      <c r="BE47" s="4" t="s">
        <v>82</v>
      </c>
      <c r="BF47" s="4">
        <v>298</v>
      </c>
      <c r="BG47" s="4">
        <v>298</v>
      </c>
      <c r="BH47" s="4">
        <f t="shared" si="116"/>
        <v>298</v>
      </c>
      <c r="BI47" s="18">
        <v>4</v>
      </c>
      <c r="BJ47" s="18">
        <v>1</v>
      </c>
      <c r="BK47" s="16">
        <v>5</v>
      </c>
      <c r="BL47" s="31">
        <v>46204</v>
      </c>
      <c r="BM47" s="31">
        <v>46478</v>
      </c>
      <c r="BN47">
        <v>298</v>
      </c>
      <c r="BO47">
        <v>298</v>
      </c>
      <c r="BP47">
        <f t="shared" si="117"/>
        <v>326.78409090909093</v>
      </c>
      <c r="BQ47">
        <v>299</v>
      </c>
      <c r="BR47">
        <v>299</v>
      </c>
      <c r="BS47">
        <f t="shared" si="118"/>
        <v>327.88068181818187</v>
      </c>
      <c r="BT47" s="4" t="s">
        <v>104</v>
      </c>
      <c r="BV47" t="s">
        <v>278</v>
      </c>
    </row>
    <row r="48" spans="1:74" x14ac:dyDescent="0.4">
      <c r="A48">
        <v>92</v>
      </c>
      <c r="B48" s="3">
        <v>12</v>
      </c>
      <c r="C48" s="3">
        <v>12</v>
      </c>
      <c r="D48" s="4">
        <v>204563</v>
      </c>
      <c r="E48" s="4" t="str">
        <f t="shared" si="102"/>
        <v>204563</v>
      </c>
      <c r="F48" s="4">
        <v>204563</v>
      </c>
      <c r="G48" s="4" t="s">
        <v>105</v>
      </c>
      <c r="H48" s="5">
        <v>4902505670381</v>
      </c>
      <c r="I48" s="5">
        <v>1</v>
      </c>
      <c r="J48" s="5">
        <v>1</v>
      </c>
      <c r="K48" s="4">
        <v>330</v>
      </c>
      <c r="L48" s="4">
        <v>298</v>
      </c>
      <c r="M48" s="4">
        <v>176</v>
      </c>
      <c r="N48" s="6">
        <f t="shared" si="103"/>
        <v>0.40939597315436238</v>
      </c>
      <c r="O48" s="4" t="s">
        <v>63</v>
      </c>
      <c r="P48" s="4"/>
      <c r="Q48" s="4"/>
      <c r="R48" s="4"/>
      <c r="S48" s="4"/>
      <c r="T48" s="4"/>
      <c r="U48" s="4"/>
      <c r="V48" s="4"/>
      <c r="W48" s="4"/>
      <c r="X48" s="4">
        <v>360</v>
      </c>
      <c r="Y48" s="4">
        <f t="shared" si="104"/>
        <v>360</v>
      </c>
      <c r="Z48" s="4">
        <v>193</v>
      </c>
      <c r="AA48" s="4">
        <f t="shared" si="105"/>
        <v>193</v>
      </c>
      <c r="AB48" s="4"/>
      <c r="AC48" s="20">
        <f t="shared" si="106"/>
        <v>327</v>
      </c>
      <c r="AD48" s="6">
        <f t="shared" si="107"/>
        <v>0.40978593272171249</v>
      </c>
      <c r="AE48" s="4">
        <v>2.25</v>
      </c>
      <c r="AF48" s="4">
        <f t="shared" si="108"/>
        <v>298</v>
      </c>
      <c r="AG48" s="4">
        <f t="shared" si="109"/>
        <v>326.78409090909093</v>
      </c>
      <c r="AH48" s="6">
        <f t="shared" si="110"/>
        <v>0.40939597315436249</v>
      </c>
      <c r="AI48" s="7">
        <v>325</v>
      </c>
      <c r="AJ48" s="6">
        <f t="shared" si="111"/>
        <v>0.4061538461538462</v>
      </c>
      <c r="AK48" s="4">
        <f t="shared" si="112"/>
        <v>132</v>
      </c>
      <c r="AL48" s="27"/>
      <c r="AM48" s="6"/>
      <c r="AN48" s="6"/>
      <c r="AO48" s="6">
        <f t="shared" si="113"/>
        <v>1.0909090909090908</v>
      </c>
      <c r="AP48" s="6">
        <f t="shared" si="114"/>
        <v>1.0906040268456376</v>
      </c>
      <c r="AQ48" s="6">
        <f t="shared" si="115"/>
        <v>1.0965909090909092</v>
      </c>
      <c r="AR48" s="4"/>
      <c r="AS48" s="4"/>
      <c r="AT48" s="4"/>
      <c r="AU48" s="4"/>
      <c r="AV48" s="4"/>
      <c r="AW48" s="4"/>
      <c r="AX48" s="4"/>
      <c r="AY48" s="4"/>
      <c r="AZ48" s="4"/>
      <c r="BA48" s="4">
        <v>0</v>
      </c>
      <c r="BB48" s="4" t="s">
        <v>106</v>
      </c>
      <c r="BC48" s="4"/>
      <c r="BD48" s="4"/>
      <c r="BE48" s="4" t="s">
        <v>82</v>
      </c>
      <c r="BF48" s="4">
        <v>298</v>
      </c>
      <c r="BG48" s="4">
        <v>298</v>
      </c>
      <c r="BH48" s="4">
        <f t="shared" si="116"/>
        <v>298</v>
      </c>
      <c r="BI48" s="18">
        <v>4</v>
      </c>
      <c r="BJ48" s="18">
        <v>1</v>
      </c>
      <c r="BK48" s="16">
        <v>5</v>
      </c>
      <c r="BL48" s="31">
        <v>46204</v>
      </c>
      <c r="BM48" s="31">
        <v>46478</v>
      </c>
      <c r="BN48">
        <v>298</v>
      </c>
      <c r="BO48">
        <v>298</v>
      </c>
      <c r="BP48">
        <f t="shared" si="117"/>
        <v>326.78409090909093</v>
      </c>
      <c r="BQ48">
        <v>299</v>
      </c>
      <c r="BR48">
        <v>299</v>
      </c>
      <c r="BS48">
        <f t="shared" si="118"/>
        <v>327.88068181818187</v>
      </c>
      <c r="BT48" s="4" t="s">
        <v>107</v>
      </c>
      <c r="BV48" t="s">
        <v>278</v>
      </c>
    </row>
    <row r="49" spans="1:74" x14ac:dyDescent="0.4">
      <c r="A49">
        <v>163</v>
      </c>
      <c r="B49" s="3">
        <v>15</v>
      </c>
      <c r="C49" s="3">
        <v>15</v>
      </c>
      <c r="D49" s="4">
        <v>607603</v>
      </c>
      <c r="E49" s="4" t="str">
        <f t="shared" si="102"/>
        <v>607603</v>
      </c>
      <c r="F49" s="4">
        <v>607603</v>
      </c>
      <c r="G49" s="4" t="s">
        <v>113</v>
      </c>
      <c r="H49" s="5">
        <v>4902505447853</v>
      </c>
      <c r="I49" s="5">
        <v>1</v>
      </c>
      <c r="J49" s="5">
        <v>1</v>
      </c>
      <c r="K49" s="4">
        <v>330</v>
      </c>
      <c r="L49" s="4">
        <v>298</v>
      </c>
      <c r="M49" s="4">
        <v>176</v>
      </c>
      <c r="N49" s="6">
        <f t="shared" si="103"/>
        <v>0.40939597315436238</v>
      </c>
      <c r="O49" s="4" t="s">
        <v>63</v>
      </c>
      <c r="P49" s="4"/>
      <c r="Q49" s="4"/>
      <c r="R49" s="4"/>
      <c r="S49" s="4"/>
      <c r="T49" s="4"/>
      <c r="U49" s="4"/>
      <c r="V49" s="4"/>
      <c r="W49" s="4"/>
      <c r="X49" s="4">
        <v>360</v>
      </c>
      <c r="Y49" s="4">
        <f t="shared" si="104"/>
        <v>360</v>
      </c>
      <c r="Z49" s="4">
        <v>193</v>
      </c>
      <c r="AA49" s="4">
        <f t="shared" si="105"/>
        <v>193</v>
      </c>
      <c r="AB49" s="4"/>
      <c r="AC49" s="20">
        <f t="shared" si="106"/>
        <v>327</v>
      </c>
      <c r="AD49" s="6">
        <f t="shared" si="107"/>
        <v>0.40978593272171249</v>
      </c>
      <c r="AE49" s="4">
        <v>237.5</v>
      </c>
      <c r="AF49" s="4">
        <f t="shared" si="108"/>
        <v>289</v>
      </c>
      <c r="AG49" s="4">
        <f t="shared" si="109"/>
        <v>316.91477272727275</v>
      </c>
      <c r="AH49" s="6">
        <f t="shared" si="110"/>
        <v>0.39100346020761245</v>
      </c>
      <c r="AI49" s="7">
        <v>316</v>
      </c>
      <c r="AJ49" s="6">
        <f t="shared" si="111"/>
        <v>0.38924050632911389</v>
      </c>
      <c r="AK49" s="4">
        <f t="shared" si="112"/>
        <v>123</v>
      </c>
      <c r="AL49" s="27"/>
      <c r="AM49" s="6"/>
      <c r="AN49" s="6"/>
      <c r="AO49" s="6">
        <f t="shared" si="113"/>
        <v>1.0909090909090908</v>
      </c>
      <c r="AP49" s="6">
        <f t="shared" si="114"/>
        <v>1.0604026845637584</v>
      </c>
      <c r="AQ49" s="6">
        <f t="shared" si="115"/>
        <v>1.0965909090909092</v>
      </c>
      <c r="AR49" s="4"/>
      <c r="AS49" s="4"/>
      <c r="AT49" s="4"/>
      <c r="AU49" s="4"/>
      <c r="AV49" s="4"/>
      <c r="AW49" s="4"/>
      <c r="AX49" s="4"/>
      <c r="AY49" s="4"/>
      <c r="AZ49" s="4"/>
      <c r="BA49" s="4">
        <v>0</v>
      </c>
      <c r="BB49" s="4" t="s">
        <v>114</v>
      </c>
      <c r="BC49" s="4"/>
      <c r="BD49" s="4"/>
      <c r="BE49" s="4" t="s">
        <v>65</v>
      </c>
      <c r="BF49" s="4">
        <v>238</v>
      </c>
      <c r="BG49" s="4">
        <v>289</v>
      </c>
      <c r="BH49" s="4">
        <f t="shared" si="116"/>
        <v>289</v>
      </c>
      <c r="BI49" s="18">
        <v>4</v>
      </c>
      <c r="BJ49" s="18">
        <v>1</v>
      </c>
      <c r="BK49" s="16">
        <v>5</v>
      </c>
      <c r="BL49" s="31">
        <v>46204</v>
      </c>
      <c r="BM49" s="31">
        <v>46478</v>
      </c>
      <c r="BN49">
        <v>298</v>
      </c>
      <c r="BO49">
        <v>298</v>
      </c>
      <c r="BP49">
        <f t="shared" si="117"/>
        <v>326.78409090909093</v>
      </c>
      <c r="BQ49">
        <v>317</v>
      </c>
      <c r="BR49">
        <v>317</v>
      </c>
      <c r="BS49">
        <f t="shared" si="118"/>
        <v>347.61931818181819</v>
      </c>
      <c r="BT49" s="4" t="s">
        <v>260</v>
      </c>
      <c r="BV49" t="s">
        <v>278</v>
      </c>
    </row>
    <row r="50" spans="1:74" x14ac:dyDescent="0.4">
      <c r="A50">
        <v>164</v>
      </c>
      <c r="B50" s="3">
        <v>16</v>
      </c>
      <c r="C50" s="3">
        <v>16</v>
      </c>
      <c r="D50" s="4">
        <v>607604</v>
      </c>
      <c r="E50" s="4" t="str">
        <f t="shared" si="102"/>
        <v>607604</v>
      </c>
      <c r="F50" s="4">
        <v>607604</v>
      </c>
      <c r="G50" s="4" t="s">
        <v>115</v>
      </c>
      <c r="H50" s="5">
        <v>4902505447860</v>
      </c>
      <c r="I50" s="5">
        <v>1</v>
      </c>
      <c r="J50" s="5">
        <v>1</v>
      </c>
      <c r="K50" s="4">
        <v>330</v>
      </c>
      <c r="L50" s="4">
        <v>298</v>
      </c>
      <c r="M50" s="4">
        <v>176</v>
      </c>
      <c r="N50" s="6">
        <f t="shared" si="103"/>
        <v>0.40939597315436238</v>
      </c>
      <c r="O50" s="4" t="s">
        <v>63</v>
      </c>
      <c r="P50" s="4"/>
      <c r="Q50" s="4"/>
      <c r="R50" s="4"/>
      <c r="S50" s="4"/>
      <c r="T50" s="4"/>
      <c r="U50" s="4"/>
      <c r="V50" s="4"/>
      <c r="W50" s="4"/>
      <c r="X50" s="4">
        <v>360</v>
      </c>
      <c r="Y50" s="4">
        <f t="shared" si="104"/>
        <v>360</v>
      </c>
      <c r="Z50" s="4">
        <v>193</v>
      </c>
      <c r="AA50" s="4">
        <f t="shared" si="105"/>
        <v>193</v>
      </c>
      <c r="AB50" s="4"/>
      <c r="AC50" s="20">
        <f t="shared" si="106"/>
        <v>327</v>
      </c>
      <c r="AD50" s="6">
        <f t="shared" si="107"/>
        <v>0.40978593272171249</v>
      </c>
      <c r="AE50" s="4">
        <v>155.75</v>
      </c>
      <c r="AF50" s="4">
        <f t="shared" si="108"/>
        <v>289</v>
      </c>
      <c r="AG50" s="4">
        <f t="shared" si="109"/>
        <v>316.91477272727275</v>
      </c>
      <c r="AH50" s="6">
        <f t="shared" si="110"/>
        <v>0.39100346020761245</v>
      </c>
      <c r="AI50" s="7">
        <v>316</v>
      </c>
      <c r="AJ50" s="6">
        <f t="shared" si="111"/>
        <v>0.38924050632911389</v>
      </c>
      <c r="AK50" s="4">
        <f t="shared" si="112"/>
        <v>123</v>
      </c>
      <c r="AL50" s="27"/>
      <c r="AM50" s="6"/>
      <c r="AN50" s="6"/>
      <c r="AO50" s="6">
        <f t="shared" si="113"/>
        <v>1.0909090909090908</v>
      </c>
      <c r="AP50" s="6">
        <f t="shared" si="114"/>
        <v>1.0604026845637584</v>
      </c>
      <c r="AQ50" s="6">
        <f t="shared" si="115"/>
        <v>1.0965909090909092</v>
      </c>
      <c r="AR50" s="4"/>
      <c r="AS50" s="4"/>
      <c r="AT50" s="4"/>
      <c r="AU50" s="4"/>
      <c r="AV50" s="4"/>
      <c r="AW50" s="4"/>
      <c r="AX50" s="4"/>
      <c r="AY50" s="4"/>
      <c r="AZ50" s="4"/>
      <c r="BA50" s="4">
        <v>0</v>
      </c>
      <c r="BB50" s="4" t="s">
        <v>116</v>
      </c>
      <c r="BC50" s="4"/>
      <c r="BD50" s="4"/>
      <c r="BE50" s="4" t="s">
        <v>65</v>
      </c>
      <c r="BF50" s="4">
        <v>238</v>
      </c>
      <c r="BG50" s="4">
        <v>289</v>
      </c>
      <c r="BH50" s="4">
        <f t="shared" si="116"/>
        <v>289</v>
      </c>
      <c r="BI50" s="18">
        <v>4</v>
      </c>
      <c r="BJ50" s="18">
        <v>1</v>
      </c>
      <c r="BK50" s="16">
        <v>5</v>
      </c>
      <c r="BL50" s="31">
        <v>46204</v>
      </c>
      <c r="BM50" s="31">
        <v>46478</v>
      </c>
      <c r="BN50">
        <v>298</v>
      </c>
      <c r="BO50">
        <v>298</v>
      </c>
      <c r="BP50">
        <f t="shared" si="117"/>
        <v>326.78409090909093</v>
      </c>
      <c r="BQ50">
        <v>317</v>
      </c>
      <c r="BR50">
        <v>317</v>
      </c>
      <c r="BS50">
        <f t="shared" si="118"/>
        <v>347.61931818181819</v>
      </c>
      <c r="BT50" s="4" t="s">
        <v>261</v>
      </c>
      <c r="BV50" t="s">
        <v>278</v>
      </c>
    </row>
    <row r="51" spans="1:74" x14ac:dyDescent="0.4">
      <c r="A51">
        <v>165</v>
      </c>
      <c r="B51" s="3">
        <v>17</v>
      </c>
      <c r="C51" s="3">
        <v>17</v>
      </c>
      <c r="D51" s="4">
        <v>607605</v>
      </c>
      <c r="E51" s="4" t="str">
        <f t="shared" si="102"/>
        <v>607605</v>
      </c>
      <c r="F51" s="4">
        <v>607605</v>
      </c>
      <c r="G51" s="4" t="s">
        <v>117</v>
      </c>
      <c r="H51" s="5">
        <v>4902505447877</v>
      </c>
      <c r="I51" s="5">
        <v>1</v>
      </c>
      <c r="J51" s="5">
        <v>1</v>
      </c>
      <c r="K51" s="4">
        <v>330</v>
      </c>
      <c r="L51" s="4">
        <v>298</v>
      </c>
      <c r="M51" s="4">
        <v>176</v>
      </c>
      <c r="N51" s="6">
        <f t="shared" si="103"/>
        <v>0.40939597315436238</v>
      </c>
      <c r="O51" s="4" t="s">
        <v>63</v>
      </c>
      <c r="P51" s="4"/>
      <c r="Q51" s="4"/>
      <c r="R51" s="4"/>
      <c r="S51" s="4"/>
      <c r="T51" s="4"/>
      <c r="U51" s="4"/>
      <c r="V51" s="4"/>
      <c r="W51" s="4"/>
      <c r="X51" s="4">
        <v>360</v>
      </c>
      <c r="Y51" s="4">
        <f t="shared" si="104"/>
        <v>360</v>
      </c>
      <c r="Z51" s="4">
        <v>193</v>
      </c>
      <c r="AA51" s="4">
        <f t="shared" si="105"/>
        <v>193</v>
      </c>
      <c r="AB51" s="4"/>
      <c r="AC51" s="20">
        <f t="shared" si="106"/>
        <v>327</v>
      </c>
      <c r="AD51" s="6">
        <f t="shared" si="107"/>
        <v>0.40978593272171249</v>
      </c>
      <c r="AE51" s="4">
        <v>142.75</v>
      </c>
      <c r="AF51" s="4">
        <f t="shared" si="108"/>
        <v>289</v>
      </c>
      <c r="AG51" s="4">
        <f t="shared" si="109"/>
        <v>316.91477272727275</v>
      </c>
      <c r="AH51" s="6">
        <f t="shared" si="110"/>
        <v>0.39100346020761245</v>
      </c>
      <c r="AI51" s="7">
        <v>316</v>
      </c>
      <c r="AJ51" s="6">
        <f t="shared" si="111"/>
        <v>0.38924050632911389</v>
      </c>
      <c r="AK51" s="4">
        <f t="shared" si="112"/>
        <v>123</v>
      </c>
      <c r="AL51" s="27"/>
      <c r="AM51" s="6"/>
      <c r="AN51" s="6"/>
      <c r="AO51" s="6">
        <f t="shared" si="113"/>
        <v>1.0909090909090908</v>
      </c>
      <c r="AP51" s="6">
        <f t="shared" si="114"/>
        <v>1.0604026845637584</v>
      </c>
      <c r="AQ51" s="6">
        <f t="shared" si="115"/>
        <v>1.0965909090909092</v>
      </c>
      <c r="AR51" s="4"/>
      <c r="AS51" s="4"/>
      <c r="AT51" s="4"/>
      <c r="AU51" s="4"/>
      <c r="AV51" s="4"/>
      <c r="AW51" s="4"/>
      <c r="AX51" s="4"/>
      <c r="AY51" s="4"/>
      <c r="AZ51" s="4"/>
      <c r="BA51" s="4">
        <v>0</v>
      </c>
      <c r="BB51" s="4" t="s">
        <v>118</v>
      </c>
      <c r="BC51" s="4"/>
      <c r="BD51" s="4"/>
      <c r="BE51" s="4" t="s">
        <v>65</v>
      </c>
      <c r="BF51" s="4">
        <v>238</v>
      </c>
      <c r="BG51" s="4">
        <v>289</v>
      </c>
      <c r="BH51" s="4">
        <f t="shared" si="116"/>
        <v>289</v>
      </c>
      <c r="BI51" s="18">
        <v>4</v>
      </c>
      <c r="BJ51" s="18">
        <v>1</v>
      </c>
      <c r="BK51" s="16">
        <v>5</v>
      </c>
      <c r="BL51" s="31">
        <v>46204</v>
      </c>
      <c r="BM51" s="31">
        <v>46478</v>
      </c>
      <c r="BN51">
        <v>298</v>
      </c>
      <c r="BO51">
        <v>298</v>
      </c>
      <c r="BP51">
        <f t="shared" si="117"/>
        <v>326.78409090909093</v>
      </c>
      <c r="BQ51">
        <v>317</v>
      </c>
      <c r="BR51">
        <v>317</v>
      </c>
      <c r="BS51">
        <f t="shared" si="118"/>
        <v>347.61931818181819</v>
      </c>
      <c r="BT51" s="4" t="s">
        <v>262</v>
      </c>
      <c r="BV51" t="s">
        <v>278</v>
      </c>
    </row>
    <row r="52" spans="1:74" x14ac:dyDescent="0.4">
      <c r="A52">
        <v>211</v>
      </c>
      <c r="B52" s="3">
        <v>28</v>
      </c>
      <c r="C52" s="3">
        <v>28</v>
      </c>
      <c r="D52" s="4">
        <v>679010</v>
      </c>
      <c r="E52" s="4" t="str">
        <f t="shared" si="102"/>
        <v>679010</v>
      </c>
      <c r="F52" s="4">
        <v>679010</v>
      </c>
      <c r="G52" s="4" t="s">
        <v>145</v>
      </c>
      <c r="H52" s="5">
        <v>4902505408359</v>
      </c>
      <c r="I52" s="5">
        <v>1</v>
      </c>
      <c r="J52" s="5">
        <v>1</v>
      </c>
      <c r="K52" s="4">
        <v>330</v>
      </c>
      <c r="L52" s="4">
        <v>298</v>
      </c>
      <c r="M52" s="4">
        <v>176</v>
      </c>
      <c r="N52" s="6">
        <f t="shared" si="103"/>
        <v>0.40939597315436238</v>
      </c>
      <c r="O52" s="4" t="s">
        <v>63</v>
      </c>
      <c r="P52" s="4"/>
      <c r="Q52" s="4"/>
      <c r="R52" s="4"/>
      <c r="S52" s="4"/>
      <c r="T52" s="4"/>
      <c r="U52" s="4"/>
      <c r="V52" s="4"/>
      <c r="W52" s="4"/>
      <c r="X52" s="4">
        <v>360</v>
      </c>
      <c r="Y52" s="4">
        <f t="shared" si="104"/>
        <v>360</v>
      </c>
      <c r="Z52" s="4">
        <v>193</v>
      </c>
      <c r="AA52" s="4">
        <f t="shared" si="105"/>
        <v>193</v>
      </c>
      <c r="AB52" s="4"/>
      <c r="AC52" s="20">
        <f t="shared" si="106"/>
        <v>327</v>
      </c>
      <c r="AD52" s="6">
        <f t="shared" si="107"/>
        <v>0.40978593272171249</v>
      </c>
      <c r="AE52" s="4">
        <v>147.5</v>
      </c>
      <c r="AF52" s="4">
        <f t="shared" si="108"/>
        <v>289</v>
      </c>
      <c r="AG52" s="4">
        <f t="shared" si="109"/>
        <v>316.91477272727275</v>
      </c>
      <c r="AH52" s="6">
        <f t="shared" si="110"/>
        <v>0.39100346020761245</v>
      </c>
      <c r="AI52" s="7">
        <v>316</v>
      </c>
      <c r="AJ52" s="6">
        <f t="shared" si="111"/>
        <v>0.38924050632911389</v>
      </c>
      <c r="AK52" s="4">
        <f t="shared" si="112"/>
        <v>123</v>
      </c>
      <c r="AL52" s="27"/>
      <c r="AM52" s="6"/>
      <c r="AN52" s="6"/>
      <c r="AO52" s="6">
        <f t="shared" si="113"/>
        <v>1.0909090909090908</v>
      </c>
      <c r="AP52" s="6">
        <f t="shared" si="114"/>
        <v>1.0604026845637584</v>
      </c>
      <c r="AQ52" s="6">
        <f t="shared" si="115"/>
        <v>1.0965909090909092</v>
      </c>
      <c r="AR52" s="4"/>
      <c r="AS52" s="4"/>
      <c r="AT52" s="4"/>
      <c r="AU52" s="4"/>
      <c r="AV52" s="4"/>
      <c r="AW52" s="4"/>
      <c r="AX52" s="4"/>
      <c r="AY52" s="4"/>
      <c r="AZ52" s="4"/>
      <c r="BA52" s="4">
        <v>0</v>
      </c>
      <c r="BB52" s="4" t="s">
        <v>146</v>
      </c>
      <c r="BC52" s="4"/>
      <c r="BD52" s="4"/>
      <c r="BE52" s="4" t="s">
        <v>65</v>
      </c>
      <c r="BF52" s="4">
        <v>238</v>
      </c>
      <c r="BG52" s="4">
        <v>289</v>
      </c>
      <c r="BH52" s="4">
        <f t="shared" si="116"/>
        <v>289</v>
      </c>
      <c r="BI52" s="18">
        <v>4</v>
      </c>
      <c r="BJ52" s="18">
        <v>1</v>
      </c>
      <c r="BK52" s="16">
        <v>5</v>
      </c>
      <c r="BL52" s="31">
        <v>46204</v>
      </c>
      <c r="BM52" s="31">
        <v>46478</v>
      </c>
      <c r="BN52" t="s">
        <v>62</v>
      </c>
      <c r="BO52" t="s">
        <v>62</v>
      </c>
      <c r="BP52" t="str">
        <f t="shared" si="117"/>
        <v>-</v>
      </c>
      <c r="BQ52">
        <v>327</v>
      </c>
      <c r="BR52">
        <v>327</v>
      </c>
      <c r="BS52">
        <f t="shared" si="118"/>
        <v>358.58522727272731</v>
      </c>
      <c r="BT52" s="4" t="s">
        <v>263</v>
      </c>
      <c r="BV52" t="s">
        <v>278</v>
      </c>
    </row>
    <row r="53" spans="1:74" x14ac:dyDescent="0.4">
      <c r="A53">
        <v>214</v>
      </c>
      <c r="B53" s="3">
        <v>29</v>
      </c>
      <c r="C53" s="3">
        <v>29</v>
      </c>
      <c r="D53" s="4">
        <v>679011</v>
      </c>
      <c r="E53" s="4" t="str">
        <f t="shared" si="102"/>
        <v>679011</v>
      </c>
      <c r="F53" s="4">
        <v>679011</v>
      </c>
      <c r="G53" s="4" t="s">
        <v>147</v>
      </c>
      <c r="H53" s="5">
        <v>4902505408366</v>
      </c>
      <c r="I53" s="5">
        <v>1</v>
      </c>
      <c r="J53" s="5">
        <v>1</v>
      </c>
      <c r="K53" s="4">
        <v>330</v>
      </c>
      <c r="L53" s="4">
        <v>298</v>
      </c>
      <c r="M53" s="4">
        <v>176</v>
      </c>
      <c r="N53" s="6">
        <f t="shared" si="103"/>
        <v>0.40939597315436238</v>
      </c>
      <c r="O53" s="4" t="s">
        <v>63</v>
      </c>
      <c r="P53" s="4"/>
      <c r="Q53" s="4"/>
      <c r="R53" s="4"/>
      <c r="S53" s="4"/>
      <c r="T53" s="4"/>
      <c r="U53" s="4"/>
      <c r="V53" s="4"/>
      <c r="W53" s="4"/>
      <c r="X53" s="4">
        <v>360</v>
      </c>
      <c r="Y53" s="4">
        <f t="shared" si="104"/>
        <v>360</v>
      </c>
      <c r="Z53" s="4">
        <v>193</v>
      </c>
      <c r="AA53" s="4">
        <f t="shared" si="105"/>
        <v>193</v>
      </c>
      <c r="AB53" s="4"/>
      <c r="AC53" s="20">
        <f t="shared" si="106"/>
        <v>327</v>
      </c>
      <c r="AD53" s="6">
        <f t="shared" si="107"/>
        <v>0.40978593272171249</v>
      </c>
      <c r="AE53" s="4">
        <v>85.25</v>
      </c>
      <c r="AF53" s="4">
        <f t="shared" si="108"/>
        <v>289</v>
      </c>
      <c r="AG53" s="4">
        <f t="shared" si="109"/>
        <v>316.91477272727275</v>
      </c>
      <c r="AH53" s="6">
        <f t="shared" si="110"/>
        <v>0.39100346020761245</v>
      </c>
      <c r="AI53" s="7">
        <v>316</v>
      </c>
      <c r="AJ53" s="6">
        <f t="shared" si="111"/>
        <v>0.38924050632911389</v>
      </c>
      <c r="AK53" s="4">
        <f t="shared" si="112"/>
        <v>123</v>
      </c>
      <c r="AL53" s="27"/>
      <c r="AM53" s="6"/>
      <c r="AN53" s="6"/>
      <c r="AO53" s="6">
        <f t="shared" si="113"/>
        <v>1.0909090909090908</v>
      </c>
      <c r="AP53" s="6">
        <f t="shared" si="114"/>
        <v>1.0604026845637584</v>
      </c>
      <c r="AQ53" s="6">
        <f t="shared" si="115"/>
        <v>1.0965909090909092</v>
      </c>
      <c r="AR53" s="4"/>
      <c r="AS53" s="4"/>
      <c r="AT53" s="4"/>
      <c r="AU53" s="4"/>
      <c r="AV53" s="4"/>
      <c r="AW53" s="4"/>
      <c r="AX53" s="4"/>
      <c r="AY53" s="4"/>
      <c r="AZ53" s="4"/>
      <c r="BA53" s="4">
        <v>0</v>
      </c>
      <c r="BB53" s="4" t="s">
        <v>148</v>
      </c>
      <c r="BC53" s="4"/>
      <c r="BD53" s="4"/>
      <c r="BE53" s="4" t="s">
        <v>65</v>
      </c>
      <c r="BF53" s="4">
        <v>238</v>
      </c>
      <c r="BG53" s="4">
        <v>289</v>
      </c>
      <c r="BH53" s="4">
        <f t="shared" si="116"/>
        <v>289</v>
      </c>
      <c r="BI53" s="18">
        <v>4</v>
      </c>
      <c r="BJ53" s="18">
        <v>1</v>
      </c>
      <c r="BK53" s="16">
        <v>5</v>
      </c>
      <c r="BL53" s="31">
        <v>46204</v>
      </c>
      <c r="BM53" s="31">
        <v>46478</v>
      </c>
      <c r="BN53" t="s">
        <v>62</v>
      </c>
      <c r="BO53" t="s">
        <v>62</v>
      </c>
      <c r="BP53" t="str">
        <f t="shared" si="117"/>
        <v>-</v>
      </c>
      <c r="BQ53">
        <v>327</v>
      </c>
      <c r="BR53">
        <v>327</v>
      </c>
      <c r="BS53">
        <f t="shared" si="118"/>
        <v>358.58522727272731</v>
      </c>
      <c r="BT53" s="4" t="s">
        <v>264</v>
      </c>
      <c r="BV53" t="s">
        <v>278</v>
      </c>
    </row>
    <row r="54" spans="1:74" x14ac:dyDescent="0.4">
      <c r="A54">
        <v>215</v>
      </c>
      <c r="B54" s="3">
        <v>30</v>
      </c>
      <c r="C54" s="3">
        <v>30</v>
      </c>
      <c r="D54" s="4">
        <v>679012</v>
      </c>
      <c r="E54" s="4" t="str">
        <f t="shared" si="102"/>
        <v>679012</v>
      </c>
      <c r="F54" s="4">
        <v>679012</v>
      </c>
      <c r="G54" s="4" t="s">
        <v>149</v>
      </c>
      <c r="H54" s="5">
        <v>4902505408373</v>
      </c>
      <c r="I54" s="5">
        <v>1</v>
      </c>
      <c r="J54" s="5">
        <v>1</v>
      </c>
      <c r="K54" s="4">
        <v>330</v>
      </c>
      <c r="L54" s="4">
        <v>298</v>
      </c>
      <c r="M54" s="4">
        <v>176</v>
      </c>
      <c r="N54" s="6">
        <f t="shared" si="103"/>
        <v>0.40939597315436238</v>
      </c>
      <c r="O54" s="4" t="s">
        <v>63</v>
      </c>
      <c r="P54" s="4"/>
      <c r="Q54" s="4"/>
      <c r="R54" s="4"/>
      <c r="S54" s="4"/>
      <c r="T54" s="4"/>
      <c r="U54" s="4"/>
      <c r="V54" s="4"/>
      <c r="W54" s="4"/>
      <c r="X54" s="4">
        <v>360</v>
      </c>
      <c r="Y54" s="4">
        <f t="shared" si="104"/>
        <v>360</v>
      </c>
      <c r="Z54" s="4">
        <v>193</v>
      </c>
      <c r="AA54" s="4">
        <f t="shared" si="105"/>
        <v>193</v>
      </c>
      <c r="AB54" s="4"/>
      <c r="AC54" s="20">
        <f t="shared" si="106"/>
        <v>327</v>
      </c>
      <c r="AD54" s="6">
        <f t="shared" si="107"/>
        <v>0.40978593272171249</v>
      </c>
      <c r="AE54" s="4">
        <v>127.25</v>
      </c>
      <c r="AF54" s="4">
        <f t="shared" si="108"/>
        <v>289</v>
      </c>
      <c r="AG54" s="4">
        <f t="shared" si="109"/>
        <v>316.91477272727275</v>
      </c>
      <c r="AH54" s="6">
        <f t="shared" si="110"/>
        <v>0.39100346020761245</v>
      </c>
      <c r="AI54" s="7">
        <v>316</v>
      </c>
      <c r="AJ54" s="6">
        <f t="shared" si="111"/>
        <v>0.38924050632911389</v>
      </c>
      <c r="AK54" s="4">
        <f t="shared" si="112"/>
        <v>123</v>
      </c>
      <c r="AL54" s="27"/>
      <c r="AM54" s="6"/>
      <c r="AN54" s="6"/>
      <c r="AO54" s="6">
        <f t="shared" si="113"/>
        <v>1.0909090909090908</v>
      </c>
      <c r="AP54" s="6">
        <f t="shared" si="114"/>
        <v>1.0604026845637584</v>
      </c>
      <c r="AQ54" s="6">
        <f t="shared" si="115"/>
        <v>1.0965909090909092</v>
      </c>
      <c r="AR54" s="4"/>
      <c r="AS54" s="4"/>
      <c r="AT54" s="4"/>
      <c r="AU54" s="4"/>
      <c r="AV54" s="4"/>
      <c r="AW54" s="4"/>
      <c r="AX54" s="4"/>
      <c r="AY54" s="4"/>
      <c r="AZ54" s="4"/>
      <c r="BA54" s="4">
        <v>0</v>
      </c>
      <c r="BB54" s="4" t="s">
        <v>150</v>
      </c>
      <c r="BC54" s="4"/>
      <c r="BD54" s="4"/>
      <c r="BE54" s="4" t="s">
        <v>65</v>
      </c>
      <c r="BF54" s="4">
        <v>238</v>
      </c>
      <c r="BG54" s="4">
        <v>289</v>
      </c>
      <c r="BH54" s="4">
        <f t="shared" si="116"/>
        <v>289</v>
      </c>
      <c r="BI54" s="18">
        <v>4</v>
      </c>
      <c r="BJ54" s="18">
        <v>1</v>
      </c>
      <c r="BK54" s="16">
        <v>5</v>
      </c>
      <c r="BL54" s="31">
        <v>46204</v>
      </c>
      <c r="BM54" s="31">
        <v>46478</v>
      </c>
      <c r="BN54" t="s">
        <v>62</v>
      </c>
      <c r="BO54" t="s">
        <v>62</v>
      </c>
      <c r="BP54" t="str">
        <f t="shared" si="117"/>
        <v>-</v>
      </c>
      <c r="BQ54">
        <v>327</v>
      </c>
      <c r="BR54">
        <v>327</v>
      </c>
      <c r="BS54">
        <f t="shared" si="118"/>
        <v>358.58522727272731</v>
      </c>
      <c r="BT54" s="4" t="s">
        <v>265</v>
      </c>
      <c r="BV54" t="s">
        <v>278</v>
      </c>
    </row>
    <row r="55" spans="1:74" x14ac:dyDescent="0.4">
      <c r="A55">
        <v>227</v>
      </c>
      <c r="B55" s="3">
        <v>33</v>
      </c>
      <c r="C55" s="3">
        <v>33</v>
      </c>
      <c r="D55" s="30">
        <v>679485</v>
      </c>
      <c r="E55" s="4" t="str">
        <f t="shared" si="102"/>
        <v>679485</v>
      </c>
      <c r="F55" s="4">
        <v>679485</v>
      </c>
      <c r="G55" s="4" t="s">
        <v>156</v>
      </c>
      <c r="H55" s="5">
        <v>4902505408328</v>
      </c>
      <c r="I55" s="5">
        <v>2</v>
      </c>
      <c r="J55" s="5">
        <v>2</v>
      </c>
      <c r="K55" s="4">
        <v>330</v>
      </c>
      <c r="L55" s="4">
        <v>298</v>
      </c>
      <c r="M55" s="4">
        <v>176</v>
      </c>
      <c r="N55" s="6">
        <f t="shared" si="103"/>
        <v>0.40939597315436238</v>
      </c>
      <c r="O55" s="4" t="s">
        <v>63</v>
      </c>
      <c r="P55" s="4"/>
      <c r="Q55" s="4"/>
      <c r="R55" s="4"/>
      <c r="S55" s="4"/>
      <c r="T55" s="4"/>
      <c r="U55" s="4"/>
      <c r="V55" s="4"/>
      <c r="W55" s="4"/>
      <c r="X55" s="4">
        <v>360</v>
      </c>
      <c r="Y55" s="4">
        <f t="shared" si="104"/>
        <v>360</v>
      </c>
      <c r="Z55" s="4">
        <v>193</v>
      </c>
      <c r="AA55" s="4">
        <f t="shared" si="105"/>
        <v>193</v>
      </c>
      <c r="AB55" s="4"/>
      <c r="AC55" s="20">
        <f t="shared" si="106"/>
        <v>327</v>
      </c>
      <c r="AD55" s="6">
        <f t="shared" si="107"/>
        <v>0.40978593272171249</v>
      </c>
      <c r="AE55" s="4">
        <v>319</v>
      </c>
      <c r="AF55" s="4">
        <f t="shared" si="108"/>
        <v>289</v>
      </c>
      <c r="AG55" s="4">
        <f t="shared" si="109"/>
        <v>316.91477272727275</v>
      </c>
      <c r="AH55" s="6">
        <f t="shared" si="110"/>
        <v>0.39100346020761245</v>
      </c>
      <c r="AI55" s="7">
        <v>316</v>
      </c>
      <c r="AJ55" s="6">
        <f t="shared" si="111"/>
        <v>0.38924050632911389</v>
      </c>
      <c r="AK55" s="4">
        <f t="shared" si="112"/>
        <v>123</v>
      </c>
      <c r="AL55" s="27"/>
      <c r="AM55" s="6"/>
      <c r="AN55" s="6"/>
      <c r="AO55" s="6">
        <f t="shared" si="113"/>
        <v>1.0909090909090908</v>
      </c>
      <c r="AP55" s="6">
        <f t="shared" si="114"/>
        <v>1.0604026845637584</v>
      </c>
      <c r="AQ55" s="6">
        <f t="shared" si="115"/>
        <v>1.0965909090909092</v>
      </c>
      <c r="AR55" s="4"/>
      <c r="AS55" s="4"/>
      <c r="AT55" s="4"/>
      <c r="AU55" s="4"/>
      <c r="AV55" s="4"/>
      <c r="AW55" s="4"/>
      <c r="AX55" s="4"/>
      <c r="AY55" s="4"/>
      <c r="AZ55" s="4"/>
      <c r="BA55" s="4">
        <v>0</v>
      </c>
      <c r="BB55" s="4" t="s">
        <v>157</v>
      </c>
      <c r="BC55" s="4"/>
      <c r="BD55" s="4"/>
      <c r="BE55" s="4" t="s">
        <v>65</v>
      </c>
      <c r="BF55" s="4">
        <v>238</v>
      </c>
      <c r="BG55" s="4">
        <v>289</v>
      </c>
      <c r="BH55" s="4">
        <f t="shared" si="116"/>
        <v>289</v>
      </c>
      <c r="BI55" s="18">
        <v>4</v>
      </c>
      <c r="BJ55" s="18">
        <v>1</v>
      </c>
      <c r="BK55" s="16">
        <v>5</v>
      </c>
      <c r="BL55" s="31">
        <v>46204</v>
      </c>
      <c r="BM55" s="31">
        <v>46478</v>
      </c>
      <c r="BN55" t="s">
        <v>62</v>
      </c>
      <c r="BO55" t="s">
        <v>62</v>
      </c>
      <c r="BP55" t="str">
        <f t="shared" si="117"/>
        <v>-</v>
      </c>
      <c r="BQ55">
        <v>237</v>
      </c>
      <c r="BR55">
        <v>317</v>
      </c>
      <c r="BS55">
        <f t="shared" si="118"/>
        <v>347.61931818181819</v>
      </c>
      <c r="BT55" s="4" t="s">
        <v>266</v>
      </c>
      <c r="BV55" t="s">
        <v>278</v>
      </c>
    </row>
    <row r="56" spans="1:74" x14ac:dyDescent="0.4">
      <c r="A56">
        <v>227</v>
      </c>
      <c r="B56" s="3">
        <v>60</v>
      </c>
      <c r="C56" s="3">
        <v>33</v>
      </c>
      <c r="D56" s="30">
        <v>679485</v>
      </c>
      <c r="E56" s="4" t="str">
        <f t="shared" si="102"/>
        <v>679485</v>
      </c>
      <c r="F56" s="4">
        <v>203808</v>
      </c>
      <c r="G56" s="4" t="s">
        <v>214</v>
      </c>
      <c r="H56" s="5">
        <v>4902505408328</v>
      </c>
      <c r="I56" s="5"/>
      <c r="J56" s="5"/>
      <c r="K56" s="4">
        <v>3300</v>
      </c>
      <c r="L56" s="4">
        <v>2890</v>
      </c>
      <c r="M56" s="4">
        <v>1760</v>
      </c>
      <c r="N56" s="6">
        <f t="shared" si="103"/>
        <v>0.39100346020761245</v>
      </c>
      <c r="O56" s="4"/>
      <c r="P56" s="4"/>
      <c r="Q56" s="4"/>
      <c r="R56" s="4"/>
      <c r="S56" s="4"/>
      <c r="T56" s="4"/>
      <c r="U56" s="4"/>
      <c r="V56" s="4"/>
      <c r="W56" s="4"/>
      <c r="X56" s="4">
        <v>360</v>
      </c>
      <c r="Y56" s="4">
        <f t="shared" si="104"/>
        <v>3600</v>
      </c>
      <c r="Z56" s="4">
        <v>193</v>
      </c>
      <c r="AA56" s="4">
        <f t="shared" si="105"/>
        <v>1930</v>
      </c>
      <c r="AB56" s="4">
        <v>10</v>
      </c>
      <c r="AC56" s="20">
        <f t="shared" si="106"/>
        <v>3169</v>
      </c>
      <c r="AD56" s="6">
        <f t="shared" si="107"/>
        <v>0.39097507100031559</v>
      </c>
      <c r="AE56" s="4">
        <v>319</v>
      </c>
      <c r="AF56" s="4">
        <f t="shared" si="108"/>
        <v>2732</v>
      </c>
      <c r="AG56" s="4">
        <f t="shared" si="109"/>
        <v>2995.886363636364</v>
      </c>
      <c r="AH56" s="6">
        <f t="shared" si="110"/>
        <v>0.35578330893118604</v>
      </c>
      <c r="AI56" s="7">
        <v>2995</v>
      </c>
      <c r="AJ56" s="6">
        <f t="shared" si="111"/>
        <v>0.35559265442404009</v>
      </c>
      <c r="AK56" s="4">
        <f t="shared" si="112"/>
        <v>1065</v>
      </c>
      <c r="AL56" s="27"/>
      <c r="AM56" s="6"/>
      <c r="AN56" s="6"/>
      <c r="AO56" s="6">
        <f t="shared" si="113"/>
        <v>1.0909090909090908</v>
      </c>
      <c r="AP56" s="6">
        <f t="shared" si="114"/>
        <v>1.0363321799307958</v>
      </c>
      <c r="AQ56" s="6">
        <f t="shared" si="115"/>
        <v>1.0965909090909092</v>
      </c>
      <c r="AR56" s="4"/>
      <c r="AS56" s="4"/>
      <c r="AT56" s="4"/>
      <c r="AU56" s="4"/>
      <c r="AV56" s="4"/>
      <c r="AW56" s="4"/>
      <c r="AX56" s="4"/>
      <c r="AY56" s="4"/>
      <c r="AZ56" s="4"/>
      <c r="BA56" s="4">
        <v>0</v>
      </c>
      <c r="BB56" s="4" t="s">
        <v>215</v>
      </c>
      <c r="BC56" s="4"/>
      <c r="BD56" s="4"/>
      <c r="BE56" s="4" t="s">
        <v>216</v>
      </c>
      <c r="BF56" s="4">
        <v>2253</v>
      </c>
      <c r="BG56" s="4">
        <v>2732</v>
      </c>
      <c r="BH56" s="4">
        <f t="shared" si="116"/>
        <v>2732</v>
      </c>
      <c r="BI56" s="18">
        <v>4</v>
      </c>
      <c r="BJ56" s="18">
        <v>1</v>
      </c>
      <c r="BK56" s="16">
        <v>5</v>
      </c>
      <c r="BL56" s="31">
        <v>46204</v>
      </c>
      <c r="BM56" s="31">
        <v>46478</v>
      </c>
      <c r="BN56" t="s">
        <v>62</v>
      </c>
      <c r="BO56" t="s">
        <v>62</v>
      </c>
      <c r="BP56" t="str">
        <f t="shared" si="117"/>
        <v>-</v>
      </c>
      <c r="BQ56">
        <v>237</v>
      </c>
      <c r="BR56">
        <v>317</v>
      </c>
      <c r="BS56">
        <f t="shared" si="118"/>
        <v>347.61931818181819</v>
      </c>
      <c r="BT56" s="4" t="s">
        <v>267</v>
      </c>
      <c r="BU56">
        <v>2</v>
      </c>
      <c r="BV56" t="s">
        <v>278</v>
      </c>
    </row>
    <row r="57" spans="1:74" x14ac:dyDescent="0.4">
      <c r="A57">
        <v>228</v>
      </c>
      <c r="B57" s="3">
        <v>34</v>
      </c>
      <c r="C57" s="3">
        <v>34</v>
      </c>
      <c r="D57" s="4">
        <v>679486</v>
      </c>
      <c r="E57" s="4" t="str">
        <f t="shared" si="102"/>
        <v>679486</v>
      </c>
      <c r="F57" s="4">
        <v>679486</v>
      </c>
      <c r="G57" s="4" t="s">
        <v>158</v>
      </c>
      <c r="H57" s="5">
        <v>4902505408335</v>
      </c>
      <c r="I57" s="5">
        <v>1</v>
      </c>
      <c r="J57" s="5">
        <v>1</v>
      </c>
      <c r="K57" s="4">
        <v>330</v>
      </c>
      <c r="L57" s="4">
        <v>298</v>
      </c>
      <c r="M57" s="4">
        <v>176</v>
      </c>
      <c r="N57" s="6">
        <f t="shared" si="103"/>
        <v>0.40939597315436238</v>
      </c>
      <c r="O57" s="4" t="s">
        <v>63</v>
      </c>
      <c r="P57" s="4"/>
      <c r="Q57" s="4"/>
      <c r="R57" s="4"/>
      <c r="S57" s="4"/>
      <c r="T57" s="4"/>
      <c r="U57" s="4"/>
      <c r="V57" s="4"/>
      <c r="W57" s="4"/>
      <c r="X57" s="4">
        <v>360</v>
      </c>
      <c r="Y57" s="4">
        <f t="shared" si="104"/>
        <v>360</v>
      </c>
      <c r="Z57" s="4">
        <v>193</v>
      </c>
      <c r="AA57" s="4">
        <f t="shared" si="105"/>
        <v>193</v>
      </c>
      <c r="AB57" s="4"/>
      <c r="AC57" s="20">
        <f t="shared" si="106"/>
        <v>327</v>
      </c>
      <c r="AD57" s="6">
        <f t="shared" si="107"/>
        <v>0.40978593272171249</v>
      </c>
      <c r="AE57" s="4">
        <v>215.75000000000003</v>
      </c>
      <c r="AF57" s="4">
        <f t="shared" si="108"/>
        <v>289</v>
      </c>
      <c r="AG57" s="4">
        <f t="shared" si="109"/>
        <v>316.91477272727275</v>
      </c>
      <c r="AH57" s="6">
        <f t="shared" si="110"/>
        <v>0.39100346020761245</v>
      </c>
      <c r="AI57" s="7">
        <v>316</v>
      </c>
      <c r="AJ57" s="6">
        <f t="shared" si="111"/>
        <v>0.38924050632911389</v>
      </c>
      <c r="AK57" s="4">
        <f t="shared" si="112"/>
        <v>123</v>
      </c>
      <c r="AL57" s="27"/>
      <c r="AM57" s="6"/>
      <c r="AN57" s="6"/>
      <c r="AO57" s="6">
        <f t="shared" si="113"/>
        <v>1.0909090909090908</v>
      </c>
      <c r="AP57" s="6">
        <f t="shared" si="114"/>
        <v>1.0604026845637584</v>
      </c>
      <c r="AQ57" s="6">
        <f t="shared" si="115"/>
        <v>1.0965909090909092</v>
      </c>
      <c r="AR57" s="4"/>
      <c r="AS57" s="4"/>
      <c r="AT57" s="4"/>
      <c r="AU57" s="4"/>
      <c r="AV57" s="4"/>
      <c r="AW57" s="4"/>
      <c r="AX57" s="4"/>
      <c r="AY57" s="4"/>
      <c r="AZ57" s="4"/>
      <c r="BA57" s="4">
        <v>0</v>
      </c>
      <c r="BB57" s="4" t="s">
        <v>159</v>
      </c>
      <c r="BC57" s="4"/>
      <c r="BD57" s="4"/>
      <c r="BE57" s="4" t="s">
        <v>65</v>
      </c>
      <c r="BF57" s="4">
        <v>238</v>
      </c>
      <c r="BG57" s="4">
        <v>289</v>
      </c>
      <c r="BH57" s="4">
        <f t="shared" si="116"/>
        <v>289</v>
      </c>
      <c r="BI57" s="18">
        <v>4</v>
      </c>
      <c r="BJ57" s="18">
        <v>1</v>
      </c>
      <c r="BK57" s="16">
        <v>5</v>
      </c>
      <c r="BL57" s="31">
        <v>46204</v>
      </c>
      <c r="BM57" s="31">
        <v>46478</v>
      </c>
      <c r="BN57" t="s">
        <v>62</v>
      </c>
      <c r="BO57" t="s">
        <v>62</v>
      </c>
      <c r="BP57" t="str">
        <f t="shared" si="117"/>
        <v>-</v>
      </c>
      <c r="BQ57">
        <v>237</v>
      </c>
      <c r="BR57">
        <v>317</v>
      </c>
      <c r="BS57">
        <f t="shared" si="118"/>
        <v>347.61931818181819</v>
      </c>
      <c r="BT57" s="4" t="s">
        <v>268</v>
      </c>
      <c r="BV57" t="s">
        <v>278</v>
      </c>
    </row>
    <row r="58" spans="1:74" x14ac:dyDescent="0.4">
      <c r="A58">
        <v>229</v>
      </c>
      <c r="B58" s="3">
        <v>35</v>
      </c>
      <c r="C58" s="3">
        <v>35</v>
      </c>
      <c r="D58" s="4">
        <v>679487</v>
      </c>
      <c r="E58" s="4" t="str">
        <f t="shared" si="102"/>
        <v>679487</v>
      </c>
      <c r="F58" s="4">
        <v>679487</v>
      </c>
      <c r="G58" s="4" t="s">
        <v>160</v>
      </c>
      <c r="H58" s="5">
        <v>4902505408342</v>
      </c>
      <c r="I58" s="5">
        <v>1</v>
      </c>
      <c r="J58" s="5">
        <v>1</v>
      </c>
      <c r="K58" s="4">
        <v>330</v>
      </c>
      <c r="L58" s="4">
        <v>298</v>
      </c>
      <c r="M58" s="4">
        <v>176</v>
      </c>
      <c r="N58" s="6">
        <f t="shared" si="103"/>
        <v>0.40939597315436238</v>
      </c>
      <c r="O58" s="4" t="s">
        <v>63</v>
      </c>
      <c r="P58" s="4"/>
      <c r="Q58" s="4"/>
      <c r="R58" s="4"/>
      <c r="S58" s="4"/>
      <c r="T58" s="4"/>
      <c r="U58" s="4"/>
      <c r="V58" s="4"/>
      <c r="W58" s="4"/>
      <c r="X58" s="4">
        <v>360</v>
      </c>
      <c r="Y58" s="4">
        <f t="shared" si="104"/>
        <v>360</v>
      </c>
      <c r="Z58" s="4">
        <v>193</v>
      </c>
      <c r="AA58" s="4">
        <f t="shared" si="105"/>
        <v>193</v>
      </c>
      <c r="AB58" s="4"/>
      <c r="AC58" s="20">
        <f t="shared" si="106"/>
        <v>327</v>
      </c>
      <c r="AD58" s="6">
        <f t="shared" si="107"/>
        <v>0.40978593272171249</v>
      </c>
      <c r="AE58" s="4">
        <v>132</v>
      </c>
      <c r="AF58" s="4">
        <f t="shared" si="108"/>
        <v>289</v>
      </c>
      <c r="AG58" s="4">
        <f t="shared" si="109"/>
        <v>316.91477272727275</v>
      </c>
      <c r="AH58" s="6">
        <f t="shared" si="110"/>
        <v>0.39100346020761245</v>
      </c>
      <c r="AI58" s="7">
        <v>316</v>
      </c>
      <c r="AJ58" s="6">
        <f t="shared" si="111"/>
        <v>0.38924050632911389</v>
      </c>
      <c r="AK58" s="4">
        <f t="shared" si="112"/>
        <v>123</v>
      </c>
      <c r="AL58" s="27"/>
      <c r="AM58" s="6"/>
      <c r="AN58" s="6"/>
      <c r="AO58" s="6">
        <f t="shared" si="113"/>
        <v>1.0909090909090908</v>
      </c>
      <c r="AP58" s="6">
        <f t="shared" si="114"/>
        <v>1.0604026845637584</v>
      </c>
      <c r="AQ58" s="6">
        <f t="shared" si="115"/>
        <v>1.0965909090909092</v>
      </c>
      <c r="AR58" s="4"/>
      <c r="AS58" s="4"/>
      <c r="AT58" s="4"/>
      <c r="AU58" s="4"/>
      <c r="AV58" s="4"/>
      <c r="AW58" s="4"/>
      <c r="AX58" s="4"/>
      <c r="AY58" s="4"/>
      <c r="AZ58" s="4"/>
      <c r="BA58" s="4">
        <v>0</v>
      </c>
      <c r="BB58" s="4" t="s">
        <v>161</v>
      </c>
      <c r="BC58" s="4"/>
      <c r="BD58" s="4"/>
      <c r="BE58" s="4" t="s">
        <v>65</v>
      </c>
      <c r="BF58" s="4">
        <v>238</v>
      </c>
      <c r="BG58" s="4">
        <v>289</v>
      </c>
      <c r="BH58" s="4">
        <f t="shared" si="116"/>
        <v>289</v>
      </c>
      <c r="BI58" s="18">
        <v>4</v>
      </c>
      <c r="BJ58" s="18">
        <v>1</v>
      </c>
      <c r="BK58" s="16">
        <v>5</v>
      </c>
      <c r="BL58" s="31">
        <v>46204</v>
      </c>
      <c r="BM58" s="31">
        <v>46478</v>
      </c>
      <c r="BN58" t="s">
        <v>62</v>
      </c>
      <c r="BO58" t="s">
        <v>62</v>
      </c>
      <c r="BP58" t="str">
        <f t="shared" si="117"/>
        <v>-</v>
      </c>
      <c r="BQ58">
        <v>237</v>
      </c>
      <c r="BR58">
        <v>317</v>
      </c>
      <c r="BS58">
        <f t="shared" si="118"/>
        <v>347.61931818181819</v>
      </c>
      <c r="BT58" s="4" t="s">
        <v>269</v>
      </c>
      <c r="BV58" t="s">
        <v>278</v>
      </c>
    </row>
    <row r="59" spans="1:74" x14ac:dyDescent="0.4">
      <c r="A59">
        <v>253</v>
      </c>
      <c r="B59" s="3">
        <v>39</v>
      </c>
      <c r="C59" s="3">
        <v>39</v>
      </c>
      <c r="D59" s="30">
        <v>686461</v>
      </c>
      <c r="E59" s="4" t="str">
        <f t="shared" si="102"/>
        <v>686461</v>
      </c>
      <c r="F59" s="4">
        <v>686461</v>
      </c>
      <c r="G59" s="4" t="s">
        <v>169</v>
      </c>
      <c r="H59" s="5">
        <v>4902505437847</v>
      </c>
      <c r="I59" s="5">
        <v>2</v>
      </c>
      <c r="J59" s="5">
        <v>2</v>
      </c>
      <c r="K59" s="4">
        <v>330</v>
      </c>
      <c r="L59" s="4">
        <v>298</v>
      </c>
      <c r="M59" s="4">
        <v>176</v>
      </c>
      <c r="N59" s="6">
        <f t="shared" si="103"/>
        <v>0.40939597315436238</v>
      </c>
      <c r="O59" s="4" t="s">
        <v>63</v>
      </c>
      <c r="P59" s="4"/>
      <c r="Q59" s="4"/>
      <c r="R59" s="4"/>
      <c r="S59" s="4"/>
      <c r="T59" s="4"/>
      <c r="U59" s="4"/>
      <c r="V59" s="4"/>
      <c r="W59" s="4"/>
      <c r="X59" s="4">
        <v>360</v>
      </c>
      <c r="Y59" s="4">
        <f t="shared" si="104"/>
        <v>360</v>
      </c>
      <c r="Z59" s="4">
        <v>193</v>
      </c>
      <c r="AA59" s="4">
        <f t="shared" si="105"/>
        <v>193</v>
      </c>
      <c r="AB59" s="4"/>
      <c r="AC59" s="20">
        <f t="shared" si="106"/>
        <v>327</v>
      </c>
      <c r="AD59" s="6">
        <f t="shared" si="107"/>
        <v>0.40978593272171249</v>
      </c>
      <c r="AE59" s="4">
        <v>876</v>
      </c>
      <c r="AF59" s="4">
        <f t="shared" si="108"/>
        <v>262</v>
      </c>
      <c r="AG59" s="4">
        <f t="shared" si="109"/>
        <v>287.30681818181819</v>
      </c>
      <c r="AH59" s="6">
        <f t="shared" si="110"/>
        <v>0.3282442748091603</v>
      </c>
      <c r="AI59" s="7">
        <v>287</v>
      </c>
      <c r="AJ59" s="6">
        <f t="shared" si="111"/>
        <v>0.32752613240418116</v>
      </c>
      <c r="AK59" s="4">
        <f t="shared" si="112"/>
        <v>94</v>
      </c>
      <c r="AL59" s="27"/>
      <c r="AM59" s="6"/>
      <c r="AN59" s="6"/>
      <c r="AO59" s="6">
        <f t="shared" si="113"/>
        <v>1.0909090909090908</v>
      </c>
      <c r="AP59" s="6">
        <f t="shared" si="114"/>
        <v>0.96308724832214765</v>
      </c>
      <c r="AQ59" s="6">
        <f t="shared" si="115"/>
        <v>1.0965909090909092</v>
      </c>
      <c r="AR59" s="4"/>
      <c r="AS59" s="4"/>
      <c r="AT59" s="4"/>
      <c r="AU59" s="4"/>
      <c r="AV59" s="4"/>
      <c r="AW59" s="4"/>
      <c r="AX59" s="4"/>
      <c r="AY59" s="4"/>
      <c r="AZ59" s="4"/>
      <c r="BA59" s="4">
        <v>0</v>
      </c>
      <c r="BB59" s="4" t="s">
        <v>170</v>
      </c>
      <c r="BC59" s="4"/>
      <c r="BD59" s="4"/>
      <c r="BE59" s="4" t="s">
        <v>65</v>
      </c>
      <c r="BF59" s="4">
        <v>216</v>
      </c>
      <c r="BG59" s="4">
        <v>262</v>
      </c>
      <c r="BH59" s="4">
        <f t="shared" si="116"/>
        <v>262</v>
      </c>
      <c r="BI59" s="18">
        <v>4</v>
      </c>
      <c r="BJ59" s="18">
        <v>1</v>
      </c>
      <c r="BK59" s="16">
        <v>5</v>
      </c>
      <c r="BL59" s="31">
        <v>46204</v>
      </c>
      <c r="BM59" s="31">
        <v>46478</v>
      </c>
      <c r="BN59" t="s">
        <v>62</v>
      </c>
      <c r="BO59" t="s">
        <v>62</v>
      </c>
      <c r="BP59" t="str">
        <f t="shared" si="117"/>
        <v>-</v>
      </c>
      <c r="BQ59">
        <v>270</v>
      </c>
      <c r="BR59">
        <v>270</v>
      </c>
      <c r="BS59">
        <f t="shared" si="118"/>
        <v>296.0795454545455</v>
      </c>
      <c r="BT59" s="4" t="s">
        <v>270</v>
      </c>
      <c r="BV59" t="s">
        <v>278</v>
      </c>
    </row>
    <row r="60" spans="1:74" x14ac:dyDescent="0.4">
      <c r="A60">
        <v>253</v>
      </c>
      <c r="B60" s="3">
        <v>63</v>
      </c>
      <c r="C60" s="3">
        <v>39</v>
      </c>
      <c r="D60" s="30">
        <v>686461</v>
      </c>
      <c r="E60" s="4" t="str">
        <f t="shared" si="102"/>
        <v>686461</v>
      </c>
      <c r="F60" s="4">
        <v>203810</v>
      </c>
      <c r="G60" s="4" t="s">
        <v>219</v>
      </c>
      <c r="H60" s="5">
        <v>4902505437847</v>
      </c>
      <c r="I60" s="5"/>
      <c r="J60" s="5"/>
      <c r="K60" s="4">
        <v>3300</v>
      </c>
      <c r="L60" s="4">
        <v>2830</v>
      </c>
      <c r="M60" s="4">
        <v>1760</v>
      </c>
      <c r="N60" s="6">
        <f t="shared" si="103"/>
        <v>0.37809187279151946</v>
      </c>
      <c r="O60" s="4"/>
      <c r="P60" s="4"/>
      <c r="Q60" s="4"/>
      <c r="R60" s="4"/>
      <c r="S60" s="4"/>
      <c r="T60" s="4"/>
      <c r="U60" s="4"/>
      <c r="V60" s="4"/>
      <c r="W60" s="4"/>
      <c r="X60" s="4">
        <v>360</v>
      </c>
      <c r="Y60" s="4">
        <f t="shared" si="104"/>
        <v>3600</v>
      </c>
      <c r="Z60" s="4">
        <v>193</v>
      </c>
      <c r="AA60" s="4">
        <f t="shared" si="105"/>
        <v>1930</v>
      </c>
      <c r="AB60" s="4">
        <v>10</v>
      </c>
      <c r="AC60" s="20">
        <f t="shared" si="106"/>
        <v>3103</v>
      </c>
      <c r="AD60" s="6">
        <f t="shared" si="107"/>
        <v>0.37802126973896233</v>
      </c>
      <c r="AE60" s="4">
        <v>876</v>
      </c>
      <c r="AF60" s="4">
        <f t="shared" si="108"/>
        <v>2619</v>
      </c>
      <c r="AG60" s="4">
        <f t="shared" si="109"/>
        <v>2871.971590909091</v>
      </c>
      <c r="AH60" s="6">
        <f t="shared" si="110"/>
        <v>0.32798778159602904</v>
      </c>
      <c r="AI60" s="7">
        <v>2720</v>
      </c>
      <c r="AJ60" s="6">
        <f t="shared" si="111"/>
        <v>0.2904411764705882</v>
      </c>
      <c r="AK60" s="4">
        <f t="shared" si="112"/>
        <v>790</v>
      </c>
      <c r="AL60" s="27"/>
      <c r="AM60" s="6"/>
      <c r="AN60" s="6"/>
      <c r="AO60" s="6">
        <f t="shared" si="113"/>
        <v>1.0909090909090908</v>
      </c>
      <c r="AP60" s="6">
        <f t="shared" si="114"/>
        <v>0.96113074204946991</v>
      </c>
      <c r="AQ60" s="6">
        <f t="shared" si="115"/>
        <v>1.0965909090909092</v>
      </c>
      <c r="AR60" s="4"/>
      <c r="AS60" s="4"/>
      <c r="AT60" s="4"/>
      <c r="AU60" s="4"/>
      <c r="AV60" s="4"/>
      <c r="AW60" s="4"/>
      <c r="AX60" s="4"/>
      <c r="AY60" s="4"/>
      <c r="AZ60" s="4"/>
      <c r="BA60" s="4">
        <v>0</v>
      </c>
      <c r="BB60" s="4" t="s">
        <v>220</v>
      </c>
      <c r="BC60" s="4"/>
      <c r="BD60" s="4"/>
      <c r="BE60" s="4" t="s">
        <v>216</v>
      </c>
      <c r="BF60" s="4">
        <v>2155</v>
      </c>
      <c r="BG60" s="4">
        <v>2619</v>
      </c>
      <c r="BH60" s="4">
        <f t="shared" si="116"/>
        <v>2619</v>
      </c>
      <c r="BI60" s="18">
        <v>4</v>
      </c>
      <c r="BJ60" s="18">
        <v>8</v>
      </c>
      <c r="BK60" s="16">
        <v>5</v>
      </c>
      <c r="BL60" s="31">
        <v>46204</v>
      </c>
      <c r="BM60" s="31">
        <v>46478</v>
      </c>
      <c r="BN60" t="s">
        <v>62</v>
      </c>
      <c r="BO60" t="s">
        <v>62</v>
      </c>
      <c r="BP60" t="str">
        <f t="shared" si="117"/>
        <v>-</v>
      </c>
      <c r="BQ60">
        <v>270</v>
      </c>
      <c r="BR60">
        <v>270</v>
      </c>
      <c r="BS60">
        <f t="shared" si="118"/>
        <v>296.0795454545455</v>
      </c>
      <c r="BT60" s="4" t="s">
        <v>271</v>
      </c>
      <c r="BU60">
        <v>2</v>
      </c>
      <c r="BV60" t="s">
        <v>278</v>
      </c>
    </row>
    <row r="61" spans="1:74" x14ac:dyDescent="0.4">
      <c r="A61">
        <v>254</v>
      </c>
      <c r="B61" s="3">
        <v>40</v>
      </c>
      <c r="C61" s="3">
        <v>40</v>
      </c>
      <c r="D61" s="30">
        <v>686462</v>
      </c>
      <c r="E61" s="4" t="str">
        <f t="shared" si="102"/>
        <v>686462</v>
      </c>
      <c r="F61" s="4">
        <v>686462</v>
      </c>
      <c r="G61" s="4" t="s">
        <v>171</v>
      </c>
      <c r="H61" s="5">
        <v>4902505437854</v>
      </c>
      <c r="I61" s="5">
        <v>2</v>
      </c>
      <c r="J61" s="5">
        <v>2</v>
      </c>
      <c r="K61" s="4">
        <v>330</v>
      </c>
      <c r="L61" s="4">
        <v>298</v>
      </c>
      <c r="M61" s="4">
        <v>176</v>
      </c>
      <c r="N61" s="6">
        <f t="shared" si="103"/>
        <v>0.40939597315436238</v>
      </c>
      <c r="O61" s="4" t="s">
        <v>63</v>
      </c>
      <c r="P61" s="4"/>
      <c r="Q61" s="4"/>
      <c r="R61" s="4"/>
      <c r="S61" s="4"/>
      <c r="T61" s="4"/>
      <c r="U61" s="4"/>
      <c r="V61" s="4"/>
      <c r="W61" s="4"/>
      <c r="X61" s="4">
        <v>360</v>
      </c>
      <c r="Y61" s="4">
        <f t="shared" si="104"/>
        <v>360</v>
      </c>
      <c r="Z61" s="4">
        <v>193</v>
      </c>
      <c r="AA61" s="4">
        <f t="shared" si="105"/>
        <v>193</v>
      </c>
      <c r="AB61" s="4"/>
      <c r="AC61" s="20">
        <f t="shared" si="106"/>
        <v>327</v>
      </c>
      <c r="AD61" s="6">
        <f t="shared" si="107"/>
        <v>0.40978593272171249</v>
      </c>
      <c r="AE61" s="4">
        <v>821.5</v>
      </c>
      <c r="AF61" s="4">
        <f t="shared" si="108"/>
        <v>289</v>
      </c>
      <c r="AG61" s="4">
        <f t="shared" si="109"/>
        <v>316.91477272727275</v>
      </c>
      <c r="AH61" s="6">
        <f t="shared" si="110"/>
        <v>0.39100346020761245</v>
      </c>
      <c r="AI61" s="7">
        <v>316</v>
      </c>
      <c r="AJ61" s="6">
        <f t="shared" si="111"/>
        <v>0.38924050632911389</v>
      </c>
      <c r="AK61" s="4">
        <f t="shared" si="112"/>
        <v>123</v>
      </c>
      <c r="AL61" s="27"/>
      <c r="AM61" s="6"/>
      <c r="AN61" s="6"/>
      <c r="AO61" s="6">
        <f t="shared" si="113"/>
        <v>1.0909090909090908</v>
      </c>
      <c r="AP61" s="6">
        <f t="shared" si="114"/>
        <v>1.0604026845637584</v>
      </c>
      <c r="AQ61" s="6">
        <f t="shared" si="115"/>
        <v>1.0965909090909092</v>
      </c>
      <c r="AR61" s="4"/>
      <c r="AS61" s="4"/>
      <c r="AT61" s="4"/>
      <c r="AU61" s="4"/>
      <c r="AV61" s="4"/>
      <c r="AW61" s="4"/>
      <c r="AX61" s="4"/>
      <c r="AY61" s="4"/>
      <c r="AZ61" s="4"/>
      <c r="BA61" s="4">
        <v>0</v>
      </c>
      <c r="BB61" s="4" t="s">
        <v>172</v>
      </c>
      <c r="BC61" s="4"/>
      <c r="BD61" s="4"/>
      <c r="BE61" s="4" t="s">
        <v>65</v>
      </c>
      <c r="BF61" s="4">
        <v>238</v>
      </c>
      <c r="BG61" s="4">
        <v>289</v>
      </c>
      <c r="BH61" s="4">
        <f t="shared" si="116"/>
        <v>289</v>
      </c>
      <c r="BI61" s="18">
        <v>4</v>
      </c>
      <c r="BJ61" s="18">
        <v>1</v>
      </c>
      <c r="BK61" s="16">
        <v>5</v>
      </c>
      <c r="BL61" s="31">
        <v>46204</v>
      </c>
      <c r="BM61" s="31">
        <v>46478</v>
      </c>
      <c r="BN61" t="s">
        <v>62</v>
      </c>
      <c r="BO61" t="s">
        <v>62</v>
      </c>
      <c r="BP61" t="str">
        <f t="shared" si="117"/>
        <v>-</v>
      </c>
      <c r="BQ61">
        <v>298</v>
      </c>
      <c r="BR61">
        <v>298</v>
      </c>
      <c r="BS61">
        <f t="shared" si="118"/>
        <v>326.78409090909093</v>
      </c>
      <c r="BT61" s="4" t="s">
        <v>272</v>
      </c>
      <c r="BV61" t="s">
        <v>278</v>
      </c>
    </row>
    <row r="62" spans="1:74" x14ac:dyDescent="0.4">
      <c r="A62">
        <v>254</v>
      </c>
      <c r="B62" s="3">
        <v>64</v>
      </c>
      <c r="C62" s="3">
        <v>40</v>
      </c>
      <c r="D62" s="30">
        <v>686462</v>
      </c>
      <c r="E62" s="4" t="str">
        <f t="shared" si="102"/>
        <v>686462</v>
      </c>
      <c r="F62" s="4">
        <v>203812</v>
      </c>
      <c r="G62" s="4" t="s">
        <v>221</v>
      </c>
      <c r="H62" s="5">
        <v>4902505437854</v>
      </c>
      <c r="I62" s="5"/>
      <c r="J62" s="5"/>
      <c r="K62" s="4">
        <v>3300</v>
      </c>
      <c r="L62" s="4">
        <v>2830</v>
      </c>
      <c r="M62" s="4">
        <v>1760</v>
      </c>
      <c r="N62" s="6">
        <f t="shared" si="103"/>
        <v>0.37809187279151946</v>
      </c>
      <c r="O62" s="4"/>
      <c r="P62" s="4"/>
      <c r="Q62" s="4"/>
      <c r="R62" s="4"/>
      <c r="S62" s="4"/>
      <c r="T62" s="4"/>
      <c r="U62" s="4"/>
      <c r="V62" s="4"/>
      <c r="W62" s="4"/>
      <c r="X62" s="4">
        <v>360</v>
      </c>
      <c r="Y62" s="4">
        <f t="shared" si="104"/>
        <v>3600</v>
      </c>
      <c r="Z62" s="4">
        <v>193</v>
      </c>
      <c r="AA62" s="4">
        <f t="shared" si="105"/>
        <v>1930</v>
      </c>
      <c r="AB62" s="4">
        <v>10</v>
      </c>
      <c r="AC62" s="20">
        <f t="shared" si="106"/>
        <v>3103</v>
      </c>
      <c r="AD62" s="6">
        <f t="shared" si="107"/>
        <v>0.37802126973896233</v>
      </c>
      <c r="AE62" s="4">
        <v>821.5</v>
      </c>
      <c r="AF62" s="4">
        <f t="shared" si="108"/>
        <v>2732</v>
      </c>
      <c r="AG62" s="4">
        <f t="shared" si="109"/>
        <v>2995.886363636364</v>
      </c>
      <c r="AH62" s="6">
        <f t="shared" si="110"/>
        <v>0.35578330893118604</v>
      </c>
      <c r="AI62" s="7">
        <v>2995</v>
      </c>
      <c r="AJ62" s="6">
        <f t="shared" si="111"/>
        <v>0.35559265442404009</v>
      </c>
      <c r="AK62" s="4">
        <f t="shared" si="112"/>
        <v>1065</v>
      </c>
      <c r="AL62" s="27"/>
      <c r="AM62" s="6"/>
      <c r="AN62" s="6"/>
      <c r="AO62" s="6">
        <f t="shared" si="113"/>
        <v>1.0909090909090908</v>
      </c>
      <c r="AP62" s="6">
        <f t="shared" si="114"/>
        <v>1.058303886925795</v>
      </c>
      <c r="AQ62" s="6">
        <f t="shared" si="115"/>
        <v>1.0965909090909092</v>
      </c>
      <c r="AR62" s="4"/>
      <c r="AS62" s="4"/>
      <c r="AT62" s="4"/>
      <c r="AU62" s="4"/>
      <c r="AV62" s="4"/>
      <c r="AW62" s="4"/>
      <c r="AX62" s="4"/>
      <c r="AY62" s="4"/>
      <c r="AZ62" s="4"/>
      <c r="BA62" s="4">
        <v>0</v>
      </c>
      <c r="BB62" s="4" t="s">
        <v>222</v>
      </c>
      <c r="BC62" s="4"/>
      <c r="BD62" s="4"/>
      <c r="BE62" s="4" t="s">
        <v>216</v>
      </c>
      <c r="BF62" s="4">
        <v>2253</v>
      </c>
      <c r="BG62" s="4">
        <v>2732</v>
      </c>
      <c r="BH62" s="4">
        <f t="shared" si="116"/>
        <v>2732</v>
      </c>
      <c r="BI62" s="18">
        <v>4</v>
      </c>
      <c r="BJ62" s="18">
        <v>1</v>
      </c>
      <c r="BK62" s="16">
        <v>5</v>
      </c>
      <c r="BL62" s="31">
        <v>46204</v>
      </c>
      <c r="BM62" s="31">
        <v>46478</v>
      </c>
      <c r="BN62" t="s">
        <v>62</v>
      </c>
      <c r="BO62" t="s">
        <v>62</v>
      </c>
      <c r="BP62" t="str">
        <f t="shared" si="117"/>
        <v>-</v>
      </c>
      <c r="BQ62">
        <v>298</v>
      </c>
      <c r="BR62">
        <v>298</v>
      </c>
      <c r="BS62">
        <f t="shared" si="118"/>
        <v>326.78409090909093</v>
      </c>
      <c r="BT62" s="4" t="s">
        <v>273</v>
      </c>
      <c r="BU62">
        <v>2</v>
      </c>
      <c r="BV62" t="s">
        <v>278</v>
      </c>
    </row>
    <row r="63" spans="1:74" x14ac:dyDescent="0.4">
      <c r="A63">
        <v>255</v>
      </c>
      <c r="B63" s="3">
        <v>41</v>
      </c>
      <c r="C63" s="3">
        <v>41</v>
      </c>
      <c r="D63" s="30">
        <v>686463</v>
      </c>
      <c r="E63" s="4" t="str">
        <f t="shared" si="102"/>
        <v>686463</v>
      </c>
      <c r="F63" s="4">
        <v>686463</v>
      </c>
      <c r="G63" s="4" t="s">
        <v>173</v>
      </c>
      <c r="H63" s="5">
        <v>4902505437861</v>
      </c>
      <c r="I63" s="5">
        <v>2</v>
      </c>
      <c r="J63" s="5">
        <v>2</v>
      </c>
      <c r="K63" s="4">
        <v>330</v>
      </c>
      <c r="L63" s="4">
        <v>298</v>
      </c>
      <c r="M63" s="4">
        <v>176</v>
      </c>
      <c r="N63" s="6">
        <f t="shared" si="103"/>
        <v>0.40939597315436238</v>
      </c>
      <c r="O63" s="4" t="s">
        <v>63</v>
      </c>
      <c r="P63" s="4"/>
      <c r="Q63" s="4"/>
      <c r="R63" s="4"/>
      <c r="S63" s="4"/>
      <c r="T63" s="4"/>
      <c r="U63" s="4"/>
      <c r="V63" s="4"/>
      <c r="W63" s="4"/>
      <c r="X63" s="4">
        <v>360</v>
      </c>
      <c r="Y63" s="4">
        <f t="shared" si="104"/>
        <v>360</v>
      </c>
      <c r="Z63" s="4">
        <v>193</v>
      </c>
      <c r="AA63" s="4">
        <f t="shared" si="105"/>
        <v>193</v>
      </c>
      <c r="AB63" s="4"/>
      <c r="AC63" s="20">
        <f t="shared" si="106"/>
        <v>327</v>
      </c>
      <c r="AD63" s="6">
        <f t="shared" si="107"/>
        <v>0.40978593272171249</v>
      </c>
      <c r="AE63" s="4">
        <v>626.25</v>
      </c>
      <c r="AF63" s="4">
        <f t="shared" si="108"/>
        <v>289</v>
      </c>
      <c r="AG63" s="4">
        <f t="shared" si="109"/>
        <v>316.91477272727275</v>
      </c>
      <c r="AH63" s="6">
        <f t="shared" si="110"/>
        <v>0.39100346020761245</v>
      </c>
      <c r="AI63" s="7">
        <v>316</v>
      </c>
      <c r="AJ63" s="6">
        <f t="shared" si="111"/>
        <v>0.38924050632911389</v>
      </c>
      <c r="AK63" s="4">
        <f t="shared" si="112"/>
        <v>123</v>
      </c>
      <c r="AL63" s="27"/>
      <c r="AM63" s="6"/>
      <c r="AN63" s="6"/>
      <c r="AO63" s="6">
        <f t="shared" si="113"/>
        <v>1.0909090909090908</v>
      </c>
      <c r="AP63" s="6">
        <f t="shared" si="114"/>
        <v>1.0604026845637584</v>
      </c>
      <c r="AQ63" s="6">
        <f t="shared" si="115"/>
        <v>1.0965909090909092</v>
      </c>
      <c r="AR63" s="4"/>
      <c r="AS63" s="4"/>
      <c r="AT63" s="4"/>
      <c r="AU63" s="4"/>
      <c r="AV63" s="4"/>
      <c r="AW63" s="4"/>
      <c r="AX63" s="4"/>
      <c r="AY63" s="4"/>
      <c r="AZ63" s="4"/>
      <c r="BA63" s="4">
        <v>0</v>
      </c>
      <c r="BB63" s="4" t="s">
        <v>174</v>
      </c>
      <c r="BC63" s="4"/>
      <c r="BD63" s="4"/>
      <c r="BE63" s="4" t="s">
        <v>65</v>
      </c>
      <c r="BF63" s="4">
        <v>238</v>
      </c>
      <c r="BG63" s="4">
        <v>289</v>
      </c>
      <c r="BH63" s="4">
        <f t="shared" si="116"/>
        <v>289</v>
      </c>
      <c r="BI63" s="18">
        <v>4</v>
      </c>
      <c r="BJ63" s="18">
        <v>1</v>
      </c>
      <c r="BK63" s="16">
        <v>5</v>
      </c>
      <c r="BL63" s="31">
        <v>46204</v>
      </c>
      <c r="BM63" s="31">
        <v>46478</v>
      </c>
      <c r="BN63" t="s">
        <v>62</v>
      </c>
      <c r="BO63" t="s">
        <v>62</v>
      </c>
      <c r="BP63" t="str">
        <f t="shared" si="117"/>
        <v>-</v>
      </c>
      <c r="BQ63">
        <v>298</v>
      </c>
      <c r="BR63">
        <v>298</v>
      </c>
      <c r="BS63">
        <f t="shared" si="118"/>
        <v>326.78409090909093</v>
      </c>
      <c r="BT63" s="4" t="s">
        <v>274</v>
      </c>
      <c r="BV63" t="s">
        <v>278</v>
      </c>
    </row>
    <row r="64" spans="1:74" x14ac:dyDescent="0.4">
      <c r="A64">
        <v>255</v>
      </c>
      <c r="B64" s="3">
        <v>65</v>
      </c>
      <c r="C64" s="3">
        <v>41</v>
      </c>
      <c r="D64" s="30">
        <v>686463</v>
      </c>
      <c r="E64" s="4" t="str">
        <f t="shared" si="102"/>
        <v>686463</v>
      </c>
      <c r="F64" s="4">
        <v>203815</v>
      </c>
      <c r="G64" s="4" t="s">
        <v>223</v>
      </c>
      <c r="H64" s="5">
        <v>4902505437861</v>
      </c>
      <c r="I64" s="5"/>
      <c r="J64" s="5"/>
      <c r="K64" s="4">
        <v>3300</v>
      </c>
      <c r="L64" s="4">
        <v>2830</v>
      </c>
      <c r="M64" s="4">
        <v>1760</v>
      </c>
      <c r="N64" s="6">
        <f t="shared" si="103"/>
        <v>0.37809187279151946</v>
      </c>
      <c r="O64" s="4"/>
      <c r="P64" s="4"/>
      <c r="Q64" s="4"/>
      <c r="R64" s="4"/>
      <c r="S64" s="4"/>
      <c r="T64" s="4"/>
      <c r="U64" s="4"/>
      <c r="V64" s="4"/>
      <c r="W64" s="4"/>
      <c r="X64" s="4">
        <v>360</v>
      </c>
      <c r="Y64" s="4">
        <f t="shared" si="104"/>
        <v>3600</v>
      </c>
      <c r="Z64" s="4">
        <v>193</v>
      </c>
      <c r="AA64" s="4">
        <f t="shared" si="105"/>
        <v>1930</v>
      </c>
      <c r="AB64" s="4">
        <v>10</v>
      </c>
      <c r="AC64" s="20">
        <f t="shared" si="106"/>
        <v>3103</v>
      </c>
      <c r="AD64" s="6">
        <f t="shared" si="107"/>
        <v>0.37802126973896233</v>
      </c>
      <c r="AE64" s="4">
        <v>626.25</v>
      </c>
      <c r="AF64" s="4">
        <f t="shared" si="108"/>
        <v>2732</v>
      </c>
      <c r="AG64" s="4">
        <f t="shared" si="109"/>
        <v>2995.886363636364</v>
      </c>
      <c r="AH64" s="6">
        <f t="shared" si="110"/>
        <v>0.35578330893118604</v>
      </c>
      <c r="AI64" s="7">
        <v>2995</v>
      </c>
      <c r="AJ64" s="6">
        <f t="shared" si="111"/>
        <v>0.35559265442404009</v>
      </c>
      <c r="AK64" s="4">
        <f t="shared" si="112"/>
        <v>1065</v>
      </c>
      <c r="AL64" s="27"/>
      <c r="AM64" s="6"/>
      <c r="AN64" s="6"/>
      <c r="AO64" s="6">
        <f t="shared" si="113"/>
        <v>1.0909090909090908</v>
      </c>
      <c r="AP64" s="6">
        <f t="shared" si="114"/>
        <v>1.058303886925795</v>
      </c>
      <c r="AQ64" s="6">
        <f t="shared" si="115"/>
        <v>1.0965909090909092</v>
      </c>
      <c r="AR64" s="4"/>
      <c r="AS64" s="4"/>
      <c r="AT64" s="4"/>
      <c r="AU64" s="4"/>
      <c r="AV64" s="4"/>
      <c r="AW64" s="4"/>
      <c r="AX64" s="4"/>
      <c r="AY64" s="4"/>
      <c r="AZ64" s="4"/>
      <c r="BA64" s="4">
        <v>0</v>
      </c>
      <c r="BB64" s="4" t="s">
        <v>224</v>
      </c>
      <c r="BC64" s="4"/>
      <c r="BD64" s="4"/>
      <c r="BE64" s="4" t="s">
        <v>216</v>
      </c>
      <c r="BF64" s="4">
        <v>2253</v>
      </c>
      <c r="BG64" s="4">
        <v>2732</v>
      </c>
      <c r="BH64" s="4">
        <f t="shared" si="116"/>
        <v>2732</v>
      </c>
      <c r="BI64" s="18">
        <v>4</v>
      </c>
      <c r="BJ64" s="18">
        <v>1</v>
      </c>
      <c r="BK64" s="16">
        <v>5</v>
      </c>
      <c r="BL64" s="31">
        <v>46204</v>
      </c>
      <c r="BM64" s="31">
        <v>46478</v>
      </c>
      <c r="BN64" t="s">
        <v>62</v>
      </c>
      <c r="BO64" t="s">
        <v>62</v>
      </c>
      <c r="BP64" t="str">
        <f t="shared" si="117"/>
        <v>-</v>
      </c>
      <c r="BQ64">
        <v>298</v>
      </c>
      <c r="BR64">
        <v>298</v>
      </c>
      <c r="BS64">
        <f t="shared" si="118"/>
        <v>326.78409090909093</v>
      </c>
      <c r="BT64" s="4" t="s">
        <v>275</v>
      </c>
      <c r="BU64">
        <v>2</v>
      </c>
      <c r="BV64" t="s">
        <v>278</v>
      </c>
    </row>
    <row r="65" spans="1:74" x14ac:dyDescent="0.4">
      <c r="A65">
        <v>303</v>
      </c>
      <c r="B65" s="3">
        <v>46</v>
      </c>
      <c r="C65" s="3">
        <v>46</v>
      </c>
      <c r="D65" s="4">
        <v>711501</v>
      </c>
      <c r="E65" s="4" t="str">
        <f t="shared" ref="E65:E68" si="119">TEXT(D65,"000000")</f>
        <v>711501</v>
      </c>
      <c r="F65" s="4">
        <v>503766</v>
      </c>
      <c r="G65" s="4" t="s">
        <v>187</v>
      </c>
      <c r="H65" s="5">
        <v>4902505140631</v>
      </c>
      <c r="I65" s="5">
        <v>1</v>
      </c>
      <c r="J65" s="5">
        <v>1</v>
      </c>
      <c r="K65" s="4">
        <v>400</v>
      </c>
      <c r="L65" s="4">
        <v>371</v>
      </c>
      <c r="M65" s="4">
        <v>244</v>
      </c>
      <c r="N65" s="6">
        <f t="shared" ref="N65:N68" si="120">1-M65/L65</f>
        <v>0.34231805929919135</v>
      </c>
      <c r="O65" s="4" t="s">
        <v>63</v>
      </c>
      <c r="P65" s="4"/>
      <c r="Q65" s="4"/>
      <c r="R65" s="4"/>
      <c r="S65" s="4"/>
      <c r="T65" s="4"/>
      <c r="U65" s="4"/>
      <c r="V65" s="4"/>
      <c r="W65" s="4"/>
      <c r="X65" s="4">
        <v>500</v>
      </c>
      <c r="Y65" s="4">
        <f t="shared" ref="Y65:Y68" si="121">IF(AB65="",X65,X65*AB65)</f>
        <v>500</v>
      </c>
      <c r="Z65" s="4">
        <v>305</v>
      </c>
      <c r="AA65" s="4">
        <f t="shared" ref="AA65:AA68" si="122">IF(AB65="",Z65,Z65*AB65)</f>
        <v>305</v>
      </c>
      <c r="AB65" s="4"/>
      <c r="AC65" s="20">
        <f t="shared" ref="AC65:AC68" si="123">ROUND(L65*AQ65,0)</f>
        <v>464</v>
      </c>
      <c r="AD65" s="6">
        <f t="shared" ref="AD65:AD68" si="124">1-AA65/AC65</f>
        <v>0.34267241379310343</v>
      </c>
      <c r="AE65" s="4">
        <v>10.25</v>
      </c>
      <c r="AF65" s="4">
        <f t="shared" ref="AF65:AF68" si="125">BH65</f>
        <v>400</v>
      </c>
      <c r="AG65" s="4">
        <f t="shared" ref="AG65:AG68" si="126">AF65*AQ65</f>
        <v>500</v>
      </c>
      <c r="AH65" s="6">
        <f t="shared" ref="AH65:AH68" si="127">1-AA65/AG65</f>
        <v>0.39</v>
      </c>
      <c r="AI65" s="7">
        <v>450</v>
      </c>
      <c r="AJ65" s="6">
        <f t="shared" ref="AJ65:AJ68" si="128">1-AA65/AI65</f>
        <v>0.32222222222222219</v>
      </c>
      <c r="AK65" s="4">
        <f t="shared" ref="AK65:AK68" si="129">AI65-AA65</f>
        <v>145</v>
      </c>
      <c r="AL65" s="27"/>
      <c r="AM65" s="6"/>
      <c r="AN65" s="6"/>
      <c r="AO65" s="6">
        <f t="shared" ref="AO65:AO68" si="130">Y65/K65</f>
        <v>1.25</v>
      </c>
      <c r="AP65" s="6">
        <f t="shared" ref="AP65:AP68" si="131">AI65/L65</f>
        <v>1.2129380053908356</v>
      </c>
      <c r="AQ65" s="6">
        <f t="shared" ref="AQ65:AQ68" si="132">AA65/M65</f>
        <v>1.25</v>
      </c>
      <c r="AR65" s="4"/>
      <c r="AS65" s="4"/>
      <c r="AT65" s="4"/>
      <c r="AU65" s="4"/>
      <c r="AV65" s="4"/>
      <c r="AW65" s="4"/>
      <c r="AX65" s="4"/>
      <c r="AY65" s="4"/>
      <c r="AZ65" s="4"/>
      <c r="BA65" s="4">
        <v>0</v>
      </c>
      <c r="BB65" s="4" t="s">
        <v>239</v>
      </c>
      <c r="BC65" s="4"/>
      <c r="BD65" s="4"/>
      <c r="BE65" s="4" t="s">
        <v>240</v>
      </c>
      <c r="BF65" s="4">
        <v>400</v>
      </c>
      <c r="BG65" s="4">
        <v>400</v>
      </c>
      <c r="BH65" s="4">
        <f t="shared" ref="BH65:BH68" si="133">IF(BC65="",BG65,BC65/BD65*BG65)</f>
        <v>400</v>
      </c>
      <c r="BI65" s="18">
        <v>4</v>
      </c>
      <c r="BJ65" s="18">
        <v>1</v>
      </c>
      <c r="BK65" s="16">
        <v>5</v>
      </c>
      <c r="BL65" s="31">
        <v>46204</v>
      </c>
      <c r="BM65" s="31">
        <v>46478</v>
      </c>
      <c r="BN65">
        <v>360</v>
      </c>
      <c r="BO65">
        <v>360</v>
      </c>
      <c r="BP65">
        <f t="shared" ref="BP65:BP68" si="134">IFERROR(BO65*AQ65,"-")</f>
        <v>450</v>
      </c>
      <c r="BQ65" t="s">
        <v>62</v>
      </c>
      <c r="BR65" t="s">
        <v>62</v>
      </c>
      <c r="BS65" t="str">
        <f t="shared" ref="BS65:BS68" si="135">IFERROR(BR65*AQ65,"-")</f>
        <v>-</v>
      </c>
      <c r="BT65" s="4" t="s">
        <v>236</v>
      </c>
      <c r="BV65" t="s">
        <v>278</v>
      </c>
    </row>
    <row r="66" spans="1:74" x14ac:dyDescent="0.4">
      <c r="A66">
        <v>306</v>
      </c>
      <c r="B66" s="3">
        <v>47</v>
      </c>
      <c r="C66" s="3">
        <v>47</v>
      </c>
      <c r="D66" s="4">
        <v>711502</v>
      </c>
      <c r="E66" s="4" t="str">
        <f t="shared" si="119"/>
        <v>711502</v>
      </c>
      <c r="F66" s="4">
        <v>503748</v>
      </c>
      <c r="G66" s="4" t="s">
        <v>188</v>
      </c>
      <c r="H66" s="5">
        <v>4902505140617</v>
      </c>
      <c r="I66" s="5">
        <v>1</v>
      </c>
      <c r="J66" s="5">
        <v>1</v>
      </c>
      <c r="K66" s="4">
        <v>400</v>
      </c>
      <c r="L66" s="4">
        <v>371</v>
      </c>
      <c r="M66" s="4">
        <v>244</v>
      </c>
      <c r="N66" s="6">
        <f t="shared" si="120"/>
        <v>0.34231805929919135</v>
      </c>
      <c r="O66" s="4" t="s">
        <v>63</v>
      </c>
      <c r="P66" s="4"/>
      <c r="Q66" s="4"/>
      <c r="R66" s="4"/>
      <c r="S66" s="4"/>
      <c r="T66" s="4"/>
      <c r="U66" s="4"/>
      <c r="V66" s="4"/>
      <c r="W66" s="4"/>
      <c r="X66" s="4">
        <v>500</v>
      </c>
      <c r="Y66" s="4">
        <f t="shared" si="121"/>
        <v>500</v>
      </c>
      <c r="Z66" s="4">
        <v>305</v>
      </c>
      <c r="AA66" s="4">
        <f t="shared" si="122"/>
        <v>305</v>
      </c>
      <c r="AB66" s="4"/>
      <c r="AC66" s="20">
        <f t="shared" si="123"/>
        <v>464</v>
      </c>
      <c r="AD66" s="6">
        <f t="shared" si="124"/>
        <v>0.34267241379310343</v>
      </c>
      <c r="AE66" s="4">
        <v>11</v>
      </c>
      <c r="AF66" s="4">
        <f t="shared" si="125"/>
        <v>360</v>
      </c>
      <c r="AG66" s="4">
        <f t="shared" si="126"/>
        <v>450</v>
      </c>
      <c r="AH66" s="6">
        <f t="shared" si="127"/>
        <v>0.32222222222222219</v>
      </c>
      <c r="AI66" s="7">
        <v>450</v>
      </c>
      <c r="AJ66" s="6">
        <f t="shared" si="128"/>
        <v>0.32222222222222219</v>
      </c>
      <c r="AK66" s="4">
        <f t="shared" si="129"/>
        <v>145</v>
      </c>
      <c r="AL66" s="27"/>
      <c r="AM66" s="6"/>
      <c r="AN66" s="6"/>
      <c r="AO66" s="6">
        <f t="shared" si="130"/>
        <v>1.25</v>
      </c>
      <c r="AP66" s="6">
        <f t="shared" si="131"/>
        <v>1.2129380053908356</v>
      </c>
      <c r="AQ66" s="6">
        <f t="shared" si="132"/>
        <v>1.25</v>
      </c>
      <c r="AR66" s="4"/>
      <c r="AS66" s="4"/>
      <c r="AT66" s="4"/>
      <c r="AU66" s="4"/>
      <c r="AV66" s="4"/>
      <c r="AW66" s="4"/>
      <c r="AX66" s="4"/>
      <c r="AY66" s="4"/>
      <c r="AZ66" s="4"/>
      <c r="BA66" s="4">
        <v>0</v>
      </c>
      <c r="BB66" s="4" t="s">
        <v>241</v>
      </c>
      <c r="BC66" s="4"/>
      <c r="BD66" s="4"/>
      <c r="BE66" s="4" t="s">
        <v>240</v>
      </c>
      <c r="BF66" s="4">
        <v>360</v>
      </c>
      <c r="BG66" s="4">
        <v>360</v>
      </c>
      <c r="BH66" s="4">
        <f t="shared" si="133"/>
        <v>360</v>
      </c>
      <c r="BI66" s="18">
        <v>4</v>
      </c>
      <c r="BJ66" s="18">
        <v>1</v>
      </c>
      <c r="BK66" s="16">
        <v>5</v>
      </c>
      <c r="BL66" s="31">
        <v>46204</v>
      </c>
      <c r="BM66" s="31">
        <v>46478</v>
      </c>
      <c r="BN66" t="s">
        <v>62</v>
      </c>
      <c r="BO66" t="s">
        <v>62</v>
      </c>
      <c r="BP66" t="str">
        <f t="shared" si="134"/>
        <v>-</v>
      </c>
      <c r="BQ66">
        <v>362</v>
      </c>
      <c r="BR66">
        <v>362</v>
      </c>
      <c r="BS66">
        <f t="shared" si="135"/>
        <v>452.5</v>
      </c>
      <c r="BT66" s="4" t="s">
        <v>237</v>
      </c>
      <c r="BV66" t="s">
        <v>278</v>
      </c>
    </row>
    <row r="67" spans="1:74" x14ac:dyDescent="0.4">
      <c r="A67">
        <v>307</v>
      </c>
      <c r="B67" s="3">
        <v>48</v>
      </c>
      <c r="C67" s="3">
        <v>48</v>
      </c>
      <c r="D67" s="4">
        <v>711505</v>
      </c>
      <c r="E67" s="4" t="str">
        <f t="shared" si="119"/>
        <v>711505</v>
      </c>
      <c r="F67" s="4">
        <v>503757</v>
      </c>
      <c r="G67" s="4" t="s">
        <v>189</v>
      </c>
      <c r="H67" s="5">
        <v>4902505140624</v>
      </c>
      <c r="I67" s="5">
        <v>1</v>
      </c>
      <c r="J67" s="5">
        <v>1</v>
      </c>
      <c r="K67" s="4">
        <v>400</v>
      </c>
      <c r="L67" s="4">
        <v>371</v>
      </c>
      <c r="M67" s="4">
        <v>244</v>
      </c>
      <c r="N67" s="6">
        <f t="shared" si="120"/>
        <v>0.34231805929919135</v>
      </c>
      <c r="O67" s="4" t="s">
        <v>63</v>
      </c>
      <c r="P67" s="4"/>
      <c r="Q67" s="4"/>
      <c r="R67" s="4"/>
      <c r="S67" s="4"/>
      <c r="T67" s="4"/>
      <c r="U67" s="4"/>
      <c r="V67" s="4"/>
      <c r="W67" s="4"/>
      <c r="X67" s="4">
        <v>500</v>
      </c>
      <c r="Y67" s="4">
        <f t="shared" si="121"/>
        <v>500</v>
      </c>
      <c r="Z67" s="4">
        <v>305</v>
      </c>
      <c r="AA67" s="4">
        <f t="shared" si="122"/>
        <v>305</v>
      </c>
      <c r="AB67" s="4"/>
      <c r="AC67" s="20">
        <f t="shared" si="123"/>
        <v>464</v>
      </c>
      <c r="AD67" s="6">
        <f t="shared" si="124"/>
        <v>0.34267241379310343</v>
      </c>
      <c r="AE67" s="4">
        <v>2.5</v>
      </c>
      <c r="AF67" s="4">
        <f t="shared" si="125"/>
        <v>400</v>
      </c>
      <c r="AG67" s="4">
        <f t="shared" si="126"/>
        <v>500</v>
      </c>
      <c r="AH67" s="6">
        <f t="shared" si="127"/>
        <v>0.39</v>
      </c>
      <c r="AI67" s="7">
        <v>450</v>
      </c>
      <c r="AJ67" s="6">
        <f t="shared" si="128"/>
        <v>0.32222222222222219</v>
      </c>
      <c r="AK67" s="4">
        <f t="shared" si="129"/>
        <v>145</v>
      </c>
      <c r="AL67" s="27"/>
      <c r="AM67" s="6"/>
      <c r="AN67" s="6"/>
      <c r="AO67" s="6">
        <f t="shared" si="130"/>
        <v>1.25</v>
      </c>
      <c r="AP67" s="6">
        <f t="shared" si="131"/>
        <v>1.2129380053908356</v>
      </c>
      <c r="AQ67" s="6">
        <f t="shared" si="132"/>
        <v>1.25</v>
      </c>
      <c r="AR67" s="4"/>
      <c r="AS67" s="4"/>
      <c r="AT67" s="4"/>
      <c r="AU67" s="4"/>
      <c r="AV67" s="4"/>
      <c r="AW67" s="4"/>
      <c r="AX67" s="4"/>
      <c r="AY67" s="4"/>
      <c r="AZ67" s="4"/>
      <c r="BA67" s="4">
        <v>0</v>
      </c>
      <c r="BB67" s="4" t="s">
        <v>245</v>
      </c>
      <c r="BC67" s="4"/>
      <c r="BD67" s="4"/>
      <c r="BE67" s="4" t="s">
        <v>66</v>
      </c>
      <c r="BF67" s="4">
        <v>400</v>
      </c>
      <c r="BG67" s="4">
        <v>400</v>
      </c>
      <c r="BH67" s="4">
        <f t="shared" si="133"/>
        <v>400</v>
      </c>
      <c r="BI67" s="18">
        <v>4</v>
      </c>
      <c r="BJ67" s="18">
        <v>1</v>
      </c>
      <c r="BK67" s="16">
        <v>5</v>
      </c>
      <c r="BL67" s="31">
        <v>46204</v>
      </c>
      <c r="BM67" s="31">
        <v>46478</v>
      </c>
      <c r="BN67" t="s">
        <v>62</v>
      </c>
      <c r="BO67" t="s">
        <v>62</v>
      </c>
      <c r="BP67" t="str">
        <f t="shared" si="134"/>
        <v>-</v>
      </c>
      <c r="BQ67">
        <v>387</v>
      </c>
      <c r="BR67">
        <v>387</v>
      </c>
      <c r="BS67">
        <f t="shared" si="135"/>
        <v>483.75</v>
      </c>
      <c r="BT67" s="4" t="s">
        <v>244</v>
      </c>
      <c r="BV67" t="s">
        <v>278</v>
      </c>
    </row>
    <row r="68" spans="1:74" x14ac:dyDescent="0.4">
      <c r="A68">
        <v>312</v>
      </c>
      <c r="B68" s="3">
        <v>49</v>
      </c>
      <c r="C68" s="3">
        <v>49</v>
      </c>
      <c r="D68" s="4">
        <v>711551</v>
      </c>
      <c r="E68" s="4" t="str">
        <f t="shared" si="119"/>
        <v>711551</v>
      </c>
      <c r="F68" s="4">
        <v>503775</v>
      </c>
      <c r="G68" s="4" t="s">
        <v>190</v>
      </c>
      <c r="H68" s="5">
        <v>4902505140648</v>
      </c>
      <c r="I68" s="5">
        <v>1</v>
      </c>
      <c r="J68" s="5">
        <v>1</v>
      </c>
      <c r="K68" s="4">
        <v>400</v>
      </c>
      <c r="L68" s="4">
        <v>371</v>
      </c>
      <c r="M68" s="4">
        <v>244</v>
      </c>
      <c r="N68" s="6">
        <f t="shared" si="120"/>
        <v>0.34231805929919135</v>
      </c>
      <c r="O68" s="4" t="s">
        <v>63</v>
      </c>
      <c r="P68" s="4"/>
      <c r="Q68" s="4"/>
      <c r="R68" s="4"/>
      <c r="S68" s="4"/>
      <c r="T68" s="4"/>
      <c r="U68" s="4"/>
      <c r="V68" s="4"/>
      <c r="W68" s="4"/>
      <c r="X68" s="4">
        <v>500</v>
      </c>
      <c r="Y68" s="4">
        <f t="shared" si="121"/>
        <v>500</v>
      </c>
      <c r="Z68" s="4">
        <v>305</v>
      </c>
      <c r="AA68" s="4">
        <f t="shared" si="122"/>
        <v>305</v>
      </c>
      <c r="AB68" s="4"/>
      <c r="AC68" s="20">
        <f t="shared" si="123"/>
        <v>464</v>
      </c>
      <c r="AD68" s="6">
        <f t="shared" si="124"/>
        <v>0.34267241379310343</v>
      </c>
      <c r="AE68" s="4">
        <v>7.5</v>
      </c>
      <c r="AF68" s="4">
        <f t="shared" si="125"/>
        <v>360</v>
      </c>
      <c r="AG68" s="4">
        <f t="shared" si="126"/>
        <v>450</v>
      </c>
      <c r="AH68" s="6">
        <f t="shared" si="127"/>
        <v>0.32222222222222219</v>
      </c>
      <c r="AI68" s="7">
        <v>450</v>
      </c>
      <c r="AJ68" s="6">
        <f t="shared" si="128"/>
        <v>0.32222222222222219</v>
      </c>
      <c r="AK68" s="4">
        <f t="shared" si="129"/>
        <v>145</v>
      </c>
      <c r="AL68" s="27"/>
      <c r="AM68" s="6"/>
      <c r="AN68" s="6"/>
      <c r="AO68" s="6">
        <f t="shared" si="130"/>
        <v>1.25</v>
      </c>
      <c r="AP68" s="6">
        <f t="shared" si="131"/>
        <v>1.2129380053908356</v>
      </c>
      <c r="AQ68" s="6">
        <f t="shared" si="132"/>
        <v>1.25</v>
      </c>
      <c r="AR68" s="4"/>
      <c r="AS68" s="4"/>
      <c r="AT68" s="4"/>
      <c r="AU68" s="4"/>
      <c r="AV68" s="4"/>
      <c r="AW68" s="4"/>
      <c r="AX68" s="4"/>
      <c r="AY68" s="4"/>
      <c r="AZ68" s="4"/>
      <c r="BA68" s="4">
        <v>0</v>
      </c>
      <c r="BB68" s="4" t="s">
        <v>242</v>
      </c>
      <c r="BC68" s="4"/>
      <c r="BD68" s="4"/>
      <c r="BE68" s="4" t="s">
        <v>240</v>
      </c>
      <c r="BF68" s="4">
        <v>360</v>
      </c>
      <c r="BG68" s="4">
        <v>360</v>
      </c>
      <c r="BH68" s="4">
        <f t="shared" si="133"/>
        <v>360</v>
      </c>
      <c r="BI68" s="18">
        <v>4</v>
      </c>
      <c r="BJ68" s="18">
        <v>1</v>
      </c>
      <c r="BK68" s="16">
        <v>5</v>
      </c>
      <c r="BL68" s="31">
        <v>46204</v>
      </c>
      <c r="BM68" s="31">
        <v>46478</v>
      </c>
      <c r="BN68" t="s">
        <v>62</v>
      </c>
      <c r="BO68" t="s">
        <v>62</v>
      </c>
      <c r="BP68" t="str">
        <f t="shared" si="134"/>
        <v>-</v>
      </c>
      <c r="BQ68">
        <v>362</v>
      </c>
      <c r="BR68">
        <v>362</v>
      </c>
      <c r="BS68">
        <f t="shared" si="135"/>
        <v>452.5</v>
      </c>
      <c r="BT68" s="4" t="s">
        <v>238</v>
      </c>
      <c r="BV68" t="s">
        <v>278</v>
      </c>
    </row>
    <row r="69" spans="1:74" x14ac:dyDescent="0.4">
      <c r="A69">
        <v>168</v>
      </c>
      <c r="B69" s="3">
        <v>18</v>
      </c>
      <c r="C69" s="3">
        <v>18</v>
      </c>
      <c r="D69" s="4">
        <v>612132</v>
      </c>
      <c r="E69" s="4" t="str">
        <f t="shared" ref="E69:E72" si="136">TEXT(D69,"000000")</f>
        <v>612132</v>
      </c>
      <c r="F69" s="4">
        <v>612132</v>
      </c>
      <c r="G69" s="4" t="s">
        <v>119</v>
      </c>
      <c r="H69" s="5">
        <v>4902505292101</v>
      </c>
      <c r="I69" s="5">
        <v>1</v>
      </c>
      <c r="J69" s="5">
        <v>1</v>
      </c>
      <c r="K69" s="4">
        <v>700</v>
      </c>
      <c r="L69" s="4">
        <v>680</v>
      </c>
      <c r="M69" s="4">
        <v>374</v>
      </c>
      <c r="N69" s="6">
        <f t="shared" ref="N69:N72" si="137">1-M69/L69</f>
        <v>0.44999999999999996</v>
      </c>
      <c r="O69" s="4" t="s">
        <v>63</v>
      </c>
      <c r="P69" s="4"/>
      <c r="Q69" s="4"/>
      <c r="R69" s="4"/>
      <c r="S69" s="4"/>
      <c r="T69" s="4"/>
      <c r="U69" s="4"/>
      <c r="V69" s="4"/>
      <c r="W69" s="4"/>
      <c r="X69" s="4">
        <v>800</v>
      </c>
      <c r="Y69" s="4">
        <f t="shared" ref="Y69:Y72" si="138">IF(AB69="",X69,X69*AB69)</f>
        <v>800</v>
      </c>
      <c r="Z69" s="4">
        <v>428</v>
      </c>
      <c r="AA69" s="4">
        <f t="shared" ref="AA69:AA72" si="139">IF(AB69="",Z69,Z69*AB69)</f>
        <v>428</v>
      </c>
      <c r="AB69" s="4"/>
      <c r="AC69" s="20">
        <f t="shared" ref="AC69:AC72" si="140">ROUND(L69*AQ69,0)</f>
        <v>778</v>
      </c>
      <c r="AD69" s="6">
        <f t="shared" ref="AD69:AD72" si="141">1-AA69/AC69</f>
        <v>0.44987146529562982</v>
      </c>
      <c r="AE69" s="4">
        <v>5.75</v>
      </c>
      <c r="AF69" s="4" t="str">
        <f t="shared" ref="AF69:AF72" si="142">BH69</f>
        <v>-</v>
      </c>
      <c r="AG69" s="4" t="e">
        <f t="shared" ref="AG69:AG72" si="143">AF69*AQ69</f>
        <v>#VALUE!</v>
      </c>
      <c r="AH69" s="6" t="e">
        <f t="shared" ref="AH69:AH72" si="144">1-AA69/AG69</f>
        <v>#VALUE!</v>
      </c>
      <c r="AI69" s="7">
        <v>668</v>
      </c>
      <c r="AJ69" s="6">
        <f t="shared" ref="AJ69:AJ72" si="145">1-AA69/AI69</f>
        <v>0.35928143712574845</v>
      </c>
      <c r="AK69" s="4">
        <f t="shared" ref="AK69:AK72" si="146">AI69-AA69</f>
        <v>240</v>
      </c>
      <c r="AL69" s="27"/>
      <c r="AM69" s="6"/>
      <c r="AN69" s="6"/>
      <c r="AO69" s="6">
        <f t="shared" ref="AO69:AO72" si="147">Y69/K69</f>
        <v>1.1428571428571428</v>
      </c>
      <c r="AP69" s="6">
        <f t="shared" ref="AP69:AP72" si="148">AI69/L69</f>
        <v>0.98235294117647054</v>
      </c>
      <c r="AQ69" s="6">
        <f t="shared" ref="AQ69:AQ72" si="149">AA69/M69</f>
        <v>1.1443850267379678</v>
      </c>
      <c r="AR69" s="4"/>
      <c r="AS69" s="4"/>
      <c r="AT69" s="4"/>
      <c r="AU69" s="4"/>
      <c r="AV69" s="4"/>
      <c r="AW69" s="4"/>
      <c r="AX69" s="4"/>
      <c r="AY69" s="4"/>
      <c r="AZ69" s="4"/>
      <c r="BA69" s="4">
        <v>0</v>
      </c>
      <c r="BB69" s="4" t="s">
        <v>62</v>
      </c>
      <c r="BC69" s="4"/>
      <c r="BD69" s="4"/>
      <c r="BE69" s="4" t="s">
        <v>62</v>
      </c>
      <c r="BF69" s="4" t="s">
        <v>62</v>
      </c>
      <c r="BG69" s="4" t="s">
        <v>62</v>
      </c>
      <c r="BH69" s="4" t="str">
        <f t="shared" ref="BH69:BH72" si="150">IF(BC69="",BG69,BC69/BD69*BG69)</f>
        <v>-</v>
      </c>
      <c r="BI69" s="18">
        <v>4</v>
      </c>
      <c r="BJ69" s="18">
        <v>1</v>
      </c>
      <c r="BK69" s="16">
        <v>5</v>
      </c>
      <c r="BL69" s="31">
        <v>46204</v>
      </c>
      <c r="BM69" s="31">
        <v>46478</v>
      </c>
      <c r="BN69">
        <v>633</v>
      </c>
      <c r="BO69">
        <v>633</v>
      </c>
      <c r="BP69">
        <f t="shared" ref="BP69:BP72" si="151">IFERROR(BO69*AQ69,"-")</f>
        <v>724.39572192513367</v>
      </c>
      <c r="BQ69">
        <v>582</v>
      </c>
      <c r="BR69">
        <v>582</v>
      </c>
      <c r="BS69">
        <f t="shared" ref="BS69:BS72" si="152">IFERROR(BR69*AQ69,"-")</f>
        <v>666.0320855614973</v>
      </c>
      <c r="BT69" s="4" t="s">
        <v>62</v>
      </c>
      <c r="BV69" t="s">
        <v>278</v>
      </c>
    </row>
    <row r="70" spans="1:74" x14ac:dyDescent="0.4">
      <c r="A70">
        <v>169</v>
      </c>
      <c r="B70" s="3">
        <v>19</v>
      </c>
      <c r="C70" s="3">
        <v>19</v>
      </c>
      <c r="D70" s="4">
        <v>612138</v>
      </c>
      <c r="E70" s="4" t="str">
        <f t="shared" si="136"/>
        <v>612138</v>
      </c>
      <c r="F70" s="4">
        <v>612138</v>
      </c>
      <c r="G70" s="4" t="s">
        <v>120</v>
      </c>
      <c r="H70" s="5">
        <v>4902505308529</v>
      </c>
      <c r="I70" s="5">
        <v>1</v>
      </c>
      <c r="J70" s="5">
        <v>1</v>
      </c>
      <c r="K70" s="4">
        <v>700</v>
      </c>
      <c r="L70" s="4">
        <v>680</v>
      </c>
      <c r="M70" s="4">
        <v>374</v>
      </c>
      <c r="N70" s="6">
        <f t="shared" si="137"/>
        <v>0.44999999999999996</v>
      </c>
      <c r="O70" s="4" t="s">
        <v>63</v>
      </c>
      <c r="P70" s="4"/>
      <c r="Q70" s="4"/>
      <c r="R70" s="4"/>
      <c r="S70" s="4"/>
      <c r="T70" s="4"/>
      <c r="U70" s="4"/>
      <c r="V70" s="4"/>
      <c r="W70" s="4"/>
      <c r="X70" s="4">
        <v>800</v>
      </c>
      <c r="Y70" s="4">
        <f t="shared" si="138"/>
        <v>800</v>
      </c>
      <c r="Z70" s="4">
        <v>428</v>
      </c>
      <c r="AA70" s="4">
        <f t="shared" si="139"/>
        <v>428</v>
      </c>
      <c r="AB70" s="4"/>
      <c r="AC70" s="20">
        <f t="shared" si="140"/>
        <v>778</v>
      </c>
      <c r="AD70" s="6">
        <f t="shared" si="141"/>
        <v>0.44987146529562982</v>
      </c>
      <c r="AE70" s="4">
        <v>18.5</v>
      </c>
      <c r="AF70" s="4">
        <f t="shared" si="142"/>
        <v>631</v>
      </c>
      <c r="AG70" s="4">
        <f t="shared" si="143"/>
        <v>722.10695187165766</v>
      </c>
      <c r="AH70" s="6">
        <f t="shared" si="144"/>
        <v>0.40729001584786051</v>
      </c>
      <c r="AI70" s="7">
        <v>668</v>
      </c>
      <c r="AJ70" s="6">
        <f t="shared" si="145"/>
        <v>0.35928143712574845</v>
      </c>
      <c r="AK70" s="4">
        <f t="shared" si="146"/>
        <v>240</v>
      </c>
      <c r="AL70" s="27"/>
      <c r="AM70" s="6"/>
      <c r="AN70" s="6"/>
      <c r="AO70" s="6">
        <f t="shared" si="147"/>
        <v>1.1428571428571428</v>
      </c>
      <c r="AP70" s="6">
        <f t="shared" si="148"/>
        <v>0.98235294117647054</v>
      </c>
      <c r="AQ70" s="6">
        <f t="shared" si="149"/>
        <v>1.1443850267379678</v>
      </c>
      <c r="AR70" s="4"/>
      <c r="AS70" s="4"/>
      <c r="AT70" s="4"/>
      <c r="AU70" s="4"/>
      <c r="AV70" s="4"/>
      <c r="AW70" s="4"/>
      <c r="AX70" s="4"/>
      <c r="AY70" s="4"/>
      <c r="AZ70" s="4"/>
      <c r="BA70" s="4">
        <v>0</v>
      </c>
      <c r="BB70" s="4" t="s">
        <v>121</v>
      </c>
      <c r="BC70" s="4"/>
      <c r="BD70" s="4"/>
      <c r="BE70" s="4" t="s">
        <v>64</v>
      </c>
      <c r="BF70" s="4">
        <v>631</v>
      </c>
      <c r="BG70" s="4">
        <v>631</v>
      </c>
      <c r="BH70" s="4">
        <f t="shared" si="150"/>
        <v>631</v>
      </c>
      <c r="BI70" s="18">
        <v>4</v>
      </c>
      <c r="BJ70" s="18">
        <v>1</v>
      </c>
      <c r="BK70" s="16">
        <v>5</v>
      </c>
      <c r="BL70" s="31">
        <v>46204</v>
      </c>
      <c r="BM70" s="31">
        <v>46478</v>
      </c>
      <c r="BN70">
        <v>633</v>
      </c>
      <c r="BO70" t="s">
        <v>62</v>
      </c>
      <c r="BP70" t="str">
        <f t="shared" si="151"/>
        <v>-</v>
      </c>
      <c r="BQ70">
        <v>582</v>
      </c>
      <c r="BR70">
        <v>582</v>
      </c>
      <c r="BS70">
        <f t="shared" si="152"/>
        <v>666.0320855614973</v>
      </c>
      <c r="BT70" s="4" t="s">
        <v>122</v>
      </c>
      <c r="BV70" t="s">
        <v>278</v>
      </c>
    </row>
    <row r="71" spans="1:74" x14ac:dyDescent="0.4">
      <c r="A71">
        <v>171</v>
      </c>
      <c r="B71" s="3">
        <v>21</v>
      </c>
      <c r="C71" s="3">
        <v>21</v>
      </c>
      <c r="D71" s="4">
        <v>619815</v>
      </c>
      <c r="E71" s="4" t="str">
        <f t="shared" si="136"/>
        <v>619815</v>
      </c>
      <c r="F71" s="4">
        <v>619815</v>
      </c>
      <c r="G71" s="4" t="s">
        <v>126</v>
      </c>
      <c r="H71" s="5">
        <v>4902505129063</v>
      </c>
      <c r="I71" s="5">
        <v>1</v>
      </c>
      <c r="J71" s="5">
        <v>1</v>
      </c>
      <c r="K71" s="4">
        <v>700</v>
      </c>
      <c r="L71" s="4">
        <v>647</v>
      </c>
      <c r="M71" s="4">
        <v>374</v>
      </c>
      <c r="N71" s="6">
        <f t="shared" si="137"/>
        <v>0.42194744976816079</v>
      </c>
      <c r="O71" s="4" t="s">
        <v>63</v>
      </c>
      <c r="P71" s="4"/>
      <c r="Q71" s="4"/>
      <c r="R71" s="4"/>
      <c r="S71" s="4"/>
      <c r="T71" s="4"/>
      <c r="U71" s="4"/>
      <c r="V71" s="4"/>
      <c r="W71" s="4"/>
      <c r="X71" s="4">
        <v>1000</v>
      </c>
      <c r="Y71" s="4">
        <f t="shared" si="138"/>
        <v>1000</v>
      </c>
      <c r="Z71" s="4">
        <v>535</v>
      </c>
      <c r="AA71" s="4">
        <f t="shared" si="139"/>
        <v>535</v>
      </c>
      <c r="AB71" s="4"/>
      <c r="AC71" s="20">
        <f t="shared" si="140"/>
        <v>926</v>
      </c>
      <c r="AD71" s="6">
        <f t="shared" si="141"/>
        <v>0.4222462203023758</v>
      </c>
      <c r="AE71" s="4">
        <v>5</v>
      </c>
      <c r="AF71" s="4">
        <f t="shared" si="142"/>
        <v>630</v>
      </c>
      <c r="AG71" s="4">
        <f t="shared" si="143"/>
        <v>901.20320855614966</v>
      </c>
      <c r="AH71" s="6">
        <f t="shared" si="144"/>
        <v>0.40634920634920635</v>
      </c>
      <c r="AI71" s="7">
        <v>840</v>
      </c>
      <c r="AJ71" s="6">
        <f t="shared" si="145"/>
        <v>0.36309523809523814</v>
      </c>
      <c r="AK71" s="4">
        <f t="shared" si="146"/>
        <v>305</v>
      </c>
      <c r="AL71" s="27"/>
      <c r="AM71" s="6"/>
      <c r="AN71" s="6"/>
      <c r="AO71" s="6">
        <f t="shared" si="147"/>
        <v>1.4285714285714286</v>
      </c>
      <c r="AP71" s="6">
        <f t="shared" si="148"/>
        <v>1.2982998454404946</v>
      </c>
      <c r="AQ71" s="6">
        <f t="shared" si="149"/>
        <v>1.4304812834224598</v>
      </c>
      <c r="AR71" s="4"/>
      <c r="AS71" s="4"/>
      <c r="AT71" s="4"/>
      <c r="AU71" s="4"/>
      <c r="AV71" s="4"/>
      <c r="AW71" s="4"/>
      <c r="AX71" s="4"/>
      <c r="AY71" s="4"/>
      <c r="AZ71" s="4"/>
      <c r="BA71" s="4">
        <v>0</v>
      </c>
      <c r="BB71" s="4" t="s">
        <v>127</v>
      </c>
      <c r="BC71" s="4"/>
      <c r="BD71" s="4"/>
      <c r="BE71" s="4" t="s">
        <v>64</v>
      </c>
      <c r="BF71" s="4">
        <v>630</v>
      </c>
      <c r="BG71" s="4">
        <v>630</v>
      </c>
      <c r="BH71" s="4">
        <f t="shared" si="150"/>
        <v>630</v>
      </c>
      <c r="BI71" s="18">
        <v>4</v>
      </c>
      <c r="BJ71" s="18">
        <v>1</v>
      </c>
      <c r="BK71" s="16">
        <v>5</v>
      </c>
      <c r="BL71" s="31">
        <v>46204</v>
      </c>
      <c r="BM71" s="31">
        <v>46478</v>
      </c>
      <c r="BN71">
        <v>561</v>
      </c>
      <c r="BO71">
        <v>561</v>
      </c>
      <c r="BP71">
        <f t="shared" si="151"/>
        <v>802.5</v>
      </c>
      <c r="BQ71" t="s">
        <v>62</v>
      </c>
      <c r="BR71" t="s">
        <v>62</v>
      </c>
      <c r="BS71" t="str">
        <f t="shared" si="152"/>
        <v>-</v>
      </c>
      <c r="BT71" s="4" t="s">
        <v>128</v>
      </c>
      <c r="BV71" t="s">
        <v>278</v>
      </c>
    </row>
    <row r="72" spans="1:74" x14ac:dyDescent="0.4">
      <c r="A72">
        <v>170</v>
      </c>
      <c r="B72" s="3">
        <v>20</v>
      </c>
      <c r="C72" s="3">
        <v>20</v>
      </c>
      <c r="D72" s="4">
        <v>619814</v>
      </c>
      <c r="E72" s="4" t="str">
        <f t="shared" si="136"/>
        <v>619814</v>
      </c>
      <c r="F72" s="4">
        <v>619814</v>
      </c>
      <c r="G72" s="4" t="s">
        <v>123</v>
      </c>
      <c r="H72" s="5">
        <v>4902505028182</v>
      </c>
      <c r="I72" s="5">
        <v>1</v>
      </c>
      <c r="J72" s="5">
        <v>1</v>
      </c>
      <c r="K72" s="4">
        <v>1800</v>
      </c>
      <c r="L72" s="4">
        <v>1664</v>
      </c>
      <c r="M72" s="4">
        <v>1116</v>
      </c>
      <c r="N72" s="6">
        <f t="shared" si="137"/>
        <v>0.32932692307692313</v>
      </c>
      <c r="O72" s="4" t="s">
        <v>63</v>
      </c>
      <c r="P72" s="4"/>
      <c r="Q72" s="4"/>
      <c r="R72" s="4"/>
      <c r="S72" s="4"/>
      <c r="T72" s="4"/>
      <c r="U72" s="4"/>
      <c r="V72" s="4"/>
      <c r="W72" s="4"/>
      <c r="X72" s="4">
        <v>2000</v>
      </c>
      <c r="Y72" s="4">
        <f t="shared" si="138"/>
        <v>2000</v>
      </c>
      <c r="Z72" s="4">
        <v>1240</v>
      </c>
      <c r="AA72" s="4">
        <f t="shared" si="139"/>
        <v>1240</v>
      </c>
      <c r="AB72" s="4"/>
      <c r="AC72" s="20">
        <f t="shared" si="140"/>
        <v>1849</v>
      </c>
      <c r="AD72" s="6">
        <f t="shared" si="141"/>
        <v>0.32936722552731201</v>
      </c>
      <c r="AE72" s="4">
        <v>0.5</v>
      </c>
      <c r="AF72" s="4">
        <f t="shared" si="142"/>
        <v>1617</v>
      </c>
      <c r="AG72" s="4">
        <f t="shared" si="143"/>
        <v>1796.6666666666667</v>
      </c>
      <c r="AH72" s="6">
        <f t="shared" si="144"/>
        <v>0.30983302411873848</v>
      </c>
      <c r="AI72" s="7">
        <v>1790</v>
      </c>
      <c r="AJ72" s="6">
        <f t="shared" si="145"/>
        <v>0.30726256983240219</v>
      </c>
      <c r="AK72" s="4">
        <f t="shared" si="146"/>
        <v>550</v>
      </c>
      <c r="AL72" s="27"/>
      <c r="AM72" s="6"/>
      <c r="AN72" s="6"/>
      <c r="AO72" s="6">
        <f t="shared" si="147"/>
        <v>1.1111111111111112</v>
      </c>
      <c r="AP72" s="6">
        <f t="shared" si="148"/>
        <v>1.0757211538461537</v>
      </c>
      <c r="AQ72" s="6">
        <f t="shared" si="149"/>
        <v>1.1111111111111112</v>
      </c>
      <c r="AR72" s="4"/>
      <c r="AS72" s="4"/>
      <c r="AT72" s="4"/>
      <c r="AU72" s="4"/>
      <c r="AV72" s="4"/>
      <c r="AW72" s="4"/>
      <c r="AX72" s="4"/>
      <c r="AY72" s="4"/>
      <c r="AZ72" s="4"/>
      <c r="BA72" s="4">
        <v>0</v>
      </c>
      <c r="BB72" s="4" t="s">
        <v>124</v>
      </c>
      <c r="BC72" s="4"/>
      <c r="BD72" s="4"/>
      <c r="BE72" s="4" t="s">
        <v>66</v>
      </c>
      <c r="BF72" s="4">
        <v>1617</v>
      </c>
      <c r="BG72" s="4">
        <v>1617</v>
      </c>
      <c r="BH72" s="4">
        <f t="shared" si="150"/>
        <v>1617</v>
      </c>
      <c r="BI72" s="18">
        <v>4</v>
      </c>
      <c r="BJ72" s="18">
        <v>1</v>
      </c>
      <c r="BK72" s="16">
        <v>5</v>
      </c>
      <c r="BL72" s="31">
        <v>46204</v>
      </c>
      <c r="BM72" s="31">
        <v>46478</v>
      </c>
      <c r="BN72">
        <v>1441</v>
      </c>
      <c r="BO72">
        <v>1441</v>
      </c>
      <c r="BP72">
        <f t="shared" si="151"/>
        <v>1601.1111111111111</v>
      </c>
      <c r="BQ72">
        <v>1753</v>
      </c>
      <c r="BR72">
        <v>1753</v>
      </c>
      <c r="BS72">
        <f t="shared" si="152"/>
        <v>1947.7777777777778</v>
      </c>
      <c r="BT72" s="4" t="s">
        <v>125</v>
      </c>
      <c r="BV72" t="s">
        <v>278</v>
      </c>
    </row>
  </sheetData>
  <autoFilter ref="A3:BV72" xr:uid="{7A1660CF-9003-4B2D-B659-7F339ED5B476}"/>
  <sortState xmlns:xlrd2="http://schemas.microsoft.com/office/spreadsheetml/2017/richdata2" ref="A4:AF72">
    <sortCondition ref="A4:A72"/>
  </sortState>
  <mergeCells count="3">
    <mergeCell ref="K2:N2"/>
    <mergeCell ref="I2:J2"/>
    <mergeCell ref="X1:AA1"/>
  </mergeCells>
  <phoneticPr fontId="2"/>
  <conditionalFormatting sqref="AG4:AG72">
    <cfRule type="cellIs" dxfId="5" priority="6" operator="lessThan">
      <formula>$AI4</formula>
    </cfRule>
  </conditionalFormatting>
  <conditionalFormatting sqref="AH4:AH72">
    <cfRule type="cellIs" dxfId="4" priority="5" operator="lessThan">
      <formula>0.2</formula>
    </cfRule>
  </conditionalFormatting>
  <conditionalFormatting sqref="AI4:AI72">
    <cfRule type="cellIs" dxfId="3" priority="9" operator="greaterThan">
      <formula>$Y4</formula>
    </cfRule>
  </conditionalFormatting>
  <conditionalFormatting sqref="BG4:BG72">
    <cfRule type="cellIs" dxfId="2" priority="3" operator="notEqual">
      <formula>$BF4</formula>
    </cfRule>
  </conditionalFormatting>
  <conditionalFormatting sqref="BO4:BO72">
    <cfRule type="cellIs" dxfId="1" priority="2" operator="notEqual">
      <formula>$BN4</formula>
    </cfRule>
  </conditionalFormatting>
  <conditionalFormatting sqref="BR4:BR72">
    <cfRule type="cellIs" dxfId="0" priority="1" operator="notEqual">
      <formula>$BQ4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2026-07-01T02:55:54Z</dcterms:modified>
</cp:coreProperties>
</file>