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フォーレスト007\保存用\商談\ｴ_エプソン_458\"/>
    </mc:Choice>
  </mc:AlternateContent>
  <xr:revisionPtr revIDLastSave="0" documentId="13_ncr:1_{F379CF81-809E-4E4A-87A2-ADCE356E626C}" xr6:coauthVersionLast="47" xr6:coauthVersionMax="47" xr10:uidLastSave="{00000000-0000-0000-0000-000000000000}"/>
  <bookViews>
    <workbookView xWindow="-120" yWindow="-120" windowWidth="29040" windowHeight="15720" xr2:uid="{CC14108B-38B1-4AF3-A2A8-D32DF8046A97}"/>
  </bookViews>
  <sheets>
    <sheet name="Sheet1" sheetId="1" r:id="rId1"/>
  </sheets>
  <definedNames>
    <definedName name="_xlnm._FilterDatabase" localSheetId="0">Sheet1!$A$3:$BQ$3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S4" i="1" l="1"/>
  <c r="AU4" i="1"/>
  <c r="AT4" i="1"/>
  <c r="BI5" i="1" l="1"/>
  <c r="AG5" i="1" s="1"/>
  <c r="BI4" i="1"/>
  <c r="AG4" i="1" s="1"/>
  <c r="AB5" i="1"/>
  <c r="AR5" i="1" s="1"/>
  <c r="Z5" i="1"/>
  <c r="AP5" i="1" s="1"/>
  <c r="D5" i="1"/>
  <c r="D4" i="1"/>
  <c r="AB4" i="1"/>
  <c r="Z4" i="1"/>
  <c r="AP4" i="1" s="1"/>
  <c r="AQ4" i="1"/>
  <c r="AQ5" i="1"/>
  <c r="O5" i="1"/>
  <c r="O4" i="1"/>
  <c r="AD5" i="1" l="1"/>
  <c r="AE5" i="1" s="1"/>
  <c r="BP5" i="1"/>
  <c r="AK5" i="1"/>
  <c r="AK4" i="1"/>
  <c r="AH5" i="1"/>
  <c r="AI5" i="1" s="1"/>
  <c r="AL5" i="1"/>
  <c r="AN4" i="1"/>
  <c r="AO4" i="1"/>
  <c r="AL4" i="1"/>
  <c r="AR4" i="1"/>
  <c r="AD4" i="1" l="1"/>
  <c r="AE4" i="1" s="1"/>
  <c r="BP4" i="1"/>
  <c r="AH4" i="1"/>
  <c r="AI4" i="1" s="1"/>
</calcChain>
</file>

<file path=xl/sharedStrings.xml><?xml version="1.0" encoding="utf-8"?>
<sst xmlns="http://schemas.openxmlformats.org/spreadsheetml/2006/main" count="93" uniqueCount="75">
  <si>
    <t>商品名</t>
    <rPh sb="0" eb="3">
      <t>ショウヒンメイ</t>
    </rPh>
    <phoneticPr fontId="1"/>
  </si>
  <si>
    <t>小売価格
(税抜）</t>
    <rPh sb="6" eb="8">
      <t>ゼイヌ</t>
    </rPh>
    <phoneticPr fontId="1"/>
  </si>
  <si>
    <t>現行</t>
    <rPh sb="0" eb="2">
      <t>ゲンコウ</t>
    </rPh>
    <phoneticPr fontId="2"/>
  </si>
  <si>
    <t>小売価格
(税抜)</t>
    <rPh sb="6" eb="8">
      <t>ゼイヌ</t>
    </rPh>
    <phoneticPr fontId="1"/>
  </si>
  <si>
    <t>品目CD</t>
    <rPh sb="0" eb="2">
      <t>ヒンモク</t>
    </rPh>
    <phoneticPr fontId="1"/>
  </si>
  <si>
    <t>仕切り</t>
    <rPh sb="0" eb="2">
      <t>シキ</t>
    </rPh>
    <phoneticPr fontId="2"/>
  </si>
  <si>
    <t>換算</t>
    <rPh sb="0" eb="2">
      <t>カンザン</t>
    </rPh>
    <phoneticPr fontId="2"/>
  </si>
  <si>
    <t>JAN</t>
    <phoneticPr fontId="2"/>
  </si>
  <si>
    <t>売価</t>
    <rPh sb="0" eb="2">
      <t>バイカ</t>
    </rPh>
    <phoneticPr fontId="2"/>
  </si>
  <si>
    <t>品目TEXT</t>
    <rPh sb="0" eb="2">
      <t>ヒンモク</t>
    </rPh>
    <phoneticPr fontId="2"/>
  </si>
  <si>
    <t>注文番号</t>
    <rPh sb="0" eb="2">
      <t>チュウモン</t>
    </rPh>
    <rPh sb="2" eb="4">
      <t>バンゴウ</t>
    </rPh>
    <phoneticPr fontId="2"/>
  </si>
  <si>
    <t>カタログ</t>
    <phoneticPr fontId="2"/>
  </si>
  <si>
    <t>アスクル</t>
    <phoneticPr fontId="2"/>
  </si>
  <si>
    <t>FW入数</t>
    <rPh sb="2" eb="4">
      <t>イリスウ</t>
    </rPh>
    <phoneticPr fontId="2"/>
  </si>
  <si>
    <t>アスクル入数</t>
    <rPh sb="4" eb="6">
      <t>イリスウ</t>
    </rPh>
    <phoneticPr fontId="2"/>
  </si>
  <si>
    <t>換算金額</t>
    <rPh sb="0" eb="2">
      <t>カンザン</t>
    </rPh>
    <rPh sb="2" eb="4">
      <t>キンガク</t>
    </rPh>
    <phoneticPr fontId="2"/>
  </si>
  <si>
    <t>粗利率</t>
    <rPh sb="0" eb="3">
      <t>アラリリツ</t>
    </rPh>
    <phoneticPr fontId="2"/>
  </si>
  <si>
    <t>スライド
売価</t>
    <rPh sb="5" eb="7">
      <t>バイカ</t>
    </rPh>
    <phoneticPr fontId="2"/>
  </si>
  <si>
    <t>原価
値上率</t>
    <rPh sb="0" eb="2">
      <t>ゲンカ</t>
    </rPh>
    <rPh sb="3" eb="5">
      <t>ネアゲ</t>
    </rPh>
    <rPh sb="5" eb="6">
      <t>リツ</t>
    </rPh>
    <phoneticPr fontId="2"/>
  </si>
  <si>
    <t>VD2</t>
    <phoneticPr fontId="2"/>
  </si>
  <si>
    <t>VD2始</t>
    <rPh sb="3" eb="4">
      <t>ハジ</t>
    </rPh>
    <phoneticPr fontId="2"/>
  </si>
  <si>
    <t>VD2終</t>
    <rPh sb="3" eb="4">
      <t>オ</t>
    </rPh>
    <phoneticPr fontId="2"/>
  </si>
  <si>
    <t>VD3</t>
    <phoneticPr fontId="2"/>
  </si>
  <si>
    <t>VD3始</t>
    <rPh sb="3" eb="4">
      <t>ハジ</t>
    </rPh>
    <phoneticPr fontId="2"/>
  </si>
  <si>
    <t>VD3終</t>
    <rPh sb="3" eb="4">
      <t>オワリ</t>
    </rPh>
    <phoneticPr fontId="2"/>
  </si>
  <si>
    <t>VD4</t>
    <phoneticPr fontId="2"/>
  </si>
  <si>
    <t>VD4始</t>
    <rPh sb="3" eb="4">
      <t>ハジ</t>
    </rPh>
    <phoneticPr fontId="2"/>
  </si>
  <si>
    <t>VD4終</t>
    <rPh sb="3" eb="4">
      <t>オワリ</t>
    </rPh>
    <phoneticPr fontId="2"/>
  </si>
  <si>
    <t>小売価格
(税抜)
換算</t>
    <rPh sb="6" eb="8">
      <t>ゼイヌ</t>
    </rPh>
    <rPh sb="10" eb="12">
      <t>カンザン</t>
    </rPh>
    <phoneticPr fontId="1"/>
  </si>
  <si>
    <t>仕切り
換算</t>
    <rPh sb="0" eb="2">
      <t>シキ</t>
    </rPh>
    <rPh sb="4" eb="6">
      <t>カンザン</t>
    </rPh>
    <phoneticPr fontId="2"/>
  </si>
  <si>
    <t>JAN
確認</t>
    <rPh sb="4" eb="6">
      <t>カクニン</t>
    </rPh>
    <phoneticPr fontId="2"/>
  </si>
  <si>
    <t>品目
確認</t>
    <rPh sb="0" eb="2">
      <t>ヒンモク</t>
    </rPh>
    <rPh sb="3" eb="5">
      <t>カクニン</t>
    </rPh>
    <phoneticPr fontId="2"/>
  </si>
  <si>
    <t>定価
値上率</t>
    <rPh sb="0" eb="2">
      <t>テイカ</t>
    </rPh>
    <rPh sb="3" eb="5">
      <t>ネアゲ</t>
    </rPh>
    <rPh sb="5" eb="6">
      <t>リツ</t>
    </rPh>
    <phoneticPr fontId="2"/>
  </si>
  <si>
    <t>原価用</t>
    <rPh sb="0" eb="2">
      <t>ゲンカ</t>
    </rPh>
    <rPh sb="2" eb="3">
      <t>ヨウ</t>
    </rPh>
    <phoneticPr fontId="2"/>
  </si>
  <si>
    <t>売価用</t>
    <rPh sb="0" eb="2">
      <t>バイカ</t>
    </rPh>
    <rPh sb="2" eb="3">
      <t>ヨウ</t>
    </rPh>
    <phoneticPr fontId="2"/>
  </si>
  <si>
    <t>VD用</t>
    <rPh sb="2" eb="3">
      <t>ヨウ</t>
    </rPh>
    <phoneticPr fontId="2"/>
  </si>
  <si>
    <t>箱バラ確認</t>
    <rPh sb="0" eb="1">
      <t>ハコ</t>
    </rPh>
    <rPh sb="3" eb="5">
      <t>カクニン</t>
    </rPh>
    <phoneticPr fontId="2"/>
  </si>
  <si>
    <t>売価1</t>
    <rPh sb="0" eb="2">
      <t>バイカ</t>
    </rPh>
    <phoneticPr fontId="2"/>
  </si>
  <si>
    <t>粗利額</t>
    <rPh sb="0" eb="2">
      <t>アラリ</t>
    </rPh>
    <rPh sb="2" eb="3">
      <t>ガク</t>
    </rPh>
    <phoneticPr fontId="2"/>
  </si>
  <si>
    <t>箱バラ用</t>
    <rPh sb="0" eb="1">
      <t>ハコ</t>
    </rPh>
    <rPh sb="3" eb="4">
      <t>ヨウ</t>
    </rPh>
    <phoneticPr fontId="2"/>
  </si>
  <si>
    <t>売価2</t>
    <rPh sb="0" eb="2">
      <t>バイカ</t>
    </rPh>
    <phoneticPr fontId="2"/>
  </si>
  <si>
    <t>売価2
粗利率</t>
    <rPh sb="0" eb="2">
      <t>バイカ</t>
    </rPh>
    <rPh sb="4" eb="7">
      <t>アラリリツ</t>
    </rPh>
    <phoneticPr fontId="2"/>
  </si>
  <si>
    <t>売価2
粗利額</t>
    <rPh sb="0" eb="2">
      <t>バイカ</t>
    </rPh>
    <rPh sb="4" eb="6">
      <t>アラリ</t>
    </rPh>
    <rPh sb="6" eb="7">
      <t>ガク</t>
    </rPh>
    <phoneticPr fontId="2"/>
  </si>
  <si>
    <t>売価1
値上げ率</t>
    <rPh sb="0" eb="2">
      <t>バイカ</t>
    </rPh>
    <rPh sb="4" eb="6">
      <t>ネア</t>
    </rPh>
    <rPh sb="7" eb="8">
      <t>リツ</t>
    </rPh>
    <phoneticPr fontId="2"/>
  </si>
  <si>
    <t>参考</t>
    <rPh sb="0" eb="2">
      <t>サンコウ</t>
    </rPh>
    <phoneticPr fontId="2"/>
  </si>
  <si>
    <t>アスクル
換算売価</t>
    <rPh sb="5" eb="7">
      <t>カンザン</t>
    </rPh>
    <rPh sb="7" eb="9">
      <t>バイカ</t>
    </rPh>
    <phoneticPr fontId="2"/>
  </si>
  <si>
    <t>改定後</t>
    <rPh sb="0" eb="2">
      <t>カイテイ</t>
    </rPh>
    <rPh sb="2" eb="3">
      <t>ゴ</t>
    </rPh>
    <phoneticPr fontId="2"/>
  </si>
  <si>
    <t>263除く</t>
    <rPh sb="3" eb="4">
      <t>ノゾ</t>
    </rPh>
    <phoneticPr fontId="2"/>
  </si>
  <si>
    <t>税込</t>
    <rPh sb="0" eb="2">
      <t>ゼイコミ</t>
    </rPh>
    <phoneticPr fontId="2"/>
  </si>
  <si>
    <t>品目のオレンジは箱バラ</t>
    <rPh sb="0" eb="2">
      <t>ヒンモク</t>
    </rPh>
    <rPh sb="8" eb="9">
      <t>ハコ</t>
    </rPh>
    <phoneticPr fontId="2"/>
  </si>
  <si>
    <t>月販</t>
    <rPh sb="0" eb="2">
      <t>ゲッパン</t>
    </rPh>
    <phoneticPr fontId="2"/>
  </si>
  <si>
    <t>倉庫</t>
    <rPh sb="0" eb="2">
      <t>ソウコ</t>
    </rPh>
    <phoneticPr fontId="2"/>
  </si>
  <si>
    <t>品目群</t>
    <rPh sb="0" eb="3">
      <t>ヒンモクグン</t>
    </rPh>
    <phoneticPr fontId="2"/>
  </si>
  <si>
    <t>VD2</t>
  </si>
  <si>
    <t>VD3</t>
  </si>
  <si>
    <t>VD4</t>
  </si>
  <si>
    <t>アスクル商品名</t>
    <rPh sb="4" eb="7">
      <t>ショウヒンメイ</t>
    </rPh>
    <phoneticPr fontId="2"/>
  </si>
  <si>
    <t>No.</t>
    <phoneticPr fontId="2"/>
  </si>
  <si>
    <t>大分類</t>
    <rPh sb="0" eb="3">
      <t>ダイブンルイ</t>
    </rPh>
    <phoneticPr fontId="2"/>
  </si>
  <si>
    <t>荷姿</t>
    <rPh sb="0" eb="2">
      <t>ニスガタ</t>
    </rPh>
    <phoneticPr fontId="2"/>
  </si>
  <si>
    <t>キー</t>
    <phoneticPr fontId="2"/>
  </si>
  <si>
    <t>ｱｽｸﾙ
ｽﾗｲﾄﾞ</t>
    <phoneticPr fontId="2"/>
  </si>
  <si>
    <t>5月売価</t>
    <rPh sb="1" eb="2">
      <t>ガツ</t>
    </rPh>
    <rPh sb="2" eb="4">
      <t>バイカ</t>
    </rPh>
    <phoneticPr fontId="2"/>
  </si>
  <si>
    <t>新No.</t>
    <rPh sb="0" eb="1">
      <t>シン</t>
    </rPh>
    <phoneticPr fontId="2"/>
  </si>
  <si>
    <t>J6354Y</t>
  </si>
  <si>
    <t>ｴﾌﾟｿﾝ/ｻｰﾏﾙﾛｰﾙ紙 高保存ﾀｲﾌﾟ 3巻入/TRP080-80H</t>
  </si>
  <si>
    <t>EPSON/ｻｰﾏﾙﾗﾍﾞﾙ紙 紙幅80mm 3巻入/KL080-902</t>
  </si>
  <si>
    <t>-</t>
    <phoneticPr fontId="2"/>
  </si>
  <si>
    <t>セイコーエプソン　レシート用高保存感熱ロール紙　TRP080-80H</t>
  </si>
  <si>
    <t>5月
たの</t>
    <rPh sb="1" eb="2">
      <t>ガツ</t>
    </rPh>
    <phoneticPr fontId="2"/>
  </si>
  <si>
    <t>5月
カウ</t>
    <rPh sb="1" eb="2">
      <t>ガツ</t>
    </rPh>
    <phoneticPr fontId="2"/>
  </si>
  <si>
    <t>カウ
ｽﾗｲﾄﾞ</t>
    <phoneticPr fontId="2"/>
  </si>
  <si>
    <t>6月売価</t>
    <rPh sb="1" eb="2">
      <t>ガツ</t>
    </rPh>
    <rPh sb="2" eb="4">
      <t>バイカ</t>
    </rPh>
    <phoneticPr fontId="2"/>
  </si>
  <si>
    <t>-</t>
  </si>
  <si>
    <t>6
カウ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</si>
</sst>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%"/>
  </numFmts>
  <fonts count="3" x14ac:knownFonts="1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176" fontId="0" fillId="0" borderId="4" xfId="0" applyNumberFormat="1" applyBorder="1">
      <alignment vertical="center"/>
    </xf>
    <xf numFmtId="177" fontId="0" fillId="0" borderId="4" xfId="0" applyNumberFormat="1" applyBorder="1">
      <alignment vertical="center"/>
    </xf>
    <xf numFmtId="0" fontId="0" fillId="2" borderId="4" xfId="0" applyFill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2" borderId="2" xfId="0" applyFill="1" applyBorder="1">
      <alignment vertical="center"/>
    </xf>
    <xf numFmtId="0" fontId="0" fillId="3" borderId="2" xfId="0" applyFill="1" applyBorder="1" applyAlignment="1">
      <alignment vertical="center" wrapText="1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4" borderId="2" xfId="0" applyFill="1" applyBorder="1" applyAlignment="1">
      <alignment vertical="center" wrapText="1"/>
    </xf>
    <xf numFmtId="0" fontId="0" fillId="4" borderId="4" xfId="0" applyFill="1" applyBorder="1">
      <alignment vertical="center"/>
    </xf>
    <xf numFmtId="0" fontId="0" fillId="2" borderId="6" xfId="0" applyFill="1" applyBorder="1" applyAlignment="1">
      <alignment horizontal="center" vertical="center"/>
    </xf>
    <xf numFmtId="0" fontId="0" fillId="2" borderId="12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13" xfId="0" applyFill="1" applyBorder="1">
      <alignment vertical="center"/>
    </xf>
    <xf numFmtId="0" fontId="0" fillId="5" borderId="2" xfId="0" applyFill="1" applyBorder="1">
      <alignment vertical="center"/>
    </xf>
    <xf numFmtId="0" fontId="0" fillId="5" borderId="6" xfId="0" applyFill="1" applyBorder="1" applyAlignment="1">
      <alignment horizontal="center" vertical="center"/>
    </xf>
    <xf numFmtId="0" fontId="0" fillId="5" borderId="4" xfId="0" applyFill="1" applyBorder="1">
      <alignment vertical="center"/>
    </xf>
    <xf numFmtId="0" fontId="0" fillId="0" borderId="17" xfId="0" applyBorder="1">
      <alignment vertical="center"/>
    </xf>
    <xf numFmtId="0" fontId="0" fillId="0" borderId="0" xfId="0" applyNumberFormat="1">
      <alignment vertical="center"/>
    </xf>
    <xf numFmtId="0" fontId="0" fillId="0" borderId="6" xfId="0" applyNumberFormat="1" applyBorder="1" applyAlignment="1">
      <alignment horizontal="center" vertical="center"/>
    </xf>
    <xf numFmtId="0" fontId="0" fillId="0" borderId="2" xfId="0" applyNumberFormat="1" applyBorder="1">
      <alignment vertical="center"/>
    </xf>
    <xf numFmtId="0" fontId="0" fillId="0" borderId="4" xfId="0" applyNumberFormat="1" applyBorder="1">
      <alignment vertical="center"/>
    </xf>
    <xf numFmtId="0" fontId="0" fillId="0" borderId="0" xfId="0" applyFill="1" applyBorder="1">
      <alignment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>
      <alignment vertical="center"/>
    </xf>
    <xf numFmtId="0" fontId="0" fillId="0" borderId="2" xfId="0" applyNumberFormat="1" applyBorder="1" applyAlignment="1">
      <alignment vertical="center" wrapText="1"/>
    </xf>
    <xf numFmtId="0" fontId="0" fillId="0" borderId="18" xfId="0" applyFill="1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</cellXfs>
  <cellStyles count="1">
    <cellStyle name="標準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660CF-9003-4B2D-B659-7F339ED5B476}">
  <dimension ref="A1:BQ5"/>
  <sheetViews>
    <sheetView tabSelected="1" zoomScale="90" zoomScaleNormal="90" workbookViewId="0">
      <pane xSplit="7" ySplit="5" topLeftCell="L6" activePane="bottomRight" state="frozen"/>
      <selection pane="topRight" activeCell="G1" sqref="G1"/>
      <selection pane="bottomLeft" activeCell="A5" sqref="A5"/>
      <selection pane="bottomRight" activeCell="Y5" sqref="Y5"/>
    </sheetView>
  </sheetViews>
  <sheetFormatPr defaultRowHeight="18.75" outlineLevelCol="1" x14ac:dyDescent="0.4"/>
  <cols>
    <col min="1" max="1" width="4.625" customWidth="1"/>
    <col min="2" max="2" width="5.75" customWidth="1"/>
    <col min="6" max="6" width="48.375" customWidth="1"/>
    <col min="7" max="7" width="15.5" bestFit="1" customWidth="1"/>
    <col min="8" max="11" width="7.5" hidden="1" customWidth="1" outlineLevel="1"/>
    <col min="12" max="12" width="7.625" customWidth="1" collapsed="1"/>
    <col min="13" max="16" width="7.625" customWidth="1"/>
    <col min="17" max="24" width="7.625" hidden="1" customWidth="1" outlineLevel="1"/>
    <col min="25" max="25" width="7.625" customWidth="1" collapsed="1"/>
    <col min="26" max="28" width="7.625" customWidth="1"/>
    <col min="29" max="29" width="4.375" customWidth="1" collapsed="1"/>
    <col min="30" max="31" width="7.625" customWidth="1"/>
    <col min="32" max="32" width="7.625" style="29" customWidth="1"/>
    <col min="33" max="33" width="7.625" customWidth="1"/>
    <col min="34" max="34" width="7.625" style="29" customWidth="1"/>
    <col min="35" max="38" width="7.625" customWidth="1"/>
    <col min="39" max="41" width="7.625" hidden="1" customWidth="1" outlineLevel="1"/>
    <col min="42" max="42" width="7.625" customWidth="1" collapsed="1"/>
    <col min="43" max="44" width="7.625" customWidth="1"/>
    <col min="45" max="53" width="7.625" hidden="1" customWidth="1" outlineLevel="1"/>
    <col min="54" max="54" width="7.625" customWidth="1" collapsed="1"/>
    <col min="55" max="68" width="7.625" customWidth="1"/>
  </cols>
  <sheetData>
    <row r="1" spans="1:69" x14ac:dyDescent="0.4">
      <c r="C1" s="28" t="s">
        <v>49</v>
      </c>
      <c r="Y1" s="42" t="s">
        <v>46</v>
      </c>
      <c r="Z1" s="43"/>
      <c r="AA1" s="43"/>
      <c r="AB1" s="44"/>
    </row>
    <row r="2" spans="1:69" x14ac:dyDescent="0.4">
      <c r="C2" s="8" t="s">
        <v>33</v>
      </c>
      <c r="D2" s="9" t="s">
        <v>34</v>
      </c>
      <c r="E2" s="9" t="s">
        <v>35</v>
      </c>
      <c r="F2" s="10"/>
      <c r="G2" s="10"/>
      <c r="H2" s="35"/>
      <c r="I2" s="35"/>
      <c r="J2" s="39" t="s">
        <v>36</v>
      </c>
      <c r="K2" s="41"/>
      <c r="L2" s="39" t="s">
        <v>2</v>
      </c>
      <c r="M2" s="40"/>
      <c r="N2" s="40"/>
      <c r="O2" s="41"/>
      <c r="P2" s="11"/>
      <c r="Q2" s="34"/>
      <c r="R2" s="34"/>
      <c r="S2" s="34"/>
      <c r="T2" s="34"/>
      <c r="U2" s="34"/>
      <c r="V2" s="34"/>
      <c r="W2" s="34"/>
      <c r="X2" s="34"/>
      <c r="Y2" s="22"/>
      <c r="Z2" s="23" t="s">
        <v>39</v>
      </c>
      <c r="AA2" s="23"/>
      <c r="AB2" s="24" t="s">
        <v>39</v>
      </c>
      <c r="AC2" s="10"/>
      <c r="AD2" s="9" t="s">
        <v>44</v>
      </c>
      <c r="AE2" s="11"/>
      <c r="AF2" s="30"/>
      <c r="AG2" s="11"/>
      <c r="AH2" s="30"/>
      <c r="AI2" s="11"/>
      <c r="AJ2" s="21" t="s">
        <v>47</v>
      </c>
      <c r="AK2" s="11"/>
      <c r="AL2" s="11"/>
      <c r="AM2" s="26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>
        <v>51</v>
      </c>
      <c r="BJ2">
        <v>14</v>
      </c>
      <c r="BK2">
        <v>28</v>
      </c>
    </row>
    <row r="3" spans="1:69" ht="75" x14ac:dyDescent="0.4">
      <c r="A3" s="1" t="s">
        <v>57</v>
      </c>
      <c r="B3" s="1" t="s">
        <v>63</v>
      </c>
      <c r="C3" s="2" t="s">
        <v>4</v>
      </c>
      <c r="D3" s="2" t="s">
        <v>9</v>
      </c>
      <c r="E3" s="2" t="s">
        <v>10</v>
      </c>
      <c r="F3" s="2" t="s">
        <v>0</v>
      </c>
      <c r="G3" s="12" t="s">
        <v>7</v>
      </c>
      <c r="H3" s="12" t="s">
        <v>59</v>
      </c>
      <c r="I3" s="12" t="s">
        <v>60</v>
      </c>
      <c r="J3" s="12" t="s">
        <v>30</v>
      </c>
      <c r="K3" s="12" t="s">
        <v>31</v>
      </c>
      <c r="L3" s="12" t="s">
        <v>1</v>
      </c>
      <c r="M3" s="2" t="s">
        <v>8</v>
      </c>
      <c r="N3" s="2" t="s">
        <v>5</v>
      </c>
      <c r="O3" s="2" t="s">
        <v>16</v>
      </c>
      <c r="P3" s="12" t="s">
        <v>53</v>
      </c>
      <c r="Q3" s="12" t="s">
        <v>20</v>
      </c>
      <c r="R3" s="12" t="s">
        <v>21</v>
      </c>
      <c r="S3" s="12" t="s">
        <v>54</v>
      </c>
      <c r="T3" s="12" t="s">
        <v>23</v>
      </c>
      <c r="U3" s="12" t="s">
        <v>24</v>
      </c>
      <c r="V3" s="12" t="s">
        <v>55</v>
      </c>
      <c r="W3" s="12" t="s">
        <v>26</v>
      </c>
      <c r="X3" s="12" t="s">
        <v>27</v>
      </c>
      <c r="Y3" s="12" t="s">
        <v>3</v>
      </c>
      <c r="Z3" s="12" t="s">
        <v>28</v>
      </c>
      <c r="AA3" s="2" t="s">
        <v>5</v>
      </c>
      <c r="AB3" s="12" t="s">
        <v>29</v>
      </c>
      <c r="AC3" s="14" t="s">
        <v>6</v>
      </c>
      <c r="AD3" s="19" t="s">
        <v>17</v>
      </c>
      <c r="AE3" s="2" t="s">
        <v>16</v>
      </c>
      <c r="AF3" s="31" t="s">
        <v>50</v>
      </c>
      <c r="AG3" s="12" t="s">
        <v>45</v>
      </c>
      <c r="AH3" s="36" t="s">
        <v>61</v>
      </c>
      <c r="AI3" s="2" t="s">
        <v>16</v>
      </c>
      <c r="AJ3" s="13" t="s">
        <v>37</v>
      </c>
      <c r="AK3" s="2" t="s">
        <v>16</v>
      </c>
      <c r="AL3" s="2" t="s">
        <v>38</v>
      </c>
      <c r="AM3" s="25" t="s">
        <v>40</v>
      </c>
      <c r="AN3" s="12" t="s">
        <v>41</v>
      </c>
      <c r="AO3" s="12" t="s">
        <v>42</v>
      </c>
      <c r="AP3" s="12" t="s">
        <v>32</v>
      </c>
      <c r="AQ3" s="12" t="s">
        <v>43</v>
      </c>
      <c r="AR3" s="12" t="s">
        <v>18</v>
      </c>
      <c r="AS3" s="12" t="s">
        <v>19</v>
      </c>
      <c r="AT3" s="12" t="s">
        <v>20</v>
      </c>
      <c r="AU3" s="12" t="s">
        <v>21</v>
      </c>
      <c r="AV3" s="12" t="s">
        <v>22</v>
      </c>
      <c r="AW3" s="12" t="s">
        <v>23</v>
      </c>
      <c r="AX3" s="12" t="s">
        <v>24</v>
      </c>
      <c r="AY3" s="12" t="s">
        <v>25</v>
      </c>
      <c r="AZ3" s="12" t="s">
        <v>26</v>
      </c>
      <c r="BA3" s="12" t="s">
        <v>27</v>
      </c>
      <c r="BB3" s="2" t="s">
        <v>11</v>
      </c>
      <c r="BC3" s="2" t="s">
        <v>12</v>
      </c>
      <c r="BD3" s="2" t="s">
        <v>13</v>
      </c>
      <c r="BE3" s="2" t="s">
        <v>14</v>
      </c>
      <c r="BF3" s="12" t="s">
        <v>48</v>
      </c>
      <c r="BG3" s="2" t="s">
        <v>62</v>
      </c>
      <c r="BH3" s="2" t="s">
        <v>72</v>
      </c>
      <c r="BI3" s="2" t="s">
        <v>15</v>
      </c>
      <c r="BJ3" s="17" t="s">
        <v>51</v>
      </c>
      <c r="BK3" s="17" t="s">
        <v>52</v>
      </c>
      <c r="BL3" s="15" t="s">
        <v>58</v>
      </c>
      <c r="BM3" s="37" t="s">
        <v>69</v>
      </c>
      <c r="BN3" s="38" t="s">
        <v>70</v>
      </c>
      <c r="BO3" s="38" t="s">
        <v>74</v>
      </c>
      <c r="BP3" s="38" t="s">
        <v>71</v>
      </c>
      <c r="BQ3" s="33" t="s">
        <v>56</v>
      </c>
    </row>
    <row r="4" spans="1:69" x14ac:dyDescent="0.4">
      <c r="A4" s="3">
        <v>1</v>
      </c>
      <c r="B4" s="3">
        <v>1</v>
      </c>
      <c r="C4" s="4">
        <v>218085</v>
      </c>
      <c r="D4" s="4" t="str">
        <f>TEXT(C4,"000000")</f>
        <v>218085</v>
      </c>
      <c r="E4" s="4">
        <v>218085</v>
      </c>
      <c r="F4" s="4" t="s">
        <v>65</v>
      </c>
      <c r="G4" s="5">
        <v>4547426841351</v>
      </c>
      <c r="H4" s="5"/>
      <c r="I4" s="5"/>
      <c r="J4" s="5">
        <v>1</v>
      </c>
      <c r="K4" s="5">
        <v>1</v>
      </c>
      <c r="L4" s="4">
        <v>1650</v>
      </c>
      <c r="M4" s="4">
        <v>1618</v>
      </c>
      <c r="N4" s="4">
        <v>1205</v>
      </c>
      <c r="O4" s="6">
        <f t="shared" ref="O4:O5" si="0">1-N4/M4</f>
        <v>0.25525339925834367</v>
      </c>
      <c r="P4" s="4" t="s">
        <v>67</v>
      </c>
      <c r="Q4" s="4"/>
      <c r="R4" s="4"/>
      <c r="S4" s="4"/>
      <c r="T4" s="4"/>
      <c r="U4" s="4"/>
      <c r="V4" s="4"/>
      <c r="W4" s="4"/>
      <c r="X4" s="4"/>
      <c r="Y4" s="4">
        <v>1766</v>
      </c>
      <c r="Z4" s="4">
        <f>IF(AC4="",Y4,Y4*AC4)</f>
        <v>1766</v>
      </c>
      <c r="AA4" s="4">
        <v>1289</v>
      </c>
      <c r="AB4" s="4">
        <f>IF(AC4="",AA4,AA4*AC4)</f>
        <v>1289</v>
      </c>
      <c r="AC4" s="4"/>
      <c r="AD4" s="20">
        <f t="shared" ref="AD4:AD5" si="1">ROUND(M4*AR4,0)</f>
        <v>1731</v>
      </c>
      <c r="AE4" s="6">
        <f t="shared" ref="AE4" si="2">1-AB4/AD4</f>
        <v>0.25534373194685156</v>
      </c>
      <c r="AF4" s="32">
        <v>25.5</v>
      </c>
      <c r="AG4" s="4">
        <f>BI4</f>
        <v>1655</v>
      </c>
      <c r="AH4" s="32">
        <f t="shared" ref="AH4:AH5" si="3">AG4*AR4</f>
        <v>1770.369294605809</v>
      </c>
      <c r="AI4" s="6">
        <f t="shared" ref="AI4:AI5" si="4">1-AB4/AH4</f>
        <v>0.27190332326283984</v>
      </c>
      <c r="AJ4" s="7">
        <v>1765</v>
      </c>
      <c r="AK4" s="6">
        <f t="shared" ref="AK4:AK5" si="5">1-AB4/AJ4</f>
        <v>0.26968838526912187</v>
      </c>
      <c r="AL4" s="4">
        <f t="shared" ref="AL4:AL5" si="6">AJ4-AB4</f>
        <v>476</v>
      </c>
      <c r="AM4" s="27"/>
      <c r="AN4" s="6" t="e">
        <f>1-AB4/AM4</f>
        <v>#DIV/0!</v>
      </c>
      <c r="AO4" s="4">
        <f>AM4-AB4</f>
        <v>-1289</v>
      </c>
      <c r="AP4" s="6">
        <f t="shared" ref="AP4:AP5" si="7">Z4/L4</f>
        <v>1.0703030303030303</v>
      </c>
      <c r="AQ4" s="6">
        <f t="shared" ref="AQ4:AQ5" si="8">AJ4/M4</f>
        <v>1.0908529048207665</v>
      </c>
      <c r="AR4" s="6">
        <f t="shared" ref="AR4:AR5" si="9">AB4/N4</f>
        <v>1.0697095435684647</v>
      </c>
      <c r="AS4" s="4" t="str">
        <f>IFERROR(ROUND($AJ4*P4/$M4,0),"-")</f>
        <v>-</v>
      </c>
      <c r="AT4" s="4" t="str">
        <f>IF(Q4="","-",Q4)</f>
        <v>-</v>
      </c>
      <c r="AU4" s="4" t="str">
        <f>IF(R4="","-",R4)</f>
        <v>-</v>
      </c>
      <c r="AV4" s="4"/>
      <c r="AW4" s="4"/>
      <c r="AX4" s="4"/>
      <c r="AY4" s="4"/>
      <c r="AZ4" s="4"/>
      <c r="BA4" s="4"/>
      <c r="BB4" s="4">
        <v>0</v>
      </c>
      <c r="BC4" s="4">
        <v>9663935</v>
      </c>
      <c r="BD4" s="4"/>
      <c r="BE4" s="4"/>
      <c r="BF4" s="4"/>
      <c r="BG4" s="4">
        <v>1655</v>
      </c>
      <c r="BH4" s="4">
        <v>1655</v>
      </c>
      <c r="BI4" s="4">
        <f t="shared" ref="BI4:BI5" si="10">IF(BD4="",BH4,BD4/BE4*BH4)</f>
        <v>1655</v>
      </c>
      <c r="BJ4" s="18">
        <v>4</v>
      </c>
      <c r="BK4" s="18">
        <v>1</v>
      </c>
      <c r="BL4" s="16">
        <v>11</v>
      </c>
      <c r="BM4" t="s">
        <v>67</v>
      </c>
      <c r="BN4">
        <v>1650</v>
      </c>
      <c r="BO4">
        <v>1650</v>
      </c>
      <c r="BP4">
        <f>BO4*AR4</f>
        <v>1765.0207468879667</v>
      </c>
      <c r="BQ4" t="s">
        <v>68</v>
      </c>
    </row>
    <row r="5" spans="1:69" x14ac:dyDescent="0.4">
      <c r="A5" s="3">
        <v>2</v>
      </c>
      <c r="B5" s="3">
        <v>2</v>
      </c>
      <c r="C5" s="4" t="s">
        <v>64</v>
      </c>
      <c r="D5" s="4" t="str">
        <f t="shared" ref="D5" si="11">TEXT(C5,"000000")</f>
        <v>J6354Y</v>
      </c>
      <c r="E5" s="4" t="s">
        <v>64</v>
      </c>
      <c r="F5" s="4" t="s">
        <v>66</v>
      </c>
      <c r="G5" s="5">
        <v>4988617528383</v>
      </c>
      <c r="H5" s="5"/>
      <c r="I5" s="5"/>
      <c r="J5" s="5">
        <v>1</v>
      </c>
      <c r="K5" s="5">
        <v>1</v>
      </c>
      <c r="L5" s="4">
        <v>4785</v>
      </c>
      <c r="M5" s="4">
        <v>4785</v>
      </c>
      <c r="N5" s="4">
        <v>3493</v>
      </c>
      <c r="O5" s="6">
        <f t="shared" si="0"/>
        <v>0.2700104493207941</v>
      </c>
      <c r="P5" s="4" t="s">
        <v>67</v>
      </c>
      <c r="Q5" s="4"/>
      <c r="R5" s="4"/>
      <c r="S5" s="4"/>
      <c r="T5" s="4"/>
      <c r="U5" s="4"/>
      <c r="V5" s="4"/>
      <c r="W5" s="4"/>
      <c r="X5" s="4"/>
      <c r="Y5" s="4">
        <v>4929</v>
      </c>
      <c r="Z5" s="4">
        <f t="shared" ref="Z5" si="12">IF(AC5="",Y5,Y5*AC5)</f>
        <v>4929</v>
      </c>
      <c r="AA5" s="4">
        <v>3598</v>
      </c>
      <c r="AB5" s="4">
        <f t="shared" ref="AB5" si="13">IF(AC5="",AA5,AA5*AC5)</f>
        <v>3598</v>
      </c>
      <c r="AC5" s="4"/>
      <c r="AD5" s="20">
        <f t="shared" si="1"/>
        <v>4929</v>
      </c>
      <c r="AE5" s="6">
        <f t="shared" ref="AE5" si="14">1-AB5/AD5</f>
        <v>0.27003448975451405</v>
      </c>
      <c r="AF5" s="32">
        <v>2.5</v>
      </c>
      <c r="AG5" s="4" t="str">
        <f t="shared" ref="AG5" si="15">BI5</f>
        <v>-</v>
      </c>
      <c r="AH5" s="32" t="e">
        <f t="shared" si="3"/>
        <v>#VALUE!</v>
      </c>
      <c r="AI5" s="6" t="e">
        <f t="shared" si="4"/>
        <v>#VALUE!</v>
      </c>
      <c r="AJ5" s="7">
        <v>4928</v>
      </c>
      <c r="AK5" s="6">
        <f t="shared" si="5"/>
        <v>0.26988636363636365</v>
      </c>
      <c r="AL5" s="4">
        <f t="shared" si="6"/>
        <v>1330</v>
      </c>
      <c r="AM5" s="27"/>
      <c r="AN5" s="6"/>
      <c r="AO5" s="6"/>
      <c r="AP5" s="6">
        <f t="shared" si="7"/>
        <v>1.0300940438871473</v>
      </c>
      <c r="AQ5" s="6">
        <f t="shared" si="8"/>
        <v>1.0298850574712644</v>
      </c>
      <c r="AR5" s="6">
        <f t="shared" si="9"/>
        <v>1.0300601202404809</v>
      </c>
      <c r="AS5" s="4"/>
      <c r="AT5" s="4"/>
      <c r="AU5" s="4"/>
      <c r="AV5" s="4"/>
      <c r="AW5" s="4"/>
      <c r="AX5" s="4"/>
      <c r="AY5" s="4"/>
      <c r="AZ5" s="4"/>
      <c r="BA5" s="4"/>
      <c r="BB5" s="4">
        <v>0</v>
      </c>
      <c r="BC5" s="4" t="s">
        <v>67</v>
      </c>
      <c r="BD5" s="4"/>
      <c r="BE5" s="4"/>
      <c r="BF5" s="4"/>
      <c r="BG5" s="4" t="s">
        <v>73</v>
      </c>
      <c r="BH5" s="4" t="s">
        <v>67</v>
      </c>
      <c r="BI5" s="4" t="str">
        <f t="shared" si="10"/>
        <v>-</v>
      </c>
      <c r="BJ5" s="18">
        <v>4</v>
      </c>
      <c r="BK5" s="18">
        <v>8</v>
      </c>
      <c r="BL5" s="16">
        <v>11</v>
      </c>
      <c r="BM5" t="s">
        <v>67</v>
      </c>
      <c r="BN5">
        <v>4785</v>
      </c>
      <c r="BO5">
        <v>4785</v>
      </c>
      <c r="BP5">
        <f>BO5*AR5</f>
        <v>4928.8376753507009</v>
      </c>
      <c r="BQ5" t="s">
        <v>67</v>
      </c>
    </row>
  </sheetData>
  <autoFilter ref="A3:BQ3" xr:uid="{7A1660CF-9003-4B2D-B659-7F339ED5B476}"/>
  <mergeCells count="3">
    <mergeCell ref="L2:O2"/>
    <mergeCell ref="J2:K2"/>
    <mergeCell ref="Y1:AB1"/>
  </mergeCells>
  <phoneticPr fontId="2"/>
  <conditionalFormatting sqref="AJ4:AJ5">
    <cfRule type="cellIs" dxfId="2" priority="4" operator="greaterThan">
      <formula>$Z4</formula>
    </cfRule>
  </conditionalFormatting>
  <conditionalFormatting sqref="AH4:AH5">
    <cfRule type="cellIs" dxfId="1" priority="2" operator="lessThan">
      <formula>$AJ4</formula>
    </cfRule>
  </conditionalFormatting>
  <conditionalFormatting sqref="AK4:AK5">
    <cfRule type="cellIs" dxfId="0" priority="1" operator="lessThan">
      <formula>0.2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フォーレスト007</dc:creator>
  <cp:lastModifiedBy>滋樹 渡辺</cp:lastModifiedBy>
  <dcterms:created xsi:type="dcterms:W3CDTF">2022-07-07T00:08:53Z</dcterms:created>
  <dcterms:modified xsi:type="dcterms:W3CDTF">2026-06-02T02:15:12Z</dcterms:modified>
</cp:coreProperties>
</file>