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フォーレスト007\保存用\商談\ｶ_カネゲン_472\価格改定\20260424_6月末クツワ\"/>
    </mc:Choice>
  </mc:AlternateContent>
  <xr:revisionPtr revIDLastSave="0" documentId="13_ncr:1_{70FDB55B-014B-4D8E-828F-C2DAAB6AE18A}" xr6:coauthVersionLast="47" xr6:coauthVersionMax="47" xr10:uidLastSave="{00000000-0000-0000-0000-000000000000}"/>
  <bookViews>
    <workbookView xWindow="-120" yWindow="-120" windowWidth="29040" windowHeight="15720" xr2:uid="{CC14108B-38B1-4AF3-A2A8-D32DF8046A97}"/>
  </bookViews>
  <sheets>
    <sheet name="Sheet1" sheetId="1" r:id="rId1"/>
  </sheets>
  <definedNames>
    <definedName name="_xlnm._FilterDatabase" localSheetId="0" hidden="1">Sheet1!$A$3:$BN$3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H14" i="1" l="1"/>
  <c r="AF14" i="1" s="1"/>
  <c r="BH15" i="1"/>
  <c r="AF15" i="1" s="1"/>
  <c r="BH16" i="1"/>
  <c r="AF16" i="1" s="1"/>
  <c r="AR4" i="1"/>
  <c r="AP16" i="1"/>
  <c r="AA16" i="1"/>
  <c r="AK16" i="1" s="1"/>
  <c r="Y16" i="1"/>
  <c r="AO16" i="1" s="1"/>
  <c r="N16" i="1"/>
  <c r="C16" i="1"/>
  <c r="AP15" i="1"/>
  <c r="AA15" i="1"/>
  <c r="AK15" i="1" s="1"/>
  <c r="Y15" i="1"/>
  <c r="AO15" i="1" s="1"/>
  <c r="N15" i="1"/>
  <c r="C15" i="1"/>
  <c r="AP14" i="1"/>
  <c r="AA14" i="1"/>
  <c r="AQ14" i="1" s="1"/>
  <c r="AC14" i="1" s="1"/>
  <c r="AD14" i="1" s="1"/>
  <c r="Y14" i="1"/>
  <c r="AO14" i="1" s="1"/>
  <c r="N14" i="1"/>
  <c r="C14" i="1"/>
  <c r="AT4" i="1"/>
  <c r="AS4" i="1"/>
  <c r="AG14" i="1" l="1"/>
  <c r="AH14" i="1" s="1"/>
  <c r="AJ14" i="1"/>
  <c r="AJ15" i="1"/>
  <c r="AK14" i="1"/>
  <c r="AJ16" i="1"/>
  <c r="AQ16" i="1"/>
  <c r="AQ15" i="1"/>
  <c r="AC15" i="1" l="1"/>
  <c r="AD15" i="1" s="1"/>
  <c r="AG15" i="1"/>
  <c r="AH15" i="1" s="1"/>
  <c r="AC16" i="1"/>
  <c r="AD16" i="1" s="1"/>
  <c r="AG16" i="1"/>
  <c r="AH16" i="1" s="1"/>
  <c r="BH5" i="1"/>
  <c r="AF5" i="1" s="1"/>
  <c r="BH6" i="1"/>
  <c r="AF6" i="1" s="1"/>
  <c r="BH9" i="1"/>
  <c r="AF9" i="1" s="1"/>
  <c r="BH10" i="1"/>
  <c r="AF10" i="1" s="1"/>
  <c r="BH11" i="1"/>
  <c r="AF11" i="1" s="1"/>
  <c r="BH12" i="1"/>
  <c r="AF12" i="1" s="1"/>
  <c r="BH13" i="1"/>
  <c r="AF13" i="1" s="1"/>
  <c r="BH4" i="1"/>
  <c r="AF4" i="1" s="1"/>
  <c r="AA5" i="1"/>
  <c r="AQ5" i="1" s="1"/>
  <c r="AA6" i="1"/>
  <c r="AA7" i="1"/>
  <c r="AA8" i="1"/>
  <c r="AA9" i="1"/>
  <c r="AA10" i="1"/>
  <c r="AA11" i="1"/>
  <c r="AA12" i="1"/>
  <c r="AA13" i="1"/>
  <c r="Y5" i="1"/>
  <c r="AO5" i="1" s="1"/>
  <c r="Y6" i="1"/>
  <c r="AO6" i="1" s="1"/>
  <c r="Y7" i="1"/>
  <c r="AO7" i="1" s="1"/>
  <c r="Y8" i="1"/>
  <c r="AO8" i="1" s="1"/>
  <c r="Y9" i="1"/>
  <c r="AO9" i="1" s="1"/>
  <c r="Y10" i="1"/>
  <c r="AO10" i="1" s="1"/>
  <c r="Y11" i="1"/>
  <c r="AO11" i="1" s="1"/>
  <c r="Y12" i="1"/>
  <c r="AO12" i="1" s="1"/>
  <c r="Y13" i="1"/>
  <c r="AO13" i="1" s="1"/>
  <c r="C5" i="1"/>
  <c r="C6" i="1"/>
  <c r="C7" i="1"/>
  <c r="C8" i="1"/>
  <c r="C9" i="1"/>
  <c r="C10" i="1"/>
  <c r="C11" i="1"/>
  <c r="C12" i="1"/>
  <c r="C13" i="1"/>
  <c r="C4" i="1"/>
  <c r="AA4" i="1"/>
  <c r="Y4" i="1"/>
  <c r="AO4" i="1" s="1"/>
  <c r="AP13" i="1"/>
  <c r="N13" i="1"/>
  <c r="AP12" i="1"/>
  <c r="N12" i="1"/>
  <c r="AP11" i="1"/>
  <c r="N11" i="1"/>
  <c r="AP10" i="1"/>
  <c r="N10" i="1"/>
  <c r="AP4" i="1"/>
  <c r="AP9" i="1"/>
  <c r="N9" i="1"/>
  <c r="BH8" i="1"/>
  <c r="AF8" i="1" s="1"/>
  <c r="AP8" i="1"/>
  <c r="N8" i="1"/>
  <c r="BH7" i="1"/>
  <c r="AF7" i="1" s="1"/>
  <c r="AP7" i="1"/>
  <c r="N7" i="1"/>
  <c r="AP6" i="1"/>
  <c r="N6" i="1"/>
  <c r="AP5" i="1"/>
  <c r="N5" i="1"/>
  <c r="N4" i="1"/>
  <c r="AK7" i="1" l="1"/>
  <c r="AQ6" i="1"/>
  <c r="AJ5" i="1"/>
  <c r="AJ12" i="1"/>
  <c r="AK11" i="1"/>
  <c r="AK8" i="1"/>
  <c r="AJ13" i="1"/>
  <c r="AK10" i="1"/>
  <c r="AJ4" i="1"/>
  <c r="AJ9" i="1"/>
  <c r="AC5" i="1"/>
  <c r="AD5" i="1" s="1"/>
  <c r="AG5" i="1"/>
  <c r="AH5" i="1" s="1"/>
  <c r="AC6" i="1"/>
  <c r="AD6" i="1" s="1"/>
  <c r="AG6" i="1"/>
  <c r="AH6" i="1" s="1"/>
  <c r="AQ10" i="1"/>
  <c r="AQ12" i="1"/>
  <c r="AQ8" i="1"/>
  <c r="AK6" i="1"/>
  <c r="AQ13" i="1"/>
  <c r="AJ11" i="1"/>
  <c r="AJ10" i="1"/>
  <c r="AJ8" i="1"/>
  <c r="AQ11" i="1"/>
  <c r="AK9" i="1"/>
  <c r="AQ9" i="1"/>
  <c r="AJ7" i="1"/>
  <c r="AK13" i="1"/>
  <c r="AK5" i="1"/>
  <c r="AQ7" i="1"/>
  <c r="AJ6" i="1"/>
  <c r="AK12" i="1"/>
  <c r="AM4" i="1"/>
  <c r="AN4" i="1"/>
  <c r="AK4" i="1"/>
  <c r="AQ4" i="1"/>
  <c r="AC9" i="1" l="1"/>
  <c r="AD9" i="1" s="1"/>
  <c r="AG9" i="1"/>
  <c r="AH9" i="1" s="1"/>
  <c r="AC12" i="1"/>
  <c r="AD12" i="1" s="1"/>
  <c r="AG12" i="1"/>
  <c r="AH12" i="1" s="1"/>
  <c r="AC7" i="1"/>
  <c r="AD7" i="1" s="1"/>
  <c r="AG7" i="1"/>
  <c r="AH7" i="1" s="1"/>
  <c r="AC13" i="1"/>
  <c r="AD13" i="1" s="1"/>
  <c r="AG13" i="1"/>
  <c r="AH13" i="1" s="1"/>
  <c r="AC10" i="1"/>
  <c r="AD10" i="1" s="1"/>
  <c r="AG10" i="1"/>
  <c r="AH10" i="1" s="1"/>
  <c r="AC11" i="1"/>
  <c r="AD11" i="1" s="1"/>
  <c r="AG11" i="1"/>
  <c r="AH11" i="1" s="1"/>
  <c r="AC8" i="1"/>
  <c r="AD8" i="1" s="1"/>
  <c r="AG8" i="1"/>
  <c r="AH8" i="1" s="1"/>
  <c r="AC4" i="1"/>
  <c r="AD4" i="1" s="1"/>
  <c r="AG4" i="1"/>
  <c r="AH4" i="1" s="1"/>
</calcChain>
</file>

<file path=xl/sharedStrings.xml><?xml version="1.0" encoding="utf-8"?>
<sst xmlns="http://schemas.openxmlformats.org/spreadsheetml/2006/main" count="212" uniqueCount="104">
  <si>
    <t>商品名</t>
    <rPh sb="0" eb="3">
      <t>ショウヒンメイ</t>
    </rPh>
    <phoneticPr fontId="1"/>
  </si>
  <si>
    <t>小売価格
(税抜）</t>
    <rPh sb="6" eb="8">
      <t>ゼイヌ</t>
    </rPh>
    <phoneticPr fontId="1"/>
  </si>
  <si>
    <t>現行</t>
    <rPh sb="0" eb="2">
      <t>ゲンコウ</t>
    </rPh>
    <phoneticPr fontId="2"/>
  </si>
  <si>
    <t>小売価格
(税抜)</t>
    <rPh sb="6" eb="8">
      <t>ゼイヌ</t>
    </rPh>
    <phoneticPr fontId="1"/>
  </si>
  <si>
    <t>品目CD</t>
    <rPh sb="0" eb="2">
      <t>ヒンモク</t>
    </rPh>
    <phoneticPr fontId="1"/>
  </si>
  <si>
    <t>仕切り</t>
    <rPh sb="0" eb="2">
      <t>シキ</t>
    </rPh>
    <phoneticPr fontId="2"/>
  </si>
  <si>
    <t>換算</t>
    <rPh sb="0" eb="2">
      <t>カンザン</t>
    </rPh>
    <phoneticPr fontId="2"/>
  </si>
  <si>
    <t>JAN</t>
    <phoneticPr fontId="2"/>
  </si>
  <si>
    <t>売価</t>
    <rPh sb="0" eb="2">
      <t>バイカ</t>
    </rPh>
    <phoneticPr fontId="2"/>
  </si>
  <si>
    <t>品目TEXT</t>
    <rPh sb="0" eb="2">
      <t>ヒンモク</t>
    </rPh>
    <phoneticPr fontId="2"/>
  </si>
  <si>
    <t>注文番号</t>
    <rPh sb="0" eb="2">
      <t>チュウモン</t>
    </rPh>
    <rPh sb="2" eb="4">
      <t>バンゴウ</t>
    </rPh>
    <phoneticPr fontId="2"/>
  </si>
  <si>
    <t>カタログ</t>
    <phoneticPr fontId="2"/>
  </si>
  <si>
    <t>アスクル</t>
    <phoneticPr fontId="2"/>
  </si>
  <si>
    <t>FW入数</t>
    <rPh sb="2" eb="4">
      <t>イリスウ</t>
    </rPh>
    <phoneticPr fontId="2"/>
  </si>
  <si>
    <t>アスクル入数</t>
    <rPh sb="4" eb="6">
      <t>イリスウ</t>
    </rPh>
    <phoneticPr fontId="2"/>
  </si>
  <si>
    <t>換算金額</t>
    <rPh sb="0" eb="2">
      <t>カンザン</t>
    </rPh>
    <rPh sb="2" eb="4">
      <t>キンガク</t>
    </rPh>
    <phoneticPr fontId="2"/>
  </si>
  <si>
    <t>粗利率</t>
    <rPh sb="0" eb="3">
      <t>アラリリツ</t>
    </rPh>
    <phoneticPr fontId="2"/>
  </si>
  <si>
    <t>スライド
売価</t>
    <rPh sb="5" eb="7">
      <t>バイカ</t>
    </rPh>
    <phoneticPr fontId="2"/>
  </si>
  <si>
    <t>原価
値上率</t>
    <rPh sb="0" eb="2">
      <t>ゲンカ</t>
    </rPh>
    <rPh sb="3" eb="5">
      <t>ネアゲ</t>
    </rPh>
    <rPh sb="5" eb="6">
      <t>リツ</t>
    </rPh>
    <phoneticPr fontId="2"/>
  </si>
  <si>
    <t>VD2</t>
    <phoneticPr fontId="2"/>
  </si>
  <si>
    <t>VD2始</t>
    <rPh sb="3" eb="4">
      <t>ハジ</t>
    </rPh>
    <phoneticPr fontId="2"/>
  </si>
  <si>
    <t>VD2終</t>
    <rPh sb="3" eb="4">
      <t>オ</t>
    </rPh>
    <phoneticPr fontId="2"/>
  </si>
  <si>
    <t>VD3</t>
    <phoneticPr fontId="2"/>
  </si>
  <si>
    <t>VD3始</t>
    <rPh sb="3" eb="4">
      <t>ハジ</t>
    </rPh>
    <phoneticPr fontId="2"/>
  </si>
  <si>
    <t>VD3終</t>
    <rPh sb="3" eb="4">
      <t>オワリ</t>
    </rPh>
    <phoneticPr fontId="2"/>
  </si>
  <si>
    <t>VD4</t>
    <phoneticPr fontId="2"/>
  </si>
  <si>
    <t>VD4始</t>
    <rPh sb="3" eb="4">
      <t>ハジ</t>
    </rPh>
    <phoneticPr fontId="2"/>
  </si>
  <si>
    <t>VD4終</t>
    <rPh sb="3" eb="4">
      <t>オワリ</t>
    </rPh>
    <phoneticPr fontId="2"/>
  </si>
  <si>
    <t>小売価格
(税抜)
換算</t>
    <rPh sb="6" eb="8">
      <t>ゼイヌ</t>
    </rPh>
    <rPh sb="10" eb="12">
      <t>カンザン</t>
    </rPh>
    <phoneticPr fontId="1"/>
  </si>
  <si>
    <t>仕切り
換算</t>
    <rPh sb="0" eb="2">
      <t>シキ</t>
    </rPh>
    <rPh sb="4" eb="6">
      <t>カンザン</t>
    </rPh>
    <phoneticPr fontId="2"/>
  </si>
  <si>
    <t>JAN
確認</t>
    <rPh sb="4" eb="6">
      <t>カクニン</t>
    </rPh>
    <phoneticPr fontId="2"/>
  </si>
  <si>
    <t>品目
確認</t>
    <rPh sb="0" eb="2">
      <t>ヒンモク</t>
    </rPh>
    <rPh sb="3" eb="5">
      <t>カクニン</t>
    </rPh>
    <phoneticPr fontId="2"/>
  </si>
  <si>
    <t>定価
値上率</t>
    <rPh sb="0" eb="2">
      <t>テイカ</t>
    </rPh>
    <rPh sb="3" eb="5">
      <t>ネアゲ</t>
    </rPh>
    <rPh sb="5" eb="6">
      <t>リツ</t>
    </rPh>
    <phoneticPr fontId="2"/>
  </si>
  <si>
    <t>原価用</t>
    <rPh sb="0" eb="2">
      <t>ゲンカ</t>
    </rPh>
    <rPh sb="2" eb="3">
      <t>ヨウ</t>
    </rPh>
    <phoneticPr fontId="2"/>
  </si>
  <si>
    <t>売価用</t>
    <rPh sb="0" eb="2">
      <t>バイカ</t>
    </rPh>
    <rPh sb="2" eb="3">
      <t>ヨウ</t>
    </rPh>
    <phoneticPr fontId="2"/>
  </si>
  <si>
    <t>VD用</t>
    <rPh sb="2" eb="3">
      <t>ヨウ</t>
    </rPh>
    <phoneticPr fontId="2"/>
  </si>
  <si>
    <t>箱バラ確認</t>
    <rPh sb="0" eb="1">
      <t>ハコ</t>
    </rPh>
    <rPh sb="3" eb="5">
      <t>カクニン</t>
    </rPh>
    <phoneticPr fontId="2"/>
  </si>
  <si>
    <t>売価1</t>
    <rPh sb="0" eb="2">
      <t>バイカ</t>
    </rPh>
    <phoneticPr fontId="2"/>
  </si>
  <si>
    <t>粗利額</t>
    <rPh sb="0" eb="2">
      <t>アラリ</t>
    </rPh>
    <rPh sb="2" eb="3">
      <t>ガク</t>
    </rPh>
    <phoneticPr fontId="2"/>
  </si>
  <si>
    <t>箱バラ用</t>
    <rPh sb="0" eb="1">
      <t>ハコ</t>
    </rPh>
    <rPh sb="3" eb="4">
      <t>ヨウ</t>
    </rPh>
    <phoneticPr fontId="2"/>
  </si>
  <si>
    <t>売価2</t>
    <rPh sb="0" eb="2">
      <t>バイカ</t>
    </rPh>
    <phoneticPr fontId="2"/>
  </si>
  <si>
    <t>売価2
粗利率</t>
    <rPh sb="0" eb="2">
      <t>バイカ</t>
    </rPh>
    <rPh sb="4" eb="7">
      <t>アラリリツ</t>
    </rPh>
    <phoneticPr fontId="2"/>
  </si>
  <si>
    <t>売価2
粗利額</t>
    <rPh sb="0" eb="2">
      <t>バイカ</t>
    </rPh>
    <rPh sb="4" eb="6">
      <t>アラリ</t>
    </rPh>
    <rPh sb="6" eb="7">
      <t>ガク</t>
    </rPh>
    <phoneticPr fontId="2"/>
  </si>
  <si>
    <t>売価1
値上げ率</t>
    <rPh sb="0" eb="2">
      <t>バイカ</t>
    </rPh>
    <rPh sb="4" eb="6">
      <t>ネア</t>
    </rPh>
    <rPh sb="7" eb="8">
      <t>リツ</t>
    </rPh>
    <phoneticPr fontId="2"/>
  </si>
  <si>
    <t>参考</t>
    <rPh sb="0" eb="2">
      <t>サンコウ</t>
    </rPh>
    <phoneticPr fontId="2"/>
  </si>
  <si>
    <t>アスクル
換算売価</t>
    <rPh sb="5" eb="7">
      <t>カンザン</t>
    </rPh>
    <rPh sb="7" eb="9">
      <t>バイカ</t>
    </rPh>
    <phoneticPr fontId="2"/>
  </si>
  <si>
    <t>改定後</t>
    <rPh sb="0" eb="2">
      <t>カイテイ</t>
    </rPh>
    <rPh sb="2" eb="3">
      <t>ゴ</t>
    </rPh>
    <phoneticPr fontId="2"/>
  </si>
  <si>
    <t>263除く</t>
    <rPh sb="3" eb="4">
      <t>ノゾ</t>
    </rPh>
    <phoneticPr fontId="2"/>
  </si>
  <si>
    <t>税込</t>
    <rPh sb="0" eb="2">
      <t>ゼイコミ</t>
    </rPh>
    <phoneticPr fontId="2"/>
  </si>
  <si>
    <t>品目のオレンジは箱バラ</t>
    <rPh sb="0" eb="2">
      <t>ヒンモク</t>
    </rPh>
    <rPh sb="8" eb="9">
      <t>ハコ</t>
    </rPh>
    <phoneticPr fontId="2"/>
  </si>
  <si>
    <t>月販</t>
    <rPh sb="0" eb="2">
      <t>ゲッパン</t>
    </rPh>
    <phoneticPr fontId="2"/>
  </si>
  <si>
    <t>倉庫</t>
    <rPh sb="0" eb="2">
      <t>ソウコ</t>
    </rPh>
    <phoneticPr fontId="2"/>
  </si>
  <si>
    <t>品目群</t>
    <rPh sb="0" eb="3">
      <t>ヒンモクグン</t>
    </rPh>
    <phoneticPr fontId="2"/>
  </si>
  <si>
    <t>たのめーる</t>
    <phoneticPr fontId="2"/>
  </si>
  <si>
    <t>カウネット</t>
    <phoneticPr fontId="2"/>
  </si>
  <si>
    <t>VD2</t>
  </si>
  <si>
    <t>VD3</t>
  </si>
  <si>
    <t>VD4</t>
  </si>
  <si>
    <t>アスクル商品名</t>
    <rPh sb="4" eb="7">
      <t>ショウヒンメイ</t>
    </rPh>
    <phoneticPr fontId="2"/>
  </si>
  <si>
    <t>No.</t>
    <phoneticPr fontId="2"/>
  </si>
  <si>
    <t>大分類</t>
    <rPh sb="0" eb="3">
      <t>ダイブンルイ</t>
    </rPh>
    <phoneticPr fontId="2"/>
  </si>
  <si>
    <t>4月売価</t>
    <rPh sb="1" eb="2">
      <t>ガツ</t>
    </rPh>
    <rPh sb="2" eb="4">
      <t>バイカ</t>
    </rPh>
    <phoneticPr fontId="2"/>
  </si>
  <si>
    <t>荷姿</t>
    <rPh sb="0" eb="2">
      <t>ニスガタ</t>
    </rPh>
    <phoneticPr fontId="2"/>
  </si>
  <si>
    <t>キー</t>
    <phoneticPr fontId="2"/>
  </si>
  <si>
    <t>ｱｽｸﾙ
ｽﾗｲﾄﾞ</t>
    <phoneticPr fontId="2"/>
  </si>
  <si>
    <t>J1202X</t>
  </si>
  <si>
    <t>J1203X</t>
  </si>
  <si>
    <t>J1204X</t>
  </si>
  <si>
    <t>J1205X</t>
  </si>
  <si>
    <t>J1206X</t>
  </si>
  <si>
    <t>J1207X</t>
  </si>
  <si>
    <t>J1208X</t>
  </si>
  <si>
    <t>J1209X</t>
  </si>
  <si>
    <t>J897MS</t>
  </si>
  <si>
    <t>J898MS</t>
  </si>
  <si>
    <t>J9880N</t>
  </si>
  <si>
    <t>J9881N</t>
  </si>
  <si>
    <t>J9882N</t>
  </si>
  <si>
    <t>ｸﾂﾜ/ﾋﾟｯﾀﾝﾄﾝ 筆入 ﾌﾞﾗｯｸ/CH212BK</t>
  </si>
  <si>
    <t>ｸﾂﾜ/ﾋﾟｯﾀﾝﾄﾝ 筆入 ﾗｲﾄﾌﾞﾙｰ/CH212LB</t>
  </si>
  <si>
    <t>ｸﾂﾜ/ﾋﾟｯﾀﾝﾄﾝ 筆入 ﾏﾘﾝﾌﾞﾙｰ/CH212MB</t>
  </si>
  <si>
    <t>ｸﾂﾜ/ﾋﾟｯﾀﾝﾄﾝ 筆入 ﾐﾝﾄ/CH212MT</t>
  </si>
  <si>
    <t>ｸﾂﾜ/ﾋﾟｯﾀﾝﾄﾝ 筆入 ﾈｲﾋﾞｰ/CH212NB</t>
  </si>
  <si>
    <t>ｸﾂﾜ/ﾋﾟｯﾀﾝﾄﾝ 筆入 ﾊﾟｰﾌﾟﾙ/CH212PU</t>
  </si>
  <si>
    <t>ｸﾂﾜ/合皮筆入 ﾌﾞﾗｯｸ/CB302BK</t>
  </si>
  <si>
    <t>ｸﾂﾜ/合皮筆入 ﾚｯﾄﾞ/CB302RD</t>
  </si>
  <si>
    <t>ｸﾂﾜ/ﾐﾆ卓上鉛筆削り ﾌﾞﾙｰ/RS040BL</t>
  </si>
  <si>
    <t>ｸﾂﾜ/ﾐﾆ卓上鉛筆削り ﾊﾟｰﾌﾟﾙ/RS040PU</t>
  </si>
  <si>
    <t>ｸﾂﾜ/ｵｰﾛﾗｸﾘｱ筆入 ﾗｲﾄﾌﾞﾙｰ/CH210LB</t>
  </si>
  <si>
    <t>ｸﾂﾜ/ｵｰﾛﾗｸﾘｱ筆入 ﾎﾜｲﾄ/CH210WH</t>
  </si>
  <si>
    <t>ｸﾂﾜ/ｵｰﾛﾗｸﾘｱ筆入 ﾊﾟｰﾌﾟﾙ/CH210PU</t>
  </si>
  <si>
    <t>-</t>
    <phoneticPr fontId="2"/>
  </si>
  <si>
    <t>HK39688</t>
  </si>
  <si>
    <t>クツワ ミニ卓上えんぴつけずり パープル RS040PU 1セット(4個)（直送品）</t>
  </si>
  <si>
    <t>1セット(4個)</t>
  </si>
  <si>
    <t>クツワ ペンケース オーロラクリア ライトブルー CH210LB 1セット(5個)（直送品）</t>
  </si>
  <si>
    <t>EK38351</t>
  </si>
  <si>
    <t>1セット(5個)</t>
  </si>
  <si>
    <t>EK38354</t>
  </si>
  <si>
    <t>クツワ ペンケース オーロラクリア ホワイト CH210WH 1セット(5個)（直送品）</t>
  </si>
  <si>
    <t>EK38352</t>
  </si>
  <si>
    <t>クツワ ペンケース オーロラクリア パープル CH210PU 1セット(5個)（直送品）</t>
  </si>
  <si>
    <t>-</t>
  </si>
  <si>
    <t>6月売価</t>
    <rPh sb="1" eb="2">
      <t>ガツ</t>
    </rPh>
    <rPh sb="2" eb="4">
      <t>バイカ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</si>
</sst>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%"/>
  </numFmts>
  <fonts count="3" x14ac:knownFonts="1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176" fontId="0" fillId="0" borderId="4" xfId="0" applyNumberFormat="1" applyBorder="1">
      <alignment vertical="center"/>
    </xf>
    <xf numFmtId="177" fontId="0" fillId="0" borderId="4" xfId="0" applyNumberFormat="1" applyBorder="1">
      <alignment vertical="center"/>
    </xf>
    <xf numFmtId="0" fontId="0" fillId="2" borderId="4" xfId="0" applyFill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2" borderId="2" xfId="0" applyFill="1" applyBorder="1">
      <alignment vertical="center"/>
    </xf>
    <xf numFmtId="0" fontId="0" fillId="3" borderId="2" xfId="0" applyFill="1" applyBorder="1" applyAlignment="1">
      <alignment vertical="center" wrapText="1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4" borderId="2" xfId="0" applyFill="1" applyBorder="1" applyAlignment="1">
      <alignment vertical="center" wrapText="1"/>
    </xf>
    <xf numFmtId="0" fontId="0" fillId="4" borderId="4" xfId="0" applyFill="1" applyBorder="1">
      <alignment vertical="center"/>
    </xf>
    <xf numFmtId="0" fontId="0" fillId="2" borderId="6" xfId="0" applyFill="1" applyBorder="1" applyAlignment="1">
      <alignment horizontal="center" vertical="center"/>
    </xf>
    <xf numFmtId="0" fontId="0" fillId="2" borderId="13" xfId="0" applyFill="1" applyBorder="1">
      <alignment vertical="center"/>
    </xf>
    <xf numFmtId="0" fontId="0" fillId="2" borderId="15" xfId="0" applyFill="1" applyBorder="1">
      <alignment vertical="center"/>
    </xf>
    <xf numFmtId="0" fontId="0" fillId="2" borderId="14" xfId="0" applyFill="1" applyBorder="1">
      <alignment vertical="center"/>
    </xf>
    <xf numFmtId="0" fontId="0" fillId="5" borderId="2" xfId="0" applyFill="1" applyBorder="1">
      <alignment vertical="center"/>
    </xf>
    <xf numFmtId="0" fontId="0" fillId="5" borderId="6" xfId="0" applyFill="1" applyBorder="1" applyAlignment="1">
      <alignment horizontal="center" vertical="center"/>
    </xf>
    <xf numFmtId="0" fontId="0" fillId="5" borderId="4" xfId="0" applyFill="1" applyBorder="1">
      <alignment vertical="center"/>
    </xf>
    <xf numFmtId="0" fontId="0" fillId="0" borderId="18" xfId="0" applyBorder="1">
      <alignment vertical="center"/>
    </xf>
    <xf numFmtId="0" fontId="0" fillId="0" borderId="0" xfId="0" applyNumberFormat="1">
      <alignment vertical="center"/>
    </xf>
    <xf numFmtId="0" fontId="0" fillId="0" borderId="6" xfId="0" applyNumberFormat="1" applyBorder="1" applyAlignment="1">
      <alignment horizontal="center" vertical="center"/>
    </xf>
    <xf numFmtId="0" fontId="0" fillId="0" borderId="2" xfId="0" applyNumberFormat="1" applyBorder="1">
      <alignment vertical="center"/>
    </xf>
    <xf numFmtId="0" fontId="0" fillId="0" borderId="4" xfId="0" applyNumberFormat="1" applyBorder="1">
      <alignment vertical="center"/>
    </xf>
    <xf numFmtId="0" fontId="0" fillId="0" borderId="19" xfId="0" applyFill="1" applyBorder="1">
      <alignment vertical="center"/>
    </xf>
    <xf numFmtId="0" fontId="0" fillId="0" borderId="0" xfId="0" applyFill="1" applyBorder="1">
      <alignment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>
      <alignment vertical="center"/>
    </xf>
    <xf numFmtId="0" fontId="0" fillId="0" borderId="2" xfId="0" applyNumberFormat="1" applyBorder="1" applyAlignment="1">
      <alignment vertical="center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</cellXfs>
  <cellStyles count="1">
    <cellStyle name="標準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660CF-9003-4B2D-B659-7F339ED5B476}">
  <dimension ref="A1:BN16"/>
  <sheetViews>
    <sheetView tabSelected="1" zoomScale="90" zoomScaleNormal="90" workbookViewId="0">
      <pane xSplit="6" ySplit="5" topLeftCell="K6" activePane="bottomRight" state="frozen"/>
      <selection pane="topRight" activeCell="G1" sqref="G1"/>
      <selection pane="bottomLeft" activeCell="A5" sqref="A5"/>
      <selection pane="bottomRight" activeCell="AI1" sqref="AI1"/>
    </sheetView>
  </sheetViews>
  <sheetFormatPr defaultRowHeight="18.75" outlineLevelCol="1" x14ac:dyDescent="0.4"/>
  <cols>
    <col min="5" max="5" width="48.375" customWidth="1"/>
    <col min="6" max="6" width="15.5" bestFit="1" customWidth="1"/>
    <col min="7" max="10" width="7.5" hidden="1" customWidth="1" outlineLevel="1"/>
    <col min="11" max="11" width="7.625" customWidth="1" collapsed="1"/>
    <col min="12" max="15" width="7.625" customWidth="1"/>
    <col min="16" max="23" width="7.625" hidden="1" customWidth="1" outlineLevel="1"/>
    <col min="24" max="24" width="7.625" customWidth="1" collapsed="1"/>
    <col min="25" max="27" width="7.625" customWidth="1"/>
    <col min="28" max="28" width="4.375" customWidth="1" collapsed="1"/>
    <col min="29" max="30" width="7.625" customWidth="1"/>
    <col min="31" max="31" width="7.625" style="30" customWidth="1"/>
    <col min="32" max="32" width="7.625" customWidth="1"/>
    <col min="33" max="33" width="7.625" style="30" customWidth="1"/>
    <col min="34" max="37" width="7.625" customWidth="1"/>
    <col min="38" max="40" width="7.625" hidden="1" customWidth="1" outlineLevel="1"/>
    <col min="41" max="41" width="7.625" customWidth="1" collapsed="1"/>
    <col min="42" max="43" width="7.625" customWidth="1"/>
    <col min="44" max="52" width="7.625" hidden="1" customWidth="1" outlineLevel="1"/>
    <col min="53" max="53" width="7.625" customWidth="1" collapsed="1"/>
    <col min="54" max="65" width="7.625" customWidth="1"/>
  </cols>
  <sheetData>
    <row r="1" spans="1:66" x14ac:dyDescent="0.4">
      <c r="B1" s="29" t="s">
        <v>49</v>
      </c>
      <c r="X1" s="42" t="s">
        <v>46</v>
      </c>
      <c r="Y1" s="43"/>
      <c r="Z1" s="43"/>
      <c r="AA1" s="44"/>
    </row>
    <row r="2" spans="1:66" x14ac:dyDescent="0.4">
      <c r="B2" s="8" t="s">
        <v>33</v>
      </c>
      <c r="C2" s="9" t="s">
        <v>34</v>
      </c>
      <c r="D2" s="9" t="s">
        <v>35</v>
      </c>
      <c r="E2" s="10"/>
      <c r="F2" s="10"/>
      <c r="G2" s="37"/>
      <c r="H2" s="37"/>
      <c r="I2" s="39" t="s">
        <v>36</v>
      </c>
      <c r="J2" s="41"/>
      <c r="K2" s="39" t="s">
        <v>2</v>
      </c>
      <c r="L2" s="40"/>
      <c r="M2" s="40"/>
      <c r="N2" s="41"/>
      <c r="O2" s="11"/>
      <c r="P2" s="36"/>
      <c r="Q2" s="36"/>
      <c r="R2" s="36"/>
      <c r="S2" s="36"/>
      <c r="T2" s="36"/>
      <c r="U2" s="36"/>
      <c r="V2" s="36"/>
      <c r="W2" s="36"/>
      <c r="X2" s="23"/>
      <c r="Y2" s="24" t="s">
        <v>39</v>
      </c>
      <c r="Z2" s="24"/>
      <c r="AA2" s="25" t="s">
        <v>39</v>
      </c>
      <c r="AB2" s="10"/>
      <c r="AC2" s="9" t="s">
        <v>44</v>
      </c>
      <c r="AD2" s="11"/>
      <c r="AE2" s="31"/>
      <c r="AF2" s="11"/>
      <c r="AG2" s="31"/>
      <c r="AH2" s="11"/>
      <c r="AI2" s="22" t="s">
        <v>47</v>
      </c>
      <c r="AJ2" s="11"/>
      <c r="AK2" s="11"/>
      <c r="AL2" s="27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>
        <v>51</v>
      </c>
      <c r="BI2">
        <v>14</v>
      </c>
      <c r="BJ2">
        <v>28</v>
      </c>
    </row>
    <row r="3" spans="1:66" ht="75" x14ac:dyDescent="0.4">
      <c r="A3" s="1" t="s">
        <v>59</v>
      </c>
      <c r="B3" s="2" t="s">
        <v>4</v>
      </c>
      <c r="C3" s="2" t="s">
        <v>9</v>
      </c>
      <c r="D3" s="2" t="s">
        <v>10</v>
      </c>
      <c r="E3" s="2" t="s">
        <v>0</v>
      </c>
      <c r="F3" s="12" t="s">
        <v>7</v>
      </c>
      <c r="G3" s="12" t="s">
        <v>62</v>
      </c>
      <c r="H3" s="12" t="s">
        <v>63</v>
      </c>
      <c r="I3" s="12" t="s">
        <v>30</v>
      </c>
      <c r="J3" s="12" t="s">
        <v>31</v>
      </c>
      <c r="K3" s="12" t="s">
        <v>1</v>
      </c>
      <c r="L3" s="2" t="s">
        <v>8</v>
      </c>
      <c r="M3" s="2" t="s">
        <v>5</v>
      </c>
      <c r="N3" s="2" t="s">
        <v>16</v>
      </c>
      <c r="O3" s="12" t="s">
        <v>55</v>
      </c>
      <c r="P3" s="12" t="s">
        <v>20</v>
      </c>
      <c r="Q3" s="12" t="s">
        <v>21</v>
      </c>
      <c r="R3" s="12" t="s">
        <v>56</v>
      </c>
      <c r="S3" s="12" t="s">
        <v>23</v>
      </c>
      <c r="T3" s="12" t="s">
        <v>24</v>
      </c>
      <c r="U3" s="12" t="s">
        <v>57</v>
      </c>
      <c r="V3" s="12" t="s">
        <v>26</v>
      </c>
      <c r="W3" s="12" t="s">
        <v>27</v>
      </c>
      <c r="X3" s="12" t="s">
        <v>3</v>
      </c>
      <c r="Y3" s="12" t="s">
        <v>28</v>
      </c>
      <c r="Z3" s="2" t="s">
        <v>5</v>
      </c>
      <c r="AA3" s="12" t="s">
        <v>29</v>
      </c>
      <c r="AB3" s="14" t="s">
        <v>6</v>
      </c>
      <c r="AC3" s="20" t="s">
        <v>17</v>
      </c>
      <c r="AD3" s="2" t="s">
        <v>16</v>
      </c>
      <c r="AE3" s="32" t="s">
        <v>50</v>
      </c>
      <c r="AF3" s="12" t="s">
        <v>45</v>
      </c>
      <c r="AG3" s="38" t="s">
        <v>64</v>
      </c>
      <c r="AH3" s="2" t="s">
        <v>16</v>
      </c>
      <c r="AI3" s="13" t="s">
        <v>37</v>
      </c>
      <c r="AJ3" s="2" t="s">
        <v>16</v>
      </c>
      <c r="AK3" s="2" t="s">
        <v>38</v>
      </c>
      <c r="AL3" s="26" t="s">
        <v>40</v>
      </c>
      <c r="AM3" s="12" t="s">
        <v>41</v>
      </c>
      <c r="AN3" s="12" t="s">
        <v>42</v>
      </c>
      <c r="AO3" s="12" t="s">
        <v>32</v>
      </c>
      <c r="AP3" s="12" t="s">
        <v>43</v>
      </c>
      <c r="AQ3" s="12" t="s">
        <v>18</v>
      </c>
      <c r="AR3" s="12" t="s">
        <v>19</v>
      </c>
      <c r="AS3" s="12" t="s">
        <v>20</v>
      </c>
      <c r="AT3" s="12" t="s">
        <v>21</v>
      </c>
      <c r="AU3" s="12" t="s">
        <v>22</v>
      </c>
      <c r="AV3" s="12" t="s">
        <v>23</v>
      </c>
      <c r="AW3" s="12" t="s">
        <v>24</v>
      </c>
      <c r="AX3" s="12" t="s">
        <v>25</v>
      </c>
      <c r="AY3" s="12" t="s">
        <v>26</v>
      </c>
      <c r="AZ3" s="12" t="s">
        <v>27</v>
      </c>
      <c r="BA3" s="2" t="s">
        <v>11</v>
      </c>
      <c r="BB3" s="2" t="s">
        <v>12</v>
      </c>
      <c r="BC3" s="2" t="s">
        <v>13</v>
      </c>
      <c r="BD3" s="2" t="s">
        <v>14</v>
      </c>
      <c r="BE3" s="12" t="s">
        <v>48</v>
      </c>
      <c r="BF3" s="12" t="s">
        <v>61</v>
      </c>
      <c r="BG3" s="2" t="s">
        <v>103</v>
      </c>
      <c r="BH3" s="2" t="s">
        <v>15</v>
      </c>
      <c r="BI3" s="18" t="s">
        <v>51</v>
      </c>
      <c r="BJ3" s="18" t="s">
        <v>52</v>
      </c>
      <c r="BK3" s="15" t="s">
        <v>60</v>
      </c>
      <c r="BL3" s="34" t="s">
        <v>53</v>
      </c>
      <c r="BM3" s="35" t="s">
        <v>54</v>
      </c>
      <c r="BN3" s="35" t="s">
        <v>58</v>
      </c>
    </row>
    <row r="4" spans="1:66" x14ac:dyDescent="0.4">
      <c r="A4" s="3">
        <v>1</v>
      </c>
      <c r="B4" s="4" t="s">
        <v>65</v>
      </c>
      <c r="C4" s="4" t="str">
        <f>TEXT(B4,"000000")</f>
        <v>J1202X</v>
      </c>
      <c r="D4" s="4" t="s">
        <v>65</v>
      </c>
      <c r="E4" s="4" t="s">
        <v>78</v>
      </c>
      <c r="F4" s="5">
        <v>4901478194801</v>
      </c>
      <c r="G4" s="5"/>
      <c r="H4" s="5"/>
      <c r="I4" s="5">
        <v>1</v>
      </c>
      <c r="J4" s="5">
        <v>1</v>
      </c>
      <c r="K4" s="4">
        <v>1700</v>
      </c>
      <c r="L4" s="4">
        <v>1150</v>
      </c>
      <c r="M4" s="4">
        <v>875</v>
      </c>
      <c r="N4" s="6">
        <f t="shared" ref="N4:N13" si="0">1-M4/L4</f>
        <v>0.23913043478260865</v>
      </c>
      <c r="O4" s="4" t="s">
        <v>91</v>
      </c>
      <c r="P4" s="4"/>
      <c r="Q4" s="4"/>
      <c r="R4" s="4"/>
      <c r="S4" s="4"/>
      <c r="T4" s="4"/>
      <c r="U4" s="4"/>
      <c r="V4" s="4"/>
      <c r="W4" s="4"/>
      <c r="X4" s="4">
        <v>1800</v>
      </c>
      <c r="Y4" s="4">
        <f>IF(AB4="",X4,X4*AB4)</f>
        <v>1800</v>
      </c>
      <c r="Z4" s="4">
        <v>926</v>
      </c>
      <c r="AA4" s="4">
        <f>IF(AB4="",Z4,Z4*AB4)</f>
        <v>926</v>
      </c>
      <c r="AB4" s="4"/>
      <c r="AC4" s="21">
        <f t="shared" ref="AC4:AC16" si="1">ROUND(L4*AQ4,0)</f>
        <v>1217</v>
      </c>
      <c r="AD4" s="6">
        <f t="shared" ref="AD4" si="2">1-AA4/AC4</f>
        <v>0.23911257189811008</v>
      </c>
      <c r="AE4" s="33">
        <v>0.25</v>
      </c>
      <c r="AF4" s="4" t="str">
        <f>BH4</f>
        <v>-</v>
      </c>
      <c r="AG4" s="33" t="e">
        <f t="shared" ref="AG4:AG16" si="3">AF4*AQ4</f>
        <v>#VALUE!</v>
      </c>
      <c r="AH4" s="6" t="e">
        <f>1-AA4/AG4</f>
        <v>#VALUE!</v>
      </c>
      <c r="AI4" s="7">
        <v>1380</v>
      </c>
      <c r="AJ4" s="6">
        <f t="shared" ref="AJ4:AJ16" si="4">1-AA4/AI4</f>
        <v>0.32898550724637676</v>
      </c>
      <c r="AK4" s="4">
        <f t="shared" ref="AK4:AK16" si="5">AI4-AA4</f>
        <v>454</v>
      </c>
      <c r="AL4" s="28"/>
      <c r="AM4" s="6" t="e">
        <f>1-AA4/AL4</f>
        <v>#DIV/0!</v>
      </c>
      <c r="AN4" s="4">
        <f>AL4-AA4</f>
        <v>-926</v>
      </c>
      <c r="AO4" s="6">
        <f t="shared" ref="AO4:AO16" si="6">Y4/K4</f>
        <v>1.0588235294117647</v>
      </c>
      <c r="AP4" s="6">
        <f t="shared" ref="AP4:AP16" si="7">AI4/L4</f>
        <v>1.2</v>
      </c>
      <c r="AQ4" s="6">
        <f t="shared" ref="AQ4:AQ16" si="8">AA4/M4</f>
        <v>1.0582857142857143</v>
      </c>
      <c r="AR4" s="4" t="str">
        <f>IFERROR(ROUND($AI4*O4/$L4,0),"-")</f>
        <v>-</v>
      </c>
      <c r="AS4" s="4" t="str">
        <f>IF(P4="","-",P4)</f>
        <v>-</v>
      </c>
      <c r="AT4" s="4" t="str">
        <f>IF(Q4="","-",Q4)</f>
        <v>-</v>
      </c>
      <c r="AU4" s="4"/>
      <c r="AV4" s="4"/>
      <c r="AW4" s="4"/>
      <c r="AX4" s="4"/>
      <c r="AY4" s="4"/>
      <c r="AZ4" s="4"/>
      <c r="BA4" s="4">
        <v>0</v>
      </c>
      <c r="BB4" s="4" t="s">
        <v>91</v>
      </c>
      <c r="BC4" s="4"/>
      <c r="BD4" s="4"/>
      <c r="BE4" s="4" t="s">
        <v>91</v>
      </c>
      <c r="BF4" s="4" t="s">
        <v>102</v>
      </c>
      <c r="BG4" s="4" t="s">
        <v>91</v>
      </c>
      <c r="BH4" s="4" t="str">
        <f t="shared" ref="BH4:BH5" si="9">IF(BC4="",BG4,BC4/BD4*BG4)</f>
        <v>-</v>
      </c>
      <c r="BI4" s="19">
        <v>4</v>
      </c>
      <c r="BJ4" s="19">
        <v>1</v>
      </c>
      <c r="BK4" s="16">
        <v>6</v>
      </c>
      <c r="BL4" t="s">
        <v>91</v>
      </c>
      <c r="BM4" t="s">
        <v>91</v>
      </c>
      <c r="BN4" t="s">
        <v>91</v>
      </c>
    </row>
    <row r="5" spans="1:66" x14ac:dyDescent="0.4">
      <c r="A5" s="3">
        <v>2</v>
      </c>
      <c r="B5" s="4" t="s">
        <v>66</v>
      </c>
      <c r="C5" s="4" t="str">
        <f t="shared" ref="C5:C13" si="10">TEXT(B5,"000000")</f>
        <v>J1203X</v>
      </c>
      <c r="D5" s="4" t="s">
        <v>66</v>
      </c>
      <c r="E5" s="4" t="s">
        <v>79</v>
      </c>
      <c r="F5" s="5">
        <v>4901478194832</v>
      </c>
      <c r="G5" s="5"/>
      <c r="H5" s="5"/>
      <c r="I5" s="5">
        <v>1</v>
      </c>
      <c r="J5" s="5">
        <v>1</v>
      </c>
      <c r="K5" s="4">
        <v>1700</v>
      </c>
      <c r="L5" s="4">
        <v>1150</v>
      </c>
      <c r="M5" s="4">
        <v>875</v>
      </c>
      <c r="N5" s="6">
        <f t="shared" si="0"/>
        <v>0.23913043478260865</v>
      </c>
      <c r="O5" s="4" t="s">
        <v>91</v>
      </c>
      <c r="P5" s="4"/>
      <c r="Q5" s="4"/>
      <c r="R5" s="4"/>
      <c r="S5" s="4"/>
      <c r="T5" s="4"/>
      <c r="U5" s="4"/>
      <c r="V5" s="4"/>
      <c r="W5" s="4"/>
      <c r="X5" s="4">
        <v>1800</v>
      </c>
      <c r="Y5" s="4">
        <f t="shared" ref="Y5:Y13" si="11">IF(AB5="",X5,X5*AB5)</f>
        <v>1800</v>
      </c>
      <c r="Z5" s="4">
        <v>926</v>
      </c>
      <c r="AA5" s="4">
        <f t="shared" ref="AA5:AA13" si="12">IF(AB5="",Z5,Z5*AB5)</f>
        <v>926</v>
      </c>
      <c r="AB5" s="4"/>
      <c r="AC5" s="21">
        <f t="shared" si="1"/>
        <v>1217</v>
      </c>
      <c r="AD5" s="6">
        <f t="shared" ref="AD5" si="13">1-AA5/AC5</f>
        <v>0.23911257189811008</v>
      </c>
      <c r="AE5" s="33">
        <v>0.5</v>
      </c>
      <c r="AF5" s="4" t="str">
        <f t="shared" ref="AF5:AF13" si="14">BH5</f>
        <v>-</v>
      </c>
      <c r="AG5" s="33" t="e">
        <f t="shared" si="3"/>
        <v>#VALUE!</v>
      </c>
      <c r="AH5" s="6" t="e">
        <f t="shared" ref="AH5:AH16" si="15">1-AA5/AG5</f>
        <v>#VALUE!</v>
      </c>
      <c r="AI5" s="7">
        <v>1380</v>
      </c>
      <c r="AJ5" s="6">
        <f t="shared" si="4"/>
        <v>0.32898550724637676</v>
      </c>
      <c r="AK5" s="4">
        <f t="shared" si="5"/>
        <v>454</v>
      </c>
      <c r="AL5" s="28"/>
      <c r="AM5" s="6"/>
      <c r="AN5" s="6"/>
      <c r="AO5" s="6">
        <f t="shared" si="6"/>
        <v>1.0588235294117647</v>
      </c>
      <c r="AP5" s="6">
        <f t="shared" si="7"/>
        <v>1.2</v>
      </c>
      <c r="AQ5" s="6">
        <f t="shared" si="8"/>
        <v>1.0582857142857143</v>
      </c>
      <c r="AR5" s="4"/>
      <c r="AS5" s="4"/>
      <c r="AT5" s="4"/>
      <c r="AU5" s="4"/>
      <c r="AV5" s="4"/>
      <c r="AW5" s="4"/>
      <c r="AX5" s="4"/>
      <c r="AY5" s="4"/>
      <c r="AZ5" s="4"/>
      <c r="BA5" s="4">
        <v>0</v>
      </c>
      <c r="BB5" s="4" t="s">
        <v>91</v>
      </c>
      <c r="BC5" s="4"/>
      <c r="BD5" s="4"/>
      <c r="BE5" s="4" t="s">
        <v>91</v>
      </c>
      <c r="BF5" s="4" t="s">
        <v>102</v>
      </c>
      <c r="BG5" s="4" t="s">
        <v>91</v>
      </c>
      <c r="BH5" s="4" t="str">
        <f t="shared" si="9"/>
        <v>-</v>
      </c>
      <c r="BI5" s="19">
        <v>4</v>
      </c>
      <c r="BJ5" s="19">
        <v>1</v>
      </c>
      <c r="BK5" s="16">
        <v>6</v>
      </c>
      <c r="BL5" t="s">
        <v>91</v>
      </c>
      <c r="BM5" t="s">
        <v>91</v>
      </c>
      <c r="BN5" t="s">
        <v>91</v>
      </c>
    </row>
    <row r="6" spans="1:66" x14ac:dyDescent="0.4">
      <c r="A6" s="3">
        <v>3</v>
      </c>
      <c r="B6" s="17" t="s">
        <v>67</v>
      </c>
      <c r="C6" s="4" t="str">
        <f t="shared" si="10"/>
        <v>J1204X</v>
      </c>
      <c r="D6" s="4" t="s">
        <v>67</v>
      </c>
      <c r="E6" s="4" t="s">
        <v>80</v>
      </c>
      <c r="F6" s="5">
        <v>4901478194825</v>
      </c>
      <c r="G6" s="5"/>
      <c r="H6" s="5"/>
      <c r="I6" s="5">
        <v>1</v>
      </c>
      <c r="J6" s="5">
        <v>1</v>
      </c>
      <c r="K6" s="4">
        <v>1700</v>
      </c>
      <c r="L6" s="4">
        <v>1292</v>
      </c>
      <c r="M6" s="4">
        <v>875</v>
      </c>
      <c r="N6" s="6">
        <f t="shared" si="0"/>
        <v>0.3227554179566563</v>
      </c>
      <c r="O6" s="4" t="s">
        <v>91</v>
      </c>
      <c r="P6" s="4"/>
      <c r="Q6" s="4"/>
      <c r="R6" s="4"/>
      <c r="S6" s="4"/>
      <c r="T6" s="4"/>
      <c r="U6" s="4"/>
      <c r="V6" s="4"/>
      <c r="W6" s="4"/>
      <c r="X6" s="4">
        <v>1800</v>
      </c>
      <c r="Y6" s="4">
        <f t="shared" si="11"/>
        <v>1800</v>
      </c>
      <c r="Z6" s="4">
        <v>926</v>
      </c>
      <c r="AA6" s="4">
        <f t="shared" si="12"/>
        <v>926</v>
      </c>
      <c r="AB6" s="4"/>
      <c r="AC6" s="21">
        <f t="shared" si="1"/>
        <v>1367</v>
      </c>
      <c r="AD6" s="6">
        <f t="shared" ref="AD6:AD13" si="16">1-AA6/AC6</f>
        <v>0.32260424286759326</v>
      </c>
      <c r="AE6" s="33">
        <v>0.75</v>
      </c>
      <c r="AF6" s="4" t="str">
        <f t="shared" si="14"/>
        <v>-</v>
      </c>
      <c r="AG6" s="33" t="e">
        <f t="shared" si="3"/>
        <v>#VALUE!</v>
      </c>
      <c r="AH6" s="6" t="e">
        <f t="shared" si="15"/>
        <v>#VALUE!</v>
      </c>
      <c r="AI6" s="7">
        <v>1380</v>
      </c>
      <c r="AJ6" s="6">
        <f t="shared" si="4"/>
        <v>0.32898550724637676</v>
      </c>
      <c r="AK6" s="4">
        <f t="shared" si="5"/>
        <v>454</v>
      </c>
      <c r="AL6" s="28"/>
      <c r="AM6" s="6"/>
      <c r="AN6" s="6"/>
      <c r="AO6" s="6">
        <f t="shared" si="6"/>
        <v>1.0588235294117647</v>
      </c>
      <c r="AP6" s="6">
        <f t="shared" si="7"/>
        <v>1.068111455108359</v>
      </c>
      <c r="AQ6" s="6">
        <f t="shared" si="8"/>
        <v>1.0582857142857143</v>
      </c>
      <c r="AR6" s="4"/>
      <c r="AS6" s="4"/>
      <c r="AT6" s="4"/>
      <c r="AU6" s="4"/>
      <c r="AV6" s="4"/>
      <c r="AW6" s="4"/>
      <c r="AX6" s="4"/>
      <c r="AY6" s="4"/>
      <c r="AZ6" s="4"/>
      <c r="BA6" s="4">
        <v>0</v>
      </c>
      <c r="BB6" s="4" t="s">
        <v>91</v>
      </c>
      <c r="BC6" s="4"/>
      <c r="BD6" s="4"/>
      <c r="BE6" s="4" t="s">
        <v>91</v>
      </c>
      <c r="BF6" s="4" t="s">
        <v>102</v>
      </c>
      <c r="BG6" s="4" t="s">
        <v>91</v>
      </c>
      <c r="BH6" s="4" t="str">
        <f t="shared" ref="BH6:BH13" si="17">IF(BC6="",BG6,BC6/BD6*BG6)</f>
        <v>-</v>
      </c>
      <c r="BI6" s="19">
        <v>4</v>
      </c>
      <c r="BJ6" s="19">
        <v>1</v>
      </c>
      <c r="BK6" s="16">
        <v>6</v>
      </c>
      <c r="BL6" t="s">
        <v>91</v>
      </c>
      <c r="BM6" t="s">
        <v>91</v>
      </c>
      <c r="BN6" t="s">
        <v>91</v>
      </c>
    </row>
    <row r="7" spans="1:66" x14ac:dyDescent="0.4">
      <c r="A7" s="3">
        <v>4</v>
      </c>
      <c r="B7" s="17" t="s">
        <v>68</v>
      </c>
      <c r="C7" s="4" t="str">
        <f t="shared" si="10"/>
        <v>J1205X</v>
      </c>
      <c r="D7" s="4" t="s">
        <v>68</v>
      </c>
      <c r="E7" s="4" t="s">
        <v>81</v>
      </c>
      <c r="F7" s="5">
        <v>4901478194856</v>
      </c>
      <c r="G7" s="5"/>
      <c r="H7" s="5"/>
      <c r="I7" s="5">
        <v>1</v>
      </c>
      <c r="J7" s="5">
        <v>1</v>
      </c>
      <c r="K7" s="4">
        <v>1700</v>
      </c>
      <c r="L7" s="4">
        <v>1045</v>
      </c>
      <c r="M7" s="4">
        <v>875</v>
      </c>
      <c r="N7" s="6">
        <f t="shared" si="0"/>
        <v>0.16267942583732053</v>
      </c>
      <c r="O7" s="4" t="s">
        <v>91</v>
      </c>
      <c r="P7" s="4"/>
      <c r="Q7" s="4"/>
      <c r="R7" s="4"/>
      <c r="S7" s="4"/>
      <c r="T7" s="4"/>
      <c r="U7" s="4"/>
      <c r="V7" s="4"/>
      <c r="W7" s="4"/>
      <c r="X7" s="4">
        <v>1800</v>
      </c>
      <c r="Y7" s="4">
        <f t="shared" si="11"/>
        <v>1800</v>
      </c>
      <c r="Z7" s="4">
        <v>926</v>
      </c>
      <c r="AA7" s="4">
        <f t="shared" si="12"/>
        <v>926</v>
      </c>
      <c r="AB7" s="4"/>
      <c r="AC7" s="21">
        <f t="shared" si="1"/>
        <v>1106</v>
      </c>
      <c r="AD7" s="6">
        <f t="shared" si="16"/>
        <v>0.16274864376130194</v>
      </c>
      <c r="AE7" s="33">
        <v>0.5</v>
      </c>
      <c r="AF7" s="4" t="str">
        <f t="shared" si="14"/>
        <v>-</v>
      </c>
      <c r="AG7" s="33" t="e">
        <f t="shared" si="3"/>
        <v>#VALUE!</v>
      </c>
      <c r="AH7" s="6" t="e">
        <f t="shared" si="15"/>
        <v>#VALUE!</v>
      </c>
      <c r="AI7" s="7">
        <v>1380</v>
      </c>
      <c r="AJ7" s="6">
        <f t="shared" si="4"/>
        <v>0.32898550724637676</v>
      </c>
      <c r="AK7" s="4">
        <f t="shared" si="5"/>
        <v>454</v>
      </c>
      <c r="AL7" s="28"/>
      <c r="AM7" s="6"/>
      <c r="AN7" s="6"/>
      <c r="AO7" s="6">
        <f t="shared" si="6"/>
        <v>1.0588235294117647</v>
      </c>
      <c r="AP7" s="6">
        <f t="shared" si="7"/>
        <v>1.3205741626794258</v>
      </c>
      <c r="AQ7" s="6">
        <f t="shared" si="8"/>
        <v>1.0582857142857143</v>
      </c>
      <c r="AR7" s="4"/>
      <c r="AS7" s="4"/>
      <c r="AT7" s="4"/>
      <c r="AU7" s="4"/>
      <c r="AV7" s="4"/>
      <c r="AW7" s="4"/>
      <c r="AX7" s="4"/>
      <c r="AY7" s="4"/>
      <c r="AZ7" s="4"/>
      <c r="BA7" s="4">
        <v>0</v>
      </c>
      <c r="BB7" s="4" t="s">
        <v>91</v>
      </c>
      <c r="BC7" s="4"/>
      <c r="BD7" s="4"/>
      <c r="BE7" s="4" t="s">
        <v>91</v>
      </c>
      <c r="BF7" s="4" t="s">
        <v>102</v>
      </c>
      <c r="BG7" s="4" t="s">
        <v>91</v>
      </c>
      <c r="BH7" s="4" t="str">
        <f t="shared" si="17"/>
        <v>-</v>
      </c>
      <c r="BI7" s="19">
        <v>4</v>
      </c>
      <c r="BJ7" s="19">
        <v>1</v>
      </c>
      <c r="BK7" s="16">
        <v>6</v>
      </c>
      <c r="BL7" t="s">
        <v>91</v>
      </c>
      <c r="BM7" t="s">
        <v>91</v>
      </c>
      <c r="BN7" t="s">
        <v>91</v>
      </c>
    </row>
    <row r="8" spans="1:66" x14ac:dyDescent="0.4">
      <c r="A8" s="3">
        <v>5</v>
      </c>
      <c r="B8" s="17" t="s">
        <v>69</v>
      </c>
      <c r="C8" s="4" t="str">
        <f t="shared" si="10"/>
        <v>J1206X</v>
      </c>
      <c r="D8" s="4" t="s">
        <v>69</v>
      </c>
      <c r="E8" s="4" t="s">
        <v>82</v>
      </c>
      <c r="F8" s="5">
        <v>4901478194818</v>
      </c>
      <c r="G8" s="5"/>
      <c r="H8" s="5"/>
      <c r="I8" s="5">
        <v>1</v>
      </c>
      <c r="J8" s="5">
        <v>1</v>
      </c>
      <c r="K8" s="4">
        <v>1700</v>
      </c>
      <c r="L8" s="4">
        <v>1150</v>
      </c>
      <c r="M8" s="4">
        <v>875</v>
      </c>
      <c r="N8" s="6">
        <f t="shared" si="0"/>
        <v>0.23913043478260865</v>
      </c>
      <c r="O8" s="4" t="s">
        <v>91</v>
      </c>
      <c r="P8" s="4"/>
      <c r="Q8" s="4"/>
      <c r="R8" s="4"/>
      <c r="S8" s="4"/>
      <c r="T8" s="4"/>
      <c r="U8" s="4"/>
      <c r="V8" s="4"/>
      <c r="W8" s="4"/>
      <c r="X8" s="4">
        <v>1800</v>
      </c>
      <c r="Y8" s="4">
        <f t="shared" si="11"/>
        <v>1800</v>
      </c>
      <c r="Z8" s="4">
        <v>926</v>
      </c>
      <c r="AA8" s="4">
        <f t="shared" si="12"/>
        <v>926</v>
      </c>
      <c r="AB8" s="4"/>
      <c r="AC8" s="21">
        <f t="shared" si="1"/>
        <v>1217</v>
      </c>
      <c r="AD8" s="6">
        <f t="shared" si="16"/>
        <v>0.23911257189811008</v>
      </c>
      <c r="AE8" s="33">
        <v>0.5</v>
      </c>
      <c r="AF8" s="4" t="str">
        <f t="shared" si="14"/>
        <v>-</v>
      </c>
      <c r="AG8" s="33" t="e">
        <f t="shared" si="3"/>
        <v>#VALUE!</v>
      </c>
      <c r="AH8" s="6" t="e">
        <f t="shared" si="15"/>
        <v>#VALUE!</v>
      </c>
      <c r="AI8" s="7">
        <v>1380</v>
      </c>
      <c r="AJ8" s="6">
        <f t="shared" si="4"/>
        <v>0.32898550724637676</v>
      </c>
      <c r="AK8" s="4">
        <f t="shared" si="5"/>
        <v>454</v>
      </c>
      <c r="AL8" s="28"/>
      <c r="AM8" s="6"/>
      <c r="AN8" s="6"/>
      <c r="AO8" s="6">
        <f t="shared" si="6"/>
        <v>1.0588235294117647</v>
      </c>
      <c r="AP8" s="6">
        <f t="shared" si="7"/>
        <v>1.2</v>
      </c>
      <c r="AQ8" s="6">
        <f t="shared" si="8"/>
        <v>1.0582857142857143</v>
      </c>
      <c r="AR8" s="4"/>
      <c r="AS8" s="4"/>
      <c r="AT8" s="4"/>
      <c r="AU8" s="4"/>
      <c r="AV8" s="4"/>
      <c r="AW8" s="4"/>
      <c r="AX8" s="4"/>
      <c r="AY8" s="4"/>
      <c r="AZ8" s="4"/>
      <c r="BA8" s="4">
        <v>0</v>
      </c>
      <c r="BB8" s="4" t="s">
        <v>91</v>
      </c>
      <c r="BC8" s="4"/>
      <c r="BD8" s="4"/>
      <c r="BE8" s="4" t="s">
        <v>91</v>
      </c>
      <c r="BF8" s="4" t="s">
        <v>102</v>
      </c>
      <c r="BG8" s="4" t="s">
        <v>91</v>
      </c>
      <c r="BH8" s="4" t="str">
        <f t="shared" si="17"/>
        <v>-</v>
      </c>
      <c r="BI8" s="19">
        <v>4</v>
      </c>
      <c r="BJ8" s="19">
        <v>1</v>
      </c>
      <c r="BK8" s="16">
        <v>6</v>
      </c>
      <c r="BL8" t="s">
        <v>91</v>
      </c>
      <c r="BM8" t="s">
        <v>91</v>
      </c>
      <c r="BN8" t="s">
        <v>91</v>
      </c>
    </row>
    <row r="9" spans="1:66" x14ac:dyDescent="0.4">
      <c r="A9" s="3">
        <v>6</v>
      </c>
      <c r="B9" s="17" t="s">
        <v>70</v>
      </c>
      <c r="C9" s="4" t="str">
        <f t="shared" si="10"/>
        <v>J1207X</v>
      </c>
      <c r="D9" s="4" t="s">
        <v>70</v>
      </c>
      <c r="E9" s="4" t="s">
        <v>83</v>
      </c>
      <c r="F9" s="5">
        <v>4901478194849</v>
      </c>
      <c r="G9" s="5"/>
      <c r="H9" s="5"/>
      <c r="I9" s="5">
        <v>1</v>
      </c>
      <c r="J9" s="5">
        <v>1</v>
      </c>
      <c r="K9" s="4">
        <v>1700</v>
      </c>
      <c r="L9" s="4">
        <v>1150</v>
      </c>
      <c r="M9" s="4">
        <v>875</v>
      </c>
      <c r="N9" s="6">
        <f t="shared" si="0"/>
        <v>0.23913043478260865</v>
      </c>
      <c r="O9" s="4" t="s">
        <v>91</v>
      </c>
      <c r="P9" s="4"/>
      <c r="Q9" s="4"/>
      <c r="R9" s="4"/>
      <c r="S9" s="4"/>
      <c r="T9" s="4"/>
      <c r="U9" s="4"/>
      <c r="V9" s="4"/>
      <c r="W9" s="4"/>
      <c r="X9" s="4">
        <v>1800</v>
      </c>
      <c r="Y9" s="4">
        <f t="shared" si="11"/>
        <v>1800</v>
      </c>
      <c r="Z9" s="4">
        <v>926</v>
      </c>
      <c r="AA9" s="4">
        <f t="shared" si="12"/>
        <v>926</v>
      </c>
      <c r="AB9" s="4"/>
      <c r="AC9" s="21">
        <f t="shared" si="1"/>
        <v>1217</v>
      </c>
      <c r="AD9" s="6">
        <f t="shared" si="16"/>
        <v>0.23911257189811008</v>
      </c>
      <c r="AE9" s="33">
        <v>0.5</v>
      </c>
      <c r="AF9" s="4" t="str">
        <f t="shared" si="14"/>
        <v>-</v>
      </c>
      <c r="AG9" s="33" t="e">
        <f t="shared" si="3"/>
        <v>#VALUE!</v>
      </c>
      <c r="AH9" s="6" t="e">
        <f t="shared" si="15"/>
        <v>#VALUE!</v>
      </c>
      <c r="AI9" s="7">
        <v>1380</v>
      </c>
      <c r="AJ9" s="6">
        <f t="shared" si="4"/>
        <v>0.32898550724637676</v>
      </c>
      <c r="AK9" s="4">
        <f t="shared" si="5"/>
        <v>454</v>
      </c>
      <c r="AL9" s="28"/>
      <c r="AM9" s="6"/>
      <c r="AN9" s="6"/>
      <c r="AO9" s="6">
        <f t="shared" si="6"/>
        <v>1.0588235294117647</v>
      </c>
      <c r="AP9" s="6">
        <f t="shared" si="7"/>
        <v>1.2</v>
      </c>
      <c r="AQ9" s="6">
        <f t="shared" si="8"/>
        <v>1.0582857142857143</v>
      </c>
      <c r="AR9" s="4"/>
      <c r="AS9" s="4"/>
      <c r="AT9" s="4"/>
      <c r="AU9" s="4"/>
      <c r="AV9" s="4"/>
      <c r="AW9" s="4"/>
      <c r="AX9" s="4"/>
      <c r="AY9" s="4"/>
      <c r="AZ9" s="4"/>
      <c r="BA9" s="4">
        <v>0</v>
      </c>
      <c r="BB9" s="4" t="s">
        <v>91</v>
      </c>
      <c r="BC9" s="4"/>
      <c r="BD9" s="4"/>
      <c r="BE9" s="4" t="s">
        <v>91</v>
      </c>
      <c r="BF9" s="4" t="s">
        <v>102</v>
      </c>
      <c r="BG9" s="4" t="s">
        <v>91</v>
      </c>
      <c r="BH9" s="4" t="str">
        <f t="shared" si="17"/>
        <v>-</v>
      </c>
      <c r="BI9" s="19">
        <v>4</v>
      </c>
      <c r="BJ9" s="19">
        <v>1</v>
      </c>
      <c r="BK9" s="16">
        <v>6</v>
      </c>
      <c r="BL9" t="s">
        <v>91</v>
      </c>
      <c r="BM9" t="s">
        <v>91</v>
      </c>
      <c r="BN9" t="s">
        <v>91</v>
      </c>
    </row>
    <row r="10" spans="1:66" x14ac:dyDescent="0.4">
      <c r="A10" s="3">
        <v>7</v>
      </c>
      <c r="B10" s="4" t="s">
        <v>71</v>
      </c>
      <c r="C10" s="4" t="str">
        <f t="shared" si="10"/>
        <v>J1208X</v>
      </c>
      <c r="D10" s="4" t="s">
        <v>71</v>
      </c>
      <c r="E10" s="4" t="s">
        <v>84</v>
      </c>
      <c r="F10" s="5">
        <v>4901478194863</v>
      </c>
      <c r="G10" s="5"/>
      <c r="H10" s="5"/>
      <c r="I10" s="5">
        <v>1</v>
      </c>
      <c r="J10" s="5">
        <v>1</v>
      </c>
      <c r="K10" s="4">
        <v>1200</v>
      </c>
      <c r="L10" s="4">
        <v>912</v>
      </c>
      <c r="M10" s="4">
        <v>618</v>
      </c>
      <c r="N10" s="6">
        <f t="shared" si="0"/>
        <v>0.32236842105263153</v>
      </c>
      <c r="O10" s="4" t="s">
        <v>91</v>
      </c>
      <c r="P10" s="4"/>
      <c r="Q10" s="4"/>
      <c r="R10" s="4"/>
      <c r="S10" s="4"/>
      <c r="T10" s="4"/>
      <c r="U10" s="4"/>
      <c r="V10" s="4"/>
      <c r="W10" s="4"/>
      <c r="X10" s="4">
        <v>1400</v>
      </c>
      <c r="Y10" s="4">
        <f t="shared" si="11"/>
        <v>1400</v>
      </c>
      <c r="Z10" s="4">
        <v>720</v>
      </c>
      <c r="AA10" s="4">
        <f t="shared" si="12"/>
        <v>720</v>
      </c>
      <c r="AB10" s="4"/>
      <c r="AC10" s="21">
        <f t="shared" si="1"/>
        <v>1063</v>
      </c>
      <c r="AD10" s="6">
        <f t="shared" si="16"/>
        <v>0.32267168391345247</v>
      </c>
      <c r="AE10" s="33">
        <v>1.25</v>
      </c>
      <c r="AF10" s="4" t="str">
        <f t="shared" si="14"/>
        <v>-</v>
      </c>
      <c r="AG10" s="33" t="e">
        <f t="shared" si="3"/>
        <v>#VALUE!</v>
      </c>
      <c r="AH10" s="6" t="e">
        <f t="shared" si="15"/>
        <v>#VALUE!</v>
      </c>
      <c r="AI10" s="7">
        <v>1080</v>
      </c>
      <c r="AJ10" s="6">
        <f t="shared" si="4"/>
        <v>0.33333333333333337</v>
      </c>
      <c r="AK10" s="4">
        <f t="shared" si="5"/>
        <v>360</v>
      </c>
      <c r="AL10" s="28"/>
      <c r="AM10" s="6"/>
      <c r="AN10" s="6"/>
      <c r="AO10" s="6">
        <f t="shared" si="6"/>
        <v>1.1666666666666667</v>
      </c>
      <c r="AP10" s="6">
        <f t="shared" si="7"/>
        <v>1.1842105263157894</v>
      </c>
      <c r="AQ10" s="6">
        <f t="shared" si="8"/>
        <v>1.1650485436893203</v>
      </c>
      <c r="AR10" s="4"/>
      <c r="AS10" s="4"/>
      <c r="AT10" s="4"/>
      <c r="AU10" s="4"/>
      <c r="AV10" s="4"/>
      <c r="AW10" s="4"/>
      <c r="AX10" s="4"/>
      <c r="AY10" s="4"/>
      <c r="AZ10" s="4"/>
      <c r="BA10" s="4">
        <v>0</v>
      </c>
      <c r="BB10" s="4" t="s">
        <v>91</v>
      </c>
      <c r="BC10" s="4"/>
      <c r="BD10" s="4"/>
      <c r="BE10" s="4" t="s">
        <v>91</v>
      </c>
      <c r="BF10" s="4" t="s">
        <v>102</v>
      </c>
      <c r="BG10" s="4" t="s">
        <v>91</v>
      </c>
      <c r="BH10" s="4" t="str">
        <f t="shared" si="17"/>
        <v>-</v>
      </c>
      <c r="BI10" s="19">
        <v>4</v>
      </c>
      <c r="BJ10" s="19">
        <v>1</v>
      </c>
      <c r="BK10" s="16">
        <v>6</v>
      </c>
      <c r="BL10" t="s">
        <v>91</v>
      </c>
      <c r="BM10" t="s">
        <v>91</v>
      </c>
      <c r="BN10" t="s">
        <v>91</v>
      </c>
    </row>
    <row r="11" spans="1:66" x14ac:dyDescent="0.4">
      <c r="A11" s="3">
        <v>8</v>
      </c>
      <c r="B11" s="4" t="s">
        <v>72</v>
      </c>
      <c r="C11" s="4" t="str">
        <f t="shared" si="10"/>
        <v>J1209X</v>
      </c>
      <c r="D11" s="4" t="s">
        <v>72</v>
      </c>
      <c r="E11" s="4" t="s">
        <v>85</v>
      </c>
      <c r="F11" s="5">
        <v>4901478194870</v>
      </c>
      <c r="G11" s="5"/>
      <c r="H11" s="5"/>
      <c r="I11" s="5">
        <v>1</v>
      </c>
      <c r="J11" s="5">
        <v>1</v>
      </c>
      <c r="K11" s="4">
        <v>1200</v>
      </c>
      <c r="L11" s="4">
        <v>737</v>
      </c>
      <c r="M11" s="4">
        <v>618</v>
      </c>
      <c r="N11" s="6">
        <f t="shared" si="0"/>
        <v>0.16146540027137046</v>
      </c>
      <c r="O11" s="4" t="s">
        <v>91</v>
      </c>
      <c r="P11" s="4"/>
      <c r="Q11" s="4"/>
      <c r="R11" s="4"/>
      <c r="S11" s="4"/>
      <c r="T11" s="4"/>
      <c r="U11" s="4"/>
      <c r="V11" s="4"/>
      <c r="W11" s="4"/>
      <c r="X11" s="4">
        <v>1400</v>
      </c>
      <c r="Y11" s="4">
        <f t="shared" si="11"/>
        <v>1400</v>
      </c>
      <c r="Z11" s="4">
        <v>720</v>
      </c>
      <c r="AA11" s="4">
        <f t="shared" si="12"/>
        <v>720</v>
      </c>
      <c r="AB11" s="4"/>
      <c r="AC11" s="21">
        <f t="shared" si="1"/>
        <v>859</v>
      </c>
      <c r="AD11" s="6">
        <f t="shared" si="16"/>
        <v>0.1618160651920838</v>
      </c>
      <c r="AE11" s="33">
        <v>0.25</v>
      </c>
      <c r="AF11" s="4" t="str">
        <f t="shared" si="14"/>
        <v>-</v>
      </c>
      <c r="AG11" s="33" t="e">
        <f t="shared" si="3"/>
        <v>#VALUE!</v>
      </c>
      <c r="AH11" s="6" t="e">
        <f t="shared" si="15"/>
        <v>#VALUE!</v>
      </c>
      <c r="AI11" s="7">
        <v>1080</v>
      </c>
      <c r="AJ11" s="6">
        <f t="shared" si="4"/>
        <v>0.33333333333333337</v>
      </c>
      <c r="AK11" s="4">
        <f t="shared" si="5"/>
        <v>360</v>
      </c>
      <c r="AL11" s="28"/>
      <c r="AM11" s="6"/>
      <c r="AN11" s="6"/>
      <c r="AO11" s="6">
        <f t="shared" si="6"/>
        <v>1.1666666666666667</v>
      </c>
      <c r="AP11" s="6">
        <f t="shared" si="7"/>
        <v>1.4654002713704206</v>
      </c>
      <c r="AQ11" s="6">
        <f t="shared" si="8"/>
        <v>1.1650485436893203</v>
      </c>
      <c r="AR11" s="4"/>
      <c r="AS11" s="4"/>
      <c r="AT11" s="4"/>
      <c r="AU11" s="4"/>
      <c r="AV11" s="4"/>
      <c r="AW11" s="4"/>
      <c r="AX11" s="4"/>
      <c r="AY11" s="4"/>
      <c r="AZ11" s="4"/>
      <c r="BA11" s="4">
        <v>0</v>
      </c>
      <c r="BB11" s="4" t="s">
        <v>91</v>
      </c>
      <c r="BC11" s="4"/>
      <c r="BD11" s="4"/>
      <c r="BE11" s="4" t="s">
        <v>91</v>
      </c>
      <c r="BF11" s="4" t="s">
        <v>102</v>
      </c>
      <c r="BG11" s="4" t="s">
        <v>91</v>
      </c>
      <c r="BH11" s="4" t="str">
        <f t="shared" si="17"/>
        <v>-</v>
      </c>
      <c r="BI11" s="19">
        <v>4</v>
      </c>
      <c r="BJ11" s="19">
        <v>1</v>
      </c>
      <c r="BK11" s="16">
        <v>6</v>
      </c>
      <c r="BL11" t="s">
        <v>91</v>
      </c>
      <c r="BM11" t="s">
        <v>91</v>
      </c>
      <c r="BN11" t="s">
        <v>91</v>
      </c>
    </row>
    <row r="12" spans="1:66" x14ac:dyDescent="0.4">
      <c r="A12" s="3">
        <v>9</v>
      </c>
      <c r="B12" s="4" t="s">
        <v>73</v>
      </c>
      <c r="C12" s="4" t="str">
        <f t="shared" si="10"/>
        <v>J897MS</v>
      </c>
      <c r="D12" s="4" t="s">
        <v>73</v>
      </c>
      <c r="E12" s="4" t="s">
        <v>86</v>
      </c>
      <c r="F12" s="5">
        <v>4901478180637</v>
      </c>
      <c r="G12" s="5"/>
      <c r="H12" s="5"/>
      <c r="I12" s="5">
        <v>1</v>
      </c>
      <c r="J12" s="5">
        <v>1</v>
      </c>
      <c r="K12" s="4">
        <v>550</v>
      </c>
      <c r="L12" s="4">
        <v>452</v>
      </c>
      <c r="M12" s="4">
        <v>297</v>
      </c>
      <c r="N12" s="6">
        <f t="shared" si="0"/>
        <v>0.34292035398230092</v>
      </c>
      <c r="O12" s="4" t="s">
        <v>91</v>
      </c>
      <c r="P12" s="4"/>
      <c r="Q12" s="4"/>
      <c r="R12" s="4"/>
      <c r="S12" s="4"/>
      <c r="T12" s="4"/>
      <c r="U12" s="4"/>
      <c r="V12" s="4"/>
      <c r="W12" s="4"/>
      <c r="X12" s="4">
        <v>640</v>
      </c>
      <c r="Y12" s="4">
        <f t="shared" si="11"/>
        <v>640</v>
      </c>
      <c r="Z12" s="4">
        <v>341</v>
      </c>
      <c r="AA12" s="4">
        <f t="shared" si="12"/>
        <v>341</v>
      </c>
      <c r="AB12" s="4"/>
      <c r="AC12" s="21">
        <f t="shared" si="1"/>
        <v>519</v>
      </c>
      <c r="AD12" s="6">
        <f t="shared" si="16"/>
        <v>0.34296724470134876</v>
      </c>
      <c r="AE12" s="33">
        <v>7.75</v>
      </c>
      <c r="AF12" s="4" t="str">
        <f t="shared" si="14"/>
        <v>-</v>
      </c>
      <c r="AG12" s="33" t="e">
        <f t="shared" si="3"/>
        <v>#VALUE!</v>
      </c>
      <c r="AH12" s="6" t="e">
        <f t="shared" si="15"/>
        <v>#VALUE!</v>
      </c>
      <c r="AI12" s="7">
        <v>530</v>
      </c>
      <c r="AJ12" s="6">
        <f t="shared" si="4"/>
        <v>0.35660377358490569</v>
      </c>
      <c r="AK12" s="4">
        <f t="shared" si="5"/>
        <v>189</v>
      </c>
      <c r="AL12" s="28"/>
      <c r="AM12" s="6"/>
      <c r="AN12" s="6"/>
      <c r="AO12" s="6">
        <f t="shared" si="6"/>
        <v>1.1636363636363636</v>
      </c>
      <c r="AP12" s="6">
        <f t="shared" si="7"/>
        <v>1.1725663716814159</v>
      </c>
      <c r="AQ12" s="6">
        <f t="shared" si="8"/>
        <v>1.1481481481481481</v>
      </c>
      <c r="AR12" s="4"/>
      <c r="AS12" s="4"/>
      <c r="AT12" s="4"/>
      <c r="AU12" s="4"/>
      <c r="AV12" s="4"/>
      <c r="AW12" s="4"/>
      <c r="AX12" s="4"/>
      <c r="AY12" s="4"/>
      <c r="AZ12" s="4"/>
      <c r="BA12" s="4">
        <v>0</v>
      </c>
      <c r="BB12" s="4" t="s">
        <v>91</v>
      </c>
      <c r="BC12" s="4"/>
      <c r="BD12" s="4"/>
      <c r="BE12" s="4" t="s">
        <v>91</v>
      </c>
      <c r="BF12" s="4" t="s">
        <v>102</v>
      </c>
      <c r="BG12" s="4" t="s">
        <v>91</v>
      </c>
      <c r="BH12" s="4" t="str">
        <f t="shared" si="17"/>
        <v>-</v>
      </c>
      <c r="BI12" s="19">
        <v>4</v>
      </c>
      <c r="BJ12" s="19">
        <v>1</v>
      </c>
      <c r="BK12" s="16">
        <v>5</v>
      </c>
      <c r="BL12" t="s">
        <v>91</v>
      </c>
      <c r="BM12" t="s">
        <v>91</v>
      </c>
      <c r="BN12" t="s">
        <v>91</v>
      </c>
    </row>
    <row r="13" spans="1:66" x14ac:dyDescent="0.4">
      <c r="A13" s="3">
        <v>10</v>
      </c>
      <c r="B13" s="4" t="s">
        <v>74</v>
      </c>
      <c r="C13" s="4" t="str">
        <f t="shared" si="10"/>
        <v>J898MS</v>
      </c>
      <c r="D13" s="4" t="s">
        <v>74</v>
      </c>
      <c r="E13" s="4" t="s">
        <v>87</v>
      </c>
      <c r="F13" s="5">
        <v>4901478180644</v>
      </c>
      <c r="G13" s="5"/>
      <c r="H13" s="5"/>
      <c r="I13" s="5">
        <v>1</v>
      </c>
      <c r="J13" s="5">
        <v>1</v>
      </c>
      <c r="K13" s="4">
        <v>550</v>
      </c>
      <c r="L13" s="4">
        <v>448</v>
      </c>
      <c r="M13" s="4">
        <v>294</v>
      </c>
      <c r="N13" s="6">
        <f t="shared" si="0"/>
        <v>0.34375</v>
      </c>
      <c r="O13" s="4" t="s">
        <v>91</v>
      </c>
      <c r="P13" s="4"/>
      <c r="Q13" s="4"/>
      <c r="R13" s="4"/>
      <c r="S13" s="4"/>
      <c r="T13" s="4"/>
      <c r="U13" s="4"/>
      <c r="V13" s="4"/>
      <c r="W13" s="4"/>
      <c r="X13" s="4">
        <v>640</v>
      </c>
      <c r="Y13" s="4">
        <f t="shared" si="11"/>
        <v>640</v>
      </c>
      <c r="Z13" s="4">
        <v>341</v>
      </c>
      <c r="AA13" s="4">
        <f t="shared" si="12"/>
        <v>341</v>
      </c>
      <c r="AB13" s="4"/>
      <c r="AC13" s="21">
        <f t="shared" si="1"/>
        <v>520</v>
      </c>
      <c r="AD13" s="6">
        <f t="shared" si="16"/>
        <v>0.34423076923076923</v>
      </c>
      <c r="AE13" s="33">
        <v>4.5</v>
      </c>
      <c r="AF13" s="4">
        <f t="shared" si="14"/>
        <v>638.75</v>
      </c>
      <c r="AG13" s="33">
        <f t="shared" si="3"/>
        <v>740.8630952380953</v>
      </c>
      <c r="AH13" s="6">
        <f t="shared" si="15"/>
        <v>0.53972602739726039</v>
      </c>
      <c r="AI13" s="7">
        <v>530</v>
      </c>
      <c r="AJ13" s="6">
        <f t="shared" si="4"/>
        <v>0.35660377358490569</v>
      </c>
      <c r="AK13" s="4">
        <f t="shared" si="5"/>
        <v>189</v>
      </c>
      <c r="AL13" s="28"/>
      <c r="AM13" s="6"/>
      <c r="AN13" s="6"/>
      <c r="AO13" s="6">
        <f t="shared" si="6"/>
        <v>1.1636363636363636</v>
      </c>
      <c r="AP13" s="6">
        <f t="shared" si="7"/>
        <v>1.1830357142857142</v>
      </c>
      <c r="AQ13" s="6">
        <f t="shared" si="8"/>
        <v>1.1598639455782314</v>
      </c>
      <c r="AR13" s="4"/>
      <c r="AS13" s="4"/>
      <c r="AT13" s="4"/>
      <c r="AU13" s="4"/>
      <c r="AV13" s="4"/>
      <c r="AW13" s="4"/>
      <c r="AX13" s="4"/>
      <c r="AY13" s="4"/>
      <c r="AZ13" s="4"/>
      <c r="BA13" s="4">
        <v>0</v>
      </c>
      <c r="BB13" s="4" t="s">
        <v>92</v>
      </c>
      <c r="BC13" s="4">
        <v>1</v>
      </c>
      <c r="BD13" s="4">
        <v>4</v>
      </c>
      <c r="BE13" s="4" t="s">
        <v>94</v>
      </c>
      <c r="BF13" s="4">
        <v>2200</v>
      </c>
      <c r="BG13" s="4">
        <v>2555</v>
      </c>
      <c r="BH13" s="4">
        <f t="shared" si="17"/>
        <v>638.75</v>
      </c>
      <c r="BI13" s="19">
        <v>4</v>
      </c>
      <c r="BJ13" s="19">
        <v>1</v>
      </c>
      <c r="BK13" s="16">
        <v>5</v>
      </c>
      <c r="BL13" t="s">
        <v>91</v>
      </c>
      <c r="BM13" t="s">
        <v>91</v>
      </c>
      <c r="BN13" t="s">
        <v>93</v>
      </c>
    </row>
    <row r="14" spans="1:66" x14ac:dyDescent="0.4">
      <c r="A14" s="3">
        <v>11</v>
      </c>
      <c r="B14" s="4" t="s">
        <v>75</v>
      </c>
      <c r="C14" s="4" t="str">
        <f t="shared" ref="C14:C16" si="18">TEXT(B14,"000000")</f>
        <v>J9880N</v>
      </c>
      <c r="D14" s="4" t="s">
        <v>75</v>
      </c>
      <c r="E14" s="4" t="s">
        <v>88</v>
      </c>
      <c r="F14" s="5">
        <v>4901478187315</v>
      </c>
      <c r="G14" s="5"/>
      <c r="H14" s="5"/>
      <c r="I14" s="5">
        <v>1</v>
      </c>
      <c r="J14" s="5">
        <v>1</v>
      </c>
      <c r="K14" s="4">
        <v>2200</v>
      </c>
      <c r="L14" s="4">
        <v>1672</v>
      </c>
      <c r="M14" s="4">
        <v>1132</v>
      </c>
      <c r="N14" s="6">
        <f t="shared" ref="N14:N16" si="19">1-M14/L14</f>
        <v>0.32296650717703346</v>
      </c>
      <c r="O14" s="4" t="s">
        <v>91</v>
      </c>
      <c r="P14" s="4"/>
      <c r="Q14" s="4"/>
      <c r="R14" s="4"/>
      <c r="S14" s="4"/>
      <c r="T14" s="4"/>
      <c r="U14" s="4"/>
      <c r="V14" s="4"/>
      <c r="W14" s="4"/>
      <c r="X14" s="4">
        <v>2400</v>
      </c>
      <c r="Y14" s="4">
        <f t="shared" ref="Y14:Y16" si="20">IF(AB14="",X14,X14*AB14)</f>
        <v>2400</v>
      </c>
      <c r="Z14" s="4">
        <v>1235</v>
      </c>
      <c r="AA14" s="4">
        <f t="shared" ref="AA14:AA16" si="21">IF(AB14="",Z14,Z14*AB14)</f>
        <v>1235</v>
      </c>
      <c r="AB14" s="4"/>
      <c r="AC14" s="21">
        <f t="shared" si="1"/>
        <v>1824</v>
      </c>
      <c r="AD14" s="6">
        <f t="shared" ref="AD14:AD16" si="22">1-AA14/AC14</f>
        <v>0.32291666666666663</v>
      </c>
      <c r="AE14" s="33">
        <v>4</v>
      </c>
      <c r="AF14" s="4">
        <f t="shared" ref="AF14:AF16" si="23">BH14</f>
        <v>2397.8000000000002</v>
      </c>
      <c r="AG14" s="33">
        <f t="shared" si="3"/>
        <v>2615.9743816254418</v>
      </c>
      <c r="AH14" s="6">
        <f t="shared" si="15"/>
        <v>0.52790057552756697</v>
      </c>
      <c r="AI14" s="7">
        <v>1900</v>
      </c>
      <c r="AJ14" s="6">
        <f t="shared" si="4"/>
        <v>0.35</v>
      </c>
      <c r="AK14" s="4">
        <f t="shared" si="5"/>
        <v>665</v>
      </c>
      <c r="AL14" s="28"/>
      <c r="AM14" s="6"/>
      <c r="AN14" s="6"/>
      <c r="AO14" s="6">
        <f t="shared" si="6"/>
        <v>1.0909090909090908</v>
      </c>
      <c r="AP14" s="6">
        <f t="shared" si="7"/>
        <v>1.1363636363636365</v>
      </c>
      <c r="AQ14" s="6">
        <f t="shared" si="8"/>
        <v>1.0909893992932862</v>
      </c>
      <c r="AR14" s="4"/>
      <c r="AS14" s="4"/>
      <c r="AT14" s="4"/>
      <c r="AU14" s="4"/>
      <c r="AV14" s="4"/>
      <c r="AW14" s="4"/>
      <c r="AX14" s="4"/>
      <c r="AY14" s="4"/>
      <c r="AZ14" s="4"/>
      <c r="BA14" s="4">
        <v>0</v>
      </c>
      <c r="BB14" s="4" t="s">
        <v>96</v>
      </c>
      <c r="BC14" s="4">
        <v>1</v>
      </c>
      <c r="BD14" s="4">
        <v>5</v>
      </c>
      <c r="BE14" s="4" t="s">
        <v>97</v>
      </c>
      <c r="BF14" s="4">
        <v>11000</v>
      </c>
      <c r="BG14" s="4">
        <v>11989</v>
      </c>
      <c r="BH14" s="4">
        <f t="shared" ref="BH14:BH16" si="24">IF(BC14="",BG14,BC14/BD14*BG14)</f>
        <v>2397.8000000000002</v>
      </c>
      <c r="BI14" s="19">
        <v>4</v>
      </c>
      <c r="BJ14" s="19">
        <v>1</v>
      </c>
      <c r="BK14" s="16">
        <v>6</v>
      </c>
      <c r="BL14" t="s">
        <v>91</v>
      </c>
      <c r="BM14" t="s">
        <v>91</v>
      </c>
      <c r="BN14" t="s">
        <v>95</v>
      </c>
    </row>
    <row r="15" spans="1:66" x14ac:dyDescent="0.4">
      <c r="A15" s="3">
        <v>12</v>
      </c>
      <c r="B15" s="4" t="s">
        <v>76</v>
      </c>
      <c r="C15" s="4" t="str">
        <f t="shared" si="18"/>
        <v>J9881N</v>
      </c>
      <c r="D15" s="4" t="s">
        <v>76</v>
      </c>
      <c r="E15" s="4" t="s">
        <v>89</v>
      </c>
      <c r="F15" s="5">
        <v>4901478187292</v>
      </c>
      <c r="G15" s="5"/>
      <c r="H15" s="5"/>
      <c r="I15" s="5">
        <v>1</v>
      </c>
      <c r="J15" s="5">
        <v>1</v>
      </c>
      <c r="K15" s="4">
        <v>2200</v>
      </c>
      <c r="L15" s="4">
        <v>1672</v>
      </c>
      <c r="M15" s="4">
        <v>1132</v>
      </c>
      <c r="N15" s="6">
        <f t="shared" si="19"/>
        <v>0.32296650717703346</v>
      </c>
      <c r="O15" s="4" t="s">
        <v>91</v>
      </c>
      <c r="P15" s="4"/>
      <c r="Q15" s="4"/>
      <c r="R15" s="4"/>
      <c r="S15" s="4"/>
      <c r="T15" s="4"/>
      <c r="U15" s="4"/>
      <c r="V15" s="4"/>
      <c r="W15" s="4"/>
      <c r="X15" s="4">
        <v>2400</v>
      </c>
      <c r="Y15" s="4">
        <f t="shared" si="20"/>
        <v>2400</v>
      </c>
      <c r="Z15" s="4">
        <v>1235</v>
      </c>
      <c r="AA15" s="4">
        <f t="shared" si="21"/>
        <v>1235</v>
      </c>
      <c r="AB15" s="4"/>
      <c r="AC15" s="21">
        <f t="shared" si="1"/>
        <v>1824</v>
      </c>
      <c r="AD15" s="6">
        <f t="shared" si="22"/>
        <v>0.32291666666666663</v>
      </c>
      <c r="AE15" s="33">
        <v>2.5</v>
      </c>
      <c r="AF15" s="4">
        <f t="shared" si="23"/>
        <v>2397.8000000000002</v>
      </c>
      <c r="AG15" s="33">
        <f t="shared" si="3"/>
        <v>2615.9743816254418</v>
      </c>
      <c r="AH15" s="6">
        <f t="shared" si="15"/>
        <v>0.52790057552756697</v>
      </c>
      <c r="AI15" s="7">
        <v>1900</v>
      </c>
      <c r="AJ15" s="6">
        <f t="shared" si="4"/>
        <v>0.35</v>
      </c>
      <c r="AK15" s="4">
        <f t="shared" si="5"/>
        <v>665</v>
      </c>
      <c r="AL15" s="28"/>
      <c r="AM15" s="6"/>
      <c r="AN15" s="6"/>
      <c r="AO15" s="6">
        <f t="shared" si="6"/>
        <v>1.0909090909090908</v>
      </c>
      <c r="AP15" s="6">
        <f t="shared" si="7"/>
        <v>1.1363636363636365</v>
      </c>
      <c r="AQ15" s="6">
        <f t="shared" si="8"/>
        <v>1.0909893992932862</v>
      </c>
      <c r="AR15" s="4"/>
      <c r="AS15" s="4"/>
      <c r="AT15" s="4"/>
      <c r="AU15" s="4"/>
      <c r="AV15" s="4"/>
      <c r="AW15" s="4"/>
      <c r="AX15" s="4"/>
      <c r="AY15" s="4"/>
      <c r="AZ15" s="4"/>
      <c r="BA15" s="4">
        <v>0</v>
      </c>
      <c r="BB15" s="4" t="s">
        <v>98</v>
      </c>
      <c r="BC15" s="4">
        <v>1</v>
      </c>
      <c r="BD15" s="4">
        <v>5</v>
      </c>
      <c r="BE15" s="4" t="s">
        <v>97</v>
      </c>
      <c r="BF15" s="4">
        <v>11000</v>
      </c>
      <c r="BG15" s="4">
        <v>11989</v>
      </c>
      <c r="BH15" s="4">
        <f t="shared" si="24"/>
        <v>2397.8000000000002</v>
      </c>
      <c r="BI15" s="19">
        <v>4</v>
      </c>
      <c r="BJ15" s="19">
        <v>1</v>
      </c>
      <c r="BK15" s="16">
        <v>6</v>
      </c>
      <c r="BL15" t="s">
        <v>91</v>
      </c>
      <c r="BM15" t="s">
        <v>91</v>
      </c>
      <c r="BN15" t="s">
        <v>99</v>
      </c>
    </row>
    <row r="16" spans="1:66" x14ac:dyDescent="0.4">
      <c r="A16" s="3">
        <v>13</v>
      </c>
      <c r="B16" s="4" t="s">
        <v>77</v>
      </c>
      <c r="C16" s="4" t="str">
        <f t="shared" si="18"/>
        <v>J9882N</v>
      </c>
      <c r="D16" s="4" t="s">
        <v>77</v>
      </c>
      <c r="E16" s="4" t="s">
        <v>90</v>
      </c>
      <c r="F16" s="5">
        <v>4901478187308</v>
      </c>
      <c r="G16" s="5"/>
      <c r="H16" s="5"/>
      <c r="I16" s="5">
        <v>1</v>
      </c>
      <c r="J16" s="5">
        <v>1</v>
      </c>
      <c r="K16" s="4">
        <v>2200</v>
      </c>
      <c r="L16" s="4">
        <v>1672</v>
      </c>
      <c r="M16" s="4">
        <v>1132</v>
      </c>
      <c r="N16" s="6">
        <f t="shared" si="19"/>
        <v>0.32296650717703346</v>
      </c>
      <c r="O16" s="4" t="s">
        <v>91</v>
      </c>
      <c r="P16" s="4"/>
      <c r="Q16" s="4"/>
      <c r="R16" s="4"/>
      <c r="S16" s="4"/>
      <c r="T16" s="4"/>
      <c r="U16" s="4"/>
      <c r="V16" s="4"/>
      <c r="W16" s="4"/>
      <c r="X16" s="4">
        <v>2400</v>
      </c>
      <c r="Y16" s="4">
        <f t="shared" si="20"/>
        <v>2400</v>
      </c>
      <c r="Z16" s="4">
        <v>1235</v>
      </c>
      <c r="AA16" s="4">
        <f t="shared" si="21"/>
        <v>1235</v>
      </c>
      <c r="AB16" s="4"/>
      <c r="AC16" s="21">
        <f t="shared" si="1"/>
        <v>1824</v>
      </c>
      <c r="AD16" s="6">
        <f t="shared" si="22"/>
        <v>0.32291666666666663</v>
      </c>
      <c r="AE16" s="33">
        <v>2.5</v>
      </c>
      <c r="AF16" s="4">
        <f t="shared" si="23"/>
        <v>2397.8000000000002</v>
      </c>
      <c r="AG16" s="33">
        <f t="shared" si="3"/>
        <v>2615.9743816254418</v>
      </c>
      <c r="AH16" s="6">
        <f t="shared" si="15"/>
        <v>0.52790057552756697</v>
      </c>
      <c r="AI16" s="7">
        <v>1900</v>
      </c>
      <c r="AJ16" s="6">
        <f t="shared" si="4"/>
        <v>0.35</v>
      </c>
      <c r="AK16" s="4">
        <f t="shared" si="5"/>
        <v>665</v>
      </c>
      <c r="AL16" s="28"/>
      <c r="AM16" s="6"/>
      <c r="AN16" s="6"/>
      <c r="AO16" s="6">
        <f t="shared" si="6"/>
        <v>1.0909090909090908</v>
      </c>
      <c r="AP16" s="6">
        <f t="shared" si="7"/>
        <v>1.1363636363636365</v>
      </c>
      <c r="AQ16" s="6">
        <f t="shared" si="8"/>
        <v>1.0909893992932862</v>
      </c>
      <c r="AR16" s="4"/>
      <c r="AS16" s="4"/>
      <c r="AT16" s="4"/>
      <c r="AU16" s="4"/>
      <c r="AV16" s="4"/>
      <c r="AW16" s="4"/>
      <c r="AX16" s="4"/>
      <c r="AY16" s="4"/>
      <c r="AZ16" s="4"/>
      <c r="BA16" s="4">
        <v>0</v>
      </c>
      <c r="BB16" s="4" t="s">
        <v>100</v>
      </c>
      <c r="BC16" s="4">
        <v>1</v>
      </c>
      <c r="BD16" s="4">
        <v>5</v>
      </c>
      <c r="BE16" s="4" t="s">
        <v>97</v>
      </c>
      <c r="BF16" s="4">
        <v>11000</v>
      </c>
      <c r="BG16" s="4">
        <v>11989</v>
      </c>
      <c r="BH16" s="4">
        <f t="shared" si="24"/>
        <v>2397.8000000000002</v>
      </c>
      <c r="BI16" s="19">
        <v>4</v>
      </c>
      <c r="BJ16" s="19">
        <v>1</v>
      </c>
      <c r="BK16" s="16">
        <v>6</v>
      </c>
      <c r="BL16" t="s">
        <v>91</v>
      </c>
      <c r="BM16" t="s">
        <v>91</v>
      </c>
      <c r="BN16" t="s">
        <v>101</v>
      </c>
    </row>
  </sheetData>
  <autoFilter ref="A3:BN3" xr:uid="{7A1660CF-9003-4B2D-B659-7F339ED5B476}"/>
  <mergeCells count="3">
    <mergeCell ref="K2:N2"/>
    <mergeCell ref="I2:J2"/>
    <mergeCell ref="X1:AA1"/>
  </mergeCells>
  <phoneticPr fontId="2"/>
  <conditionalFormatting sqref="AF4:AF16">
    <cfRule type="cellIs" dxfId="3" priority="4" operator="lessThan">
      <formula>$AC4</formula>
    </cfRule>
  </conditionalFormatting>
  <conditionalFormatting sqref="AI4:AI16">
    <cfRule type="cellIs" dxfId="2" priority="3" operator="greaterThan">
      <formula>$Y4</formula>
    </cfRule>
  </conditionalFormatting>
  <conditionalFormatting sqref="AH4:AH16">
    <cfRule type="cellIs" dxfId="1" priority="2" operator="lessThan">
      <formula>0.2</formula>
    </cfRule>
  </conditionalFormatting>
  <conditionalFormatting sqref="AG4:AG16">
    <cfRule type="cellIs" dxfId="0" priority="1" operator="lessThan">
      <formula>$AI4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フォーレスト007</dc:creator>
  <cp:lastModifiedBy>滋樹 渡辺</cp:lastModifiedBy>
  <dcterms:created xsi:type="dcterms:W3CDTF">2022-07-07T00:08:53Z</dcterms:created>
  <dcterms:modified xsi:type="dcterms:W3CDTF">2026-06-01T07:39:58Z</dcterms:modified>
</cp:coreProperties>
</file>