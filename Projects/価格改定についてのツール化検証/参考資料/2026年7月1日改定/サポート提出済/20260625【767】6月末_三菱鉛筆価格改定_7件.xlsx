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ﾐ_三菱鉛筆_767.977\価格改定\20260625_6月末\"/>
    </mc:Choice>
  </mc:AlternateContent>
  <xr:revisionPtr revIDLastSave="0" documentId="13_ncr:1_{6990AFA1-EFDA-4AE0-9D2B-DC09E7AF4399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O5" i="1" l="1"/>
  <c r="BO6" i="1"/>
  <c r="BO7" i="1"/>
  <c r="BO8" i="1"/>
  <c r="BO9" i="1"/>
  <c r="BO10" i="1"/>
  <c r="BM5" i="1"/>
  <c r="BM6" i="1"/>
  <c r="BM7" i="1"/>
  <c r="BM8" i="1"/>
  <c r="BM9" i="1"/>
  <c r="BM10" i="1"/>
  <c r="AQ9" i="1"/>
  <c r="O9" i="1"/>
  <c r="O10" i="1"/>
  <c r="AQ4" i="1"/>
  <c r="O5" i="1"/>
  <c r="O6" i="1"/>
  <c r="O7" i="1"/>
  <c r="O8" i="1"/>
  <c r="AQ5" i="1"/>
  <c r="AQ6" i="1"/>
  <c r="AQ7" i="1"/>
  <c r="AQ8" i="1"/>
  <c r="AQ10" i="1"/>
  <c r="AU4" i="1"/>
  <c r="AT4" i="1"/>
  <c r="AS4" i="1" l="1"/>
  <c r="O4" i="1"/>
  <c r="BH5" i="1" l="1"/>
  <c r="AG5" i="1" s="1"/>
  <c r="BH6" i="1"/>
  <c r="AG6" i="1" s="1"/>
  <c r="BH7" i="1"/>
  <c r="AG7" i="1" s="1"/>
  <c r="BH8" i="1"/>
  <c r="AG8" i="1" s="1"/>
  <c r="BH9" i="1"/>
  <c r="AG9" i="1" s="1"/>
  <c r="BH10" i="1"/>
  <c r="AG10" i="1" s="1"/>
  <c r="BH4" i="1"/>
  <c r="AG4" i="1" s="1"/>
  <c r="AB5" i="1"/>
  <c r="AR5" i="1" s="1"/>
  <c r="AB6" i="1"/>
  <c r="AR6" i="1" s="1"/>
  <c r="AB7" i="1"/>
  <c r="AR7" i="1" s="1"/>
  <c r="AB8" i="1"/>
  <c r="AR8" i="1" s="1"/>
  <c r="AB9" i="1"/>
  <c r="AR9" i="1" s="1"/>
  <c r="AB10" i="1"/>
  <c r="AR10" i="1" s="1"/>
  <c r="Z5" i="1"/>
  <c r="AP5" i="1" s="1"/>
  <c r="Z6" i="1"/>
  <c r="AP6" i="1" s="1"/>
  <c r="Z7" i="1"/>
  <c r="AP7" i="1" s="1"/>
  <c r="Z8" i="1"/>
  <c r="AP8" i="1" s="1"/>
  <c r="Z9" i="1"/>
  <c r="AP9" i="1" s="1"/>
  <c r="Z10" i="1"/>
  <c r="AP10" i="1" s="1"/>
  <c r="D5" i="1"/>
  <c r="D6" i="1"/>
  <c r="D7" i="1"/>
  <c r="D8" i="1"/>
  <c r="D9" i="1"/>
  <c r="D10" i="1"/>
  <c r="D4" i="1"/>
  <c r="AB4" i="1"/>
  <c r="AR4" i="1" s="1"/>
  <c r="Z4" i="1"/>
  <c r="AP4" i="1" s="1"/>
  <c r="AH9" i="1" l="1"/>
  <c r="AI9" i="1" s="1"/>
  <c r="AH5" i="1"/>
  <c r="AI5" i="1" s="1"/>
  <c r="AH10" i="1"/>
  <c r="AI10" i="1" s="1"/>
  <c r="AH8" i="1"/>
  <c r="AI8" i="1" s="1"/>
  <c r="AH7" i="1"/>
  <c r="AI7" i="1" s="1"/>
  <c r="AH6" i="1"/>
  <c r="AI6" i="1" s="1"/>
  <c r="AH4" i="1"/>
  <c r="AI4" i="1" s="1"/>
  <c r="BM4" i="1"/>
  <c r="BO4" i="1"/>
  <c r="AD5" i="1"/>
  <c r="AE5" i="1" s="1"/>
  <c r="AK5" i="1"/>
  <c r="AL10" i="1"/>
  <c r="AK4" i="1"/>
  <c r="AK9" i="1"/>
  <c r="AL8" i="1"/>
  <c r="AL7" i="1"/>
  <c r="AD6" i="1"/>
  <c r="AE6" i="1" s="1"/>
  <c r="AD10" i="1"/>
  <c r="AE10" i="1" s="1"/>
  <c r="AD8" i="1"/>
  <c r="AE8" i="1" s="1"/>
  <c r="AL6" i="1"/>
  <c r="AK10" i="1"/>
  <c r="AK8" i="1"/>
  <c r="AL9" i="1"/>
  <c r="AD9" i="1"/>
  <c r="AE9" i="1" s="1"/>
  <c r="AK7" i="1"/>
  <c r="AL5" i="1"/>
  <c r="AD7" i="1"/>
  <c r="AE7" i="1" s="1"/>
  <c r="AK6" i="1"/>
  <c r="AN4" i="1"/>
  <c r="AO4" i="1"/>
  <c r="AL4" i="1"/>
  <c r="AD4" i="1"/>
  <c r="AE4" i="1" s="1"/>
</calcChain>
</file>

<file path=xl/sharedStrings.xml><?xml version="1.0" encoding="utf-8"?>
<sst xmlns="http://schemas.openxmlformats.org/spreadsheetml/2006/main" count="130" uniqueCount="95">
  <si>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</si>
  <si>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</si>
  <si>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</si>
  <si>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</si>
  <si>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</si>
  <si>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</si>
  <si>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</si>
  <si>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</si>
  <si>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</si>
  <si>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</si>
  <si>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</si>
  <si>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</si>
  <si>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</si>
  <si>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</si>
  <si>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</si>
  <si>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</si>
  <si>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</si>
  <si>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</si>
  <si>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</si>
  <si>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</si>
  <si>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</si>
  <si>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</si>
  <si>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</si>
  <si>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</si>
  <si>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</si>
  <si>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</si>
  <si>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</si>
  <si>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</si>
  <si>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</si>
  <si>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</si>
  <si>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</si>
  <si>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</si>
  <si>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</si>
  <si>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</si>
  <si>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</si>
  <si>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</si>
  <si>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</si>
  <si>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</si>
  <si>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</si>
  <si>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</si>
  <si>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</si>
  <si>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</si>
  <si>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</si>
  <si>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</si>
  <si>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</si>
  <si>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</si>
  <si>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</si>
  <si>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</si>
  <si>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</si>
  <si>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</si>
  <si>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</si>
  <si>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</si>
  <si>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</si>
  <si>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</si>
  <si>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</si>
  <si>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</si>
  <si>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</si>
  <si>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</si>
  <si>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</si>
  <si>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</si>
  <si>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</si>
  <si>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</si>
  <si>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</si>
  <si>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</si>
  <si>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</si>
  <si>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</si>
  <si>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34/230</t>
  </si>
  <si>
    <t>三菱鉛筆/印鑑ﾎﾙﾀﾞｰ｢はん蔵｣ 白/HLD2.1</t>
  </si>
  <si>
    <t>三菱鉛筆/印鑑ﾎﾙﾀﾞｰ｢はん蔵｣ 黒/HLD2.24</t>
  </si>
  <si>
    <t>三菱鉛筆/印鑑ﾎﾙﾀﾞｰ｢はん蔵｣ ｴﾝｼﾞ/HLD2.41</t>
  </si>
  <si>
    <t>三菱鉛筆/印鑑ﾎﾙﾀﾞｰ｢はん蔵｣ 紺/HLD2.40</t>
  </si>
  <si>
    <t>三菱鉛筆/印鑑ﾎﾙﾀﾞｰ｢はん蔵｣ 透明ﾋﾟﾝｸ/HLD2T.13</t>
  </si>
  <si>
    <t>三菱鉛筆/印鑑ﾎﾙﾀﾞｰ｢はん蔵｣ 透明青/HLD2T.33</t>
  </si>
  <si>
    <t>三菱鉛筆/印鑑ﾎﾙﾀﾞｰ｢はん蔵｣用朱肉ｶｰﾄﾘｯｼﾞ･2個入/HLS2</t>
  </si>
  <si>
    <t>-</t>
    <phoneticPr fontId="2"/>
  </si>
  <si>
    <t>三菱鉛筆 印鑑ホルダー はん蔵 白 HLD2.1 1個</t>
  </si>
  <si>
    <t>三菱鉛筆 印鑑ホルダー はん蔵 黒 HLD2.24 1個</t>
  </si>
  <si>
    <t>三菱鉛筆 印鑑ホルダー はん蔵 エンジ HLD2.41 1個</t>
  </si>
  <si>
    <t>三菱鉛筆 印鑑ホルダー はん蔵 ネイビー HLD2.40 1個</t>
  </si>
  <si>
    <t>三菱鉛筆 印鑑ホルダー はん蔵 透明ピンク HLD2T.13 1個</t>
  </si>
  <si>
    <t>三菱鉛筆 印鑑ホルダー はん蔵 透明青 HLD2T.33 1個</t>
  </si>
  <si>
    <t>三菱鉛筆 印鑑ホルダー はん蔵 専用朱肉 HLS2 1パック（2個入）</t>
  </si>
  <si>
    <t>KJ50341</t>
  </si>
  <si>
    <t>1個</t>
  </si>
  <si>
    <t>U077913</t>
  </si>
  <si>
    <t>KJ50343</t>
  </si>
  <si>
    <t>KJ50342</t>
  </si>
  <si>
    <t>U077915</t>
  </si>
  <si>
    <t>U077914</t>
  </si>
  <si>
    <t>U077912</t>
  </si>
  <si>
    <t>1パック（2個入）</t>
  </si>
  <si>
    <t>6月
たの</t>
    <rPh sb="1" eb="2">
      <t>ガツ</t>
    </rPh>
    <phoneticPr fontId="2"/>
  </si>
  <si>
    <t>476</t>
  </si>
  <si>
    <t>236</t>
  </si>
  <si>
    <t>6月
カウ</t>
    <rPh sb="1" eb="2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</si>
</sst>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10" xfId="0" applyNumberFormat="1" applyBorder="1">
      <alignment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P10"/>
  <sheetViews>
    <sheetView tabSelected="1" zoomScale="90" zoomScaleNormal="90" workbookViewId="0">
      <pane xSplit="7" ySplit="5" topLeftCell="AA6" activePane="bottomRight" state="frozen"/>
      <selection pane="topRight" activeCell="G1" sqref="G1"/>
      <selection pane="bottomLeft" activeCell="A5" sqref="A5"/>
      <selection pane="bottomRight" activeCell="F1" sqref="F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7.5" customWidth="1" collapsed="1"/>
    <col min="26" max="28" width="7.625" customWidth="1"/>
    <col min="29" max="29" width="4.375" customWidth="1" collapsed="1"/>
    <col min="30" max="31" width="7.625" customWidth="1"/>
    <col min="32" max="32" width="6.125" style="29" customWidth="1"/>
    <col min="33" max="33" width="7.625" customWidth="1"/>
    <col min="34" max="34" width="7.625" style="29" customWidth="1"/>
    <col min="35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hidden="1" customWidth="1" outlineLevel="1"/>
    <col min="54" max="54" width="7.625" customWidth="1" collapsed="1"/>
    <col min="55" max="67" width="7.625" customWidth="1"/>
  </cols>
  <sheetData>
    <row r="1" spans="1:68" x14ac:dyDescent="0.4">
      <c r="C1" s="28" t="s">
        <v>43</v>
      </c>
      <c r="Y1" s="42" t="s">
        <v>40</v>
      </c>
      <c r="Z1" s="43"/>
      <c r="AA1" s="43"/>
      <c r="AB1" s="44"/>
    </row>
    <row r="2" spans="1:68" x14ac:dyDescent="0.4">
      <c r="C2" s="8" t="s">
        <v>28</v>
      </c>
      <c r="D2" s="9" t="s">
        <v>29</v>
      </c>
      <c r="E2" s="9" t="s">
        <v>30</v>
      </c>
      <c r="F2" s="10"/>
      <c r="G2" s="10"/>
      <c r="H2" s="35"/>
      <c r="I2" s="35"/>
      <c r="J2" s="39" t="s">
        <v>31</v>
      </c>
      <c r="K2" s="41"/>
      <c r="L2" s="39" t="s">
        <v>1</v>
      </c>
      <c r="M2" s="40"/>
      <c r="N2" s="40"/>
      <c r="O2" s="41"/>
      <c r="P2" s="11"/>
      <c r="Q2" s="34"/>
      <c r="R2" s="34"/>
      <c r="S2" s="34"/>
      <c r="T2" s="34"/>
      <c r="U2" s="34"/>
      <c r="V2" s="34"/>
      <c r="W2" s="34"/>
      <c r="X2" s="34"/>
      <c r="Y2" s="22"/>
      <c r="Z2" s="23" t="s">
        <v>34</v>
      </c>
      <c r="AA2" s="23"/>
      <c r="AB2" s="24" t="s">
        <v>34</v>
      </c>
      <c r="AC2" s="10"/>
      <c r="AD2" s="9" t="s">
        <v>39</v>
      </c>
      <c r="AE2" s="11"/>
      <c r="AF2" s="30"/>
      <c r="AG2" s="11"/>
      <c r="AH2" s="30"/>
      <c r="AI2" s="11"/>
      <c r="AJ2" s="21" t="s">
        <v>41</v>
      </c>
      <c r="AK2" s="11"/>
      <c r="AL2" s="11"/>
      <c r="AM2" s="26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>
        <v>51</v>
      </c>
      <c r="BI2">
        <v>14</v>
      </c>
      <c r="BJ2">
        <v>28</v>
      </c>
    </row>
    <row r="3" spans="1:68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2" t="s">
        <v>0</v>
      </c>
      <c r="G3" s="12" t="s">
        <v>4</v>
      </c>
      <c r="H3" s="12" t="s">
        <v>53</v>
      </c>
      <c r="I3" s="12" t="s">
        <v>54</v>
      </c>
      <c r="J3" s="12" t="s">
        <v>25</v>
      </c>
      <c r="K3" s="12" t="s">
        <v>26</v>
      </c>
      <c r="L3" s="12" t="s">
        <v>64</v>
      </c>
      <c r="M3" s="2" t="s">
        <v>5</v>
      </c>
      <c r="N3" s="2" t="s">
        <v>62</v>
      </c>
      <c r="O3" s="2" t="s">
        <v>13</v>
      </c>
      <c r="P3" s="12" t="s">
        <v>47</v>
      </c>
      <c r="Q3" s="12" t="s">
        <v>17</v>
      </c>
      <c r="R3" s="12" t="s">
        <v>18</v>
      </c>
      <c r="S3" s="12" t="s">
        <v>48</v>
      </c>
      <c r="T3" s="12" t="s">
        <v>20</v>
      </c>
      <c r="U3" s="12" t="s">
        <v>21</v>
      </c>
      <c r="V3" s="12" t="s">
        <v>49</v>
      </c>
      <c r="W3" s="12" t="s">
        <v>23</v>
      </c>
      <c r="X3" s="12" t="s">
        <v>24</v>
      </c>
      <c r="Y3" s="12" t="s">
        <v>60</v>
      </c>
      <c r="Z3" s="12" t="s">
        <v>61</v>
      </c>
      <c r="AA3" s="2" t="s">
        <v>62</v>
      </c>
      <c r="AB3" s="12" t="s">
        <v>63</v>
      </c>
      <c r="AC3" s="14" t="s">
        <v>3</v>
      </c>
      <c r="AD3" s="19" t="s">
        <v>14</v>
      </c>
      <c r="AE3" s="2" t="s">
        <v>13</v>
      </c>
      <c r="AF3" s="31" t="s">
        <v>44</v>
      </c>
      <c r="AG3" s="12" t="s">
        <v>65</v>
      </c>
      <c r="AH3" s="36" t="s">
        <v>55</v>
      </c>
      <c r="AI3" s="2" t="s">
        <v>13</v>
      </c>
      <c r="AJ3" s="13" t="s">
        <v>32</v>
      </c>
      <c r="AK3" s="2" t="s">
        <v>13</v>
      </c>
      <c r="AL3" s="2" t="s">
        <v>33</v>
      </c>
      <c r="AM3" s="25" t="s">
        <v>35</v>
      </c>
      <c r="AN3" s="12" t="s">
        <v>36</v>
      </c>
      <c r="AO3" s="12" t="s">
        <v>37</v>
      </c>
      <c r="AP3" s="12" t="s">
        <v>27</v>
      </c>
      <c r="AQ3" s="12" t="s">
        <v>38</v>
      </c>
      <c r="AR3" s="12" t="s">
        <v>15</v>
      </c>
      <c r="AS3" s="12" t="s">
        <v>16</v>
      </c>
      <c r="AT3" s="12" t="s">
        <v>17</v>
      </c>
      <c r="AU3" s="12" t="s">
        <v>18</v>
      </c>
      <c r="AV3" s="12" t="s">
        <v>19</v>
      </c>
      <c r="AW3" s="12" t="s">
        <v>20</v>
      </c>
      <c r="AX3" s="12" t="s">
        <v>21</v>
      </c>
      <c r="AY3" s="12" t="s">
        <v>22</v>
      </c>
      <c r="AZ3" s="12" t="s">
        <v>23</v>
      </c>
      <c r="BA3" s="12" t="s">
        <v>24</v>
      </c>
      <c r="BB3" s="2" t="s">
        <v>8</v>
      </c>
      <c r="BC3" s="2" t="s">
        <v>9</v>
      </c>
      <c r="BD3" s="2" t="s">
        <v>10</v>
      </c>
      <c r="BE3" s="2" t="s">
        <v>11</v>
      </c>
      <c r="BF3" s="12" t="s">
        <v>42</v>
      </c>
      <c r="BG3" s="2" t="s">
        <v>57</v>
      </c>
      <c r="BH3" s="2" t="s">
        <v>12</v>
      </c>
      <c r="BI3" s="17" t="s">
        <v>45</v>
      </c>
      <c r="BJ3" s="17" t="s">
        <v>46</v>
      </c>
      <c r="BK3" s="15" t="s">
        <v>52</v>
      </c>
      <c r="BL3" s="37" t="s">
        <v>91</v>
      </c>
      <c r="BM3" s="38" t="s">
        <v>58</v>
      </c>
      <c r="BN3" s="38" t="s">
        <v>94</v>
      </c>
      <c r="BO3" s="38" t="s">
        <v>59</v>
      </c>
      <c r="BP3" s="33" t="s">
        <v>50</v>
      </c>
    </row>
    <row r="4" spans="1:68" x14ac:dyDescent="0.4">
      <c r="A4" s="3">
        <v>1</v>
      </c>
      <c r="B4" s="3">
        <v>1</v>
      </c>
      <c r="C4" s="32">
        <v>386375</v>
      </c>
      <c r="D4" s="4" t="str">
        <f>TEXT(C4,"000000")</f>
        <v>386375</v>
      </c>
      <c r="E4" s="4">
        <v>386375</v>
      </c>
      <c r="F4" s="4" t="s">
        <v>67</v>
      </c>
      <c r="G4" s="5">
        <v>4902778269732</v>
      </c>
      <c r="H4" s="5"/>
      <c r="I4" s="5"/>
      <c r="J4" s="5">
        <v>1</v>
      </c>
      <c r="K4" s="5">
        <v>1</v>
      </c>
      <c r="L4" s="4">
        <v>600</v>
      </c>
      <c r="M4" s="4">
        <v>494</v>
      </c>
      <c r="N4" s="4">
        <v>300</v>
      </c>
      <c r="O4" s="6">
        <f>IFERROR(1-N4/M4,"-")</f>
        <v>0.39271255060728749</v>
      </c>
      <c r="P4" s="4" t="s">
        <v>74</v>
      </c>
      <c r="Q4" s="4"/>
      <c r="R4" s="4"/>
      <c r="S4" s="4"/>
      <c r="T4" s="4"/>
      <c r="U4" s="4"/>
      <c r="V4" s="4"/>
      <c r="W4" s="4"/>
      <c r="X4" s="4"/>
      <c r="Y4" s="4">
        <v>700</v>
      </c>
      <c r="Z4" s="4">
        <f>IF(AC4="",Y4,Y4*AC4)</f>
        <v>700</v>
      </c>
      <c r="AA4" s="4">
        <v>350</v>
      </c>
      <c r="AB4" s="4">
        <f>IF(AC4="",AA4,AA4*AC4)</f>
        <v>350</v>
      </c>
      <c r="AC4" s="4"/>
      <c r="AD4" s="20">
        <f t="shared" ref="AD4:AD10" si="0">ROUND(M4*AR4,0)</f>
        <v>576</v>
      </c>
      <c r="AE4" s="6">
        <f>IFERROR(1-AB4/AD4,"-")</f>
        <v>0.39236111111111116</v>
      </c>
      <c r="AF4" s="32">
        <v>8.25</v>
      </c>
      <c r="AG4" s="4">
        <f>BH4</f>
        <v>600</v>
      </c>
      <c r="AH4" s="32">
        <f>IFERROR(AG4*AR4,"-")</f>
        <v>700</v>
      </c>
      <c r="AI4" s="6">
        <f>IFERROR(1-AB4/AH4,"-")</f>
        <v>0.5</v>
      </c>
      <c r="AJ4" s="7">
        <v>580</v>
      </c>
      <c r="AK4" s="6">
        <f t="shared" ref="AK4:AK10" si="1">1-AB4/AJ4</f>
        <v>0.39655172413793105</v>
      </c>
      <c r="AL4" s="4">
        <f t="shared" ref="AL4:AL10" si="2">AJ4-AB4</f>
        <v>230</v>
      </c>
      <c r="AM4" s="27"/>
      <c r="AN4" s="6" t="e">
        <f>1-AB4/AM4</f>
        <v>#DIV/0!</v>
      </c>
      <c r="AO4" s="4">
        <f>AM4-AB4</f>
        <v>-350</v>
      </c>
      <c r="AP4" s="6">
        <f>IFERROR(Z4/L4,"-")</f>
        <v>1.1666666666666667</v>
      </c>
      <c r="AQ4" s="6">
        <f>IFERROR(AJ4/M4,"-")</f>
        <v>1.1740890688259109</v>
      </c>
      <c r="AR4" s="6">
        <f>IFERROR(AB4/N4,"-")</f>
        <v>1.1666666666666667</v>
      </c>
      <c r="AS4" s="4" t="str">
        <f>IFERROR(ROUND($AJ4*P4/$M4,0),"-")</f>
        <v>-</v>
      </c>
      <c r="AT4" s="4" t="str">
        <f>IF(Q4="","-",Q4)</f>
        <v>-</v>
      </c>
      <c r="AU4" s="4" t="str">
        <f>IF(R4="","-",R4)</f>
        <v>-</v>
      </c>
      <c r="AV4" s="4"/>
      <c r="AW4" s="4"/>
      <c r="AX4" s="4"/>
      <c r="AY4" s="4"/>
      <c r="AZ4" s="4"/>
      <c r="BA4" s="4"/>
      <c r="BB4" s="4" t="s">
        <v>66</v>
      </c>
      <c r="BC4" s="4" t="s">
        <v>82</v>
      </c>
      <c r="BD4" s="4"/>
      <c r="BE4" s="4"/>
      <c r="BF4" s="4" t="s">
        <v>83</v>
      </c>
      <c r="BG4" s="4">
        <v>600</v>
      </c>
      <c r="BH4" s="4">
        <f t="shared" ref="BH4:BH5" si="3">IF(BD4="",BG4,BD4/BE4*BG4)</f>
        <v>600</v>
      </c>
      <c r="BI4" s="18">
        <v>4</v>
      </c>
      <c r="BJ4" s="18">
        <v>1</v>
      </c>
      <c r="BK4" s="16">
        <v>7</v>
      </c>
      <c r="BL4" t="s">
        <v>92</v>
      </c>
      <c r="BM4">
        <f>IFERROR(BL4*AR4,"-")</f>
        <v>555.33333333333337</v>
      </c>
      <c r="BN4">
        <v>580</v>
      </c>
      <c r="BO4">
        <f>IFERROR(BN4*AR4,"-")</f>
        <v>676.66666666666674</v>
      </c>
      <c r="BP4" t="s">
        <v>75</v>
      </c>
    </row>
    <row r="5" spans="1:68" x14ac:dyDescent="0.4">
      <c r="A5" s="3">
        <v>2</v>
      </c>
      <c r="B5" s="3">
        <v>2</v>
      </c>
      <c r="C5" s="32">
        <v>386376</v>
      </c>
      <c r="D5" s="4" t="str">
        <f t="shared" ref="D5:D10" si="4">TEXT(C5,"000000")</f>
        <v>386376</v>
      </c>
      <c r="E5" s="4">
        <v>386376</v>
      </c>
      <c r="F5" s="4" t="s">
        <v>68</v>
      </c>
      <c r="G5" s="5">
        <v>4902778269749</v>
      </c>
      <c r="H5" s="5"/>
      <c r="I5" s="5"/>
      <c r="J5" s="5">
        <v>1</v>
      </c>
      <c r="K5" s="5">
        <v>1</v>
      </c>
      <c r="L5" s="4">
        <v>600</v>
      </c>
      <c r="M5" s="4">
        <v>494</v>
      </c>
      <c r="N5" s="4">
        <v>300</v>
      </c>
      <c r="O5" s="6">
        <f t="shared" ref="O5:O10" si="5">IFERROR(1-N5/M5,"-")</f>
        <v>0.39271255060728749</v>
      </c>
      <c r="P5" s="4" t="s">
        <v>74</v>
      </c>
      <c r="Q5" s="4"/>
      <c r="R5" s="4"/>
      <c r="S5" s="4"/>
      <c r="T5" s="4"/>
      <c r="U5" s="4"/>
      <c r="V5" s="4"/>
      <c r="W5" s="4"/>
      <c r="X5" s="4"/>
      <c r="Y5" s="4">
        <v>700</v>
      </c>
      <c r="Z5" s="4">
        <f t="shared" ref="Z5:Z10" si="6">IF(AC5="",Y5,Y5*AC5)</f>
        <v>700</v>
      </c>
      <c r="AA5" s="4">
        <v>350</v>
      </c>
      <c r="AB5" s="4">
        <f t="shared" ref="AB5:AB10" si="7">IF(AC5="",AA5,AA5*AC5)</f>
        <v>350</v>
      </c>
      <c r="AC5" s="4"/>
      <c r="AD5" s="20">
        <f t="shared" si="0"/>
        <v>576</v>
      </c>
      <c r="AE5" s="6">
        <f t="shared" ref="AE5:AE10" si="8">IFERROR(1-AB5/AD5,"-")</f>
        <v>0.39236111111111116</v>
      </c>
      <c r="AF5" s="32">
        <v>15.75</v>
      </c>
      <c r="AG5" s="4">
        <f t="shared" ref="AG5:AG10" si="9">BH5</f>
        <v>476</v>
      </c>
      <c r="AH5" s="32">
        <f t="shared" ref="AH5:AH10" si="10">IFERROR(AG5*AR5,"-")</f>
        <v>555.33333333333337</v>
      </c>
      <c r="AI5" s="6">
        <f t="shared" ref="AI5:AI10" si="11">IFERROR(1-AB5/AH5,"-")</f>
        <v>0.36974789915966388</v>
      </c>
      <c r="AJ5" s="7">
        <v>580</v>
      </c>
      <c r="AK5" s="6">
        <f t="shared" si="1"/>
        <v>0.39655172413793105</v>
      </c>
      <c r="AL5" s="4">
        <f t="shared" si="2"/>
        <v>230</v>
      </c>
      <c r="AM5" s="27"/>
      <c r="AN5" s="6"/>
      <c r="AO5" s="6"/>
      <c r="AP5" s="6">
        <f t="shared" ref="AP5:AP10" si="12">IFERROR(Z5/L5,"-")</f>
        <v>1.1666666666666667</v>
      </c>
      <c r="AQ5" s="6">
        <f t="shared" ref="AQ5:AQ10" si="13">IFERROR(AJ5/M5,"-")</f>
        <v>1.1740890688259109</v>
      </c>
      <c r="AR5" s="6">
        <f t="shared" ref="AR5:AR10" si="14">IFERROR(AB5/N5,"-")</f>
        <v>1.1666666666666667</v>
      </c>
      <c r="AS5" s="4"/>
      <c r="AT5" s="4"/>
      <c r="AU5" s="4"/>
      <c r="AV5" s="4"/>
      <c r="AW5" s="4"/>
      <c r="AX5" s="4"/>
      <c r="AY5" s="4"/>
      <c r="AZ5" s="4"/>
      <c r="BA5" s="4"/>
      <c r="BB5" s="4" t="s">
        <v>66</v>
      </c>
      <c r="BC5" s="4" t="s">
        <v>84</v>
      </c>
      <c r="BD5" s="4"/>
      <c r="BE5" s="4"/>
      <c r="BF5" s="4" t="s">
        <v>83</v>
      </c>
      <c r="BG5" s="4">
        <v>476</v>
      </c>
      <c r="BH5" s="4">
        <f t="shared" si="3"/>
        <v>476</v>
      </c>
      <c r="BI5" s="18">
        <v>4</v>
      </c>
      <c r="BJ5" s="18">
        <v>1</v>
      </c>
      <c r="BK5" s="16">
        <v>7</v>
      </c>
      <c r="BL5" t="s">
        <v>92</v>
      </c>
      <c r="BM5">
        <f t="shared" ref="BM5:BM10" si="15">IFERROR(BL5*AR5,"-")</f>
        <v>555.33333333333337</v>
      </c>
      <c r="BN5">
        <v>600</v>
      </c>
      <c r="BO5">
        <f t="shared" ref="BO5:BO10" si="16">IFERROR(BN5*AR5,"-")</f>
        <v>700</v>
      </c>
      <c r="BP5" t="s">
        <v>76</v>
      </c>
    </row>
    <row r="6" spans="1:68" x14ac:dyDescent="0.4">
      <c r="A6" s="3">
        <v>3</v>
      </c>
      <c r="B6" s="3">
        <v>3</v>
      </c>
      <c r="C6" s="45">
        <v>386377</v>
      </c>
      <c r="D6" s="4" t="str">
        <f t="shared" si="4"/>
        <v>386377</v>
      </c>
      <c r="E6" s="4">
        <v>386377</v>
      </c>
      <c r="F6" s="4" t="s">
        <v>69</v>
      </c>
      <c r="G6" s="5">
        <v>4902778269763</v>
      </c>
      <c r="H6" s="5"/>
      <c r="I6" s="5"/>
      <c r="J6" s="5">
        <v>1</v>
      </c>
      <c r="K6" s="5">
        <v>1</v>
      </c>
      <c r="L6" s="4">
        <v>600</v>
      </c>
      <c r="M6" s="4">
        <v>494</v>
      </c>
      <c r="N6" s="4">
        <v>300</v>
      </c>
      <c r="O6" s="6">
        <f t="shared" si="5"/>
        <v>0.39271255060728749</v>
      </c>
      <c r="P6" s="4" t="s">
        <v>74</v>
      </c>
      <c r="Q6" s="4"/>
      <c r="R6" s="4"/>
      <c r="S6" s="4"/>
      <c r="T6" s="4"/>
      <c r="U6" s="4"/>
      <c r="V6" s="4"/>
      <c r="W6" s="4"/>
      <c r="X6" s="4"/>
      <c r="Y6" s="4">
        <v>700</v>
      </c>
      <c r="Z6" s="4">
        <f t="shared" si="6"/>
        <v>700</v>
      </c>
      <c r="AA6" s="4">
        <v>350</v>
      </c>
      <c r="AB6" s="4">
        <f t="shared" si="7"/>
        <v>350</v>
      </c>
      <c r="AC6" s="4"/>
      <c r="AD6" s="20">
        <f t="shared" si="0"/>
        <v>576</v>
      </c>
      <c r="AE6" s="6">
        <f t="shared" si="8"/>
        <v>0.39236111111111116</v>
      </c>
      <c r="AF6" s="32">
        <v>7.5</v>
      </c>
      <c r="AG6" s="4">
        <f t="shared" si="9"/>
        <v>600</v>
      </c>
      <c r="AH6" s="32">
        <f t="shared" si="10"/>
        <v>700</v>
      </c>
      <c r="AI6" s="6">
        <f t="shared" si="11"/>
        <v>0.5</v>
      </c>
      <c r="AJ6" s="7">
        <v>580</v>
      </c>
      <c r="AK6" s="6">
        <f t="shared" si="1"/>
        <v>0.39655172413793105</v>
      </c>
      <c r="AL6" s="4">
        <f t="shared" si="2"/>
        <v>230</v>
      </c>
      <c r="AM6" s="27"/>
      <c r="AN6" s="6"/>
      <c r="AO6" s="6"/>
      <c r="AP6" s="6">
        <f t="shared" si="12"/>
        <v>1.1666666666666667</v>
      </c>
      <c r="AQ6" s="6">
        <f t="shared" si="13"/>
        <v>1.1740890688259109</v>
      </c>
      <c r="AR6" s="6">
        <f t="shared" si="14"/>
        <v>1.1666666666666667</v>
      </c>
      <c r="AS6" s="4"/>
      <c r="AT6" s="4"/>
      <c r="AU6" s="4"/>
      <c r="AV6" s="4"/>
      <c r="AW6" s="4"/>
      <c r="AX6" s="4"/>
      <c r="AY6" s="4"/>
      <c r="AZ6" s="4"/>
      <c r="BA6" s="4"/>
      <c r="BB6" s="4" t="s">
        <v>66</v>
      </c>
      <c r="BC6" s="4" t="s">
        <v>85</v>
      </c>
      <c r="BD6" s="4"/>
      <c r="BE6" s="4"/>
      <c r="BF6" s="4" t="s">
        <v>83</v>
      </c>
      <c r="BG6" s="4">
        <v>600</v>
      </c>
      <c r="BH6" s="4">
        <f t="shared" ref="BH6:BH10" si="17">IF(BD6="",BG6,BD6/BE6*BG6)</f>
        <v>600</v>
      </c>
      <c r="BI6" s="18">
        <v>4</v>
      </c>
      <c r="BJ6" s="18">
        <v>1</v>
      </c>
      <c r="BK6" s="16">
        <v>7</v>
      </c>
      <c r="BL6" t="s">
        <v>74</v>
      </c>
      <c r="BM6" t="str">
        <f t="shared" si="15"/>
        <v>-</v>
      </c>
      <c r="BN6" t="s">
        <v>74</v>
      </c>
      <c r="BO6" t="str">
        <f t="shared" si="16"/>
        <v>-</v>
      </c>
      <c r="BP6" t="s">
        <v>77</v>
      </c>
    </row>
    <row r="7" spans="1:68" x14ac:dyDescent="0.4">
      <c r="A7" s="3">
        <v>4</v>
      </c>
      <c r="B7" s="3">
        <v>4</v>
      </c>
      <c r="C7" s="45">
        <v>386378</v>
      </c>
      <c r="D7" s="4" t="str">
        <f t="shared" si="4"/>
        <v>386378</v>
      </c>
      <c r="E7" s="4">
        <v>386378</v>
      </c>
      <c r="F7" s="4" t="s">
        <v>70</v>
      </c>
      <c r="G7" s="5">
        <v>4902778269756</v>
      </c>
      <c r="H7" s="5"/>
      <c r="I7" s="5"/>
      <c r="J7" s="5">
        <v>1</v>
      </c>
      <c r="K7" s="5">
        <v>1</v>
      </c>
      <c r="L7" s="4">
        <v>600</v>
      </c>
      <c r="M7" s="4">
        <v>494</v>
      </c>
      <c r="N7" s="4">
        <v>300</v>
      </c>
      <c r="O7" s="6">
        <f t="shared" si="5"/>
        <v>0.39271255060728749</v>
      </c>
      <c r="P7" s="4" t="s">
        <v>74</v>
      </c>
      <c r="Q7" s="4"/>
      <c r="R7" s="4"/>
      <c r="S7" s="4"/>
      <c r="T7" s="4"/>
      <c r="U7" s="4"/>
      <c r="V7" s="4"/>
      <c r="W7" s="4"/>
      <c r="X7" s="4"/>
      <c r="Y7" s="4">
        <v>700</v>
      </c>
      <c r="Z7" s="4">
        <f t="shared" si="6"/>
        <v>700</v>
      </c>
      <c r="AA7" s="4">
        <v>350</v>
      </c>
      <c r="AB7" s="4">
        <f t="shared" si="7"/>
        <v>350</v>
      </c>
      <c r="AC7" s="4"/>
      <c r="AD7" s="20">
        <f t="shared" si="0"/>
        <v>576</v>
      </c>
      <c r="AE7" s="6">
        <f t="shared" si="8"/>
        <v>0.39236111111111116</v>
      </c>
      <c r="AF7" s="32">
        <v>9.25</v>
      </c>
      <c r="AG7" s="4">
        <f t="shared" si="9"/>
        <v>600</v>
      </c>
      <c r="AH7" s="32">
        <f t="shared" si="10"/>
        <v>700</v>
      </c>
      <c r="AI7" s="6">
        <f t="shared" si="11"/>
        <v>0.5</v>
      </c>
      <c r="AJ7" s="7">
        <v>580</v>
      </c>
      <c r="AK7" s="6">
        <f t="shared" si="1"/>
        <v>0.39655172413793105</v>
      </c>
      <c r="AL7" s="4">
        <f t="shared" si="2"/>
        <v>230</v>
      </c>
      <c r="AM7" s="27"/>
      <c r="AN7" s="6"/>
      <c r="AO7" s="6"/>
      <c r="AP7" s="6">
        <f t="shared" si="12"/>
        <v>1.1666666666666667</v>
      </c>
      <c r="AQ7" s="6">
        <f t="shared" si="13"/>
        <v>1.1740890688259109</v>
      </c>
      <c r="AR7" s="6">
        <f t="shared" si="14"/>
        <v>1.1666666666666667</v>
      </c>
      <c r="AS7" s="4"/>
      <c r="AT7" s="4"/>
      <c r="AU7" s="4"/>
      <c r="AV7" s="4"/>
      <c r="AW7" s="4"/>
      <c r="AX7" s="4"/>
      <c r="AY7" s="4"/>
      <c r="AZ7" s="4"/>
      <c r="BA7" s="4"/>
      <c r="BB7" s="4" t="s">
        <v>66</v>
      </c>
      <c r="BC7" s="4" t="s">
        <v>86</v>
      </c>
      <c r="BD7" s="4"/>
      <c r="BE7" s="4"/>
      <c r="BF7" s="4" t="s">
        <v>83</v>
      </c>
      <c r="BG7" s="4">
        <v>600</v>
      </c>
      <c r="BH7" s="4">
        <f t="shared" si="17"/>
        <v>600</v>
      </c>
      <c r="BI7" s="18">
        <v>4</v>
      </c>
      <c r="BJ7" s="18">
        <v>1</v>
      </c>
      <c r="BK7" s="16">
        <v>7</v>
      </c>
      <c r="BL7" t="s">
        <v>74</v>
      </c>
      <c r="BM7" t="str">
        <f t="shared" si="15"/>
        <v>-</v>
      </c>
      <c r="BN7" t="s">
        <v>74</v>
      </c>
      <c r="BO7" t="str">
        <f t="shared" si="16"/>
        <v>-</v>
      </c>
      <c r="BP7" t="s">
        <v>78</v>
      </c>
    </row>
    <row r="8" spans="1:68" x14ac:dyDescent="0.4">
      <c r="A8" s="3">
        <v>5</v>
      </c>
      <c r="B8" s="3">
        <v>5</v>
      </c>
      <c r="C8" s="45">
        <v>386379</v>
      </c>
      <c r="D8" s="4" t="str">
        <f t="shared" si="4"/>
        <v>386379</v>
      </c>
      <c r="E8" s="4">
        <v>386379</v>
      </c>
      <c r="F8" s="4" t="s">
        <v>71</v>
      </c>
      <c r="G8" s="5">
        <v>4902778269770</v>
      </c>
      <c r="H8" s="5"/>
      <c r="I8" s="5"/>
      <c r="J8" s="5">
        <v>1</v>
      </c>
      <c r="K8" s="5">
        <v>1</v>
      </c>
      <c r="L8" s="4">
        <v>600</v>
      </c>
      <c r="M8" s="4">
        <v>494</v>
      </c>
      <c r="N8" s="4">
        <v>300</v>
      </c>
      <c r="O8" s="6">
        <f t="shared" si="5"/>
        <v>0.39271255060728749</v>
      </c>
      <c r="P8" s="4" t="s">
        <v>74</v>
      </c>
      <c r="Q8" s="4"/>
      <c r="R8" s="4"/>
      <c r="S8" s="4"/>
      <c r="T8" s="4"/>
      <c r="U8" s="4"/>
      <c r="V8" s="4"/>
      <c r="W8" s="4"/>
      <c r="X8" s="4"/>
      <c r="Y8" s="4">
        <v>700</v>
      </c>
      <c r="Z8" s="4">
        <f t="shared" si="6"/>
        <v>700</v>
      </c>
      <c r="AA8" s="4">
        <v>350</v>
      </c>
      <c r="AB8" s="4">
        <f t="shared" si="7"/>
        <v>350</v>
      </c>
      <c r="AC8" s="4"/>
      <c r="AD8" s="20">
        <f t="shared" si="0"/>
        <v>576</v>
      </c>
      <c r="AE8" s="6">
        <f t="shared" si="8"/>
        <v>0.39236111111111116</v>
      </c>
      <c r="AF8" s="32">
        <v>4.75</v>
      </c>
      <c r="AG8" s="4">
        <f t="shared" si="9"/>
        <v>476</v>
      </c>
      <c r="AH8" s="32">
        <f t="shared" si="10"/>
        <v>555.33333333333337</v>
      </c>
      <c r="AI8" s="6">
        <f t="shared" si="11"/>
        <v>0.36974789915966388</v>
      </c>
      <c r="AJ8" s="7">
        <v>580</v>
      </c>
      <c r="AK8" s="6">
        <f t="shared" si="1"/>
        <v>0.39655172413793105</v>
      </c>
      <c r="AL8" s="4">
        <f t="shared" si="2"/>
        <v>230</v>
      </c>
      <c r="AM8" s="27"/>
      <c r="AN8" s="6"/>
      <c r="AO8" s="6"/>
      <c r="AP8" s="6">
        <f t="shared" si="12"/>
        <v>1.1666666666666667</v>
      </c>
      <c r="AQ8" s="6">
        <f t="shared" si="13"/>
        <v>1.1740890688259109</v>
      </c>
      <c r="AR8" s="6">
        <f t="shared" si="14"/>
        <v>1.1666666666666667</v>
      </c>
      <c r="AS8" s="4"/>
      <c r="AT8" s="4"/>
      <c r="AU8" s="4"/>
      <c r="AV8" s="4"/>
      <c r="AW8" s="4"/>
      <c r="AX8" s="4"/>
      <c r="AY8" s="4"/>
      <c r="AZ8" s="4"/>
      <c r="BA8" s="4"/>
      <c r="BB8" s="4" t="s">
        <v>66</v>
      </c>
      <c r="BC8" s="4" t="s">
        <v>87</v>
      </c>
      <c r="BD8" s="4"/>
      <c r="BE8" s="4"/>
      <c r="BF8" s="4" t="s">
        <v>83</v>
      </c>
      <c r="BG8" s="4">
        <v>476</v>
      </c>
      <c r="BH8" s="4">
        <f t="shared" si="17"/>
        <v>476</v>
      </c>
      <c r="BI8" s="18">
        <v>4</v>
      </c>
      <c r="BJ8" s="18">
        <v>1</v>
      </c>
      <c r="BK8" s="16">
        <v>7</v>
      </c>
      <c r="BL8" t="s">
        <v>92</v>
      </c>
      <c r="BM8">
        <f t="shared" si="15"/>
        <v>555.33333333333337</v>
      </c>
      <c r="BN8">
        <v>580</v>
      </c>
      <c r="BO8">
        <f t="shared" si="16"/>
        <v>676.66666666666674</v>
      </c>
      <c r="BP8" t="s">
        <v>79</v>
      </c>
    </row>
    <row r="9" spans="1:68" x14ac:dyDescent="0.4">
      <c r="A9" s="3">
        <v>6</v>
      </c>
      <c r="B9" s="3">
        <v>6</v>
      </c>
      <c r="C9" s="45">
        <v>386380</v>
      </c>
      <c r="D9" s="4" t="str">
        <f t="shared" si="4"/>
        <v>386380</v>
      </c>
      <c r="E9" s="4">
        <v>386380</v>
      </c>
      <c r="F9" s="4" t="s">
        <v>72</v>
      </c>
      <c r="G9" s="5">
        <v>4902778269787</v>
      </c>
      <c r="H9" s="5"/>
      <c r="I9" s="5"/>
      <c r="J9" s="5">
        <v>1</v>
      </c>
      <c r="K9" s="5">
        <v>1</v>
      </c>
      <c r="L9" s="4">
        <v>600</v>
      </c>
      <c r="M9" s="4">
        <v>494</v>
      </c>
      <c r="N9" s="4">
        <v>300</v>
      </c>
      <c r="O9" s="6">
        <f t="shared" si="5"/>
        <v>0.39271255060728749</v>
      </c>
      <c r="P9" s="4" t="s">
        <v>74</v>
      </c>
      <c r="Q9" s="4"/>
      <c r="R9" s="4"/>
      <c r="S9" s="4"/>
      <c r="T9" s="4"/>
      <c r="U9" s="4"/>
      <c r="V9" s="4"/>
      <c r="W9" s="4"/>
      <c r="X9" s="4"/>
      <c r="Y9" s="4">
        <v>700</v>
      </c>
      <c r="Z9" s="4">
        <f t="shared" si="6"/>
        <v>700</v>
      </c>
      <c r="AA9" s="4">
        <v>350</v>
      </c>
      <c r="AB9" s="4">
        <f t="shared" si="7"/>
        <v>350</v>
      </c>
      <c r="AC9" s="4"/>
      <c r="AD9" s="20">
        <f t="shared" si="0"/>
        <v>576</v>
      </c>
      <c r="AE9" s="6">
        <f t="shared" si="8"/>
        <v>0.39236111111111116</v>
      </c>
      <c r="AF9" s="32">
        <v>3.25</v>
      </c>
      <c r="AG9" s="4">
        <f t="shared" si="9"/>
        <v>419</v>
      </c>
      <c r="AH9" s="32">
        <f t="shared" si="10"/>
        <v>488.83333333333337</v>
      </c>
      <c r="AI9" s="6">
        <f t="shared" si="11"/>
        <v>0.28400954653937949</v>
      </c>
      <c r="AJ9" s="7">
        <v>580</v>
      </c>
      <c r="AK9" s="6">
        <f t="shared" si="1"/>
        <v>0.39655172413793105</v>
      </c>
      <c r="AL9" s="4">
        <f t="shared" si="2"/>
        <v>230</v>
      </c>
      <c r="AM9" s="27"/>
      <c r="AN9" s="6"/>
      <c r="AO9" s="6"/>
      <c r="AP9" s="6">
        <f t="shared" si="12"/>
        <v>1.1666666666666667</v>
      </c>
      <c r="AQ9" s="6">
        <f t="shared" si="13"/>
        <v>1.1740890688259109</v>
      </c>
      <c r="AR9" s="6">
        <f t="shared" si="14"/>
        <v>1.1666666666666667</v>
      </c>
      <c r="AS9" s="4"/>
      <c r="AT9" s="4"/>
      <c r="AU9" s="4"/>
      <c r="AV9" s="4"/>
      <c r="AW9" s="4"/>
      <c r="AX9" s="4"/>
      <c r="AY9" s="4"/>
      <c r="AZ9" s="4"/>
      <c r="BA9" s="4"/>
      <c r="BB9" s="4" t="s">
        <v>66</v>
      </c>
      <c r="BC9" s="4" t="s">
        <v>88</v>
      </c>
      <c r="BD9" s="4"/>
      <c r="BE9" s="4"/>
      <c r="BF9" s="4" t="s">
        <v>83</v>
      </c>
      <c r="BG9" s="4">
        <v>419</v>
      </c>
      <c r="BH9" s="4">
        <f t="shared" si="17"/>
        <v>419</v>
      </c>
      <c r="BI9" s="18">
        <v>4</v>
      </c>
      <c r="BJ9" s="18">
        <v>1</v>
      </c>
      <c r="BK9" s="16">
        <v>7</v>
      </c>
      <c r="BL9" t="s">
        <v>92</v>
      </c>
      <c r="BM9">
        <f t="shared" si="15"/>
        <v>555.33333333333337</v>
      </c>
      <c r="BN9">
        <v>580</v>
      </c>
      <c r="BO9">
        <f t="shared" si="16"/>
        <v>676.66666666666674</v>
      </c>
      <c r="BP9" t="s">
        <v>80</v>
      </c>
    </row>
    <row r="10" spans="1:68" x14ac:dyDescent="0.4">
      <c r="A10" s="3">
        <v>7</v>
      </c>
      <c r="B10" s="3">
        <v>7</v>
      </c>
      <c r="C10" s="32">
        <v>386381</v>
      </c>
      <c r="D10" s="4" t="str">
        <f t="shared" si="4"/>
        <v>386381</v>
      </c>
      <c r="E10" s="4">
        <v>386381</v>
      </c>
      <c r="F10" s="4" t="s">
        <v>73</v>
      </c>
      <c r="G10" s="5">
        <v>4902778269794</v>
      </c>
      <c r="H10" s="5"/>
      <c r="I10" s="5"/>
      <c r="J10" s="5">
        <v>1</v>
      </c>
      <c r="K10" s="5">
        <v>1</v>
      </c>
      <c r="L10" s="4">
        <v>300</v>
      </c>
      <c r="M10" s="4">
        <v>236</v>
      </c>
      <c r="N10" s="4">
        <v>150</v>
      </c>
      <c r="O10" s="6">
        <f t="shared" si="5"/>
        <v>0.36440677966101698</v>
      </c>
      <c r="P10" s="4" t="s">
        <v>74</v>
      </c>
      <c r="Q10" s="4"/>
      <c r="R10" s="4"/>
      <c r="S10" s="4"/>
      <c r="T10" s="4"/>
      <c r="U10" s="4"/>
      <c r="V10" s="4"/>
      <c r="W10" s="4"/>
      <c r="X10" s="4"/>
      <c r="Y10" s="4">
        <v>350</v>
      </c>
      <c r="Z10" s="4">
        <f t="shared" si="6"/>
        <v>350</v>
      </c>
      <c r="AA10" s="4">
        <v>175</v>
      </c>
      <c r="AB10" s="4">
        <f t="shared" si="7"/>
        <v>175</v>
      </c>
      <c r="AC10" s="4"/>
      <c r="AD10" s="20">
        <f t="shared" si="0"/>
        <v>275</v>
      </c>
      <c r="AE10" s="6">
        <f t="shared" si="8"/>
        <v>0.36363636363636365</v>
      </c>
      <c r="AF10" s="32">
        <v>902.25000000000011</v>
      </c>
      <c r="AG10" s="4">
        <f t="shared" si="9"/>
        <v>236</v>
      </c>
      <c r="AH10" s="32">
        <f t="shared" si="10"/>
        <v>275.33333333333337</v>
      </c>
      <c r="AI10" s="6">
        <f t="shared" si="11"/>
        <v>0.36440677966101709</v>
      </c>
      <c r="AJ10" s="7">
        <v>275</v>
      </c>
      <c r="AK10" s="6">
        <f t="shared" si="1"/>
        <v>0.36363636363636365</v>
      </c>
      <c r="AL10" s="4">
        <f t="shared" si="2"/>
        <v>100</v>
      </c>
      <c r="AM10" s="27"/>
      <c r="AN10" s="6"/>
      <c r="AO10" s="6"/>
      <c r="AP10" s="6">
        <f t="shared" si="12"/>
        <v>1.1666666666666667</v>
      </c>
      <c r="AQ10" s="6">
        <f t="shared" si="13"/>
        <v>1.1652542372881356</v>
      </c>
      <c r="AR10" s="6">
        <f t="shared" si="14"/>
        <v>1.1666666666666667</v>
      </c>
      <c r="AS10" s="4"/>
      <c r="AT10" s="4"/>
      <c r="AU10" s="4"/>
      <c r="AV10" s="4"/>
      <c r="AW10" s="4"/>
      <c r="AX10" s="4"/>
      <c r="AY10" s="4"/>
      <c r="AZ10" s="4"/>
      <c r="BA10" s="4"/>
      <c r="BB10" s="4" t="s">
        <v>66</v>
      </c>
      <c r="BC10" s="4" t="s">
        <v>89</v>
      </c>
      <c r="BD10" s="4"/>
      <c r="BE10" s="4"/>
      <c r="BF10" s="4" t="s">
        <v>90</v>
      </c>
      <c r="BG10" s="4">
        <v>236</v>
      </c>
      <c r="BH10" s="4">
        <f t="shared" si="17"/>
        <v>236</v>
      </c>
      <c r="BI10" s="18">
        <v>4</v>
      </c>
      <c r="BJ10" s="18">
        <v>1</v>
      </c>
      <c r="BK10" s="16">
        <v>7</v>
      </c>
      <c r="BL10" t="s">
        <v>93</v>
      </c>
      <c r="BM10">
        <f t="shared" si="15"/>
        <v>275.33333333333337</v>
      </c>
      <c r="BN10">
        <v>290</v>
      </c>
      <c r="BO10">
        <f t="shared" si="16"/>
        <v>338.33333333333337</v>
      </c>
      <c r="BP10" t="s">
        <v>81</v>
      </c>
    </row>
  </sheetData>
  <autoFilter ref="A3:BP3" xr:uid="{7A1660CF-9003-4B2D-B659-7F339ED5B476}"/>
  <mergeCells count="3">
    <mergeCell ref="L2:O2"/>
    <mergeCell ref="J2:K2"/>
    <mergeCell ref="Y1:AB1"/>
  </mergeCells>
  <phoneticPr fontId="2"/>
  <conditionalFormatting sqref="AJ4:AJ10">
    <cfRule type="cellIs" dxfId="2" priority="4" operator="greaterThan">
      <formula>$Z4</formula>
    </cfRule>
  </conditionalFormatting>
  <conditionalFormatting sqref="AH4:AH10">
    <cfRule type="cellIs" dxfId="1" priority="2" operator="lessThan">
      <formula>$AJ4</formula>
    </cfRule>
  </conditionalFormatting>
  <conditionalFormatting sqref="AK4:AK10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2026-06-25T07:26:15Z</dcterms:modified>
</cp:coreProperties>
</file>