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rt-nas\01_全社共有\商品部\個人フォルダ\須永\価格改定\2026年7月1日改定\"/>
    </mc:Choice>
  </mc:AlternateContent>
  <xr:revisionPtr revIDLastSave="0" documentId="13_ncr:1_{7FEC7BB4-E7E0-4A35-8358-259FADF291DC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Sheet1!$A$3:$BS$3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S4" i="1" l="1"/>
  <c r="AU4" i="1"/>
  <c r="AT4" i="1"/>
  <c r="BI5" i="1" l="1"/>
  <c r="AG5" i="1" s="1"/>
  <c r="BI6" i="1"/>
  <c r="AG6" i="1" s="1"/>
  <c r="BI7" i="1"/>
  <c r="AG7" i="1" s="1"/>
  <c r="BI8" i="1"/>
  <c r="AG8" i="1" s="1"/>
  <c r="BI4" i="1"/>
  <c r="AG4" i="1" s="1"/>
  <c r="AB5" i="1"/>
  <c r="AR5" i="1" s="1"/>
  <c r="AB6" i="1"/>
  <c r="AB7" i="1"/>
  <c r="AB8" i="1"/>
  <c r="Z5" i="1"/>
  <c r="AP5" i="1" s="1"/>
  <c r="Z6" i="1"/>
  <c r="AP6" i="1" s="1"/>
  <c r="Z7" i="1"/>
  <c r="AP7" i="1" s="1"/>
  <c r="Z8" i="1"/>
  <c r="AP8" i="1" s="1"/>
  <c r="D5" i="1"/>
  <c r="D6" i="1"/>
  <c r="D7" i="1"/>
  <c r="D8" i="1"/>
  <c r="D4" i="1"/>
  <c r="AB4" i="1"/>
  <c r="Z4" i="1"/>
  <c r="AP4" i="1" s="1"/>
  <c r="AQ4" i="1"/>
  <c r="AQ8" i="1"/>
  <c r="O8" i="1"/>
  <c r="AQ7" i="1"/>
  <c r="O7" i="1"/>
  <c r="AQ6" i="1"/>
  <c r="O6" i="1"/>
  <c r="AQ5" i="1"/>
  <c r="O5" i="1"/>
  <c r="O4" i="1"/>
  <c r="AD5" i="1" l="1"/>
  <c r="AE5" i="1" s="1"/>
  <c r="BO5" i="1"/>
  <c r="BR5" i="1"/>
  <c r="AK5" i="1"/>
  <c r="AK4" i="1"/>
  <c r="AL8" i="1"/>
  <c r="AL7" i="1"/>
  <c r="AR6" i="1"/>
  <c r="AH5" i="1"/>
  <c r="AI5" i="1" s="1"/>
  <c r="AR8" i="1"/>
  <c r="AL6" i="1"/>
  <c r="AK8" i="1"/>
  <c r="AK7" i="1"/>
  <c r="AL5" i="1"/>
  <c r="AR7" i="1"/>
  <c r="AK6" i="1"/>
  <c r="AN4" i="1"/>
  <c r="AO4" i="1"/>
  <c r="AL4" i="1"/>
  <c r="AR4" i="1"/>
  <c r="AD6" i="1" l="1"/>
  <c r="AE6" i="1" s="1"/>
  <c r="BR6" i="1"/>
  <c r="BO6" i="1"/>
  <c r="AD8" i="1"/>
  <c r="AE8" i="1" s="1"/>
  <c r="BR8" i="1"/>
  <c r="BO8" i="1"/>
  <c r="AD7" i="1"/>
  <c r="AE7" i="1" s="1"/>
  <c r="BO7" i="1"/>
  <c r="BR7" i="1"/>
  <c r="AD4" i="1"/>
  <c r="AE4" i="1" s="1"/>
  <c r="BO4" i="1"/>
  <c r="BR4" i="1"/>
  <c r="AH7" i="1"/>
  <c r="AI7" i="1" s="1"/>
  <c r="AH6" i="1"/>
  <c r="AI6" i="1" s="1"/>
  <c r="AH4" i="1"/>
  <c r="AI4" i="1" s="1"/>
  <c r="AH8" i="1"/>
  <c r="AI8" i="1" s="1"/>
</calcChain>
</file>

<file path=xl/sharedStrings.xml><?xml version="1.0" encoding="utf-8"?>
<sst xmlns="http://schemas.openxmlformats.org/spreadsheetml/2006/main" count="127" uniqueCount="85">
  <si>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</si>
  <si>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</si>
  <si>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</si>
  <si>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</si>
  <si>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</si>
  <si>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</si>
  <si>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</si>
  <si>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</si>
  <si>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</si>
  <si>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</si>
  <si>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</si>
  <si>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</si>
  <si>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</si>
  <si>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</si>
  <si>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</si>
  <si>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</si>
  <si>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</si>
  <si>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</si>
  <si>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</si>
  <si>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</si>
  <si>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</si>
  <si>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</si>
  <si>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</si>
  <si>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</si>
  <si>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</si>
  <si>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</si>
  <si>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</si>
  <si>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</si>
  <si>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</si>
  <si>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</si>
  <si>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</si>
  <si>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</si>
  <si>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</si>
  <si>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</si>
  <si>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</si>
  <si>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</si>
  <si>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</si>
  <si>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</si>
  <si>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</si>
  <si>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</si>
  <si>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</si>
  <si>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</si>
  <si>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</si>
  <si>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</si>
  <si>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</si>
  <si>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</si>
  <si>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</si>
  <si>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</si>
  <si>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</si>
  <si>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</si>
  <si>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</si>
  <si>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</si>
  <si>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</si>
  <si>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</si>
  <si>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</si>
  <si>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</si>
  <si>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</si>
  <si>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</si>
  <si>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</si>
  <si>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</si>
  <si>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</si>
  <si>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</si>
  <si>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5月売価</t>
    <rPh sb="1" eb="2">
      <t>ガツ</t>
    </rPh>
    <rPh sb="2" eb="4">
      <t>バイカ</t>
    </rPh>
    <phoneticPr fontId="2"/>
  </si>
  <si>
    <t>新No.</t>
    <rPh sb="0" eb="1">
      <t>シン</t>
    </rPh>
    <phoneticPr fontId="2"/>
  </si>
  <si>
    <t>34/560</t>
  </si>
  <si>
    <t>ｾｲｺｰｲﾝｽﾂﾙ/(Airﾚｼﾞ対応)ﾓﾊﾞｲﾙﾌﾟﾘﾝﾀｰ/MP-B20-B02JK1-74</t>
  </si>
  <si>
    <t>ｾｲｺｰｲﾝｽﾂﾙ/（Airﾚｼﾞ対応）ｷｬｯｼｭﾄﾞﾛｱ 白/DRW-A01-W</t>
  </si>
  <si>
    <t>ｾｲｺｰｲﾝｽﾂﾙ/（Airﾚｼﾞ対応）ｷｬｯｼｭﾄﾞﾛｱ 黒/DRW-A01-K</t>
  </si>
  <si>
    <t>ｾｲｺｰｲﾝｽﾂﾙ/（Airﾚｼﾞ対応）ﾚｼｰﾄﾌﾟﾘﾝﾀｰ 電源ｾｯﾄ付 白</t>
  </si>
  <si>
    <t>ｾｲｺｰｲﾝｽﾂﾙ/（Airﾚｼﾞ対応）ﾚｼｰﾄﾌﾟﾘﾝﾀｰ 電源ｾｯﾄ付 黒</t>
  </si>
  <si>
    <t>-</t>
    <phoneticPr fontId="2"/>
  </si>
  <si>
    <t>セイコーインスツル モバイルレシートプリンター MP-B20-B02JK1-74 1台</t>
  </si>
  <si>
    <t>X779169</t>
  </si>
  <si>
    <t>セイコーインスツル キャッシュドロア DRW-A01-W(3B/6C・白)プリンタ接続式 DRW-A01-W 1個（直送品）</t>
  </si>
  <si>
    <t>X952718</t>
  </si>
  <si>
    <t>セイコーインスツル キャッシュドロア DRW-A01-K(3B/6C・黒)プリンタ接続式 DRW-A01-K 1個</t>
  </si>
  <si>
    <t>X952716</t>
  </si>
  <si>
    <t>-</t>
  </si>
  <si>
    <t>5月
たの</t>
    <rPh sb="1" eb="2">
      <t>ガツ</t>
    </rPh>
    <phoneticPr fontId="2"/>
  </si>
  <si>
    <t>5月
カウ</t>
    <rPh sb="1" eb="2">
      <t>ガツ</t>
    </rPh>
    <phoneticPr fontId="2"/>
  </si>
  <si>
    <t>カウ
ｽﾗｲﾄﾞ</t>
    <phoneticPr fontId="2"/>
  </si>
  <si>
    <t>たの
ｽﾗｲﾄﾞ</t>
    <phoneticPr fontId="2"/>
  </si>
  <si>
    <t>6月売価</t>
    <rPh sb="1" eb="2">
      <t>ガツ</t>
    </rPh>
    <rPh sb="2" eb="4">
      <t>バイカ</t>
    </rPh>
    <phoneticPr fontId="2"/>
  </si>
  <si>
    <t>6月
たの</t>
    <rPh sb="1" eb="2">
      <t>ガツ</t>
    </rPh>
    <phoneticPr fontId="2"/>
  </si>
  <si>
    <t>6月
カウ</t>
    <rPh sb="1" eb="2">
      <t>ガツ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</si>
</sst>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19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9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4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S8"/>
  <sheetViews>
    <sheetView tabSelected="1" zoomScale="90" zoomScaleNormal="90" workbookViewId="0">
      <pane xSplit="7" ySplit="5" topLeftCell="M6" activePane="bottomRight" state="frozen"/>
      <selection pane="topRight" activeCell="G1" sqref="G1"/>
      <selection pane="bottomLeft" activeCell="A5" sqref="A5"/>
      <selection pane="bottomRight" activeCell="E4" sqref="E4"/>
    </sheetView>
  </sheetViews>
  <sheetFormatPr defaultRowHeight="18.75" outlineLevelCol="1" x14ac:dyDescent="0.4"/>
  <cols>
    <col min="1" max="1" width="4.625" customWidth="1"/>
    <col min="2" max="2" width="5.75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6" width="7.625" customWidth="1"/>
    <col min="17" max="24" width="7.625" hidden="1" customWidth="1" outlineLevel="1"/>
    <col min="25" max="25" width="7.625" customWidth="1" collapsed="1"/>
    <col min="26" max="28" width="7.625" customWidth="1"/>
    <col min="29" max="29" width="4.375" customWidth="1" collapsed="1"/>
    <col min="30" max="38" width="7.625" customWidth="1"/>
    <col min="39" max="41" width="7.625" hidden="1" customWidth="1" outlineLevel="1"/>
    <col min="42" max="42" width="7.625" customWidth="1" collapsed="1"/>
    <col min="43" max="44" width="7.625" customWidth="1"/>
    <col min="45" max="53" width="7.625" hidden="1" customWidth="1" outlineLevel="1"/>
    <col min="54" max="54" width="7.625" customWidth="1" collapsed="1"/>
    <col min="55" max="70" width="7.625" customWidth="1"/>
  </cols>
  <sheetData>
    <row r="1" spans="1:71" x14ac:dyDescent="0.4">
      <c r="C1" s="29" t="s">
        <v>49</v>
      </c>
      <c r="Y1" s="38" t="s">
        <v>46</v>
      </c>
      <c r="Z1" s="39"/>
      <c r="AA1" s="39"/>
      <c r="AB1" s="40"/>
    </row>
    <row r="2" spans="1:71" x14ac:dyDescent="0.4">
      <c r="C2" s="8" t="s">
        <v>33</v>
      </c>
      <c r="D2" s="9" t="s">
        <v>34</v>
      </c>
      <c r="E2" s="9" t="s">
        <v>35</v>
      </c>
      <c r="F2" s="10"/>
      <c r="G2" s="10"/>
      <c r="H2" s="31"/>
      <c r="I2" s="31"/>
      <c r="J2" s="35" t="s">
        <v>36</v>
      </c>
      <c r="K2" s="37"/>
      <c r="L2" s="35" t="s">
        <v>2</v>
      </c>
      <c r="M2" s="36"/>
      <c r="N2" s="36"/>
      <c r="O2" s="37"/>
      <c r="P2" s="11"/>
      <c r="Q2" s="30"/>
      <c r="R2" s="30"/>
      <c r="S2" s="30"/>
      <c r="T2" s="30"/>
      <c r="U2" s="30"/>
      <c r="V2" s="30"/>
      <c r="W2" s="30"/>
      <c r="X2" s="30"/>
      <c r="Y2" s="23"/>
      <c r="Z2" s="24" t="s">
        <v>39</v>
      </c>
      <c r="AA2" s="24"/>
      <c r="AB2" s="25" t="s">
        <v>39</v>
      </c>
      <c r="AC2" s="10"/>
      <c r="AD2" s="9" t="s">
        <v>44</v>
      </c>
      <c r="AE2" s="11"/>
      <c r="AF2" s="11"/>
      <c r="AG2" s="11"/>
      <c r="AH2" s="11"/>
      <c r="AI2" s="11"/>
      <c r="AJ2" s="22" t="s">
        <v>47</v>
      </c>
      <c r="AK2" s="11"/>
      <c r="AL2" s="11"/>
      <c r="AM2" s="27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>
        <v>51</v>
      </c>
      <c r="BJ2">
        <v>14</v>
      </c>
      <c r="BK2">
        <v>28</v>
      </c>
    </row>
    <row r="3" spans="1:71" ht="75" x14ac:dyDescent="0.4">
      <c r="A3" s="1" t="s">
        <v>57</v>
      </c>
      <c r="B3" s="1" t="s">
        <v>63</v>
      </c>
      <c r="C3" s="2" t="s">
        <v>4</v>
      </c>
      <c r="D3" s="2" t="s">
        <v>9</v>
      </c>
      <c r="E3" s="2" t="s">
        <v>10</v>
      </c>
      <c r="F3" s="2" t="s">
        <v>0</v>
      </c>
      <c r="G3" s="12" t="s">
        <v>7</v>
      </c>
      <c r="H3" s="12" t="s">
        <v>59</v>
      </c>
      <c r="I3" s="12" t="s">
        <v>60</v>
      </c>
      <c r="J3" s="12" t="s">
        <v>30</v>
      </c>
      <c r="K3" s="12" t="s">
        <v>31</v>
      </c>
      <c r="L3" s="12" t="s">
        <v>1</v>
      </c>
      <c r="M3" s="2" t="s">
        <v>8</v>
      </c>
      <c r="N3" s="2" t="s">
        <v>5</v>
      </c>
      <c r="O3" s="2" t="s">
        <v>16</v>
      </c>
      <c r="P3" s="12" t="s">
        <v>53</v>
      </c>
      <c r="Q3" s="12" t="s">
        <v>20</v>
      </c>
      <c r="R3" s="12" t="s">
        <v>21</v>
      </c>
      <c r="S3" s="12" t="s">
        <v>54</v>
      </c>
      <c r="T3" s="12" t="s">
        <v>23</v>
      </c>
      <c r="U3" s="12" t="s">
        <v>24</v>
      </c>
      <c r="V3" s="12" t="s">
        <v>55</v>
      </c>
      <c r="W3" s="12" t="s">
        <v>26</v>
      </c>
      <c r="X3" s="12" t="s">
        <v>27</v>
      </c>
      <c r="Y3" s="12" t="s">
        <v>3</v>
      </c>
      <c r="Z3" s="12" t="s">
        <v>28</v>
      </c>
      <c r="AA3" s="2" t="s">
        <v>5</v>
      </c>
      <c r="AB3" s="12" t="s">
        <v>29</v>
      </c>
      <c r="AC3" s="14" t="s">
        <v>6</v>
      </c>
      <c r="AD3" s="20" t="s">
        <v>17</v>
      </c>
      <c r="AE3" s="2" t="s">
        <v>16</v>
      </c>
      <c r="AF3" s="2" t="s">
        <v>50</v>
      </c>
      <c r="AG3" s="12" t="s">
        <v>45</v>
      </c>
      <c r="AH3" s="12" t="s">
        <v>61</v>
      </c>
      <c r="AI3" s="2" t="s">
        <v>16</v>
      </c>
      <c r="AJ3" s="13" t="s">
        <v>37</v>
      </c>
      <c r="AK3" s="2" t="s">
        <v>16</v>
      </c>
      <c r="AL3" s="2" t="s">
        <v>38</v>
      </c>
      <c r="AM3" s="26" t="s">
        <v>40</v>
      </c>
      <c r="AN3" s="12" t="s">
        <v>41</v>
      </c>
      <c r="AO3" s="12" t="s">
        <v>42</v>
      </c>
      <c r="AP3" s="12" t="s">
        <v>32</v>
      </c>
      <c r="AQ3" s="12" t="s">
        <v>43</v>
      </c>
      <c r="AR3" s="12" t="s">
        <v>18</v>
      </c>
      <c r="AS3" s="12" t="s">
        <v>19</v>
      </c>
      <c r="AT3" s="12" t="s">
        <v>20</v>
      </c>
      <c r="AU3" s="12" t="s">
        <v>21</v>
      </c>
      <c r="AV3" s="12" t="s">
        <v>22</v>
      </c>
      <c r="AW3" s="12" t="s">
        <v>23</v>
      </c>
      <c r="AX3" s="12" t="s">
        <v>24</v>
      </c>
      <c r="AY3" s="12" t="s">
        <v>25</v>
      </c>
      <c r="AZ3" s="12" t="s">
        <v>26</v>
      </c>
      <c r="BA3" s="12" t="s">
        <v>27</v>
      </c>
      <c r="BB3" s="2" t="s">
        <v>11</v>
      </c>
      <c r="BC3" s="2" t="s">
        <v>12</v>
      </c>
      <c r="BD3" s="2" t="s">
        <v>13</v>
      </c>
      <c r="BE3" s="2" t="s">
        <v>14</v>
      </c>
      <c r="BF3" s="12" t="s">
        <v>48</v>
      </c>
      <c r="BG3" s="12" t="s">
        <v>62</v>
      </c>
      <c r="BH3" s="2" t="s">
        <v>82</v>
      </c>
      <c r="BI3" s="2" t="s">
        <v>15</v>
      </c>
      <c r="BJ3" s="18" t="s">
        <v>51</v>
      </c>
      <c r="BK3" s="18" t="s">
        <v>52</v>
      </c>
      <c r="BL3" s="15" t="s">
        <v>58</v>
      </c>
      <c r="BM3" s="32" t="s">
        <v>78</v>
      </c>
      <c r="BN3" s="32" t="s">
        <v>83</v>
      </c>
      <c r="BO3" s="33" t="s">
        <v>81</v>
      </c>
      <c r="BP3" s="33" t="s">
        <v>79</v>
      </c>
      <c r="BQ3" s="33" t="s">
        <v>84</v>
      </c>
      <c r="BR3" s="33" t="s">
        <v>80</v>
      </c>
      <c r="BS3" t="s">
        <v>56</v>
      </c>
    </row>
    <row r="4" spans="1:71" x14ac:dyDescent="0.4">
      <c r="A4" s="3">
        <v>1</v>
      </c>
      <c r="B4" s="3">
        <v>1</v>
      </c>
      <c r="C4" s="4">
        <v>196358</v>
      </c>
      <c r="D4" s="4" t="str">
        <f>TEXT(C4,"000000")</f>
        <v>196358</v>
      </c>
      <c r="E4" s="4">
        <v>327706</v>
      </c>
      <c r="F4" s="4" t="s">
        <v>65</v>
      </c>
      <c r="G4" s="5">
        <v>4950096650923</v>
      </c>
      <c r="H4" s="5"/>
      <c r="I4" s="5"/>
      <c r="J4" s="5">
        <v>1</v>
      </c>
      <c r="K4" s="5">
        <v>1</v>
      </c>
      <c r="L4" s="4">
        <v>0</v>
      </c>
      <c r="M4" s="4">
        <v>25755</v>
      </c>
      <c r="N4" s="4">
        <v>18000</v>
      </c>
      <c r="O4" s="6">
        <f t="shared" ref="O4:O8" si="0">1-N4/M4</f>
        <v>0.30110658124635992</v>
      </c>
      <c r="P4" s="4" t="s">
        <v>70</v>
      </c>
      <c r="Q4" s="4"/>
      <c r="R4" s="4"/>
      <c r="S4" s="4"/>
      <c r="T4" s="4"/>
      <c r="U4" s="4"/>
      <c r="V4" s="4"/>
      <c r="W4" s="4"/>
      <c r="X4" s="4"/>
      <c r="Y4" s="4">
        <v>0</v>
      </c>
      <c r="Z4" s="4">
        <f>IF(AC4="",Y4,Y4*AC4)</f>
        <v>0</v>
      </c>
      <c r="AA4" s="4">
        <v>19000</v>
      </c>
      <c r="AB4" s="4">
        <f>IF(AC4="",AA4,AA4*AC4)</f>
        <v>19000</v>
      </c>
      <c r="AC4" s="4"/>
      <c r="AD4" s="21">
        <f t="shared" ref="AD4:AD8" si="1">ROUND(M4*AR4,0)</f>
        <v>27186</v>
      </c>
      <c r="AE4" s="6">
        <f t="shared" ref="AE4" si="2">1-AB4/AD4</f>
        <v>0.30111086588685354</v>
      </c>
      <c r="AF4" s="4">
        <v>0.5</v>
      </c>
      <c r="AG4" s="4">
        <f>BI4</f>
        <v>26500</v>
      </c>
      <c r="AH4" s="4">
        <f t="shared" ref="AH4:AH8" si="3">AG4*AR4</f>
        <v>27972.222222222223</v>
      </c>
      <c r="AI4" s="6">
        <f t="shared" ref="AI4:AI8" si="4">1-AB4/AH4</f>
        <v>0.32075471698113212</v>
      </c>
      <c r="AJ4" s="7">
        <v>27900</v>
      </c>
      <c r="AK4" s="6">
        <f t="shared" ref="AK4:AK8" si="5">1-AB4/AJ4</f>
        <v>0.31899641577060933</v>
      </c>
      <c r="AL4" s="4">
        <f t="shared" ref="AL4:AL8" si="6">AJ4-AB4</f>
        <v>8900</v>
      </c>
      <c r="AM4" s="28"/>
      <c r="AN4" s="6" t="e">
        <f>1-AB4/AM4</f>
        <v>#DIV/0!</v>
      </c>
      <c r="AO4" s="4">
        <f>AM4-AB4</f>
        <v>-19000</v>
      </c>
      <c r="AP4" s="6" t="e">
        <f t="shared" ref="AP4:AP8" si="7">Z4/L4</f>
        <v>#DIV/0!</v>
      </c>
      <c r="AQ4" s="6">
        <f t="shared" ref="AQ4:AQ8" si="8">AJ4/M4</f>
        <v>1.083284799068142</v>
      </c>
      <c r="AR4" s="6">
        <f t="shared" ref="AR4:AR8" si="9">AB4/N4</f>
        <v>1.0555555555555556</v>
      </c>
      <c r="AS4" s="4" t="str">
        <f>IFERROR(ROUND($AJ4*P4/$M4,0),"-")</f>
        <v>-</v>
      </c>
      <c r="AT4" s="4" t="str">
        <f>IF(Q4="","-",Q4)</f>
        <v>-</v>
      </c>
      <c r="AU4" s="4" t="str">
        <f>IF(R4="","-",R4)</f>
        <v>-</v>
      </c>
      <c r="AV4" s="4"/>
      <c r="AW4" s="4"/>
      <c r="AX4" s="4"/>
      <c r="AY4" s="4"/>
      <c r="AZ4" s="4"/>
      <c r="BA4" s="4"/>
      <c r="BB4" s="4" t="s">
        <v>64</v>
      </c>
      <c r="BC4" s="4" t="s">
        <v>72</v>
      </c>
      <c r="BD4" s="4"/>
      <c r="BE4" s="4"/>
      <c r="BF4" s="4">
        <v>29150</v>
      </c>
      <c r="BG4" s="4">
        <v>26500</v>
      </c>
      <c r="BH4" s="4">
        <v>26500</v>
      </c>
      <c r="BI4" s="4">
        <f t="shared" ref="BI4:BI5" si="10">IF(BD4="",BH4,BD4/BE4*BH4)</f>
        <v>26500</v>
      </c>
      <c r="BJ4" s="19">
        <v>4</v>
      </c>
      <c r="BK4" s="19">
        <v>1</v>
      </c>
      <c r="BL4" s="16">
        <v>11</v>
      </c>
      <c r="BM4" t="s">
        <v>77</v>
      </c>
      <c r="BN4" t="s">
        <v>77</v>
      </c>
      <c r="BO4" t="str">
        <f>IFERROR(BN4*AR4,"-")</f>
        <v>-</v>
      </c>
      <c r="BP4">
        <v>32015</v>
      </c>
      <c r="BQ4">
        <v>32015</v>
      </c>
      <c r="BR4">
        <f>IFERROR(BQ4*AR4,"-")</f>
        <v>33793.611111111109</v>
      </c>
      <c r="BS4" t="s">
        <v>71</v>
      </c>
    </row>
    <row r="5" spans="1:71" x14ac:dyDescent="0.4">
      <c r="A5" s="3">
        <v>2</v>
      </c>
      <c r="B5" s="3">
        <v>2</v>
      </c>
      <c r="C5" s="4">
        <v>197109</v>
      </c>
      <c r="D5" s="4" t="str">
        <f t="shared" ref="D5:D8" si="11">TEXT(C5,"000000")</f>
        <v>197109</v>
      </c>
      <c r="E5" s="4">
        <v>327710</v>
      </c>
      <c r="F5" s="4" t="s">
        <v>66</v>
      </c>
      <c r="G5" s="5">
        <v>4950096651128</v>
      </c>
      <c r="H5" s="5"/>
      <c r="I5" s="5"/>
      <c r="J5" s="5">
        <v>1</v>
      </c>
      <c r="K5" s="5">
        <v>1</v>
      </c>
      <c r="L5" s="4">
        <v>0</v>
      </c>
      <c r="M5" s="4">
        <v>12362</v>
      </c>
      <c r="N5" s="4">
        <v>8470</v>
      </c>
      <c r="O5" s="6">
        <f t="shared" si="0"/>
        <v>0.31483578708946769</v>
      </c>
      <c r="P5" s="4" t="s">
        <v>70</v>
      </c>
      <c r="Q5" s="4"/>
      <c r="R5" s="4"/>
      <c r="S5" s="4"/>
      <c r="T5" s="4"/>
      <c r="U5" s="4"/>
      <c r="V5" s="4"/>
      <c r="W5" s="4"/>
      <c r="X5" s="4"/>
      <c r="Y5" s="4">
        <v>0</v>
      </c>
      <c r="Z5" s="4">
        <f t="shared" ref="Z5:Z8" si="12">IF(AC5="",Y5,Y5*AC5)</f>
        <v>0</v>
      </c>
      <c r="AA5" s="4">
        <v>9500</v>
      </c>
      <c r="AB5" s="4">
        <f t="shared" ref="AB5:AB8" si="13">IF(AC5="",AA5,AA5*AC5)</f>
        <v>9500</v>
      </c>
      <c r="AC5" s="4"/>
      <c r="AD5" s="21">
        <f t="shared" si="1"/>
        <v>13865</v>
      </c>
      <c r="AE5" s="6">
        <f t="shared" ref="AE5" si="14">1-AB5/AD5</f>
        <v>0.31482149296790485</v>
      </c>
      <c r="AF5" s="4">
        <v>1</v>
      </c>
      <c r="AG5" s="4">
        <f t="shared" ref="AG5:AG8" si="15">BI5</f>
        <v>15095</v>
      </c>
      <c r="AH5" s="4">
        <f t="shared" si="3"/>
        <v>16930.637544273908</v>
      </c>
      <c r="AI5" s="6">
        <f t="shared" si="4"/>
        <v>0.43888704869161976</v>
      </c>
      <c r="AJ5" s="7">
        <v>14200</v>
      </c>
      <c r="AK5" s="6">
        <f t="shared" si="5"/>
        <v>0.33098591549295775</v>
      </c>
      <c r="AL5" s="4">
        <f t="shared" si="6"/>
        <v>4700</v>
      </c>
      <c r="AM5" s="28"/>
      <c r="AN5" s="6"/>
      <c r="AO5" s="6"/>
      <c r="AP5" s="6" t="e">
        <f t="shared" si="7"/>
        <v>#DIV/0!</v>
      </c>
      <c r="AQ5" s="6">
        <f t="shared" si="8"/>
        <v>1.1486814431321792</v>
      </c>
      <c r="AR5" s="6">
        <f t="shared" si="9"/>
        <v>1.1216056670602126</v>
      </c>
      <c r="AS5" s="4"/>
      <c r="AT5" s="4"/>
      <c r="AU5" s="4"/>
      <c r="AV5" s="4"/>
      <c r="AW5" s="4"/>
      <c r="AX5" s="4"/>
      <c r="AY5" s="4"/>
      <c r="AZ5" s="4"/>
      <c r="BA5" s="4"/>
      <c r="BB5" s="4" t="s">
        <v>64</v>
      </c>
      <c r="BC5" s="4" t="s">
        <v>74</v>
      </c>
      <c r="BD5" s="4"/>
      <c r="BE5" s="4"/>
      <c r="BF5" s="4">
        <v>16604</v>
      </c>
      <c r="BG5" s="4">
        <v>15095</v>
      </c>
      <c r="BH5" s="4">
        <v>15095</v>
      </c>
      <c r="BI5" s="4">
        <f t="shared" si="10"/>
        <v>15095</v>
      </c>
      <c r="BJ5" s="19">
        <v>4</v>
      </c>
      <c r="BK5" s="19">
        <v>1</v>
      </c>
      <c r="BL5" s="16">
        <v>11</v>
      </c>
      <c r="BM5" t="s">
        <v>77</v>
      </c>
      <c r="BN5" t="s">
        <v>77</v>
      </c>
      <c r="BO5" t="str">
        <f t="shared" ref="BO5:BO8" si="16">IFERROR(BN5*AR5,"-")</f>
        <v>-</v>
      </c>
      <c r="BP5" t="s">
        <v>77</v>
      </c>
      <c r="BQ5" t="s">
        <v>77</v>
      </c>
      <c r="BR5" t="str">
        <f t="shared" ref="BR5:BR8" si="17">IFERROR(BQ5*AR5,"-")</f>
        <v>-</v>
      </c>
      <c r="BS5" t="s">
        <v>73</v>
      </c>
    </row>
    <row r="6" spans="1:71" x14ac:dyDescent="0.4">
      <c r="A6" s="3">
        <v>3</v>
      </c>
      <c r="B6" s="3">
        <v>3</v>
      </c>
      <c r="C6" s="17">
        <v>197110</v>
      </c>
      <c r="D6" s="4" t="str">
        <f t="shared" si="11"/>
        <v>197110</v>
      </c>
      <c r="E6" s="4">
        <v>327711</v>
      </c>
      <c r="F6" s="4" t="s">
        <v>67</v>
      </c>
      <c r="G6" s="5">
        <v>4950096651135</v>
      </c>
      <c r="H6" s="5"/>
      <c r="I6" s="5"/>
      <c r="J6" s="5">
        <v>1</v>
      </c>
      <c r="K6" s="5">
        <v>1</v>
      </c>
      <c r="L6" s="4">
        <v>0</v>
      </c>
      <c r="M6" s="4">
        <v>12117</v>
      </c>
      <c r="N6" s="4">
        <v>8470</v>
      </c>
      <c r="O6" s="6">
        <f t="shared" si="0"/>
        <v>0.30098209127671871</v>
      </c>
      <c r="P6" s="4" t="s">
        <v>70</v>
      </c>
      <c r="Q6" s="4"/>
      <c r="R6" s="4"/>
      <c r="S6" s="4"/>
      <c r="T6" s="4"/>
      <c r="U6" s="4"/>
      <c r="V6" s="4"/>
      <c r="W6" s="4"/>
      <c r="X6" s="4"/>
      <c r="Y6" s="4">
        <v>0</v>
      </c>
      <c r="Z6" s="4">
        <f t="shared" si="12"/>
        <v>0</v>
      </c>
      <c r="AA6" s="4">
        <v>9500</v>
      </c>
      <c r="AB6" s="4">
        <f t="shared" si="13"/>
        <v>9500</v>
      </c>
      <c r="AC6" s="4"/>
      <c r="AD6" s="21">
        <f t="shared" si="1"/>
        <v>13590</v>
      </c>
      <c r="AE6" s="6">
        <f t="shared" ref="AE6:AE8" si="18">1-AB6/AD6</f>
        <v>0.30095658572479767</v>
      </c>
      <c r="AF6" s="4">
        <v>0.75</v>
      </c>
      <c r="AG6" s="4">
        <f t="shared" si="15"/>
        <v>15095</v>
      </c>
      <c r="AH6" s="4">
        <f t="shared" si="3"/>
        <v>16930.637544273908</v>
      </c>
      <c r="AI6" s="6">
        <f t="shared" si="4"/>
        <v>0.43888704869161976</v>
      </c>
      <c r="AJ6" s="7">
        <v>14200</v>
      </c>
      <c r="AK6" s="6">
        <f t="shared" si="5"/>
        <v>0.33098591549295775</v>
      </c>
      <c r="AL6" s="4">
        <f t="shared" si="6"/>
        <v>4700</v>
      </c>
      <c r="AM6" s="28"/>
      <c r="AN6" s="6"/>
      <c r="AO6" s="6"/>
      <c r="AP6" s="6" t="e">
        <f t="shared" si="7"/>
        <v>#DIV/0!</v>
      </c>
      <c r="AQ6" s="6">
        <f t="shared" si="8"/>
        <v>1.1719072377651234</v>
      </c>
      <c r="AR6" s="6">
        <f t="shared" si="9"/>
        <v>1.1216056670602126</v>
      </c>
      <c r="AS6" s="4"/>
      <c r="AT6" s="4"/>
      <c r="AU6" s="4"/>
      <c r="AV6" s="4"/>
      <c r="AW6" s="4"/>
      <c r="AX6" s="4"/>
      <c r="AY6" s="4"/>
      <c r="AZ6" s="4"/>
      <c r="BA6" s="4"/>
      <c r="BB6" s="4" t="s">
        <v>64</v>
      </c>
      <c r="BC6" s="4" t="s">
        <v>76</v>
      </c>
      <c r="BD6" s="4"/>
      <c r="BE6" s="4"/>
      <c r="BF6" s="4">
        <v>16604</v>
      </c>
      <c r="BG6" s="4">
        <v>15095</v>
      </c>
      <c r="BH6" s="4">
        <v>15095</v>
      </c>
      <c r="BI6" s="4">
        <f t="shared" ref="BI6:BI8" si="19">IF(BD6="",BH6,BD6/BE6*BH6)</f>
        <v>15095</v>
      </c>
      <c r="BJ6" s="19">
        <v>4</v>
      </c>
      <c r="BK6" s="19">
        <v>1</v>
      </c>
      <c r="BL6" s="16">
        <v>11</v>
      </c>
      <c r="BM6" s="34">
        <v>12500</v>
      </c>
      <c r="BN6">
        <v>14200</v>
      </c>
      <c r="BO6">
        <f t="shared" si="16"/>
        <v>15926.800472255019</v>
      </c>
      <c r="BP6" t="s">
        <v>77</v>
      </c>
      <c r="BQ6" t="s">
        <v>77</v>
      </c>
      <c r="BR6" t="str">
        <f t="shared" si="17"/>
        <v>-</v>
      </c>
      <c r="BS6" t="s">
        <v>75</v>
      </c>
    </row>
    <row r="7" spans="1:71" x14ac:dyDescent="0.4">
      <c r="A7" s="3">
        <v>4</v>
      </c>
      <c r="B7" s="3">
        <v>4</v>
      </c>
      <c r="C7" s="17">
        <v>156786</v>
      </c>
      <c r="D7" s="4" t="str">
        <f t="shared" si="11"/>
        <v>156786</v>
      </c>
      <c r="E7" s="4">
        <v>156786</v>
      </c>
      <c r="F7" s="4" t="s">
        <v>68</v>
      </c>
      <c r="G7" s="5">
        <v>4950096652330</v>
      </c>
      <c r="H7" s="5"/>
      <c r="I7" s="5"/>
      <c r="J7" s="5">
        <v>1</v>
      </c>
      <c r="K7" s="5">
        <v>1</v>
      </c>
      <c r="L7" s="4">
        <v>0</v>
      </c>
      <c r="M7" s="4">
        <v>41306</v>
      </c>
      <c r="N7" s="4">
        <v>35750</v>
      </c>
      <c r="O7" s="6">
        <f t="shared" si="0"/>
        <v>0.1345083038783712</v>
      </c>
      <c r="P7" s="4" t="s">
        <v>70</v>
      </c>
      <c r="Q7" s="4"/>
      <c r="R7" s="4"/>
      <c r="S7" s="4"/>
      <c r="T7" s="4"/>
      <c r="U7" s="4"/>
      <c r="V7" s="4"/>
      <c r="W7" s="4"/>
      <c r="X7" s="4"/>
      <c r="Y7" s="4">
        <v>0</v>
      </c>
      <c r="Z7" s="4">
        <f t="shared" si="12"/>
        <v>0</v>
      </c>
      <c r="AA7" s="4">
        <v>38000</v>
      </c>
      <c r="AB7" s="4">
        <f t="shared" si="13"/>
        <v>38000</v>
      </c>
      <c r="AC7" s="4"/>
      <c r="AD7" s="21">
        <f t="shared" si="1"/>
        <v>43906</v>
      </c>
      <c r="AE7" s="6">
        <f t="shared" si="18"/>
        <v>0.13451464492324516</v>
      </c>
      <c r="AF7" s="4">
        <v>0.5</v>
      </c>
      <c r="AG7" s="4" t="str">
        <f t="shared" si="15"/>
        <v>-</v>
      </c>
      <c r="AH7" s="4" t="e">
        <f t="shared" si="3"/>
        <v>#VALUE!</v>
      </c>
      <c r="AI7" s="6" t="e">
        <f t="shared" si="4"/>
        <v>#VALUE!</v>
      </c>
      <c r="AJ7" s="7">
        <v>55000</v>
      </c>
      <c r="AK7" s="6">
        <f t="shared" si="5"/>
        <v>0.30909090909090908</v>
      </c>
      <c r="AL7" s="4">
        <f t="shared" si="6"/>
        <v>17000</v>
      </c>
      <c r="AM7" s="28"/>
      <c r="AN7" s="6"/>
      <c r="AO7" s="6"/>
      <c r="AP7" s="6" t="e">
        <f t="shared" si="7"/>
        <v>#DIV/0!</v>
      </c>
      <c r="AQ7" s="6">
        <f t="shared" si="8"/>
        <v>1.3315256863409675</v>
      </c>
      <c r="AR7" s="6">
        <f t="shared" si="9"/>
        <v>1.0629370629370629</v>
      </c>
      <c r="AS7" s="4"/>
      <c r="AT7" s="4"/>
      <c r="AU7" s="4"/>
      <c r="AV7" s="4"/>
      <c r="AW7" s="4"/>
      <c r="AX7" s="4"/>
      <c r="AY7" s="4"/>
      <c r="AZ7" s="4"/>
      <c r="BA7" s="4"/>
      <c r="BB7" s="4">
        <v>0</v>
      </c>
      <c r="BC7" s="4" t="s">
        <v>70</v>
      </c>
      <c r="BD7" s="4"/>
      <c r="BE7" s="4"/>
      <c r="BF7" s="4" t="s">
        <v>70</v>
      </c>
      <c r="BG7" s="4" t="s">
        <v>77</v>
      </c>
      <c r="BH7" s="4" t="s">
        <v>77</v>
      </c>
      <c r="BI7" s="4" t="str">
        <f t="shared" si="19"/>
        <v>-</v>
      </c>
      <c r="BJ7" s="19">
        <v>4</v>
      </c>
      <c r="BK7" s="19">
        <v>1</v>
      </c>
      <c r="BL7" s="16">
        <v>11</v>
      </c>
      <c r="BM7" t="s">
        <v>77</v>
      </c>
      <c r="BN7" t="s">
        <v>77</v>
      </c>
      <c r="BO7" t="str">
        <f t="shared" si="16"/>
        <v>-</v>
      </c>
      <c r="BP7" t="s">
        <v>77</v>
      </c>
      <c r="BQ7" t="s">
        <v>77</v>
      </c>
      <c r="BR7" t="str">
        <f t="shared" si="17"/>
        <v>-</v>
      </c>
      <c r="BS7" t="s">
        <v>70</v>
      </c>
    </row>
    <row r="8" spans="1:71" x14ac:dyDescent="0.4">
      <c r="A8" s="3">
        <v>5</v>
      </c>
      <c r="B8" s="3">
        <v>5</v>
      </c>
      <c r="C8" s="17">
        <v>156785</v>
      </c>
      <c r="D8" s="4" t="str">
        <f t="shared" si="11"/>
        <v>156785</v>
      </c>
      <c r="E8" s="4">
        <v>156785</v>
      </c>
      <c r="F8" s="4" t="s">
        <v>69</v>
      </c>
      <c r="G8" s="5">
        <v>4950096652347</v>
      </c>
      <c r="H8" s="5"/>
      <c r="I8" s="5"/>
      <c r="J8" s="5">
        <v>1</v>
      </c>
      <c r="K8" s="5">
        <v>1</v>
      </c>
      <c r="L8" s="4">
        <v>0</v>
      </c>
      <c r="M8" s="4">
        <v>40896</v>
      </c>
      <c r="N8" s="4">
        <v>35750</v>
      </c>
      <c r="O8" s="6">
        <f t="shared" si="0"/>
        <v>0.12583137715179971</v>
      </c>
      <c r="P8" s="4" t="s">
        <v>70</v>
      </c>
      <c r="Q8" s="4"/>
      <c r="R8" s="4"/>
      <c r="S8" s="4"/>
      <c r="T8" s="4"/>
      <c r="U8" s="4"/>
      <c r="V8" s="4"/>
      <c r="W8" s="4"/>
      <c r="X8" s="4"/>
      <c r="Y8" s="4">
        <v>0</v>
      </c>
      <c r="Z8" s="4">
        <f t="shared" si="12"/>
        <v>0</v>
      </c>
      <c r="AA8" s="4">
        <v>38000</v>
      </c>
      <c r="AB8" s="4">
        <f t="shared" si="13"/>
        <v>38000</v>
      </c>
      <c r="AC8" s="4"/>
      <c r="AD8" s="21">
        <f t="shared" si="1"/>
        <v>43470</v>
      </c>
      <c r="AE8" s="6">
        <f t="shared" si="18"/>
        <v>0.12583390844260411</v>
      </c>
      <c r="AF8" s="4">
        <v>0.75</v>
      </c>
      <c r="AG8" s="4" t="str">
        <f t="shared" si="15"/>
        <v>-</v>
      </c>
      <c r="AH8" s="4" t="e">
        <f t="shared" si="3"/>
        <v>#VALUE!</v>
      </c>
      <c r="AI8" s="6" t="e">
        <f t="shared" si="4"/>
        <v>#VALUE!</v>
      </c>
      <c r="AJ8" s="7">
        <v>55000</v>
      </c>
      <c r="AK8" s="6">
        <f t="shared" si="5"/>
        <v>0.30909090909090908</v>
      </c>
      <c r="AL8" s="4">
        <f t="shared" si="6"/>
        <v>17000</v>
      </c>
      <c r="AM8" s="28"/>
      <c r="AN8" s="6"/>
      <c r="AO8" s="6"/>
      <c r="AP8" s="6" t="e">
        <f t="shared" si="7"/>
        <v>#DIV/0!</v>
      </c>
      <c r="AQ8" s="6">
        <f t="shared" si="8"/>
        <v>1.3448748043818466</v>
      </c>
      <c r="AR8" s="6">
        <f t="shared" si="9"/>
        <v>1.0629370629370629</v>
      </c>
      <c r="AS8" s="4"/>
      <c r="AT8" s="4"/>
      <c r="AU8" s="4"/>
      <c r="AV8" s="4"/>
      <c r="AW8" s="4"/>
      <c r="AX8" s="4"/>
      <c r="AY8" s="4"/>
      <c r="AZ8" s="4"/>
      <c r="BA8" s="4"/>
      <c r="BB8" s="4">
        <v>0</v>
      </c>
      <c r="BC8" s="4" t="s">
        <v>70</v>
      </c>
      <c r="BD8" s="4"/>
      <c r="BE8" s="4"/>
      <c r="BF8" s="4" t="s">
        <v>70</v>
      </c>
      <c r="BG8" s="4" t="s">
        <v>77</v>
      </c>
      <c r="BH8" s="4" t="s">
        <v>77</v>
      </c>
      <c r="BI8" s="4" t="str">
        <f t="shared" si="19"/>
        <v>-</v>
      </c>
      <c r="BJ8" s="19">
        <v>4</v>
      </c>
      <c r="BK8" s="19">
        <v>1</v>
      </c>
      <c r="BL8" s="16">
        <v>11</v>
      </c>
      <c r="BM8" t="s">
        <v>77</v>
      </c>
      <c r="BN8" t="s">
        <v>77</v>
      </c>
      <c r="BO8" t="str">
        <f t="shared" si="16"/>
        <v>-</v>
      </c>
      <c r="BP8" t="s">
        <v>77</v>
      </c>
      <c r="BQ8" t="s">
        <v>77</v>
      </c>
      <c r="BR8" t="str">
        <f t="shared" si="17"/>
        <v>-</v>
      </c>
      <c r="BS8" t="s">
        <v>70</v>
      </c>
    </row>
  </sheetData>
  <autoFilter ref="A3:BS3" xr:uid="{7A1660CF-9003-4B2D-B659-7F339ED5B476}"/>
  <mergeCells count="3">
    <mergeCell ref="L2:O2"/>
    <mergeCell ref="J2:K2"/>
    <mergeCell ref="Y1:AB1"/>
  </mergeCells>
  <phoneticPr fontId="2"/>
  <conditionalFormatting sqref="AH4:AH8">
    <cfRule type="cellIs" dxfId="3" priority="3" operator="lessThan">
      <formula>$AJ4</formula>
    </cfRule>
  </conditionalFormatting>
  <conditionalFormatting sqref="AJ4:AJ8">
    <cfRule type="cellIs" dxfId="2" priority="5" operator="greaterThan">
      <formula>$Z4</formula>
    </cfRule>
  </conditionalFormatting>
  <conditionalFormatting sqref="AK4:AK8">
    <cfRule type="cellIs" dxfId="1" priority="2" operator="lessThan">
      <formula>0.2</formula>
    </cfRule>
  </conditionalFormatting>
  <conditionalFormatting sqref="BN4:BN8">
    <cfRule type="cellIs" dxfId="0" priority="1" operator="notEqual">
      <formula>$BM4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須永 英里子</cp:lastModifiedBy>
  <dcterms:created xsi:type="dcterms:W3CDTF">2022-07-07T00:08:53Z</dcterms:created>
  <dcterms:modified xsi:type="dcterms:W3CDTF">2026-06-05T02:47:26Z</dcterms:modified>
</cp:coreProperties>
</file>