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ﾅ_中川製作所\価格改定\20260603_6月末_715\"/>
    </mc:Choice>
  </mc:AlternateContent>
  <xr:revisionPtr revIDLastSave="0" documentId="13_ncr:1_{717871A0-4851-477C-8F59-306AADDE1E95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5" i="1" l="1"/>
  <c r="AH6" i="1"/>
  <c r="AH7" i="1"/>
  <c r="AH8" i="1"/>
  <c r="AH9" i="1"/>
  <c r="AH10" i="1"/>
  <c r="AH11" i="1"/>
  <c r="AH12" i="1"/>
  <c r="AH4" i="1"/>
  <c r="AS4" i="1"/>
  <c r="Z6" i="1"/>
  <c r="AU4" i="1"/>
  <c r="AT4" i="1"/>
  <c r="BH5" i="1" l="1"/>
  <c r="AG5" i="1" s="1"/>
  <c r="BH7" i="1"/>
  <c r="AG7" i="1" s="1"/>
  <c r="BH8" i="1"/>
  <c r="AG8" i="1" s="1"/>
  <c r="BH10" i="1"/>
  <c r="AG10" i="1" s="1"/>
  <c r="BH11" i="1"/>
  <c r="AG11" i="1" s="1"/>
  <c r="BH12" i="1"/>
  <c r="AG12" i="1" s="1"/>
  <c r="BH6" i="1"/>
  <c r="AG6" i="1" s="1"/>
  <c r="BH4" i="1"/>
  <c r="AG4" i="1" s="1"/>
  <c r="AB5" i="1"/>
  <c r="AB7" i="1"/>
  <c r="AB8" i="1"/>
  <c r="AB9" i="1"/>
  <c r="AB10" i="1"/>
  <c r="AB11" i="1"/>
  <c r="AB12" i="1"/>
  <c r="AB6" i="1"/>
  <c r="Z5" i="1"/>
  <c r="AP5" i="1" s="1"/>
  <c r="Z7" i="1"/>
  <c r="AP7" i="1" s="1"/>
  <c r="Z8" i="1"/>
  <c r="AP8" i="1" s="1"/>
  <c r="Z9" i="1"/>
  <c r="AP9" i="1" s="1"/>
  <c r="Z10" i="1"/>
  <c r="AP10" i="1" s="1"/>
  <c r="Z11" i="1"/>
  <c r="AP11" i="1" s="1"/>
  <c r="Z12" i="1"/>
  <c r="AP12" i="1" s="1"/>
  <c r="AP6" i="1"/>
  <c r="D5" i="1"/>
  <c r="D7" i="1"/>
  <c r="D8" i="1"/>
  <c r="D9" i="1"/>
  <c r="D10" i="1"/>
  <c r="D11" i="1"/>
  <c r="D12" i="1"/>
  <c r="D6" i="1"/>
  <c r="D4" i="1"/>
  <c r="AB4" i="1"/>
  <c r="Z4" i="1"/>
  <c r="AP4" i="1" s="1"/>
  <c r="AQ6" i="1"/>
  <c r="O6" i="1"/>
  <c r="AQ12" i="1"/>
  <c r="O12" i="1"/>
  <c r="AQ11" i="1"/>
  <c r="O11" i="1"/>
  <c r="AQ4" i="1"/>
  <c r="AQ10" i="1"/>
  <c r="O10" i="1"/>
  <c r="BH9" i="1"/>
  <c r="AG9" i="1" s="1"/>
  <c r="AQ9" i="1"/>
  <c r="O9" i="1"/>
  <c r="AQ8" i="1"/>
  <c r="O8" i="1"/>
  <c r="AQ7" i="1"/>
  <c r="O7" i="1"/>
  <c r="AR5" i="1"/>
  <c r="AD5" i="1" s="1"/>
  <c r="AE5" i="1" s="1"/>
  <c r="AQ5" i="1"/>
  <c r="O5" i="1"/>
  <c r="O4" i="1"/>
  <c r="AK5" i="1" l="1"/>
  <c r="AK6" i="1"/>
  <c r="AL11" i="1"/>
  <c r="AK4" i="1"/>
  <c r="AK10" i="1"/>
  <c r="AL9" i="1"/>
  <c r="AL12" i="1"/>
  <c r="AL8" i="1"/>
  <c r="AR7" i="1"/>
  <c r="AD7" i="1" s="1"/>
  <c r="AE7" i="1" s="1"/>
  <c r="AI5" i="1"/>
  <c r="AR11" i="1"/>
  <c r="AD11" i="1" s="1"/>
  <c r="AE11" i="1" s="1"/>
  <c r="AR6" i="1"/>
  <c r="AD6" i="1" s="1"/>
  <c r="AE6" i="1" s="1"/>
  <c r="AR9" i="1"/>
  <c r="AD9" i="1" s="1"/>
  <c r="AE9" i="1" s="1"/>
  <c r="AL7" i="1"/>
  <c r="AK12" i="1"/>
  <c r="AK11" i="1"/>
  <c r="AK9" i="1"/>
  <c r="AR12" i="1"/>
  <c r="AD12" i="1" s="1"/>
  <c r="AE12" i="1" s="1"/>
  <c r="AL10" i="1"/>
  <c r="AR10" i="1"/>
  <c r="AD10" i="1" s="1"/>
  <c r="AE10" i="1" s="1"/>
  <c r="AK8" i="1"/>
  <c r="AL5" i="1"/>
  <c r="AR8" i="1"/>
  <c r="AD8" i="1" s="1"/>
  <c r="AE8" i="1" s="1"/>
  <c r="AK7" i="1"/>
  <c r="AL6" i="1"/>
  <c r="AN4" i="1"/>
  <c r="AO4" i="1"/>
  <c r="AL4" i="1"/>
  <c r="AR4" i="1"/>
  <c r="AD4" i="1" s="1"/>
  <c r="AE4" i="1" s="1"/>
  <c r="AI8" i="1" l="1"/>
  <c r="AI10" i="1"/>
  <c r="AI6" i="1"/>
  <c r="AI7" i="1"/>
  <c r="AI4" i="1"/>
  <c r="AI11" i="1"/>
  <c r="AI12" i="1"/>
  <c r="AI9" i="1"/>
</calcChain>
</file>

<file path=xl/sharedStrings.xml><?xml version="1.0" encoding="utf-8"?>
<sst xmlns="http://schemas.openxmlformats.org/spreadsheetml/2006/main" count="154" uniqueCount="89">
  <si>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</si>
  <si>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</si>
  <si>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</si>
  <si>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</si>
  <si>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</si>
  <si>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</si>
  <si>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</si>
  <si>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</si>
  <si>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</si>
  <si>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</si>
  <si>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</si>
  <si>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</si>
  <si>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</si>
  <si>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</si>
  <si>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</si>
  <si>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</si>
  <si>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</si>
  <si>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</si>
  <si>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</si>
  <si>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</si>
  <si>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</si>
  <si>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</si>
  <si>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</si>
  <si>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</si>
  <si>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</si>
  <si>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</si>
  <si>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</si>
  <si>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</si>
  <si>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</si>
  <si>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</si>
  <si>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</si>
  <si>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</si>
  <si>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</si>
  <si>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</si>
  <si>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</si>
  <si>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</si>
  <si>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</si>
  <si>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</si>
  <si>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</si>
  <si>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</si>
  <si>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</si>
  <si>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</si>
  <si>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</si>
  <si>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</si>
  <si>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</si>
  <si>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</si>
  <si>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</si>
  <si>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</si>
  <si>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</si>
  <si>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</si>
  <si>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</si>
  <si>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</si>
  <si>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</si>
  <si>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</si>
  <si>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</si>
  <si>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</si>
  <si>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</si>
  <si>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</si>
  <si>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</si>
  <si>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</si>
  <si>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</si>
  <si>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</si>
  <si>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</si>
  <si>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</si>
  <si>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</si>
  <si>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</si>
  <si>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JW3575</t>
  </si>
  <si>
    <t>JW3576</t>
  </si>
  <si>
    <t>JW3577</t>
  </si>
  <si>
    <t>JW3578</t>
  </si>
  <si>
    <t>JW3579</t>
  </si>
  <si>
    <t>JW3930</t>
  </si>
  <si>
    <t>32/566</t>
  </si>
  <si>
    <t>中川製作所/ｵﾝﾃﾞﾏﾝﾄﾞｸﾘﾔｰﾎﾙﾀﾞｰ ﾎﾜｲﾄﾀｲﾌﾟ A4 100枚</t>
  </si>
  <si>
    <t>(Airﾚｼﾞ対応)中保存 ﾓﾊﾞｲﾙﾌﾟﾘﾝﾀ用ﾛｰﾙ紙 58mm 10巻</t>
  </si>
  <si>
    <t>ﾏﾙﾁPOP用紙[黄色]B5 16分割 1000枚/0000-302-B5YS</t>
  </si>
  <si>
    <t>ﾏﾙﾁPOP用紙[黄色]A4 16分割 1000枚/0000-302-A4YS</t>
  </si>
  <si>
    <t>ﾏﾙﾁPOP用紙[黄色]B4 32分割 1000枚/0000-302-B4YS</t>
  </si>
  <si>
    <t>ﾏﾙﾁPOP用紙[白]B5 16分割 1000枚/0000-302-B5W1</t>
  </si>
  <si>
    <t>(Airﾚｼﾞ対応)中保存 ﾓﾊﾞｲﾙﾌﾟﾘﾝﾀ用ﾛｰﾙ紙 58mm 100巻</t>
  </si>
  <si>
    <t>-</t>
    <phoneticPr fontId="2"/>
  </si>
  <si>
    <t>ﾏﾙﾁPOP用紙[白]A4 16分割 1000枚/0000-302-A4W1</t>
    <phoneticPr fontId="2"/>
  </si>
  <si>
    <t>ﾏﾙﾁPOP用紙[白]B4 32分割 1000枚/0000-302-B4W1</t>
    <phoneticPr fontId="2"/>
  </si>
  <si>
    <t>U459782</t>
  </si>
  <si>
    <t>1箱（10巻）</t>
  </si>
  <si>
    <t>【感熱紙】モバイルプリンタ用ロール 中保存 幅58mm×外径40mm 1箱（10巻入）</t>
  </si>
  <si>
    <t>【感熱紙】モバイルプリンタ用ロール 中保存 幅58mm×外径40mm 1箱（100巻入）</t>
  </si>
  <si>
    <t>1箱（100巻）</t>
  </si>
  <si>
    <t>U459781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</si>
</sst>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6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12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5" width="7.625" customWidth="1"/>
  </cols>
  <sheetData>
    <row r="1" spans="1:66" x14ac:dyDescent="0.4">
      <c r="C1" s="29" t="s">
        <v>49</v>
      </c>
      <c r="Y1" s="44" t="s">
        <v>46</v>
      </c>
      <c r="Z1" s="45"/>
      <c r="AA1" s="45"/>
      <c r="AB1" s="46"/>
    </row>
    <row r="2" spans="1:66" x14ac:dyDescent="0.4">
      <c r="C2" s="8" t="s">
        <v>33</v>
      </c>
      <c r="D2" s="9" t="s">
        <v>34</v>
      </c>
      <c r="E2" s="9" t="s">
        <v>35</v>
      </c>
      <c r="F2" s="10"/>
      <c r="G2" s="10"/>
      <c r="H2" s="37"/>
      <c r="I2" s="37"/>
      <c r="J2" s="41" t="s">
        <v>36</v>
      </c>
      <c r="K2" s="43"/>
      <c r="L2" s="41" t="s">
        <v>2</v>
      </c>
      <c r="M2" s="42"/>
      <c r="N2" s="42"/>
      <c r="O2" s="43"/>
      <c r="P2" s="11"/>
      <c r="Q2" s="36"/>
      <c r="R2" s="36"/>
      <c r="S2" s="36"/>
      <c r="T2" s="36"/>
      <c r="U2" s="36"/>
      <c r="V2" s="36"/>
      <c r="W2" s="36"/>
      <c r="X2" s="36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6" ht="75" x14ac:dyDescent="0.4">
      <c r="A3" s="1" t="s">
        <v>59</v>
      </c>
      <c r="B3" s="1" t="s">
        <v>64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8" t="s">
        <v>63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65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 t="s">
        <v>58</v>
      </c>
    </row>
    <row r="4" spans="1:66" x14ac:dyDescent="0.4">
      <c r="A4" s="39">
        <v>1</v>
      </c>
      <c r="B4" s="3">
        <v>1</v>
      </c>
      <c r="C4" s="4">
        <v>114777</v>
      </c>
      <c r="D4" s="4" t="str">
        <f>TEXT(C4,"000000")</f>
        <v>114777</v>
      </c>
      <c r="E4" s="4">
        <v>114777</v>
      </c>
      <c r="F4" s="4" t="s">
        <v>73</v>
      </c>
      <c r="G4" s="5">
        <v>4946888712443</v>
      </c>
      <c r="H4" s="5"/>
      <c r="I4" s="5"/>
      <c r="J4" s="5">
        <v>1</v>
      </c>
      <c r="K4" s="5">
        <v>1</v>
      </c>
      <c r="L4" s="4">
        <v>0</v>
      </c>
      <c r="M4" s="4">
        <v>22650</v>
      </c>
      <c r="N4" s="4">
        <v>20690</v>
      </c>
      <c r="O4" s="6">
        <f t="shared" ref="O4:O12" si="0">1-N4/M4</f>
        <v>8.6534216335540814E-2</v>
      </c>
      <c r="P4" s="4" t="s">
        <v>80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23172</v>
      </c>
      <c r="AB4" s="4">
        <f>IF(AC4="",AA4,AA4*AC4)</f>
        <v>23172</v>
      </c>
      <c r="AC4" s="4"/>
      <c r="AD4" s="21">
        <f t="shared" ref="AD4:AD12" si="1">ROUND(M4*AR4,0)</f>
        <v>25367</v>
      </c>
      <c r="AE4" s="6">
        <f t="shared" ref="AE4" si="2">1-AB4/AD4</f>
        <v>8.6529743367367074E-2</v>
      </c>
      <c r="AF4" s="33">
        <v>0</v>
      </c>
      <c r="AG4" s="4" t="str">
        <f>BH4</f>
        <v>-</v>
      </c>
      <c r="AH4" s="33" t="str">
        <f>IFERROR(AG4*AR4,"-")</f>
        <v>-</v>
      </c>
      <c r="AI4" s="6" t="e">
        <f t="shared" ref="AI4:AI12" si="3">1-AB4/AH4</f>
        <v>#VALUE!</v>
      </c>
      <c r="AJ4" s="7">
        <v>32000</v>
      </c>
      <c r="AK4" s="6">
        <f t="shared" ref="AK4:AK12" si="4">1-AB4/AJ4</f>
        <v>0.27587499999999998</v>
      </c>
      <c r="AL4" s="4">
        <f t="shared" ref="AL4:AL12" si="5">AJ4-AB4</f>
        <v>8828</v>
      </c>
      <c r="AM4" s="28"/>
      <c r="AN4" s="6" t="e">
        <f>1-AB4/AM4</f>
        <v>#DIV/0!</v>
      </c>
      <c r="AO4" s="4">
        <f>AM4-AB4</f>
        <v>-23172</v>
      </c>
      <c r="AP4" s="6" t="e">
        <f t="shared" ref="AP4:AP12" si="6">Z4/L4</f>
        <v>#DIV/0!</v>
      </c>
      <c r="AQ4" s="6">
        <f t="shared" ref="AQ4:AQ12" si="7">AJ4/M4</f>
        <v>1.4128035320088301</v>
      </c>
      <c r="AR4" s="6">
        <f t="shared" ref="AR4:AR12" si="8">AB4/N4</f>
        <v>1.119961333977767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80</v>
      </c>
      <c r="BD4" s="4"/>
      <c r="BE4" s="4"/>
      <c r="BF4" s="4"/>
      <c r="BG4" s="4" t="s">
        <v>80</v>
      </c>
      <c r="BH4" s="4" t="str">
        <f t="shared" ref="BH4:BH5" si="9">IF(BD4="",BG4,BD4/BE4*BG4)</f>
        <v>-</v>
      </c>
      <c r="BI4" s="19">
        <v>2</v>
      </c>
      <c r="BJ4" s="19">
        <v>8</v>
      </c>
      <c r="BK4" s="16">
        <v>3</v>
      </c>
      <c r="BL4" t="s">
        <v>80</v>
      </c>
      <c r="BM4" t="s">
        <v>80</v>
      </c>
      <c r="BN4" t="s">
        <v>80</v>
      </c>
    </row>
    <row r="5" spans="1:66" x14ac:dyDescent="0.4">
      <c r="A5" s="3">
        <v>2</v>
      </c>
      <c r="B5" s="3">
        <v>2</v>
      </c>
      <c r="C5" s="40">
        <v>415755</v>
      </c>
      <c r="D5" s="4" t="str">
        <f t="shared" ref="D5:D12" si="10">TEXT(C5,"000000")</f>
        <v>415755</v>
      </c>
      <c r="E5" s="4">
        <v>415755</v>
      </c>
      <c r="F5" s="4" t="s">
        <v>74</v>
      </c>
      <c r="G5" s="5">
        <v>4946888210055</v>
      </c>
      <c r="H5" s="5"/>
      <c r="I5" s="5"/>
      <c r="J5" s="5">
        <v>2</v>
      </c>
      <c r="K5" s="5">
        <v>2</v>
      </c>
      <c r="L5" s="4">
        <v>0</v>
      </c>
      <c r="M5" s="4">
        <v>1111</v>
      </c>
      <c r="N5" s="4">
        <v>700</v>
      </c>
      <c r="O5" s="6">
        <f t="shared" si="0"/>
        <v>0.36993699369936994</v>
      </c>
      <c r="P5" s="4" t="s">
        <v>80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2" si="11">IF(AC5="",Y5,Y5*AC5)</f>
        <v>0</v>
      </c>
      <c r="AA5" s="4">
        <v>784.00000000000011</v>
      </c>
      <c r="AB5" s="4">
        <f t="shared" ref="AB5:AB12" si="12">IF(AC5="",AA5,AA5*AC5)</f>
        <v>784.00000000000011</v>
      </c>
      <c r="AC5" s="4"/>
      <c r="AD5" s="21">
        <f t="shared" si="1"/>
        <v>1244</v>
      </c>
      <c r="AE5" s="6">
        <f t="shared" ref="AE5" si="13">1-AB5/AD5</f>
        <v>0.36977491961414777</v>
      </c>
      <c r="AF5" s="33">
        <v>334</v>
      </c>
      <c r="AG5" s="4">
        <f t="shared" ref="AG5:AG12" si="14">BH5</f>
        <v>1693</v>
      </c>
      <c r="AH5" s="33">
        <f t="shared" ref="AH5:AH12" si="15">IFERROR(AG5*AR5,"-")</f>
        <v>1896.16</v>
      </c>
      <c r="AI5" s="6">
        <f t="shared" si="3"/>
        <v>0.5865327820437094</v>
      </c>
      <c r="AJ5" s="7">
        <v>1300</v>
      </c>
      <c r="AK5" s="6">
        <f t="shared" si="4"/>
        <v>0.39692307692307682</v>
      </c>
      <c r="AL5" s="4">
        <f t="shared" si="5"/>
        <v>515.99999999999989</v>
      </c>
      <c r="AM5" s="28"/>
      <c r="AN5" s="6"/>
      <c r="AO5" s="6"/>
      <c r="AP5" s="6" t="e">
        <f t="shared" si="6"/>
        <v>#DIV/0!</v>
      </c>
      <c r="AQ5" s="6">
        <f t="shared" si="7"/>
        <v>1.1701170117011701</v>
      </c>
      <c r="AR5" s="6">
        <f t="shared" si="8"/>
        <v>1.1200000000000001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72</v>
      </c>
      <c r="BC5" s="4" t="s">
        <v>83</v>
      </c>
      <c r="BD5" s="4"/>
      <c r="BE5" s="4"/>
      <c r="BF5" s="4" t="s">
        <v>84</v>
      </c>
      <c r="BG5" s="4">
        <v>1693</v>
      </c>
      <c r="BH5" s="4">
        <f t="shared" si="9"/>
        <v>1693</v>
      </c>
      <c r="BI5" s="19">
        <v>4</v>
      </c>
      <c r="BJ5" s="19">
        <v>1</v>
      </c>
      <c r="BK5" s="16">
        <v>11</v>
      </c>
      <c r="BL5" t="s">
        <v>80</v>
      </c>
      <c r="BM5" t="s">
        <v>80</v>
      </c>
      <c r="BN5" t="s">
        <v>85</v>
      </c>
    </row>
    <row r="6" spans="1:66" x14ac:dyDescent="0.4">
      <c r="A6" s="3">
        <v>9</v>
      </c>
      <c r="B6" s="3">
        <v>2</v>
      </c>
      <c r="C6" s="40">
        <v>415755</v>
      </c>
      <c r="D6" s="4" t="str">
        <f>TEXT(C6,"000000")</f>
        <v>415755</v>
      </c>
      <c r="E6" s="4">
        <v>415757</v>
      </c>
      <c r="F6" s="4" t="s">
        <v>79</v>
      </c>
      <c r="G6" s="5">
        <v>4946888210055</v>
      </c>
      <c r="H6" s="5"/>
      <c r="I6" s="5"/>
      <c r="J6" s="5"/>
      <c r="K6" s="5"/>
      <c r="L6" s="4">
        <v>0</v>
      </c>
      <c r="M6" s="4">
        <v>10302</v>
      </c>
      <c r="N6" s="4">
        <v>7000</v>
      </c>
      <c r="O6" s="6">
        <f>1-N6/M6</f>
        <v>0.32052028732284998</v>
      </c>
      <c r="P6" s="4" t="s">
        <v>80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ref="Z6" si="16">IF(AC6="",Y6,Y6*AC6)</f>
        <v>0</v>
      </c>
      <c r="AA6" s="4">
        <v>784.00000000000011</v>
      </c>
      <c r="AB6" s="4">
        <f>IF(AC6="",AA6,AA6*AC6)</f>
        <v>7840.0000000000009</v>
      </c>
      <c r="AC6" s="4">
        <v>10</v>
      </c>
      <c r="AD6" s="21">
        <f>ROUND(M6*AR6,0)</f>
        <v>11538</v>
      </c>
      <c r="AE6" s="6">
        <f>1-AB6/AD6</f>
        <v>0.32050615357947643</v>
      </c>
      <c r="AF6" s="33">
        <v>334</v>
      </c>
      <c r="AG6" s="4">
        <f>BH6</f>
        <v>16605</v>
      </c>
      <c r="AH6" s="33">
        <f t="shared" si="15"/>
        <v>18597.600000000002</v>
      </c>
      <c r="AI6" s="6">
        <f>1-AB6/AH6</f>
        <v>0.57844022884673296</v>
      </c>
      <c r="AJ6" s="7">
        <v>12000</v>
      </c>
      <c r="AK6" s="6">
        <f>1-AB6/AJ6</f>
        <v>0.34666666666666657</v>
      </c>
      <c r="AL6" s="4">
        <f>AJ6-AB6</f>
        <v>4159.9999999999991</v>
      </c>
      <c r="AM6" s="28"/>
      <c r="AN6" s="6"/>
      <c r="AO6" s="6"/>
      <c r="AP6" s="6" t="e">
        <f>Z6/L6</f>
        <v>#DIV/0!</v>
      </c>
      <c r="AQ6" s="6">
        <f>AJ6/M6</f>
        <v>1.1648223645894</v>
      </c>
      <c r="AR6" s="6">
        <f>AB6/N6</f>
        <v>1.1200000000000001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72</v>
      </c>
      <c r="BC6" s="4" t="s">
        <v>88</v>
      </c>
      <c r="BD6" s="4"/>
      <c r="BE6" s="4"/>
      <c r="BF6" s="4" t="s">
        <v>87</v>
      </c>
      <c r="BG6" s="4">
        <v>16605</v>
      </c>
      <c r="BH6" s="4">
        <f>IF(BD6="",BG6,BD6/BE6*BG6)</f>
        <v>16605</v>
      </c>
      <c r="BI6" s="19">
        <v>4</v>
      </c>
      <c r="BJ6" s="19">
        <v>1</v>
      </c>
      <c r="BK6" s="16">
        <v>11</v>
      </c>
      <c r="BL6" t="s">
        <v>80</v>
      </c>
      <c r="BM6" t="s">
        <v>80</v>
      </c>
      <c r="BN6" t="s">
        <v>86</v>
      </c>
    </row>
    <row r="7" spans="1:66" x14ac:dyDescent="0.4">
      <c r="A7" s="3">
        <v>3</v>
      </c>
      <c r="B7" s="3">
        <v>3</v>
      </c>
      <c r="C7" s="17" t="s">
        <v>66</v>
      </c>
      <c r="D7" s="4" t="str">
        <f t="shared" si="10"/>
        <v>JW3575</v>
      </c>
      <c r="E7" s="4" t="s">
        <v>66</v>
      </c>
      <c r="F7" s="4" t="s">
        <v>81</v>
      </c>
      <c r="G7" s="5">
        <v>2001234844642</v>
      </c>
      <c r="H7" s="5"/>
      <c r="I7" s="5"/>
      <c r="J7" s="5">
        <v>1</v>
      </c>
      <c r="K7" s="5">
        <v>1</v>
      </c>
      <c r="L7" s="4">
        <v>0</v>
      </c>
      <c r="M7" s="4">
        <v>9360</v>
      </c>
      <c r="N7" s="4">
        <v>8050</v>
      </c>
      <c r="O7" s="6">
        <f t="shared" si="0"/>
        <v>0.1399572649572649</v>
      </c>
      <c r="P7" s="4" t="s">
        <v>80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1"/>
        <v>0</v>
      </c>
      <c r="AA7" s="4">
        <v>9016</v>
      </c>
      <c r="AB7" s="4">
        <f t="shared" si="12"/>
        <v>9016</v>
      </c>
      <c r="AC7" s="4"/>
      <c r="AD7" s="21">
        <f t="shared" si="1"/>
        <v>10483</v>
      </c>
      <c r="AE7" s="6">
        <f t="shared" ref="AE7:AE12" si="17">1-AB7/AD7</f>
        <v>0.13994085662501188</v>
      </c>
      <c r="AF7" s="33">
        <v>0</v>
      </c>
      <c r="AG7" s="4" t="str">
        <f t="shared" si="14"/>
        <v>-</v>
      </c>
      <c r="AH7" s="33" t="str">
        <f t="shared" si="15"/>
        <v>-</v>
      </c>
      <c r="AI7" s="6" t="e">
        <f t="shared" si="3"/>
        <v>#VALUE!</v>
      </c>
      <c r="AJ7" s="7">
        <v>12500</v>
      </c>
      <c r="AK7" s="6">
        <f t="shared" si="4"/>
        <v>0.27871999999999997</v>
      </c>
      <c r="AL7" s="4">
        <f t="shared" si="5"/>
        <v>3484</v>
      </c>
      <c r="AM7" s="28"/>
      <c r="AN7" s="6"/>
      <c r="AO7" s="6"/>
      <c r="AP7" s="6" t="e">
        <f t="shared" si="6"/>
        <v>#DIV/0!</v>
      </c>
      <c r="AQ7" s="6">
        <f t="shared" si="7"/>
        <v>1.3354700854700854</v>
      </c>
      <c r="AR7" s="6">
        <f t="shared" si="8"/>
        <v>1.1200000000000001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80</v>
      </c>
      <c r="BD7" s="4"/>
      <c r="BE7" s="4"/>
      <c r="BF7" s="4"/>
      <c r="BG7" s="4" t="s">
        <v>80</v>
      </c>
      <c r="BH7" s="4" t="str">
        <f t="shared" ref="BH7:BH12" si="18">IF(BD7="",BG7,BD7/BE7*BG7)</f>
        <v>-</v>
      </c>
      <c r="BI7" s="19">
        <v>4</v>
      </c>
      <c r="BJ7" s="19">
        <v>8</v>
      </c>
      <c r="BK7" s="16">
        <v>19</v>
      </c>
      <c r="BL7" t="s">
        <v>80</v>
      </c>
      <c r="BM7" t="s">
        <v>80</v>
      </c>
      <c r="BN7" t="s">
        <v>80</v>
      </c>
    </row>
    <row r="8" spans="1:66" x14ac:dyDescent="0.4">
      <c r="A8" s="39">
        <v>4</v>
      </c>
      <c r="B8" s="3">
        <v>4</v>
      </c>
      <c r="C8" s="17" t="s">
        <v>67</v>
      </c>
      <c r="D8" s="4" t="str">
        <f t="shared" si="10"/>
        <v>JW3576</v>
      </c>
      <c r="E8" s="4" t="s">
        <v>67</v>
      </c>
      <c r="F8" s="4" t="s">
        <v>82</v>
      </c>
      <c r="G8" s="5">
        <v>2001234844659</v>
      </c>
      <c r="H8" s="5"/>
      <c r="I8" s="5"/>
      <c r="J8" s="5">
        <v>1</v>
      </c>
      <c r="K8" s="5">
        <v>1</v>
      </c>
      <c r="L8" s="4">
        <v>0</v>
      </c>
      <c r="M8" s="4">
        <v>15510</v>
      </c>
      <c r="N8" s="4">
        <v>13950</v>
      </c>
      <c r="O8" s="6">
        <f t="shared" si="0"/>
        <v>0.10058027079303677</v>
      </c>
      <c r="P8" s="4" t="s">
        <v>80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1"/>
        <v>0</v>
      </c>
      <c r="AA8" s="4">
        <v>15624.000000000002</v>
      </c>
      <c r="AB8" s="4">
        <f t="shared" si="12"/>
        <v>15624.000000000002</v>
      </c>
      <c r="AC8" s="4"/>
      <c r="AD8" s="21">
        <f t="shared" si="1"/>
        <v>17371</v>
      </c>
      <c r="AE8" s="6">
        <f t="shared" si="17"/>
        <v>0.10056991537620164</v>
      </c>
      <c r="AF8" s="33">
        <v>0</v>
      </c>
      <c r="AG8" s="4" t="str">
        <f t="shared" si="14"/>
        <v>-</v>
      </c>
      <c r="AH8" s="33" t="str">
        <f t="shared" si="15"/>
        <v>-</v>
      </c>
      <c r="AI8" s="6" t="e">
        <f t="shared" si="3"/>
        <v>#VALUE!</v>
      </c>
      <c r="AJ8" s="7">
        <v>21600</v>
      </c>
      <c r="AK8" s="6">
        <f t="shared" si="4"/>
        <v>0.27666666666666662</v>
      </c>
      <c r="AL8" s="4">
        <f t="shared" si="5"/>
        <v>5975.9999999999982</v>
      </c>
      <c r="AM8" s="28"/>
      <c r="AN8" s="6"/>
      <c r="AO8" s="6"/>
      <c r="AP8" s="6" t="e">
        <f t="shared" si="6"/>
        <v>#DIV/0!</v>
      </c>
      <c r="AQ8" s="6">
        <f t="shared" si="7"/>
        <v>1.3926499032882012</v>
      </c>
      <c r="AR8" s="6">
        <f t="shared" si="8"/>
        <v>1.1200000000000001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80</v>
      </c>
      <c r="BD8" s="4"/>
      <c r="BE8" s="4"/>
      <c r="BF8" s="4"/>
      <c r="BG8" s="4" t="s">
        <v>80</v>
      </c>
      <c r="BH8" s="4" t="str">
        <f t="shared" si="18"/>
        <v>-</v>
      </c>
      <c r="BI8" s="19">
        <v>2</v>
      </c>
      <c r="BJ8" s="19">
        <v>8</v>
      </c>
      <c r="BK8" s="16">
        <v>19</v>
      </c>
      <c r="BL8" t="s">
        <v>80</v>
      </c>
      <c r="BM8" t="s">
        <v>80</v>
      </c>
      <c r="BN8" t="s">
        <v>80</v>
      </c>
    </row>
    <row r="9" spans="1:66" x14ac:dyDescent="0.4">
      <c r="A9" s="3">
        <v>5</v>
      </c>
      <c r="B9" s="3">
        <v>5</v>
      </c>
      <c r="C9" s="17" t="s">
        <v>68</v>
      </c>
      <c r="D9" s="4" t="str">
        <f t="shared" si="10"/>
        <v>JW3577</v>
      </c>
      <c r="E9" s="4" t="s">
        <v>68</v>
      </c>
      <c r="F9" s="4" t="s">
        <v>75</v>
      </c>
      <c r="G9" s="5">
        <v>2001234844666</v>
      </c>
      <c r="H9" s="5"/>
      <c r="I9" s="5"/>
      <c r="J9" s="5">
        <v>1</v>
      </c>
      <c r="K9" s="5">
        <v>1</v>
      </c>
      <c r="L9" s="4">
        <v>0</v>
      </c>
      <c r="M9" s="4">
        <v>9550</v>
      </c>
      <c r="N9" s="4">
        <v>7750</v>
      </c>
      <c r="O9" s="6">
        <f t="shared" si="0"/>
        <v>0.18848167539267013</v>
      </c>
      <c r="P9" s="4" t="s">
        <v>80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1"/>
        <v>0</v>
      </c>
      <c r="AA9" s="4">
        <v>8680</v>
      </c>
      <c r="AB9" s="4">
        <f t="shared" si="12"/>
        <v>8680</v>
      </c>
      <c r="AC9" s="4"/>
      <c r="AD9" s="21">
        <f t="shared" si="1"/>
        <v>10696</v>
      </c>
      <c r="AE9" s="6">
        <f t="shared" si="17"/>
        <v>0.18848167539267013</v>
      </c>
      <c r="AF9" s="33">
        <v>0</v>
      </c>
      <c r="AG9" s="4" t="str">
        <f t="shared" si="14"/>
        <v>-</v>
      </c>
      <c r="AH9" s="33" t="str">
        <f t="shared" si="15"/>
        <v>-</v>
      </c>
      <c r="AI9" s="6" t="e">
        <f t="shared" si="3"/>
        <v>#VALUE!</v>
      </c>
      <c r="AJ9" s="7">
        <v>12000</v>
      </c>
      <c r="AK9" s="6">
        <f t="shared" si="4"/>
        <v>0.27666666666666662</v>
      </c>
      <c r="AL9" s="4">
        <f t="shared" si="5"/>
        <v>3320</v>
      </c>
      <c r="AM9" s="28"/>
      <c r="AN9" s="6"/>
      <c r="AO9" s="6"/>
      <c r="AP9" s="6" t="e">
        <f t="shared" si="6"/>
        <v>#DIV/0!</v>
      </c>
      <c r="AQ9" s="6">
        <f t="shared" si="7"/>
        <v>1.256544502617801</v>
      </c>
      <c r="AR9" s="6">
        <f t="shared" si="8"/>
        <v>1.1200000000000001</v>
      </c>
      <c r="AS9" s="4"/>
      <c r="AT9" s="4"/>
      <c r="AU9" s="4"/>
      <c r="AV9" s="4"/>
      <c r="AW9" s="4"/>
      <c r="AX9" s="4"/>
      <c r="AY9" s="4"/>
      <c r="AZ9" s="4"/>
      <c r="BA9" s="4"/>
      <c r="BB9" s="4">
        <v>0</v>
      </c>
      <c r="BC9" s="4" t="s">
        <v>80</v>
      </c>
      <c r="BD9" s="4"/>
      <c r="BE9" s="4"/>
      <c r="BF9" s="4"/>
      <c r="BG9" s="4" t="s">
        <v>80</v>
      </c>
      <c r="BH9" s="4" t="str">
        <f t="shared" si="18"/>
        <v>-</v>
      </c>
      <c r="BI9" s="19">
        <v>4</v>
      </c>
      <c r="BJ9" s="19">
        <v>8</v>
      </c>
      <c r="BK9" s="16">
        <v>19</v>
      </c>
      <c r="BL9" t="s">
        <v>80</v>
      </c>
      <c r="BM9" t="s">
        <v>80</v>
      </c>
      <c r="BN9" t="s">
        <v>80</v>
      </c>
    </row>
    <row r="10" spans="1:66" x14ac:dyDescent="0.4">
      <c r="A10" s="3">
        <v>6</v>
      </c>
      <c r="B10" s="3">
        <v>6</v>
      </c>
      <c r="C10" s="17" t="s">
        <v>69</v>
      </c>
      <c r="D10" s="4" t="str">
        <f t="shared" si="10"/>
        <v>JW3578</v>
      </c>
      <c r="E10" s="4" t="s">
        <v>69</v>
      </c>
      <c r="F10" s="4" t="s">
        <v>76</v>
      </c>
      <c r="G10" s="5">
        <v>2001234844673</v>
      </c>
      <c r="H10" s="5"/>
      <c r="I10" s="5"/>
      <c r="J10" s="5">
        <v>1</v>
      </c>
      <c r="K10" s="5">
        <v>1</v>
      </c>
      <c r="L10" s="4">
        <v>0</v>
      </c>
      <c r="M10" s="4">
        <v>11130</v>
      </c>
      <c r="N10" s="4">
        <v>9050</v>
      </c>
      <c r="O10" s="6">
        <f t="shared" si="0"/>
        <v>0.1868823000898473</v>
      </c>
      <c r="P10" s="4" t="s">
        <v>80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1"/>
        <v>0</v>
      </c>
      <c r="AA10" s="4">
        <v>10136.000000000002</v>
      </c>
      <c r="AB10" s="4">
        <f t="shared" si="12"/>
        <v>10136.000000000002</v>
      </c>
      <c r="AC10" s="4"/>
      <c r="AD10" s="21">
        <f t="shared" si="1"/>
        <v>12466</v>
      </c>
      <c r="AE10" s="6">
        <f t="shared" si="17"/>
        <v>0.18690839082303856</v>
      </c>
      <c r="AF10" s="33">
        <v>0</v>
      </c>
      <c r="AG10" s="4" t="str">
        <f t="shared" si="14"/>
        <v>-</v>
      </c>
      <c r="AH10" s="33" t="str">
        <f t="shared" si="15"/>
        <v>-</v>
      </c>
      <c r="AI10" s="6" t="e">
        <f t="shared" si="3"/>
        <v>#VALUE!</v>
      </c>
      <c r="AJ10" s="7">
        <v>14000</v>
      </c>
      <c r="AK10" s="6">
        <f t="shared" si="4"/>
        <v>0.27599999999999991</v>
      </c>
      <c r="AL10" s="4">
        <f t="shared" si="5"/>
        <v>3863.9999999999982</v>
      </c>
      <c r="AM10" s="28"/>
      <c r="AN10" s="6"/>
      <c r="AO10" s="6"/>
      <c r="AP10" s="6" t="e">
        <f t="shared" si="6"/>
        <v>#DIV/0!</v>
      </c>
      <c r="AQ10" s="6">
        <f t="shared" si="7"/>
        <v>1.2578616352201257</v>
      </c>
      <c r="AR10" s="6">
        <f t="shared" si="8"/>
        <v>1.1200000000000001</v>
      </c>
      <c r="AS10" s="4"/>
      <c r="AT10" s="4"/>
      <c r="AU10" s="4"/>
      <c r="AV10" s="4"/>
      <c r="AW10" s="4"/>
      <c r="AX10" s="4"/>
      <c r="AY10" s="4"/>
      <c r="AZ10" s="4"/>
      <c r="BA10" s="4"/>
      <c r="BB10" s="4">
        <v>0</v>
      </c>
      <c r="BC10" s="4" t="s">
        <v>80</v>
      </c>
      <c r="BD10" s="4"/>
      <c r="BE10" s="4"/>
      <c r="BF10" s="4"/>
      <c r="BG10" s="4" t="s">
        <v>80</v>
      </c>
      <c r="BH10" s="4" t="str">
        <f t="shared" si="18"/>
        <v>-</v>
      </c>
      <c r="BI10" s="19">
        <v>4</v>
      </c>
      <c r="BJ10" s="19">
        <v>8</v>
      </c>
      <c r="BK10" s="16">
        <v>19</v>
      </c>
      <c r="BL10" t="s">
        <v>80</v>
      </c>
      <c r="BM10" t="s">
        <v>80</v>
      </c>
      <c r="BN10" t="s">
        <v>80</v>
      </c>
    </row>
    <row r="11" spans="1:66" x14ac:dyDescent="0.4">
      <c r="A11" s="3">
        <v>7</v>
      </c>
      <c r="B11" s="3">
        <v>7</v>
      </c>
      <c r="C11" s="4" t="s">
        <v>70</v>
      </c>
      <c r="D11" s="4" t="str">
        <f t="shared" si="10"/>
        <v>JW3579</v>
      </c>
      <c r="E11" s="4" t="s">
        <v>70</v>
      </c>
      <c r="F11" s="4" t="s">
        <v>77</v>
      </c>
      <c r="G11" s="5">
        <v>2001234844680</v>
      </c>
      <c r="H11" s="5"/>
      <c r="I11" s="5"/>
      <c r="J11" s="5">
        <v>1</v>
      </c>
      <c r="K11" s="5">
        <v>1</v>
      </c>
      <c r="L11" s="4">
        <v>0</v>
      </c>
      <c r="M11" s="4">
        <v>17348</v>
      </c>
      <c r="N11" s="4">
        <v>14550</v>
      </c>
      <c r="O11" s="6">
        <f t="shared" si="0"/>
        <v>0.16128660364307124</v>
      </c>
      <c r="P11" s="4" t="s">
        <v>80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1"/>
        <v>0</v>
      </c>
      <c r="AA11" s="4">
        <v>16296.000000000002</v>
      </c>
      <c r="AB11" s="4">
        <f t="shared" si="12"/>
        <v>16296.000000000002</v>
      </c>
      <c r="AC11" s="4"/>
      <c r="AD11" s="21">
        <f t="shared" si="1"/>
        <v>19430</v>
      </c>
      <c r="AE11" s="6">
        <f t="shared" si="17"/>
        <v>0.16129696345856914</v>
      </c>
      <c r="AF11" s="33">
        <v>0</v>
      </c>
      <c r="AG11" s="4" t="str">
        <f t="shared" si="14"/>
        <v>-</v>
      </c>
      <c r="AH11" s="33" t="str">
        <f t="shared" si="15"/>
        <v>-</v>
      </c>
      <c r="AI11" s="6" t="e">
        <f t="shared" si="3"/>
        <v>#VALUE!</v>
      </c>
      <c r="AJ11" s="7">
        <v>22500</v>
      </c>
      <c r="AK11" s="6">
        <f t="shared" si="4"/>
        <v>0.27573333333333327</v>
      </c>
      <c r="AL11" s="4">
        <f t="shared" si="5"/>
        <v>6203.9999999999982</v>
      </c>
      <c r="AM11" s="28"/>
      <c r="AN11" s="6"/>
      <c r="AO11" s="6"/>
      <c r="AP11" s="6" t="e">
        <f t="shared" si="6"/>
        <v>#DIV/0!</v>
      </c>
      <c r="AQ11" s="6">
        <f t="shared" si="7"/>
        <v>1.2969794789024671</v>
      </c>
      <c r="AR11" s="6">
        <f t="shared" si="8"/>
        <v>1.1200000000000001</v>
      </c>
      <c r="AS11" s="4"/>
      <c r="AT11" s="4"/>
      <c r="AU11" s="4"/>
      <c r="AV11" s="4"/>
      <c r="AW11" s="4"/>
      <c r="AX11" s="4"/>
      <c r="AY11" s="4"/>
      <c r="AZ11" s="4"/>
      <c r="BA11" s="4"/>
      <c r="BB11" s="4">
        <v>0</v>
      </c>
      <c r="BC11" s="4" t="s">
        <v>80</v>
      </c>
      <c r="BD11" s="4"/>
      <c r="BE11" s="4"/>
      <c r="BF11" s="4"/>
      <c r="BG11" s="4" t="s">
        <v>80</v>
      </c>
      <c r="BH11" s="4" t="str">
        <f t="shared" si="18"/>
        <v>-</v>
      </c>
      <c r="BI11" s="19">
        <v>4</v>
      </c>
      <c r="BJ11" s="19">
        <v>8</v>
      </c>
      <c r="BK11" s="16">
        <v>19</v>
      </c>
      <c r="BL11" t="s">
        <v>80</v>
      </c>
      <c r="BM11" t="s">
        <v>80</v>
      </c>
      <c r="BN11" t="s">
        <v>80</v>
      </c>
    </row>
    <row r="12" spans="1:66" x14ac:dyDescent="0.4">
      <c r="A12" s="3">
        <v>8</v>
      </c>
      <c r="B12" s="3">
        <v>8</v>
      </c>
      <c r="C12" s="4" t="s">
        <v>71</v>
      </c>
      <c r="D12" s="4" t="str">
        <f t="shared" si="10"/>
        <v>JW3930</v>
      </c>
      <c r="E12" s="4" t="s">
        <v>71</v>
      </c>
      <c r="F12" s="4" t="s">
        <v>78</v>
      </c>
      <c r="G12" s="5">
        <v>2001234844758</v>
      </c>
      <c r="H12" s="5"/>
      <c r="I12" s="5"/>
      <c r="J12" s="5">
        <v>1</v>
      </c>
      <c r="K12" s="5">
        <v>1</v>
      </c>
      <c r="L12" s="4">
        <v>0</v>
      </c>
      <c r="M12" s="4">
        <v>8546</v>
      </c>
      <c r="N12" s="4">
        <v>7350</v>
      </c>
      <c r="O12" s="6">
        <f t="shared" si="0"/>
        <v>0.13994851392464314</v>
      </c>
      <c r="P12" s="4" t="s">
        <v>80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11"/>
        <v>0</v>
      </c>
      <c r="AA12" s="4">
        <v>8232</v>
      </c>
      <c r="AB12" s="4">
        <f t="shared" si="12"/>
        <v>8232</v>
      </c>
      <c r="AC12" s="4"/>
      <c r="AD12" s="21">
        <f t="shared" si="1"/>
        <v>9572</v>
      </c>
      <c r="AE12" s="6">
        <f t="shared" si="17"/>
        <v>0.13999164229001249</v>
      </c>
      <c r="AF12" s="33">
        <v>0</v>
      </c>
      <c r="AG12" s="4" t="str">
        <f t="shared" si="14"/>
        <v>-</v>
      </c>
      <c r="AH12" s="33" t="str">
        <f t="shared" si="15"/>
        <v>-</v>
      </c>
      <c r="AI12" s="6" t="e">
        <f t="shared" si="3"/>
        <v>#VALUE!</v>
      </c>
      <c r="AJ12" s="7">
        <v>11400</v>
      </c>
      <c r="AK12" s="6">
        <f t="shared" si="4"/>
        <v>0.27789473684210531</v>
      </c>
      <c r="AL12" s="4">
        <f t="shared" si="5"/>
        <v>3168</v>
      </c>
      <c r="AM12" s="28"/>
      <c r="AN12" s="6"/>
      <c r="AO12" s="6"/>
      <c r="AP12" s="6" t="e">
        <f t="shared" si="6"/>
        <v>#DIV/0!</v>
      </c>
      <c r="AQ12" s="6">
        <f t="shared" si="7"/>
        <v>1.333957406974023</v>
      </c>
      <c r="AR12" s="6">
        <f t="shared" si="8"/>
        <v>1.1200000000000001</v>
      </c>
      <c r="AS12" s="4"/>
      <c r="AT12" s="4"/>
      <c r="AU12" s="4"/>
      <c r="AV12" s="4"/>
      <c r="AW12" s="4"/>
      <c r="AX12" s="4"/>
      <c r="AY12" s="4"/>
      <c r="AZ12" s="4"/>
      <c r="BA12" s="4"/>
      <c r="BB12" s="4">
        <v>0</v>
      </c>
      <c r="BC12" s="4" t="s">
        <v>80</v>
      </c>
      <c r="BD12" s="4"/>
      <c r="BE12" s="4"/>
      <c r="BF12" s="4"/>
      <c r="BG12" s="4" t="s">
        <v>80</v>
      </c>
      <c r="BH12" s="4" t="str">
        <f t="shared" si="18"/>
        <v>-</v>
      </c>
      <c r="BI12" s="19">
        <v>4</v>
      </c>
      <c r="BJ12" s="19">
        <v>8</v>
      </c>
      <c r="BK12" s="16">
        <v>19</v>
      </c>
      <c r="BL12" t="s">
        <v>80</v>
      </c>
      <c r="BM12" t="s">
        <v>80</v>
      </c>
      <c r="BN12" t="s">
        <v>80</v>
      </c>
    </row>
  </sheetData>
  <autoFilter ref="A3:BN12" xr:uid="{7A1660CF-9003-4B2D-B659-7F339ED5B476}"/>
  <mergeCells count="3">
    <mergeCell ref="L2:O2"/>
    <mergeCell ref="J2:K2"/>
    <mergeCell ref="Y1:AB1"/>
  </mergeCells>
  <phoneticPr fontId="2"/>
  <conditionalFormatting sqref="AJ4:AJ12">
    <cfRule type="cellIs" dxfId="2" priority="4" operator="greaterThan">
      <formula>$Z4</formula>
    </cfRule>
  </conditionalFormatting>
  <conditionalFormatting sqref="AH4:AH12">
    <cfRule type="cellIs" dxfId="1" priority="2" operator="lessThan">
      <formula>$AJ4</formula>
    </cfRule>
  </conditionalFormatting>
  <conditionalFormatting sqref="AK4:AK12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2026-06-04T01:34:07Z</dcterms:modified>
</cp:coreProperties>
</file>