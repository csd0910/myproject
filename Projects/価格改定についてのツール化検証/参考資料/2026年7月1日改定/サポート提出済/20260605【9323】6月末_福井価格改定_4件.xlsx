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ﾌ_福井_9323\価格改定\20260605_6月末\"/>
    </mc:Choice>
  </mc:AlternateContent>
  <xr:revisionPtr revIDLastSave="0" documentId="13_ncr:1_{9BD11B60-9C39-4726-BF47-6B50ACA634C5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M5" i="1" l="1"/>
  <c r="BO5" i="1"/>
  <c r="AQ4" i="1"/>
  <c r="O5" i="1"/>
  <c r="AQ5" i="1"/>
  <c r="AU4" i="1"/>
  <c r="AT4" i="1"/>
  <c r="AS4" i="1" l="1"/>
  <c r="O4" i="1"/>
  <c r="BH5" i="1" l="1"/>
  <c r="AG5" i="1" s="1"/>
  <c r="BH4" i="1"/>
  <c r="AG4" i="1" s="1"/>
  <c r="AB5" i="1"/>
  <c r="AR5" i="1" s="1"/>
  <c r="AD5" i="1" s="1"/>
  <c r="AE5" i="1" s="1"/>
  <c r="Z5" i="1"/>
  <c r="AP5" i="1" s="1"/>
  <c r="D5" i="1"/>
  <c r="D4" i="1"/>
  <c r="AB4" i="1"/>
  <c r="AR4" i="1" s="1"/>
  <c r="Z4" i="1"/>
  <c r="AP4" i="1" s="1"/>
  <c r="AH4" i="1" l="1"/>
  <c r="AI4" i="1" s="1"/>
  <c r="BO4" i="1"/>
  <c r="BM4" i="1"/>
  <c r="AH5" i="1"/>
  <c r="AI5" i="1" s="1"/>
  <c r="AK5" i="1"/>
  <c r="AK4" i="1"/>
  <c r="AL5" i="1"/>
  <c r="AN4" i="1"/>
  <c r="AO4" i="1"/>
  <c r="AL4" i="1"/>
  <c r="AD4" i="1"/>
  <c r="AE4" i="1" s="1"/>
</calcChain>
</file>

<file path=xl/sharedStrings.xml><?xml version="1.0" encoding="utf-8"?>
<sst xmlns="http://schemas.openxmlformats.org/spreadsheetml/2006/main" count="95" uniqueCount="78">
  <si>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</si>
  <si>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</si>
  <si>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</si>
  <si>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</si>
  <si>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</si>
  <si>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</si>
  <si>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</si>
  <si>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</si>
  <si>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</si>
  <si>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</si>
  <si>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</si>
  <si>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</si>
  <si>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</si>
  <si>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</si>
  <si>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</si>
  <si>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</si>
  <si>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</si>
  <si>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</si>
  <si>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</si>
  <si>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</si>
  <si>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</si>
  <si>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</si>
  <si>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</si>
  <si>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</si>
  <si>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</si>
  <si>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</si>
  <si>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</si>
  <si>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</si>
  <si>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</si>
  <si>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</si>
  <si>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</si>
  <si>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</si>
  <si>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</si>
  <si>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</si>
  <si>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</si>
  <si>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</si>
  <si>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</si>
  <si>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</si>
  <si>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</si>
  <si>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</si>
  <si>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</si>
  <si>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</si>
  <si>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</si>
  <si>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</si>
  <si>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</si>
  <si>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</si>
  <si>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</si>
  <si>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</si>
  <si>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</si>
  <si>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</si>
  <si>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</si>
  <si>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</si>
  <si>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</si>
  <si>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</si>
  <si>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</si>
  <si>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</si>
  <si>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</si>
  <si>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</si>
  <si>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</si>
  <si>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</si>
  <si>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</si>
  <si>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</si>
  <si>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</si>
  <si>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</si>
  <si>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</si>
  <si>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</si>
  <si>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J779TD</t>
  </si>
  <si>
    <t>J780TD</t>
  </si>
  <si>
    <t>川住製作所/ﾌﾞﾚｽﾚｯﾄｷｰﾎﾙﾀﾞｰ ﾌﾞﾙｰ</t>
  </si>
  <si>
    <t>川住製作所/ﾌﾞﾚｽﾚｯﾄｷｰﾎﾙﾀﾞｰ ｲｴﾛｰ</t>
  </si>
  <si>
    <t>-</t>
    <phoneticPr fontId="2"/>
  </si>
  <si>
    <t>HN93118</t>
  </si>
  <si>
    <t>川住製作所 川住 KW-84 ブレスレットキーホルダー ブルー 4986012101125 1個</t>
  </si>
  <si>
    <t>1個</t>
  </si>
  <si>
    <t>川住製作所 川住 KW-84 ブレスレットキーホルダー イエロー 4986012101156 1個</t>
  </si>
  <si>
    <t>HN93120</t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</si>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</sst>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5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8" t="s">
        <v>43</v>
      </c>
      <c r="Y1" s="42" t="s">
        <v>40</v>
      </c>
      <c r="Z1" s="43"/>
      <c r="AA1" s="43"/>
      <c r="AB1" s="44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39" t="s">
        <v>31</v>
      </c>
      <c r="K2" s="41"/>
      <c r="L2" s="39" t="s">
        <v>1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30"/>
      <c r="AG2" s="11"/>
      <c r="AH2" s="30"/>
      <c r="AI2" s="11"/>
      <c r="AJ2" s="21" t="s">
        <v>41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19" t="s">
        <v>14</v>
      </c>
      <c r="AE3" s="2" t="s">
        <v>13</v>
      </c>
      <c r="AF3" s="31" t="s">
        <v>44</v>
      </c>
      <c r="AG3" s="12" t="s">
        <v>65</v>
      </c>
      <c r="AH3" s="36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5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7" t="s">
        <v>45</v>
      </c>
      <c r="BJ3" s="17" t="s">
        <v>46</v>
      </c>
      <c r="BK3" s="15" t="s">
        <v>52</v>
      </c>
      <c r="BL3" s="37" t="s">
        <v>76</v>
      </c>
      <c r="BM3" s="38" t="s">
        <v>58</v>
      </c>
      <c r="BN3" s="38" t="s">
        <v>77</v>
      </c>
      <c r="BO3" s="38" t="s">
        <v>59</v>
      </c>
      <c r="BP3" s="33" t="s">
        <v>50</v>
      </c>
    </row>
    <row r="4" spans="1:68" x14ac:dyDescent="0.4">
      <c r="A4" s="3">
        <v>1</v>
      </c>
      <c r="B4" s="3">
        <v>1</v>
      </c>
      <c r="C4" s="4" t="s">
        <v>66</v>
      </c>
      <c r="D4" s="4" t="str">
        <f>TEXT(C4,"000000")</f>
        <v>J779TD</v>
      </c>
      <c r="E4" s="4" t="s">
        <v>66</v>
      </c>
      <c r="F4" s="4" t="s">
        <v>68</v>
      </c>
      <c r="G4" s="5">
        <v>4986012101125</v>
      </c>
      <c r="H4" s="5"/>
      <c r="I4" s="5"/>
      <c r="J4" s="5">
        <v>1</v>
      </c>
      <c r="K4" s="5">
        <v>1</v>
      </c>
      <c r="L4" s="4">
        <v>0</v>
      </c>
      <c r="M4" s="4">
        <v>305</v>
      </c>
      <c r="N4" s="4">
        <v>230</v>
      </c>
      <c r="O4" s="6">
        <f>IFERROR(1-N4/M4,"-")</f>
        <v>0.24590163934426235</v>
      </c>
      <c r="P4" s="4" t="s">
        <v>70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340</v>
      </c>
      <c r="AB4" s="4">
        <f>IF(AC4="",AA4,AA4*AC4)</f>
        <v>340</v>
      </c>
      <c r="AC4" s="4"/>
      <c r="AD4" s="20">
        <f t="shared" ref="AD4:AD5" si="0">ROUND(M4*AR4,0)</f>
        <v>451</v>
      </c>
      <c r="AE4" s="6">
        <f>IFERROR(1-AB4/AD4,"-")</f>
        <v>0.24611973392461195</v>
      </c>
      <c r="AF4" s="32">
        <v>0</v>
      </c>
      <c r="AG4" s="4">
        <f>BH4</f>
        <v>325</v>
      </c>
      <c r="AH4" s="32">
        <f>IFERROR(AG4*AR4,"-")</f>
        <v>480.43478260869563</v>
      </c>
      <c r="AI4" s="6">
        <f>IFERROR(1-AB4/AH4,"-")</f>
        <v>0.29230769230769227</v>
      </c>
      <c r="AJ4" s="7">
        <v>480</v>
      </c>
      <c r="AK4" s="6">
        <f t="shared" ref="AK4:AK5" si="1">1-AB4/AJ4</f>
        <v>0.29166666666666663</v>
      </c>
      <c r="AL4" s="4">
        <f t="shared" ref="AL4:AL5" si="2">AJ4-AB4</f>
        <v>140</v>
      </c>
      <c r="AM4" s="27"/>
      <c r="AN4" s="6" t="e">
        <f>1-AB4/AM4</f>
        <v>#DIV/0!</v>
      </c>
      <c r="AO4" s="4">
        <f>AM4-AB4</f>
        <v>-340</v>
      </c>
      <c r="AP4" s="6" t="str">
        <f>IFERROR(Z4/L4,"-")</f>
        <v>-</v>
      </c>
      <c r="AQ4" s="6">
        <f>IFERROR(AJ4/M4,"-")</f>
        <v>1.5737704918032787</v>
      </c>
      <c r="AR4" s="6">
        <f>IFERROR(AB4/N4,"-")</f>
        <v>1.4782608695652173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71</v>
      </c>
      <c r="BD4" s="4"/>
      <c r="BE4" s="4"/>
      <c r="BF4" s="4" t="s">
        <v>73</v>
      </c>
      <c r="BG4" s="4">
        <v>325</v>
      </c>
      <c r="BH4" s="4">
        <f t="shared" ref="BH4:BH5" si="3">IF(BD4="",BG4,BD4/BE4*BG4)</f>
        <v>325</v>
      </c>
      <c r="BI4" s="18">
        <v>4</v>
      </c>
      <c r="BJ4" s="18">
        <v>8</v>
      </c>
      <c r="BK4" s="16">
        <v>6</v>
      </c>
      <c r="BL4" t="s">
        <v>70</v>
      </c>
      <c r="BM4" t="str">
        <f>IFERROR(BL4*AR4,"-")</f>
        <v>-</v>
      </c>
      <c r="BN4">
        <v>327</v>
      </c>
      <c r="BO4">
        <f>IFERROR(BN4*AR4,"-")</f>
        <v>483.39130434782606</v>
      </c>
      <c r="BP4" t="s">
        <v>72</v>
      </c>
    </row>
    <row r="5" spans="1:68" x14ac:dyDescent="0.4">
      <c r="A5" s="3">
        <v>2</v>
      </c>
      <c r="B5" s="3">
        <v>2</v>
      </c>
      <c r="C5" s="4" t="s">
        <v>67</v>
      </c>
      <c r="D5" s="4" t="str">
        <f t="shared" ref="D5" si="4">TEXT(C5,"000000")</f>
        <v>J780TD</v>
      </c>
      <c r="E5" s="4" t="s">
        <v>67</v>
      </c>
      <c r="F5" s="4" t="s">
        <v>69</v>
      </c>
      <c r="G5" s="5">
        <v>4986012101156</v>
      </c>
      <c r="H5" s="5"/>
      <c r="I5" s="5"/>
      <c r="J5" s="5">
        <v>1</v>
      </c>
      <c r="K5" s="5">
        <v>1</v>
      </c>
      <c r="L5" s="4">
        <v>0</v>
      </c>
      <c r="M5" s="4">
        <v>333</v>
      </c>
      <c r="N5" s="4">
        <v>230</v>
      </c>
      <c r="O5" s="6">
        <f t="shared" ref="O5" si="5">IFERROR(1-N5/M5,"-")</f>
        <v>0.30930930930930933</v>
      </c>
      <c r="P5" s="4" t="s">
        <v>70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" si="6">IF(AC5="",Y5,Y5*AC5)</f>
        <v>0</v>
      </c>
      <c r="AA5" s="4">
        <v>340</v>
      </c>
      <c r="AB5" s="4">
        <f t="shared" ref="AB5" si="7">IF(AC5="",AA5,AA5*AC5)</f>
        <v>340</v>
      </c>
      <c r="AC5" s="4"/>
      <c r="AD5" s="20">
        <f t="shared" si="0"/>
        <v>492</v>
      </c>
      <c r="AE5" s="6">
        <f t="shared" ref="AE5" si="8">IFERROR(1-AB5/AD5,"-")</f>
        <v>0.30894308943089432</v>
      </c>
      <c r="AF5" s="32">
        <v>0</v>
      </c>
      <c r="AG5" s="4">
        <f t="shared" ref="AG5" si="9">BH5</f>
        <v>351</v>
      </c>
      <c r="AH5" s="32">
        <f t="shared" ref="AH5" si="10">IFERROR(AG5*AR5,"-")</f>
        <v>518.86956521739125</v>
      </c>
      <c r="AI5" s="6">
        <f t="shared" ref="AI5" si="11">IFERROR(1-AB5/AH5,"-")</f>
        <v>0.34472934472934469</v>
      </c>
      <c r="AJ5" s="7">
        <v>480</v>
      </c>
      <c r="AK5" s="6">
        <f t="shared" si="1"/>
        <v>0.29166666666666663</v>
      </c>
      <c r="AL5" s="4">
        <f t="shared" si="2"/>
        <v>140</v>
      </c>
      <c r="AM5" s="27"/>
      <c r="AN5" s="6"/>
      <c r="AO5" s="6"/>
      <c r="AP5" s="6" t="str">
        <f t="shared" ref="AP5" si="12">IFERROR(Z5/L5,"-")</f>
        <v>-</v>
      </c>
      <c r="AQ5" s="6">
        <f t="shared" ref="AQ5" si="13">IFERROR(AJ5/M5,"-")</f>
        <v>1.4414414414414414</v>
      </c>
      <c r="AR5" s="6">
        <f t="shared" ref="AR5" si="14">IFERROR(AB5/N5,"-")</f>
        <v>1.4782608695652173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75</v>
      </c>
      <c r="BD5" s="4"/>
      <c r="BE5" s="4"/>
      <c r="BF5" s="4" t="s">
        <v>73</v>
      </c>
      <c r="BG5" s="4">
        <v>351</v>
      </c>
      <c r="BH5" s="4">
        <f t="shared" si="3"/>
        <v>351</v>
      </c>
      <c r="BI5" s="18">
        <v>4</v>
      </c>
      <c r="BJ5" s="18">
        <v>8</v>
      </c>
      <c r="BK5" s="16">
        <v>6</v>
      </c>
      <c r="BL5" t="s">
        <v>70</v>
      </c>
      <c r="BM5" t="str">
        <f>IFERROR(BL5*AR5,"-")</f>
        <v>-</v>
      </c>
      <c r="BN5">
        <v>327</v>
      </c>
      <c r="BO5">
        <f>IFERROR(BN5*AR5,"-")</f>
        <v>483.39130434782606</v>
      </c>
      <c r="BP5" t="s">
        <v>74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J4:AJ5">
    <cfRule type="cellIs" dxfId="2" priority="4" operator="greaterThan">
      <formula>$Z4</formula>
    </cfRule>
  </conditionalFormatting>
  <conditionalFormatting sqref="AH4:AH5">
    <cfRule type="cellIs" dxfId="1" priority="2" operator="lessThan">
      <formula>$AJ4</formula>
    </cfRule>
  </conditionalFormatting>
  <conditionalFormatting sqref="AK4:AK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2026-06-05T09:20:43Z</dcterms:modified>
</cp:coreProperties>
</file>