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ﾕ_友和_663\価格改定\20260604_6月末\"/>
    </mc:Choice>
  </mc:AlternateContent>
  <xr:revisionPtr revIDLastSave="0" documentId="13_ncr:1_{B96F5BA1-70E8-43F6-8523-6069CC382410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Sheet1!$A$3:$BP$54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5" i="1" l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4" i="1"/>
  <c r="AQ5" i="1" l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4" i="1"/>
  <c r="O29" i="1" l="1"/>
  <c r="O31" i="1"/>
  <c r="O33" i="1"/>
  <c r="O34" i="1"/>
  <c r="O35" i="1"/>
  <c r="O38" i="1"/>
  <c r="O39" i="1"/>
  <c r="O40" i="1"/>
  <c r="O41" i="1"/>
  <c r="O42" i="1"/>
  <c r="O43" i="1"/>
  <c r="O46" i="1"/>
  <c r="O47" i="1"/>
  <c r="O48" i="1"/>
  <c r="O50" i="1"/>
  <c r="O52" i="1"/>
  <c r="O53" i="1"/>
  <c r="O54" i="1"/>
  <c r="BH54" i="1"/>
  <c r="AG54" i="1" s="1"/>
  <c r="AB54" i="1"/>
  <c r="Z54" i="1"/>
  <c r="D54" i="1"/>
  <c r="BH53" i="1"/>
  <c r="AG53" i="1" s="1"/>
  <c r="AB53" i="1"/>
  <c r="Z53" i="1"/>
  <c r="D53" i="1"/>
  <c r="BH52" i="1"/>
  <c r="AG52" i="1" s="1"/>
  <c r="AB52" i="1"/>
  <c r="Z52" i="1"/>
  <c r="D52" i="1"/>
  <c r="BH51" i="1"/>
  <c r="AG51" i="1" s="1"/>
  <c r="AB51" i="1"/>
  <c r="Z51" i="1"/>
  <c r="O51" i="1"/>
  <c r="D51" i="1"/>
  <c r="BH50" i="1"/>
  <c r="AG50" i="1" s="1"/>
  <c r="AB50" i="1"/>
  <c r="Z50" i="1"/>
  <c r="D50" i="1"/>
  <c r="BH49" i="1"/>
  <c r="AG49" i="1" s="1"/>
  <c r="AB49" i="1"/>
  <c r="Z49" i="1"/>
  <c r="O49" i="1"/>
  <c r="D49" i="1"/>
  <c r="BH48" i="1"/>
  <c r="AG48" i="1" s="1"/>
  <c r="AB48" i="1"/>
  <c r="Z48" i="1"/>
  <c r="D48" i="1"/>
  <c r="BH47" i="1"/>
  <c r="AG47" i="1" s="1"/>
  <c r="AB47" i="1"/>
  <c r="Z47" i="1"/>
  <c r="D47" i="1"/>
  <c r="BH46" i="1"/>
  <c r="AG46" i="1" s="1"/>
  <c r="AB46" i="1"/>
  <c r="Z46" i="1"/>
  <c r="D46" i="1"/>
  <c r="BH45" i="1"/>
  <c r="AG45" i="1" s="1"/>
  <c r="AB45" i="1"/>
  <c r="Z45" i="1"/>
  <c r="O45" i="1"/>
  <c r="D45" i="1"/>
  <c r="BH44" i="1"/>
  <c r="AG44" i="1" s="1"/>
  <c r="AB44" i="1"/>
  <c r="Z44" i="1"/>
  <c r="O44" i="1"/>
  <c r="D44" i="1"/>
  <c r="BH43" i="1"/>
  <c r="AG43" i="1" s="1"/>
  <c r="AB43" i="1"/>
  <c r="Z43" i="1"/>
  <c r="D43" i="1"/>
  <c r="BH42" i="1"/>
  <c r="AG42" i="1" s="1"/>
  <c r="AB42" i="1"/>
  <c r="Z42" i="1"/>
  <c r="D42" i="1"/>
  <c r="BH41" i="1"/>
  <c r="AG41" i="1" s="1"/>
  <c r="AB41" i="1"/>
  <c r="Z41" i="1"/>
  <c r="D41" i="1"/>
  <c r="BH40" i="1"/>
  <c r="AG40" i="1" s="1"/>
  <c r="AB40" i="1"/>
  <c r="Z40" i="1"/>
  <c r="D40" i="1"/>
  <c r="BH39" i="1"/>
  <c r="AG39" i="1" s="1"/>
  <c r="AB39" i="1"/>
  <c r="Z39" i="1"/>
  <c r="D39" i="1"/>
  <c r="BH38" i="1"/>
  <c r="AG38" i="1" s="1"/>
  <c r="AB38" i="1"/>
  <c r="Z38" i="1"/>
  <c r="D38" i="1"/>
  <c r="BH37" i="1"/>
  <c r="AG37" i="1" s="1"/>
  <c r="AB37" i="1"/>
  <c r="Z37" i="1"/>
  <c r="O37" i="1"/>
  <c r="D37" i="1"/>
  <c r="BH36" i="1"/>
  <c r="AG36" i="1" s="1"/>
  <c r="AB36" i="1"/>
  <c r="Z36" i="1"/>
  <c r="O36" i="1"/>
  <c r="D36" i="1"/>
  <c r="BH35" i="1"/>
  <c r="AG35" i="1" s="1"/>
  <c r="AB35" i="1"/>
  <c r="Z35" i="1"/>
  <c r="D35" i="1"/>
  <c r="BH34" i="1"/>
  <c r="AG34" i="1" s="1"/>
  <c r="AB34" i="1"/>
  <c r="Z34" i="1"/>
  <c r="D34" i="1"/>
  <c r="BH33" i="1"/>
  <c r="AG33" i="1" s="1"/>
  <c r="AB33" i="1"/>
  <c r="Z33" i="1"/>
  <c r="D33" i="1"/>
  <c r="BH32" i="1"/>
  <c r="AG32" i="1" s="1"/>
  <c r="AB32" i="1"/>
  <c r="Z32" i="1"/>
  <c r="O32" i="1"/>
  <c r="D32" i="1"/>
  <c r="BH31" i="1"/>
  <c r="AG31" i="1" s="1"/>
  <c r="AB31" i="1"/>
  <c r="Z31" i="1"/>
  <c r="D31" i="1"/>
  <c r="BH30" i="1"/>
  <c r="AG30" i="1" s="1"/>
  <c r="AB30" i="1"/>
  <c r="Z30" i="1"/>
  <c r="O30" i="1"/>
  <c r="D30" i="1"/>
  <c r="BH29" i="1"/>
  <c r="AG29" i="1" s="1"/>
  <c r="AB29" i="1"/>
  <c r="Z29" i="1"/>
  <c r="D29" i="1"/>
  <c r="BH28" i="1"/>
  <c r="AG28" i="1" s="1"/>
  <c r="AB28" i="1"/>
  <c r="Z28" i="1"/>
  <c r="O28" i="1"/>
  <c r="D28" i="1"/>
  <c r="BH27" i="1"/>
  <c r="AG27" i="1" s="1"/>
  <c r="AB27" i="1"/>
  <c r="Z27" i="1"/>
  <c r="O27" i="1"/>
  <c r="D27" i="1"/>
  <c r="BH26" i="1"/>
  <c r="AG26" i="1" s="1"/>
  <c r="AB26" i="1"/>
  <c r="Z26" i="1"/>
  <c r="O26" i="1"/>
  <c r="D26" i="1"/>
  <c r="BH25" i="1"/>
  <c r="AG25" i="1" s="1"/>
  <c r="AB25" i="1"/>
  <c r="Z25" i="1"/>
  <c r="O25" i="1"/>
  <c r="D25" i="1"/>
  <c r="BH24" i="1"/>
  <c r="AG24" i="1" s="1"/>
  <c r="AB24" i="1"/>
  <c r="Z24" i="1"/>
  <c r="O24" i="1"/>
  <c r="D24" i="1"/>
  <c r="BH23" i="1"/>
  <c r="AG23" i="1" s="1"/>
  <c r="AB23" i="1"/>
  <c r="Z23" i="1"/>
  <c r="O23" i="1"/>
  <c r="D23" i="1"/>
  <c r="AR36" i="1" l="1"/>
  <c r="AR39" i="1"/>
  <c r="AR50" i="1"/>
  <c r="AR27" i="1"/>
  <c r="AR24" i="1"/>
  <c r="AR37" i="1"/>
  <c r="AR48" i="1"/>
  <c r="AR31" i="1"/>
  <c r="AR26" i="1"/>
  <c r="AR33" i="1"/>
  <c r="AR34" i="1"/>
  <c r="AR35" i="1"/>
  <c r="AR43" i="1"/>
  <c r="AR52" i="1"/>
  <c r="AD52" i="1" s="1"/>
  <c r="AE52" i="1" s="1"/>
  <c r="AR54" i="1"/>
  <c r="AD54" i="1" s="1"/>
  <c r="AE54" i="1" s="1"/>
  <c r="AR23" i="1"/>
  <c r="AR44" i="1"/>
  <c r="AR29" i="1"/>
  <c r="AR28" i="1"/>
  <c r="AR38" i="1"/>
  <c r="AR45" i="1"/>
  <c r="AR46" i="1"/>
  <c r="AR47" i="1"/>
  <c r="AR25" i="1"/>
  <c r="AR30" i="1"/>
  <c r="AR40" i="1"/>
  <c r="AR49" i="1"/>
  <c r="AR32" i="1"/>
  <c r="AR41" i="1"/>
  <c r="AR42" i="1"/>
  <c r="AR51" i="1"/>
  <c r="AR53" i="1"/>
  <c r="AD53" i="1" s="1"/>
  <c r="AE53" i="1" s="1"/>
  <c r="AL24" i="1"/>
  <c r="AK24" i="1"/>
  <c r="AL25" i="1"/>
  <c r="AK25" i="1"/>
  <c r="AL27" i="1"/>
  <c r="AK27" i="1"/>
  <c r="AL29" i="1"/>
  <c r="AK29" i="1"/>
  <c r="AL31" i="1"/>
  <c r="AK31" i="1"/>
  <c r="AL33" i="1"/>
  <c r="AK33" i="1"/>
  <c r="AL34" i="1"/>
  <c r="AK34" i="1"/>
  <c r="AL35" i="1"/>
  <c r="AK35" i="1"/>
  <c r="AL38" i="1"/>
  <c r="AK38" i="1"/>
  <c r="AL40" i="1"/>
  <c r="AK40" i="1"/>
  <c r="AL41" i="1"/>
  <c r="AK41" i="1"/>
  <c r="AL42" i="1"/>
  <c r="AK42" i="1"/>
  <c r="AL48" i="1"/>
  <c r="AK48" i="1"/>
  <c r="AL50" i="1"/>
  <c r="AK50" i="1"/>
  <c r="AL23" i="1"/>
  <c r="AK23" i="1"/>
  <c r="AL26" i="1"/>
  <c r="AK26" i="1"/>
  <c r="AL28" i="1"/>
  <c r="AK28" i="1"/>
  <c r="AL30" i="1"/>
  <c r="AK30" i="1"/>
  <c r="AL32" i="1"/>
  <c r="AK32" i="1"/>
  <c r="AL36" i="1"/>
  <c r="AK36" i="1"/>
  <c r="AL37" i="1"/>
  <c r="AK37" i="1"/>
  <c r="AL39" i="1"/>
  <c r="AK39" i="1"/>
  <c r="AL43" i="1"/>
  <c r="AK43" i="1"/>
  <c r="AL44" i="1"/>
  <c r="AK44" i="1"/>
  <c r="AL45" i="1"/>
  <c r="AK45" i="1"/>
  <c r="AL46" i="1"/>
  <c r="AK46" i="1"/>
  <c r="AL47" i="1"/>
  <c r="AK47" i="1"/>
  <c r="AL49" i="1"/>
  <c r="AK49" i="1"/>
  <c r="AL51" i="1"/>
  <c r="AK51" i="1"/>
  <c r="AK52" i="1"/>
  <c r="AK53" i="1"/>
  <c r="AK54" i="1"/>
  <c r="AL52" i="1"/>
  <c r="AL53" i="1"/>
  <c r="AL54" i="1"/>
  <c r="AS4" i="1"/>
  <c r="BH22" i="1"/>
  <c r="AG22" i="1" s="1"/>
  <c r="AB22" i="1"/>
  <c r="Z22" i="1"/>
  <c r="O22" i="1"/>
  <c r="D22" i="1"/>
  <c r="BH21" i="1"/>
  <c r="AG21" i="1" s="1"/>
  <c r="AB21" i="1"/>
  <c r="Z21" i="1"/>
  <c r="O21" i="1"/>
  <c r="D21" i="1"/>
  <c r="BH20" i="1"/>
  <c r="AG20" i="1" s="1"/>
  <c r="AB20" i="1"/>
  <c r="Z20" i="1"/>
  <c r="O20" i="1"/>
  <c r="D20" i="1"/>
  <c r="BH19" i="1"/>
  <c r="AG19" i="1" s="1"/>
  <c r="AB19" i="1"/>
  <c r="Z19" i="1"/>
  <c r="O19" i="1"/>
  <c r="D19" i="1"/>
  <c r="BH18" i="1"/>
  <c r="AG18" i="1" s="1"/>
  <c r="AB18" i="1"/>
  <c r="Z18" i="1"/>
  <c r="O18" i="1"/>
  <c r="D18" i="1"/>
  <c r="BH17" i="1"/>
  <c r="AG17" i="1" s="1"/>
  <c r="AB17" i="1"/>
  <c r="Z17" i="1"/>
  <c r="O17" i="1"/>
  <c r="D17" i="1"/>
  <c r="BH16" i="1"/>
  <c r="AG16" i="1" s="1"/>
  <c r="AB16" i="1"/>
  <c r="Z16" i="1"/>
  <c r="O16" i="1"/>
  <c r="D16" i="1"/>
  <c r="BH15" i="1"/>
  <c r="AG15" i="1" s="1"/>
  <c r="AB15" i="1"/>
  <c r="Z15" i="1"/>
  <c r="O15" i="1"/>
  <c r="D15" i="1"/>
  <c r="BH14" i="1"/>
  <c r="AG14" i="1" s="1"/>
  <c r="AB14" i="1"/>
  <c r="Z14" i="1"/>
  <c r="O14" i="1"/>
  <c r="D14" i="1"/>
  <c r="AU4" i="1"/>
  <c r="AT4" i="1"/>
  <c r="BM52" i="1" l="1"/>
  <c r="BO41" i="1"/>
  <c r="AH41" i="1"/>
  <c r="AI41" i="1" s="1"/>
  <c r="BO49" i="1"/>
  <c r="AH49" i="1"/>
  <c r="AI49" i="1" s="1"/>
  <c r="BO43" i="1"/>
  <c r="AH43" i="1"/>
  <c r="AI43" i="1" s="1"/>
  <c r="BO34" i="1"/>
  <c r="AH34" i="1"/>
  <c r="AI34" i="1" s="1"/>
  <c r="BO27" i="1"/>
  <c r="AH27" i="1"/>
  <c r="AI27" i="1" s="1"/>
  <c r="BO36" i="1"/>
  <c r="AH36" i="1"/>
  <c r="AI36" i="1" s="1"/>
  <c r="BM54" i="1"/>
  <c r="BO53" i="1"/>
  <c r="AH53" i="1"/>
  <c r="AI53" i="1" s="1"/>
  <c r="BO47" i="1"/>
  <c r="AH47" i="1"/>
  <c r="AI47" i="1" s="1"/>
  <c r="AR20" i="1"/>
  <c r="BO51" i="1"/>
  <c r="AH51" i="1"/>
  <c r="AI51" i="1" s="1"/>
  <c r="BO40" i="1"/>
  <c r="AH40" i="1"/>
  <c r="AI40" i="1" s="1"/>
  <c r="BO46" i="1"/>
  <c r="AH46" i="1"/>
  <c r="AI46" i="1" s="1"/>
  <c r="BO38" i="1"/>
  <c r="AH38" i="1"/>
  <c r="AI38" i="1" s="1"/>
  <c r="BO29" i="1"/>
  <c r="AH29" i="1"/>
  <c r="AI29" i="1" s="1"/>
  <c r="BO23" i="1"/>
  <c r="AH23" i="1"/>
  <c r="AI23" i="1" s="1"/>
  <c r="BO33" i="1"/>
  <c r="AH33" i="1"/>
  <c r="AI33" i="1" s="1"/>
  <c r="BO50" i="1"/>
  <c r="AH50" i="1"/>
  <c r="AI50" i="1" s="1"/>
  <c r="BM53" i="1"/>
  <c r="AR14" i="1"/>
  <c r="AD14" i="1" s="1"/>
  <c r="AE14" i="1" s="1"/>
  <c r="BO30" i="1"/>
  <c r="AH30" i="1"/>
  <c r="AI30" i="1" s="1"/>
  <c r="BO45" i="1"/>
  <c r="AH45" i="1"/>
  <c r="AI45" i="1" s="1"/>
  <c r="BO28" i="1"/>
  <c r="AH28" i="1"/>
  <c r="AI28" i="1" s="1"/>
  <c r="BO54" i="1"/>
  <c r="AH54" i="1"/>
  <c r="AI54" i="1" s="1"/>
  <c r="BO26" i="1"/>
  <c r="AH26" i="1"/>
  <c r="AI26" i="1" s="1"/>
  <c r="BO37" i="1"/>
  <c r="AH37" i="1"/>
  <c r="AI37" i="1" s="1"/>
  <c r="AR22" i="1"/>
  <c r="BM22" i="1" s="1"/>
  <c r="BO42" i="1"/>
  <c r="AH42" i="1"/>
  <c r="AI42" i="1" s="1"/>
  <c r="BO32" i="1"/>
  <c r="AH32" i="1"/>
  <c r="AI32" i="1" s="1"/>
  <c r="BO25" i="1"/>
  <c r="AH25" i="1"/>
  <c r="AI25" i="1" s="1"/>
  <c r="BO44" i="1"/>
  <c r="AH44" i="1"/>
  <c r="AI44" i="1" s="1"/>
  <c r="BO52" i="1"/>
  <c r="AH52" i="1"/>
  <c r="AI52" i="1" s="1"/>
  <c r="BO35" i="1"/>
  <c r="AH35" i="1"/>
  <c r="AI35" i="1" s="1"/>
  <c r="BO31" i="1"/>
  <c r="AH31" i="1"/>
  <c r="AI31" i="1" s="1"/>
  <c r="BO24" i="1"/>
  <c r="AH24" i="1"/>
  <c r="AI24" i="1" s="1"/>
  <c r="BO39" i="1"/>
  <c r="AH39" i="1"/>
  <c r="AI39" i="1" s="1"/>
  <c r="BO48" i="1"/>
  <c r="AH48" i="1"/>
  <c r="AI48" i="1" s="1"/>
  <c r="AL15" i="1"/>
  <c r="AR15" i="1"/>
  <c r="AK17" i="1"/>
  <c r="AR17" i="1"/>
  <c r="AL16" i="1"/>
  <c r="AR16" i="1"/>
  <c r="AK18" i="1"/>
  <c r="AR18" i="1"/>
  <c r="AL19" i="1"/>
  <c r="AR19" i="1"/>
  <c r="AL21" i="1"/>
  <c r="AR21" i="1"/>
  <c r="AD49" i="1"/>
  <c r="AE49" i="1" s="1"/>
  <c r="BM49" i="1"/>
  <c r="AD30" i="1"/>
  <c r="AE30" i="1" s="1"/>
  <c r="BM30" i="1"/>
  <c r="AD45" i="1"/>
  <c r="AE45" i="1" s="1"/>
  <c r="BM45" i="1"/>
  <c r="AD37" i="1"/>
  <c r="AE37" i="1" s="1"/>
  <c r="BM37" i="1"/>
  <c r="AD41" i="1"/>
  <c r="AE41" i="1" s="1"/>
  <c r="BM41" i="1"/>
  <c r="AD33" i="1"/>
  <c r="AE33" i="1" s="1"/>
  <c r="BM33" i="1"/>
  <c r="AD24" i="1"/>
  <c r="AE24" i="1" s="1"/>
  <c r="BM24" i="1"/>
  <c r="AD27" i="1"/>
  <c r="AE27" i="1" s="1"/>
  <c r="BM27" i="1"/>
  <c r="AD47" i="1"/>
  <c r="AE47" i="1" s="1"/>
  <c r="BM47" i="1"/>
  <c r="AD28" i="1"/>
  <c r="AE28" i="1" s="1"/>
  <c r="BM28" i="1"/>
  <c r="AD35" i="1"/>
  <c r="AE35" i="1" s="1"/>
  <c r="BM35" i="1"/>
  <c r="AD44" i="1"/>
  <c r="AE44" i="1" s="1"/>
  <c r="BM44" i="1"/>
  <c r="AD36" i="1"/>
  <c r="AE36" i="1" s="1"/>
  <c r="BM36" i="1"/>
  <c r="AD50" i="1"/>
  <c r="AE50" i="1" s="1"/>
  <c r="BM50" i="1"/>
  <c r="AD40" i="1"/>
  <c r="AE40" i="1" s="1"/>
  <c r="BM40" i="1"/>
  <c r="AD31" i="1"/>
  <c r="AE31" i="1" s="1"/>
  <c r="BM31" i="1"/>
  <c r="AD51" i="1"/>
  <c r="AE51" i="1" s="1"/>
  <c r="BM51" i="1"/>
  <c r="AD32" i="1"/>
  <c r="AE32" i="1" s="1"/>
  <c r="BM32" i="1"/>
  <c r="AD38" i="1"/>
  <c r="AE38" i="1" s="1"/>
  <c r="BM38" i="1"/>
  <c r="AD25" i="1"/>
  <c r="AE25" i="1" s="1"/>
  <c r="BM25" i="1"/>
  <c r="AD46" i="1"/>
  <c r="AE46" i="1" s="1"/>
  <c r="BM46" i="1"/>
  <c r="AD39" i="1"/>
  <c r="AE39" i="1" s="1"/>
  <c r="BM39" i="1"/>
  <c r="AD26" i="1"/>
  <c r="AE26" i="1" s="1"/>
  <c r="BM26" i="1"/>
  <c r="AD42" i="1"/>
  <c r="AE42" i="1" s="1"/>
  <c r="BM42" i="1"/>
  <c r="AD34" i="1"/>
  <c r="AE34" i="1" s="1"/>
  <c r="BM34" i="1"/>
  <c r="AD43" i="1"/>
  <c r="AE43" i="1" s="1"/>
  <c r="BM43" i="1"/>
  <c r="AD23" i="1"/>
  <c r="AE23" i="1" s="1"/>
  <c r="BM23" i="1"/>
  <c r="AD48" i="1"/>
  <c r="AE48" i="1" s="1"/>
  <c r="BM48" i="1"/>
  <c r="AD29" i="1"/>
  <c r="AE29" i="1" s="1"/>
  <c r="BM29" i="1"/>
  <c r="AK21" i="1"/>
  <c r="AK14" i="1"/>
  <c r="AK15" i="1"/>
  <c r="AL14" i="1"/>
  <c r="AK22" i="1"/>
  <c r="AL22" i="1"/>
  <c r="AL18" i="1"/>
  <c r="AK16" i="1"/>
  <c r="AL17" i="1"/>
  <c r="AK20" i="1"/>
  <c r="AK19" i="1"/>
  <c r="AL20" i="1"/>
  <c r="AD22" i="1" l="1"/>
  <c r="AE22" i="1" s="1"/>
  <c r="BM14" i="1"/>
  <c r="BO18" i="1"/>
  <c r="AH18" i="1"/>
  <c r="AI18" i="1" s="1"/>
  <c r="BO16" i="1"/>
  <c r="AH16" i="1"/>
  <c r="AI16" i="1" s="1"/>
  <c r="BO15" i="1"/>
  <c r="AH15" i="1"/>
  <c r="AI15" i="1" s="1"/>
  <c r="BO22" i="1"/>
  <c r="AH22" i="1"/>
  <c r="AI22" i="1" s="1"/>
  <c r="BO14" i="1"/>
  <c r="AH14" i="1"/>
  <c r="AI14" i="1" s="1"/>
  <c r="BO21" i="1"/>
  <c r="AH21" i="1"/>
  <c r="AI21" i="1" s="1"/>
  <c r="BO17" i="1"/>
  <c r="AH17" i="1"/>
  <c r="AI17" i="1" s="1"/>
  <c r="BO20" i="1"/>
  <c r="AH20" i="1"/>
  <c r="AI20" i="1" s="1"/>
  <c r="BO19" i="1"/>
  <c r="AH19" i="1"/>
  <c r="AI19" i="1" s="1"/>
  <c r="AD20" i="1"/>
  <c r="AE20" i="1" s="1"/>
  <c r="BM20" i="1"/>
  <c r="AD21" i="1"/>
  <c r="AE21" i="1" s="1"/>
  <c r="BM21" i="1"/>
  <c r="AD15" i="1"/>
  <c r="AE15" i="1" s="1"/>
  <c r="BM15" i="1"/>
  <c r="AD17" i="1"/>
  <c r="AE17" i="1" s="1"/>
  <c r="BM17" i="1"/>
  <c r="AD19" i="1"/>
  <c r="AE19" i="1" s="1"/>
  <c r="BM19" i="1"/>
  <c r="AD18" i="1"/>
  <c r="AE18" i="1" s="1"/>
  <c r="BM18" i="1"/>
  <c r="AD16" i="1"/>
  <c r="AE16" i="1" s="1"/>
  <c r="BM16" i="1"/>
  <c r="BH5" i="1"/>
  <c r="AG5" i="1" s="1"/>
  <c r="BH6" i="1"/>
  <c r="AG6" i="1" s="1"/>
  <c r="BH7" i="1"/>
  <c r="AG7" i="1" s="1"/>
  <c r="BH9" i="1"/>
  <c r="AG9" i="1" s="1"/>
  <c r="BH10" i="1"/>
  <c r="AG10" i="1" s="1"/>
  <c r="BH11" i="1"/>
  <c r="AG11" i="1" s="1"/>
  <c r="BH12" i="1"/>
  <c r="AG12" i="1" s="1"/>
  <c r="BH13" i="1"/>
  <c r="AG13" i="1" s="1"/>
  <c r="BH4" i="1"/>
  <c r="AG4" i="1" s="1"/>
  <c r="AB5" i="1"/>
  <c r="AB6" i="1"/>
  <c r="AB7" i="1"/>
  <c r="AB8" i="1"/>
  <c r="AB9" i="1"/>
  <c r="AB10" i="1"/>
  <c r="AB11" i="1"/>
  <c r="AB12" i="1"/>
  <c r="AB13" i="1"/>
  <c r="Z5" i="1"/>
  <c r="Z6" i="1"/>
  <c r="Z7" i="1"/>
  <c r="Z8" i="1"/>
  <c r="Z9" i="1"/>
  <c r="Z10" i="1"/>
  <c r="Z11" i="1"/>
  <c r="Z12" i="1"/>
  <c r="Z13" i="1"/>
  <c r="D5" i="1"/>
  <c r="D6" i="1"/>
  <c r="D7" i="1"/>
  <c r="D8" i="1"/>
  <c r="D9" i="1"/>
  <c r="D10" i="1"/>
  <c r="D11" i="1"/>
  <c r="D12" i="1"/>
  <c r="D13" i="1"/>
  <c r="D4" i="1"/>
  <c r="AB4" i="1"/>
  <c r="Z4" i="1"/>
  <c r="O13" i="1"/>
  <c r="O12" i="1"/>
  <c r="O11" i="1"/>
  <c r="O10" i="1"/>
  <c r="O9" i="1"/>
  <c r="BH8" i="1"/>
  <c r="AG8" i="1" s="1"/>
  <c r="O8" i="1"/>
  <c r="O7" i="1"/>
  <c r="O6" i="1"/>
  <c r="O5" i="1"/>
  <c r="O4" i="1"/>
  <c r="AR8" i="1" l="1"/>
  <c r="AR10" i="1"/>
  <c r="AR4" i="1"/>
  <c r="AR9" i="1"/>
  <c r="AR7" i="1"/>
  <c r="AR6" i="1"/>
  <c r="AR11" i="1"/>
  <c r="AR13" i="1"/>
  <c r="AR5" i="1"/>
  <c r="AD5" i="1" s="1"/>
  <c r="AE5" i="1" s="1"/>
  <c r="AR12" i="1"/>
  <c r="AK13" i="1"/>
  <c r="AK5" i="1"/>
  <c r="AK12" i="1"/>
  <c r="AL10" i="1"/>
  <c r="AK4" i="1"/>
  <c r="AK9" i="1"/>
  <c r="AL8" i="1"/>
  <c r="AL11" i="1"/>
  <c r="AL7" i="1"/>
  <c r="AL6" i="1"/>
  <c r="AK11" i="1"/>
  <c r="AK10" i="1"/>
  <c r="AK8" i="1"/>
  <c r="AL9" i="1"/>
  <c r="AK7" i="1"/>
  <c r="AL13" i="1"/>
  <c r="AL5" i="1"/>
  <c r="AK6" i="1"/>
  <c r="AL12" i="1"/>
  <c r="AN4" i="1"/>
  <c r="AO4" i="1"/>
  <c r="AL4" i="1"/>
  <c r="BM5" i="1" l="1"/>
  <c r="BO11" i="1"/>
  <c r="AH11" i="1"/>
  <c r="AI11" i="1" s="1"/>
  <c r="BO13" i="1"/>
  <c r="AH13" i="1"/>
  <c r="AI13" i="1" s="1"/>
  <c r="BO6" i="1"/>
  <c r="AH6" i="1"/>
  <c r="AI6" i="1" s="1"/>
  <c r="BO9" i="1"/>
  <c r="AH9" i="1"/>
  <c r="AI9" i="1" s="1"/>
  <c r="BO4" i="1"/>
  <c r="AH4" i="1"/>
  <c r="AI4" i="1" s="1"/>
  <c r="BO12" i="1"/>
  <c r="AH12" i="1"/>
  <c r="AI12" i="1" s="1"/>
  <c r="BO10" i="1"/>
  <c r="AH10" i="1"/>
  <c r="AI10" i="1" s="1"/>
  <c r="BO5" i="1"/>
  <c r="AH5" i="1"/>
  <c r="AI5" i="1" s="1"/>
  <c r="BO7" i="1"/>
  <c r="AH7" i="1"/>
  <c r="AI7" i="1" s="1"/>
  <c r="BO8" i="1"/>
  <c r="AH8" i="1"/>
  <c r="AI8" i="1" s="1"/>
  <c r="AD4" i="1"/>
  <c r="AE4" i="1" s="1"/>
  <c r="BM4" i="1"/>
  <c r="AD9" i="1"/>
  <c r="AE9" i="1" s="1"/>
  <c r="BM9" i="1"/>
  <c r="AD8" i="1"/>
  <c r="AE8" i="1" s="1"/>
  <c r="BM8" i="1"/>
  <c r="AD13" i="1"/>
  <c r="AE13" i="1" s="1"/>
  <c r="BM13" i="1"/>
  <c r="AD12" i="1"/>
  <c r="AE12" i="1" s="1"/>
  <c r="BM12" i="1"/>
  <c r="AD11" i="1"/>
  <c r="AE11" i="1" s="1"/>
  <c r="BM11" i="1"/>
  <c r="AD10" i="1"/>
  <c r="AE10" i="1" s="1"/>
  <c r="BM10" i="1"/>
  <c r="AD7" i="1"/>
  <c r="AE7" i="1" s="1"/>
  <c r="BM7" i="1"/>
  <c r="AD6" i="1"/>
  <c r="AE6" i="1" s="1"/>
  <c r="BM6" i="1"/>
</calcChain>
</file>

<file path=xl/sharedStrings.xml><?xml version="1.0" encoding="utf-8"?>
<sst xmlns="http://schemas.openxmlformats.org/spreadsheetml/2006/main" count="467" uniqueCount="276">
  <si>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</si>
  <si>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</si>
  <si>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</si>
  <si>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</si>
  <si>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</si>
  <si>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</si>
  <si>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</si>
  <si>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</si>
  <si>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</si>
  <si>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</si>
  <si>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</si>
  <si>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</si>
  <si>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</si>
  <si>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</si>
  <si>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</si>
  <si>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</si>
  <si>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</si>
  <si>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</si>
  <si>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</si>
  <si>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</si>
  <si>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</si>
  <si>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</si>
  <si>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</si>
  <si>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</si>
  <si>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</si>
  <si>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</si>
  <si>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</si>
  <si>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</si>
  <si>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</si>
  <si>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</si>
  <si>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</si>
  <si>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</si>
  <si>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</si>
  <si>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</si>
  <si>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</si>
  <si>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</si>
  <si>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</si>
  <si>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</si>
  <si>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</si>
  <si>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</si>
  <si>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</si>
  <si>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</si>
  <si>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</si>
  <si>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</si>
  <si>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</si>
  <si>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</si>
  <si>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</si>
  <si>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</si>
  <si>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</si>
  <si>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</si>
  <si>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</si>
  <si>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</si>
  <si>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</si>
  <si>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</si>
  <si>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</si>
  <si>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</si>
  <si>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</si>
  <si>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</si>
  <si>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</si>
  <si>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</si>
  <si>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</si>
  <si>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</si>
  <si>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</si>
  <si>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</si>
  <si>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J530MU</t>
  </si>
  <si>
    <t>J531MU</t>
  </si>
  <si>
    <t>5830AR</t>
  </si>
  <si>
    <t>5829AR</t>
  </si>
  <si>
    <t>5828AR</t>
  </si>
  <si>
    <t>5834AR</t>
  </si>
  <si>
    <t>J379WK</t>
  </si>
  <si>
    <t>J380WK</t>
  </si>
  <si>
    <t>J381WK</t>
  </si>
  <si>
    <t>J382WK</t>
  </si>
  <si>
    <t>J383WK</t>
  </si>
  <si>
    <t>J384WK</t>
  </si>
  <si>
    <t>J385WK</t>
  </si>
  <si>
    <t>J386WK</t>
  </si>
  <si>
    <t>J387WK</t>
  </si>
  <si>
    <t>J388WK</t>
  </si>
  <si>
    <t>J389WK</t>
  </si>
  <si>
    <t>J390WK</t>
  </si>
  <si>
    <t>J391WK</t>
  </si>
  <si>
    <t>5821AR</t>
  </si>
  <si>
    <t>5819AR</t>
  </si>
  <si>
    <t>J396WK</t>
  </si>
  <si>
    <t>J397WK</t>
  </si>
  <si>
    <t>J398WK</t>
  </si>
  <si>
    <t>5826AR</t>
  </si>
  <si>
    <t>5798AR</t>
  </si>
  <si>
    <t>5804AR</t>
  </si>
  <si>
    <t>5836AR</t>
  </si>
  <si>
    <t>5806AR</t>
  </si>
  <si>
    <t>5825AR</t>
  </si>
  <si>
    <t>5797AR</t>
  </si>
  <si>
    <t>5807AR</t>
  </si>
  <si>
    <t>5810AR</t>
  </si>
  <si>
    <t>5803AR</t>
  </si>
  <si>
    <t>5796AR</t>
  </si>
  <si>
    <t>5837AR</t>
  </si>
  <si>
    <t>5840AR</t>
  </si>
  <si>
    <t>5809AR</t>
  </si>
  <si>
    <t>5818AR</t>
  </si>
  <si>
    <t>5808AR</t>
  </si>
  <si>
    <t>5812AR</t>
  </si>
  <si>
    <t>5811AR</t>
  </si>
  <si>
    <t>5813AR</t>
  </si>
  <si>
    <t>5841AR</t>
  </si>
  <si>
    <t>5814AR</t>
  </si>
  <si>
    <t>5817AR</t>
  </si>
  <si>
    <t>ｹﾐｶﾙｼﾞｬﾊﾟﾝ/手さげﾎﾟﾘ袋 S 100枚入/SW-30</t>
  </si>
  <si>
    <t>ｹﾐｶﾙｼﾞｬﾊﾟﾝ/手さげﾎﾟﾘ袋 LL 100枚入/SW-45</t>
  </si>
  <si>
    <t>ｹﾐｶﾙｼﾞｬﾊﾟﾝ/手提げﾎﾟﾘ袋 乳白 SS 40枚/WH-SS</t>
  </si>
  <si>
    <t>ｼﾞｬﾊﾟｯｸｽ/規格ﾎﾟﾘ袋45L 0.025mm厚 650×800mm 青透明</t>
  </si>
  <si>
    <t>ｼﾞｬﾊﾟｯｸｽ/規格ﾎﾟﾘ袋45L 0.025mm厚 650×800mm 透明 10</t>
  </si>
  <si>
    <t>ｼﾞｬﾊﾟｯｸｽ/規格ﾎﾟﾘ袋70L 0.03mm厚 800×900mm 青透明 1</t>
  </si>
  <si>
    <t>ｼﾞｬﾊﾟｯｸｽ/規格ﾎﾟﾘ袋90L 0.04mm厚 900×1000mm 青透明</t>
  </si>
  <si>
    <t>ｼﾞｬﾊﾟｯｸｽ/手付きﾎﾟﾘ袋 Mｻｲｽﾞ(約10L 30号) 25枚/PR-28c</t>
  </si>
  <si>
    <t>ｼﾞｬﾊﾟｯｸｽ/手付きﾎﾟﾘ袋 Lｻｲｽﾞ(約15L 45号) 20枚/PR-29c</t>
  </si>
  <si>
    <t>ｼﾞｬﾊﾟｯｸｽ/ﾚｼﾞ袋 32折りｺﾝﾊﾟｸﾄ 30L 手付 白半透明 50枚</t>
  </si>
  <si>
    <t>ｼﾞｬﾊﾟｯｸｽ/ﾚｼﾞ袋 32折りｺﾝﾊﾟｸﾄ 45L 手付 白半透明 50枚</t>
  </si>
  <si>
    <t>ｼﾞｬﾊﾟｯｸｽ/省資源ﾚｼﾞ袋 東45号･西45号 乳白 100枚/RE45</t>
  </si>
  <si>
    <t>ｼﾞｬﾊﾟｯｸｽ/業務用ﾚｼﾞ袋 東12号･西30号 乳白100枚/RJJ12</t>
  </si>
  <si>
    <t>ｼﾞｬﾊﾟｯｸｽ/業務用ﾚｼﾞ袋 東20号･西35号 乳白100枚/RJJ20</t>
  </si>
  <si>
    <t>ｼﾞｬﾊﾟｯｸｽ/業務用ﾚｼﾞ袋 東30号･西40号 乳白100枚/RJJ30</t>
  </si>
  <si>
    <t>ｼﾞｬﾊﾟｯｸｽ/業務用ﾚｼﾞ袋 東45号･西45号 乳白100枚/RJJ45</t>
  </si>
  <si>
    <t>ｼﾞｬﾊﾟｯｸｽ/業務用ﾚｼﾞ袋 東60号･西50号 乳白100枚/RJJ60</t>
  </si>
  <si>
    <t>ｼﾞｬﾊﾟｯｸｽ/業務用ﾚｼﾞ袋 東80号･西80号 乳白100枚/RJJ80</t>
  </si>
  <si>
    <t>ｼﾞｬﾊﾟｯｸｽ/省資源ﾚｼﾞ袋 東08号･西25号 乳白100枚/GRE08</t>
  </si>
  <si>
    <t>ｼﾞｬﾊﾟｯｸｽ/省資源ﾚｼﾞ袋 東12号･西30号 乳白100枚/GRE12</t>
  </si>
  <si>
    <t>ｼﾞｬﾊﾟｯｸｽ/業務用ﾚｼﾞ袋 東20号･西35号 半透明 100枚</t>
  </si>
  <si>
    <t>ｼﾞｬﾊﾟｯｸｽ/業務用ﾚｼﾞ袋 東45号･西45号 半透明 100枚</t>
  </si>
  <si>
    <t>ｼﾞｬﾊﾟｯｸｽ/業務用ﾚｼﾞ袋 東60号･西50号 半透明 100枚</t>
  </si>
  <si>
    <t>ｼﾞｬﾊﾟｯｸｽ/業務用ﾚｼﾞ袋 東80号･西80号 半透明 100枚</t>
  </si>
  <si>
    <t>ｼﾞｬﾊﾟｯｸｽ/ﾗﾝﾁﾊﾞｯｸﾞｴｺﾀｲﾌﾟ Lｻｲｽﾞ 乳白 厚み0.012mm 100</t>
  </si>
  <si>
    <t>ｼﾞｬﾊﾟｯｸｽ/ﾗﾝﾁﾊﾞｯｸﾞｴｺﾀｲﾌﾟ LLｻｲｽﾞ 乳白 厚み0.012mm 10</t>
  </si>
  <si>
    <t>ｼﾞｬﾊﾟｯｸｽ/省資源ﾚｼﾞ袋 東12号･西30号 半透明100枚</t>
  </si>
  <si>
    <t>ｼﾞｬﾊﾟｯｸｽ/省資源ﾚｼﾞ袋 東30号･西40号 半透明100枚</t>
  </si>
  <si>
    <t>ｼﾞｬﾊﾟｯｸｽ/省資源ﾚｼﾞ袋 東60号･西50号 半透明100枚</t>
  </si>
  <si>
    <t>ｼﾞｬﾊﾟｯｸｽ/ﾁｬｯｸ袋付ﾎﾟﾘ袋 透明 厚み0.04mm 300枚/AG-4</t>
  </si>
  <si>
    <t>ｼﾞｬﾊﾟｯｸｽ/ﾁｬｯｸ袋付ﾎﾟﾘ袋 0.04mm 200枚/CG-4</t>
  </si>
  <si>
    <t>ｼﾞｬﾊﾟｯｸｽ/ﾁｬｯｸ付ﾎﾟﾘ袋 透明 厚み0.04mm 100枚/FG-4</t>
  </si>
  <si>
    <t>ｼﾞｬﾊﾟｯｸｽ/ﾁｬｯｸ袋付ﾎﾟﾘ袋 透明 厚み0.04mm 100枚/GG-4</t>
  </si>
  <si>
    <t>ｼﾞｬﾊﾟｯｸｽ/ﾁｬｯｸ付ﾎﾟﾘ袋 透明 厚み0.04mm 100枚/KG-4</t>
  </si>
  <si>
    <t>ｼﾞｬﾊﾟｯｸｽ/ﾁｬｯｸ付ﾎﾟﾘ袋 透明 厚み0.04mm 100枚/LG-4</t>
  </si>
  <si>
    <t>ｼﾞｬﾊﾟｯｸｽ/ﾁｬｯｸ袋付ﾎﾟﾘ袋 厚口 0.08mm 200枚/VGB8</t>
  </si>
  <si>
    <t>ｼﾞｬﾊﾟｯｸｽ/ﾁｬｯｸ付ﾎﾟﾘ袋厚口 透明 厚み0.08mm 100枚/VGH</t>
  </si>
  <si>
    <t>ｼﾞｬﾊﾟｯｸｽ/ﾁｬｯｸ付ﾎﾟﾘ袋厚口 透明 厚み0.08mm 100枚/VGK</t>
  </si>
  <si>
    <t>ｼﾞｬﾊﾟｯｸｽ/書き込めるﾁｬｯｸ付ﾎﾟﾘ袋 透明 厚み0.04mm 300</t>
  </si>
  <si>
    <t>ｼﾞｬﾊﾟｯｸｽ/書き込めるﾁｬｯｸ付ﾎﾟﾘ袋 0.04mm 200枚/WGC4</t>
  </si>
  <si>
    <t>ｼﾞｬﾊﾟｯｸｽ/書き込めるﾁｬｯｸ付ﾎﾟﾘ袋 透明 厚み0.04mm 100</t>
  </si>
  <si>
    <t>ｼﾞｬﾊﾟｯｸｽ/開口済ﾁｬｯｸ付ﾎﾟﾘ袋 透明 0.04mm厚 120×170m</t>
  </si>
  <si>
    <t>ｼﾞｬﾊﾟｯｸｽ/開口済ﾁｬｯｸ付ﾎﾟﾘ袋 透明 0.04mm厚 170×240m</t>
  </si>
  <si>
    <t>ｼﾞｬﾊﾟｯｸｽ/開口済ﾁｬｯｸ付ﾎﾟﾘ袋 透明 0.04mm厚 240×340m</t>
  </si>
  <si>
    <t>ｼﾞｬﾊﾟｯｸｽ/LD規格袋 No.4 透明 厚み0.03mm 100枚/K-04</t>
  </si>
  <si>
    <t>ｼﾞｬﾊﾟｯｸｽ/LD規格袋 No.7 透明 厚み0.03mm 100枚/K-07</t>
  </si>
  <si>
    <t>ｼﾞｬﾊﾟｯｸｽ/LD規格袋 No.8 透明 厚み0.03mm 100枚/K-08</t>
  </si>
  <si>
    <t>ｼﾞｬﾊﾟｯｸｽ/LD規格袋 No.9 透明 厚み0.03mm 100枚/K-09</t>
  </si>
  <si>
    <t>ｼﾞｬﾊﾟｯｸｽ/LD規格袋 No.12 透明 厚み0.03mm 100枚/K-12</t>
  </si>
  <si>
    <t>ｼﾞｬﾊﾟｯｸｽ/LD規格袋 No.13 透明 厚み0.03mm 100枚/K-13</t>
  </si>
  <si>
    <t>ｼﾞｬﾊﾟｯｸｽ/LD規格袋 No.18 透明 厚み0.03mm 100枚/K-18</t>
  </si>
  <si>
    <t>-</t>
  </si>
  <si>
    <t>-</t>
    <phoneticPr fontId="2"/>
  </si>
  <si>
    <t>【ポリ袋】 ジャパックス 規格ポリ袋45L 0.025mm厚 650×800mm 青透明 1袋（10枚入）</t>
  </si>
  <si>
    <t>【ポリ袋】 ジャパックス 規格ポリ袋45L 0.025mm厚 650×800mm 透明 1袋（10枚入）</t>
  </si>
  <si>
    <t>【ポリ袋】 ジャパックス 規格ポリ袋70L 0.03mm厚 800×900mm 青透明 1袋（10枚入）</t>
  </si>
  <si>
    <t>【ポリ袋】 ジャパックス 規格ポリ袋90L 0.04mm厚 900×1000mm 青透明 1袋（10枚入）</t>
  </si>
  <si>
    <t>ジャパックス 手付きポリ袋コンパクトタイプ Mサイズ25枚 半透明 厚み0.017mm 60冊入り PR28C 1セット(1500枚)（直送品）</t>
  </si>
  <si>
    <t>ジャパックス 手付きポリ袋コンパクトタイプ Lサイズ 半透明 厚み0.018mm PR29C 1冊(20枚)</t>
  </si>
  <si>
    <t>ジャパックス HCPー45 手付きコンパクトポリ袋 45L 4521684263810 1箱(16個入)（直送品）</t>
  </si>
  <si>
    <t>ジャパックス レジ袋(乳白)省資源 ベロ付きブロック・エンボス 関東45号/関西45号 100枚 厚み0.017mm RE45 1冊</t>
  </si>
  <si>
    <t>レジ袋(乳白) ベロ付きブロック 関東12号/関西30号 100枚 厚み0.015mm 60冊入り RJJ12 1セット(6000枚)（直送品）</t>
  </si>
  <si>
    <t>ジャパックス レジ袋(乳白) ベロ付きブロック 関東20号/関西35号 厚み0.017mm RJJ20 1箱(100枚)</t>
  </si>
  <si>
    <t>ジャパックス レジ袋（乳白）　ベロ付きブロック　関東30号/関西40号　厚み0.018ｍｍ RJJ30 1冊（100枚）</t>
  </si>
  <si>
    <t>レジ袋(乳白) ベロ付きブロック 関東45号/関西45号 100枚 厚み0.023mm 20冊入り RJJ45 1セット(2000枚)（直送品）</t>
  </si>
  <si>
    <t>ジャパックス レジ袋(乳白) ベロ付きブロック 関東60号/関西50号 100枚 厚み0.03mm RJJ60 1冊</t>
  </si>
  <si>
    <t>レジ袋(乳白) ベロ付きブロック 関東80号/関西80号 100枚 厚み0.03mm 5冊入り RJJ80 1セット(500枚)（直送品）</t>
  </si>
  <si>
    <t>ジャパックス レジ袋バイオ エンボス乳白8号 100P GRE08 1パック（直送品）</t>
  </si>
  <si>
    <t>ジャパックス レジ袋バイオ エンボス乳白12号 100P GRE12 1パック（直送品）</t>
  </si>
  <si>
    <t>ジャパックス レジ袋(半透明) ベロ付きブロック 関東20号/関西35号 100枚 厚み0.017mm RKK20 1冊</t>
  </si>
  <si>
    <t>ジャパックス レジ袋(半透明) ベロ付きブロック 関東45号/関西45号 100枚 厚み0.023mm RKK45 1冊</t>
  </si>
  <si>
    <t>レジ袋(半透明) ベロ付きブロック 関東60号/関西50号 100枚 厚み0.03mm 10冊入り RKK60 1セット(1000枚)（直送品）</t>
  </si>
  <si>
    <t>ジャパックス ランチバッグエコタイプ Lサイズ 乳白 厚み0.012mm RBF20 1冊(100枚)</t>
  </si>
  <si>
    <t>ジャパックス ランチバッグエコタイプ LLサイズ 100枚 乳白 厚み0.012mm RBF30 1冊</t>
  </si>
  <si>
    <t>ジャパックス レジ袋（半透明）省資源 ベロ付きブロック・エンボス 関東12号/関西30号 厚み0.011mm RF12 1セット（6000枚）（直送品）</t>
  </si>
  <si>
    <t>ジャパックス レジ袋(半透明)省資源 ベロ付きブロック・エンボス 関東30号/関西40号 厚み0.013mm RF30 1冊(100枚)</t>
  </si>
  <si>
    <t>ジャパックス レジ袋(半透明)省資源 ベロ付きブロック・エンボス 関東60号/関西50号 厚み0.018mm RF60 1冊(100枚)</t>
  </si>
  <si>
    <t>ジャパックス チャック袋付ポリ袋 AG-4 300枚 透明 厚み0.04mm AG-4 1冊（300枚）</t>
  </si>
  <si>
    <t>ジャパックス チャック袋付ポリ袋 CG-4 透明 厚み0.04mm CG-4 1冊（200枚）</t>
  </si>
  <si>
    <t>ジャパックス チャック袋付ポリ袋 FG-4 100枚 透明 厚み0.04mm FG-4 1冊（100枚）</t>
  </si>
  <si>
    <t>ジャパックス チャック袋付ポリ袋 GG-4 100枚 透明 厚み0.04mm GG-4 1セット（100枚）</t>
  </si>
  <si>
    <t>ジャパックス チャック袋付ポリ袋 KG-4 100枚 透明 厚み0.04mm KG-4 1冊</t>
  </si>
  <si>
    <t>ジャパックス チャック付ポリ袋 LG-4 1袋セット(100枚入)</t>
  </si>
  <si>
    <t>ジャパックス チャック袋付ポリ袋厚口 VGB-8 200枚 透明 厚み0.08mm 1冊(200枚)</t>
  </si>
  <si>
    <t>ジャパックス チャック袋付ポリ袋厚口 VGH-8 透明 厚み0.08mm 1冊(100枚)</t>
  </si>
  <si>
    <t>ジャパックス チャック付ポリ袋厚口 VGK-8 透明 厚み0.08mm 1袋（100枚入）</t>
  </si>
  <si>
    <t>ジャパックス 書き込めるチャック付ポリ袋 WGA-4 300枚 透明 厚み0.04mm WGA4 1冊</t>
  </si>
  <si>
    <t>ジャパックス 書き込めるチャック付ポリ袋 透明 厚み0.04mm WGC4 1冊(200枚)</t>
  </si>
  <si>
    <t>ジャパックス 書き込めるチャック付ポリ袋 透明 厚み0.04mm WGG4 1冊(100枚)</t>
  </si>
  <si>
    <t>【チャック付き袋】 ジャパックス 開口済チャック付ポリ袋 透明 0.04mm厚 120×170mm 1袋（100枚入）</t>
  </si>
  <si>
    <t>【チャック付き袋】 ジャパックス 開口済チャック付ポリ袋 透明0.04mm厚170×240mm1袋（100枚入）</t>
  </si>
  <si>
    <t>【チャック付き袋】 ジャパックス 開口済チャック付ポリ袋 透明 0.04mm厚 240×340mm 1袋（100枚入）</t>
  </si>
  <si>
    <t>ジャパックス LD規格袋 No.4 透明 厚み0.03mm K-04 1冊(100枚)</t>
  </si>
  <si>
    <t>【ポリ袋】ジャパックス LD規格袋 No.7 0.03mm 透明 1袋（100枚入）</t>
  </si>
  <si>
    <t>【ポリ袋】ジャパックス LD規格袋 No.8 0.03mm 透明 1袋（100枚入）</t>
  </si>
  <si>
    <t>【ポリ袋】ジャパックス LD規格袋 No.9 0.03mm 透明 1袋（100枚入）</t>
  </si>
  <si>
    <t>【ポリ袋】ジャパックス LD規格袋 No.12 0.03mm 透明 1袋（100枚入）</t>
  </si>
  <si>
    <t>【ポリ袋】ジャパックス LD規格袋 No.13 0.03mm 透明 1袋（100枚入）</t>
  </si>
  <si>
    <t>ジャパックス LD規格袋 No.18 透明 厚み0.03mm K-18 1冊(100枚)</t>
  </si>
  <si>
    <t>EH13033</t>
  </si>
  <si>
    <t>1袋（10枚入）</t>
  </si>
  <si>
    <t>EH13031</t>
  </si>
  <si>
    <t>EH13036</t>
  </si>
  <si>
    <t>EH13029</t>
  </si>
  <si>
    <t>E136687</t>
  </si>
  <si>
    <t>1セット（1500枚）</t>
  </si>
  <si>
    <t>XA61370</t>
  </si>
  <si>
    <t>1冊（20枚）</t>
  </si>
  <si>
    <t>RH58840</t>
  </si>
  <si>
    <t>1箱（16個入）</t>
  </si>
  <si>
    <t>EW68843</t>
  </si>
  <si>
    <t>1冊</t>
  </si>
  <si>
    <t>E136604</t>
  </si>
  <si>
    <t>1セット（6000枚）</t>
  </si>
  <si>
    <t>EP77690</t>
  </si>
  <si>
    <t>1箱（100枚）</t>
  </si>
  <si>
    <t>EJ34928</t>
  </si>
  <si>
    <t>1冊（100枚）</t>
  </si>
  <si>
    <t>E136577</t>
  </si>
  <si>
    <t>1セット（2000枚）</t>
  </si>
  <si>
    <t>HX35593</t>
  </si>
  <si>
    <t>E136572</t>
  </si>
  <si>
    <t>1セット（500枚）</t>
  </si>
  <si>
    <t>AK04836</t>
  </si>
  <si>
    <t>1パック</t>
  </si>
  <si>
    <t>AK04834</t>
  </si>
  <si>
    <t>EW68844</t>
  </si>
  <si>
    <t>EW68845</t>
  </si>
  <si>
    <t>E136595</t>
  </si>
  <si>
    <t>1セット（1000枚）</t>
  </si>
  <si>
    <t>XA61341</t>
  </si>
  <si>
    <t>EW68853</t>
  </si>
  <si>
    <t>E136655</t>
  </si>
  <si>
    <t>XA61316</t>
  </si>
  <si>
    <t>XA61317</t>
  </si>
  <si>
    <t>AX27018</t>
  </si>
  <si>
    <t>1冊（300枚）</t>
  </si>
  <si>
    <t>HX35255</t>
  </si>
  <si>
    <t>1冊（200枚）</t>
  </si>
  <si>
    <t>KU78839</t>
  </si>
  <si>
    <t>NN09285</t>
  </si>
  <si>
    <t>1セット（100枚）</t>
  </si>
  <si>
    <t>EW68318</t>
  </si>
  <si>
    <t>EH28900</t>
  </si>
  <si>
    <t>1袋セット（100枚入）</t>
  </si>
  <si>
    <t>RJ10103</t>
  </si>
  <si>
    <t>XA61368</t>
  </si>
  <si>
    <t>RX98883</t>
  </si>
  <si>
    <t>1袋（100枚入）</t>
  </si>
  <si>
    <t>HX35594</t>
  </si>
  <si>
    <t>RN55153</t>
  </si>
  <si>
    <t>RN55095</t>
  </si>
  <si>
    <t>EH13034</t>
  </si>
  <si>
    <t>EH13027</t>
  </si>
  <si>
    <t>EH13032</t>
  </si>
  <si>
    <t>RX44924</t>
  </si>
  <si>
    <t>RX98887</t>
  </si>
  <si>
    <t>RX98886</t>
  </si>
  <si>
    <t>RX98888</t>
  </si>
  <si>
    <t>RX98889</t>
  </si>
  <si>
    <t>RX98885</t>
  </si>
  <si>
    <t>RX44898</t>
  </si>
  <si>
    <t>6月
たの</t>
    <rPh sb="1" eb="2">
      <t>ガツ</t>
    </rPh>
    <phoneticPr fontId="2"/>
  </si>
  <si>
    <t>6月
カウ</t>
    <rPh sb="1" eb="2">
      <t>ガツ</t>
    </rPh>
    <phoneticPr fontId="2"/>
  </si>
  <si>
    <t>たの
ｽﾗｲﾄﾞ</t>
    <phoneticPr fontId="2"/>
  </si>
  <si>
    <t>カウ
ｽﾗｲﾄﾞ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</si>
</sst>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6" borderId="3" xfId="0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4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54"/>
  <sheetViews>
    <sheetView tabSelected="1" zoomScale="90" zoomScaleNormal="90" workbookViewId="0">
      <pane xSplit="7" ySplit="5" topLeftCell="AA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625" customWidth="1" collapsed="1"/>
    <col min="26" max="28" width="7.625" customWidth="1"/>
    <col min="29" max="29" width="4.375" customWidth="1" collapsed="1"/>
    <col min="30" max="31" width="7.625" customWidth="1"/>
    <col min="32" max="32" width="7.6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9" t="s">
        <v>49</v>
      </c>
      <c r="Y1" s="45" t="s">
        <v>46</v>
      </c>
      <c r="Z1" s="46"/>
      <c r="AA1" s="46"/>
      <c r="AB1" s="47"/>
    </row>
    <row r="2" spans="1:68" x14ac:dyDescent="0.4">
      <c r="C2" s="8" t="s">
        <v>33</v>
      </c>
      <c r="D2" s="9" t="s">
        <v>34</v>
      </c>
      <c r="E2" s="9" t="s">
        <v>35</v>
      </c>
      <c r="F2" s="10"/>
      <c r="G2" s="10"/>
      <c r="H2" s="36"/>
      <c r="I2" s="36"/>
      <c r="J2" s="42" t="s">
        <v>36</v>
      </c>
      <c r="K2" s="44"/>
      <c r="L2" s="42" t="s">
        <v>2</v>
      </c>
      <c r="M2" s="43"/>
      <c r="N2" s="43"/>
      <c r="O2" s="44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39</v>
      </c>
      <c r="AA2" s="24"/>
      <c r="AB2" s="25" t="s">
        <v>39</v>
      </c>
      <c r="AC2" s="10"/>
      <c r="AD2" s="9" t="s">
        <v>44</v>
      </c>
      <c r="AE2" s="11"/>
      <c r="AF2" s="31"/>
      <c r="AG2" s="11"/>
      <c r="AH2" s="31"/>
      <c r="AI2" s="11"/>
      <c r="AJ2" s="22" t="s">
        <v>47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57</v>
      </c>
      <c r="B3" s="1" t="s">
        <v>62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20" t="s">
        <v>17</v>
      </c>
      <c r="AE3" s="2" t="s">
        <v>16</v>
      </c>
      <c r="AF3" s="32" t="s">
        <v>50</v>
      </c>
      <c r="AG3" s="12" t="s">
        <v>45</v>
      </c>
      <c r="AH3" s="37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6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63</v>
      </c>
      <c r="BH3" s="2" t="s">
        <v>15</v>
      </c>
      <c r="BI3" s="18" t="s">
        <v>51</v>
      </c>
      <c r="BJ3" s="18" t="s">
        <v>52</v>
      </c>
      <c r="BK3" s="15" t="s">
        <v>58</v>
      </c>
      <c r="BL3" s="39" t="s">
        <v>272</v>
      </c>
      <c r="BM3" s="40" t="s">
        <v>274</v>
      </c>
      <c r="BN3" s="40" t="s">
        <v>273</v>
      </c>
      <c r="BO3" s="40" t="s">
        <v>275</v>
      </c>
      <c r="BP3" s="34" t="s">
        <v>56</v>
      </c>
    </row>
    <row r="4" spans="1:68" x14ac:dyDescent="0.4">
      <c r="A4" s="3">
        <v>1</v>
      </c>
      <c r="B4" s="3">
        <v>1</v>
      </c>
      <c r="C4" s="4" t="s">
        <v>64</v>
      </c>
      <c r="D4" s="4" t="str">
        <f>TEXT(C4,"000000")</f>
        <v>J530MU</v>
      </c>
      <c r="E4" s="4" t="s">
        <v>64</v>
      </c>
      <c r="F4" s="4" t="s">
        <v>110</v>
      </c>
      <c r="G4" s="5">
        <v>4991437156667</v>
      </c>
      <c r="H4" s="5"/>
      <c r="I4" s="5"/>
      <c r="J4" s="5">
        <v>1</v>
      </c>
      <c r="K4" s="5">
        <v>1</v>
      </c>
      <c r="L4" s="4">
        <v>278</v>
      </c>
      <c r="M4" s="4">
        <v>244</v>
      </c>
      <c r="N4" s="4">
        <v>147</v>
      </c>
      <c r="O4" s="6">
        <f t="shared" ref="O4:O13" si="0">1-N4/M4</f>
        <v>0.39754098360655743</v>
      </c>
      <c r="P4" s="4" t="s">
        <v>162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199</v>
      </c>
      <c r="AB4" s="4">
        <f>IF(AC4="",AA4,AA4*AC4)</f>
        <v>199</v>
      </c>
      <c r="AC4" s="4"/>
      <c r="AD4" s="21">
        <f t="shared" ref="AD4:AD22" si="1">ROUND(M4*AR4,0)</f>
        <v>330</v>
      </c>
      <c r="AE4" s="6">
        <f t="shared" ref="AE4" si="2">1-AB4/AD4</f>
        <v>0.39696969696969697</v>
      </c>
      <c r="AF4" s="33">
        <v>13</v>
      </c>
      <c r="AG4" s="4" t="str">
        <f>BH4</f>
        <v>-</v>
      </c>
      <c r="AH4" s="33" t="str">
        <f>IFERROR(AG4*AR4,"-")</f>
        <v>-</v>
      </c>
      <c r="AI4" s="6" t="str">
        <f>IFERROR(1-AB4/AH4,"-")</f>
        <v>-</v>
      </c>
      <c r="AJ4" s="7">
        <v>330</v>
      </c>
      <c r="AK4" s="6">
        <f t="shared" ref="AK4:AK22" si="3">1-AB4/AJ4</f>
        <v>0.39696969696969697</v>
      </c>
      <c r="AL4" s="4">
        <f t="shared" ref="AL4:AL22" si="4">AJ4-AB4</f>
        <v>131</v>
      </c>
      <c r="AM4" s="28"/>
      <c r="AN4" s="6" t="e">
        <f>1-AB4/AM4</f>
        <v>#DIV/0!</v>
      </c>
      <c r="AO4" s="4">
        <f>AM4-AB4</f>
        <v>-199</v>
      </c>
      <c r="AP4" s="6">
        <f>IFERROR(Z4/L4,"-")</f>
        <v>0</v>
      </c>
      <c r="AQ4" s="6">
        <f>IFERROR(AJ4/M4,"")</f>
        <v>1.3524590163934427</v>
      </c>
      <c r="AR4" s="6">
        <f>IFERROR(AB4/N4,"")</f>
        <v>1.3537414965986394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161</v>
      </c>
      <c r="BD4" s="4"/>
      <c r="BE4" s="4"/>
      <c r="BF4" s="4" t="s">
        <v>161</v>
      </c>
      <c r="BG4" s="4" t="s">
        <v>161</v>
      </c>
      <c r="BH4" s="4" t="str">
        <f t="shared" ref="BH4:BH5" si="5">IF(BD4="",BG4,BD4/BE4*BG4)</f>
        <v>-</v>
      </c>
      <c r="BI4" s="19">
        <v>4</v>
      </c>
      <c r="BJ4" s="19">
        <v>1</v>
      </c>
      <c r="BK4" s="16">
        <v>18</v>
      </c>
      <c r="BL4" t="s">
        <v>161</v>
      </c>
      <c r="BM4" t="str">
        <f>IFERROR(BL4*AR4,"-")</f>
        <v>-</v>
      </c>
      <c r="BN4">
        <v>284</v>
      </c>
      <c r="BO4">
        <f>IFERROR(BN4*AR4,"-")</f>
        <v>384.46258503401361</v>
      </c>
      <c r="BP4" t="s">
        <v>161</v>
      </c>
    </row>
    <row r="5" spans="1:68" x14ac:dyDescent="0.4">
      <c r="A5" s="3">
        <v>2</v>
      </c>
      <c r="B5" s="3">
        <v>2</v>
      </c>
      <c r="C5" s="4" t="s">
        <v>65</v>
      </c>
      <c r="D5" s="4" t="str">
        <f t="shared" ref="D5:D13" si="6">TEXT(C5,"000000")</f>
        <v>J531MU</v>
      </c>
      <c r="E5" s="4" t="s">
        <v>65</v>
      </c>
      <c r="F5" s="4" t="s">
        <v>111</v>
      </c>
      <c r="G5" s="5">
        <v>4991437156698</v>
      </c>
      <c r="H5" s="5"/>
      <c r="I5" s="5"/>
      <c r="J5" s="5">
        <v>1</v>
      </c>
      <c r="K5" s="5">
        <v>1</v>
      </c>
      <c r="L5" s="4">
        <v>848</v>
      </c>
      <c r="M5" s="4">
        <v>809</v>
      </c>
      <c r="N5" s="4">
        <v>490</v>
      </c>
      <c r="O5" s="6">
        <f t="shared" si="0"/>
        <v>0.39431396786155748</v>
      </c>
      <c r="P5" s="4" t="s">
        <v>162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7">IF(AC5="",Y5,Y5*AC5)</f>
        <v>0</v>
      </c>
      <c r="AA5" s="4">
        <v>662</v>
      </c>
      <c r="AB5" s="4">
        <f t="shared" ref="AB5:AB13" si="8">IF(AC5="",AA5,AA5*AC5)</f>
        <v>662</v>
      </c>
      <c r="AC5" s="4"/>
      <c r="AD5" s="21">
        <f t="shared" si="1"/>
        <v>1093</v>
      </c>
      <c r="AE5" s="6">
        <f t="shared" ref="AE5" si="9">1-AB5/AD5</f>
        <v>0.39432753888380601</v>
      </c>
      <c r="AF5" s="33">
        <v>4.25</v>
      </c>
      <c r="AG5" s="4" t="str">
        <f t="shared" ref="AG5:AG13" si="10">BH5</f>
        <v>-</v>
      </c>
      <c r="AH5" s="33" t="str">
        <f t="shared" ref="AH5:AH54" si="11">IFERROR(AG5*AR5,"-")</f>
        <v>-</v>
      </c>
      <c r="AI5" s="6" t="str">
        <f t="shared" ref="AI5:AI54" si="12">IFERROR(1-AB5/AH5,"-")</f>
        <v>-</v>
      </c>
      <c r="AJ5" s="7">
        <v>1100</v>
      </c>
      <c r="AK5" s="6">
        <f t="shared" si="3"/>
        <v>0.39818181818181819</v>
      </c>
      <c r="AL5" s="4">
        <f t="shared" si="4"/>
        <v>438</v>
      </c>
      <c r="AM5" s="28"/>
      <c r="AN5" s="6"/>
      <c r="AO5" s="6"/>
      <c r="AP5" s="6">
        <f t="shared" ref="AP5:AP54" si="13">IFERROR(Z5/L5,"-")</f>
        <v>0</v>
      </c>
      <c r="AQ5" s="6">
        <f t="shared" ref="AQ5:AQ54" si="14">IFERROR(AJ5/M5,"")</f>
        <v>1.3597033374536465</v>
      </c>
      <c r="AR5" s="6">
        <f t="shared" ref="AR5:AR54" si="15">IFERROR(AB5/N5,"")</f>
        <v>1.3510204081632653</v>
      </c>
      <c r="AS5" s="4"/>
      <c r="AT5" s="4"/>
      <c r="AU5" s="4"/>
      <c r="AV5" s="4"/>
      <c r="AW5" s="4"/>
      <c r="AX5" s="4"/>
      <c r="AY5" s="4"/>
      <c r="AZ5" s="4"/>
      <c r="BA5" s="4"/>
      <c r="BB5" s="4">
        <v>0</v>
      </c>
      <c r="BC5" s="4" t="s">
        <v>161</v>
      </c>
      <c r="BD5" s="4"/>
      <c r="BE5" s="4"/>
      <c r="BF5" s="4" t="s">
        <v>161</v>
      </c>
      <c r="BG5" s="4" t="s">
        <v>161</v>
      </c>
      <c r="BH5" s="4" t="str">
        <f t="shared" si="5"/>
        <v>-</v>
      </c>
      <c r="BI5" s="19">
        <v>4</v>
      </c>
      <c r="BJ5" s="19">
        <v>1</v>
      </c>
      <c r="BK5" s="16">
        <v>18</v>
      </c>
      <c r="BL5" t="s">
        <v>161</v>
      </c>
      <c r="BM5" t="str">
        <f t="shared" ref="BM5:BM54" si="16">IFERROR(BL5*AR5,"-")</f>
        <v>-</v>
      </c>
      <c r="BN5">
        <v>839</v>
      </c>
      <c r="BO5">
        <f t="shared" ref="BO5:BO54" si="17">IFERROR(BN5*AR5,"-")</f>
        <v>1133.5061224489796</v>
      </c>
      <c r="BP5" t="s">
        <v>161</v>
      </c>
    </row>
    <row r="6" spans="1:68" x14ac:dyDescent="0.4">
      <c r="A6" s="3">
        <v>3</v>
      </c>
      <c r="B6" s="3">
        <v>3</v>
      </c>
      <c r="C6" s="17">
        <v>171381</v>
      </c>
      <c r="D6" s="4" t="str">
        <f t="shared" si="6"/>
        <v>171381</v>
      </c>
      <c r="E6" s="4">
        <v>171381</v>
      </c>
      <c r="F6" s="4" t="s">
        <v>112</v>
      </c>
      <c r="G6" s="5">
        <v>4991437156872</v>
      </c>
      <c r="H6" s="5"/>
      <c r="I6" s="5"/>
      <c r="J6" s="5">
        <v>1</v>
      </c>
      <c r="K6" s="5">
        <v>1</v>
      </c>
      <c r="L6" s="4">
        <v>0</v>
      </c>
      <c r="M6" s="4">
        <v>96</v>
      </c>
      <c r="N6" s="4">
        <v>61</v>
      </c>
      <c r="O6" s="6">
        <f t="shared" si="0"/>
        <v>0.36458333333333337</v>
      </c>
      <c r="P6" s="4" t="s">
        <v>162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7"/>
        <v>0</v>
      </c>
      <c r="AA6" s="4">
        <v>83</v>
      </c>
      <c r="AB6" s="4">
        <f t="shared" si="8"/>
        <v>83</v>
      </c>
      <c r="AC6" s="4"/>
      <c r="AD6" s="21">
        <f t="shared" si="1"/>
        <v>131</v>
      </c>
      <c r="AE6" s="6">
        <f t="shared" ref="AE6:AE13" si="18">1-AB6/AD6</f>
        <v>0.36641221374045807</v>
      </c>
      <c r="AF6" s="33">
        <v>28.249999999999996</v>
      </c>
      <c r="AG6" s="4" t="str">
        <f t="shared" si="10"/>
        <v>-</v>
      </c>
      <c r="AH6" s="33" t="str">
        <f t="shared" si="11"/>
        <v>-</v>
      </c>
      <c r="AI6" s="6" t="str">
        <f t="shared" si="12"/>
        <v>-</v>
      </c>
      <c r="AJ6" s="7">
        <v>138</v>
      </c>
      <c r="AK6" s="6">
        <f t="shared" si="3"/>
        <v>0.39855072463768115</v>
      </c>
      <c r="AL6" s="4">
        <f t="shared" si="4"/>
        <v>55</v>
      </c>
      <c r="AM6" s="28"/>
      <c r="AN6" s="6"/>
      <c r="AO6" s="6"/>
      <c r="AP6" s="6" t="str">
        <f t="shared" si="13"/>
        <v>-</v>
      </c>
      <c r="AQ6" s="6">
        <f t="shared" si="14"/>
        <v>1.4375</v>
      </c>
      <c r="AR6" s="6">
        <f t="shared" si="15"/>
        <v>1.360655737704918</v>
      </c>
      <c r="AS6" s="4"/>
      <c r="AT6" s="4"/>
      <c r="AU6" s="4"/>
      <c r="AV6" s="4"/>
      <c r="AW6" s="4"/>
      <c r="AX6" s="4"/>
      <c r="AY6" s="4"/>
      <c r="AZ6" s="4"/>
      <c r="BA6" s="4"/>
      <c r="BB6" s="4">
        <v>0</v>
      </c>
      <c r="BC6" s="4" t="s">
        <v>161</v>
      </c>
      <c r="BD6" s="4"/>
      <c r="BE6" s="4"/>
      <c r="BF6" s="4" t="s">
        <v>161</v>
      </c>
      <c r="BG6" s="4" t="s">
        <v>161</v>
      </c>
      <c r="BH6" s="4" t="str">
        <f t="shared" ref="BH6:BH13" si="19">IF(BD6="",BG6,BD6/BE6*BG6)</f>
        <v>-</v>
      </c>
      <c r="BI6" s="19">
        <v>4</v>
      </c>
      <c r="BJ6" s="19">
        <v>1</v>
      </c>
      <c r="BK6" s="16">
        <v>18</v>
      </c>
      <c r="BL6" t="s">
        <v>161</v>
      </c>
      <c r="BM6" t="str">
        <f t="shared" si="16"/>
        <v>-</v>
      </c>
      <c r="BN6">
        <v>154</v>
      </c>
      <c r="BO6">
        <f t="shared" si="17"/>
        <v>209.54098360655738</v>
      </c>
      <c r="BP6" t="s">
        <v>161</v>
      </c>
    </row>
    <row r="7" spans="1:68" x14ac:dyDescent="0.4">
      <c r="A7" s="3">
        <v>4</v>
      </c>
      <c r="B7" s="3">
        <v>4</v>
      </c>
      <c r="C7" s="17" t="s">
        <v>66</v>
      </c>
      <c r="D7" s="4" t="str">
        <f t="shared" si="6"/>
        <v>5830AR</v>
      </c>
      <c r="E7" s="4" t="s">
        <v>66</v>
      </c>
      <c r="F7" s="4" t="s">
        <v>113</v>
      </c>
      <c r="G7" s="5">
        <v>4521684101907</v>
      </c>
      <c r="H7" s="5"/>
      <c r="I7" s="5"/>
      <c r="J7" s="5">
        <v>1</v>
      </c>
      <c r="K7" s="5">
        <v>1</v>
      </c>
      <c r="L7" s="4">
        <v>0</v>
      </c>
      <c r="M7" s="4">
        <v>228</v>
      </c>
      <c r="N7" s="4">
        <v>168</v>
      </c>
      <c r="O7" s="6">
        <f t="shared" si="0"/>
        <v>0.26315789473684215</v>
      </c>
      <c r="P7" s="4" t="s">
        <v>162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7"/>
        <v>0</v>
      </c>
      <c r="AA7" s="4">
        <v>219</v>
      </c>
      <c r="AB7" s="4">
        <f t="shared" si="8"/>
        <v>219</v>
      </c>
      <c r="AC7" s="4"/>
      <c r="AD7" s="21">
        <f t="shared" si="1"/>
        <v>297</v>
      </c>
      <c r="AE7" s="6">
        <f t="shared" si="18"/>
        <v>0.26262626262626265</v>
      </c>
      <c r="AF7" s="33">
        <v>0.25</v>
      </c>
      <c r="AG7" s="4">
        <f t="shared" si="10"/>
        <v>254</v>
      </c>
      <c r="AH7" s="33">
        <f t="shared" si="11"/>
        <v>331.10714285714289</v>
      </c>
      <c r="AI7" s="6">
        <f t="shared" si="12"/>
        <v>0.3385826771653544</v>
      </c>
      <c r="AJ7" s="7">
        <v>330</v>
      </c>
      <c r="AK7" s="6">
        <f t="shared" si="3"/>
        <v>0.33636363636363631</v>
      </c>
      <c r="AL7" s="4">
        <f t="shared" si="4"/>
        <v>111</v>
      </c>
      <c r="AM7" s="28"/>
      <c r="AN7" s="6"/>
      <c r="AO7" s="6"/>
      <c r="AP7" s="6" t="str">
        <f t="shared" si="13"/>
        <v>-</v>
      </c>
      <c r="AQ7" s="6">
        <f t="shared" si="14"/>
        <v>1.4473684210526316</v>
      </c>
      <c r="AR7" s="6">
        <f t="shared" si="15"/>
        <v>1.3035714285714286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209</v>
      </c>
      <c r="BD7" s="4"/>
      <c r="BE7" s="4"/>
      <c r="BF7" s="4" t="s">
        <v>210</v>
      </c>
      <c r="BG7" s="4">
        <v>254</v>
      </c>
      <c r="BH7" s="4">
        <f t="shared" si="19"/>
        <v>254</v>
      </c>
      <c r="BI7" s="19">
        <v>4</v>
      </c>
      <c r="BJ7" s="19">
        <v>1</v>
      </c>
      <c r="BK7" s="16">
        <v>18</v>
      </c>
      <c r="BL7">
        <v>180</v>
      </c>
      <c r="BM7">
        <f t="shared" si="16"/>
        <v>234.64285714285714</v>
      </c>
      <c r="BN7" t="s">
        <v>161</v>
      </c>
      <c r="BO7" t="str">
        <f t="shared" si="17"/>
        <v>-</v>
      </c>
      <c r="BP7" t="s">
        <v>163</v>
      </c>
    </row>
    <row r="8" spans="1:68" x14ac:dyDescent="0.4">
      <c r="A8" s="3">
        <v>5</v>
      </c>
      <c r="B8" s="3">
        <v>5</v>
      </c>
      <c r="C8" s="17" t="s">
        <v>67</v>
      </c>
      <c r="D8" s="4" t="str">
        <f t="shared" si="6"/>
        <v>5829AR</v>
      </c>
      <c r="E8" s="4" t="s">
        <v>67</v>
      </c>
      <c r="F8" s="4" t="s">
        <v>114</v>
      </c>
      <c r="G8" s="5">
        <v>4521684101914</v>
      </c>
      <c r="H8" s="5"/>
      <c r="I8" s="5"/>
      <c r="J8" s="5">
        <v>1</v>
      </c>
      <c r="K8" s="5">
        <v>1</v>
      </c>
      <c r="L8" s="4">
        <v>0</v>
      </c>
      <c r="M8" s="4">
        <v>200</v>
      </c>
      <c r="N8" s="4">
        <v>132</v>
      </c>
      <c r="O8" s="6">
        <f t="shared" si="0"/>
        <v>0.33999999999999997</v>
      </c>
      <c r="P8" s="4" t="s">
        <v>162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7"/>
        <v>0</v>
      </c>
      <c r="AA8" s="4">
        <v>172</v>
      </c>
      <c r="AB8" s="4">
        <f t="shared" si="8"/>
        <v>172</v>
      </c>
      <c r="AC8" s="4"/>
      <c r="AD8" s="21">
        <f t="shared" si="1"/>
        <v>261</v>
      </c>
      <c r="AE8" s="6">
        <f t="shared" si="18"/>
        <v>0.34099616858237547</v>
      </c>
      <c r="AF8" s="33">
        <v>4.5</v>
      </c>
      <c r="AG8" s="4">
        <f t="shared" si="10"/>
        <v>254</v>
      </c>
      <c r="AH8" s="33">
        <f t="shared" si="11"/>
        <v>330.96969696969694</v>
      </c>
      <c r="AI8" s="6">
        <f t="shared" si="12"/>
        <v>0.48031496062992118</v>
      </c>
      <c r="AJ8" s="7">
        <v>280</v>
      </c>
      <c r="AK8" s="6">
        <f t="shared" si="3"/>
        <v>0.38571428571428568</v>
      </c>
      <c r="AL8" s="4">
        <f t="shared" si="4"/>
        <v>108</v>
      </c>
      <c r="AM8" s="28"/>
      <c r="AN8" s="6"/>
      <c r="AO8" s="6"/>
      <c r="AP8" s="6" t="str">
        <f t="shared" si="13"/>
        <v>-</v>
      </c>
      <c r="AQ8" s="6">
        <f t="shared" si="14"/>
        <v>1.4</v>
      </c>
      <c r="AR8" s="6">
        <f t="shared" si="15"/>
        <v>1.303030303030303</v>
      </c>
      <c r="AS8" s="4"/>
      <c r="AT8" s="4"/>
      <c r="AU8" s="4"/>
      <c r="AV8" s="4"/>
      <c r="AW8" s="4"/>
      <c r="AX8" s="4"/>
      <c r="AY8" s="4"/>
      <c r="AZ8" s="4"/>
      <c r="BA8" s="4"/>
      <c r="BB8" s="4">
        <v>0</v>
      </c>
      <c r="BC8" s="4" t="s">
        <v>211</v>
      </c>
      <c r="BD8" s="4"/>
      <c r="BE8" s="4"/>
      <c r="BF8" s="4" t="s">
        <v>210</v>
      </c>
      <c r="BG8" s="4">
        <v>254</v>
      </c>
      <c r="BH8" s="4">
        <f t="shared" si="19"/>
        <v>254</v>
      </c>
      <c r="BI8" s="19">
        <v>4</v>
      </c>
      <c r="BJ8" s="19">
        <v>1</v>
      </c>
      <c r="BK8" s="16">
        <v>18</v>
      </c>
      <c r="BL8">
        <v>180</v>
      </c>
      <c r="BM8">
        <f t="shared" si="16"/>
        <v>234.54545454545453</v>
      </c>
      <c r="BN8" t="s">
        <v>161</v>
      </c>
      <c r="BO8" t="str">
        <f t="shared" si="17"/>
        <v>-</v>
      </c>
      <c r="BP8" t="s">
        <v>164</v>
      </c>
    </row>
    <row r="9" spans="1:68" x14ac:dyDescent="0.4">
      <c r="A9" s="3">
        <v>6</v>
      </c>
      <c r="B9" s="3">
        <v>6</v>
      </c>
      <c r="C9" s="17" t="s">
        <v>68</v>
      </c>
      <c r="D9" s="4" t="str">
        <f t="shared" si="6"/>
        <v>5828AR</v>
      </c>
      <c r="E9" s="4" t="s">
        <v>68</v>
      </c>
      <c r="F9" s="4" t="s">
        <v>115</v>
      </c>
      <c r="G9" s="5">
        <v>4521684101921</v>
      </c>
      <c r="H9" s="5"/>
      <c r="I9" s="5"/>
      <c r="J9" s="5">
        <v>1</v>
      </c>
      <c r="K9" s="5">
        <v>1</v>
      </c>
      <c r="L9" s="4">
        <v>0</v>
      </c>
      <c r="M9" s="4">
        <v>297</v>
      </c>
      <c r="N9" s="4">
        <v>220</v>
      </c>
      <c r="O9" s="6">
        <f t="shared" si="0"/>
        <v>0.2592592592592593</v>
      </c>
      <c r="P9" s="4" t="s">
        <v>162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7"/>
        <v>0</v>
      </c>
      <c r="AA9" s="4">
        <v>287</v>
      </c>
      <c r="AB9" s="4">
        <f t="shared" si="8"/>
        <v>287</v>
      </c>
      <c r="AC9" s="4"/>
      <c r="AD9" s="21">
        <f t="shared" si="1"/>
        <v>387</v>
      </c>
      <c r="AE9" s="6">
        <f t="shared" si="18"/>
        <v>0.25839793281653745</v>
      </c>
      <c r="AF9" s="33">
        <v>0.25</v>
      </c>
      <c r="AG9" s="4">
        <f t="shared" si="10"/>
        <v>330</v>
      </c>
      <c r="AH9" s="33">
        <f t="shared" si="11"/>
        <v>430.49999999999994</v>
      </c>
      <c r="AI9" s="6">
        <f t="shared" si="12"/>
        <v>0.33333333333333326</v>
      </c>
      <c r="AJ9" s="7">
        <v>410</v>
      </c>
      <c r="AK9" s="6">
        <f t="shared" si="3"/>
        <v>0.30000000000000004</v>
      </c>
      <c r="AL9" s="4">
        <f t="shared" si="4"/>
        <v>123</v>
      </c>
      <c r="AM9" s="28"/>
      <c r="AN9" s="6"/>
      <c r="AO9" s="6"/>
      <c r="AP9" s="6" t="str">
        <f t="shared" si="13"/>
        <v>-</v>
      </c>
      <c r="AQ9" s="6">
        <f t="shared" si="14"/>
        <v>1.3804713804713804</v>
      </c>
      <c r="AR9" s="6">
        <f t="shared" si="15"/>
        <v>1.3045454545454545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212</v>
      </c>
      <c r="BD9" s="4"/>
      <c r="BE9" s="4"/>
      <c r="BF9" s="4" t="s">
        <v>210</v>
      </c>
      <c r="BG9" s="4">
        <v>330</v>
      </c>
      <c r="BH9" s="4">
        <f t="shared" si="19"/>
        <v>330</v>
      </c>
      <c r="BI9" s="19">
        <v>4</v>
      </c>
      <c r="BJ9" s="19">
        <v>1</v>
      </c>
      <c r="BK9" s="16">
        <v>18</v>
      </c>
      <c r="BL9">
        <v>298</v>
      </c>
      <c r="BM9">
        <f t="shared" si="16"/>
        <v>388.75454545454545</v>
      </c>
      <c r="BN9" t="s">
        <v>161</v>
      </c>
      <c r="BO9" t="str">
        <f t="shared" si="17"/>
        <v>-</v>
      </c>
      <c r="BP9" t="s">
        <v>165</v>
      </c>
    </row>
    <row r="10" spans="1:68" x14ac:dyDescent="0.4">
      <c r="A10" s="3">
        <v>7</v>
      </c>
      <c r="B10" s="3">
        <v>7</v>
      </c>
      <c r="C10" s="4" t="s">
        <v>69</v>
      </c>
      <c r="D10" s="4" t="str">
        <f t="shared" si="6"/>
        <v>5834AR</v>
      </c>
      <c r="E10" s="4" t="s">
        <v>69</v>
      </c>
      <c r="F10" s="4" t="s">
        <v>116</v>
      </c>
      <c r="G10" s="5">
        <v>4521684101945</v>
      </c>
      <c r="H10" s="5"/>
      <c r="I10" s="5"/>
      <c r="J10" s="5">
        <v>1</v>
      </c>
      <c r="K10" s="5">
        <v>1</v>
      </c>
      <c r="L10" s="4">
        <v>0</v>
      </c>
      <c r="M10" s="4">
        <v>490</v>
      </c>
      <c r="N10" s="4">
        <v>338</v>
      </c>
      <c r="O10" s="6">
        <f t="shared" si="0"/>
        <v>0.31020408163265301</v>
      </c>
      <c r="P10" s="4" t="s">
        <v>162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7"/>
        <v>0</v>
      </c>
      <c r="AA10" s="4">
        <v>440</v>
      </c>
      <c r="AB10" s="4">
        <f t="shared" si="8"/>
        <v>440</v>
      </c>
      <c r="AC10" s="4"/>
      <c r="AD10" s="21">
        <f t="shared" si="1"/>
        <v>638</v>
      </c>
      <c r="AE10" s="6">
        <f t="shared" si="18"/>
        <v>0.31034482758620685</v>
      </c>
      <c r="AF10" s="33">
        <v>0.25</v>
      </c>
      <c r="AG10" s="4">
        <f t="shared" si="10"/>
        <v>498</v>
      </c>
      <c r="AH10" s="33">
        <f t="shared" si="11"/>
        <v>648.28402366863907</v>
      </c>
      <c r="AI10" s="6">
        <f t="shared" si="12"/>
        <v>0.32128514056224899</v>
      </c>
      <c r="AJ10" s="7">
        <v>648</v>
      </c>
      <c r="AK10" s="6">
        <f t="shared" si="3"/>
        <v>0.32098765432098764</v>
      </c>
      <c r="AL10" s="4">
        <f t="shared" si="4"/>
        <v>208</v>
      </c>
      <c r="AM10" s="28"/>
      <c r="AN10" s="6"/>
      <c r="AO10" s="6"/>
      <c r="AP10" s="6" t="str">
        <f t="shared" si="13"/>
        <v>-</v>
      </c>
      <c r="AQ10" s="6">
        <f t="shared" si="14"/>
        <v>1.3224489795918368</v>
      </c>
      <c r="AR10" s="6">
        <f t="shared" si="15"/>
        <v>1.3017751479289941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213</v>
      </c>
      <c r="BD10" s="4"/>
      <c r="BE10" s="4"/>
      <c r="BF10" s="4" t="s">
        <v>210</v>
      </c>
      <c r="BG10" s="4">
        <v>498</v>
      </c>
      <c r="BH10" s="4">
        <f t="shared" si="19"/>
        <v>498</v>
      </c>
      <c r="BI10" s="19">
        <v>4</v>
      </c>
      <c r="BJ10" s="19">
        <v>1</v>
      </c>
      <c r="BK10" s="16">
        <v>18</v>
      </c>
      <c r="BL10">
        <v>498</v>
      </c>
      <c r="BM10">
        <f t="shared" si="16"/>
        <v>648.28402366863907</v>
      </c>
      <c r="BN10">
        <v>515</v>
      </c>
      <c r="BO10">
        <f t="shared" si="17"/>
        <v>670.41420118343194</v>
      </c>
      <c r="BP10" t="s">
        <v>166</v>
      </c>
    </row>
    <row r="11" spans="1:68" x14ac:dyDescent="0.4">
      <c r="A11" s="3">
        <v>8</v>
      </c>
      <c r="B11" s="3">
        <v>8</v>
      </c>
      <c r="C11" s="4">
        <v>396675</v>
      </c>
      <c r="D11" s="4" t="str">
        <f t="shared" si="6"/>
        <v>396675</v>
      </c>
      <c r="E11" s="4">
        <v>396675</v>
      </c>
      <c r="F11" s="4" t="s">
        <v>117</v>
      </c>
      <c r="G11" s="5">
        <v>4521684232380</v>
      </c>
      <c r="H11" s="5"/>
      <c r="I11" s="5"/>
      <c r="J11" s="5">
        <v>1</v>
      </c>
      <c r="K11" s="5">
        <v>1</v>
      </c>
      <c r="L11" s="4">
        <v>0</v>
      </c>
      <c r="M11" s="4">
        <v>151</v>
      </c>
      <c r="N11" s="4">
        <v>95</v>
      </c>
      <c r="O11" s="6">
        <f t="shared" si="0"/>
        <v>0.37086092715231789</v>
      </c>
      <c r="P11" s="4" t="s">
        <v>162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7"/>
        <v>0</v>
      </c>
      <c r="AA11" s="4">
        <v>126</v>
      </c>
      <c r="AB11" s="4">
        <f t="shared" si="8"/>
        <v>126</v>
      </c>
      <c r="AC11" s="4"/>
      <c r="AD11" s="21">
        <f t="shared" si="1"/>
        <v>200</v>
      </c>
      <c r="AE11" s="6">
        <f t="shared" si="18"/>
        <v>0.37</v>
      </c>
      <c r="AF11" s="33">
        <v>8</v>
      </c>
      <c r="AG11" s="4">
        <f t="shared" si="10"/>
        <v>118.28333333333333</v>
      </c>
      <c r="AH11" s="33">
        <f t="shared" si="11"/>
        <v>156.88105263157894</v>
      </c>
      <c r="AI11" s="6">
        <f t="shared" si="12"/>
        <v>0.19684373679019296</v>
      </c>
      <c r="AJ11" s="7">
        <v>200</v>
      </c>
      <c r="AK11" s="6">
        <f t="shared" si="3"/>
        <v>0.37</v>
      </c>
      <c r="AL11" s="4">
        <f t="shared" si="4"/>
        <v>74</v>
      </c>
      <c r="AM11" s="28"/>
      <c r="AN11" s="6"/>
      <c r="AO11" s="6"/>
      <c r="AP11" s="6" t="str">
        <f t="shared" si="13"/>
        <v>-</v>
      </c>
      <c r="AQ11" s="6">
        <f t="shared" si="14"/>
        <v>1.3245033112582782</v>
      </c>
      <c r="AR11" s="6">
        <f t="shared" si="15"/>
        <v>1.3263157894736841</v>
      </c>
      <c r="AS11" s="4"/>
      <c r="AT11" s="4"/>
      <c r="AU11" s="4"/>
      <c r="AV11" s="4"/>
      <c r="AW11" s="4"/>
      <c r="AX11" s="4"/>
      <c r="AY11" s="4"/>
      <c r="AZ11" s="4"/>
      <c r="BA11" s="4"/>
      <c r="BB11" s="4">
        <v>0</v>
      </c>
      <c r="BC11" s="4" t="s">
        <v>214</v>
      </c>
      <c r="BD11" s="4">
        <v>25</v>
      </c>
      <c r="BE11" s="4">
        <v>1500</v>
      </c>
      <c r="BF11" s="4" t="s">
        <v>215</v>
      </c>
      <c r="BG11" s="4">
        <v>7097</v>
      </c>
      <c r="BH11" s="4">
        <f t="shared" si="19"/>
        <v>118.28333333333333</v>
      </c>
      <c r="BI11" s="19">
        <v>4</v>
      </c>
      <c r="BJ11" s="19">
        <v>1</v>
      </c>
      <c r="BK11" s="16">
        <v>18</v>
      </c>
      <c r="BL11" t="s">
        <v>161</v>
      </c>
      <c r="BM11" t="str">
        <f t="shared" si="16"/>
        <v>-</v>
      </c>
      <c r="BN11">
        <v>11305</v>
      </c>
      <c r="BO11">
        <f t="shared" si="17"/>
        <v>14993.999999999998</v>
      </c>
      <c r="BP11" t="s">
        <v>167</v>
      </c>
    </row>
    <row r="12" spans="1:68" x14ac:dyDescent="0.4">
      <c r="A12" s="3">
        <v>9</v>
      </c>
      <c r="B12" s="3">
        <v>9</v>
      </c>
      <c r="C12" s="4">
        <v>396676</v>
      </c>
      <c r="D12" s="4" t="str">
        <f t="shared" si="6"/>
        <v>396676</v>
      </c>
      <c r="E12" s="4">
        <v>396676</v>
      </c>
      <c r="F12" s="4" t="s">
        <v>118</v>
      </c>
      <c r="G12" s="5">
        <v>4521684232397</v>
      </c>
      <c r="H12" s="5"/>
      <c r="I12" s="5"/>
      <c r="J12" s="5">
        <v>1</v>
      </c>
      <c r="K12" s="5">
        <v>1</v>
      </c>
      <c r="L12" s="4">
        <v>0</v>
      </c>
      <c r="M12" s="4">
        <v>151</v>
      </c>
      <c r="N12" s="4">
        <v>95</v>
      </c>
      <c r="O12" s="6">
        <f t="shared" si="0"/>
        <v>0.37086092715231789</v>
      </c>
      <c r="P12" s="4" t="s">
        <v>162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7"/>
        <v>0</v>
      </c>
      <c r="AA12" s="4">
        <v>126</v>
      </c>
      <c r="AB12" s="4">
        <f t="shared" si="8"/>
        <v>126</v>
      </c>
      <c r="AC12" s="4"/>
      <c r="AD12" s="21">
        <f t="shared" si="1"/>
        <v>200</v>
      </c>
      <c r="AE12" s="6">
        <f t="shared" si="18"/>
        <v>0.37</v>
      </c>
      <c r="AF12" s="33">
        <v>10.5</v>
      </c>
      <c r="AG12" s="4">
        <f t="shared" si="10"/>
        <v>208</v>
      </c>
      <c r="AH12" s="33">
        <f t="shared" si="11"/>
        <v>275.87368421052628</v>
      </c>
      <c r="AI12" s="6">
        <f t="shared" si="12"/>
        <v>0.54326923076923073</v>
      </c>
      <c r="AJ12" s="7">
        <v>200</v>
      </c>
      <c r="AK12" s="6">
        <f t="shared" si="3"/>
        <v>0.37</v>
      </c>
      <c r="AL12" s="4">
        <f t="shared" si="4"/>
        <v>74</v>
      </c>
      <c r="AM12" s="28"/>
      <c r="AN12" s="6"/>
      <c r="AO12" s="6"/>
      <c r="AP12" s="6" t="str">
        <f t="shared" si="13"/>
        <v>-</v>
      </c>
      <c r="AQ12" s="6">
        <f t="shared" si="14"/>
        <v>1.3245033112582782</v>
      </c>
      <c r="AR12" s="6">
        <f t="shared" si="15"/>
        <v>1.3263157894736841</v>
      </c>
      <c r="AS12" s="4"/>
      <c r="AT12" s="4"/>
      <c r="AU12" s="4"/>
      <c r="AV12" s="4"/>
      <c r="AW12" s="4"/>
      <c r="AX12" s="4"/>
      <c r="AY12" s="4"/>
      <c r="AZ12" s="4"/>
      <c r="BA12" s="4"/>
      <c r="BB12" s="4">
        <v>0</v>
      </c>
      <c r="BC12" s="4" t="s">
        <v>216</v>
      </c>
      <c r="BD12" s="4"/>
      <c r="BE12" s="4"/>
      <c r="BF12" s="4" t="s">
        <v>217</v>
      </c>
      <c r="BG12" s="4">
        <v>208</v>
      </c>
      <c r="BH12" s="4">
        <f t="shared" si="19"/>
        <v>208</v>
      </c>
      <c r="BI12" s="19">
        <v>4</v>
      </c>
      <c r="BJ12" s="19">
        <v>1</v>
      </c>
      <c r="BK12" s="16">
        <v>18</v>
      </c>
      <c r="BL12" t="s">
        <v>161</v>
      </c>
      <c r="BM12" t="str">
        <f t="shared" si="16"/>
        <v>-</v>
      </c>
      <c r="BN12">
        <v>11305</v>
      </c>
      <c r="BO12">
        <f t="shared" si="17"/>
        <v>14993.999999999998</v>
      </c>
      <c r="BP12" t="s">
        <v>168</v>
      </c>
    </row>
    <row r="13" spans="1:68" x14ac:dyDescent="0.4">
      <c r="A13" s="3">
        <v>10</v>
      </c>
      <c r="B13" s="3">
        <v>10</v>
      </c>
      <c r="C13" s="4">
        <v>392235</v>
      </c>
      <c r="D13" s="4" t="str">
        <f t="shared" si="6"/>
        <v>392235</v>
      </c>
      <c r="E13" s="4">
        <v>392235</v>
      </c>
      <c r="F13" s="4" t="s">
        <v>119</v>
      </c>
      <c r="G13" s="5">
        <v>4521684263803</v>
      </c>
      <c r="H13" s="5"/>
      <c r="I13" s="5"/>
      <c r="J13" s="5">
        <v>1</v>
      </c>
      <c r="K13" s="5">
        <v>1</v>
      </c>
      <c r="L13" s="4">
        <v>0</v>
      </c>
      <c r="M13" s="4">
        <v>493</v>
      </c>
      <c r="N13" s="4">
        <v>335</v>
      </c>
      <c r="O13" s="6">
        <f t="shared" si="0"/>
        <v>0.32048681541582147</v>
      </c>
      <c r="P13" s="4" t="s">
        <v>162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7"/>
        <v>0</v>
      </c>
      <c r="AA13" s="4">
        <v>440</v>
      </c>
      <c r="AB13" s="4">
        <f t="shared" si="8"/>
        <v>440</v>
      </c>
      <c r="AC13" s="4"/>
      <c r="AD13" s="21">
        <f t="shared" si="1"/>
        <v>648</v>
      </c>
      <c r="AE13" s="6">
        <f t="shared" si="18"/>
        <v>0.32098765432098764</v>
      </c>
      <c r="AF13" s="33">
        <v>3.5000000000000004</v>
      </c>
      <c r="AG13" s="4" t="str">
        <f t="shared" si="10"/>
        <v>-</v>
      </c>
      <c r="AH13" s="33" t="str">
        <f t="shared" si="11"/>
        <v>-</v>
      </c>
      <c r="AI13" s="6" t="str">
        <f t="shared" si="12"/>
        <v>-</v>
      </c>
      <c r="AJ13" s="7">
        <v>680</v>
      </c>
      <c r="AK13" s="6">
        <f t="shared" si="3"/>
        <v>0.3529411764705882</v>
      </c>
      <c r="AL13" s="4">
        <f t="shared" si="4"/>
        <v>240</v>
      </c>
      <c r="AM13" s="28"/>
      <c r="AN13" s="6"/>
      <c r="AO13" s="6"/>
      <c r="AP13" s="6" t="str">
        <f t="shared" si="13"/>
        <v>-</v>
      </c>
      <c r="AQ13" s="6">
        <f t="shared" si="14"/>
        <v>1.3793103448275863</v>
      </c>
      <c r="AR13" s="6">
        <f t="shared" si="15"/>
        <v>1.3134328358208955</v>
      </c>
      <c r="AS13" s="4"/>
      <c r="AT13" s="4"/>
      <c r="AU13" s="4"/>
      <c r="AV13" s="4"/>
      <c r="AW13" s="4"/>
      <c r="AX13" s="4"/>
      <c r="AY13" s="4"/>
      <c r="AZ13" s="4"/>
      <c r="BA13" s="4"/>
      <c r="BB13" s="4">
        <v>0</v>
      </c>
      <c r="BC13" s="4" t="s">
        <v>161</v>
      </c>
      <c r="BD13" s="4"/>
      <c r="BE13" s="4"/>
      <c r="BF13" s="4" t="s">
        <v>161</v>
      </c>
      <c r="BG13" s="4" t="s">
        <v>161</v>
      </c>
      <c r="BH13" s="4" t="str">
        <f t="shared" si="19"/>
        <v>-</v>
      </c>
      <c r="BI13" s="19">
        <v>4</v>
      </c>
      <c r="BJ13" s="19">
        <v>1</v>
      </c>
      <c r="BK13" s="16">
        <v>18</v>
      </c>
      <c r="BL13" t="s">
        <v>161</v>
      </c>
      <c r="BM13" t="str">
        <f t="shared" si="16"/>
        <v>-</v>
      </c>
      <c r="BN13" t="s">
        <v>161</v>
      </c>
      <c r="BO13" t="str">
        <f t="shared" si="17"/>
        <v>-</v>
      </c>
      <c r="BP13" t="s">
        <v>161</v>
      </c>
    </row>
    <row r="14" spans="1:68" x14ac:dyDescent="0.4">
      <c r="A14" s="3">
        <v>11</v>
      </c>
      <c r="B14" s="3">
        <v>11</v>
      </c>
      <c r="C14" s="4">
        <v>392236</v>
      </c>
      <c r="D14" s="4" t="str">
        <f t="shared" ref="D14:D22" si="20">TEXT(C14,"000000")</f>
        <v>392236</v>
      </c>
      <c r="E14" s="4">
        <v>392236</v>
      </c>
      <c r="F14" s="4" t="s">
        <v>120</v>
      </c>
      <c r="G14" s="5">
        <v>4521684263810</v>
      </c>
      <c r="H14" s="5"/>
      <c r="I14" s="5"/>
      <c r="J14" s="5">
        <v>1</v>
      </c>
      <c r="K14" s="5">
        <v>1</v>
      </c>
      <c r="L14" s="4">
        <v>0</v>
      </c>
      <c r="M14" s="4">
        <v>736</v>
      </c>
      <c r="N14" s="4">
        <v>499</v>
      </c>
      <c r="O14" s="6">
        <f t="shared" ref="O14:O22" si="21">1-N14/M14</f>
        <v>0.32201086956521741</v>
      </c>
      <c r="P14" s="4" t="s">
        <v>162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2">IF(AC14="",Y14,Y14*AC14)</f>
        <v>0</v>
      </c>
      <c r="AA14" s="4">
        <v>650</v>
      </c>
      <c r="AB14" s="4">
        <f t="shared" ref="AB14:AB22" si="23">IF(AC14="",AA14,AA14*AC14)</f>
        <v>650</v>
      </c>
      <c r="AC14" s="4"/>
      <c r="AD14" s="21">
        <f t="shared" si="1"/>
        <v>959</v>
      </c>
      <c r="AE14" s="6">
        <f t="shared" ref="AE14:AE22" si="24">1-AB14/AD14</f>
        <v>0.32221063607924927</v>
      </c>
      <c r="AF14" s="33">
        <v>2.25</v>
      </c>
      <c r="AG14" s="4">
        <f t="shared" ref="AG14:AG22" si="25">BH14</f>
        <v>642.75</v>
      </c>
      <c r="AH14" s="33">
        <f t="shared" si="11"/>
        <v>837.24949899799594</v>
      </c>
      <c r="AI14" s="6">
        <f t="shared" si="12"/>
        <v>0.2236483858420848</v>
      </c>
      <c r="AJ14" s="7">
        <v>1000</v>
      </c>
      <c r="AK14" s="6">
        <f t="shared" si="3"/>
        <v>0.35</v>
      </c>
      <c r="AL14" s="4">
        <f t="shared" si="4"/>
        <v>350</v>
      </c>
      <c r="AM14" s="28"/>
      <c r="AN14" s="6"/>
      <c r="AO14" s="6"/>
      <c r="AP14" s="6" t="str">
        <f t="shared" si="13"/>
        <v>-</v>
      </c>
      <c r="AQ14" s="6">
        <f t="shared" si="14"/>
        <v>1.3586956521739131</v>
      </c>
      <c r="AR14" s="6">
        <f t="shared" si="15"/>
        <v>1.3026052104208417</v>
      </c>
      <c r="AS14" s="4"/>
      <c r="AT14" s="4"/>
      <c r="AU14" s="4"/>
      <c r="AV14" s="4"/>
      <c r="AW14" s="4"/>
      <c r="AX14" s="4"/>
      <c r="AY14" s="4"/>
      <c r="AZ14" s="4"/>
      <c r="BA14" s="4"/>
      <c r="BB14" s="4">
        <v>0</v>
      </c>
      <c r="BC14" s="4" t="s">
        <v>218</v>
      </c>
      <c r="BD14" s="4">
        <v>1</v>
      </c>
      <c r="BE14" s="4">
        <v>16</v>
      </c>
      <c r="BF14" s="4" t="s">
        <v>219</v>
      </c>
      <c r="BG14" s="4">
        <v>10284</v>
      </c>
      <c r="BH14" s="4">
        <f t="shared" ref="BH14:BH22" si="26">IF(BD14="",BG14,BD14/BE14*BG14)</f>
        <v>642.75</v>
      </c>
      <c r="BI14" s="19">
        <v>4</v>
      </c>
      <c r="BJ14" s="19">
        <v>1</v>
      </c>
      <c r="BK14" s="16">
        <v>18</v>
      </c>
      <c r="BL14" t="s">
        <v>161</v>
      </c>
      <c r="BM14" t="str">
        <f t="shared" si="16"/>
        <v>-</v>
      </c>
      <c r="BN14">
        <v>880</v>
      </c>
      <c r="BO14">
        <f t="shared" si="17"/>
        <v>1146.2925851703405</v>
      </c>
      <c r="BP14" t="s">
        <v>169</v>
      </c>
    </row>
    <row r="15" spans="1:68" x14ac:dyDescent="0.4">
      <c r="A15" s="3">
        <v>12</v>
      </c>
      <c r="B15" s="3">
        <v>12</v>
      </c>
      <c r="C15" s="4" t="s">
        <v>70</v>
      </c>
      <c r="D15" s="4" t="str">
        <f t="shared" si="20"/>
        <v>J379WK</v>
      </c>
      <c r="E15" s="4" t="s">
        <v>70</v>
      </c>
      <c r="F15" s="4" t="s">
        <v>121</v>
      </c>
      <c r="G15" s="5">
        <v>4521684270450</v>
      </c>
      <c r="H15" s="5"/>
      <c r="I15" s="5"/>
      <c r="J15" s="5">
        <v>1</v>
      </c>
      <c r="K15" s="5">
        <v>1</v>
      </c>
      <c r="L15" s="4">
        <v>0</v>
      </c>
      <c r="M15" s="4">
        <v>718</v>
      </c>
      <c r="N15" s="4">
        <v>419</v>
      </c>
      <c r="O15" s="6">
        <f t="shared" si="21"/>
        <v>0.41643454038997219</v>
      </c>
      <c r="P15" s="4" t="s">
        <v>162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2"/>
        <v>0</v>
      </c>
      <c r="AA15" s="4">
        <v>545</v>
      </c>
      <c r="AB15" s="4">
        <f t="shared" si="23"/>
        <v>545</v>
      </c>
      <c r="AC15" s="4"/>
      <c r="AD15" s="21">
        <f t="shared" si="1"/>
        <v>934</v>
      </c>
      <c r="AE15" s="6">
        <f t="shared" si="24"/>
        <v>0.41648822269807284</v>
      </c>
      <c r="AF15" s="33">
        <v>0.5</v>
      </c>
      <c r="AG15" s="4">
        <f t="shared" si="25"/>
        <v>721</v>
      </c>
      <c r="AH15" s="33">
        <f t="shared" si="11"/>
        <v>937.81622911694512</v>
      </c>
      <c r="AI15" s="6">
        <f t="shared" si="12"/>
        <v>0.41886269070735094</v>
      </c>
      <c r="AJ15" s="7">
        <v>930</v>
      </c>
      <c r="AK15" s="6">
        <f t="shared" si="3"/>
        <v>0.41397849462365588</v>
      </c>
      <c r="AL15" s="4">
        <f t="shared" si="4"/>
        <v>385</v>
      </c>
      <c r="AM15" s="28"/>
      <c r="AN15" s="6"/>
      <c r="AO15" s="6"/>
      <c r="AP15" s="6" t="str">
        <f t="shared" si="13"/>
        <v>-</v>
      </c>
      <c r="AQ15" s="6">
        <f t="shared" si="14"/>
        <v>1.2952646239554317</v>
      </c>
      <c r="AR15" s="6">
        <f t="shared" si="15"/>
        <v>1.3007159904534606</v>
      </c>
      <c r="AS15" s="4"/>
      <c r="AT15" s="4"/>
      <c r="AU15" s="4"/>
      <c r="AV15" s="4"/>
      <c r="AW15" s="4"/>
      <c r="AX15" s="4"/>
      <c r="AY15" s="4"/>
      <c r="AZ15" s="4"/>
      <c r="BA15" s="4"/>
      <c r="BB15" s="4">
        <v>0</v>
      </c>
      <c r="BC15" s="4" t="s">
        <v>220</v>
      </c>
      <c r="BD15" s="4"/>
      <c r="BE15" s="4"/>
      <c r="BF15" s="4" t="s">
        <v>221</v>
      </c>
      <c r="BG15" s="4">
        <v>721</v>
      </c>
      <c r="BH15" s="4">
        <f t="shared" si="26"/>
        <v>721</v>
      </c>
      <c r="BI15" s="19">
        <v>4</v>
      </c>
      <c r="BJ15" s="19">
        <v>1</v>
      </c>
      <c r="BK15" s="16">
        <v>18</v>
      </c>
      <c r="BL15" t="s">
        <v>161</v>
      </c>
      <c r="BM15" t="str">
        <f t="shared" si="16"/>
        <v>-</v>
      </c>
      <c r="BN15">
        <v>1178</v>
      </c>
      <c r="BO15">
        <f t="shared" si="17"/>
        <v>1532.2434367541766</v>
      </c>
      <c r="BP15" t="s">
        <v>170</v>
      </c>
    </row>
    <row r="16" spans="1:68" x14ac:dyDescent="0.4">
      <c r="A16" s="3">
        <v>13</v>
      </c>
      <c r="B16" s="3">
        <v>13</v>
      </c>
      <c r="C16" s="4" t="s">
        <v>71</v>
      </c>
      <c r="D16" s="4" t="str">
        <f t="shared" si="20"/>
        <v>J380WK</v>
      </c>
      <c r="E16" s="4" t="s">
        <v>71</v>
      </c>
      <c r="F16" s="4" t="s">
        <v>122</v>
      </c>
      <c r="G16" s="5">
        <v>4521684271921</v>
      </c>
      <c r="H16" s="5"/>
      <c r="I16" s="5"/>
      <c r="J16" s="5">
        <v>1</v>
      </c>
      <c r="K16" s="5">
        <v>1</v>
      </c>
      <c r="L16" s="4">
        <v>0</v>
      </c>
      <c r="M16" s="4">
        <v>318</v>
      </c>
      <c r="N16" s="4">
        <v>183</v>
      </c>
      <c r="O16" s="6">
        <f t="shared" si="21"/>
        <v>0.42452830188679247</v>
      </c>
      <c r="P16" s="4" t="s">
        <v>162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2"/>
        <v>0</v>
      </c>
      <c r="AA16" s="4">
        <v>239</v>
      </c>
      <c r="AB16" s="4">
        <f t="shared" si="23"/>
        <v>239</v>
      </c>
      <c r="AC16" s="4"/>
      <c r="AD16" s="21">
        <f t="shared" si="1"/>
        <v>415</v>
      </c>
      <c r="AE16" s="6">
        <f t="shared" si="24"/>
        <v>0.42409638554216866</v>
      </c>
      <c r="AF16" s="33">
        <v>0.25</v>
      </c>
      <c r="AG16" s="4">
        <f t="shared" si="25"/>
        <v>228.04999999999998</v>
      </c>
      <c r="AH16" s="33">
        <f t="shared" si="11"/>
        <v>297.83579234972672</v>
      </c>
      <c r="AI16" s="6">
        <f t="shared" si="12"/>
        <v>0.1975443981582985</v>
      </c>
      <c r="AJ16" s="7">
        <v>395</v>
      </c>
      <c r="AK16" s="6">
        <f t="shared" si="3"/>
        <v>0.39493670886075949</v>
      </c>
      <c r="AL16" s="4">
        <f t="shared" si="4"/>
        <v>156</v>
      </c>
      <c r="AM16" s="28"/>
      <c r="AN16" s="6"/>
      <c r="AO16" s="6"/>
      <c r="AP16" s="6" t="str">
        <f t="shared" si="13"/>
        <v>-</v>
      </c>
      <c r="AQ16" s="6">
        <f t="shared" si="14"/>
        <v>1.2421383647798743</v>
      </c>
      <c r="AR16" s="6">
        <f t="shared" si="15"/>
        <v>1.3060109289617485</v>
      </c>
      <c r="AS16" s="4"/>
      <c r="AT16" s="4"/>
      <c r="AU16" s="4"/>
      <c r="AV16" s="4"/>
      <c r="AW16" s="4"/>
      <c r="AX16" s="4"/>
      <c r="AY16" s="4"/>
      <c r="AZ16" s="4"/>
      <c r="BA16" s="4"/>
      <c r="BB16" s="4">
        <v>0</v>
      </c>
      <c r="BC16" s="4" t="s">
        <v>222</v>
      </c>
      <c r="BD16" s="4">
        <v>100</v>
      </c>
      <c r="BE16" s="4">
        <v>6000</v>
      </c>
      <c r="BF16" s="4" t="s">
        <v>223</v>
      </c>
      <c r="BG16" s="4">
        <v>13683</v>
      </c>
      <c r="BH16" s="4">
        <f t="shared" si="26"/>
        <v>228.04999999999998</v>
      </c>
      <c r="BI16" s="19">
        <v>4</v>
      </c>
      <c r="BJ16" s="19">
        <v>1</v>
      </c>
      <c r="BK16" s="16">
        <v>18</v>
      </c>
      <c r="BL16" t="s">
        <v>161</v>
      </c>
      <c r="BM16" t="str">
        <f t="shared" si="16"/>
        <v>-</v>
      </c>
      <c r="BN16">
        <v>228</v>
      </c>
      <c r="BO16">
        <f t="shared" si="17"/>
        <v>297.77049180327867</v>
      </c>
      <c r="BP16" t="s">
        <v>171</v>
      </c>
    </row>
    <row r="17" spans="1:68" x14ac:dyDescent="0.4">
      <c r="A17" s="3">
        <v>14</v>
      </c>
      <c r="B17" s="3">
        <v>14</v>
      </c>
      <c r="C17" s="4" t="s">
        <v>72</v>
      </c>
      <c r="D17" s="4" t="str">
        <f t="shared" si="20"/>
        <v>J381WK</v>
      </c>
      <c r="E17" s="4" t="s">
        <v>72</v>
      </c>
      <c r="F17" s="4" t="s">
        <v>123</v>
      </c>
      <c r="G17" s="5">
        <v>4521684271938</v>
      </c>
      <c r="H17" s="5"/>
      <c r="I17" s="5"/>
      <c r="J17" s="5">
        <v>1</v>
      </c>
      <c r="K17" s="5">
        <v>1</v>
      </c>
      <c r="L17" s="4">
        <v>0</v>
      </c>
      <c r="M17" s="4">
        <v>458</v>
      </c>
      <c r="N17" s="4">
        <v>273</v>
      </c>
      <c r="O17" s="6">
        <f t="shared" si="21"/>
        <v>0.40393013100436681</v>
      </c>
      <c r="P17" s="4" t="s">
        <v>162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2"/>
        <v>0</v>
      </c>
      <c r="AA17" s="4">
        <v>357</v>
      </c>
      <c r="AB17" s="4">
        <f t="shared" si="23"/>
        <v>357</v>
      </c>
      <c r="AC17" s="4"/>
      <c r="AD17" s="21">
        <f t="shared" si="1"/>
        <v>599</v>
      </c>
      <c r="AE17" s="6">
        <f t="shared" si="24"/>
        <v>0.40400667779632726</v>
      </c>
      <c r="AF17" s="33">
        <v>1</v>
      </c>
      <c r="AG17" s="4">
        <f t="shared" si="25"/>
        <v>410</v>
      </c>
      <c r="AH17" s="33">
        <f t="shared" si="11"/>
        <v>536.15384615384619</v>
      </c>
      <c r="AI17" s="6">
        <f t="shared" si="12"/>
        <v>0.33414634146341471</v>
      </c>
      <c r="AJ17" s="7">
        <v>536</v>
      </c>
      <c r="AK17" s="6">
        <f t="shared" si="3"/>
        <v>0.33395522388059706</v>
      </c>
      <c r="AL17" s="4">
        <f t="shared" si="4"/>
        <v>179</v>
      </c>
      <c r="AM17" s="28"/>
      <c r="AN17" s="6"/>
      <c r="AO17" s="6"/>
      <c r="AP17" s="6" t="str">
        <f t="shared" si="13"/>
        <v>-</v>
      </c>
      <c r="AQ17" s="6">
        <f t="shared" si="14"/>
        <v>1.1703056768558953</v>
      </c>
      <c r="AR17" s="6">
        <f t="shared" si="15"/>
        <v>1.3076923076923077</v>
      </c>
      <c r="AS17" s="4"/>
      <c r="AT17" s="4"/>
      <c r="AU17" s="4"/>
      <c r="AV17" s="4"/>
      <c r="AW17" s="4"/>
      <c r="AX17" s="4"/>
      <c r="AY17" s="4"/>
      <c r="AZ17" s="4"/>
      <c r="BA17" s="4"/>
      <c r="BB17" s="4">
        <v>0</v>
      </c>
      <c r="BC17" s="4" t="s">
        <v>224</v>
      </c>
      <c r="BD17" s="4"/>
      <c r="BE17" s="4"/>
      <c r="BF17" s="4" t="s">
        <v>225</v>
      </c>
      <c r="BG17" s="4">
        <v>410</v>
      </c>
      <c r="BH17" s="4">
        <f t="shared" si="26"/>
        <v>410</v>
      </c>
      <c r="BI17" s="19">
        <v>4</v>
      </c>
      <c r="BJ17" s="19">
        <v>1</v>
      </c>
      <c r="BK17" s="16">
        <v>18</v>
      </c>
      <c r="BL17" t="s">
        <v>161</v>
      </c>
      <c r="BM17" t="str">
        <f t="shared" si="16"/>
        <v>-</v>
      </c>
      <c r="BN17">
        <v>298</v>
      </c>
      <c r="BO17">
        <f t="shared" si="17"/>
        <v>389.69230769230768</v>
      </c>
      <c r="BP17" t="s">
        <v>172</v>
      </c>
    </row>
    <row r="18" spans="1:68" x14ac:dyDescent="0.4">
      <c r="A18" s="3">
        <v>15</v>
      </c>
      <c r="B18" s="3">
        <v>15</v>
      </c>
      <c r="C18" s="4" t="s">
        <v>73</v>
      </c>
      <c r="D18" s="4" t="str">
        <f t="shared" si="20"/>
        <v>J382WK</v>
      </c>
      <c r="E18" s="4" t="s">
        <v>73</v>
      </c>
      <c r="F18" s="4" t="s">
        <v>124</v>
      </c>
      <c r="G18" s="5">
        <v>4521684271945</v>
      </c>
      <c r="H18" s="5"/>
      <c r="I18" s="5"/>
      <c r="J18" s="5">
        <v>1</v>
      </c>
      <c r="K18" s="5">
        <v>1</v>
      </c>
      <c r="L18" s="4">
        <v>0</v>
      </c>
      <c r="M18" s="4">
        <v>618</v>
      </c>
      <c r="N18" s="4">
        <v>368</v>
      </c>
      <c r="O18" s="6">
        <f t="shared" si="21"/>
        <v>0.40453074433656955</v>
      </c>
      <c r="P18" s="4" t="s">
        <v>162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2"/>
        <v>0</v>
      </c>
      <c r="AA18" s="4">
        <v>480</v>
      </c>
      <c r="AB18" s="4">
        <f t="shared" si="23"/>
        <v>480</v>
      </c>
      <c r="AC18" s="4"/>
      <c r="AD18" s="21">
        <f t="shared" si="1"/>
        <v>806</v>
      </c>
      <c r="AE18" s="6">
        <f t="shared" si="24"/>
        <v>0.40446650124069483</v>
      </c>
      <c r="AF18" s="33">
        <v>1.25</v>
      </c>
      <c r="AG18" s="4">
        <f t="shared" si="25"/>
        <v>538</v>
      </c>
      <c r="AH18" s="33">
        <f t="shared" si="11"/>
        <v>701.73913043478262</v>
      </c>
      <c r="AI18" s="6">
        <f t="shared" si="12"/>
        <v>0.31598513011152418</v>
      </c>
      <c r="AJ18" s="7">
        <v>700</v>
      </c>
      <c r="AK18" s="6">
        <f t="shared" si="3"/>
        <v>0.31428571428571428</v>
      </c>
      <c r="AL18" s="4">
        <f t="shared" si="4"/>
        <v>220</v>
      </c>
      <c r="AM18" s="28"/>
      <c r="AN18" s="6"/>
      <c r="AO18" s="6"/>
      <c r="AP18" s="6" t="str">
        <f t="shared" si="13"/>
        <v>-</v>
      </c>
      <c r="AQ18" s="6">
        <f t="shared" si="14"/>
        <v>1.1326860841423949</v>
      </c>
      <c r="AR18" s="6">
        <f t="shared" si="15"/>
        <v>1.3043478260869565</v>
      </c>
      <c r="AS18" s="4"/>
      <c r="AT18" s="4"/>
      <c r="AU18" s="4"/>
      <c r="AV18" s="4"/>
      <c r="AW18" s="4"/>
      <c r="AX18" s="4"/>
      <c r="AY18" s="4"/>
      <c r="AZ18" s="4"/>
      <c r="BA18" s="4"/>
      <c r="BB18" s="4">
        <v>0</v>
      </c>
      <c r="BC18" s="4" t="s">
        <v>226</v>
      </c>
      <c r="BD18" s="4"/>
      <c r="BE18" s="4"/>
      <c r="BF18" s="4" t="s">
        <v>227</v>
      </c>
      <c r="BG18" s="4">
        <v>538</v>
      </c>
      <c r="BH18" s="4">
        <f t="shared" si="26"/>
        <v>538</v>
      </c>
      <c r="BI18" s="19">
        <v>4</v>
      </c>
      <c r="BJ18" s="19">
        <v>1</v>
      </c>
      <c r="BK18" s="16">
        <v>18</v>
      </c>
      <c r="BL18" t="s">
        <v>161</v>
      </c>
      <c r="BM18" t="str">
        <f t="shared" si="16"/>
        <v>-</v>
      </c>
      <c r="BN18">
        <v>378</v>
      </c>
      <c r="BO18">
        <f t="shared" si="17"/>
        <v>493.04347826086956</v>
      </c>
      <c r="BP18" t="s">
        <v>173</v>
      </c>
    </row>
    <row r="19" spans="1:68" x14ac:dyDescent="0.4">
      <c r="A19" s="38">
        <v>16</v>
      </c>
      <c r="B19" s="3">
        <v>16</v>
      </c>
      <c r="C19" s="4" t="s">
        <v>74</v>
      </c>
      <c r="D19" s="4" t="str">
        <f t="shared" si="20"/>
        <v>J383WK</v>
      </c>
      <c r="E19" s="4" t="s">
        <v>74</v>
      </c>
      <c r="F19" s="4" t="s">
        <v>125</v>
      </c>
      <c r="G19" s="5">
        <v>4521684271952</v>
      </c>
      <c r="H19" s="5"/>
      <c r="I19" s="5"/>
      <c r="J19" s="5">
        <v>1</v>
      </c>
      <c r="K19" s="5">
        <v>1</v>
      </c>
      <c r="L19" s="4">
        <v>0</v>
      </c>
      <c r="M19" s="4">
        <v>1200</v>
      </c>
      <c r="N19" s="4">
        <v>559</v>
      </c>
      <c r="O19" s="6">
        <f t="shared" si="21"/>
        <v>0.53416666666666668</v>
      </c>
      <c r="P19" s="4" t="s">
        <v>162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2"/>
        <v>0</v>
      </c>
      <c r="AA19" s="4">
        <v>731</v>
      </c>
      <c r="AB19" s="4">
        <f t="shared" si="23"/>
        <v>731</v>
      </c>
      <c r="AC19" s="4"/>
      <c r="AD19" s="21">
        <f t="shared" si="1"/>
        <v>1569</v>
      </c>
      <c r="AE19" s="6">
        <f t="shared" si="24"/>
        <v>0.53409815168897379</v>
      </c>
      <c r="AF19" s="33">
        <v>0</v>
      </c>
      <c r="AG19" s="4">
        <f t="shared" si="25"/>
        <v>599.4</v>
      </c>
      <c r="AH19" s="33">
        <f t="shared" si="11"/>
        <v>783.83076923076919</v>
      </c>
      <c r="AI19" s="6">
        <f t="shared" si="12"/>
        <v>6.7400734067400658E-2</v>
      </c>
      <c r="AJ19" s="7">
        <v>1570</v>
      </c>
      <c r="AK19" s="6">
        <f t="shared" si="3"/>
        <v>0.53439490445859872</v>
      </c>
      <c r="AL19" s="41">
        <f t="shared" si="4"/>
        <v>839</v>
      </c>
      <c r="AM19" s="28"/>
      <c r="AN19" s="6"/>
      <c r="AO19" s="6"/>
      <c r="AP19" s="6" t="str">
        <f t="shared" si="13"/>
        <v>-</v>
      </c>
      <c r="AQ19" s="6">
        <f t="shared" si="14"/>
        <v>1.3083333333333333</v>
      </c>
      <c r="AR19" s="6">
        <f t="shared" si="15"/>
        <v>1.3076923076923077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 t="s">
        <v>228</v>
      </c>
      <c r="BD19" s="4">
        <v>100</v>
      </c>
      <c r="BE19" s="4">
        <v>2000</v>
      </c>
      <c r="BF19" s="4" t="s">
        <v>229</v>
      </c>
      <c r="BG19" s="4">
        <v>11988</v>
      </c>
      <c r="BH19" s="4">
        <f t="shared" si="26"/>
        <v>599.4</v>
      </c>
      <c r="BI19" s="19">
        <v>2</v>
      </c>
      <c r="BJ19" s="19">
        <v>1</v>
      </c>
      <c r="BK19" s="16">
        <v>18</v>
      </c>
      <c r="BL19" t="s">
        <v>161</v>
      </c>
      <c r="BM19" t="str">
        <f t="shared" si="16"/>
        <v>-</v>
      </c>
      <c r="BN19">
        <v>598</v>
      </c>
      <c r="BO19">
        <f t="shared" si="17"/>
        <v>782</v>
      </c>
      <c r="BP19" t="s">
        <v>174</v>
      </c>
    </row>
    <row r="20" spans="1:68" x14ac:dyDescent="0.4">
      <c r="A20" s="38">
        <v>17</v>
      </c>
      <c r="B20" s="3">
        <v>17</v>
      </c>
      <c r="C20" s="4" t="s">
        <v>75</v>
      </c>
      <c r="D20" s="4" t="str">
        <f t="shared" si="20"/>
        <v>J384WK</v>
      </c>
      <c r="E20" s="4" t="s">
        <v>75</v>
      </c>
      <c r="F20" s="4" t="s">
        <v>126</v>
      </c>
      <c r="G20" s="5">
        <v>4521684271969</v>
      </c>
      <c r="H20" s="5"/>
      <c r="I20" s="5"/>
      <c r="J20" s="5">
        <v>1</v>
      </c>
      <c r="K20" s="5">
        <v>1</v>
      </c>
      <c r="L20" s="4">
        <v>0</v>
      </c>
      <c r="M20" s="4">
        <v>1480</v>
      </c>
      <c r="N20" s="4">
        <v>878</v>
      </c>
      <c r="O20" s="6">
        <f t="shared" si="21"/>
        <v>0.40675675675675671</v>
      </c>
      <c r="P20" s="4" t="s">
        <v>162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2"/>
        <v>0</v>
      </c>
      <c r="AA20" s="4">
        <v>1142</v>
      </c>
      <c r="AB20" s="4">
        <f t="shared" si="23"/>
        <v>1142</v>
      </c>
      <c r="AC20" s="4"/>
      <c r="AD20" s="21">
        <f t="shared" si="1"/>
        <v>1925</v>
      </c>
      <c r="AE20" s="6">
        <f t="shared" si="24"/>
        <v>0.40675324675324676</v>
      </c>
      <c r="AF20" s="33">
        <v>0</v>
      </c>
      <c r="AG20" s="4">
        <f t="shared" si="25"/>
        <v>1200</v>
      </c>
      <c r="AH20" s="33">
        <f t="shared" si="11"/>
        <v>1560.8200455580866</v>
      </c>
      <c r="AI20" s="6">
        <f t="shared" si="12"/>
        <v>0.26833333333333331</v>
      </c>
      <c r="AJ20" s="7">
        <v>1930</v>
      </c>
      <c r="AK20" s="6">
        <f t="shared" si="3"/>
        <v>0.40829015544041447</v>
      </c>
      <c r="AL20" s="41">
        <f t="shared" si="4"/>
        <v>788</v>
      </c>
      <c r="AM20" s="28"/>
      <c r="AN20" s="6"/>
      <c r="AO20" s="6"/>
      <c r="AP20" s="6" t="str">
        <f t="shared" si="13"/>
        <v>-</v>
      </c>
      <c r="AQ20" s="6">
        <f t="shared" si="14"/>
        <v>1.3040540540540539</v>
      </c>
      <c r="AR20" s="6">
        <f t="shared" si="15"/>
        <v>1.3006833712984054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 t="s">
        <v>230</v>
      </c>
      <c r="BD20" s="4"/>
      <c r="BE20" s="4"/>
      <c r="BF20" s="4" t="s">
        <v>221</v>
      </c>
      <c r="BG20" s="4">
        <v>1200</v>
      </c>
      <c r="BH20" s="4">
        <f t="shared" si="26"/>
        <v>1200</v>
      </c>
      <c r="BI20" s="19">
        <v>2</v>
      </c>
      <c r="BJ20" s="19">
        <v>1</v>
      </c>
      <c r="BK20" s="16">
        <v>18</v>
      </c>
      <c r="BL20" t="s">
        <v>161</v>
      </c>
      <c r="BM20" t="str">
        <f t="shared" si="16"/>
        <v>-</v>
      </c>
      <c r="BN20">
        <v>8797</v>
      </c>
      <c r="BO20">
        <f t="shared" si="17"/>
        <v>11442.111617312072</v>
      </c>
      <c r="BP20" t="s">
        <v>175</v>
      </c>
    </row>
    <row r="21" spans="1:68" x14ac:dyDescent="0.4">
      <c r="A21" s="38">
        <v>18</v>
      </c>
      <c r="B21" s="3">
        <v>18</v>
      </c>
      <c r="C21" s="4" t="s">
        <v>76</v>
      </c>
      <c r="D21" s="4" t="str">
        <f t="shared" si="20"/>
        <v>J385WK</v>
      </c>
      <c r="E21" s="4" t="s">
        <v>76</v>
      </c>
      <c r="F21" s="4" t="s">
        <v>127</v>
      </c>
      <c r="G21" s="5">
        <v>4521684271976</v>
      </c>
      <c r="H21" s="5"/>
      <c r="I21" s="5"/>
      <c r="J21" s="5">
        <v>1</v>
      </c>
      <c r="K21" s="5">
        <v>1</v>
      </c>
      <c r="L21" s="4">
        <v>0</v>
      </c>
      <c r="M21" s="4">
        <v>2280</v>
      </c>
      <c r="N21" s="4">
        <v>1323</v>
      </c>
      <c r="O21" s="6">
        <f t="shared" si="21"/>
        <v>0.41973684210526319</v>
      </c>
      <c r="P21" s="4" t="s">
        <v>162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2"/>
        <v>0</v>
      </c>
      <c r="AA21" s="4">
        <v>1721</v>
      </c>
      <c r="AB21" s="4">
        <f t="shared" si="23"/>
        <v>1721</v>
      </c>
      <c r="AC21" s="4"/>
      <c r="AD21" s="21">
        <f t="shared" si="1"/>
        <v>2966</v>
      </c>
      <c r="AE21" s="6">
        <f t="shared" si="24"/>
        <v>0.41975724881995957</v>
      </c>
      <c r="AF21" s="33">
        <v>0</v>
      </c>
      <c r="AG21" s="4">
        <f t="shared" si="25"/>
        <v>1830.6000000000001</v>
      </c>
      <c r="AH21" s="33">
        <f t="shared" si="11"/>
        <v>2381.302040816327</v>
      </c>
      <c r="AI21" s="6">
        <f t="shared" si="12"/>
        <v>0.27728613569321547</v>
      </c>
      <c r="AJ21" s="7">
        <v>2900</v>
      </c>
      <c r="AK21" s="6">
        <f t="shared" si="3"/>
        <v>0.40655172413793106</v>
      </c>
      <c r="AL21" s="41">
        <f t="shared" si="4"/>
        <v>1179</v>
      </c>
      <c r="AM21" s="28"/>
      <c r="AN21" s="6"/>
      <c r="AO21" s="6"/>
      <c r="AP21" s="6" t="str">
        <f t="shared" si="13"/>
        <v>-</v>
      </c>
      <c r="AQ21" s="6">
        <f t="shared" si="14"/>
        <v>1.2719298245614035</v>
      </c>
      <c r="AR21" s="6">
        <f t="shared" si="15"/>
        <v>1.3008314436885866</v>
      </c>
      <c r="AS21" s="4"/>
      <c r="AT21" s="4"/>
      <c r="AU21" s="4"/>
      <c r="AV21" s="4"/>
      <c r="AW21" s="4"/>
      <c r="AX21" s="4"/>
      <c r="AY21" s="4"/>
      <c r="AZ21" s="4"/>
      <c r="BA21" s="4"/>
      <c r="BB21" s="4">
        <v>0</v>
      </c>
      <c r="BC21" s="4" t="s">
        <v>231</v>
      </c>
      <c r="BD21" s="4">
        <v>100</v>
      </c>
      <c r="BE21" s="4">
        <v>500</v>
      </c>
      <c r="BF21" s="4" t="s">
        <v>232</v>
      </c>
      <c r="BG21" s="4">
        <v>9153</v>
      </c>
      <c r="BH21" s="4">
        <f t="shared" si="26"/>
        <v>1830.6000000000001</v>
      </c>
      <c r="BI21" s="19">
        <v>2</v>
      </c>
      <c r="BJ21" s="19">
        <v>1</v>
      </c>
      <c r="BK21" s="16">
        <v>18</v>
      </c>
      <c r="BL21" t="s">
        <v>161</v>
      </c>
      <c r="BM21" t="str">
        <f t="shared" si="16"/>
        <v>-</v>
      </c>
      <c r="BN21" t="s">
        <v>161</v>
      </c>
      <c r="BO21" t="str">
        <f t="shared" si="17"/>
        <v>-</v>
      </c>
      <c r="BP21" t="s">
        <v>176</v>
      </c>
    </row>
    <row r="22" spans="1:68" x14ac:dyDescent="0.4">
      <c r="A22" s="3">
        <v>19</v>
      </c>
      <c r="B22" s="3">
        <v>19</v>
      </c>
      <c r="C22" s="4" t="s">
        <v>77</v>
      </c>
      <c r="D22" s="4" t="str">
        <f t="shared" si="20"/>
        <v>J386WK</v>
      </c>
      <c r="E22" s="4" t="s">
        <v>77</v>
      </c>
      <c r="F22" s="4" t="s">
        <v>128</v>
      </c>
      <c r="G22" s="5">
        <v>4521684271990</v>
      </c>
      <c r="H22" s="5"/>
      <c r="I22" s="5"/>
      <c r="J22" s="5">
        <v>1</v>
      </c>
      <c r="K22" s="5">
        <v>1</v>
      </c>
      <c r="L22" s="4">
        <v>0</v>
      </c>
      <c r="M22" s="4">
        <v>248</v>
      </c>
      <c r="N22" s="4">
        <v>145</v>
      </c>
      <c r="O22" s="6">
        <f t="shared" si="21"/>
        <v>0.41532258064516125</v>
      </c>
      <c r="P22" s="4" t="s">
        <v>162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2"/>
        <v>0</v>
      </c>
      <c r="AA22" s="4">
        <v>190</v>
      </c>
      <c r="AB22" s="4">
        <f t="shared" si="23"/>
        <v>190</v>
      </c>
      <c r="AC22" s="4"/>
      <c r="AD22" s="21">
        <f t="shared" si="1"/>
        <v>325</v>
      </c>
      <c r="AE22" s="6">
        <f t="shared" si="24"/>
        <v>0.41538461538461535</v>
      </c>
      <c r="AF22" s="33">
        <v>1</v>
      </c>
      <c r="AG22" s="4">
        <f t="shared" si="25"/>
        <v>283</v>
      </c>
      <c r="AH22" s="33">
        <f t="shared" si="11"/>
        <v>370.82758620689651</v>
      </c>
      <c r="AI22" s="6">
        <f t="shared" si="12"/>
        <v>0.48763250883392217</v>
      </c>
      <c r="AJ22" s="7">
        <v>325</v>
      </c>
      <c r="AK22" s="6">
        <f t="shared" si="3"/>
        <v>0.41538461538461535</v>
      </c>
      <c r="AL22" s="4">
        <f t="shared" si="4"/>
        <v>135</v>
      </c>
      <c r="AM22" s="28"/>
      <c r="AN22" s="6"/>
      <c r="AO22" s="6"/>
      <c r="AP22" s="6" t="str">
        <f t="shared" si="13"/>
        <v>-</v>
      </c>
      <c r="AQ22" s="6">
        <f t="shared" si="14"/>
        <v>1.310483870967742</v>
      </c>
      <c r="AR22" s="6">
        <f t="shared" si="15"/>
        <v>1.3103448275862069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 t="s">
        <v>233</v>
      </c>
      <c r="BD22" s="4"/>
      <c r="BE22" s="4"/>
      <c r="BF22" s="4" t="s">
        <v>234</v>
      </c>
      <c r="BG22" s="4">
        <v>283</v>
      </c>
      <c r="BH22" s="4">
        <f t="shared" si="26"/>
        <v>283</v>
      </c>
      <c r="BI22" s="19">
        <v>4</v>
      </c>
      <c r="BJ22" s="19">
        <v>1</v>
      </c>
      <c r="BK22" s="16">
        <v>18</v>
      </c>
      <c r="BL22" t="s">
        <v>161</v>
      </c>
      <c r="BM22" t="str">
        <f t="shared" si="16"/>
        <v>-</v>
      </c>
      <c r="BN22" t="s">
        <v>161</v>
      </c>
      <c r="BO22" t="str">
        <f t="shared" si="17"/>
        <v>-</v>
      </c>
      <c r="BP22" t="s">
        <v>177</v>
      </c>
    </row>
    <row r="23" spans="1:68" x14ac:dyDescent="0.4">
      <c r="A23" s="3">
        <v>20</v>
      </c>
      <c r="B23" s="3">
        <v>20</v>
      </c>
      <c r="C23" s="4" t="s">
        <v>78</v>
      </c>
      <c r="D23" s="4" t="str">
        <f t="shared" ref="D23:D54" si="27">TEXT(C23,"000000")</f>
        <v>J387WK</v>
      </c>
      <c r="E23" s="4" t="s">
        <v>78</v>
      </c>
      <c r="F23" s="4" t="s">
        <v>129</v>
      </c>
      <c r="G23" s="5">
        <v>4521684272003</v>
      </c>
      <c r="H23" s="5"/>
      <c r="I23" s="5"/>
      <c r="J23" s="5">
        <v>1</v>
      </c>
      <c r="K23" s="5">
        <v>1</v>
      </c>
      <c r="L23" s="4">
        <v>0</v>
      </c>
      <c r="M23" s="4">
        <v>318</v>
      </c>
      <c r="N23" s="4">
        <v>183</v>
      </c>
      <c r="O23" s="6">
        <f t="shared" ref="O23:O54" si="28">1-N23/M23</f>
        <v>0.42452830188679247</v>
      </c>
      <c r="P23" s="4" t="s">
        <v>162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54" si="29">IF(AC23="",Y23,Y23*AC23)</f>
        <v>0</v>
      </c>
      <c r="AA23" s="4">
        <v>239</v>
      </c>
      <c r="AB23" s="4">
        <f t="shared" ref="AB23:AB54" si="30">IF(AC23="",AA23,AA23*AC23)</f>
        <v>239</v>
      </c>
      <c r="AC23" s="4"/>
      <c r="AD23" s="21">
        <f t="shared" ref="AD23:AD54" si="31">ROUND(M23*AR23,0)</f>
        <v>415</v>
      </c>
      <c r="AE23" s="6">
        <f t="shared" ref="AE23:AE54" si="32">1-AB23/AD23</f>
        <v>0.42409638554216866</v>
      </c>
      <c r="AF23" s="33">
        <v>0.75</v>
      </c>
      <c r="AG23" s="4">
        <f t="shared" ref="AG23:AG54" si="33">BH23</f>
        <v>337</v>
      </c>
      <c r="AH23" s="33">
        <f t="shared" si="11"/>
        <v>440.12568306010928</v>
      </c>
      <c r="AI23" s="6">
        <f t="shared" si="12"/>
        <v>0.45697329376854601</v>
      </c>
      <c r="AJ23" s="7">
        <v>415</v>
      </c>
      <c r="AK23" s="6">
        <f t="shared" ref="AK23:AK54" si="34">1-AB23/AJ23</f>
        <v>0.42409638554216866</v>
      </c>
      <c r="AL23" s="4">
        <f t="shared" ref="AL23:AL54" si="35">AJ23-AB23</f>
        <v>176</v>
      </c>
      <c r="AM23" s="28"/>
      <c r="AN23" s="6"/>
      <c r="AO23" s="6"/>
      <c r="AP23" s="6" t="str">
        <f t="shared" si="13"/>
        <v>-</v>
      </c>
      <c r="AQ23" s="6">
        <f t="shared" si="14"/>
        <v>1.3050314465408805</v>
      </c>
      <c r="AR23" s="6">
        <f t="shared" si="15"/>
        <v>1.3060109289617485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 t="s">
        <v>235</v>
      </c>
      <c r="BD23" s="4"/>
      <c r="BE23" s="4"/>
      <c r="BF23" s="4" t="s">
        <v>234</v>
      </c>
      <c r="BG23" s="4">
        <v>337</v>
      </c>
      <c r="BH23" s="4">
        <f t="shared" ref="BH23:BH54" si="36">IF(BD23="",BG23,BD23/BE23*BG23)</f>
        <v>337</v>
      </c>
      <c r="BI23" s="19">
        <v>4</v>
      </c>
      <c r="BJ23" s="19">
        <v>1</v>
      </c>
      <c r="BK23" s="16">
        <v>18</v>
      </c>
      <c r="BL23" t="s">
        <v>161</v>
      </c>
      <c r="BM23" t="str">
        <f t="shared" si="16"/>
        <v>-</v>
      </c>
      <c r="BN23" t="s">
        <v>161</v>
      </c>
      <c r="BO23" t="str">
        <f t="shared" si="17"/>
        <v>-</v>
      </c>
      <c r="BP23" t="s">
        <v>178</v>
      </c>
    </row>
    <row r="24" spans="1:68" x14ac:dyDescent="0.4">
      <c r="A24" s="3">
        <v>21</v>
      </c>
      <c r="B24" s="3">
        <v>21</v>
      </c>
      <c r="C24" s="4" t="s">
        <v>79</v>
      </c>
      <c r="D24" s="4" t="str">
        <f t="shared" si="27"/>
        <v>J388WK</v>
      </c>
      <c r="E24" s="4" t="s">
        <v>79</v>
      </c>
      <c r="F24" s="4" t="s">
        <v>130</v>
      </c>
      <c r="G24" s="5">
        <v>4521684272935</v>
      </c>
      <c r="H24" s="5"/>
      <c r="I24" s="5"/>
      <c r="J24" s="5">
        <v>1</v>
      </c>
      <c r="K24" s="5">
        <v>1</v>
      </c>
      <c r="L24" s="4">
        <v>0</v>
      </c>
      <c r="M24" s="4">
        <v>478</v>
      </c>
      <c r="N24" s="4">
        <v>285</v>
      </c>
      <c r="O24" s="6">
        <f t="shared" si="28"/>
        <v>0.40376569037656906</v>
      </c>
      <c r="P24" s="4" t="s">
        <v>162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29"/>
        <v>0</v>
      </c>
      <c r="AA24" s="4">
        <v>373</v>
      </c>
      <c r="AB24" s="4">
        <f t="shared" si="30"/>
        <v>373</v>
      </c>
      <c r="AC24" s="4"/>
      <c r="AD24" s="21">
        <f t="shared" si="31"/>
        <v>626</v>
      </c>
      <c r="AE24" s="6">
        <f t="shared" si="32"/>
        <v>0.40415335463258784</v>
      </c>
      <c r="AF24" s="33">
        <v>1.25</v>
      </c>
      <c r="AG24" s="4">
        <f t="shared" si="33"/>
        <v>408</v>
      </c>
      <c r="AH24" s="33">
        <f t="shared" si="11"/>
        <v>533.97894736842113</v>
      </c>
      <c r="AI24" s="6">
        <f t="shared" si="12"/>
        <v>0.30147058823529427</v>
      </c>
      <c r="AJ24" s="7">
        <v>533</v>
      </c>
      <c r="AK24" s="6">
        <f t="shared" si="34"/>
        <v>0.30018761726078802</v>
      </c>
      <c r="AL24" s="4">
        <f t="shared" si="35"/>
        <v>160</v>
      </c>
      <c r="AM24" s="28"/>
      <c r="AN24" s="6"/>
      <c r="AO24" s="6"/>
      <c r="AP24" s="6" t="str">
        <f t="shared" si="13"/>
        <v>-</v>
      </c>
      <c r="AQ24" s="6">
        <f t="shared" si="14"/>
        <v>1.1150627615062763</v>
      </c>
      <c r="AR24" s="6">
        <f t="shared" si="15"/>
        <v>1.3087719298245615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 t="s">
        <v>236</v>
      </c>
      <c r="BD24" s="4"/>
      <c r="BE24" s="4"/>
      <c r="BF24" s="4" t="s">
        <v>221</v>
      </c>
      <c r="BG24" s="4">
        <v>408</v>
      </c>
      <c r="BH24" s="4">
        <f t="shared" si="36"/>
        <v>408</v>
      </c>
      <c r="BI24" s="19">
        <v>4</v>
      </c>
      <c r="BJ24" s="19">
        <v>1</v>
      </c>
      <c r="BK24" s="16">
        <v>18</v>
      </c>
      <c r="BL24" t="s">
        <v>161</v>
      </c>
      <c r="BM24" t="str">
        <f t="shared" si="16"/>
        <v>-</v>
      </c>
      <c r="BN24">
        <v>12968</v>
      </c>
      <c r="BO24">
        <f t="shared" si="17"/>
        <v>16972.154385964914</v>
      </c>
      <c r="BP24" t="s">
        <v>179</v>
      </c>
    </row>
    <row r="25" spans="1:68" x14ac:dyDescent="0.4">
      <c r="A25" s="38">
        <v>22</v>
      </c>
      <c r="B25" s="3">
        <v>22</v>
      </c>
      <c r="C25" s="4" t="s">
        <v>80</v>
      </c>
      <c r="D25" s="4" t="str">
        <f t="shared" si="27"/>
        <v>J389WK</v>
      </c>
      <c r="E25" s="4" t="s">
        <v>80</v>
      </c>
      <c r="F25" s="4" t="s">
        <v>131</v>
      </c>
      <c r="G25" s="5">
        <v>4521684272959</v>
      </c>
      <c r="H25" s="5"/>
      <c r="I25" s="5"/>
      <c r="J25" s="5">
        <v>1</v>
      </c>
      <c r="K25" s="5">
        <v>1</v>
      </c>
      <c r="L25" s="4">
        <v>0</v>
      </c>
      <c r="M25" s="4">
        <v>1350</v>
      </c>
      <c r="N25" s="4">
        <v>584</v>
      </c>
      <c r="O25" s="6">
        <f t="shared" si="28"/>
        <v>0.56740740740740736</v>
      </c>
      <c r="P25" s="4" t="s">
        <v>162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29"/>
        <v>0</v>
      </c>
      <c r="AA25" s="4">
        <v>762</v>
      </c>
      <c r="AB25" s="4">
        <f t="shared" si="30"/>
        <v>762</v>
      </c>
      <c r="AC25" s="4"/>
      <c r="AD25" s="21">
        <f t="shared" si="31"/>
        <v>1761</v>
      </c>
      <c r="AE25" s="6">
        <f t="shared" si="32"/>
        <v>0.56729131175468483</v>
      </c>
      <c r="AF25" s="33">
        <v>0.25</v>
      </c>
      <c r="AG25" s="4">
        <f t="shared" si="33"/>
        <v>755</v>
      </c>
      <c r="AH25" s="33">
        <f t="shared" si="11"/>
        <v>985.11986301369859</v>
      </c>
      <c r="AI25" s="6">
        <f t="shared" si="12"/>
        <v>0.22649006622516554</v>
      </c>
      <c r="AJ25" s="7">
        <v>1750</v>
      </c>
      <c r="AK25" s="6">
        <f t="shared" si="34"/>
        <v>0.5645714285714285</v>
      </c>
      <c r="AL25" s="41">
        <f t="shared" si="35"/>
        <v>988</v>
      </c>
      <c r="AM25" s="28"/>
      <c r="AN25" s="6"/>
      <c r="AO25" s="6"/>
      <c r="AP25" s="6" t="str">
        <f t="shared" si="13"/>
        <v>-</v>
      </c>
      <c r="AQ25" s="6">
        <f t="shared" si="14"/>
        <v>1.2962962962962963</v>
      </c>
      <c r="AR25" s="6">
        <f t="shared" si="15"/>
        <v>1.3047945205479452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 t="s">
        <v>237</v>
      </c>
      <c r="BD25" s="4"/>
      <c r="BE25" s="4"/>
      <c r="BF25" s="4" t="s">
        <v>221</v>
      </c>
      <c r="BG25" s="4">
        <v>755</v>
      </c>
      <c r="BH25" s="4">
        <f t="shared" si="36"/>
        <v>755</v>
      </c>
      <c r="BI25" s="19">
        <v>2</v>
      </c>
      <c r="BJ25" s="19">
        <v>1</v>
      </c>
      <c r="BK25" s="16">
        <v>18</v>
      </c>
      <c r="BL25" t="s">
        <v>161</v>
      </c>
      <c r="BM25" t="str">
        <f t="shared" si="16"/>
        <v>-</v>
      </c>
      <c r="BN25">
        <v>12512</v>
      </c>
      <c r="BO25">
        <f t="shared" si="17"/>
        <v>16325.589041095891</v>
      </c>
      <c r="BP25" t="s">
        <v>180</v>
      </c>
    </row>
    <row r="26" spans="1:68" x14ac:dyDescent="0.4">
      <c r="A26" s="38">
        <v>23</v>
      </c>
      <c r="B26" s="3">
        <v>23</v>
      </c>
      <c r="C26" s="4" t="s">
        <v>81</v>
      </c>
      <c r="D26" s="4" t="str">
        <f t="shared" si="27"/>
        <v>J390WK</v>
      </c>
      <c r="E26" s="4" t="s">
        <v>81</v>
      </c>
      <c r="F26" s="4" t="s">
        <v>132</v>
      </c>
      <c r="G26" s="5">
        <v>4521684272966</v>
      </c>
      <c r="H26" s="5"/>
      <c r="I26" s="5"/>
      <c r="J26" s="5">
        <v>1</v>
      </c>
      <c r="K26" s="5">
        <v>1</v>
      </c>
      <c r="L26" s="4">
        <v>0</v>
      </c>
      <c r="M26" s="4">
        <v>1580</v>
      </c>
      <c r="N26" s="4">
        <v>942</v>
      </c>
      <c r="O26" s="6">
        <f t="shared" si="28"/>
        <v>0.40379746835443042</v>
      </c>
      <c r="P26" s="4" t="s">
        <v>162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29"/>
        <v>0</v>
      </c>
      <c r="AA26" s="4">
        <v>1229</v>
      </c>
      <c r="AB26" s="4">
        <f t="shared" si="30"/>
        <v>1229</v>
      </c>
      <c r="AC26" s="4"/>
      <c r="AD26" s="21">
        <f t="shared" si="31"/>
        <v>2061</v>
      </c>
      <c r="AE26" s="6">
        <f t="shared" si="32"/>
        <v>0.40368753032508486</v>
      </c>
      <c r="AF26" s="33">
        <v>0.25</v>
      </c>
      <c r="AG26" s="4">
        <f t="shared" si="33"/>
        <v>884.40000000000009</v>
      </c>
      <c r="AH26" s="33">
        <f t="shared" si="11"/>
        <v>1153.8509554140128</v>
      </c>
      <c r="AI26" s="6">
        <f t="shared" si="12"/>
        <v>-6.5128900949796398E-2</v>
      </c>
      <c r="AJ26" s="7">
        <v>2050</v>
      </c>
      <c r="AK26" s="6">
        <f t="shared" si="34"/>
        <v>0.4004878048780488</v>
      </c>
      <c r="AL26" s="41">
        <f t="shared" si="35"/>
        <v>821</v>
      </c>
      <c r="AM26" s="28"/>
      <c r="AN26" s="6"/>
      <c r="AO26" s="6"/>
      <c r="AP26" s="6" t="str">
        <f t="shared" si="13"/>
        <v>-</v>
      </c>
      <c r="AQ26" s="6">
        <f t="shared" si="14"/>
        <v>1.2974683544303798</v>
      </c>
      <c r="AR26" s="6">
        <f t="shared" si="15"/>
        <v>1.3046709129511678</v>
      </c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 t="s">
        <v>238</v>
      </c>
      <c r="BD26" s="4">
        <v>100</v>
      </c>
      <c r="BE26" s="4">
        <v>1000</v>
      </c>
      <c r="BF26" s="4" t="s">
        <v>239</v>
      </c>
      <c r="BG26" s="4">
        <v>8844</v>
      </c>
      <c r="BH26" s="4">
        <f t="shared" si="36"/>
        <v>884.40000000000009</v>
      </c>
      <c r="BI26" s="19">
        <v>2</v>
      </c>
      <c r="BJ26" s="19">
        <v>1</v>
      </c>
      <c r="BK26" s="16">
        <v>18</v>
      </c>
      <c r="BL26" t="s">
        <v>161</v>
      </c>
      <c r="BM26" t="str">
        <f t="shared" si="16"/>
        <v>-</v>
      </c>
      <c r="BN26">
        <v>8797</v>
      </c>
      <c r="BO26">
        <f t="shared" si="17"/>
        <v>11477.190021231423</v>
      </c>
      <c r="BP26" t="s">
        <v>181</v>
      </c>
    </row>
    <row r="27" spans="1:68" x14ac:dyDescent="0.4">
      <c r="A27" s="38">
        <v>24</v>
      </c>
      <c r="B27" s="3">
        <v>24</v>
      </c>
      <c r="C27" s="4" t="s">
        <v>82</v>
      </c>
      <c r="D27" s="4" t="str">
        <f t="shared" si="27"/>
        <v>J391WK</v>
      </c>
      <c r="E27" s="4" t="s">
        <v>82</v>
      </c>
      <c r="F27" s="4" t="s">
        <v>133</v>
      </c>
      <c r="G27" s="5">
        <v>4521684272973</v>
      </c>
      <c r="H27" s="5"/>
      <c r="I27" s="5"/>
      <c r="J27" s="5">
        <v>1</v>
      </c>
      <c r="K27" s="5">
        <v>1</v>
      </c>
      <c r="L27" s="4">
        <v>0</v>
      </c>
      <c r="M27" s="4">
        <v>2380</v>
      </c>
      <c r="N27" s="4">
        <v>1387</v>
      </c>
      <c r="O27" s="6">
        <f t="shared" si="28"/>
        <v>0.41722689075630248</v>
      </c>
      <c r="P27" s="4" t="s">
        <v>162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29"/>
        <v>0</v>
      </c>
      <c r="AA27" s="4">
        <v>1805</v>
      </c>
      <c r="AB27" s="4">
        <f t="shared" si="30"/>
        <v>1805</v>
      </c>
      <c r="AC27" s="4"/>
      <c r="AD27" s="21">
        <f t="shared" si="31"/>
        <v>3097</v>
      </c>
      <c r="AE27" s="6">
        <f t="shared" si="32"/>
        <v>0.41717791411042948</v>
      </c>
      <c r="AF27" s="33">
        <v>0.25</v>
      </c>
      <c r="AG27" s="4" t="str">
        <f t="shared" si="33"/>
        <v>-</v>
      </c>
      <c r="AH27" s="33" t="str">
        <f t="shared" si="11"/>
        <v>-</v>
      </c>
      <c r="AI27" s="6" t="str">
        <f t="shared" si="12"/>
        <v>-</v>
      </c>
      <c r="AJ27" s="7">
        <v>3000</v>
      </c>
      <c r="AK27" s="6">
        <f t="shared" si="34"/>
        <v>0.39833333333333332</v>
      </c>
      <c r="AL27" s="41">
        <f t="shared" si="35"/>
        <v>1195</v>
      </c>
      <c r="AM27" s="28"/>
      <c r="AN27" s="6"/>
      <c r="AO27" s="6"/>
      <c r="AP27" s="6" t="str">
        <f t="shared" si="13"/>
        <v>-</v>
      </c>
      <c r="AQ27" s="6">
        <f t="shared" si="14"/>
        <v>1.2605042016806722</v>
      </c>
      <c r="AR27" s="6">
        <f t="shared" si="15"/>
        <v>1.3013698630136987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 t="s">
        <v>161</v>
      </c>
      <c r="BD27" s="4"/>
      <c r="BE27" s="4"/>
      <c r="BF27" s="4" t="s">
        <v>161</v>
      </c>
      <c r="BG27" s="4" t="s">
        <v>161</v>
      </c>
      <c r="BH27" s="4" t="str">
        <f t="shared" si="36"/>
        <v>-</v>
      </c>
      <c r="BI27" s="19">
        <v>2</v>
      </c>
      <c r="BJ27" s="19">
        <v>1</v>
      </c>
      <c r="BK27" s="16">
        <v>18</v>
      </c>
      <c r="BL27" t="s">
        <v>161</v>
      </c>
      <c r="BM27" t="str">
        <f t="shared" si="16"/>
        <v>-</v>
      </c>
      <c r="BN27" t="s">
        <v>161</v>
      </c>
      <c r="BO27" t="str">
        <f t="shared" si="17"/>
        <v>-</v>
      </c>
      <c r="BP27" t="s">
        <v>161</v>
      </c>
    </row>
    <row r="28" spans="1:68" x14ac:dyDescent="0.4">
      <c r="A28" s="3">
        <v>25</v>
      </c>
      <c r="B28" s="3">
        <v>25</v>
      </c>
      <c r="C28" s="4" t="s">
        <v>83</v>
      </c>
      <c r="D28" s="4" t="str">
        <f t="shared" si="27"/>
        <v>5821AR</v>
      </c>
      <c r="E28" s="4" t="s">
        <v>83</v>
      </c>
      <c r="F28" s="4" t="s">
        <v>134</v>
      </c>
      <c r="G28" s="5">
        <v>4521684273512</v>
      </c>
      <c r="H28" s="5"/>
      <c r="I28" s="5"/>
      <c r="J28" s="5">
        <v>1</v>
      </c>
      <c r="K28" s="5">
        <v>1</v>
      </c>
      <c r="L28" s="4">
        <v>0</v>
      </c>
      <c r="M28" s="4">
        <v>362</v>
      </c>
      <c r="N28" s="4">
        <v>240</v>
      </c>
      <c r="O28" s="6">
        <f t="shared" si="28"/>
        <v>0.33701657458563539</v>
      </c>
      <c r="P28" s="4" t="s">
        <v>162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29"/>
        <v>0</v>
      </c>
      <c r="AA28" s="4">
        <v>337</v>
      </c>
      <c r="AB28" s="4">
        <f t="shared" si="30"/>
        <v>337</v>
      </c>
      <c r="AC28" s="4"/>
      <c r="AD28" s="21">
        <f t="shared" si="31"/>
        <v>508</v>
      </c>
      <c r="AE28" s="6">
        <f t="shared" si="32"/>
        <v>0.33661417322834641</v>
      </c>
      <c r="AF28" s="33">
        <v>8.5</v>
      </c>
      <c r="AG28" s="4">
        <f t="shared" si="33"/>
        <v>399</v>
      </c>
      <c r="AH28" s="33">
        <f t="shared" si="11"/>
        <v>560.26249999999993</v>
      </c>
      <c r="AI28" s="6">
        <f t="shared" si="12"/>
        <v>0.39849624060150368</v>
      </c>
      <c r="AJ28" s="7">
        <v>540</v>
      </c>
      <c r="AK28" s="6">
        <f t="shared" si="34"/>
        <v>0.37592592592592589</v>
      </c>
      <c r="AL28" s="4">
        <f t="shared" si="35"/>
        <v>203</v>
      </c>
      <c r="AM28" s="28"/>
      <c r="AN28" s="6"/>
      <c r="AO28" s="6"/>
      <c r="AP28" s="6" t="str">
        <f t="shared" si="13"/>
        <v>-</v>
      </c>
      <c r="AQ28" s="6">
        <f t="shared" si="14"/>
        <v>1.4917127071823204</v>
      </c>
      <c r="AR28" s="6">
        <f t="shared" si="15"/>
        <v>1.4041666666666666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 t="s">
        <v>240</v>
      </c>
      <c r="BD28" s="4"/>
      <c r="BE28" s="4"/>
      <c r="BF28" s="4" t="s">
        <v>227</v>
      </c>
      <c r="BG28" s="4">
        <v>399</v>
      </c>
      <c r="BH28" s="4">
        <f t="shared" si="36"/>
        <v>399</v>
      </c>
      <c r="BI28" s="19">
        <v>4</v>
      </c>
      <c r="BJ28" s="19">
        <v>1</v>
      </c>
      <c r="BK28" s="16">
        <v>18</v>
      </c>
      <c r="BL28">
        <v>360</v>
      </c>
      <c r="BM28">
        <f t="shared" si="16"/>
        <v>505.49999999999994</v>
      </c>
      <c r="BN28">
        <v>8740</v>
      </c>
      <c r="BO28">
        <f t="shared" si="17"/>
        <v>12272.416666666666</v>
      </c>
      <c r="BP28" t="s">
        <v>182</v>
      </c>
    </row>
    <row r="29" spans="1:68" x14ac:dyDescent="0.4">
      <c r="A29" s="3">
        <v>26</v>
      </c>
      <c r="B29" s="3">
        <v>26</v>
      </c>
      <c r="C29" s="4" t="s">
        <v>84</v>
      </c>
      <c r="D29" s="4" t="str">
        <f t="shared" si="27"/>
        <v>5819AR</v>
      </c>
      <c r="E29" s="4" t="s">
        <v>84</v>
      </c>
      <c r="F29" s="4" t="s">
        <v>135</v>
      </c>
      <c r="G29" s="5">
        <v>4521684273529</v>
      </c>
      <c r="H29" s="5"/>
      <c r="I29" s="5"/>
      <c r="J29" s="5">
        <v>1</v>
      </c>
      <c r="K29" s="5">
        <v>1</v>
      </c>
      <c r="L29" s="4">
        <v>0</v>
      </c>
      <c r="M29" s="4">
        <v>415</v>
      </c>
      <c r="N29" s="4">
        <v>279</v>
      </c>
      <c r="O29" s="6">
        <f t="shared" si="28"/>
        <v>0.32771084337349399</v>
      </c>
      <c r="P29" s="4" t="s">
        <v>162</v>
      </c>
      <c r="Q29" s="4"/>
      <c r="R29" s="4"/>
      <c r="S29" s="4"/>
      <c r="T29" s="4"/>
      <c r="U29" s="4"/>
      <c r="V29" s="4"/>
      <c r="W29" s="4"/>
      <c r="X29" s="4"/>
      <c r="Y29" s="4">
        <v>0</v>
      </c>
      <c r="Z29" s="4">
        <f t="shared" si="29"/>
        <v>0</v>
      </c>
      <c r="AA29" s="4">
        <v>365</v>
      </c>
      <c r="AB29" s="4">
        <f t="shared" si="30"/>
        <v>365</v>
      </c>
      <c r="AC29" s="4"/>
      <c r="AD29" s="21">
        <f t="shared" si="31"/>
        <v>543</v>
      </c>
      <c r="AE29" s="6">
        <f t="shared" si="32"/>
        <v>0.32780847145488035</v>
      </c>
      <c r="AF29" s="33">
        <v>14.249999999999998</v>
      </c>
      <c r="AG29" s="4">
        <f t="shared" si="33"/>
        <v>442</v>
      </c>
      <c r="AH29" s="33">
        <f t="shared" si="11"/>
        <v>578.24372759856635</v>
      </c>
      <c r="AI29" s="6">
        <f t="shared" si="12"/>
        <v>0.36877828054298645</v>
      </c>
      <c r="AJ29" s="7">
        <v>578</v>
      </c>
      <c r="AK29" s="6">
        <f t="shared" si="34"/>
        <v>0.36851211072664358</v>
      </c>
      <c r="AL29" s="4">
        <f t="shared" si="35"/>
        <v>213</v>
      </c>
      <c r="AM29" s="28"/>
      <c r="AN29" s="6"/>
      <c r="AO29" s="6"/>
      <c r="AP29" s="6" t="str">
        <f t="shared" si="13"/>
        <v>-</v>
      </c>
      <c r="AQ29" s="6">
        <f t="shared" si="14"/>
        <v>1.3927710843373493</v>
      </c>
      <c r="AR29" s="6">
        <f t="shared" si="15"/>
        <v>1.3082437275985663</v>
      </c>
      <c r="AS29" s="4"/>
      <c r="AT29" s="4"/>
      <c r="AU29" s="4"/>
      <c r="AV29" s="4"/>
      <c r="AW29" s="4"/>
      <c r="AX29" s="4"/>
      <c r="AY29" s="4"/>
      <c r="AZ29" s="4"/>
      <c r="BA29" s="4"/>
      <c r="BB29" s="4">
        <v>0</v>
      </c>
      <c r="BC29" s="4" t="s">
        <v>241</v>
      </c>
      <c r="BD29" s="4"/>
      <c r="BE29" s="4"/>
      <c r="BF29" s="4" t="s">
        <v>221</v>
      </c>
      <c r="BG29" s="4">
        <v>442</v>
      </c>
      <c r="BH29" s="4">
        <f t="shared" si="36"/>
        <v>442</v>
      </c>
      <c r="BI29" s="19">
        <v>4</v>
      </c>
      <c r="BJ29" s="19">
        <v>1</v>
      </c>
      <c r="BK29" s="16">
        <v>18</v>
      </c>
      <c r="BL29">
        <v>442</v>
      </c>
      <c r="BM29">
        <f t="shared" si="16"/>
        <v>578.24372759856635</v>
      </c>
      <c r="BN29">
        <v>9994</v>
      </c>
      <c r="BO29">
        <f t="shared" si="17"/>
        <v>13074.587813620072</v>
      </c>
      <c r="BP29" t="s">
        <v>183</v>
      </c>
    </row>
    <row r="30" spans="1:68" x14ac:dyDescent="0.4">
      <c r="A30" s="3">
        <v>27</v>
      </c>
      <c r="B30" s="3">
        <v>27</v>
      </c>
      <c r="C30" s="4" t="s">
        <v>85</v>
      </c>
      <c r="D30" s="4" t="str">
        <f t="shared" si="27"/>
        <v>J396WK</v>
      </c>
      <c r="E30" s="4" t="s">
        <v>85</v>
      </c>
      <c r="F30" s="4" t="s">
        <v>136</v>
      </c>
      <c r="G30" s="5">
        <v>4521684275127</v>
      </c>
      <c r="H30" s="5"/>
      <c r="I30" s="5"/>
      <c r="J30" s="5">
        <v>1</v>
      </c>
      <c r="K30" s="5">
        <v>1</v>
      </c>
      <c r="L30" s="4">
        <v>0</v>
      </c>
      <c r="M30" s="4">
        <v>258</v>
      </c>
      <c r="N30" s="4">
        <v>151</v>
      </c>
      <c r="O30" s="6">
        <f t="shared" si="28"/>
        <v>0.4147286821705426</v>
      </c>
      <c r="P30" s="4" t="s">
        <v>162</v>
      </c>
      <c r="Q30" s="4"/>
      <c r="R30" s="4"/>
      <c r="S30" s="4"/>
      <c r="T30" s="4"/>
      <c r="U30" s="4"/>
      <c r="V30" s="4"/>
      <c r="W30" s="4"/>
      <c r="X30" s="4"/>
      <c r="Y30" s="4">
        <v>0</v>
      </c>
      <c r="Z30" s="4">
        <f t="shared" si="29"/>
        <v>0</v>
      </c>
      <c r="AA30" s="4">
        <v>198</v>
      </c>
      <c r="AB30" s="4">
        <f t="shared" si="30"/>
        <v>198</v>
      </c>
      <c r="AC30" s="4"/>
      <c r="AD30" s="21">
        <f t="shared" si="31"/>
        <v>338</v>
      </c>
      <c r="AE30" s="6">
        <f t="shared" si="32"/>
        <v>0.41420118343195267</v>
      </c>
      <c r="AF30" s="33">
        <v>0.25</v>
      </c>
      <c r="AG30" s="4">
        <f t="shared" si="33"/>
        <v>129.03333333333333</v>
      </c>
      <c r="AH30" s="33">
        <f t="shared" si="11"/>
        <v>169.19602649006623</v>
      </c>
      <c r="AI30" s="6">
        <f t="shared" si="12"/>
        <v>-0.17024024799793325</v>
      </c>
      <c r="AJ30" s="7">
        <v>340</v>
      </c>
      <c r="AK30" s="6">
        <f t="shared" si="34"/>
        <v>0.41764705882352937</v>
      </c>
      <c r="AL30" s="4">
        <f t="shared" si="35"/>
        <v>142</v>
      </c>
      <c r="AM30" s="28"/>
      <c r="AN30" s="6"/>
      <c r="AO30" s="6"/>
      <c r="AP30" s="6" t="str">
        <f t="shared" si="13"/>
        <v>-</v>
      </c>
      <c r="AQ30" s="6">
        <f t="shared" si="14"/>
        <v>1.317829457364341</v>
      </c>
      <c r="AR30" s="6">
        <f t="shared" si="15"/>
        <v>1.3112582781456954</v>
      </c>
      <c r="AS30" s="4"/>
      <c r="AT30" s="4"/>
      <c r="AU30" s="4"/>
      <c r="AV30" s="4"/>
      <c r="AW30" s="4"/>
      <c r="AX30" s="4"/>
      <c r="AY30" s="4"/>
      <c r="AZ30" s="4"/>
      <c r="BA30" s="4"/>
      <c r="BB30" s="4">
        <v>0</v>
      </c>
      <c r="BC30" s="4" t="s">
        <v>242</v>
      </c>
      <c r="BD30" s="4">
        <v>100</v>
      </c>
      <c r="BE30" s="4">
        <v>6000</v>
      </c>
      <c r="BF30" s="4" t="s">
        <v>223</v>
      </c>
      <c r="BG30" s="4">
        <v>7742</v>
      </c>
      <c r="BH30" s="4">
        <f t="shared" si="36"/>
        <v>129.03333333333333</v>
      </c>
      <c r="BI30" s="19">
        <v>4</v>
      </c>
      <c r="BJ30" s="19">
        <v>1</v>
      </c>
      <c r="BK30" s="16">
        <v>18</v>
      </c>
      <c r="BL30" t="s">
        <v>161</v>
      </c>
      <c r="BM30" t="str">
        <f t="shared" si="16"/>
        <v>-</v>
      </c>
      <c r="BN30">
        <v>409</v>
      </c>
      <c r="BO30">
        <f t="shared" si="17"/>
        <v>536.30463576158945</v>
      </c>
      <c r="BP30" t="s">
        <v>184</v>
      </c>
    </row>
    <row r="31" spans="1:68" x14ac:dyDescent="0.4">
      <c r="A31" s="3">
        <v>28</v>
      </c>
      <c r="B31" s="3">
        <v>28</v>
      </c>
      <c r="C31" s="4" t="s">
        <v>86</v>
      </c>
      <c r="D31" s="4" t="str">
        <f t="shared" si="27"/>
        <v>J397WK</v>
      </c>
      <c r="E31" s="4" t="s">
        <v>86</v>
      </c>
      <c r="F31" s="4" t="s">
        <v>137</v>
      </c>
      <c r="G31" s="5">
        <v>4521684275301</v>
      </c>
      <c r="H31" s="5"/>
      <c r="I31" s="5"/>
      <c r="J31" s="5">
        <v>1</v>
      </c>
      <c r="K31" s="5">
        <v>1</v>
      </c>
      <c r="L31" s="4">
        <v>0</v>
      </c>
      <c r="M31" s="4">
        <v>498</v>
      </c>
      <c r="N31" s="4">
        <v>291</v>
      </c>
      <c r="O31" s="6">
        <f t="shared" si="28"/>
        <v>0.41566265060240959</v>
      </c>
      <c r="P31" s="4" t="s">
        <v>162</v>
      </c>
      <c r="Q31" s="4"/>
      <c r="R31" s="4"/>
      <c r="S31" s="4"/>
      <c r="T31" s="4"/>
      <c r="U31" s="4"/>
      <c r="V31" s="4"/>
      <c r="W31" s="4"/>
      <c r="X31" s="4"/>
      <c r="Y31" s="4">
        <v>0</v>
      </c>
      <c r="Z31" s="4">
        <f t="shared" si="29"/>
        <v>0</v>
      </c>
      <c r="AA31" s="4">
        <v>381</v>
      </c>
      <c r="AB31" s="4">
        <f t="shared" si="30"/>
        <v>381</v>
      </c>
      <c r="AC31" s="4"/>
      <c r="AD31" s="21">
        <f t="shared" si="31"/>
        <v>652</v>
      </c>
      <c r="AE31" s="6">
        <f t="shared" si="32"/>
        <v>0.41564417177914115</v>
      </c>
      <c r="AF31" s="33">
        <v>2.25</v>
      </c>
      <c r="AG31" s="4">
        <f t="shared" si="33"/>
        <v>391</v>
      </c>
      <c r="AH31" s="33">
        <f t="shared" si="11"/>
        <v>511.92783505154642</v>
      </c>
      <c r="AI31" s="6">
        <f t="shared" si="12"/>
        <v>0.25575447570332488</v>
      </c>
      <c r="AJ31" s="7">
        <v>511</v>
      </c>
      <c r="AK31" s="6">
        <f t="shared" si="34"/>
        <v>0.25440313111545987</v>
      </c>
      <c r="AL31" s="4">
        <f t="shared" si="35"/>
        <v>130</v>
      </c>
      <c r="AM31" s="28"/>
      <c r="AN31" s="6"/>
      <c r="AO31" s="6"/>
      <c r="AP31" s="6" t="str">
        <f t="shared" si="13"/>
        <v>-</v>
      </c>
      <c r="AQ31" s="6">
        <f t="shared" si="14"/>
        <v>1.0261044176706828</v>
      </c>
      <c r="AR31" s="6">
        <f t="shared" si="15"/>
        <v>1.3092783505154639</v>
      </c>
      <c r="AS31" s="4"/>
      <c r="AT31" s="4"/>
      <c r="AU31" s="4"/>
      <c r="AV31" s="4"/>
      <c r="AW31" s="4"/>
      <c r="AX31" s="4"/>
      <c r="AY31" s="4"/>
      <c r="AZ31" s="4"/>
      <c r="BA31" s="4"/>
      <c r="BB31" s="4">
        <v>0</v>
      </c>
      <c r="BC31" s="4" t="s">
        <v>243</v>
      </c>
      <c r="BD31" s="4"/>
      <c r="BE31" s="4"/>
      <c r="BF31" s="4" t="s">
        <v>227</v>
      </c>
      <c r="BG31" s="4">
        <v>391</v>
      </c>
      <c r="BH31" s="4">
        <f t="shared" si="36"/>
        <v>391</v>
      </c>
      <c r="BI31" s="19">
        <v>4</v>
      </c>
      <c r="BJ31" s="19">
        <v>1</v>
      </c>
      <c r="BK31" s="16">
        <v>18</v>
      </c>
      <c r="BL31" t="s">
        <v>161</v>
      </c>
      <c r="BM31" t="str">
        <f t="shared" si="16"/>
        <v>-</v>
      </c>
      <c r="BN31">
        <v>760</v>
      </c>
      <c r="BO31">
        <f t="shared" si="17"/>
        <v>995.05154639175259</v>
      </c>
      <c r="BP31" t="s">
        <v>185</v>
      </c>
    </row>
    <row r="32" spans="1:68" x14ac:dyDescent="0.4">
      <c r="A32" s="3">
        <v>29</v>
      </c>
      <c r="B32" s="3">
        <v>29</v>
      </c>
      <c r="C32" s="4" t="s">
        <v>87</v>
      </c>
      <c r="D32" s="4" t="str">
        <f t="shared" si="27"/>
        <v>J398WK</v>
      </c>
      <c r="E32" s="4" t="s">
        <v>87</v>
      </c>
      <c r="F32" s="4" t="s">
        <v>138</v>
      </c>
      <c r="G32" s="5">
        <v>4521684275608</v>
      </c>
      <c r="H32" s="5"/>
      <c r="I32" s="5"/>
      <c r="J32" s="5">
        <v>1</v>
      </c>
      <c r="K32" s="5">
        <v>1</v>
      </c>
      <c r="L32" s="4">
        <v>0</v>
      </c>
      <c r="M32" s="4">
        <v>1080</v>
      </c>
      <c r="N32" s="4">
        <v>603</v>
      </c>
      <c r="O32" s="6">
        <f t="shared" si="28"/>
        <v>0.44166666666666665</v>
      </c>
      <c r="P32" s="4" t="s">
        <v>162</v>
      </c>
      <c r="Q32" s="4"/>
      <c r="R32" s="4"/>
      <c r="S32" s="4"/>
      <c r="T32" s="4"/>
      <c r="U32" s="4"/>
      <c r="V32" s="4"/>
      <c r="W32" s="4"/>
      <c r="X32" s="4"/>
      <c r="Y32" s="4">
        <v>0</v>
      </c>
      <c r="Z32" s="4">
        <f t="shared" si="29"/>
        <v>0</v>
      </c>
      <c r="AA32" s="4">
        <v>787</v>
      </c>
      <c r="AB32" s="4">
        <f t="shared" si="30"/>
        <v>787</v>
      </c>
      <c r="AC32" s="4"/>
      <c r="AD32" s="21">
        <f t="shared" si="31"/>
        <v>1410</v>
      </c>
      <c r="AE32" s="6">
        <f t="shared" si="32"/>
        <v>0.4418439716312057</v>
      </c>
      <c r="AF32" s="33">
        <v>0.5</v>
      </c>
      <c r="AG32" s="4">
        <f t="shared" si="33"/>
        <v>810</v>
      </c>
      <c r="AH32" s="33">
        <f t="shared" si="11"/>
        <v>1057.1641791044776</v>
      </c>
      <c r="AI32" s="6">
        <f t="shared" si="12"/>
        <v>0.25555555555555554</v>
      </c>
      <c r="AJ32" s="7">
        <v>1057</v>
      </c>
      <c r="AK32" s="6">
        <f t="shared" si="34"/>
        <v>0.25543992431409646</v>
      </c>
      <c r="AL32" s="4">
        <f t="shared" si="35"/>
        <v>270</v>
      </c>
      <c r="AM32" s="28"/>
      <c r="AN32" s="6"/>
      <c r="AO32" s="6"/>
      <c r="AP32" s="6" t="str">
        <f t="shared" si="13"/>
        <v>-</v>
      </c>
      <c r="AQ32" s="6">
        <f t="shared" si="14"/>
        <v>0.97870370370370374</v>
      </c>
      <c r="AR32" s="6">
        <f t="shared" si="15"/>
        <v>1.3051409618573797</v>
      </c>
      <c r="AS32" s="4"/>
      <c r="AT32" s="4"/>
      <c r="AU32" s="4"/>
      <c r="AV32" s="4"/>
      <c r="AW32" s="4"/>
      <c r="AX32" s="4"/>
      <c r="AY32" s="4"/>
      <c r="AZ32" s="4"/>
      <c r="BA32" s="4"/>
      <c r="BB32" s="4">
        <v>0</v>
      </c>
      <c r="BC32" s="4" t="s">
        <v>244</v>
      </c>
      <c r="BD32" s="4"/>
      <c r="BE32" s="4"/>
      <c r="BF32" s="4" t="s">
        <v>227</v>
      </c>
      <c r="BG32" s="4">
        <v>810</v>
      </c>
      <c r="BH32" s="4">
        <f t="shared" si="36"/>
        <v>810</v>
      </c>
      <c r="BI32" s="19">
        <v>4</v>
      </c>
      <c r="BJ32" s="19">
        <v>1</v>
      </c>
      <c r="BK32" s="16">
        <v>18</v>
      </c>
      <c r="BL32" t="s">
        <v>161</v>
      </c>
      <c r="BM32" t="str">
        <f t="shared" si="16"/>
        <v>-</v>
      </c>
      <c r="BN32">
        <v>15020</v>
      </c>
      <c r="BO32">
        <f t="shared" si="17"/>
        <v>19603.217247097844</v>
      </c>
      <c r="BP32" t="s">
        <v>186</v>
      </c>
    </row>
    <row r="33" spans="1:68" x14ac:dyDescent="0.4">
      <c r="A33" s="3">
        <v>30</v>
      </c>
      <c r="B33" s="3">
        <v>30</v>
      </c>
      <c r="C33" s="4" t="s">
        <v>88</v>
      </c>
      <c r="D33" s="4" t="str">
        <f t="shared" si="27"/>
        <v>5826AR</v>
      </c>
      <c r="E33" s="4" t="s">
        <v>88</v>
      </c>
      <c r="F33" s="4" t="s">
        <v>139</v>
      </c>
      <c r="G33" s="5">
        <v>4521684310040</v>
      </c>
      <c r="H33" s="5"/>
      <c r="I33" s="5"/>
      <c r="J33" s="5">
        <v>1</v>
      </c>
      <c r="K33" s="5">
        <v>1</v>
      </c>
      <c r="L33" s="4">
        <v>0</v>
      </c>
      <c r="M33" s="4">
        <v>270</v>
      </c>
      <c r="N33" s="4">
        <v>142</v>
      </c>
      <c r="O33" s="6">
        <f t="shared" si="28"/>
        <v>0.47407407407407409</v>
      </c>
      <c r="P33" s="4" t="s">
        <v>162</v>
      </c>
      <c r="Q33" s="4"/>
      <c r="R33" s="4"/>
      <c r="S33" s="4"/>
      <c r="T33" s="4"/>
      <c r="U33" s="4"/>
      <c r="V33" s="4"/>
      <c r="W33" s="4"/>
      <c r="X33" s="4"/>
      <c r="Y33" s="4">
        <v>0</v>
      </c>
      <c r="Z33" s="4">
        <f t="shared" si="29"/>
        <v>0</v>
      </c>
      <c r="AA33" s="4">
        <v>186</v>
      </c>
      <c r="AB33" s="4">
        <f t="shared" si="30"/>
        <v>186</v>
      </c>
      <c r="AC33" s="4"/>
      <c r="AD33" s="21">
        <f t="shared" si="31"/>
        <v>354</v>
      </c>
      <c r="AE33" s="6">
        <f t="shared" si="32"/>
        <v>0.47457627118644063</v>
      </c>
      <c r="AF33" s="33">
        <v>3.5000000000000004</v>
      </c>
      <c r="AG33" s="4">
        <f t="shared" si="33"/>
        <v>343</v>
      </c>
      <c r="AH33" s="33">
        <f t="shared" si="11"/>
        <v>449.28169014084506</v>
      </c>
      <c r="AI33" s="6">
        <f t="shared" si="12"/>
        <v>0.5860058309037901</v>
      </c>
      <c r="AJ33" s="7">
        <v>337</v>
      </c>
      <c r="AK33" s="6">
        <f t="shared" si="34"/>
        <v>0.44807121661721072</v>
      </c>
      <c r="AL33" s="4">
        <f t="shared" si="35"/>
        <v>151</v>
      </c>
      <c r="AM33" s="28"/>
      <c r="AN33" s="6"/>
      <c r="AO33" s="6"/>
      <c r="AP33" s="6" t="str">
        <f t="shared" si="13"/>
        <v>-</v>
      </c>
      <c r="AQ33" s="6">
        <f t="shared" si="14"/>
        <v>1.2481481481481482</v>
      </c>
      <c r="AR33" s="6">
        <f t="shared" si="15"/>
        <v>1.3098591549295775</v>
      </c>
      <c r="AS33" s="4"/>
      <c r="AT33" s="4"/>
      <c r="AU33" s="4"/>
      <c r="AV33" s="4"/>
      <c r="AW33" s="4"/>
      <c r="AX33" s="4"/>
      <c r="AY33" s="4"/>
      <c r="AZ33" s="4"/>
      <c r="BA33" s="4"/>
      <c r="BB33" s="4">
        <v>0</v>
      </c>
      <c r="BC33" s="4" t="s">
        <v>245</v>
      </c>
      <c r="BD33" s="4"/>
      <c r="BE33" s="4"/>
      <c r="BF33" s="4" t="s">
        <v>246</v>
      </c>
      <c r="BG33" s="4">
        <v>343</v>
      </c>
      <c r="BH33" s="4">
        <f t="shared" si="36"/>
        <v>343</v>
      </c>
      <c r="BI33" s="19">
        <v>4</v>
      </c>
      <c r="BJ33" s="19">
        <v>1</v>
      </c>
      <c r="BK33" s="16">
        <v>18</v>
      </c>
      <c r="BL33">
        <v>258</v>
      </c>
      <c r="BM33">
        <f t="shared" si="16"/>
        <v>337.94366197183098</v>
      </c>
      <c r="BN33">
        <v>550</v>
      </c>
      <c r="BO33">
        <f t="shared" si="17"/>
        <v>720.42253521126759</v>
      </c>
      <c r="BP33" t="s">
        <v>187</v>
      </c>
    </row>
    <row r="34" spans="1:68" x14ac:dyDescent="0.4">
      <c r="A34" s="3">
        <v>32</v>
      </c>
      <c r="B34" s="3">
        <v>32</v>
      </c>
      <c r="C34" s="4" t="s">
        <v>89</v>
      </c>
      <c r="D34" s="4" t="str">
        <f t="shared" si="27"/>
        <v>5798AR</v>
      </c>
      <c r="E34" s="4" t="s">
        <v>89</v>
      </c>
      <c r="F34" s="4" t="s">
        <v>140</v>
      </c>
      <c r="G34" s="5">
        <v>4521684310064</v>
      </c>
      <c r="H34" s="5"/>
      <c r="I34" s="5"/>
      <c r="J34" s="5">
        <v>1</v>
      </c>
      <c r="K34" s="5">
        <v>1</v>
      </c>
      <c r="L34" s="4">
        <v>0</v>
      </c>
      <c r="M34" s="4">
        <v>250</v>
      </c>
      <c r="N34" s="4">
        <v>172</v>
      </c>
      <c r="O34" s="6">
        <f t="shared" si="28"/>
        <v>0.31200000000000006</v>
      </c>
      <c r="P34" s="4" t="s">
        <v>162</v>
      </c>
      <c r="Q34" s="4"/>
      <c r="R34" s="4"/>
      <c r="S34" s="4"/>
      <c r="T34" s="4"/>
      <c r="U34" s="4"/>
      <c r="V34" s="4"/>
      <c r="W34" s="4"/>
      <c r="X34" s="4"/>
      <c r="Y34" s="4">
        <v>0</v>
      </c>
      <c r="Z34" s="4">
        <f t="shared" si="29"/>
        <v>0</v>
      </c>
      <c r="AA34" s="4">
        <v>224</v>
      </c>
      <c r="AB34" s="4">
        <f t="shared" si="30"/>
        <v>224</v>
      </c>
      <c r="AC34" s="4"/>
      <c r="AD34" s="21">
        <f t="shared" si="31"/>
        <v>326</v>
      </c>
      <c r="AE34" s="6">
        <f t="shared" si="32"/>
        <v>0.31288343558282206</v>
      </c>
      <c r="AF34" s="33">
        <v>1.7500000000000002</v>
      </c>
      <c r="AG34" s="4">
        <f t="shared" si="33"/>
        <v>306</v>
      </c>
      <c r="AH34" s="33">
        <f t="shared" si="11"/>
        <v>398.5116279069768</v>
      </c>
      <c r="AI34" s="6">
        <f t="shared" si="12"/>
        <v>0.43790849673202625</v>
      </c>
      <c r="AJ34" s="7">
        <v>350</v>
      </c>
      <c r="AK34" s="6">
        <f t="shared" si="34"/>
        <v>0.36</v>
      </c>
      <c r="AL34" s="4">
        <f t="shared" si="35"/>
        <v>126</v>
      </c>
      <c r="AM34" s="28"/>
      <c r="AN34" s="6"/>
      <c r="AO34" s="6"/>
      <c r="AP34" s="6" t="str">
        <f t="shared" si="13"/>
        <v>-</v>
      </c>
      <c r="AQ34" s="6">
        <f t="shared" si="14"/>
        <v>1.4</v>
      </c>
      <c r="AR34" s="6">
        <f t="shared" si="15"/>
        <v>1.3023255813953489</v>
      </c>
      <c r="AS34" s="4"/>
      <c r="AT34" s="4"/>
      <c r="AU34" s="4"/>
      <c r="AV34" s="4"/>
      <c r="AW34" s="4"/>
      <c r="AX34" s="4"/>
      <c r="AY34" s="4"/>
      <c r="AZ34" s="4"/>
      <c r="BA34" s="4"/>
      <c r="BB34" s="4">
        <v>0</v>
      </c>
      <c r="BC34" s="4" t="s">
        <v>247</v>
      </c>
      <c r="BD34" s="4"/>
      <c r="BE34" s="4"/>
      <c r="BF34" s="4" t="s">
        <v>248</v>
      </c>
      <c r="BG34" s="4">
        <v>306</v>
      </c>
      <c r="BH34" s="4">
        <f t="shared" si="36"/>
        <v>306</v>
      </c>
      <c r="BI34" s="19">
        <v>4</v>
      </c>
      <c r="BJ34" s="19">
        <v>1</v>
      </c>
      <c r="BK34" s="16">
        <v>18</v>
      </c>
      <c r="BL34">
        <v>269</v>
      </c>
      <c r="BM34">
        <f t="shared" si="16"/>
        <v>350.32558139534888</v>
      </c>
      <c r="BN34">
        <v>550</v>
      </c>
      <c r="BO34">
        <f t="shared" si="17"/>
        <v>716.27906976744191</v>
      </c>
      <c r="BP34" t="s">
        <v>188</v>
      </c>
    </row>
    <row r="35" spans="1:68" x14ac:dyDescent="0.4">
      <c r="A35" s="3">
        <v>34</v>
      </c>
      <c r="B35" s="3">
        <v>34</v>
      </c>
      <c r="C35" s="4" t="s">
        <v>90</v>
      </c>
      <c r="D35" s="4" t="str">
        <f t="shared" si="27"/>
        <v>5804AR</v>
      </c>
      <c r="E35" s="4" t="s">
        <v>90</v>
      </c>
      <c r="F35" s="4" t="s">
        <v>141</v>
      </c>
      <c r="G35" s="5">
        <v>4521684310095</v>
      </c>
      <c r="H35" s="5"/>
      <c r="I35" s="5"/>
      <c r="J35" s="5">
        <v>1</v>
      </c>
      <c r="K35" s="5">
        <v>1</v>
      </c>
      <c r="L35" s="4">
        <v>0</v>
      </c>
      <c r="M35" s="4">
        <v>336</v>
      </c>
      <c r="N35" s="4">
        <v>256</v>
      </c>
      <c r="O35" s="6">
        <f t="shared" si="28"/>
        <v>0.23809523809523814</v>
      </c>
      <c r="P35" s="4" t="s">
        <v>162</v>
      </c>
      <c r="Q35" s="4"/>
      <c r="R35" s="4"/>
      <c r="S35" s="4"/>
      <c r="T35" s="4"/>
      <c r="U35" s="4"/>
      <c r="V35" s="4"/>
      <c r="W35" s="4"/>
      <c r="X35" s="4"/>
      <c r="Y35" s="4">
        <v>0</v>
      </c>
      <c r="Z35" s="4">
        <f t="shared" si="29"/>
        <v>0</v>
      </c>
      <c r="AA35" s="4">
        <v>335</v>
      </c>
      <c r="AB35" s="4">
        <f t="shared" si="30"/>
        <v>335</v>
      </c>
      <c r="AC35" s="4"/>
      <c r="AD35" s="21">
        <f t="shared" si="31"/>
        <v>440</v>
      </c>
      <c r="AE35" s="6">
        <f t="shared" si="32"/>
        <v>0.23863636363636365</v>
      </c>
      <c r="AF35" s="33">
        <v>32.5</v>
      </c>
      <c r="AG35" s="4">
        <f t="shared" si="33"/>
        <v>355</v>
      </c>
      <c r="AH35" s="33">
        <f t="shared" si="11"/>
        <v>464.55078125</v>
      </c>
      <c r="AI35" s="6">
        <f t="shared" si="12"/>
        <v>0.27887323943661968</v>
      </c>
      <c r="AJ35" s="7">
        <v>464</v>
      </c>
      <c r="AK35" s="6">
        <f t="shared" si="34"/>
        <v>0.27801724137931039</v>
      </c>
      <c r="AL35" s="4">
        <f t="shared" si="35"/>
        <v>129</v>
      </c>
      <c r="AM35" s="28"/>
      <c r="AN35" s="6"/>
      <c r="AO35" s="6"/>
      <c r="AP35" s="6" t="str">
        <f t="shared" si="13"/>
        <v>-</v>
      </c>
      <c r="AQ35" s="6">
        <f t="shared" si="14"/>
        <v>1.3809523809523809</v>
      </c>
      <c r="AR35" s="6">
        <f t="shared" si="15"/>
        <v>1.30859375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0</v>
      </c>
      <c r="BC35" s="4" t="s">
        <v>249</v>
      </c>
      <c r="BD35" s="4"/>
      <c r="BE35" s="4"/>
      <c r="BF35" s="4" t="s">
        <v>227</v>
      </c>
      <c r="BG35" s="4">
        <v>355</v>
      </c>
      <c r="BH35" s="4">
        <f t="shared" si="36"/>
        <v>355</v>
      </c>
      <c r="BI35" s="19">
        <v>4</v>
      </c>
      <c r="BJ35" s="19">
        <v>1</v>
      </c>
      <c r="BK35" s="16">
        <v>18</v>
      </c>
      <c r="BL35" t="s">
        <v>161</v>
      </c>
      <c r="BM35" t="str">
        <f t="shared" si="16"/>
        <v>-</v>
      </c>
      <c r="BN35">
        <v>570</v>
      </c>
      <c r="BO35">
        <f t="shared" si="17"/>
        <v>745.8984375</v>
      </c>
      <c r="BP35" t="s">
        <v>189</v>
      </c>
    </row>
    <row r="36" spans="1:68" x14ac:dyDescent="0.4">
      <c r="A36" s="3">
        <v>35</v>
      </c>
      <c r="B36" s="3">
        <v>35</v>
      </c>
      <c r="C36" s="4" t="s">
        <v>91</v>
      </c>
      <c r="D36" s="4" t="str">
        <f t="shared" si="27"/>
        <v>5836AR</v>
      </c>
      <c r="E36" s="4" t="s">
        <v>91</v>
      </c>
      <c r="F36" s="4" t="s">
        <v>142</v>
      </c>
      <c r="G36" s="5">
        <v>4521684310101</v>
      </c>
      <c r="H36" s="5"/>
      <c r="I36" s="5"/>
      <c r="J36" s="5">
        <v>1</v>
      </c>
      <c r="K36" s="5">
        <v>1</v>
      </c>
      <c r="L36" s="4">
        <v>0</v>
      </c>
      <c r="M36" s="4">
        <v>440</v>
      </c>
      <c r="N36" s="4">
        <v>304</v>
      </c>
      <c r="O36" s="6">
        <f t="shared" si="28"/>
        <v>0.30909090909090908</v>
      </c>
      <c r="P36" s="4" t="s">
        <v>162</v>
      </c>
      <c r="Q36" s="4"/>
      <c r="R36" s="4"/>
      <c r="S36" s="4"/>
      <c r="T36" s="4"/>
      <c r="U36" s="4"/>
      <c r="V36" s="4"/>
      <c r="W36" s="4"/>
      <c r="X36" s="4"/>
      <c r="Y36" s="4">
        <v>0</v>
      </c>
      <c r="Z36" s="4">
        <f t="shared" si="29"/>
        <v>0</v>
      </c>
      <c r="AA36" s="4">
        <v>397</v>
      </c>
      <c r="AB36" s="4">
        <f t="shared" si="30"/>
        <v>397</v>
      </c>
      <c r="AC36" s="4"/>
      <c r="AD36" s="21">
        <f t="shared" si="31"/>
        <v>575</v>
      </c>
      <c r="AE36" s="6">
        <f t="shared" si="32"/>
        <v>0.30956521739130438</v>
      </c>
      <c r="AF36" s="33">
        <v>24.25</v>
      </c>
      <c r="AG36" s="4">
        <f t="shared" si="33"/>
        <v>460</v>
      </c>
      <c r="AH36" s="33">
        <f t="shared" si="11"/>
        <v>600.72368421052636</v>
      </c>
      <c r="AI36" s="6">
        <f t="shared" si="12"/>
        <v>0.33913043478260874</v>
      </c>
      <c r="AJ36" s="7">
        <v>600</v>
      </c>
      <c r="AK36" s="6">
        <f t="shared" si="34"/>
        <v>0.33833333333333337</v>
      </c>
      <c r="AL36" s="4">
        <f t="shared" si="35"/>
        <v>203</v>
      </c>
      <c r="AM36" s="28"/>
      <c r="AN36" s="6"/>
      <c r="AO36" s="6"/>
      <c r="AP36" s="6" t="str">
        <f t="shared" si="13"/>
        <v>-</v>
      </c>
      <c r="AQ36" s="6">
        <f t="shared" si="14"/>
        <v>1.3636363636363635</v>
      </c>
      <c r="AR36" s="6">
        <f t="shared" si="15"/>
        <v>1.305921052631579</v>
      </c>
      <c r="AS36" s="4"/>
      <c r="AT36" s="4"/>
      <c r="AU36" s="4"/>
      <c r="AV36" s="4"/>
      <c r="AW36" s="4"/>
      <c r="AX36" s="4"/>
      <c r="AY36" s="4"/>
      <c r="AZ36" s="4"/>
      <c r="BA36" s="4"/>
      <c r="BB36" s="4">
        <v>0</v>
      </c>
      <c r="BC36" s="4" t="s">
        <v>250</v>
      </c>
      <c r="BD36" s="4"/>
      <c r="BE36" s="4"/>
      <c r="BF36" s="4" t="s">
        <v>251</v>
      </c>
      <c r="BG36" s="4">
        <v>460</v>
      </c>
      <c r="BH36" s="4">
        <f t="shared" si="36"/>
        <v>460</v>
      </c>
      <c r="BI36" s="19">
        <v>4</v>
      </c>
      <c r="BJ36" s="19">
        <v>1</v>
      </c>
      <c r="BK36" s="16">
        <v>18</v>
      </c>
      <c r="BL36">
        <v>381</v>
      </c>
      <c r="BM36">
        <f t="shared" si="16"/>
        <v>497.55592105263162</v>
      </c>
      <c r="BN36">
        <v>730</v>
      </c>
      <c r="BO36">
        <f t="shared" si="17"/>
        <v>953.3223684210526</v>
      </c>
      <c r="BP36" t="s">
        <v>190</v>
      </c>
    </row>
    <row r="37" spans="1:68" x14ac:dyDescent="0.4">
      <c r="A37" s="3">
        <v>37</v>
      </c>
      <c r="B37" s="3">
        <v>37</v>
      </c>
      <c r="C37" s="4" t="s">
        <v>92</v>
      </c>
      <c r="D37" s="4" t="str">
        <f t="shared" si="27"/>
        <v>5806AR</v>
      </c>
      <c r="E37" s="4" t="s">
        <v>92</v>
      </c>
      <c r="F37" s="4" t="s">
        <v>143</v>
      </c>
      <c r="G37" s="5">
        <v>4521684310149</v>
      </c>
      <c r="H37" s="5"/>
      <c r="I37" s="5"/>
      <c r="J37" s="5">
        <v>1</v>
      </c>
      <c r="K37" s="5">
        <v>1</v>
      </c>
      <c r="L37" s="4">
        <v>0</v>
      </c>
      <c r="M37" s="4">
        <v>1300</v>
      </c>
      <c r="N37" s="4">
        <v>1039</v>
      </c>
      <c r="O37" s="6">
        <f t="shared" si="28"/>
        <v>0.20076923076923081</v>
      </c>
      <c r="P37" s="4" t="s">
        <v>162</v>
      </c>
      <c r="Q37" s="4"/>
      <c r="R37" s="4"/>
      <c r="S37" s="4"/>
      <c r="T37" s="4"/>
      <c r="U37" s="4"/>
      <c r="V37" s="4"/>
      <c r="W37" s="4"/>
      <c r="X37" s="4"/>
      <c r="Y37" s="4">
        <v>0</v>
      </c>
      <c r="Z37" s="4">
        <f t="shared" si="29"/>
        <v>0</v>
      </c>
      <c r="AA37" s="4">
        <v>1354</v>
      </c>
      <c r="AB37" s="4">
        <f t="shared" si="30"/>
        <v>1354</v>
      </c>
      <c r="AC37" s="4"/>
      <c r="AD37" s="21">
        <f t="shared" si="31"/>
        <v>1694</v>
      </c>
      <c r="AE37" s="6">
        <f t="shared" si="32"/>
        <v>0.20070838252656431</v>
      </c>
      <c r="AF37" s="33">
        <v>1</v>
      </c>
      <c r="AG37" s="4">
        <f t="shared" si="33"/>
        <v>1224</v>
      </c>
      <c r="AH37" s="33">
        <f t="shared" si="11"/>
        <v>1595.087584215592</v>
      </c>
      <c r="AI37" s="6">
        <f t="shared" si="12"/>
        <v>0.15114379084967322</v>
      </c>
      <c r="AJ37" s="7">
        <v>1800</v>
      </c>
      <c r="AK37" s="6">
        <f t="shared" si="34"/>
        <v>0.24777777777777776</v>
      </c>
      <c r="AL37" s="4">
        <f t="shared" si="35"/>
        <v>446</v>
      </c>
      <c r="AM37" s="28"/>
      <c r="AN37" s="6"/>
      <c r="AO37" s="6"/>
      <c r="AP37" s="6" t="str">
        <f t="shared" si="13"/>
        <v>-</v>
      </c>
      <c r="AQ37" s="6">
        <f t="shared" si="14"/>
        <v>1.3846153846153846</v>
      </c>
      <c r="AR37" s="6">
        <f t="shared" si="15"/>
        <v>1.3031761308950915</v>
      </c>
      <c r="AS37" s="4"/>
      <c r="AT37" s="4"/>
      <c r="AU37" s="4"/>
      <c r="AV37" s="4"/>
      <c r="AW37" s="4"/>
      <c r="AX37" s="4"/>
      <c r="AY37" s="4"/>
      <c r="AZ37" s="4"/>
      <c r="BA37" s="4"/>
      <c r="BB37" s="4">
        <v>0</v>
      </c>
      <c r="BC37" s="4" t="s">
        <v>252</v>
      </c>
      <c r="BD37" s="4"/>
      <c r="BE37" s="4"/>
      <c r="BF37" s="4" t="s">
        <v>221</v>
      </c>
      <c r="BG37" s="4">
        <v>1224</v>
      </c>
      <c r="BH37" s="4">
        <f t="shared" si="36"/>
        <v>1224</v>
      </c>
      <c r="BI37" s="19">
        <v>4</v>
      </c>
      <c r="BJ37" s="19">
        <v>1</v>
      </c>
      <c r="BK37" s="16">
        <v>18</v>
      </c>
      <c r="BL37">
        <v>1129</v>
      </c>
      <c r="BM37">
        <f t="shared" si="16"/>
        <v>1471.2858517805585</v>
      </c>
      <c r="BN37">
        <v>2861</v>
      </c>
      <c r="BO37">
        <f t="shared" si="17"/>
        <v>3728.3869104908567</v>
      </c>
      <c r="BP37" t="s">
        <v>191</v>
      </c>
    </row>
    <row r="38" spans="1:68" x14ac:dyDescent="0.4">
      <c r="A38" s="3">
        <v>38</v>
      </c>
      <c r="B38" s="3">
        <v>38</v>
      </c>
      <c r="C38" s="4" t="s">
        <v>93</v>
      </c>
      <c r="D38" s="4" t="str">
        <f t="shared" si="27"/>
        <v>5825AR</v>
      </c>
      <c r="E38" s="4" t="s">
        <v>93</v>
      </c>
      <c r="F38" s="4" t="s">
        <v>144</v>
      </c>
      <c r="G38" s="5">
        <v>4521684311023</v>
      </c>
      <c r="H38" s="5"/>
      <c r="I38" s="5"/>
      <c r="J38" s="5">
        <v>1</v>
      </c>
      <c r="K38" s="5">
        <v>1</v>
      </c>
      <c r="L38" s="4">
        <v>0</v>
      </c>
      <c r="M38" s="4">
        <v>1860</v>
      </c>
      <c r="N38" s="4">
        <v>1481</v>
      </c>
      <c r="O38" s="6">
        <f t="shared" si="28"/>
        <v>0.20376344086021503</v>
      </c>
      <c r="P38" s="4" t="s">
        <v>162</v>
      </c>
      <c r="Q38" s="4"/>
      <c r="R38" s="4"/>
      <c r="S38" s="4"/>
      <c r="T38" s="4"/>
      <c r="U38" s="4"/>
      <c r="V38" s="4"/>
      <c r="W38" s="4"/>
      <c r="X38" s="4"/>
      <c r="Y38" s="4">
        <v>0</v>
      </c>
      <c r="Z38" s="4">
        <f t="shared" si="29"/>
        <v>0</v>
      </c>
      <c r="AA38" s="4">
        <v>1927</v>
      </c>
      <c r="AB38" s="4">
        <f t="shared" si="30"/>
        <v>1927</v>
      </c>
      <c r="AC38" s="4"/>
      <c r="AD38" s="21">
        <f t="shared" si="31"/>
        <v>2420</v>
      </c>
      <c r="AE38" s="6">
        <f t="shared" si="32"/>
        <v>0.20371900826446276</v>
      </c>
      <c r="AF38" s="33">
        <v>0.25</v>
      </c>
      <c r="AG38" s="4">
        <f t="shared" si="33"/>
        <v>3958</v>
      </c>
      <c r="AH38" s="33">
        <f t="shared" si="11"/>
        <v>5149.9432815665086</v>
      </c>
      <c r="AI38" s="6">
        <f t="shared" si="12"/>
        <v>0.62582112177867599</v>
      </c>
      <c r="AJ38" s="7">
        <v>2600</v>
      </c>
      <c r="AK38" s="6">
        <f t="shared" si="34"/>
        <v>0.25884615384615384</v>
      </c>
      <c r="AL38" s="4">
        <f t="shared" si="35"/>
        <v>673</v>
      </c>
      <c r="AM38" s="28"/>
      <c r="AN38" s="6"/>
      <c r="AO38" s="6"/>
      <c r="AP38" s="6" t="str">
        <f t="shared" si="13"/>
        <v>-</v>
      </c>
      <c r="AQ38" s="6">
        <f t="shared" si="14"/>
        <v>1.3978494623655915</v>
      </c>
      <c r="AR38" s="6">
        <f t="shared" si="15"/>
        <v>1.301147873058744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0</v>
      </c>
      <c r="BC38" s="4" t="s">
        <v>253</v>
      </c>
      <c r="BD38" s="4"/>
      <c r="BE38" s="4"/>
      <c r="BF38" s="4" t="s">
        <v>254</v>
      </c>
      <c r="BG38" s="4">
        <v>3958</v>
      </c>
      <c r="BH38" s="4">
        <f t="shared" si="36"/>
        <v>3958</v>
      </c>
      <c r="BI38" s="19">
        <v>4</v>
      </c>
      <c r="BJ38" s="19">
        <v>1</v>
      </c>
      <c r="BK38" s="16">
        <v>18</v>
      </c>
      <c r="BL38">
        <v>1655</v>
      </c>
      <c r="BM38">
        <f t="shared" si="16"/>
        <v>2153.3997299122216</v>
      </c>
      <c r="BN38">
        <v>3772</v>
      </c>
      <c r="BO38">
        <f t="shared" si="17"/>
        <v>4907.9297771775828</v>
      </c>
      <c r="BP38" t="s">
        <v>192</v>
      </c>
    </row>
    <row r="39" spans="1:68" x14ac:dyDescent="0.4">
      <c r="A39" s="3">
        <v>39</v>
      </c>
      <c r="B39" s="3">
        <v>39</v>
      </c>
      <c r="C39" s="4" t="s">
        <v>94</v>
      </c>
      <c r="D39" s="4" t="str">
        <f t="shared" si="27"/>
        <v>5797AR</v>
      </c>
      <c r="E39" s="4" t="s">
        <v>94</v>
      </c>
      <c r="F39" s="4" t="s">
        <v>145</v>
      </c>
      <c r="G39" s="5">
        <v>4521684312051</v>
      </c>
      <c r="H39" s="5"/>
      <c r="I39" s="5"/>
      <c r="J39" s="5">
        <v>1</v>
      </c>
      <c r="K39" s="5">
        <v>1</v>
      </c>
      <c r="L39" s="4">
        <v>0</v>
      </c>
      <c r="M39" s="4">
        <v>330</v>
      </c>
      <c r="N39" s="4">
        <v>250</v>
      </c>
      <c r="O39" s="6">
        <f t="shared" si="28"/>
        <v>0.24242424242424243</v>
      </c>
      <c r="P39" s="4" t="s">
        <v>162</v>
      </c>
      <c r="Q39" s="4"/>
      <c r="R39" s="4"/>
      <c r="S39" s="4"/>
      <c r="T39" s="4"/>
      <c r="U39" s="4"/>
      <c r="V39" s="4"/>
      <c r="W39" s="4"/>
      <c r="X39" s="4"/>
      <c r="Y39" s="4">
        <v>0</v>
      </c>
      <c r="Z39" s="4">
        <f t="shared" si="29"/>
        <v>0</v>
      </c>
      <c r="AA39" s="4">
        <v>328</v>
      </c>
      <c r="AB39" s="4">
        <f t="shared" si="30"/>
        <v>328</v>
      </c>
      <c r="AC39" s="4"/>
      <c r="AD39" s="21">
        <f t="shared" si="31"/>
        <v>433</v>
      </c>
      <c r="AE39" s="6">
        <f t="shared" si="32"/>
        <v>0.2424942263279446</v>
      </c>
      <c r="AF39" s="33">
        <v>1.7500000000000002</v>
      </c>
      <c r="AG39" s="4">
        <f t="shared" si="33"/>
        <v>333</v>
      </c>
      <c r="AH39" s="33">
        <f t="shared" si="11"/>
        <v>436.89600000000002</v>
      </c>
      <c r="AI39" s="6">
        <f t="shared" si="12"/>
        <v>0.24924924924924929</v>
      </c>
      <c r="AJ39" s="7">
        <v>436</v>
      </c>
      <c r="AK39" s="6">
        <f t="shared" si="34"/>
        <v>0.24770642201834858</v>
      </c>
      <c r="AL39" s="4">
        <f t="shared" si="35"/>
        <v>108</v>
      </c>
      <c r="AM39" s="28"/>
      <c r="AN39" s="6"/>
      <c r="AO39" s="6"/>
      <c r="AP39" s="6" t="str">
        <f t="shared" si="13"/>
        <v>-</v>
      </c>
      <c r="AQ39" s="6">
        <f t="shared" si="14"/>
        <v>1.3212121212121213</v>
      </c>
      <c r="AR39" s="6">
        <f t="shared" si="15"/>
        <v>1.3120000000000001</v>
      </c>
      <c r="AS39" s="4"/>
      <c r="AT39" s="4"/>
      <c r="AU39" s="4"/>
      <c r="AV39" s="4"/>
      <c r="AW39" s="4"/>
      <c r="AX39" s="4"/>
      <c r="AY39" s="4"/>
      <c r="AZ39" s="4"/>
      <c r="BA39" s="4"/>
      <c r="BB39" s="4">
        <v>0</v>
      </c>
      <c r="BC39" s="4" t="s">
        <v>255</v>
      </c>
      <c r="BD39" s="4"/>
      <c r="BE39" s="4"/>
      <c r="BF39" s="4" t="s">
        <v>248</v>
      </c>
      <c r="BG39" s="4">
        <v>333</v>
      </c>
      <c r="BH39" s="4">
        <f t="shared" si="36"/>
        <v>333</v>
      </c>
      <c r="BI39" s="19">
        <v>4</v>
      </c>
      <c r="BJ39" s="19">
        <v>1</v>
      </c>
      <c r="BK39" s="16">
        <v>18</v>
      </c>
      <c r="BL39">
        <v>415</v>
      </c>
      <c r="BM39">
        <f t="shared" si="16"/>
        <v>544.48</v>
      </c>
      <c r="BN39">
        <v>384</v>
      </c>
      <c r="BO39">
        <f t="shared" si="17"/>
        <v>503.80799999999999</v>
      </c>
      <c r="BP39" t="s">
        <v>193</v>
      </c>
    </row>
    <row r="40" spans="1:68" x14ac:dyDescent="0.4">
      <c r="A40" s="3">
        <v>44</v>
      </c>
      <c r="B40" s="3">
        <v>44</v>
      </c>
      <c r="C40" s="4" t="s">
        <v>95</v>
      </c>
      <c r="D40" s="4" t="str">
        <f t="shared" si="27"/>
        <v>5807AR</v>
      </c>
      <c r="E40" s="4" t="s">
        <v>95</v>
      </c>
      <c r="F40" s="4" t="s">
        <v>146</v>
      </c>
      <c r="G40" s="5">
        <v>4521684312112</v>
      </c>
      <c r="H40" s="5"/>
      <c r="I40" s="5"/>
      <c r="J40" s="5">
        <v>1</v>
      </c>
      <c r="K40" s="5">
        <v>1</v>
      </c>
      <c r="L40" s="4">
        <v>0</v>
      </c>
      <c r="M40" s="4">
        <v>969</v>
      </c>
      <c r="N40" s="4">
        <v>743</v>
      </c>
      <c r="O40" s="6">
        <f t="shared" si="28"/>
        <v>0.23323013415892668</v>
      </c>
      <c r="P40" s="4" t="s">
        <v>162</v>
      </c>
      <c r="Q40" s="4"/>
      <c r="R40" s="4"/>
      <c r="S40" s="4"/>
      <c r="T40" s="4"/>
      <c r="U40" s="4"/>
      <c r="V40" s="4"/>
      <c r="W40" s="4"/>
      <c r="X40" s="4"/>
      <c r="Y40" s="4">
        <v>0</v>
      </c>
      <c r="Z40" s="4">
        <f t="shared" si="29"/>
        <v>0</v>
      </c>
      <c r="AA40" s="4">
        <v>967</v>
      </c>
      <c r="AB40" s="4">
        <f t="shared" si="30"/>
        <v>967</v>
      </c>
      <c r="AC40" s="4"/>
      <c r="AD40" s="21">
        <f t="shared" si="31"/>
        <v>1261</v>
      </c>
      <c r="AE40" s="6">
        <f t="shared" si="32"/>
        <v>0.23314829500396506</v>
      </c>
      <c r="AF40" s="33">
        <v>0.25</v>
      </c>
      <c r="AG40" s="4">
        <f t="shared" si="33"/>
        <v>1042</v>
      </c>
      <c r="AH40" s="33">
        <f t="shared" si="11"/>
        <v>1356.1426648721399</v>
      </c>
      <c r="AI40" s="6">
        <f t="shared" si="12"/>
        <v>0.28694817658349325</v>
      </c>
      <c r="AJ40" s="7">
        <v>1356</v>
      </c>
      <c r="AK40" s="6">
        <f t="shared" si="34"/>
        <v>0.28687315634218291</v>
      </c>
      <c r="AL40" s="4">
        <f t="shared" si="35"/>
        <v>389</v>
      </c>
      <c r="AM40" s="28"/>
      <c r="AN40" s="6"/>
      <c r="AO40" s="6"/>
      <c r="AP40" s="6" t="str">
        <f t="shared" si="13"/>
        <v>-</v>
      </c>
      <c r="AQ40" s="6">
        <f t="shared" si="14"/>
        <v>1.3993808049535603</v>
      </c>
      <c r="AR40" s="6">
        <f t="shared" si="15"/>
        <v>1.3014804845222072</v>
      </c>
      <c r="AS40" s="4"/>
      <c r="AT40" s="4"/>
      <c r="AU40" s="4"/>
      <c r="AV40" s="4"/>
      <c r="AW40" s="4"/>
      <c r="AX40" s="4"/>
      <c r="AY40" s="4"/>
      <c r="AZ40" s="4"/>
      <c r="BA40" s="4"/>
      <c r="BB40" s="4">
        <v>0</v>
      </c>
      <c r="BC40" s="4" t="s">
        <v>256</v>
      </c>
      <c r="BD40" s="4"/>
      <c r="BE40" s="4"/>
      <c r="BF40" s="4" t="s">
        <v>227</v>
      </c>
      <c r="BG40" s="4">
        <v>1042</v>
      </c>
      <c r="BH40" s="4">
        <f t="shared" si="36"/>
        <v>1042</v>
      </c>
      <c r="BI40" s="19">
        <v>4</v>
      </c>
      <c r="BJ40" s="19">
        <v>1</v>
      </c>
      <c r="BK40" s="16">
        <v>18</v>
      </c>
      <c r="BL40">
        <v>1042</v>
      </c>
      <c r="BM40">
        <f t="shared" si="16"/>
        <v>1356.1426648721399</v>
      </c>
      <c r="BN40">
        <v>20245</v>
      </c>
      <c r="BO40">
        <f t="shared" si="17"/>
        <v>26348.472409152084</v>
      </c>
      <c r="BP40" t="s">
        <v>194</v>
      </c>
    </row>
    <row r="41" spans="1:68" x14ac:dyDescent="0.4">
      <c r="A41" s="3">
        <v>46</v>
      </c>
      <c r="B41" s="3">
        <v>46</v>
      </c>
      <c r="C41" s="4" t="s">
        <v>96</v>
      </c>
      <c r="D41" s="4" t="str">
        <f t="shared" si="27"/>
        <v>5810AR</v>
      </c>
      <c r="E41" s="4" t="s">
        <v>96</v>
      </c>
      <c r="F41" s="4" t="s">
        <v>147</v>
      </c>
      <c r="G41" s="5">
        <v>4521684312143</v>
      </c>
      <c r="H41" s="5"/>
      <c r="I41" s="5"/>
      <c r="J41" s="5">
        <v>1</v>
      </c>
      <c r="K41" s="5">
        <v>1</v>
      </c>
      <c r="L41" s="4">
        <v>0</v>
      </c>
      <c r="M41" s="4">
        <v>2300</v>
      </c>
      <c r="N41" s="4">
        <v>1799</v>
      </c>
      <c r="O41" s="6">
        <f t="shared" si="28"/>
        <v>0.21782608695652173</v>
      </c>
      <c r="P41" s="4" t="s">
        <v>162</v>
      </c>
      <c r="Q41" s="4"/>
      <c r="R41" s="4"/>
      <c r="S41" s="4"/>
      <c r="T41" s="4"/>
      <c r="U41" s="4"/>
      <c r="V41" s="4"/>
      <c r="W41" s="4"/>
      <c r="X41" s="4"/>
      <c r="Y41" s="4">
        <v>0</v>
      </c>
      <c r="Z41" s="4">
        <f t="shared" si="29"/>
        <v>0</v>
      </c>
      <c r="AA41" s="4">
        <v>2340</v>
      </c>
      <c r="AB41" s="4">
        <f t="shared" si="30"/>
        <v>2340</v>
      </c>
      <c r="AC41" s="4"/>
      <c r="AD41" s="21">
        <f t="shared" si="31"/>
        <v>2992</v>
      </c>
      <c r="AE41" s="6">
        <f t="shared" si="32"/>
        <v>0.21791443850267378</v>
      </c>
      <c r="AF41" s="33">
        <v>0.25</v>
      </c>
      <c r="AG41" s="4">
        <f t="shared" si="33"/>
        <v>2244</v>
      </c>
      <c r="AH41" s="33">
        <f t="shared" si="11"/>
        <v>2918.8215675375209</v>
      </c>
      <c r="AI41" s="6">
        <f t="shared" si="12"/>
        <v>0.19830659536541895</v>
      </c>
      <c r="AJ41" s="7">
        <v>3200</v>
      </c>
      <c r="AK41" s="6">
        <f t="shared" si="34"/>
        <v>0.26875000000000004</v>
      </c>
      <c r="AL41" s="4">
        <f t="shared" si="35"/>
        <v>860</v>
      </c>
      <c r="AM41" s="28"/>
      <c r="AN41" s="6"/>
      <c r="AO41" s="6"/>
      <c r="AP41" s="6" t="str">
        <f t="shared" si="13"/>
        <v>-</v>
      </c>
      <c r="AQ41" s="6">
        <f t="shared" si="14"/>
        <v>1.3913043478260869</v>
      </c>
      <c r="AR41" s="6">
        <f t="shared" si="15"/>
        <v>1.3007226236798222</v>
      </c>
      <c r="AS41" s="4"/>
      <c r="AT41" s="4"/>
      <c r="AU41" s="4"/>
      <c r="AV41" s="4"/>
      <c r="AW41" s="4"/>
      <c r="AX41" s="4"/>
      <c r="AY41" s="4"/>
      <c r="AZ41" s="4"/>
      <c r="BA41" s="4"/>
      <c r="BB41" s="4">
        <v>0</v>
      </c>
      <c r="BC41" s="4" t="s">
        <v>257</v>
      </c>
      <c r="BD41" s="4"/>
      <c r="BE41" s="4"/>
      <c r="BF41" s="4" t="s">
        <v>258</v>
      </c>
      <c r="BG41" s="4">
        <v>2244</v>
      </c>
      <c r="BH41" s="4">
        <f t="shared" si="36"/>
        <v>2244</v>
      </c>
      <c r="BI41" s="19">
        <v>4</v>
      </c>
      <c r="BJ41" s="19">
        <v>1</v>
      </c>
      <c r="BK41" s="16">
        <v>18</v>
      </c>
      <c r="BL41">
        <v>2138</v>
      </c>
      <c r="BM41">
        <f t="shared" si="16"/>
        <v>2780.9449694274599</v>
      </c>
      <c r="BN41">
        <v>20045</v>
      </c>
      <c r="BO41">
        <f t="shared" si="17"/>
        <v>26072.984991662037</v>
      </c>
      <c r="BP41" t="s">
        <v>195</v>
      </c>
    </row>
    <row r="42" spans="1:68" x14ac:dyDescent="0.4">
      <c r="A42" s="3">
        <v>48</v>
      </c>
      <c r="B42" s="3">
        <v>48</v>
      </c>
      <c r="C42" s="4" t="s">
        <v>97</v>
      </c>
      <c r="D42" s="4" t="str">
        <f t="shared" si="27"/>
        <v>5803AR</v>
      </c>
      <c r="E42" s="4" t="s">
        <v>97</v>
      </c>
      <c r="F42" s="4" t="s">
        <v>148</v>
      </c>
      <c r="G42" s="5">
        <v>4521684312204</v>
      </c>
      <c r="H42" s="5"/>
      <c r="I42" s="5"/>
      <c r="J42" s="5">
        <v>1</v>
      </c>
      <c r="K42" s="5">
        <v>1</v>
      </c>
      <c r="L42" s="4">
        <v>0</v>
      </c>
      <c r="M42" s="4">
        <v>250</v>
      </c>
      <c r="N42" s="4">
        <v>183</v>
      </c>
      <c r="O42" s="6">
        <f t="shared" si="28"/>
        <v>0.26800000000000002</v>
      </c>
      <c r="P42" s="4" t="s">
        <v>162</v>
      </c>
      <c r="Q42" s="4"/>
      <c r="R42" s="4"/>
      <c r="S42" s="4"/>
      <c r="T42" s="4"/>
      <c r="U42" s="4"/>
      <c r="V42" s="4"/>
      <c r="W42" s="4"/>
      <c r="X42" s="4"/>
      <c r="Y42" s="4">
        <v>0</v>
      </c>
      <c r="Z42" s="4">
        <f t="shared" si="29"/>
        <v>0</v>
      </c>
      <c r="AA42" s="4">
        <v>239</v>
      </c>
      <c r="AB42" s="4">
        <f t="shared" si="30"/>
        <v>239</v>
      </c>
      <c r="AC42" s="4"/>
      <c r="AD42" s="21">
        <f t="shared" si="31"/>
        <v>327</v>
      </c>
      <c r="AE42" s="6">
        <f t="shared" si="32"/>
        <v>0.26911314984709478</v>
      </c>
      <c r="AF42" s="33">
        <v>1.7500000000000002</v>
      </c>
      <c r="AG42" s="4">
        <f t="shared" si="33"/>
        <v>314</v>
      </c>
      <c r="AH42" s="33">
        <f t="shared" si="11"/>
        <v>410.08743169398906</v>
      </c>
      <c r="AI42" s="6">
        <f t="shared" si="12"/>
        <v>0.41719745222929938</v>
      </c>
      <c r="AJ42" s="7">
        <v>360</v>
      </c>
      <c r="AK42" s="6">
        <f t="shared" si="34"/>
        <v>0.33611111111111114</v>
      </c>
      <c r="AL42" s="4">
        <f t="shared" si="35"/>
        <v>121</v>
      </c>
      <c r="AM42" s="28"/>
      <c r="AN42" s="6"/>
      <c r="AO42" s="6"/>
      <c r="AP42" s="6" t="str">
        <f t="shared" si="13"/>
        <v>-</v>
      </c>
      <c r="AQ42" s="6">
        <f t="shared" si="14"/>
        <v>1.44</v>
      </c>
      <c r="AR42" s="6">
        <f t="shared" si="15"/>
        <v>1.3060109289617485</v>
      </c>
      <c r="AS42" s="4"/>
      <c r="AT42" s="4"/>
      <c r="AU42" s="4"/>
      <c r="AV42" s="4"/>
      <c r="AW42" s="4"/>
      <c r="AX42" s="4"/>
      <c r="AY42" s="4"/>
      <c r="AZ42" s="4"/>
      <c r="BA42" s="4"/>
      <c r="BB42" s="4">
        <v>0</v>
      </c>
      <c r="BC42" s="4" t="s">
        <v>259</v>
      </c>
      <c r="BD42" s="4"/>
      <c r="BE42" s="4"/>
      <c r="BF42" s="4" t="s">
        <v>221</v>
      </c>
      <c r="BG42" s="4">
        <v>314</v>
      </c>
      <c r="BH42" s="4">
        <f t="shared" si="36"/>
        <v>314</v>
      </c>
      <c r="BI42" s="19">
        <v>4</v>
      </c>
      <c r="BJ42" s="19">
        <v>1</v>
      </c>
      <c r="BK42" s="16">
        <v>18</v>
      </c>
      <c r="BL42">
        <v>278</v>
      </c>
      <c r="BM42">
        <f t="shared" si="16"/>
        <v>363.07103825136608</v>
      </c>
      <c r="BN42">
        <v>24016</v>
      </c>
      <c r="BO42">
        <f t="shared" si="17"/>
        <v>31365.158469945352</v>
      </c>
      <c r="BP42" t="s">
        <v>196</v>
      </c>
    </row>
    <row r="43" spans="1:68" x14ac:dyDescent="0.4">
      <c r="A43" s="3">
        <v>49</v>
      </c>
      <c r="B43" s="3">
        <v>49</v>
      </c>
      <c r="C43" s="4" t="s">
        <v>98</v>
      </c>
      <c r="D43" s="4" t="str">
        <f t="shared" si="27"/>
        <v>5796AR</v>
      </c>
      <c r="E43" s="4" t="s">
        <v>98</v>
      </c>
      <c r="F43" s="4" t="s">
        <v>149</v>
      </c>
      <c r="G43" s="5">
        <v>4521684312228</v>
      </c>
      <c r="H43" s="5"/>
      <c r="I43" s="5"/>
      <c r="J43" s="5">
        <v>1</v>
      </c>
      <c r="K43" s="5">
        <v>1</v>
      </c>
      <c r="L43" s="4">
        <v>0</v>
      </c>
      <c r="M43" s="4">
        <v>330</v>
      </c>
      <c r="N43" s="4">
        <v>232</v>
      </c>
      <c r="O43" s="6">
        <f t="shared" si="28"/>
        <v>0.29696969696969699</v>
      </c>
      <c r="P43" s="4" t="s">
        <v>162</v>
      </c>
      <c r="Q43" s="4"/>
      <c r="R43" s="4"/>
      <c r="S43" s="4"/>
      <c r="T43" s="4"/>
      <c r="U43" s="4"/>
      <c r="V43" s="4"/>
      <c r="W43" s="4"/>
      <c r="X43" s="4"/>
      <c r="Y43" s="4">
        <v>0</v>
      </c>
      <c r="Z43" s="4">
        <f t="shared" si="29"/>
        <v>0</v>
      </c>
      <c r="AA43" s="4">
        <v>303</v>
      </c>
      <c r="AB43" s="4">
        <f t="shared" si="30"/>
        <v>303</v>
      </c>
      <c r="AC43" s="4"/>
      <c r="AD43" s="21">
        <f t="shared" si="31"/>
        <v>431</v>
      </c>
      <c r="AE43" s="6">
        <f t="shared" si="32"/>
        <v>0.29698375870069604</v>
      </c>
      <c r="AF43" s="33">
        <v>0.25</v>
      </c>
      <c r="AG43" s="4">
        <f t="shared" si="33"/>
        <v>357</v>
      </c>
      <c r="AH43" s="33">
        <f t="shared" si="11"/>
        <v>466.25431034482762</v>
      </c>
      <c r="AI43" s="6">
        <f t="shared" si="12"/>
        <v>0.35014005602240905</v>
      </c>
      <c r="AJ43" s="7">
        <v>465</v>
      </c>
      <c r="AK43" s="6">
        <f t="shared" si="34"/>
        <v>0.34838709677419355</v>
      </c>
      <c r="AL43" s="4">
        <f t="shared" si="35"/>
        <v>162</v>
      </c>
      <c r="AM43" s="28"/>
      <c r="AN43" s="6"/>
      <c r="AO43" s="6"/>
      <c r="AP43" s="6" t="str">
        <f t="shared" si="13"/>
        <v>-</v>
      </c>
      <c r="AQ43" s="6">
        <f t="shared" si="14"/>
        <v>1.4090909090909092</v>
      </c>
      <c r="AR43" s="6">
        <f t="shared" si="15"/>
        <v>1.3060344827586208</v>
      </c>
      <c r="AS43" s="4"/>
      <c r="AT43" s="4"/>
      <c r="AU43" s="4"/>
      <c r="AV43" s="4"/>
      <c r="AW43" s="4"/>
      <c r="AX43" s="4"/>
      <c r="AY43" s="4"/>
      <c r="AZ43" s="4"/>
      <c r="BA43" s="4"/>
      <c r="BB43" s="4">
        <v>0</v>
      </c>
      <c r="BC43" s="4" t="s">
        <v>260</v>
      </c>
      <c r="BD43" s="4"/>
      <c r="BE43" s="4"/>
      <c r="BF43" s="4" t="s">
        <v>248</v>
      </c>
      <c r="BG43" s="4">
        <v>357</v>
      </c>
      <c r="BH43" s="4">
        <f t="shared" si="36"/>
        <v>357</v>
      </c>
      <c r="BI43" s="19">
        <v>4</v>
      </c>
      <c r="BJ43" s="19">
        <v>1</v>
      </c>
      <c r="BK43" s="16">
        <v>18</v>
      </c>
      <c r="BL43">
        <v>357</v>
      </c>
      <c r="BM43">
        <f t="shared" si="16"/>
        <v>466.25431034482762</v>
      </c>
      <c r="BN43">
        <v>22297</v>
      </c>
      <c r="BO43">
        <f t="shared" si="17"/>
        <v>29120.650862068967</v>
      </c>
      <c r="BP43" t="s">
        <v>197</v>
      </c>
    </row>
    <row r="44" spans="1:68" x14ac:dyDescent="0.4">
      <c r="A44" s="3">
        <v>51</v>
      </c>
      <c r="B44" s="3">
        <v>51</v>
      </c>
      <c r="C44" s="4" t="s">
        <v>99</v>
      </c>
      <c r="D44" s="4" t="str">
        <f t="shared" si="27"/>
        <v>5837AR</v>
      </c>
      <c r="E44" s="4" t="s">
        <v>99</v>
      </c>
      <c r="F44" s="4" t="s">
        <v>150</v>
      </c>
      <c r="G44" s="5">
        <v>4521684312266</v>
      </c>
      <c r="H44" s="5"/>
      <c r="I44" s="5"/>
      <c r="J44" s="5">
        <v>1</v>
      </c>
      <c r="K44" s="5">
        <v>1</v>
      </c>
      <c r="L44" s="4">
        <v>0</v>
      </c>
      <c r="M44" s="4">
        <v>450</v>
      </c>
      <c r="N44" s="4">
        <v>337</v>
      </c>
      <c r="O44" s="6">
        <f t="shared" si="28"/>
        <v>0.25111111111111106</v>
      </c>
      <c r="P44" s="4" t="s">
        <v>162</v>
      </c>
      <c r="Q44" s="4"/>
      <c r="R44" s="4"/>
      <c r="S44" s="4"/>
      <c r="T44" s="4"/>
      <c r="U44" s="4"/>
      <c r="V44" s="4"/>
      <c r="W44" s="4"/>
      <c r="X44" s="4"/>
      <c r="Y44" s="4">
        <v>0</v>
      </c>
      <c r="Z44" s="4">
        <f t="shared" si="29"/>
        <v>0</v>
      </c>
      <c r="AA44" s="4">
        <v>440</v>
      </c>
      <c r="AB44" s="4">
        <f t="shared" si="30"/>
        <v>440</v>
      </c>
      <c r="AC44" s="4"/>
      <c r="AD44" s="21">
        <f t="shared" si="31"/>
        <v>588</v>
      </c>
      <c r="AE44" s="6">
        <f t="shared" si="32"/>
        <v>0.25170068027210879</v>
      </c>
      <c r="AF44" s="33">
        <v>0.25</v>
      </c>
      <c r="AG44" s="4">
        <f t="shared" si="33"/>
        <v>450</v>
      </c>
      <c r="AH44" s="33">
        <f t="shared" si="11"/>
        <v>587.53709198813056</v>
      </c>
      <c r="AI44" s="6">
        <f t="shared" si="12"/>
        <v>0.25111111111111106</v>
      </c>
      <c r="AJ44" s="7">
        <v>587</v>
      </c>
      <c r="AK44" s="6">
        <f t="shared" si="34"/>
        <v>0.25042589437819418</v>
      </c>
      <c r="AL44" s="4">
        <f t="shared" si="35"/>
        <v>147</v>
      </c>
      <c r="AM44" s="28"/>
      <c r="AN44" s="6"/>
      <c r="AO44" s="6"/>
      <c r="AP44" s="6" t="str">
        <f t="shared" si="13"/>
        <v>-</v>
      </c>
      <c r="AQ44" s="6">
        <f t="shared" si="14"/>
        <v>1.3044444444444445</v>
      </c>
      <c r="AR44" s="6">
        <f t="shared" si="15"/>
        <v>1.3056379821958457</v>
      </c>
      <c r="AS44" s="4"/>
      <c r="AT44" s="4"/>
      <c r="AU44" s="4"/>
      <c r="AV44" s="4"/>
      <c r="AW44" s="4"/>
      <c r="AX44" s="4"/>
      <c r="AY44" s="4"/>
      <c r="AZ44" s="4"/>
      <c r="BA44" s="4"/>
      <c r="BB44" s="4">
        <v>0</v>
      </c>
      <c r="BC44" s="4" t="s">
        <v>261</v>
      </c>
      <c r="BD44" s="4"/>
      <c r="BE44" s="4"/>
      <c r="BF44" s="4" t="s">
        <v>227</v>
      </c>
      <c r="BG44" s="4">
        <v>450</v>
      </c>
      <c r="BH44" s="4">
        <f t="shared" si="36"/>
        <v>450</v>
      </c>
      <c r="BI44" s="19">
        <v>4</v>
      </c>
      <c r="BJ44" s="19">
        <v>1</v>
      </c>
      <c r="BK44" s="16">
        <v>18</v>
      </c>
      <c r="BL44">
        <v>450</v>
      </c>
      <c r="BM44">
        <f t="shared" si="16"/>
        <v>587.53709198813056</v>
      </c>
      <c r="BN44">
        <v>20606</v>
      </c>
      <c r="BO44">
        <f t="shared" si="17"/>
        <v>26903.976261127598</v>
      </c>
      <c r="BP44" t="s">
        <v>198</v>
      </c>
    </row>
    <row r="45" spans="1:68" x14ac:dyDescent="0.4">
      <c r="A45" s="3">
        <v>53</v>
      </c>
      <c r="B45" s="3">
        <v>53</v>
      </c>
      <c r="C45" s="4" t="s">
        <v>100</v>
      </c>
      <c r="D45" s="4" t="str">
        <f t="shared" si="27"/>
        <v>5840AR</v>
      </c>
      <c r="E45" s="4" t="s">
        <v>100</v>
      </c>
      <c r="F45" s="4" t="s">
        <v>151</v>
      </c>
      <c r="G45" s="5">
        <v>4521684312358</v>
      </c>
      <c r="H45" s="5"/>
      <c r="I45" s="5"/>
      <c r="J45" s="5">
        <v>1</v>
      </c>
      <c r="K45" s="5">
        <v>1</v>
      </c>
      <c r="L45" s="4">
        <v>0</v>
      </c>
      <c r="M45" s="4">
        <v>300</v>
      </c>
      <c r="N45" s="4">
        <v>185</v>
      </c>
      <c r="O45" s="6">
        <f t="shared" si="28"/>
        <v>0.3833333333333333</v>
      </c>
      <c r="P45" s="4" t="s">
        <v>162</v>
      </c>
      <c r="Q45" s="4"/>
      <c r="R45" s="4"/>
      <c r="S45" s="4"/>
      <c r="T45" s="4"/>
      <c r="U45" s="4"/>
      <c r="V45" s="4"/>
      <c r="W45" s="4"/>
      <c r="X45" s="4"/>
      <c r="Y45" s="4">
        <v>0</v>
      </c>
      <c r="Z45" s="4">
        <f t="shared" si="29"/>
        <v>0</v>
      </c>
      <c r="AA45" s="4">
        <v>241</v>
      </c>
      <c r="AB45" s="4">
        <f t="shared" si="30"/>
        <v>241</v>
      </c>
      <c r="AC45" s="4"/>
      <c r="AD45" s="21">
        <f t="shared" si="31"/>
        <v>391</v>
      </c>
      <c r="AE45" s="6">
        <f t="shared" si="32"/>
        <v>0.38363171355498726</v>
      </c>
      <c r="AF45" s="33">
        <v>5.25</v>
      </c>
      <c r="AG45" s="4">
        <f t="shared" si="33"/>
        <v>380</v>
      </c>
      <c r="AH45" s="33">
        <f t="shared" si="11"/>
        <v>495.02702702702703</v>
      </c>
      <c r="AI45" s="6">
        <f t="shared" si="12"/>
        <v>0.51315789473684204</v>
      </c>
      <c r="AJ45" s="7">
        <v>400</v>
      </c>
      <c r="AK45" s="6">
        <f t="shared" si="34"/>
        <v>0.39749999999999996</v>
      </c>
      <c r="AL45" s="4">
        <f t="shared" si="35"/>
        <v>159</v>
      </c>
      <c r="AM45" s="28"/>
      <c r="AN45" s="6"/>
      <c r="AO45" s="6"/>
      <c r="AP45" s="6" t="str">
        <f t="shared" si="13"/>
        <v>-</v>
      </c>
      <c r="AQ45" s="6">
        <f t="shared" si="14"/>
        <v>1.3333333333333333</v>
      </c>
      <c r="AR45" s="6">
        <f t="shared" si="15"/>
        <v>1.3027027027027027</v>
      </c>
      <c r="AS45" s="4"/>
      <c r="AT45" s="4"/>
      <c r="AU45" s="4"/>
      <c r="AV45" s="4"/>
      <c r="AW45" s="4"/>
      <c r="AX45" s="4"/>
      <c r="AY45" s="4"/>
      <c r="AZ45" s="4"/>
      <c r="BA45" s="4"/>
      <c r="BB45" s="4">
        <v>0</v>
      </c>
      <c r="BC45" s="4" t="s">
        <v>262</v>
      </c>
      <c r="BD45" s="4"/>
      <c r="BE45" s="4"/>
      <c r="BF45" s="4" t="s">
        <v>258</v>
      </c>
      <c r="BG45" s="4">
        <v>380</v>
      </c>
      <c r="BH45" s="4">
        <f t="shared" si="36"/>
        <v>380</v>
      </c>
      <c r="BI45" s="19">
        <v>4</v>
      </c>
      <c r="BJ45" s="19">
        <v>1</v>
      </c>
      <c r="BK45" s="16">
        <v>18</v>
      </c>
      <c r="BL45">
        <v>344</v>
      </c>
      <c r="BM45">
        <f t="shared" si="16"/>
        <v>448.12972972972972</v>
      </c>
      <c r="BN45" t="s">
        <v>161</v>
      </c>
      <c r="BO45" t="str">
        <f t="shared" si="17"/>
        <v>-</v>
      </c>
      <c r="BP45" t="s">
        <v>199</v>
      </c>
    </row>
    <row r="46" spans="1:68" x14ac:dyDescent="0.4">
      <c r="A46" s="3">
        <v>55</v>
      </c>
      <c r="B46" s="3">
        <v>55</v>
      </c>
      <c r="C46" s="4" t="s">
        <v>101</v>
      </c>
      <c r="D46" s="4" t="str">
        <f t="shared" si="27"/>
        <v>5809AR</v>
      </c>
      <c r="E46" s="4" t="s">
        <v>101</v>
      </c>
      <c r="F46" s="4" t="s">
        <v>152</v>
      </c>
      <c r="G46" s="5">
        <v>4521684312372</v>
      </c>
      <c r="H46" s="5"/>
      <c r="I46" s="5"/>
      <c r="J46" s="5">
        <v>1</v>
      </c>
      <c r="K46" s="5">
        <v>1</v>
      </c>
      <c r="L46" s="4">
        <v>0</v>
      </c>
      <c r="M46" s="4">
        <v>540</v>
      </c>
      <c r="N46" s="4">
        <v>333</v>
      </c>
      <c r="O46" s="6">
        <f t="shared" si="28"/>
        <v>0.3833333333333333</v>
      </c>
      <c r="P46" s="4" t="s">
        <v>162</v>
      </c>
      <c r="Q46" s="4"/>
      <c r="R46" s="4"/>
      <c r="S46" s="4"/>
      <c r="T46" s="4"/>
      <c r="U46" s="4"/>
      <c r="V46" s="4"/>
      <c r="W46" s="4"/>
      <c r="X46" s="4"/>
      <c r="Y46" s="4">
        <v>0</v>
      </c>
      <c r="Z46" s="4">
        <f t="shared" si="29"/>
        <v>0</v>
      </c>
      <c r="AA46" s="4">
        <v>435</v>
      </c>
      <c r="AB46" s="4">
        <f t="shared" si="30"/>
        <v>435</v>
      </c>
      <c r="AC46" s="4"/>
      <c r="AD46" s="21">
        <f t="shared" si="31"/>
        <v>705</v>
      </c>
      <c r="AE46" s="6">
        <f t="shared" si="32"/>
        <v>0.38297872340425532</v>
      </c>
      <c r="AF46" s="33">
        <v>3.5000000000000004</v>
      </c>
      <c r="AG46" s="4">
        <f t="shared" si="33"/>
        <v>610</v>
      </c>
      <c r="AH46" s="33">
        <f t="shared" si="11"/>
        <v>796.8468468468468</v>
      </c>
      <c r="AI46" s="6">
        <f t="shared" si="12"/>
        <v>0.45409836065573772</v>
      </c>
      <c r="AJ46" s="7">
        <v>750</v>
      </c>
      <c r="AK46" s="6">
        <f t="shared" si="34"/>
        <v>0.42000000000000004</v>
      </c>
      <c r="AL46" s="4">
        <f t="shared" si="35"/>
        <v>315</v>
      </c>
      <c r="AM46" s="28"/>
      <c r="AN46" s="6"/>
      <c r="AO46" s="6"/>
      <c r="AP46" s="6" t="str">
        <f t="shared" si="13"/>
        <v>-</v>
      </c>
      <c r="AQ46" s="6">
        <f t="shared" si="14"/>
        <v>1.3888888888888888</v>
      </c>
      <c r="AR46" s="6">
        <f t="shared" si="15"/>
        <v>1.3063063063063063</v>
      </c>
      <c r="AS46" s="4"/>
      <c r="AT46" s="4"/>
      <c r="AU46" s="4"/>
      <c r="AV46" s="4"/>
      <c r="AW46" s="4"/>
      <c r="AX46" s="4"/>
      <c r="AY46" s="4"/>
      <c r="AZ46" s="4"/>
      <c r="BA46" s="4"/>
      <c r="BB46" s="4">
        <v>0</v>
      </c>
      <c r="BC46" s="4" t="s">
        <v>263</v>
      </c>
      <c r="BD46" s="4"/>
      <c r="BE46" s="4"/>
      <c r="BF46" s="4" t="s">
        <v>258</v>
      </c>
      <c r="BG46" s="4">
        <v>610</v>
      </c>
      <c r="BH46" s="4">
        <f t="shared" si="36"/>
        <v>610</v>
      </c>
      <c r="BI46" s="19">
        <v>4</v>
      </c>
      <c r="BJ46" s="19">
        <v>1</v>
      </c>
      <c r="BK46" s="16">
        <v>18</v>
      </c>
      <c r="BL46">
        <v>610</v>
      </c>
      <c r="BM46">
        <f t="shared" si="16"/>
        <v>796.8468468468468</v>
      </c>
      <c r="BN46" t="s">
        <v>161</v>
      </c>
      <c r="BO46" t="str">
        <f t="shared" si="17"/>
        <v>-</v>
      </c>
      <c r="BP46" t="s">
        <v>200</v>
      </c>
    </row>
    <row r="47" spans="1:68" x14ac:dyDescent="0.4">
      <c r="A47" s="3">
        <v>57</v>
      </c>
      <c r="B47" s="3">
        <v>57</v>
      </c>
      <c r="C47" s="4" t="s">
        <v>102</v>
      </c>
      <c r="D47" s="4" t="str">
        <f t="shared" si="27"/>
        <v>5818AR</v>
      </c>
      <c r="E47" s="4" t="s">
        <v>102</v>
      </c>
      <c r="F47" s="4" t="s">
        <v>153</v>
      </c>
      <c r="G47" s="5">
        <v>4521684312396</v>
      </c>
      <c r="H47" s="5"/>
      <c r="I47" s="5"/>
      <c r="J47" s="5">
        <v>1</v>
      </c>
      <c r="K47" s="5">
        <v>1</v>
      </c>
      <c r="L47" s="4">
        <v>0</v>
      </c>
      <c r="M47" s="4">
        <v>900</v>
      </c>
      <c r="N47" s="4">
        <v>622</v>
      </c>
      <c r="O47" s="6">
        <f t="shared" si="28"/>
        <v>0.30888888888888888</v>
      </c>
      <c r="P47" s="4" t="s">
        <v>162</v>
      </c>
      <c r="Q47" s="4"/>
      <c r="R47" s="4"/>
      <c r="S47" s="4"/>
      <c r="T47" s="4"/>
      <c r="U47" s="4"/>
      <c r="V47" s="4"/>
      <c r="W47" s="4"/>
      <c r="X47" s="4"/>
      <c r="Y47" s="4">
        <v>0</v>
      </c>
      <c r="Z47" s="4">
        <f t="shared" si="29"/>
        <v>0</v>
      </c>
      <c r="AA47" s="4">
        <v>811</v>
      </c>
      <c r="AB47" s="4">
        <f t="shared" si="30"/>
        <v>811</v>
      </c>
      <c r="AC47" s="4"/>
      <c r="AD47" s="21">
        <f t="shared" si="31"/>
        <v>1173</v>
      </c>
      <c r="AE47" s="6">
        <f t="shared" si="32"/>
        <v>0.30861040068201195</v>
      </c>
      <c r="AF47" s="33">
        <v>1</v>
      </c>
      <c r="AG47" s="4">
        <f t="shared" si="33"/>
        <v>962</v>
      </c>
      <c r="AH47" s="33">
        <f t="shared" si="11"/>
        <v>1254.3118971061092</v>
      </c>
      <c r="AI47" s="6">
        <f t="shared" si="12"/>
        <v>0.35343035343035334</v>
      </c>
      <c r="AJ47" s="7">
        <v>1254</v>
      </c>
      <c r="AK47" s="6">
        <f t="shared" si="34"/>
        <v>0.35326953748006384</v>
      </c>
      <c r="AL47" s="4">
        <f t="shared" si="35"/>
        <v>443</v>
      </c>
      <c r="AM47" s="28"/>
      <c r="AN47" s="6"/>
      <c r="AO47" s="6"/>
      <c r="AP47" s="6" t="str">
        <f t="shared" si="13"/>
        <v>-</v>
      </c>
      <c r="AQ47" s="6">
        <f t="shared" si="14"/>
        <v>1.3933333333333333</v>
      </c>
      <c r="AR47" s="6">
        <f t="shared" si="15"/>
        <v>1.3038585209003215</v>
      </c>
      <c r="AS47" s="4"/>
      <c r="AT47" s="4"/>
      <c r="AU47" s="4"/>
      <c r="AV47" s="4"/>
      <c r="AW47" s="4"/>
      <c r="AX47" s="4"/>
      <c r="AY47" s="4"/>
      <c r="AZ47" s="4"/>
      <c r="BA47" s="4"/>
      <c r="BB47" s="4">
        <v>0</v>
      </c>
      <c r="BC47" s="4" t="s">
        <v>264</v>
      </c>
      <c r="BD47" s="4"/>
      <c r="BE47" s="4"/>
      <c r="BF47" s="4" t="s">
        <v>258</v>
      </c>
      <c r="BG47" s="4">
        <v>962</v>
      </c>
      <c r="BH47" s="4">
        <f t="shared" si="36"/>
        <v>962</v>
      </c>
      <c r="BI47" s="19">
        <v>4</v>
      </c>
      <c r="BJ47" s="19">
        <v>1</v>
      </c>
      <c r="BK47" s="16">
        <v>18</v>
      </c>
      <c r="BL47">
        <v>962</v>
      </c>
      <c r="BM47">
        <f t="shared" si="16"/>
        <v>1254.3118971061092</v>
      </c>
      <c r="BN47" t="s">
        <v>161</v>
      </c>
      <c r="BO47" t="str">
        <f t="shared" si="17"/>
        <v>-</v>
      </c>
      <c r="BP47" t="s">
        <v>201</v>
      </c>
    </row>
    <row r="48" spans="1:68" x14ac:dyDescent="0.4">
      <c r="A48" s="3">
        <v>58</v>
      </c>
      <c r="B48" s="3">
        <v>58</v>
      </c>
      <c r="C48" s="4" t="s">
        <v>103</v>
      </c>
      <c r="D48" s="4" t="str">
        <f t="shared" si="27"/>
        <v>5808AR</v>
      </c>
      <c r="E48" s="4" t="s">
        <v>103</v>
      </c>
      <c r="F48" s="4" t="s">
        <v>154</v>
      </c>
      <c r="G48" s="5">
        <v>4521684713049</v>
      </c>
      <c r="H48" s="5"/>
      <c r="I48" s="5"/>
      <c r="J48" s="5">
        <v>1</v>
      </c>
      <c r="K48" s="5">
        <v>1</v>
      </c>
      <c r="L48" s="4">
        <v>0</v>
      </c>
      <c r="M48" s="4">
        <v>110</v>
      </c>
      <c r="N48" s="4">
        <v>82</v>
      </c>
      <c r="O48" s="6">
        <f t="shared" si="28"/>
        <v>0.25454545454545452</v>
      </c>
      <c r="P48" s="4" t="s">
        <v>162</v>
      </c>
      <c r="Q48" s="4"/>
      <c r="R48" s="4"/>
      <c r="S48" s="4"/>
      <c r="T48" s="4"/>
      <c r="U48" s="4"/>
      <c r="V48" s="4"/>
      <c r="W48" s="4"/>
      <c r="X48" s="4"/>
      <c r="Y48" s="4">
        <v>0</v>
      </c>
      <c r="Z48" s="4">
        <f t="shared" si="29"/>
        <v>0</v>
      </c>
      <c r="AA48" s="4">
        <v>107</v>
      </c>
      <c r="AB48" s="4">
        <f t="shared" si="30"/>
        <v>107</v>
      </c>
      <c r="AC48" s="4"/>
      <c r="AD48" s="21">
        <f t="shared" si="31"/>
        <v>144</v>
      </c>
      <c r="AE48" s="6">
        <f t="shared" si="32"/>
        <v>0.25694444444444442</v>
      </c>
      <c r="AF48" s="33">
        <v>0.25</v>
      </c>
      <c r="AG48" s="4">
        <f t="shared" si="33"/>
        <v>111</v>
      </c>
      <c r="AH48" s="33">
        <f t="shared" si="11"/>
        <v>144.84146341463415</v>
      </c>
      <c r="AI48" s="6">
        <f t="shared" si="12"/>
        <v>0.26126126126126126</v>
      </c>
      <c r="AJ48" s="7">
        <v>144</v>
      </c>
      <c r="AK48" s="6">
        <f t="shared" si="34"/>
        <v>0.25694444444444442</v>
      </c>
      <c r="AL48" s="4">
        <f t="shared" si="35"/>
        <v>37</v>
      </c>
      <c r="AM48" s="28"/>
      <c r="AN48" s="6"/>
      <c r="AO48" s="6"/>
      <c r="AP48" s="6" t="str">
        <f t="shared" si="13"/>
        <v>-</v>
      </c>
      <c r="AQ48" s="6">
        <f t="shared" si="14"/>
        <v>1.3090909090909091</v>
      </c>
      <c r="AR48" s="6">
        <f t="shared" si="15"/>
        <v>1.3048780487804879</v>
      </c>
      <c r="AS48" s="4"/>
      <c r="AT48" s="4"/>
      <c r="AU48" s="4"/>
      <c r="AV48" s="4"/>
      <c r="AW48" s="4"/>
      <c r="AX48" s="4"/>
      <c r="AY48" s="4"/>
      <c r="AZ48" s="4"/>
      <c r="BA48" s="4"/>
      <c r="BB48" s="4">
        <v>0</v>
      </c>
      <c r="BC48" s="4" t="s">
        <v>265</v>
      </c>
      <c r="BD48" s="4"/>
      <c r="BE48" s="4"/>
      <c r="BF48" s="4" t="s">
        <v>227</v>
      </c>
      <c r="BG48" s="4">
        <v>111</v>
      </c>
      <c r="BH48" s="4">
        <f t="shared" si="36"/>
        <v>111</v>
      </c>
      <c r="BI48" s="19">
        <v>4</v>
      </c>
      <c r="BJ48" s="19">
        <v>1</v>
      </c>
      <c r="BK48" s="16">
        <v>18</v>
      </c>
      <c r="BL48" t="s">
        <v>161</v>
      </c>
      <c r="BM48" t="str">
        <f t="shared" si="16"/>
        <v>-</v>
      </c>
      <c r="BN48">
        <v>27142</v>
      </c>
      <c r="BO48">
        <f t="shared" si="17"/>
        <v>35417</v>
      </c>
      <c r="BP48" t="s">
        <v>202</v>
      </c>
    </row>
    <row r="49" spans="1:68" x14ac:dyDescent="0.4">
      <c r="A49" s="3">
        <v>59</v>
      </c>
      <c r="B49" s="3">
        <v>59</v>
      </c>
      <c r="C49" s="4" t="s">
        <v>104</v>
      </c>
      <c r="D49" s="4" t="str">
        <f t="shared" si="27"/>
        <v>5812AR</v>
      </c>
      <c r="E49" s="4" t="s">
        <v>104</v>
      </c>
      <c r="F49" s="4" t="s">
        <v>155</v>
      </c>
      <c r="G49" s="5">
        <v>4521684713070</v>
      </c>
      <c r="H49" s="5"/>
      <c r="I49" s="5"/>
      <c r="J49" s="5">
        <v>1</v>
      </c>
      <c r="K49" s="5">
        <v>1</v>
      </c>
      <c r="L49" s="4">
        <v>0</v>
      </c>
      <c r="M49" s="4">
        <v>160</v>
      </c>
      <c r="N49" s="4">
        <v>126</v>
      </c>
      <c r="O49" s="6">
        <f t="shared" si="28"/>
        <v>0.21250000000000002</v>
      </c>
      <c r="P49" s="4" t="s">
        <v>162</v>
      </c>
      <c r="Q49" s="4"/>
      <c r="R49" s="4"/>
      <c r="S49" s="4"/>
      <c r="T49" s="4"/>
      <c r="U49" s="4"/>
      <c r="V49" s="4"/>
      <c r="W49" s="4"/>
      <c r="X49" s="4"/>
      <c r="Y49" s="4">
        <v>0</v>
      </c>
      <c r="Z49" s="4">
        <f t="shared" si="29"/>
        <v>0</v>
      </c>
      <c r="AA49" s="4">
        <v>164</v>
      </c>
      <c r="AB49" s="4">
        <f t="shared" si="30"/>
        <v>164</v>
      </c>
      <c r="AC49" s="4"/>
      <c r="AD49" s="21">
        <f t="shared" si="31"/>
        <v>208</v>
      </c>
      <c r="AE49" s="6">
        <f t="shared" si="32"/>
        <v>0.21153846153846156</v>
      </c>
      <c r="AF49" s="33">
        <v>1</v>
      </c>
      <c r="AG49" s="4">
        <f t="shared" si="33"/>
        <v>168</v>
      </c>
      <c r="AH49" s="33">
        <f t="shared" si="11"/>
        <v>218.66666666666669</v>
      </c>
      <c r="AI49" s="6">
        <f t="shared" si="12"/>
        <v>0.25000000000000011</v>
      </c>
      <c r="AJ49" s="7">
        <v>218</v>
      </c>
      <c r="AK49" s="6">
        <f t="shared" si="34"/>
        <v>0.24770642201834858</v>
      </c>
      <c r="AL49" s="4">
        <f t="shared" si="35"/>
        <v>54</v>
      </c>
      <c r="AM49" s="28"/>
      <c r="AN49" s="6"/>
      <c r="AO49" s="6"/>
      <c r="AP49" s="6" t="str">
        <f t="shared" si="13"/>
        <v>-</v>
      </c>
      <c r="AQ49" s="6">
        <f t="shared" si="14"/>
        <v>1.3625</v>
      </c>
      <c r="AR49" s="6">
        <f t="shared" si="15"/>
        <v>1.3015873015873016</v>
      </c>
      <c r="AS49" s="4"/>
      <c r="AT49" s="4"/>
      <c r="AU49" s="4"/>
      <c r="AV49" s="4"/>
      <c r="AW49" s="4"/>
      <c r="AX49" s="4"/>
      <c r="AY49" s="4"/>
      <c r="AZ49" s="4"/>
      <c r="BA49" s="4"/>
      <c r="BB49" s="4">
        <v>0</v>
      </c>
      <c r="BC49" s="4" t="s">
        <v>266</v>
      </c>
      <c r="BD49" s="4"/>
      <c r="BE49" s="4"/>
      <c r="BF49" s="4" t="s">
        <v>258</v>
      </c>
      <c r="BG49" s="4">
        <v>168</v>
      </c>
      <c r="BH49" s="4">
        <f t="shared" si="36"/>
        <v>168</v>
      </c>
      <c r="BI49" s="19">
        <v>4</v>
      </c>
      <c r="BJ49" s="19">
        <v>1</v>
      </c>
      <c r="BK49" s="16">
        <v>18</v>
      </c>
      <c r="BL49">
        <v>160</v>
      </c>
      <c r="BM49">
        <f t="shared" si="16"/>
        <v>208.25396825396825</v>
      </c>
      <c r="BN49">
        <v>17841</v>
      </c>
      <c r="BO49">
        <f t="shared" si="17"/>
        <v>23221.61904761905</v>
      </c>
      <c r="BP49" t="s">
        <v>203</v>
      </c>
    </row>
    <row r="50" spans="1:68" x14ac:dyDescent="0.4">
      <c r="A50" s="3">
        <v>60</v>
      </c>
      <c r="B50" s="3">
        <v>60</v>
      </c>
      <c r="C50" s="4" t="s">
        <v>105</v>
      </c>
      <c r="D50" s="4" t="str">
        <f t="shared" si="27"/>
        <v>5811AR</v>
      </c>
      <c r="E50" s="4" t="s">
        <v>105</v>
      </c>
      <c r="F50" s="4" t="s">
        <v>156</v>
      </c>
      <c r="G50" s="5">
        <v>4521684713087</v>
      </c>
      <c r="H50" s="5"/>
      <c r="I50" s="5"/>
      <c r="J50" s="5">
        <v>1</v>
      </c>
      <c r="K50" s="5">
        <v>1</v>
      </c>
      <c r="L50" s="4">
        <v>0</v>
      </c>
      <c r="M50" s="4">
        <v>180</v>
      </c>
      <c r="N50" s="4">
        <v>143</v>
      </c>
      <c r="O50" s="6">
        <f t="shared" si="28"/>
        <v>0.2055555555555556</v>
      </c>
      <c r="P50" s="4" t="s">
        <v>162</v>
      </c>
      <c r="Q50" s="4"/>
      <c r="R50" s="4"/>
      <c r="S50" s="4"/>
      <c r="T50" s="4"/>
      <c r="U50" s="4"/>
      <c r="V50" s="4"/>
      <c r="W50" s="4"/>
      <c r="X50" s="4"/>
      <c r="Y50" s="4">
        <v>0</v>
      </c>
      <c r="Z50" s="4">
        <f t="shared" si="29"/>
        <v>0</v>
      </c>
      <c r="AA50" s="4">
        <v>187</v>
      </c>
      <c r="AB50" s="4">
        <f t="shared" si="30"/>
        <v>187</v>
      </c>
      <c r="AC50" s="4"/>
      <c r="AD50" s="21">
        <f t="shared" si="31"/>
        <v>235</v>
      </c>
      <c r="AE50" s="6">
        <f t="shared" si="32"/>
        <v>0.20425531914893613</v>
      </c>
      <c r="AF50" s="33">
        <v>1</v>
      </c>
      <c r="AG50" s="4">
        <f t="shared" si="33"/>
        <v>180</v>
      </c>
      <c r="AH50" s="33">
        <f t="shared" si="11"/>
        <v>235.38461538461539</v>
      </c>
      <c r="AI50" s="6">
        <f t="shared" si="12"/>
        <v>0.2055555555555556</v>
      </c>
      <c r="AJ50" s="7">
        <v>235</v>
      </c>
      <c r="AK50" s="6">
        <f t="shared" si="34"/>
        <v>0.20425531914893613</v>
      </c>
      <c r="AL50" s="4">
        <f t="shared" si="35"/>
        <v>48</v>
      </c>
      <c r="AM50" s="28"/>
      <c r="AN50" s="6"/>
      <c r="AO50" s="6"/>
      <c r="AP50" s="6" t="str">
        <f t="shared" si="13"/>
        <v>-</v>
      </c>
      <c r="AQ50" s="6">
        <f t="shared" si="14"/>
        <v>1.3055555555555556</v>
      </c>
      <c r="AR50" s="6">
        <f t="shared" si="15"/>
        <v>1.3076923076923077</v>
      </c>
      <c r="AS50" s="4"/>
      <c r="AT50" s="4"/>
      <c r="AU50" s="4"/>
      <c r="AV50" s="4"/>
      <c r="AW50" s="4"/>
      <c r="AX50" s="4"/>
      <c r="AY50" s="4"/>
      <c r="AZ50" s="4"/>
      <c r="BA50" s="4"/>
      <c r="BB50" s="4">
        <v>0</v>
      </c>
      <c r="BC50" s="4" t="s">
        <v>267</v>
      </c>
      <c r="BD50" s="4"/>
      <c r="BE50" s="4"/>
      <c r="BF50" s="4" t="s">
        <v>258</v>
      </c>
      <c r="BG50" s="4">
        <v>180</v>
      </c>
      <c r="BH50" s="4">
        <f t="shared" si="36"/>
        <v>180</v>
      </c>
      <c r="BI50" s="19">
        <v>4</v>
      </c>
      <c r="BJ50" s="19">
        <v>1</v>
      </c>
      <c r="BK50" s="16">
        <v>18</v>
      </c>
      <c r="BL50">
        <v>166</v>
      </c>
      <c r="BM50">
        <f t="shared" si="16"/>
        <v>217.07692307692307</v>
      </c>
      <c r="BN50">
        <v>19855</v>
      </c>
      <c r="BO50">
        <f t="shared" si="17"/>
        <v>25964.23076923077</v>
      </c>
      <c r="BP50" t="s">
        <v>204</v>
      </c>
    </row>
    <row r="51" spans="1:68" x14ac:dyDescent="0.4">
      <c r="A51" s="3">
        <v>61</v>
      </c>
      <c r="B51" s="3">
        <v>61</v>
      </c>
      <c r="C51" s="4" t="s">
        <v>106</v>
      </c>
      <c r="D51" s="4" t="str">
        <f t="shared" si="27"/>
        <v>5813AR</v>
      </c>
      <c r="E51" s="4" t="s">
        <v>106</v>
      </c>
      <c r="F51" s="4" t="s">
        <v>157</v>
      </c>
      <c r="G51" s="5">
        <v>4521684713094</v>
      </c>
      <c r="H51" s="5"/>
      <c r="I51" s="5"/>
      <c r="J51" s="5">
        <v>1</v>
      </c>
      <c r="K51" s="5">
        <v>1</v>
      </c>
      <c r="L51" s="4">
        <v>0</v>
      </c>
      <c r="M51" s="4">
        <v>200</v>
      </c>
      <c r="N51" s="4">
        <v>153</v>
      </c>
      <c r="O51" s="6">
        <f t="shared" si="28"/>
        <v>0.23499999999999999</v>
      </c>
      <c r="P51" s="4" t="s">
        <v>162</v>
      </c>
      <c r="Q51" s="4"/>
      <c r="R51" s="4"/>
      <c r="S51" s="4"/>
      <c r="T51" s="4"/>
      <c r="U51" s="4"/>
      <c r="V51" s="4"/>
      <c r="W51" s="4"/>
      <c r="X51" s="4"/>
      <c r="Y51" s="4">
        <v>0</v>
      </c>
      <c r="Z51" s="4">
        <f t="shared" si="29"/>
        <v>0</v>
      </c>
      <c r="AA51" s="4">
        <v>199</v>
      </c>
      <c r="AB51" s="4">
        <f t="shared" si="30"/>
        <v>199</v>
      </c>
      <c r="AC51" s="4"/>
      <c r="AD51" s="21">
        <f t="shared" si="31"/>
        <v>260</v>
      </c>
      <c r="AE51" s="6">
        <f t="shared" si="32"/>
        <v>0.23461538461538467</v>
      </c>
      <c r="AF51" s="33">
        <v>1.7500000000000002</v>
      </c>
      <c r="AG51" s="4">
        <f t="shared" si="33"/>
        <v>200</v>
      </c>
      <c r="AH51" s="33">
        <f t="shared" si="11"/>
        <v>260.13071895424838</v>
      </c>
      <c r="AI51" s="6">
        <f t="shared" si="12"/>
        <v>0.23499999999999999</v>
      </c>
      <c r="AJ51" s="7">
        <v>260</v>
      </c>
      <c r="AK51" s="6">
        <f t="shared" si="34"/>
        <v>0.23461538461538467</v>
      </c>
      <c r="AL51" s="4">
        <f t="shared" si="35"/>
        <v>61</v>
      </c>
      <c r="AM51" s="28"/>
      <c r="AN51" s="6"/>
      <c r="AO51" s="6"/>
      <c r="AP51" s="6" t="str">
        <f t="shared" si="13"/>
        <v>-</v>
      </c>
      <c r="AQ51" s="6">
        <f t="shared" si="14"/>
        <v>1.3</v>
      </c>
      <c r="AR51" s="6">
        <f t="shared" si="15"/>
        <v>1.3006535947712419</v>
      </c>
      <c r="AS51" s="4"/>
      <c r="AT51" s="4"/>
      <c r="AU51" s="4"/>
      <c r="AV51" s="4"/>
      <c r="AW51" s="4"/>
      <c r="AX51" s="4"/>
      <c r="AY51" s="4"/>
      <c r="AZ51" s="4"/>
      <c r="BA51" s="4"/>
      <c r="BB51" s="4">
        <v>0</v>
      </c>
      <c r="BC51" s="4" t="s">
        <v>268</v>
      </c>
      <c r="BD51" s="4"/>
      <c r="BE51" s="4"/>
      <c r="BF51" s="4" t="s">
        <v>258</v>
      </c>
      <c r="BG51" s="4">
        <v>200</v>
      </c>
      <c r="BH51" s="4">
        <f t="shared" si="36"/>
        <v>200</v>
      </c>
      <c r="BI51" s="19">
        <v>4</v>
      </c>
      <c r="BJ51" s="19">
        <v>1</v>
      </c>
      <c r="BK51" s="16">
        <v>18</v>
      </c>
      <c r="BL51">
        <v>191</v>
      </c>
      <c r="BM51">
        <f t="shared" si="16"/>
        <v>248.42483660130719</v>
      </c>
      <c r="BN51">
        <v>16891</v>
      </c>
      <c r="BO51">
        <f t="shared" si="17"/>
        <v>21969.339869281048</v>
      </c>
      <c r="BP51" t="s">
        <v>205</v>
      </c>
    </row>
    <row r="52" spans="1:68" x14ac:dyDescent="0.4">
      <c r="A52" s="3">
        <v>62</v>
      </c>
      <c r="B52" s="3">
        <v>62</v>
      </c>
      <c r="C52" s="4" t="s">
        <v>107</v>
      </c>
      <c r="D52" s="4" t="str">
        <f t="shared" si="27"/>
        <v>5841AR</v>
      </c>
      <c r="E52" s="4" t="s">
        <v>107</v>
      </c>
      <c r="F52" s="4" t="s">
        <v>158</v>
      </c>
      <c r="G52" s="5">
        <v>4521684713124</v>
      </c>
      <c r="H52" s="5"/>
      <c r="I52" s="5"/>
      <c r="J52" s="5">
        <v>1</v>
      </c>
      <c r="K52" s="5">
        <v>1</v>
      </c>
      <c r="L52" s="4">
        <v>0</v>
      </c>
      <c r="M52" s="4">
        <v>365</v>
      </c>
      <c r="N52" s="4">
        <v>292</v>
      </c>
      <c r="O52" s="6">
        <f t="shared" si="28"/>
        <v>0.19999999999999996</v>
      </c>
      <c r="P52" s="4" t="s">
        <v>162</v>
      </c>
      <c r="Q52" s="4"/>
      <c r="R52" s="4"/>
      <c r="S52" s="4"/>
      <c r="T52" s="4"/>
      <c r="U52" s="4"/>
      <c r="V52" s="4"/>
      <c r="W52" s="4"/>
      <c r="X52" s="4"/>
      <c r="Y52" s="4">
        <v>0</v>
      </c>
      <c r="Z52" s="4">
        <f t="shared" si="29"/>
        <v>0</v>
      </c>
      <c r="AA52" s="4">
        <v>380</v>
      </c>
      <c r="AB52" s="4">
        <f t="shared" si="30"/>
        <v>380</v>
      </c>
      <c r="AC52" s="4"/>
      <c r="AD52" s="21">
        <f t="shared" si="31"/>
        <v>475</v>
      </c>
      <c r="AE52" s="6">
        <f t="shared" si="32"/>
        <v>0.19999999999999996</v>
      </c>
      <c r="AF52" s="33">
        <v>4.5</v>
      </c>
      <c r="AG52" s="4">
        <f t="shared" si="33"/>
        <v>364</v>
      </c>
      <c r="AH52" s="33">
        <f t="shared" si="11"/>
        <v>473.69863013698631</v>
      </c>
      <c r="AI52" s="6">
        <f t="shared" si="12"/>
        <v>0.19780219780219777</v>
      </c>
      <c r="AJ52" s="7">
        <v>475</v>
      </c>
      <c r="AK52" s="6">
        <f t="shared" si="34"/>
        <v>0.19999999999999996</v>
      </c>
      <c r="AL52" s="4">
        <f t="shared" si="35"/>
        <v>95</v>
      </c>
      <c r="AM52" s="28"/>
      <c r="AN52" s="6"/>
      <c r="AO52" s="6"/>
      <c r="AP52" s="6" t="str">
        <f t="shared" si="13"/>
        <v>-</v>
      </c>
      <c r="AQ52" s="6">
        <f t="shared" si="14"/>
        <v>1.3013698630136987</v>
      </c>
      <c r="AR52" s="6">
        <f t="shared" si="15"/>
        <v>1.3013698630136987</v>
      </c>
      <c r="AS52" s="4"/>
      <c r="AT52" s="4"/>
      <c r="AU52" s="4"/>
      <c r="AV52" s="4"/>
      <c r="AW52" s="4"/>
      <c r="AX52" s="4"/>
      <c r="AY52" s="4"/>
      <c r="AZ52" s="4"/>
      <c r="BA52" s="4"/>
      <c r="BB52" s="4">
        <v>0</v>
      </c>
      <c r="BC52" s="4" t="s">
        <v>269</v>
      </c>
      <c r="BD52" s="4"/>
      <c r="BE52" s="4"/>
      <c r="BF52" s="4" t="s">
        <v>258</v>
      </c>
      <c r="BG52" s="4">
        <v>364</v>
      </c>
      <c r="BH52" s="4">
        <f t="shared" si="36"/>
        <v>364</v>
      </c>
      <c r="BI52" s="19">
        <v>4</v>
      </c>
      <c r="BJ52" s="19">
        <v>1</v>
      </c>
      <c r="BK52" s="16">
        <v>18</v>
      </c>
      <c r="BL52">
        <v>330</v>
      </c>
      <c r="BM52">
        <f t="shared" si="16"/>
        <v>429.45205479452056</v>
      </c>
      <c r="BN52">
        <v>374</v>
      </c>
      <c r="BO52">
        <f t="shared" si="17"/>
        <v>486.71232876712332</v>
      </c>
      <c r="BP52" t="s">
        <v>206</v>
      </c>
    </row>
    <row r="53" spans="1:68" x14ac:dyDescent="0.4">
      <c r="A53" s="3">
        <v>63</v>
      </c>
      <c r="B53" s="3">
        <v>63</v>
      </c>
      <c r="C53" s="4" t="s">
        <v>108</v>
      </c>
      <c r="D53" s="4" t="str">
        <f t="shared" si="27"/>
        <v>5814AR</v>
      </c>
      <c r="E53" s="4" t="s">
        <v>108</v>
      </c>
      <c r="F53" s="4" t="s">
        <v>159</v>
      </c>
      <c r="G53" s="5">
        <v>4521684713131</v>
      </c>
      <c r="H53" s="5"/>
      <c r="I53" s="5"/>
      <c r="J53" s="5">
        <v>1</v>
      </c>
      <c r="K53" s="5">
        <v>1</v>
      </c>
      <c r="L53" s="4">
        <v>0</v>
      </c>
      <c r="M53" s="4">
        <v>440</v>
      </c>
      <c r="N53" s="4">
        <v>350</v>
      </c>
      <c r="O53" s="6">
        <f t="shared" si="28"/>
        <v>0.20454545454545459</v>
      </c>
      <c r="P53" s="4" t="s">
        <v>162</v>
      </c>
      <c r="Q53" s="4"/>
      <c r="R53" s="4"/>
      <c r="S53" s="4"/>
      <c r="T53" s="4"/>
      <c r="U53" s="4"/>
      <c r="V53" s="4"/>
      <c r="W53" s="4"/>
      <c r="X53" s="4"/>
      <c r="Y53" s="4">
        <v>0</v>
      </c>
      <c r="Z53" s="4">
        <f t="shared" si="29"/>
        <v>0</v>
      </c>
      <c r="AA53" s="4">
        <v>456</v>
      </c>
      <c r="AB53" s="4">
        <f t="shared" si="30"/>
        <v>456</v>
      </c>
      <c r="AC53" s="4"/>
      <c r="AD53" s="21">
        <f t="shared" si="31"/>
        <v>573</v>
      </c>
      <c r="AE53" s="6">
        <f t="shared" si="32"/>
        <v>0.20418848167539272</v>
      </c>
      <c r="AF53" s="33">
        <v>3.5000000000000004</v>
      </c>
      <c r="AG53" s="4">
        <f t="shared" si="33"/>
        <v>523</v>
      </c>
      <c r="AH53" s="33">
        <f t="shared" si="11"/>
        <v>681.39428571428573</v>
      </c>
      <c r="AI53" s="6">
        <f t="shared" si="12"/>
        <v>0.33078393881453161</v>
      </c>
      <c r="AJ53" s="7">
        <v>680</v>
      </c>
      <c r="AK53" s="6">
        <f t="shared" si="34"/>
        <v>0.3294117647058824</v>
      </c>
      <c r="AL53" s="4">
        <f t="shared" si="35"/>
        <v>224</v>
      </c>
      <c r="AM53" s="28"/>
      <c r="AN53" s="6"/>
      <c r="AO53" s="6"/>
      <c r="AP53" s="6" t="str">
        <f t="shared" si="13"/>
        <v>-</v>
      </c>
      <c r="AQ53" s="6">
        <f t="shared" si="14"/>
        <v>1.5454545454545454</v>
      </c>
      <c r="AR53" s="6">
        <f t="shared" si="15"/>
        <v>1.3028571428571429</v>
      </c>
      <c r="AS53" s="4"/>
      <c r="AT53" s="4"/>
      <c r="AU53" s="4"/>
      <c r="AV53" s="4"/>
      <c r="AW53" s="4"/>
      <c r="AX53" s="4"/>
      <c r="AY53" s="4"/>
      <c r="AZ53" s="4"/>
      <c r="BA53" s="4"/>
      <c r="BB53" s="4">
        <v>0</v>
      </c>
      <c r="BC53" s="4" t="s">
        <v>270</v>
      </c>
      <c r="BD53" s="4"/>
      <c r="BE53" s="4"/>
      <c r="BF53" s="4" t="s">
        <v>258</v>
      </c>
      <c r="BG53" s="4">
        <v>523</v>
      </c>
      <c r="BH53" s="4">
        <f t="shared" si="36"/>
        <v>523</v>
      </c>
      <c r="BI53" s="19">
        <v>4</v>
      </c>
      <c r="BJ53" s="19">
        <v>1</v>
      </c>
      <c r="BK53" s="16">
        <v>18</v>
      </c>
      <c r="BL53">
        <v>395</v>
      </c>
      <c r="BM53">
        <f t="shared" si="16"/>
        <v>514.62857142857149</v>
      </c>
      <c r="BN53">
        <v>13490</v>
      </c>
      <c r="BO53">
        <f t="shared" si="17"/>
        <v>17575.542857142857</v>
      </c>
      <c r="BP53" t="s">
        <v>207</v>
      </c>
    </row>
    <row r="54" spans="1:68" x14ac:dyDescent="0.4">
      <c r="A54" s="3">
        <v>64</v>
      </c>
      <c r="B54" s="3">
        <v>64</v>
      </c>
      <c r="C54" s="4" t="s">
        <v>109</v>
      </c>
      <c r="D54" s="4" t="str">
        <f t="shared" si="27"/>
        <v>5817AR</v>
      </c>
      <c r="E54" s="4" t="s">
        <v>109</v>
      </c>
      <c r="F54" s="4" t="s">
        <v>160</v>
      </c>
      <c r="G54" s="5">
        <v>4521684713186</v>
      </c>
      <c r="H54" s="5"/>
      <c r="I54" s="5"/>
      <c r="J54" s="5">
        <v>1</v>
      </c>
      <c r="K54" s="5">
        <v>1</v>
      </c>
      <c r="L54" s="4">
        <v>0</v>
      </c>
      <c r="M54" s="4">
        <v>910</v>
      </c>
      <c r="N54" s="4">
        <v>722</v>
      </c>
      <c r="O54" s="6">
        <f t="shared" si="28"/>
        <v>0.20659340659340664</v>
      </c>
      <c r="P54" s="4" t="s">
        <v>162</v>
      </c>
      <c r="Q54" s="4"/>
      <c r="R54" s="4"/>
      <c r="S54" s="4"/>
      <c r="T54" s="4"/>
      <c r="U54" s="4"/>
      <c r="V54" s="4"/>
      <c r="W54" s="4"/>
      <c r="X54" s="4"/>
      <c r="Y54" s="4">
        <v>0</v>
      </c>
      <c r="Z54" s="4">
        <f t="shared" si="29"/>
        <v>0</v>
      </c>
      <c r="AA54" s="4">
        <v>940</v>
      </c>
      <c r="AB54" s="4">
        <f t="shared" si="30"/>
        <v>940</v>
      </c>
      <c r="AC54" s="4"/>
      <c r="AD54" s="21">
        <f t="shared" si="31"/>
        <v>1185</v>
      </c>
      <c r="AE54" s="6">
        <f t="shared" si="32"/>
        <v>0.2067510548523207</v>
      </c>
      <c r="AF54" s="33">
        <v>0.25</v>
      </c>
      <c r="AG54" s="4">
        <f t="shared" si="33"/>
        <v>675</v>
      </c>
      <c r="AH54" s="33">
        <f t="shared" si="11"/>
        <v>878.80886426592804</v>
      </c>
      <c r="AI54" s="6">
        <f t="shared" si="12"/>
        <v>-6.9629629629629486E-2</v>
      </c>
      <c r="AJ54" s="7">
        <v>1280</v>
      </c>
      <c r="AK54" s="6">
        <f t="shared" si="34"/>
        <v>0.265625</v>
      </c>
      <c r="AL54" s="4">
        <f t="shared" si="35"/>
        <v>340</v>
      </c>
      <c r="AM54" s="28"/>
      <c r="AN54" s="6"/>
      <c r="AO54" s="6"/>
      <c r="AP54" s="6" t="str">
        <f t="shared" si="13"/>
        <v>-</v>
      </c>
      <c r="AQ54" s="6">
        <f t="shared" si="14"/>
        <v>1.4065934065934067</v>
      </c>
      <c r="AR54" s="6">
        <f t="shared" si="15"/>
        <v>1.3019390581717452</v>
      </c>
      <c r="AS54" s="4"/>
      <c r="AT54" s="4"/>
      <c r="AU54" s="4"/>
      <c r="AV54" s="4"/>
      <c r="AW54" s="4"/>
      <c r="AX54" s="4"/>
      <c r="AY54" s="4"/>
      <c r="AZ54" s="4"/>
      <c r="BA54" s="4"/>
      <c r="BB54" s="4">
        <v>0</v>
      </c>
      <c r="BC54" s="4" t="s">
        <v>271</v>
      </c>
      <c r="BD54" s="4"/>
      <c r="BE54" s="4"/>
      <c r="BF54" s="4" t="s">
        <v>227</v>
      </c>
      <c r="BG54" s="4">
        <v>675</v>
      </c>
      <c r="BH54" s="4">
        <f t="shared" si="36"/>
        <v>675</v>
      </c>
      <c r="BI54" s="19">
        <v>4</v>
      </c>
      <c r="BJ54" s="19">
        <v>1</v>
      </c>
      <c r="BK54" s="16">
        <v>18</v>
      </c>
      <c r="BL54">
        <v>675</v>
      </c>
      <c r="BM54">
        <f t="shared" si="16"/>
        <v>878.80886426592804</v>
      </c>
      <c r="BN54">
        <v>12217</v>
      </c>
      <c r="BO54">
        <f t="shared" si="17"/>
        <v>15905.78947368421</v>
      </c>
      <c r="BP54" t="s">
        <v>208</v>
      </c>
    </row>
  </sheetData>
  <autoFilter ref="A3:BP54" xr:uid="{7A1660CF-9003-4B2D-B659-7F339ED5B476}"/>
  <mergeCells count="3">
    <mergeCell ref="L2:O2"/>
    <mergeCell ref="J2:K2"/>
    <mergeCell ref="Y1:AB1"/>
  </mergeCells>
  <phoneticPr fontId="2"/>
  <conditionalFormatting sqref="AJ4:AJ54">
    <cfRule type="cellIs" dxfId="2" priority="4" operator="greaterThan">
      <formula>$Z4</formula>
    </cfRule>
  </conditionalFormatting>
  <conditionalFormatting sqref="AH4:AH54">
    <cfRule type="cellIs" dxfId="1" priority="2" operator="lessThan">
      <formula>$AJ4</formula>
    </cfRule>
  </conditionalFormatting>
  <conditionalFormatting sqref="AK4:AK5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2026-06-04T09:21:35Z</dcterms:modified>
</cp:coreProperties>
</file>